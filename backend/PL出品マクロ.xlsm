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LS220DB0D6\share\◆作成データ◆\1月\0126まで全て\武藤\"/>
    </mc:Choice>
  </mc:AlternateContent>
  <xr:revisionPtr revIDLastSave="0" documentId="13_ncr:1_{E1FF927B-B2F7-40F3-A6F1-B6C642E35B5B}" xr6:coauthVersionLast="47" xr6:coauthVersionMax="47" xr10:uidLastSave="{00000000-0000-0000-0000-000000000000}"/>
  <bookViews>
    <workbookView xWindow="-120" yWindow="-120" windowWidth="19440" windowHeight="15000" tabRatio="929" firstSheet="2" activeTab="4" xr2:uid="{00000000-000D-0000-FFFF-FFFF00000000}"/>
  </bookViews>
  <sheets>
    <sheet name="csv" sheetId="20" r:id="rId1"/>
    <sheet name="csv2" sheetId="23" r:id="rId2"/>
    <sheet name="main" sheetId="21" r:id="rId3"/>
    <sheet name="category" sheetId="22" r:id="rId4"/>
    <sheet name="Sheet1" sheetId="1" r:id="rId5"/>
    <sheet name="複数商品" sheetId="19" r:id="rId6"/>
    <sheet name="トップス" sheetId="2" r:id="rId7"/>
    <sheet name="パンツ" sheetId="3" r:id="rId8"/>
    <sheet name="スカート" sheetId="4" r:id="rId9"/>
    <sheet name="ワンピース" sheetId="5" r:id="rId10"/>
    <sheet name="オールインワン" sheetId="17" r:id="rId11"/>
    <sheet name="スカートスーツ" sheetId="7" r:id="rId12"/>
    <sheet name="パンツスーツ" sheetId="6" r:id="rId13"/>
    <sheet name="アンサンブル" sheetId="16" r:id="rId14"/>
    <sheet name="靴" sheetId="8" r:id="rId15"/>
    <sheet name="ブーツ" sheetId="9" r:id="rId16"/>
    <sheet name="ベルト" sheetId="10" r:id="rId17"/>
    <sheet name="ネクタイ縦横" sheetId="11" r:id="rId18"/>
    <sheet name="帽子" sheetId="12" r:id="rId19"/>
    <sheet name="バッグ" sheetId="13" r:id="rId20"/>
    <sheet name="ネックレス" sheetId="14" r:id="rId21"/>
    <sheet name="サングラス" sheetId="15" r:id="rId22"/>
    <sheet name="コンディションランク" sheetId="24" r:id="rId23"/>
    <sheet name="出品ID" sheetId="18" r:id="rId24"/>
    <sheet name="金額レート" sheetId="25" r:id="rId25"/>
  </sheets>
  <functionGroups builtInGroupCount="19"/>
  <definedNames>
    <definedName name="_xlnm._FilterDatabase" localSheetId="4" hidden="1">Sheet1!$B$1:$B$820</definedName>
    <definedName name="EX">コンディションランク!$J$2</definedName>
    <definedName name="PL">コンディションランク!$J$1</definedName>
    <definedName name="梱包">コンディションランク!$E$1:$E$5</definedName>
    <definedName name="梱包サイズ表">コンディションランク!$E$1:$F$5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 i="24" l="1"/>
  <c r="J1" i="24"/>
  <c r="Q3" i="15"/>
  <c r="C3" i="15" s="1"/>
  <c r="Q4" i="15"/>
  <c r="C4" i="15" s="1"/>
  <c r="Q5" i="15"/>
  <c r="C5" i="15" s="1"/>
  <c r="Q6" i="15"/>
  <c r="C6" i="15" s="1"/>
  <c r="Q7" i="15"/>
  <c r="C7" i="15" s="1"/>
  <c r="Q8" i="15"/>
  <c r="C8" i="15" s="1"/>
  <c r="Q9" i="15"/>
  <c r="C9" i="15" s="1"/>
  <c r="Q10" i="15"/>
  <c r="C10" i="15" s="1"/>
  <c r="Q11" i="15"/>
  <c r="C11" i="15" s="1"/>
  <c r="Q12" i="15"/>
  <c r="C12" i="15" s="1"/>
  <c r="Q13" i="15"/>
  <c r="C13" i="15" s="1"/>
  <c r="Q14" i="15"/>
  <c r="C14" i="15" s="1"/>
  <c r="Q15" i="15"/>
  <c r="C15" i="15" s="1"/>
  <c r="Q16" i="15"/>
  <c r="C16" i="15" s="1"/>
  <c r="Q17" i="15"/>
  <c r="C17" i="15" s="1"/>
  <c r="Q18" i="15"/>
  <c r="C18" i="15" s="1"/>
  <c r="Q19" i="15"/>
  <c r="C19" i="15" s="1"/>
  <c r="Q20" i="15"/>
  <c r="C20" i="15" s="1"/>
  <c r="Q21" i="15"/>
  <c r="C21" i="15" s="1"/>
  <c r="Q22" i="15"/>
  <c r="C22" i="15" s="1"/>
  <c r="Q23" i="15"/>
  <c r="C23" i="15" s="1"/>
  <c r="Q24" i="15"/>
  <c r="C24" i="15" s="1"/>
  <c r="Q25" i="15"/>
  <c r="C25" i="15" s="1"/>
  <c r="Q26" i="15"/>
  <c r="C26" i="15" s="1"/>
  <c r="R3" i="14"/>
  <c r="C3" i="14" s="1"/>
  <c r="R4" i="14"/>
  <c r="C4" i="14" s="1"/>
  <c r="R5" i="14"/>
  <c r="C5" i="14" s="1"/>
  <c r="R6" i="14"/>
  <c r="C6" i="14" s="1"/>
  <c r="R7" i="14"/>
  <c r="C7" i="14" s="1"/>
  <c r="R8" i="14"/>
  <c r="C8" i="14" s="1"/>
  <c r="R9" i="14"/>
  <c r="C9" i="14" s="1"/>
  <c r="R10" i="14"/>
  <c r="C10" i="14" s="1"/>
  <c r="R11" i="14"/>
  <c r="C11" i="14" s="1"/>
  <c r="R12" i="14"/>
  <c r="C12" i="14" s="1"/>
  <c r="R13" i="14"/>
  <c r="C13" i="14" s="1"/>
  <c r="R14" i="14"/>
  <c r="C14" i="14" s="1"/>
  <c r="R15" i="14"/>
  <c r="C15" i="14" s="1"/>
  <c r="R16" i="14"/>
  <c r="C16" i="14" s="1"/>
  <c r="R17" i="14"/>
  <c r="C17" i="14" s="1"/>
  <c r="R18" i="14"/>
  <c r="C18" i="14" s="1"/>
  <c r="R19" i="14"/>
  <c r="C19" i="14" s="1"/>
  <c r="R20" i="14"/>
  <c r="C20" i="14" s="1"/>
  <c r="R21" i="14"/>
  <c r="C21" i="14" s="1"/>
  <c r="R22" i="14"/>
  <c r="C22" i="14" s="1"/>
  <c r="R23" i="14"/>
  <c r="C23" i="14" s="1"/>
  <c r="R24" i="14"/>
  <c r="C24" i="14" s="1"/>
  <c r="R25" i="14"/>
  <c r="C25" i="14" s="1"/>
  <c r="X3" i="13"/>
  <c r="C3" i="13" s="1"/>
  <c r="X4" i="13"/>
  <c r="C4" i="13" s="1"/>
  <c r="X5" i="13"/>
  <c r="C5" i="13" s="1"/>
  <c r="X6" i="13"/>
  <c r="C6" i="13" s="1"/>
  <c r="X7" i="13"/>
  <c r="C7" i="13" s="1"/>
  <c r="X8" i="13"/>
  <c r="C8" i="13" s="1"/>
  <c r="X9" i="13"/>
  <c r="C9" i="13" s="1"/>
  <c r="X10" i="13"/>
  <c r="C10" i="13" s="1"/>
  <c r="X11" i="13"/>
  <c r="C11" i="13" s="1"/>
  <c r="X12" i="13"/>
  <c r="C12" i="13" s="1"/>
  <c r="X13" i="13"/>
  <c r="C13" i="13" s="1"/>
  <c r="X14" i="13"/>
  <c r="C14" i="13" s="1"/>
  <c r="X15" i="13"/>
  <c r="C15" i="13" s="1"/>
  <c r="X16" i="13"/>
  <c r="C16" i="13" s="1"/>
  <c r="X17" i="13"/>
  <c r="C17" i="13" s="1"/>
  <c r="X18" i="13"/>
  <c r="C18" i="13" s="1"/>
  <c r="X19" i="13"/>
  <c r="C19" i="13" s="1"/>
  <c r="X20" i="13"/>
  <c r="C20" i="13" s="1"/>
  <c r="X21" i="13"/>
  <c r="C21" i="13" s="1"/>
  <c r="X22" i="13"/>
  <c r="C22" i="13" s="1"/>
  <c r="X23" i="13"/>
  <c r="C23" i="13" s="1"/>
  <c r="X24" i="13"/>
  <c r="C24" i="13" s="1"/>
  <c r="X25" i="13"/>
  <c r="C25" i="13" s="1"/>
  <c r="X26" i="13"/>
  <c r="C26" i="13" s="1"/>
  <c r="X27" i="13"/>
  <c r="C27" i="13" s="1"/>
  <c r="X28" i="13"/>
  <c r="C28" i="13" s="1"/>
  <c r="X29" i="13"/>
  <c r="C29" i="13" s="1"/>
  <c r="X30" i="13"/>
  <c r="C30" i="13" s="1"/>
  <c r="X31" i="13"/>
  <c r="C31" i="13" s="1"/>
  <c r="X32" i="13"/>
  <c r="C32" i="13" s="1"/>
  <c r="X33" i="13"/>
  <c r="C33" i="13" s="1"/>
  <c r="X34" i="13"/>
  <c r="C34" i="13" s="1"/>
  <c r="X35" i="13"/>
  <c r="C35" i="13" s="1"/>
  <c r="X36" i="13"/>
  <c r="C36" i="13" s="1"/>
  <c r="X37" i="13"/>
  <c r="C37" i="13" s="1"/>
  <c r="X38" i="13"/>
  <c r="C38" i="13" s="1"/>
  <c r="X39" i="13"/>
  <c r="C39" i="13" s="1"/>
  <c r="X40" i="13"/>
  <c r="C40" i="13" s="1"/>
  <c r="X41" i="13"/>
  <c r="C41" i="13" s="1"/>
  <c r="X42" i="13"/>
  <c r="C42" i="13" s="1"/>
  <c r="X43" i="13"/>
  <c r="C43" i="13" s="1"/>
  <c r="X44" i="13"/>
  <c r="C44" i="13" s="1"/>
  <c r="X45" i="13"/>
  <c r="C45" i="13" s="1"/>
  <c r="X46" i="13"/>
  <c r="C46" i="13" s="1"/>
  <c r="X47" i="13"/>
  <c r="C47" i="13" s="1"/>
  <c r="X48" i="13"/>
  <c r="C48" i="13" s="1"/>
  <c r="X49" i="13"/>
  <c r="C49" i="13" s="1"/>
  <c r="X50" i="13"/>
  <c r="C50" i="13" s="1"/>
  <c r="X51" i="13"/>
  <c r="C51" i="13" s="1"/>
  <c r="X52" i="13"/>
  <c r="C52" i="13" s="1"/>
  <c r="X53" i="13"/>
  <c r="C53" i="13" s="1"/>
  <c r="X54" i="13"/>
  <c r="C54" i="13" s="1"/>
  <c r="X55" i="13"/>
  <c r="C55" i="13" s="1"/>
  <c r="X56" i="13"/>
  <c r="C56" i="13" s="1"/>
  <c r="X57" i="13"/>
  <c r="C57" i="13" s="1"/>
  <c r="X58" i="13"/>
  <c r="C58" i="13" s="1"/>
  <c r="X59" i="13"/>
  <c r="C59" i="13" s="1"/>
  <c r="X60" i="13"/>
  <c r="C60" i="13" s="1"/>
  <c r="X61" i="13"/>
  <c r="C61" i="13" s="1"/>
  <c r="X62" i="13"/>
  <c r="C62" i="13" s="1"/>
  <c r="X63" i="13"/>
  <c r="C63" i="13" s="1"/>
  <c r="X64" i="13"/>
  <c r="C64" i="13" s="1"/>
  <c r="X65" i="13"/>
  <c r="C65" i="13" s="1"/>
  <c r="X66" i="13"/>
  <c r="C66" i="13" s="1"/>
  <c r="X67" i="13"/>
  <c r="C67" i="13" s="1"/>
  <c r="X68" i="13"/>
  <c r="C68" i="13" s="1"/>
  <c r="X69" i="13"/>
  <c r="C69" i="13" s="1"/>
  <c r="X70" i="13"/>
  <c r="C70" i="13" s="1"/>
  <c r="X71" i="13"/>
  <c r="C71" i="13" s="1"/>
  <c r="X72" i="13"/>
  <c r="C72" i="13" s="1"/>
  <c r="X73" i="13"/>
  <c r="C73" i="13" s="1"/>
  <c r="X74" i="13"/>
  <c r="C74" i="13" s="1"/>
  <c r="X75" i="13"/>
  <c r="C75" i="13" s="1"/>
  <c r="X76" i="13"/>
  <c r="C76" i="13" s="1"/>
  <c r="X77" i="13"/>
  <c r="C77" i="13" s="1"/>
  <c r="X78" i="13"/>
  <c r="C78" i="13" s="1"/>
  <c r="X79" i="13"/>
  <c r="C79" i="13" s="1"/>
  <c r="X80" i="13"/>
  <c r="C80" i="13" s="1"/>
  <c r="X81" i="13"/>
  <c r="C81" i="13" s="1"/>
  <c r="X82" i="13"/>
  <c r="C82" i="13" s="1"/>
  <c r="X83" i="13"/>
  <c r="C83" i="13" s="1"/>
  <c r="X84" i="13"/>
  <c r="C84" i="13" s="1"/>
  <c r="P3" i="12"/>
  <c r="C3" i="12" s="1"/>
  <c r="P4" i="12"/>
  <c r="C4" i="12" s="1"/>
  <c r="P5" i="12"/>
  <c r="C5" i="12" s="1"/>
  <c r="P6" i="12"/>
  <c r="C6" i="12" s="1"/>
  <c r="P7" i="12"/>
  <c r="C7" i="12" s="1"/>
  <c r="P8" i="12"/>
  <c r="C8" i="12" s="1"/>
  <c r="P9" i="12"/>
  <c r="C9" i="12" s="1"/>
  <c r="P10" i="12"/>
  <c r="C10" i="12" s="1"/>
  <c r="P11" i="12"/>
  <c r="C11" i="12" s="1"/>
  <c r="P12" i="12"/>
  <c r="C12" i="12" s="1"/>
  <c r="P13" i="12"/>
  <c r="C13" i="12" s="1"/>
  <c r="P14" i="12"/>
  <c r="C14" i="12" s="1"/>
  <c r="P15" i="12"/>
  <c r="C15" i="12" s="1"/>
  <c r="P16" i="12"/>
  <c r="C16" i="12" s="1"/>
  <c r="P17" i="12"/>
  <c r="C17" i="12" s="1"/>
  <c r="P18" i="12"/>
  <c r="C18" i="12" s="1"/>
  <c r="P19" i="12"/>
  <c r="C19" i="12" s="1"/>
  <c r="P20" i="12"/>
  <c r="C20" i="12" s="1"/>
  <c r="P21" i="12"/>
  <c r="C21" i="12" s="1"/>
  <c r="P22" i="12"/>
  <c r="C22" i="12" s="1"/>
  <c r="P23" i="12"/>
  <c r="C23" i="12" s="1"/>
  <c r="P24" i="12"/>
  <c r="C24" i="12" s="1"/>
  <c r="P25" i="12"/>
  <c r="C25" i="12" s="1"/>
  <c r="P26" i="12"/>
  <c r="C26" i="12" s="1"/>
  <c r="P27" i="12"/>
  <c r="C27" i="12" s="1"/>
  <c r="P28" i="12"/>
  <c r="C28" i="12" s="1"/>
  <c r="P29" i="12"/>
  <c r="C29" i="12" s="1"/>
  <c r="P30" i="12"/>
  <c r="C30" i="12" s="1"/>
  <c r="P31" i="12"/>
  <c r="C31" i="12" s="1"/>
  <c r="P32" i="12"/>
  <c r="C32" i="12" s="1"/>
  <c r="P33" i="12"/>
  <c r="C33" i="12" s="1"/>
  <c r="P34" i="12"/>
  <c r="C34" i="12" s="1"/>
  <c r="P35" i="12"/>
  <c r="C35" i="12" s="1"/>
  <c r="P36" i="12"/>
  <c r="C36" i="12" s="1"/>
  <c r="P37" i="12"/>
  <c r="C37" i="12" s="1"/>
  <c r="P38" i="12"/>
  <c r="C38" i="12" s="1"/>
  <c r="P39" i="12"/>
  <c r="C39" i="12" s="1"/>
  <c r="P40" i="12"/>
  <c r="C40" i="12" s="1"/>
  <c r="P41" i="12"/>
  <c r="C41" i="12" s="1"/>
  <c r="P3" i="11"/>
  <c r="C3" i="11" s="1"/>
  <c r="P4" i="11"/>
  <c r="C4" i="11" s="1"/>
  <c r="P5" i="11"/>
  <c r="C5" i="11" s="1"/>
  <c r="P6" i="11"/>
  <c r="C6" i="11" s="1"/>
  <c r="P7" i="11"/>
  <c r="C7" i="11" s="1"/>
  <c r="P8" i="11"/>
  <c r="C8" i="11" s="1"/>
  <c r="P9" i="11"/>
  <c r="C9" i="11" s="1"/>
  <c r="P10" i="11"/>
  <c r="C10" i="11" s="1"/>
  <c r="P11" i="11"/>
  <c r="C11" i="11" s="1"/>
  <c r="P12" i="11"/>
  <c r="C12" i="11" s="1"/>
  <c r="P13" i="11"/>
  <c r="C13" i="11" s="1"/>
  <c r="P14" i="11"/>
  <c r="C14" i="11" s="1"/>
  <c r="P15" i="11"/>
  <c r="C15" i="11" s="1"/>
  <c r="P16" i="11"/>
  <c r="C16" i="11" s="1"/>
  <c r="P17" i="11"/>
  <c r="C17" i="11" s="1"/>
  <c r="P18" i="11"/>
  <c r="C18" i="11" s="1"/>
  <c r="P19" i="11"/>
  <c r="C19" i="11" s="1"/>
  <c r="P20" i="11"/>
  <c r="C20" i="11" s="1"/>
  <c r="P21" i="11"/>
  <c r="C21" i="11" s="1"/>
  <c r="P22" i="11"/>
  <c r="C22" i="11" s="1"/>
  <c r="P23" i="11"/>
  <c r="C23" i="11" s="1"/>
  <c r="P24" i="11"/>
  <c r="C24" i="11" s="1"/>
  <c r="P25" i="11"/>
  <c r="C25" i="11" s="1"/>
  <c r="P26" i="11"/>
  <c r="C26" i="11" s="1"/>
  <c r="P27" i="11"/>
  <c r="C27" i="11" s="1"/>
  <c r="P28" i="11"/>
  <c r="C28" i="11" s="1"/>
  <c r="P29" i="11"/>
  <c r="C29" i="11" s="1"/>
  <c r="P30" i="11"/>
  <c r="C30" i="11" s="1"/>
  <c r="P31" i="11"/>
  <c r="C31" i="11" s="1"/>
  <c r="P32" i="11"/>
  <c r="C32" i="11" s="1"/>
  <c r="P33" i="11"/>
  <c r="C33" i="11" s="1"/>
  <c r="P34" i="11"/>
  <c r="C34" i="11" s="1"/>
  <c r="P35" i="11"/>
  <c r="C35" i="11" s="1"/>
  <c r="P36" i="11"/>
  <c r="C36" i="11" s="1"/>
  <c r="P37" i="11"/>
  <c r="C37" i="11" s="1"/>
  <c r="P38" i="11"/>
  <c r="C38" i="11" s="1"/>
  <c r="P39" i="11"/>
  <c r="C39" i="11" s="1"/>
  <c r="P40" i="11"/>
  <c r="C40" i="11" s="1"/>
  <c r="P41" i="11"/>
  <c r="C41" i="11" s="1"/>
  <c r="P42" i="11"/>
  <c r="C42" i="11" s="1"/>
  <c r="P43" i="11"/>
  <c r="C43" i="11" s="1"/>
  <c r="P44" i="11"/>
  <c r="C44" i="11" s="1"/>
  <c r="P45" i="11"/>
  <c r="C45" i="11" s="1"/>
  <c r="P46" i="11"/>
  <c r="C46" i="11" s="1"/>
  <c r="P47" i="11"/>
  <c r="C47" i="11" s="1"/>
  <c r="P48" i="11"/>
  <c r="C48" i="11" s="1"/>
  <c r="P49" i="11"/>
  <c r="C49" i="11" s="1"/>
  <c r="P50" i="11"/>
  <c r="C50" i="11" s="1"/>
  <c r="P51" i="11"/>
  <c r="C51" i="11" s="1"/>
  <c r="P52" i="11"/>
  <c r="C52" i="11" s="1"/>
  <c r="P53" i="11"/>
  <c r="C53" i="11" s="1"/>
  <c r="P54" i="11"/>
  <c r="C54" i="11" s="1"/>
  <c r="P55" i="11"/>
  <c r="C55" i="11" s="1"/>
  <c r="P56" i="11"/>
  <c r="C56" i="11" s="1"/>
  <c r="P57" i="11"/>
  <c r="C57" i="11" s="1"/>
  <c r="P58" i="11"/>
  <c r="C58" i="11" s="1"/>
  <c r="P59" i="11"/>
  <c r="C59" i="11" s="1"/>
  <c r="P60" i="11"/>
  <c r="C60" i="11" s="1"/>
  <c r="P61" i="11"/>
  <c r="C61" i="11" s="1"/>
  <c r="P62" i="11"/>
  <c r="C62" i="11" s="1"/>
  <c r="P63" i="11"/>
  <c r="C63" i="11" s="1"/>
  <c r="P64" i="11"/>
  <c r="C64" i="11" s="1"/>
  <c r="P65" i="11"/>
  <c r="C65" i="11" s="1"/>
  <c r="P66" i="11"/>
  <c r="C66" i="11" s="1"/>
  <c r="P67" i="11"/>
  <c r="C67" i="11" s="1"/>
  <c r="P68" i="11"/>
  <c r="C68" i="11" s="1"/>
  <c r="P69" i="11"/>
  <c r="C69" i="11" s="1"/>
  <c r="P70" i="11"/>
  <c r="C70" i="11" s="1"/>
  <c r="P71" i="11"/>
  <c r="C71" i="11" s="1"/>
  <c r="S3" i="10"/>
  <c r="C3" i="10" s="1"/>
  <c r="S4" i="10"/>
  <c r="C4" i="10" s="1"/>
  <c r="S5" i="10"/>
  <c r="C5" i="10" s="1"/>
  <c r="S6" i="10"/>
  <c r="C6" i="10" s="1"/>
  <c r="S7" i="10"/>
  <c r="C7" i="10" s="1"/>
  <c r="S8" i="10"/>
  <c r="C8" i="10" s="1"/>
  <c r="S9" i="10"/>
  <c r="C9" i="10" s="1"/>
  <c r="S10" i="10"/>
  <c r="C10" i="10" s="1"/>
  <c r="S11" i="10"/>
  <c r="C11" i="10" s="1"/>
  <c r="U3" i="9"/>
  <c r="C3" i="9" s="1"/>
  <c r="U4" i="9"/>
  <c r="C4" i="9" s="1"/>
  <c r="U5" i="9"/>
  <c r="C5" i="9" s="1"/>
  <c r="U6" i="9"/>
  <c r="C6" i="9" s="1"/>
  <c r="U7" i="9"/>
  <c r="C7" i="9" s="1"/>
  <c r="U8" i="9"/>
  <c r="C8" i="9" s="1"/>
  <c r="U9" i="9"/>
  <c r="C9" i="9" s="1"/>
  <c r="U10" i="9"/>
  <c r="C10" i="9" s="1"/>
  <c r="U11" i="9"/>
  <c r="C11" i="9" s="1"/>
  <c r="U12" i="9"/>
  <c r="C12" i="9" s="1"/>
  <c r="U13" i="9"/>
  <c r="C13" i="9" s="1"/>
  <c r="U14" i="9"/>
  <c r="C14" i="9" s="1"/>
  <c r="U15" i="9"/>
  <c r="C15" i="9" s="1"/>
  <c r="U16" i="9"/>
  <c r="C16" i="9" s="1"/>
  <c r="U17" i="9"/>
  <c r="C17" i="9" s="1"/>
  <c r="U18" i="9"/>
  <c r="C18" i="9" s="1"/>
  <c r="U19" i="9"/>
  <c r="C19" i="9" s="1"/>
  <c r="U20" i="9"/>
  <c r="C20" i="9" s="1"/>
  <c r="U21" i="9"/>
  <c r="C21" i="9" s="1"/>
  <c r="U22" i="9"/>
  <c r="C22" i="9" s="1"/>
  <c r="U23" i="9"/>
  <c r="C23" i="9" s="1"/>
  <c r="U24" i="9"/>
  <c r="C24" i="9" s="1"/>
  <c r="U25" i="9"/>
  <c r="C25" i="9" s="1"/>
  <c r="U26" i="9"/>
  <c r="C26" i="9" s="1"/>
  <c r="U27" i="9"/>
  <c r="C27" i="9" s="1"/>
  <c r="U28" i="9"/>
  <c r="C28" i="9" s="1"/>
  <c r="U29" i="9"/>
  <c r="C29" i="9" s="1"/>
  <c r="U30" i="9"/>
  <c r="C30" i="9" s="1"/>
  <c r="U31" i="9"/>
  <c r="C31" i="9" s="1"/>
  <c r="U32" i="9"/>
  <c r="C32" i="9" s="1"/>
  <c r="U33" i="9"/>
  <c r="C33" i="9" s="1"/>
  <c r="U34" i="9"/>
  <c r="C34" i="9" s="1"/>
  <c r="U35" i="9"/>
  <c r="C35" i="9" s="1"/>
  <c r="U36" i="9"/>
  <c r="C36" i="9" s="1"/>
  <c r="U37" i="9"/>
  <c r="C37" i="9" s="1"/>
  <c r="U38" i="9"/>
  <c r="C38" i="9" s="1"/>
  <c r="U39" i="9"/>
  <c r="C39" i="9" s="1"/>
  <c r="U40" i="9"/>
  <c r="C40" i="9" s="1"/>
  <c r="U41" i="9"/>
  <c r="C41" i="9" s="1"/>
  <c r="U42" i="9"/>
  <c r="C42" i="9" s="1"/>
  <c r="U43" i="9"/>
  <c r="C43" i="9" s="1"/>
  <c r="U44" i="9"/>
  <c r="C44" i="9" s="1"/>
  <c r="U45" i="9"/>
  <c r="C45" i="9" s="1"/>
  <c r="U46" i="9"/>
  <c r="C46" i="9" s="1"/>
  <c r="U47" i="9"/>
  <c r="C47" i="9" s="1"/>
  <c r="U48" i="9"/>
  <c r="C48" i="9" s="1"/>
  <c r="U49" i="9"/>
  <c r="C49" i="9" s="1"/>
  <c r="U50" i="9"/>
  <c r="C50" i="9" s="1"/>
  <c r="U51" i="9"/>
  <c r="C51" i="9" s="1"/>
  <c r="S3" i="8"/>
  <c r="C3" i="8" s="1"/>
  <c r="S4" i="8"/>
  <c r="C4" i="8" s="1"/>
  <c r="S5" i="8"/>
  <c r="C5" i="8" s="1"/>
  <c r="S6" i="8"/>
  <c r="C6" i="8" s="1"/>
  <c r="S7" i="8"/>
  <c r="C7" i="8" s="1"/>
  <c r="S8" i="8"/>
  <c r="C8" i="8" s="1"/>
  <c r="S9" i="8"/>
  <c r="C9" i="8" s="1"/>
  <c r="S10" i="8"/>
  <c r="C10" i="8" s="1"/>
  <c r="S11" i="8"/>
  <c r="C11" i="8" s="1"/>
  <c r="S12" i="8"/>
  <c r="C12" i="8" s="1"/>
  <c r="S13" i="8"/>
  <c r="C13" i="8" s="1"/>
  <c r="S14" i="8"/>
  <c r="C14" i="8" s="1"/>
  <c r="S15" i="8"/>
  <c r="C15" i="8" s="1"/>
  <c r="S16" i="8"/>
  <c r="C16" i="8" s="1"/>
  <c r="S17" i="8"/>
  <c r="C17" i="8" s="1"/>
  <c r="S18" i="8"/>
  <c r="C18" i="8" s="1"/>
  <c r="S19" i="8"/>
  <c r="C19" i="8" s="1"/>
  <c r="S20" i="8"/>
  <c r="C20" i="8" s="1"/>
  <c r="S21" i="8"/>
  <c r="C21" i="8" s="1"/>
  <c r="S22" i="8"/>
  <c r="C22" i="8" s="1"/>
  <c r="S23" i="8"/>
  <c r="C23" i="8" s="1"/>
  <c r="S24" i="8"/>
  <c r="C24" i="8" s="1"/>
  <c r="S25" i="8"/>
  <c r="C25" i="8" s="1"/>
  <c r="S26" i="8"/>
  <c r="C26" i="8" s="1"/>
  <c r="S27" i="8"/>
  <c r="C27" i="8" s="1"/>
  <c r="S28" i="8"/>
  <c r="C28" i="8" s="1"/>
  <c r="S29" i="8"/>
  <c r="C29" i="8" s="1"/>
  <c r="S30" i="8"/>
  <c r="C30" i="8" s="1"/>
  <c r="S31" i="8"/>
  <c r="C31" i="8" s="1"/>
  <c r="S32" i="8"/>
  <c r="C32" i="8" s="1"/>
  <c r="S33" i="8"/>
  <c r="C33" i="8" s="1"/>
  <c r="S34" i="8"/>
  <c r="C34" i="8" s="1"/>
  <c r="S35" i="8"/>
  <c r="C35" i="8" s="1"/>
  <c r="S36" i="8"/>
  <c r="C36" i="8" s="1"/>
  <c r="S37" i="8"/>
  <c r="C37" i="8" s="1"/>
  <c r="S38" i="8"/>
  <c r="C38" i="8" s="1"/>
  <c r="S39" i="8"/>
  <c r="C39" i="8" s="1"/>
  <c r="S40" i="8"/>
  <c r="C40" i="8" s="1"/>
  <c r="S41" i="8"/>
  <c r="C41" i="8" s="1"/>
  <c r="S42" i="8"/>
  <c r="C42" i="8" s="1"/>
  <c r="S43" i="8"/>
  <c r="C43" i="8" s="1"/>
  <c r="S44" i="8"/>
  <c r="C44" i="8" s="1"/>
  <c r="S45" i="8"/>
  <c r="C45" i="8" s="1"/>
  <c r="S46" i="8"/>
  <c r="C46" i="8" s="1"/>
  <c r="S47" i="8"/>
  <c r="C47" i="8" s="1"/>
  <c r="S48" i="8"/>
  <c r="C48" i="8" s="1"/>
  <c r="S49" i="8"/>
  <c r="C49" i="8" s="1"/>
  <c r="S50" i="8"/>
  <c r="C50" i="8" s="1"/>
  <c r="S51" i="8"/>
  <c r="C51" i="8" s="1"/>
  <c r="S52" i="8"/>
  <c r="C52" i="8" s="1"/>
  <c r="S53" i="8"/>
  <c r="C53" i="8" s="1"/>
  <c r="S54" i="8"/>
  <c r="C54" i="8" s="1"/>
  <c r="S55" i="8"/>
  <c r="C55" i="8" s="1"/>
  <c r="S56" i="8"/>
  <c r="C56" i="8" s="1"/>
  <c r="S57" i="8"/>
  <c r="C57" i="8" s="1"/>
  <c r="S58" i="8"/>
  <c r="C58" i="8" s="1"/>
  <c r="S59" i="8"/>
  <c r="C59" i="8" s="1"/>
  <c r="S60" i="8"/>
  <c r="C60" i="8" s="1"/>
  <c r="S61" i="8"/>
  <c r="C61" i="8" s="1"/>
  <c r="S62" i="8"/>
  <c r="C62" i="8" s="1"/>
  <c r="S63" i="8"/>
  <c r="C63" i="8" s="1"/>
  <c r="S64" i="8"/>
  <c r="C64" i="8" s="1"/>
  <c r="S65" i="8"/>
  <c r="C65" i="8" s="1"/>
  <c r="S66" i="8"/>
  <c r="C66" i="8" s="1"/>
  <c r="S67" i="8"/>
  <c r="C67" i="8" s="1"/>
  <c r="S68" i="8"/>
  <c r="C68" i="8" s="1"/>
  <c r="S69" i="8"/>
  <c r="C69" i="8" s="1"/>
  <c r="S70" i="8"/>
  <c r="C70" i="8" s="1"/>
  <c r="S71" i="8"/>
  <c r="C71" i="8" s="1"/>
  <c r="S72" i="8"/>
  <c r="C72" i="8" s="1"/>
  <c r="S73" i="8"/>
  <c r="C73" i="8" s="1"/>
  <c r="S74" i="8"/>
  <c r="C74" i="8" s="1"/>
  <c r="S75" i="8"/>
  <c r="C75" i="8" s="1"/>
  <c r="S76" i="8"/>
  <c r="C76" i="8" s="1"/>
  <c r="S77" i="8"/>
  <c r="C77" i="8" s="1"/>
  <c r="S78" i="8"/>
  <c r="C78" i="8" s="1"/>
  <c r="S79" i="8"/>
  <c r="C79" i="8" s="1"/>
  <c r="S80" i="8"/>
  <c r="C80" i="8" s="1"/>
  <c r="S81" i="8"/>
  <c r="C81" i="8" s="1"/>
  <c r="S82" i="8"/>
  <c r="C82" i="8" s="1"/>
  <c r="S83" i="8"/>
  <c r="C83" i="8" s="1"/>
  <c r="S84" i="8"/>
  <c r="C84" i="8" s="1"/>
  <c r="S85" i="8"/>
  <c r="C85" i="8" s="1"/>
  <c r="S86" i="8"/>
  <c r="C86" i="8" s="1"/>
  <c r="S87" i="8"/>
  <c r="C87" i="8" s="1"/>
  <c r="S88" i="8"/>
  <c r="C88" i="8" s="1"/>
  <c r="S89" i="8"/>
  <c r="C89" i="8" s="1"/>
  <c r="S90" i="8"/>
  <c r="C90" i="8" s="1"/>
  <c r="S91" i="8"/>
  <c r="C91" i="8" s="1"/>
  <c r="S92" i="8"/>
  <c r="C92" i="8" s="1"/>
  <c r="S93" i="8"/>
  <c r="C93" i="8" s="1"/>
  <c r="S94" i="8"/>
  <c r="C94" i="8" s="1"/>
  <c r="S95" i="8"/>
  <c r="C95" i="8" s="1"/>
  <c r="S96" i="8"/>
  <c r="C96" i="8" s="1"/>
  <c r="S97" i="8"/>
  <c r="C97" i="8" s="1"/>
  <c r="S98" i="8"/>
  <c r="C98" i="8" s="1"/>
  <c r="S99" i="8"/>
  <c r="C99" i="8" s="1"/>
  <c r="S100" i="8"/>
  <c r="C100" i="8" s="1"/>
  <c r="S101" i="8"/>
  <c r="C101" i="8" s="1"/>
  <c r="W3" i="16"/>
  <c r="C3" i="16" s="1"/>
  <c r="W4" i="16"/>
  <c r="C4" i="16" s="1"/>
  <c r="W5" i="16"/>
  <c r="C5" i="16" s="1"/>
  <c r="W6" i="16"/>
  <c r="C6" i="16" s="1"/>
  <c r="W7" i="16"/>
  <c r="C7" i="16" s="1"/>
  <c r="W8" i="16"/>
  <c r="C8" i="16" s="1"/>
  <c r="W9" i="16"/>
  <c r="C9" i="16" s="1"/>
  <c r="W10" i="16"/>
  <c r="C10" i="16" s="1"/>
  <c r="AD3" i="6"/>
  <c r="C3" i="6" s="1"/>
  <c r="AD4" i="6"/>
  <c r="C4" i="6" s="1"/>
  <c r="AD5" i="6"/>
  <c r="C5" i="6" s="1"/>
  <c r="AD6" i="6"/>
  <c r="C6" i="6" s="1"/>
  <c r="AD7" i="6"/>
  <c r="C7" i="6" s="1"/>
  <c r="AD8" i="6"/>
  <c r="C8" i="6" s="1"/>
  <c r="AD9" i="6"/>
  <c r="C9" i="6" s="1"/>
  <c r="AD10" i="6"/>
  <c r="C10" i="6" s="1"/>
  <c r="AD11" i="6"/>
  <c r="C11" i="6" s="1"/>
  <c r="AD12" i="6"/>
  <c r="C12" i="6" s="1"/>
  <c r="AD13" i="6"/>
  <c r="C13" i="6" s="1"/>
  <c r="AD14" i="6"/>
  <c r="C14" i="6" s="1"/>
  <c r="AD15" i="6"/>
  <c r="C15" i="6" s="1"/>
  <c r="AD16" i="6"/>
  <c r="C16" i="6" s="1"/>
  <c r="AD17" i="6"/>
  <c r="C17" i="6" s="1"/>
  <c r="AD18" i="6"/>
  <c r="C18" i="6" s="1"/>
  <c r="AD19" i="6"/>
  <c r="C19" i="6" s="1"/>
  <c r="AD20" i="6"/>
  <c r="C20" i="6" s="1"/>
  <c r="AD21" i="6"/>
  <c r="C21" i="6" s="1"/>
  <c r="W3" i="7"/>
  <c r="C3" i="7" s="1"/>
  <c r="W4" i="7"/>
  <c r="C4" i="7" s="1"/>
  <c r="W5" i="7"/>
  <c r="C5" i="7" s="1"/>
  <c r="W6" i="7"/>
  <c r="C6" i="7" s="1"/>
  <c r="W7" i="7"/>
  <c r="C7" i="7" s="1"/>
  <c r="W8" i="7"/>
  <c r="C8" i="7" s="1"/>
  <c r="W9" i="7"/>
  <c r="C9" i="7" s="1"/>
  <c r="W10" i="7"/>
  <c r="C10" i="7" s="1"/>
  <c r="W11" i="7"/>
  <c r="C11" i="7" s="1"/>
  <c r="W12" i="7"/>
  <c r="C12" i="7" s="1"/>
  <c r="W13" i="7"/>
  <c r="C13" i="7" s="1"/>
  <c r="W14" i="7"/>
  <c r="C14" i="7" s="1"/>
  <c r="W15" i="7"/>
  <c r="C15" i="7" s="1"/>
  <c r="W16" i="7"/>
  <c r="C16" i="7" s="1"/>
  <c r="W17" i="7"/>
  <c r="C17" i="7" s="1"/>
  <c r="W18" i="7"/>
  <c r="C18" i="7" s="1"/>
  <c r="W19" i="7"/>
  <c r="C19" i="7" s="1"/>
  <c r="W20" i="7"/>
  <c r="C20" i="7" s="1"/>
  <c r="W21" i="7"/>
  <c r="C21" i="7" s="1"/>
  <c r="W3" i="17"/>
  <c r="C3" i="17" s="1"/>
  <c r="W4" i="17"/>
  <c r="C4" i="17" s="1"/>
  <c r="W5" i="17"/>
  <c r="C5" i="17" s="1"/>
  <c r="W6" i="17"/>
  <c r="C6" i="17" s="1"/>
  <c r="W7" i="17"/>
  <c r="C7" i="17" s="1"/>
  <c r="W8" i="17"/>
  <c r="C8" i="17" s="1"/>
  <c r="W9" i="17"/>
  <c r="C9" i="17" s="1"/>
  <c r="W10" i="17"/>
  <c r="C10" i="17" s="1"/>
  <c r="W11" i="17"/>
  <c r="C11" i="17" s="1"/>
  <c r="W12" i="17"/>
  <c r="C12" i="17" s="1"/>
  <c r="W13" i="17"/>
  <c r="C13" i="17" s="1"/>
  <c r="W14" i="17"/>
  <c r="C14" i="17" s="1"/>
  <c r="W15" i="17"/>
  <c r="C15" i="17" s="1"/>
  <c r="W16" i="17"/>
  <c r="C16" i="17" s="1"/>
  <c r="W17" i="17"/>
  <c r="C17" i="17" s="1"/>
  <c r="W18" i="17"/>
  <c r="C18" i="17" s="1"/>
  <c r="W19" i="17"/>
  <c r="C19" i="17" s="1"/>
  <c r="W20" i="17"/>
  <c r="C20" i="17" s="1"/>
  <c r="W21" i="17"/>
  <c r="C21" i="17" s="1"/>
  <c r="S3" i="5"/>
  <c r="C3" i="5" s="1"/>
  <c r="S4" i="5"/>
  <c r="C4" i="5" s="1"/>
  <c r="S5" i="5"/>
  <c r="C5" i="5" s="1"/>
  <c r="S6" i="5"/>
  <c r="C6" i="5" s="1"/>
  <c r="S7" i="5"/>
  <c r="C7" i="5" s="1"/>
  <c r="S8" i="5"/>
  <c r="C8" i="5" s="1"/>
  <c r="S9" i="5"/>
  <c r="C9" i="5" s="1"/>
  <c r="S10" i="5"/>
  <c r="C10" i="5" s="1"/>
  <c r="S11" i="5"/>
  <c r="C11" i="5" s="1"/>
  <c r="S12" i="5"/>
  <c r="C12" i="5" s="1"/>
  <c r="S13" i="5"/>
  <c r="C13" i="5" s="1"/>
  <c r="S14" i="5"/>
  <c r="C14" i="5" s="1"/>
  <c r="S15" i="5"/>
  <c r="C15" i="5" s="1"/>
  <c r="S16" i="5"/>
  <c r="C16" i="5" s="1"/>
  <c r="S17" i="5"/>
  <c r="C17" i="5" s="1"/>
  <c r="S18" i="5"/>
  <c r="C18" i="5" s="1"/>
  <c r="S19" i="5"/>
  <c r="C19" i="5" s="1"/>
  <c r="S20" i="5"/>
  <c r="C20" i="5" s="1"/>
  <c r="S21" i="5"/>
  <c r="C21" i="5" s="1"/>
  <c r="S22" i="5"/>
  <c r="C22" i="5" s="1"/>
  <c r="S23" i="5"/>
  <c r="C23" i="5" s="1"/>
  <c r="S24" i="5"/>
  <c r="C24" i="5" s="1"/>
  <c r="S25" i="5"/>
  <c r="C25" i="5" s="1"/>
  <c r="S26" i="5"/>
  <c r="C26" i="5" s="1"/>
  <c r="S27" i="5"/>
  <c r="C27" i="5" s="1"/>
  <c r="S28" i="5"/>
  <c r="C28" i="5" s="1"/>
  <c r="S29" i="5"/>
  <c r="C29" i="5" s="1"/>
  <c r="S30" i="5"/>
  <c r="C30" i="5" s="1"/>
  <c r="S31" i="5"/>
  <c r="C31" i="5" s="1"/>
  <c r="S32" i="5"/>
  <c r="C32" i="5" s="1"/>
  <c r="S33" i="5"/>
  <c r="C33" i="5" s="1"/>
  <c r="S34" i="5"/>
  <c r="C34" i="5" s="1"/>
  <c r="S35" i="5"/>
  <c r="C35" i="5" s="1"/>
  <c r="S36" i="5"/>
  <c r="C36" i="5" s="1"/>
  <c r="S37" i="5"/>
  <c r="C37" i="5" s="1"/>
  <c r="S38" i="5"/>
  <c r="C38" i="5" s="1"/>
  <c r="S39" i="5"/>
  <c r="C39" i="5" s="1"/>
  <c r="S40" i="5"/>
  <c r="C40" i="5" s="1"/>
  <c r="S41" i="5"/>
  <c r="C41" i="5" s="1"/>
  <c r="S42" i="5"/>
  <c r="C42" i="5" s="1"/>
  <c r="S43" i="5"/>
  <c r="C43" i="5" s="1"/>
  <c r="S44" i="5"/>
  <c r="C44" i="5" s="1"/>
  <c r="S45" i="5"/>
  <c r="C45" i="5" s="1"/>
  <c r="S46" i="5"/>
  <c r="C46" i="5" s="1"/>
  <c r="S47" i="5"/>
  <c r="C47" i="5" s="1"/>
  <c r="S48" i="5"/>
  <c r="C48" i="5" s="1"/>
  <c r="S49" i="5"/>
  <c r="C49" i="5" s="1"/>
  <c r="S50" i="5"/>
  <c r="C50" i="5" s="1"/>
  <c r="S51" i="5"/>
  <c r="C51" i="5" s="1"/>
  <c r="Q3" i="4"/>
  <c r="C3" i="4" s="1"/>
  <c r="Q4" i="4"/>
  <c r="C4" i="4" s="1"/>
  <c r="Q5" i="4"/>
  <c r="C5" i="4" s="1"/>
  <c r="Q6" i="4"/>
  <c r="C6" i="4" s="1"/>
  <c r="Q7" i="4"/>
  <c r="C7" i="4" s="1"/>
  <c r="Q8" i="4"/>
  <c r="C8" i="4" s="1"/>
  <c r="Q9" i="4"/>
  <c r="C9" i="4" s="1"/>
  <c r="Q10" i="4"/>
  <c r="C10" i="4" s="1"/>
  <c r="Q11" i="4"/>
  <c r="C11" i="4" s="1"/>
  <c r="Q12" i="4"/>
  <c r="C12" i="4" s="1"/>
  <c r="Q13" i="4"/>
  <c r="C13" i="4" s="1"/>
  <c r="Q14" i="4"/>
  <c r="C14" i="4" s="1"/>
  <c r="Q15" i="4"/>
  <c r="C15" i="4" s="1"/>
  <c r="Q16" i="4"/>
  <c r="C16" i="4" s="1"/>
  <c r="Q17" i="4"/>
  <c r="C17" i="4" s="1"/>
  <c r="Q18" i="4"/>
  <c r="C18" i="4" s="1"/>
  <c r="Q19" i="4"/>
  <c r="C19" i="4" s="1"/>
  <c r="Q20" i="4"/>
  <c r="C20" i="4" s="1"/>
  <c r="Q21" i="4"/>
  <c r="C21" i="4" s="1"/>
  <c r="Q22" i="4"/>
  <c r="C22" i="4" s="1"/>
  <c r="Q23" i="4"/>
  <c r="C23" i="4" s="1"/>
  <c r="Q24" i="4"/>
  <c r="C24" i="4" s="1"/>
  <c r="Q25" i="4"/>
  <c r="C25" i="4" s="1"/>
  <c r="Q26" i="4"/>
  <c r="C26" i="4" s="1"/>
  <c r="Q27" i="4"/>
  <c r="C27" i="4" s="1"/>
  <c r="Q28" i="4"/>
  <c r="C28" i="4" s="1"/>
  <c r="Q29" i="4"/>
  <c r="C29" i="4" s="1"/>
  <c r="Q30" i="4"/>
  <c r="C30" i="4" s="1"/>
  <c r="Q31" i="4"/>
  <c r="C31" i="4" s="1"/>
  <c r="Q32" i="4"/>
  <c r="C32" i="4" s="1"/>
  <c r="Q33" i="4"/>
  <c r="C33" i="4" s="1"/>
  <c r="Q34" i="4"/>
  <c r="C34" i="4" s="1"/>
  <c r="Q35" i="4"/>
  <c r="C35" i="4" s="1"/>
  <c r="Q36" i="4"/>
  <c r="C36" i="4" s="1"/>
  <c r="Q37" i="4"/>
  <c r="C37" i="4" s="1"/>
  <c r="Q38" i="4"/>
  <c r="C38" i="4" s="1"/>
  <c r="Q39" i="4"/>
  <c r="C39" i="4" s="1"/>
  <c r="Q40" i="4"/>
  <c r="C40" i="4" s="1"/>
  <c r="Q41" i="4"/>
  <c r="C41" i="4" s="1"/>
  <c r="Q42" i="4"/>
  <c r="C42" i="4" s="1"/>
  <c r="Q43" i="4"/>
  <c r="C43" i="4" s="1"/>
  <c r="Q44" i="4"/>
  <c r="C44" i="4" s="1"/>
  <c r="Q45" i="4"/>
  <c r="C45" i="4" s="1"/>
  <c r="Q46" i="4"/>
  <c r="C46" i="4" s="1"/>
  <c r="Q47" i="4"/>
  <c r="C47" i="4" s="1"/>
  <c r="Q48" i="4"/>
  <c r="C48" i="4" s="1"/>
  <c r="Q49" i="4"/>
  <c r="C49" i="4" s="1"/>
  <c r="Q50" i="4"/>
  <c r="C50" i="4" s="1"/>
  <c r="Q51" i="4"/>
  <c r="C51" i="4" s="1"/>
  <c r="S3" i="3"/>
  <c r="C3" i="3" s="1"/>
  <c r="S4" i="3"/>
  <c r="C4" i="3" s="1"/>
  <c r="S5" i="3"/>
  <c r="C5" i="3" s="1"/>
  <c r="S6" i="3"/>
  <c r="C6" i="3" s="1"/>
  <c r="S7" i="3"/>
  <c r="C7" i="3" s="1"/>
  <c r="S8" i="3"/>
  <c r="C8" i="3" s="1"/>
  <c r="S9" i="3"/>
  <c r="C9" i="3" s="1"/>
  <c r="S10" i="3"/>
  <c r="C10" i="3" s="1"/>
  <c r="S11" i="3"/>
  <c r="C11" i="3" s="1"/>
  <c r="S12" i="3"/>
  <c r="C12" i="3" s="1"/>
  <c r="S13" i="3"/>
  <c r="C13" i="3" s="1"/>
  <c r="S14" i="3"/>
  <c r="C14" i="3" s="1"/>
  <c r="S15" i="3"/>
  <c r="C15" i="3" s="1"/>
  <c r="S16" i="3"/>
  <c r="C16" i="3" s="1"/>
  <c r="S17" i="3"/>
  <c r="C17" i="3" s="1"/>
  <c r="S18" i="3"/>
  <c r="C18" i="3" s="1"/>
  <c r="S19" i="3"/>
  <c r="C19" i="3" s="1"/>
  <c r="S20" i="3"/>
  <c r="C20" i="3" s="1"/>
  <c r="S21" i="3"/>
  <c r="C21" i="3" s="1"/>
  <c r="S22" i="3"/>
  <c r="C22" i="3" s="1"/>
  <c r="S23" i="3"/>
  <c r="C23" i="3" s="1"/>
  <c r="S24" i="3"/>
  <c r="C24" i="3" s="1"/>
  <c r="S25" i="3"/>
  <c r="C25" i="3" s="1"/>
  <c r="S26" i="3"/>
  <c r="C26" i="3" s="1"/>
  <c r="S27" i="3"/>
  <c r="C27" i="3" s="1"/>
  <c r="S28" i="3"/>
  <c r="C28" i="3" s="1"/>
  <c r="S29" i="3"/>
  <c r="C29" i="3" s="1"/>
  <c r="S30" i="3"/>
  <c r="C30" i="3" s="1"/>
  <c r="S31" i="3"/>
  <c r="C31" i="3" s="1"/>
  <c r="S32" i="3"/>
  <c r="C32" i="3" s="1"/>
  <c r="S33" i="3"/>
  <c r="C33" i="3" s="1"/>
  <c r="S34" i="3"/>
  <c r="C34" i="3" s="1"/>
  <c r="S35" i="3"/>
  <c r="C35" i="3" s="1"/>
  <c r="S36" i="3"/>
  <c r="C36" i="3" s="1"/>
  <c r="S37" i="3"/>
  <c r="C37" i="3" s="1"/>
  <c r="S38" i="3"/>
  <c r="C38" i="3" s="1"/>
  <c r="S39" i="3"/>
  <c r="C39" i="3" s="1"/>
  <c r="S40" i="3"/>
  <c r="C40" i="3" s="1"/>
  <c r="S41" i="3"/>
  <c r="C41" i="3" s="1"/>
  <c r="S42" i="3"/>
  <c r="C42" i="3" s="1"/>
  <c r="S43" i="3"/>
  <c r="C43" i="3" s="1"/>
  <c r="S44" i="3"/>
  <c r="C44" i="3" s="1"/>
  <c r="S45" i="3"/>
  <c r="C45" i="3" s="1"/>
  <c r="S46" i="3"/>
  <c r="C46" i="3" s="1"/>
  <c r="S47" i="3"/>
  <c r="C47" i="3" s="1"/>
  <c r="S48" i="3"/>
  <c r="C48" i="3" s="1"/>
  <c r="S49" i="3"/>
  <c r="C49" i="3" s="1"/>
  <c r="S50" i="3"/>
  <c r="C50" i="3" s="1"/>
  <c r="Q2" i="15"/>
  <c r="C2" i="15" s="1"/>
  <c r="R2" i="14"/>
  <c r="C2" i="14" s="1"/>
  <c r="X2" i="13"/>
  <c r="C2" i="13" s="1"/>
  <c r="P2" i="12"/>
  <c r="C2" i="12" s="1"/>
  <c r="P2" i="11"/>
  <c r="C2" i="11" s="1"/>
  <c r="S2" i="10"/>
  <c r="C2" i="10" s="1"/>
  <c r="U2" i="9"/>
  <c r="C2" i="9" s="1"/>
  <c r="S2" i="8"/>
  <c r="C2" i="8" s="1"/>
  <c r="W2" i="16"/>
  <c r="C2" i="16" s="1"/>
  <c r="AD2" i="6"/>
  <c r="C2" i="6" s="1"/>
  <c r="W2" i="7"/>
  <c r="C2" i="7" s="1"/>
  <c r="W2" i="17"/>
  <c r="C2" i="17" s="1"/>
  <c r="S2" i="5"/>
  <c r="C2" i="5" s="1"/>
  <c r="Q2" i="4"/>
  <c r="C2" i="4" s="1"/>
  <c r="S2" i="3"/>
  <c r="C2" i="3" s="1"/>
  <c r="R3" i="2"/>
  <c r="C3" i="2" s="1"/>
  <c r="R4" i="2"/>
  <c r="C4" i="2" s="1"/>
  <c r="R5" i="2"/>
  <c r="C5" i="2" s="1"/>
  <c r="R6" i="2"/>
  <c r="C6" i="2" s="1"/>
  <c r="R7" i="2"/>
  <c r="C7" i="2" s="1"/>
  <c r="R8" i="2"/>
  <c r="C8" i="2" s="1"/>
  <c r="R9" i="2"/>
  <c r="C9" i="2" s="1"/>
  <c r="R10" i="2"/>
  <c r="C10" i="2" s="1"/>
  <c r="R11" i="2"/>
  <c r="C11" i="2" s="1"/>
  <c r="R12" i="2"/>
  <c r="C12" i="2" s="1"/>
  <c r="R13" i="2"/>
  <c r="C13" i="2" s="1"/>
  <c r="R14" i="2"/>
  <c r="C14" i="2" s="1"/>
  <c r="R15" i="2"/>
  <c r="C15" i="2" s="1"/>
  <c r="R16" i="2"/>
  <c r="C16" i="2" s="1"/>
  <c r="R17" i="2"/>
  <c r="C17" i="2" s="1"/>
  <c r="R18" i="2"/>
  <c r="C18" i="2" s="1"/>
  <c r="R19" i="2"/>
  <c r="C19" i="2" s="1"/>
  <c r="R20" i="2"/>
  <c r="C20" i="2" s="1"/>
  <c r="R21" i="2"/>
  <c r="C21" i="2" s="1"/>
  <c r="R22" i="2"/>
  <c r="C22" i="2" s="1"/>
  <c r="R23" i="2"/>
  <c r="C23" i="2" s="1"/>
  <c r="R24" i="2"/>
  <c r="C24" i="2" s="1"/>
  <c r="R25" i="2"/>
  <c r="C25" i="2" s="1"/>
  <c r="R26" i="2"/>
  <c r="C26" i="2" s="1"/>
  <c r="R27" i="2"/>
  <c r="C27" i="2" s="1"/>
  <c r="R28" i="2"/>
  <c r="C28" i="2" s="1"/>
  <c r="R29" i="2"/>
  <c r="C29" i="2" s="1"/>
  <c r="R30" i="2"/>
  <c r="C30" i="2" s="1"/>
  <c r="R31" i="2"/>
  <c r="C31" i="2" s="1"/>
  <c r="R32" i="2"/>
  <c r="C32" i="2" s="1"/>
  <c r="R33" i="2"/>
  <c r="C33" i="2" s="1"/>
  <c r="R34" i="2"/>
  <c r="C34" i="2" s="1"/>
  <c r="R35" i="2"/>
  <c r="C35" i="2" s="1"/>
  <c r="R36" i="2"/>
  <c r="C36" i="2" s="1"/>
  <c r="R37" i="2"/>
  <c r="C37" i="2" s="1"/>
  <c r="R38" i="2"/>
  <c r="C38" i="2" s="1"/>
  <c r="R39" i="2"/>
  <c r="C39" i="2" s="1"/>
  <c r="R40" i="2"/>
  <c r="C40" i="2" s="1"/>
  <c r="R41" i="2"/>
  <c r="C41" i="2" s="1"/>
  <c r="R42" i="2"/>
  <c r="C42" i="2" s="1"/>
  <c r="R43" i="2"/>
  <c r="C43" i="2" s="1"/>
  <c r="R44" i="2"/>
  <c r="C44" i="2" s="1"/>
  <c r="R45" i="2"/>
  <c r="C45" i="2" s="1"/>
  <c r="R46" i="2"/>
  <c r="C46" i="2" s="1"/>
  <c r="R47" i="2"/>
  <c r="C47" i="2" s="1"/>
  <c r="R48" i="2"/>
  <c r="C48" i="2" s="1"/>
  <c r="R49" i="2"/>
  <c r="C49" i="2" s="1"/>
  <c r="R50" i="2"/>
  <c r="C50" i="2" s="1"/>
  <c r="R51" i="2"/>
  <c r="C51" i="2" s="1"/>
  <c r="R52" i="2"/>
  <c r="C52" i="2" s="1"/>
  <c r="R53" i="2"/>
  <c r="C53" i="2" s="1"/>
  <c r="R54" i="2"/>
  <c r="C54" i="2" s="1"/>
  <c r="R55" i="2"/>
  <c r="C55" i="2" s="1"/>
  <c r="R56" i="2"/>
  <c r="C56" i="2" s="1"/>
  <c r="R57" i="2"/>
  <c r="C57" i="2" s="1"/>
  <c r="R58" i="2"/>
  <c r="C58" i="2" s="1"/>
  <c r="R59" i="2"/>
  <c r="C59" i="2" s="1"/>
  <c r="R60" i="2"/>
  <c r="C60" i="2" s="1"/>
  <c r="R61" i="2"/>
  <c r="C61" i="2" s="1"/>
  <c r="R62" i="2"/>
  <c r="C62" i="2" s="1"/>
  <c r="R63" i="2"/>
  <c r="C63" i="2" s="1"/>
  <c r="R64" i="2"/>
  <c r="C64" i="2" s="1"/>
  <c r="R65" i="2"/>
  <c r="C65" i="2" s="1"/>
  <c r="R66" i="2"/>
  <c r="C66" i="2" s="1"/>
  <c r="R67" i="2"/>
  <c r="C67" i="2" s="1"/>
  <c r="R68" i="2"/>
  <c r="C68" i="2" s="1"/>
  <c r="R69" i="2"/>
  <c r="C69" i="2" s="1"/>
  <c r="R70" i="2"/>
  <c r="C70" i="2" s="1"/>
  <c r="R71" i="2"/>
  <c r="C71" i="2" s="1"/>
  <c r="R72" i="2"/>
  <c r="C72" i="2" s="1"/>
  <c r="R73" i="2"/>
  <c r="C73" i="2" s="1"/>
  <c r="R74" i="2"/>
  <c r="C74" i="2" s="1"/>
  <c r="R75" i="2"/>
  <c r="C75" i="2" s="1"/>
  <c r="R76" i="2"/>
  <c r="C76" i="2" s="1"/>
  <c r="R77" i="2"/>
  <c r="C77" i="2" s="1"/>
  <c r="R78" i="2"/>
  <c r="C78" i="2" s="1"/>
  <c r="R79" i="2"/>
  <c r="C79" i="2" s="1"/>
  <c r="R80" i="2"/>
  <c r="C80" i="2" s="1"/>
  <c r="R81" i="2"/>
  <c r="C81" i="2" s="1"/>
  <c r="R82" i="2"/>
  <c r="C82" i="2" s="1"/>
  <c r="R83" i="2"/>
  <c r="C83" i="2" s="1"/>
  <c r="R84" i="2"/>
  <c r="C84" i="2" s="1"/>
  <c r="R85" i="2"/>
  <c r="C85" i="2" s="1"/>
  <c r="R86" i="2"/>
  <c r="C86" i="2" s="1"/>
  <c r="R87" i="2"/>
  <c r="C87" i="2" s="1"/>
  <c r="R88" i="2"/>
  <c r="C88" i="2" s="1"/>
  <c r="R89" i="2"/>
  <c r="C89" i="2" s="1"/>
  <c r="R90" i="2"/>
  <c r="C90" i="2" s="1"/>
  <c r="R91" i="2"/>
  <c r="C91" i="2" s="1"/>
  <c r="R92" i="2"/>
  <c r="C92" i="2" s="1"/>
  <c r="R93" i="2"/>
  <c r="C93" i="2" s="1"/>
  <c r="R94" i="2"/>
  <c r="C94" i="2" s="1"/>
  <c r="R95" i="2"/>
  <c r="C95" i="2" s="1"/>
  <c r="R96" i="2"/>
  <c r="C96" i="2" s="1"/>
  <c r="R97" i="2"/>
  <c r="C97" i="2" s="1"/>
  <c r="R98" i="2"/>
  <c r="C98" i="2" s="1"/>
  <c r="R99" i="2"/>
  <c r="C99" i="2" s="1"/>
  <c r="R100" i="2"/>
  <c r="C100" i="2" s="1"/>
  <c r="R101" i="2"/>
  <c r="C101" i="2" s="1"/>
  <c r="R102" i="2"/>
  <c r="C102" i="2" s="1"/>
  <c r="R103" i="2"/>
  <c r="C103" i="2" s="1"/>
  <c r="R104" i="2"/>
  <c r="C104" i="2" s="1"/>
  <c r="R105" i="2"/>
  <c r="C105" i="2" s="1"/>
  <c r="R106" i="2"/>
  <c r="C106" i="2" s="1"/>
  <c r="R107" i="2"/>
  <c r="C107" i="2" s="1"/>
  <c r="R108" i="2"/>
  <c r="C108" i="2" s="1"/>
  <c r="R109" i="2"/>
  <c r="C109" i="2" s="1"/>
  <c r="R110" i="2"/>
  <c r="C110" i="2" s="1"/>
  <c r="R111" i="2"/>
  <c r="C111" i="2" s="1"/>
  <c r="R112" i="2"/>
  <c r="C112" i="2" s="1"/>
  <c r="R113" i="2"/>
  <c r="C113" i="2" s="1"/>
  <c r="R114" i="2"/>
  <c r="C114" i="2" s="1"/>
  <c r="R115" i="2"/>
  <c r="C115" i="2" s="1"/>
  <c r="R116" i="2"/>
  <c r="C116" i="2" s="1"/>
  <c r="R117" i="2"/>
  <c r="C117" i="2" s="1"/>
  <c r="R118" i="2"/>
  <c r="C118" i="2" s="1"/>
  <c r="R119" i="2"/>
  <c r="C119" i="2" s="1"/>
  <c r="R120" i="2"/>
  <c r="C120" i="2" s="1"/>
  <c r="R121" i="2"/>
  <c r="C121" i="2" s="1"/>
  <c r="R122" i="2"/>
  <c r="C122" i="2" s="1"/>
  <c r="R123" i="2"/>
  <c r="C123" i="2" s="1"/>
  <c r="R124" i="2"/>
  <c r="C124" i="2" s="1"/>
  <c r="R125" i="2"/>
  <c r="C125" i="2" s="1"/>
  <c r="R126" i="2"/>
  <c r="C126" i="2" s="1"/>
  <c r="R127" i="2"/>
  <c r="C127" i="2" s="1"/>
  <c r="R128" i="2"/>
  <c r="C128" i="2" s="1"/>
  <c r="R129" i="2"/>
  <c r="C129" i="2" s="1"/>
  <c r="R130" i="2"/>
  <c r="C130" i="2" s="1"/>
  <c r="R131" i="2"/>
  <c r="C131" i="2" s="1"/>
  <c r="R132" i="2"/>
  <c r="C132" i="2" s="1"/>
  <c r="R133" i="2"/>
  <c r="C133" i="2" s="1"/>
  <c r="R134" i="2"/>
  <c r="C134" i="2" s="1"/>
  <c r="R135" i="2"/>
  <c r="C135" i="2" s="1"/>
  <c r="R136" i="2"/>
  <c r="C136" i="2" s="1"/>
  <c r="R137" i="2"/>
  <c r="C137" i="2" s="1"/>
  <c r="R138" i="2"/>
  <c r="C138" i="2" s="1"/>
  <c r="R139" i="2"/>
  <c r="C139" i="2" s="1"/>
  <c r="R140" i="2"/>
  <c r="C140" i="2" s="1"/>
  <c r="R141" i="2"/>
  <c r="C141" i="2" s="1"/>
  <c r="R142" i="2"/>
  <c r="C142" i="2" s="1"/>
  <c r="R143" i="2"/>
  <c r="C143" i="2" s="1"/>
  <c r="R144" i="2"/>
  <c r="C144" i="2" s="1"/>
  <c r="R145" i="2"/>
  <c r="C145" i="2" s="1"/>
  <c r="R146" i="2"/>
  <c r="C146" i="2" s="1"/>
  <c r="R147" i="2"/>
  <c r="C147" i="2" s="1"/>
  <c r="R148" i="2"/>
  <c r="C148" i="2" s="1"/>
  <c r="R149" i="2"/>
  <c r="C149" i="2" s="1"/>
  <c r="R150" i="2"/>
  <c r="C150" i="2" s="1"/>
  <c r="R2" i="2"/>
  <c r="C2" i="2" s="1"/>
  <c r="AE3" i="19"/>
  <c r="C3" i="19" s="1"/>
  <c r="AE4" i="19"/>
  <c r="C4" i="19" s="1"/>
  <c r="AE5" i="19"/>
  <c r="C5" i="19" s="1"/>
  <c r="AE6" i="19"/>
  <c r="C6" i="19" s="1"/>
  <c r="AE7" i="19"/>
  <c r="C7" i="19" s="1"/>
  <c r="AE8" i="19"/>
  <c r="C8" i="19" s="1"/>
  <c r="AE9" i="19"/>
  <c r="C9" i="19" s="1"/>
  <c r="AE10" i="19"/>
  <c r="C10" i="19" s="1"/>
  <c r="AE11" i="19"/>
  <c r="C11" i="19" s="1"/>
  <c r="AE12" i="19"/>
  <c r="C12" i="19" s="1"/>
  <c r="AE13" i="19"/>
  <c r="C13" i="19" s="1"/>
  <c r="AE14" i="19"/>
  <c r="C14" i="19" s="1"/>
  <c r="AE15" i="19"/>
  <c r="C15" i="19" s="1"/>
  <c r="AE16" i="19"/>
  <c r="C16" i="19" s="1"/>
  <c r="AE17" i="19"/>
  <c r="C17" i="19" s="1"/>
  <c r="AE18" i="19"/>
  <c r="C18" i="19" s="1"/>
  <c r="AE19" i="19"/>
  <c r="C19" i="19" s="1"/>
  <c r="AE20" i="19"/>
  <c r="C20" i="19" s="1"/>
  <c r="AE21" i="19"/>
  <c r="C21" i="19" s="1"/>
  <c r="AE22" i="19"/>
  <c r="C22" i="19" s="1"/>
  <c r="AE23" i="19"/>
  <c r="C23" i="19" s="1"/>
  <c r="AE24" i="19"/>
  <c r="C24" i="19" s="1"/>
  <c r="AE25" i="19"/>
  <c r="C25" i="19" s="1"/>
  <c r="AE26" i="19"/>
  <c r="C26" i="19" s="1"/>
  <c r="AE27" i="19"/>
  <c r="C27" i="19" s="1"/>
  <c r="AE28" i="19"/>
  <c r="C28" i="19" s="1"/>
  <c r="AE29" i="19"/>
  <c r="C29" i="19" s="1"/>
  <c r="AE30" i="19"/>
  <c r="C30" i="19" s="1"/>
  <c r="AE31" i="19"/>
  <c r="C31" i="19" s="1"/>
  <c r="AE32" i="19"/>
  <c r="C32" i="19" s="1"/>
  <c r="AE33" i="19"/>
  <c r="C33" i="19" s="1"/>
  <c r="AE34" i="19"/>
  <c r="C34" i="19" s="1"/>
  <c r="AE35" i="19"/>
  <c r="C35" i="19" s="1"/>
  <c r="AE36" i="19"/>
  <c r="C36" i="19" s="1"/>
  <c r="AE37" i="19"/>
  <c r="C37" i="19" s="1"/>
  <c r="AE38" i="19"/>
  <c r="C38" i="19" s="1"/>
  <c r="AE39" i="19"/>
  <c r="C39" i="19" s="1"/>
  <c r="AE40" i="19"/>
  <c r="C40" i="19" s="1"/>
  <c r="AE41" i="19"/>
  <c r="C41" i="19" s="1"/>
  <c r="AE42" i="19"/>
  <c r="C42" i="19" s="1"/>
  <c r="AE43" i="19"/>
  <c r="C43" i="19" s="1"/>
  <c r="AE44" i="19"/>
  <c r="C44" i="19" s="1"/>
  <c r="AE45" i="19"/>
  <c r="C45" i="19" s="1"/>
  <c r="AE46" i="19"/>
  <c r="C46" i="19" s="1"/>
  <c r="AE47" i="19"/>
  <c r="C47" i="19" s="1"/>
  <c r="AE48" i="19"/>
  <c r="C48" i="19" s="1"/>
  <c r="AE49" i="19"/>
  <c r="C49" i="19" s="1"/>
  <c r="AE50" i="19"/>
  <c r="C50" i="19" s="1"/>
  <c r="AE51" i="19"/>
  <c r="C51" i="19" s="1"/>
  <c r="AE2" i="19"/>
  <c r="C2" i="19" s="1"/>
  <c r="AE10" i="16" l="1"/>
  <c r="AE9" i="16"/>
  <c r="AE8" i="16"/>
  <c r="AE7" i="16"/>
  <c r="AE6" i="16"/>
  <c r="AE5" i="16"/>
  <c r="AE4" i="16"/>
  <c r="AE3" i="16"/>
  <c r="AE2" i="16"/>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 i="24"/>
  <c r="AJ820" i="1" l="1"/>
  <c r="AJ819" i="1"/>
  <c r="AJ818" i="1"/>
  <c r="AJ817" i="1"/>
  <c r="AJ816" i="1"/>
  <c r="AJ815" i="1"/>
  <c r="AJ814" i="1"/>
  <c r="AJ813" i="1"/>
  <c r="AJ812" i="1"/>
  <c r="AJ811" i="1"/>
  <c r="AJ810" i="1"/>
  <c r="AJ809" i="1"/>
  <c r="AJ808" i="1"/>
  <c r="AJ807" i="1"/>
  <c r="AJ806" i="1"/>
  <c r="AJ805" i="1"/>
  <c r="AJ804" i="1"/>
  <c r="AJ803" i="1"/>
  <c r="AJ802" i="1"/>
  <c r="AJ801" i="1"/>
  <c r="AJ800" i="1"/>
  <c r="AJ799" i="1"/>
  <c r="AJ798" i="1"/>
  <c r="AJ797" i="1"/>
  <c r="AJ796" i="1"/>
  <c r="AJ795" i="1"/>
  <c r="AJ794" i="1"/>
  <c r="AJ793" i="1"/>
  <c r="AJ792" i="1"/>
  <c r="AJ791" i="1"/>
  <c r="AJ790" i="1"/>
  <c r="AJ789" i="1"/>
  <c r="AJ788" i="1"/>
  <c r="AJ787" i="1"/>
  <c r="AJ786" i="1"/>
  <c r="AJ785" i="1"/>
  <c r="AJ784" i="1"/>
  <c r="AJ783" i="1"/>
  <c r="AJ782" i="1"/>
  <c r="AJ781" i="1"/>
  <c r="AJ780" i="1"/>
  <c r="AJ779" i="1"/>
  <c r="AJ778" i="1"/>
  <c r="AJ777" i="1"/>
  <c r="AJ776" i="1"/>
  <c r="AJ775" i="1"/>
  <c r="AJ774" i="1"/>
  <c r="AJ773" i="1"/>
  <c r="AJ772" i="1"/>
  <c r="AJ771" i="1"/>
  <c r="AJ770" i="1"/>
  <c r="AJ769" i="1"/>
  <c r="AJ768" i="1"/>
  <c r="AJ767" i="1"/>
  <c r="AJ766" i="1"/>
  <c r="AJ765" i="1"/>
  <c r="AJ764" i="1"/>
  <c r="AJ763" i="1"/>
  <c r="AJ762" i="1"/>
  <c r="AJ761" i="1"/>
  <c r="AJ760" i="1"/>
  <c r="AJ759" i="1"/>
  <c r="AJ758" i="1"/>
  <c r="AJ757" i="1"/>
  <c r="AJ756" i="1"/>
  <c r="AJ755" i="1"/>
  <c r="AJ754" i="1"/>
  <c r="AJ753" i="1"/>
  <c r="AJ752" i="1"/>
  <c r="AJ751" i="1"/>
  <c r="AJ750" i="1"/>
  <c r="AJ749" i="1"/>
  <c r="AJ748" i="1"/>
  <c r="AJ747" i="1"/>
  <c r="AJ746" i="1"/>
  <c r="AJ745" i="1"/>
  <c r="AJ744" i="1"/>
  <c r="AJ743" i="1"/>
  <c r="AJ742" i="1"/>
  <c r="AJ741" i="1"/>
  <c r="AJ740" i="1"/>
  <c r="AJ739" i="1"/>
  <c r="AJ738" i="1"/>
  <c r="AJ737" i="1"/>
  <c r="AJ736" i="1"/>
  <c r="AJ735" i="1"/>
  <c r="AJ734" i="1"/>
  <c r="AJ733" i="1"/>
  <c r="AJ732" i="1"/>
  <c r="AJ731" i="1"/>
  <c r="AJ730" i="1"/>
  <c r="AJ729" i="1"/>
  <c r="AJ728" i="1"/>
  <c r="AJ727" i="1"/>
  <c r="AJ726" i="1"/>
  <c r="AJ725" i="1"/>
  <c r="AJ724" i="1"/>
  <c r="AJ723" i="1"/>
  <c r="AJ722" i="1"/>
  <c r="AJ721" i="1"/>
  <c r="AJ720" i="1"/>
  <c r="AJ719" i="1"/>
  <c r="AJ718" i="1"/>
  <c r="AJ717" i="1"/>
  <c r="AJ716" i="1"/>
  <c r="AJ715" i="1"/>
  <c r="AJ714" i="1"/>
  <c r="AJ713" i="1"/>
  <c r="AJ712" i="1"/>
  <c r="AJ711" i="1"/>
  <c r="AJ710" i="1"/>
  <c r="AJ709" i="1"/>
  <c r="AJ708" i="1"/>
  <c r="AJ707" i="1"/>
  <c r="AJ706" i="1"/>
  <c r="AJ705" i="1"/>
  <c r="AJ704" i="1"/>
  <c r="AJ703" i="1"/>
  <c r="AJ702" i="1"/>
  <c r="AJ701" i="1"/>
  <c r="AJ700" i="1"/>
  <c r="AJ699" i="1"/>
  <c r="AJ698" i="1"/>
  <c r="AJ697" i="1"/>
  <c r="AJ696" i="1"/>
  <c r="AJ695" i="1"/>
  <c r="AJ694" i="1"/>
  <c r="AJ693" i="1"/>
  <c r="AJ692" i="1"/>
  <c r="AJ691" i="1"/>
  <c r="AJ690" i="1"/>
  <c r="AJ689" i="1"/>
  <c r="AJ688" i="1"/>
  <c r="AJ687" i="1"/>
  <c r="AJ686" i="1"/>
  <c r="AJ685" i="1"/>
  <c r="AJ684" i="1"/>
  <c r="AJ683" i="1"/>
  <c r="AJ682" i="1"/>
  <c r="AJ681" i="1"/>
  <c r="AJ680" i="1"/>
  <c r="AJ679" i="1"/>
  <c r="AJ678" i="1"/>
  <c r="AJ677" i="1"/>
  <c r="AJ676" i="1"/>
  <c r="AJ675" i="1"/>
  <c r="AJ674" i="1"/>
  <c r="AJ673" i="1"/>
  <c r="AJ672" i="1"/>
  <c r="AJ671" i="1"/>
  <c r="AJ670" i="1"/>
  <c r="AJ669" i="1"/>
  <c r="AJ668" i="1"/>
  <c r="AJ667" i="1"/>
  <c r="AJ666" i="1"/>
  <c r="AJ665" i="1"/>
  <c r="AJ664" i="1"/>
  <c r="AJ663" i="1"/>
  <c r="AJ662" i="1"/>
  <c r="AJ661" i="1"/>
  <c r="AJ660" i="1"/>
  <c r="AJ659" i="1"/>
  <c r="AJ658" i="1"/>
  <c r="AJ657" i="1"/>
  <c r="AJ656" i="1"/>
  <c r="AJ655" i="1"/>
  <c r="AJ654" i="1"/>
  <c r="AJ653" i="1"/>
  <c r="AJ652" i="1"/>
  <c r="AJ651" i="1"/>
  <c r="AJ650" i="1"/>
  <c r="AJ649" i="1"/>
  <c r="AJ648" i="1"/>
  <c r="AJ647" i="1"/>
  <c r="AJ646" i="1"/>
  <c r="AJ645" i="1"/>
  <c r="AJ644" i="1"/>
  <c r="AJ643" i="1"/>
  <c r="AJ642" i="1"/>
  <c r="AJ641" i="1"/>
  <c r="AJ640" i="1"/>
  <c r="AJ639" i="1"/>
  <c r="AJ638" i="1"/>
  <c r="AJ637" i="1"/>
  <c r="AJ636" i="1"/>
  <c r="AJ635" i="1"/>
  <c r="AJ634" i="1"/>
  <c r="AJ633" i="1"/>
  <c r="AJ632" i="1"/>
  <c r="AJ631" i="1"/>
  <c r="AJ630" i="1"/>
  <c r="AJ629" i="1"/>
  <c r="AJ628" i="1"/>
  <c r="AJ627" i="1"/>
  <c r="AJ626" i="1"/>
  <c r="AJ625" i="1"/>
  <c r="AJ624" i="1"/>
  <c r="AJ623" i="1"/>
  <c r="AJ622" i="1"/>
  <c r="AJ621" i="1"/>
  <c r="AJ620" i="1"/>
  <c r="AJ619" i="1"/>
  <c r="AJ618" i="1"/>
  <c r="AJ617" i="1"/>
  <c r="AJ616" i="1"/>
  <c r="AJ615" i="1"/>
  <c r="AJ614" i="1"/>
  <c r="AJ613" i="1"/>
  <c r="AJ612" i="1"/>
  <c r="AJ611" i="1"/>
  <c r="AJ610" i="1"/>
  <c r="AJ609" i="1"/>
  <c r="AJ608" i="1"/>
  <c r="AJ607" i="1"/>
  <c r="AJ606" i="1"/>
  <c r="AJ605" i="1"/>
  <c r="AJ604" i="1"/>
  <c r="AJ603" i="1"/>
  <c r="AJ602" i="1"/>
  <c r="AJ601" i="1"/>
  <c r="AJ600" i="1"/>
  <c r="AJ599" i="1"/>
  <c r="AJ598" i="1"/>
  <c r="AJ597" i="1"/>
  <c r="AJ596" i="1"/>
  <c r="AJ595" i="1"/>
  <c r="AJ594" i="1"/>
  <c r="AJ593" i="1"/>
  <c r="AJ592" i="1"/>
  <c r="AJ591" i="1"/>
  <c r="AJ590" i="1"/>
  <c r="AJ589" i="1"/>
  <c r="AJ588" i="1"/>
  <c r="AJ587" i="1"/>
  <c r="AJ586" i="1"/>
  <c r="AJ585" i="1"/>
  <c r="AJ584" i="1"/>
  <c r="AJ583" i="1"/>
  <c r="AJ582" i="1"/>
  <c r="AJ581" i="1"/>
  <c r="AJ580" i="1"/>
  <c r="AJ579" i="1"/>
  <c r="AJ578" i="1"/>
  <c r="AJ577" i="1"/>
  <c r="AJ576" i="1"/>
  <c r="AJ575" i="1"/>
  <c r="AJ574" i="1"/>
  <c r="AJ573" i="1"/>
  <c r="AJ572" i="1"/>
  <c r="AJ571" i="1"/>
  <c r="AJ570" i="1"/>
  <c r="AJ569" i="1"/>
  <c r="AJ568" i="1"/>
  <c r="AJ567" i="1"/>
  <c r="AJ566" i="1"/>
  <c r="AJ565" i="1"/>
  <c r="AJ564" i="1"/>
  <c r="AJ563" i="1"/>
  <c r="AJ562" i="1"/>
  <c r="AJ561" i="1"/>
  <c r="AJ560" i="1"/>
  <c r="AJ559" i="1"/>
  <c r="AJ558" i="1"/>
  <c r="AJ557" i="1"/>
  <c r="AJ556" i="1"/>
  <c r="AJ555" i="1"/>
  <c r="AJ554" i="1"/>
  <c r="AJ553" i="1"/>
  <c r="AJ552" i="1"/>
  <c r="AJ551" i="1"/>
  <c r="AJ550" i="1"/>
  <c r="AJ549" i="1"/>
  <c r="AJ548" i="1"/>
  <c r="AJ547" i="1"/>
  <c r="AJ546" i="1"/>
  <c r="AJ545" i="1"/>
  <c r="AJ544" i="1"/>
  <c r="AJ543" i="1"/>
  <c r="AJ542" i="1"/>
  <c r="AJ541" i="1"/>
  <c r="AJ540" i="1"/>
  <c r="AJ539" i="1"/>
  <c r="AJ538" i="1"/>
  <c r="AJ537" i="1"/>
  <c r="AJ536" i="1"/>
  <c r="AJ535" i="1"/>
  <c r="AJ534" i="1"/>
  <c r="AJ533" i="1"/>
  <c r="AJ532" i="1"/>
  <c r="AJ531" i="1"/>
  <c r="AJ530" i="1"/>
  <c r="AJ529" i="1"/>
  <c r="AJ528" i="1"/>
  <c r="AJ527" i="1"/>
  <c r="AJ526" i="1"/>
  <c r="AJ525" i="1"/>
  <c r="AJ524" i="1"/>
  <c r="AJ523" i="1"/>
  <c r="AJ522" i="1"/>
  <c r="AJ521" i="1"/>
  <c r="AJ520" i="1"/>
  <c r="AJ519" i="1"/>
  <c r="AJ518" i="1"/>
  <c r="AJ517" i="1"/>
  <c r="AJ516" i="1"/>
  <c r="AJ515" i="1"/>
  <c r="AJ514" i="1"/>
  <c r="AJ513" i="1"/>
  <c r="AJ512" i="1"/>
  <c r="AJ511" i="1"/>
  <c r="AJ510" i="1"/>
  <c r="AJ509" i="1"/>
  <c r="AJ508" i="1"/>
  <c r="AJ507" i="1"/>
  <c r="AJ506" i="1"/>
  <c r="AJ505" i="1"/>
  <c r="AJ504" i="1"/>
  <c r="AJ503" i="1"/>
  <c r="AJ502" i="1"/>
  <c r="AJ501" i="1"/>
  <c r="AJ500" i="1"/>
  <c r="AJ499" i="1"/>
  <c r="AJ498" i="1"/>
  <c r="AJ497" i="1"/>
  <c r="AJ496" i="1"/>
  <c r="AJ495" i="1"/>
  <c r="AJ494" i="1"/>
  <c r="AJ493" i="1"/>
  <c r="AJ492" i="1"/>
  <c r="AJ491" i="1"/>
  <c r="AJ490" i="1"/>
  <c r="AJ489" i="1"/>
  <c r="AJ488" i="1"/>
  <c r="AJ487" i="1"/>
  <c r="AJ486" i="1"/>
  <c r="AJ485" i="1"/>
  <c r="AJ484" i="1"/>
  <c r="AJ483" i="1"/>
  <c r="AJ482" i="1"/>
  <c r="AJ481" i="1"/>
  <c r="AJ480" i="1"/>
  <c r="AJ479" i="1"/>
  <c r="AJ478" i="1"/>
  <c r="AJ477" i="1"/>
  <c r="AJ476" i="1"/>
  <c r="AJ475" i="1"/>
  <c r="AJ474" i="1"/>
  <c r="AJ473" i="1"/>
  <c r="AJ472" i="1"/>
  <c r="AJ471" i="1"/>
  <c r="AJ470" i="1"/>
  <c r="AJ469" i="1"/>
  <c r="AJ468" i="1"/>
  <c r="AJ467" i="1"/>
  <c r="AJ466" i="1"/>
  <c r="AJ465" i="1"/>
  <c r="AJ464" i="1"/>
  <c r="AJ463" i="1"/>
  <c r="AJ462" i="1"/>
  <c r="AJ461" i="1"/>
  <c r="AJ460" i="1"/>
  <c r="AJ459" i="1"/>
  <c r="AJ458" i="1"/>
  <c r="AJ457" i="1"/>
  <c r="AJ456" i="1"/>
  <c r="AJ455" i="1"/>
  <c r="AJ454" i="1"/>
  <c r="AJ453" i="1"/>
  <c r="AJ452" i="1"/>
  <c r="AJ451" i="1"/>
  <c r="AJ450" i="1"/>
  <c r="AJ449" i="1"/>
  <c r="AJ448" i="1"/>
  <c r="AJ447" i="1"/>
  <c r="AJ446" i="1"/>
  <c r="AJ445" i="1"/>
  <c r="AJ444" i="1"/>
  <c r="AJ443" i="1"/>
  <c r="AJ442" i="1"/>
  <c r="AJ441" i="1"/>
  <c r="AJ440" i="1"/>
  <c r="AJ439" i="1"/>
  <c r="AJ438" i="1"/>
  <c r="AJ437" i="1"/>
  <c r="AJ436" i="1"/>
  <c r="AJ435" i="1"/>
  <c r="AJ434" i="1"/>
  <c r="AJ433" i="1"/>
  <c r="AJ432" i="1"/>
  <c r="AJ431" i="1"/>
  <c r="AJ430" i="1"/>
  <c r="AJ429" i="1"/>
  <c r="AJ428" i="1"/>
  <c r="AJ427" i="1"/>
  <c r="AJ426" i="1"/>
  <c r="AJ425" i="1"/>
  <c r="AJ424" i="1"/>
  <c r="AJ423" i="1"/>
  <c r="AJ422" i="1"/>
  <c r="AJ421" i="1"/>
  <c r="AJ420" i="1"/>
  <c r="AJ419" i="1"/>
  <c r="AJ418" i="1"/>
  <c r="AJ417" i="1"/>
  <c r="AJ416" i="1"/>
  <c r="AJ415" i="1"/>
  <c r="AJ414" i="1"/>
  <c r="AJ413" i="1"/>
  <c r="AJ412" i="1"/>
  <c r="AJ411" i="1"/>
  <c r="AJ410" i="1"/>
  <c r="AJ409" i="1"/>
  <c r="AJ408" i="1"/>
  <c r="AJ407" i="1"/>
  <c r="AJ406" i="1"/>
  <c r="AJ405" i="1"/>
  <c r="AJ404" i="1"/>
  <c r="AJ403" i="1"/>
  <c r="AJ402" i="1"/>
  <c r="AJ401" i="1"/>
  <c r="AJ400" i="1"/>
  <c r="AJ399" i="1"/>
  <c r="AJ398" i="1"/>
  <c r="AJ397" i="1"/>
  <c r="AJ396" i="1"/>
  <c r="AJ395" i="1"/>
  <c r="AJ394" i="1"/>
  <c r="AJ393" i="1"/>
  <c r="AJ392" i="1"/>
  <c r="AJ391" i="1"/>
  <c r="AJ390" i="1"/>
  <c r="AJ389" i="1"/>
  <c r="AJ388" i="1"/>
  <c r="AJ387" i="1"/>
  <c r="AJ386" i="1"/>
  <c r="AJ385" i="1"/>
  <c r="AJ384" i="1"/>
  <c r="AJ383" i="1"/>
  <c r="AJ382" i="1"/>
  <c r="AJ381" i="1"/>
  <c r="AJ380" i="1"/>
  <c r="AJ379" i="1"/>
  <c r="AJ378" i="1"/>
  <c r="AJ377" i="1"/>
  <c r="AJ376" i="1"/>
  <c r="AJ375" i="1"/>
  <c r="AJ374" i="1"/>
  <c r="AJ373" i="1"/>
  <c r="AJ372" i="1"/>
  <c r="AJ371" i="1"/>
  <c r="AJ370" i="1"/>
  <c r="AJ369" i="1"/>
  <c r="AJ368" i="1"/>
  <c r="AJ367" i="1"/>
  <c r="AJ366" i="1"/>
  <c r="AJ365" i="1"/>
  <c r="AJ364" i="1"/>
  <c r="AJ363" i="1"/>
  <c r="AJ362" i="1"/>
  <c r="AJ361" i="1"/>
  <c r="AJ360" i="1"/>
  <c r="AJ359" i="1"/>
  <c r="AJ358" i="1"/>
  <c r="AJ357" i="1"/>
  <c r="AJ356" i="1"/>
  <c r="AJ355" i="1"/>
  <c r="AJ354" i="1"/>
  <c r="AJ353" i="1"/>
  <c r="AJ352" i="1"/>
  <c r="AJ351" i="1"/>
  <c r="AJ350" i="1"/>
  <c r="AJ349" i="1"/>
  <c r="AJ348" i="1"/>
  <c r="AJ347" i="1"/>
  <c r="AJ346" i="1"/>
  <c r="AJ345" i="1"/>
  <c r="AJ344" i="1"/>
  <c r="AJ343" i="1"/>
  <c r="AJ342" i="1"/>
  <c r="AJ341" i="1"/>
  <c r="AJ340" i="1"/>
  <c r="AJ339" i="1"/>
  <c r="AJ338" i="1"/>
  <c r="AJ337" i="1"/>
  <c r="AJ336" i="1"/>
  <c r="AJ335" i="1"/>
  <c r="AJ334" i="1"/>
  <c r="AJ333" i="1"/>
  <c r="AJ332" i="1"/>
  <c r="AJ331" i="1"/>
  <c r="AJ330" i="1"/>
  <c r="AJ329" i="1"/>
  <c r="AJ328" i="1"/>
  <c r="AJ327" i="1"/>
  <c r="AJ326" i="1"/>
  <c r="AJ325" i="1"/>
  <c r="AJ324" i="1"/>
  <c r="AJ323" i="1"/>
  <c r="AJ322" i="1"/>
  <c r="AJ321" i="1"/>
  <c r="AJ320" i="1"/>
  <c r="AJ319" i="1"/>
  <c r="AJ318" i="1"/>
  <c r="AJ317" i="1"/>
  <c r="AJ316" i="1"/>
  <c r="AJ315" i="1"/>
  <c r="AJ314" i="1"/>
  <c r="AJ313" i="1"/>
  <c r="AJ312" i="1"/>
  <c r="AJ311" i="1"/>
  <c r="AJ310" i="1"/>
  <c r="AJ309" i="1"/>
  <c r="AJ308" i="1"/>
  <c r="AJ307" i="1"/>
  <c r="AJ306" i="1"/>
  <c r="AJ305" i="1"/>
  <c r="AJ304" i="1"/>
  <c r="AJ303" i="1"/>
  <c r="AJ302" i="1"/>
  <c r="AJ301" i="1"/>
  <c r="AJ300" i="1"/>
  <c r="AJ299" i="1"/>
  <c r="AJ298" i="1"/>
  <c r="AJ297" i="1"/>
  <c r="AJ296" i="1"/>
  <c r="AJ295" i="1"/>
  <c r="AJ294" i="1"/>
  <c r="AJ293" i="1"/>
  <c r="AJ292" i="1"/>
  <c r="AJ291" i="1"/>
  <c r="AJ290" i="1"/>
  <c r="AJ289" i="1"/>
  <c r="AJ288" i="1"/>
  <c r="AJ287" i="1"/>
  <c r="AJ286" i="1"/>
  <c r="AJ285" i="1"/>
  <c r="AJ284" i="1"/>
  <c r="AJ283" i="1"/>
  <c r="AJ282" i="1"/>
  <c r="AJ281" i="1"/>
  <c r="AJ280" i="1"/>
  <c r="AJ279" i="1"/>
  <c r="AJ278" i="1"/>
  <c r="AJ277" i="1"/>
  <c r="AJ276" i="1"/>
  <c r="AJ275" i="1"/>
  <c r="AJ274" i="1"/>
  <c r="AJ273" i="1"/>
  <c r="AJ272" i="1"/>
  <c r="AJ271" i="1"/>
  <c r="AJ270" i="1"/>
  <c r="AJ269" i="1"/>
  <c r="AJ268" i="1"/>
  <c r="AJ267" i="1"/>
  <c r="AJ266" i="1"/>
  <c r="AJ265" i="1"/>
  <c r="AJ264" i="1"/>
  <c r="AJ263" i="1"/>
  <c r="AJ262" i="1"/>
  <c r="AJ261" i="1"/>
  <c r="AJ260" i="1"/>
  <c r="AJ259" i="1"/>
  <c r="AJ258" i="1"/>
  <c r="AJ257" i="1"/>
  <c r="AJ256" i="1"/>
  <c r="AJ255" i="1"/>
  <c r="AJ254" i="1"/>
  <c r="AJ253" i="1"/>
  <c r="AJ252" i="1"/>
  <c r="AJ251" i="1"/>
  <c r="AJ250" i="1"/>
  <c r="AJ249" i="1"/>
  <c r="AJ248" i="1"/>
  <c r="AJ247" i="1"/>
  <c r="AJ246" i="1"/>
  <c r="AJ245" i="1"/>
  <c r="AJ244" i="1"/>
  <c r="AJ243" i="1"/>
  <c r="AJ242" i="1"/>
  <c r="AJ241" i="1"/>
  <c r="AJ240" i="1"/>
  <c r="AJ239" i="1"/>
  <c r="AJ238" i="1"/>
  <c r="AJ237" i="1"/>
  <c r="AJ236" i="1"/>
  <c r="AJ235" i="1"/>
  <c r="AJ234" i="1"/>
  <c r="AJ233" i="1"/>
  <c r="AJ232" i="1"/>
  <c r="AJ231" i="1"/>
  <c r="AJ230" i="1"/>
  <c r="AJ229" i="1"/>
  <c r="AJ228" i="1"/>
  <c r="AJ227" i="1"/>
  <c r="AJ226" i="1"/>
  <c r="AJ225" i="1"/>
  <c r="AJ224" i="1"/>
  <c r="AJ223" i="1"/>
  <c r="AJ222" i="1"/>
  <c r="AJ221" i="1"/>
  <c r="AJ220" i="1"/>
  <c r="AJ219" i="1"/>
  <c r="AJ218" i="1"/>
  <c r="AJ217" i="1"/>
  <c r="AJ216" i="1"/>
  <c r="AJ215" i="1"/>
  <c r="AJ214" i="1"/>
  <c r="AJ213" i="1"/>
  <c r="AJ212" i="1"/>
  <c r="AJ211" i="1"/>
  <c r="AJ210" i="1"/>
  <c r="AJ209" i="1"/>
  <c r="AJ208" i="1"/>
  <c r="AJ207" i="1"/>
  <c r="AJ206" i="1"/>
  <c r="AJ205" i="1"/>
  <c r="AJ204" i="1"/>
  <c r="AJ203" i="1"/>
  <c r="AJ202" i="1"/>
  <c r="AJ201" i="1"/>
  <c r="AJ200" i="1"/>
  <c r="AJ199" i="1"/>
  <c r="AJ198" i="1"/>
  <c r="AJ197" i="1"/>
  <c r="AJ196" i="1"/>
  <c r="AJ195" i="1"/>
  <c r="AJ194" i="1"/>
  <c r="AJ193" i="1"/>
  <c r="AJ192" i="1"/>
  <c r="AJ191" i="1"/>
  <c r="AJ190" i="1"/>
  <c r="AJ189" i="1"/>
  <c r="AJ188" i="1"/>
  <c r="AJ187" i="1"/>
  <c r="AJ186" i="1"/>
  <c r="AJ185" i="1"/>
  <c r="AJ184" i="1"/>
  <c r="AJ183" i="1"/>
  <c r="AJ182" i="1"/>
  <c r="AJ181" i="1"/>
  <c r="AJ180" i="1"/>
  <c r="AJ179" i="1"/>
  <c r="AJ178" i="1"/>
  <c r="AJ177" i="1"/>
  <c r="AJ176" i="1"/>
  <c r="AJ175" i="1"/>
  <c r="AJ174" i="1"/>
  <c r="AJ173" i="1"/>
  <c r="AJ172" i="1"/>
  <c r="AJ171" i="1"/>
  <c r="AJ170" i="1"/>
  <c r="AJ169" i="1"/>
  <c r="AJ168" i="1"/>
  <c r="AJ167" i="1"/>
  <c r="AJ166" i="1"/>
  <c r="AJ165" i="1"/>
  <c r="AJ164" i="1"/>
  <c r="AJ163" i="1"/>
  <c r="AJ162" i="1"/>
  <c r="AJ161" i="1"/>
  <c r="AJ160" i="1"/>
  <c r="AJ159" i="1"/>
  <c r="AJ158" i="1"/>
  <c r="AJ157" i="1"/>
  <c r="AJ156" i="1"/>
  <c r="AJ155" i="1"/>
  <c r="AJ154" i="1"/>
  <c r="AJ153" i="1"/>
  <c r="AJ152" i="1"/>
  <c r="AJ151" i="1"/>
  <c r="AJ150" i="1"/>
  <c r="AJ149" i="1"/>
  <c r="AJ148" i="1"/>
  <c r="AJ147" i="1"/>
  <c r="AJ146" i="1"/>
  <c r="AJ145" i="1"/>
  <c r="AJ144" i="1"/>
  <c r="AJ143" i="1"/>
  <c r="AJ142" i="1"/>
  <c r="AJ141" i="1"/>
  <c r="AJ140" i="1"/>
  <c r="AJ139" i="1"/>
  <c r="AJ138" i="1"/>
  <c r="AJ137" i="1"/>
  <c r="AJ136" i="1"/>
  <c r="AJ135" i="1"/>
  <c r="AJ134" i="1"/>
  <c r="AJ133" i="1"/>
  <c r="AJ132" i="1"/>
  <c r="AJ131" i="1"/>
  <c r="AJ130" i="1"/>
  <c r="AJ129" i="1"/>
  <c r="AJ128" i="1"/>
  <c r="AJ127" i="1"/>
  <c r="AJ126" i="1"/>
  <c r="AJ125" i="1"/>
  <c r="AJ124" i="1"/>
  <c r="AJ123" i="1"/>
  <c r="AJ122" i="1"/>
  <c r="AJ121" i="1"/>
  <c r="AJ120" i="1"/>
  <c r="AJ119" i="1"/>
  <c r="AJ118" i="1"/>
  <c r="AJ117" i="1"/>
  <c r="AJ116" i="1"/>
  <c r="AJ115" i="1"/>
  <c r="AJ114" i="1"/>
  <c r="AJ113" i="1"/>
  <c r="AJ112" i="1"/>
  <c r="AJ111" i="1"/>
  <c r="AJ110" i="1"/>
  <c r="AJ109" i="1"/>
  <c r="AJ108" i="1"/>
  <c r="AJ107" i="1"/>
  <c r="AJ106" i="1"/>
  <c r="AJ105" i="1"/>
  <c r="AJ104" i="1"/>
  <c r="AJ103" i="1"/>
  <c r="AJ102" i="1"/>
  <c r="AJ101" i="1"/>
  <c r="AJ100" i="1"/>
  <c r="AJ99" i="1"/>
  <c r="AJ98" i="1"/>
  <c r="AJ97" i="1"/>
  <c r="AJ96" i="1"/>
  <c r="AJ95" i="1"/>
  <c r="AJ94" i="1"/>
  <c r="AJ93" i="1"/>
  <c r="AJ92" i="1"/>
  <c r="AJ91" i="1"/>
  <c r="AJ90" i="1"/>
  <c r="AJ89" i="1"/>
  <c r="AJ88" i="1"/>
  <c r="AJ87" i="1"/>
  <c r="AJ86" i="1"/>
  <c r="AJ85" i="1"/>
  <c r="AJ84" i="1"/>
  <c r="AJ83" i="1"/>
  <c r="AJ82" i="1"/>
  <c r="AJ81" i="1"/>
  <c r="AJ80" i="1"/>
  <c r="AJ79" i="1"/>
  <c r="AJ78" i="1"/>
  <c r="AJ77" i="1"/>
  <c r="AJ76" i="1"/>
  <c r="AJ75" i="1"/>
  <c r="AJ74" i="1"/>
  <c r="AJ73" i="1"/>
  <c r="AJ72" i="1"/>
  <c r="AJ71" i="1"/>
  <c r="AJ70" i="1"/>
  <c r="AJ69" i="1"/>
  <c r="AJ68" i="1"/>
  <c r="AJ67" i="1"/>
  <c r="AJ66" i="1"/>
  <c r="AJ65" i="1"/>
  <c r="AJ64" i="1"/>
  <c r="AJ63" i="1"/>
  <c r="AJ62" i="1"/>
  <c r="AJ61" i="1"/>
  <c r="AJ60" i="1"/>
  <c r="AJ59" i="1"/>
  <c r="AJ58" i="1"/>
  <c r="AJ57" i="1"/>
  <c r="AJ56" i="1"/>
  <c r="AJ55" i="1"/>
  <c r="AJ54" i="1"/>
  <c r="AJ53" i="1"/>
  <c r="AJ52" i="1"/>
  <c r="AJ51" i="1"/>
  <c r="AJ50" i="1"/>
  <c r="AJ49" i="1"/>
  <c r="AJ48" i="1"/>
  <c r="AJ47" i="1"/>
  <c r="AJ46" i="1"/>
  <c r="AJ45" i="1"/>
  <c r="AJ44" i="1"/>
  <c r="AJ43" i="1"/>
  <c r="AJ42" i="1"/>
  <c r="AJ41" i="1"/>
  <c r="AJ40" i="1"/>
  <c r="AJ39" i="1"/>
  <c r="AJ38" i="1"/>
  <c r="AJ37" i="1"/>
  <c r="AJ36" i="1"/>
  <c r="AJ35" i="1"/>
  <c r="AJ34" i="1"/>
  <c r="AJ33" i="1"/>
  <c r="AJ32" i="1"/>
  <c r="AJ31" i="1"/>
  <c r="AJ30" i="1"/>
  <c r="AJ29" i="1"/>
  <c r="AJ28" i="1"/>
  <c r="AJ27" i="1"/>
  <c r="AJ26" i="1"/>
  <c r="AJ25" i="1"/>
  <c r="AJ24" i="1"/>
  <c r="AJ23" i="1"/>
  <c r="AJ22" i="1"/>
  <c r="AJ21" i="1"/>
  <c r="AJ20" i="1"/>
  <c r="AJ19" i="1"/>
  <c r="AJ18" i="1"/>
  <c r="AJ17" i="1"/>
  <c r="AJ16" i="1"/>
  <c r="AJ15" i="1"/>
  <c r="AJ14" i="1"/>
  <c r="AJ13" i="1"/>
  <c r="AJ12" i="1"/>
  <c r="AJ11" i="1"/>
  <c r="AJ10" i="1"/>
  <c r="AJ9" i="1"/>
  <c r="AJ8" i="1"/>
  <c r="AJ7" i="1"/>
  <c r="AJ6" i="1"/>
  <c r="AJ5" i="1"/>
  <c r="AJ4" i="1"/>
  <c r="AJ3" i="1"/>
  <c r="AJ2" i="1"/>
  <c r="I820" i="1" l="1"/>
  <c r="J820" i="1"/>
  <c r="K820" i="1"/>
  <c r="AE820" i="1"/>
  <c r="AF820" i="1"/>
  <c r="AH820" i="1"/>
  <c r="H820" i="1"/>
  <c r="G820" i="1"/>
  <c r="F820" i="1"/>
  <c r="E820" i="1"/>
  <c r="D820" i="1"/>
  <c r="B820" i="1"/>
  <c r="H2" i="8" l="1"/>
  <c r="C820" i="1" l="1"/>
  <c r="AE763" i="1" l="1"/>
  <c r="AE764" i="1"/>
  <c r="AE765" i="1"/>
  <c r="AE766" i="1"/>
  <c r="AE767" i="1"/>
  <c r="AE768" i="1"/>
  <c r="AE769" i="1"/>
  <c r="AE770" i="1"/>
  <c r="AE762" i="1"/>
  <c r="AE738" i="1"/>
  <c r="AE739" i="1"/>
  <c r="AE740" i="1"/>
  <c r="AE741" i="1"/>
  <c r="AE742" i="1"/>
  <c r="AE743" i="1"/>
  <c r="AE744" i="1"/>
  <c r="AE745" i="1"/>
  <c r="AE746" i="1"/>
  <c r="AE747" i="1"/>
  <c r="AE748" i="1"/>
  <c r="AE749" i="1"/>
  <c r="AE750" i="1"/>
  <c r="AE751" i="1"/>
  <c r="AE752" i="1"/>
  <c r="AE753" i="1"/>
  <c r="AE754" i="1"/>
  <c r="AE755" i="1"/>
  <c r="AE756" i="1"/>
  <c r="AE757" i="1"/>
  <c r="AE758" i="1"/>
  <c r="AE759" i="1"/>
  <c r="AE760" i="1"/>
  <c r="AE761" i="1"/>
  <c r="AE737" i="1"/>
  <c r="AE714" i="1"/>
  <c r="AE715" i="1"/>
  <c r="AE716" i="1"/>
  <c r="AE717" i="1"/>
  <c r="AE718" i="1"/>
  <c r="AE719" i="1"/>
  <c r="AE720" i="1"/>
  <c r="AE721" i="1"/>
  <c r="AE722" i="1"/>
  <c r="AE723" i="1"/>
  <c r="AE724" i="1"/>
  <c r="AE725" i="1"/>
  <c r="AE726" i="1"/>
  <c r="AE727" i="1"/>
  <c r="AE728" i="1"/>
  <c r="AE729" i="1"/>
  <c r="AE730" i="1"/>
  <c r="AE731" i="1"/>
  <c r="AE732" i="1"/>
  <c r="AE733" i="1"/>
  <c r="AE734" i="1"/>
  <c r="AE735" i="1"/>
  <c r="AE736" i="1"/>
  <c r="AE713" i="1"/>
  <c r="AE631" i="1"/>
  <c r="AE632" i="1"/>
  <c r="AE633" i="1"/>
  <c r="AE634" i="1"/>
  <c r="AE635" i="1"/>
  <c r="AE636" i="1"/>
  <c r="AE637" i="1"/>
  <c r="AE638" i="1"/>
  <c r="AE639" i="1"/>
  <c r="AE640" i="1"/>
  <c r="AE641" i="1"/>
  <c r="AE642" i="1"/>
  <c r="AE643" i="1"/>
  <c r="AE644" i="1"/>
  <c r="AE645" i="1"/>
  <c r="AE646" i="1"/>
  <c r="AE647" i="1"/>
  <c r="AE648" i="1"/>
  <c r="AE649" i="1"/>
  <c r="AE650" i="1"/>
  <c r="AE651" i="1"/>
  <c r="AE652" i="1"/>
  <c r="AE653" i="1"/>
  <c r="AE654" i="1"/>
  <c r="AE655" i="1"/>
  <c r="AE656" i="1"/>
  <c r="AE657" i="1"/>
  <c r="AE658" i="1"/>
  <c r="AE659" i="1"/>
  <c r="AE660" i="1"/>
  <c r="AE661" i="1"/>
  <c r="AE662" i="1"/>
  <c r="AE663" i="1"/>
  <c r="AE664" i="1"/>
  <c r="AE665" i="1"/>
  <c r="AE666" i="1"/>
  <c r="AE667" i="1"/>
  <c r="AE668" i="1"/>
  <c r="AE669" i="1"/>
  <c r="AE670" i="1"/>
  <c r="AE671" i="1"/>
  <c r="AE672" i="1"/>
  <c r="AE673" i="1"/>
  <c r="AE674" i="1"/>
  <c r="AE675" i="1"/>
  <c r="AE676" i="1"/>
  <c r="AE677" i="1"/>
  <c r="AE678" i="1"/>
  <c r="AE679" i="1"/>
  <c r="AE680" i="1"/>
  <c r="AE681" i="1"/>
  <c r="AE682" i="1"/>
  <c r="AE683" i="1"/>
  <c r="AE684" i="1"/>
  <c r="AE685" i="1"/>
  <c r="AE686" i="1"/>
  <c r="AE687" i="1"/>
  <c r="AE688" i="1"/>
  <c r="AE689" i="1"/>
  <c r="AE690" i="1"/>
  <c r="AE691" i="1"/>
  <c r="AE692" i="1"/>
  <c r="AE693" i="1"/>
  <c r="AE694" i="1"/>
  <c r="AE695" i="1"/>
  <c r="AE696" i="1"/>
  <c r="AE697" i="1"/>
  <c r="AE698" i="1"/>
  <c r="AE699" i="1"/>
  <c r="AE700" i="1"/>
  <c r="AE701" i="1"/>
  <c r="AE702" i="1"/>
  <c r="AE703" i="1"/>
  <c r="AE704" i="1"/>
  <c r="AE705" i="1"/>
  <c r="AE706" i="1"/>
  <c r="AE707" i="1"/>
  <c r="AE708" i="1"/>
  <c r="AE709" i="1"/>
  <c r="AE710" i="1"/>
  <c r="AE711" i="1"/>
  <c r="AE712" i="1"/>
  <c r="AE630" i="1"/>
  <c r="H4" i="13"/>
  <c r="AE591" i="1"/>
  <c r="AE592" i="1"/>
  <c r="AE593" i="1"/>
  <c r="AE594" i="1"/>
  <c r="AE595" i="1"/>
  <c r="AE596" i="1"/>
  <c r="AE597" i="1"/>
  <c r="AE598" i="1"/>
  <c r="AE599" i="1"/>
  <c r="AE600" i="1"/>
  <c r="AE601" i="1"/>
  <c r="AE602" i="1"/>
  <c r="AE603" i="1"/>
  <c r="AE604" i="1"/>
  <c r="AE605" i="1"/>
  <c r="AE606" i="1"/>
  <c r="AE607" i="1"/>
  <c r="AE608" i="1"/>
  <c r="AE609" i="1"/>
  <c r="AE610" i="1"/>
  <c r="AE611" i="1"/>
  <c r="AE612" i="1"/>
  <c r="AE613" i="1"/>
  <c r="AE614" i="1"/>
  <c r="AE615" i="1"/>
  <c r="AE616" i="1"/>
  <c r="AE617" i="1"/>
  <c r="AE618" i="1"/>
  <c r="AE619" i="1"/>
  <c r="AE620" i="1"/>
  <c r="AE621" i="1"/>
  <c r="AE622" i="1"/>
  <c r="AE623" i="1"/>
  <c r="AE624" i="1"/>
  <c r="AE625" i="1"/>
  <c r="AE626" i="1"/>
  <c r="AE627" i="1"/>
  <c r="AE628" i="1"/>
  <c r="AE629" i="1"/>
  <c r="AE590" i="1"/>
  <c r="AE521" i="1"/>
  <c r="AE522" i="1"/>
  <c r="AE523" i="1"/>
  <c r="AE524" i="1"/>
  <c r="AE525" i="1"/>
  <c r="AE526" i="1"/>
  <c r="AE527" i="1"/>
  <c r="AE528" i="1"/>
  <c r="AE529" i="1"/>
  <c r="AE530" i="1"/>
  <c r="AE531" i="1"/>
  <c r="AE532" i="1"/>
  <c r="AE533" i="1"/>
  <c r="AE534" i="1"/>
  <c r="AE535" i="1"/>
  <c r="AE536" i="1"/>
  <c r="AE537" i="1"/>
  <c r="AE538" i="1"/>
  <c r="AE539" i="1"/>
  <c r="AE540" i="1"/>
  <c r="AE541" i="1"/>
  <c r="AE542" i="1"/>
  <c r="AE543" i="1"/>
  <c r="AE544" i="1"/>
  <c r="AE545" i="1"/>
  <c r="AE546" i="1"/>
  <c r="AE547" i="1"/>
  <c r="AE548" i="1"/>
  <c r="AE549" i="1"/>
  <c r="AE550" i="1"/>
  <c r="AE551" i="1"/>
  <c r="AE552" i="1"/>
  <c r="AE553" i="1"/>
  <c r="AE554" i="1"/>
  <c r="AE555" i="1"/>
  <c r="AE556" i="1"/>
  <c r="AE557" i="1"/>
  <c r="AE558" i="1"/>
  <c r="AE559" i="1"/>
  <c r="AE560" i="1"/>
  <c r="AE561" i="1"/>
  <c r="AE562" i="1"/>
  <c r="AE563" i="1"/>
  <c r="AE564" i="1"/>
  <c r="AE565" i="1"/>
  <c r="AE566" i="1"/>
  <c r="AE567" i="1"/>
  <c r="AE568" i="1"/>
  <c r="AE569" i="1"/>
  <c r="AE570" i="1"/>
  <c r="AE571" i="1"/>
  <c r="AE572" i="1"/>
  <c r="AE573" i="1"/>
  <c r="AE574" i="1"/>
  <c r="AE575" i="1"/>
  <c r="AE576" i="1"/>
  <c r="AE577" i="1"/>
  <c r="AE578" i="1"/>
  <c r="AE579" i="1"/>
  <c r="AE580" i="1"/>
  <c r="AE581" i="1"/>
  <c r="AE582" i="1"/>
  <c r="AE583" i="1"/>
  <c r="AE584" i="1"/>
  <c r="AE585" i="1"/>
  <c r="AE586" i="1"/>
  <c r="AE587" i="1"/>
  <c r="AE588" i="1"/>
  <c r="AE589" i="1"/>
  <c r="AE520" i="1"/>
  <c r="AE511" i="1"/>
  <c r="AE512" i="1"/>
  <c r="AE513" i="1"/>
  <c r="AE514" i="1"/>
  <c r="AE515" i="1"/>
  <c r="AE516" i="1"/>
  <c r="AE517" i="1"/>
  <c r="AE518" i="1"/>
  <c r="AE519" i="1"/>
  <c r="AE510" i="1"/>
  <c r="AE461" i="1"/>
  <c r="AE462" i="1"/>
  <c r="AE463" i="1"/>
  <c r="AE464" i="1"/>
  <c r="AE465" i="1"/>
  <c r="AE466" i="1"/>
  <c r="AE467" i="1"/>
  <c r="AE468" i="1"/>
  <c r="AE469" i="1"/>
  <c r="AE470" i="1"/>
  <c r="AE471" i="1"/>
  <c r="AE472" i="1"/>
  <c r="AE473" i="1"/>
  <c r="AE474" i="1"/>
  <c r="AE475" i="1"/>
  <c r="AE476" i="1"/>
  <c r="AE477" i="1"/>
  <c r="AE478" i="1"/>
  <c r="AE479" i="1"/>
  <c r="AE480" i="1"/>
  <c r="AE481" i="1"/>
  <c r="AE482" i="1"/>
  <c r="AE483" i="1"/>
  <c r="AE484" i="1"/>
  <c r="AE485" i="1"/>
  <c r="AE486" i="1"/>
  <c r="AE487" i="1"/>
  <c r="AE488" i="1"/>
  <c r="AE489" i="1"/>
  <c r="AE490" i="1"/>
  <c r="AE491" i="1"/>
  <c r="AE492" i="1"/>
  <c r="AE493" i="1"/>
  <c r="AE494" i="1"/>
  <c r="AE495" i="1"/>
  <c r="AE496" i="1"/>
  <c r="AE497" i="1"/>
  <c r="AE498" i="1"/>
  <c r="AE499" i="1"/>
  <c r="AE500" i="1"/>
  <c r="AE501" i="1"/>
  <c r="AE502" i="1"/>
  <c r="AE503" i="1"/>
  <c r="AE504" i="1"/>
  <c r="AE505" i="1"/>
  <c r="AE506" i="1"/>
  <c r="AE507" i="1"/>
  <c r="AE508" i="1"/>
  <c r="AE509" i="1"/>
  <c r="AE460" i="1"/>
  <c r="AE361" i="1"/>
  <c r="AE362" i="1"/>
  <c r="AE363" i="1"/>
  <c r="AE364" i="1"/>
  <c r="AE365" i="1"/>
  <c r="AE366" i="1"/>
  <c r="AE367" i="1"/>
  <c r="AE368" i="1"/>
  <c r="AE369" i="1"/>
  <c r="AE370" i="1"/>
  <c r="AE371" i="1"/>
  <c r="AE372" i="1"/>
  <c r="AE373" i="1"/>
  <c r="AE374" i="1"/>
  <c r="AE375" i="1"/>
  <c r="AE376" i="1"/>
  <c r="AE377" i="1"/>
  <c r="AE378" i="1"/>
  <c r="AE379" i="1"/>
  <c r="AE380" i="1"/>
  <c r="AE381" i="1"/>
  <c r="AE382" i="1"/>
  <c r="AE383" i="1"/>
  <c r="AE384" i="1"/>
  <c r="AE385" i="1"/>
  <c r="AE386" i="1"/>
  <c r="AE387" i="1"/>
  <c r="AE388" i="1"/>
  <c r="AE389" i="1"/>
  <c r="AE390" i="1"/>
  <c r="AE391" i="1"/>
  <c r="AE392" i="1"/>
  <c r="AE393" i="1"/>
  <c r="AE394" i="1"/>
  <c r="AE395" i="1"/>
  <c r="AE396" i="1"/>
  <c r="AE397" i="1"/>
  <c r="AE398" i="1"/>
  <c r="AE399" i="1"/>
  <c r="AE400" i="1"/>
  <c r="AE401" i="1"/>
  <c r="AE402" i="1"/>
  <c r="AE403" i="1"/>
  <c r="AE404" i="1"/>
  <c r="AE405" i="1"/>
  <c r="AE406" i="1"/>
  <c r="AE407" i="1"/>
  <c r="AE408" i="1"/>
  <c r="AE409" i="1"/>
  <c r="AE410" i="1"/>
  <c r="AE411" i="1"/>
  <c r="AE412" i="1"/>
  <c r="AE413" i="1"/>
  <c r="AE414" i="1"/>
  <c r="AE415" i="1"/>
  <c r="AE416" i="1"/>
  <c r="AE417" i="1"/>
  <c r="AE418" i="1"/>
  <c r="AE419" i="1"/>
  <c r="AE420" i="1"/>
  <c r="AE421" i="1"/>
  <c r="AE422" i="1"/>
  <c r="AE423" i="1"/>
  <c r="AE424" i="1"/>
  <c r="AE425" i="1"/>
  <c r="AE426" i="1"/>
  <c r="AE427" i="1"/>
  <c r="AE428" i="1"/>
  <c r="AE429" i="1"/>
  <c r="AE430" i="1"/>
  <c r="AE431" i="1"/>
  <c r="AE432" i="1"/>
  <c r="AE433" i="1"/>
  <c r="AE434" i="1"/>
  <c r="AE435" i="1"/>
  <c r="AE436" i="1"/>
  <c r="AE437" i="1"/>
  <c r="AE438" i="1"/>
  <c r="AE439" i="1"/>
  <c r="AE440" i="1"/>
  <c r="AE441" i="1"/>
  <c r="AE442" i="1"/>
  <c r="AE443" i="1"/>
  <c r="AE444" i="1"/>
  <c r="AE445" i="1"/>
  <c r="AE446" i="1"/>
  <c r="AE447" i="1"/>
  <c r="AE448" i="1"/>
  <c r="AE449" i="1"/>
  <c r="AE450" i="1"/>
  <c r="AE451" i="1"/>
  <c r="AE452" i="1"/>
  <c r="AE453" i="1"/>
  <c r="AE454" i="1"/>
  <c r="AE455" i="1"/>
  <c r="AE456" i="1"/>
  <c r="AE457" i="1"/>
  <c r="AE458" i="1"/>
  <c r="AE459" i="1"/>
  <c r="AE360" i="1"/>
  <c r="AE341" i="1"/>
  <c r="AE342" i="1"/>
  <c r="AE343" i="1"/>
  <c r="AE344" i="1"/>
  <c r="AE345" i="1"/>
  <c r="AE346" i="1"/>
  <c r="AE347" i="1"/>
  <c r="AE348" i="1"/>
  <c r="AE349" i="1"/>
  <c r="AE350" i="1"/>
  <c r="AE351" i="1"/>
  <c r="AE352" i="1"/>
  <c r="AE353" i="1"/>
  <c r="AE354" i="1"/>
  <c r="AE355" i="1"/>
  <c r="AE356" i="1"/>
  <c r="AE357" i="1"/>
  <c r="AE358" i="1"/>
  <c r="AE359" i="1"/>
  <c r="AE340" i="1"/>
  <c r="AE321" i="1"/>
  <c r="AE322" i="1"/>
  <c r="AE323" i="1"/>
  <c r="AE324" i="1"/>
  <c r="AE325" i="1"/>
  <c r="AE326" i="1"/>
  <c r="AE327" i="1"/>
  <c r="AE328" i="1"/>
  <c r="AE329" i="1"/>
  <c r="AE330" i="1"/>
  <c r="AE331" i="1"/>
  <c r="AE332" i="1"/>
  <c r="AE333" i="1"/>
  <c r="AE334" i="1"/>
  <c r="AE335" i="1"/>
  <c r="AE336" i="1"/>
  <c r="AE337" i="1"/>
  <c r="AE338" i="1"/>
  <c r="AE339" i="1"/>
  <c r="AE320" i="1"/>
  <c r="AE301" i="1"/>
  <c r="AE302" i="1"/>
  <c r="AE303" i="1"/>
  <c r="AE304" i="1"/>
  <c r="AE305" i="1"/>
  <c r="AE306" i="1"/>
  <c r="AE307" i="1"/>
  <c r="AE308" i="1"/>
  <c r="AE309" i="1"/>
  <c r="AE310" i="1"/>
  <c r="AE311" i="1"/>
  <c r="AE312" i="1"/>
  <c r="AE313" i="1"/>
  <c r="AE314" i="1"/>
  <c r="AE315" i="1"/>
  <c r="AE316" i="1"/>
  <c r="AE317" i="1"/>
  <c r="AE318" i="1"/>
  <c r="AE319" i="1"/>
  <c r="AE300" i="1"/>
  <c r="AE251" i="1"/>
  <c r="AE252" i="1"/>
  <c r="AE253" i="1"/>
  <c r="AE254" i="1"/>
  <c r="AE255" i="1"/>
  <c r="AE256" i="1"/>
  <c r="AE257" i="1"/>
  <c r="AE258" i="1"/>
  <c r="AE259" i="1"/>
  <c r="AE260" i="1"/>
  <c r="AE261" i="1"/>
  <c r="AE262" i="1"/>
  <c r="AE263" i="1"/>
  <c r="AE264" i="1"/>
  <c r="AE265" i="1"/>
  <c r="AE266" i="1"/>
  <c r="AE267" i="1"/>
  <c r="AE268" i="1"/>
  <c r="AE269" i="1"/>
  <c r="AE270" i="1"/>
  <c r="AE271" i="1"/>
  <c r="AE272" i="1"/>
  <c r="AE273" i="1"/>
  <c r="AE274" i="1"/>
  <c r="AE275" i="1"/>
  <c r="AE276" i="1"/>
  <c r="AE277" i="1"/>
  <c r="AE278" i="1"/>
  <c r="AE279" i="1"/>
  <c r="AE280" i="1"/>
  <c r="AE281" i="1"/>
  <c r="AE282" i="1"/>
  <c r="AE283" i="1"/>
  <c r="AE284" i="1"/>
  <c r="AE285" i="1"/>
  <c r="AE286" i="1"/>
  <c r="AE287" i="1"/>
  <c r="AE288" i="1"/>
  <c r="AE289" i="1"/>
  <c r="AE290" i="1"/>
  <c r="AE291" i="1"/>
  <c r="AE292" i="1"/>
  <c r="AE293" i="1"/>
  <c r="AE294" i="1"/>
  <c r="AE295" i="1"/>
  <c r="AE296" i="1"/>
  <c r="AE297" i="1"/>
  <c r="AE298" i="1"/>
  <c r="AE299" i="1"/>
  <c r="AE28" i="1"/>
  <c r="AE819" i="1"/>
  <c r="AE818" i="1"/>
  <c r="AE817" i="1"/>
  <c r="AE816" i="1"/>
  <c r="AE815" i="1"/>
  <c r="AE814" i="1"/>
  <c r="AE813" i="1"/>
  <c r="AE812" i="1"/>
  <c r="AE811" i="1"/>
  <c r="AE810" i="1"/>
  <c r="AE809" i="1"/>
  <c r="AE808" i="1"/>
  <c r="AE807" i="1"/>
  <c r="AE806" i="1"/>
  <c r="AE805" i="1"/>
  <c r="AE804" i="1"/>
  <c r="AE803" i="1"/>
  <c r="AE802" i="1"/>
  <c r="AE801" i="1"/>
  <c r="AE800" i="1"/>
  <c r="AE799" i="1"/>
  <c r="AE798" i="1"/>
  <c r="AE797" i="1"/>
  <c r="AE796" i="1"/>
  <c r="AE795" i="1"/>
  <c r="AE794" i="1"/>
  <c r="AE793" i="1"/>
  <c r="AE792" i="1"/>
  <c r="AE791" i="1"/>
  <c r="AE790" i="1"/>
  <c r="AE789" i="1"/>
  <c r="AE788" i="1"/>
  <c r="AE787" i="1"/>
  <c r="AE786" i="1"/>
  <c r="AE785" i="1"/>
  <c r="AE784" i="1"/>
  <c r="AE783" i="1"/>
  <c r="AE782" i="1"/>
  <c r="AE781" i="1"/>
  <c r="AE780" i="1"/>
  <c r="AE779" i="1"/>
  <c r="AE778" i="1"/>
  <c r="AE777" i="1"/>
  <c r="AE776" i="1"/>
  <c r="AE775" i="1"/>
  <c r="AE774" i="1"/>
  <c r="AE773" i="1"/>
  <c r="AE772" i="1"/>
  <c r="AE771" i="1"/>
  <c r="AE248" i="1"/>
  <c r="AE247" i="1"/>
  <c r="AE246" i="1"/>
  <c r="AE245" i="1"/>
  <c r="AE244" i="1"/>
  <c r="AE243" i="1"/>
  <c r="AE242" i="1"/>
  <c r="AE241" i="1"/>
  <c r="AE240" i="1"/>
  <c r="AE239" i="1"/>
  <c r="AE238" i="1"/>
  <c r="AE237" i="1"/>
  <c r="AE236" i="1"/>
  <c r="AE235" i="1"/>
  <c r="AE234" i="1"/>
  <c r="AE233" i="1"/>
  <c r="AE232" i="1"/>
  <c r="AE231" i="1"/>
  <c r="AE230" i="1"/>
  <c r="AE229" i="1"/>
  <c r="AE228" i="1"/>
  <c r="AE227" i="1"/>
  <c r="AE226" i="1"/>
  <c r="AE225" i="1"/>
  <c r="AE224" i="1"/>
  <c r="AE223" i="1"/>
  <c r="AE222" i="1"/>
  <c r="AE221" i="1"/>
  <c r="AE220" i="1"/>
  <c r="AE219" i="1"/>
  <c r="AE218" i="1"/>
  <c r="AE217" i="1"/>
  <c r="AE216" i="1"/>
  <c r="AE215" i="1"/>
  <c r="AE214" i="1"/>
  <c r="AE213" i="1"/>
  <c r="AE212" i="1"/>
  <c r="AE211" i="1"/>
  <c r="AE210" i="1"/>
  <c r="AE209" i="1"/>
  <c r="AE208" i="1"/>
  <c r="AE207" i="1"/>
  <c r="AE206" i="1"/>
  <c r="AE205" i="1"/>
  <c r="AE204" i="1"/>
  <c r="AE203" i="1"/>
  <c r="AE202" i="1"/>
  <c r="AE201" i="1"/>
  <c r="AE200" i="1"/>
  <c r="AE199" i="1"/>
  <c r="AE198" i="1"/>
  <c r="AE197" i="1"/>
  <c r="AE196" i="1"/>
  <c r="AE195" i="1"/>
  <c r="AE194" i="1"/>
  <c r="AE193" i="1"/>
  <c r="AE192" i="1"/>
  <c r="AE191" i="1"/>
  <c r="AE190" i="1"/>
  <c r="AE189" i="1"/>
  <c r="AE188" i="1"/>
  <c r="AE187" i="1"/>
  <c r="AE186" i="1"/>
  <c r="AE185" i="1"/>
  <c r="AE184" i="1"/>
  <c r="AE183" i="1"/>
  <c r="AE182" i="1"/>
  <c r="AE181" i="1"/>
  <c r="AE180" i="1"/>
  <c r="AE179" i="1"/>
  <c r="AE178" i="1"/>
  <c r="AE177" i="1"/>
  <c r="AE176" i="1"/>
  <c r="AE175" i="1"/>
  <c r="AE174" i="1"/>
  <c r="AE173" i="1"/>
  <c r="AE172" i="1"/>
  <c r="AE171" i="1"/>
  <c r="AE170" i="1"/>
  <c r="AE169" i="1"/>
  <c r="AE168" i="1"/>
  <c r="AE167" i="1"/>
  <c r="AE166" i="1"/>
  <c r="AE165" i="1"/>
  <c r="AE164" i="1"/>
  <c r="AE163" i="1"/>
  <c r="AE162" i="1"/>
  <c r="AE161" i="1"/>
  <c r="AE160" i="1"/>
  <c r="AE159" i="1"/>
  <c r="AE158" i="1"/>
  <c r="AE157" i="1"/>
  <c r="AE156" i="1"/>
  <c r="AE155" i="1"/>
  <c r="AE154" i="1"/>
  <c r="AE153" i="1"/>
  <c r="AE152" i="1"/>
  <c r="AE151" i="1"/>
  <c r="AE150" i="1"/>
  <c r="AE149" i="1"/>
  <c r="AE148" i="1"/>
  <c r="AE147" i="1"/>
  <c r="AE146" i="1"/>
  <c r="AE145" i="1"/>
  <c r="AE144" i="1"/>
  <c r="AE143" i="1"/>
  <c r="AE142" i="1"/>
  <c r="AE141" i="1"/>
  <c r="AE140" i="1"/>
  <c r="AE139" i="1"/>
  <c r="AE138" i="1"/>
  <c r="AE137" i="1"/>
  <c r="AE136" i="1"/>
  <c r="AE135" i="1"/>
  <c r="AE134" i="1"/>
  <c r="AE133" i="1"/>
  <c r="AE132" i="1"/>
  <c r="AE131" i="1"/>
  <c r="AE130" i="1"/>
  <c r="AE129" i="1"/>
  <c r="AE128" i="1"/>
  <c r="AE127" i="1"/>
  <c r="AE126" i="1"/>
  <c r="AE125" i="1"/>
  <c r="AE124" i="1"/>
  <c r="AE123" i="1"/>
  <c r="AE122" i="1"/>
  <c r="AE121" i="1"/>
  <c r="AE120" i="1"/>
  <c r="AE119" i="1"/>
  <c r="AE118" i="1"/>
  <c r="AE117" i="1"/>
  <c r="AE116" i="1"/>
  <c r="AE115" i="1"/>
  <c r="AE114" i="1"/>
  <c r="AE113" i="1"/>
  <c r="AE112" i="1"/>
  <c r="AE111" i="1"/>
  <c r="AE110" i="1"/>
  <c r="AE109" i="1"/>
  <c r="AE108" i="1"/>
  <c r="AE107" i="1"/>
  <c r="AE106" i="1"/>
  <c r="AE105" i="1"/>
  <c r="AE104" i="1"/>
  <c r="AE103" i="1"/>
  <c r="AE102" i="1"/>
  <c r="AE101" i="1"/>
  <c r="AE100" i="1"/>
  <c r="AE99" i="1"/>
  <c r="AE98" i="1"/>
  <c r="AE97" i="1"/>
  <c r="AE96" i="1"/>
  <c r="AE95" i="1"/>
  <c r="AE94" i="1"/>
  <c r="AE93" i="1"/>
  <c r="AE92" i="1"/>
  <c r="AE91" i="1"/>
  <c r="AE90" i="1"/>
  <c r="AE89" i="1"/>
  <c r="AE88" i="1"/>
  <c r="AE87" i="1"/>
  <c r="AE86" i="1"/>
  <c r="AE85" i="1"/>
  <c r="AE84" i="1"/>
  <c r="AE83" i="1"/>
  <c r="AE82" i="1"/>
  <c r="AE81" i="1"/>
  <c r="AE80" i="1"/>
  <c r="AE79" i="1"/>
  <c r="AE78" i="1"/>
  <c r="AE77" i="1"/>
  <c r="AE76" i="1"/>
  <c r="AE75" i="1"/>
  <c r="AE74" i="1"/>
  <c r="AE73" i="1"/>
  <c r="AE72" i="1"/>
  <c r="AE71" i="1"/>
  <c r="AE70" i="1"/>
  <c r="AE69" i="1"/>
  <c r="AE68" i="1"/>
  <c r="AE67" i="1"/>
  <c r="AE66" i="1"/>
  <c r="AE65" i="1"/>
  <c r="AE64" i="1"/>
  <c r="AE63" i="1"/>
  <c r="AE62" i="1"/>
  <c r="AE61" i="1"/>
  <c r="AE60" i="1"/>
  <c r="AE59" i="1"/>
  <c r="AE58" i="1"/>
  <c r="AE57" i="1"/>
  <c r="AE56" i="1"/>
  <c r="AE55" i="1"/>
  <c r="AE54" i="1"/>
  <c r="AE53" i="1"/>
  <c r="AE52" i="1"/>
  <c r="AE51" i="1"/>
  <c r="AE50" i="1"/>
  <c r="AE49" i="1"/>
  <c r="AE48" i="1"/>
  <c r="AE47" i="1"/>
  <c r="AE46" i="1"/>
  <c r="AE45" i="1"/>
  <c r="AE44" i="1"/>
  <c r="AE43" i="1"/>
  <c r="AE42" i="1"/>
  <c r="AE41" i="1"/>
  <c r="AE40" i="1"/>
  <c r="AE39" i="1"/>
  <c r="AE38" i="1"/>
  <c r="AE37" i="1"/>
  <c r="AE36" i="1"/>
  <c r="AE35" i="1"/>
  <c r="AE34" i="1"/>
  <c r="AE33" i="1"/>
  <c r="AE32" i="1"/>
  <c r="AE31" i="1"/>
  <c r="AE30" i="1"/>
  <c r="AE29" i="1"/>
  <c r="AE27" i="1"/>
  <c r="AE26" i="1"/>
  <c r="AE25" i="1"/>
  <c r="AE24" i="1"/>
  <c r="AE23" i="1"/>
  <c r="AE22" i="1"/>
  <c r="AE21" i="1"/>
  <c r="AE20" i="1"/>
  <c r="AE19" i="1"/>
  <c r="AE18" i="1"/>
  <c r="AE17" i="1"/>
  <c r="AE16" i="1"/>
  <c r="AE15" i="1"/>
  <c r="AE14" i="1"/>
  <c r="AE13" i="1"/>
  <c r="AE12" i="1"/>
  <c r="AE11" i="1"/>
  <c r="AE10" i="1"/>
  <c r="AE9" i="1"/>
  <c r="AE8" i="1"/>
  <c r="AE7" i="1"/>
  <c r="AE6" i="1"/>
  <c r="AE5" i="1"/>
  <c r="AE4" i="1"/>
  <c r="AE3" i="1"/>
  <c r="AE2" i="1"/>
  <c r="AE250" i="1"/>
  <c r="AE249" i="1"/>
  <c r="X2" i="14" l="1"/>
  <c r="Y2" i="14" s="1"/>
  <c r="Y713" i="1" s="1"/>
  <c r="X3" i="14"/>
  <c r="Y3" i="14" s="1"/>
  <c r="Y714" i="1" s="1"/>
  <c r="X4" i="14"/>
  <c r="Y4" i="14" s="1"/>
  <c r="Y715" i="1" s="1"/>
  <c r="X5" i="14"/>
  <c r="Y5" i="14" s="1"/>
  <c r="Y716" i="1" s="1"/>
  <c r="X6" i="14"/>
  <c r="Y6" i="14" s="1"/>
  <c r="Y717" i="1" s="1"/>
  <c r="X7" i="14"/>
  <c r="Y7" i="14" s="1"/>
  <c r="Y718" i="1" s="1"/>
  <c r="X8" i="14"/>
  <c r="Y8" i="14" s="1"/>
  <c r="Y719" i="1" s="1"/>
  <c r="X9" i="14"/>
  <c r="Y9" i="14" s="1"/>
  <c r="Y720" i="1" s="1"/>
  <c r="X10" i="14"/>
  <c r="Y10" i="14" s="1"/>
  <c r="Y721" i="1" s="1"/>
  <c r="X11" i="14"/>
  <c r="Y11" i="14" s="1"/>
  <c r="Y722" i="1" s="1"/>
  <c r="X12" i="14"/>
  <c r="Y12" i="14" s="1"/>
  <c r="Y723" i="1" s="1"/>
  <c r="X13" i="14"/>
  <c r="Y13" i="14" s="1"/>
  <c r="Y724" i="1" s="1"/>
  <c r="X14" i="14"/>
  <c r="Y14" i="14" s="1"/>
  <c r="Y725" i="1" s="1"/>
  <c r="X15" i="14"/>
  <c r="Y15" i="14" s="1"/>
  <c r="Y726" i="1" s="1"/>
  <c r="X16" i="14"/>
  <c r="Y16" i="14" s="1"/>
  <c r="Y727" i="1" s="1"/>
  <c r="X17" i="14"/>
  <c r="Y17" i="14" s="1"/>
  <c r="Y728" i="1" s="1"/>
  <c r="X18" i="14"/>
  <c r="Y18" i="14" s="1"/>
  <c r="Y729" i="1" s="1"/>
  <c r="X19" i="14"/>
  <c r="Y19" i="14" s="1"/>
  <c r="Y730" i="1" s="1"/>
  <c r="X20" i="14"/>
  <c r="Y20" i="14" s="1"/>
  <c r="Y731" i="1" s="1"/>
  <c r="X21" i="14"/>
  <c r="Y21" i="14" s="1"/>
  <c r="Y732" i="1" s="1"/>
  <c r="X22" i="14"/>
  <c r="Y22" i="14" s="1"/>
  <c r="Y733" i="1" s="1"/>
  <c r="X23" i="14"/>
  <c r="Y23" i="14" s="1"/>
  <c r="Y734" i="1" s="1"/>
  <c r="X24" i="14"/>
  <c r="Y24" i="14" s="1"/>
  <c r="Y735" i="1" s="1"/>
  <c r="X25" i="14"/>
  <c r="Y25" i="14" s="1"/>
  <c r="Y736" i="1" s="1"/>
  <c r="W3" i="15"/>
  <c r="W4" i="15"/>
  <c r="W5" i="15"/>
  <c r="W6" i="15"/>
  <c r="W7" i="15"/>
  <c r="W8" i="15"/>
  <c r="W9" i="15"/>
  <c r="W10" i="15"/>
  <c r="W11" i="15"/>
  <c r="W12" i="15"/>
  <c r="W13" i="15"/>
  <c r="W14" i="15"/>
  <c r="W15" i="15"/>
  <c r="W16" i="15"/>
  <c r="W17" i="15"/>
  <c r="W18" i="15"/>
  <c r="W19" i="15"/>
  <c r="W20" i="15"/>
  <c r="W21" i="15"/>
  <c r="W22" i="15"/>
  <c r="W23" i="15"/>
  <c r="W24" i="15"/>
  <c r="W25" i="15"/>
  <c r="W26" i="15"/>
  <c r="W2" i="15"/>
  <c r="AD4" i="13" l="1"/>
  <c r="AE4" i="13" s="1"/>
  <c r="X632" i="1" s="1"/>
  <c r="AD3" i="13"/>
  <c r="AE3" i="13" s="1"/>
  <c r="X631" i="1" s="1"/>
  <c r="AD5" i="13"/>
  <c r="AE5" i="13" s="1"/>
  <c r="X633" i="1" s="1"/>
  <c r="AD6" i="13"/>
  <c r="AE6" i="13"/>
  <c r="X634" i="1" s="1"/>
  <c r="AD7" i="13"/>
  <c r="AE7" i="13" s="1"/>
  <c r="X635" i="1" s="1"/>
  <c r="AD8" i="13"/>
  <c r="AE8" i="13" s="1"/>
  <c r="X636" i="1" s="1"/>
  <c r="AD9" i="13"/>
  <c r="AE9" i="13" s="1"/>
  <c r="X637" i="1" s="1"/>
  <c r="AD10" i="13"/>
  <c r="AE10" i="13" s="1"/>
  <c r="X638" i="1" s="1"/>
  <c r="AD11" i="13"/>
  <c r="AE11" i="13" s="1"/>
  <c r="X639" i="1" s="1"/>
  <c r="AD12" i="13"/>
  <c r="AE12" i="13" s="1"/>
  <c r="X640" i="1" s="1"/>
  <c r="AD13" i="13"/>
  <c r="AE13" i="13" s="1"/>
  <c r="X641" i="1" s="1"/>
  <c r="AD14" i="13"/>
  <c r="AE14" i="13" s="1"/>
  <c r="X642" i="1" s="1"/>
  <c r="AD15" i="13"/>
  <c r="AE15" i="13" s="1"/>
  <c r="X643" i="1" s="1"/>
  <c r="AD16" i="13"/>
  <c r="AE16" i="13" s="1"/>
  <c r="X644" i="1" s="1"/>
  <c r="AD17" i="13"/>
  <c r="AE17" i="13" s="1"/>
  <c r="X645" i="1" s="1"/>
  <c r="AD18" i="13"/>
  <c r="AE18" i="13" s="1"/>
  <c r="X646" i="1" s="1"/>
  <c r="AD19" i="13"/>
  <c r="AE19" i="13" s="1"/>
  <c r="X647" i="1" s="1"/>
  <c r="AD20" i="13"/>
  <c r="AE20" i="13" s="1"/>
  <c r="X648" i="1" s="1"/>
  <c r="AD21" i="13"/>
  <c r="AE21" i="13" s="1"/>
  <c r="X649" i="1" s="1"/>
  <c r="AD22" i="13"/>
  <c r="AE22" i="13" s="1"/>
  <c r="X650" i="1" s="1"/>
  <c r="AD23" i="13"/>
  <c r="AE23" i="13" s="1"/>
  <c r="X651" i="1" s="1"/>
  <c r="AD24" i="13"/>
  <c r="AE24" i="13" s="1"/>
  <c r="X652" i="1" s="1"/>
  <c r="AD25" i="13"/>
  <c r="AE25" i="13" s="1"/>
  <c r="X653" i="1" s="1"/>
  <c r="AD26" i="13"/>
  <c r="AE26" i="13" s="1"/>
  <c r="X654" i="1" s="1"/>
  <c r="AD27" i="13"/>
  <c r="AE27" i="13" s="1"/>
  <c r="X655" i="1" s="1"/>
  <c r="AD28" i="13"/>
  <c r="AE28" i="13" s="1"/>
  <c r="X656" i="1" s="1"/>
  <c r="AD29" i="13"/>
  <c r="AE29" i="13" s="1"/>
  <c r="X657" i="1" s="1"/>
  <c r="AD30" i="13"/>
  <c r="AE30" i="13" s="1"/>
  <c r="X658" i="1" s="1"/>
  <c r="AD31" i="13"/>
  <c r="AE31" i="13" s="1"/>
  <c r="X659" i="1" s="1"/>
  <c r="AD32" i="13"/>
  <c r="AE32" i="13" s="1"/>
  <c r="X660" i="1" s="1"/>
  <c r="AD33" i="13"/>
  <c r="AE33" i="13" s="1"/>
  <c r="X661" i="1" s="1"/>
  <c r="AD34" i="13"/>
  <c r="AE34" i="13" s="1"/>
  <c r="X662" i="1" s="1"/>
  <c r="AD35" i="13"/>
  <c r="AE35" i="13" s="1"/>
  <c r="X663" i="1" s="1"/>
  <c r="AD36" i="13"/>
  <c r="AE36" i="13" s="1"/>
  <c r="X664" i="1" s="1"/>
  <c r="AD37" i="13"/>
  <c r="AE37" i="13" s="1"/>
  <c r="X665" i="1" s="1"/>
  <c r="AD38" i="13"/>
  <c r="AE38" i="13" s="1"/>
  <c r="X666" i="1" s="1"/>
  <c r="AD39" i="13"/>
  <c r="AE39" i="13" s="1"/>
  <c r="X667" i="1" s="1"/>
  <c r="AD40" i="13"/>
  <c r="AE40" i="13" s="1"/>
  <c r="X668" i="1" s="1"/>
  <c r="AD41" i="13"/>
  <c r="AE41" i="13" s="1"/>
  <c r="X669" i="1" s="1"/>
  <c r="AD42" i="13"/>
  <c r="AE42" i="13" s="1"/>
  <c r="X670" i="1" s="1"/>
  <c r="AD43" i="13"/>
  <c r="AE43" i="13" s="1"/>
  <c r="X671" i="1" s="1"/>
  <c r="AD44" i="13"/>
  <c r="AE44" i="13" s="1"/>
  <c r="X672" i="1" s="1"/>
  <c r="AD45" i="13"/>
  <c r="AE45" i="13" s="1"/>
  <c r="X673" i="1" s="1"/>
  <c r="AD46" i="13"/>
  <c r="AE46" i="13" s="1"/>
  <c r="X674" i="1" s="1"/>
  <c r="AD47" i="13"/>
  <c r="AE47" i="13" s="1"/>
  <c r="X675" i="1" s="1"/>
  <c r="AD48" i="13"/>
  <c r="AE48" i="13" s="1"/>
  <c r="X676" i="1" s="1"/>
  <c r="AD49" i="13"/>
  <c r="AE49" i="13" s="1"/>
  <c r="X677" i="1" s="1"/>
  <c r="AD50" i="13"/>
  <c r="AE50" i="13" s="1"/>
  <c r="X678" i="1" s="1"/>
  <c r="AD51" i="13"/>
  <c r="AE51" i="13" s="1"/>
  <c r="X679" i="1" s="1"/>
  <c r="AD52" i="13"/>
  <c r="AE52" i="13" s="1"/>
  <c r="X680" i="1" s="1"/>
  <c r="AD53" i="13"/>
  <c r="AE53" i="13" s="1"/>
  <c r="X681" i="1" s="1"/>
  <c r="AD54" i="13"/>
  <c r="AE54" i="13" s="1"/>
  <c r="X682" i="1" s="1"/>
  <c r="AD55" i="13"/>
  <c r="AE55" i="13" s="1"/>
  <c r="X683" i="1" s="1"/>
  <c r="AD56" i="13"/>
  <c r="AE56" i="13" s="1"/>
  <c r="X684" i="1" s="1"/>
  <c r="AD57" i="13"/>
  <c r="AE57" i="13" s="1"/>
  <c r="X685" i="1" s="1"/>
  <c r="AD58" i="13"/>
  <c r="AE58" i="13" s="1"/>
  <c r="X686" i="1" s="1"/>
  <c r="AD59" i="13"/>
  <c r="AE59" i="13" s="1"/>
  <c r="X687" i="1" s="1"/>
  <c r="AD60" i="13"/>
  <c r="AE60" i="13" s="1"/>
  <c r="X688" i="1" s="1"/>
  <c r="AD61" i="13"/>
  <c r="AE61" i="13" s="1"/>
  <c r="X689" i="1" s="1"/>
  <c r="AD62" i="13"/>
  <c r="AE62" i="13" s="1"/>
  <c r="X690" i="1" s="1"/>
  <c r="AD63" i="13"/>
  <c r="AE63" i="13" s="1"/>
  <c r="X691" i="1" s="1"/>
  <c r="AD64" i="13"/>
  <c r="AE64" i="13" s="1"/>
  <c r="X692" i="1" s="1"/>
  <c r="AD65" i="13"/>
  <c r="AE65" i="13" s="1"/>
  <c r="X693" i="1" s="1"/>
  <c r="AD66" i="13"/>
  <c r="AE66" i="13" s="1"/>
  <c r="X694" i="1" s="1"/>
  <c r="AD67" i="13"/>
  <c r="AE67" i="13" s="1"/>
  <c r="X695" i="1" s="1"/>
  <c r="AD68" i="13"/>
  <c r="AE68" i="13" s="1"/>
  <c r="X696" i="1" s="1"/>
  <c r="AD69" i="13"/>
  <c r="AE69" i="13" s="1"/>
  <c r="X697" i="1" s="1"/>
  <c r="AD70" i="13"/>
  <c r="AE70" i="13" s="1"/>
  <c r="X698" i="1" s="1"/>
  <c r="AD71" i="13"/>
  <c r="AE71" i="13" s="1"/>
  <c r="X699" i="1" s="1"/>
  <c r="AD72" i="13"/>
  <c r="AE72" i="13" s="1"/>
  <c r="X700" i="1" s="1"/>
  <c r="AD73" i="13"/>
  <c r="AE73" i="13" s="1"/>
  <c r="X701" i="1" s="1"/>
  <c r="AD74" i="13"/>
  <c r="AE74" i="13" s="1"/>
  <c r="X702" i="1" s="1"/>
  <c r="AD75" i="13"/>
  <c r="AE75" i="13" s="1"/>
  <c r="X703" i="1" s="1"/>
  <c r="AD76" i="13"/>
  <c r="AE76" i="13" s="1"/>
  <c r="X704" i="1" s="1"/>
  <c r="AD77" i="13"/>
  <c r="AE77" i="13" s="1"/>
  <c r="X705" i="1" s="1"/>
  <c r="AD78" i="13"/>
  <c r="AE78" i="13" s="1"/>
  <c r="X706" i="1" s="1"/>
  <c r="AD79" i="13"/>
  <c r="AE79" i="13" s="1"/>
  <c r="X707" i="1" s="1"/>
  <c r="AD80" i="13"/>
  <c r="AE80" i="13" s="1"/>
  <c r="X708" i="1" s="1"/>
  <c r="AD81" i="13"/>
  <c r="AE81" i="13" s="1"/>
  <c r="X709" i="1" s="1"/>
  <c r="AD82" i="13"/>
  <c r="AE82" i="13" s="1"/>
  <c r="X710" i="1" s="1"/>
  <c r="AD83" i="13"/>
  <c r="AE83" i="13" s="1"/>
  <c r="X711" i="1" s="1"/>
  <c r="AD84" i="13"/>
  <c r="AE84" i="13" s="1"/>
  <c r="X712" i="1" s="1"/>
  <c r="AD2" i="13"/>
  <c r="AE2" i="13" s="1"/>
  <c r="X630" i="1" s="1"/>
  <c r="W20" i="12" l="1"/>
  <c r="W608" i="1" s="1"/>
  <c r="W36" i="12"/>
  <c r="W624" i="1" s="1"/>
  <c r="V3" i="12"/>
  <c r="W3" i="12" s="1"/>
  <c r="W591" i="1" s="1"/>
  <c r="V4" i="12"/>
  <c r="W4" i="12" s="1"/>
  <c r="W592" i="1" s="1"/>
  <c r="V5" i="12"/>
  <c r="W5" i="12" s="1"/>
  <c r="W593" i="1" s="1"/>
  <c r="V6" i="12"/>
  <c r="W6" i="12" s="1"/>
  <c r="W594" i="1" s="1"/>
  <c r="V7" i="12"/>
  <c r="W7" i="12" s="1"/>
  <c r="W595" i="1" s="1"/>
  <c r="V8" i="12"/>
  <c r="W8" i="12" s="1"/>
  <c r="W596" i="1" s="1"/>
  <c r="V9" i="12"/>
  <c r="W9" i="12" s="1"/>
  <c r="W597" i="1" s="1"/>
  <c r="V10" i="12"/>
  <c r="W10" i="12" s="1"/>
  <c r="W598" i="1" s="1"/>
  <c r="V11" i="12"/>
  <c r="W11" i="12" s="1"/>
  <c r="W599" i="1" s="1"/>
  <c r="V12" i="12"/>
  <c r="W12" i="12" s="1"/>
  <c r="W600" i="1" s="1"/>
  <c r="V13" i="12"/>
  <c r="W13" i="12" s="1"/>
  <c r="W601" i="1" s="1"/>
  <c r="V14" i="12"/>
  <c r="W14" i="12" s="1"/>
  <c r="W602" i="1" s="1"/>
  <c r="V15" i="12"/>
  <c r="W15" i="12" s="1"/>
  <c r="W603" i="1" s="1"/>
  <c r="V16" i="12"/>
  <c r="W16" i="12" s="1"/>
  <c r="W604" i="1" s="1"/>
  <c r="V17" i="12"/>
  <c r="W17" i="12" s="1"/>
  <c r="W605" i="1" s="1"/>
  <c r="V18" i="12"/>
  <c r="W18" i="12" s="1"/>
  <c r="W606" i="1" s="1"/>
  <c r="V19" i="12"/>
  <c r="W19" i="12" s="1"/>
  <c r="W607" i="1" s="1"/>
  <c r="V20" i="12"/>
  <c r="V21" i="12"/>
  <c r="W21" i="12" s="1"/>
  <c r="W609" i="1" s="1"/>
  <c r="V22" i="12"/>
  <c r="W22" i="12" s="1"/>
  <c r="W610" i="1" s="1"/>
  <c r="V23" i="12"/>
  <c r="W23" i="12" s="1"/>
  <c r="W611" i="1" s="1"/>
  <c r="V24" i="12"/>
  <c r="W24" i="12" s="1"/>
  <c r="W612" i="1" s="1"/>
  <c r="V25" i="12"/>
  <c r="W25" i="12" s="1"/>
  <c r="W613" i="1" s="1"/>
  <c r="V26" i="12"/>
  <c r="W26" i="12" s="1"/>
  <c r="W614" i="1" s="1"/>
  <c r="V27" i="12"/>
  <c r="W27" i="12" s="1"/>
  <c r="W615" i="1" s="1"/>
  <c r="V28" i="12"/>
  <c r="W28" i="12" s="1"/>
  <c r="W616" i="1" s="1"/>
  <c r="V29" i="12"/>
  <c r="W29" i="12" s="1"/>
  <c r="W617" i="1" s="1"/>
  <c r="V30" i="12"/>
  <c r="W30" i="12" s="1"/>
  <c r="W618" i="1" s="1"/>
  <c r="V31" i="12"/>
  <c r="W31" i="12" s="1"/>
  <c r="W619" i="1" s="1"/>
  <c r="V32" i="12"/>
  <c r="W32" i="12" s="1"/>
  <c r="W620" i="1" s="1"/>
  <c r="V33" i="12"/>
  <c r="W33" i="12" s="1"/>
  <c r="W621" i="1" s="1"/>
  <c r="V34" i="12"/>
  <c r="W34" i="12" s="1"/>
  <c r="W622" i="1" s="1"/>
  <c r="V35" i="12"/>
  <c r="W35" i="12" s="1"/>
  <c r="W623" i="1" s="1"/>
  <c r="V36" i="12"/>
  <c r="V37" i="12"/>
  <c r="W37" i="12" s="1"/>
  <c r="W625" i="1" s="1"/>
  <c r="V38" i="12"/>
  <c r="W38" i="12" s="1"/>
  <c r="W626" i="1" s="1"/>
  <c r="V39" i="12"/>
  <c r="W39" i="12" s="1"/>
  <c r="W627" i="1" s="1"/>
  <c r="V40" i="12"/>
  <c r="W40" i="12" s="1"/>
  <c r="W628" i="1" s="1"/>
  <c r="V41" i="12"/>
  <c r="W41" i="12" s="1"/>
  <c r="W629" i="1" s="1"/>
  <c r="V2" i="12"/>
  <c r="W2" i="12" s="1"/>
  <c r="W590" i="1" s="1"/>
  <c r="V3" i="11"/>
  <c r="W3" i="11" s="1"/>
  <c r="V521" i="1" s="1"/>
  <c r="V4" i="11"/>
  <c r="W4" i="11" s="1"/>
  <c r="V522" i="1" s="1"/>
  <c r="V5" i="11"/>
  <c r="W5" i="11" s="1"/>
  <c r="V523" i="1" s="1"/>
  <c r="V6" i="11"/>
  <c r="W6" i="11" s="1"/>
  <c r="V524" i="1" s="1"/>
  <c r="V7" i="11"/>
  <c r="W7" i="11" s="1"/>
  <c r="V525" i="1" s="1"/>
  <c r="V8" i="11"/>
  <c r="W8" i="11" s="1"/>
  <c r="V526" i="1" s="1"/>
  <c r="V9" i="11"/>
  <c r="W9" i="11" s="1"/>
  <c r="V527" i="1" s="1"/>
  <c r="V10" i="11"/>
  <c r="W10" i="11" s="1"/>
  <c r="V528" i="1" s="1"/>
  <c r="V11" i="11"/>
  <c r="W11" i="11" s="1"/>
  <c r="V529" i="1" s="1"/>
  <c r="V12" i="11"/>
  <c r="W12" i="11" s="1"/>
  <c r="V530" i="1" s="1"/>
  <c r="V13" i="11"/>
  <c r="W13" i="11" s="1"/>
  <c r="V531" i="1" s="1"/>
  <c r="V14" i="11"/>
  <c r="W14" i="11" s="1"/>
  <c r="V532" i="1" s="1"/>
  <c r="V15" i="11"/>
  <c r="W15" i="11" s="1"/>
  <c r="V533" i="1" s="1"/>
  <c r="V16" i="11"/>
  <c r="W16" i="11" s="1"/>
  <c r="V534" i="1" s="1"/>
  <c r="V17" i="11"/>
  <c r="W17" i="11" s="1"/>
  <c r="V535" i="1" s="1"/>
  <c r="V18" i="11"/>
  <c r="W18" i="11" s="1"/>
  <c r="V536" i="1" s="1"/>
  <c r="V19" i="11"/>
  <c r="W19" i="11" s="1"/>
  <c r="V537" i="1" s="1"/>
  <c r="V20" i="11"/>
  <c r="W20" i="11" s="1"/>
  <c r="V538" i="1" s="1"/>
  <c r="V21" i="11"/>
  <c r="W21" i="11" s="1"/>
  <c r="V539" i="1" s="1"/>
  <c r="V22" i="11"/>
  <c r="W22" i="11" s="1"/>
  <c r="V540" i="1" s="1"/>
  <c r="V23" i="11"/>
  <c r="W23" i="11" s="1"/>
  <c r="V541" i="1" s="1"/>
  <c r="V24" i="11"/>
  <c r="W24" i="11" s="1"/>
  <c r="V542" i="1" s="1"/>
  <c r="V25" i="11"/>
  <c r="W25" i="11" s="1"/>
  <c r="V543" i="1" s="1"/>
  <c r="V26" i="11"/>
  <c r="W26" i="11" s="1"/>
  <c r="V544" i="1" s="1"/>
  <c r="V27" i="11"/>
  <c r="W27" i="11" s="1"/>
  <c r="V545" i="1" s="1"/>
  <c r="V28" i="11"/>
  <c r="W28" i="11" s="1"/>
  <c r="V546" i="1" s="1"/>
  <c r="V29" i="11"/>
  <c r="W29" i="11" s="1"/>
  <c r="V547" i="1" s="1"/>
  <c r="V30" i="11"/>
  <c r="W30" i="11" s="1"/>
  <c r="V548" i="1" s="1"/>
  <c r="V31" i="11"/>
  <c r="W31" i="11" s="1"/>
  <c r="V549" i="1" s="1"/>
  <c r="V32" i="11"/>
  <c r="W32" i="11" s="1"/>
  <c r="V550" i="1" s="1"/>
  <c r="V33" i="11"/>
  <c r="W33" i="11" s="1"/>
  <c r="V551" i="1" s="1"/>
  <c r="V34" i="11"/>
  <c r="W34" i="11" s="1"/>
  <c r="V552" i="1" s="1"/>
  <c r="V35" i="11"/>
  <c r="W35" i="11" s="1"/>
  <c r="V553" i="1" s="1"/>
  <c r="V36" i="11"/>
  <c r="W36" i="11" s="1"/>
  <c r="V554" i="1" s="1"/>
  <c r="V37" i="11"/>
  <c r="W37" i="11" s="1"/>
  <c r="V555" i="1" s="1"/>
  <c r="V38" i="11"/>
  <c r="W38" i="11" s="1"/>
  <c r="V556" i="1" s="1"/>
  <c r="V39" i="11"/>
  <c r="W39" i="11" s="1"/>
  <c r="V557" i="1" s="1"/>
  <c r="V40" i="11"/>
  <c r="W40" i="11" s="1"/>
  <c r="V558" i="1" s="1"/>
  <c r="V41" i="11"/>
  <c r="W41" i="11" s="1"/>
  <c r="V559" i="1" s="1"/>
  <c r="V42" i="11"/>
  <c r="W42" i="11" s="1"/>
  <c r="V560" i="1" s="1"/>
  <c r="V43" i="11"/>
  <c r="W43" i="11" s="1"/>
  <c r="V561" i="1" s="1"/>
  <c r="V44" i="11"/>
  <c r="W44" i="11" s="1"/>
  <c r="V562" i="1" s="1"/>
  <c r="V45" i="11"/>
  <c r="W45" i="11" s="1"/>
  <c r="V563" i="1" s="1"/>
  <c r="V46" i="11"/>
  <c r="W46" i="11" s="1"/>
  <c r="V564" i="1" s="1"/>
  <c r="V47" i="11"/>
  <c r="W47" i="11" s="1"/>
  <c r="V565" i="1" s="1"/>
  <c r="V48" i="11"/>
  <c r="W48" i="11" s="1"/>
  <c r="V566" i="1" s="1"/>
  <c r="V49" i="11"/>
  <c r="W49" i="11" s="1"/>
  <c r="V567" i="1" s="1"/>
  <c r="V50" i="11"/>
  <c r="W50" i="11" s="1"/>
  <c r="V568" i="1" s="1"/>
  <c r="V51" i="11"/>
  <c r="W51" i="11" s="1"/>
  <c r="V569" i="1" s="1"/>
  <c r="V52" i="11"/>
  <c r="W52" i="11" s="1"/>
  <c r="V570" i="1" s="1"/>
  <c r="V53" i="11"/>
  <c r="W53" i="11" s="1"/>
  <c r="V571" i="1" s="1"/>
  <c r="V54" i="11"/>
  <c r="W54" i="11" s="1"/>
  <c r="V572" i="1" s="1"/>
  <c r="V55" i="11"/>
  <c r="W55" i="11" s="1"/>
  <c r="V573" i="1" s="1"/>
  <c r="V56" i="11"/>
  <c r="W56" i="11" s="1"/>
  <c r="V574" i="1" s="1"/>
  <c r="V57" i="11"/>
  <c r="W57" i="11" s="1"/>
  <c r="V575" i="1" s="1"/>
  <c r="V58" i="11"/>
  <c r="W58" i="11" s="1"/>
  <c r="V576" i="1" s="1"/>
  <c r="V59" i="11"/>
  <c r="W59" i="11" s="1"/>
  <c r="V577" i="1" s="1"/>
  <c r="V60" i="11"/>
  <c r="W60" i="11" s="1"/>
  <c r="V578" i="1" s="1"/>
  <c r="V61" i="11"/>
  <c r="W61" i="11" s="1"/>
  <c r="V579" i="1" s="1"/>
  <c r="V62" i="11"/>
  <c r="W62" i="11" s="1"/>
  <c r="V580" i="1" s="1"/>
  <c r="V63" i="11"/>
  <c r="W63" i="11" s="1"/>
  <c r="V581" i="1" s="1"/>
  <c r="V64" i="11"/>
  <c r="W64" i="11" s="1"/>
  <c r="V582" i="1" s="1"/>
  <c r="V65" i="11"/>
  <c r="W65" i="11" s="1"/>
  <c r="V583" i="1" s="1"/>
  <c r="V66" i="11"/>
  <c r="W66" i="11" s="1"/>
  <c r="V584" i="1" s="1"/>
  <c r="V67" i="11"/>
  <c r="W67" i="11" s="1"/>
  <c r="V585" i="1" s="1"/>
  <c r="V68" i="11"/>
  <c r="W68" i="11" s="1"/>
  <c r="V586" i="1" s="1"/>
  <c r="V69" i="11"/>
  <c r="W69" i="11" s="1"/>
  <c r="V587" i="1" s="1"/>
  <c r="V70" i="11"/>
  <c r="W70" i="11" s="1"/>
  <c r="V588" i="1" s="1"/>
  <c r="V71" i="11"/>
  <c r="W71" i="11" s="1"/>
  <c r="V589" i="1" s="1"/>
  <c r="V2" i="11"/>
  <c r="W2" i="11" s="1"/>
  <c r="V520" i="1" s="1"/>
  <c r="Y3" i="10"/>
  <c r="Z3" i="10" s="1"/>
  <c r="U511" i="1" s="1"/>
  <c r="Y4" i="10"/>
  <c r="Z4" i="10" s="1"/>
  <c r="U512" i="1" s="1"/>
  <c r="Y5" i="10"/>
  <c r="Z5" i="10" s="1"/>
  <c r="U513" i="1" s="1"/>
  <c r="Y6" i="10"/>
  <c r="Z6" i="10" s="1"/>
  <c r="U514" i="1" s="1"/>
  <c r="Y7" i="10"/>
  <c r="Z7" i="10" s="1"/>
  <c r="U515" i="1" s="1"/>
  <c r="Y8" i="10"/>
  <c r="Z8" i="10" s="1"/>
  <c r="U516" i="1" s="1"/>
  <c r="Y9" i="10"/>
  <c r="Z9" i="10" s="1"/>
  <c r="U517" i="1" s="1"/>
  <c r="Y10" i="10"/>
  <c r="Z10" i="10" s="1"/>
  <c r="U518" i="1" s="1"/>
  <c r="Y11" i="10"/>
  <c r="Z11" i="10" s="1"/>
  <c r="U519" i="1" s="1"/>
  <c r="Y2" i="10"/>
  <c r="Z2" i="10" s="1"/>
  <c r="U510" i="1" s="1"/>
  <c r="AB3" i="9"/>
  <c r="AC3" i="9" s="1"/>
  <c r="S461" i="1" s="1"/>
  <c r="AB4" i="9"/>
  <c r="AC4" i="9" s="1"/>
  <c r="S462" i="1" s="1"/>
  <c r="AB5" i="9"/>
  <c r="AC5" i="9" s="1"/>
  <c r="S463" i="1" s="1"/>
  <c r="AB6" i="9"/>
  <c r="AC6" i="9" s="1"/>
  <c r="S464" i="1" s="1"/>
  <c r="AB7" i="9"/>
  <c r="AC7" i="9" s="1"/>
  <c r="S465" i="1" s="1"/>
  <c r="AB8" i="9"/>
  <c r="AC8" i="9" s="1"/>
  <c r="S466" i="1" s="1"/>
  <c r="AB9" i="9"/>
  <c r="AC9" i="9" s="1"/>
  <c r="S467" i="1" s="1"/>
  <c r="AB10" i="9"/>
  <c r="AC10" i="9" s="1"/>
  <c r="S468" i="1" s="1"/>
  <c r="AB11" i="9"/>
  <c r="AC11" i="9" s="1"/>
  <c r="S469" i="1" s="1"/>
  <c r="AB12" i="9"/>
  <c r="AC12" i="9" s="1"/>
  <c r="S470" i="1" s="1"/>
  <c r="AB13" i="9"/>
  <c r="AC13" i="9" s="1"/>
  <c r="S471" i="1" s="1"/>
  <c r="AB14" i="9"/>
  <c r="AC14" i="9" s="1"/>
  <c r="S472" i="1" s="1"/>
  <c r="AB15" i="9"/>
  <c r="AC15" i="9" s="1"/>
  <c r="S473" i="1" s="1"/>
  <c r="AB16" i="9"/>
  <c r="AC16" i="9" s="1"/>
  <c r="S474" i="1" s="1"/>
  <c r="AB17" i="9"/>
  <c r="AC17" i="9" s="1"/>
  <c r="S475" i="1" s="1"/>
  <c r="AB18" i="9"/>
  <c r="AC18" i="9" s="1"/>
  <c r="S476" i="1" s="1"/>
  <c r="AB19" i="9"/>
  <c r="AC19" i="9" s="1"/>
  <c r="S477" i="1" s="1"/>
  <c r="AB20" i="9"/>
  <c r="AC20" i="9" s="1"/>
  <c r="S478" i="1" s="1"/>
  <c r="AB21" i="9"/>
  <c r="AC21" i="9" s="1"/>
  <c r="S479" i="1" s="1"/>
  <c r="AB22" i="9"/>
  <c r="AC22" i="9" s="1"/>
  <c r="S480" i="1" s="1"/>
  <c r="AB23" i="9"/>
  <c r="AC23" i="9" s="1"/>
  <c r="S481" i="1" s="1"/>
  <c r="AB24" i="9"/>
  <c r="AC24" i="9" s="1"/>
  <c r="S482" i="1" s="1"/>
  <c r="AB25" i="9"/>
  <c r="AC25" i="9" s="1"/>
  <c r="S483" i="1" s="1"/>
  <c r="AB26" i="9"/>
  <c r="AC26" i="9" s="1"/>
  <c r="S484" i="1" s="1"/>
  <c r="AB27" i="9"/>
  <c r="AC27" i="9" s="1"/>
  <c r="S485" i="1" s="1"/>
  <c r="AB28" i="9"/>
  <c r="AC28" i="9" s="1"/>
  <c r="S486" i="1" s="1"/>
  <c r="AB29" i="9"/>
  <c r="AC29" i="9" s="1"/>
  <c r="S487" i="1" s="1"/>
  <c r="AB30" i="9"/>
  <c r="AC30" i="9" s="1"/>
  <c r="S488" i="1" s="1"/>
  <c r="AB31" i="9"/>
  <c r="AC31" i="9" s="1"/>
  <c r="S489" i="1" s="1"/>
  <c r="AB32" i="9"/>
  <c r="AC32" i="9" s="1"/>
  <c r="S490" i="1" s="1"/>
  <c r="AB33" i="9"/>
  <c r="AC33" i="9" s="1"/>
  <c r="S491" i="1" s="1"/>
  <c r="AB34" i="9"/>
  <c r="AC34" i="9" s="1"/>
  <c r="S492" i="1" s="1"/>
  <c r="AB35" i="9"/>
  <c r="AC35" i="9" s="1"/>
  <c r="S493" i="1" s="1"/>
  <c r="AB36" i="9"/>
  <c r="AC36" i="9" s="1"/>
  <c r="S494" i="1" s="1"/>
  <c r="AB37" i="9"/>
  <c r="AC37" i="9" s="1"/>
  <c r="S495" i="1" s="1"/>
  <c r="AB38" i="9"/>
  <c r="AC38" i="9" s="1"/>
  <c r="S496" i="1" s="1"/>
  <c r="AB39" i="9"/>
  <c r="AC39" i="9" s="1"/>
  <c r="S497" i="1" s="1"/>
  <c r="AB40" i="9"/>
  <c r="AC40" i="9" s="1"/>
  <c r="S498" i="1" s="1"/>
  <c r="AB41" i="9"/>
  <c r="AC41" i="9" s="1"/>
  <c r="S499" i="1" s="1"/>
  <c r="AB42" i="9"/>
  <c r="AC42" i="9" s="1"/>
  <c r="S500" i="1" s="1"/>
  <c r="AB43" i="9"/>
  <c r="AC43" i="9" s="1"/>
  <c r="S501" i="1" s="1"/>
  <c r="AB44" i="9"/>
  <c r="AC44" i="9" s="1"/>
  <c r="S502" i="1" s="1"/>
  <c r="AB45" i="9"/>
  <c r="AC45" i="9" s="1"/>
  <c r="S503" i="1" s="1"/>
  <c r="AB46" i="9"/>
  <c r="AC46" i="9" s="1"/>
  <c r="S504" i="1" s="1"/>
  <c r="AB47" i="9"/>
  <c r="AC47" i="9" s="1"/>
  <c r="S505" i="1" s="1"/>
  <c r="AB48" i="9"/>
  <c r="AC48" i="9" s="1"/>
  <c r="S506" i="1" s="1"/>
  <c r="AB49" i="9"/>
  <c r="AC49" i="9" s="1"/>
  <c r="S507" i="1" s="1"/>
  <c r="AB50" i="9"/>
  <c r="AC50" i="9" s="1"/>
  <c r="S508" i="1" s="1"/>
  <c r="AB51" i="9"/>
  <c r="AC51" i="9" s="1"/>
  <c r="S509" i="1" s="1"/>
  <c r="AB2" i="9"/>
  <c r="AC2" i="9" s="1"/>
  <c r="S460" i="1" s="1"/>
  <c r="Z9" i="8"/>
  <c r="R367" i="1" s="1"/>
  <c r="Z17" i="8"/>
  <c r="R375" i="1" s="1"/>
  <c r="Z25" i="8"/>
  <c r="R383" i="1" s="1"/>
  <c r="Z33" i="8"/>
  <c r="R391" i="1" s="1"/>
  <c r="Z41" i="8"/>
  <c r="R399" i="1" s="1"/>
  <c r="Z49" i="8"/>
  <c r="R407" i="1" s="1"/>
  <c r="Z57" i="8"/>
  <c r="R415" i="1" s="1"/>
  <c r="Z65" i="8"/>
  <c r="R423" i="1" s="1"/>
  <c r="Z73" i="8"/>
  <c r="R431" i="1" s="1"/>
  <c r="Z81" i="8"/>
  <c r="R439" i="1" s="1"/>
  <c r="Z89" i="8"/>
  <c r="R447" i="1" s="1"/>
  <c r="Z97" i="8"/>
  <c r="R455" i="1" s="1"/>
  <c r="Y3" i="8"/>
  <c r="Z3" i="8" s="1"/>
  <c r="R361" i="1" s="1"/>
  <c r="Y4" i="8"/>
  <c r="Z4" i="8" s="1"/>
  <c r="R362" i="1" s="1"/>
  <c r="Y5" i="8"/>
  <c r="Z5" i="8" s="1"/>
  <c r="R363" i="1" s="1"/>
  <c r="Y6" i="8"/>
  <c r="Z6" i="8" s="1"/>
  <c r="R364" i="1" s="1"/>
  <c r="Y7" i="8"/>
  <c r="Z7" i="8" s="1"/>
  <c r="R365" i="1" s="1"/>
  <c r="Y8" i="8"/>
  <c r="Z8" i="8" s="1"/>
  <c r="R366" i="1" s="1"/>
  <c r="Y9" i="8"/>
  <c r="Y10" i="8"/>
  <c r="Z10" i="8" s="1"/>
  <c r="R368" i="1" s="1"/>
  <c r="Y11" i="8"/>
  <c r="Z11" i="8" s="1"/>
  <c r="R369" i="1" s="1"/>
  <c r="Y12" i="8"/>
  <c r="Z12" i="8" s="1"/>
  <c r="R370" i="1" s="1"/>
  <c r="Y13" i="8"/>
  <c r="Z13" i="8" s="1"/>
  <c r="R371" i="1" s="1"/>
  <c r="Y14" i="8"/>
  <c r="Z14" i="8" s="1"/>
  <c r="R372" i="1" s="1"/>
  <c r="Y15" i="8"/>
  <c r="Z15" i="8" s="1"/>
  <c r="R373" i="1" s="1"/>
  <c r="Y16" i="8"/>
  <c r="Z16" i="8" s="1"/>
  <c r="R374" i="1" s="1"/>
  <c r="Y17" i="8"/>
  <c r="Y18" i="8"/>
  <c r="Z18" i="8" s="1"/>
  <c r="R376" i="1" s="1"/>
  <c r="Y19" i="8"/>
  <c r="Z19" i="8" s="1"/>
  <c r="R377" i="1" s="1"/>
  <c r="Y20" i="8"/>
  <c r="Z20" i="8" s="1"/>
  <c r="R378" i="1" s="1"/>
  <c r="Y21" i="8"/>
  <c r="Z21" i="8" s="1"/>
  <c r="R379" i="1" s="1"/>
  <c r="Y22" i="8"/>
  <c r="Z22" i="8" s="1"/>
  <c r="R380" i="1" s="1"/>
  <c r="Y23" i="8"/>
  <c r="Z23" i="8" s="1"/>
  <c r="R381" i="1" s="1"/>
  <c r="Y24" i="8"/>
  <c r="Z24" i="8" s="1"/>
  <c r="R382" i="1" s="1"/>
  <c r="Y25" i="8"/>
  <c r="Y26" i="8"/>
  <c r="Z26" i="8" s="1"/>
  <c r="R384" i="1" s="1"/>
  <c r="Y27" i="8"/>
  <c r="Z27" i="8" s="1"/>
  <c r="R385" i="1" s="1"/>
  <c r="Y28" i="8"/>
  <c r="Z28" i="8" s="1"/>
  <c r="R386" i="1" s="1"/>
  <c r="Y29" i="8"/>
  <c r="Z29" i="8" s="1"/>
  <c r="R387" i="1" s="1"/>
  <c r="Y30" i="8"/>
  <c r="Z30" i="8" s="1"/>
  <c r="R388" i="1" s="1"/>
  <c r="Y31" i="8"/>
  <c r="Z31" i="8" s="1"/>
  <c r="R389" i="1" s="1"/>
  <c r="Y32" i="8"/>
  <c r="Z32" i="8" s="1"/>
  <c r="R390" i="1" s="1"/>
  <c r="Y33" i="8"/>
  <c r="Y34" i="8"/>
  <c r="Z34" i="8" s="1"/>
  <c r="R392" i="1" s="1"/>
  <c r="Y35" i="8"/>
  <c r="Z35" i="8" s="1"/>
  <c r="R393" i="1" s="1"/>
  <c r="Y36" i="8"/>
  <c r="Z36" i="8" s="1"/>
  <c r="R394" i="1" s="1"/>
  <c r="Y37" i="8"/>
  <c r="Z37" i="8" s="1"/>
  <c r="R395" i="1" s="1"/>
  <c r="Y38" i="8"/>
  <c r="Z38" i="8" s="1"/>
  <c r="R396" i="1" s="1"/>
  <c r="Y39" i="8"/>
  <c r="Z39" i="8" s="1"/>
  <c r="R397" i="1" s="1"/>
  <c r="Y40" i="8"/>
  <c r="Z40" i="8" s="1"/>
  <c r="R398" i="1" s="1"/>
  <c r="Y41" i="8"/>
  <c r="Y42" i="8"/>
  <c r="Z42" i="8" s="1"/>
  <c r="R400" i="1" s="1"/>
  <c r="Y43" i="8"/>
  <c r="Z43" i="8" s="1"/>
  <c r="R401" i="1" s="1"/>
  <c r="Y44" i="8"/>
  <c r="Z44" i="8" s="1"/>
  <c r="R402" i="1" s="1"/>
  <c r="Y45" i="8"/>
  <c r="Z45" i="8" s="1"/>
  <c r="R403" i="1" s="1"/>
  <c r="Y46" i="8"/>
  <c r="Z46" i="8" s="1"/>
  <c r="R404" i="1" s="1"/>
  <c r="Y47" i="8"/>
  <c r="Z47" i="8" s="1"/>
  <c r="R405" i="1" s="1"/>
  <c r="Y48" i="8"/>
  <c r="Z48" i="8" s="1"/>
  <c r="R406" i="1" s="1"/>
  <c r="Y49" i="8"/>
  <c r="Y50" i="8"/>
  <c r="Z50" i="8" s="1"/>
  <c r="R408" i="1" s="1"/>
  <c r="Y51" i="8"/>
  <c r="Z51" i="8" s="1"/>
  <c r="R409" i="1" s="1"/>
  <c r="Y52" i="8"/>
  <c r="Z52" i="8" s="1"/>
  <c r="R410" i="1" s="1"/>
  <c r="Y53" i="8"/>
  <c r="Z53" i="8" s="1"/>
  <c r="R411" i="1" s="1"/>
  <c r="Y54" i="8"/>
  <c r="Z54" i="8" s="1"/>
  <c r="R412" i="1" s="1"/>
  <c r="Y55" i="8"/>
  <c r="Z55" i="8" s="1"/>
  <c r="R413" i="1" s="1"/>
  <c r="Y56" i="8"/>
  <c r="Z56" i="8" s="1"/>
  <c r="R414" i="1" s="1"/>
  <c r="Y57" i="8"/>
  <c r="Y58" i="8"/>
  <c r="Z58" i="8" s="1"/>
  <c r="R416" i="1" s="1"/>
  <c r="Y59" i="8"/>
  <c r="Z59" i="8" s="1"/>
  <c r="R417" i="1" s="1"/>
  <c r="Y60" i="8"/>
  <c r="Z60" i="8" s="1"/>
  <c r="R418" i="1" s="1"/>
  <c r="Y61" i="8"/>
  <c r="Z61" i="8" s="1"/>
  <c r="R419" i="1" s="1"/>
  <c r="Y62" i="8"/>
  <c r="Z62" i="8" s="1"/>
  <c r="R420" i="1" s="1"/>
  <c r="Y63" i="8"/>
  <c r="Z63" i="8" s="1"/>
  <c r="R421" i="1" s="1"/>
  <c r="Y64" i="8"/>
  <c r="Z64" i="8" s="1"/>
  <c r="R422" i="1" s="1"/>
  <c r="Y65" i="8"/>
  <c r="Y66" i="8"/>
  <c r="Z66" i="8" s="1"/>
  <c r="R424" i="1" s="1"/>
  <c r="Y67" i="8"/>
  <c r="Z67" i="8" s="1"/>
  <c r="R425" i="1" s="1"/>
  <c r="Y68" i="8"/>
  <c r="Z68" i="8" s="1"/>
  <c r="R426" i="1" s="1"/>
  <c r="Y69" i="8"/>
  <c r="Z69" i="8" s="1"/>
  <c r="R427" i="1" s="1"/>
  <c r="Y70" i="8"/>
  <c r="Z70" i="8" s="1"/>
  <c r="R428" i="1" s="1"/>
  <c r="Y71" i="8"/>
  <c r="Z71" i="8" s="1"/>
  <c r="R429" i="1" s="1"/>
  <c r="Y72" i="8"/>
  <c r="Z72" i="8" s="1"/>
  <c r="R430" i="1" s="1"/>
  <c r="Y73" i="8"/>
  <c r="Y74" i="8"/>
  <c r="Z74" i="8" s="1"/>
  <c r="R432" i="1" s="1"/>
  <c r="Y75" i="8"/>
  <c r="Z75" i="8" s="1"/>
  <c r="R433" i="1" s="1"/>
  <c r="Y76" i="8"/>
  <c r="Z76" i="8" s="1"/>
  <c r="R434" i="1" s="1"/>
  <c r="Y77" i="8"/>
  <c r="Z77" i="8" s="1"/>
  <c r="R435" i="1" s="1"/>
  <c r="Y78" i="8"/>
  <c r="Z78" i="8" s="1"/>
  <c r="R436" i="1" s="1"/>
  <c r="Y79" i="8"/>
  <c r="Z79" i="8" s="1"/>
  <c r="R437" i="1" s="1"/>
  <c r="Y80" i="8"/>
  <c r="Z80" i="8" s="1"/>
  <c r="R438" i="1" s="1"/>
  <c r="Y81" i="8"/>
  <c r="Y82" i="8"/>
  <c r="Z82" i="8" s="1"/>
  <c r="R440" i="1" s="1"/>
  <c r="Y83" i="8"/>
  <c r="Z83" i="8" s="1"/>
  <c r="R441" i="1" s="1"/>
  <c r="Y84" i="8"/>
  <c r="Z84" i="8" s="1"/>
  <c r="R442" i="1" s="1"/>
  <c r="Y85" i="8"/>
  <c r="Z85" i="8" s="1"/>
  <c r="R443" i="1" s="1"/>
  <c r="Y86" i="8"/>
  <c r="Z86" i="8" s="1"/>
  <c r="R444" i="1" s="1"/>
  <c r="Y87" i="8"/>
  <c r="Z87" i="8" s="1"/>
  <c r="R445" i="1" s="1"/>
  <c r="Y88" i="8"/>
  <c r="Z88" i="8" s="1"/>
  <c r="R446" i="1" s="1"/>
  <c r="Y89" i="8"/>
  <c r="Y90" i="8"/>
  <c r="Z90" i="8" s="1"/>
  <c r="R448" i="1" s="1"/>
  <c r="Y91" i="8"/>
  <c r="Z91" i="8" s="1"/>
  <c r="R449" i="1" s="1"/>
  <c r="Y92" i="8"/>
  <c r="Z92" i="8" s="1"/>
  <c r="R450" i="1" s="1"/>
  <c r="Y93" i="8"/>
  <c r="Z93" i="8" s="1"/>
  <c r="R451" i="1" s="1"/>
  <c r="Y94" i="8"/>
  <c r="Z94" i="8" s="1"/>
  <c r="R452" i="1" s="1"/>
  <c r="Y95" i="8"/>
  <c r="Z95" i="8" s="1"/>
  <c r="R453" i="1" s="1"/>
  <c r="Y96" i="8"/>
  <c r="Z96" i="8" s="1"/>
  <c r="R454" i="1" s="1"/>
  <c r="Y97" i="8"/>
  <c r="Y98" i="8"/>
  <c r="Z98" i="8" s="1"/>
  <c r="R456" i="1" s="1"/>
  <c r="Y99" i="8"/>
  <c r="Z99" i="8" s="1"/>
  <c r="R457" i="1" s="1"/>
  <c r="Y100" i="8"/>
  <c r="Z100" i="8" s="1"/>
  <c r="R458" i="1" s="1"/>
  <c r="Y101" i="8"/>
  <c r="Z101" i="8" s="1"/>
  <c r="R459" i="1" s="1"/>
  <c r="Y2" i="8"/>
  <c r="Z2" i="8" s="1"/>
  <c r="R360" i="1" s="1"/>
  <c r="AF3" i="16"/>
  <c r="P763" i="1" s="1"/>
  <c r="AF4" i="16"/>
  <c r="P764" i="1" s="1"/>
  <c r="AF5" i="16"/>
  <c r="P765" i="1" s="1"/>
  <c r="AF6" i="16"/>
  <c r="P766" i="1" s="1"/>
  <c r="AF7" i="16"/>
  <c r="P767" i="1" s="1"/>
  <c r="AF8" i="16"/>
  <c r="P768" i="1" s="1"/>
  <c r="AF9" i="16"/>
  <c r="P769" i="1" s="1"/>
  <c r="AF10" i="16"/>
  <c r="P770" i="1" s="1"/>
  <c r="AF2" i="16"/>
  <c r="P762" i="1" s="1"/>
  <c r="AL3" i="6"/>
  <c r="AN3" i="6" s="1"/>
  <c r="H341" i="1" s="1"/>
  <c r="AL4" i="6"/>
  <c r="AN4" i="6" s="1"/>
  <c r="H342" i="1" s="1"/>
  <c r="AL5" i="6"/>
  <c r="AN5" i="6" s="1"/>
  <c r="H343" i="1" s="1"/>
  <c r="AL6" i="6"/>
  <c r="AN6" i="6" s="1"/>
  <c r="H344" i="1" s="1"/>
  <c r="AL7" i="6"/>
  <c r="AL8" i="6"/>
  <c r="AL9" i="6"/>
  <c r="AN9" i="6" s="1"/>
  <c r="H347" i="1" s="1"/>
  <c r="AL10" i="6"/>
  <c r="AN10" i="6" s="1"/>
  <c r="H348" i="1" s="1"/>
  <c r="AL11" i="6"/>
  <c r="AL12" i="6"/>
  <c r="AL13" i="6"/>
  <c r="AN13" i="6" s="1"/>
  <c r="H351" i="1" s="1"/>
  <c r="AL14" i="6"/>
  <c r="AN14" i="6" s="1"/>
  <c r="H352" i="1" s="1"/>
  <c r="AL15" i="6"/>
  <c r="AL16" i="6"/>
  <c r="AL17" i="6"/>
  <c r="AN17" i="6" s="1"/>
  <c r="H355" i="1" s="1"/>
  <c r="AL18" i="6"/>
  <c r="AN18" i="6" s="1"/>
  <c r="H356" i="1" s="1"/>
  <c r="AL19" i="6"/>
  <c r="AL20" i="6"/>
  <c r="AL21" i="6"/>
  <c r="AN21" i="6" s="1"/>
  <c r="H359" i="1" s="1"/>
  <c r="AN7" i="6"/>
  <c r="H345" i="1" s="1"/>
  <c r="AN8" i="6"/>
  <c r="H346" i="1" s="1"/>
  <c r="AN11" i="6"/>
  <c r="H349" i="1" s="1"/>
  <c r="AN12" i="6"/>
  <c r="H350" i="1" s="1"/>
  <c r="AN15" i="6"/>
  <c r="H353" i="1" s="1"/>
  <c r="AN16" i="6"/>
  <c r="H354" i="1" s="1"/>
  <c r="AN19" i="6"/>
  <c r="H357" i="1" s="1"/>
  <c r="AN20" i="6"/>
  <c r="H358" i="1" s="1"/>
  <c r="AL2" i="6"/>
  <c r="AN2" i="6" s="1"/>
  <c r="H340" i="1" s="1"/>
  <c r="Y2" i="3"/>
  <c r="AE10" i="17"/>
  <c r="O308" i="1" s="1"/>
  <c r="AE18" i="17"/>
  <c r="O316" i="1" s="1"/>
  <c r="AD3" i="17"/>
  <c r="AE3" i="17" s="1"/>
  <c r="O301" i="1" s="1"/>
  <c r="AD4" i="17"/>
  <c r="AE4" i="17" s="1"/>
  <c r="O302" i="1" s="1"/>
  <c r="AD5" i="17"/>
  <c r="AE5" i="17" s="1"/>
  <c r="O303" i="1" s="1"/>
  <c r="AD6" i="17"/>
  <c r="AE6" i="17" s="1"/>
  <c r="O304" i="1" s="1"/>
  <c r="AD7" i="17"/>
  <c r="AE7" i="17" s="1"/>
  <c r="O305" i="1" s="1"/>
  <c r="AD8" i="17"/>
  <c r="AE8" i="17" s="1"/>
  <c r="O306" i="1" s="1"/>
  <c r="AD9" i="17"/>
  <c r="AE9" i="17" s="1"/>
  <c r="O307" i="1" s="1"/>
  <c r="AD10" i="17"/>
  <c r="AD11" i="17"/>
  <c r="AE11" i="17" s="1"/>
  <c r="O309" i="1" s="1"/>
  <c r="AD12" i="17"/>
  <c r="AE12" i="17" s="1"/>
  <c r="O310" i="1" s="1"/>
  <c r="AD13" i="17"/>
  <c r="AE13" i="17" s="1"/>
  <c r="O311" i="1" s="1"/>
  <c r="AD14" i="17"/>
  <c r="AE14" i="17" s="1"/>
  <c r="O312" i="1" s="1"/>
  <c r="AD15" i="17"/>
  <c r="AE15" i="17" s="1"/>
  <c r="O313" i="1" s="1"/>
  <c r="AD16" i="17"/>
  <c r="AE16" i="17" s="1"/>
  <c r="O314" i="1" s="1"/>
  <c r="AD17" i="17"/>
  <c r="AE17" i="17" s="1"/>
  <c r="O315" i="1" s="1"/>
  <c r="AD18" i="17"/>
  <c r="AD19" i="17"/>
  <c r="AE19" i="17" s="1"/>
  <c r="O317" i="1" s="1"/>
  <c r="AD20" i="17"/>
  <c r="AE20" i="17" s="1"/>
  <c r="O318" i="1" s="1"/>
  <c r="AD21" i="17"/>
  <c r="AE21" i="17" s="1"/>
  <c r="O319" i="1" s="1"/>
  <c r="AD2" i="17"/>
  <c r="Y3" i="4" l="1"/>
  <c r="Z3" i="4" s="1"/>
  <c r="N201" i="1" s="1"/>
  <c r="Y4" i="4"/>
  <c r="Z4" i="4" s="1"/>
  <c r="N202" i="1" s="1"/>
  <c r="Y5" i="4"/>
  <c r="Y6" i="4"/>
  <c r="Z6" i="4" s="1"/>
  <c r="N204" i="1" s="1"/>
  <c r="Y7" i="4"/>
  <c r="Y8" i="4"/>
  <c r="Y9" i="4"/>
  <c r="Y10" i="4"/>
  <c r="Z10" i="4" s="1"/>
  <c r="N208" i="1" s="1"/>
  <c r="Y11" i="4"/>
  <c r="Y12" i="4"/>
  <c r="Y13" i="4"/>
  <c r="Y14" i="4"/>
  <c r="Z14" i="4" s="1"/>
  <c r="N212" i="1" s="1"/>
  <c r="Y15" i="4"/>
  <c r="Y16" i="4"/>
  <c r="Y17" i="4"/>
  <c r="Y18" i="4"/>
  <c r="Z18" i="4" s="1"/>
  <c r="N216" i="1" s="1"/>
  <c r="Y19" i="4"/>
  <c r="Y20" i="4"/>
  <c r="Y21" i="4"/>
  <c r="Y22" i="4"/>
  <c r="Z22" i="4" s="1"/>
  <c r="N220" i="1" s="1"/>
  <c r="Y23" i="4"/>
  <c r="Y24" i="4"/>
  <c r="Y25" i="4"/>
  <c r="Y26" i="4"/>
  <c r="Z26" i="4" s="1"/>
  <c r="N224" i="1" s="1"/>
  <c r="Y27" i="4"/>
  <c r="Y28" i="4"/>
  <c r="Y29" i="4"/>
  <c r="Y30" i="4"/>
  <c r="Z30" i="4" s="1"/>
  <c r="N228" i="1" s="1"/>
  <c r="Y31" i="4"/>
  <c r="Y32" i="4"/>
  <c r="Y33" i="4"/>
  <c r="Y34" i="4"/>
  <c r="Z34" i="4" s="1"/>
  <c r="N232" i="1" s="1"/>
  <c r="Y35" i="4"/>
  <c r="Y36" i="4"/>
  <c r="Y37" i="4"/>
  <c r="Y38" i="4"/>
  <c r="Z38" i="4" s="1"/>
  <c r="N236" i="1" s="1"/>
  <c r="Y39" i="4"/>
  <c r="Y40" i="4"/>
  <c r="Y41" i="4"/>
  <c r="Y42" i="4"/>
  <c r="Z42" i="4" s="1"/>
  <c r="N240" i="1" s="1"/>
  <c r="Y43" i="4"/>
  <c r="Y44" i="4"/>
  <c r="Y45" i="4"/>
  <c r="Y46" i="4"/>
  <c r="Z46" i="4" s="1"/>
  <c r="N244" i="1" s="1"/>
  <c r="Y47" i="4"/>
  <c r="Y48" i="4"/>
  <c r="Y49" i="4"/>
  <c r="Y50" i="4"/>
  <c r="Z50" i="4" s="1"/>
  <c r="N248" i="1" s="1"/>
  <c r="Y51" i="4"/>
  <c r="Y3" i="2"/>
  <c r="Z3" i="2" s="1"/>
  <c r="L3" i="1" s="1"/>
  <c r="Y4" i="2"/>
  <c r="Z4" i="2" s="1"/>
  <c r="L4" i="1" s="1"/>
  <c r="Y5" i="2"/>
  <c r="Z5" i="2" s="1"/>
  <c r="L5" i="1" s="1"/>
  <c r="Y6" i="2"/>
  <c r="Z6" i="2" s="1"/>
  <c r="L6" i="1" s="1"/>
  <c r="Y7" i="2"/>
  <c r="Z7" i="2" s="1"/>
  <c r="L7" i="1" s="1"/>
  <c r="Y8" i="2"/>
  <c r="Z8" i="2" s="1"/>
  <c r="L8" i="1" s="1"/>
  <c r="Y9" i="2"/>
  <c r="Z9" i="2" s="1"/>
  <c r="L9" i="1" s="1"/>
  <c r="Y10" i="2"/>
  <c r="Z10" i="2" s="1"/>
  <c r="L10" i="1" s="1"/>
  <c r="Y11" i="2"/>
  <c r="Z11" i="2" s="1"/>
  <c r="L11" i="1" s="1"/>
  <c r="Y12" i="2"/>
  <c r="Z12" i="2" s="1"/>
  <c r="L12" i="1" s="1"/>
  <c r="Y13" i="2"/>
  <c r="Z13" i="2" s="1"/>
  <c r="L13" i="1" s="1"/>
  <c r="Y14" i="2"/>
  <c r="Z14" i="2" s="1"/>
  <c r="L14" i="1" s="1"/>
  <c r="Y15" i="2"/>
  <c r="Y16" i="2"/>
  <c r="Z16" i="2" s="1"/>
  <c r="L16" i="1" s="1"/>
  <c r="Y17" i="2"/>
  <c r="Z17" i="2" s="1"/>
  <c r="L17" i="1" s="1"/>
  <c r="Y18" i="2"/>
  <c r="Z18" i="2" s="1"/>
  <c r="L18" i="1" s="1"/>
  <c r="Y19" i="2"/>
  <c r="Y20" i="2"/>
  <c r="Z20" i="2" s="1"/>
  <c r="L20" i="1" s="1"/>
  <c r="Y21" i="2"/>
  <c r="Z21" i="2" s="1"/>
  <c r="L21" i="1" s="1"/>
  <c r="Y22" i="2"/>
  <c r="Z22" i="2" s="1"/>
  <c r="L22" i="1" s="1"/>
  <c r="Y23" i="2"/>
  <c r="Y24" i="2"/>
  <c r="Z24" i="2" s="1"/>
  <c r="L24" i="1" s="1"/>
  <c r="Y25" i="2"/>
  <c r="Z25" i="2" s="1"/>
  <c r="L25" i="1" s="1"/>
  <c r="Y26" i="2"/>
  <c r="Z26" i="2" s="1"/>
  <c r="L26" i="1" s="1"/>
  <c r="Y27" i="2"/>
  <c r="Y28" i="2"/>
  <c r="Z28" i="2" s="1"/>
  <c r="L28" i="1" s="1"/>
  <c r="Y29" i="2"/>
  <c r="Z29" i="2" s="1"/>
  <c r="L29" i="1" s="1"/>
  <c r="Y30" i="2"/>
  <c r="Z30" i="2" s="1"/>
  <c r="L30" i="1" s="1"/>
  <c r="Y31" i="2"/>
  <c r="Y32" i="2"/>
  <c r="Z32" i="2" s="1"/>
  <c r="L32" i="1" s="1"/>
  <c r="Y33" i="2"/>
  <c r="Z33" i="2" s="1"/>
  <c r="L33" i="1" s="1"/>
  <c r="Y34" i="2"/>
  <c r="Z34" i="2" s="1"/>
  <c r="L34" i="1" s="1"/>
  <c r="Y35" i="2"/>
  <c r="Y36" i="2"/>
  <c r="Z36" i="2" s="1"/>
  <c r="L36" i="1" s="1"/>
  <c r="Y37" i="2"/>
  <c r="Z37" i="2" s="1"/>
  <c r="L37" i="1" s="1"/>
  <c r="Y38" i="2"/>
  <c r="Z38" i="2" s="1"/>
  <c r="L38" i="1" s="1"/>
  <c r="Y39" i="2"/>
  <c r="Y40" i="2"/>
  <c r="Z40" i="2" s="1"/>
  <c r="L40" i="1" s="1"/>
  <c r="Y41" i="2"/>
  <c r="Z41" i="2" s="1"/>
  <c r="L41" i="1" s="1"/>
  <c r="Y42" i="2"/>
  <c r="Z42" i="2" s="1"/>
  <c r="L42" i="1" s="1"/>
  <c r="Y43" i="2"/>
  <c r="Y44" i="2"/>
  <c r="Z44" i="2" s="1"/>
  <c r="L44" i="1" s="1"/>
  <c r="Y45" i="2"/>
  <c r="Z45" i="2" s="1"/>
  <c r="L45" i="1" s="1"/>
  <c r="Y46" i="2"/>
  <c r="Z46" i="2" s="1"/>
  <c r="L46" i="1" s="1"/>
  <c r="Y47" i="2"/>
  <c r="Y48" i="2"/>
  <c r="Z48" i="2" s="1"/>
  <c r="L48" i="1" s="1"/>
  <c r="Y49" i="2"/>
  <c r="Z49" i="2" s="1"/>
  <c r="L49" i="1" s="1"/>
  <c r="Y50" i="2"/>
  <c r="Z50" i="2" s="1"/>
  <c r="L50" i="1" s="1"/>
  <c r="Y51" i="2"/>
  <c r="Y52" i="2"/>
  <c r="Z52" i="2" s="1"/>
  <c r="L52" i="1" s="1"/>
  <c r="Y53" i="2"/>
  <c r="Z53" i="2" s="1"/>
  <c r="L53" i="1" s="1"/>
  <c r="Y54" i="2"/>
  <c r="Z54" i="2" s="1"/>
  <c r="L54" i="1" s="1"/>
  <c r="Y55" i="2"/>
  <c r="Y56" i="2"/>
  <c r="Z56" i="2" s="1"/>
  <c r="L56" i="1" s="1"/>
  <c r="Y57" i="2"/>
  <c r="Z57" i="2" s="1"/>
  <c r="L57" i="1" s="1"/>
  <c r="Y58" i="2"/>
  <c r="Z58" i="2" s="1"/>
  <c r="L58" i="1" s="1"/>
  <c r="Y59" i="2"/>
  <c r="Y60" i="2"/>
  <c r="Z60" i="2" s="1"/>
  <c r="L60" i="1" s="1"/>
  <c r="Y61" i="2"/>
  <c r="Z61" i="2" s="1"/>
  <c r="L61" i="1" s="1"/>
  <c r="Y62" i="2"/>
  <c r="Z62" i="2" s="1"/>
  <c r="L62" i="1" s="1"/>
  <c r="Y63" i="2"/>
  <c r="Y64" i="2"/>
  <c r="Z64" i="2" s="1"/>
  <c r="L64" i="1" s="1"/>
  <c r="Y65" i="2"/>
  <c r="Z65" i="2" s="1"/>
  <c r="L65" i="1" s="1"/>
  <c r="Y66" i="2"/>
  <c r="Z66" i="2" s="1"/>
  <c r="L66" i="1" s="1"/>
  <c r="Y67" i="2"/>
  <c r="Y68" i="2"/>
  <c r="Z68" i="2" s="1"/>
  <c r="L68" i="1" s="1"/>
  <c r="Y69" i="2"/>
  <c r="Z69" i="2" s="1"/>
  <c r="L69" i="1" s="1"/>
  <c r="Y70" i="2"/>
  <c r="Z70" i="2" s="1"/>
  <c r="L70" i="1" s="1"/>
  <c r="Y71" i="2"/>
  <c r="Y72" i="2"/>
  <c r="Z72" i="2" s="1"/>
  <c r="L72" i="1" s="1"/>
  <c r="Y73" i="2"/>
  <c r="Z73" i="2" s="1"/>
  <c r="L73" i="1" s="1"/>
  <c r="Y74" i="2"/>
  <c r="Z74" i="2" s="1"/>
  <c r="L74" i="1" s="1"/>
  <c r="Y75" i="2"/>
  <c r="Y76" i="2"/>
  <c r="Z76" i="2" s="1"/>
  <c r="L76" i="1" s="1"/>
  <c r="Y77" i="2"/>
  <c r="Z77" i="2" s="1"/>
  <c r="L77" i="1" s="1"/>
  <c r="Y78" i="2"/>
  <c r="Z78" i="2" s="1"/>
  <c r="L78" i="1" s="1"/>
  <c r="Y79" i="2"/>
  <c r="Y80" i="2"/>
  <c r="Z80" i="2" s="1"/>
  <c r="L80" i="1" s="1"/>
  <c r="Y81" i="2"/>
  <c r="Z81" i="2" s="1"/>
  <c r="L81" i="1" s="1"/>
  <c r="Y82" i="2"/>
  <c r="Z82" i="2" s="1"/>
  <c r="L82" i="1" s="1"/>
  <c r="Y83" i="2"/>
  <c r="Y84" i="2"/>
  <c r="Z84" i="2" s="1"/>
  <c r="L84" i="1" s="1"/>
  <c r="Y85" i="2"/>
  <c r="Z85" i="2" s="1"/>
  <c r="L85" i="1" s="1"/>
  <c r="Y86" i="2"/>
  <c r="Z86" i="2" s="1"/>
  <c r="L86" i="1" s="1"/>
  <c r="Y87" i="2"/>
  <c r="Y88" i="2"/>
  <c r="Z88" i="2" s="1"/>
  <c r="L88" i="1" s="1"/>
  <c r="Y89" i="2"/>
  <c r="Z89" i="2" s="1"/>
  <c r="L89" i="1" s="1"/>
  <c r="Y90" i="2"/>
  <c r="Z90" i="2" s="1"/>
  <c r="L90" i="1" s="1"/>
  <c r="Y91" i="2"/>
  <c r="Y92" i="2"/>
  <c r="Z92" i="2" s="1"/>
  <c r="L92" i="1" s="1"/>
  <c r="Y93" i="2"/>
  <c r="Z93" i="2" s="1"/>
  <c r="L93" i="1" s="1"/>
  <c r="Y94" i="2"/>
  <c r="Z94" i="2" s="1"/>
  <c r="L94" i="1" s="1"/>
  <c r="Y95" i="2"/>
  <c r="Y96" i="2"/>
  <c r="Z96" i="2" s="1"/>
  <c r="L96" i="1" s="1"/>
  <c r="Y97" i="2"/>
  <c r="Z97" i="2" s="1"/>
  <c r="L97" i="1" s="1"/>
  <c r="Y98" i="2"/>
  <c r="Z98" i="2" s="1"/>
  <c r="L98" i="1" s="1"/>
  <c r="Y99" i="2"/>
  <c r="Y100" i="2"/>
  <c r="Z100" i="2" s="1"/>
  <c r="L100" i="1" s="1"/>
  <c r="Y101" i="2"/>
  <c r="Z101" i="2" s="1"/>
  <c r="L101" i="1" s="1"/>
  <c r="Y102" i="2"/>
  <c r="Z102" i="2" s="1"/>
  <c r="L102" i="1" s="1"/>
  <c r="Y103" i="2"/>
  <c r="Y104" i="2"/>
  <c r="Z104" i="2" s="1"/>
  <c r="L104" i="1" s="1"/>
  <c r="Y105" i="2"/>
  <c r="Z105" i="2" s="1"/>
  <c r="L105" i="1" s="1"/>
  <c r="Y106" i="2"/>
  <c r="Z106" i="2" s="1"/>
  <c r="L106" i="1" s="1"/>
  <c r="Y107" i="2"/>
  <c r="Y108" i="2"/>
  <c r="Z108" i="2" s="1"/>
  <c r="L108" i="1" s="1"/>
  <c r="Y109" i="2"/>
  <c r="Z109" i="2" s="1"/>
  <c r="L109" i="1" s="1"/>
  <c r="Y110" i="2"/>
  <c r="Z110" i="2" s="1"/>
  <c r="L110" i="1" s="1"/>
  <c r="Y111" i="2"/>
  <c r="Y112" i="2"/>
  <c r="Z112" i="2" s="1"/>
  <c r="L112" i="1" s="1"/>
  <c r="Y113" i="2"/>
  <c r="Z113" i="2" s="1"/>
  <c r="L113" i="1" s="1"/>
  <c r="Y114" i="2"/>
  <c r="Z114" i="2" s="1"/>
  <c r="L114" i="1" s="1"/>
  <c r="Y115" i="2"/>
  <c r="Y116" i="2"/>
  <c r="Z116" i="2" s="1"/>
  <c r="L116" i="1" s="1"/>
  <c r="Y117" i="2"/>
  <c r="Z117" i="2" s="1"/>
  <c r="L117" i="1" s="1"/>
  <c r="Y118" i="2"/>
  <c r="Z118" i="2" s="1"/>
  <c r="L118" i="1" s="1"/>
  <c r="Y119" i="2"/>
  <c r="Y120" i="2"/>
  <c r="Z120" i="2" s="1"/>
  <c r="L120" i="1" s="1"/>
  <c r="Y121" i="2"/>
  <c r="Z121" i="2" s="1"/>
  <c r="L121" i="1" s="1"/>
  <c r="Y122" i="2"/>
  <c r="Z122" i="2" s="1"/>
  <c r="L122" i="1" s="1"/>
  <c r="Y123" i="2"/>
  <c r="Y124" i="2"/>
  <c r="Z124" i="2" s="1"/>
  <c r="L124" i="1" s="1"/>
  <c r="Y125" i="2"/>
  <c r="Z125" i="2" s="1"/>
  <c r="L125" i="1" s="1"/>
  <c r="Y126" i="2"/>
  <c r="Z126" i="2" s="1"/>
  <c r="L126" i="1" s="1"/>
  <c r="Y127" i="2"/>
  <c r="Y128" i="2"/>
  <c r="Z128" i="2" s="1"/>
  <c r="L128" i="1" s="1"/>
  <c r="Y129" i="2"/>
  <c r="Z129" i="2" s="1"/>
  <c r="L129" i="1" s="1"/>
  <c r="Y130" i="2"/>
  <c r="Z130" i="2" s="1"/>
  <c r="L130" i="1" s="1"/>
  <c r="Y131" i="2"/>
  <c r="Y132" i="2"/>
  <c r="Z132" i="2" s="1"/>
  <c r="L132" i="1" s="1"/>
  <c r="Y133" i="2"/>
  <c r="Z133" i="2" s="1"/>
  <c r="L133" i="1" s="1"/>
  <c r="Y134" i="2"/>
  <c r="Z134" i="2" s="1"/>
  <c r="L134" i="1" s="1"/>
  <c r="Y135" i="2"/>
  <c r="Y136" i="2"/>
  <c r="Z136" i="2" s="1"/>
  <c r="L136" i="1" s="1"/>
  <c r="Y137" i="2"/>
  <c r="Z137" i="2" s="1"/>
  <c r="L137" i="1" s="1"/>
  <c r="Y138" i="2"/>
  <c r="Z138" i="2" s="1"/>
  <c r="L138" i="1" s="1"/>
  <c r="Y139" i="2"/>
  <c r="Y140" i="2"/>
  <c r="Z140" i="2" s="1"/>
  <c r="L140" i="1" s="1"/>
  <c r="Y141" i="2"/>
  <c r="Z141" i="2" s="1"/>
  <c r="L141" i="1" s="1"/>
  <c r="Y142" i="2"/>
  <c r="Z142" i="2" s="1"/>
  <c r="L142" i="1" s="1"/>
  <c r="Y143" i="2"/>
  <c r="Y144" i="2"/>
  <c r="Z144" i="2" s="1"/>
  <c r="L144" i="1" s="1"/>
  <c r="Y145" i="2"/>
  <c r="Z145" i="2" s="1"/>
  <c r="L145" i="1" s="1"/>
  <c r="Y146" i="2"/>
  <c r="Z146" i="2" s="1"/>
  <c r="L146" i="1" s="1"/>
  <c r="Y147" i="2"/>
  <c r="Y148" i="2"/>
  <c r="Z148" i="2" s="1"/>
  <c r="L148" i="1" s="1"/>
  <c r="Y149" i="2"/>
  <c r="Z149" i="2" s="1"/>
  <c r="L149" i="1" s="1"/>
  <c r="Y150" i="2"/>
  <c r="Z150" i="2" s="1"/>
  <c r="L150" i="1" s="1"/>
  <c r="AA3" i="5"/>
  <c r="AA4" i="5"/>
  <c r="AB4" i="5" s="1"/>
  <c r="O252" i="1" s="1"/>
  <c r="AA5" i="5"/>
  <c r="AB5" i="5" s="1"/>
  <c r="O253" i="1" s="1"/>
  <c r="AA6" i="5"/>
  <c r="AB6" i="5" s="1"/>
  <c r="O254" i="1" s="1"/>
  <c r="AA7" i="5"/>
  <c r="AB7" i="5" s="1"/>
  <c r="O255" i="1" s="1"/>
  <c r="AA8" i="5"/>
  <c r="AB8" i="5" s="1"/>
  <c r="O256" i="1" s="1"/>
  <c r="AA9" i="5"/>
  <c r="AB9" i="5" s="1"/>
  <c r="O257" i="1" s="1"/>
  <c r="AA10" i="5"/>
  <c r="AB10" i="5" s="1"/>
  <c r="O258" i="1" s="1"/>
  <c r="AA11" i="5"/>
  <c r="AA12" i="5"/>
  <c r="AA13" i="5"/>
  <c r="AB13" i="5" s="1"/>
  <c r="O261" i="1" s="1"/>
  <c r="AA14" i="5"/>
  <c r="AB14" i="5" s="1"/>
  <c r="O262" i="1" s="1"/>
  <c r="AA15" i="5"/>
  <c r="AA16" i="5"/>
  <c r="AA17" i="5"/>
  <c r="AB17" i="5" s="1"/>
  <c r="O265" i="1" s="1"/>
  <c r="AA18" i="5"/>
  <c r="AB18" i="5" s="1"/>
  <c r="O266" i="1" s="1"/>
  <c r="AA19" i="5"/>
  <c r="AA20" i="5"/>
  <c r="AA21" i="5"/>
  <c r="AB21" i="5" s="1"/>
  <c r="O269" i="1" s="1"/>
  <c r="AA22" i="5"/>
  <c r="AB22" i="5" s="1"/>
  <c r="O270" i="1" s="1"/>
  <c r="AA23" i="5"/>
  <c r="AA24" i="5"/>
  <c r="AA25" i="5"/>
  <c r="AA26" i="5"/>
  <c r="AB26" i="5" s="1"/>
  <c r="O274" i="1" s="1"/>
  <c r="AA27" i="5"/>
  <c r="AA28" i="5"/>
  <c r="AA29" i="5"/>
  <c r="AB29" i="5" s="1"/>
  <c r="O277" i="1" s="1"/>
  <c r="AA30" i="5"/>
  <c r="AB30" i="5" s="1"/>
  <c r="O278" i="1" s="1"/>
  <c r="AA31" i="5"/>
  <c r="AA32" i="5"/>
  <c r="AA33" i="5"/>
  <c r="AB33" i="5" s="1"/>
  <c r="O281" i="1" s="1"/>
  <c r="AA34" i="5"/>
  <c r="AB34" i="5" s="1"/>
  <c r="O282" i="1" s="1"/>
  <c r="AA35" i="5"/>
  <c r="AA36" i="5"/>
  <c r="AA37" i="5"/>
  <c r="AB37" i="5" s="1"/>
  <c r="O285" i="1" s="1"/>
  <c r="AA38" i="5"/>
  <c r="AB38" i="5" s="1"/>
  <c r="O286" i="1" s="1"/>
  <c r="AA39" i="5"/>
  <c r="AA40" i="5"/>
  <c r="AA41" i="5"/>
  <c r="AA42" i="5"/>
  <c r="AB42" i="5" s="1"/>
  <c r="O290" i="1" s="1"/>
  <c r="AA43" i="5"/>
  <c r="AA44" i="5"/>
  <c r="AA45" i="5"/>
  <c r="AB45" i="5" s="1"/>
  <c r="O293" i="1" s="1"/>
  <c r="AA46" i="5"/>
  <c r="AB46" i="5" s="1"/>
  <c r="O294" i="1" s="1"/>
  <c r="AA47" i="5"/>
  <c r="AA48" i="5"/>
  <c r="AA49" i="5"/>
  <c r="AB49" i="5" s="1"/>
  <c r="O297" i="1" s="1"/>
  <c r="AA50" i="5"/>
  <c r="AB50" i="5" s="1"/>
  <c r="O298" i="1" s="1"/>
  <c r="AA51" i="5"/>
  <c r="AB51" i="5" s="1"/>
  <c r="O299" i="1" s="1"/>
  <c r="AA2" i="5"/>
  <c r="AB2" i="5" s="1"/>
  <c r="O250" i="1" s="1"/>
  <c r="AB11" i="5"/>
  <c r="O259" i="1" s="1"/>
  <c r="AB12" i="5"/>
  <c r="O260" i="1" s="1"/>
  <c r="AB15" i="5"/>
  <c r="O263" i="1" s="1"/>
  <c r="AB16" i="5"/>
  <c r="O264" i="1" s="1"/>
  <c r="AB19" i="5"/>
  <c r="O267" i="1" s="1"/>
  <c r="AB20" i="5"/>
  <c r="O268" i="1" s="1"/>
  <c r="AB23" i="5"/>
  <c r="O271" i="1" s="1"/>
  <c r="AB24" i="5"/>
  <c r="O272" i="1" s="1"/>
  <c r="AB25" i="5"/>
  <c r="O273" i="1" s="1"/>
  <c r="AB27" i="5"/>
  <c r="O275" i="1" s="1"/>
  <c r="AB28" i="5"/>
  <c r="O276" i="1" s="1"/>
  <c r="AB31" i="5"/>
  <c r="O279" i="1" s="1"/>
  <c r="AB32" i="5"/>
  <c r="O280" i="1" s="1"/>
  <c r="AB35" i="5"/>
  <c r="O283" i="1" s="1"/>
  <c r="AB36" i="5"/>
  <c r="O284" i="1" s="1"/>
  <c r="AB39" i="5"/>
  <c r="O287" i="1" s="1"/>
  <c r="AB40" i="5"/>
  <c r="O288" i="1" s="1"/>
  <c r="AB41" i="5"/>
  <c r="O289" i="1" s="1"/>
  <c r="AB43" i="5"/>
  <c r="O291" i="1" s="1"/>
  <c r="AB44" i="5"/>
  <c r="O292" i="1" s="1"/>
  <c r="AB47" i="5"/>
  <c r="O295" i="1" s="1"/>
  <c r="AB48" i="5"/>
  <c r="O296" i="1" s="1"/>
  <c r="Z5" i="4"/>
  <c r="N203" i="1" s="1"/>
  <c r="Z7" i="4"/>
  <c r="N205" i="1" s="1"/>
  <c r="Z8" i="4"/>
  <c r="N206" i="1" s="1"/>
  <c r="Z9" i="4"/>
  <c r="N207" i="1" s="1"/>
  <c r="Z11" i="4"/>
  <c r="N209" i="1" s="1"/>
  <c r="Z12" i="4"/>
  <c r="N210" i="1" s="1"/>
  <c r="Z13" i="4"/>
  <c r="N211" i="1" s="1"/>
  <c r="Z15" i="4"/>
  <c r="N213" i="1" s="1"/>
  <c r="Z16" i="4"/>
  <c r="N214" i="1" s="1"/>
  <c r="Z17" i="4"/>
  <c r="N215" i="1" s="1"/>
  <c r="Z19" i="4"/>
  <c r="N217" i="1" s="1"/>
  <c r="Z20" i="4"/>
  <c r="N218" i="1" s="1"/>
  <c r="Z21" i="4"/>
  <c r="N219" i="1" s="1"/>
  <c r="Z23" i="4"/>
  <c r="N221" i="1" s="1"/>
  <c r="Z24" i="4"/>
  <c r="N222" i="1" s="1"/>
  <c r="Z25" i="4"/>
  <c r="N223" i="1" s="1"/>
  <c r="Z27" i="4"/>
  <c r="N225" i="1" s="1"/>
  <c r="Z28" i="4"/>
  <c r="N226" i="1" s="1"/>
  <c r="Z29" i="4"/>
  <c r="N227" i="1" s="1"/>
  <c r="Z31" i="4"/>
  <c r="N229" i="1" s="1"/>
  <c r="Z32" i="4"/>
  <c r="N230" i="1" s="1"/>
  <c r="Z33" i="4"/>
  <c r="N231" i="1" s="1"/>
  <c r="Z35" i="4"/>
  <c r="N233" i="1" s="1"/>
  <c r="Z36" i="4"/>
  <c r="N234" i="1" s="1"/>
  <c r="Z37" i="4"/>
  <c r="N235" i="1" s="1"/>
  <c r="Z39" i="4"/>
  <c r="N237" i="1" s="1"/>
  <c r="Z40" i="4"/>
  <c r="N238" i="1" s="1"/>
  <c r="Z41" i="4"/>
  <c r="N239" i="1" s="1"/>
  <c r="Z43" i="4"/>
  <c r="N241" i="1" s="1"/>
  <c r="Z44" i="4"/>
  <c r="N242" i="1" s="1"/>
  <c r="Z45" i="4"/>
  <c r="N243" i="1" s="1"/>
  <c r="Z47" i="4"/>
  <c r="N245" i="1" s="1"/>
  <c r="Z48" i="4"/>
  <c r="N246" i="1" s="1"/>
  <c r="Z49" i="4"/>
  <c r="N247" i="1" s="1"/>
  <c r="Z51" i="4"/>
  <c r="N249" i="1" s="1"/>
  <c r="Y2" i="4"/>
  <c r="Z2" i="4" s="1"/>
  <c r="N200" i="1" s="1"/>
  <c r="Y3" i="3"/>
  <c r="Z3" i="3" s="1"/>
  <c r="M152" i="1" s="1"/>
  <c r="Y4" i="3"/>
  <c r="Z4" i="3" s="1"/>
  <c r="M153" i="1" s="1"/>
  <c r="Y5" i="3"/>
  <c r="Z5" i="3" s="1"/>
  <c r="M154" i="1" s="1"/>
  <c r="Y6" i="3"/>
  <c r="Z6" i="3" s="1"/>
  <c r="M155" i="1" s="1"/>
  <c r="Y7" i="3"/>
  <c r="Z7" i="3" s="1"/>
  <c r="M156" i="1" s="1"/>
  <c r="Y8" i="3"/>
  <c r="Z8" i="3" s="1"/>
  <c r="M157" i="1" s="1"/>
  <c r="Y9" i="3"/>
  <c r="Z9" i="3" s="1"/>
  <c r="M158" i="1" s="1"/>
  <c r="Y10" i="3"/>
  <c r="Z10" i="3" s="1"/>
  <c r="M159" i="1" s="1"/>
  <c r="Y11" i="3"/>
  <c r="Z11" i="3" s="1"/>
  <c r="M160" i="1" s="1"/>
  <c r="Y12" i="3"/>
  <c r="Z12" i="3" s="1"/>
  <c r="M161" i="1" s="1"/>
  <c r="Y13" i="3"/>
  <c r="Z13" i="3" s="1"/>
  <c r="M162" i="1" s="1"/>
  <c r="Y14" i="3"/>
  <c r="Z14" i="3" s="1"/>
  <c r="M163" i="1" s="1"/>
  <c r="Y15" i="3"/>
  <c r="Z15" i="3" s="1"/>
  <c r="M164" i="1" s="1"/>
  <c r="Y16" i="3"/>
  <c r="Z16" i="3" s="1"/>
  <c r="M165" i="1" s="1"/>
  <c r="Y17" i="3"/>
  <c r="Z17" i="3" s="1"/>
  <c r="M166" i="1" s="1"/>
  <c r="Y18" i="3"/>
  <c r="Z18" i="3" s="1"/>
  <c r="M167" i="1" s="1"/>
  <c r="Y19" i="3"/>
  <c r="Z19" i="3" s="1"/>
  <c r="M168" i="1" s="1"/>
  <c r="Y20" i="3"/>
  <c r="Z20" i="3" s="1"/>
  <c r="M169" i="1" s="1"/>
  <c r="Y21" i="3"/>
  <c r="Z21" i="3" s="1"/>
  <c r="M170" i="1" s="1"/>
  <c r="Y22" i="3"/>
  <c r="Z22" i="3" s="1"/>
  <c r="M171" i="1" s="1"/>
  <c r="Y23" i="3"/>
  <c r="Z23" i="3" s="1"/>
  <c r="M172" i="1" s="1"/>
  <c r="Y24" i="3"/>
  <c r="Z24" i="3" s="1"/>
  <c r="M173" i="1" s="1"/>
  <c r="Y25" i="3"/>
  <c r="Z25" i="3" s="1"/>
  <c r="M174" i="1" s="1"/>
  <c r="Y26" i="3"/>
  <c r="Z26" i="3" s="1"/>
  <c r="M175" i="1" s="1"/>
  <c r="Y27" i="3"/>
  <c r="Z27" i="3" s="1"/>
  <c r="M176" i="1" s="1"/>
  <c r="Y28" i="3"/>
  <c r="Z28" i="3" s="1"/>
  <c r="M177" i="1" s="1"/>
  <c r="Y29" i="3"/>
  <c r="Z29" i="3" s="1"/>
  <c r="M178" i="1" s="1"/>
  <c r="Y30" i="3"/>
  <c r="Z30" i="3" s="1"/>
  <c r="M179" i="1" s="1"/>
  <c r="Y31" i="3"/>
  <c r="Z31" i="3" s="1"/>
  <c r="M180" i="1" s="1"/>
  <c r="Y32" i="3"/>
  <c r="Z32" i="3" s="1"/>
  <c r="M181" i="1" s="1"/>
  <c r="Y33" i="3"/>
  <c r="Z33" i="3" s="1"/>
  <c r="M182" i="1" s="1"/>
  <c r="Y34" i="3"/>
  <c r="Z34" i="3" s="1"/>
  <c r="M183" i="1" s="1"/>
  <c r="Y35" i="3"/>
  <c r="Z35" i="3" s="1"/>
  <c r="M184" i="1" s="1"/>
  <c r="Y36" i="3"/>
  <c r="Z36" i="3" s="1"/>
  <c r="M185" i="1" s="1"/>
  <c r="Y37" i="3"/>
  <c r="Z37" i="3" s="1"/>
  <c r="M186" i="1" s="1"/>
  <c r="Y38" i="3"/>
  <c r="Z38" i="3" s="1"/>
  <c r="M187" i="1" s="1"/>
  <c r="Y39" i="3"/>
  <c r="Z39" i="3" s="1"/>
  <c r="M188" i="1" s="1"/>
  <c r="Y40" i="3"/>
  <c r="Z40" i="3" s="1"/>
  <c r="M189" i="1" s="1"/>
  <c r="Y41" i="3"/>
  <c r="Z41" i="3" s="1"/>
  <c r="M190" i="1" s="1"/>
  <c r="Y42" i="3"/>
  <c r="Z42" i="3" s="1"/>
  <c r="M191" i="1" s="1"/>
  <c r="Y43" i="3"/>
  <c r="Z43" i="3" s="1"/>
  <c r="M192" i="1" s="1"/>
  <c r="Y44" i="3"/>
  <c r="Z44" i="3" s="1"/>
  <c r="M193" i="1" s="1"/>
  <c r="Y45" i="3"/>
  <c r="Z45" i="3" s="1"/>
  <c r="M194" i="1" s="1"/>
  <c r="Y46" i="3"/>
  <c r="Z46" i="3" s="1"/>
  <c r="M195" i="1" s="1"/>
  <c r="Y47" i="3"/>
  <c r="Z47" i="3" s="1"/>
  <c r="M196" i="1" s="1"/>
  <c r="Y48" i="3"/>
  <c r="Z48" i="3" s="1"/>
  <c r="M197" i="1" s="1"/>
  <c r="Y49" i="3"/>
  <c r="Z49" i="3" s="1"/>
  <c r="M198" i="1" s="1"/>
  <c r="Y50" i="3"/>
  <c r="Z50" i="3" s="1"/>
  <c r="M199" i="1" s="1"/>
  <c r="Z15" i="2"/>
  <c r="L15" i="1" s="1"/>
  <c r="Z19" i="2"/>
  <c r="L19" i="1" s="1"/>
  <c r="Z23" i="2"/>
  <c r="L23" i="1" s="1"/>
  <c r="Z27" i="2"/>
  <c r="L27" i="1" s="1"/>
  <c r="Z31" i="2"/>
  <c r="L31" i="1" s="1"/>
  <c r="Z35" i="2"/>
  <c r="L35" i="1" s="1"/>
  <c r="Z39" i="2"/>
  <c r="L39" i="1" s="1"/>
  <c r="Z43" i="2"/>
  <c r="L43" i="1" s="1"/>
  <c r="Z47" i="2"/>
  <c r="L47" i="1" s="1"/>
  <c r="Z51" i="2"/>
  <c r="L51" i="1" s="1"/>
  <c r="Z55" i="2"/>
  <c r="L55" i="1" s="1"/>
  <c r="Z59" i="2"/>
  <c r="L59" i="1" s="1"/>
  <c r="Z63" i="2"/>
  <c r="L63" i="1" s="1"/>
  <c r="Z67" i="2"/>
  <c r="L67" i="1" s="1"/>
  <c r="Z71" i="2"/>
  <c r="L71" i="1" s="1"/>
  <c r="Z75" i="2"/>
  <c r="L75" i="1" s="1"/>
  <c r="Z79" i="2"/>
  <c r="L79" i="1" s="1"/>
  <c r="Z83" i="2"/>
  <c r="L83" i="1" s="1"/>
  <c r="Z87" i="2"/>
  <c r="L87" i="1" s="1"/>
  <c r="Z91" i="2"/>
  <c r="L91" i="1" s="1"/>
  <c r="Z95" i="2"/>
  <c r="L95" i="1" s="1"/>
  <c r="Z99" i="2"/>
  <c r="L99" i="1" s="1"/>
  <c r="Z103" i="2"/>
  <c r="L103" i="1" s="1"/>
  <c r="Z107" i="2"/>
  <c r="L107" i="1" s="1"/>
  <c r="Z111" i="2"/>
  <c r="L111" i="1" s="1"/>
  <c r="Z115" i="2"/>
  <c r="L115" i="1" s="1"/>
  <c r="Z119" i="2"/>
  <c r="L119" i="1" s="1"/>
  <c r="Z123" i="2"/>
  <c r="L123" i="1" s="1"/>
  <c r="Z127" i="2"/>
  <c r="L127" i="1" s="1"/>
  <c r="Z131" i="2"/>
  <c r="L131" i="1" s="1"/>
  <c r="Z135" i="2"/>
  <c r="L135" i="1" s="1"/>
  <c r="Z139" i="2"/>
  <c r="L139" i="1" s="1"/>
  <c r="Z143" i="2"/>
  <c r="L143" i="1" s="1"/>
  <c r="Z147" i="2"/>
  <c r="L147" i="1" s="1"/>
  <c r="Y2" i="2" l="1"/>
  <c r="Z2" i="2" s="1"/>
  <c r="L2" i="1" s="1"/>
  <c r="H2" i="15" l="1"/>
  <c r="H3" i="15"/>
  <c r="B2" i="1" l="1"/>
  <c r="D2" i="1"/>
  <c r="E2" i="1"/>
  <c r="F2" i="1"/>
  <c r="H2" i="1"/>
  <c r="I2" i="1"/>
  <c r="J2" i="1"/>
  <c r="K2" i="1"/>
  <c r="AF2" i="1"/>
  <c r="AH2" i="1"/>
  <c r="B3" i="1"/>
  <c r="D3" i="1"/>
  <c r="E3" i="1"/>
  <c r="F3" i="1"/>
  <c r="H3" i="1"/>
  <c r="I3" i="1"/>
  <c r="J3" i="1"/>
  <c r="K3" i="1"/>
  <c r="AF3" i="1"/>
  <c r="AH3" i="1"/>
  <c r="B4" i="1"/>
  <c r="D4" i="1"/>
  <c r="E4" i="1"/>
  <c r="F4" i="1"/>
  <c r="H4" i="1"/>
  <c r="I4" i="1"/>
  <c r="J4" i="1"/>
  <c r="K4" i="1"/>
  <c r="AF4" i="1"/>
  <c r="AH4" i="1"/>
  <c r="B5" i="1"/>
  <c r="D5" i="1"/>
  <c r="E5" i="1"/>
  <c r="F5" i="1"/>
  <c r="H5" i="1"/>
  <c r="I5" i="1"/>
  <c r="J5" i="1"/>
  <c r="K5" i="1"/>
  <c r="AF5" i="1"/>
  <c r="AH5" i="1"/>
  <c r="B6" i="1"/>
  <c r="D6" i="1"/>
  <c r="E6" i="1"/>
  <c r="F6" i="1"/>
  <c r="H6" i="1"/>
  <c r="I6" i="1"/>
  <c r="J6" i="1"/>
  <c r="K6" i="1"/>
  <c r="AF6" i="1"/>
  <c r="AH6" i="1"/>
  <c r="B7" i="1"/>
  <c r="D7" i="1"/>
  <c r="E7" i="1"/>
  <c r="F7" i="1"/>
  <c r="H7" i="1"/>
  <c r="I7" i="1"/>
  <c r="J7" i="1"/>
  <c r="K7" i="1"/>
  <c r="AF7" i="1"/>
  <c r="AH7" i="1"/>
  <c r="B8" i="1"/>
  <c r="D8" i="1"/>
  <c r="E8" i="1"/>
  <c r="F8" i="1"/>
  <c r="H8" i="1"/>
  <c r="I8" i="1"/>
  <c r="J8" i="1"/>
  <c r="K8" i="1"/>
  <c r="AF8" i="1"/>
  <c r="AH8" i="1"/>
  <c r="B9" i="1"/>
  <c r="D9" i="1"/>
  <c r="E9" i="1"/>
  <c r="F9" i="1"/>
  <c r="H9" i="1"/>
  <c r="I9" i="1"/>
  <c r="J9" i="1"/>
  <c r="K9" i="1"/>
  <c r="AF9" i="1"/>
  <c r="AH9" i="1"/>
  <c r="B10" i="1"/>
  <c r="D10" i="1"/>
  <c r="E10" i="1"/>
  <c r="F10" i="1"/>
  <c r="H10" i="1"/>
  <c r="I10" i="1"/>
  <c r="J10" i="1"/>
  <c r="K10" i="1"/>
  <c r="AF10" i="1"/>
  <c r="AH10" i="1"/>
  <c r="B11" i="1"/>
  <c r="D11" i="1"/>
  <c r="E11" i="1"/>
  <c r="F11" i="1"/>
  <c r="H11" i="1"/>
  <c r="I11" i="1"/>
  <c r="J11" i="1"/>
  <c r="K11" i="1"/>
  <c r="AF11" i="1"/>
  <c r="AH11" i="1"/>
  <c r="B12" i="1"/>
  <c r="D12" i="1"/>
  <c r="E12" i="1"/>
  <c r="F12" i="1"/>
  <c r="H12" i="1"/>
  <c r="I12" i="1"/>
  <c r="J12" i="1"/>
  <c r="K12" i="1"/>
  <c r="AF12" i="1"/>
  <c r="AH12" i="1"/>
  <c r="B13" i="1"/>
  <c r="D13" i="1"/>
  <c r="E13" i="1"/>
  <c r="F13" i="1"/>
  <c r="H13" i="1"/>
  <c r="I13" i="1"/>
  <c r="J13" i="1"/>
  <c r="K13" i="1"/>
  <c r="AF13" i="1"/>
  <c r="AH13" i="1"/>
  <c r="B14" i="1"/>
  <c r="D14" i="1"/>
  <c r="E14" i="1"/>
  <c r="F14" i="1"/>
  <c r="H14" i="1"/>
  <c r="I14" i="1"/>
  <c r="J14" i="1"/>
  <c r="K14" i="1"/>
  <c r="AF14" i="1"/>
  <c r="AH14" i="1"/>
  <c r="B15" i="1"/>
  <c r="D15" i="1"/>
  <c r="E15" i="1"/>
  <c r="F15" i="1"/>
  <c r="H15" i="1"/>
  <c r="I15" i="1"/>
  <c r="J15" i="1"/>
  <c r="K15" i="1"/>
  <c r="AF15" i="1"/>
  <c r="AH15" i="1"/>
  <c r="B16" i="1"/>
  <c r="D16" i="1"/>
  <c r="E16" i="1"/>
  <c r="F16" i="1"/>
  <c r="H16" i="1"/>
  <c r="I16" i="1"/>
  <c r="J16" i="1"/>
  <c r="K16" i="1"/>
  <c r="AF16" i="1"/>
  <c r="AH16" i="1"/>
  <c r="B17" i="1"/>
  <c r="D17" i="1"/>
  <c r="E17" i="1"/>
  <c r="F17" i="1"/>
  <c r="H17" i="1"/>
  <c r="I17" i="1"/>
  <c r="J17" i="1"/>
  <c r="K17" i="1"/>
  <c r="AF17" i="1"/>
  <c r="AH17" i="1"/>
  <c r="B18" i="1"/>
  <c r="D18" i="1"/>
  <c r="E18" i="1"/>
  <c r="F18" i="1"/>
  <c r="H18" i="1"/>
  <c r="I18" i="1"/>
  <c r="J18" i="1"/>
  <c r="K18" i="1"/>
  <c r="AF18" i="1"/>
  <c r="AH18" i="1"/>
  <c r="B19" i="1"/>
  <c r="D19" i="1"/>
  <c r="E19" i="1"/>
  <c r="F19" i="1"/>
  <c r="H19" i="1"/>
  <c r="I19" i="1"/>
  <c r="J19" i="1"/>
  <c r="K19" i="1"/>
  <c r="AF19" i="1"/>
  <c r="AH19" i="1"/>
  <c r="B20" i="1"/>
  <c r="D20" i="1"/>
  <c r="E20" i="1"/>
  <c r="F20" i="1"/>
  <c r="H20" i="1"/>
  <c r="I20" i="1"/>
  <c r="J20" i="1"/>
  <c r="K20" i="1"/>
  <c r="AF20" i="1"/>
  <c r="AH20" i="1"/>
  <c r="B21" i="1"/>
  <c r="D21" i="1"/>
  <c r="E21" i="1"/>
  <c r="F21" i="1"/>
  <c r="H21" i="1"/>
  <c r="I21" i="1"/>
  <c r="J21" i="1"/>
  <c r="K21" i="1"/>
  <c r="AF21" i="1"/>
  <c r="AH21" i="1"/>
  <c r="B22" i="1"/>
  <c r="D22" i="1"/>
  <c r="E22" i="1"/>
  <c r="F22" i="1"/>
  <c r="H22" i="1"/>
  <c r="I22" i="1"/>
  <c r="J22" i="1"/>
  <c r="K22" i="1"/>
  <c r="AF22" i="1"/>
  <c r="AH22" i="1"/>
  <c r="B23" i="1"/>
  <c r="D23" i="1"/>
  <c r="E23" i="1"/>
  <c r="F23" i="1"/>
  <c r="H23" i="1"/>
  <c r="I23" i="1"/>
  <c r="J23" i="1"/>
  <c r="K23" i="1"/>
  <c r="AF23" i="1"/>
  <c r="AH23" i="1"/>
  <c r="B24" i="1"/>
  <c r="D24" i="1"/>
  <c r="E24" i="1"/>
  <c r="F24" i="1"/>
  <c r="H24" i="1"/>
  <c r="I24" i="1"/>
  <c r="J24" i="1"/>
  <c r="K24" i="1"/>
  <c r="AF24" i="1"/>
  <c r="AH24" i="1"/>
  <c r="B25" i="1"/>
  <c r="D25" i="1"/>
  <c r="E25" i="1"/>
  <c r="F25" i="1"/>
  <c r="H25" i="1"/>
  <c r="I25" i="1"/>
  <c r="J25" i="1"/>
  <c r="K25" i="1"/>
  <c r="AF25" i="1"/>
  <c r="AH25" i="1"/>
  <c r="B26" i="1"/>
  <c r="D26" i="1"/>
  <c r="E26" i="1"/>
  <c r="F26" i="1"/>
  <c r="H26" i="1"/>
  <c r="I26" i="1"/>
  <c r="J26" i="1"/>
  <c r="K26" i="1"/>
  <c r="AF26" i="1"/>
  <c r="AH26" i="1"/>
  <c r="B27" i="1"/>
  <c r="D27" i="1"/>
  <c r="E27" i="1"/>
  <c r="F27" i="1"/>
  <c r="H27" i="1"/>
  <c r="I27" i="1"/>
  <c r="J27" i="1"/>
  <c r="K27" i="1"/>
  <c r="AF27" i="1"/>
  <c r="AH27" i="1"/>
  <c r="B28" i="1"/>
  <c r="D28" i="1"/>
  <c r="E28" i="1"/>
  <c r="F28" i="1"/>
  <c r="H28" i="1"/>
  <c r="I28" i="1"/>
  <c r="J28" i="1"/>
  <c r="K28" i="1"/>
  <c r="AF28" i="1"/>
  <c r="AH28" i="1"/>
  <c r="B29" i="1"/>
  <c r="D29" i="1"/>
  <c r="E29" i="1"/>
  <c r="F29" i="1"/>
  <c r="H29" i="1"/>
  <c r="I29" i="1"/>
  <c r="J29" i="1"/>
  <c r="K29" i="1"/>
  <c r="AF29" i="1"/>
  <c r="AH29" i="1"/>
  <c r="B30" i="1"/>
  <c r="D30" i="1"/>
  <c r="E30" i="1"/>
  <c r="F30" i="1"/>
  <c r="H30" i="1"/>
  <c r="I30" i="1"/>
  <c r="J30" i="1"/>
  <c r="K30" i="1"/>
  <c r="AF30" i="1"/>
  <c r="AH30" i="1"/>
  <c r="B31" i="1"/>
  <c r="D31" i="1"/>
  <c r="E31" i="1"/>
  <c r="F31" i="1"/>
  <c r="H31" i="1"/>
  <c r="I31" i="1"/>
  <c r="J31" i="1"/>
  <c r="K31" i="1"/>
  <c r="AF31" i="1"/>
  <c r="AH31" i="1"/>
  <c r="B32" i="1"/>
  <c r="D32" i="1"/>
  <c r="E32" i="1"/>
  <c r="F32" i="1"/>
  <c r="H32" i="1"/>
  <c r="I32" i="1"/>
  <c r="J32" i="1"/>
  <c r="K32" i="1"/>
  <c r="AF32" i="1"/>
  <c r="AH32" i="1"/>
  <c r="B33" i="1"/>
  <c r="D33" i="1"/>
  <c r="E33" i="1"/>
  <c r="F33" i="1"/>
  <c r="H33" i="1"/>
  <c r="I33" i="1"/>
  <c r="J33" i="1"/>
  <c r="K33" i="1"/>
  <c r="AF33" i="1"/>
  <c r="AH33" i="1"/>
  <c r="B34" i="1"/>
  <c r="D34" i="1"/>
  <c r="E34" i="1"/>
  <c r="F34" i="1"/>
  <c r="H34" i="1"/>
  <c r="I34" i="1"/>
  <c r="J34" i="1"/>
  <c r="K34" i="1"/>
  <c r="AF34" i="1"/>
  <c r="AH34" i="1"/>
  <c r="B35" i="1"/>
  <c r="D35" i="1"/>
  <c r="E35" i="1"/>
  <c r="F35" i="1"/>
  <c r="H35" i="1"/>
  <c r="I35" i="1"/>
  <c r="J35" i="1"/>
  <c r="K35" i="1"/>
  <c r="AF35" i="1"/>
  <c r="AH35" i="1"/>
  <c r="B36" i="1"/>
  <c r="D36" i="1"/>
  <c r="E36" i="1"/>
  <c r="F36" i="1"/>
  <c r="H36" i="1"/>
  <c r="I36" i="1"/>
  <c r="J36" i="1"/>
  <c r="K36" i="1"/>
  <c r="AF36" i="1"/>
  <c r="AH36" i="1"/>
  <c r="B37" i="1"/>
  <c r="D37" i="1"/>
  <c r="E37" i="1"/>
  <c r="F37" i="1"/>
  <c r="H37" i="1"/>
  <c r="I37" i="1"/>
  <c r="J37" i="1"/>
  <c r="K37" i="1"/>
  <c r="AF37" i="1"/>
  <c r="AH37" i="1"/>
  <c r="B38" i="1"/>
  <c r="D38" i="1"/>
  <c r="E38" i="1"/>
  <c r="F38" i="1"/>
  <c r="H38" i="1"/>
  <c r="I38" i="1"/>
  <c r="J38" i="1"/>
  <c r="K38" i="1"/>
  <c r="AF38" i="1"/>
  <c r="AH38" i="1"/>
  <c r="B39" i="1"/>
  <c r="D39" i="1"/>
  <c r="E39" i="1"/>
  <c r="F39" i="1"/>
  <c r="H39" i="1"/>
  <c r="I39" i="1"/>
  <c r="J39" i="1"/>
  <c r="K39" i="1"/>
  <c r="AF39" i="1"/>
  <c r="AH39" i="1"/>
  <c r="B40" i="1"/>
  <c r="D40" i="1"/>
  <c r="E40" i="1"/>
  <c r="F40" i="1"/>
  <c r="H40" i="1"/>
  <c r="I40" i="1"/>
  <c r="J40" i="1"/>
  <c r="K40" i="1"/>
  <c r="AF40" i="1"/>
  <c r="AH40" i="1"/>
  <c r="B41" i="1"/>
  <c r="D41" i="1"/>
  <c r="E41" i="1"/>
  <c r="F41" i="1"/>
  <c r="H41" i="1"/>
  <c r="I41" i="1"/>
  <c r="J41" i="1"/>
  <c r="K41" i="1"/>
  <c r="AF41" i="1"/>
  <c r="AH41" i="1"/>
  <c r="B42" i="1"/>
  <c r="D42" i="1"/>
  <c r="E42" i="1"/>
  <c r="F42" i="1"/>
  <c r="H42" i="1"/>
  <c r="I42" i="1"/>
  <c r="J42" i="1"/>
  <c r="K42" i="1"/>
  <c r="AF42" i="1"/>
  <c r="AH42" i="1"/>
  <c r="B43" i="1"/>
  <c r="D43" i="1"/>
  <c r="E43" i="1"/>
  <c r="F43" i="1"/>
  <c r="H43" i="1"/>
  <c r="I43" i="1"/>
  <c r="J43" i="1"/>
  <c r="K43" i="1"/>
  <c r="AF43" i="1"/>
  <c r="AH43" i="1"/>
  <c r="B44" i="1"/>
  <c r="D44" i="1"/>
  <c r="E44" i="1"/>
  <c r="F44" i="1"/>
  <c r="H44" i="1"/>
  <c r="I44" i="1"/>
  <c r="J44" i="1"/>
  <c r="K44" i="1"/>
  <c r="AF44" i="1"/>
  <c r="AH44" i="1"/>
  <c r="B45" i="1"/>
  <c r="D45" i="1"/>
  <c r="E45" i="1"/>
  <c r="F45" i="1"/>
  <c r="H45" i="1"/>
  <c r="I45" i="1"/>
  <c r="J45" i="1"/>
  <c r="K45" i="1"/>
  <c r="AF45" i="1"/>
  <c r="AH45" i="1"/>
  <c r="B46" i="1"/>
  <c r="D46" i="1"/>
  <c r="E46" i="1"/>
  <c r="F46" i="1"/>
  <c r="H46" i="1"/>
  <c r="I46" i="1"/>
  <c r="J46" i="1"/>
  <c r="K46" i="1"/>
  <c r="AF46" i="1"/>
  <c r="AH46" i="1"/>
  <c r="B47" i="1"/>
  <c r="D47" i="1"/>
  <c r="E47" i="1"/>
  <c r="F47" i="1"/>
  <c r="H47" i="1"/>
  <c r="I47" i="1"/>
  <c r="J47" i="1"/>
  <c r="K47" i="1"/>
  <c r="AF47" i="1"/>
  <c r="AH47" i="1"/>
  <c r="B48" i="1"/>
  <c r="D48" i="1"/>
  <c r="E48" i="1"/>
  <c r="F48" i="1"/>
  <c r="H48" i="1"/>
  <c r="I48" i="1"/>
  <c r="J48" i="1"/>
  <c r="K48" i="1"/>
  <c r="AF48" i="1"/>
  <c r="AH48" i="1"/>
  <c r="B49" i="1"/>
  <c r="D49" i="1"/>
  <c r="E49" i="1"/>
  <c r="F49" i="1"/>
  <c r="H49" i="1"/>
  <c r="I49" i="1"/>
  <c r="J49" i="1"/>
  <c r="K49" i="1"/>
  <c r="AF49" i="1"/>
  <c r="AH49" i="1"/>
  <c r="B50" i="1"/>
  <c r="D50" i="1"/>
  <c r="E50" i="1"/>
  <c r="F50" i="1"/>
  <c r="H50" i="1"/>
  <c r="I50" i="1"/>
  <c r="J50" i="1"/>
  <c r="K50" i="1"/>
  <c r="AF50" i="1"/>
  <c r="AH50" i="1"/>
  <c r="B51" i="1"/>
  <c r="D51" i="1"/>
  <c r="E51" i="1"/>
  <c r="F51" i="1"/>
  <c r="H51" i="1"/>
  <c r="I51" i="1"/>
  <c r="J51" i="1"/>
  <c r="K51" i="1"/>
  <c r="AF51" i="1"/>
  <c r="AH51" i="1"/>
  <c r="B52" i="1"/>
  <c r="D52" i="1"/>
  <c r="E52" i="1"/>
  <c r="F52" i="1"/>
  <c r="H52" i="1"/>
  <c r="I52" i="1"/>
  <c r="J52" i="1"/>
  <c r="K52" i="1"/>
  <c r="AF52" i="1"/>
  <c r="AH52" i="1"/>
  <c r="B53" i="1"/>
  <c r="D53" i="1"/>
  <c r="E53" i="1"/>
  <c r="F53" i="1"/>
  <c r="H53" i="1"/>
  <c r="I53" i="1"/>
  <c r="J53" i="1"/>
  <c r="K53" i="1"/>
  <c r="AF53" i="1"/>
  <c r="AH53" i="1"/>
  <c r="B54" i="1"/>
  <c r="D54" i="1"/>
  <c r="E54" i="1"/>
  <c r="F54" i="1"/>
  <c r="H54" i="1"/>
  <c r="I54" i="1"/>
  <c r="J54" i="1"/>
  <c r="K54" i="1"/>
  <c r="AF54" i="1"/>
  <c r="AH54" i="1"/>
  <c r="B55" i="1"/>
  <c r="D55" i="1"/>
  <c r="E55" i="1"/>
  <c r="F55" i="1"/>
  <c r="H55" i="1"/>
  <c r="I55" i="1"/>
  <c r="J55" i="1"/>
  <c r="K55" i="1"/>
  <c r="AF55" i="1"/>
  <c r="AH55" i="1"/>
  <c r="B56" i="1"/>
  <c r="D56" i="1"/>
  <c r="E56" i="1"/>
  <c r="F56" i="1"/>
  <c r="H56" i="1"/>
  <c r="I56" i="1"/>
  <c r="J56" i="1"/>
  <c r="K56" i="1"/>
  <c r="AF56" i="1"/>
  <c r="AH56" i="1"/>
  <c r="B57" i="1"/>
  <c r="D57" i="1"/>
  <c r="E57" i="1"/>
  <c r="F57" i="1"/>
  <c r="H57" i="1"/>
  <c r="I57" i="1"/>
  <c r="J57" i="1"/>
  <c r="K57" i="1"/>
  <c r="AF57" i="1"/>
  <c r="AH57" i="1"/>
  <c r="B58" i="1"/>
  <c r="D58" i="1"/>
  <c r="E58" i="1"/>
  <c r="F58" i="1"/>
  <c r="H58" i="1"/>
  <c r="I58" i="1"/>
  <c r="J58" i="1"/>
  <c r="K58" i="1"/>
  <c r="AF58" i="1"/>
  <c r="AH58" i="1"/>
  <c r="B59" i="1"/>
  <c r="D59" i="1"/>
  <c r="E59" i="1"/>
  <c r="F59" i="1"/>
  <c r="H59" i="1"/>
  <c r="I59" i="1"/>
  <c r="J59" i="1"/>
  <c r="K59" i="1"/>
  <c r="AF59" i="1"/>
  <c r="AH59" i="1"/>
  <c r="B60" i="1"/>
  <c r="D60" i="1"/>
  <c r="E60" i="1"/>
  <c r="F60" i="1"/>
  <c r="H60" i="1"/>
  <c r="I60" i="1"/>
  <c r="J60" i="1"/>
  <c r="K60" i="1"/>
  <c r="AF60" i="1"/>
  <c r="AH60" i="1"/>
  <c r="B61" i="1"/>
  <c r="D61" i="1"/>
  <c r="E61" i="1"/>
  <c r="F61" i="1"/>
  <c r="H61" i="1"/>
  <c r="I61" i="1"/>
  <c r="J61" i="1"/>
  <c r="K61" i="1"/>
  <c r="AF61" i="1"/>
  <c r="AH61" i="1"/>
  <c r="B62" i="1"/>
  <c r="D62" i="1"/>
  <c r="E62" i="1"/>
  <c r="F62" i="1"/>
  <c r="H62" i="1"/>
  <c r="I62" i="1"/>
  <c r="J62" i="1"/>
  <c r="K62" i="1"/>
  <c r="AF62" i="1"/>
  <c r="AH62" i="1"/>
  <c r="B63" i="1"/>
  <c r="D63" i="1"/>
  <c r="E63" i="1"/>
  <c r="F63" i="1"/>
  <c r="H63" i="1"/>
  <c r="I63" i="1"/>
  <c r="J63" i="1"/>
  <c r="K63" i="1"/>
  <c r="AF63" i="1"/>
  <c r="AH63" i="1"/>
  <c r="B64" i="1"/>
  <c r="D64" i="1"/>
  <c r="E64" i="1"/>
  <c r="F64" i="1"/>
  <c r="H64" i="1"/>
  <c r="I64" i="1"/>
  <c r="J64" i="1"/>
  <c r="K64" i="1"/>
  <c r="AF64" i="1"/>
  <c r="AH64" i="1"/>
  <c r="B65" i="1"/>
  <c r="D65" i="1"/>
  <c r="E65" i="1"/>
  <c r="F65" i="1"/>
  <c r="H65" i="1"/>
  <c r="I65" i="1"/>
  <c r="J65" i="1"/>
  <c r="K65" i="1"/>
  <c r="AF65" i="1"/>
  <c r="AH65" i="1"/>
  <c r="B66" i="1"/>
  <c r="D66" i="1"/>
  <c r="E66" i="1"/>
  <c r="F66" i="1"/>
  <c r="H66" i="1"/>
  <c r="I66" i="1"/>
  <c r="J66" i="1"/>
  <c r="K66" i="1"/>
  <c r="AF66" i="1"/>
  <c r="AH66" i="1"/>
  <c r="B67" i="1"/>
  <c r="D67" i="1"/>
  <c r="E67" i="1"/>
  <c r="F67" i="1"/>
  <c r="H67" i="1"/>
  <c r="I67" i="1"/>
  <c r="J67" i="1"/>
  <c r="K67" i="1"/>
  <c r="AF67" i="1"/>
  <c r="AH67" i="1"/>
  <c r="B68" i="1"/>
  <c r="D68" i="1"/>
  <c r="E68" i="1"/>
  <c r="F68" i="1"/>
  <c r="H68" i="1"/>
  <c r="I68" i="1"/>
  <c r="J68" i="1"/>
  <c r="K68" i="1"/>
  <c r="AF68" i="1"/>
  <c r="AH68" i="1"/>
  <c r="B69" i="1"/>
  <c r="D69" i="1"/>
  <c r="E69" i="1"/>
  <c r="F69" i="1"/>
  <c r="H69" i="1"/>
  <c r="I69" i="1"/>
  <c r="J69" i="1"/>
  <c r="K69" i="1"/>
  <c r="AF69" i="1"/>
  <c r="AH69" i="1"/>
  <c r="B70" i="1"/>
  <c r="D70" i="1"/>
  <c r="E70" i="1"/>
  <c r="F70" i="1"/>
  <c r="H70" i="1"/>
  <c r="I70" i="1"/>
  <c r="J70" i="1"/>
  <c r="K70" i="1"/>
  <c r="AF70" i="1"/>
  <c r="AH70" i="1"/>
  <c r="B71" i="1"/>
  <c r="D71" i="1"/>
  <c r="E71" i="1"/>
  <c r="F71" i="1"/>
  <c r="H71" i="1"/>
  <c r="I71" i="1"/>
  <c r="J71" i="1"/>
  <c r="K71" i="1"/>
  <c r="AF71" i="1"/>
  <c r="AH71" i="1"/>
  <c r="B72" i="1"/>
  <c r="D72" i="1"/>
  <c r="E72" i="1"/>
  <c r="F72" i="1"/>
  <c r="H72" i="1"/>
  <c r="I72" i="1"/>
  <c r="J72" i="1"/>
  <c r="K72" i="1"/>
  <c r="AF72" i="1"/>
  <c r="AH72" i="1"/>
  <c r="B73" i="1"/>
  <c r="D73" i="1"/>
  <c r="E73" i="1"/>
  <c r="F73" i="1"/>
  <c r="H73" i="1"/>
  <c r="I73" i="1"/>
  <c r="J73" i="1"/>
  <c r="K73" i="1"/>
  <c r="AF73" i="1"/>
  <c r="AH73" i="1"/>
  <c r="B74" i="1"/>
  <c r="D74" i="1"/>
  <c r="E74" i="1"/>
  <c r="F74" i="1"/>
  <c r="H74" i="1"/>
  <c r="I74" i="1"/>
  <c r="J74" i="1"/>
  <c r="K74" i="1"/>
  <c r="AF74" i="1"/>
  <c r="AH74" i="1"/>
  <c r="B75" i="1"/>
  <c r="D75" i="1"/>
  <c r="E75" i="1"/>
  <c r="F75" i="1"/>
  <c r="H75" i="1"/>
  <c r="I75" i="1"/>
  <c r="J75" i="1"/>
  <c r="K75" i="1"/>
  <c r="AF75" i="1"/>
  <c r="AH75" i="1"/>
  <c r="B76" i="1"/>
  <c r="D76" i="1"/>
  <c r="E76" i="1"/>
  <c r="F76" i="1"/>
  <c r="H76" i="1"/>
  <c r="I76" i="1"/>
  <c r="J76" i="1"/>
  <c r="K76" i="1"/>
  <c r="AF76" i="1"/>
  <c r="AH76" i="1"/>
  <c r="B77" i="1"/>
  <c r="D77" i="1"/>
  <c r="E77" i="1"/>
  <c r="F77" i="1"/>
  <c r="H77" i="1"/>
  <c r="I77" i="1"/>
  <c r="J77" i="1"/>
  <c r="K77" i="1"/>
  <c r="AF77" i="1"/>
  <c r="AH77" i="1"/>
  <c r="B78" i="1"/>
  <c r="D78" i="1"/>
  <c r="E78" i="1"/>
  <c r="F78" i="1"/>
  <c r="H78" i="1"/>
  <c r="I78" i="1"/>
  <c r="J78" i="1"/>
  <c r="K78" i="1"/>
  <c r="AF78" i="1"/>
  <c r="AH78" i="1"/>
  <c r="B79" i="1"/>
  <c r="D79" i="1"/>
  <c r="E79" i="1"/>
  <c r="F79" i="1"/>
  <c r="H79" i="1"/>
  <c r="I79" i="1"/>
  <c r="J79" i="1"/>
  <c r="K79" i="1"/>
  <c r="AF79" i="1"/>
  <c r="AH79" i="1"/>
  <c r="B80" i="1"/>
  <c r="D80" i="1"/>
  <c r="E80" i="1"/>
  <c r="F80" i="1"/>
  <c r="H80" i="1"/>
  <c r="I80" i="1"/>
  <c r="J80" i="1"/>
  <c r="K80" i="1"/>
  <c r="AF80" i="1"/>
  <c r="AH80" i="1"/>
  <c r="B81" i="1"/>
  <c r="D81" i="1"/>
  <c r="E81" i="1"/>
  <c r="F81" i="1"/>
  <c r="H81" i="1"/>
  <c r="I81" i="1"/>
  <c r="J81" i="1"/>
  <c r="K81" i="1"/>
  <c r="AF81" i="1"/>
  <c r="AH81" i="1"/>
  <c r="B82" i="1"/>
  <c r="D82" i="1"/>
  <c r="E82" i="1"/>
  <c r="F82" i="1"/>
  <c r="H82" i="1"/>
  <c r="I82" i="1"/>
  <c r="J82" i="1"/>
  <c r="K82" i="1"/>
  <c r="AF82" i="1"/>
  <c r="AH82" i="1"/>
  <c r="B83" i="1"/>
  <c r="D83" i="1"/>
  <c r="E83" i="1"/>
  <c r="F83" i="1"/>
  <c r="H83" i="1"/>
  <c r="I83" i="1"/>
  <c r="J83" i="1"/>
  <c r="K83" i="1"/>
  <c r="AF83" i="1"/>
  <c r="AH83" i="1"/>
  <c r="B84" i="1"/>
  <c r="D84" i="1"/>
  <c r="E84" i="1"/>
  <c r="F84" i="1"/>
  <c r="H84" i="1"/>
  <c r="I84" i="1"/>
  <c r="J84" i="1"/>
  <c r="K84" i="1"/>
  <c r="AF84" i="1"/>
  <c r="AH84" i="1"/>
  <c r="B85" i="1"/>
  <c r="D85" i="1"/>
  <c r="E85" i="1"/>
  <c r="F85" i="1"/>
  <c r="H85" i="1"/>
  <c r="I85" i="1"/>
  <c r="J85" i="1"/>
  <c r="K85" i="1"/>
  <c r="AF85" i="1"/>
  <c r="AH85" i="1"/>
  <c r="B86" i="1"/>
  <c r="D86" i="1"/>
  <c r="E86" i="1"/>
  <c r="F86" i="1"/>
  <c r="H86" i="1"/>
  <c r="I86" i="1"/>
  <c r="J86" i="1"/>
  <c r="K86" i="1"/>
  <c r="AF86" i="1"/>
  <c r="AH86" i="1"/>
  <c r="B87" i="1"/>
  <c r="D87" i="1"/>
  <c r="E87" i="1"/>
  <c r="F87" i="1"/>
  <c r="H87" i="1"/>
  <c r="I87" i="1"/>
  <c r="J87" i="1"/>
  <c r="K87" i="1"/>
  <c r="AF87" i="1"/>
  <c r="AH87" i="1"/>
  <c r="B88" i="1"/>
  <c r="D88" i="1"/>
  <c r="E88" i="1"/>
  <c r="F88" i="1"/>
  <c r="H88" i="1"/>
  <c r="I88" i="1"/>
  <c r="J88" i="1"/>
  <c r="K88" i="1"/>
  <c r="AF88" i="1"/>
  <c r="AH88" i="1"/>
  <c r="B89" i="1"/>
  <c r="D89" i="1"/>
  <c r="E89" i="1"/>
  <c r="F89" i="1"/>
  <c r="H89" i="1"/>
  <c r="I89" i="1"/>
  <c r="J89" i="1"/>
  <c r="K89" i="1"/>
  <c r="AF89" i="1"/>
  <c r="AH89" i="1"/>
  <c r="B90" i="1"/>
  <c r="D90" i="1"/>
  <c r="E90" i="1"/>
  <c r="F90" i="1"/>
  <c r="H90" i="1"/>
  <c r="I90" i="1"/>
  <c r="J90" i="1"/>
  <c r="K90" i="1"/>
  <c r="AF90" i="1"/>
  <c r="AH90" i="1"/>
  <c r="B91" i="1"/>
  <c r="D91" i="1"/>
  <c r="E91" i="1"/>
  <c r="F91" i="1"/>
  <c r="H91" i="1"/>
  <c r="I91" i="1"/>
  <c r="J91" i="1"/>
  <c r="K91" i="1"/>
  <c r="AF91" i="1"/>
  <c r="AH91" i="1"/>
  <c r="B92" i="1"/>
  <c r="D92" i="1"/>
  <c r="E92" i="1"/>
  <c r="F92" i="1"/>
  <c r="H92" i="1"/>
  <c r="I92" i="1"/>
  <c r="J92" i="1"/>
  <c r="K92" i="1"/>
  <c r="AF92" i="1"/>
  <c r="AH92" i="1"/>
  <c r="B93" i="1"/>
  <c r="D93" i="1"/>
  <c r="E93" i="1"/>
  <c r="F93" i="1"/>
  <c r="H93" i="1"/>
  <c r="I93" i="1"/>
  <c r="J93" i="1"/>
  <c r="K93" i="1"/>
  <c r="AF93" i="1"/>
  <c r="AH93" i="1"/>
  <c r="B94" i="1"/>
  <c r="D94" i="1"/>
  <c r="E94" i="1"/>
  <c r="F94" i="1"/>
  <c r="H94" i="1"/>
  <c r="I94" i="1"/>
  <c r="J94" i="1"/>
  <c r="K94" i="1"/>
  <c r="AF94" i="1"/>
  <c r="AH94" i="1"/>
  <c r="B95" i="1"/>
  <c r="D95" i="1"/>
  <c r="E95" i="1"/>
  <c r="F95" i="1"/>
  <c r="H95" i="1"/>
  <c r="I95" i="1"/>
  <c r="J95" i="1"/>
  <c r="K95" i="1"/>
  <c r="AF95" i="1"/>
  <c r="AH95" i="1"/>
  <c r="B96" i="1"/>
  <c r="D96" i="1"/>
  <c r="E96" i="1"/>
  <c r="F96" i="1"/>
  <c r="H96" i="1"/>
  <c r="I96" i="1"/>
  <c r="J96" i="1"/>
  <c r="K96" i="1"/>
  <c r="AF96" i="1"/>
  <c r="AH96" i="1"/>
  <c r="B97" i="1"/>
  <c r="D97" i="1"/>
  <c r="E97" i="1"/>
  <c r="F97" i="1"/>
  <c r="H97" i="1"/>
  <c r="I97" i="1"/>
  <c r="J97" i="1"/>
  <c r="K97" i="1"/>
  <c r="AF97" i="1"/>
  <c r="AH97" i="1"/>
  <c r="B98" i="1"/>
  <c r="D98" i="1"/>
  <c r="E98" i="1"/>
  <c r="F98" i="1"/>
  <c r="H98" i="1"/>
  <c r="I98" i="1"/>
  <c r="J98" i="1"/>
  <c r="K98" i="1"/>
  <c r="AF98" i="1"/>
  <c r="AH98" i="1"/>
  <c r="B99" i="1"/>
  <c r="D99" i="1"/>
  <c r="E99" i="1"/>
  <c r="F99" i="1"/>
  <c r="H99" i="1"/>
  <c r="I99" i="1"/>
  <c r="J99" i="1"/>
  <c r="K99" i="1"/>
  <c r="AF99" i="1"/>
  <c r="AH99" i="1"/>
  <c r="B100" i="1"/>
  <c r="D100" i="1"/>
  <c r="E100" i="1"/>
  <c r="F100" i="1"/>
  <c r="H100" i="1"/>
  <c r="I100" i="1"/>
  <c r="J100" i="1"/>
  <c r="K100" i="1"/>
  <c r="AF100" i="1"/>
  <c r="AH100" i="1"/>
  <c r="B101" i="1"/>
  <c r="D101" i="1"/>
  <c r="E101" i="1"/>
  <c r="F101" i="1"/>
  <c r="H101" i="1"/>
  <c r="I101" i="1"/>
  <c r="J101" i="1"/>
  <c r="K101" i="1"/>
  <c r="AF101" i="1"/>
  <c r="AH101" i="1"/>
  <c r="B102" i="1"/>
  <c r="D102" i="1"/>
  <c r="E102" i="1"/>
  <c r="F102" i="1"/>
  <c r="H102" i="1"/>
  <c r="I102" i="1"/>
  <c r="J102" i="1"/>
  <c r="K102" i="1"/>
  <c r="AF102" i="1"/>
  <c r="AH102" i="1"/>
  <c r="B103" i="1"/>
  <c r="D103" i="1"/>
  <c r="E103" i="1"/>
  <c r="F103" i="1"/>
  <c r="H103" i="1"/>
  <c r="I103" i="1"/>
  <c r="J103" i="1"/>
  <c r="K103" i="1"/>
  <c r="AF103" i="1"/>
  <c r="AH103" i="1"/>
  <c r="B104" i="1"/>
  <c r="D104" i="1"/>
  <c r="E104" i="1"/>
  <c r="F104" i="1"/>
  <c r="H104" i="1"/>
  <c r="I104" i="1"/>
  <c r="J104" i="1"/>
  <c r="K104" i="1"/>
  <c r="AF104" i="1"/>
  <c r="AH104" i="1"/>
  <c r="B105" i="1"/>
  <c r="D105" i="1"/>
  <c r="E105" i="1"/>
  <c r="F105" i="1"/>
  <c r="H105" i="1"/>
  <c r="I105" i="1"/>
  <c r="J105" i="1"/>
  <c r="K105" i="1"/>
  <c r="AF105" i="1"/>
  <c r="AH105" i="1"/>
  <c r="B106" i="1"/>
  <c r="D106" i="1"/>
  <c r="E106" i="1"/>
  <c r="F106" i="1"/>
  <c r="H106" i="1"/>
  <c r="I106" i="1"/>
  <c r="J106" i="1"/>
  <c r="K106" i="1"/>
  <c r="AF106" i="1"/>
  <c r="AH106" i="1"/>
  <c r="B107" i="1"/>
  <c r="D107" i="1"/>
  <c r="E107" i="1"/>
  <c r="F107" i="1"/>
  <c r="H107" i="1"/>
  <c r="I107" i="1"/>
  <c r="J107" i="1"/>
  <c r="K107" i="1"/>
  <c r="AF107" i="1"/>
  <c r="AH107" i="1"/>
  <c r="B108" i="1"/>
  <c r="D108" i="1"/>
  <c r="E108" i="1"/>
  <c r="F108" i="1"/>
  <c r="H108" i="1"/>
  <c r="I108" i="1"/>
  <c r="J108" i="1"/>
  <c r="K108" i="1"/>
  <c r="AF108" i="1"/>
  <c r="AH108" i="1"/>
  <c r="B109" i="1"/>
  <c r="D109" i="1"/>
  <c r="E109" i="1"/>
  <c r="F109" i="1"/>
  <c r="H109" i="1"/>
  <c r="I109" i="1"/>
  <c r="J109" i="1"/>
  <c r="K109" i="1"/>
  <c r="AF109" i="1"/>
  <c r="AH109" i="1"/>
  <c r="B110" i="1"/>
  <c r="D110" i="1"/>
  <c r="E110" i="1"/>
  <c r="F110" i="1"/>
  <c r="H110" i="1"/>
  <c r="I110" i="1"/>
  <c r="J110" i="1"/>
  <c r="K110" i="1"/>
  <c r="AF110" i="1"/>
  <c r="AH110" i="1"/>
  <c r="B111" i="1"/>
  <c r="D111" i="1"/>
  <c r="E111" i="1"/>
  <c r="F111" i="1"/>
  <c r="H111" i="1"/>
  <c r="I111" i="1"/>
  <c r="J111" i="1"/>
  <c r="K111" i="1"/>
  <c r="AF111" i="1"/>
  <c r="AH111" i="1"/>
  <c r="B112" i="1"/>
  <c r="D112" i="1"/>
  <c r="E112" i="1"/>
  <c r="F112" i="1"/>
  <c r="H112" i="1"/>
  <c r="I112" i="1"/>
  <c r="J112" i="1"/>
  <c r="K112" i="1"/>
  <c r="AF112" i="1"/>
  <c r="AH112" i="1"/>
  <c r="B113" i="1"/>
  <c r="D113" i="1"/>
  <c r="E113" i="1"/>
  <c r="F113" i="1"/>
  <c r="H113" i="1"/>
  <c r="I113" i="1"/>
  <c r="J113" i="1"/>
  <c r="K113" i="1"/>
  <c r="AF113" i="1"/>
  <c r="AH113" i="1"/>
  <c r="B114" i="1"/>
  <c r="D114" i="1"/>
  <c r="E114" i="1"/>
  <c r="F114" i="1"/>
  <c r="H114" i="1"/>
  <c r="I114" i="1"/>
  <c r="J114" i="1"/>
  <c r="K114" i="1"/>
  <c r="AF114" i="1"/>
  <c r="AH114" i="1"/>
  <c r="B115" i="1"/>
  <c r="D115" i="1"/>
  <c r="E115" i="1"/>
  <c r="F115" i="1"/>
  <c r="H115" i="1"/>
  <c r="I115" i="1"/>
  <c r="J115" i="1"/>
  <c r="K115" i="1"/>
  <c r="AF115" i="1"/>
  <c r="AH115" i="1"/>
  <c r="B116" i="1"/>
  <c r="D116" i="1"/>
  <c r="E116" i="1"/>
  <c r="F116" i="1"/>
  <c r="H116" i="1"/>
  <c r="I116" i="1"/>
  <c r="J116" i="1"/>
  <c r="K116" i="1"/>
  <c r="AF116" i="1"/>
  <c r="AH116" i="1"/>
  <c r="B117" i="1"/>
  <c r="D117" i="1"/>
  <c r="E117" i="1"/>
  <c r="F117" i="1"/>
  <c r="H117" i="1"/>
  <c r="I117" i="1"/>
  <c r="J117" i="1"/>
  <c r="K117" i="1"/>
  <c r="AF117" i="1"/>
  <c r="AH117" i="1"/>
  <c r="B118" i="1"/>
  <c r="D118" i="1"/>
  <c r="E118" i="1"/>
  <c r="F118" i="1"/>
  <c r="H118" i="1"/>
  <c r="I118" i="1"/>
  <c r="J118" i="1"/>
  <c r="K118" i="1"/>
  <c r="AF118" i="1"/>
  <c r="AH118" i="1"/>
  <c r="B119" i="1"/>
  <c r="D119" i="1"/>
  <c r="E119" i="1"/>
  <c r="F119" i="1"/>
  <c r="H119" i="1"/>
  <c r="I119" i="1"/>
  <c r="J119" i="1"/>
  <c r="K119" i="1"/>
  <c r="AF119" i="1"/>
  <c r="AH119" i="1"/>
  <c r="B120" i="1"/>
  <c r="D120" i="1"/>
  <c r="E120" i="1"/>
  <c r="F120" i="1"/>
  <c r="H120" i="1"/>
  <c r="I120" i="1"/>
  <c r="J120" i="1"/>
  <c r="K120" i="1"/>
  <c r="AF120" i="1"/>
  <c r="AH120" i="1"/>
  <c r="B121" i="1"/>
  <c r="D121" i="1"/>
  <c r="E121" i="1"/>
  <c r="F121" i="1"/>
  <c r="H121" i="1"/>
  <c r="I121" i="1"/>
  <c r="J121" i="1"/>
  <c r="K121" i="1"/>
  <c r="AF121" i="1"/>
  <c r="AH121" i="1"/>
  <c r="B122" i="1"/>
  <c r="D122" i="1"/>
  <c r="E122" i="1"/>
  <c r="F122" i="1"/>
  <c r="H122" i="1"/>
  <c r="I122" i="1"/>
  <c r="J122" i="1"/>
  <c r="K122" i="1"/>
  <c r="AF122" i="1"/>
  <c r="AH122" i="1"/>
  <c r="B123" i="1"/>
  <c r="D123" i="1"/>
  <c r="E123" i="1"/>
  <c r="F123" i="1"/>
  <c r="H123" i="1"/>
  <c r="I123" i="1"/>
  <c r="J123" i="1"/>
  <c r="K123" i="1"/>
  <c r="AF123" i="1"/>
  <c r="AH123" i="1"/>
  <c r="B124" i="1"/>
  <c r="D124" i="1"/>
  <c r="E124" i="1"/>
  <c r="F124" i="1"/>
  <c r="H124" i="1"/>
  <c r="I124" i="1"/>
  <c r="J124" i="1"/>
  <c r="K124" i="1"/>
  <c r="AF124" i="1"/>
  <c r="AH124" i="1"/>
  <c r="B125" i="1"/>
  <c r="D125" i="1"/>
  <c r="E125" i="1"/>
  <c r="F125" i="1"/>
  <c r="H125" i="1"/>
  <c r="I125" i="1"/>
  <c r="J125" i="1"/>
  <c r="K125" i="1"/>
  <c r="AF125" i="1"/>
  <c r="AH125" i="1"/>
  <c r="B126" i="1"/>
  <c r="D126" i="1"/>
  <c r="E126" i="1"/>
  <c r="F126" i="1"/>
  <c r="H126" i="1"/>
  <c r="I126" i="1"/>
  <c r="J126" i="1"/>
  <c r="K126" i="1"/>
  <c r="AF126" i="1"/>
  <c r="AH126" i="1"/>
  <c r="B127" i="1"/>
  <c r="D127" i="1"/>
  <c r="E127" i="1"/>
  <c r="F127" i="1"/>
  <c r="H127" i="1"/>
  <c r="I127" i="1"/>
  <c r="J127" i="1"/>
  <c r="K127" i="1"/>
  <c r="AF127" i="1"/>
  <c r="AH127" i="1"/>
  <c r="B128" i="1"/>
  <c r="D128" i="1"/>
  <c r="E128" i="1"/>
  <c r="F128" i="1"/>
  <c r="H128" i="1"/>
  <c r="I128" i="1"/>
  <c r="J128" i="1"/>
  <c r="K128" i="1"/>
  <c r="AF128" i="1"/>
  <c r="AH128" i="1"/>
  <c r="B129" i="1"/>
  <c r="D129" i="1"/>
  <c r="E129" i="1"/>
  <c r="F129" i="1"/>
  <c r="H129" i="1"/>
  <c r="I129" i="1"/>
  <c r="J129" i="1"/>
  <c r="K129" i="1"/>
  <c r="AF129" i="1"/>
  <c r="AH129" i="1"/>
  <c r="B130" i="1"/>
  <c r="D130" i="1"/>
  <c r="E130" i="1"/>
  <c r="F130" i="1"/>
  <c r="H130" i="1"/>
  <c r="I130" i="1"/>
  <c r="J130" i="1"/>
  <c r="K130" i="1"/>
  <c r="AF130" i="1"/>
  <c r="AH130" i="1"/>
  <c r="B131" i="1"/>
  <c r="D131" i="1"/>
  <c r="E131" i="1"/>
  <c r="F131" i="1"/>
  <c r="H131" i="1"/>
  <c r="I131" i="1"/>
  <c r="J131" i="1"/>
  <c r="K131" i="1"/>
  <c r="AF131" i="1"/>
  <c r="AH131" i="1"/>
  <c r="B132" i="1"/>
  <c r="D132" i="1"/>
  <c r="E132" i="1"/>
  <c r="F132" i="1"/>
  <c r="H132" i="1"/>
  <c r="I132" i="1"/>
  <c r="J132" i="1"/>
  <c r="K132" i="1"/>
  <c r="AF132" i="1"/>
  <c r="AH132" i="1"/>
  <c r="B133" i="1"/>
  <c r="D133" i="1"/>
  <c r="E133" i="1"/>
  <c r="F133" i="1"/>
  <c r="H133" i="1"/>
  <c r="I133" i="1"/>
  <c r="J133" i="1"/>
  <c r="K133" i="1"/>
  <c r="AF133" i="1"/>
  <c r="AH133" i="1"/>
  <c r="B134" i="1"/>
  <c r="D134" i="1"/>
  <c r="E134" i="1"/>
  <c r="F134" i="1"/>
  <c r="H134" i="1"/>
  <c r="I134" i="1"/>
  <c r="J134" i="1"/>
  <c r="K134" i="1"/>
  <c r="AF134" i="1"/>
  <c r="AH134" i="1"/>
  <c r="B135" i="1"/>
  <c r="D135" i="1"/>
  <c r="E135" i="1"/>
  <c r="F135" i="1"/>
  <c r="H135" i="1"/>
  <c r="I135" i="1"/>
  <c r="J135" i="1"/>
  <c r="K135" i="1"/>
  <c r="AF135" i="1"/>
  <c r="AH135" i="1"/>
  <c r="B136" i="1"/>
  <c r="D136" i="1"/>
  <c r="E136" i="1"/>
  <c r="F136" i="1"/>
  <c r="H136" i="1"/>
  <c r="I136" i="1"/>
  <c r="J136" i="1"/>
  <c r="K136" i="1"/>
  <c r="AF136" i="1"/>
  <c r="AH136" i="1"/>
  <c r="B137" i="1"/>
  <c r="D137" i="1"/>
  <c r="E137" i="1"/>
  <c r="F137" i="1"/>
  <c r="H137" i="1"/>
  <c r="I137" i="1"/>
  <c r="J137" i="1"/>
  <c r="K137" i="1"/>
  <c r="AF137" i="1"/>
  <c r="AH137" i="1"/>
  <c r="B138" i="1"/>
  <c r="D138" i="1"/>
  <c r="E138" i="1"/>
  <c r="F138" i="1"/>
  <c r="H138" i="1"/>
  <c r="I138" i="1"/>
  <c r="J138" i="1"/>
  <c r="K138" i="1"/>
  <c r="AF138" i="1"/>
  <c r="AH138" i="1"/>
  <c r="B139" i="1"/>
  <c r="D139" i="1"/>
  <c r="E139" i="1"/>
  <c r="F139" i="1"/>
  <c r="H139" i="1"/>
  <c r="I139" i="1"/>
  <c r="J139" i="1"/>
  <c r="K139" i="1"/>
  <c r="AF139" i="1"/>
  <c r="AH139" i="1"/>
  <c r="B140" i="1"/>
  <c r="D140" i="1"/>
  <c r="E140" i="1"/>
  <c r="F140" i="1"/>
  <c r="H140" i="1"/>
  <c r="I140" i="1"/>
  <c r="J140" i="1"/>
  <c r="K140" i="1"/>
  <c r="AF140" i="1"/>
  <c r="AH140" i="1"/>
  <c r="B141" i="1"/>
  <c r="D141" i="1"/>
  <c r="E141" i="1"/>
  <c r="F141" i="1"/>
  <c r="H141" i="1"/>
  <c r="I141" i="1"/>
  <c r="J141" i="1"/>
  <c r="K141" i="1"/>
  <c r="AF141" i="1"/>
  <c r="AH141" i="1"/>
  <c r="B142" i="1"/>
  <c r="D142" i="1"/>
  <c r="E142" i="1"/>
  <c r="F142" i="1"/>
  <c r="H142" i="1"/>
  <c r="I142" i="1"/>
  <c r="J142" i="1"/>
  <c r="K142" i="1"/>
  <c r="AF142" i="1"/>
  <c r="AH142" i="1"/>
  <c r="B143" i="1"/>
  <c r="D143" i="1"/>
  <c r="E143" i="1"/>
  <c r="F143" i="1"/>
  <c r="H143" i="1"/>
  <c r="I143" i="1"/>
  <c r="J143" i="1"/>
  <c r="K143" i="1"/>
  <c r="AF143" i="1"/>
  <c r="AH143" i="1"/>
  <c r="B144" i="1"/>
  <c r="D144" i="1"/>
  <c r="E144" i="1"/>
  <c r="F144" i="1"/>
  <c r="H144" i="1"/>
  <c r="I144" i="1"/>
  <c r="J144" i="1"/>
  <c r="K144" i="1"/>
  <c r="AF144" i="1"/>
  <c r="AH144" i="1"/>
  <c r="B145" i="1"/>
  <c r="D145" i="1"/>
  <c r="E145" i="1"/>
  <c r="F145" i="1"/>
  <c r="H145" i="1"/>
  <c r="I145" i="1"/>
  <c r="J145" i="1"/>
  <c r="K145" i="1"/>
  <c r="AF145" i="1"/>
  <c r="AH145" i="1"/>
  <c r="B146" i="1"/>
  <c r="D146" i="1"/>
  <c r="E146" i="1"/>
  <c r="F146" i="1"/>
  <c r="H146" i="1"/>
  <c r="I146" i="1"/>
  <c r="J146" i="1"/>
  <c r="K146" i="1"/>
  <c r="AF146" i="1"/>
  <c r="AH146" i="1"/>
  <c r="B147" i="1"/>
  <c r="D147" i="1"/>
  <c r="E147" i="1"/>
  <c r="F147" i="1"/>
  <c r="H147" i="1"/>
  <c r="I147" i="1"/>
  <c r="J147" i="1"/>
  <c r="K147" i="1"/>
  <c r="AF147" i="1"/>
  <c r="AH147" i="1"/>
  <c r="B148" i="1"/>
  <c r="D148" i="1"/>
  <c r="E148" i="1"/>
  <c r="F148" i="1"/>
  <c r="H148" i="1"/>
  <c r="I148" i="1"/>
  <c r="J148" i="1"/>
  <c r="K148" i="1"/>
  <c r="AF148" i="1"/>
  <c r="AH148" i="1"/>
  <c r="B149" i="1"/>
  <c r="D149" i="1"/>
  <c r="E149" i="1"/>
  <c r="F149" i="1"/>
  <c r="H149" i="1"/>
  <c r="I149" i="1"/>
  <c r="J149" i="1"/>
  <c r="K149" i="1"/>
  <c r="AF149" i="1"/>
  <c r="AH149" i="1"/>
  <c r="B150" i="1"/>
  <c r="D150" i="1"/>
  <c r="E150" i="1"/>
  <c r="F150" i="1"/>
  <c r="H150" i="1"/>
  <c r="I150" i="1"/>
  <c r="J150" i="1"/>
  <c r="K150" i="1"/>
  <c r="AF150" i="1"/>
  <c r="AH150" i="1"/>
  <c r="B151" i="1"/>
  <c r="D151" i="1"/>
  <c r="E151" i="1"/>
  <c r="F151" i="1"/>
  <c r="H151" i="1"/>
  <c r="I151" i="1"/>
  <c r="J151" i="1"/>
  <c r="K151" i="1"/>
  <c r="AF151" i="1"/>
  <c r="AH151" i="1"/>
  <c r="B152" i="1"/>
  <c r="D152" i="1"/>
  <c r="E152" i="1"/>
  <c r="F152" i="1"/>
  <c r="H152" i="1"/>
  <c r="I152" i="1"/>
  <c r="J152" i="1"/>
  <c r="K152" i="1"/>
  <c r="AF152" i="1"/>
  <c r="AH152" i="1"/>
  <c r="B153" i="1"/>
  <c r="D153" i="1"/>
  <c r="E153" i="1"/>
  <c r="F153" i="1"/>
  <c r="H153" i="1"/>
  <c r="I153" i="1"/>
  <c r="J153" i="1"/>
  <c r="K153" i="1"/>
  <c r="AF153" i="1"/>
  <c r="AH153" i="1"/>
  <c r="B154" i="1"/>
  <c r="D154" i="1"/>
  <c r="E154" i="1"/>
  <c r="F154" i="1"/>
  <c r="H154" i="1"/>
  <c r="I154" i="1"/>
  <c r="J154" i="1"/>
  <c r="K154" i="1"/>
  <c r="AF154" i="1"/>
  <c r="AH154" i="1"/>
  <c r="B155" i="1"/>
  <c r="D155" i="1"/>
  <c r="E155" i="1"/>
  <c r="F155" i="1"/>
  <c r="H155" i="1"/>
  <c r="I155" i="1"/>
  <c r="J155" i="1"/>
  <c r="K155" i="1"/>
  <c r="AF155" i="1"/>
  <c r="AH155" i="1"/>
  <c r="B156" i="1"/>
  <c r="D156" i="1"/>
  <c r="E156" i="1"/>
  <c r="F156" i="1"/>
  <c r="H156" i="1"/>
  <c r="I156" i="1"/>
  <c r="J156" i="1"/>
  <c r="K156" i="1"/>
  <c r="AF156" i="1"/>
  <c r="AH156" i="1"/>
  <c r="B157" i="1"/>
  <c r="D157" i="1"/>
  <c r="E157" i="1"/>
  <c r="F157" i="1"/>
  <c r="H157" i="1"/>
  <c r="I157" i="1"/>
  <c r="J157" i="1"/>
  <c r="K157" i="1"/>
  <c r="AF157" i="1"/>
  <c r="AH157" i="1"/>
  <c r="B158" i="1"/>
  <c r="D158" i="1"/>
  <c r="E158" i="1"/>
  <c r="F158" i="1"/>
  <c r="H158" i="1"/>
  <c r="I158" i="1"/>
  <c r="J158" i="1"/>
  <c r="K158" i="1"/>
  <c r="AF158" i="1"/>
  <c r="AH158" i="1"/>
  <c r="B159" i="1"/>
  <c r="D159" i="1"/>
  <c r="E159" i="1"/>
  <c r="F159" i="1"/>
  <c r="H159" i="1"/>
  <c r="I159" i="1"/>
  <c r="J159" i="1"/>
  <c r="K159" i="1"/>
  <c r="AF159" i="1"/>
  <c r="AH159" i="1"/>
  <c r="B160" i="1"/>
  <c r="D160" i="1"/>
  <c r="E160" i="1"/>
  <c r="F160" i="1"/>
  <c r="H160" i="1"/>
  <c r="I160" i="1"/>
  <c r="J160" i="1"/>
  <c r="K160" i="1"/>
  <c r="AF160" i="1"/>
  <c r="AH160" i="1"/>
  <c r="B161" i="1"/>
  <c r="D161" i="1"/>
  <c r="E161" i="1"/>
  <c r="F161" i="1"/>
  <c r="H161" i="1"/>
  <c r="I161" i="1"/>
  <c r="J161" i="1"/>
  <c r="K161" i="1"/>
  <c r="AF161" i="1"/>
  <c r="AH161" i="1"/>
  <c r="B162" i="1"/>
  <c r="D162" i="1"/>
  <c r="E162" i="1"/>
  <c r="F162" i="1"/>
  <c r="H162" i="1"/>
  <c r="I162" i="1"/>
  <c r="J162" i="1"/>
  <c r="K162" i="1"/>
  <c r="AF162" i="1"/>
  <c r="AH162" i="1"/>
  <c r="B163" i="1"/>
  <c r="D163" i="1"/>
  <c r="E163" i="1"/>
  <c r="F163" i="1"/>
  <c r="H163" i="1"/>
  <c r="I163" i="1"/>
  <c r="J163" i="1"/>
  <c r="K163" i="1"/>
  <c r="AF163" i="1"/>
  <c r="AH163" i="1"/>
  <c r="B164" i="1"/>
  <c r="D164" i="1"/>
  <c r="E164" i="1"/>
  <c r="F164" i="1"/>
  <c r="H164" i="1"/>
  <c r="I164" i="1"/>
  <c r="J164" i="1"/>
  <c r="K164" i="1"/>
  <c r="AF164" i="1"/>
  <c r="AH164" i="1"/>
  <c r="B165" i="1"/>
  <c r="D165" i="1"/>
  <c r="E165" i="1"/>
  <c r="F165" i="1"/>
  <c r="H165" i="1"/>
  <c r="I165" i="1"/>
  <c r="J165" i="1"/>
  <c r="K165" i="1"/>
  <c r="AF165" i="1"/>
  <c r="AH165" i="1"/>
  <c r="B166" i="1"/>
  <c r="D166" i="1"/>
  <c r="E166" i="1"/>
  <c r="F166" i="1"/>
  <c r="H166" i="1"/>
  <c r="I166" i="1"/>
  <c r="J166" i="1"/>
  <c r="K166" i="1"/>
  <c r="AF166" i="1"/>
  <c r="AH166" i="1"/>
  <c r="B167" i="1"/>
  <c r="D167" i="1"/>
  <c r="E167" i="1"/>
  <c r="F167" i="1"/>
  <c r="H167" i="1"/>
  <c r="I167" i="1"/>
  <c r="J167" i="1"/>
  <c r="K167" i="1"/>
  <c r="AF167" i="1"/>
  <c r="AH167" i="1"/>
  <c r="B168" i="1"/>
  <c r="D168" i="1"/>
  <c r="E168" i="1"/>
  <c r="F168" i="1"/>
  <c r="H168" i="1"/>
  <c r="I168" i="1"/>
  <c r="J168" i="1"/>
  <c r="K168" i="1"/>
  <c r="AF168" i="1"/>
  <c r="AH168" i="1"/>
  <c r="A6" i="24" l="1"/>
  <c r="A5" i="24"/>
  <c r="A4" i="24"/>
  <c r="A3" i="24"/>
  <c r="A2" i="24"/>
  <c r="G3" i="12" l="1"/>
  <c r="G7" i="12"/>
  <c r="G11" i="12"/>
  <c r="G15" i="12"/>
  <c r="G19" i="12"/>
  <c r="G23" i="12"/>
  <c r="G27" i="12"/>
  <c r="G31" i="12"/>
  <c r="G35" i="12"/>
  <c r="G39" i="12"/>
  <c r="H7" i="15"/>
  <c r="H11" i="15"/>
  <c r="H15" i="15"/>
  <c r="H19" i="15"/>
  <c r="H23" i="15"/>
  <c r="H6" i="14"/>
  <c r="H10" i="14"/>
  <c r="H14" i="14"/>
  <c r="H18" i="14"/>
  <c r="H22" i="14"/>
  <c r="H2" i="14"/>
  <c r="H6" i="13"/>
  <c r="H10" i="13"/>
  <c r="H14" i="13"/>
  <c r="H18" i="13"/>
  <c r="H22" i="13"/>
  <c r="H26" i="13"/>
  <c r="H30" i="13"/>
  <c r="H34" i="13"/>
  <c r="H38" i="13"/>
  <c r="H42" i="13"/>
  <c r="H46" i="13"/>
  <c r="H50" i="13"/>
  <c r="H54" i="13"/>
  <c r="H58" i="13"/>
  <c r="H62" i="13"/>
  <c r="H66" i="13"/>
  <c r="H70" i="13"/>
  <c r="H74" i="13"/>
  <c r="H78" i="13"/>
  <c r="H82" i="13"/>
  <c r="H3" i="11"/>
  <c r="H7" i="11"/>
  <c r="H11" i="11"/>
  <c r="H15" i="11"/>
  <c r="H19" i="11"/>
  <c r="H23" i="11"/>
  <c r="H27" i="11"/>
  <c r="H31" i="11"/>
  <c r="H35" i="11"/>
  <c r="H39" i="11"/>
  <c r="H43" i="11"/>
  <c r="H47" i="11"/>
  <c r="H51" i="11"/>
  <c r="H55" i="11"/>
  <c r="H59" i="11"/>
  <c r="H63" i="11"/>
  <c r="H67" i="11"/>
  <c r="H71" i="11"/>
  <c r="H5" i="10"/>
  <c r="H9" i="10"/>
  <c r="H3" i="9"/>
  <c r="H7" i="9"/>
  <c r="H11" i="9"/>
  <c r="H15" i="9"/>
  <c r="H19" i="9"/>
  <c r="H23" i="9"/>
  <c r="H27" i="9"/>
  <c r="H31" i="9"/>
  <c r="H35" i="9"/>
  <c r="H39" i="9"/>
  <c r="H43" i="9"/>
  <c r="H47" i="9"/>
  <c r="H51" i="9"/>
  <c r="H5" i="8"/>
  <c r="H9" i="8"/>
  <c r="H13" i="8"/>
  <c r="H17" i="8"/>
  <c r="H21" i="8"/>
  <c r="H25" i="8"/>
  <c r="H29" i="8"/>
  <c r="H33" i="8"/>
  <c r="H37" i="8"/>
  <c r="H41" i="8"/>
  <c r="H45" i="8"/>
  <c r="H49" i="8"/>
  <c r="H53" i="8"/>
  <c r="H57" i="8"/>
  <c r="H61" i="8"/>
  <c r="H65" i="8"/>
  <c r="H69" i="8"/>
  <c r="H73" i="8"/>
  <c r="H77" i="8"/>
  <c r="H81" i="8"/>
  <c r="H85" i="8"/>
  <c r="H89" i="8"/>
  <c r="H93" i="8"/>
  <c r="H97" i="8"/>
  <c r="H101" i="8"/>
  <c r="H5" i="16"/>
  <c r="H9" i="16"/>
  <c r="H4" i="6"/>
  <c r="H8" i="6"/>
  <c r="H12" i="6"/>
  <c r="H16" i="6"/>
  <c r="H20" i="6"/>
  <c r="H4" i="7"/>
  <c r="H8" i="7"/>
  <c r="H12" i="7"/>
  <c r="H16" i="7"/>
  <c r="H20" i="7"/>
  <c r="H4" i="17"/>
  <c r="H8" i="17"/>
  <c r="H12" i="17"/>
  <c r="H16" i="17"/>
  <c r="H20" i="17"/>
  <c r="H4" i="5"/>
  <c r="H8" i="5"/>
  <c r="H12" i="5"/>
  <c r="H16" i="5"/>
  <c r="H20" i="5"/>
  <c r="H24" i="5"/>
  <c r="H28" i="5"/>
  <c r="H32" i="5"/>
  <c r="H36" i="5"/>
  <c r="H40" i="5"/>
  <c r="H44" i="5"/>
  <c r="H48" i="5"/>
  <c r="H2" i="5"/>
  <c r="H6" i="4"/>
  <c r="H10" i="4"/>
  <c r="H14" i="4"/>
  <c r="H18" i="4"/>
  <c r="H22" i="4"/>
  <c r="H26" i="4"/>
  <c r="H30" i="4"/>
  <c r="H34" i="4"/>
  <c r="H38" i="4"/>
  <c r="H42" i="4"/>
  <c r="H46" i="4"/>
  <c r="H50" i="4"/>
  <c r="H4" i="2"/>
  <c r="G4" i="1" s="1"/>
  <c r="H8" i="2"/>
  <c r="G8" i="1" s="1"/>
  <c r="H12" i="2"/>
  <c r="G12" i="1" s="1"/>
  <c r="H16" i="2"/>
  <c r="G16" i="1" s="1"/>
  <c r="H20" i="2"/>
  <c r="G20" i="1" s="1"/>
  <c r="H24" i="2"/>
  <c r="G24" i="1" s="1"/>
  <c r="H28" i="2"/>
  <c r="G28" i="1" s="1"/>
  <c r="H32" i="2"/>
  <c r="G32" i="1" s="1"/>
  <c r="H36" i="2"/>
  <c r="G36" i="1" s="1"/>
  <c r="H40" i="2"/>
  <c r="G40" i="1" s="1"/>
  <c r="H44" i="2"/>
  <c r="G44" i="1" s="1"/>
  <c r="H48" i="2"/>
  <c r="G48" i="1" s="1"/>
  <c r="H52" i="2"/>
  <c r="G52" i="1" s="1"/>
  <c r="H56" i="2"/>
  <c r="G56" i="1" s="1"/>
  <c r="H60" i="2"/>
  <c r="G60" i="1" s="1"/>
  <c r="H64" i="2"/>
  <c r="G64" i="1" s="1"/>
  <c r="H68" i="2"/>
  <c r="G68" i="1" s="1"/>
  <c r="H72" i="2"/>
  <c r="G72" i="1" s="1"/>
  <c r="H76" i="2"/>
  <c r="G76" i="1" s="1"/>
  <c r="H80" i="2"/>
  <c r="G80" i="1" s="1"/>
  <c r="H84" i="2"/>
  <c r="G84" i="1" s="1"/>
  <c r="H88" i="2"/>
  <c r="G88" i="1" s="1"/>
  <c r="H92" i="2"/>
  <c r="G92" i="1" s="1"/>
  <c r="H96" i="2"/>
  <c r="G96" i="1" s="1"/>
  <c r="H100" i="2"/>
  <c r="G100" i="1" s="1"/>
  <c r="G4" i="12"/>
  <c r="G8" i="12"/>
  <c r="G12" i="12"/>
  <c r="G16" i="12"/>
  <c r="G20" i="12"/>
  <c r="G24" i="12"/>
  <c r="G28" i="12"/>
  <c r="G32" i="12"/>
  <c r="G36" i="12"/>
  <c r="G40" i="12"/>
  <c r="H4" i="15"/>
  <c r="H8" i="15"/>
  <c r="H12" i="15"/>
  <c r="H16" i="15"/>
  <c r="H20" i="15"/>
  <c r="H24" i="15"/>
  <c r="H3" i="14"/>
  <c r="H7" i="14"/>
  <c r="H11" i="14"/>
  <c r="H15" i="14"/>
  <c r="H19" i="14"/>
  <c r="H23" i="14"/>
  <c r="H3" i="13"/>
  <c r="H7" i="13"/>
  <c r="H11" i="13"/>
  <c r="H15" i="13"/>
  <c r="H19" i="13"/>
  <c r="H23" i="13"/>
  <c r="H27" i="13"/>
  <c r="H31" i="13"/>
  <c r="H35" i="13"/>
  <c r="H39" i="13"/>
  <c r="H43" i="13"/>
  <c r="H47" i="13"/>
  <c r="H51" i="13"/>
  <c r="H55" i="13"/>
  <c r="H59" i="13"/>
  <c r="H63" i="13"/>
  <c r="H67" i="13"/>
  <c r="H71" i="13"/>
  <c r="H75" i="13"/>
  <c r="H79" i="13"/>
  <c r="H83" i="13"/>
  <c r="H4" i="11"/>
  <c r="H8" i="11"/>
  <c r="H12" i="11"/>
  <c r="H16" i="11"/>
  <c r="H20" i="11"/>
  <c r="H24" i="11"/>
  <c r="H28" i="11"/>
  <c r="H32" i="11"/>
  <c r="H36" i="11"/>
  <c r="H40" i="11"/>
  <c r="H44" i="11"/>
  <c r="H48" i="11"/>
  <c r="H52" i="11"/>
  <c r="H56" i="11"/>
  <c r="H60" i="11"/>
  <c r="H64" i="11"/>
  <c r="H68" i="11"/>
  <c r="H2" i="11"/>
  <c r="H6" i="10"/>
  <c r="H10" i="10"/>
  <c r="H4" i="9"/>
  <c r="H8" i="9"/>
  <c r="H12" i="9"/>
  <c r="H16" i="9"/>
  <c r="H20" i="9"/>
  <c r="H24" i="9"/>
  <c r="H28" i="9"/>
  <c r="H32" i="9"/>
  <c r="H36" i="9"/>
  <c r="H40" i="9"/>
  <c r="H44" i="9"/>
  <c r="H48" i="9"/>
  <c r="H2" i="9"/>
  <c r="H6" i="8"/>
  <c r="H10" i="8"/>
  <c r="H14" i="8"/>
  <c r="H18" i="8"/>
  <c r="H22" i="8"/>
  <c r="H26" i="8"/>
  <c r="H30" i="8"/>
  <c r="H34" i="8"/>
  <c r="H38" i="8"/>
  <c r="H42" i="8"/>
  <c r="H46" i="8"/>
  <c r="H50" i="8"/>
  <c r="H54" i="8"/>
  <c r="H58" i="8"/>
  <c r="H62" i="8"/>
  <c r="H66" i="8"/>
  <c r="H70" i="8"/>
  <c r="H74" i="8"/>
  <c r="H78" i="8"/>
  <c r="H82" i="8"/>
  <c r="H86" i="8"/>
  <c r="H90" i="8"/>
  <c r="H94" i="8"/>
  <c r="H98" i="8"/>
  <c r="H6" i="16"/>
  <c r="H10" i="16"/>
  <c r="H5" i="6"/>
  <c r="H9" i="6"/>
  <c r="H13" i="6"/>
  <c r="H17" i="6"/>
  <c r="H21" i="6"/>
  <c r="H5" i="7"/>
  <c r="H9" i="7"/>
  <c r="H13" i="7"/>
  <c r="H17" i="7"/>
  <c r="H21" i="7"/>
  <c r="H5" i="17"/>
  <c r="H9" i="17"/>
  <c r="H13" i="17"/>
  <c r="H17" i="17"/>
  <c r="H21" i="17"/>
  <c r="H5" i="5"/>
  <c r="H9" i="5"/>
  <c r="H13" i="5"/>
  <c r="H17" i="5"/>
  <c r="H21" i="5"/>
  <c r="H25" i="5"/>
  <c r="H29" i="5"/>
  <c r="H33" i="5"/>
  <c r="H37" i="5"/>
  <c r="H41" i="5"/>
  <c r="H45" i="5"/>
  <c r="H49" i="5"/>
  <c r="H3" i="4"/>
  <c r="H7" i="4"/>
  <c r="H11" i="4"/>
  <c r="H15" i="4"/>
  <c r="H19" i="4"/>
  <c r="H23" i="4"/>
  <c r="H27" i="4"/>
  <c r="H31" i="4"/>
  <c r="H35" i="4"/>
  <c r="H39" i="4"/>
  <c r="H43" i="4"/>
  <c r="H47" i="4"/>
  <c r="H51" i="4"/>
  <c r="H5" i="2"/>
  <c r="G5" i="1" s="1"/>
  <c r="H9" i="2"/>
  <c r="G9" i="1" s="1"/>
  <c r="H13" i="2"/>
  <c r="G13" i="1" s="1"/>
  <c r="H17" i="2"/>
  <c r="G17" i="1" s="1"/>
  <c r="H21" i="2"/>
  <c r="G21" i="1" s="1"/>
  <c r="H25" i="2"/>
  <c r="G25" i="1" s="1"/>
  <c r="H29" i="2"/>
  <c r="G29" i="1" s="1"/>
  <c r="H33" i="2"/>
  <c r="G33" i="1" s="1"/>
  <c r="H37" i="2"/>
  <c r="G37" i="1" s="1"/>
  <c r="H41" i="2"/>
  <c r="G41" i="1" s="1"/>
  <c r="H45" i="2"/>
  <c r="G45" i="1" s="1"/>
  <c r="H49" i="2"/>
  <c r="G49" i="1" s="1"/>
  <c r="H53" i="2"/>
  <c r="G53" i="1" s="1"/>
  <c r="H57" i="2"/>
  <c r="G57" i="1" s="1"/>
  <c r="H61" i="2"/>
  <c r="G61" i="1" s="1"/>
  <c r="H65" i="2"/>
  <c r="G65" i="1" s="1"/>
  <c r="H69" i="2"/>
  <c r="G69" i="1" s="1"/>
  <c r="H73" i="2"/>
  <c r="G73" i="1" s="1"/>
  <c r="H77" i="2"/>
  <c r="G77" i="1" s="1"/>
  <c r="H81" i="2"/>
  <c r="G81" i="1" s="1"/>
  <c r="H85" i="2"/>
  <c r="G85" i="1" s="1"/>
  <c r="H89" i="2"/>
  <c r="G89" i="1" s="1"/>
  <c r="H93" i="2"/>
  <c r="G93" i="1" s="1"/>
  <c r="H97" i="2"/>
  <c r="G97" i="1" s="1"/>
  <c r="H101" i="2"/>
  <c r="G101" i="1" s="1"/>
  <c r="G5" i="12"/>
  <c r="G9" i="12"/>
  <c r="G13" i="12"/>
  <c r="G17" i="12"/>
  <c r="G21" i="12"/>
  <c r="G25" i="12"/>
  <c r="G29" i="12"/>
  <c r="G33" i="12"/>
  <c r="G37" i="12"/>
  <c r="G41" i="12"/>
  <c r="H5" i="15"/>
  <c r="H9" i="15"/>
  <c r="H13" i="15"/>
  <c r="H17" i="15"/>
  <c r="H21" i="15"/>
  <c r="H25" i="15"/>
  <c r="H4" i="14"/>
  <c r="H8" i="14"/>
  <c r="H12" i="14"/>
  <c r="H16" i="14"/>
  <c r="H20" i="14"/>
  <c r="H24" i="14"/>
  <c r="H8" i="13"/>
  <c r="H12" i="13"/>
  <c r="H16" i="13"/>
  <c r="H20" i="13"/>
  <c r="H24" i="13"/>
  <c r="H28" i="13"/>
  <c r="H32" i="13"/>
  <c r="H36" i="13"/>
  <c r="H40" i="13"/>
  <c r="H44" i="13"/>
  <c r="H48" i="13"/>
  <c r="H52" i="13"/>
  <c r="H56" i="13"/>
  <c r="H60" i="13"/>
  <c r="H64" i="13"/>
  <c r="H68" i="13"/>
  <c r="H72" i="13"/>
  <c r="H76" i="13"/>
  <c r="H80" i="13"/>
  <c r="H84" i="13"/>
  <c r="H5" i="11"/>
  <c r="H9" i="11"/>
  <c r="H13" i="11"/>
  <c r="H17" i="11"/>
  <c r="H21" i="11"/>
  <c r="H25" i="11"/>
  <c r="H29" i="11"/>
  <c r="H33" i="11"/>
  <c r="H37" i="11"/>
  <c r="H41" i="11"/>
  <c r="H45" i="11"/>
  <c r="H49" i="11"/>
  <c r="H53" i="11"/>
  <c r="H57" i="11"/>
  <c r="H61" i="11"/>
  <c r="H65" i="11"/>
  <c r="H69" i="11"/>
  <c r="H3" i="10"/>
  <c r="H7" i="10"/>
  <c r="H11" i="10"/>
  <c r="H5" i="9"/>
  <c r="H9" i="9"/>
  <c r="H13" i="9"/>
  <c r="H17" i="9"/>
  <c r="H21" i="9"/>
  <c r="H25" i="9"/>
  <c r="H29" i="9"/>
  <c r="H33" i="9"/>
  <c r="H37" i="9"/>
  <c r="H41" i="9"/>
  <c r="H45" i="9"/>
  <c r="H49" i="9"/>
  <c r="H3" i="8"/>
  <c r="H7" i="8"/>
  <c r="H11" i="8"/>
  <c r="H15" i="8"/>
  <c r="H19" i="8"/>
  <c r="H23" i="8"/>
  <c r="H27" i="8"/>
  <c r="H31" i="8"/>
  <c r="H35" i="8"/>
  <c r="H39" i="8"/>
  <c r="H43" i="8"/>
  <c r="H47" i="8"/>
  <c r="H51" i="8"/>
  <c r="H55" i="8"/>
  <c r="H59" i="8"/>
  <c r="H63" i="8"/>
  <c r="H67" i="8"/>
  <c r="H71" i="8"/>
  <c r="H75" i="8"/>
  <c r="H79" i="8"/>
  <c r="H83" i="8"/>
  <c r="H87" i="8"/>
  <c r="H91" i="8"/>
  <c r="H95" i="8"/>
  <c r="H99" i="8"/>
  <c r="H3" i="16"/>
  <c r="H7" i="16"/>
  <c r="H2" i="16"/>
  <c r="H6" i="6"/>
  <c r="H10" i="6"/>
  <c r="H14" i="6"/>
  <c r="H18" i="6"/>
  <c r="H2" i="6"/>
  <c r="H6" i="7"/>
  <c r="H10" i="7"/>
  <c r="H14" i="7"/>
  <c r="H18" i="7"/>
  <c r="H2" i="7"/>
  <c r="H6" i="17"/>
  <c r="H10" i="17"/>
  <c r="H14" i="17"/>
  <c r="H18" i="17"/>
  <c r="H2" i="17"/>
  <c r="H6" i="5"/>
  <c r="H10" i="5"/>
  <c r="H14" i="5"/>
  <c r="H18" i="5"/>
  <c r="H22" i="5"/>
  <c r="H26" i="5"/>
  <c r="H30" i="5"/>
  <c r="H34" i="5"/>
  <c r="H38" i="5"/>
  <c r="H42" i="5"/>
  <c r="H46" i="5"/>
  <c r="H50" i="5"/>
  <c r="H4" i="4"/>
  <c r="H8" i="4"/>
  <c r="H12" i="4"/>
  <c r="H16" i="4"/>
  <c r="H20" i="4"/>
  <c r="H24" i="4"/>
  <c r="H28" i="4"/>
  <c r="H32" i="4"/>
  <c r="H36" i="4"/>
  <c r="H40" i="4"/>
  <c r="H44" i="4"/>
  <c r="H48" i="4"/>
  <c r="H2" i="4"/>
  <c r="H6" i="2"/>
  <c r="G6" i="1" s="1"/>
  <c r="H10" i="2"/>
  <c r="G10" i="1" s="1"/>
  <c r="H14" i="2"/>
  <c r="G14" i="1" s="1"/>
  <c r="H18" i="2"/>
  <c r="G18" i="1" s="1"/>
  <c r="H22" i="2"/>
  <c r="G22" i="1" s="1"/>
  <c r="H26" i="2"/>
  <c r="G26" i="1" s="1"/>
  <c r="H30" i="2"/>
  <c r="G30" i="1" s="1"/>
  <c r="H34" i="2"/>
  <c r="G34" i="1" s="1"/>
  <c r="H38" i="2"/>
  <c r="G38" i="1" s="1"/>
  <c r="H42" i="2"/>
  <c r="G42" i="1" s="1"/>
  <c r="H46" i="2"/>
  <c r="G46" i="1" s="1"/>
  <c r="H50" i="2"/>
  <c r="G50" i="1" s="1"/>
  <c r="H54" i="2"/>
  <c r="G54" i="1" s="1"/>
  <c r="H58" i="2"/>
  <c r="G58" i="1" s="1"/>
  <c r="H62" i="2"/>
  <c r="G62" i="1" s="1"/>
  <c r="H66" i="2"/>
  <c r="G66" i="1" s="1"/>
  <c r="H70" i="2"/>
  <c r="G70" i="1" s="1"/>
  <c r="H74" i="2"/>
  <c r="G74" i="1" s="1"/>
  <c r="H78" i="2"/>
  <c r="G78" i="1" s="1"/>
  <c r="H82" i="2"/>
  <c r="G82" i="1" s="1"/>
  <c r="H86" i="2"/>
  <c r="G86" i="1" s="1"/>
  <c r="H90" i="2"/>
  <c r="G90" i="1" s="1"/>
  <c r="H94" i="2"/>
  <c r="G94" i="1" s="1"/>
  <c r="H98" i="2"/>
  <c r="G98" i="1" s="1"/>
  <c r="H102" i="2"/>
  <c r="G102" i="1" s="1"/>
  <c r="H106" i="2"/>
  <c r="G106" i="1" s="1"/>
  <c r="H110" i="2"/>
  <c r="G110" i="1" s="1"/>
  <c r="G6" i="12"/>
  <c r="G10" i="12"/>
  <c r="G14" i="12"/>
  <c r="G18" i="12"/>
  <c r="G22" i="12"/>
  <c r="G26" i="12"/>
  <c r="G30" i="12"/>
  <c r="G34" i="12"/>
  <c r="G38" i="12"/>
  <c r="G2" i="12"/>
  <c r="H6" i="15"/>
  <c r="H10" i="15"/>
  <c r="H14" i="15"/>
  <c r="H18" i="15"/>
  <c r="H22" i="15"/>
  <c r="H26" i="15"/>
  <c r="H5" i="14"/>
  <c r="H9" i="14"/>
  <c r="H13" i="14"/>
  <c r="H17" i="14"/>
  <c r="H21" i="14"/>
  <c r="H25" i="14"/>
  <c r="H5" i="13"/>
  <c r="H9" i="13"/>
  <c r="H13" i="13"/>
  <c r="H17" i="13"/>
  <c r="H21" i="13"/>
  <c r="H25" i="13"/>
  <c r="H29" i="13"/>
  <c r="H33" i="13"/>
  <c r="H37" i="13"/>
  <c r="H41" i="13"/>
  <c r="H45" i="13"/>
  <c r="H49" i="13"/>
  <c r="H53" i="13"/>
  <c r="H57" i="13"/>
  <c r="H61" i="13"/>
  <c r="H65" i="13"/>
  <c r="H69" i="13"/>
  <c r="H73" i="13"/>
  <c r="H77" i="13"/>
  <c r="H81" i="13"/>
  <c r="H2" i="13"/>
  <c r="H6" i="11"/>
  <c r="H10" i="11"/>
  <c r="H14" i="11"/>
  <c r="H18" i="11"/>
  <c r="H22" i="11"/>
  <c r="H26" i="11"/>
  <c r="H30" i="11"/>
  <c r="H34" i="11"/>
  <c r="H38" i="11"/>
  <c r="H42" i="11"/>
  <c r="H46" i="11"/>
  <c r="H50" i="11"/>
  <c r="H54" i="11"/>
  <c r="H58" i="11"/>
  <c r="H62" i="11"/>
  <c r="H66" i="11"/>
  <c r="H70" i="11"/>
  <c r="H4" i="10"/>
  <c r="H8" i="10"/>
  <c r="H2" i="10"/>
  <c r="H6" i="9"/>
  <c r="H10" i="9"/>
  <c r="H14" i="9"/>
  <c r="H18" i="9"/>
  <c r="H22" i="9"/>
  <c r="H26" i="9"/>
  <c r="H30" i="9"/>
  <c r="H34" i="9"/>
  <c r="H38" i="9"/>
  <c r="H42" i="9"/>
  <c r="H46" i="9"/>
  <c r="H50" i="9"/>
  <c r="H4" i="8"/>
  <c r="H8" i="8"/>
  <c r="H12" i="8"/>
  <c r="H16" i="8"/>
  <c r="H20" i="8"/>
  <c r="H24" i="8"/>
  <c r="H28" i="8"/>
  <c r="H32" i="8"/>
  <c r="H36" i="8"/>
  <c r="H40" i="8"/>
  <c r="H44" i="8"/>
  <c r="H48" i="8"/>
  <c r="H52" i="8"/>
  <c r="H56" i="8"/>
  <c r="H60" i="8"/>
  <c r="H64" i="8"/>
  <c r="H68" i="8"/>
  <c r="H72" i="8"/>
  <c r="H76" i="8"/>
  <c r="H80" i="8"/>
  <c r="H84" i="8"/>
  <c r="H88" i="8"/>
  <c r="H92" i="8"/>
  <c r="H96" i="8"/>
  <c r="H100" i="8"/>
  <c r="H4" i="16"/>
  <c r="H8" i="16"/>
  <c r="H3" i="6"/>
  <c r="H7" i="6"/>
  <c r="H11" i="6"/>
  <c r="H15" i="6"/>
  <c r="H19" i="6"/>
  <c r="H3" i="7"/>
  <c r="H7" i="7"/>
  <c r="H11" i="7"/>
  <c r="H15" i="7"/>
  <c r="H19" i="7"/>
  <c r="H3" i="17"/>
  <c r="H7" i="17"/>
  <c r="H11" i="17"/>
  <c r="H15" i="17"/>
  <c r="H19" i="17"/>
  <c r="H3" i="5"/>
  <c r="H7" i="5"/>
  <c r="H11" i="5"/>
  <c r="H15" i="5"/>
  <c r="H19" i="5"/>
  <c r="H23" i="5"/>
  <c r="H27" i="5"/>
  <c r="H31" i="5"/>
  <c r="H35" i="5"/>
  <c r="H39" i="5"/>
  <c r="H43" i="5"/>
  <c r="H47" i="5"/>
  <c r="H51" i="5"/>
  <c r="H5" i="4"/>
  <c r="H9" i="4"/>
  <c r="H13" i="4"/>
  <c r="H17" i="4"/>
  <c r="H21" i="4"/>
  <c r="H25" i="4"/>
  <c r="H29" i="4"/>
  <c r="H33" i="4"/>
  <c r="H37" i="4"/>
  <c r="H41" i="4"/>
  <c r="H45" i="4"/>
  <c r="H49" i="4"/>
  <c r="H3" i="2"/>
  <c r="G3" i="1" s="1"/>
  <c r="H7" i="2"/>
  <c r="G7" i="1" s="1"/>
  <c r="H11" i="2"/>
  <c r="G11" i="1" s="1"/>
  <c r="H15" i="2"/>
  <c r="G15" i="1" s="1"/>
  <c r="H19" i="2"/>
  <c r="G19" i="1" s="1"/>
  <c r="H23" i="2"/>
  <c r="G23" i="1" s="1"/>
  <c r="H27" i="2"/>
  <c r="G27" i="1" s="1"/>
  <c r="H31" i="2"/>
  <c r="G31" i="1" s="1"/>
  <c r="H35" i="2"/>
  <c r="G35" i="1" s="1"/>
  <c r="H39" i="2"/>
  <c r="G39" i="1" s="1"/>
  <c r="H43" i="2"/>
  <c r="G43" i="1" s="1"/>
  <c r="H47" i="2"/>
  <c r="G47" i="1" s="1"/>
  <c r="H51" i="2"/>
  <c r="G51" i="1" s="1"/>
  <c r="H55" i="2"/>
  <c r="G55" i="1" s="1"/>
  <c r="H59" i="2"/>
  <c r="G59" i="1" s="1"/>
  <c r="H63" i="2"/>
  <c r="G63" i="1" s="1"/>
  <c r="H67" i="2"/>
  <c r="G67" i="1" s="1"/>
  <c r="H71" i="2"/>
  <c r="G71" i="1" s="1"/>
  <c r="H75" i="2"/>
  <c r="G75" i="1" s="1"/>
  <c r="H79" i="2"/>
  <c r="G79" i="1" s="1"/>
  <c r="H83" i="2"/>
  <c r="G83" i="1" s="1"/>
  <c r="H87" i="2"/>
  <c r="G87" i="1" s="1"/>
  <c r="H91" i="2"/>
  <c r="G91" i="1" s="1"/>
  <c r="H95" i="2"/>
  <c r="G95" i="1" s="1"/>
  <c r="H99" i="2"/>
  <c r="G99" i="1" s="1"/>
  <c r="H103" i="2"/>
  <c r="G103" i="1" s="1"/>
  <c r="H107" i="2"/>
  <c r="G107" i="1" s="1"/>
  <c r="H111" i="2"/>
  <c r="G111" i="1" s="1"/>
  <c r="H104" i="2"/>
  <c r="G104" i="1" s="1"/>
  <c r="H112" i="2"/>
  <c r="G112" i="1" s="1"/>
  <c r="H116" i="2"/>
  <c r="G116" i="1" s="1"/>
  <c r="H120" i="2"/>
  <c r="G120" i="1" s="1"/>
  <c r="H124" i="2"/>
  <c r="G124" i="1" s="1"/>
  <c r="H128" i="2"/>
  <c r="G128" i="1" s="1"/>
  <c r="H132" i="2"/>
  <c r="G132" i="1" s="1"/>
  <c r="H136" i="2"/>
  <c r="G136" i="1" s="1"/>
  <c r="H140" i="2"/>
  <c r="G140" i="1" s="1"/>
  <c r="H144" i="2"/>
  <c r="G144" i="1" s="1"/>
  <c r="H148" i="2"/>
  <c r="G148" i="1" s="1"/>
  <c r="H3" i="3"/>
  <c r="G152" i="1" s="1"/>
  <c r="H7" i="3"/>
  <c r="G156" i="1" s="1"/>
  <c r="H11" i="3"/>
  <c r="G160" i="1" s="1"/>
  <c r="H15" i="3"/>
  <c r="G164" i="1" s="1"/>
  <c r="H19" i="3"/>
  <c r="G168" i="1" s="1"/>
  <c r="H23" i="3"/>
  <c r="H27" i="3"/>
  <c r="H31" i="3"/>
  <c r="H35" i="3"/>
  <c r="H39" i="3"/>
  <c r="H43" i="3"/>
  <c r="H47" i="3"/>
  <c r="H2" i="3"/>
  <c r="G151" i="1" s="1"/>
  <c r="H105" i="2"/>
  <c r="G105" i="1" s="1"/>
  <c r="H121" i="2"/>
  <c r="G121" i="1" s="1"/>
  <c r="H129" i="2"/>
  <c r="G129" i="1" s="1"/>
  <c r="H137" i="2"/>
  <c r="G137" i="1" s="1"/>
  <c r="H145" i="2"/>
  <c r="G145" i="1" s="1"/>
  <c r="H4" i="3"/>
  <c r="G153" i="1" s="1"/>
  <c r="H16" i="3"/>
  <c r="G165" i="1" s="1"/>
  <c r="H28" i="3"/>
  <c r="H40" i="3"/>
  <c r="H108" i="2"/>
  <c r="G108" i="1" s="1"/>
  <c r="H114" i="2"/>
  <c r="G114" i="1" s="1"/>
  <c r="H118" i="2"/>
  <c r="G118" i="1" s="1"/>
  <c r="H122" i="2"/>
  <c r="G122" i="1" s="1"/>
  <c r="H126" i="2"/>
  <c r="G126" i="1" s="1"/>
  <c r="H130" i="2"/>
  <c r="G130" i="1" s="1"/>
  <c r="H134" i="2"/>
  <c r="G134" i="1" s="1"/>
  <c r="H138" i="2"/>
  <c r="G138" i="1" s="1"/>
  <c r="H142" i="2"/>
  <c r="G142" i="1" s="1"/>
  <c r="H146" i="2"/>
  <c r="G146" i="1" s="1"/>
  <c r="H150" i="2"/>
  <c r="G150" i="1" s="1"/>
  <c r="H5" i="3"/>
  <c r="G154" i="1" s="1"/>
  <c r="H9" i="3"/>
  <c r="G158" i="1" s="1"/>
  <c r="H13" i="3"/>
  <c r="G162" i="1" s="1"/>
  <c r="H17" i="3"/>
  <c r="G166" i="1" s="1"/>
  <c r="H21" i="3"/>
  <c r="H25" i="3"/>
  <c r="H29" i="3"/>
  <c r="H33" i="3"/>
  <c r="H37" i="3"/>
  <c r="H41" i="3"/>
  <c r="H45" i="3"/>
  <c r="H49" i="3"/>
  <c r="H8" i="3"/>
  <c r="G157" i="1" s="1"/>
  <c r="H24" i="3"/>
  <c r="H36" i="3"/>
  <c r="H48" i="3"/>
  <c r="H109" i="2"/>
  <c r="G109" i="1" s="1"/>
  <c r="H115" i="2"/>
  <c r="G115" i="1" s="1"/>
  <c r="H119" i="2"/>
  <c r="G119" i="1" s="1"/>
  <c r="H123" i="2"/>
  <c r="G123" i="1" s="1"/>
  <c r="H127" i="2"/>
  <c r="G127" i="1" s="1"/>
  <c r="H131" i="2"/>
  <c r="G131" i="1" s="1"/>
  <c r="H135" i="2"/>
  <c r="G135" i="1" s="1"/>
  <c r="H139" i="2"/>
  <c r="G139" i="1" s="1"/>
  <c r="H143" i="2"/>
  <c r="G143" i="1" s="1"/>
  <c r="H147" i="2"/>
  <c r="G147" i="1" s="1"/>
  <c r="H2" i="2"/>
  <c r="G2" i="1" s="1"/>
  <c r="H6" i="3"/>
  <c r="G155" i="1" s="1"/>
  <c r="H10" i="3"/>
  <c r="G159" i="1" s="1"/>
  <c r="H14" i="3"/>
  <c r="G163" i="1" s="1"/>
  <c r="H18" i="3"/>
  <c r="G167" i="1" s="1"/>
  <c r="H22" i="3"/>
  <c r="H26" i="3"/>
  <c r="H30" i="3"/>
  <c r="H34" i="3"/>
  <c r="H38" i="3"/>
  <c r="H42" i="3"/>
  <c r="H46" i="3"/>
  <c r="H50" i="3"/>
  <c r="H113" i="2"/>
  <c r="G113" i="1" s="1"/>
  <c r="H117" i="2"/>
  <c r="G117" i="1" s="1"/>
  <c r="H125" i="2"/>
  <c r="G125" i="1" s="1"/>
  <c r="H133" i="2"/>
  <c r="G133" i="1" s="1"/>
  <c r="H141" i="2"/>
  <c r="G141" i="1" s="1"/>
  <c r="H149" i="2"/>
  <c r="G149" i="1" s="1"/>
  <c r="H12" i="3"/>
  <c r="G161" i="1" s="1"/>
  <c r="H20" i="3"/>
  <c r="H32" i="3"/>
  <c r="H44" i="3"/>
  <c r="D2" i="4"/>
  <c r="D2" i="2" l="1"/>
  <c r="C2" i="1"/>
  <c r="B169" i="1"/>
  <c r="D169" i="1"/>
  <c r="E169" i="1"/>
  <c r="F169" i="1"/>
  <c r="G169" i="1"/>
  <c r="H169" i="1"/>
  <c r="I169" i="1"/>
  <c r="J169" i="1"/>
  <c r="K169" i="1"/>
  <c r="AF169" i="1"/>
  <c r="B170" i="1"/>
  <c r="D170" i="1"/>
  <c r="E170" i="1"/>
  <c r="F170" i="1"/>
  <c r="G170" i="1"/>
  <c r="H170" i="1"/>
  <c r="I170" i="1"/>
  <c r="J170" i="1"/>
  <c r="K170" i="1"/>
  <c r="AF170" i="1"/>
  <c r="B171" i="1"/>
  <c r="D171" i="1"/>
  <c r="E171" i="1"/>
  <c r="F171" i="1"/>
  <c r="G171" i="1"/>
  <c r="H171" i="1"/>
  <c r="I171" i="1"/>
  <c r="J171" i="1"/>
  <c r="K171" i="1"/>
  <c r="AF171" i="1"/>
  <c r="B172" i="1"/>
  <c r="D172" i="1"/>
  <c r="E172" i="1"/>
  <c r="F172" i="1"/>
  <c r="G172" i="1"/>
  <c r="H172" i="1"/>
  <c r="I172" i="1"/>
  <c r="J172" i="1"/>
  <c r="K172" i="1"/>
  <c r="AF172" i="1"/>
  <c r="B173" i="1"/>
  <c r="D173" i="1"/>
  <c r="E173" i="1"/>
  <c r="F173" i="1"/>
  <c r="G173" i="1"/>
  <c r="H173" i="1"/>
  <c r="I173" i="1"/>
  <c r="J173" i="1"/>
  <c r="K173" i="1"/>
  <c r="AF173" i="1"/>
  <c r="B174" i="1"/>
  <c r="D174" i="1"/>
  <c r="E174" i="1"/>
  <c r="F174" i="1"/>
  <c r="G174" i="1"/>
  <c r="H174" i="1"/>
  <c r="I174" i="1"/>
  <c r="J174" i="1"/>
  <c r="K174" i="1"/>
  <c r="AF174" i="1"/>
  <c r="B175" i="1"/>
  <c r="D175" i="1"/>
  <c r="E175" i="1"/>
  <c r="F175" i="1"/>
  <c r="G175" i="1"/>
  <c r="H175" i="1"/>
  <c r="I175" i="1"/>
  <c r="J175" i="1"/>
  <c r="K175" i="1"/>
  <c r="AF175" i="1"/>
  <c r="B176" i="1"/>
  <c r="D176" i="1"/>
  <c r="E176" i="1"/>
  <c r="F176" i="1"/>
  <c r="G176" i="1"/>
  <c r="H176" i="1"/>
  <c r="I176" i="1"/>
  <c r="J176" i="1"/>
  <c r="K176" i="1"/>
  <c r="AF176" i="1"/>
  <c r="B177" i="1"/>
  <c r="D177" i="1"/>
  <c r="E177" i="1"/>
  <c r="F177" i="1"/>
  <c r="G177" i="1"/>
  <c r="H177" i="1"/>
  <c r="I177" i="1"/>
  <c r="J177" i="1"/>
  <c r="K177" i="1"/>
  <c r="AF177" i="1"/>
  <c r="B178" i="1"/>
  <c r="D178" i="1"/>
  <c r="E178" i="1"/>
  <c r="F178" i="1"/>
  <c r="G178" i="1"/>
  <c r="H178" i="1"/>
  <c r="I178" i="1"/>
  <c r="J178" i="1"/>
  <c r="K178" i="1"/>
  <c r="AF178" i="1"/>
  <c r="B179" i="1"/>
  <c r="D179" i="1"/>
  <c r="E179" i="1"/>
  <c r="F179" i="1"/>
  <c r="G179" i="1"/>
  <c r="H179" i="1"/>
  <c r="I179" i="1"/>
  <c r="J179" i="1"/>
  <c r="K179" i="1"/>
  <c r="AF179" i="1"/>
  <c r="B180" i="1"/>
  <c r="D180" i="1"/>
  <c r="E180" i="1"/>
  <c r="F180" i="1"/>
  <c r="G180" i="1"/>
  <c r="H180" i="1"/>
  <c r="I180" i="1"/>
  <c r="J180" i="1"/>
  <c r="K180" i="1"/>
  <c r="AF180" i="1"/>
  <c r="B181" i="1"/>
  <c r="D181" i="1"/>
  <c r="E181" i="1"/>
  <c r="F181" i="1"/>
  <c r="G181" i="1"/>
  <c r="H181" i="1"/>
  <c r="I181" i="1"/>
  <c r="J181" i="1"/>
  <c r="K181" i="1"/>
  <c r="AF181" i="1"/>
  <c r="B182" i="1"/>
  <c r="D182" i="1"/>
  <c r="E182" i="1"/>
  <c r="F182" i="1"/>
  <c r="G182" i="1"/>
  <c r="H182" i="1"/>
  <c r="I182" i="1"/>
  <c r="J182" i="1"/>
  <c r="K182" i="1"/>
  <c r="AF182" i="1"/>
  <c r="B183" i="1"/>
  <c r="D183" i="1"/>
  <c r="E183" i="1"/>
  <c r="F183" i="1"/>
  <c r="G183" i="1"/>
  <c r="H183" i="1"/>
  <c r="I183" i="1"/>
  <c r="J183" i="1"/>
  <c r="K183" i="1"/>
  <c r="AF183" i="1"/>
  <c r="B184" i="1"/>
  <c r="D184" i="1"/>
  <c r="E184" i="1"/>
  <c r="F184" i="1"/>
  <c r="G184" i="1"/>
  <c r="H184" i="1"/>
  <c r="I184" i="1"/>
  <c r="J184" i="1"/>
  <c r="K184" i="1"/>
  <c r="AF184" i="1"/>
  <c r="B185" i="1"/>
  <c r="D185" i="1"/>
  <c r="E185" i="1"/>
  <c r="F185" i="1"/>
  <c r="G185" i="1"/>
  <c r="H185" i="1"/>
  <c r="I185" i="1"/>
  <c r="J185" i="1"/>
  <c r="K185" i="1"/>
  <c r="AF185" i="1"/>
  <c r="B186" i="1"/>
  <c r="D186" i="1"/>
  <c r="E186" i="1"/>
  <c r="F186" i="1"/>
  <c r="G186" i="1"/>
  <c r="H186" i="1"/>
  <c r="I186" i="1"/>
  <c r="J186" i="1"/>
  <c r="K186" i="1"/>
  <c r="AF186" i="1"/>
  <c r="B187" i="1"/>
  <c r="D187" i="1"/>
  <c r="E187" i="1"/>
  <c r="F187" i="1"/>
  <c r="G187" i="1"/>
  <c r="H187" i="1"/>
  <c r="I187" i="1"/>
  <c r="J187" i="1"/>
  <c r="K187" i="1"/>
  <c r="AF187" i="1"/>
  <c r="B188" i="1"/>
  <c r="D188" i="1"/>
  <c r="E188" i="1"/>
  <c r="F188" i="1"/>
  <c r="G188" i="1"/>
  <c r="H188" i="1"/>
  <c r="I188" i="1"/>
  <c r="J188" i="1"/>
  <c r="K188" i="1"/>
  <c r="AF188" i="1"/>
  <c r="B189" i="1"/>
  <c r="D189" i="1"/>
  <c r="E189" i="1"/>
  <c r="F189" i="1"/>
  <c r="G189" i="1"/>
  <c r="H189" i="1"/>
  <c r="I189" i="1"/>
  <c r="J189" i="1"/>
  <c r="K189" i="1"/>
  <c r="AF189" i="1"/>
  <c r="B190" i="1"/>
  <c r="D190" i="1"/>
  <c r="E190" i="1"/>
  <c r="F190" i="1"/>
  <c r="G190" i="1"/>
  <c r="H190" i="1"/>
  <c r="I190" i="1"/>
  <c r="J190" i="1"/>
  <c r="K190" i="1"/>
  <c r="AF190" i="1"/>
  <c r="B191" i="1"/>
  <c r="D191" i="1"/>
  <c r="E191" i="1"/>
  <c r="F191" i="1"/>
  <c r="G191" i="1"/>
  <c r="H191" i="1"/>
  <c r="I191" i="1"/>
  <c r="J191" i="1"/>
  <c r="K191" i="1"/>
  <c r="AF191" i="1"/>
  <c r="B192" i="1"/>
  <c r="D192" i="1"/>
  <c r="E192" i="1"/>
  <c r="F192" i="1"/>
  <c r="G192" i="1"/>
  <c r="H192" i="1"/>
  <c r="I192" i="1"/>
  <c r="J192" i="1"/>
  <c r="K192" i="1"/>
  <c r="AF192" i="1"/>
  <c r="B193" i="1"/>
  <c r="D193" i="1"/>
  <c r="E193" i="1"/>
  <c r="F193" i="1"/>
  <c r="G193" i="1"/>
  <c r="H193" i="1"/>
  <c r="I193" i="1"/>
  <c r="J193" i="1"/>
  <c r="K193" i="1"/>
  <c r="AF193" i="1"/>
  <c r="B194" i="1"/>
  <c r="D194" i="1"/>
  <c r="E194" i="1"/>
  <c r="F194" i="1"/>
  <c r="G194" i="1"/>
  <c r="H194" i="1"/>
  <c r="I194" i="1"/>
  <c r="J194" i="1"/>
  <c r="K194" i="1"/>
  <c r="AF194" i="1"/>
  <c r="B195" i="1"/>
  <c r="D195" i="1"/>
  <c r="E195" i="1"/>
  <c r="F195" i="1"/>
  <c r="G195" i="1"/>
  <c r="H195" i="1"/>
  <c r="I195" i="1"/>
  <c r="J195" i="1"/>
  <c r="K195" i="1"/>
  <c r="AF195" i="1"/>
  <c r="B196" i="1"/>
  <c r="D196" i="1"/>
  <c r="E196" i="1"/>
  <c r="F196" i="1"/>
  <c r="G196" i="1"/>
  <c r="H196" i="1"/>
  <c r="I196" i="1"/>
  <c r="J196" i="1"/>
  <c r="K196" i="1"/>
  <c r="AF196" i="1"/>
  <c r="B197" i="1"/>
  <c r="D197" i="1"/>
  <c r="E197" i="1"/>
  <c r="F197" i="1"/>
  <c r="G197" i="1"/>
  <c r="H197" i="1"/>
  <c r="I197" i="1"/>
  <c r="J197" i="1"/>
  <c r="K197" i="1"/>
  <c r="AF197" i="1"/>
  <c r="B198" i="1"/>
  <c r="D198" i="1"/>
  <c r="E198" i="1"/>
  <c r="F198" i="1"/>
  <c r="G198" i="1"/>
  <c r="H198" i="1"/>
  <c r="I198" i="1"/>
  <c r="J198" i="1"/>
  <c r="K198" i="1"/>
  <c r="AF198" i="1"/>
  <c r="B199" i="1"/>
  <c r="D199" i="1"/>
  <c r="E199" i="1"/>
  <c r="F199" i="1"/>
  <c r="G199" i="1"/>
  <c r="H199" i="1"/>
  <c r="I199" i="1"/>
  <c r="J199" i="1"/>
  <c r="K199" i="1"/>
  <c r="AF199" i="1"/>
  <c r="B200" i="1"/>
  <c r="D200" i="1"/>
  <c r="E200" i="1"/>
  <c r="F200" i="1"/>
  <c r="G200" i="1"/>
  <c r="H200" i="1"/>
  <c r="I200" i="1"/>
  <c r="J200" i="1"/>
  <c r="K200" i="1"/>
  <c r="AF200" i="1"/>
  <c r="B201" i="1"/>
  <c r="D201" i="1"/>
  <c r="E201" i="1"/>
  <c r="F201" i="1"/>
  <c r="G201" i="1"/>
  <c r="H201" i="1"/>
  <c r="I201" i="1"/>
  <c r="J201" i="1"/>
  <c r="K201" i="1"/>
  <c r="AF201" i="1"/>
  <c r="B202" i="1"/>
  <c r="D202" i="1"/>
  <c r="E202" i="1"/>
  <c r="F202" i="1"/>
  <c r="G202" i="1"/>
  <c r="H202" i="1"/>
  <c r="I202" i="1"/>
  <c r="J202" i="1"/>
  <c r="K202" i="1"/>
  <c r="AF202" i="1"/>
  <c r="B203" i="1"/>
  <c r="D203" i="1"/>
  <c r="E203" i="1"/>
  <c r="F203" i="1"/>
  <c r="G203" i="1"/>
  <c r="H203" i="1"/>
  <c r="I203" i="1"/>
  <c r="J203" i="1"/>
  <c r="K203" i="1"/>
  <c r="AF203" i="1"/>
  <c r="B204" i="1"/>
  <c r="D204" i="1"/>
  <c r="E204" i="1"/>
  <c r="F204" i="1"/>
  <c r="G204" i="1"/>
  <c r="H204" i="1"/>
  <c r="I204" i="1"/>
  <c r="J204" i="1"/>
  <c r="K204" i="1"/>
  <c r="AF204" i="1"/>
  <c r="B205" i="1"/>
  <c r="D205" i="1"/>
  <c r="E205" i="1"/>
  <c r="F205" i="1"/>
  <c r="G205" i="1"/>
  <c r="H205" i="1"/>
  <c r="I205" i="1"/>
  <c r="J205" i="1"/>
  <c r="K205" i="1"/>
  <c r="AF205" i="1"/>
  <c r="B206" i="1"/>
  <c r="D206" i="1"/>
  <c r="E206" i="1"/>
  <c r="F206" i="1"/>
  <c r="G206" i="1"/>
  <c r="H206" i="1"/>
  <c r="I206" i="1"/>
  <c r="J206" i="1"/>
  <c r="K206" i="1"/>
  <c r="AF206" i="1"/>
  <c r="B207" i="1"/>
  <c r="D207" i="1"/>
  <c r="E207" i="1"/>
  <c r="F207" i="1"/>
  <c r="G207" i="1"/>
  <c r="H207" i="1"/>
  <c r="I207" i="1"/>
  <c r="J207" i="1"/>
  <c r="K207" i="1"/>
  <c r="AF207" i="1"/>
  <c r="B208" i="1"/>
  <c r="D208" i="1"/>
  <c r="E208" i="1"/>
  <c r="F208" i="1"/>
  <c r="G208" i="1"/>
  <c r="H208" i="1"/>
  <c r="I208" i="1"/>
  <c r="J208" i="1"/>
  <c r="K208" i="1"/>
  <c r="AF208" i="1"/>
  <c r="B209" i="1"/>
  <c r="D209" i="1"/>
  <c r="E209" i="1"/>
  <c r="F209" i="1"/>
  <c r="G209" i="1"/>
  <c r="H209" i="1"/>
  <c r="I209" i="1"/>
  <c r="J209" i="1"/>
  <c r="K209" i="1"/>
  <c r="AF209" i="1"/>
  <c r="B210" i="1"/>
  <c r="D210" i="1"/>
  <c r="E210" i="1"/>
  <c r="F210" i="1"/>
  <c r="G210" i="1"/>
  <c r="H210" i="1"/>
  <c r="I210" i="1"/>
  <c r="J210" i="1"/>
  <c r="K210" i="1"/>
  <c r="AF210" i="1"/>
  <c r="B211" i="1"/>
  <c r="D211" i="1"/>
  <c r="E211" i="1"/>
  <c r="F211" i="1"/>
  <c r="G211" i="1"/>
  <c r="H211" i="1"/>
  <c r="I211" i="1"/>
  <c r="J211" i="1"/>
  <c r="K211" i="1"/>
  <c r="AF211" i="1"/>
  <c r="B212" i="1"/>
  <c r="D212" i="1"/>
  <c r="E212" i="1"/>
  <c r="F212" i="1"/>
  <c r="G212" i="1"/>
  <c r="H212" i="1"/>
  <c r="I212" i="1"/>
  <c r="J212" i="1"/>
  <c r="K212" i="1"/>
  <c r="AF212" i="1"/>
  <c r="B213" i="1"/>
  <c r="D213" i="1"/>
  <c r="E213" i="1"/>
  <c r="F213" i="1"/>
  <c r="G213" i="1"/>
  <c r="H213" i="1"/>
  <c r="I213" i="1"/>
  <c r="J213" i="1"/>
  <c r="K213" i="1"/>
  <c r="AF213" i="1"/>
  <c r="B214" i="1"/>
  <c r="D214" i="1"/>
  <c r="E214" i="1"/>
  <c r="F214" i="1"/>
  <c r="G214" i="1"/>
  <c r="H214" i="1"/>
  <c r="I214" i="1"/>
  <c r="J214" i="1"/>
  <c r="K214" i="1"/>
  <c r="AF214" i="1"/>
  <c r="B215" i="1"/>
  <c r="D215" i="1"/>
  <c r="E215" i="1"/>
  <c r="F215" i="1"/>
  <c r="G215" i="1"/>
  <c r="H215" i="1"/>
  <c r="I215" i="1"/>
  <c r="J215" i="1"/>
  <c r="K215" i="1"/>
  <c r="AF215" i="1"/>
  <c r="B216" i="1"/>
  <c r="D216" i="1"/>
  <c r="E216" i="1"/>
  <c r="F216" i="1"/>
  <c r="G216" i="1"/>
  <c r="H216" i="1"/>
  <c r="I216" i="1"/>
  <c r="J216" i="1"/>
  <c r="K216" i="1"/>
  <c r="AF216" i="1"/>
  <c r="B217" i="1"/>
  <c r="D217" i="1"/>
  <c r="E217" i="1"/>
  <c r="F217" i="1"/>
  <c r="G217" i="1"/>
  <c r="H217" i="1"/>
  <c r="I217" i="1"/>
  <c r="J217" i="1"/>
  <c r="K217" i="1"/>
  <c r="AF217" i="1"/>
  <c r="B218" i="1"/>
  <c r="D218" i="1"/>
  <c r="E218" i="1"/>
  <c r="F218" i="1"/>
  <c r="G218" i="1"/>
  <c r="H218" i="1"/>
  <c r="I218" i="1"/>
  <c r="J218" i="1"/>
  <c r="K218" i="1"/>
  <c r="AF218" i="1"/>
  <c r="B219" i="1"/>
  <c r="D219" i="1"/>
  <c r="E219" i="1"/>
  <c r="F219" i="1"/>
  <c r="G219" i="1"/>
  <c r="H219" i="1"/>
  <c r="I219" i="1"/>
  <c r="J219" i="1"/>
  <c r="K219" i="1"/>
  <c r="AF219" i="1"/>
  <c r="B220" i="1"/>
  <c r="D220" i="1"/>
  <c r="E220" i="1"/>
  <c r="F220" i="1"/>
  <c r="G220" i="1"/>
  <c r="H220" i="1"/>
  <c r="I220" i="1"/>
  <c r="J220" i="1"/>
  <c r="K220" i="1"/>
  <c r="AF220" i="1"/>
  <c r="B221" i="1"/>
  <c r="D221" i="1"/>
  <c r="E221" i="1"/>
  <c r="F221" i="1"/>
  <c r="G221" i="1"/>
  <c r="H221" i="1"/>
  <c r="I221" i="1"/>
  <c r="J221" i="1"/>
  <c r="K221" i="1"/>
  <c r="AF221" i="1"/>
  <c r="B222" i="1"/>
  <c r="D222" i="1"/>
  <c r="E222" i="1"/>
  <c r="F222" i="1"/>
  <c r="G222" i="1"/>
  <c r="H222" i="1"/>
  <c r="I222" i="1"/>
  <c r="J222" i="1"/>
  <c r="K222" i="1"/>
  <c r="AF222" i="1"/>
  <c r="B223" i="1"/>
  <c r="D223" i="1"/>
  <c r="E223" i="1"/>
  <c r="F223" i="1"/>
  <c r="G223" i="1"/>
  <c r="H223" i="1"/>
  <c r="I223" i="1"/>
  <c r="J223" i="1"/>
  <c r="K223" i="1"/>
  <c r="AF223" i="1"/>
  <c r="B224" i="1"/>
  <c r="D224" i="1"/>
  <c r="E224" i="1"/>
  <c r="F224" i="1"/>
  <c r="G224" i="1"/>
  <c r="H224" i="1"/>
  <c r="I224" i="1"/>
  <c r="J224" i="1"/>
  <c r="K224" i="1"/>
  <c r="AF224" i="1"/>
  <c r="B225" i="1"/>
  <c r="D225" i="1"/>
  <c r="E225" i="1"/>
  <c r="F225" i="1"/>
  <c r="G225" i="1"/>
  <c r="H225" i="1"/>
  <c r="I225" i="1"/>
  <c r="J225" i="1"/>
  <c r="K225" i="1"/>
  <c r="AF225" i="1"/>
  <c r="B226" i="1"/>
  <c r="D226" i="1"/>
  <c r="E226" i="1"/>
  <c r="F226" i="1"/>
  <c r="G226" i="1"/>
  <c r="H226" i="1"/>
  <c r="I226" i="1"/>
  <c r="J226" i="1"/>
  <c r="K226" i="1"/>
  <c r="AF226" i="1"/>
  <c r="B227" i="1"/>
  <c r="D227" i="1"/>
  <c r="E227" i="1"/>
  <c r="F227" i="1"/>
  <c r="G227" i="1"/>
  <c r="H227" i="1"/>
  <c r="I227" i="1"/>
  <c r="J227" i="1"/>
  <c r="K227" i="1"/>
  <c r="AF227" i="1"/>
  <c r="B228" i="1"/>
  <c r="D228" i="1"/>
  <c r="E228" i="1"/>
  <c r="F228" i="1"/>
  <c r="G228" i="1"/>
  <c r="H228" i="1"/>
  <c r="I228" i="1"/>
  <c r="J228" i="1"/>
  <c r="K228" i="1"/>
  <c r="AF228" i="1"/>
  <c r="B229" i="1"/>
  <c r="D229" i="1"/>
  <c r="E229" i="1"/>
  <c r="F229" i="1"/>
  <c r="G229" i="1"/>
  <c r="H229" i="1"/>
  <c r="I229" i="1"/>
  <c r="J229" i="1"/>
  <c r="K229" i="1"/>
  <c r="AF229" i="1"/>
  <c r="B230" i="1"/>
  <c r="D230" i="1"/>
  <c r="E230" i="1"/>
  <c r="F230" i="1"/>
  <c r="G230" i="1"/>
  <c r="H230" i="1"/>
  <c r="I230" i="1"/>
  <c r="J230" i="1"/>
  <c r="K230" i="1"/>
  <c r="AF230"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B231" i="1"/>
  <c r="D231" i="1"/>
  <c r="E231" i="1"/>
  <c r="F231" i="1"/>
  <c r="G231" i="1"/>
  <c r="H231" i="1"/>
  <c r="I231" i="1"/>
  <c r="J231" i="1"/>
  <c r="K231" i="1"/>
  <c r="AF231" i="1"/>
  <c r="AH231" i="1"/>
  <c r="B232" i="1"/>
  <c r="D232" i="1"/>
  <c r="E232" i="1"/>
  <c r="F232" i="1"/>
  <c r="G232" i="1"/>
  <c r="H232" i="1"/>
  <c r="I232" i="1"/>
  <c r="J232" i="1"/>
  <c r="K232" i="1"/>
  <c r="AF232" i="1"/>
  <c r="AH232" i="1"/>
  <c r="B233" i="1"/>
  <c r="D233" i="1"/>
  <c r="E233" i="1"/>
  <c r="F233" i="1"/>
  <c r="G233" i="1"/>
  <c r="H233" i="1"/>
  <c r="I233" i="1"/>
  <c r="J233" i="1"/>
  <c r="K233" i="1"/>
  <c r="AF233" i="1"/>
  <c r="AH233" i="1"/>
  <c r="B234" i="1"/>
  <c r="D234" i="1"/>
  <c r="E234" i="1"/>
  <c r="F234" i="1"/>
  <c r="G234" i="1"/>
  <c r="H234" i="1"/>
  <c r="I234" i="1"/>
  <c r="J234" i="1"/>
  <c r="K234" i="1"/>
  <c r="AF234" i="1"/>
  <c r="AH234" i="1"/>
  <c r="B235" i="1"/>
  <c r="D235" i="1"/>
  <c r="E235" i="1"/>
  <c r="F235" i="1"/>
  <c r="G235" i="1"/>
  <c r="H235" i="1"/>
  <c r="I235" i="1"/>
  <c r="J235" i="1"/>
  <c r="K235" i="1"/>
  <c r="AF235" i="1"/>
  <c r="AH235" i="1"/>
  <c r="B236" i="1"/>
  <c r="D236" i="1"/>
  <c r="E236" i="1"/>
  <c r="F236" i="1"/>
  <c r="G236" i="1"/>
  <c r="H236" i="1"/>
  <c r="I236" i="1"/>
  <c r="J236" i="1"/>
  <c r="K236" i="1"/>
  <c r="AF236" i="1"/>
  <c r="AH236" i="1"/>
  <c r="B237" i="1"/>
  <c r="D237" i="1"/>
  <c r="E237" i="1"/>
  <c r="F237" i="1"/>
  <c r="G237" i="1"/>
  <c r="H237" i="1"/>
  <c r="I237" i="1"/>
  <c r="J237" i="1"/>
  <c r="K237" i="1"/>
  <c r="AF237" i="1"/>
  <c r="AH237" i="1"/>
  <c r="B238" i="1"/>
  <c r="D238" i="1"/>
  <c r="E238" i="1"/>
  <c r="F238" i="1"/>
  <c r="G238" i="1"/>
  <c r="H238" i="1"/>
  <c r="I238" i="1"/>
  <c r="J238" i="1"/>
  <c r="K238" i="1"/>
  <c r="AF238" i="1"/>
  <c r="AH238" i="1"/>
  <c r="B239" i="1"/>
  <c r="D239" i="1"/>
  <c r="E239" i="1"/>
  <c r="F239" i="1"/>
  <c r="G239" i="1"/>
  <c r="H239" i="1"/>
  <c r="I239" i="1"/>
  <c r="J239" i="1"/>
  <c r="K239" i="1"/>
  <c r="AF239" i="1"/>
  <c r="AH239" i="1"/>
  <c r="B240" i="1"/>
  <c r="D240" i="1"/>
  <c r="E240" i="1"/>
  <c r="F240" i="1"/>
  <c r="G240" i="1"/>
  <c r="H240" i="1"/>
  <c r="I240" i="1"/>
  <c r="J240" i="1"/>
  <c r="K240" i="1"/>
  <c r="AF240" i="1"/>
  <c r="AH240" i="1"/>
  <c r="B241" i="1"/>
  <c r="D241" i="1"/>
  <c r="E241" i="1"/>
  <c r="F241" i="1"/>
  <c r="G241" i="1"/>
  <c r="H241" i="1"/>
  <c r="I241" i="1"/>
  <c r="J241" i="1"/>
  <c r="K241" i="1"/>
  <c r="AF241" i="1"/>
  <c r="AH241" i="1"/>
  <c r="B242" i="1"/>
  <c r="D242" i="1"/>
  <c r="E242" i="1"/>
  <c r="F242" i="1"/>
  <c r="G242" i="1"/>
  <c r="H242" i="1"/>
  <c r="I242" i="1"/>
  <c r="J242" i="1"/>
  <c r="K242" i="1"/>
  <c r="AF242" i="1"/>
  <c r="AH242" i="1"/>
  <c r="B243" i="1"/>
  <c r="D243" i="1"/>
  <c r="E243" i="1"/>
  <c r="F243" i="1"/>
  <c r="G243" i="1"/>
  <c r="H243" i="1"/>
  <c r="I243" i="1"/>
  <c r="J243" i="1"/>
  <c r="K243" i="1"/>
  <c r="AF243" i="1"/>
  <c r="AH243" i="1"/>
  <c r="B244" i="1"/>
  <c r="D244" i="1"/>
  <c r="E244" i="1"/>
  <c r="F244" i="1"/>
  <c r="G244" i="1"/>
  <c r="H244" i="1"/>
  <c r="I244" i="1"/>
  <c r="J244" i="1"/>
  <c r="K244" i="1"/>
  <c r="AF244" i="1"/>
  <c r="AH244" i="1"/>
  <c r="B245" i="1"/>
  <c r="D245" i="1"/>
  <c r="E245" i="1"/>
  <c r="F245" i="1"/>
  <c r="G245" i="1"/>
  <c r="H245" i="1"/>
  <c r="I245" i="1"/>
  <c r="J245" i="1"/>
  <c r="K245" i="1"/>
  <c r="AF245" i="1"/>
  <c r="AH245" i="1"/>
  <c r="B246" i="1"/>
  <c r="D246" i="1"/>
  <c r="E246" i="1"/>
  <c r="F246" i="1"/>
  <c r="G246" i="1"/>
  <c r="H246" i="1"/>
  <c r="I246" i="1"/>
  <c r="J246" i="1"/>
  <c r="K246" i="1"/>
  <c r="AF246" i="1"/>
  <c r="AH246" i="1"/>
  <c r="B247" i="1"/>
  <c r="D247" i="1"/>
  <c r="E247" i="1"/>
  <c r="F247" i="1"/>
  <c r="G247" i="1"/>
  <c r="H247" i="1"/>
  <c r="I247" i="1"/>
  <c r="J247" i="1"/>
  <c r="K247" i="1"/>
  <c r="AF247" i="1"/>
  <c r="AH247" i="1"/>
  <c r="AB3" i="5" l="1"/>
  <c r="O251" i="1" s="1"/>
  <c r="D79" i="13" l="1"/>
  <c r="D8" i="10"/>
  <c r="D6" i="8"/>
  <c r="D23" i="9"/>
  <c r="D14" i="7"/>
  <c r="C200" i="1" l="1"/>
  <c r="AF319" i="1"/>
  <c r="AF318" i="1"/>
  <c r="AF317" i="1"/>
  <c r="AF316" i="1"/>
  <c r="AF315" i="1"/>
  <c r="AF314" i="1"/>
  <c r="AF313" i="1"/>
  <c r="AF312" i="1"/>
  <c r="AF311" i="1"/>
  <c r="AF310" i="1"/>
  <c r="AF309" i="1"/>
  <c r="AF308" i="1"/>
  <c r="AF307" i="1"/>
  <c r="AF306" i="1"/>
  <c r="AF305" i="1"/>
  <c r="AF304" i="1"/>
  <c r="AF303" i="1"/>
  <c r="AF302" i="1"/>
  <c r="AF301" i="1"/>
  <c r="AF300" i="1"/>
  <c r="AF819" i="1"/>
  <c r="AF798" i="1"/>
  <c r="AF799" i="1"/>
  <c r="AF800" i="1"/>
  <c r="AF801" i="1"/>
  <c r="AF802" i="1"/>
  <c r="AF803" i="1"/>
  <c r="AF804" i="1"/>
  <c r="AF805" i="1"/>
  <c r="AF806" i="1"/>
  <c r="AF807" i="1"/>
  <c r="AF808" i="1"/>
  <c r="AF809" i="1"/>
  <c r="AF810" i="1"/>
  <c r="AF811" i="1"/>
  <c r="AF812" i="1"/>
  <c r="AF813" i="1"/>
  <c r="AF814" i="1"/>
  <c r="AF815" i="1"/>
  <c r="AF816" i="1"/>
  <c r="AF817" i="1"/>
  <c r="AF818" i="1"/>
  <c r="AF772" i="1"/>
  <c r="AF773" i="1"/>
  <c r="AF774" i="1"/>
  <c r="AF775" i="1"/>
  <c r="AF776" i="1"/>
  <c r="AF777" i="1"/>
  <c r="AF778" i="1"/>
  <c r="AF779" i="1"/>
  <c r="AF780" i="1"/>
  <c r="AF781" i="1"/>
  <c r="AF782" i="1"/>
  <c r="AF783" i="1"/>
  <c r="AF784" i="1"/>
  <c r="AF785" i="1"/>
  <c r="AF786" i="1"/>
  <c r="AF787" i="1"/>
  <c r="AF788" i="1"/>
  <c r="AF789" i="1"/>
  <c r="AF790" i="1"/>
  <c r="AF791" i="1"/>
  <c r="AF792" i="1"/>
  <c r="AF793" i="1"/>
  <c r="AF794" i="1"/>
  <c r="AF795" i="1"/>
  <c r="AF796" i="1"/>
  <c r="AF797" i="1"/>
  <c r="AF771" i="1"/>
  <c r="AF763" i="1"/>
  <c r="AF764" i="1"/>
  <c r="AF765" i="1"/>
  <c r="AF766" i="1"/>
  <c r="AF767" i="1"/>
  <c r="AF768" i="1"/>
  <c r="AF769" i="1"/>
  <c r="AF770" i="1"/>
  <c r="AF762" i="1"/>
  <c r="AF738" i="1"/>
  <c r="AF739" i="1"/>
  <c r="AF740" i="1"/>
  <c r="AF741" i="1"/>
  <c r="AF742" i="1"/>
  <c r="AF743" i="1"/>
  <c r="AF744" i="1"/>
  <c r="AF745" i="1"/>
  <c r="AF746" i="1"/>
  <c r="AF747" i="1"/>
  <c r="AF748" i="1"/>
  <c r="AF749" i="1"/>
  <c r="AF750" i="1"/>
  <c r="AF751" i="1"/>
  <c r="AF752" i="1"/>
  <c r="AF753" i="1"/>
  <c r="AF754" i="1"/>
  <c r="AF755" i="1"/>
  <c r="AF756" i="1"/>
  <c r="AF757" i="1"/>
  <c r="AF758" i="1"/>
  <c r="AF759" i="1"/>
  <c r="AF760" i="1"/>
  <c r="AF761" i="1"/>
  <c r="AF737" i="1"/>
  <c r="AF736" i="1"/>
  <c r="AF735" i="1"/>
  <c r="AF714" i="1"/>
  <c r="AF715" i="1"/>
  <c r="AF716" i="1"/>
  <c r="AF717" i="1"/>
  <c r="AF718" i="1"/>
  <c r="AF719" i="1"/>
  <c r="AF720" i="1"/>
  <c r="AF721" i="1"/>
  <c r="AF722" i="1"/>
  <c r="AF723" i="1"/>
  <c r="AF724" i="1"/>
  <c r="AF725" i="1"/>
  <c r="AF726" i="1"/>
  <c r="AF727" i="1"/>
  <c r="AF728" i="1"/>
  <c r="AF729" i="1"/>
  <c r="AF730" i="1"/>
  <c r="AF731" i="1"/>
  <c r="AF732" i="1"/>
  <c r="AF733" i="1"/>
  <c r="AF734" i="1"/>
  <c r="AF713" i="1"/>
  <c r="AF693" i="1"/>
  <c r="AF694" i="1"/>
  <c r="AF695" i="1"/>
  <c r="AF696" i="1"/>
  <c r="AF697" i="1"/>
  <c r="AF698" i="1"/>
  <c r="AF699" i="1"/>
  <c r="AF700" i="1"/>
  <c r="AF701" i="1"/>
  <c r="AF702" i="1"/>
  <c r="AF703" i="1"/>
  <c r="AF704" i="1"/>
  <c r="AF705" i="1"/>
  <c r="AF706" i="1"/>
  <c r="AF707" i="1"/>
  <c r="AF708" i="1"/>
  <c r="AF709" i="1"/>
  <c r="AF710" i="1"/>
  <c r="AF711" i="1"/>
  <c r="AF712" i="1"/>
  <c r="AF676" i="1"/>
  <c r="AF677" i="1"/>
  <c r="AF678" i="1"/>
  <c r="AF679" i="1"/>
  <c r="AF680" i="1"/>
  <c r="AF681" i="1"/>
  <c r="AF682" i="1"/>
  <c r="AF683" i="1"/>
  <c r="AF684" i="1"/>
  <c r="AF685" i="1"/>
  <c r="AF686" i="1"/>
  <c r="AF687" i="1"/>
  <c r="AF688" i="1"/>
  <c r="AF689" i="1"/>
  <c r="AF690" i="1"/>
  <c r="AF691" i="1"/>
  <c r="AF692" i="1"/>
  <c r="AF654" i="1"/>
  <c r="AF655" i="1"/>
  <c r="AF656" i="1"/>
  <c r="AF657" i="1"/>
  <c r="AF658" i="1"/>
  <c r="AF659" i="1"/>
  <c r="AF660" i="1"/>
  <c r="AF661" i="1"/>
  <c r="AF662" i="1"/>
  <c r="AF663" i="1"/>
  <c r="AF664" i="1"/>
  <c r="AF665" i="1"/>
  <c r="AF666" i="1"/>
  <c r="AF667" i="1"/>
  <c r="AF668" i="1"/>
  <c r="AF669" i="1"/>
  <c r="AF670" i="1"/>
  <c r="AF671" i="1"/>
  <c r="AF672" i="1"/>
  <c r="AF673" i="1"/>
  <c r="AF674" i="1"/>
  <c r="AF675" i="1"/>
  <c r="AF631" i="1"/>
  <c r="AF632" i="1"/>
  <c r="AF633" i="1"/>
  <c r="AF634" i="1"/>
  <c r="AF635" i="1"/>
  <c r="AF636" i="1"/>
  <c r="AF637" i="1"/>
  <c r="AF638" i="1"/>
  <c r="AF639" i="1"/>
  <c r="AF640" i="1"/>
  <c r="AF641" i="1"/>
  <c r="AF642" i="1"/>
  <c r="AF643" i="1"/>
  <c r="AF644" i="1"/>
  <c r="AF645" i="1"/>
  <c r="AF646" i="1"/>
  <c r="AF647" i="1"/>
  <c r="AF648" i="1"/>
  <c r="AF649" i="1"/>
  <c r="AF650" i="1"/>
  <c r="AF651" i="1"/>
  <c r="AF652" i="1"/>
  <c r="AF653" i="1"/>
  <c r="AF630" i="1"/>
  <c r="AF613" i="1"/>
  <c r="AF614" i="1"/>
  <c r="AF615" i="1"/>
  <c r="AF616" i="1"/>
  <c r="AF617" i="1"/>
  <c r="AF618" i="1"/>
  <c r="AF619" i="1"/>
  <c r="AF620" i="1"/>
  <c r="AF621" i="1"/>
  <c r="AF622" i="1"/>
  <c r="AF623" i="1"/>
  <c r="AF624" i="1"/>
  <c r="AF625" i="1"/>
  <c r="AF626" i="1"/>
  <c r="AF627" i="1"/>
  <c r="AF628" i="1"/>
  <c r="AF629" i="1"/>
  <c r="AF591" i="1"/>
  <c r="AF592" i="1"/>
  <c r="AF593" i="1"/>
  <c r="AF594" i="1"/>
  <c r="AF595" i="1"/>
  <c r="AF596" i="1"/>
  <c r="AF597" i="1"/>
  <c r="AF598" i="1"/>
  <c r="AF599" i="1"/>
  <c r="AF600" i="1"/>
  <c r="AF601" i="1"/>
  <c r="AF602" i="1"/>
  <c r="AF603" i="1"/>
  <c r="AF604" i="1"/>
  <c r="AF605" i="1"/>
  <c r="AF606" i="1"/>
  <c r="AF607" i="1"/>
  <c r="AF608" i="1"/>
  <c r="AF609" i="1"/>
  <c r="AF610" i="1"/>
  <c r="AF611" i="1"/>
  <c r="AF612" i="1"/>
  <c r="AF590" i="1"/>
  <c r="AF521" i="1"/>
  <c r="AF522" i="1"/>
  <c r="AF523" i="1"/>
  <c r="AF524" i="1"/>
  <c r="AF525" i="1"/>
  <c r="AF526" i="1"/>
  <c r="AF527" i="1"/>
  <c r="AF528" i="1"/>
  <c r="AF529" i="1"/>
  <c r="AF530" i="1"/>
  <c r="AF531" i="1"/>
  <c r="AF532" i="1"/>
  <c r="AF533" i="1"/>
  <c r="AF534" i="1"/>
  <c r="AF535" i="1"/>
  <c r="AF536" i="1"/>
  <c r="AF537" i="1"/>
  <c r="AF538" i="1"/>
  <c r="AF539" i="1"/>
  <c r="AF540" i="1"/>
  <c r="AF541" i="1"/>
  <c r="AF542" i="1"/>
  <c r="AF543" i="1"/>
  <c r="AF544" i="1"/>
  <c r="AF545" i="1"/>
  <c r="AF546" i="1"/>
  <c r="AF547" i="1"/>
  <c r="AF548" i="1"/>
  <c r="AF549" i="1"/>
  <c r="AF550" i="1"/>
  <c r="AF551" i="1"/>
  <c r="AF552" i="1"/>
  <c r="AF553" i="1"/>
  <c r="AF554" i="1"/>
  <c r="AF555" i="1"/>
  <c r="AF556" i="1"/>
  <c r="AF557" i="1"/>
  <c r="AF558" i="1"/>
  <c r="AF559" i="1"/>
  <c r="AF560" i="1"/>
  <c r="AF561" i="1"/>
  <c r="AF562" i="1"/>
  <c r="AF563" i="1"/>
  <c r="AF564" i="1"/>
  <c r="AF565" i="1"/>
  <c r="AF566" i="1"/>
  <c r="AF567" i="1"/>
  <c r="AF568" i="1"/>
  <c r="AF569" i="1"/>
  <c r="AF570" i="1"/>
  <c r="AF571" i="1"/>
  <c r="AF572" i="1"/>
  <c r="AF573" i="1"/>
  <c r="AF574" i="1"/>
  <c r="AF575" i="1"/>
  <c r="AF576" i="1"/>
  <c r="AF577" i="1"/>
  <c r="AF578" i="1"/>
  <c r="AF579" i="1"/>
  <c r="AF580" i="1"/>
  <c r="AF581" i="1"/>
  <c r="AF582" i="1"/>
  <c r="AF583" i="1"/>
  <c r="AF584" i="1"/>
  <c r="AF585" i="1"/>
  <c r="AF586" i="1"/>
  <c r="AF587" i="1"/>
  <c r="AF588" i="1"/>
  <c r="AF589" i="1"/>
  <c r="AF520" i="1"/>
  <c r="AF511" i="1"/>
  <c r="AF512" i="1"/>
  <c r="AF513" i="1"/>
  <c r="AF514" i="1"/>
  <c r="AF515" i="1"/>
  <c r="AF516" i="1"/>
  <c r="AF517" i="1"/>
  <c r="AF518" i="1"/>
  <c r="AF519" i="1"/>
  <c r="AF510" i="1"/>
  <c r="AF500" i="1"/>
  <c r="AF501" i="1"/>
  <c r="AF502" i="1"/>
  <c r="AF503" i="1"/>
  <c r="AF504" i="1"/>
  <c r="AF505" i="1"/>
  <c r="AF506" i="1"/>
  <c r="AF507" i="1"/>
  <c r="AF508" i="1"/>
  <c r="AF509" i="1"/>
  <c r="AF486" i="1"/>
  <c r="AF487" i="1"/>
  <c r="AF488" i="1"/>
  <c r="AF489" i="1"/>
  <c r="AF490" i="1"/>
  <c r="AF491" i="1"/>
  <c r="AF492" i="1"/>
  <c r="AF493" i="1"/>
  <c r="AF494" i="1"/>
  <c r="AF495" i="1"/>
  <c r="AF496" i="1"/>
  <c r="AF497" i="1"/>
  <c r="AF498" i="1"/>
  <c r="AF499" i="1"/>
  <c r="AF461" i="1"/>
  <c r="AF462" i="1"/>
  <c r="AF463" i="1"/>
  <c r="AF464" i="1"/>
  <c r="AF465" i="1"/>
  <c r="AF466" i="1"/>
  <c r="AF467" i="1"/>
  <c r="AF468" i="1"/>
  <c r="AF469" i="1"/>
  <c r="AF470" i="1"/>
  <c r="AF471" i="1"/>
  <c r="AF472" i="1"/>
  <c r="AF473" i="1"/>
  <c r="AF474" i="1"/>
  <c r="AF475" i="1"/>
  <c r="AF476" i="1"/>
  <c r="AF477" i="1"/>
  <c r="AF478" i="1"/>
  <c r="AF479" i="1"/>
  <c r="AF480" i="1"/>
  <c r="AF481" i="1"/>
  <c r="AF482" i="1"/>
  <c r="AF483" i="1"/>
  <c r="AF484" i="1"/>
  <c r="AF485" i="1"/>
  <c r="AF460" i="1"/>
  <c r="AF438" i="1"/>
  <c r="AF439" i="1"/>
  <c r="AF440" i="1"/>
  <c r="AF441" i="1"/>
  <c r="AF442" i="1"/>
  <c r="AF443" i="1"/>
  <c r="AF444" i="1"/>
  <c r="AF445" i="1"/>
  <c r="AF446" i="1"/>
  <c r="AF447" i="1"/>
  <c r="AF448" i="1"/>
  <c r="AF449" i="1"/>
  <c r="AF450" i="1"/>
  <c r="AF451" i="1"/>
  <c r="AF452" i="1"/>
  <c r="AF453" i="1"/>
  <c r="AF454" i="1"/>
  <c r="AF455" i="1"/>
  <c r="AF456" i="1"/>
  <c r="AF457" i="1"/>
  <c r="AF458" i="1"/>
  <c r="AF459" i="1"/>
  <c r="AF414" i="1"/>
  <c r="AF415" i="1"/>
  <c r="AF416" i="1"/>
  <c r="AF417" i="1"/>
  <c r="AF418" i="1"/>
  <c r="AF419" i="1"/>
  <c r="AF420" i="1"/>
  <c r="AF421" i="1"/>
  <c r="AF422" i="1"/>
  <c r="AF423" i="1"/>
  <c r="AF424" i="1"/>
  <c r="AF425" i="1"/>
  <c r="AF426" i="1"/>
  <c r="AF427" i="1"/>
  <c r="AF428" i="1"/>
  <c r="AF429" i="1"/>
  <c r="AF430" i="1"/>
  <c r="AF431" i="1"/>
  <c r="AF432" i="1"/>
  <c r="AF433" i="1"/>
  <c r="AF434" i="1"/>
  <c r="AF435" i="1"/>
  <c r="AF436" i="1"/>
  <c r="AF437" i="1"/>
  <c r="AF379" i="1"/>
  <c r="AF380" i="1"/>
  <c r="AF381" i="1"/>
  <c r="AF382" i="1"/>
  <c r="AF383" i="1"/>
  <c r="AF384" i="1"/>
  <c r="AF385" i="1"/>
  <c r="AF386" i="1"/>
  <c r="AF387" i="1"/>
  <c r="AF388" i="1"/>
  <c r="AF389" i="1"/>
  <c r="AF390" i="1"/>
  <c r="AF391" i="1"/>
  <c r="AF392" i="1"/>
  <c r="AF393" i="1"/>
  <c r="AF394" i="1"/>
  <c r="AF395" i="1"/>
  <c r="AF396" i="1"/>
  <c r="AF397" i="1"/>
  <c r="AF398" i="1"/>
  <c r="AF399" i="1"/>
  <c r="AF400" i="1"/>
  <c r="AF401" i="1"/>
  <c r="AF402" i="1"/>
  <c r="AF403" i="1"/>
  <c r="AF404" i="1"/>
  <c r="AF405" i="1"/>
  <c r="AF406" i="1"/>
  <c r="AF407" i="1"/>
  <c r="AF408" i="1"/>
  <c r="AF409" i="1"/>
  <c r="AF410" i="1"/>
  <c r="AF411" i="1"/>
  <c r="AF412" i="1"/>
  <c r="AF413" i="1"/>
  <c r="AF361" i="1"/>
  <c r="AF362" i="1"/>
  <c r="AF363" i="1"/>
  <c r="AF364" i="1"/>
  <c r="AF365" i="1"/>
  <c r="AF366" i="1"/>
  <c r="AF367" i="1"/>
  <c r="AF368" i="1"/>
  <c r="AF369" i="1"/>
  <c r="AF370" i="1"/>
  <c r="AF371" i="1"/>
  <c r="AF372" i="1"/>
  <c r="AF373" i="1"/>
  <c r="AF374" i="1"/>
  <c r="AF375" i="1"/>
  <c r="AF376" i="1"/>
  <c r="AF377" i="1"/>
  <c r="AF378" i="1"/>
  <c r="AF360" i="1"/>
  <c r="AF359" i="1"/>
  <c r="AF358" i="1"/>
  <c r="AF357" i="1"/>
  <c r="AF341" i="1"/>
  <c r="AF342" i="1"/>
  <c r="AF343" i="1"/>
  <c r="AF344" i="1"/>
  <c r="AF345" i="1"/>
  <c r="AF346" i="1"/>
  <c r="AF347" i="1"/>
  <c r="AF348" i="1"/>
  <c r="AF349" i="1"/>
  <c r="AF350" i="1"/>
  <c r="AF351" i="1"/>
  <c r="AF352" i="1"/>
  <c r="AF353" i="1"/>
  <c r="AF354" i="1"/>
  <c r="AF355" i="1"/>
  <c r="AF356" i="1"/>
  <c r="AF340" i="1"/>
  <c r="AF337" i="1"/>
  <c r="AF338" i="1"/>
  <c r="AF339" i="1"/>
  <c r="AF321" i="1"/>
  <c r="AF322" i="1"/>
  <c r="AF323" i="1"/>
  <c r="AF324" i="1"/>
  <c r="AF325" i="1"/>
  <c r="AF326" i="1"/>
  <c r="AF327" i="1"/>
  <c r="AF328" i="1"/>
  <c r="AF329" i="1"/>
  <c r="AF330" i="1"/>
  <c r="AF331" i="1"/>
  <c r="AF332" i="1"/>
  <c r="AF333" i="1"/>
  <c r="AF334" i="1"/>
  <c r="AF335" i="1"/>
  <c r="AF336" i="1"/>
  <c r="AF320" i="1"/>
  <c r="AF280" i="1"/>
  <c r="AF281" i="1"/>
  <c r="AF282" i="1"/>
  <c r="AF283" i="1"/>
  <c r="AF284" i="1"/>
  <c r="AF285" i="1"/>
  <c r="AF286" i="1"/>
  <c r="AF287" i="1"/>
  <c r="AF288" i="1"/>
  <c r="AF289" i="1"/>
  <c r="AF290" i="1"/>
  <c r="AF291" i="1"/>
  <c r="AF292" i="1"/>
  <c r="AF293" i="1"/>
  <c r="AF294" i="1"/>
  <c r="AF295" i="1"/>
  <c r="AF296" i="1"/>
  <c r="AF297" i="1"/>
  <c r="AF298" i="1"/>
  <c r="AF299" i="1"/>
  <c r="AF260" i="1"/>
  <c r="AF261" i="1"/>
  <c r="AF262" i="1"/>
  <c r="AF263" i="1"/>
  <c r="AF264" i="1"/>
  <c r="AF265" i="1"/>
  <c r="AF266" i="1"/>
  <c r="AF267" i="1"/>
  <c r="AF268" i="1"/>
  <c r="AF269" i="1"/>
  <c r="AF270" i="1"/>
  <c r="AF271" i="1"/>
  <c r="AF272" i="1"/>
  <c r="AF273" i="1"/>
  <c r="AF274" i="1"/>
  <c r="AF275" i="1"/>
  <c r="AF276" i="1"/>
  <c r="AF277" i="1"/>
  <c r="AF278" i="1"/>
  <c r="AF279" i="1"/>
  <c r="AF251" i="1"/>
  <c r="AF252" i="1"/>
  <c r="AF253" i="1"/>
  <c r="AF254" i="1"/>
  <c r="AF255" i="1"/>
  <c r="AF256" i="1"/>
  <c r="AF257" i="1"/>
  <c r="AF258" i="1"/>
  <c r="AF259" i="1"/>
  <c r="AF250" i="1"/>
  <c r="AF248" i="1"/>
  <c r="AF249" i="1"/>
  <c r="B248" i="1" l="1"/>
  <c r="D248" i="1"/>
  <c r="E248" i="1"/>
  <c r="F248" i="1"/>
  <c r="G248" i="1"/>
  <c r="H248" i="1"/>
  <c r="I248" i="1"/>
  <c r="J248" i="1"/>
  <c r="K248" i="1"/>
  <c r="AH248" i="1"/>
  <c r="B249" i="1"/>
  <c r="D249" i="1"/>
  <c r="E249" i="1"/>
  <c r="F249" i="1"/>
  <c r="G249" i="1"/>
  <c r="H249" i="1"/>
  <c r="I249" i="1"/>
  <c r="J249" i="1"/>
  <c r="K249" i="1"/>
  <c r="AH249" i="1"/>
  <c r="C244" i="1"/>
  <c r="C248" i="1"/>
  <c r="D51" i="4"/>
  <c r="C233" i="1"/>
  <c r="C237" i="1"/>
  <c r="C241" i="1"/>
  <c r="B512" i="1"/>
  <c r="D512" i="1"/>
  <c r="E512" i="1"/>
  <c r="F512" i="1"/>
  <c r="G512" i="1"/>
  <c r="I512" i="1"/>
  <c r="J512" i="1"/>
  <c r="K512" i="1"/>
  <c r="B513" i="1"/>
  <c r="D513" i="1"/>
  <c r="E513" i="1"/>
  <c r="F513" i="1"/>
  <c r="G513" i="1"/>
  <c r="I513" i="1"/>
  <c r="J513" i="1"/>
  <c r="K513" i="1"/>
  <c r="B514" i="1"/>
  <c r="D514" i="1"/>
  <c r="E514" i="1"/>
  <c r="F514" i="1"/>
  <c r="G514" i="1"/>
  <c r="I514" i="1"/>
  <c r="J514" i="1"/>
  <c r="K514" i="1"/>
  <c r="B515" i="1"/>
  <c r="D515" i="1"/>
  <c r="E515" i="1"/>
  <c r="F515" i="1"/>
  <c r="G515" i="1"/>
  <c r="I515" i="1"/>
  <c r="J515" i="1"/>
  <c r="K515" i="1"/>
  <c r="B516" i="1"/>
  <c r="D516" i="1"/>
  <c r="E516" i="1"/>
  <c r="F516" i="1"/>
  <c r="G516" i="1"/>
  <c r="I516" i="1"/>
  <c r="J516" i="1"/>
  <c r="K516" i="1"/>
  <c r="B517" i="1"/>
  <c r="D517" i="1"/>
  <c r="E517" i="1"/>
  <c r="F517" i="1"/>
  <c r="G517" i="1"/>
  <c r="I517" i="1"/>
  <c r="J517" i="1"/>
  <c r="K517" i="1"/>
  <c r="B518" i="1"/>
  <c r="D518" i="1"/>
  <c r="E518" i="1"/>
  <c r="F518" i="1"/>
  <c r="G518" i="1"/>
  <c r="I518" i="1"/>
  <c r="J518" i="1"/>
  <c r="K518" i="1"/>
  <c r="B519" i="1"/>
  <c r="D519" i="1"/>
  <c r="E519" i="1"/>
  <c r="F519" i="1"/>
  <c r="G519" i="1"/>
  <c r="I519" i="1"/>
  <c r="J519" i="1"/>
  <c r="K519" i="1"/>
  <c r="T5" i="7"/>
  <c r="T4" i="7"/>
  <c r="T3" i="7"/>
  <c r="T2" i="7"/>
  <c r="F255" i="1"/>
  <c r="G255" i="1"/>
  <c r="C201" i="1"/>
  <c r="C17" i="1"/>
  <c r="C156" i="1"/>
  <c r="D8" i="8"/>
  <c r="G640" i="1"/>
  <c r="F640" i="1"/>
  <c r="D47" i="11"/>
  <c r="B732" i="1"/>
  <c r="D732" i="1"/>
  <c r="E732" i="1"/>
  <c r="F732" i="1"/>
  <c r="G732" i="1"/>
  <c r="H732" i="1"/>
  <c r="I732" i="1"/>
  <c r="J732" i="1"/>
  <c r="K732" i="1"/>
  <c r="AH732" i="1"/>
  <c r="B733" i="1"/>
  <c r="D733" i="1"/>
  <c r="E733" i="1"/>
  <c r="F733" i="1"/>
  <c r="G733" i="1"/>
  <c r="H733" i="1"/>
  <c r="I733" i="1"/>
  <c r="J733" i="1"/>
  <c r="K733" i="1"/>
  <c r="AH733" i="1"/>
  <c r="B734" i="1"/>
  <c r="D734" i="1"/>
  <c r="E734" i="1"/>
  <c r="F734" i="1"/>
  <c r="G734" i="1"/>
  <c r="H734" i="1"/>
  <c r="I734" i="1"/>
  <c r="J734" i="1"/>
  <c r="K734" i="1"/>
  <c r="AH734" i="1"/>
  <c r="B735" i="1"/>
  <c r="D735" i="1"/>
  <c r="E735" i="1"/>
  <c r="F735" i="1"/>
  <c r="G735" i="1"/>
  <c r="H735" i="1"/>
  <c r="I735" i="1"/>
  <c r="J735" i="1"/>
  <c r="K735" i="1"/>
  <c r="AH735" i="1"/>
  <c r="B736" i="1"/>
  <c r="D736" i="1"/>
  <c r="E736" i="1"/>
  <c r="F736" i="1"/>
  <c r="G736" i="1"/>
  <c r="H736" i="1"/>
  <c r="I736" i="1"/>
  <c r="J736" i="1"/>
  <c r="K736" i="1"/>
  <c r="AH736" i="1"/>
  <c r="B717" i="1"/>
  <c r="D717" i="1"/>
  <c r="E717" i="1"/>
  <c r="F717" i="1"/>
  <c r="G717" i="1"/>
  <c r="H717" i="1"/>
  <c r="I717" i="1"/>
  <c r="J717" i="1"/>
  <c r="K717" i="1"/>
  <c r="AH717" i="1"/>
  <c r="B718" i="1"/>
  <c r="D718" i="1"/>
  <c r="E718" i="1"/>
  <c r="F718" i="1"/>
  <c r="G718" i="1"/>
  <c r="H718" i="1"/>
  <c r="I718" i="1"/>
  <c r="J718" i="1"/>
  <c r="K718" i="1"/>
  <c r="AH718" i="1"/>
  <c r="B719" i="1"/>
  <c r="D719" i="1"/>
  <c r="E719" i="1"/>
  <c r="F719" i="1"/>
  <c r="G719" i="1"/>
  <c r="H719" i="1"/>
  <c r="I719" i="1"/>
  <c r="J719" i="1"/>
  <c r="K719" i="1"/>
  <c r="AH719" i="1"/>
  <c r="B720" i="1"/>
  <c r="D720" i="1"/>
  <c r="E720" i="1"/>
  <c r="F720" i="1"/>
  <c r="G720" i="1"/>
  <c r="H720" i="1"/>
  <c r="I720" i="1"/>
  <c r="J720" i="1"/>
  <c r="K720" i="1"/>
  <c r="AH720" i="1"/>
  <c r="B721" i="1"/>
  <c r="D721" i="1"/>
  <c r="E721" i="1"/>
  <c r="F721" i="1"/>
  <c r="G721" i="1"/>
  <c r="H721" i="1"/>
  <c r="I721" i="1"/>
  <c r="J721" i="1"/>
  <c r="K721" i="1"/>
  <c r="AH721" i="1"/>
  <c r="B722" i="1"/>
  <c r="D722" i="1"/>
  <c r="E722" i="1"/>
  <c r="F722" i="1"/>
  <c r="G722" i="1"/>
  <c r="H722" i="1"/>
  <c r="I722" i="1"/>
  <c r="J722" i="1"/>
  <c r="K722" i="1"/>
  <c r="AH722" i="1"/>
  <c r="B723" i="1"/>
  <c r="D723" i="1"/>
  <c r="E723" i="1"/>
  <c r="F723" i="1"/>
  <c r="G723" i="1"/>
  <c r="H723" i="1"/>
  <c r="I723" i="1"/>
  <c r="J723" i="1"/>
  <c r="K723" i="1"/>
  <c r="AH723" i="1"/>
  <c r="B724" i="1"/>
  <c r="D724" i="1"/>
  <c r="E724" i="1"/>
  <c r="F724" i="1"/>
  <c r="G724" i="1"/>
  <c r="H724" i="1"/>
  <c r="I724" i="1"/>
  <c r="J724" i="1"/>
  <c r="K724" i="1"/>
  <c r="AH724" i="1"/>
  <c r="B725" i="1"/>
  <c r="D725" i="1"/>
  <c r="E725" i="1"/>
  <c r="F725" i="1"/>
  <c r="G725" i="1"/>
  <c r="H725" i="1"/>
  <c r="I725" i="1"/>
  <c r="J725" i="1"/>
  <c r="K725" i="1"/>
  <c r="AH725" i="1"/>
  <c r="B726" i="1"/>
  <c r="D726" i="1"/>
  <c r="E726" i="1"/>
  <c r="F726" i="1"/>
  <c r="G726" i="1"/>
  <c r="H726" i="1"/>
  <c r="I726" i="1"/>
  <c r="J726" i="1"/>
  <c r="K726" i="1"/>
  <c r="AH726" i="1"/>
  <c r="B727" i="1"/>
  <c r="D727" i="1"/>
  <c r="E727" i="1"/>
  <c r="F727" i="1"/>
  <c r="G727" i="1"/>
  <c r="H727" i="1"/>
  <c r="I727" i="1"/>
  <c r="J727" i="1"/>
  <c r="K727" i="1"/>
  <c r="AH727" i="1"/>
  <c r="B728" i="1"/>
  <c r="D728" i="1"/>
  <c r="E728" i="1"/>
  <c r="F728" i="1"/>
  <c r="G728" i="1"/>
  <c r="H728" i="1"/>
  <c r="I728" i="1"/>
  <c r="J728" i="1"/>
  <c r="K728" i="1"/>
  <c r="AH728" i="1"/>
  <c r="B729" i="1"/>
  <c r="D729" i="1"/>
  <c r="E729" i="1"/>
  <c r="F729" i="1"/>
  <c r="G729" i="1"/>
  <c r="H729" i="1"/>
  <c r="I729" i="1"/>
  <c r="J729" i="1"/>
  <c r="K729" i="1"/>
  <c r="AH729" i="1"/>
  <c r="B730" i="1"/>
  <c r="D730" i="1"/>
  <c r="E730" i="1"/>
  <c r="F730" i="1"/>
  <c r="G730" i="1"/>
  <c r="H730" i="1"/>
  <c r="I730" i="1"/>
  <c r="J730" i="1"/>
  <c r="K730" i="1"/>
  <c r="AH730" i="1"/>
  <c r="B731" i="1"/>
  <c r="D731" i="1"/>
  <c r="E731" i="1"/>
  <c r="F731" i="1"/>
  <c r="G731" i="1"/>
  <c r="H731" i="1"/>
  <c r="I731" i="1"/>
  <c r="J731" i="1"/>
  <c r="K731" i="1"/>
  <c r="AH731" i="1"/>
  <c r="D10" i="14"/>
  <c r="D11" i="14"/>
  <c r="D12" i="14"/>
  <c r="D13" i="14"/>
  <c r="C725" i="1"/>
  <c r="D15" i="14"/>
  <c r="D16" i="14"/>
  <c r="D17" i="14"/>
  <c r="D18" i="14"/>
  <c r="D19" i="14"/>
  <c r="D20" i="14"/>
  <c r="D21" i="14"/>
  <c r="C733" i="1"/>
  <c r="D23" i="14"/>
  <c r="D24" i="14"/>
  <c r="D25" i="14"/>
  <c r="T21" i="7"/>
  <c r="T20" i="7"/>
  <c r="T19" i="7"/>
  <c r="T18" i="7"/>
  <c r="T17" i="7"/>
  <c r="T16" i="7"/>
  <c r="T15" i="7"/>
  <c r="T14" i="7"/>
  <c r="T13" i="7"/>
  <c r="T12" i="7"/>
  <c r="T11" i="7"/>
  <c r="T10" i="7"/>
  <c r="T9" i="7"/>
  <c r="T8" i="7"/>
  <c r="T7" i="7"/>
  <c r="T6" i="7"/>
  <c r="B630" i="1"/>
  <c r="B631" i="1"/>
  <c r="B629" i="1"/>
  <c r="D5" i="8"/>
  <c r="D4" i="8"/>
  <c r="D3" i="8"/>
  <c r="D2" i="8"/>
  <c r="C160" i="1"/>
  <c r="C154" i="1"/>
  <c r="C153" i="1"/>
  <c r="C152" i="1"/>
  <c r="D6" i="19"/>
  <c r="D5" i="19"/>
  <c r="D4" i="19"/>
  <c r="D3" i="19"/>
  <c r="D2" i="19"/>
  <c r="AF14" i="7" l="1"/>
  <c r="P332" i="1" s="1"/>
  <c r="AE14" i="7"/>
  <c r="AE3" i="7"/>
  <c r="AF3" i="7" s="1"/>
  <c r="P321" i="1" s="1"/>
  <c r="AF7" i="7"/>
  <c r="P325" i="1" s="1"/>
  <c r="AE7" i="7"/>
  <c r="AE11" i="7"/>
  <c r="AF11" i="7" s="1"/>
  <c r="P329" i="1" s="1"/>
  <c r="AF15" i="7"/>
  <c r="P333" i="1" s="1"/>
  <c r="AE15" i="7"/>
  <c r="AE19" i="7"/>
  <c r="AF19" i="7" s="1"/>
  <c r="P337" i="1" s="1"/>
  <c r="AF4" i="7"/>
  <c r="P322" i="1" s="1"/>
  <c r="AE4" i="7"/>
  <c r="AE10" i="7"/>
  <c r="AF10" i="7" s="1"/>
  <c r="P328" i="1" s="1"/>
  <c r="AF8" i="7"/>
  <c r="P326" i="1" s="1"/>
  <c r="AE8" i="7"/>
  <c r="AE12" i="7"/>
  <c r="AF12" i="7" s="1"/>
  <c r="P330" i="1" s="1"/>
  <c r="AF16" i="7"/>
  <c r="P334" i="1" s="1"/>
  <c r="AE16" i="7"/>
  <c r="AE20" i="7"/>
  <c r="AF20" i="7" s="1"/>
  <c r="P338" i="1" s="1"/>
  <c r="AF5" i="7"/>
  <c r="P323" i="1" s="1"/>
  <c r="AE5" i="7"/>
  <c r="AE6" i="7"/>
  <c r="AF6" i="7" s="1"/>
  <c r="P324" i="1" s="1"/>
  <c r="AF18" i="7"/>
  <c r="P336" i="1" s="1"/>
  <c r="AE18" i="7"/>
  <c r="AE9" i="7"/>
  <c r="AF9" i="7" s="1"/>
  <c r="P327" i="1" s="1"/>
  <c r="AF13" i="7"/>
  <c r="P331" i="1" s="1"/>
  <c r="AE13" i="7"/>
  <c r="AE17" i="7"/>
  <c r="AF17" i="7" s="1"/>
  <c r="P335" i="1" s="1"/>
  <c r="AF21" i="7"/>
  <c r="P339" i="1" s="1"/>
  <c r="AE21" i="7"/>
  <c r="AE2" i="7"/>
  <c r="AF2" i="7" s="1"/>
  <c r="P320" i="1" s="1"/>
  <c r="D33" i="4"/>
  <c r="C231" i="1"/>
  <c r="D29" i="4"/>
  <c r="C227" i="1"/>
  <c r="D25" i="4"/>
  <c r="C223" i="1"/>
  <c r="D45" i="4"/>
  <c r="C243" i="1"/>
  <c r="D32" i="4"/>
  <c r="C230" i="1"/>
  <c r="D26" i="4"/>
  <c r="C224" i="1"/>
  <c r="D22" i="4"/>
  <c r="C220" i="1"/>
  <c r="D42" i="4"/>
  <c r="C240" i="1"/>
  <c r="D38" i="4"/>
  <c r="C236" i="1"/>
  <c r="D49" i="4"/>
  <c r="C247" i="1"/>
  <c r="D47" i="4"/>
  <c r="C245" i="1"/>
  <c r="D34" i="4"/>
  <c r="C232" i="1"/>
  <c r="D30" i="4"/>
  <c r="C228" i="1"/>
  <c r="D28" i="4"/>
  <c r="C226" i="1"/>
  <c r="D24" i="4"/>
  <c r="C222" i="1"/>
  <c r="D44" i="4"/>
  <c r="C242" i="1"/>
  <c r="D40" i="4"/>
  <c r="C238" i="1"/>
  <c r="D36" i="4"/>
  <c r="C234" i="1"/>
  <c r="D31" i="4"/>
  <c r="C229" i="1"/>
  <c r="D27" i="4"/>
  <c r="C225" i="1"/>
  <c r="D23" i="4"/>
  <c r="C221" i="1"/>
  <c r="D41" i="4"/>
  <c r="C239" i="1"/>
  <c r="D37" i="4"/>
  <c r="C235" i="1"/>
  <c r="D48" i="4"/>
  <c r="C246" i="1"/>
  <c r="D11" i="3"/>
  <c r="D7" i="3"/>
  <c r="D4" i="3"/>
  <c r="D3" i="3"/>
  <c r="D5" i="3"/>
  <c r="D46" i="4"/>
  <c r="D43" i="4"/>
  <c r="D35" i="4"/>
  <c r="C249" i="1"/>
  <c r="D39" i="4"/>
  <c r="D50" i="4"/>
  <c r="C723" i="1"/>
  <c r="D14" i="14"/>
  <c r="C731" i="1"/>
  <c r="D22" i="14"/>
  <c r="C729" i="1"/>
  <c r="C727" i="1"/>
  <c r="C721" i="1"/>
  <c r="C735" i="1"/>
  <c r="C730" i="1"/>
  <c r="C728" i="1"/>
  <c r="C726" i="1"/>
  <c r="C724" i="1"/>
  <c r="C722" i="1"/>
  <c r="C736" i="1"/>
  <c r="C734" i="1"/>
  <c r="C732" i="1"/>
  <c r="D2" i="7"/>
  <c r="D11" i="6"/>
  <c r="B772" i="1" l="1"/>
  <c r="D772" i="1"/>
  <c r="E772" i="1"/>
  <c r="F772" i="1"/>
  <c r="G772" i="1"/>
  <c r="H772" i="1"/>
  <c r="I772" i="1"/>
  <c r="J772" i="1"/>
  <c r="K772" i="1"/>
  <c r="AH772" i="1"/>
  <c r="B773" i="1"/>
  <c r="D773" i="1"/>
  <c r="E773" i="1"/>
  <c r="F773" i="1"/>
  <c r="G773" i="1"/>
  <c r="H773" i="1"/>
  <c r="I773" i="1"/>
  <c r="J773" i="1"/>
  <c r="K773" i="1"/>
  <c r="AH773" i="1"/>
  <c r="B774" i="1"/>
  <c r="D774" i="1"/>
  <c r="E774" i="1"/>
  <c r="F774" i="1"/>
  <c r="G774" i="1"/>
  <c r="H774" i="1"/>
  <c r="I774" i="1"/>
  <c r="J774" i="1"/>
  <c r="K774" i="1"/>
  <c r="AH774" i="1"/>
  <c r="B775" i="1"/>
  <c r="D775" i="1"/>
  <c r="E775" i="1"/>
  <c r="F775" i="1"/>
  <c r="G775" i="1"/>
  <c r="H775" i="1"/>
  <c r="I775" i="1"/>
  <c r="J775" i="1"/>
  <c r="K775" i="1"/>
  <c r="AH775" i="1"/>
  <c r="B776" i="1"/>
  <c r="D776" i="1"/>
  <c r="E776" i="1"/>
  <c r="F776" i="1"/>
  <c r="G776" i="1"/>
  <c r="H776" i="1"/>
  <c r="I776" i="1"/>
  <c r="J776" i="1"/>
  <c r="K776" i="1"/>
  <c r="AH776" i="1"/>
  <c r="B777" i="1"/>
  <c r="D777" i="1"/>
  <c r="E777" i="1"/>
  <c r="F777" i="1"/>
  <c r="G777" i="1"/>
  <c r="H777" i="1"/>
  <c r="I777" i="1"/>
  <c r="J777" i="1"/>
  <c r="K777" i="1"/>
  <c r="AH777" i="1"/>
  <c r="B778" i="1"/>
  <c r="D778" i="1"/>
  <c r="E778" i="1"/>
  <c r="F778" i="1"/>
  <c r="G778" i="1"/>
  <c r="H778" i="1"/>
  <c r="I778" i="1"/>
  <c r="J778" i="1"/>
  <c r="K778" i="1"/>
  <c r="AH778" i="1"/>
  <c r="B779" i="1"/>
  <c r="D779" i="1"/>
  <c r="E779" i="1"/>
  <c r="F779" i="1"/>
  <c r="G779" i="1"/>
  <c r="H779" i="1"/>
  <c r="I779" i="1"/>
  <c r="J779" i="1"/>
  <c r="K779" i="1"/>
  <c r="AH779" i="1"/>
  <c r="B780" i="1"/>
  <c r="D780" i="1"/>
  <c r="E780" i="1"/>
  <c r="F780" i="1"/>
  <c r="G780" i="1"/>
  <c r="H780" i="1"/>
  <c r="I780" i="1"/>
  <c r="J780" i="1"/>
  <c r="K780" i="1"/>
  <c r="AH780" i="1"/>
  <c r="B781" i="1"/>
  <c r="D781" i="1"/>
  <c r="E781" i="1"/>
  <c r="F781" i="1"/>
  <c r="G781" i="1"/>
  <c r="H781" i="1"/>
  <c r="I781" i="1"/>
  <c r="J781" i="1"/>
  <c r="K781" i="1"/>
  <c r="AH781" i="1"/>
  <c r="B782" i="1"/>
  <c r="D782" i="1"/>
  <c r="E782" i="1"/>
  <c r="F782" i="1"/>
  <c r="G782" i="1"/>
  <c r="H782" i="1"/>
  <c r="I782" i="1"/>
  <c r="J782" i="1"/>
  <c r="K782" i="1"/>
  <c r="AH782" i="1"/>
  <c r="B783" i="1"/>
  <c r="D783" i="1"/>
  <c r="E783" i="1"/>
  <c r="F783" i="1"/>
  <c r="G783" i="1"/>
  <c r="H783" i="1"/>
  <c r="I783" i="1"/>
  <c r="J783" i="1"/>
  <c r="K783" i="1"/>
  <c r="AH783" i="1"/>
  <c r="B784" i="1"/>
  <c r="D784" i="1"/>
  <c r="E784" i="1"/>
  <c r="F784" i="1"/>
  <c r="G784" i="1"/>
  <c r="H784" i="1"/>
  <c r="I784" i="1"/>
  <c r="J784" i="1"/>
  <c r="K784" i="1"/>
  <c r="AH784" i="1"/>
  <c r="B785" i="1"/>
  <c r="D785" i="1"/>
  <c r="E785" i="1"/>
  <c r="F785" i="1"/>
  <c r="G785" i="1"/>
  <c r="H785" i="1"/>
  <c r="I785" i="1"/>
  <c r="J785" i="1"/>
  <c r="K785" i="1"/>
  <c r="AH785" i="1"/>
  <c r="B786" i="1"/>
  <c r="D786" i="1"/>
  <c r="E786" i="1"/>
  <c r="F786" i="1"/>
  <c r="G786" i="1"/>
  <c r="H786" i="1"/>
  <c r="I786" i="1"/>
  <c r="J786" i="1"/>
  <c r="K786" i="1"/>
  <c r="AH786" i="1"/>
  <c r="B787" i="1"/>
  <c r="D787" i="1"/>
  <c r="E787" i="1"/>
  <c r="F787" i="1"/>
  <c r="G787" i="1"/>
  <c r="H787" i="1"/>
  <c r="I787" i="1"/>
  <c r="J787" i="1"/>
  <c r="K787" i="1"/>
  <c r="AH787" i="1"/>
  <c r="B788" i="1"/>
  <c r="D788" i="1"/>
  <c r="E788" i="1"/>
  <c r="F788" i="1"/>
  <c r="G788" i="1"/>
  <c r="H788" i="1"/>
  <c r="I788" i="1"/>
  <c r="J788" i="1"/>
  <c r="K788" i="1"/>
  <c r="AH788" i="1"/>
  <c r="B789" i="1"/>
  <c r="D789" i="1"/>
  <c r="E789" i="1"/>
  <c r="F789" i="1"/>
  <c r="G789" i="1"/>
  <c r="H789" i="1"/>
  <c r="I789" i="1"/>
  <c r="J789" i="1"/>
  <c r="K789" i="1"/>
  <c r="AH789" i="1"/>
  <c r="B790" i="1"/>
  <c r="D790" i="1"/>
  <c r="E790" i="1"/>
  <c r="F790" i="1"/>
  <c r="G790" i="1"/>
  <c r="H790" i="1"/>
  <c r="I790" i="1"/>
  <c r="J790" i="1"/>
  <c r="K790" i="1"/>
  <c r="AH790" i="1"/>
  <c r="B791" i="1"/>
  <c r="D791" i="1"/>
  <c r="E791" i="1"/>
  <c r="F791" i="1"/>
  <c r="G791" i="1"/>
  <c r="H791" i="1"/>
  <c r="I791" i="1"/>
  <c r="J791" i="1"/>
  <c r="K791" i="1"/>
  <c r="AH791" i="1"/>
  <c r="B792" i="1"/>
  <c r="D792" i="1"/>
  <c r="E792" i="1"/>
  <c r="F792" i="1"/>
  <c r="G792" i="1"/>
  <c r="H792" i="1"/>
  <c r="I792" i="1"/>
  <c r="J792" i="1"/>
  <c r="K792" i="1"/>
  <c r="AH792" i="1"/>
  <c r="B793" i="1"/>
  <c r="D793" i="1"/>
  <c r="E793" i="1"/>
  <c r="F793" i="1"/>
  <c r="G793" i="1"/>
  <c r="H793" i="1"/>
  <c r="I793" i="1"/>
  <c r="J793" i="1"/>
  <c r="K793" i="1"/>
  <c r="AH793" i="1"/>
  <c r="B794" i="1"/>
  <c r="D794" i="1"/>
  <c r="E794" i="1"/>
  <c r="F794" i="1"/>
  <c r="G794" i="1"/>
  <c r="H794" i="1"/>
  <c r="I794" i="1"/>
  <c r="J794" i="1"/>
  <c r="K794" i="1"/>
  <c r="AH794" i="1"/>
  <c r="B795" i="1"/>
  <c r="D795" i="1"/>
  <c r="E795" i="1"/>
  <c r="F795" i="1"/>
  <c r="G795" i="1"/>
  <c r="H795" i="1"/>
  <c r="I795" i="1"/>
  <c r="J795" i="1"/>
  <c r="K795" i="1"/>
  <c r="AH795" i="1"/>
  <c r="B796" i="1"/>
  <c r="D796" i="1"/>
  <c r="E796" i="1"/>
  <c r="F796" i="1"/>
  <c r="G796" i="1"/>
  <c r="H796" i="1"/>
  <c r="I796" i="1"/>
  <c r="J796" i="1"/>
  <c r="K796" i="1"/>
  <c r="AH796" i="1"/>
  <c r="B797" i="1"/>
  <c r="D797" i="1"/>
  <c r="E797" i="1"/>
  <c r="F797" i="1"/>
  <c r="G797" i="1"/>
  <c r="H797" i="1"/>
  <c r="I797" i="1"/>
  <c r="J797" i="1"/>
  <c r="K797" i="1"/>
  <c r="AH797" i="1"/>
  <c r="B798" i="1"/>
  <c r="D798" i="1"/>
  <c r="E798" i="1"/>
  <c r="F798" i="1"/>
  <c r="G798" i="1"/>
  <c r="H798" i="1"/>
  <c r="I798" i="1"/>
  <c r="J798" i="1"/>
  <c r="K798" i="1"/>
  <c r="AH798" i="1"/>
  <c r="B799" i="1"/>
  <c r="D799" i="1"/>
  <c r="E799" i="1"/>
  <c r="F799" i="1"/>
  <c r="G799" i="1"/>
  <c r="H799" i="1"/>
  <c r="I799" i="1"/>
  <c r="J799" i="1"/>
  <c r="K799" i="1"/>
  <c r="AH799" i="1"/>
  <c r="B800" i="1"/>
  <c r="D800" i="1"/>
  <c r="E800" i="1"/>
  <c r="F800" i="1"/>
  <c r="G800" i="1"/>
  <c r="H800" i="1"/>
  <c r="I800" i="1"/>
  <c r="J800" i="1"/>
  <c r="K800" i="1"/>
  <c r="AH800" i="1"/>
  <c r="B801" i="1"/>
  <c r="D801" i="1"/>
  <c r="E801" i="1"/>
  <c r="F801" i="1"/>
  <c r="G801" i="1"/>
  <c r="H801" i="1"/>
  <c r="I801" i="1"/>
  <c r="J801" i="1"/>
  <c r="K801" i="1"/>
  <c r="AH801" i="1"/>
  <c r="B802" i="1"/>
  <c r="D802" i="1"/>
  <c r="E802" i="1"/>
  <c r="F802" i="1"/>
  <c r="G802" i="1"/>
  <c r="H802" i="1"/>
  <c r="I802" i="1"/>
  <c r="J802" i="1"/>
  <c r="K802" i="1"/>
  <c r="AH802" i="1"/>
  <c r="B803" i="1"/>
  <c r="D803" i="1"/>
  <c r="E803" i="1"/>
  <c r="F803" i="1"/>
  <c r="G803" i="1"/>
  <c r="H803" i="1"/>
  <c r="I803" i="1"/>
  <c r="J803" i="1"/>
  <c r="K803" i="1"/>
  <c r="AH803" i="1"/>
  <c r="B804" i="1"/>
  <c r="D804" i="1"/>
  <c r="E804" i="1"/>
  <c r="F804" i="1"/>
  <c r="G804" i="1"/>
  <c r="H804" i="1"/>
  <c r="I804" i="1"/>
  <c r="J804" i="1"/>
  <c r="K804" i="1"/>
  <c r="AH804" i="1"/>
  <c r="B805" i="1"/>
  <c r="D805" i="1"/>
  <c r="E805" i="1"/>
  <c r="F805" i="1"/>
  <c r="G805" i="1"/>
  <c r="H805" i="1"/>
  <c r="I805" i="1"/>
  <c r="J805" i="1"/>
  <c r="K805" i="1"/>
  <c r="AH805" i="1"/>
  <c r="B806" i="1"/>
  <c r="D806" i="1"/>
  <c r="E806" i="1"/>
  <c r="F806" i="1"/>
  <c r="G806" i="1"/>
  <c r="H806" i="1"/>
  <c r="I806" i="1"/>
  <c r="J806" i="1"/>
  <c r="K806" i="1"/>
  <c r="AH806" i="1"/>
  <c r="B807" i="1"/>
  <c r="D807" i="1"/>
  <c r="E807" i="1"/>
  <c r="F807" i="1"/>
  <c r="G807" i="1"/>
  <c r="H807" i="1"/>
  <c r="I807" i="1"/>
  <c r="J807" i="1"/>
  <c r="K807" i="1"/>
  <c r="AH807" i="1"/>
  <c r="B808" i="1"/>
  <c r="D808" i="1"/>
  <c r="E808" i="1"/>
  <c r="F808" i="1"/>
  <c r="G808" i="1"/>
  <c r="H808" i="1"/>
  <c r="I808" i="1"/>
  <c r="J808" i="1"/>
  <c r="K808" i="1"/>
  <c r="AH808" i="1"/>
  <c r="B809" i="1"/>
  <c r="D809" i="1"/>
  <c r="E809" i="1"/>
  <c r="F809" i="1"/>
  <c r="G809" i="1"/>
  <c r="H809" i="1"/>
  <c r="I809" i="1"/>
  <c r="J809" i="1"/>
  <c r="K809" i="1"/>
  <c r="AH809" i="1"/>
  <c r="B810" i="1"/>
  <c r="D810" i="1"/>
  <c r="E810" i="1"/>
  <c r="F810" i="1"/>
  <c r="G810" i="1"/>
  <c r="H810" i="1"/>
  <c r="I810" i="1"/>
  <c r="J810" i="1"/>
  <c r="K810" i="1"/>
  <c r="AH810" i="1"/>
  <c r="B811" i="1"/>
  <c r="D811" i="1"/>
  <c r="E811" i="1"/>
  <c r="F811" i="1"/>
  <c r="G811" i="1"/>
  <c r="H811" i="1"/>
  <c r="I811" i="1"/>
  <c r="J811" i="1"/>
  <c r="K811" i="1"/>
  <c r="AH811" i="1"/>
  <c r="B812" i="1"/>
  <c r="D812" i="1"/>
  <c r="E812" i="1"/>
  <c r="F812" i="1"/>
  <c r="G812" i="1"/>
  <c r="H812" i="1"/>
  <c r="I812" i="1"/>
  <c r="J812" i="1"/>
  <c r="K812" i="1"/>
  <c r="AH812" i="1"/>
  <c r="B813" i="1"/>
  <c r="D813" i="1"/>
  <c r="E813" i="1"/>
  <c r="F813" i="1"/>
  <c r="G813" i="1"/>
  <c r="H813" i="1"/>
  <c r="I813" i="1"/>
  <c r="J813" i="1"/>
  <c r="K813" i="1"/>
  <c r="AH813" i="1"/>
  <c r="B814" i="1"/>
  <c r="D814" i="1"/>
  <c r="E814" i="1"/>
  <c r="F814" i="1"/>
  <c r="G814" i="1"/>
  <c r="H814" i="1"/>
  <c r="I814" i="1"/>
  <c r="J814" i="1"/>
  <c r="K814" i="1"/>
  <c r="AH814" i="1"/>
  <c r="B815" i="1"/>
  <c r="D815" i="1"/>
  <c r="E815" i="1"/>
  <c r="F815" i="1"/>
  <c r="G815" i="1"/>
  <c r="H815" i="1"/>
  <c r="I815" i="1"/>
  <c r="J815" i="1"/>
  <c r="K815" i="1"/>
  <c r="AH815" i="1"/>
  <c r="B816" i="1"/>
  <c r="D816" i="1"/>
  <c r="E816" i="1"/>
  <c r="F816" i="1"/>
  <c r="G816" i="1"/>
  <c r="H816" i="1"/>
  <c r="I816" i="1"/>
  <c r="J816" i="1"/>
  <c r="K816" i="1"/>
  <c r="AH816" i="1"/>
  <c r="B817" i="1"/>
  <c r="D817" i="1"/>
  <c r="E817" i="1"/>
  <c r="F817" i="1"/>
  <c r="G817" i="1"/>
  <c r="H817" i="1"/>
  <c r="I817" i="1"/>
  <c r="J817" i="1"/>
  <c r="K817" i="1"/>
  <c r="AH817" i="1"/>
  <c r="B818" i="1"/>
  <c r="D818" i="1"/>
  <c r="E818" i="1"/>
  <c r="F818" i="1"/>
  <c r="G818" i="1"/>
  <c r="H818" i="1"/>
  <c r="I818" i="1"/>
  <c r="J818" i="1"/>
  <c r="K818" i="1"/>
  <c r="AH818" i="1"/>
  <c r="B819" i="1"/>
  <c r="D819" i="1"/>
  <c r="E819" i="1"/>
  <c r="F819" i="1"/>
  <c r="G819" i="1"/>
  <c r="H819" i="1"/>
  <c r="I819" i="1"/>
  <c r="J819" i="1"/>
  <c r="K819" i="1"/>
  <c r="AH819" i="1"/>
  <c r="D51" i="19"/>
  <c r="AK51" i="19"/>
  <c r="Y820" i="1" s="1"/>
  <c r="D49" i="19"/>
  <c r="AK49" i="19"/>
  <c r="Y818" i="1" s="1"/>
  <c r="D50" i="19"/>
  <c r="AK50" i="19"/>
  <c r="Y819" i="1" s="1"/>
  <c r="C814" i="1"/>
  <c r="AK45" i="19"/>
  <c r="Y814" i="1" s="1"/>
  <c r="D46" i="19"/>
  <c r="AK46" i="19"/>
  <c r="Y815" i="1" s="1"/>
  <c r="D47" i="19"/>
  <c r="AK47" i="19"/>
  <c r="Y816" i="1" s="1"/>
  <c r="D48" i="19"/>
  <c r="AK48" i="19"/>
  <c r="Y817" i="1" s="1"/>
  <c r="AK3" i="19"/>
  <c r="Y772" i="1" s="1"/>
  <c r="AK4" i="19"/>
  <c r="Y773" i="1" s="1"/>
  <c r="AK5" i="19"/>
  <c r="Y774" i="1" s="1"/>
  <c r="AK6" i="19"/>
  <c r="Y775" i="1" s="1"/>
  <c r="D7" i="19"/>
  <c r="AK7" i="19"/>
  <c r="Y776" i="1" s="1"/>
  <c r="D8" i="19"/>
  <c r="AK8" i="19"/>
  <c r="Y777" i="1" s="1"/>
  <c r="D9" i="19"/>
  <c r="AK9" i="19"/>
  <c r="Y778" i="1" s="1"/>
  <c r="D10" i="19"/>
  <c r="AK10" i="19"/>
  <c r="Y779" i="1" s="1"/>
  <c r="D11" i="19"/>
  <c r="AK11" i="19"/>
  <c r="Y780" i="1" s="1"/>
  <c r="D12" i="19"/>
  <c r="AK12" i="19"/>
  <c r="Y781" i="1" s="1"/>
  <c r="D13" i="19"/>
  <c r="AK13" i="19"/>
  <c r="Y782" i="1" s="1"/>
  <c r="D14" i="19"/>
  <c r="AK14" i="19"/>
  <c r="Y783" i="1" s="1"/>
  <c r="C784" i="1"/>
  <c r="AK15" i="19"/>
  <c r="Y784" i="1" s="1"/>
  <c r="D16" i="19"/>
  <c r="AK16" i="19"/>
  <c r="Y785" i="1" s="1"/>
  <c r="D17" i="19"/>
  <c r="AK17" i="19"/>
  <c r="Y786" i="1" s="1"/>
  <c r="D18" i="19"/>
  <c r="AK18" i="19"/>
  <c r="Y787" i="1" s="1"/>
  <c r="D19" i="19"/>
  <c r="AK19" i="19"/>
  <c r="Y788" i="1" s="1"/>
  <c r="D20" i="19"/>
  <c r="AK20" i="19"/>
  <c r="Y789" i="1" s="1"/>
  <c r="D21" i="19"/>
  <c r="AK21" i="19"/>
  <c r="Y790" i="1" s="1"/>
  <c r="D22" i="19"/>
  <c r="AK22" i="19"/>
  <c r="Y791" i="1" s="1"/>
  <c r="D23" i="19"/>
  <c r="AK23" i="19"/>
  <c r="Y792" i="1" s="1"/>
  <c r="D24" i="19"/>
  <c r="AK24" i="19"/>
  <c r="Y793" i="1" s="1"/>
  <c r="D25" i="19"/>
  <c r="AK25" i="19"/>
  <c r="Y794" i="1" s="1"/>
  <c r="D26" i="19"/>
  <c r="AK26" i="19"/>
  <c r="Y795" i="1" s="1"/>
  <c r="D27" i="19"/>
  <c r="AK27" i="19"/>
  <c r="Y796" i="1" s="1"/>
  <c r="D28" i="19"/>
  <c r="AK28" i="19"/>
  <c r="Y797" i="1" s="1"/>
  <c r="D29" i="19"/>
  <c r="AK29" i="19"/>
  <c r="Y798" i="1" s="1"/>
  <c r="D30" i="19"/>
  <c r="AK30" i="19"/>
  <c r="Y799" i="1" s="1"/>
  <c r="C800" i="1"/>
  <c r="AK31" i="19"/>
  <c r="Y800" i="1" s="1"/>
  <c r="D32" i="19"/>
  <c r="AK32" i="19"/>
  <c r="Y801" i="1" s="1"/>
  <c r="D33" i="19"/>
  <c r="AK33" i="19"/>
  <c r="Y802" i="1" s="1"/>
  <c r="D34" i="19"/>
  <c r="AK34" i="19"/>
  <c r="Y803" i="1" s="1"/>
  <c r="D35" i="19"/>
  <c r="AK35" i="19"/>
  <c r="Y804" i="1" s="1"/>
  <c r="D36" i="19"/>
  <c r="AK36" i="19"/>
  <c r="Y805" i="1" s="1"/>
  <c r="D37" i="19"/>
  <c r="AK37" i="19"/>
  <c r="Y806" i="1" s="1"/>
  <c r="D38" i="19"/>
  <c r="AK38" i="19"/>
  <c r="Y807" i="1" s="1"/>
  <c r="D39" i="19"/>
  <c r="AK39" i="19"/>
  <c r="Y808" i="1" s="1"/>
  <c r="D40" i="19"/>
  <c r="AK40" i="19"/>
  <c r="Y809" i="1" s="1"/>
  <c r="D41" i="19"/>
  <c r="AK41" i="19"/>
  <c r="Y810" i="1" s="1"/>
  <c r="D42" i="19"/>
  <c r="AK42" i="19"/>
  <c r="Y811" i="1" s="1"/>
  <c r="D43" i="19"/>
  <c r="AK43" i="19"/>
  <c r="Y812" i="1" s="1"/>
  <c r="D44" i="19"/>
  <c r="AK44" i="19"/>
  <c r="Y813" i="1" s="1"/>
  <c r="K510" i="1"/>
  <c r="AH360" i="1"/>
  <c r="F771" i="1"/>
  <c r="H771" i="1"/>
  <c r="K771" i="1"/>
  <c r="J771" i="1"/>
  <c r="I771" i="1"/>
  <c r="G771"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H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I66" i="13"/>
  <c r="H694" i="1" s="1"/>
  <c r="I67" i="13"/>
  <c r="H695" i="1" s="1"/>
  <c r="I68" i="13"/>
  <c r="H696" i="1" s="1"/>
  <c r="I69" i="13"/>
  <c r="H697" i="1" s="1"/>
  <c r="I70" i="13"/>
  <c r="H698" i="1" s="1"/>
  <c r="I71" i="13"/>
  <c r="H699" i="1" s="1"/>
  <c r="I72" i="13"/>
  <c r="H700" i="1" s="1"/>
  <c r="I73" i="13"/>
  <c r="H701" i="1" s="1"/>
  <c r="I74" i="13"/>
  <c r="H702" i="1" s="1"/>
  <c r="I75" i="13"/>
  <c r="H703" i="1" s="1"/>
  <c r="I76" i="13"/>
  <c r="H704" i="1" s="1"/>
  <c r="I77" i="13"/>
  <c r="H705" i="1" s="1"/>
  <c r="I78" i="13"/>
  <c r="H706" i="1" s="1"/>
  <c r="I79" i="13"/>
  <c r="H707" i="1" s="1"/>
  <c r="I80" i="13"/>
  <c r="H708" i="1" s="1"/>
  <c r="I81" i="13"/>
  <c r="H709" i="1" s="1"/>
  <c r="I82" i="13"/>
  <c r="H710" i="1" s="1"/>
  <c r="I83" i="13"/>
  <c r="H711" i="1" s="1"/>
  <c r="I84" i="13"/>
  <c r="H712" i="1" s="1"/>
  <c r="I48" i="13"/>
  <c r="H676" i="1" s="1"/>
  <c r="I49" i="13"/>
  <c r="H677" i="1" s="1"/>
  <c r="I50" i="13"/>
  <c r="H678" i="1" s="1"/>
  <c r="I51" i="13"/>
  <c r="H679" i="1" s="1"/>
  <c r="I52" i="13"/>
  <c r="H680" i="1" s="1"/>
  <c r="I53" i="13"/>
  <c r="H681" i="1" s="1"/>
  <c r="I54" i="13"/>
  <c r="H682" i="1" s="1"/>
  <c r="I55" i="13"/>
  <c r="H683" i="1" s="1"/>
  <c r="I56" i="13"/>
  <c r="H684" i="1" s="1"/>
  <c r="I57" i="13"/>
  <c r="H685" i="1" s="1"/>
  <c r="I58" i="13"/>
  <c r="H686" i="1" s="1"/>
  <c r="I59" i="13"/>
  <c r="H687" i="1" s="1"/>
  <c r="I60" i="13"/>
  <c r="H688" i="1" s="1"/>
  <c r="I61" i="13"/>
  <c r="H689" i="1" s="1"/>
  <c r="I62" i="13"/>
  <c r="H690" i="1" s="1"/>
  <c r="I63" i="13"/>
  <c r="H691" i="1" s="1"/>
  <c r="I64" i="13"/>
  <c r="H692" i="1" s="1"/>
  <c r="I65" i="13"/>
  <c r="H693" i="1" s="1"/>
  <c r="I28" i="13"/>
  <c r="H656" i="1" s="1"/>
  <c r="I29" i="13"/>
  <c r="H657" i="1" s="1"/>
  <c r="I30" i="13"/>
  <c r="H658" i="1" s="1"/>
  <c r="I31" i="13"/>
  <c r="H659" i="1" s="1"/>
  <c r="I32" i="13"/>
  <c r="H660" i="1" s="1"/>
  <c r="I33" i="13"/>
  <c r="H661" i="1" s="1"/>
  <c r="I34" i="13"/>
  <c r="H662" i="1" s="1"/>
  <c r="I35" i="13"/>
  <c r="H663" i="1" s="1"/>
  <c r="I36" i="13"/>
  <c r="H664" i="1" s="1"/>
  <c r="I37" i="13"/>
  <c r="H665" i="1" s="1"/>
  <c r="I38" i="13"/>
  <c r="H666" i="1" s="1"/>
  <c r="I39" i="13"/>
  <c r="H667" i="1" s="1"/>
  <c r="I40" i="13"/>
  <c r="H668" i="1" s="1"/>
  <c r="I41" i="13"/>
  <c r="H669" i="1" s="1"/>
  <c r="I42" i="13"/>
  <c r="H670" i="1" s="1"/>
  <c r="I43" i="13"/>
  <c r="H671" i="1" s="1"/>
  <c r="I44" i="13"/>
  <c r="H672" i="1" s="1"/>
  <c r="I45" i="13"/>
  <c r="H673" i="1" s="1"/>
  <c r="I46" i="13"/>
  <c r="H674" i="1" s="1"/>
  <c r="I47" i="13"/>
  <c r="H675" i="1" s="1"/>
  <c r="I3" i="13"/>
  <c r="H631" i="1" s="1"/>
  <c r="I4" i="13"/>
  <c r="H632" i="1" s="1"/>
  <c r="I5" i="13"/>
  <c r="H633" i="1" s="1"/>
  <c r="I6" i="13"/>
  <c r="H634" i="1" s="1"/>
  <c r="I7" i="13"/>
  <c r="H635" i="1" s="1"/>
  <c r="I8" i="13"/>
  <c r="H636" i="1" s="1"/>
  <c r="I9" i="13"/>
  <c r="H637" i="1" s="1"/>
  <c r="I10" i="13"/>
  <c r="H638" i="1" s="1"/>
  <c r="I11" i="13"/>
  <c r="H639" i="1" s="1"/>
  <c r="I12" i="13"/>
  <c r="H640" i="1" s="1"/>
  <c r="I13" i="13"/>
  <c r="H641" i="1" s="1"/>
  <c r="I14" i="13"/>
  <c r="H642" i="1" s="1"/>
  <c r="I15" i="13"/>
  <c r="H643" i="1" s="1"/>
  <c r="I16" i="13"/>
  <c r="H644" i="1" s="1"/>
  <c r="I17" i="13"/>
  <c r="H645" i="1" s="1"/>
  <c r="I18" i="13"/>
  <c r="H646" i="1" s="1"/>
  <c r="I19" i="13"/>
  <c r="H647" i="1" s="1"/>
  <c r="I20" i="13"/>
  <c r="H648" i="1" s="1"/>
  <c r="I21" i="13"/>
  <c r="H649" i="1" s="1"/>
  <c r="I22" i="13"/>
  <c r="H650" i="1" s="1"/>
  <c r="I23" i="13"/>
  <c r="H651" i="1" s="1"/>
  <c r="I24" i="13"/>
  <c r="H652" i="1" s="1"/>
  <c r="I25" i="13"/>
  <c r="H653" i="1" s="1"/>
  <c r="I26" i="13"/>
  <c r="H654" i="1" s="1"/>
  <c r="I27" i="13"/>
  <c r="H655" i="1" s="1"/>
  <c r="I2" i="13"/>
  <c r="H630" i="1" s="1"/>
  <c r="E771" i="1"/>
  <c r="D771" i="1"/>
  <c r="B771" i="1"/>
  <c r="AK2" i="19"/>
  <c r="Y771" i="1" s="1"/>
  <c r="C771" i="1"/>
  <c r="K770" i="1"/>
  <c r="J770" i="1"/>
  <c r="I770" i="1"/>
  <c r="H770" i="1"/>
  <c r="G770" i="1"/>
  <c r="F770" i="1"/>
  <c r="E770" i="1"/>
  <c r="D770" i="1"/>
  <c r="B770" i="1"/>
  <c r="K769" i="1"/>
  <c r="J769" i="1"/>
  <c r="I769" i="1"/>
  <c r="H769" i="1"/>
  <c r="G769" i="1"/>
  <c r="F769" i="1"/>
  <c r="E769" i="1"/>
  <c r="D769" i="1"/>
  <c r="B769" i="1"/>
  <c r="K768" i="1"/>
  <c r="J768" i="1"/>
  <c r="I768" i="1"/>
  <c r="H768" i="1"/>
  <c r="G768" i="1"/>
  <c r="F768" i="1"/>
  <c r="E768" i="1"/>
  <c r="D768" i="1"/>
  <c r="B768" i="1"/>
  <c r="K767" i="1"/>
  <c r="J767" i="1"/>
  <c r="I767" i="1"/>
  <c r="H767" i="1"/>
  <c r="G767" i="1"/>
  <c r="F767" i="1"/>
  <c r="E767" i="1"/>
  <c r="D767" i="1"/>
  <c r="B767" i="1"/>
  <c r="K766" i="1"/>
  <c r="J766" i="1"/>
  <c r="I766" i="1"/>
  <c r="H766" i="1"/>
  <c r="G766" i="1"/>
  <c r="F766" i="1"/>
  <c r="E766" i="1"/>
  <c r="D766" i="1"/>
  <c r="B766" i="1"/>
  <c r="K765" i="1"/>
  <c r="J765" i="1"/>
  <c r="I765" i="1"/>
  <c r="H765" i="1"/>
  <c r="G765" i="1"/>
  <c r="F765" i="1"/>
  <c r="E765" i="1"/>
  <c r="D765" i="1"/>
  <c r="B765" i="1"/>
  <c r="K764" i="1"/>
  <c r="J764" i="1"/>
  <c r="I764" i="1"/>
  <c r="H764" i="1"/>
  <c r="G764" i="1"/>
  <c r="F764" i="1"/>
  <c r="E764" i="1"/>
  <c r="D764" i="1"/>
  <c r="B764" i="1"/>
  <c r="K763" i="1"/>
  <c r="J763" i="1"/>
  <c r="I763" i="1"/>
  <c r="H763" i="1"/>
  <c r="G763" i="1"/>
  <c r="F763" i="1"/>
  <c r="E763" i="1"/>
  <c r="D763" i="1"/>
  <c r="B763" i="1"/>
  <c r="K762" i="1"/>
  <c r="J762" i="1"/>
  <c r="I762" i="1"/>
  <c r="H762" i="1"/>
  <c r="G762" i="1"/>
  <c r="F762" i="1"/>
  <c r="E762" i="1"/>
  <c r="D762" i="1"/>
  <c r="B762" i="1"/>
  <c r="K761" i="1"/>
  <c r="J761" i="1"/>
  <c r="I761" i="1"/>
  <c r="H761" i="1"/>
  <c r="G761" i="1"/>
  <c r="F761" i="1"/>
  <c r="E761" i="1"/>
  <c r="D761" i="1"/>
  <c r="B761" i="1"/>
  <c r="K760" i="1"/>
  <c r="J760" i="1"/>
  <c r="I760" i="1"/>
  <c r="H760" i="1"/>
  <c r="G760" i="1"/>
  <c r="F760" i="1"/>
  <c r="E760" i="1"/>
  <c r="D760" i="1"/>
  <c r="B760" i="1"/>
  <c r="K759" i="1"/>
  <c r="J759" i="1"/>
  <c r="I759" i="1"/>
  <c r="H759" i="1"/>
  <c r="G759" i="1"/>
  <c r="F759" i="1"/>
  <c r="E759" i="1"/>
  <c r="D759" i="1"/>
  <c r="B759" i="1"/>
  <c r="K758" i="1"/>
  <c r="J758" i="1"/>
  <c r="I758" i="1"/>
  <c r="H758" i="1"/>
  <c r="G758" i="1"/>
  <c r="F758" i="1"/>
  <c r="E758" i="1"/>
  <c r="D758" i="1"/>
  <c r="B758" i="1"/>
  <c r="K757" i="1"/>
  <c r="J757" i="1"/>
  <c r="I757" i="1"/>
  <c r="H757" i="1"/>
  <c r="G757" i="1"/>
  <c r="F757" i="1"/>
  <c r="E757" i="1"/>
  <c r="D757" i="1"/>
  <c r="B757" i="1"/>
  <c r="K756" i="1"/>
  <c r="J756" i="1"/>
  <c r="I756" i="1"/>
  <c r="H756" i="1"/>
  <c r="G756" i="1"/>
  <c r="F756" i="1"/>
  <c r="E756" i="1"/>
  <c r="D756" i="1"/>
  <c r="B756" i="1"/>
  <c r="K755" i="1"/>
  <c r="J755" i="1"/>
  <c r="I755" i="1"/>
  <c r="H755" i="1"/>
  <c r="G755" i="1"/>
  <c r="F755" i="1"/>
  <c r="E755" i="1"/>
  <c r="D755" i="1"/>
  <c r="B755" i="1"/>
  <c r="K754" i="1"/>
  <c r="J754" i="1"/>
  <c r="I754" i="1"/>
  <c r="H754" i="1"/>
  <c r="G754" i="1"/>
  <c r="F754" i="1"/>
  <c r="E754" i="1"/>
  <c r="D754" i="1"/>
  <c r="B754" i="1"/>
  <c r="K753" i="1"/>
  <c r="J753" i="1"/>
  <c r="I753" i="1"/>
  <c r="H753" i="1"/>
  <c r="G753" i="1"/>
  <c r="F753" i="1"/>
  <c r="E753" i="1"/>
  <c r="D753" i="1"/>
  <c r="B753" i="1"/>
  <c r="K752" i="1"/>
  <c r="J752" i="1"/>
  <c r="I752" i="1"/>
  <c r="H752" i="1"/>
  <c r="G752" i="1"/>
  <c r="F752" i="1"/>
  <c r="E752" i="1"/>
  <c r="D752" i="1"/>
  <c r="B752" i="1"/>
  <c r="K751" i="1"/>
  <c r="J751" i="1"/>
  <c r="I751" i="1"/>
  <c r="H751" i="1"/>
  <c r="G751" i="1"/>
  <c r="F751" i="1"/>
  <c r="E751" i="1"/>
  <c r="D751" i="1"/>
  <c r="B751" i="1"/>
  <c r="K750" i="1"/>
  <c r="J750" i="1"/>
  <c r="I750" i="1"/>
  <c r="H750" i="1"/>
  <c r="G750" i="1"/>
  <c r="F750" i="1"/>
  <c r="E750" i="1"/>
  <c r="D750" i="1"/>
  <c r="B750" i="1"/>
  <c r="K749" i="1"/>
  <c r="J749" i="1"/>
  <c r="I749" i="1"/>
  <c r="H749" i="1"/>
  <c r="G749" i="1"/>
  <c r="F749" i="1"/>
  <c r="E749" i="1"/>
  <c r="D749" i="1"/>
  <c r="B749" i="1"/>
  <c r="K748" i="1"/>
  <c r="J748" i="1"/>
  <c r="I748" i="1"/>
  <c r="H748" i="1"/>
  <c r="G748" i="1"/>
  <c r="F748" i="1"/>
  <c r="E748" i="1"/>
  <c r="D748" i="1"/>
  <c r="B748" i="1"/>
  <c r="K747" i="1"/>
  <c r="J747" i="1"/>
  <c r="I747" i="1"/>
  <c r="H747" i="1"/>
  <c r="G747" i="1"/>
  <c r="F747" i="1"/>
  <c r="E747" i="1"/>
  <c r="D747" i="1"/>
  <c r="B747" i="1"/>
  <c r="K746" i="1"/>
  <c r="J746" i="1"/>
  <c r="I746" i="1"/>
  <c r="H746" i="1"/>
  <c r="G746" i="1"/>
  <c r="F746" i="1"/>
  <c r="E746" i="1"/>
  <c r="D746" i="1"/>
  <c r="B746" i="1"/>
  <c r="K745" i="1"/>
  <c r="J745" i="1"/>
  <c r="I745" i="1"/>
  <c r="H745" i="1"/>
  <c r="G745" i="1"/>
  <c r="F745" i="1"/>
  <c r="E745" i="1"/>
  <c r="D745" i="1"/>
  <c r="B745" i="1"/>
  <c r="K744" i="1"/>
  <c r="J744" i="1"/>
  <c r="I744" i="1"/>
  <c r="H744" i="1"/>
  <c r="G744" i="1"/>
  <c r="F744" i="1"/>
  <c r="E744" i="1"/>
  <c r="D744" i="1"/>
  <c r="B744" i="1"/>
  <c r="K743" i="1"/>
  <c r="J743" i="1"/>
  <c r="I743" i="1"/>
  <c r="H743" i="1"/>
  <c r="G743" i="1"/>
  <c r="F743" i="1"/>
  <c r="E743" i="1"/>
  <c r="D743" i="1"/>
  <c r="B743" i="1"/>
  <c r="K742" i="1"/>
  <c r="J742" i="1"/>
  <c r="I742" i="1"/>
  <c r="H742" i="1"/>
  <c r="G742" i="1"/>
  <c r="F742" i="1"/>
  <c r="E742" i="1"/>
  <c r="D742" i="1"/>
  <c r="B742" i="1"/>
  <c r="K741" i="1"/>
  <c r="J741" i="1"/>
  <c r="I741" i="1"/>
  <c r="H741" i="1"/>
  <c r="G741" i="1"/>
  <c r="F741" i="1"/>
  <c r="E741" i="1"/>
  <c r="D741" i="1"/>
  <c r="B741" i="1"/>
  <c r="K740" i="1"/>
  <c r="J740" i="1"/>
  <c r="I740" i="1"/>
  <c r="H740" i="1"/>
  <c r="G740" i="1"/>
  <c r="F740" i="1"/>
  <c r="E740" i="1"/>
  <c r="D740" i="1"/>
  <c r="B740" i="1"/>
  <c r="K739" i="1"/>
  <c r="J739" i="1"/>
  <c r="I739" i="1"/>
  <c r="H739" i="1"/>
  <c r="G739" i="1"/>
  <c r="F739" i="1"/>
  <c r="E739" i="1"/>
  <c r="D739" i="1"/>
  <c r="B739" i="1"/>
  <c r="K738" i="1"/>
  <c r="J738" i="1"/>
  <c r="I738" i="1"/>
  <c r="H738" i="1"/>
  <c r="G738" i="1"/>
  <c r="F738" i="1"/>
  <c r="E738" i="1"/>
  <c r="D738" i="1"/>
  <c r="B738" i="1"/>
  <c r="K737" i="1"/>
  <c r="J737" i="1"/>
  <c r="I737" i="1"/>
  <c r="H737" i="1"/>
  <c r="G737" i="1"/>
  <c r="F737" i="1"/>
  <c r="E737" i="1"/>
  <c r="D737" i="1"/>
  <c r="B737" i="1"/>
  <c r="K716" i="1"/>
  <c r="J716" i="1"/>
  <c r="I716" i="1"/>
  <c r="H716" i="1"/>
  <c r="G716" i="1"/>
  <c r="F716" i="1"/>
  <c r="E716" i="1"/>
  <c r="D716" i="1"/>
  <c r="B716" i="1"/>
  <c r="K715" i="1"/>
  <c r="J715" i="1"/>
  <c r="I715" i="1"/>
  <c r="H715" i="1"/>
  <c r="G715" i="1"/>
  <c r="F715" i="1"/>
  <c r="E715" i="1"/>
  <c r="D715" i="1"/>
  <c r="B715" i="1"/>
  <c r="K714" i="1"/>
  <c r="J714" i="1"/>
  <c r="I714" i="1"/>
  <c r="H714" i="1"/>
  <c r="G714" i="1"/>
  <c r="F714" i="1"/>
  <c r="E714" i="1"/>
  <c r="D714" i="1"/>
  <c r="B714" i="1"/>
  <c r="K713" i="1"/>
  <c r="J713" i="1"/>
  <c r="I713" i="1"/>
  <c r="H713" i="1"/>
  <c r="G713" i="1"/>
  <c r="F713" i="1"/>
  <c r="E713" i="1"/>
  <c r="D713" i="1"/>
  <c r="B713" i="1"/>
  <c r="K712" i="1"/>
  <c r="J712" i="1"/>
  <c r="I712" i="1"/>
  <c r="G712" i="1"/>
  <c r="F712" i="1"/>
  <c r="E712" i="1"/>
  <c r="D712" i="1"/>
  <c r="B712" i="1"/>
  <c r="K711" i="1"/>
  <c r="J711" i="1"/>
  <c r="I711" i="1"/>
  <c r="G711" i="1"/>
  <c r="F711" i="1"/>
  <c r="E711" i="1"/>
  <c r="D711" i="1"/>
  <c r="B711" i="1"/>
  <c r="K710" i="1"/>
  <c r="J710" i="1"/>
  <c r="I710" i="1"/>
  <c r="G710" i="1"/>
  <c r="F710" i="1"/>
  <c r="E710" i="1"/>
  <c r="D710" i="1"/>
  <c r="B710" i="1"/>
  <c r="K709" i="1"/>
  <c r="J709" i="1"/>
  <c r="I709" i="1"/>
  <c r="G709" i="1"/>
  <c r="F709" i="1"/>
  <c r="E709" i="1"/>
  <c r="D709" i="1"/>
  <c r="B709" i="1"/>
  <c r="K708" i="1"/>
  <c r="J708" i="1"/>
  <c r="I708" i="1"/>
  <c r="G708" i="1"/>
  <c r="F708" i="1"/>
  <c r="E708" i="1"/>
  <c r="D708" i="1"/>
  <c r="B708" i="1"/>
  <c r="K707" i="1"/>
  <c r="J707" i="1"/>
  <c r="I707" i="1"/>
  <c r="G707" i="1"/>
  <c r="F707" i="1"/>
  <c r="E707" i="1"/>
  <c r="D707" i="1"/>
  <c r="B707" i="1"/>
  <c r="K706" i="1"/>
  <c r="J706" i="1"/>
  <c r="I706" i="1"/>
  <c r="G706" i="1"/>
  <c r="F706" i="1"/>
  <c r="E706" i="1"/>
  <c r="D706" i="1"/>
  <c r="B706" i="1"/>
  <c r="K705" i="1"/>
  <c r="J705" i="1"/>
  <c r="I705" i="1"/>
  <c r="G705" i="1"/>
  <c r="F705" i="1"/>
  <c r="E705" i="1"/>
  <c r="D705" i="1"/>
  <c r="B705" i="1"/>
  <c r="K704" i="1"/>
  <c r="J704" i="1"/>
  <c r="I704" i="1"/>
  <c r="G704" i="1"/>
  <c r="F704" i="1"/>
  <c r="E704" i="1"/>
  <c r="D704" i="1"/>
  <c r="B704" i="1"/>
  <c r="K703" i="1"/>
  <c r="J703" i="1"/>
  <c r="I703" i="1"/>
  <c r="G703" i="1"/>
  <c r="F703" i="1"/>
  <c r="E703" i="1"/>
  <c r="D703" i="1"/>
  <c r="B703" i="1"/>
  <c r="K702" i="1"/>
  <c r="J702" i="1"/>
  <c r="I702" i="1"/>
  <c r="G702" i="1"/>
  <c r="F702" i="1"/>
  <c r="E702" i="1"/>
  <c r="D702" i="1"/>
  <c r="B702" i="1"/>
  <c r="K701" i="1"/>
  <c r="J701" i="1"/>
  <c r="I701" i="1"/>
  <c r="G701" i="1"/>
  <c r="F701" i="1"/>
  <c r="E701" i="1"/>
  <c r="D701" i="1"/>
  <c r="B701" i="1"/>
  <c r="K700" i="1"/>
  <c r="J700" i="1"/>
  <c r="I700" i="1"/>
  <c r="G700" i="1"/>
  <c r="F700" i="1"/>
  <c r="E700" i="1"/>
  <c r="D700" i="1"/>
  <c r="B700" i="1"/>
  <c r="K699" i="1"/>
  <c r="J699" i="1"/>
  <c r="I699" i="1"/>
  <c r="G699" i="1"/>
  <c r="F699" i="1"/>
  <c r="E699" i="1"/>
  <c r="D699" i="1"/>
  <c r="B699" i="1"/>
  <c r="K698" i="1"/>
  <c r="J698" i="1"/>
  <c r="I698" i="1"/>
  <c r="G698" i="1"/>
  <c r="F698" i="1"/>
  <c r="E698" i="1"/>
  <c r="D698" i="1"/>
  <c r="B698" i="1"/>
  <c r="K697" i="1"/>
  <c r="J697" i="1"/>
  <c r="I697" i="1"/>
  <c r="G697" i="1"/>
  <c r="F697" i="1"/>
  <c r="E697" i="1"/>
  <c r="D697" i="1"/>
  <c r="B697" i="1"/>
  <c r="K696" i="1"/>
  <c r="J696" i="1"/>
  <c r="I696" i="1"/>
  <c r="G696" i="1"/>
  <c r="F696" i="1"/>
  <c r="E696" i="1"/>
  <c r="D696" i="1"/>
  <c r="B696" i="1"/>
  <c r="K695" i="1"/>
  <c r="J695" i="1"/>
  <c r="I695" i="1"/>
  <c r="G695" i="1"/>
  <c r="F695" i="1"/>
  <c r="E695" i="1"/>
  <c r="D695" i="1"/>
  <c r="B695" i="1"/>
  <c r="K694" i="1"/>
  <c r="J694" i="1"/>
  <c r="I694" i="1"/>
  <c r="G694" i="1"/>
  <c r="F694" i="1"/>
  <c r="E694" i="1"/>
  <c r="D694" i="1"/>
  <c r="B694" i="1"/>
  <c r="K693" i="1"/>
  <c r="J693" i="1"/>
  <c r="I693" i="1"/>
  <c r="G693" i="1"/>
  <c r="F693" i="1"/>
  <c r="E693" i="1"/>
  <c r="D693" i="1"/>
  <c r="B693" i="1"/>
  <c r="K692" i="1"/>
  <c r="J692" i="1"/>
  <c r="I692" i="1"/>
  <c r="G692" i="1"/>
  <c r="F692" i="1"/>
  <c r="E692" i="1"/>
  <c r="D692" i="1"/>
  <c r="B692" i="1"/>
  <c r="K691" i="1"/>
  <c r="J691" i="1"/>
  <c r="I691" i="1"/>
  <c r="G691" i="1"/>
  <c r="F691" i="1"/>
  <c r="E691" i="1"/>
  <c r="D691" i="1"/>
  <c r="B691" i="1"/>
  <c r="K690" i="1"/>
  <c r="J690" i="1"/>
  <c r="I690" i="1"/>
  <c r="G690" i="1"/>
  <c r="F690" i="1"/>
  <c r="E690" i="1"/>
  <c r="D690" i="1"/>
  <c r="B690" i="1"/>
  <c r="K689" i="1"/>
  <c r="J689" i="1"/>
  <c r="I689" i="1"/>
  <c r="G689" i="1"/>
  <c r="F689" i="1"/>
  <c r="E689" i="1"/>
  <c r="D689" i="1"/>
  <c r="B689" i="1"/>
  <c r="K688" i="1"/>
  <c r="J688" i="1"/>
  <c r="I688" i="1"/>
  <c r="G688" i="1"/>
  <c r="F688" i="1"/>
  <c r="E688" i="1"/>
  <c r="D688" i="1"/>
  <c r="B688" i="1"/>
  <c r="K687" i="1"/>
  <c r="J687" i="1"/>
  <c r="I687" i="1"/>
  <c r="G687" i="1"/>
  <c r="F687" i="1"/>
  <c r="E687" i="1"/>
  <c r="D687" i="1"/>
  <c r="B687" i="1"/>
  <c r="K686" i="1"/>
  <c r="J686" i="1"/>
  <c r="I686" i="1"/>
  <c r="G686" i="1"/>
  <c r="F686" i="1"/>
  <c r="E686" i="1"/>
  <c r="D686" i="1"/>
  <c r="B686" i="1"/>
  <c r="K685" i="1"/>
  <c r="J685" i="1"/>
  <c r="I685" i="1"/>
  <c r="G685" i="1"/>
  <c r="F685" i="1"/>
  <c r="E685" i="1"/>
  <c r="D685" i="1"/>
  <c r="B685" i="1"/>
  <c r="K684" i="1"/>
  <c r="J684" i="1"/>
  <c r="I684" i="1"/>
  <c r="G684" i="1"/>
  <c r="F684" i="1"/>
  <c r="E684" i="1"/>
  <c r="D684" i="1"/>
  <c r="B684" i="1"/>
  <c r="K683" i="1"/>
  <c r="J683" i="1"/>
  <c r="I683" i="1"/>
  <c r="G683" i="1"/>
  <c r="F683" i="1"/>
  <c r="E683" i="1"/>
  <c r="D683" i="1"/>
  <c r="B683" i="1"/>
  <c r="K682" i="1"/>
  <c r="J682" i="1"/>
  <c r="I682" i="1"/>
  <c r="G682" i="1"/>
  <c r="F682" i="1"/>
  <c r="E682" i="1"/>
  <c r="D682" i="1"/>
  <c r="B682" i="1"/>
  <c r="K681" i="1"/>
  <c r="J681" i="1"/>
  <c r="I681" i="1"/>
  <c r="G681" i="1"/>
  <c r="F681" i="1"/>
  <c r="E681" i="1"/>
  <c r="D681" i="1"/>
  <c r="B681" i="1"/>
  <c r="K680" i="1"/>
  <c r="J680" i="1"/>
  <c r="I680" i="1"/>
  <c r="G680" i="1"/>
  <c r="F680" i="1"/>
  <c r="E680" i="1"/>
  <c r="D680" i="1"/>
  <c r="B680" i="1"/>
  <c r="K679" i="1"/>
  <c r="J679" i="1"/>
  <c r="I679" i="1"/>
  <c r="G679" i="1"/>
  <c r="F679" i="1"/>
  <c r="E679" i="1"/>
  <c r="D679" i="1"/>
  <c r="B679" i="1"/>
  <c r="K678" i="1"/>
  <c r="J678" i="1"/>
  <c r="I678" i="1"/>
  <c r="G678" i="1"/>
  <c r="F678" i="1"/>
  <c r="E678" i="1"/>
  <c r="D678" i="1"/>
  <c r="B678" i="1"/>
  <c r="K677" i="1"/>
  <c r="J677" i="1"/>
  <c r="I677" i="1"/>
  <c r="G677" i="1"/>
  <c r="F677" i="1"/>
  <c r="E677" i="1"/>
  <c r="D677" i="1"/>
  <c r="B677" i="1"/>
  <c r="K676" i="1"/>
  <c r="J676" i="1"/>
  <c r="I676" i="1"/>
  <c r="G676" i="1"/>
  <c r="F676" i="1"/>
  <c r="E676" i="1"/>
  <c r="D676" i="1"/>
  <c r="B676" i="1"/>
  <c r="K675" i="1"/>
  <c r="J675" i="1"/>
  <c r="I675" i="1"/>
  <c r="G675" i="1"/>
  <c r="F675" i="1"/>
  <c r="E675" i="1"/>
  <c r="D675" i="1"/>
  <c r="B675" i="1"/>
  <c r="K674" i="1"/>
  <c r="J674" i="1"/>
  <c r="I674" i="1"/>
  <c r="G674" i="1"/>
  <c r="F674" i="1"/>
  <c r="E674" i="1"/>
  <c r="D674" i="1"/>
  <c r="B674" i="1"/>
  <c r="K673" i="1"/>
  <c r="J673" i="1"/>
  <c r="I673" i="1"/>
  <c r="G673" i="1"/>
  <c r="F673" i="1"/>
  <c r="E673" i="1"/>
  <c r="D673" i="1"/>
  <c r="B673" i="1"/>
  <c r="K672" i="1"/>
  <c r="J672" i="1"/>
  <c r="I672" i="1"/>
  <c r="G672" i="1"/>
  <c r="F672" i="1"/>
  <c r="E672" i="1"/>
  <c r="D672" i="1"/>
  <c r="B672" i="1"/>
  <c r="K671" i="1"/>
  <c r="J671" i="1"/>
  <c r="I671" i="1"/>
  <c r="G671" i="1"/>
  <c r="F671" i="1"/>
  <c r="E671" i="1"/>
  <c r="D671" i="1"/>
  <c r="B671" i="1"/>
  <c r="K670" i="1"/>
  <c r="J670" i="1"/>
  <c r="I670" i="1"/>
  <c r="G670" i="1"/>
  <c r="F670" i="1"/>
  <c r="E670" i="1"/>
  <c r="D670" i="1"/>
  <c r="B670" i="1"/>
  <c r="K669" i="1"/>
  <c r="J669" i="1"/>
  <c r="I669" i="1"/>
  <c r="G669" i="1"/>
  <c r="F669" i="1"/>
  <c r="E669" i="1"/>
  <c r="D669" i="1"/>
  <c r="B669" i="1"/>
  <c r="K668" i="1"/>
  <c r="J668" i="1"/>
  <c r="I668" i="1"/>
  <c r="G668" i="1"/>
  <c r="F668" i="1"/>
  <c r="E668" i="1"/>
  <c r="D668" i="1"/>
  <c r="B668" i="1"/>
  <c r="K667" i="1"/>
  <c r="J667" i="1"/>
  <c r="I667" i="1"/>
  <c r="G667" i="1"/>
  <c r="F667" i="1"/>
  <c r="E667" i="1"/>
  <c r="D667" i="1"/>
  <c r="B667" i="1"/>
  <c r="K666" i="1"/>
  <c r="J666" i="1"/>
  <c r="I666" i="1"/>
  <c r="G666" i="1"/>
  <c r="F666" i="1"/>
  <c r="E666" i="1"/>
  <c r="D666" i="1"/>
  <c r="B666" i="1"/>
  <c r="K665" i="1"/>
  <c r="J665" i="1"/>
  <c r="I665" i="1"/>
  <c r="G665" i="1"/>
  <c r="F665" i="1"/>
  <c r="E665" i="1"/>
  <c r="D665" i="1"/>
  <c r="B665" i="1"/>
  <c r="K664" i="1"/>
  <c r="J664" i="1"/>
  <c r="I664" i="1"/>
  <c r="G664" i="1"/>
  <c r="F664" i="1"/>
  <c r="E664" i="1"/>
  <c r="D664" i="1"/>
  <c r="B664" i="1"/>
  <c r="K663" i="1"/>
  <c r="J663" i="1"/>
  <c r="I663" i="1"/>
  <c r="G663" i="1"/>
  <c r="F663" i="1"/>
  <c r="E663" i="1"/>
  <c r="D663" i="1"/>
  <c r="B663" i="1"/>
  <c r="K662" i="1"/>
  <c r="J662" i="1"/>
  <c r="I662" i="1"/>
  <c r="G662" i="1"/>
  <c r="F662" i="1"/>
  <c r="E662" i="1"/>
  <c r="D662" i="1"/>
  <c r="B662" i="1"/>
  <c r="K661" i="1"/>
  <c r="J661" i="1"/>
  <c r="I661" i="1"/>
  <c r="G661" i="1"/>
  <c r="F661" i="1"/>
  <c r="E661" i="1"/>
  <c r="D661" i="1"/>
  <c r="B661" i="1"/>
  <c r="K660" i="1"/>
  <c r="J660" i="1"/>
  <c r="I660" i="1"/>
  <c r="G660" i="1"/>
  <c r="F660" i="1"/>
  <c r="E660" i="1"/>
  <c r="D660" i="1"/>
  <c r="B660" i="1"/>
  <c r="K659" i="1"/>
  <c r="J659" i="1"/>
  <c r="I659" i="1"/>
  <c r="G659" i="1"/>
  <c r="F659" i="1"/>
  <c r="E659" i="1"/>
  <c r="D659" i="1"/>
  <c r="B659" i="1"/>
  <c r="K658" i="1"/>
  <c r="J658" i="1"/>
  <c r="I658" i="1"/>
  <c r="G658" i="1"/>
  <c r="F658" i="1"/>
  <c r="E658" i="1"/>
  <c r="D658" i="1"/>
  <c r="B658" i="1"/>
  <c r="K657" i="1"/>
  <c r="J657" i="1"/>
  <c r="I657" i="1"/>
  <c r="G657" i="1"/>
  <c r="F657" i="1"/>
  <c r="E657" i="1"/>
  <c r="D657" i="1"/>
  <c r="B657" i="1"/>
  <c r="K656" i="1"/>
  <c r="J656" i="1"/>
  <c r="I656" i="1"/>
  <c r="G656" i="1"/>
  <c r="F656" i="1"/>
  <c r="E656" i="1"/>
  <c r="D656" i="1"/>
  <c r="B656" i="1"/>
  <c r="K655" i="1"/>
  <c r="J655" i="1"/>
  <c r="I655" i="1"/>
  <c r="G655" i="1"/>
  <c r="F655" i="1"/>
  <c r="E655" i="1"/>
  <c r="D655" i="1"/>
  <c r="B655" i="1"/>
  <c r="K654" i="1"/>
  <c r="J654" i="1"/>
  <c r="I654" i="1"/>
  <c r="G654" i="1"/>
  <c r="F654" i="1"/>
  <c r="E654" i="1"/>
  <c r="D654" i="1"/>
  <c r="B654" i="1"/>
  <c r="K653" i="1"/>
  <c r="J653" i="1"/>
  <c r="I653" i="1"/>
  <c r="G653" i="1"/>
  <c r="F653" i="1"/>
  <c r="E653" i="1"/>
  <c r="D653" i="1"/>
  <c r="B653" i="1"/>
  <c r="K652" i="1"/>
  <c r="J652" i="1"/>
  <c r="I652" i="1"/>
  <c r="G652" i="1"/>
  <c r="F652" i="1"/>
  <c r="E652" i="1"/>
  <c r="D652" i="1"/>
  <c r="B652" i="1"/>
  <c r="K651" i="1"/>
  <c r="J651" i="1"/>
  <c r="I651" i="1"/>
  <c r="G651" i="1"/>
  <c r="F651" i="1"/>
  <c r="E651" i="1"/>
  <c r="D651" i="1"/>
  <c r="B651" i="1"/>
  <c r="K650" i="1"/>
  <c r="J650" i="1"/>
  <c r="I650" i="1"/>
  <c r="G650" i="1"/>
  <c r="F650" i="1"/>
  <c r="E650" i="1"/>
  <c r="D650" i="1"/>
  <c r="B650" i="1"/>
  <c r="K649" i="1"/>
  <c r="J649" i="1"/>
  <c r="I649" i="1"/>
  <c r="G649" i="1"/>
  <c r="F649" i="1"/>
  <c r="E649" i="1"/>
  <c r="D649" i="1"/>
  <c r="B649" i="1"/>
  <c r="K648" i="1"/>
  <c r="J648" i="1"/>
  <c r="I648" i="1"/>
  <c r="G648" i="1"/>
  <c r="F648" i="1"/>
  <c r="E648" i="1"/>
  <c r="D648" i="1"/>
  <c r="B648" i="1"/>
  <c r="K647" i="1"/>
  <c r="J647" i="1"/>
  <c r="I647" i="1"/>
  <c r="G647" i="1"/>
  <c r="F647" i="1"/>
  <c r="E647" i="1"/>
  <c r="D647" i="1"/>
  <c r="B647" i="1"/>
  <c r="K646" i="1"/>
  <c r="J646" i="1"/>
  <c r="I646" i="1"/>
  <c r="G646" i="1"/>
  <c r="F646" i="1"/>
  <c r="E646" i="1"/>
  <c r="D646" i="1"/>
  <c r="B646" i="1"/>
  <c r="K645" i="1"/>
  <c r="J645" i="1"/>
  <c r="I645" i="1"/>
  <c r="G645" i="1"/>
  <c r="F645" i="1"/>
  <c r="E645" i="1"/>
  <c r="D645" i="1"/>
  <c r="B645" i="1"/>
  <c r="K644" i="1"/>
  <c r="J644" i="1"/>
  <c r="I644" i="1"/>
  <c r="G644" i="1"/>
  <c r="F644" i="1"/>
  <c r="E644" i="1"/>
  <c r="D644" i="1"/>
  <c r="B644" i="1"/>
  <c r="K643" i="1"/>
  <c r="J643" i="1"/>
  <c r="I643" i="1"/>
  <c r="G643" i="1"/>
  <c r="F643" i="1"/>
  <c r="E643" i="1"/>
  <c r="D643" i="1"/>
  <c r="B643" i="1"/>
  <c r="K642" i="1"/>
  <c r="J642" i="1"/>
  <c r="I642" i="1"/>
  <c r="G642" i="1"/>
  <c r="F642" i="1"/>
  <c r="E642" i="1"/>
  <c r="D642" i="1"/>
  <c r="B642" i="1"/>
  <c r="K641" i="1"/>
  <c r="J641" i="1"/>
  <c r="I641" i="1"/>
  <c r="G641" i="1"/>
  <c r="F641" i="1"/>
  <c r="E641" i="1"/>
  <c r="D641" i="1"/>
  <c r="B641" i="1"/>
  <c r="K640" i="1"/>
  <c r="J640" i="1"/>
  <c r="I640" i="1"/>
  <c r="E640" i="1"/>
  <c r="D640" i="1"/>
  <c r="B640" i="1"/>
  <c r="K639" i="1"/>
  <c r="J639" i="1"/>
  <c r="I639" i="1"/>
  <c r="G639" i="1"/>
  <c r="F639" i="1"/>
  <c r="E639" i="1"/>
  <c r="D639" i="1"/>
  <c r="B639" i="1"/>
  <c r="K638" i="1"/>
  <c r="J638" i="1"/>
  <c r="I638" i="1"/>
  <c r="G638" i="1"/>
  <c r="F638" i="1"/>
  <c r="E638" i="1"/>
  <c r="D638" i="1"/>
  <c r="B638" i="1"/>
  <c r="K637" i="1"/>
  <c r="J637" i="1"/>
  <c r="I637" i="1"/>
  <c r="G637" i="1"/>
  <c r="F637" i="1"/>
  <c r="E637" i="1"/>
  <c r="D637" i="1"/>
  <c r="B637" i="1"/>
  <c r="K636" i="1"/>
  <c r="J636" i="1"/>
  <c r="I636" i="1"/>
  <c r="G636" i="1"/>
  <c r="F636" i="1"/>
  <c r="E636" i="1"/>
  <c r="D636" i="1"/>
  <c r="B636" i="1"/>
  <c r="K635" i="1"/>
  <c r="J635" i="1"/>
  <c r="I635" i="1"/>
  <c r="G635" i="1"/>
  <c r="F635" i="1"/>
  <c r="E635" i="1"/>
  <c r="D635" i="1"/>
  <c r="B635" i="1"/>
  <c r="K634" i="1"/>
  <c r="J634" i="1"/>
  <c r="I634" i="1"/>
  <c r="G634" i="1"/>
  <c r="F634" i="1"/>
  <c r="E634" i="1"/>
  <c r="D634" i="1"/>
  <c r="B634" i="1"/>
  <c r="K633" i="1"/>
  <c r="J633" i="1"/>
  <c r="I633" i="1"/>
  <c r="G633" i="1"/>
  <c r="F633" i="1"/>
  <c r="E633" i="1"/>
  <c r="D633" i="1"/>
  <c r="B633" i="1"/>
  <c r="K632" i="1"/>
  <c r="J632" i="1"/>
  <c r="I632" i="1"/>
  <c r="G632" i="1"/>
  <c r="F632" i="1"/>
  <c r="E632" i="1"/>
  <c r="D632" i="1"/>
  <c r="B632" i="1"/>
  <c r="K631" i="1"/>
  <c r="J631" i="1"/>
  <c r="I631" i="1"/>
  <c r="G631" i="1"/>
  <c r="F631" i="1"/>
  <c r="E631" i="1"/>
  <c r="D631" i="1"/>
  <c r="K630" i="1"/>
  <c r="J630" i="1"/>
  <c r="I630" i="1"/>
  <c r="G630" i="1"/>
  <c r="F630" i="1"/>
  <c r="E630" i="1"/>
  <c r="D630" i="1"/>
  <c r="K629" i="1"/>
  <c r="J629" i="1"/>
  <c r="I629" i="1"/>
  <c r="H629" i="1"/>
  <c r="G629" i="1"/>
  <c r="F629" i="1"/>
  <c r="E629" i="1"/>
  <c r="D629" i="1"/>
  <c r="K628" i="1"/>
  <c r="J628" i="1"/>
  <c r="I628" i="1"/>
  <c r="H628" i="1"/>
  <c r="G628" i="1"/>
  <c r="F628" i="1"/>
  <c r="E628" i="1"/>
  <c r="D628" i="1"/>
  <c r="B628" i="1"/>
  <c r="K627" i="1"/>
  <c r="J627" i="1"/>
  <c r="I627" i="1"/>
  <c r="H627" i="1"/>
  <c r="G627" i="1"/>
  <c r="F627" i="1"/>
  <c r="E627" i="1"/>
  <c r="D627" i="1"/>
  <c r="B627" i="1"/>
  <c r="K626" i="1"/>
  <c r="J626" i="1"/>
  <c r="I626" i="1"/>
  <c r="H626" i="1"/>
  <c r="G626" i="1"/>
  <c r="F626" i="1"/>
  <c r="E626" i="1"/>
  <c r="D626" i="1"/>
  <c r="B626" i="1"/>
  <c r="K625" i="1"/>
  <c r="J625" i="1"/>
  <c r="I625" i="1"/>
  <c r="H625" i="1"/>
  <c r="G625" i="1"/>
  <c r="F625" i="1"/>
  <c r="E625" i="1"/>
  <c r="D625" i="1"/>
  <c r="B625" i="1"/>
  <c r="K624" i="1"/>
  <c r="J624" i="1"/>
  <c r="I624" i="1"/>
  <c r="H624" i="1"/>
  <c r="G624" i="1"/>
  <c r="F624" i="1"/>
  <c r="E624" i="1"/>
  <c r="D624" i="1"/>
  <c r="B624" i="1"/>
  <c r="K623" i="1"/>
  <c r="J623" i="1"/>
  <c r="I623" i="1"/>
  <c r="H623" i="1"/>
  <c r="G623" i="1"/>
  <c r="F623" i="1"/>
  <c r="E623" i="1"/>
  <c r="D623" i="1"/>
  <c r="B623" i="1"/>
  <c r="K622" i="1"/>
  <c r="J622" i="1"/>
  <c r="I622" i="1"/>
  <c r="H622" i="1"/>
  <c r="G622" i="1"/>
  <c r="F622" i="1"/>
  <c r="E622" i="1"/>
  <c r="D622" i="1"/>
  <c r="B622" i="1"/>
  <c r="K621" i="1"/>
  <c r="J621" i="1"/>
  <c r="I621" i="1"/>
  <c r="H621" i="1"/>
  <c r="G621" i="1"/>
  <c r="F621" i="1"/>
  <c r="E621" i="1"/>
  <c r="D621" i="1"/>
  <c r="B621" i="1"/>
  <c r="K620" i="1"/>
  <c r="J620" i="1"/>
  <c r="I620" i="1"/>
  <c r="H620" i="1"/>
  <c r="G620" i="1"/>
  <c r="F620" i="1"/>
  <c r="E620" i="1"/>
  <c r="D620" i="1"/>
  <c r="B620" i="1"/>
  <c r="K619" i="1"/>
  <c r="J619" i="1"/>
  <c r="I619" i="1"/>
  <c r="H619" i="1"/>
  <c r="G619" i="1"/>
  <c r="F619" i="1"/>
  <c r="E619" i="1"/>
  <c r="D619" i="1"/>
  <c r="B619" i="1"/>
  <c r="K618" i="1"/>
  <c r="J618" i="1"/>
  <c r="I618" i="1"/>
  <c r="H618" i="1"/>
  <c r="G618" i="1"/>
  <c r="F618" i="1"/>
  <c r="E618" i="1"/>
  <c r="D618" i="1"/>
  <c r="B618" i="1"/>
  <c r="K617" i="1"/>
  <c r="J617" i="1"/>
  <c r="I617" i="1"/>
  <c r="H617" i="1"/>
  <c r="G617" i="1"/>
  <c r="F617" i="1"/>
  <c r="E617" i="1"/>
  <c r="D617" i="1"/>
  <c r="B617" i="1"/>
  <c r="K616" i="1"/>
  <c r="J616" i="1"/>
  <c r="I616" i="1"/>
  <c r="H616" i="1"/>
  <c r="G616" i="1"/>
  <c r="F616" i="1"/>
  <c r="E616" i="1"/>
  <c r="D616" i="1"/>
  <c r="B616" i="1"/>
  <c r="K615" i="1"/>
  <c r="J615" i="1"/>
  <c r="I615" i="1"/>
  <c r="H615" i="1"/>
  <c r="G615" i="1"/>
  <c r="F615" i="1"/>
  <c r="E615" i="1"/>
  <c r="D615" i="1"/>
  <c r="B615" i="1"/>
  <c r="K614" i="1"/>
  <c r="J614" i="1"/>
  <c r="I614" i="1"/>
  <c r="H614" i="1"/>
  <c r="G614" i="1"/>
  <c r="F614" i="1"/>
  <c r="E614" i="1"/>
  <c r="D614" i="1"/>
  <c r="B614" i="1"/>
  <c r="K613" i="1"/>
  <c r="J613" i="1"/>
  <c r="I613" i="1"/>
  <c r="H613" i="1"/>
  <c r="G613" i="1"/>
  <c r="F613" i="1"/>
  <c r="E613" i="1"/>
  <c r="D613" i="1"/>
  <c r="B613" i="1"/>
  <c r="K612" i="1"/>
  <c r="J612" i="1"/>
  <c r="I612" i="1"/>
  <c r="H612" i="1"/>
  <c r="G612" i="1"/>
  <c r="F612" i="1"/>
  <c r="E612" i="1"/>
  <c r="D612" i="1"/>
  <c r="B612" i="1"/>
  <c r="K611" i="1"/>
  <c r="J611" i="1"/>
  <c r="I611" i="1"/>
  <c r="H611" i="1"/>
  <c r="G611" i="1"/>
  <c r="F611" i="1"/>
  <c r="E611" i="1"/>
  <c r="D611" i="1"/>
  <c r="B611" i="1"/>
  <c r="K610" i="1"/>
  <c r="J610" i="1"/>
  <c r="I610" i="1"/>
  <c r="H610" i="1"/>
  <c r="G610" i="1"/>
  <c r="F610" i="1"/>
  <c r="E610" i="1"/>
  <c r="D610" i="1"/>
  <c r="B610" i="1"/>
  <c r="K609" i="1"/>
  <c r="J609" i="1"/>
  <c r="I609" i="1"/>
  <c r="H609" i="1"/>
  <c r="G609" i="1"/>
  <c r="F609" i="1"/>
  <c r="E609" i="1"/>
  <c r="D609" i="1"/>
  <c r="B609" i="1"/>
  <c r="K608" i="1"/>
  <c r="J608" i="1"/>
  <c r="I608" i="1"/>
  <c r="H608" i="1"/>
  <c r="G608" i="1"/>
  <c r="F608" i="1"/>
  <c r="E608" i="1"/>
  <c r="D608" i="1"/>
  <c r="B608" i="1"/>
  <c r="K607" i="1"/>
  <c r="J607" i="1"/>
  <c r="I607" i="1"/>
  <c r="H607" i="1"/>
  <c r="G607" i="1"/>
  <c r="F607" i="1"/>
  <c r="E607" i="1"/>
  <c r="D607" i="1"/>
  <c r="B607" i="1"/>
  <c r="K606" i="1"/>
  <c r="J606" i="1"/>
  <c r="I606" i="1"/>
  <c r="H606" i="1"/>
  <c r="G606" i="1"/>
  <c r="F606" i="1"/>
  <c r="E606" i="1"/>
  <c r="D606" i="1"/>
  <c r="B606" i="1"/>
  <c r="K605" i="1"/>
  <c r="J605" i="1"/>
  <c r="I605" i="1"/>
  <c r="H605" i="1"/>
  <c r="G605" i="1"/>
  <c r="F605" i="1"/>
  <c r="E605" i="1"/>
  <c r="D605" i="1"/>
  <c r="B605" i="1"/>
  <c r="K604" i="1"/>
  <c r="J604" i="1"/>
  <c r="I604" i="1"/>
  <c r="H604" i="1"/>
  <c r="G604" i="1"/>
  <c r="F604" i="1"/>
  <c r="E604" i="1"/>
  <c r="D604" i="1"/>
  <c r="B604" i="1"/>
  <c r="K603" i="1"/>
  <c r="J603" i="1"/>
  <c r="I603" i="1"/>
  <c r="H603" i="1"/>
  <c r="G603" i="1"/>
  <c r="F603" i="1"/>
  <c r="E603" i="1"/>
  <c r="D603" i="1"/>
  <c r="B603" i="1"/>
  <c r="K602" i="1"/>
  <c r="J602" i="1"/>
  <c r="I602" i="1"/>
  <c r="H602" i="1"/>
  <c r="G602" i="1"/>
  <c r="F602" i="1"/>
  <c r="E602" i="1"/>
  <c r="D602" i="1"/>
  <c r="B602" i="1"/>
  <c r="K601" i="1"/>
  <c r="J601" i="1"/>
  <c r="I601" i="1"/>
  <c r="H601" i="1"/>
  <c r="G601" i="1"/>
  <c r="F601" i="1"/>
  <c r="E601" i="1"/>
  <c r="D601" i="1"/>
  <c r="B601" i="1"/>
  <c r="K600" i="1"/>
  <c r="J600" i="1"/>
  <c r="I600" i="1"/>
  <c r="H600" i="1"/>
  <c r="G600" i="1"/>
  <c r="F600" i="1"/>
  <c r="E600" i="1"/>
  <c r="D600" i="1"/>
  <c r="B600" i="1"/>
  <c r="K599" i="1"/>
  <c r="J599" i="1"/>
  <c r="I599" i="1"/>
  <c r="H599" i="1"/>
  <c r="G599" i="1"/>
  <c r="F599" i="1"/>
  <c r="E599" i="1"/>
  <c r="D599" i="1"/>
  <c r="B599" i="1"/>
  <c r="K598" i="1"/>
  <c r="J598" i="1"/>
  <c r="I598" i="1"/>
  <c r="H598" i="1"/>
  <c r="G598" i="1"/>
  <c r="F598" i="1"/>
  <c r="E598" i="1"/>
  <c r="D598" i="1"/>
  <c r="B598" i="1"/>
  <c r="K597" i="1"/>
  <c r="J597" i="1"/>
  <c r="I597" i="1"/>
  <c r="H597" i="1"/>
  <c r="G597" i="1"/>
  <c r="F597" i="1"/>
  <c r="E597" i="1"/>
  <c r="D597" i="1"/>
  <c r="B597" i="1"/>
  <c r="K596" i="1"/>
  <c r="J596" i="1"/>
  <c r="I596" i="1"/>
  <c r="H596" i="1"/>
  <c r="G596" i="1"/>
  <c r="F596" i="1"/>
  <c r="E596" i="1"/>
  <c r="D596" i="1"/>
  <c r="B596" i="1"/>
  <c r="K595" i="1"/>
  <c r="J595" i="1"/>
  <c r="I595" i="1"/>
  <c r="H595" i="1"/>
  <c r="G595" i="1"/>
  <c r="F595" i="1"/>
  <c r="E595" i="1"/>
  <c r="D595" i="1"/>
  <c r="B595" i="1"/>
  <c r="K594" i="1"/>
  <c r="J594" i="1"/>
  <c r="I594" i="1"/>
  <c r="H594" i="1"/>
  <c r="G594" i="1"/>
  <c r="F594" i="1"/>
  <c r="E594" i="1"/>
  <c r="D594" i="1"/>
  <c r="B594" i="1"/>
  <c r="K593" i="1"/>
  <c r="J593" i="1"/>
  <c r="I593" i="1"/>
  <c r="H593" i="1"/>
  <c r="G593" i="1"/>
  <c r="F593" i="1"/>
  <c r="E593" i="1"/>
  <c r="D593" i="1"/>
  <c r="B593" i="1"/>
  <c r="K592" i="1"/>
  <c r="J592" i="1"/>
  <c r="I592" i="1"/>
  <c r="H592" i="1"/>
  <c r="G592" i="1"/>
  <c r="F592" i="1"/>
  <c r="E592" i="1"/>
  <c r="D592" i="1"/>
  <c r="B592" i="1"/>
  <c r="K591" i="1"/>
  <c r="J591" i="1"/>
  <c r="I591" i="1"/>
  <c r="H591" i="1"/>
  <c r="G591" i="1"/>
  <c r="F591" i="1"/>
  <c r="E591" i="1"/>
  <c r="D591" i="1"/>
  <c r="B591" i="1"/>
  <c r="K590" i="1"/>
  <c r="J590" i="1"/>
  <c r="I590" i="1"/>
  <c r="H590" i="1"/>
  <c r="F590" i="1"/>
  <c r="E590" i="1"/>
  <c r="D590" i="1"/>
  <c r="B590" i="1"/>
  <c r="K589" i="1"/>
  <c r="J589" i="1"/>
  <c r="I589" i="1"/>
  <c r="H589" i="1"/>
  <c r="G589" i="1"/>
  <c r="F589" i="1"/>
  <c r="E589" i="1"/>
  <c r="D589" i="1"/>
  <c r="B589" i="1"/>
  <c r="K588" i="1"/>
  <c r="J588" i="1"/>
  <c r="I588" i="1"/>
  <c r="H588" i="1"/>
  <c r="G588" i="1"/>
  <c r="F588" i="1"/>
  <c r="E588" i="1"/>
  <c r="D588" i="1"/>
  <c r="B588" i="1"/>
  <c r="K587" i="1"/>
  <c r="J587" i="1"/>
  <c r="I587" i="1"/>
  <c r="H587" i="1"/>
  <c r="G587" i="1"/>
  <c r="F587" i="1"/>
  <c r="E587" i="1"/>
  <c r="D587" i="1"/>
  <c r="B587" i="1"/>
  <c r="K586" i="1"/>
  <c r="J586" i="1"/>
  <c r="I586" i="1"/>
  <c r="H586" i="1"/>
  <c r="G586" i="1"/>
  <c r="F586" i="1"/>
  <c r="E586" i="1"/>
  <c r="D586" i="1"/>
  <c r="B586" i="1"/>
  <c r="K585" i="1"/>
  <c r="J585" i="1"/>
  <c r="I585" i="1"/>
  <c r="H585" i="1"/>
  <c r="G585" i="1"/>
  <c r="F585" i="1"/>
  <c r="E585" i="1"/>
  <c r="D585" i="1"/>
  <c r="B585" i="1"/>
  <c r="K584" i="1"/>
  <c r="J584" i="1"/>
  <c r="I584" i="1"/>
  <c r="H584" i="1"/>
  <c r="G584" i="1"/>
  <c r="F584" i="1"/>
  <c r="E584" i="1"/>
  <c r="D584" i="1"/>
  <c r="B584" i="1"/>
  <c r="K583" i="1"/>
  <c r="J583" i="1"/>
  <c r="I583" i="1"/>
  <c r="H583" i="1"/>
  <c r="G583" i="1"/>
  <c r="F583" i="1"/>
  <c r="E583" i="1"/>
  <c r="D583" i="1"/>
  <c r="B583" i="1"/>
  <c r="K582" i="1"/>
  <c r="J582" i="1"/>
  <c r="I582" i="1"/>
  <c r="H582" i="1"/>
  <c r="G582" i="1"/>
  <c r="F582" i="1"/>
  <c r="E582" i="1"/>
  <c r="D582" i="1"/>
  <c r="B582" i="1"/>
  <c r="K581" i="1"/>
  <c r="J581" i="1"/>
  <c r="I581" i="1"/>
  <c r="H581" i="1"/>
  <c r="G581" i="1"/>
  <c r="F581" i="1"/>
  <c r="E581" i="1"/>
  <c r="D581" i="1"/>
  <c r="B581" i="1"/>
  <c r="K580" i="1"/>
  <c r="J580" i="1"/>
  <c r="I580" i="1"/>
  <c r="H580" i="1"/>
  <c r="G580" i="1"/>
  <c r="F580" i="1"/>
  <c r="E580" i="1"/>
  <c r="D580" i="1"/>
  <c r="B580" i="1"/>
  <c r="K579" i="1"/>
  <c r="J579" i="1"/>
  <c r="I579" i="1"/>
  <c r="H579" i="1"/>
  <c r="G579" i="1"/>
  <c r="F579" i="1"/>
  <c r="E579" i="1"/>
  <c r="D579" i="1"/>
  <c r="B579" i="1"/>
  <c r="K578" i="1"/>
  <c r="J578" i="1"/>
  <c r="I578" i="1"/>
  <c r="H578" i="1"/>
  <c r="G578" i="1"/>
  <c r="F578" i="1"/>
  <c r="E578" i="1"/>
  <c r="D578" i="1"/>
  <c r="B578" i="1"/>
  <c r="K577" i="1"/>
  <c r="J577" i="1"/>
  <c r="I577" i="1"/>
  <c r="H577" i="1"/>
  <c r="G577" i="1"/>
  <c r="F577" i="1"/>
  <c r="E577" i="1"/>
  <c r="D577" i="1"/>
  <c r="B577" i="1"/>
  <c r="K576" i="1"/>
  <c r="J576" i="1"/>
  <c r="I576" i="1"/>
  <c r="H576" i="1"/>
  <c r="G576" i="1"/>
  <c r="F576" i="1"/>
  <c r="E576" i="1"/>
  <c r="D576" i="1"/>
  <c r="B576" i="1"/>
  <c r="K575" i="1"/>
  <c r="J575" i="1"/>
  <c r="I575" i="1"/>
  <c r="H575" i="1"/>
  <c r="G575" i="1"/>
  <c r="F575" i="1"/>
  <c r="E575" i="1"/>
  <c r="D575" i="1"/>
  <c r="B575" i="1"/>
  <c r="K574" i="1"/>
  <c r="J574" i="1"/>
  <c r="I574" i="1"/>
  <c r="H574" i="1"/>
  <c r="G574" i="1"/>
  <c r="F574" i="1"/>
  <c r="E574" i="1"/>
  <c r="D574" i="1"/>
  <c r="B574" i="1"/>
  <c r="K573" i="1"/>
  <c r="J573" i="1"/>
  <c r="I573" i="1"/>
  <c r="H573" i="1"/>
  <c r="G573" i="1"/>
  <c r="F573" i="1"/>
  <c r="E573" i="1"/>
  <c r="D573" i="1"/>
  <c r="B573" i="1"/>
  <c r="K572" i="1"/>
  <c r="J572" i="1"/>
  <c r="I572" i="1"/>
  <c r="H572" i="1"/>
  <c r="G572" i="1"/>
  <c r="F572" i="1"/>
  <c r="E572" i="1"/>
  <c r="D572" i="1"/>
  <c r="B572" i="1"/>
  <c r="K571" i="1"/>
  <c r="J571" i="1"/>
  <c r="I571" i="1"/>
  <c r="H571" i="1"/>
  <c r="G571" i="1"/>
  <c r="F571" i="1"/>
  <c r="E571" i="1"/>
  <c r="D571" i="1"/>
  <c r="B571" i="1"/>
  <c r="K570" i="1"/>
  <c r="J570" i="1"/>
  <c r="I570" i="1"/>
  <c r="H570" i="1"/>
  <c r="G570" i="1"/>
  <c r="F570" i="1"/>
  <c r="E570" i="1"/>
  <c r="D570" i="1"/>
  <c r="B570" i="1"/>
  <c r="K569" i="1"/>
  <c r="J569" i="1"/>
  <c r="I569" i="1"/>
  <c r="H569" i="1"/>
  <c r="G569" i="1"/>
  <c r="F569" i="1"/>
  <c r="E569" i="1"/>
  <c r="D569" i="1"/>
  <c r="B569" i="1"/>
  <c r="K568" i="1"/>
  <c r="J568" i="1"/>
  <c r="I568" i="1"/>
  <c r="H568" i="1"/>
  <c r="G568" i="1"/>
  <c r="F568" i="1"/>
  <c r="E568" i="1"/>
  <c r="D568" i="1"/>
  <c r="B568" i="1"/>
  <c r="K567" i="1"/>
  <c r="J567" i="1"/>
  <c r="I567" i="1"/>
  <c r="H567" i="1"/>
  <c r="G567" i="1"/>
  <c r="F567" i="1"/>
  <c r="E567" i="1"/>
  <c r="D567" i="1"/>
  <c r="B567" i="1"/>
  <c r="K566" i="1"/>
  <c r="J566" i="1"/>
  <c r="I566" i="1"/>
  <c r="H566" i="1"/>
  <c r="G566" i="1"/>
  <c r="F566" i="1"/>
  <c r="E566" i="1"/>
  <c r="D566" i="1"/>
  <c r="B566" i="1"/>
  <c r="K565" i="1"/>
  <c r="J565" i="1"/>
  <c r="I565" i="1"/>
  <c r="H565" i="1"/>
  <c r="G565" i="1"/>
  <c r="F565" i="1"/>
  <c r="E565" i="1"/>
  <c r="D565" i="1"/>
  <c r="B565" i="1"/>
  <c r="K564" i="1"/>
  <c r="J564" i="1"/>
  <c r="I564" i="1"/>
  <c r="H564" i="1"/>
  <c r="G564" i="1"/>
  <c r="F564" i="1"/>
  <c r="E564" i="1"/>
  <c r="D564" i="1"/>
  <c r="B564" i="1"/>
  <c r="K563" i="1"/>
  <c r="J563" i="1"/>
  <c r="I563" i="1"/>
  <c r="H563" i="1"/>
  <c r="G563" i="1"/>
  <c r="F563" i="1"/>
  <c r="E563" i="1"/>
  <c r="D563" i="1"/>
  <c r="B563" i="1"/>
  <c r="K562" i="1"/>
  <c r="J562" i="1"/>
  <c r="I562" i="1"/>
  <c r="H562" i="1"/>
  <c r="G562" i="1"/>
  <c r="F562" i="1"/>
  <c r="E562" i="1"/>
  <c r="D562" i="1"/>
  <c r="B562" i="1"/>
  <c r="K561" i="1"/>
  <c r="J561" i="1"/>
  <c r="I561" i="1"/>
  <c r="H561" i="1"/>
  <c r="G561" i="1"/>
  <c r="F561" i="1"/>
  <c r="E561" i="1"/>
  <c r="D561" i="1"/>
  <c r="B561" i="1"/>
  <c r="K560" i="1"/>
  <c r="J560" i="1"/>
  <c r="I560" i="1"/>
  <c r="H560" i="1"/>
  <c r="G560" i="1"/>
  <c r="F560" i="1"/>
  <c r="E560" i="1"/>
  <c r="D560" i="1"/>
  <c r="B560" i="1"/>
  <c r="K559" i="1"/>
  <c r="J559" i="1"/>
  <c r="I559" i="1"/>
  <c r="H559" i="1"/>
  <c r="G559" i="1"/>
  <c r="F559" i="1"/>
  <c r="E559" i="1"/>
  <c r="D559" i="1"/>
  <c r="B559" i="1"/>
  <c r="K558" i="1"/>
  <c r="J558" i="1"/>
  <c r="I558" i="1"/>
  <c r="H558" i="1"/>
  <c r="G558" i="1"/>
  <c r="F558" i="1"/>
  <c r="E558" i="1"/>
  <c r="D558" i="1"/>
  <c r="B558" i="1"/>
  <c r="K557" i="1"/>
  <c r="J557" i="1"/>
  <c r="I557" i="1"/>
  <c r="H557" i="1"/>
  <c r="G557" i="1"/>
  <c r="F557" i="1"/>
  <c r="E557" i="1"/>
  <c r="D557" i="1"/>
  <c r="B557" i="1"/>
  <c r="K556" i="1"/>
  <c r="J556" i="1"/>
  <c r="I556" i="1"/>
  <c r="H556" i="1"/>
  <c r="G556" i="1"/>
  <c r="F556" i="1"/>
  <c r="E556" i="1"/>
  <c r="D556" i="1"/>
  <c r="B556" i="1"/>
  <c r="K555" i="1"/>
  <c r="J555" i="1"/>
  <c r="I555" i="1"/>
  <c r="H555" i="1"/>
  <c r="G555" i="1"/>
  <c r="F555" i="1"/>
  <c r="E555" i="1"/>
  <c r="D555" i="1"/>
  <c r="B555" i="1"/>
  <c r="K554" i="1"/>
  <c r="J554" i="1"/>
  <c r="I554" i="1"/>
  <c r="H554" i="1"/>
  <c r="G554" i="1"/>
  <c r="F554" i="1"/>
  <c r="E554" i="1"/>
  <c r="D554" i="1"/>
  <c r="B554" i="1"/>
  <c r="K553" i="1"/>
  <c r="J553" i="1"/>
  <c r="I553" i="1"/>
  <c r="H553" i="1"/>
  <c r="G553" i="1"/>
  <c r="F553" i="1"/>
  <c r="E553" i="1"/>
  <c r="D553" i="1"/>
  <c r="B553" i="1"/>
  <c r="K552" i="1"/>
  <c r="J552" i="1"/>
  <c r="I552" i="1"/>
  <c r="H552" i="1"/>
  <c r="G552" i="1"/>
  <c r="F552" i="1"/>
  <c r="E552" i="1"/>
  <c r="D552" i="1"/>
  <c r="B552" i="1"/>
  <c r="K551" i="1"/>
  <c r="J551" i="1"/>
  <c r="I551" i="1"/>
  <c r="H551" i="1"/>
  <c r="G551" i="1"/>
  <c r="F551" i="1"/>
  <c r="E551" i="1"/>
  <c r="D551" i="1"/>
  <c r="B551" i="1"/>
  <c r="K550" i="1"/>
  <c r="J550" i="1"/>
  <c r="I550" i="1"/>
  <c r="H550" i="1"/>
  <c r="G550" i="1"/>
  <c r="F550" i="1"/>
  <c r="E550" i="1"/>
  <c r="D550" i="1"/>
  <c r="B550" i="1"/>
  <c r="K549" i="1"/>
  <c r="J549" i="1"/>
  <c r="I549" i="1"/>
  <c r="H549" i="1"/>
  <c r="G549" i="1"/>
  <c r="F549" i="1"/>
  <c r="E549" i="1"/>
  <c r="D549" i="1"/>
  <c r="B549" i="1"/>
  <c r="K548" i="1"/>
  <c r="J548" i="1"/>
  <c r="I548" i="1"/>
  <c r="H548" i="1"/>
  <c r="G548" i="1"/>
  <c r="F548" i="1"/>
  <c r="E548" i="1"/>
  <c r="D548" i="1"/>
  <c r="B548" i="1"/>
  <c r="K547" i="1"/>
  <c r="J547" i="1"/>
  <c r="I547" i="1"/>
  <c r="H547" i="1"/>
  <c r="G547" i="1"/>
  <c r="F547" i="1"/>
  <c r="E547" i="1"/>
  <c r="D547" i="1"/>
  <c r="B547" i="1"/>
  <c r="K546" i="1"/>
  <c r="J546" i="1"/>
  <c r="I546" i="1"/>
  <c r="H546" i="1"/>
  <c r="G546" i="1"/>
  <c r="F546" i="1"/>
  <c r="E546" i="1"/>
  <c r="D546" i="1"/>
  <c r="B546" i="1"/>
  <c r="K545" i="1"/>
  <c r="J545" i="1"/>
  <c r="I545" i="1"/>
  <c r="H545" i="1"/>
  <c r="G545" i="1"/>
  <c r="F545" i="1"/>
  <c r="E545" i="1"/>
  <c r="D545" i="1"/>
  <c r="B545" i="1"/>
  <c r="K544" i="1"/>
  <c r="J544" i="1"/>
  <c r="I544" i="1"/>
  <c r="H544" i="1"/>
  <c r="G544" i="1"/>
  <c r="F544" i="1"/>
  <c r="E544" i="1"/>
  <c r="D544" i="1"/>
  <c r="B544" i="1"/>
  <c r="K543" i="1"/>
  <c r="J543" i="1"/>
  <c r="I543" i="1"/>
  <c r="H543" i="1"/>
  <c r="G543" i="1"/>
  <c r="F543" i="1"/>
  <c r="E543" i="1"/>
  <c r="D543" i="1"/>
  <c r="B543" i="1"/>
  <c r="K542" i="1"/>
  <c r="J542" i="1"/>
  <c r="I542" i="1"/>
  <c r="H542" i="1"/>
  <c r="G542" i="1"/>
  <c r="F542" i="1"/>
  <c r="E542" i="1"/>
  <c r="D542" i="1"/>
  <c r="B542" i="1"/>
  <c r="K541" i="1"/>
  <c r="J541" i="1"/>
  <c r="I541" i="1"/>
  <c r="H541" i="1"/>
  <c r="G541" i="1"/>
  <c r="F541" i="1"/>
  <c r="E541" i="1"/>
  <c r="D541" i="1"/>
  <c r="B541" i="1"/>
  <c r="K540" i="1"/>
  <c r="J540" i="1"/>
  <c r="I540" i="1"/>
  <c r="H540" i="1"/>
  <c r="G540" i="1"/>
  <c r="F540" i="1"/>
  <c r="E540" i="1"/>
  <c r="D540" i="1"/>
  <c r="B540" i="1"/>
  <c r="K539" i="1"/>
  <c r="J539" i="1"/>
  <c r="I539" i="1"/>
  <c r="H539" i="1"/>
  <c r="G539" i="1"/>
  <c r="F539" i="1"/>
  <c r="E539" i="1"/>
  <c r="D539" i="1"/>
  <c r="B539" i="1"/>
  <c r="K538" i="1"/>
  <c r="J538" i="1"/>
  <c r="I538" i="1"/>
  <c r="H538" i="1"/>
  <c r="G538" i="1"/>
  <c r="F538" i="1"/>
  <c r="E538" i="1"/>
  <c r="D538" i="1"/>
  <c r="B538" i="1"/>
  <c r="K537" i="1"/>
  <c r="J537" i="1"/>
  <c r="I537" i="1"/>
  <c r="H537" i="1"/>
  <c r="G537" i="1"/>
  <c r="F537" i="1"/>
  <c r="E537" i="1"/>
  <c r="D537" i="1"/>
  <c r="B537" i="1"/>
  <c r="K536" i="1"/>
  <c r="J536" i="1"/>
  <c r="I536" i="1"/>
  <c r="H536" i="1"/>
  <c r="G536" i="1"/>
  <c r="F536" i="1"/>
  <c r="E536" i="1"/>
  <c r="D536" i="1"/>
  <c r="B536" i="1"/>
  <c r="K535" i="1"/>
  <c r="J535" i="1"/>
  <c r="I535" i="1"/>
  <c r="H535" i="1"/>
  <c r="G535" i="1"/>
  <c r="F535" i="1"/>
  <c r="E535" i="1"/>
  <c r="D535" i="1"/>
  <c r="B535" i="1"/>
  <c r="K534" i="1"/>
  <c r="J534" i="1"/>
  <c r="I534" i="1"/>
  <c r="H534" i="1"/>
  <c r="G534" i="1"/>
  <c r="F534" i="1"/>
  <c r="E534" i="1"/>
  <c r="D534" i="1"/>
  <c r="B534" i="1"/>
  <c r="K533" i="1"/>
  <c r="J533" i="1"/>
  <c r="I533" i="1"/>
  <c r="H533" i="1"/>
  <c r="G533" i="1"/>
  <c r="F533" i="1"/>
  <c r="E533" i="1"/>
  <c r="D533" i="1"/>
  <c r="B533" i="1"/>
  <c r="K532" i="1"/>
  <c r="J532" i="1"/>
  <c r="I532" i="1"/>
  <c r="H532" i="1"/>
  <c r="G532" i="1"/>
  <c r="F532" i="1"/>
  <c r="E532" i="1"/>
  <c r="D532" i="1"/>
  <c r="B532" i="1"/>
  <c r="K531" i="1"/>
  <c r="J531" i="1"/>
  <c r="I531" i="1"/>
  <c r="H531" i="1"/>
  <c r="G531" i="1"/>
  <c r="F531" i="1"/>
  <c r="E531" i="1"/>
  <c r="D531" i="1"/>
  <c r="B531" i="1"/>
  <c r="K530" i="1"/>
  <c r="J530" i="1"/>
  <c r="I530" i="1"/>
  <c r="H530" i="1"/>
  <c r="G530" i="1"/>
  <c r="F530" i="1"/>
  <c r="E530" i="1"/>
  <c r="D530" i="1"/>
  <c r="B530" i="1"/>
  <c r="K529" i="1"/>
  <c r="J529" i="1"/>
  <c r="I529" i="1"/>
  <c r="H529" i="1"/>
  <c r="G529" i="1"/>
  <c r="F529" i="1"/>
  <c r="E529" i="1"/>
  <c r="D529" i="1"/>
  <c r="B529" i="1"/>
  <c r="K528" i="1"/>
  <c r="J528" i="1"/>
  <c r="I528" i="1"/>
  <c r="H528" i="1"/>
  <c r="G528" i="1"/>
  <c r="F528" i="1"/>
  <c r="E528" i="1"/>
  <c r="D528" i="1"/>
  <c r="B528" i="1"/>
  <c r="K527" i="1"/>
  <c r="J527" i="1"/>
  <c r="I527" i="1"/>
  <c r="H527" i="1"/>
  <c r="G527" i="1"/>
  <c r="F527" i="1"/>
  <c r="E527" i="1"/>
  <c r="D527" i="1"/>
  <c r="B527" i="1"/>
  <c r="K526" i="1"/>
  <c r="J526" i="1"/>
  <c r="I526" i="1"/>
  <c r="H526" i="1"/>
  <c r="G526" i="1"/>
  <c r="F526" i="1"/>
  <c r="E526" i="1"/>
  <c r="D526" i="1"/>
  <c r="B526" i="1"/>
  <c r="K525" i="1"/>
  <c r="J525" i="1"/>
  <c r="I525" i="1"/>
  <c r="H525" i="1"/>
  <c r="G525" i="1"/>
  <c r="F525" i="1"/>
  <c r="E525" i="1"/>
  <c r="D525" i="1"/>
  <c r="B525" i="1"/>
  <c r="K524" i="1"/>
  <c r="J524" i="1"/>
  <c r="I524" i="1"/>
  <c r="H524" i="1"/>
  <c r="G524" i="1"/>
  <c r="F524" i="1"/>
  <c r="E524" i="1"/>
  <c r="D524" i="1"/>
  <c r="B524" i="1"/>
  <c r="K523" i="1"/>
  <c r="J523" i="1"/>
  <c r="I523" i="1"/>
  <c r="H523" i="1"/>
  <c r="G523" i="1"/>
  <c r="F523" i="1"/>
  <c r="E523" i="1"/>
  <c r="D523" i="1"/>
  <c r="B523" i="1"/>
  <c r="K522" i="1"/>
  <c r="J522" i="1"/>
  <c r="I522" i="1"/>
  <c r="H522" i="1"/>
  <c r="G522" i="1"/>
  <c r="F522" i="1"/>
  <c r="E522" i="1"/>
  <c r="D522" i="1"/>
  <c r="B522" i="1"/>
  <c r="K521" i="1"/>
  <c r="J521" i="1"/>
  <c r="I521" i="1"/>
  <c r="H521" i="1"/>
  <c r="G521" i="1"/>
  <c r="F521" i="1"/>
  <c r="E521" i="1"/>
  <c r="D521" i="1"/>
  <c r="B521" i="1"/>
  <c r="K520" i="1"/>
  <c r="J520" i="1"/>
  <c r="I520" i="1"/>
  <c r="H520" i="1"/>
  <c r="G520" i="1"/>
  <c r="F520" i="1"/>
  <c r="E520" i="1"/>
  <c r="D520" i="1"/>
  <c r="B520" i="1"/>
  <c r="K511" i="1"/>
  <c r="J511" i="1"/>
  <c r="I511" i="1"/>
  <c r="G511" i="1"/>
  <c r="F511" i="1"/>
  <c r="E511" i="1"/>
  <c r="D511" i="1"/>
  <c r="B511" i="1"/>
  <c r="J510" i="1"/>
  <c r="I510" i="1"/>
  <c r="G510" i="1"/>
  <c r="F510" i="1"/>
  <c r="E510" i="1"/>
  <c r="D510" i="1"/>
  <c r="B510" i="1"/>
  <c r="K509" i="1"/>
  <c r="J509" i="1"/>
  <c r="G509" i="1"/>
  <c r="F509" i="1"/>
  <c r="E509" i="1"/>
  <c r="D509" i="1"/>
  <c r="B509" i="1"/>
  <c r="K508" i="1"/>
  <c r="J508" i="1"/>
  <c r="G508" i="1"/>
  <c r="F508" i="1"/>
  <c r="E508" i="1"/>
  <c r="D508" i="1"/>
  <c r="B508" i="1"/>
  <c r="K507" i="1"/>
  <c r="J507" i="1"/>
  <c r="G507" i="1"/>
  <c r="F507" i="1"/>
  <c r="E507" i="1"/>
  <c r="D507" i="1"/>
  <c r="B507" i="1"/>
  <c r="K506" i="1"/>
  <c r="J506" i="1"/>
  <c r="G506" i="1"/>
  <c r="F506" i="1"/>
  <c r="E506" i="1"/>
  <c r="D506" i="1"/>
  <c r="B506" i="1"/>
  <c r="K505" i="1"/>
  <c r="J505" i="1"/>
  <c r="G505" i="1"/>
  <c r="F505" i="1"/>
  <c r="E505" i="1"/>
  <c r="D505" i="1"/>
  <c r="B505" i="1"/>
  <c r="K504" i="1"/>
  <c r="J504" i="1"/>
  <c r="G504" i="1"/>
  <c r="F504" i="1"/>
  <c r="E504" i="1"/>
  <c r="D504" i="1"/>
  <c r="B504" i="1"/>
  <c r="K503" i="1"/>
  <c r="J503" i="1"/>
  <c r="G503" i="1"/>
  <c r="F503" i="1"/>
  <c r="E503" i="1"/>
  <c r="D503" i="1"/>
  <c r="B503" i="1"/>
  <c r="K502" i="1"/>
  <c r="J502" i="1"/>
  <c r="G502" i="1"/>
  <c r="F502" i="1"/>
  <c r="E502" i="1"/>
  <c r="D502" i="1"/>
  <c r="B502" i="1"/>
  <c r="K501" i="1"/>
  <c r="J501" i="1"/>
  <c r="G501" i="1"/>
  <c r="F501" i="1"/>
  <c r="E501" i="1"/>
  <c r="D501" i="1"/>
  <c r="B501" i="1"/>
  <c r="K500" i="1"/>
  <c r="J500" i="1"/>
  <c r="G500" i="1"/>
  <c r="F500" i="1"/>
  <c r="E500" i="1"/>
  <c r="D500" i="1"/>
  <c r="B500" i="1"/>
  <c r="K499" i="1"/>
  <c r="J499" i="1"/>
  <c r="G499" i="1"/>
  <c r="F499" i="1"/>
  <c r="E499" i="1"/>
  <c r="D499" i="1"/>
  <c r="B499" i="1"/>
  <c r="K498" i="1"/>
  <c r="J498" i="1"/>
  <c r="G498" i="1"/>
  <c r="F498" i="1"/>
  <c r="E498" i="1"/>
  <c r="D498" i="1"/>
  <c r="B498" i="1"/>
  <c r="K497" i="1"/>
  <c r="J497" i="1"/>
  <c r="G497" i="1"/>
  <c r="F497" i="1"/>
  <c r="E497" i="1"/>
  <c r="D497" i="1"/>
  <c r="B497" i="1"/>
  <c r="K496" i="1"/>
  <c r="J496" i="1"/>
  <c r="G496" i="1"/>
  <c r="F496" i="1"/>
  <c r="E496" i="1"/>
  <c r="D496" i="1"/>
  <c r="B496" i="1"/>
  <c r="K495" i="1"/>
  <c r="J495" i="1"/>
  <c r="G495" i="1"/>
  <c r="F495" i="1"/>
  <c r="E495" i="1"/>
  <c r="D495" i="1"/>
  <c r="B495" i="1"/>
  <c r="K494" i="1"/>
  <c r="J494" i="1"/>
  <c r="G494" i="1"/>
  <c r="F494" i="1"/>
  <c r="E494" i="1"/>
  <c r="D494" i="1"/>
  <c r="B494" i="1"/>
  <c r="K493" i="1"/>
  <c r="J493" i="1"/>
  <c r="G493" i="1"/>
  <c r="F493" i="1"/>
  <c r="E493" i="1"/>
  <c r="D493" i="1"/>
  <c r="B493" i="1"/>
  <c r="K492" i="1"/>
  <c r="J492" i="1"/>
  <c r="G492" i="1"/>
  <c r="F492" i="1"/>
  <c r="E492" i="1"/>
  <c r="D492" i="1"/>
  <c r="B492" i="1"/>
  <c r="K491" i="1"/>
  <c r="J491" i="1"/>
  <c r="G491" i="1"/>
  <c r="F491" i="1"/>
  <c r="E491" i="1"/>
  <c r="D491" i="1"/>
  <c r="B491" i="1"/>
  <c r="K490" i="1"/>
  <c r="J490" i="1"/>
  <c r="G490" i="1"/>
  <c r="F490" i="1"/>
  <c r="E490" i="1"/>
  <c r="D490" i="1"/>
  <c r="B490" i="1"/>
  <c r="K489" i="1"/>
  <c r="J489" i="1"/>
  <c r="G489" i="1"/>
  <c r="F489" i="1"/>
  <c r="E489" i="1"/>
  <c r="D489" i="1"/>
  <c r="B489" i="1"/>
  <c r="K488" i="1"/>
  <c r="J488" i="1"/>
  <c r="G488" i="1"/>
  <c r="F488" i="1"/>
  <c r="E488" i="1"/>
  <c r="D488" i="1"/>
  <c r="B488" i="1"/>
  <c r="K487" i="1"/>
  <c r="J487" i="1"/>
  <c r="G487" i="1"/>
  <c r="F487" i="1"/>
  <c r="E487" i="1"/>
  <c r="D487" i="1"/>
  <c r="B487" i="1"/>
  <c r="K486" i="1"/>
  <c r="J486" i="1"/>
  <c r="G486" i="1"/>
  <c r="F486" i="1"/>
  <c r="E486" i="1"/>
  <c r="D486" i="1"/>
  <c r="B486" i="1"/>
  <c r="K485" i="1"/>
  <c r="J485" i="1"/>
  <c r="G485" i="1"/>
  <c r="F485" i="1"/>
  <c r="E485" i="1"/>
  <c r="D485" i="1"/>
  <c r="B485" i="1"/>
  <c r="K484" i="1"/>
  <c r="J484" i="1"/>
  <c r="G484" i="1"/>
  <c r="F484" i="1"/>
  <c r="E484" i="1"/>
  <c r="D484" i="1"/>
  <c r="B484" i="1"/>
  <c r="K483" i="1"/>
  <c r="J483" i="1"/>
  <c r="G483" i="1"/>
  <c r="F483" i="1"/>
  <c r="E483" i="1"/>
  <c r="D483" i="1"/>
  <c r="B483" i="1"/>
  <c r="K482" i="1"/>
  <c r="J482" i="1"/>
  <c r="G482" i="1"/>
  <c r="F482" i="1"/>
  <c r="E482" i="1"/>
  <c r="D482" i="1"/>
  <c r="B482" i="1"/>
  <c r="K481" i="1"/>
  <c r="J481" i="1"/>
  <c r="G481" i="1"/>
  <c r="F481" i="1"/>
  <c r="E481" i="1"/>
  <c r="D481" i="1"/>
  <c r="B481" i="1"/>
  <c r="K480" i="1"/>
  <c r="J480" i="1"/>
  <c r="G480" i="1"/>
  <c r="F480" i="1"/>
  <c r="E480" i="1"/>
  <c r="D480" i="1"/>
  <c r="B480" i="1"/>
  <c r="K479" i="1"/>
  <c r="J479" i="1"/>
  <c r="G479" i="1"/>
  <c r="F479" i="1"/>
  <c r="E479" i="1"/>
  <c r="D479" i="1"/>
  <c r="B479" i="1"/>
  <c r="K478" i="1"/>
  <c r="J478" i="1"/>
  <c r="G478" i="1"/>
  <c r="F478" i="1"/>
  <c r="E478" i="1"/>
  <c r="D478" i="1"/>
  <c r="B478" i="1"/>
  <c r="K477" i="1"/>
  <c r="J477" i="1"/>
  <c r="G477" i="1"/>
  <c r="F477" i="1"/>
  <c r="E477" i="1"/>
  <c r="D477" i="1"/>
  <c r="B477" i="1"/>
  <c r="K476" i="1"/>
  <c r="J476" i="1"/>
  <c r="G476" i="1"/>
  <c r="F476" i="1"/>
  <c r="E476" i="1"/>
  <c r="D476" i="1"/>
  <c r="B476" i="1"/>
  <c r="K475" i="1"/>
  <c r="J475" i="1"/>
  <c r="G475" i="1"/>
  <c r="F475" i="1"/>
  <c r="E475" i="1"/>
  <c r="D475" i="1"/>
  <c r="B475" i="1"/>
  <c r="K474" i="1"/>
  <c r="J474" i="1"/>
  <c r="G474" i="1"/>
  <c r="F474" i="1"/>
  <c r="E474" i="1"/>
  <c r="D474" i="1"/>
  <c r="B474" i="1"/>
  <c r="K473" i="1"/>
  <c r="J473" i="1"/>
  <c r="G473" i="1"/>
  <c r="F473" i="1"/>
  <c r="E473" i="1"/>
  <c r="D473" i="1"/>
  <c r="B473" i="1"/>
  <c r="K472" i="1"/>
  <c r="J472" i="1"/>
  <c r="G472" i="1"/>
  <c r="F472" i="1"/>
  <c r="E472" i="1"/>
  <c r="D472" i="1"/>
  <c r="B472" i="1"/>
  <c r="K471" i="1"/>
  <c r="J471" i="1"/>
  <c r="G471" i="1"/>
  <c r="F471" i="1"/>
  <c r="E471" i="1"/>
  <c r="D471" i="1"/>
  <c r="B471" i="1"/>
  <c r="K470" i="1"/>
  <c r="J470" i="1"/>
  <c r="G470" i="1"/>
  <c r="F470" i="1"/>
  <c r="E470" i="1"/>
  <c r="D470" i="1"/>
  <c r="B470" i="1"/>
  <c r="K469" i="1"/>
  <c r="J469" i="1"/>
  <c r="G469" i="1"/>
  <c r="F469" i="1"/>
  <c r="E469" i="1"/>
  <c r="D469" i="1"/>
  <c r="B469" i="1"/>
  <c r="K468" i="1"/>
  <c r="J468" i="1"/>
  <c r="G468" i="1"/>
  <c r="F468" i="1"/>
  <c r="E468" i="1"/>
  <c r="D468" i="1"/>
  <c r="B468" i="1"/>
  <c r="K467" i="1"/>
  <c r="J467" i="1"/>
  <c r="G467" i="1"/>
  <c r="F467" i="1"/>
  <c r="E467" i="1"/>
  <c r="D467" i="1"/>
  <c r="B467" i="1"/>
  <c r="K466" i="1"/>
  <c r="J466" i="1"/>
  <c r="G466" i="1"/>
  <c r="F466" i="1"/>
  <c r="E466" i="1"/>
  <c r="D466" i="1"/>
  <c r="B466" i="1"/>
  <c r="K465" i="1"/>
  <c r="J465" i="1"/>
  <c r="G465" i="1"/>
  <c r="F465" i="1"/>
  <c r="E465" i="1"/>
  <c r="D465" i="1"/>
  <c r="B465" i="1"/>
  <c r="K464" i="1"/>
  <c r="J464" i="1"/>
  <c r="G464" i="1"/>
  <c r="F464" i="1"/>
  <c r="E464" i="1"/>
  <c r="D464" i="1"/>
  <c r="B464" i="1"/>
  <c r="K463" i="1"/>
  <c r="J463" i="1"/>
  <c r="G463" i="1"/>
  <c r="F463" i="1"/>
  <c r="E463" i="1"/>
  <c r="D463" i="1"/>
  <c r="B463" i="1"/>
  <c r="K462" i="1"/>
  <c r="J462" i="1"/>
  <c r="G462" i="1"/>
  <c r="F462" i="1"/>
  <c r="E462" i="1"/>
  <c r="D462" i="1"/>
  <c r="B462" i="1"/>
  <c r="K461" i="1"/>
  <c r="J461" i="1"/>
  <c r="G461" i="1"/>
  <c r="F461" i="1"/>
  <c r="E461" i="1"/>
  <c r="D461" i="1"/>
  <c r="B461" i="1"/>
  <c r="K460" i="1"/>
  <c r="J460" i="1"/>
  <c r="G460" i="1"/>
  <c r="F460" i="1"/>
  <c r="E460" i="1"/>
  <c r="D460" i="1"/>
  <c r="B460" i="1"/>
  <c r="K459" i="1"/>
  <c r="J459" i="1"/>
  <c r="H459" i="1"/>
  <c r="G459" i="1"/>
  <c r="F459" i="1"/>
  <c r="E459" i="1"/>
  <c r="D459" i="1"/>
  <c r="B459" i="1"/>
  <c r="K458" i="1"/>
  <c r="J458" i="1"/>
  <c r="H458" i="1"/>
  <c r="G458" i="1"/>
  <c r="F458" i="1"/>
  <c r="E458" i="1"/>
  <c r="D458" i="1"/>
  <c r="B458" i="1"/>
  <c r="K457" i="1"/>
  <c r="J457" i="1"/>
  <c r="H457" i="1"/>
  <c r="G457" i="1"/>
  <c r="F457" i="1"/>
  <c r="E457" i="1"/>
  <c r="D457" i="1"/>
  <c r="B457" i="1"/>
  <c r="K456" i="1"/>
  <c r="J456" i="1"/>
  <c r="H456" i="1"/>
  <c r="G456" i="1"/>
  <c r="F456" i="1"/>
  <c r="E456" i="1"/>
  <c r="D456" i="1"/>
  <c r="B456" i="1"/>
  <c r="K455" i="1"/>
  <c r="J455" i="1"/>
  <c r="H455" i="1"/>
  <c r="G455" i="1"/>
  <c r="F455" i="1"/>
  <c r="E455" i="1"/>
  <c r="D455" i="1"/>
  <c r="B455" i="1"/>
  <c r="K454" i="1"/>
  <c r="J454" i="1"/>
  <c r="H454" i="1"/>
  <c r="G454" i="1"/>
  <c r="F454" i="1"/>
  <c r="E454" i="1"/>
  <c r="D454" i="1"/>
  <c r="B454" i="1"/>
  <c r="K453" i="1"/>
  <c r="J453" i="1"/>
  <c r="H453" i="1"/>
  <c r="G453" i="1"/>
  <c r="F453" i="1"/>
  <c r="E453" i="1"/>
  <c r="D453" i="1"/>
  <c r="B453" i="1"/>
  <c r="K452" i="1"/>
  <c r="J452" i="1"/>
  <c r="H452" i="1"/>
  <c r="G452" i="1"/>
  <c r="F452" i="1"/>
  <c r="E452" i="1"/>
  <c r="D452" i="1"/>
  <c r="B452" i="1"/>
  <c r="K451" i="1"/>
  <c r="J451" i="1"/>
  <c r="H451" i="1"/>
  <c r="G451" i="1"/>
  <c r="F451" i="1"/>
  <c r="E451" i="1"/>
  <c r="D451" i="1"/>
  <c r="B451" i="1"/>
  <c r="K450" i="1"/>
  <c r="J450" i="1"/>
  <c r="H450" i="1"/>
  <c r="G450" i="1"/>
  <c r="F450" i="1"/>
  <c r="E450" i="1"/>
  <c r="D450" i="1"/>
  <c r="B450" i="1"/>
  <c r="K449" i="1"/>
  <c r="J449" i="1"/>
  <c r="H449" i="1"/>
  <c r="G449" i="1"/>
  <c r="F449" i="1"/>
  <c r="E449" i="1"/>
  <c r="D449" i="1"/>
  <c r="B449" i="1"/>
  <c r="K448" i="1"/>
  <c r="J448" i="1"/>
  <c r="H448" i="1"/>
  <c r="G448" i="1"/>
  <c r="F448" i="1"/>
  <c r="E448" i="1"/>
  <c r="D448" i="1"/>
  <c r="B448" i="1"/>
  <c r="K447" i="1"/>
  <c r="J447" i="1"/>
  <c r="H447" i="1"/>
  <c r="G447" i="1"/>
  <c r="F447" i="1"/>
  <c r="E447" i="1"/>
  <c r="D447" i="1"/>
  <c r="B447" i="1"/>
  <c r="K446" i="1"/>
  <c r="J446" i="1"/>
  <c r="H446" i="1"/>
  <c r="G446" i="1"/>
  <c r="F446" i="1"/>
  <c r="E446" i="1"/>
  <c r="D446" i="1"/>
  <c r="B446" i="1"/>
  <c r="K445" i="1"/>
  <c r="J445" i="1"/>
  <c r="H445" i="1"/>
  <c r="G445" i="1"/>
  <c r="F445" i="1"/>
  <c r="E445" i="1"/>
  <c r="D445" i="1"/>
  <c r="B445" i="1"/>
  <c r="K444" i="1"/>
  <c r="J444" i="1"/>
  <c r="H444" i="1"/>
  <c r="G444" i="1"/>
  <c r="F444" i="1"/>
  <c r="E444" i="1"/>
  <c r="D444" i="1"/>
  <c r="B444" i="1"/>
  <c r="K443" i="1"/>
  <c r="J443" i="1"/>
  <c r="H443" i="1"/>
  <c r="G443" i="1"/>
  <c r="F443" i="1"/>
  <c r="E443" i="1"/>
  <c r="D443" i="1"/>
  <c r="B443" i="1"/>
  <c r="K442" i="1"/>
  <c r="J442" i="1"/>
  <c r="H442" i="1"/>
  <c r="G442" i="1"/>
  <c r="F442" i="1"/>
  <c r="E442" i="1"/>
  <c r="D442" i="1"/>
  <c r="B442" i="1"/>
  <c r="K441" i="1"/>
  <c r="J441" i="1"/>
  <c r="H441" i="1"/>
  <c r="G441" i="1"/>
  <c r="F441" i="1"/>
  <c r="E441" i="1"/>
  <c r="D441" i="1"/>
  <c r="B441" i="1"/>
  <c r="K440" i="1"/>
  <c r="J440" i="1"/>
  <c r="H440" i="1"/>
  <c r="G440" i="1"/>
  <c r="F440" i="1"/>
  <c r="E440" i="1"/>
  <c r="D440" i="1"/>
  <c r="B440" i="1"/>
  <c r="K439" i="1"/>
  <c r="J439" i="1"/>
  <c r="H439" i="1"/>
  <c r="G439" i="1"/>
  <c r="F439" i="1"/>
  <c r="E439" i="1"/>
  <c r="D439" i="1"/>
  <c r="B439" i="1"/>
  <c r="K438" i="1"/>
  <c r="J438" i="1"/>
  <c r="H438" i="1"/>
  <c r="G438" i="1"/>
  <c r="F438" i="1"/>
  <c r="E438" i="1"/>
  <c r="D438" i="1"/>
  <c r="B438" i="1"/>
  <c r="K437" i="1"/>
  <c r="J437" i="1"/>
  <c r="H437" i="1"/>
  <c r="G437" i="1"/>
  <c r="F437" i="1"/>
  <c r="E437" i="1"/>
  <c r="D437" i="1"/>
  <c r="B437" i="1"/>
  <c r="K436" i="1"/>
  <c r="J436" i="1"/>
  <c r="H436" i="1"/>
  <c r="G436" i="1"/>
  <c r="F436" i="1"/>
  <c r="E436" i="1"/>
  <c r="D436" i="1"/>
  <c r="B436" i="1"/>
  <c r="K435" i="1"/>
  <c r="J435" i="1"/>
  <c r="H435" i="1"/>
  <c r="G435" i="1"/>
  <c r="F435" i="1"/>
  <c r="E435" i="1"/>
  <c r="D435" i="1"/>
  <c r="B435" i="1"/>
  <c r="K434" i="1"/>
  <c r="J434" i="1"/>
  <c r="H434" i="1"/>
  <c r="G434" i="1"/>
  <c r="F434" i="1"/>
  <c r="E434" i="1"/>
  <c r="D434" i="1"/>
  <c r="B434" i="1"/>
  <c r="K433" i="1"/>
  <c r="J433" i="1"/>
  <c r="H433" i="1"/>
  <c r="G433" i="1"/>
  <c r="F433" i="1"/>
  <c r="E433" i="1"/>
  <c r="D433" i="1"/>
  <c r="B433" i="1"/>
  <c r="K432" i="1"/>
  <c r="J432" i="1"/>
  <c r="H432" i="1"/>
  <c r="G432" i="1"/>
  <c r="F432" i="1"/>
  <c r="E432" i="1"/>
  <c r="D432" i="1"/>
  <c r="B432" i="1"/>
  <c r="K431" i="1"/>
  <c r="J431" i="1"/>
  <c r="H431" i="1"/>
  <c r="G431" i="1"/>
  <c r="F431" i="1"/>
  <c r="E431" i="1"/>
  <c r="D431" i="1"/>
  <c r="B431" i="1"/>
  <c r="K430" i="1"/>
  <c r="J430" i="1"/>
  <c r="H430" i="1"/>
  <c r="G430" i="1"/>
  <c r="F430" i="1"/>
  <c r="E430" i="1"/>
  <c r="D430" i="1"/>
  <c r="B430" i="1"/>
  <c r="K429" i="1"/>
  <c r="J429" i="1"/>
  <c r="H429" i="1"/>
  <c r="G429" i="1"/>
  <c r="F429" i="1"/>
  <c r="E429" i="1"/>
  <c r="D429" i="1"/>
  <c r="B429" i="1"/>
  <c r="K428" i="1"/>
  <c r="J428" i="1"/>
  <c r="H428" i="1"/>
  <c r="G428" i="1"/>
  <c r="F428" i="1"/>
  <c r="E428" i="1"/>
  <c r="D428" i="1"/>
  <c r="B428" i="1"/>
  <c r="K427" i="1"/>
  <c r="J427" i="1"/>
  <c r="H427" i="1"/>
  <c r="G427" i="1"/>
  <c r="F427" i="1"/>
  <c r="E427" i="1"/>
  <c r="D427" i="1"/>
  <c r="B427" i="1"/>
  <c r="K426" i="1"/>
  <c r="J426" i="1"/>
  <c r="H426" i="1"/>
  <c r="G426" i="1"/>
  <c r="F426" i="1"/>
  <c r="E426" i="1"/>
  <c r="D426" i="1"/>
  <c r="B426" i="1"/>
  <c r="K425" i="1"/>
  <c r="J425" i="1"/>
  <c r="H425" i="1"/>
  <c r="G425" i="1"/>
  <c r="F425" i="1"/>
  <c r="E425" i="1"/>
  <c r="D425" i="1"/>
  <c r="B425" i="1"/>
  <c r="K424" i="1"/>
  <c r="J424" i="1"/>
  <c r="H424" i="1"/>
  <c r="G424" i="1"/>
  <c r="F424" i="1"/>
  <c r="E424" i="1"/>
  <c r="D424" i="1"/>
  <c r="B424" i="1"/>
  <c r="K423" i="1"/>
  <c r="J423" i="1"/>
  <c r="H423" i="1"/>
  <c r="G423" i="1"/>
  <c r="F423" i="1"/>
  <c r="E423" i="1"/>
  <c r="D423" i="1"/>
  <c r="B423" i="1"/>
  <c r="K422" i="1"/>
  <c r="J422" i="1"/>
  <c r="H422" i="1"/>
  <c r="G422" i="1"/>
  <c r="F422" i="1"/>
  <c r="E422" i="1"/>
  <c r="D422" i="1"/>
  <c r="B422" i="1"/>
  <c r="K421" i="1"/>
  <c r="J421" i="1"/>
  <c r="H421" i="1"/>
  <c r="G421" i="1"/>
  <c r="F421" i="1"/>
  <c r="E421" i="1"/>
  <c r="D421" i="1"/>
  <c r="B421" i="1"/>
  <c r="K420" i="1"/>
  <c r="J420" i="1"/>
  <c r="H420" i="1"/>
  <c r="G420" i="1"/>
  <c r="F420" i="1"/>
  <c r="E420" i="1"/>
  <c r="D420" i="1"/>
  <c r="B420" i="1"/>
  <c r="K419" i="1"/>
  <c r="J419" i="1"/>
  <c r="H419" i="1"/>
  <c r="G419" i="1"/>
  <c r="F419" i="1"/>
  <c r="E419" i="1"/>
  <c r="D419" i="1"/>
  <c r="B419" i="1"/>
  <c r="K418" i="1"/>
  <c r="J418" i="1"/>
  <c r="H418" i="1"/>
  <c r="G418" i="1"/>
  <c r="F418" i="1"/>
  <c r="E418" i="1"/>
  <c r="D418" i="1"/>
  <c r="B418" i="1"/>
  <c r="K417" i="1"/>
  <c r="J417" i="1"/>
  <c r="H417" i="1"/>
  <c r="G417" i="1"/>
  <c r="F417" i="1"/>
  <c r="E417" i="1"/>
  <c r="D417" i="1"/>
  <c r="B417" i="1"/>
  <c r="K416" i="1"/>
  <c r="J416" i="1"/>
  <c r="H416" i="1"/>
  <c r="G416" i="1"/>
  <c r="F416" i="1"/>
  <c r="E416" i="1"/>
  <c r="D416" i="1"/>
  <c r="B416" i="1"/>
  <c r="K415" i="1"/>
  <c r="J415" i="1"/>
  <c r="H415" i="1"/>
  <c r="G415" i="1"/>
  <c r="F415" i="1"/>
  <c r="E415" i="1"/>
  <c r="D415" i="1"/>
  <c r="B415" i="1"/>
  <c r="K414" i="1"/>
  <c r="J414" i="1"/>
  <c r="H414" i="1"/>
  <c r="G414" i="1"/>
  <c r="F414" i="1"/>
  <c r="E414" i="1"/>
  <c r="D414" i="1"/>
  <c r="B414" i="1"/>
  <c r="K413" i="1"/>
  <c r="J413" i="1"/>
  <c r="H413" i="1"/>
  <c r="G413" i="1"/>
  <c r="F413" i="1"/>
  <c r="E413" i="1"/>
  <c r="D413" i="1"/>
  <c r="B413" i="1"/>
  <c r="K412" i="1"/>
  <c r="J412" i="1"/>
  <c r="H412" i="1"/>
  <c r="G412" i="1"/>
  <c r="F412" i="1"/>
  <c r="E412" i="1"/>
  <c r="D412" i="1"/>
  <c r="B412" i="1"/>
  <c r="K411" i="1"/>
  <c r="J411" i="1"/>
  <c r="H411" i="1"/>
  <c r="G411" i="1"/>
  <c r="F411" i="1"/>
  <c r="E411" i="1"/>
  <c r="D411" i="1"/>
  <c r="B411" i="1"/>
  <c r="K410" i="1"/>
  <c r="J410" i="1"/>
  <c r="H410" i="1"/>
  <c r="G410" i="1"/>
  <c r="F410" i="1"/>
  <c r="E410" i="1"/>
  <c r="D410" i="1"/>
  <c r="B410" i="1"/>
  <c r="K409" i="1"/>
  <c r="J409" i="1"/>
  <c r="H409" i="1"/>
  <c r="G409" i="1"/>
  <c r="F409" i="1"/>
  <c r="E409" i="1"/>
  <c r="D409" i="1"/>
  <c r="B409" i="1"/>
  <c r="K408" i="1"/>
  <c r="J408" i="1"/>
  <c r="H408" i="1"/>
  <c r="G408" i="1"/>
  <c r="F408" i="1"/>
  <c r="E408" i="1"/>
  <c r="D408" i="1"/>
  <c r="B408" i="1"/>
  <c r="K407" i="1"/>
  <c r="J407" i="1"/>
  <c r="H407" i="1"/>
  <c r="G407" i="1"/>
  <c r="F407" i="1"/>
  <c r="E407" i="1"/>
  <c r="D407" i="1"/>
  <c r="B407" i="1"/>
  <c r="K406" i="1"/>
  <c r="J406" i="1"/>
  <c r="H406" i="1"/>
  <c r="G406" i="1"/>
  <c r="F406" i="1"/>
  <c r="E406" i="1"/>
  <c r="D406" i="1"/>
  <c r="B406" i="1"/>
  <c r="K405" i="1"/>
  <c r="J405" i="1"/>
  <c r="H405" i="1"/>
  <c r="G405" i="1"/>
  <c r="F405" i="1"/>
  <c r="E405" i="1"/>
  <c r="D405" i="1"/>
  <c r="B405" i="1"/>
  <c r="K404" i="1"/>
  <c r="J404" i="1"/>
  <c r="H404" i="1"/>
  <c r="G404" i="1"/>
  <c r="F404" i="1"/>
  <c r="E404" i="1"/>
  <c r="D404" i="1"/>
  <c r="B404" i="1"/>
  <c r="K403" i="1"/>
  <c r="J403" i="1"/>
  <c r="H403" i="1"/>
  <c r="G403" i="1"/>
  <c r="F403" i="1"/>
  <c r="E403" i="1"/>
  <c r="D403" i="1"/>
  <c r="B403" i="1"/>
  <c r="K402" i="1"/>
  <c r="J402" i="1"/>
  <c r="H402" i="1"/>
  <c r="G402" i="1"/>
  <c r="F402" i="1"/>
  <c r="E402" i="1"/>
  <c r="D402" i="1"/>
  <c r="B402" i="1"/>
  <c r="K401" i="1"/>
  <c r="J401" i="1"/>
  <c r="H401" i="1"/>
  <c r="G401" i="1"/>
  <c r="F401" i="1"/>
  <c r="E401" i="1"/>
  <c r="D401" i="1"/>
  <c r="B401" i="1"/>
  <c r="K400" i="1"/>
  <c r="J400" i="1"/>
  <c r="H400" i="1"/>
  <c r="G400" i="1"/>
  <c r="F400" i="1"/>
  <c r="E400" i="1"/>
  <c r="D400" i="1"/>
  <c r="B400" i="1"/>
  <c r="K399" i="1"/>
  <c r="J399" i="1"/>
  <c r="H399" i="1"/>
  <c r="G399" i="1"/>
  <c r="F399" i="1"/>
  <c r="E399" i="1"/>
  <c r="D399" i="1"/>
  <c r="B399" i="1"/>
  <c r="K398" i="1"/>
  <c r="J398" i="1"/>
  <c r="H398" i="1"/>
  <c r="G398" i="1"/>
  <c r="F398" i="1"/>
  <c r="E398" i="1"/>
  <c r="D398" i="1"/>
  <c r="B398" i="1"/>
  <c r="K397" i="1"/>
  <c r="J397" i="1"/>
  <c r="H397" i="1"/>
  <c r="G397" i="1"/>
  <c r="F397" i="1"/>
  <c r="E397" i="1"/>
  <c r="D397" i="1"/>
  <c r="B397" i="1"/>
  <c r="K396" i="1"/>
  <c r="J396" i="1"/>
  <c r="H396" i="1"/>
  <c r="G396" i="1"/>
  <c r="F396" i="1"/>
  <c r="E396" i="1"/>
  <c r="D396" i="1"/>
  <c r="B396" i="1"/>
  <c r="K395" i="1"/>
  <c r="J395" i="1"/>
  <c r="H395" i="1"/>
  <c r="G395" i="1"/>
  <c r="F395" i="1"/>
  <c r="E395" i="1"/>
  <c r="D395" i="1"/>
  <c r="B395" i="1"/>
  <c r="K394" i="1"/>
  <c r="J394" i="1"/>
  <c r="H394" i="1"/>
  <c r="G394" i="1"/>
  <c r="F394" i="1"/>
  <c r="E394" i="1"/>
  <c r="D394" i="1"/>
  <c r="B394" i="1"/>
  <c r="K393" i="1"/>
  <c r="J393" i="1"/>
  <c r="H393" i="1"/>
  <c r="G393" i="1"/>
  <c r="F393" i="1"/>
  <c r="E393" i="1"/>
  <c r="D393" i="1"/>
  <c r="B393" i="1"/>
  <c r="K392" i="1"/>
  <c r="J392" i="1"/>
  <c r="H392" i="1"/>
  <c r="G392" i="1"/>
  <c r="F392" i="1"/>
  <c r="E392" i="1"/>
  <c r="D392" i="1"/>
  <c r="B392" i="1"/>
  <c r="K391" i="1"/>
  <c r="J391" i="1"/>
  <c r="H391" i="1"/>
  <c r="G391" i="1"/>
  <c r="F391" i="1"/>
  <c r="E391" i="1"/>
  <c r="D391" i="1"/>
  <c r="B391" i="1"/>
  <c r="K390" i="1"/>
  <c r="J390" i="1"/>
  <c r="H390" i="1"/>
  <c r="G390" i="1"/>
  <c r="F390" i="1"/>
  <c r="E390" i="1"/>
  <c r="D390" i="1"/>
  <c r="B390" i="1"/>
  <c r="K389" i="1"/>
  <c r="J389" i="1"/>
  <c r="H389" i="1"/>
  <c r="G389" i="1"/>
  <c r="F389" i="1"/>
  <c r="E389" i="1"/>
  <c r="D389" i="1"/>
  <c r="B389" i="1"/>
  <c r="K388" i="1"/>
  <c r="J388" i="1"/>
  <c r="H388" i="1"/>
  <c r="G388" i="1"/>
  <c r="F388" i="1"/>
  <c r="E388" i="1"/>
  <c r="D388" i="1"/>
  <c r="B388" i="1"/>
  <c r="K387" i="1"/>
  <c r="J387" i="1"/>
  <c r="H387" i="1"/>
  <c r="G387" i="1"/>
  <c r="F387" i="1"/>
  <c r="E387" i="1"/>
  <c r="D387" i="1"/>
  <c r="B387" i="1"/>
  <c r="K386" i="1"/>
  <c r="J386" i="1"/>
  <c r="H386" i="1"/>
  <c r="G386" i="1"/>
  <c r="F386" i="1"/>
  <c r="E386" i="1"/>
  <c r="D386" i="1"/>
  <c r="B386" i="1"/>
  <c r="K385" i="1"/>
  <c r="J385" i="1"/>
  <c r="H385" i="1"/>
  <c r="G385" i="1"/>
  <c r="F385" i="1"/>
  <c r="E385" i="1"/>
  <c r="D385" i="1"/>
  <c r="B385" i="1"/>
  <c r="K384" i="1"/>
  <c r="J384" i="1"/>
  <c r="H384" i="1"/>
  <c r="G384" i="1"/>
  <c r="F384" i="1"/>
  <c r="E384" i="1"/>
  <c r="D384" i="1"/>
  <c r="B384" i="1"/>
  <c r="K383" i="1"/>
  <c r="J383" i="1"/>
  <c r="H383" i="1"/>
  <c r="G383" i="1"/>
  <c r="F383" i="1"/>
  <c r="E383" i="1"/>
  <c r="D383" i="1"/>
  <c r="B383" i="1"/>
  <c r="K382" i="1"/>
  <c r="J382" i="1"/>
  <c r="H382" i="1"/>
  <c r="G382" i="1"/>
  <c r="F382" i="1"/>
  <c r="E382" i="1"/>
  <c r="D382" i="1"/>
  <c r="B382" i="1"/>
  <c r="K381" i="1"/>
  <c r="J381" i="1"/>
  <c r="H381" i="1"/>
  <c r="G381" i="1"/>
  <c r="F381" i="1"/>
  <c r="E381" i="1"/>
  <c r="D381" i="1"/>
  <c r="B381" i="1"/>
  <c r="K380" i="1"/>
  <c r="J380" i="1"/>
  <c r="H380" i="1"/>
  <c r="G380" i="1"/>
  <c r="F380" i="1"/>
  <c r="E380" i="1"/>
  <c r="D380" i="1"/>
  <c r="B380" i="1"/>
  <c r="K379" i="1"/>
  <c r="J379" i="1"/>
  <c r="H379" i="1"/>
  <c r="G379" i="1"/>
  <c r="F379" i="1"/>
  <c r="E379" i="1"/>
  <c r="D379" i="1"/>
  <c r="B379" i="1"/>
  <c r="K378" i="1"/>
  <c r="J378" i="1"/>
  <c r="H378" i="1"/>
  <c r="G378" i="1"/>
  <c r="F378" i="1"/>
  <c r="E378" i="1"/>
  <c r="D378" i="1"/>
  <c r="B378" i="1"/>
  <c r="K377" i="1"/>
  <c r="J377" i="1"/>
  <c r="H377" i="1"/>
  <c r="G377" i="1"/>
  <c r="F377" i="1"/>
  <c r="E377" i="1"/>
  <c r="D377" i="1"/>
  <c r="B377" i="1"/>
  <c r="K376" i="1"/>
  <c r="J376" i="1"/>
  <c r="H376" i="1"/>
  <c r="G376" i="1"/>
  <c r="F376" i="1"/>
  <c r="E376" i="1"/>
  <c r="D376" i="1"/>
  <c r="B376" i="1"/>
  <c r="K375" i="1"/>
  <c r="J375" i="1"/>
  <c r="H375" i="1"/>
  <c r="G375" i="1"/>
  <c r="F375" i="1"/>
  <c r="E375" i="1"/>
  <c r="D375" i="1"/>
  <c r="B375" i="1"/>
  <c r="K374" i="1"/>
  <c r="J374" i="1"/>
  <c r="H374" i="1"/>
  <c r="G374" i="1"/>
  <c r="F374" i="1"/>
  <c r="E374" i="1"/>
  <c r="D374" i="1"/>
  <c r="B374" i="1"/>
  <c r="K373" i="1"/>
  <c r="J373" i="1"/>
  <c r="H373" i="1"/>
  <c r="G373" i="1"/>
  <c r="F373" i="1"/>
  <c r="E373" i="1"/>
  <c r="D373" i="1"/>
  <c r="B373" i="1"/>
  <c r="K372" i="1"/>
  <c r="J372" i="1"/>
  <c r="H372" i="1"/>
  <c r="G372" i="1"/>
  <c r="F372" i="1"/>
  <c r="E372" i="1"/>
  <c r="D372" i="1"/>
  <c r="B372" i="1"/>
  <c r="K371" i="1"/>
  <c r="J371" i="1"/>
  <c r="H371" i="1"/>
  <c r="G371" i="1"/>
  <c r="F371" i="1"/>
  <c r="E371" i="1"/>
  <c r="D371" i="1"/>
  <c r="B371" i="1"/>
  <c r="K370" i="1"/>
  <c r="J370" i="1"/>
  <c r="H370" i="1"/>
  <c r="G370" i="1"/>
  <c r="F370" i="1"/>
  <c r="E370" i="1"/>
  <c r="D370" i="1"/>
  <c r="B370" i="1"/>
  <c r="K369" i="1"/>
  <c r="J369" i="1"/>
  <c r="H369" i="1"/>
  <c r="G369" i="1"/>
  <c r="F369" i="1"/>
  <c r="E369" i="1"/>
  <c r="D369" i="1"/>
  <c r="B369" i="1"/>
  <c r="K368" i="1"/>
  <c r="J368" i="1"/>
  <c r="H368" i="1"/>
  <c r="G368" i="1"/>
  <c r="F368" i="1"/>
  <c r="E368" i="1"/>
  <c r="D368" i="1"/>
  <c r="B368" i="1"/>
  <c r="K367" i="1"/>
  <c r="J367" i="1"/>
  <c r="H367" i="1"/>
  <c r="G367" i="1"/>
  <c r="F367" i="1"/>
  <c r="E367" i="1"/>
  <c r="D367" i="1"/>
  <c r="B367" i="1"/>
  <c r="K366" i="1"/>
  <c r="J366" i="1"/>
  <c r="H366" i="1"/>
  <c r="G366" i="1"/>
  <c r="F366" i="1"/>
  <c r="E366" i="1"/>
  <c r="D366" i="1"/>
  <c r="B366" i="1"/>
  <c r="K365" i="1"/>
  <c r="J365" i="1"/>
  <c r="H365" i="1"/>
  <c r="G365" i="1"/>
  <c r="F365" i="1"/>
  <c r="E365" i="1"/>
  <c r="D365" i="1"/>
  <c r="B365" i="1"/>
  <c r="K364" i="1"/>
  <c r="J364" i="1"/>
  <c r="H364" i="1"/>
  <c r="G364" i="1"/>
  <c r="F364" i="1"/>
  <c r="E364" i="1"/>
  <c r="D364" i="1"/>
  <c r="B364" i="1"/>
  <c r="K363" i="1"/>
  <c r="J363" i="1"/>
  <c r="H363" i="1"/>
  <c r="G363" i="1"/>
  <c r="F363" i="1"/>
  <c r="E363" i="1"/>
  <c r="D363" i="1"/>
  <c r="B363" i="1"/>
  <c r="K362" i="1"/>
  <c r="J362" i="1"/>
  <c r="H362" i="1"/>
  <c r="G362" i="1"/>
  <c r="F362" i="1"/>
  <c r="E362" i="1"/>
  <c r="D362" i="1"/>
  <c r="B362" i="1"/>
  <c r="K361" i="1"/>
  <c r="J361" i="1"/>
  <c r="H361" i="1"/>
  <c r="G361" i="1"/>
  <c r="F361" i="1"/>
  <c r="E361" i="1"/>
  <c r="D361" i="1"/>
  <c r="B361" i="1"/>
  <c r="K360" i="1"/>
  <c r="J360" i="1"/>
  <c r="H360" i="1"/>
  <c r="G360" i="1"/>
  <c r="F360" i="1"/>
  <c r="E360" i="1"/>
  <c r="D360" i="1"/>
  <c r="B360" i="1"/>
  <c r="K359" i="1"/>
  <c r="J359" i="1"/>
  <c r="I359" i="1"/>
  <c r="G359" i="1"/>
  <c r="F359" i="1"/>
  <c r="E359" i="1"/>
  <c r="D359" i="1"/>
  <c r="B359" i="1"/>
  <c r="K358" i="1"/>
  <c r="J358" i="1"/>
  <c r="I358" i="1"/>
  <c r="G358" i="1"/>
  <c r="F358" i="1"/>
  <c r="E358" i="1"/>
  <c r="D358" i="1"/>
  <c r="B358" i="1"/>
  <c r="K357" i="1"/>
  <c r="J357" i="1"/>
  <c r="I357" i="1"/>
  <c r="G357" i="1"/>
  <c r="F357" i="1"/>
  <c r="E357" i="1"/>
  <c r="D357" i="1"/>
  <c r="B357" i="1"/>
  <c r="K356" i="1"/>
  <c r="J356" i="1"/>
  <c r="I356" i="1"/>
  <c r="G356" i="1"/>
  <c r="F356" i="1"/>
  <c r="E356" i="1"/>
  <c r="D356" i="1"/>
  <c r="B356" i="1"/>
  <c r="K355" i="1"/>
  <c r="J355" i="1"/>
  <c r="I355" i="1"/>
  <c r="G355" i="1"/>
  <c r="F355" i="1"/>
  <c r="E355" i="1"/>
  <c r="D355" i="1"/>
  <c r="B355" i="1"/>
  <c r="K354" i="1"/>
  <c r="J354" i="1"/>
  <c r="I354" i="1"/>
  <c r="G354" i="1"/>
  <c r="F354" i="1"/>
  <c r="E354" i="1"/>
  <c r="D354" i="1"/>
  <c r="B354" i="1"/>
  <c r="K353" i="1"/>
  <c r="J353" i="1"/>
  <c r="I353" i="1"/>
  <c r="G353" i="1"/>
  <c r="F353" i="1"/>
  <c r="E353" i="1"/>
  <c r="D353" i="1"/>
  <c r="B353" i="1"/>
  <c r="K352" i="1"/>
  <c r="J352" i="1"/>
  <c r="I352" i="1"/>
  <c r="G352" i="1"/>
  <c r="F352" i="1"/>
  <c r="E352" i="1"/>
  <c r="D352" i="1"/>
  <c r="B352" i="1"/>
  <c r="K351" i="1"/>
  <c r="J351" i="1"/>
  <c r="I351" i="1"/>
  <c r="G351" i="1"/>
  <c r="F351" i="1"/>
  <c r="E351" i="1"/>
  <c r="D351" i="1"/>
  <c r="B351" i="1"/>
  <c r="K350" i="1"/>
  <c r="J350" i="1"/>
  <c r="I350" i="1"/>
  <c r="G350" i="1"/>
  <c r="F350" i="1"/>
  <c r="E350" i="1"/>
  <c r="D350" i="1"/>
  <c r="B350" i="1"/>
  <c r="K349" i="1"/>
  <c r="J349" i="1"/>
  <c r="I349" i="1"/>
  <c r="G349" i="1"/>
  <c r="F349" i="1"/>
  <c r="E349" i="1"/>
  <c r="D349" i="1"/>
  <c r="B349" i="1"/>
  <c r="K348" i="1"/>
  <c r="J348" i="1"/>
  <c r="I348" i="1"/>
  <c r="G348" i="1"/>
  <c r="F348" i="1"/>
  <c r="E348" i="1"/>
  <c r="D348" i="1"/>
  <c r="B348" i="1"/>
  <c r="K347" i="1"/>
  <c r="J347" i="1"/>
  <c r="I347" i="1"/>
  <c r="G347" i="1"/>
  <c r="F347" i="1"/>
  <c r="E347" i="1"/>
  <c r="D347" i="1"/>
  <c r="B347" i="1"/>
  <c r="K346" i="1"/>
  <c r="J346" i="1"/>
  <c r="I346" i="1"/>
  <c r="G346" i="1"/>
  <c r="F346" i="1"/>
  <c r="E346" i="1"/>
  <c r="D346" i="1"/>
  <c r="B346" i="1"/>
  <c r="K345" i="1"/>
  <c r="J345" i="1"/>
  <c r="I345" i="1"/>
  <c r="G345" i="1"/>
  <c r="F345" i="1"/>
  <c r="E345" i="1"/>
  <c r="D345" i="1"/>
  <c r="B345" i="1"/>
  <c r="K344" i="1"/>
  <c r="J344" i="1"/>
  <c r="I344" i="1"/>
  <c r="G344" i="1"/>
  <c r="F344" i="1"/>
  <c r="E344" i="1"/>
  <c r="D344" i="1"/>
  <c r="B344" i="1"/>
  <c r="K343" i="1"/>
  <c r="J343" i="1"/>
  <c r="I343" i="1"/>
  <c r="G343" i="1"/>
  <c r="F343" i="1"/>
  <c r="E343" i="1"/>
  <c r="D343" i="1"/>
  <c r="B343" i="1"/>
  <c r="K342" i="1"/>
  <c r="J342" i="1"/>
  <c r="I342" i="1"/>
  <c r="G342" i="1"/>
  <c r="F342" i="1"/>
  <c r="E342" i="1"/>
  <c r="D342" i="1"/>
  <c r="B342" i="1"/>
  <c r="K341" i="1"/>
  <c r="J341" i="1"/>
  <c r="I341" i="1"/>
  <c r="G341" i="1"/>
  <c r="F341" i="1"/>
  <c r="E341" i="1"/>
  <c r="D341" i="1"/>
  <c r="B341" i="1"/>
  <c r="K340" i="1"/>
  <c r="J340" i="1"/>
  <c r="I340" i="1"/>
  <c r="G340" i="1"/>
  <c r="F340" i="1"/>
  <c r="E340" i="1"/>
  <c r="D340" i="1"/>
  <c r="B340" i="1"/>
  <c r="K339" i="1"/>
  <c r="J339" i="1"/>
  <c r="I339" i="1"/>
  <c r="H339" i="1"/>
  <c r="G339" i="1"/>
  <c r="F339" i="1"/>
  <c r="E339" i="1"/>
  <c r="D339" i="1"/>
  <c r="B339" i="1"/>
  <c r="K338" i="1"/>
  <c r="J338" i="1"/>
  <c r="I338" i="1"/>
  <c r="H338" i="1"/>
  <c r="G338" i="1"/>
  <c r="F338" i="1"/>
  <c r="E338" i="1"/>
  <c r="D338" i="1"/>
  <c r="B338" i="1"/>
  <c r="K337" i="1"/>
  <c r="J337" i="1"/>
  <c r="I337" i="1"/>
  <c r="H337" i="1"/>
  <c r="G337" i="1"/>
  <c r="F337" i="1"/>
  <c r="E337" i="1"/>
  <c r="D337" i="1"/>
  <c r="B337" i="1"/>
  <c r="K336" i="1"/>
  <c r="J336" i="1"/>
  <c r="I336" i="1"/>
  <c r="H336" i="1"/>
  <c r="G336" i="1"/>
  <c r="F336" i="1"/>
  <c r="E336" i="1"/>
  <c r="D336" i="1"/>
  <c r="B336" i="1"/>
  <c r="K335" i="1"/>
  <c r="J335" i="1"/>
  <c r="I335" i="1"/>
  <c r="H335" i="1"/>
  <c r="G335" i="1"/>
  <c r="F335" i="1"/>
  <c r="E335" i="1"/>
  <c r="D335" i="1"/>
  <c r="B335" i="1"/>
  <c r="K334" i="1"/>
  <c r="J334" i="1"/>
  <c r="I334" i="1"/>
  <c r="H334" i="1"/>
  <c r="G334" i="1"/>
  <c r="F334" i="1"/>
  <c r="E334" i="1"/>
  <c r="D334" i="1"/>
  <c r="B334" i="1"/>
  <c r="K333" i="1"/>
  <c r="J333" i="1"/>
  <c r="I333" i="1"/>
  <c r="H333" i="1"/>
  <c r="G333" i="1"/>
  <c r="F333" i="1"/>
  <c r="E333" i="1"/>
  <c r="D333" i="1"/>
  <c r="B333" i="1"/>
  <c r="K332" i="1"/>
  <c r="J332" i="1"/>
  <c r="I332" i="1"/>
  <c r="H332" i="1"/>
  <c r="G332" i="1"/>
  <c r="F332" i="1"/>
  <c r="E332" i="1"/>
  <c r="D332" i="1"/>
  <c r="B332" i="1"/>
  <c r="K331" i="1"/>
  <c r="J331" i="1"/>
  <c r="I331" i="1"/>
  <c r="H331" i="1"/>
  <c r="G331" i="1"/>
  <c r="F331" i="1"/>
  <c r="E331" i="1"/>
  <c r="D331" i="1"/>
  <c r="B331" i="1"/>
  <c r="K330" i="1"/>
  <c r="J330" i="1"/>
  <c r="I330" i="1"/>
  <c r="H330" i="1"/>
  <c r="G330" i="1"/>
  <c r="F330" i="1"/>
  <c r="E330" i="1"/>
  <c r="D330" i="1"/>
  <c r="B330" i="1"/>
  <c r="K329" i="1"/>
  <c r="J329" i="1"/>
  <c r="I329" i="1"/>
  <c r="H329" i="1"/>
  <c r="G329" i="1"/>
  <c r="F329" i="1"/>
  <c r="E329" i="1"/>
  <c r="D329" i="1"/>
  <c r="B329" i="1"/>
  <c r="K328" i="1"/>
  <c r="J328" i="1"/>
  <c r="I328" i="1"/>
  <c r="H328" i="1"/>
  <c r="G328" i="1"/>
  <c r="F328" i="1"/>
  <c r="E328" i="1"/>
  <c r="D328" i="1"/>
  <c r="B328" i="1"/>
  <c r="K327" i="1"/>
  <c r="J327" i="1"/>
  <c r="I327" i="1"/>
  <c r="H327" i="1"/>
  <c r="G327" i="1"/>
  <c r="F327" i="1"/>
  <c r="E327" i="1"/>
  <c r="D327" i="1"/>
  <c r="B327" i="1"/>
  <c r="K326" i="1"/>
  <c r="J326" i="1"/>
  <c r="I326" i="1"/>
  <c r="H326" i="1"/>
  <c r="G326" i="1"/>
  <c r="F326" i="1"/>
  <c r="E326" i="1"/>
  <c r="D326" i="1"/>
  <c r="B326" i="1"/>
  <c r="K325" i="1"/>
  <c r="J325" i="1"/>
  <c r="I325" i="1"/>
  <c r="H325" i="1"/>
  <c r="G325" i="1"/>
  <c r="F325" i="1"/>
  <c r="E325" i="1"/>
  <c r="D325" i="1"/>
  <c r="B325" i="1"/>
  <c r="K324" i="1"/>
  <c r="J324" i="1"/>
  <c r="I324" i="1"/>
  <c r="H324" i="1"/>
  <c r="G324" i="1"/>
  <c r="F324" i="1"/>
  <c r="E324" i="1"/>
  <c r="D324" i="1"/>
  <c r="B324" i="1"/>
  <c r="K323" i="1"/>
  <c r="J323" i="1"/>
  <c r="I323" i="1"/>
  <c r="H323" i="1"/>
  <c r="G323" i="1"/>
  <c r="F323" i="1"/>
  <c r="E323" i="1"/>
  <c r="D323" i="1"/>
  <c r="B323" i="1"/>
  <c r="K322" i="1"/>
  <c r="J322" i="1"/>
  <c r="I322" i="1"/>
  <c r="H322" i="1"/>
  <c r="G322" i="1"/>
  <c r="F322" i="1"/>
  <c r="E322" i="1"/>
  <c r="D322" i="1"/>
  <c r="B322" i="1"/>
  <c r="K321" i="1"/>
  <c r="J321" i="1"/>
  <c r="I321" i="1"/>
  <c r="H321" i="1"/>
  <c r="G321" i="1"/>
  <c r="F321" i="1"/>
  <c r="E321" i="1"/>
  <c r="D321" i="1"/>
  <c r="B321" i="1"/>
  <c r="K320" i="1"/>
  <c r="J320" i="1"/>
  <c r="I320" i="1"/>
  <c r="H320" i="1"/>
  <c r="G320" i="1"/>
  <c r="F320" i="1"/>
  <c r="E320" i="1"/>
  <c r="D320" i="1"/>
  <c r="B320" i="1"/>
  <c r="K319" i="1"/>
  <c r="J319" i="1"/>
  <c r="I319" i="1"/>
  <c r="H319" i="1"/>
  <c r="G319" i="1"/>
  <c r="F319" i="1"/>
  <c r="E319" i="1"/>
  <c r="D319" i="1"/>
  <c r="B319" i="1"/>
  <c r="K318" i="1"/>
  <c r="J318" i="1"/>
  <c r="I318" i="1"/>
  <c r="H318" i="1"/>
  <c r="G318" i="1"/>
  <c r="F318" i="1"/>
  <c r="E318" i="1"/>
  <c r="D318" i="1"/>
  <c r="B318" i="1"/>
  <c r="K317" i="1"/>
  <c r="J317" i="1"/>
  <c r="I317" i="1"/>
  <c r="H317" i="1"/>
  <c r="G317" i="1"/>
  <c r="F317" i="1"/>
  <c r="E317" i="1"/>
  <c r="D317" i="1"/>
  <c r="B317" i="1"/>
  <c r="K316" i="1"/>
  <c r="J316" i="1"/>
  <c r="I316" i="1"/>
  <c r="H316" i="1"/>
  <c r="G316" i="1"/>
  <c r="F316" i="1"/>
  <c r="E316" i="1"/>
  <c r="D316" i="1"/>
  <c r="B316" i="1"/>
  <c r="K315" i="1"/>
  <c r="J315" i="1"/>
  <c r="I315" i="1"/>
  <c r="H315" i="1"/>
  <c r="G315" i="1"/>
  <c r="F315" i="1"/>
  <c r="E315" i="1"/>
  <c r="D315" i="1"/>
  <c r="B315" i="1"/>
  <c r="K314" i="1"/>
  <c r="J314" i="1"/>
  <c r="I314" i="1"/>
  <c r="H314" i="1"/>
  <c r="G314" i="1"/>
  <c r="F314" i="1"/>
  <c r="E314" i="1"/>
  <c r="D314" i="1"/>
  <c r="B314" i="1"/>
  <c r="K313" i="1"/>
  <c r="J313" i="1"/>
  <c r="I313" i="1"/>
  <c r="H313" i="1"/>
  <c r="G313" i="1"/>
  <c r="F313" i="1"/>
  <c r="E313" i="1"/>
  <c r="D313" i="1"/>
  <c r="B313" i="1"/>
  <c r="K312" i="1"/>
  <c r="J312" i="1"/>
  <c r="I312" i="1"/>
  <c r="H312" i="1"/>
  <c r="G312" i="1"/>
  <c r="F312" i="1"/>
  <c r="E312" i="1"/>
  <c r="D312" i="1"/>
  <c r="B312" i="1"/>
  <c r="K311" i="1"/>
  <c r="J311" i="1"/>
  <c r="I311" i="1"/>
  <c r="H311" i="1"/>
  <c r="G311" i="1"/>
  <c r="F311" i="1"/>
  <c r="E311" i="1"/>
  <c r="D311" i="1"/>
  <c r="B311" i="1"/>
  <c r="K310" i="1"/>
  <c r="J310" i="1"/>
  <c r="I310" i="1"/>
  <c r="H310" i="1"/>
  <c r="G310" i="1"/>
  <c r="F310" i="1"/>
  <c r="E310" i="1"/>
  <c r="D310" i="1"/>
  <c r="B310" i="1"/>
  <c r="K309" i="1"/>
  <c r="J309" i="1"/>
  <c r="I309" i="1"/>
  <c r="H309" i="1"/>
  <c r="G309" i="1"/>
  <c r="F309" i="1"/>
  <c r="E309" i="1"/>
  <c r="D309" i="1"/>
  <c r="B309" i="1"/>
  <c r="K308" i="1"/>
  <c r="J308" i="1"/>
  <c r="I308" i="1"/>
  <c r="H308" i="1"/>
  <c r="G308" i="1"/>
  <c r="F308" i="1"/>
  <c r="E308" i="1"/>
  <c r="D308" i="1"/>
  <c r="B308" i="1"/>
  <c r="K307" i="1"/>
  <c r="J307" i="1"/>
  <c r="I307" i="1"/>
  <c r="H307" i="1"/>
  <c r="G307" i="1"/>
  <c r="F307" i="1"/>
  <c r="E307" i="1"/>
  <c r="D307" i="1"/>
  <c r="B307" i="1"/>
  <c r="K306" i="1"/>
  <c r="J306" i="1"/>
  <c r="I306" i="1"/>
  <c r="H306" i="1"/>
  <c r="G306" i="1"/>
  <c r="F306" i="1"/>
  <c r="E306" i="1"/>
  <c r="D306" i="1"/>
  <c r="B306" i="1"/>
  <c r="K305" i="1"/>
  <c r="J305" i="1"/>
  <c r="I305" i="1"/>
  <c r="H305" i="1"/>
  <c r="G305" i="1"/>
  <c r="F305" i="1"/>
  <c r="E305" i="1"/>
  <c r="D305" i="1"/>
  <c r="B305" i="1"/>
  <c r="K304" i="1"/>
  <c r="J304" i="1"/>
  <c r="I304" i="1"/>
  <c r="H304" i="1"/>
  <c r="G304" i="1"/>
  <c r="F304" i="1"/>
  <c r="E304" i="1"/>
  <c r="D304" i="1"/>
  <c r="B304" i="1"/>
  <c r="K303" i="1"/>
  <c r="J303" i="1"/>
  <c r="I303" i="1"/>
  <c r="H303" i="1"/>
  <c r="G303" i="1"/>
  <c r="F303" i="1"/>
  <c r="E303" i="1"/>
  <c r="D303" i="1"/>
  <c r="B303" i="1"/>
  <c r="K302" i="1"/>
  <c r="J302" i="1"/>
  <c r="I302" i="1"/>
  <c r="H302" i="1"/>
  <c r="G302" i="1"/>
  <c r="F302" i="1"/>
  <c r="E302" i="1"/>
  <c r="D302" i="1"/>
  <c r="B302" i="1"/>
  <c r="K301" i="1"/>
  <c r="J301" i="1"/>
  <c r="I301" i="1"/>
  <c r="H301" i="1"/>
  <c r="G301" i="1"/>
  <c r="F301" i="1"/>
  <c r="E301" i="1"/>
  <c r="D301" i="1"/>
  <c r="B301" i="1"/>
  <c r="K300" i="1"/>
  <c r="J300" i="1"/>
  <c r="I300" i="1"/>
  <c r="H300" i="1"/>
  <c r="G300" i="1"/>
  <c r="F300" i="1"/>
  <c r="E300" i="1"/>
  <c r="D300" i="1"/>
  <c r="B300" i="1"/>
  <c r="K299" i="1"/>
  <c r="J299" i="1"/>
  <c r="I299" i="1"/>
  <c r="H299" i="1"/>
  <c r="G299" i="1"/>
  <c r="F299" i="1"/>
  <c r="E299" i="1"/>
  <c r="D299" i="1"/>
  <c r="B299" i="1"/>
  <c r="K298" i="1"/>
  <c r="J298" i="1"/>
  <c r="I298" i="1"/>
  <c r="H298" i="1"/>
  <c r="G298" i="1"/>
  <c r="F298" i="1"/>
  <c r="E298" i="1"/>
  <c r="D298" i="1"/>
  <c r="B298" i="1"/>
  <c r="K297" i="1"/>
  <c r="J297" i="1"/>
  <c r="I297" i="1"/>
  <c r="H297" i="1"/>
  <c r="G297" i="1"/>
  <c r="F297" i="1"/>
  <c r="E297" i="1"/>
  <c r="D297" i="1"/>
  <c r="B297" i="1"/>
  <c r="K296" i="1"/>
  <c r="J296" i="1"/>
  <c r="I296" i="1"/>
  <c r="H296" i="1"/>
  <c r="G296" i="1"/>
  <c r="F296" i="1"/>
  <c r="E296" i="1"/>
  <c r="D296" i="1"/>
  <c r="B296" i="1"/>
  <c r="K295" i="1"/>
  <c r="J295" i="1"/>
  <c r="I295" i="1"/>
  <c r="H295" i="1"/>
  <c r="G295" i="1"/>
  <c r="F295" i="1"/>
  <c r="E295" i="1"/>
  <c r="D295" i="1"/>
  <c r="B295" i="1"/>
  <c r="K294" i="1"/>
  <c r="J294" i="1"/>
  <c r="I294" i="1"/>
  <c r="H294" i="1"/>
  <c r="G294" i="1"/>
  <c r="F294" i="1"/>
  <c r="E294" i="1"/>
  <c r="D294" i="1"/>
  <c r="B294" i="1"/>
  <c r="K293" i="1"/>
  <c r="J293" i="1"/>
  <c r="I293" i="1"/>
  <c r="H293" i="1"/>
  <c r="G293" i="1"/>
  <c r="F293" i="1"/>
  <c r="E293" i="1"/>
  <c r="D293" i="1"/>
  <c r="B293" i="1"/>
  <c r="K292" i="1"/>
  <c r="J292" i="1"/>
  <c r="I292" i="1"/>
  <c r="H292" i="1"/>
  <c r="G292" i="1"/>
  <c r="F292" i="1"/>
  <c r="E292" i="1"/>
  <c r="D292" i="1"/>
  <c r="B292" i="1"/>
  <c r="K291" i="1"/>
  <c r="J291" i="1"/>
  <c r="I291" i="1"/>
  <c r="H291" i="1"/>
  <c r="G291" i="1"/>
  <c r="F291" i="1"/>
  <c r="E291" i="1"/>
  <c r="D291" i="1"/>
  <c r="B291" i="1"/>
  <c r="K290" i="1"/>
  <c r="J290" i="1"/>
  <c r="I290" i="1"/>
  <c r="H290" i="1"/>
  <c r="G290" i="1"/>
  <c r="F290" i="1"/>
  <c r="E290" i="1"/>
  <c r="D290" i="1"/>
  <c r="B290" i="1"/>
  <c r="K289" i="1"/>
  <c r="J289" i="1"/>
  <c r="I289" i="1"/>
  <c r="H289" i="1"/>
  <c r="G289" i="1"/>
  <c r="F289" i="1"/>
  <c r="E289" i="1"/>
  <c r="D289" i="1"/>
  <c r="B289" i="1"/>
  <c r="K288" i="1"/>
  <c r="J288" i="1"/>
  <c r="I288" i="1"/>
  <c r="H288" i="1"/>
  <c r="G288" i="1"/>
  <c r="F288" i="1"/>
  <c r="E288" i="1"/>
  <c r="D288" i="1"/>
  <c r="B288" i="1"/>
  <c r="K287" i="1"/>
  <c r="J287" i="1"/>
  <c r="I287" i="1"/>
  <c r="H287" i="1"/>
  <c r="G287" i="1"/>
  <c r="F287" i="1"/>
  <c r="E287" i="1"/>
  <c r="D287" i="1"/>
  <c r="B287" i="1"/>
  <c r="K286" i="1"/>
  <c r="J286" i="1"/>
  <c r="I286" i="1"/>
  <c r="H286" i="1"/>
  <c r="G286" i="1"/>
  <c r="F286" i="1"/>
  <c r="E286" i="1"/>
  <c r="D286" i="1"/>
  <c r="B286" i="1"/>
  <c r="K285" i="1"/>
  <c r="J285" i="1"/>
  <c r="I285" i="1"/>
  <c r="H285" i="1"/>
  <c r="G285" i="1"/>
  <c r="F285" i="1"/>
  <c r="E285" i="1"/>
  <c r="D285" i="1"/>
  <c r="B285" i="1"/>
  <c r="K284" i="1"/>
  <c r="J284" i="1"/>
  <c r="I284" i="1"/>
  <c r="H284" i="1"/>
  <c r="G284" i="1"/>
  <c r="F284" i="1"/>
  <c r="E284" i="1"/>
  <c r="D284" i="1"/>
  <c r="B284" i="1"/>
  <c r="K283" i="1"/>
  <c r="J283" i="1"/>
  <c r="I283" i="1"/>
  <c r="H283" i="1"/>
  <c r="G283" i="1"/>
  <c r="F283" i="1"/>
  <c r="E283" i="1"/>
  <c r="D283" i="1"/>
  <c r="B283" i="1"/>
  <c r="K282" i="1"/>
  <c r="J282" i="1"/>
  <c r="I282" i="1"/>
  <c r="H282" i="1"/>
  <c r="G282" i="1"/>
  <c r="F282" i="1"/>
  <c r="E282" i="1"/>
  <c r="D282" i="1"/>
  <c r="B282" i="1"/>
  <c r="K281" i="1"/>
  <c r="J281" i="1"/>
  <c r="I281" i="1"/>
  <c r="H281" i="1"/>
  <c r="G281" i="1"/>
  <c r="F281" i="1"/>
  <c r="E281" i="1"/>
  <c r="D281" i="1"/>
  <c r="B281" i="1"/>
  <c r="K280" i="1"/>
  <c r="J280" i="1"/>
  <c r="I280" i="1"/>
  <c r="H280" i="1"/>
  <c r="G280" i="1"/>
  <c r="F280" i="1"/>
  <c r="E280" i="1"/>
  <c r="D280" i="1"/>
  <c r="B280" i="1"/>
  <c r="K279" i="1"/>
  <c r="J279" i="1"/>
  <c r="I279" i="1"/>
  <c r="H279" i="1"/>
  <c r="G279" i="1"/>
  <c r="F279" i="1"/>
  <c r="E279" i="1"/>
  <c r="D279" i="1"/>
  <c r="B279" i="1"/>
  <c r="K278" i="1"/>
  <c r="J278" i="1"/>
  <c r="I278" i="1"/>
  <c r="H278" i="1"/>
  <c r="G278" i="1"/>
  <c r="F278" i="1"/>
  <c r="E278" i="1"/>
  <c r="D278" i="1"/>
  <c r="B278" i="1"/>
  <c r="K277" i="1"/>
  <c r="J277" i="1"/>
  <c r="I277" i="1"/>
  <c r="H277" i="1"/>
  <c r="G277" i="1"/>
  <c r="F277" i="1"/>
  <c r="E277" i="1"/>
  <c r="D277" i="1"/>
  <c r="B277" i="1"/>
  <c r="K276" i="1"/>
  <c r="J276" i="1"/>
  <c r="I276" i="1"/>
  <c r="H276" i="1"/>
  <c r="G276" i="1"/>
  <c r="F276" i="1"/>
  <c r="E276" i="1"/>
  <c r="D276" i="1"/>
  <c r="B276" i="1"/>
  <c r="K275" i="1"/>
  <c r="J275" i="1"/>
  <c r="I275" i="1"/>
  <c r="H275" i="1"/>
  <c r="G275" i="1"/>
  <c r="F275" i="1"/>
  <c r="E275" i="1"/>
  <c r="D275" i="1"/>
  <c r="B275" i="1"/>
  <c r="K274" i="1"/>
  <c r="J274" i="1"/>
  <c r="I274" i="1"/>
  <c r="H274" i="1"/>
  <c r="G274" i="1"/>
  <c r="F274" i="1"/>
  <c r="E274" i="1"/>
  <c r="D274" i="1"/>
  <c r="B274" i="1"/>
  <c r="K273" i="1"/>
  <c r="J273" i="1"/>
  <c r="I273" i="1"/>
  <c r="H273" i="1"/>
  <c r="G273" i="1"/>
  <c r="F273" i="1"/>
  <c r="E273" i="1"/>
  <c r="D273" i="1"/>
  <c r="B273" i="1"/>
  <c r="K272" i="1"/>
  <c r="J272" i="1"/>
  <c r="I272" i="1"/>
  <c r="H272" i="1"/>
  <c r="G272" i="1"/>
  <c r="F272" i="1"/>
  <c r="E272" i="1"/>
  <c r="D272" i="1"/>
  <c r="B272" i="1"/>
  <c r="K271" i="1"/>
  <c r="J271" i="1"/>
  <c r="I271" i="1"/>
  <c r="H271" i="1"/>
  <c r="G271" i="1"/>
  <c r="F271" i="1"/>
  <c r="E271" i="1"/>
  <c r="D271" i="1"/>
  <c r="B271" i="1"/>
  <c r="K270" i="1"/>
  <c r="J270" i="1"/>
  <c r="I270" i="1"/>
  <c r="H270" i="1"/>
  <c r="G270" i="1"/>
  <c r="F270" i="1"/>
  <c r="E270" i="1"/>
  <c r="D270" i="1"/>
  <c r="B270" i="1"/>
  <c r="K269" i="1"/>
  <c r="J269" i="1"/>
  <c r="I269" i="1"/>
  <c r="H269" i="1"/>
  <c r="G269" i="1"/>
  <c r="F269" i="1"/>
  <c r="E269" i="1"/>
  <c r="D269" i="1"/>
  <c r="B269" i="1"/>
  <c r="K268" i="1"/>
  <c r="J268" i="1"/>
  <c r="I268" i="1"/>
  <c r="H268" i="1"/>
  <c r="G268" i="1"/>
  <c r="F268" i="1"/>
  <c r="E268" i="1"/>
  <c r="D268" i="1"/>
  <c r="B268" i="1"/>
  <c r="K267" i="1"/>
  <c r="J267" i="1"/>
  <c r="I267" i="1"/>
  <c r="H267" i="1"/>
  <c r="G267" i="1"/>
  <c r="F267" i="1"/>
  <c r="E267" i="1"/>
  <c r="D267" i="1"/>
  <c r="B267" i="1"/>
  <c r="K266" i="1"/>
  <c r="J266" i="1"/>
  <c r="I266" i="1"/>
  <c r="H266" i="1"/>
  <c r="G266" i="1"/>
  <c r="F266" i="1"/>
  <c r="E266" i="1"/>
  <c r="D266" i="1"/>
  <c r="B266" i="1"/>
  <c r="K265" i="1"/>
  <c r="J265" i="1"/>
  <c r="I265" i="1"/>
  <c r="H265" i="1"/>
  <c r="G265" i="1"/>
  <c r="F265" i="1"/>
  <c r="E265" i="1"/>
  <c r="D265" i="1"/>
  <c r="B265" i="1"/>
  <c r="K264" i="1"/>
  <c r="J264" i="1"/>
  <c r="I264" i="1"/>
  <c r="H264" i="1"/>
  <c r="G264" i="1"/>
  <c r="F264" i="1"/>
  <c r="E264" i="1"/>
  <c r="D264" i="1"/>
  <c r="B264" i="1"/>
  <c r="K263" i="1"/>
  <c r="J263" i="1"/>
  <c r="I263" i="1"/>
  <c r="H263" i="1"/>
  <c r="G263" i="1"/>
  <c r="F263" i="1"/>
  <c r="E263" i="1"/>
  <c r="D263" i="1"/>
  <c r="B263" i="1"/>
  <c r="K262" i="1"/>
  <c r="J262" i="1"/>
  <c r="I262" i="1"/>
  <c r="H262" i="1"/>
  <c r="G262" i="1"/>
  <c r="F262" i="1"/>
  <c r="E262" i="1"/>
  <c r="D262" i="1"/>
  <c r="B262" i="1"/>
  <c r="K261" i="1"/>
  <c r="J261" i="1"/>
  <c r="I261" i="1"/>
  <c r="H261" i="1"/>
  <c r="G261" i="1"/>
  <c r="F261" i="1"/>
  <c r="E261" i="1"/>
  <c r="D261" i="1"/>
  <c r="B261" i="1"/>
  <c r="K260" i="1"/>
  <c r="J260" i="1"/>
  <c r="I260" i="1"/>
  <c r="H260" i="1"/>
  <c r="G260" i="1"/>
  <c r="F260" i="1"/>
  <c r="E260" i="1"/>
  <c r="D260" i="1"/>
  <c r="B260" i="1"/>
  <c r="K259" i="1"/>
  <c r="J259" i="1"/>
  <c r="I259" i="1"/>
  <c r="H259" i="1"/>
  <c r="G259" i="1"/>
  <c r="F259" i="1"/>
  <c r="E259" i="1"/>
  <c r="D259" i="1"/>
  <c r="B259" i="1"/>
  <c r="K258" i="1"/>
  <c r="J258" i="1"/>
  <c r="I258" i="1"/>
  <c r="H258" i="1"/>
  <c r="G258" i="1"/>
  <c r="F258" i="1"/>
  <c r="E258" i="1"/>
  <c r="D258" i="1"/>
  <c r="B258" i="1"/>
  <c r="K257" i="1"/>
  <c r="J257" i="1"/>
  <c r="I257" i="1"/>
  <c r="H257" i="1"/>
  <c r="G257" i="1"/>
  <c r="F257" i="1"/>
  <c r="E257" i="1"/>
  <c r="D257" i="1"/>
  <c r="B257" i="1"/>
  <c r="K256" i="1"/>
  <c r="J256" i="1"/>
  <c r="I256" i="1"/>
  <c r="H256" i="1"/>
  <c r="G256" i="1"/>
  <c r="F256" i="1"/>
  <c r="E256" i="1"/>
  <c r="D256" i="1"/>
  <c r="B256" i="1"/>
  <c r="K255" i="1"/>
  <c r="J255" i="1"/>
  <c r="I255" i="1"/>
  <c r="H255" i="1"/>
  <c r="E255" i="1"/>
  <c r="D255" i="1"/>
  <c r="B255" i="1"/>
  <c r="K254" i="1"/>
  <c r="J254" i="1"/>
  <c r="I254" i="1"/>
  <c r="H254" i="1"/>
  <c r="G254" i="1"/>
  <c r="F254" i="1"/>
  <c r="E254" i="1"/>
  <c r="D254" i="1"/>
  <c r="B254" i="1"/>
  <c r="K253" i="1"/>
  <c r="J253" i="1"/>
  <c r="I253" i="1"/>
  <c r="H253" i="1"/>
  <c r="G253" i="1"/>
  <c r="F253" i="1"/>
  <c r="E253" i="1"/>
  <c r="D253" i="1"/>
  <c r="B253" i="1"/>
  <c r="K252" i="1"/>
  <c r="J252" i="1"/>
  <c r="I252" i="1"/>
  <c r="H252" i="1"/>
  <c r="G252" i="1"/>
  <c r="F252" i="1"/>
  <c r="E252" i="1"/>
  <c r="D252" i="1"/>
  <c r="B252" i="1"/>
  <c r="K251" i="1"/>
  <c r="J251" i="1"/>
  <c r="I251" i="1"/>
  <c r="H251" i="1"/>
  <c r="G251" i="1"/>
  <c r="F251" i="1"/>
  <c r="E251" i="1"/>
  <c r="D251" i="1"/>
  <c r="B251" i="1"/>
  <c r="K250" i="1"/>
  <c r="J250" i="1"/>
  <c r="I250" i="1"/>
  <c r="H250" i="1"/>
  <c r="G250" i="1"/>
  <c r="F250" i="1"/>
  <c r="E250" i="1"/>
  <c r="D250" i="1"/>
  <c r="B250" i="1"/>
  <c r="Z739" i="1"/>
  <c r="Z740" i="1"/>
  <c r="Z741" i="1"/>
  <c r="Z742" i="1"/>
  <c r="Z743" i="1"/>
  <c r="Z744" i="1"/>
  <c r="Z745" i="1"/>
  <c r="Z746" i="1"/>
  <c r="Z747" i="1"/>
  <c r="Z748" i="1"/>
  <c r="Z749" i="1"/>
  <c r="Z750" i="1"/>
  <c r="Z751" i="1"/>
  <c r="Z752" i="1"/>
  <c r="Z753" i="1"/>
  <c r="Z754" i="1"/>
  <c r="Z761" i="1"/>
  <c r="Z760" i="1"/>
  <c r="Z759" i="1"/>
  <c r="Z758" i="1"/>
  <c r="Z757" i="1"/>
  <c r="Z756" i="1"/>
  <c r="Z755" i="1"/>
  <c r="Z738" i="1"/>
  <c r="C720" i="1"/>
  <c r="C719" i="1"/>
  <c r="C718" i="1"/>
  <c r="C717" i="1"/>
  <c r="C199" i="1"/>
  <c r="C198" i="1"/>
  <c r="C197" i="1"/>
  <c r="C196" i="1"/>
  <c r="C195" i="1"/>
  <c r="C194" i="1"/>
  <c r="C193" i="1"/>
  <c r="C192" i="1"/>
  <c r="C191" i="1"/>
  <c r="C190" i="1"/>
  <c r="C189" i="1"/>
  <c r="C188" i="1"/>
  <c r="C187" i="1"/>
  <c r="C186" i="1"/>
  <c r="C185" i="1"/>
  <c r="C184" i="1"/>
  <c r="C183" i="1"/>
  <c r="C182" i="1"/>
  <c r="C181" i="1"/>
  <c r="C180" i="1"/>
  <c r="C764" i="1"/>
  <c r="C179" i="1"/>
  <c r="C178" i="1"/>
  <c r="C177" i="1"/>
  <c r="C176" i="1"/>
  <c r="C175" i="1"/>
  <c r="C174" i="1"/>
  <c r="C173" i="1"/>
  <c r="C172" i="1"/>
  <c r="C171" i="1"/>
  <c r="C298" i="1"/>
  <c r="C296" i="1"/>
  <c r="C294" i="1"/>
  <c r="C292" i="1"/>
  <c r="C290" i="1"/>
  <c r="C288" i="1"/>
  <c r="C286" i="1"/>
  <c r="C284" i="1"/>
  <c r="C282" i="1"/>
  <c r="C280" i="1"/>
  <c r="C278" i="1"/>
  <c r="C274" i="1"/>
  <c r="C272" i="1"/>
  <c r="C270" i="1"/>
  <c r="AE2" i="17" l="1"/>
  <c r="O300" i="1" s="1"/>
  <c r="D30" i="3"/>
  <c r="C276" i="1"/>
  <c r="D28" i="5"/>
  <c r="C300" i="1"/>
  <c r="D2" i="17"/>
  <c r="D45" i="19"/>
  <c r="D15" i="19"/>
  <c r="D31" i="19"/>
  <c r="C819" i="1"/>
  <c r="C817" i="1"/>
  <c r="C815" i="1"/>
  <c r="C813" i="1"/>
  <c r="C811" i="1"/>
  <c r="C809" i="1"/>
  <c r="C807" i="1"/>
  <c r="C805" i="1"/>
  <c r="C803" i="1"/>
  <c r="C801" i="1"/>
  <c r="C799" i="1"/>
  <c r="C797" i="1"/>
  <c r="C795" i="1"/>
  <c r="C793" i="1"/>
  <c r="C791" i="1"/>
  <c r="C789" i="1"/>
  <c r="C787" i="1"/>
  <c r="C785" i="1"/>
  <c r="C783" i="1"/>
  <c r="C781" i="1"/>
  <c r="C779" i="1"/>
  <c r="C777" i="1"/>
  <c r="C775" i="1"/>
  <c r="C773" i="1"/>
  <c r="C818" i="1"/>
  <c r="C816" i="1"/>
  <c r="C812" i="1"/>
  <c r="C810" i="1"/>
  <c r="C808" i="1"/>
  <c r="C806" i="1"/>
  <c r="C804" i="1"/>
  <c r="C802" i="1"/>
  <c r="C798" i="1"/>
  <c r="C796" i="1"/>
  <c r="C794" i="1"/>
  <c r="C792" i="1"/>
  <c r="C790" i="1"/>
  <c r="C788" i="1"/>
  <c r="C786" i="1"/>
  <c r="C782" i="1"/>
  <c r="C780" i="1"/>
  <c r="C778" i="1"/>
  <c r="C776" i="1"/>
  <c r="C774" i="1"/>
  <c r="C772" i="1"/>
  <c r="C302" i="1"/>
  <c r="D4" i="17"/>
  <c r="C306" i="1"/>
  <c r="D8" i="17"/>
  <c r="C310" i="1"/>
  <c r="D12" i="17"/>
  <c r="C314" i="1"/>
  <c r="D16" i="17"/>
  <c r="C318" i="1"/>
  <c r="D20" i="17"/>
  <c r="C271" i="1"/>
  <c r="D23" i="5"/>
  <c r="C273" i="1"/>
  <c r="D25" i="5"/>
  <c r="C277" i="1"/>
  <c r="D29" i="5"/>
  <c r="C287" i="1"/>
  <c r="D39" i="5"/>
  <c r="C289" i="1"/>
  <c r="D41" i="5"/>
  <c r="C291" i="1"/>
  <c r="D43" i="5"/>
  <c r="C295" i="1"/>
  <c r="D47" i="5"/>
  <c r="C703" i="1"/>
  <c r="D75" i="13"/>
  <c r="C704" i="1"/>
  <c r="D76" i="13"/>
  <c r="C705" i="1"/>
  <c r="D77" i="13"/>
  <c r="C706" i="1"/>
  <c r="D78" i="13"/>
  <c r="C707" i="1"/>
  <c r="C708" i="1"/>
  <c r="D80" i="13"/>
  <c r="C709" i="1"/>
  <c r="D81" i="13"/>
  <c r="C710" i="1"/>
  <c r="D82" i="13"/>
  <c r="C711" i="1"/>
  <c r="D83" i="13"/>
  <c r="C712" i="1"/>
  <c r="D84" i="13"/>
  <c r="C714" i="1"/>
  <c r="D3" i="14"/>
  <c r="C716" i="1"/>
  <c r="D5" i="14"/>
  <c r="D7" i="14"/>
  <c r="D9" i="14"/>
  <c r="C738" i="1"/>
  <c r="D3" i="15"/>
  <c r="C755" i="1"/>
  <c r="D20" i="15"/>
  <c r="C756" i="1"/>
  <c r="D21" i="15"/>
  <c r="C757" i="1"/>
  <c r="D22" i="15"/>
  <c r="C758" i="1"/>
  <c r="D23" i="15"/>
  <c r="C759" i="1"/>
  <c r="D24" i="15"/>
  <c r="C760" i="1"/>
  <c r="D25" i="15"/>
  <c r="C761" i="1"/>
  <c r="D26" i="15"/>
  <c r="C592" i="1"/>
  <c r="D4" i="12"/>
  <c r="C594" i="1"/>
  <c r="D6" i="12"/>
  <c r="C629" i="1"/>
  <c r="D41" i="12"/>
  <c r="C754" i="1"/>
  <c r="D19" i="15"/>
  <c r="C753" i="1"/>
  <c r="D18" i="15"/>
  <c r="C752" i="1"/>
  <c r="D17" i="15"/>
  <c r="C751" i="1"/>
  <c r="D16" i="15"/>
  <c r="C750" i="1"/>
  <c r="D15" i="15"/>
  <c r="C749" i="1"/>
  <c r="D14" i="15"/>
  <c r="C748" i="1"/>
  <c r="D13" i="15"/>
  <c r="C747" i="1"/>
  <c r="D12" i="15"/>
  <c r="C746" i="1"/>
  <c r="D11" i="15"/>
  <c r="C745" i="1"/>
  <c r="D10" i="15"/>
  <c r="C744" i="1"/>
  <c r="D9" i="15"/>
  <c r="C743" i="1"/>
  <c r="D8" i="15"/>
  <c r="C742" i="1"/>
  <c r="D7" i="15"/>
  <c r="C741" i="1"/>
  <c r="D6" i="15"/>
  <c r="C740" i="1"/>
  <c r="D5" i="15"/>
  <c r="C739" i="1"/>
  <c r="D4" i="15"/>
  <c r="C550" i="1"/>
  <c r="D32" i="11"/>
  <c r="C549" i="1"/>
  <c r="D31" i="11"/>
  <c r="C548" i="1"/>
  <c r="D30" i="11"/>
  <c r="C547" i="1"/>
  <c r="D29" i="11"/>
  <c r="C546" i="1"/>
  <c r="D28" i="11"/>
  <c r="C545" i="1"/>
  <c r="D27" i="11"/>
  <c r="C544" i="1"/>
  <c r="D26" i="11"/>
  <c r="C543" i="1"/>
  <c r="D25" i="11"/>
  <c r="C542" i="1"/>
  <c r="D24" i="11"/>
  <c r="C541" i="1"/>
  <c r="D23" i="11"/>
  <c r="C540" i="1"/>
  <c r="D22" i="11"/>
  <c r="C539" i="1"/>
  <c r="D21" i="11"/>
  <c r="C538" i="1"/>
  <c r="D20" i="11"/>
  <c r="C537" i="1"/>
  <c r="D19" i="11"/>
  <c r="C536" i="1"/>
  <c r="D18" i="11"/>
  <c r="C535" i="1"/>
  <c r="D17" i="11"/>
  <c r="C534" i="1"/>
  <c r="D16" i="11"/>
  <c r="C533" i="1"/>
  <c r="D15" i="11"/>
  <c r="C532" i="1"/>
  <c r="D14" i="11"/>
  <c r="C531" i="1"/>
  <c r="D13" i="11"/>
  <c r="C530" i="1"/>
  <c r="D12" i="11"/>
  <c r="C529" i="1"/>
  <c r="D11" i="11"/>
  <c r="C528" i="1"/>
  <c r="D10" i="11"/>
  <c r="D22" i="3"/>
  <c r="D24" i="3"/>
  <c r="D26" i="3"/>
  <c r="D28" i="3"/>
  <c r="D32" i="3"/>
  <c r="D34" i="3"/>
  <c r="D36" i="3"/>
  <c r="D38" i="3"/>
  <c r="D40" i="3"/>
  <c r="D42" i="3"/>
  <c r="D45" i="3"/>
  <c r="D49" i="3"/>
  <c r="D24" i="5"/>
  <c r="D32" i="5"/>
  <c r="D36" i="5"/>
  <c r="D40" i="5"/>
  <c r="D44" i="5"/>
  <c r="D48" i="5"/>
  <c r="C304" i="1"/>
  <c r="D6" i="17"/>
  <c r="C308" i="1"/>
  <c r="D10" i="17"/>
  <c r="C312" i="1"/>
  <c r="D14" i="17"/>
  <c r="C316" i="1"/>
  <c r="D18" i="17"/>
  <c r="C275" i="1"/>
  <c r="D27" i="5"/>
  <c r="C279" i="1"/>
  <c r="D31" i="5"/>
  <c r="C281" i="1"/>
  <c r="D33" i="5"/>
  <c r="C283" i="1"/>
  <c r="D35" i="5"/>
  <c r="C285" i="1"/>
  <c r="D37" i="5"/>
  <c r="C293" i="1"/>
  <c r="D45" i="5"/>
  <c r="C297" i="1"/>
  <c r="D49" i="5"/>
  <c r="C299" i="1"/>
  <c r="D51" i="5"/>
  <c r="C563" i="1"/>
  <c r="D45" i="11"/>
  <c r="C564" i="1"/>
  <c r="D46" i="11"/>
  <c r="C565" i="1"/>
  <c r="C566" i="1"/>
  <c r="D48" i="11"/>
  <c r="C567" i="1"/>
  <c r="D49" i="11"/>
  <c r="C568" i="1"/>
  <c r="D50" i="11"/>
  <c r="C569" i="1"/>
  <c r="D51" i="11"/>
  <c r="C570" i="1"/>
  <c r="D52" i="11"/>
  <c r="C571" i="1"/>
  <c r="D53" i="11"/>
  <c r="C572" i="1"/>
  <c r="D54" i="11"/>
  <c r="C573" i="1"/>
  <c r="D55" i="11"/>
  <c r="C574" i="1"/>
  <c r="D56" i="11"/>
  <c r="C575" i="1"/>
  <c r="D57" i="11"/>
  <c r="C576" i="1"/>
  <c r="D58" i="11"/>
  <c r="C577" i="1"/>
  <c r="D59" i="11"/>
  <c r="C578" i="1"/>
  <c r="D60" i="11"/>
  <c r="C579" i="1"/>
  <c r="D61" i="11"/>
  <c r="C580" i="1"/>
  <c r="D62" i="11"/>
  <c r="C581" i="1"/>
  <c r="D63" i="11"/>
  <c r="C582" i="1"/>
  <c r="D64" i="11"/>
  <c r="C583" i="1"/>
  <c r="D65" i="11"/>
  <c r="C584" i="1"/>
  <c r="D66" i="11"/>
  <c r="C585" i="1"/>
  <c r="D67" i="11"/>
  <c r="C586" i="1"/>
  <c r="D68" i="11"/>
  <c r="C587" i="1"/>
  <c r="D69" i="11"/>
  <c r="C588" i="1"/>
  <c r="D70" i="11"/>
  <c r="C589" i="1"/>
  <c r="D71" i="11"/>
  <c r="C762" i="1"/>
  <c r="D2" i="16"/>
  <c r="C766" i="1"/>
  <c r="D6" i="16"/>
  <c r="C768" i="1"/>
  <c r="D8" i="16"/>
  <c r="C770" i="1"/>
  <c r="D10" i="16"/>
  <c r="C713" i="1"/>
  <c r="D2" i="14"/>
  <c r="C301" i="1"/>
  <c r="D3" i="17"/>
  <c r="C303" i="1"/>
  <c r="D5" i="17"/>
  <c r="C305" i="1"/>
  <c r="D7" i="17"/>
  <c r="C307" i="1"/>
  <c r="D9" i="17"/>
  <c r="C309" i="1"/>
  <c r="D11" i="17"/>
  <c r="C311" i="1"/>
  <c r="D13" i="17"/>
  <c r="C313" i="1"/>
  <c r="D15" i="17"/>
  <c r="C315" i="1"/>
  <c r="D17" i="17"/>
  <c r="C317" i="1"/>
  <c r="D19" i="17"/>
  <c r="C319" i="1"/>
  <c r="D21" i="17"/>
  <c r="C763" i="1"/>
  <c r="D3" i="16"/>
  <c r="C765" i="1"/>
  <c r="D5" i="16"/>
  <c r="C767" i="1"/>
  <c r="D7" i="16"/>
  <c r="C769" i="1"/>
  <c r="D9" i="16"/>
  <c r="D44" i="3"/>
  <c r="D46" i="3"/>
  <c r="D48" i="3"/>
  <c r="D50" i="3"/>
  <c r="C715" i="1"/>
  <c r="D4" i="14"/>
  <c r="D6" i="14"/>
  <c r="D8" i="14"/>
  <c r="C593" i="1"/>
  <c r="D5" i="12"/>
  <c r="C628" i="1"/>
  <c r="D40" i="12"/>
  <c r="C621" i="1"/>
  <c r="D33" i="12"/>
  <c r="C622" i="1"/>
  <c r="D34" i="12"/>
  <c r="C623" i="1"/>
  <c r="D35" i="12"/>
  <c r="C624" i="1"/>
  <c r="D36" i="12"/>
  <c r="C625" i="1"/>
  <c r="D37" i="12"/>
  <c r="C626" i="1"/>
  <c r="D38" i="12"/>
  <c r="C627" i="1"/>
  <c r="D39" i="12"/>
  <c r="C595" i="1"/>
  <c r="D7" i="12"/>
  <c r="C596" i="1"/>
  <c r="D8" i="12"/>
  <c r="C597" i="1"/>
  <c r="D9" i="12"/>
  <c r="C598" i="1"/>
  <c r="D10" i="12"/>
  <c r="C599" i="1"/>
  <c r="D11" i="12"/>
  <c r="C600" i="1"/>
  <c r="D12" i="12"/>
  <c r="C601" i="1"/>
  <c r="D13" i="12"/>
  <c r="C602" i="1"/>
  <c r="D14" i="12"/>
  <c r="C603" i="1"/>
  <c r="D15" i="12"/>
  <c r="C604" i="1"/>
  <c r="D16" i="12"/>
  <c r="C605" i="1"/>
  <c r="D17" i="12"/>
  <c r="C606" i="1"/>
  <c r="D18" i="12"/>
  <c r="C607" i="1"/>
  <c r="D19" i="12"/>
  <c r="C608" i="1"/>
  <c r="D20" i="12"/>
  <c r="C620" i="1"/>
  <c r="D32" i="12"/>
  <c r="C609" i="1"/>
  <c r="D21" i="12"/>
  <c r="C610" i="1"/>
  <c r="D22" i="12"/>
  <c r="C611" i="1"/>
  <c r="D23" i="12"/>
  <c r="C612" i="1"/>
  <c r="D24" i="12"/>
  <c r="C613" i="1"/>
  <c r="D25" i="12"/>
  <c r="C614" i="1"/>
  <c r="D26" i="12"/>
  <c r="C615" i="1"/>
  <c r="D27" i="12"/>
  <c r="C616" i="1"/>
  <c r="D28" i="12"/>
  <c r="C617" i="1"/>
  <c r="D29" i="12"/>
  <c r="C618" i="1"/>
  <c r="D30" i="12"/>
  <c r="C619" i="1"/>
  <c r="D31" i="12"/>
  <c r="D23" i="3"/>
  <c r="D25" i="3"/>
  <c r="D27" i="3"/>
  <c r="D29" i="3"/>
  <c r="D31" i="3"/>
  <c r="D33" i="3"/>
  <c r="D35" i="3"/>
  <c r="D37" i="3"/>
  <c r="D39" i="3"/>
  <c r="D41" i="3"/>
  <c r="D43" i="3"/>
  <c r="D47" i="3"/>
  <c r="D22" i="5"/>
  <c r="D26" i="5"/>
  <c r="D30" i="5"/>
  <c r="D34" i="5"/>
  <c r="D38" i="5"/>
  <c r="D42" i="5"/>
  <c r="D46" i="5"/>
  <c r="D50" i="5"/>
  <c r="D4" i="16"/>
  <c r="C219" i="1"/>
  <c r="C218" i="1"/>
  <c r="C217" i="1"/>
  <c r="C216" i="1"/>
  <c r="C215" i="1"/>
  <c r="C214" i="1"/>
  <c r="C213" i="1"/>
  <c r="C212" i="1"/>
  <c r="C211" i="1"/>
  <c r="C210" i="1"/>
  <c r="C209" i="1"/>
  <c r="C208" i="1"/>
  <c r="C207" i="1"/>
  <c r="C206" i="1"/>
  <c r="C205" i="1"/>
  <c r="C204" i="1"/>
  <c r="C203" i="1"/>
  <c r="C202" i="1"/>
  <c r="C170" i="1"/>
  <c r="C169" i="1"/>
  <c r="C168" i="1"/>
  <c r="C167" i="1"/>
  <c r="C166" i="1"/>
  <c r="C165" i="1"/>
  <c r="C164" i="1"/>
  <c r="C163" i="1"/>
  <c r="C162" i="1"/>
  <c r="C161" i="1"/>
  <c r="C159" i="1"/>
  <c r="C158" i="1"/>
  <c r="C157" i="1"/>
  <c r="C155"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2" i="1"/>
  <c r="C31" i="1"/>
  <c r="C30" i="1"/>
  <c r="C29" i="1"/>
  <c r="C28" i="1"/>
  <c r="C27" i="1"/>
  <c r="C26" i="1"/>
  <c r="C25" i="1"/>
  <c r="C24" i="1"/>
  <c r="C23" i="1"/>
  <c r="C22" i="1"/>
  <c r="C21" i="1"/>
  <c r="C20" i="1"/>
  <c r="C19" i="1"/>
  <c r="C18" i="1"/>
  <c r="C16" i="1"/>
  <c r="C15" i="1"/>
  <c r="C14" i="1"/>
  <c r="C13" i="1"/>
  <c r="C12" i="1"/>
  <c r="C11" i="1"/>
  <c r="C10" i="1"/>
  <c r="C9" i="1"/>
  <c r="C8" i="1"/>
  <c r="C7" i="1"/>
  <c r="C6" i="1"/>
  <c r="C5" i="1"/>
  <c r="C4" i="1"/>
  <c r="C3" i="1"/>
  <c r="D2" i="5"/>
  <c r="D134" i="2" l="1"/>
  <c r="D4" i="10"/>
  <c r="C512" i="1"/>
  <c r="D6" i="10"/>
  <c r="C514" i="1"/>
  <c r="C516" i="1"/>
  <c r="D10" i="10"/>
  <c r="C518" i="1"/>
  <c r="D5" i="10"/>
  <c r="C513" i="1"/>
  <c r="D7" i="10"/>
  <c r="C515" i="1"/>
  <c r="D9" i="10"/>
  <c r="C517" i="1"/>
  <c r="D11" i="10"/>
  <c r="C519" i="1"/>
  <c r="C324" i="1"/>
  <c r="D6" i="7"/>
  <c r="C328" i="1"/>
  <c r="D10" i="7"/>
  <c r="C332" i="1"/>
  <c r="C336" i="1"/>
  <c r="D18" i="7"/>
  <c r="C340" i="1"/>
  <c r="D2" i="6"/>
  <c r="C344" i="1"/>
  <c r="D6" i="6"/>
  <c r="C348" i="1"/>
  <c r="D10" i="6"/>
  <c r="C352" i="1"/>
  <c r="D14" i="6"/>
  <c r="C356" i="1"/>
  <c r="D18" i="6"/>
  <c r="C250" i="1"/>
  <c r="C252" i="1"/>
  <c r="D4" i="5"/>
  <c r="C256" i="1"/>
  <c r="D8" i="5"/>
  <c r="C260" i="1"/>
  <c r="D12" i="5"/>
  <c r="C264" i="1"/>
  <c r="D16" i="5"/>
  <c r="C268" i="1"/>
  <c r="D20" i="5"/>
  <c r="D5" i="2"/>
  <c r="D9" i="2"/>
  <c r="D13" i="2"/>
  <c r="D17" i="2"/>
  <c r="D21" i="2"/>
  <c r="D25" i="2"/>
  <c r="D29" i="2"/>
  <c r="D33" i="2"/>
  <c r="D37" i="2"/>
  <c r="D41" i="2"/>
  <c r="D43" i="2"/>
  <c r="D47" i="2"/>
  <c r="D51" i="2"/>
  <c r="D55" i="2"/>
  <c r="D59" i="2"/>
  <c r="D63" i="2"/>
  <c r="D67" i="2"/>
  <c r="D71" i="2"/>
  <c r="D75" i="2"/>
  <c r="D77" i="2"/>
  <c r="D81" i="2"/>
  <c r="D85" i="2"/>
  <c r="D89" i="2"/>
  <c r="D93" i="2"/>
  <c r="D97" i="2"/>
  <c r="D101" i="2"/>
  <c r="D105" i="2"/>
  <c r="D109" i="2"/>
  <c r="D113" i="2"/>
  <c r="D117" i="2"/>
  <c r="D119" i="2"/>
  <c r="D123" i="2"/>
  <c r="D127" i="2"/>
  <c r="D131" i="2"/>
  <c r="D135" i="2"/>
  <c r="D139" i="2"/>
  <c r="D143" i="2"/>
  <c r="D147" i="2"/>
  <c r="D6" i="3"/>
  <c r="D10" i="3"/>
  <c r="D12" i="3"/>
  <c r="D16" i="3"/>
  <c r="D20" i="3"/>
  <c r="D4" i="4"/>
  <c r="D8" i="4"/>
  <c r="D12" i="4"/>
  <c r="D16" i="4"/>
  <c r="D18" i="4"/>
  <c r="C360" i="1"/>
  <c r="C364" i="1"/>
  <c r="C368" i="1"/>
  <c r="D10" i="8"/>
  <c r="C372" i="1"/>
  <c r="D14" i="8"/>
  <c r="C376" i="1"/>
  <c r="D18" i="8"/>
  <c r="C380" i="1"/>
  <c r="D22" i="8"/>
  <c r="C384" i="1"/>
  <c r="D26" i="8"/>
  <c r="C388" i="1"/>
  <c r="D30" i="8"/>
  <c r="C390" i="1"/>
  <c r="D32" i="8"/>
  <c r="C394" i="1"/>
  <c r="D36" i="8"/>
  <c r="C398" i="1"/>
  <c r="D40" i="8"/>
  <c r="C402" i="1"/>
  <c r="D44" i="8"/>
  <c r="C406" i="1"/>
  <c r="D48" i="8"/>
  <c r="C410" i="1"/>
  <c r="D52" i="8"/>
  <c r="C414" i="1"/>
  <c r="D56" i="8"/>
  <c r="C418" i="1"/>
  <c r="D60" i="8"/>
  <c r="C420" i="1"/>
  <c r="D62" i="8"/>
  <c r="C424" i="1"/>
  <c r="D66" i="8"/>
  <c r="C428" i="1"/>
  <c r="D70" i="8"/>
  <c r="C432" i="1"/>
  <c r="D74" i="8"/>
  <c r="C436" i="1"/>
  <c r="D78" i="8"/>
  <c r="C440" i="1"/>
  <c r="D82" i="8"/>
  <c r="C444" i="1"/>
  <c r="D86" i="8"/>
  <c r="C448" i="1"/>
  <c r="D90" i="8"/>
  <c r="C452" i="1"/>
  <c r="D94" i="8"/>
  <c r="C456" i="1"/>
  <c r="D98" i="8"/>
  <c r="C460" i="1"/>
  <c r="D2" i="9"/>
  <c r="C464" i="1"/>
  <c r="D6" i="9"/>
  <c r="C468" i="1"/>
  <c r="D10" i="9"/>
  <c r="C470" i="1"/>
  <c r="D12" i="9"/>
  <c r="C474" i="1"/>
  <c r="D16" i="9"/>
  <c r="C478" i="1"/>
  <c r="D20" i="9"/>
  <c r="C482" i="1"/>
  <c r="D24" i="9"/>
  <c r="C486" i="1"/>
  <c r="D28" i="9"/>
  <c r="C490" i="1"/>
  <c r="D32" i="9"/>
  <c r="C494" i="1"/>
  <c r="D36" i="9"/>
  <c r="C498" i="1"/>
  <c r="D40" i="9"/>
  <c r="C502" i="1"/>
  <c r="D44" i="9"/>
  <c r="C322" i="1"/>
  <c r="D4" i="7"/>
  <c r="C326" i="1"/>
  <c r="D8" i="7"/>
  <c r="C330" i="1"/>
  <c r="D12" i="7"/>
  <c r="C334" i="1"/>
  <c r="D16" i="7"/>
  <c r="C338" i="1"/>
  <c r="D20" i="7"/>
  <c r="C342" i="1"/>
  <c r="D4" i="6"/>
  <c r="C346" i="1"/>
  <c r="D8" i="6"/>
  <c r="C350" i="1"/>
  <c r="D12" i="6"/>
  <c r="C354" i="1"/>
  <c r="D16" i="6"/>
  <c r="C358" i="1"/>
  <c r="D20" i="6"/>
  <c r="C254" i="1"/>
  <c r="D6" i="5"/>
  <c r="C258" i="1"/>
  <c r="D10" i="5"/>
  <c r="C262" i="1"/>
  <c r="D14" i="5"/>
  <c r="C266" i="1"/>
  <c r="D18" i="5"/>
  <c r="D3" i="2"/>
  <c r="D7" i="2"/>
  <c r="D11" i="2"/>
  <c r="D15" i="2"/>
  <c r="D19" i="2"/>
  <c r="D23" i="2"/>
  <c r="D27" i="2"/>
  <c r="D31" i="2"/>
  <c r="D35" i="2"/>
  <c r="D39" i="2"/>
  <c r="D45" i="2"/>
  <c r="D49" i="2"/>
  <c r="D53" i="2"/>
  <c r="D57" i="2"/>
  <c r="D61" i="2"/>
  <c r="D65" i="2"/>
  <c r="D69" i="2"/>
  <c r="D73" i="2"/>
  <c r="D79" i="2"/>
  <c r="D83" i="2"/>
  <c r="D87" i="2"/>
  <c r="D91" i="2"/>
  <c r="D95" i="2"/>
  <c r="D99" i="2"/>
  <c r="D103" i="2"/>
  <c r="D107" i="2"/>
  <c r="D111" i="2"/>
  <c r="D115" i="2"/>
  <c r="D121" i="2"/>
  <c r="D125" i="2"/>
  <c r="D129" i="2"/>
  <c r="D133" i="2"/>
  <c r="D137" i="2"/>
  <c r="D141" i="2"/>
  <c r="D145" i="2"/>
  <c r="D149" i="2"/>
  <c r="D8" i="3"/>
  <c r="D14" i="3"/>
  <c r="D18" i="3"/>
  <c r="D6" i="4"/>
  <c r="D10" i="4"/>
  <c r="D14" i="4"/>
  <c r="D20" i="4"/>
  <c r="C362" i="1"/>
  <c r="C366" i="1"/>
  <c r="C370" i="1"/>
  <c r="D12" i="8"/>
  <c r="C374" i="1"/>
  <c r="D16" i="8"/>
  <c r="C378" i="1"/>
  <c r="D20" i="8"/>
  <c r="C382" i="1"/>
  <c r="D24" i="8"/>
  <c r="C386" i="1"/>
  <c r="D28" i="8"/>
  <c r="C392" i="1"/>
  <c r="D34" i="8"/>
  <c r="C396" i="1"/>
  <c r="D38" i="8"/>
  <c r="C400" i="1"/>
  <c r="D42" i="8"/>
  <c r="C404" i="1"/>
  <c r="D46" i="8"/>
  <c r="C408" i="1"/>
  <c r="D50" i="8"/>
  <c r="C412" i="1"/>
  <c r="D54" i="8"/>
  <c r="C416" i="1"/>
  <c r="D58" i="8"/>
  <c r="C422" i="1"/>
  <c r="D64" i="8"/>
  <c r="C426" i="1"/>
  <c r="D68" i="8"/>
  <c r="C430" i="1"/>
  <c r="D72" i="8"/>
  <c r="C434" i="1"/>
  <c r="D76" i="8"/>
  <c r="C438" i="1"/>
  <c r="D80" i="8"/>
  <c r="C442" i="1"/>
  <c r="D84" i="8"/>
  <c r="C446" i="1"/>
  <c r="D88" i="8"/>
  <c r="C450" i="1"/>
  <c r="D92" i="8"/>
  <c r="C454" i="1"/>
  <c r="D96" i="8"/>
  <c r="C458" i="1"/>
  <c r="D100" i="8"/>
  <c r="C462" i="1"/>
  <c r="D4" i="9"/>
  <c r="C466" i="1"/>
  <c r="D8" i="9"/>
  <c r="C472" i="1"/>
  <c r="D14" i="9"/>
  <c r="C476" i="1"/>
  <c r="D18" i="9"/>
  <c r="C480" i="1"/>
  <c r="D22" i="9"/>
  <c r="C484" i="1"/>
  <c r="D26" i="9"/>
  <c r="C488" i="1"/>
  <c r="D30" i="9"/>
  <c r="C492" i="1"/>
  <c r="D34" i="9"/>
  <c r="C496" i="1"/>
  <c r="D38" i="9"/>
  <c r="C500" i="1"/>
  <c r="D42" i="9"/>
  <c r="C506" i="1"/>
  <c r="D48" i="9"/>
  <c r="C511" i="1"/>
  <c r="D3" i="10"/>
  <c r="C521" i="1"/>
  <c r="D3" i="11"/>
  <c r="C525" i="1"/>
  <c r="D7" i="11"/>
  <c r="C552" i="1"/>
  <c r="D34" i="11"/>
  <c r="C556" i="1"/>
  <c r="D38" i="11"/>
  <c r="C558" i="1"/>
  <c r="D40" i="11"/>
  <c r="C562" i="1"/>
  <c r="D44" i="11"/>
  <c r="C632" i="1"/>
  <c r="D4" i="13"/>
  <c r="C638" i="1"/>
  <c r="D10" i="13"/>
  <c r="C321" i="1"/>
  <c r="D3" i="7"/>
  <c r="C323" i="1"/>
  <c r="D5" i="7"/>
  <c r="C325" i="1"/>
  <c r="D7" i="7"/>
  <c r="C327" i="1"/>
  <c r="D9" i="7"/>
  <c r="C329" i="1"/>
  <c r="D11" i="7"/>
  <c r="C331" i="1"/>
  <c r="D13" i="7"/>
  <c r="C333" i="1"/>
  <c r="D15" i="7"/>
  <c r="C335" i="1"/>
  <c r="D17" i="7"/>
  <c r="C337" i="1"/>
  <c r="D19" i="7"/>
  <c r="C339" i="1"/>
  <c r="D21" i="7"/>
  <c r="C341" i="1"/>
  <c r="D3" i="6"/>
  <c r="C343" i="1"/>
  <c r="D5" i="6"/>
  <c r="C345" i="1"/>
  <c r="D7" i="6"/>
  <c r="C347" i="1"/>
  <c r="D9" i="6"/>
  <c r="C349" i="1"/>
  <c r="C351" i="1"/>
  <c r="D13" i="6"/>
  <c r="C353" i="1"/>
  <c r="D15" i="6"/>
  <c r="C355" i="1"/>
  <c r="D17" i="6"/>
  <c r="C357" i="1"/>
  <c r="D19" i="6"/>
  <c r="C359" i="1"/>
  <c r="D21" i="6"/>
  <c r="C251" i="1"/>
  <c r="D3" i="5"/>
  <c r="C253" i="1"/>
  <c r="D5" i="5"/>
  <c r="C255" i="1"/>
  <c r="D7" i="5"/>
  <c r="C257" i="1"/>
  <c r="D9" i="5"/>
  <c r="C259" i="1"/>
  <c r="D11" i="5"/>
  <c r="C261" i="1"/>
  <c r="D13" i="5"/>
  <c r="C263" i="1"/>
  <c r="D15" i="5"/>
  <c r="C265" i="1"/>
  <c r="D17" i="5"/>
  <c r="C267" i="1"/>
  <c r="D19" i="5"/>
  <c r="C269" i="1"/>
  <c r="D21" i="5"/>
  <c r="D4" i="2"/>
  <c r="D6" i="2"/>
  <c r="D8" i="2"/>
  <c r="D10" i="2"/>
  <c r="D12" i="2"/>
  <c r="D14" i="2"/>
  <c r="D16" i="2"/>
  <c r="D18" i="2"/>
  <c r="D20" i="2"/>
  <c r="D22" i="2"/>
  <c r="D24" i="2"/>
  <c r="D26" i="2"/>
  <c r="D28" i="2"/>
  <c r="D30" i="2"/>
  <c r="D32" i="2"/>
  <c r="D34" i="2"/>
  <c r="D36" i="2"/>
  <c r="D38" i="2"/>
  <c r="D40" i="2"/>
  <c r="D42" i="2"/>
  <c r="D44" i="2"/>
  <c r="D46" i="2"/>
  <c r="D48" i="2"/>
  <c r="D50" i="2"/>
  <c r="D52" i="2"/>
  <c r="D54" i="2"/>
  <c r="D56" i="2"/>
  <c r="D58" i="2"/>
  <c r="D60" i="2"/>
  <c r="D62" i="2"/>
  <c r="D64" i="2"/>
  <c r="D66" i="2"/>
  <c r="D68" i="2"/>
  <c r="D70" i="2"/>
  <c r="D72" i="2"/>
  <c r="D74" i="2"/>
  <c r="D76" i="2"/>
  <c r="D78" i="2"/>
  <c r="D80" i="2"/>
  <c r="D82" i="2"/>
  <c r="D84" i="2"/>
  <c r="D86" i="2"/>
  <c r="D88" i="2"/>
  <c r="D90" i="2"/>
  <c r="D92" i="2"/>
  <c r="D94" i="2"/>
  <c r="D96" i="2"/>
  <c r="D98" i="2"/>
  <c r="D100" i="2"/>
  <c r="D102" i="2"/>
  <c r="D104" i="2"/>
  <c r="D106" i="2"/>
  <c r="D108" i="2"/>
  <c r="D110" i="2"/>
  <c r="D112" i="2"/>
  <c r="D114" i="2"/>
  <c r="D116" i="2"/>
  <c r="D118" i="2"/>
  <c r="D120" i="2"/>
  <c r="D122" i="2"/>
  <c r="D124" i="2"/>
  <c r="D126" i="2"/>
  <c r="D128" i="2"/>
  <c r="D130" i="2"/>
  <c r="D132" i="2"/>
  <c r="D136" i="2"/>
  <c r="D138" i="2"/>
  <c r="D140" i="2"/>
  <c r="D142" i="2"/>
  <c r="D144" i="2"/>
  <c r="D146" i="2"/>
  <c r="D148" i="2"/>
  <c r="D150" i="2"/>
  <c r="D9" i="3"/>
  <c r="D13" i="3"/>
  <c r="D15" i="3"/>
  <c r="D17" i="3"/>
  <c r="D19" i="3"/>
  <c r="D21" i="3"/>
  <c r="D3" i="4"/>
  <c r="D5" i="4"/>
  <c r="D7" i="4"/>
  <c r="D9" i="4"/>
  <c r="D11" i="4"/>
  <c r="D13" i="4"/>
  <c r="D15" i="4"/>
  <c r="D17" i="4"/>
  <c r="D19" i="4"/>
  <c r="D21" i="4"/>
  <c r="C361" i="1"/>
  <c r="C363" i="1"/>
  <c r="C365" i="1"/>
  <c r="D7" i="8"/>
  <c r="C367" i="1"/>
  <c r="D9" i="8"/>
  <c r="C369" i="1"/>
  <c r="D11" i="8"/>
  <c r="C371" i="1"/>
  <c r="D13" i="8"/>
  <c r="C373" i="1"/>
  <c r="D15" i="8"/>
  <c r="C375" i="1"/>
  <c r="D17" i="8"/>
  <c r="C377" i="1"/>
  <c r="D19" i="8"/>
  <c r="C379" i="1"/>
  <c r="D21" i="8"/>
  <c r="C381" i="1"/>
  <c r="D23" i="8"/>
  <c r="C383" i="1"/>
  <c r="D25" i="8"/>
  <c r="C385" i="1"/>
  <c r="D27" i="8"/>
  <c r="C387" i="1"/>
  <c r="D29" i="8"/>
  <c r="C389" i="1"/>
  <c r="D31" i="8"/>
  <c r="C391" i="1"/>
  <c r="D33" i="8"/>
  <c r="C393" i="1"/>
  <c r="D35" i="8"/>
  <c r="C395" i="1"/>
  <c r="D37" i="8"/>
  <c r="C397" i="1"/>
  <c r="D39" i="8"/>
  <c r="C399" i="1"/>
  <c r="D41" i="8"/>
  <c r="C401" i="1"/>
  <c r="D43" i="8"/>
  <c r="C403" i="1"/>
  <c r="D45" i="8"/>
  <c r="C405" i="1"/>
  <c r="D47" i="8"/>
  <c r="C407" i="1"/>
  <c r="D49" i="8"/>
  <c r="C409" i="1"/>
  <c r="D51" i="8"/>
  <c r="C411" i="1"/>
  <c r="D53" i="8"/>
  <c r="C413" i="1"/>
  <c r="D55" i="8"/>
  <c r="C415" i="1"/>
  <c r="D57" i="8"/>
  <c r="C417" i="1"/>
  <c r="D59" i="8"/>
  <c r="C419" i="1"/>
  <c r="D61" i="8"/>
  <c r="C421" i="1"/>
  <c r="D63" i="8"/>
  <c r="C423" i="1"/>
  <c r="D65" i="8"/>
  <c r="C425" i="1"/>
  <c r="D67" i="8"/>
  <c r="C427" i="1"/>
  <c r="D69" i="8"/>
  <c r="C429" i="1"/>
  <c r="D71" i="8"/>
  <c r="C431" i="1"/>
  <c r="D73" i="8"/>
  <c r="C433" i="1"/>
  <c r="D75" i="8"/>
  <c r="C435" i="1"/>
  <c r="D77" i="8"/>
  <c r="C437" i="1"/>
  <c r="D79" i="8"/>
  <c r="C439" i="1"/>
  <c r="D81" i="8"/>
  <c r="C441" i="1"/>
  <c r="D83" i="8"/>
  <c r="C443" i="1"/>
  <c r="D85" i="8"/>
  <c r="C445" i="1"/>
  <c r="D87" i="8"/>
  <c r="C447" i="1"/>
  <c r="D89" i="8"/>
  <c r="C449" i="1"/>
  <c r="D91" i="8"/>
  <c r="C451" i="1"/>
  <c r="D93" i="8"/>
  <c r="C453" i="1"/>
  <c r="D95" i="8"/>
  <c r="C455" i="1"/>
  <c r="D97" i="8"/>
  <c r="C457" i="1"/>
  <c r="D99" i="8"/>
  <c r="C459" i="1"/>
  <c r="D101" i="8"/>
  <c r="C461" i="1"/>
  <c r="D3" i="9"/>
  <c r="C463" i="1"/>
  <c r="D5" i="9"/>
  <c r="C465" i="1"/>
  <c r="D7" i="9"/>
  <c r="C467" i="1"/>
  <c r="D9" i="9"/>
  <c r="C469" i="1"/>
  <c r="D11" i="9"/>
  <c r="C471" i="1"/>
  <c r="D13" i="9"/>
  <c r="C473" i="1"/>
  <c r="D15" i="9"/>
  <c r="C475" i="1"/>
  <c r="D17" i="9"/>
  <c r="C477" i="1"/>
  <c r="D19" i="9"/>
  <c r="C479" i="1"/>
  <c r="D21" i="9"/>
  <c r="C481" i="1"/>
  <c r="C483" i="1"/>
  <c r="D25" i="9"/>
  <c r="C485" i="1"/>
  <c r="D27" i="9"/>
  <c r="C487" i="1"/>
  <c r="D29" i="9"/>
  <c r="C489" i="1"/>
  <c r="D31" i="9"/>
  <c r="C491" i="1"/>
  <c r="D33" i="9"/>
  <c r="C493" i="1"/>
  <c r="D35" i="9"/>
  <c r="C495" i="1"/>
  <c r="D37" i="9"/>
  <c r="C497" i="1"/>
  <c r="D39" i="9"/>
  <c r="C499" i="1"/>
  <c r="D41" i="9"/>
  <c r="C501" i="1"/>
  <c r="D43" i="9"/>
  <c r="C503" i="1"/>
  <c r="D45" i="9"/>
  <c r="C505" i="1"/>
  <c r="D47" i="9"/>
  <c r="C507" i="1"/>
  <c r="D49" i="9"/>
  <c r="C509" i="1"/>
  <c r="D51" i="9"/>
  <c r="C520" i="1"/>
  <c r="D2" i="11"/>
  <c r="C522" i="1"/>
  <c r="D4" i="11"/>
  <c r="C524" i="1"/>
  <c r="D6" i="11"/>
  <c r="C526" i="1"/>
  <c r="D8" i="11"/>
  <c r="C551" i="1"/>
  <c r="D33" i="11"/>
  <c r="C553" i="1"/>
  <c r="D35" i="11"/>
  <c r="C555" i="1"/>
  <c r="D37" i="11"/>
  <c r="C557" i="1"/>
  <c r="D39" i="11"/>
  <c r="C559" i="1"/>
  <c r="D41" i="11"/>
  <c r="C561" i="1"/>
  <c r="D43" i="11"/>
  <c r="C591" i="1"/>
  <c r="D3" i="12"/>
  <c r="C631" i="1"/>
  <c r="D3" i="13"/>
  <c r="C633" i="1"/>
  <c r="D5" i="13"/>
  <c r="C635" i="1"/>
  <c r="D7" i="13"/>
  <c r="C637" i="1"/>
  <c r="D9" i="13"/>
  <c r="C639" i="1"/>
  <c r="D11" i="13"/>
  <c r="C641" i="1"/>
  <c r="D13" i="13"/>
  <c r="C643" i="1"/>
  <c r="D15" i="13"/>
  <c r="C645" i="1"/>
  <c r="D17" i="13"/>
  <c r="C647" i="1"/>
  <c r="D19" i="13"/>
  <c r="C649" i="1"/>
  <c r="D21" i="13"/>
  <c r="C651" i="1"/>
  <c r="D23" i="13"/>
  <c r="C653" i="1"/>
  <c r="D25" i="13"/>
  <c r="C655" i="1"/>
  <c r="D27" i="13"/>
  <c r="C657" i="1"/>
  <c r="D29" i="13"/>
  <c r="C659" i="1"/>
  <c r="D31" i="13"/>
  <c r="C661" i="1"/>
  <c r="D33" i="13"/>
  <c r="C663" i="1"/>
  <c r="D35" i="13"/>
  <c r="C665" i="1"/>
  <c r="D37" i="13"/>
  <c r="C667" i="1"/>
  <c r="D39" i="13"/>
  <c r="C669" i="1"/>
  <c r="D41" i="13"/>
  <c r="C671" i="1"/>
  <c r="D43" i="13"/>
  <c r="C673" i="1"/>
  <c r="D45" i="13"/>
  <c r="C675" i="1"/>
  <c r="D47" i="13"/>
  <c r="C677" i="1"/>
  <c r="D49" i="13"/>
  <c r="C679" i="1"/>
  <c r="D51" i="13"/>
  <c r="C681" i="1"/>
  <c r="D53" i="13"/>
  <c r="C683" i="1"/>
  <c r="D55" i="13"/>
  <c r="C685" i="1"/>
  <c r="D57" i="13"/>
  <c r="C687" i="1"/>
  <c r="D59" i="13"/>
  <c r="C689" i="1"/>
  <c r="D61" i="13"/>
  <c r="C691" i="1"/>
  <c r="D63" i="13"/>
  <c r="C693" i="1"/>
  <c r="D65" i="13"/>
  <c r="C695" i="1"/>
  <c r="D67" i="13"/>
  <c r="C697" i="1"/>
  <c r="D69" i="13"/>
  <c r="C699" i="1"/>
  <c r="D71" i="13"/>
  <c r="C701" i="1"/>
  <c r="D73" i="13"/>
  <c r="C504" i="1"/>
  <c r="D46" i="9"/>
  <c r="C508" i="1"/>
  <c r="D50" i="9"/>
  <c r="C523" i="1"/>
  <c r="D5" i="11"/>
  <c r="C527" i="1"/>
  <c r="D9" i="11"/>
  <c r="C554" i="1"/>
  <c r="D36" i="11"/>
  <c r="C560" i="1"/>
  <c r="D42" i="11"/>
  <c r="C634" i="1"/>
  <c r="D6" i="13"/>
  <c r="C636" i="1"/>
  <c r="D8" i="13"/>
  <c r="C640" i="1"/>
  <c r="D12" i="13"/>
  <c r="C642" i="1"/>
  <c r="D14" i="13"/>
  <c r="C644" i="1"/>
  <c r="D16" i="13"/>
  <c r="C646" i="1"/>
  <c r="D18" i="13"/>
  <c r="C648" i="1"/>
  <c r="D20" i="13"/>
  <c r="C650" i="1"/>
  <c r="D22" i="13"/>
  <c r="C652" i="1"/>
  <c r="D24" i="13"/>
  <c r="C654" i="1"/>
  <c r="D26" i="13"/>
  <c r="C656" i="1"/>
  <c r="D28" i="13"/>
  <c r="C658" i="1"/>
  <c r="D30" i="13"/>
  <c r="C660" i="1"/>
  <c r="D32" i="13"/>
  <c r="C662" i="1"/>
  <c r="D34" i="13"/>
  <c r="C664" i="1"/>
  <c r="D36" i="13"/>
  <c r="C666" i="1"/>
  <c r="D38" i="13"/>
  <c r="C668" i="1"/>
  <c r="D40" i="13"/>
  <c r="C670" i="1"/>
  <c r="D42" i="13"/>
  <c r="C672" i="1"/>
  <c r="D44" i="13"/>
  <c r="C674" i="1"/>
  <c r="D46" i="13"/>
  <c r="C676" i="1"/>
  <c r="D48" i="13"/>
  <c r="C678" i="1"/>
  <c r="D50" i="13"/>
  <c r="C680" i="1"/>
  <c r="D52" i="13"/>
  <c r="C682" i="1"/>
  <c r="D54" i="13"/>
  <c r="C684" i="1"/>
  <c r="D56" i="13"/>
  <c r="C686" i="1"/>
  <c r="D58" i="13"/>
  <c r="C688" i="1"/>
  <c r="D60" i="13"/>
  <c r="C690" i="1"/>
  <c r="D62" i="13"/>
  <c r="C692" i="1"/>
  <c r="D64" i="13"/>
  <c r="C694" i="1"/>
  <c r="D66" i="13"/>
  <c r="C696" i="1"/>
  <c r="D68" i="13"/>
  <c r="C698" i="1"/>
  <c r="D70" i="13"/>
  <c r="C700" i="1"/>
  <c r="D72" i="13"/>
  <c r="C702" i="1"/>
  <c r="D74" i="13"/>
  <c r="C320" i="1"/>
  <c r="AD51" i="9"/>
  <c r="I509" i="1" s="1"/>
  <c r="AD50" i="9"/>
  <c r="I508" i="1" s="1"/>
  <c r="AD49" i="9"/>
  <c r="I507" i="1" s="1"/>
  <c r="AD48" i="9"/>
  <c r="I506" i="1" s="1"/>
  <c r="AD47" i="9"/>
  <c r="I505" i="1" s="1"/>
  <c r="AD46" i="9"/>
  <c r="I504" i="1" s="1"/>
  <c r="AD45" i="9"/>
  <c r="I503" i="1" s="1"/>
  <c r="AD44" i="9"/>
  <c r="I502" i="1" s="1"/>
  <c r="AD43" i="9"/>
  <c r="I501" i="1" s="1"/>
  <c r="AD42" i="9"/>
  <c r="I500" i="1" s="1"/>
  <c r="AD41" i="9"/>
  <c r="I499" i="1" s="1"/>
  <c r="AD40" i="9"/>
  <c r="I498" i="1" s="1"/>
  <c r="AD39" i="9"/>
  <c r="I497" i="1" s="1"/>
  <c r="AD38" i="9"/>
  <c r="I496" i="1" s="1"/>
  <c r="AD37" i="9"/>
  <c r="I495" i="1" s="1"/>
  <c r="AD36" i="9"/>
  <c r="I494" i="1" s="1"/>
  <c r="AD35" i="9"/>
  <c r="I493" i="1" s="1"/>
  <c r="AD34" i="9"/>
  <c r="I492" i="1" s="1"/>
  <c r="AD33" i="9"/>
  <c r="I491" i="1" s="1"/>
  <c r="AD32" i="9"/>
  <c r="I490" i="1" s="1"/>
  <c r="AD31" i="9"/>
  <c r="I489" i="1" s="1"/>
  <c r="AD30" i="9"/>
  <c r="I488" i="1" s="1"/>
  <c r="AD29" i="9"/>
  <c r="I487" i="1" s="1"/>
  <c r="AD28" i="9"/>
  <c r="I486" i="1" s="1"/>
  <c r="AD27" i="9"/>
  <c r="I485" i="1" s="1"/>
  <c r="AD26" i="9"/>
  <c r="I484" i="1" s="1"/>
  <c r="AD25" i="9"/>
  <c r="I483" i="1" s="1"/>
  <c r="AD24" i="9"/>
  <c r="I482" i="1" s="1"/>
  <c r="AD23" i="9"/>
  <c r="I481" i="1" s="1"/>
  <c r="AD22" i="9"/>
  <c r="I480" i="1" s="1"/>
  <c r="AD21" i="9"/>
  <c r="I479" i="1" s="1"/>
  <c r="AD20" i="9"/>
  <c r="I478" i="1" s="1"/>
  <c r="AD19" i="9"/>
  <c r="I477" i="1" s="1"/>
  <c r="AD18" i="9"/>
  <c r="I476" i="1" s="1"/>
  <c r="AD17" i="9"/>
  <c r="I475" i="1" s="1"/>
  <c r="AD16" i="9"/>
  <c r="I474" i="1" s="1"/>
  <c r="AD15" i="9"/>
  <c r="I473" i="1" s="1"/>
  <c r="AD14" i="9"/>
  <c r="I472" i="1" s="1"/>
  <c r="AD13" i="9"/>
  <c r="I471" i="1" s="1"/>
  <c r="AD12" i="9"/>
  <c r="I470" i="1" s="1"/>
  <c r="AD11" i="9"/>
  <c r="I469" i="1" s="1"/>
  <c r="AD10" i="9"/>
  <c r="I468" i="1" s="1"/>
  <c r="AD9" i="9"/>
  <c r="I467" i="1" s="1"/>
  <c r="AD8" i="9"/>
  <c r="I466" i="1" s="1"/>
  <c r="AD7" i="9"/>
  <c r="I465" i="1" s="1"/>
  <c r="AD6" i="9"/>
  <c r="I464" i="1" s="1"/>
  <c r="AD5" i="9"/>
  <c r="I463" i="1" s="1"/>
  <c r="AD4" i="9"/>
  <c r="I462" i="1" s="1"/>
  <c r="AD3" i="9"/>
  <c r="I461" i="1" s="1"/>
  <c r="AD2" i="9"/>
  <c r="I460" i="1" s="1"/>
  <c r="AA101" i="8"/>
  <c r="I459" i="1" s="1"/>
  <c r="AA100" i="8"/>
  <c r="I458" i="1" s="1"/>
  <c r="AA99" i="8"/>
  <c r="I457" i="1" s="1"/>
  <c r="AA98" i="8"/>
  <c r="I456" i="1" s="1"/>
  <c r="AA97" i="8"/>
  <c r="I455" i="1" s="1"/>
  <c r="AA96" i="8"/>
  <c r="I454" i="1" s="1"/>
  <c r="AA95" i="8"/>
  <c r="I453" i="1" s="1"/>
  <c r="AA94" i="8"/>
  <c r="I452" i="1" s="1"/>
  <c r="AA93" i="8"/>
  <c r="I451" i="1" s="1"/>
  <c r="AA92" i="8"/>
  <c r="I450" i="1" s="1"/>
  <c r="AA91" i="8"/>
  <c r="I449" i="1" s="1"/>
  <c r="AA90" i="8"/>
  <c r="I448" i="1" s="1"/>
  <c r="AA89" i="8"/>
  <c r="I447" i="1" s="1"/>
  <c r="AA88" i="8"/>
  <c r="I446" i="1" s="1"/>
  <c r="AA87" i="8"/>
  <c r="I445" i="1" s="1"/>
  <c r="AA86" i="8"/>
  <c r="I444" i="1" s="1"/>
  <c r="AA85" i="8"/>
  <c r="I443" i="1" s="1"/>
  <c r="AA84" i="8"/>
  <c r="I442" i="1" s="1"/>
  <c r="AA83" i="8"/>
  <c r="I441" i="1" s="1"/>
  <c r="AA82" i="8"/>
  <c r="I440" i="1" s="1"/>
  <c r="AA81" i="8"/>
  <c r="I439" i="1" s="1"/>
  <c r="AA80" i="8"/>
  <c r="I438" i="1" s="1"/>
  <c r="AA79" i="8"/>
  <c r="I437" i="1" s="1"/>
  <c r="AA78" i="8"/>
  <c r="I436" i="1" s="1"/>
  <c r="AA77" i="8"/>
  <c r="I435" i="1" s="1"/>
  <c r="AA76" i="8"/>
  <c r="I434" i="1" s="1"/>
  <c r="AA75" i="8"/>
  <c r="I433" i="1" s="1"/>
  <c r="AA74" i="8"/>
  <c r="I432" i="1" s="1"/>
  <c r="AA73" i="8"/>
  <c r="I431" i="1" s="1"/>
  <c r="AA72" i="8"/>
  <c r="I430" i="1" s="1"/>
  <c r="AA71" i="8"/>
  <c r="I429" i="1" s="1"/>
  <c r="AA70" i="8"/>
  <c r="I428" i="1" s="1"/>
  <c r="AA69" i="8"/>
  <c r="I427" i="1" s="1"/>
  <c r="AA68" i="8"/>
  <c r="I426" i="1" s="1"/>
  <c r="AA67" i="8"/>
  <c r="I425" i="1" s="1"/>
  <c r="AA66" i="8"/>
  <c r="I424" i="1" s="1"/>
  <c r="AA65" i="8"/>
  <c r="I423" i="1" s="1"/>
  <c r="AA64" i="8"/>
  <c r="I422" i="1" s="1"/>
  <c r="AA63" i="8"/>
  <c r="I421" i="1" s="1"/>
  <c r="AA62" i="8"/>
  <c r="I420" i="1" s="1"/>
  <c r="AA61" i="8"/>
  <c r="I419" i="1" s="1"/>
  <c r="AA60" i="8"/>
  <c r="I418" i="1" s="1"/>
  <c r="AA59" i="8"/>
  <c r="I417" i="1" s="1"/>
  <c r="AA58" i="8"/>
  <c r="I416" i="1" s="1"/>
  <c r="AA57" i="8"/>
  <c r="I415" i="1" s="1"/>
  <c r="AA56" i="8"/>
  <c r="I414" i="1" s="1"/>
  <c r="AA55" i="8"/>
  <c r="I413" i="1" s="1"/>
  <c r="AA54" i="8"/>
  <c r="I412" i="1" s="1"/>
  <c r="AA53" i="8"/>
  <c r="I411" i="1" s="1"/>
  <c r="AA52" i="8"/>
  <c r="I410" i="1" s="1"/>
  <c r="AA51" i="8"/>
  <c r="I409" i="1" s="1"/>
  <c r="AA50" i="8"/>
  <c r="I408" i="1" s="1"/>
  <c r="AA49" i="8"/>
  <c r="I407" i="1" s="1"/>
  <c r="AA48" i="8"/>
  <c r="I406" i="1" s="1"/>
  <c r="AA47" i="8"/>
  <c r="I405" i="1" s="1"/>
  <c r="AA46" i="8"/>
  <c r="I404" i="1" s="1"/>
  <c r="AA45" i="8"/>
  <c r="I403" i="1" s="1"/>
  <c r="AA44" i="8"/>
  <c r="I402" i="1" s="1"/>
  <c r="AA43" i="8"/>
  <c r="I401" i="1" s="1"/>
  <c r="AA42" i="8"/>
  <c r="I400" i="1" s="1"/>
  <c r="AA41" i="8"/>
  <c r="I399" i="1" s="1"/>
  <c r="AA40" i="8"/>
  <c r="I398" i="1" s="1"/>
  <c r="AA39" i="8"/>
  <c r="I397" i="1" s="1"/>
  <c r="AA38" i="8"/>
  <c r="I396" i="1" s="1"/>
  <c r="AA37" i="8"/>
  <c r="I395" i="1" s="1"/>
  <c r="AA36" i="8"/>
  <c r="I394" i="1" s="1"/>
  <c r="AA35" i="8"/>
  <c r="I393" i="1" s="1"/>
  <c r="AA34" i="8"/>
  <c r="I392" i="1" s="1"/>
  <c r="AA33" i="8"/>
  <c r="I391" i="1" s="1"/>
  <c r="AA32" i="8"/>
  <c r="I390" i="1" s="1"/>
  <c r="AA31" i="8"/>
  <c r="I389" i="1" s="1"/>
  <c r="AA30" i="8"/>
  <c r="I388" i="1" s="1"/>
  <c r="AA29" i="8"/>
  <c r="I387" i="1" s="1"/>
  <c r="AA28" i="8"/>
  <c r="I386" i="1" s="1"/>
  <c r="AA27" i="8"/>
  <c r="I385" i="1" s="1"/>
  <c r="AA26" i="8"/>
  <c r="I384" i="1" s="1"/>
  <c r="AA25" i="8"/>
  <c r="I383" i="1" s="1"/>
  <c r="AA24" i="8"/>
  <c r="I382" i="1" s="1"/>
  <c r="AA23" i="8"/>
  <c r="I381" i="1" s="1"/>
  <c r="AA22" i="8"/>
  <c r="I380" i="1" s="1"/>
  <c r="AA21" i="8"/>
  <c r="I379" i="1" s="1"/>
  <c r="AA20" i="8"/>
  <c r="I378" i="1" s="1"/>
  <c r="AA19" i="8"/>
  <c r="I377" i="1" s="1"/>
  <c r="AA18" i="8"/>
  <c r="I376" i="1" s="1"/>
  <c r="AA17" i="8"/>
  <c r="I375" i="1" s="1"/>
  <c r="AA16" i="8"/>
  <c r="I374" i="1" s="1"/>
  <c r="AA15" i="8"/>
  <c r="I373" i="1" s="1"/>
  <c r="AA14" i="8"/>
  <c r="I372" i="1" s="1"/>
  <c r="AA13" i="8"/>
  <c r="I371" i="1" s="1"/>
  <c r="AA12" i="8"/>
  <c r="I370" i="1" s="1"/>
  <c r="AA11" i="8"/>
  <c r="I369" i="1" s="1"/>
  <c r="AA10" i="8"/>
  <c r="I368" i="1" s="1"/>
  <c r="AA9" i="8"/>
  <c r="I367" i="1" s="1"/>
  <c r="AA8" i="8"/>
  <c r="I366" i="1" s="1"/>
  <c r="AA7" i="8"/>
  <c r="I365" i="1" s="1"/>
  <c r="AA6" i="8"/>
  <c r="I364" i="1" s="1"/>
  <c r="AA5" i="8"/>
  <c r="I363" i="1" s="1"/>
  <c r="AA4" i="8"/>
  <c r="I362" i="1" s="1"/>
  <c r="AA3" i="8"/>
  <c r="I361" i="1" s="1"/>
  <c r="AA2" i="8"/>
  <c r="I360" i="1" s="1"/>
  <c r="Z737" i="1"/>
  <c r="Z2" i="3" l="1"/>
  <c r="M151" i="1" s="1"/>
  <c r="C737" i="1"/>
  <c r="D2" i="15"/>
  <c r="C510" i="1"/>
  <c r="D2" i="10"/>
  <c r="C590" i="1"/>
  <c r="D2" i="12"/>
  <c r="AA21" i="6"/>
  <c r="AA20" i="6"/>
  <c r="AA19" i="6"/>
  <c r="AA18" i="6"/>
  <c r="AA17" i="6"/>
  <c r="AA16" i="6"/>
  <c r="AA15" i="6"/>
  <c r="AA14" i="6"/>
  <c r="AA13" i="6"/>
  <c r="AA12" i="6"/>
  <c r="AA11" i="6"/>
  <c r="AA10" i="6"/>
  <c r="AA9" i="6"/>
  <c r="AA8" i="6"/>
  <c r="AA7" i="6"/>
  <c r="AA6" i="6"/>
  <c r="AA5" i="6"/>
  <c r="AA4" i="6"/>
  <c r="AA3" i="6"/>
  <c r="AA2" i="6"/>
  <c r="AK9" i="6" l="1"/>
  <c r="AM9" i="6" s="1"/>
  <c r="Q347" i="1" s="1"/>
  <c r="AK13" i="6"/>
  <c r="AM13" i="6" s="1"/>
  <c r="Q351" i="1" s="1"/>
  <c r="AK17" i="6"/>
  <c r="AM17" i="6" s="1"/>
  <c r="Q355" i="1" s="1"/>
  <c r="AK21" i="6"/>
  <c r="AM21" i="6" s="1"/>
  <c r="Q359" i="1" s="1"/>
  <c r="AK5" i="6"/>
  <c r="AM5" i="6" s="1"/>
  <c r="Q343" i="1" s="1"/>
  <c r="AK10" i="6"/>
  <c r="AM10" i="6" s="1"/>
  <c r="Q348" i="1" s="1"/>
  <c r="AK18" i="6"/>
  <c r="AM18" i="6" s="1"/>
  <c r="Q356" i="1" s="1"/>
  <c r="AK2" i="6"/>
  <c r="AM2" i="6" s="1"/>
  <c r="Q340" i="1" s="1"/>
  <c r="AK6" i="6"/>
  <c r="AM6" i="6" s="1"/>
  <c r="Q344" i="1" s="1"/>
  <c r="AK14" i="6"/>
  <c r="AM14" i="6" s="1"/>
  <c r="Q352" i="1" s="1"/>
  <c r="AK3" i="6"/>
  <c r="AM3" i="6" s="1"/>
  <c r="Q341" i="1" s="1"/>
  <c r="AK7" i="6"/>
  <c r="AM7" i="6" s="1"/>
  <c r="Q345" i="1" s="1"/>
  <c r="AK11" i="6"/>
  <c r="AM11" i="6" s="1"/>
  <c r="Q349" i="1" s="1"/>
  <c r="AK15" i="6"/>
  <c r="AM15" i="6" s="1"/>
  <c r="Q353" i="1" s="1"/>
  <c r="AK19" i="6"/>
  <c r="AM19" i="6" s="1"/>
  <c r="Q357" i="1" s="1"/>
  <c r="AK4" i="6"/>
  <c r="AM4" i="6" s="1"/>
  <c r="Q342" i="1" s="1"/>
  <c r="AK8" i="6"/>
  <c r="AM8" i="6" s="1"/>
  <c r="Q346" i="1" s="1"/>
  <c r="AK12" i="6"/>
  <c r="AM12" i="6" s="1"/>
  <c r="Q350" i="1" s="1"/>
  <c r="AK16" i="6"/>
  <c r="AM16" i="6" s="1"/>
  <c r="Q354" i="1" s="1"/>
  <c r="AK20" i="6"/>
  <c r="AM20" i="6" s="1"/>
  <c r="Q358" i="1" s="1"/>
  <c r="D2" i="3" l="1"/>
  <c r="C151" i="1"/>
  <c r="G590" i="1"/>
  <c r="C630" i="1" l="1"/>
  <c r="D2" i="13"/>
</calcChain>
</file>

<file path=xl/sharedStrings.xml><?xml version="1.0" encoding="utf-8"?>
<sst xmlns="http://schemas.openxmlformats.org/spreadsheetml/2006/main" count="92158" uniqueCount="3296">
  <si>
    <t>管理番号</t>
    <rPh sb="0" eb="2">
      <t>カンリ</t>
    </rPh>
    <rPh sb="2" eb="4">
      <t>バンゴウ</t>
    </rPh>
    <phoneticPr fontId="4"/>
  </si>
  <si>
    <t>タイトル</t>
  </si>
  <si>
    <t>付属品</t>
    <rPh sb="0" eb="2">
      <t>フゾク</t>
    </rPh>
    <rPh sb="2" eb="3">
      <t>ヒン</t>
    </rPh>
    <phoneticPr fontId="4"/>
  </si>
  <si>
    <t>日本サイズ</t>
    <rPh sb="0" eb="2">
      <t>ニホン</t>
    </rPh>
    <phoneticPr fontId="4"/>
  </si>
  <si>
    <t>ランク</t>
  </si>
  <si>
    <t>コメント</t>
  </si>
  <si>
    <t>仕立て・収納</t>
    <rPh sb="0" eb="2">
      <t>シタ</t>
    </rPh>
    <rPh sb="4" eb="6">
      <t>シュウノウ</t>
    </rPh>
    <phoneticPr fontId="4"/>
  </si>
  <si>
    <t>素材</t>
    <rPh sb="0" eb="2">
      <t>ソザイ</t>
    </rPh>
    <phoneticPr fontId="4"/>
  </si>
  <si>
    <t>色</t>
    <rPh sb="0" eb="1">
      <t>イロ</t>
    </rPh>
    <phoneticPr fontId="4"/>
  </si>
  <si>
    <t>サイズ</t>
  </si>
  <si>
    <t>トップス</t>
  </si>
  <si>
    <t>パンツ</t>
  </si>
  <si>
    <t>靴</t>
    <rPh sb="0" eb="1">
      <t>クツ</t>
    </rPh>
    <phoneticPr fontId="4"/>
  </si>
  <si>
    <t>帽子</t>
    <rPh sb="0" eb="2">
      <t>ボウシ</t>
    </rPh>
    <phoneticPr fontId="4"/>
  </si>
  <si>
    <t>あまり</t>
  </si>
  <si>
    <t>出品日</t>
    <rPh sb="0" eb="2">
      <t>シュッピン</t>
    </rPh>
    <rPh sb="2" eb="3">
      <t>ビ</t>
    </rPh>
    <phoneticPr fontId="4"/>
  </si>
  <si>
    <t>出品URL</t>
    <rPh sb="0" eb="2">
      <t>シュッピン</t>
    </rPh>
    <phoneticPr fontId="4"/>
  </si>
  <si>
    <t>原価</t>
    <rPh sb="0" eb="2">
      <t>ゲンカ</t>
    </rPh>
    <phoneticPr fontId="4"/>
  </si>
  <si>
    <t>売値</t>
    <rPh sb="0" eb="2">
      <t>ウリネ</t>
    </rPh>
    <phoneticPr fontId="4"/>
  </si>
  <si>
    <t>股上：cm　股下：cm　ウエスト：cm　もも幅：cm　裾幅：cm</t>
  </si>
  <si>
    <t>着丈：cm　ウエスト：cm　ヒップ：cm</t>
  </si>
  <si>
    <t>着丈：cm　肩幅：cm　身幅：cm　ウエスト：cm　袖丈：cm</t>
  </si>
  <si>
    <t>底長： cm　底甲幅： cm　ヒール： cm</t>
  </si>
  <si>
    <t>底長： cm　底甲幅： cm　ヒール： cm　高さ： cm　足入れ口円周： cm</t>
  </si>
  <si>
    <t>全長cm　幅cm 最短cm 間隔cm 穴</t>
  </si>
  <si>
    <t>全長： cm　最大幅： cm</t>
  </si>
  <si>
    <t>内周： cm　高さ： cm　つば： cm</t>
  </si>
  <si>
    <t>縦幅： cm　横幅： cm　マチ幅： cm　持ち手： cm</t>
  </si>
  <si>
    <t xml:space="preserve">全長： cm　トップ：縦幅： cm　横幅： cm </t>
  </si>
  <si>
    <t>レンズ幅縦横： xmm　フレーム幅： cm</t>
  </si>
  <si>
    <t>着丈</t>
    <rPh sb="0" eb="2">
      <t>キタケ</t>
    </rPh>
    <phoneticPr fontId="4"/>
  </si>
  <si>
    <t>　肩幅</t>
    <rPh sb="1" eb="3">
      <t>カタハバ</t>
    </rPh>
    <phoneticPr fontId="4"/>
  </si>
  <si>
    <t>身幅</t>
    <rPh sb="0" eb="2">
      <t>ミハバ</t>
    </rPh>
    <phoneticPr fontId="4"/>
  </si>
  <si>
    <t>ウエスト</t>
    <phoneticPr fontId="4"/>
  </si>
  <si>
    <t>もも幅</t>
    <rPh sb="2" eb="3">
      <t>ハバ</t>
    </rPh>
    <phoneticPr fontId="4"/>
  </si>
  <si>
    <t>裾幅</t>
    <rPh sb="0" eb="1">
      <t>スソ</t>
    </rPh>
    <rPh sb="1" eb="2">
      <t>ハバ</t>
    </rPh>
    <phoneticPr fontId="4"/>
  </si>
  <si>
    <t>ブーツ</t>
    <phoneticPr fontId="4"/>
  </si>
  <si>
    <t>バッグ</t>
    <phoneticPr fontId="4"/>
  </si>
  <si>
    <t>ヒップ</t>
    <phoneticPr fontId="4"/>
  </si>
  <si>
    <t>ネクタイ縦横</t>
    <rPh sb="4" eb="6">
      <t>タテヨコ</t>
    </rPh>
    <phoneticPr fontId="4"/>
  </si>
  <si>
    <t>袖丈</t>
    <rPh sb="0" eb="1">
      <t>ソデ</t>
    </rPh>
    <rPh sb="1" eb="2">
      <t>タケ</t>
    </rPh>
    <phoneticPr fontId="4"/>
  </si>
  <si>
    <t>上サイズ</t>
    <rPh sb="0" eb="1">
      <t>ウエ</t>
    </rPh>
    <phoneticPr fontId="4"/>
  </si>
  <si>
    <t>下サイズ</t>
    <rPh sb="0" eb="1">
      <t>シタ</t>
    </rPh>
    <phoneticPr fontId="4"/>
  </si>
  <si>
    <t>採寸</t>
    <rPh sb="0" eb="2">
      <t>サイスン</t>
    </rPh>
    <phoneticPr fontId="4"/>
  </si>
  <si>
    <t>仕立て</t>
    <rPh sb="0" eb="2">
      <t>シタ</t>
    </rPh>
    <phoneticPr fontId="4"/>
  </si>
  <si>
    <t>収納</t>
    <rPh sb="0" eb="2">
      <t>シュウノウ</t>
    </rPh>
    <phoneticPr fontId="4"/>
  </si>
  <si>
    <t>タック</t>
    <phoneticPr fontId="4"/>
  </si>
  <si>
    <t>ウエスト余</t>
    <rPh sb="4" eb="5">
      <t>アマリ</t>
    </rPh>
    <phoneticPr fontId="4"/>
  </si>
  <si>
    <t>裾余</t>
    <rPh sb="0" eb="1">
      <t>スソ</t>
    </rPh>
    <rPh sb="1" eb="2">
      <t>アマリ</t>
    </rPh>
    <phoneticPr fontId="4"/>
  </si>
  <si>
    <t>ベント</t>
    <phoneticPr fontId="4"/>
  </si>
  <si>
    <t>素材</t>
    <rPh sb="0" eb="2">
      <t>ソザイ</t>
    </rPh>
    <phoneticPr fontId="4"/>
  </si>
  <si>
    <t>股上</t>
    <rPh sb="0" eb="1">
      <t>マタ</t>
    </rPh>
    <rPh sb="1" eb="2">
      <t>ウエ</t>
    </rPh>
    <phoneticPr fontId="4"/>
  </si>
  <si>
    <t>股下</t>
    <rPh sb="0" eb="1">
      <t>マタ</t>
    </rPh>
    <rPh sb="1" eb="2">
      <t>シタ</t>
    </rPh>
    <phoneticPr fontId="4"/>
  </si>
  <si>
    <t>ウエスト</t>
    <phoneticPr fontId="4"/>
  </si>
  <si>
    <t>もも幅</t>
    <rPh sb="2" eb="3">
      <t>ハバ</t>
    </rPh>
    <phoneticPr fontId="4"/>
  </si>
  <si>
    <t>裾幅</t>
    <rPh sb="0" eb="1">
      <t>スソ</t>
    </rPh>
    <rPh sb="1" eb="2">
      <t>ハバ</t>
    </rPh>
    <phoneticPr fontId="4"/>
  </si>
  <si>
    <t>底長</t>
    <rPh sb="0" eb="1">
      <t>ソコ</t>
    </rPh>
    <rPh sb="1" eb="2">
      <t>ナガ</t>
    </rPh>
    <phoneticPr fontId="4"/>
  </si>
  <si>
    <t>底甲幅</t>
  </si>
  <si>
    <t>ヒール</t>
    <phoneticPr fontId="4"/>
  </si>
  <si>
    <t>素材１</t>
    <rPh sb="0" eb="2">
      <t>ソザイ</t>
    </rPh>
    <phoneticPr fontId="4"/>
  </si>
  <si>
    <t>足入れ口円周</t>
    <phoneticPr fontId="4"/>
  </si>
  <si>
    <t>高さ</t>
    <rPh sb="0" eb="1">
      <t>タカ</t>
    </rPh>
    <phoneticPr fontId="4"/>
  </si>
  <si>
    <t>ソール</t>
    <phoneticPr fontId="4"/>
  </si>
  <si>
    <t>全長</t>
    <rPh sb="0" eb="2">
      <t>ゼンチョウ</t>
    </rPh>
    <phoneticPr fontId="4"/>
  </si>
  <si>
    <t>最大幅</t>
    <rPh sb="0" eb="3">
      <t>サイダイハバ</t>
    </rPh>
    <phoneticPr fontId="4"/>
  </si>
  <si>
    <t>穴数</t>
    <rPh sb="0" eb="1">
      <t>アナ</t>
    </rPh>
    <rPh sb="1" eb="2">
      <t>カズ</t>
    </rPh>
    <phoneticPr fontId="4"/>
  </si>
  <si>
    <t>間隔</t>
    <rPh sb="0" eb="2">
      <t>カンカク</t>
    </rPh>
    <phoneticPr fontId="4"/>
  </si>
  <si>
    <t>縦幅</t>
  </si>
  <si>
    <t>横幅</t>
  </si>
  <si>
    <t>マチ幅</t>
  </si>
  <si>
    <t>持ち手</t>
  </si>
  <si>
    <t>無</t>
    <rPh sb="0" eb="1">
      <t>ナ</t>
    </rPh>
    <phoneticPr fontId="4"/>
  </si>
  <si>
    <t>ショルダー</t>
    <phoneticPr fontId="4"/>
  </si>
  <si>
    <t>調節</t>
    <rPh sb="0" eb="2">
      <t>チョウセツ</t>
    </rPh>
    <phoneticPr fontId="4"/>
  </si>
  <si>
    <t>無</t>
    <rPh sb="0" eb="1">
      <t>ム</t>
    </rPh>
    <phoneticPr fontId="4"/>
  </si>
  <si>
    <t>後付け</t>
    <rPh sb="0" eb="1">
      <t>アト</t>
    </rPh>
    <rPh sb="1" eb="2">
      <t>ヅ</t>
    </rPh>
    <phoneticPr fontId="4"/>
  </si>
  <si>
    <t>内周</t>
    <rPh sb="0" eb="2">
      <t>ナイシュウ</t>
    </rPh>
    <phoneticPr fontId="4"/>
  </si>
  <si>
    <t>つば</t>
    <phoneticPr fontId="4"/>
  </si>
  <si>
    <t>無</t>
    <rPh sb="0" eb="1">
      <t>ム</t>
    </rPh>
    <phoneticPr fontId="4"/>
  </si>
  <si>
    <t>後付け</t>
    <rPh sb="0" eb="1">
      <t>アト</t>
    </rPh>
    <rPh sb="1" eb="2">
      <t>ヅ</t>
    </rPh>
    <phoneticPr fontId="4"/>
  </si>
  <si>
    <t>着丈：cm　肩幅：cm　身幅：cm　袖丈：cm</t>
    <phoneticPr fontId="4"/>
  </si>
  <si>
    <t>股上</t>
  </si>
  <si>
    <t>スニーカー</t>
    <phoneticPr fontId="4"/>
  </si>
  <si>
    <t>-</t>
    <phoneticPr fontId="4"/>
  </si>
  <si>
    <t>ブランド</t>
    <phoneticPr fontId="4"/>
  </si>
  <si>
    <t>フリー</t>
    <phoneticPr fontId="4"/>
  </si>
  <si>
    <t>男女</t>
    <rPh sb="0" eb="2">
      <t>ダンジョ</t>
    </rPh>
    <phoneticPr fontId="4"/>
  </si>
  <si>
    <t>もの</t>
    <phoneticPr fontId="4"/>
  </si>
  <si>
    <t>美品</t>
    <rPh sb="0" eb="2">
      <t>ビヒン</t>
    </rPh>
    <phoneticPr fontId="4"/>
  </si>
  <si>
    <t>レンズ縦</t>
    <rPh sb="3" eb="4">
      <t>タテ</t>
    </rPh>
    <phoneticPr fontId="4"/>
  </si>
  <si>
    <t>レンズ横</t>
    <rPh sb="3" eb="4">
      <t>ヨコ</t>
    </rPh>
    <phoneticPr fontId="4"/>
  </si>
  <si>
    <t>フレーム幅</t>
    <rPh sb="4" eb="5">
      <t>ハバ</t>
    </rPh>
    <phoneticPr fontId="4"/>
  </si>
  <si>
    <t>袖丈</t>
    <rPh sb="0" eb="2">
      <t>ソデタケ</t>
    </rPh>
    <phoneticPr fontId="4"/>
  </si>
  <si>
    <t>袖</t>
    <rPh sb="0" eb="1">
      <t>ソデ</t>
    </rPh>
    <phoneticPr fontId="4"/>
  </si>
  <si>
    <t>丈</t>
    <rPh sb="0" eb="1">
      <t>タケ</t>
    </rPh>
    <phoneticPr fontId="4"/>
  </si>
  <si>
    <t>形状</t>
    <rPh sb="0" eb="2">
      <t>ケイジョウ</t>
    </rPh>
    <phoneticPr fontId="4"/>
  </si>
  <si>
    <t>スカート丈</t>
    <rPh sb="4" eb="5">
      <t>タケ</t>
    </rPh>
    <phoneticPr fontId="4"/>
  </si>
  <si>
    <t>股下</t>
    <rPh sb="1" eb="2">
      <t>シタ</t>
    </rPh>
    <phoneticPr fontId="4"/>
  </si>
  <si>
    <t>ラック</t>
    <phoneticPr fontId="4"/>
  </si>
  <si>
    <t>無</t>
    <rPh sb="0" eb="1">
      <t>ム</t>
    </rPh>
    <phoneticPr fontId="4"/>
  </si>
  <si>
    <t>トップ縦</t>
    <rPh sb="3" eb="4">
      <t>タテ</t>
    </rPh>
    <phoneticPr fontId="4"/>
  </si>
  <si>
    <t>トップ横</t>
    <rPh sb="3" eb="4">
      <t>ヨコ</t>
    </rPh>
    <phoneticPr fontId="4"/>
  </si>
  <si>
    <t xml:space="preserve">全長： cm　トップ：縦幅： cm　横幅： cm </t>
    <phoneticPr fontId="4"/>
  </si>
  <si>
    <t>総丈</t>
    <rPh sb="0" eb="1">
      <t>ソウ</t>
    </rPh>
    <rPh sb="1" eb="2">
      <t>タケ</t>
    </rPh>
    <phoneticPr fontId="4"/>
  </si>
  <si>
    <t>もの2</t>
    <phoneticPr fontId="4"/>
  </si>
  <si>
    <t>もの1</t>
    <phoneticPr fontId="4"/>
  </si>
  <si>
    <t>無</t>
    <rPh sb="0" eb="1">
      <t>ム</t>
    </rPh>
    <phoneticPr fontId="4"/>
  </si>
  <si>
    <t>仕入先</t>
    <rPh sb="0" eb="2">
      <t>シイレ</t>
    </rPh>
    <rPh sb="2" eb="3">
      <t>サキ</t>
    </rPh>
    <phoneticPr fontId="4"/>
  </si>
  <si>
    <t>原価</t>
    <rPh sb="0" eb="2">
      <t>ゲンカ</t>
    </rPh>
    <phoneticPr fontId="4"/>
  </si>
  <si>
    <t>金額</t>
    <rPh sb="0" eb="2">
      <t>キンガク</t>
    </rPh>
    <phoneticPr fontId="4"/>
  </si>
  <si>
    <t>スカート</t>
    <phoneticPr fontId="4"/>
  </si>
  <si>
    <t>ワンピース</t>
    <phoneticPr fontId="4"/>
  </si>
  <si>
    <t>スカートスーツ</t>
    <phoneticPr fontId="4"/>
  </si>
  <si>
    <t>パンツスーツ</t>
    <phoneticPr fontId="4"/>
  </si>
  <si>
    <t>ベルト</t>
    <phoneticPr fontId="4"/>
  </si>
  <si>
    <t>ネックレス</t>
    <phoneticPr fontId="4"/>
  </si>
  <si>
    <t>サングラス</t>
    <phoneticPr fontId="4"/>
  </si>
  <si>
    <t>着丈：cm　肩幅：cm　身幅：cm　袖丈：cm</t>
    <phoneticPr fontId="4"/>
  </si>
  <si>
    <t>着丈：cm　肩幅：cm　身幅：cm　袖丈：cm</t>
    <phoneticPr fontId="4"/>
  </si>
  <si>
    <t>着丈：cm　肩幅：cm　身幅：cm　袖丈：cm</t>
    <phoneticPr fontId="4"/>
  </si>
  <si>
    <t>着丈：cm　肩幅：cm　身幅：cm　袖丈：cm</t>
    <phoneticPr fontId="4"/>
  </si>
  <si>
    <t>着丈：cm　肩幅：cm　身幅：cm　袖丈：cm</t>
    <phoneticPr fontId="4"/>
  </si>
  <si>
    <t>着丈：cm　肩幅：cm　身幅：cm　袖丈：cm</t>
    <phoneticPr fontId="4"/>
  </si>
  <si>
    <t>着丈：cm　肩幅：cm　身幅：cm　袖丈：cm</t>
    <phoneticPr fontId="4"/>
  </si>
  <si>
    <t>-</t>
    <phoneticPr fontId="4"/>
  </si>
  <si>
    <t>-</t>
    <phoneticPr fontId="4"/>
  </si>
  <si>
    <t>-</t>
    <phoneticPr fontId="4"/>
  </si>
  <si>
    <t>着丈：cm　肩幅：cm　身幅：cm　袖丈：cm</t>
    <phoneticPr fontId="4"/>
  </si>
  <si>
    <t>着丈：cm　肩幅：cm　身幅：cm　袖丈：cm</t>
    <phoneticPr fontId="4"/>
  </si>
  <si>
    <t>①全長</t>
    <rPh sb="1" eb="3">
      <t>ゼンチョウ</t>
    </rPh>
    <phoneticPr fontId="4"/>
  </si>
  <si>
    <t>②最大幅</t>
    <rPh sb="1" eb="4">
      <t>サイダイハバ</t>
    </rPh>
    <phoneticPr fontId="4"/>
  </si>
  <si>
    <t>①最大幅</t>
    <rPh sb="1" eb="4">
      <t>サイダイハバ</t>
    </rPh>
    <phoneticPr fontId="4"/>
  </si>
  <si>
    <t>②全長</t>
    <rPh sb="1" eb="3">
      <t>ゼンチョウ</t>
    </rPh>
    <phoneticPr fontId="4"/>
  </si>
  <si>
    <t>③全長</t>
    <rPh sb="1" eb="3">
      <t>ゼンチョウ</t>
    </rPh>
    <phoneticPr fontId="4"/>
  </si>
  <si>
    <t>③最大幅</t>
    <rPh sb="1" eb="4">
      <t>サイダイハバ</t>
    </rPh>
    <phoneticPr fontId="4"/>
  </si>
  <si>
    <t>④全長</t>
    <rPh sb="1" eb="3">
      <t>ゼンチョウ</t>
    </rPh>
    <phoneticPr fontId="4"/>
  </si>
  <si>
    <t>④最大幅</t>
    <rPh sb="1" eb="4">
      <t>サイダイハバ</t>
    </rPh>
    <phoneticPr fontId="4"/>
  </si>
  <si>
    <t>①個数</t>
    <rPh sb="1" eb="3">
      <t>コスウ</t>
    </rPh>
    <phoneticPr fontId="4"/>
  </si>
  <si>
    <t>②個数</t>
    <rPh sb="1" eb="3">
      <t>コスウ</t>
    </rPh>
    <phoneticPr fontId="4"/>
  </si>
  <si>
    <t>③個数</t>
    <rPh sb="1" eb="3">
      <t>コスウ</t>
    </rPh>
    <phoneticPr fontId="4"/>
  </si>
  <si>
    <t>④個数</t>
    <rPh sb="1" eb="3">
      <t>コスウ</t>
    </rPh>
    <phoneticPr fontId="4"/>
  </si>
  <si>
    <t>①内容</t>
    <rPh sb="1" eb="3">
      <t>ナイヨウ</t>
    </rPh>
    <phoneticPr fontId="4"/>
  </si>
  <si>
    <t>②内容</t>
    <rPh sb="1" eb="3">
      <t>ナイヨウ</t>
    </rPh>
    <phoneticPr fontId="4"/>
  </si>
  <si>
    <t>③内容</t>
    <rPh sb="1" eb="3">
      <t>ナイヨウ</t>
    </rPh>
    <phoneticPr fontId="4"/>
  </si>
  <si>
    <t>④内容</t>
    <rPh sb="1" eb="3">
      <t>ナイヨウ</t>
    </rPh>
    <phoneticPr fontId="4"/>
  </si>
  <si>
    <t>文字数</t>
    <rPh sb="0" eb="3">
      <t>モジスウ</t>
    </rPh>
    <phoneticPr fontId="4"/>
  </si>
  <si>
    <t>まとめ売り商品の為、各季節、異なる素材の商品が混合しております。予めご注意願います。</t>
  </si>
  <si>
    <t>まとめ売り商品の為、複数の色の商品が混合しております。予め注意願います。</t>
  </si>
  <si>
    <t>メイン</t>
    <phoneticPr fontId="4"/>
  </si>
  <si>
    <t>内</t>
    <rPh sb="0" eb="1">
      <t>ウチ</t>
    </rPh>
    <phoneticPr fontId="4"/>
  </si>
  <si>
    <t>外</t>
    <rPh sb="0" eb="1">
      <t>ソト</t>
    </rPh>
    <phoneticPr fontId="4"/>
  </si>
  <si>
    <t>仕入日</t>
    <rPh sb="0" eb="2">
      <t>シイレ</t>
    </rPh>
    <rPh sb="2" eb="3">
      <t>ヒ</t>
    </rPh>
    <phoneticPr fontId="4"/>
  </si>
  <si>
    <t>仕立　収納</t>
    <rPh sb="0" eb="2">
      <t>シタ</t>
    </rPh>
    <rPh sb="3" eb="5">
      <t>シュウノウ</t>
    </rPh>
    <phoneticPr fontId="4"/>
  </si>
  <si>
    <t>★</t>
    <phoneticPr fontId="4"/>
  </si>
  <si>
    <t>まとめ売り商品の為、複数のサイズが混合しております。カテゴリのサイズは確実なものではありません。予めご注意願います。</t>
    <phoneticPr fontId="4"/>
  </si>
  <si>
    <t>幅</t>
    <rPh sb="0" eb="1">
      <t>ハバ</t>
    </rPh>
    <phoneticPr fontId="4"/>
  </si>
  <si>
    <t>円周</t>
    <rPh sb="0" eb="2">
      <t>エンシュウ</t>
    </rPh>
    <phoneticPr fontId="4"/>
  </si>
  <si>
    <t>WorS</t>
    <phoneticPr fontId="4"/>
  </si>
  <si>
    <t>ベースW</t>
    <phoneticPr fontId="4"/>
  </si>
  <si>
    <t>トップス</t>
    <phoneticPr fontId="4"/>
  </si>
  <si>
    <t>* ◆</t>
    <phoneticPr fontId="4"/>
  </si>
  <si>
    <t>ZOZO</t>
    <phoneticPr fontId="4"/>
  </si>
  <si>
    <t>なんぼや</t>
    <phoneticPr fontId="4"/>
  </si>
  <si>
    <t>最短</t>
    <rPh sb="0" eb="2">
      <t>サイタン</t>
    </rPh>
    <phoneticPr fontId="4"/>
  </si>
  <si>
    <t>梱包サイズ</t>
    <rPh sb="0" eb="2">
      <t>コンポウ</t>
    </rPh>
    <phoneticPr fontId="4"/>
  </si>
  <si>
    <t>通常</t>
    <rPh sb="0" eb="2">
      <t>ツウジョウ</t>
    </rPh>
    <phoneticPr fontId="4"/>
  </si>
  <si>
    <t>ベースB</t>
    <phoneticPr fontId="4"/>
  </si>
  <si>
    <t>ベースM</t>
    <phoneticPr fontId="4"/>
  </si>
  <si>
    <t>カテゴリ</t>
  </si>
  <si>
    <t>説明</t>
  </si>
  <si>
    <t>開始価格</t>
  </si>
  <si>
    <t>即決価格</t>
  </si>
  <si>
    <t>個数</t>
  </si>
  <si>
    <t>開催期間</t>
  </si>
  <si>
    <t>終了時間</t>
  </si>
  <si>
    <t>画像1</t>
  </si>
  <si>
    <t>画像1コメント</t>
  </si>
  <si>
    <t>画像2</t>
  </si>
  <si>
    <t>画像2コメント</t>
  </si>
  <si>
    <t>画像3</t>
  </si>
  <si>
    <t>画像3コメント</t>
  </si>
  <si>
    <t>画像4</t>
  </si>
  <si>
    <t>画像4コメント</t>
  </si>
  <si>
    <t>画像5</t>
  </si>
  <si>
    <t>画像5コメント</t>
  </si>
  <si>
    <t>画像6</t>
  </si>
  <si>
    <t>画像6コメント</t>
  </si>
  <si>
    <t>画像7</t>
  </si>
  <si>
    <t>画像7コメント</t>
  </si>
  <si>
    <t>画像8</t>
  </si>
  <si>
    <t>画像8コメント</t>
  </si>
  <si>
    <t>画像9</t>
  </si>
  <si>
    <t>画像9コメント</t>
  </si>
  <si>
    <t>画像10</t>
  </si>
  <si>
    <t>画像10コメント</t>
  </si>
  <si>
    <t>商品発送元の都道府県</t>
  </si>
  <si>
    <t>商品発送元の市区町村</t>
  </si>
  <si>
    <t>送料負担</t>
  </si>
  <si>
    <t>代金支払い</t>
  </si>
  <si>
    <t>Yahoo!かんたん決済</t>
  </si>
  <si>
    <t>かんたん取引</t>
  </si>
  <si>
    <t>銀行ID1</t>
  </si>
  <si>
    <t>銀行ID2</t>
  </si>
  <si>
    <t>銀行ID3</t>
  </si>
  <si>
    <t>銀行ID4</t>
  </si>
  <si>
    <t>銀行ID5</t>
  </si>
  <si>
    <t>銀行ID6</t>
  </si>
  <si>
    <t>銀行ID7</t>
  </si>
  <si>
    <t>銀行ID8</t>
  </si>
  <si>
    <t>銀行ID9</t>
  </si>
  <si>
    <t>銀行ID10</t>
  </si>
  <si>
    <t>商品の状態</t>
  </si>
  <si>
    <t>商品の状態備考</t>
  </si>
  <si>
    <t>返品の可否</t>
  </si>
  <si>
    <t>返品の可否備考</t>
  </si>
  <si>
    <t>入札者評価制限</t>
  </si>
  <si>
    <t>悪い評価の割合での制限</t>
  </si>
  <si>
    <t>入札者認証制限</t>
  </si>
  <si>
    <t>自動延長</t>
  </si>
  <si>
    <t>早期終了</t>
  </si>
  <si>
    <t>値下げ交渉</t>
  </si>
  <si>
    <t>自動再出品</t>
  </si>
  <si>
    <t>自動値下げ</t>
  </si>
  <si>
    <t>自動値下げ価格変更率</t>
  </si>
  <si>
    <t>最低落札価格</t>
  </si>
  <si>
    <t>注目のオークション</t>
  </si>
  <si>
    <t>太字テキスト</t>
  </si>
  <si>
    <t>背景色</t>
  </si>
  <si>
    <t>目立ちアイコン</t>
  </si>
  <si>
    <t>贈答品アイコン</t>
  </si>
  <si>
    <t>送料固定</t>
  </si>
  <si>
    <t>荷物の大きさ</t>
  </si>
  <si>
    <t>荷物の重量</t>
  </si>
  <si>
    <t>ネコポス</t>
  </si>
  <si>
    <t>ネコ宅急便コンパクト</t>
  </si>
  <si>
    <t>ネコ宅急便</t>
  </si>
  <si>
    <t>ゆうパケット</t>
  </si>
  <si>
    <t>ゆうパック</t>
  </si>
  <si>
    <t>発送元店舗</t>
  </si>
  <si>
    <t>発送までの日数</t>
  </si>
  <si>
    <t>配送方法1</t>
  </si>
  <si>
    <t>配送方法1全国一律価格</t>
  </si>
  <si>
    <t>北海道料金1</t>
  </si>
  <si>
    <t>沖縄料金1</t>
  </si>
  <si>
    <t>離島料金1</t>
  </si>
  <si>
    <t>配送方法2</t>
  </si>
  <si>
    <t>配送方法2全国一律価格</t>
  </si>
  <si>
    <t>北海道料金2</t>
  </si>
  <si>
    <t>沖縄料金2</t>
  </si>
  <si>
    <t>離島料金2</t>
  </si>
  <si>
    <t>配送方法3</t>
  </si>
  <si>
    <t>配送方法3全国一律価格</t>
  </si>
  <si>
    <t>北海道料金3</t>
  </si>
  <si>
    <t>沖縄料金3</t>
  </si>
  <si>
    <t>離島料金3</t>
  </si>
  <si>
    <t>配送方法4</t>
  </si>
  <si>
    <t>配送方法4全国一律価格</t>
  </si>
  <si>
    <t>北海道料金4</t>
  </si>
  <si>
    <t>沖縄料金4</t>
  </si>
  <si>
    <t>離島料金4</t>
  </si>
  <si>
    <t>配送方法5</t>
  </si>
  <si>
    <t>配送方法5全国一律価格</t>
  </si>
  <si>
    <t>北海道料金5</t>
  </si>
  <si>
    <t>沖縄料金5</t>
  </si>
  <si>
    <t>離島料金5</t>
  </si>
  <si>
    <t>配送方法6</t>
  </si>
  <si>
    <t>配送方法6全国一律価格</t>
  </si>
  <si>
    <t>北海道料金6</t>
  </si>
  <si>
    <t>沖縄料金6</t>
  </si>
  <si>
    <t>離島料金6</t>
  </si>
  <si>
    <t>配送方法7</t>
  </si>
  <si>
    <t>配送方法7全国一律価格</t>
  </si>
  <si>
    <t>北海道料金7</t>
  </si>
  <si>
    <t>沖縄料金7</t>
  </si>
  <si>
    <t>離島料金7</t>
  </si>
  <si>
    <t>配送方法8</t>
  </si>
  <si>
    <t>配送方法8全国一律価格</t>
  </si>
  <si>
    <t>北海道料金8</t>
  </si>
  <si>
    <t>沖縄料金8</t>
  </si>
  <si>
    <t>離島料金8</t>
  </si>
  <si>
    <t>配送方法9</t>
  </si>
  <si>
    <t>配送方法9全国一律価格</t>
  </si>
  <si>
    <t>北海道料金9</t>
  </si>
  <si>
    <t>沖縄料金9</t>
  </si>
  <si>
    <t>離島料金9</t>
  </si>
  <si>
    <t>配送方法10</t>
  </si>
  <si>
    <t>配送方法10全国一律価格</t>
  </si>
  <si>
    <t>北海道料金10</t>
  </si>
  <si>
    <t>沖縄料金10</t>
  </si>
  <si>
    <t>離島料金10</t>
  </si>
  <si>
    <t>受け取り後決済サービス</t>
  </si>
  <si>
    <t>海外発送</t>
  </si>
  <si>
    <t>アフィリエイト</t>
  </si>
  <si>
    <t>アフィリエイト報酬率</t>
  </si>
  <si>
    <t>出品者情報開示前チェック</t>
  </si>
  <si>
    <t>画像パスを入力↓</t>
    <rPh sb="0" eb="2">
      <t>ガゾウ</t>
    </rPh>
    <rPh sb="5" eb="7">
      <t>ニュウリョク</t>
    </rPh>
    <phoneticPr fontId="4"/>
  </si>
  <si>
    <t>画像上</t>
    <rPh sb="0" eb="2">
      <t>ガゾウ</t>
    </rPh>
    <rPh sb="2" eb="3">
      <t>ウエ</t>
    </rPh>
    <phoneticPr fontId="4"/>
  </si>
  <si>
    <t>http://74553bd302f56e65.lolipop.jp/monoapparel-banner.png</t>
    <phoneticPr fontId="4"/>
  </si>
  <si>
    <t>例：</t>
    <phoneticPr fontId="4"/>
  </si>
  <si>
    <t>画像下</t>
    <rPh sb="0" eb="2">
      <t>ガゾウ</t>
    </rPh>
    <rPh sb="2" eb="3">
      <t>シタ</t>
    </rPh>
    <phoneticPr fontId="4"/>
  </si>
  <si>
    <t>http://74553bd302f56e65.lolipop.jp/yahoo/newchyyuijikou.png</t>
    <phoneticPr fontId="4"/>
  </si>
  <si>
    <t>アンティーク、コレクション</t>
  </si>
  <si>
    <t>雑貨</t>
  </si>
  <si>
    <t>キーホルダー</t>
  </si>
  <si>
    <t xml:space="preserve">一般 </t>
  </si>
  <si>
    <t xml:space="preserve">キャラクター </t>
  </si>
  <si>
    <t xml:space="preserve">コミック、アニメーション </t>
  </si>
  <si>
    <t xml:space="preserve">タレント、ミュージシャン </t>
  </si>
  <si>
    <t>ブランド</t>
  </si>
  <si>
    <t xml:space="preserve">アルマーニ </t>
  </si>
  <si>
    <t xml:space="preserve">エルメス </t>
  </si>
  <si>
    <t xml:space="preserve">カルティエ </t>
  </si>
  <si>
    <t xml:space="preserve">クロムハーツ </t>
  </si>
  <si>
    <t xml:space="preserve">グッチ </t>
  </si>
  <si>
    <t xml:space="preserve">コーチ </t>
  </si>
  <si>
    <t xml:space="preserve">コム サ デ モード </t>
  </si>
  <si>
    <t xml:space="preserve">ティファニー </t>
  </si>
  <si>
    <t xml:space="preserve">バーバリー </t>
  </si>
  <si>
    <t xml:space="preserve">ヒステリックグラマー </t>
  </si>
  <si>
    <t xml:space="preserve">フェンディ </t>
  </si>
  <si>
    <t xml:space="preserve">ブルガリ </t>
  </si>
  <si>
    <t xml:space="preserve">プラダ </t>
  </si>
  <si>
    <t xml:space="preserve">ルイ・ヴィトン </t>
  </si>
  <si>
    <t xml:space="preserve">ヴィヴィアン ウエストウッド </t>
  </si>
  <si>
    <t>喫煙グッズ</t>
  </si>
  <si>
    <t xml:space="preserve">たばこポーチ </t>
  </si>
  <si>
    <t xml:space="preserve">パイプ </t>
  </si>
  <si>
    <t>ライター</t>
  </si>
  <si>
    <t>Zippo</t>
  </si>
  <si>
    <t xml:space="preserve">卓上型 </t>
  </si>
  <si>
    <t xml:space="preserve">たばこメーカー </t>
  </si>
  <si>
    <t xml:space="preserve">アニメーション、ヒーロー </t>
  </si>
  <si>
    <t xml:space="preserve">スポーツ </t>
  </si>
  <si>
    <t xml:space="preserve">タウン＆カントリー </t>
  </si>
  <si>
    <t xml:space="preserve">ミリタリー </t>
  </si>
  <si>
    <t xml:space="preserve">その他 </t>
  </si>
  <si>
    <t xml:space="preserve">ダンヒル </t>
  </si>
  <si>
    <t xml:space="preserve">デュポン </t>
  </si>
  <si>
    <t xml:space="preserve">ロンソン </t>
  </si>
  <si>
    <t>一般</t>
  </si>
  <si>
    <t xml:space="preserve">オイルライター </t>
  </si>
  <si>
    <t xml:space="preserve">ガスライター </t>
  </si>
  <si>
    <t xml:space="preserve">ターボライター </t>
  </si>
  <si>
    <t xml:space="preserve">灰皿 </t>
  </si>
  <si>
    <t xml:space="preserve">葉巻用品 </t>
  </si>
  <si>
    <t xml:space="preserve">警察グッズ </t>
  </si>
  <si>
    <t xml:space="preserve">磁石 </t>
  </si>
  <si>
    <t xml:space="preserve">貯金箱 </t>
  </si>
  <si>
    <t xml:space="preserve">店舗什器 </t>
  </si>
  <si>
    <t xml:space="preserve">筆記用具 </t>
  </si>
  <si>
    <t xml:space="preserve">弁当箱 </t>
  </si>
  <si>
    <t>スポーツ、レジャー</t>
  </si>
  <si>
    <t>スポーツウエア</t>
  </si>
  <si>
    <t>男性用</t>
  </si>
  <si>
    <t>上下セット</t>
  </si>
  <si>
    <t>ジャージ</t>
  </si>
  <si>
    <t xml:space="preserve">アシックス </t>
  </si>
  <si>
    <t xml:space="preserve">アディダス </t>
  </si>
  <si>
    <t xml:space="preserve">アンブロ </t>
  </si>
  <si>
    <t xml:space="preserve">カッパ </t>
  </si>
  <si>
    <t xml:space="preserve">デサント </t>
  </si>
  <si>
    <t xml:space="preserve">ナイキ </t>
  </si>
  <si>
    <t xml:space="preserve">プーマ </t>
  </si>
  <si>
    <t xml:space="preserve">ミズノ </t>
  </si>
  <si>
    <t xml:space="preserve">リーボック </t>
  </si>
  <si>
    <t>スウェット</t>
  </si>
  <si>
    <t>ナイロン</t>
  </si>
  <si>
    <t xml:space="preserve">コート </t>
  </si>
  <si>
    <t>ジャケット、上着</t>
  </si>
  <si>
    <t xml:space="preserve">スウェット </t>
  </si>
  <si>
    <t xml:space="preserve">ダウン </t>
  </si>
  <si>
    <t xml:space="preserve">パーカー </t>
  </si>
  <si>
    <t xml:space="preserve">タンクトップ </t>
  </si>
  <si>
    <t>長袖Tシャツ</t>
  </si>
  <si>
    <t xml:space="preserve">Sサイズ以下 </t>
  </si>
  <si>
    <t xml:space="preserve">Mサイズ </t>
  </si>
  <si>
    <t xml:space="preserve">Lサイズ </t>
  </si>
  <si>
    <t xml:space="preserve">XLサイズ以上 </t>
  </si>
  <si>
    <t>半袖Tシャツ</t>
  </si>
  <si>
    <t>ボトムス</t>
  </si>
  <si>
    <t>ロング</t>
  </si>
  <si>
    <t>ショート、ハーフ</t>
  </si>
  <si>
    <t xml:space="preserve">ジャージ </t>
  </si>
  <si>
    <t xml:space="preserve">ナイロン </t>
  </si>
  <si>
    <t>インナーウエア</t>
  </si>
  <si>
    <t xml:space="preserve">シャツ </t>
  </si>
  <si>
    <t xml:space="preserve">タイツ </t>
  </si>
  <si>
    <t xml:space="preserve">アームウォーマー </t>
  </si>
  <si>
    <t xml:space="preserve">サポーター </t>
  </si>
  <si>
    <t xml:space="preserve">リストバンド </t>
  </si>
  <si>
    <t>女性用</t>
  </si>
  <si>
    <t xml:space="preserve">XSサイズ以下 </t>
  </si>
  <si>
    <t xml:space="preserve">Sサイズ </t>
  </si>
  <si>
    <t xml:space="preserve">Lサイズ以上 </t>
  </si>
  <si>
    <t xml:space="preserve">スポーツブラ </t>
  </si>
  <si>
    <t xml:space="preserve">スポーツショーツ </t>
  </si>
  <si>
    <t>男女兼用</t>
  </si>
  <si>
    <t xml:space="preserve">長袖Tシャツ </t>
  </si>
  <si>
    <t xml:space="preserve">半袖Tシャツ </t>
  </si>
  <si>
    <t>子ども用</t>
  </si>
  <si>
    <t xml:space="preserve">上下セット </t>
  </si>
  <si>
    <t xml:space="preserve">ジャケット、上着 </t>
  </si>
  <si>
    <t xml:space="preserve">トップス </t>
  </si>
  <si>
    <t xml:space="preserve">ボトムス </t>
  </si>
  <si>
    <t>アウトドアウエア</t>
  </si>
  <si>
    <t>ブランド別</t>
  </si>
  <si>
    <t>KAVU</t>
  </si>
  <si>
    <t xml:space="preserve">女性用 </t>
  </si>
  <si>
    <t xml:space="preserve">男性用 </t>
  </si>
  <si>
    <t>L.L.Bean</t>
  </si>
  <si>
    <t>アークテリクス</t>
  </si>
  <si>
    <t>エーグル</t>
  </si>
  <si>
    <t>エディー・バウアー</t>
  </si>
  <si>
    <t>カリマー</t>
  </si>
  <si>
    <t xml:space="preserve">クラウドベイル </t>
  </si>
  <si>
    <t>グラミチ</t>
  </si>
  <si>
    <t>コロンビア</t>
  </si>
  <si>
    <t>ダウン</t>
  </si>
  <si>
    <t xml:space="preserve">Sサイズ以下  </t>
  </si>
  <si>
    <t xml:space="preserve">フリース </t>
  </si>
  <si>
    <t xml:space="preserve">ベスト </t>
  </si>
  <si>
    <t xml:space="preserve">長袖シャツ </t>
  </si>
  <si>
    <t xml:space="preserve">半袖シャツ </t>
  </si>
  <si>
    <t xml:space="preserve">ロング </t>
  </si>
  <si>
    <t xml:space="preserve">ショート、ハーフ </t>
  </si>
  <si>
    <t>ザ・ノース・フェイス</t>
  </si>
  <si>
    <t>ジャックウルフスキン</t>
  </si>
  <si>
    <t>パタゴニア</t>
  </si>
  <si>
    <t>フリース</t>
  </si>
  <si>
    <t>その他</t>
  </si>
  <si>
    <t>ベスト</t>
  </si>
  <si>
    <t xml:space="preserve">子ども用 </t>
  </si>
  <si>
    <t>フィルソン</t>
  </si>
  <si>
    <t>フェニックス</t>
  </si>
  <si>
    <t>フォックスファイヤー</t>
  </si>
  <si>
    <t>ヘリーハンセン</t>
  </si>
  <si>
    <t>ホグロフス</t>
  </si>
  <si>
    <t>マーモット</t>
  </si>
  <si>
    <t>マムート</t>
  </si>
  <si>
    <t>ミレー</t>
  </si>
  <si>
    <t>ムーンストーン</t>
  </si>
  <si>
    <t>モンベル</t>
  </si>
  <si>
    <t>服飾小物</t>
  </si>
  <si>
    <t xml:space="preserve">靴下 </t>
  </si>
  <si>
    <t xml:space="preserve">手袋 </t>
  </si>
  <si>
    <t xml:space="preserve">帽子 </t>
  </si>
  <si>
    <t>スポーツサングラス</t>
  </si>
  <si>
    <t xml:space="preserve">OGK </t>
  </si>
  <si>
    <t xml:space="preserve">zerorh+ </t>
  </si>
  <si>
    <t xml:space="preserve">アーネット </t>
  </si>
  <si>
    <t xml:space="preserve">アックス </t>
  </si>
  <si>
    <t>オークリー</t>
  </si>
  <si>
    <t xml:space="preserve">セル、プラスチックフレーム </t>
  </si>
  <si>
    <t xml:space="preserve">金属フレーム </t>
  </si>
  <si>
    <t xml:space="preserve">コールマン </t>
  </si>
  <si>
    <t xml:space="preserve">スパイ </t>
  </si>
  <si>
    <t xml:space="preserve">スポルディング </t>
  </si>
  <si>
    <t xml:space="preserve">スワンズ </t>
  </si>
  <si>
    <t xml:space="preserve">ブラックフライ </t>
  </si>
  <si>
    <t xml:space="preserve">ブリコ </t>
  </si>
  <si>
    <t xml:space="preserve">ルディプロジェクト </t>
  </si>
  <si>
    <t xml:space="preserve">レイバン </t>
  </si>
  <si>
    <t>ファッション</t>
  </si>
  <si>
    <t>あ</t>
  </si>
  <si>
    <t xml:space="preserve">iCB </t>
  </si>
  <si>
    <t xml:space="preserve">iiMK </t>
  </si>
  <si>
    <t xml:space="preserve">アイスバーグ </t>
  </si>
  <si>
    <t xml:space="preserve">アウトドアプロダクツ </t>
  </si>
  <si>
    <t>UGG オーストラリア</t>
  </si>
  <si>
    <t xml:space="preserve">US5以下 </t>
  </si>
  <si>
    <t xml:space="preserve">US6 </t>
  </si>
  <si>
    <t xml:space="preserve">US7 </t>
  </si>
  <si>
    <t xml:space="preserve">US8 </t>
  </si>
  <si>
    <t xml:space="preserve">US9以上 </t>
  </si>
  <si>
    <t>axes femme</t>
  </si>
  <si>
    <t xml:space="preserve">かばん、バッグ </t>
  </si>
  <si>
    <t xml:space="preserve">スカート </t>
  </si>
  <si>
    <t xml:space="preserve">パンツ </t>
  </si>
  <si>
    <t xml:space="preserve">ワンピース </t>
  </si>
  <si>
    <t xml:space="preserve">アーキ </t>
  </si>
  <si>
    <t>アクアガール</t>
  </si>
  <si>
    <t xml:space="preserve">ジャンパー、ブルゾン </t>
  </si>
  <si>
    <t xml:space="preserve">テーラードジャケット、ブレザー </t>
  </si>
  <si>
    <t xml:space="preserve">セーター </t>
  </si>
  <si>
    <t xml:space="preserve">靴 </t>
  </si>
  <si>
    <t>アクアスキュータム</t>
  </si>
  <si>
    <t>アクネ</t>
  </si>
  <si>
    <t>アゴスト</t>
  </si>
  <si>
    <t>アースミュージック＆エコロジー</t>
  </si>
  <si>
    <t>アズノウアズ</t>
  </si>
  <si>
    <t>アタッチメント</t>
  </si>
  <si>
    <t>アダム エ ロペ</t>
  </si>
  <si>
    <t>アディダス</t>
  </si>
  <si>
    <t xml:space="preserve">トレーナー </t>
  </si>
  <si>
    <t xml:space="preserve">パーカ </t>
  </si>
  <si>
    <t xml:space="preserve">ショートパンツ、半ズボン </t>
  </si>
  <si>
    <t xml:space="preserve">アデュー トリステス </t>
  </si>
  <si>
    <t>アトウ</t>
  </si>
  <si>
    <t>アトリエ サブ</t>
  </si>
  <si>
    <t xml:space="preserve">アドーア </t>
  </si>
  <si>
    <t>アーノルドパーマー</t>
  </si>
  <si>
    <t>アナイ</t>
  </si>
  <si>
    <t xml:space="preserve">アナザーエディション </t>
  </si>
  <si>
    <t>アナスイ</t>
  </si>
  <si>
    <t xml:space="preserve">財布 </t>
  </si>
  <si>
    <t>アナップ</t>
  </si>
  <si>
    <t xml:space="preserve">アナトリエ </t>
  </si>
  <si>
    <t>アニエスベー</t>
  </si>
  <si>
    <t xml:space="preserve">ジャケット、ブレザー </t>
  </si>
  <si>
    <t xml:space="preserve">カーディガン </t>
  </si>
  <si>
    <t xml:space="preserve">タンクトップ、キャミソール </t>
  </si>
  <si>
    <t xml:space="preserve">ツインニット、アンサンブルニット </t>
  </si>
  <si>
    <t xml:space="preserve">ノースリーブシャツ </t>
  </si>
  <si>
    <t xml:space="preserve">ノースリーブセーター </t>
  </si>
  <si>
    <t xml:space="preserve">長袖Ｔシャツ </t>
  </si>
  <si>
    <t xml:space="preserve">長袖カットソー </t>
  </si>
  <si>
    <t xml:space="preserve">長袖セーター </t>
  </si>
  <si>
    <t xml:space="preserve">半袖Ｔシャツ </t>
  </si>
  <si>
    <t xml:space="preserve">半袖カットソー </t>
  </si>
  <si>
    <t xml:space="preserve">半袖セーター </t>
  </si>
  <si>
    <t xml:space="preserve">キュロット </t>
  </si>
  <si>
    <t xml:space="preserve">ショートパンツ </t>
  </si>
  <si>
    <t xml:space="preserve">タイトスカート（ミニ） </t>
  </si>
  <si>
    <t xml:space="preserve">タイトスカート（ロング） </t>
  </si>
  <si>
    <t xml:space="preserve">パンツ、スラックス </t>
  </si>
  <si>
    <t xml:space="preserve">フレアースカート、ギャザースカート（ミニ） </t>
  </si>
  <si>
    <t xml:space="preserve">フレアースカート、ギャザースカート（ロング） </t>
  </si>
  <si>
    <t xml:space="preserve">プリーツスカート（ミニ） </t>
  </si>
  <si>
    <t xml:space="preserve">プリーツスカート（ロング） </t>
  </si>
  <si>
    <t xml:space="preserve">台形スカート（ミニ） </t>
  </si>
  <si>
    <t>ワンピース</t>
  </si>
  <si>
    <t xml:space="preserve">ワンピース（ミニ） </t>
  </si>
  <si>
    <t xml:space="preserve">ワンピース（ロング） </t>
  </si>
  <si>
    <t>スーツ</t>
  </si>
  <si>
    <t xml:space="preserve">スーツ(ミニスカート) </t>
  </si>
  <si>
    <t xml:space="preserve">スーツ(ロングスカート) </t>
  </si>
  <si>
    <t xml:space="preserve">パンツスーツ </t>
  </si>
  <si>
    <t xml:space="preserve">サングラス </t>
  </si>
  <si>
    <t xml:space="preserve">女性用財布 </t>
  </si>
  <si>
    <t xml:space="preserve">男性用財布 </t>
  </si>
  <si>
    <t xml:space="preserve">アニヤ・ハインドマーチ </t>
  </si>
  <si>
    <t>a.v.v</t>
  </si>
  <si>
    <t>ア ベイシング エイプ</t>
  </si>
  <si>
    <t xml:space="preserve">ダウンジャケット </t>
  </si>
  <si>
    <t xml:space="preserve">スウェットシャツ、トレーナー </t>
  </si>
  <si>
    <t xml:space="preserve">ジーンズ </t>
  </si>
  <si>
    <t>アーバンリサーチ</t>
  </si>
  <si>
    <t>アーペーセー</t>
  </si>
  <si>
    <t xml:space="preserve">台形スカート </t>
  </si>
  <si>
    <t xml:space="preserve">スーツ </t>
  </si>
  <si>
    <t xml:space="preserve">Tシャツ </t>
  </si>
  <si>
    <t>アバクロンビー＆フィッチ</t>
  </si>
  <si>
    <t>ジャンパー、ブルゾン</t>
  </si>
  <si>
    <t xml:space="preserve">長袖ポロシャツ </t>
  </si>
  <si>
    <t xml:space="preserve">半袖ポロシャツ </t>
  </si>
  <si>
    <t xml:space="preserve">ワークパンツ、ペインターパンツ </t>
  </si>
  <si>
    <t>半袖ポロシャツ</t>
  </si>
  <si>
    <t>ジーンズ</t>
  </si>
  <si>
    <t xml:space="preserve">W28以下 </t>
  </si>
  <si>
    <t xml:space="preserve">W29 </t>
  </si>
  <si>
    <t xml:space="preserve">W30 </t>
  </si>
  <si>
    <t xml:space="preserve">W31 </t>
  </si>
  <si>
    <t xml:space="preserve">W32 </t>
  </si>
  <si>
    <t xml:space="preserve">W33 </t>
  </si>
  <si>
    <t xml:space="preserve">W34 </t>
  </si>
  <si>
    <t xml:space="preserve">W35 </t>
  </si>
  <si>
    <t xml:space="preserve">W36以上 </t>
  </si>
  <si>
    <t>アバハウス</t>
  </si>
  <si>
    <t xml:space="preserve">カットソー </t>
  </si>
  <si>
    <t xml:space="preserve">ネクタイ </t>
  </si>
  <si>
    <t>アプワイザー・リッシェ</t>
  </si>
  <si>
    <t>アヴィレックス</t>
  </si>
  <si>
    <t>フライトジャケット</t>
  </si>
  <si>
    <t xml:space="preserve">34インチ以下 </t>
  </si>
  <si>
    <t xml:space="preserve">36インチ </t>
  </si>
  <si>
    <t xml:space="preserve">38インチ </t>
  </si>
  <si>
    <t xml:space="preserve">40インチ </t>
  </si>
  <si>
    <t xml:space="preserve">42インチ以上 </t>
  </si>
  <si>
    <t>アメリカンアパレル</t>
  </si>
  <si>
    <t>アメリカンイーグル アウトフィッターズ</t>
  </si>
  <si>
    <t xml:space="preserve">ポロシャツ </t>
  </si>
  <si>
    <t>アメリカンラグ シー</t>
  </si>
  <si>
    <t>RNA</t>
  </si>
  <si>
    <t xml:space="preserve">アリスバーリー </t>
  </si>
  <si>
    <t xml:space="preserve">アルカリ </t>
  </si>
  <si>
    <t>アルゴンキン</t>
  </si>
  <si>
    <t>アルバローザ</t>
  </si>
  <si>
    <t>かばん、バッグ</t>
  </si>
  <si>
    <t xml:space="preserve">トートバッグ </t>
  </si>
  <si>
    <t xml:space="preserve">ベルト </t>
  </si>
  <si>
    <t>アルファ</t>
  </si>
  <si>
    <t xml:space="preserve">アルファキュービック </t>
  </si>
  <si>
    <t>アルベルタ・フェレッティ</t>
  </si>
  <si>
    <t>アルマーニ</t>
  </si>
  <si>
    <t>アルマーニ エクスチェンジ</t>
  </si>
  <si>
    <t>アルマーニ ジーンズ</t>
  </si>
  <si>
    <t>アレキサンダー・マックイーン</t>
  </si>
  <si>
    <t xml:space="preserve">服飾小物 </t>
  </si>
  <si>
    <t>Alexander Wang</t>
  </si>
  <si>
    <t>アレッサンドロ・デラクア</t>
  </si>
  <si>
    <t xml:space="preserve">アロー </t>
  </si>
  <si>
    <t xml:space="preserve">＆by P＆D </t>
  </si>
  <si>
    <t xml:space="preserve">アンクライン </t>
  </si>
  <si>
    <t xml:space="preserve">アングリッド </t>
  </si>
  <si>
    <t xml:space="preserve">アンシャントマン </t>
  </si>
  <si>
    <t>アンジェリック プリティ</t>
  </si>
  <si>
    <t xml:space="preserve">ファッション小物 </t>
  </si>
  <si>
    <t xml:space="preserve">アンスクウィーキー </t>
  </si>
  <si>
    <t>アンタイトル</t>
  </si>
  <si>
    <t xml:space="preserve">スーツ(キュロット) </t>
  </si>
  <si>
    <t>アンダーカバー</t>
  </si>
  <si>
    <t>靴</t>
  </si>
  <si>
    <t>アンテプリマ</t>
  </si>
  <si>
    <t>アンドゥムルメステール</t>
  </si>
  <si>
    <t>アンドエー</t>
  </si>
  <si>
    <t xml:space="preserve">アンドレルチアーノ </t>
  </si>
  <si>
    <t>アンナモリナーリ</t>
  </si>
  <si>
    <t>い</t>
  </si>
  <si>
    <t>イエナ</t>
  </si>
  <si>
    <t>イーストボーイ</t>
  </si>
  <si>
    <t xml:space="preserve">イーハイフンワールドギャラリー </t>
  </si>
  <si>
    <t>イッセイ ミヤケ</t>
  </si>
  <si>
    <t xml:space="preserve">シャツ、ブラウス </t>
  </si>
  <si>
    <t xml:space="preserve">伊太利屋 </t>
  </si>
  <si>
    <t xml:space="preserve">一澤帆布 </t>
  </si>
  <si>
    <t>イネド</t>
  </si>
  <si>
    <t>イヴ・サンローラン</t>
  </si>
  <si>
    <t xml:space="preserve">イマージュ </t>
  </si>
  <si>
    <t>イルビゾンテ</t>
  </si>
  <si>
    <t>インエ</t>
  </si>
  <si>
    <t>イング</t>
  </si>
  <si>
    <t xml:space="preserve">インゲボルグ </t>
  </si>
  <si>
    <t xml:space="preserve">インコテックス </t>
  </si>
  <si>
    <t>インタープラネット</t>
  </si>
  <si>
    <t xml:space="preserve">インディアンモーターサイクル </t>
  </si>
  <si>
    <t>インディヴィ</t>
  </si>
  <si>
    <t>インハビタント</t>
  </si>
  <si>
    <t>インバーアラン</t>
  </si>
  <si>
    <t>インパクティスケリー</t>
  </si>
  <si>
    <t>う</t>
  </si>
  <si>
    <t xml:space="preserve">22 OCTOBRE </t>
  </si>
  <si>
    <t xml:space="preserve">WASTE TWICE </t>
  </si>
  <si>
    <t>WEGO</t>
  </si>
  <si>
    <t>WeSC</t>
  </si>
  <si>
    <t>ウエアハウス</t>
  </si>
  <si>
    <t xml:space="preserve">ジージャン </t>
  </si>
  <si>
    <t>ウエスコ</t>
  </si>
  <si>
    <t xml:space="preserve">6インチ以下 </t>
  </si>
  <si>
    <t xml:space="preserve">6.5インチ </t>
  </si>
  <si>
    <t xml:space="preserve">7インチ </t>
  </si>
  <si>
    <t xml:space="preserve">7.5インチ </t>
  </si>
  <si>
    <t xml:space="preserve">8インチ </t>
  </si>
  <si>
    <t xml:space="preserve">8.5インチ </t>
  </si>
  <si>
    <t xml:space="preserve">9インチ </t>
  </si>
  <si>
    <t xml:space="preserve">9.5インチ </t>
  </si>
  <si>
    <t xml:space="preserve">10インチ </t>
  </si>
  <si>
    <t xml:space="preserve">10.5インチ </t>
  </si>
  <si>
    <t xml:space="preserve">11インチ以上 </t>
  </si>
  <si>
    <t xml:space="preserve">ヴァネッサ・ブリューノ </t>
  </si>
  <si>
    <t>ヴァレンティノ</t>
  </si>
  <si>
    <t>ヴィクター＆ロルフ</t>
  </si>
  <si>
    <t xml:space="preserve">ヴィクトリアシークレット </t>
  </si>
  <si>
    <t xml:space="preserve">ヴィジョン </t>
  </si>
  <si>
    <t>ヴィヴィアンウエストウッド</t>
  </si>
  <si>
    <t>ヴィヴィアンタム</t>
  </si>
  <si>
    <t>ヴェールダンス</t>
  </si>
  <si>
    <t>ヴェルサーチ</t>
  </si>
  <si>
    <t>ヴェロニクブランキーノ</t>
  </si>
  <si>
    <t>ウンガロ</t>
  </si>
  <si>
    <t>え</t>
  </si>
  <si>
    <t xml:space="preserve">AFFA </t>
  </si>
  <si>
    <t>A＆G</t>
  </si>
  <si>
    <t>H&amp;M</t>
  </si>
  <si>
    <t xml:space="preserve">HbG </t>
  </si>
  <si>
    <t>エアロポステール</t>
  </si>
  <si>
    <t xml:space="preserve">エアロレザー </t>
  </si>
  <si>
    <t>エイチ・ナオト</t>
  </si>
  <si>
    <t>エクストラ ラージ</t>
  </si>
  <si>
    <t>エゴイスト</t>
  </si>
  <si>
    <t xml:space="preserve">SPB </t>
  </si>
  <si>
    <t xml:space="preserve">エスカーダ </t>
  </si>
  <si>
    <t xml:space="preserve">エスペランサ </t>
  </si>
  <si>
    <t>A/T</t>
  </si>
  <si>
    <t>エターナル</t>
  </si>
  <si>
    <t xml:space="preserve">28インチ未満 </t>
  </si>
  <si>
    <t xml:space="preserve">28インチ～ </t>
  </si>
  <si>
    <t xml:space="preserve">30インチ～ </t>
  </si>
  <si>
    <t xml:space="preserve">32インチ～ </t>
  </si>
  <si>
    <t xml:space="preserve">34インチ～ </t>
  </si>
  <si>
    <t xml:space="preserve">36インチ～ </t>
  </si>
  <si>
    <t>エックスガール</t>
  </si>
  <si>
    <t>エディフィス</t>
  </si>
  <si>
    <t>エトロ</t>
  </si>
  <si>
    <t>エド・ハーディー</t>
  </si>
  <si>
    <t>エドウィン</t>
  </si>
  <si>
    <t>エドワードグリーン</t>
  </si>
  <si>
    <t xml:space="preserve">any SiS </t>
  </si>
  <si>
    <t xml:space="preserve">FAT </t>
  </si>
  <si>
    <t xml:space="preserve">abx </t>
  </si>
  <si>
    <t>エフデ</t>
  </si>
  <si>
    <t>エポカ</t>
  </si>
  <si>
    <t>エヴー</t>
  </si>
  <si>
    <t>エヴィス</t>
  </si>
  <si>
    <t>EMODA</t>
  </si>
  <si>
    <t>MCM</t>
  </si>
  <si>
    <t>MK ミッシェルクラン</t>
  </si>
  <si>
    <t>Mプルミエ</t>
  </si>
  <si>
    <t>エミュー オーストラリア</t>
  </si>
  <si>
    <t xml:space="preserve">エミリーテンプルキュート </t>
  </si>
  <si>
    <t>エミリオ・プッチ</t>
  </si>
  <si>
    <t xml:space="preserve">スカーフ、ポケットチーフ </t>
  </si>
  <si>
    <t xml:space="preserve">エムズグレイシー </t>
  </si>
  <si>
    <t xml:space="preserve">LB-03 </t>
  </si>
  <si>
    <t xml:space="preserve">LRG </t>
  </si>
  <si>
    <t xml:space="preserve">エリオポール </t>
  </si>
  <si>
    <t>エル</t>
  </si>
  <si>
    <t xml:space="preserve">エルベシャプリエ </t>
  </si>
  <si>
    <t>エルメス</t>
  </si>
  <si>
    <t xml:space="preserve">エールライン </t>
  </si>
  <si>
    <t xml:space="preserve">エブリン </t>
  </si>
  <si>
    <t xml:space="preserve">オータクロア </t>
  </si>
  <si>
    <t>ケリー</t>
  </si>
  <si>
    <t xml:space="preserve">ケリー28 </t>
  </si>
  <si>
    <t xml:space="preserve">ケリー32 </t>
  </si>
  <si>
    <t xml:space="preserve">ケリー35 </t>
  </si>
  <si>
    <t xml:space="preserve">ケリーアド </t>
  </si>
  <si>
    <t xml:space="preserve">ケリースポーツ </t>
  </si>
  <si>
    <t xml:space="preserve">バーキン </t>
  </si>
  <si>
    <t xml:space="preserve">フールトゥ </t>
  </si>
  <si>
    <t xml:space="preserve">プリュム </t>
  </si>
  <si>
    <t xml:space="preserve">ボリード </t>
  </si>
  <si>
    <t xml:space="preserve">ヴェスパ </t>
  </si>
  <si>
    <t xml:space="preserve">スカーフ </t>
  </si>
  <si>
    <t xml:space="preserve">エルメネジルド ゼニア </t>
  </si>
  <si>
    <t>エンジニアド ガーメンツ</t>
  </si>
  <si>
    <t>エンポリオ アルマーニ</t>
  </si>
  <si>
    <t xml:space="preserve">エンリーベグリン </t>
  </si>
  <si>
    <t>お</t>
  </si>
  <si>
    <t>オシュコシュ</t>
  </si>
  <si>
    <t xml:space="preserve">オズモーシス </t>
  </si>
  <si>
    <t>オゾック</t>
  </si>
  <si>
    <t>オゾンコミュニティー</t>
  </si>
  <si>
    <t>オールデン</t>
  </si>
  <si>
    <t>オールドイングランド</t>
  </si>
  <si>
    <t>オールドネイビー</t>
  </si>
  <si>
    <t>オリーブ デ オリーブ</t>
  </si>
  <si>
    <t>オロビアンコ</t>
  </si>
  <si>
    <t>か</t>
  </si>
  <si>
    <t xml:space="preserve">Kaon </t>
  </si>
  <si>
    <t>CA4LA</t>
  </si>
  <si>
    <t>帽子</t>
  </si>
  <si>
    <t>カステルバジャック</t>
  </si>
  <si>
    <t xml:space="preserve">KATO` </t>
  </si>
  <si>
    <t xml:space="preserve">ガッチャ </t>
  </si>
  <si>
    <t xml:space="preserve">カナダグース </t>
  </si>
  <si>
    <t xml:space="preserve">カネコイサオ </t>
  </si>
  <si>
    <t>カーハート</t>
  </si>
  <si>
    <t>カパルア</t>
  </si>
  <si>
    <t>kolor</t>
  </si>
  <si>
    <t xml:space="preserve">カールヘルム </t>
  </si>
  <si>
    <t xml:space="preserve">カリアング </t>
  </si>
  <si>
    <t>カルティエ</t>
  </si>
  <si>
    <t>カルバン･クライン</t>
  </si>
  <si>
    <t>カルペディエム</t>
  </si>
  <si>
    <t>ガルシアマルケス、クリスタルボール</t>
  </si>
  <si>
    <t xml:space="preserve">カーリーコレクション </t>
  </si>
  <si>
    <t xml:space="preserve">カンゴール </t>
  </si>
  <si>
    <t>カンペール</t>
  </si>
  <si>
    <t xml:space="preserve">35以下 </t>
  </si>
  <si>
    <t xml:space="preserve">40以上 </t>
  </si>
  <si>
    <t>き</t>
  </si>
  <si>
    <t xml:space="preserve">キプリング </t>
  </si>
  <si>
    <t>XOXO</t>
  </si>
  <si>
    <t>キタムラ</t>
  </si>
  <si>
    <t xml:space="preserve">キットソン </t>
  </si>
  <si>
    <t xml:space="preserve">cantwo </t>
  </si>
  <si>
    <t>キャサリン・ハムネット</t>
  </si>
  <si>
    <t>キャシャレル</t>
  </si>
  <si>
    <t>キャス・キッドソン</t>
  </si>
  <si>
    <t>キャピタル</t>
  </si>
  <si>
    <t>キャプテンサンタ</t>
  </si>
  <si>
    <t>ギャップ</t>
  </si>
  <si>
    <t xml:space="preserve">ギャミヌリィ </t>
  </si>
  <si>
    <t xml:space="preserve">ギャルリーヴィー </t>
  </si>
  <si>
    <t xml:space="preserve">ギルフィー </t>
  </si>
  <si>
    <t xml:space="preserve">KEEN </t>
  </si>
  <si>
    <t>キツネ</t>
  </si>
  <si>
    <t>銀座かねまつ</t>
  </si>
  <si>
    <t xml:space="preserve">22.0cm以下 </t>
  </si>
  <si>
    <t xml:space="preserve">22.5cm </t>
  </si>
  <si>
    <t xml:space="preserve">23.0cm </t>
  </si>
  <si>
    <t xml:space="preserve">23.5cm </t>
  </si>
  <si>
    <t xml:space="preserve">24.0cm </t>
  </si>
  <si>
    <t xml:space="preserve">24.5cm </t>
  </si>
  <si>
    <t xml:space="preserve">25.0cm以上 </t>
  </si>
  <si>
    <t>く</t>
  </si>
  <si>
    <t>クイーンズコート</t>
  </si>
  <si>
    <t xml:space="preserve">クーカイ </t>
  </si>
  <si>
    <t>クードシャンス</t>
  </si>
  <si>
    <t>クッシュマン</t>
  </si>
  <si>
    <t>グッチ</t>
  </si>
  <si>
    <t xml:space="preserve">オールドグッチ </t>
  </si>
  <si>
    <t xml:space="preserve">ジャッキーライン </t>
  </si>
  <si>
    <t xml:space="preserve">バンブーライン </t>
  </si>
  <si>
    <t xml:space="preserve">サンダル </t>
  </si>
  <si>
    <t xml:space="preserve">スニーカー </t>
  </si>
  <si>
    <t xml:space="preserve">パンプス </t>
  </si>
  <si>
    <t xml:space="preserve">ブーツ </t>
  </si>
  <si>
    <t xml:space="preserve">ミュール </t>
  </si>
  <si>
    <t>グッドイナフ</t>
  </si>
  <si>
    <t>組曲</t>
  </si>
  <si>
    <t xml:space="preserve">ひざ丈スカート </t>
  </si>
  <si>
    <t xml:space="preserve">キュロットスーツ </t>
  </si>
  <si>
    <t xml:space="preserve">ミニスカート </t>
  </si>
  <si>
    <t xml:space="preserve">ロングスカート </t>
  </si>
  <si>
    <t>クラークス</t>
  </si>
  <si>
    <t xml:space="preserve">3以下 </t>
  </si>
  <si>
    <t xml:space="preserve">6 1/2以上 </t>
  </si>
  <si>
    <t xml:space="preserve">クライミー </t>
  </si>
  <si>
    <t xml:space="preserve">クランプリュス </t>
  </si>
  <si>
    <t xml:space="preserve">グラッドニュース </t>
  </si>
  <si>
    <t>グラム</t>
  </si>
  <si>
    <t>グランドキャニオン</t>
  </si>
  <si>
    <t>グリーンクラブ</t>
  </si>
  <si>
    <t xml:space="preserve">クリアインプレッション </t>
  </si>
  <si>
    <t>クリス・ヴァン・アッシュ</t>
  </si>
  <si>
    <t>クリスチャン・ルブタン</t>
  </si>
  <si>
    <t xml:space="preserve">34以下 </t>
  </si>
  <si>
    <t xml:space="preserve">39.5以上 </t>
  </si>
  <si>
    <t xml:space="preserve">クリスチャンラクロワ </t>
  </si>
  <si>
    <t xml:space="preserve">クリッツィア </t>
  </si>
  <si>
    <t>グリーン</t>
  </si>
  <si>
    <t>クレージュ</t>
  </si>
  <si>
    <t>クレイサス</t>
  </si>
  <si>
    <t>グレース</t>
  </si>
  <si>
    <t>クロエ</t>
  </si>
  <si>
    <t>クロケット＆ジョーンズ</t>
  </si>
  <si>
    <t xml:space="preserve">10インチ以上 </t>
  </si>
  <si>
    <t>クロックス</t>
  </si>
  <si>
    <t xml:space="preserve">21cm以下 </t>
  </si>
  <si>
    <t xml:space="preserve">22cm </t>
  </si>
  <si>
    <t xml:space="preserve">23cm </t>
  </si>
  <si>
    <t xml:space="preserve">24cm </t>
  </si>
  <si>
    <t xml:space="preserve">25cm </t>
  </si>
  <si>
    <t xml:space="preserve">26cm </t>
  </si>
  <si>
    <t xml:space="preserve">27cm以上 </t>
  </si>
  <si>
    <t xml:space="preserve">25cm以下 </t>
  </si>
  <si>
    <t xml:space="preserve">27cm </t>
  </si>
  <si>
    <t xml:space="preserve">28cm </t>
  </si>
  <si>
    <t xml:space="preserve">29cm </t>
  </si>
  <si>
    <t xml:space="preserve">30cm </t>
  </si>
  <si>
    <t xml:space="preserve">31cm以上 </t>
  </si>
  <si>
    <t>クロムハーツ</t>
  </si>
  <si>
    <t>け</t>
  </si>
  <si>
    <t xml:space="preserve">ケイタマルヤマ </t>
  </si>
  <si>
    <t xml:space="preserve">ケイティ </t>
  </si>
  <si>
    <t>ケイト・スペード</t>
  </si>
  <si>
    <t xml:space="preserve">ハンドバッグ </t>
  </si>
  <si>
    <t xml:space="preserve">ショルダー </t>
  </si>
  <si>
    <t xml:space="preserve">ポーチ </t>
  </si>
  <si>
    <t xml:space="preserve">ゲス </t>
  </si>
  <si>
    <t xml:space="preserve">K.T. </t>
  </si>
  <si>
    <t>ケティ</t>
  </si>
  <si>
    <t>KBF</t>
  </si>
  <si>
    <t>ケルト＆コブラ</t>
  </si>
  <si>
    <t xml:space="preserve">ゲラルディーニ </t>
  </si>
  <si>
    <t xml:space="preserve">ケンゾー </t>
  </si>
  <si>
    <t xml:space="preserve">ゲンテン </t>
  </si>
  <si>
    <t>こ</t>
  </si>
  <si>
    <t xml:space="preserve">コキュ </t>
  </si>
  <si>
    <t>ココルル</t>
  </si>
  <si>
    <t>コスチュームナショナル</t>
  </si>
  <si>
    <t>コズミックワンダー</t>
  </si>
  <si>
    <t>コーチ</t>
  </si>
  <si>
    <t xml:space="preserve">ブリーフケース </t>
  </si>
  <si>
    <t xml:space="preserve">24.0cm以下 </t>
  </si>
  <si>
    <t xml:space="preserve">25.0cm </t>
  </si>
  <si>
    <t xml:space="preserve">25.5cm </t>
  </si>
  <si>
    <t xml:space="preserve">26.0cm </t>
  </si>
  <si>
    <t xml:space="preserve">26.5cm </t>
  </si>
  <si>
    <t xml:space="preserve">27.0cm </t>
  </si>
  <si>
    <t xml:space="preserve">27.5cm </t>
  </si>
  <si>
    <t xml:space="preserve">28.0cm </t>
  </si>
  <si>
    <t xml:space="preserve">28.5cm </t>
  </si>
  <si>
    <t xml:space="preserve">29.0cm以上 </t>
  </si>
  <si>
    <t xml:space="preserve">傘 </t>
  </si>
  <si>
    <t>コム サ デ モード</t>
  </si>
  <si>
    <t>長袖シャツ</t>
  </si>
  <si>
    <t>コム デ ギャルソン</t>
  </si>
  <si>
    <t>コムサイズム</t>
  </si>
  <si>
    <t xml:space="preserve">ゴヤール </t>
  </si>
  <si>
    <t>コール・ハーン</t>
  </si>
  <si>
    <t xml:space="preserve">5インチ以下 </t>
  </si>
  <si>
    <t xml:space="preserve">5.5インチ </t>
  </si>
  <si>
    <t xml:space="preserve">6インチ </t>
  </si>
  <si>
    <t xml:space="preserve">7インチ以上 </t>
  </si>
  <si>
    <t xml:space="preserve">8インチ以下 </t>
  </si>
  <si>
    <t xml:space="preserve">ゴールドファイル </t>
  </si>
  <si>
    <t>ゴローズ</t>
  </si>
  <si>
    <t>さ</t>
  </si>
  <si>
    <t xml:space="preserve">S2W8 </t>
  </si>
  <si>
    <t>サイ</t>
  </si>
  <si>
    <t>サイラス</t>
  </si>
  <si>
    <t>サカイ</t>
  </si>
  <si>
    <t>サザビー</t>
  </si>
  <si>
    <t xml:space="preserve">ザジ </t>
  </si>
  <si>
    <t>サボイ</t>
  </si>
  <si>
    <t xml:space="preserve">ショルダーバッグ </t>
  </si>
  <si>
    <t>SM2</t>
  </si>
  <si>
    <t>サマンサタバサ</t>
  </si>
  <si>
    <t xml:space="preserve">ブリーフケース、書類かばん </t>
  </si>
  <si>
    <t xml:space="preserve">ボストンバッグ </t>
  </si>
  <si>
    <t>サムソナイト</t>
  </si>
  <si>
    <t>サルヴァトーレ・フェラガモ</t>
  </si>
  <si>
    <t xml:space="preserve">5以下 </t>
  </si>
  <si>
    <t xml:space="preserve">5ハーフ </t>
  </si>
  <si>
    <t xml:space="preserve">6ハーフ </t>
  </si>
  <si>
    <t xml:space="preserve">7ハーフ以上 </t>
  </si>
  <si>
    <t>ザ リアル マッコイズ</t>
  </si>
  <si>
    <t xml:space="preserve">ライダースジャケット </t>
  </si>
  <si>
    <t>ザラ</t>
  </si>
  <si>
    <t>サンタフェ</t>
  </si>
  <si>
    <t>し</t>
  </si>
  <si>
    <t>J.CREW</t>
  </si>
  <si>
    <t>J.プレス</t>
  </si>
  <si>
    <t>シェラック</t>
  </si>
  <si>
    <t>シェル</t>
  </si>
  <si>
    <t xml:space="preserve">シエラデザイン </t>
  </si>
  <si>
    <t xml:space="preserve">ジェーン マープル </t>
  </si>
  <si>
    <t xml:space="preserve">ジェイアンドアール </t>
  </si>
  <si>
    <t>ジェニィ</t>
  </si>
  <si>
    <t>ジェネラルリサーチ</t>
  </si>
  <si>
    <t xml:space="preserve">ジェラートピケ </t>
  </si>
  <si>
    <t>ジェレミー・スコット</t>
  </si>
  <si>
    <t>ジーザスディアマンテ</t>
  </si>
  <si>
    <t>シップス</t>
  </si>
  <si>
    <t xml:space="preserve">シトラスノーツ </t>
  </si>
  <si>
    <t>シナコバ</t>
  </si>
  <si>
    <t>ジーナシス</t>
  </si>
  <si>
    <t>シーバイクロエ</t>
  </si>
  <si>
    <t>シビラ</t>
  </si>
  <si>
    <t>ジバンシイ</t>
  </si>
  <si>
    <t>シマロン</t>
  </si>
  <si>
    <t xml:space="preserve">シモネッタ </t>
  </si>
  <si>
    <t>ジミーチュウ</t>
  </si>
  <si>
    <t xml:space="preserve">ジムトンプソン </t>
  </si>
  <si>
    <t>GU（ジーユー）</t>
  </si>
  <si>
    <t xml:space="preserve">JUNMEN </t>
  </si>
  <si>
    <t>シャーリーテンプル</t>
  </si>
  <si>
    <t>シャネル</t>
  </si>
  <si>
    <t xml:space="preserve">スーツケース、トランク </t>
  </si>
  <si>
    <t xml:space="preserve">セカンドバッグ </t>
  </si>
  <si>
    <t xml:space="preserve">ポシェット </t>
  </si>
  <si>
    <t xml:space="preserve">リュックサック </t>
  </si>
  <si>
    <t>コート</t>
  </si>
  <si>
    <t xml:space="preserve">42以上 </t>
  </si>
  <si>
    <t>ジャケット、ブレザー</t>
  </si>
  <si>
    <t>シャルル ジョルダン</t>
  </si>
  <si>
    <t>シュープ</t>
  </si>
  <si>
    <t>シュプリーム</t>
  </si>
  <si>
    <t xml:space="preserve">ショーンジョン </t>
  </si>
  <si>
    <t>ショット</t>
  </si>
  <si>
    <t>ジャーナルスタンダード</t>
  </si>
  <si>
    <t>ジャイロ</t>
  </si>
  <si>
    <t xml:space="preserve">ジャスグリッティー </t>
  </si>
  <si>
    <t xml:space="preserve">ジャストカヴァッリ </t>
  </si>
  <si>
    <t>ジャンクフード</t>
  </si>
  <si>
    <t xml:space="preserve">ジャンフランコフェレ </t>
  </si>
  <si>
    <t>ジャンポール・ゴルチエ</t>
  </si>
  <si>
    <t>ジューシークチュール</t>
  </si>
  <si>
    <t xml:space="preserve">ジュゼッペザノッティ </t>
  </si>
  <si>
    <t>ジュンコシマダ</t>
  </si>
  <si>
    <t>ジョイアス</t>
  </si>
  <si>
    <t>ジョイリッチ</t>
  </si>
  <si>
    <t>ジョセフ</t>
  </si>
  <si>
    <t>ジョン スメドレー</t>
  </si>
  <si>
    <t>ジョン・ロブ</t>
  </si>
  <si>
    <t>ジョンガリアーノ</t>
  </si>
  <si>
    <t>ジョンブル</t>
  </si>
  <si>
    <t xml:space="preserve">自由区 </t>
  </si>
  <si>
    <t>シルヴァノ・ラッタンジ</t>
  </si>
  <si>
    <t>ジル・サンダー</t>
  </si>
  <si>
    <t>ジルスチュアート</t>
  </si>
  <si>
    <t xml:space="preserve">シンシア・ローリー </t>
  </si>
  <si>
    <t>す</t>
  </si>
  <si>
    <t>スカルフライト</t>
  </si>
  <si>
    <t xml:space="preserve">スキャパ </t>
  </si>
  <si>
    <t>ズッカ</t>
  </si>
  <si>
    <t xml:space="preserve">スーツ(スカート) </t>
  </si>
  <si>
    <t xml:space="preserve">スタジオクリップ </t>
  </si>
  <si>
    <t xml:space="preserve">スタニングルアー </t>
  </si>
  <si>
    <t>ステューシー</t>
  </si>
  <si>
    <t xml:space="preserve">ステュディオ・ダ・ルチザン </t>
  </si>
  <si>
    <t xml:space="preserve">ステラ・マッカートニー </t>
  </si>
  <si>
    <t xml:space="preserve">ストロベリーフィールズ </t>
  </si>
  <si>
    <t xml:space="preserve">スーナウーナ </t>
  </si>
  <si>
    <t>スナイデル</t>
  </si>
  <si>
    <t xml:space="preserve">スナオクワハラ </t>
  </si>
  <si>
    <t xml:space="preserve">スーパーハッカ </t>
  </si>
  <si>
    <t>スーパーラヴァーズ</t>
  </si>
  <si>
    <t xml:space="preserve">スパイラルガール </t>
  </si>
  <si>
    <t>スピック＆スパン</t>
  </si>
  <si>
    <t xml:space="preserve">スピワック </t>
  </si>
  <si>
    <t xml:space="preserve">スマッキーグラム </t>
  </si>
  <si>
    <t xml:space="preserve">スモーク </t>
  </si>
  <si>
    <t xml:space="preserve">3.1 Phillip Lim </t>
  </si>
  <si>
    <t>スライ</t>
  </si>
  <si>
    <t xml:space="preserve">スリードッツ </t>
  </si>
  <si>
    <t>スワッガー</t>
  </si>
  <si>
    <t>せ/そ</t>
  </si>
  <si>
    <t>セオリー</t>
  </si>
  <si>
    <t>セシルマクビー</t>
  </si>
  <si>
    <t xml:space="preserve">セブントゥエルブサーティー </t>
  </si>
  <si>
    <t>セブンフォーオールマンカインド</t>
  </si>
  <si>
    <t>セリーヌ</t>
  </si>
  <si>
    <t>セルジオ･ロッシ</t>
  </si>
  <si>
    <t>ゼロハリバートン</t>
  </si>
  <si>
    <t xml:space="preserve">セントジェームス </t>
  </si>
  <si>
    <t xml:space="preserve">ソーイ </t>
  </si>
  <si>
    <t>ソードフィッシュ</t>
  </si>
  <si>
    <t xml:space="preserve">ソニアリキエル </t>
  </si>
  <si>
    <t>ソフネット</t>
  </si>
  <si>
    <t>た/ち/つ</t>
  </si>
  <si>
    <t>ダイアナ</t>
  </si>
  <si>
    <t xml:space="preserve">22cm以下 </t>
  </si>
  <si>
    <t xml:space="preserve">24.5cm以上 </t>
  </si>
  <si>
    <t>ダイアン・フォン・ファステンバーグ</t>
  </si>
  <si>
    <t>タケオキクチ</t>
  </si>
  <si>
    <t xml:space="preserve">1サイズ以下 </t>
  </si>
  <si>
    <t xml:space="preserve">2サイズ </t>
  </si>
  <si>
    <t xml:space="preserve">3サイズ </t>
  </si>
  <si>
    <t xml:space="preserve">4サイズ以上 </t>
  </si>
  <si>
    <t xml:space="preserve">ダズリン </t>
  </si>
  <si>
    <t>ダックス</t>
  </si>
  <si>
    <t>ダナ･キャラン、DKNY</t>
  </si>
  <si>
    <t xml:space="preserve">タバサ </t>
  </si>
  <si>
    <t xml:space="preserve">ダーバン </t>
  </si>
  <si>
    <t xml:space="preserve">ダブルアール </t>
  </si>
  <si>
    <t>RRL</t>
  </si>
  <si>
    <t>wjk</t>
  </si>
  <si>
    <t>WC</t>
  </si>
  <si>
    <t>ダブルスタンダードクロージング</t>
  </si>
  <si>
    <t>ダブルタップス</t>
  </si>
  <si>
    <t xml:space="preserve">タルボット </t>
  </si>
  <si>
    <t>ダンヒル</t>
  </si>
  <si>
    <t>チェスティ</t>
  </si>
  <si>
    <t>チチカカ</t>
  </si>
  <si>
    <t>チャーチ</t>
  </si>
  <si>
    <t xml:space="preserve">チャイルドウーマン </t>
  </si>
  <si>
    <t>チャオパニック</t>
  </si>
  <si>
    <t xml:space="preserve">チャムス </t>
  </si>
  <si>
    <t>チャンピオン</t>
  </si>
  <si>
    <t xml:space="preserve">スウェットシャツ </t>
  </si>
  <si>
    <t>ツモリチサト</t>
  </si>
  <si>
    <t>て</t>
  </si>
  <si>
    <t>D＆G</t>
  </si>
  <si>
    <t>TMT</t>
  </si>
  <si>
    <t xml:space="preserve">ティアラ </t>
  </si>
  <si>
    <t>ディアプリンセス</t>
  </si>
  <si>
    <t>ディオール</t>
  </si>
  <si>
    <t xml:space="preserve">トロッター </t>
  </si>
  <si>
    <t xml:space="preserve">レディディオール </t>
  </si>
  <si>
    <t xml:space="preserve">W33以上 </t>
  </si>
  <si>
    <t xml:space="preserve">ディグレース </t>
  </si>
  <si>
    <t>ディースクエアード</t>
  </si>
  <si>
    <t>ディーゼル</t>
  </si>
  <si>
    <t xml:space="preserve">W34以上 </t>
  </si>
  <si>
    <t>デイシー</t>
  </si>
  <si>
    <t>ディッキーズ</t>
  </si>
  <si>
    <t xml:space="preserve">オーバーオール </t>
  </si>
  <si>
    <t>ティファニー</t>
  </si>
  <si>
    <t xml:space="preserve">DEAN＆DELUCA </t>
  </si>
  <si>
    <t>ティンバーランド</t>
  </si>
  <si>
    <t xml:space="preserve">テチチ </t>
  </si>
  <si>
    <t>デニム＆ダンガリー</t>
  </si>
  <si>
    <t xml:space="preserve">デビロック </t>
  </si>
  <si>
    <t xml:space="preserve">デプレ </t>
  </si>
  <si>
    <t>デュベティカ</t>
  </si>
  <si>
    <t xml:space="preserve">デュラス </t>
  </si>
  <si>
    <t>テンダーロイン</t>
  </si>
  <si>
    <t>と</t>
  </si>
  <si>
    <t xml:space="preserve">TO BE CHIC </t>
  </si>
  <si>
    <t>トゥミ</t>
  </si>
  <si>
    <t>トゥモローランド</t>
  </si>
  <si>
    <t xml:space="preserve">トゥララ </t>
  </si>
  <si>
    <t>トゥルーレリジョン</t>
  </si>
  <si>
    <t>ドゥーズィエム クラス</t>
  </si>
  <si>
    <t>ドゥニーム</t>
  </si>
  <si>
    <t>ドゥファミリィ</t>
  </si>
  <si>
    <t>ドゥロワー</t>
  </si>
  <si>
    <t>東洋エンタープライズ</t>
  </si>
  <si>
    <t>スカジャン</t>
  </si>
  <si>
    <t>半袖シャツ</t>
  </si>
  <si>
    <t xml:space="preserve">トーガ </t>
  </si>
  <si>
    <t xml:space="preserve">トッカ </t>
  </si>
  <si>
    <t>トッズ</t>
  </si>
  <si>
    <t>トップショップ</t>
  </si>
  <si>
    <t xml:space="preserve">トミーガール </t>
  </si>
  <si>
    <t>トミーヒルフィガー</t>
  </si>
  <si>
    <t xml:space="preserve">トム・ブラウン </t>
  </si>
  <si>
    <t xml:space="preserve">トムフォード </t>
  </si>
  <si>
    <t>トラサルディ</t>
  </si>
  <si>
    <t>トランスコンチネンツ</t>
  </si>
  <si>
    <t>トリーバーチ</t>
  </si>
  <si>
    <t>トリッカーズ</t>
  </si>
  <si>
    <t xml:space="preserve">UK6以下 </t>
  </si>
  <si>
    <t xml:space="preserve">UK6.5 </t>
  </si>
  <si>
    <t xml:space="preserve">UK7 </t>
  </si>
  <si>
    <t xml:space="preserve">UK7.5 </t>
  </si>
  <si>
    <t xml:space="preserve">UK8 </t>
  </si>
  <si>
    <t xml:space="preserve">UK8.5 </t>
  </si>
  <si>
    <t xml:space="preserve">UK9 </t>
  </si>
  <si>
    <t xml:space="preserve">UK9.5 </t>
  </si>
  <si>
    <t xml:space="preserve">UK10以上 </t>
  </si>
  <si>
    <t xml:space="preserve">トリッペン </t>
  </si>
  <si>
    <t>トルネードマート</t>
  </si>
  <si>
    <t>ドラッグストアーズ</t>
  </si>
  <si>
    <t>ドリス ヴァン ノッテン</t>
  </si>
  <si>
    <t>ドルチェ＆ガッバーナ</t>
  </si>
  <si>
    <t>Ｔシャツ</t>
  </si>
  <si>
    <t xml:space="preserve">長袖 </t>
  </si>
  <si>
    <t xml:space="preserve">半袖 </t>
  </si>
  <si>
    <t xml:space="preserve">44以下 </t>
  </si>
  <si>
    <t xml:space="preserve">52以上 </t>
  </si>
  <si>
    <t xml:space="preserve">37以下 </t>
  </si>
  <si>
    <t xml:space="preserve">43以上 </t>
  </si>
  <si>
    <t>ドレスキャンプ</t>
  </si>
  <si>
    <t>ドレステリア</t>
  </si>
  <si>
    <t>な～の</t>
  </si>
  <si>
    <t xml:space="preserve">NINE </t>
  </si>
  <si>
    <t>n°44</t>
  </si>
  <si>
    <t xml:space="preserve">ナーコティック </t>
  </si>
  <si>
    <t>ナイキ</t>
  </si>
  <si>
    <t>ナイスクラップ</t>
  </si>
  <si>
    <t xml:space="preserve">ナイトレイド </t>
  </si>
  <si>
    <t>ナインウエスト</t>
  </si>
  <si>
    <t xml:space="preserve">9以上 </t>
  </si>
  <si>
    <t>ナショナルスタンダード</t>
  </si>
  <si>
    <t>ナチュラルビューティー</t>
  </si>
  <si>
    <t>ナチュラルビューティーベーシック</t>
  </si>
  <si>
    <t xml:space="preserve">ナチュラルランドリー </t>
  </si>
  <si>
    <t>ナノユニバース</t>
  </si>
  <si>
    <t xml:space="preserve">ナラ カミーチェ </t>
  </si>
  <si>
    <t>ナンバーナイン</t>
  </si>
  <si>
    <t>23区</t>
  </si>
  <si>
    <t xml:space="preserve">ニードルス </t>
  </si>
  <si>
    <t xml:space="preserve">ニーム </t>
  </si>
  <si>
    <t>ニールバレット</t>
  </si>
  <si>
    <t xml:space="preserve">ニクソン </t>
  </si>
  <si>
    <t>ニコル</t>
  </si>
  <si>
    <t xml:space="preserve">ニコルミラー </t>
  </si>
  <si>
    <t xml:space="preserve">ニトカ </t>
  </si>
  <si>
    <t>ニナリッチ</t>
  </si>
  <si>
    <t xml:space="preserve">ニューエラ </t>
  </si>
  <si>
    <t>ニューヨーカー</t>
  </si>
  <si>
    <t xml:space="preserve">ニューヨークハット </t>
  </si>
  <si>
    <t xml:space="preserve">ヌーディージーンズ </t>
  </si>
  <si>
    <t>ネイバーフッド</t>
  </si>
  <si>
    <t xml:space="preserve">ネクスト </t>
  </si>
  <si>
    <t>ネスタブランド</t>
  </si>
  <si>
    <t xml:space="preserve">ネネット </t>
  </si>
  <si>
    <t xml:space="preserve">ネペンテス </t>
  </si>
  <si>
    <t xml:space="preserve">ノーアイディー </t>
  </si>
  <si>
    <t>ノーティカ</t>
  </si>
  <si>
    <t xml:space="preserve">ノーネーム </t>
  </si>
  <si>
    <t>ノーベスパジオ</t>
  </si>
  <si>
    <t>ノーリーズ</t>
  </si>
  <si>
    <t>ノゾミイシグロ</t>
  </si>
  <si>
    <t>ノティファイ</t>
  </si>
  <si>
    <t>ノンネイティブ</t>
  </si>
  <si>
    <t>は</t>
  </si>
  <si>
    <t>ハイドロゲン</t>
  </si>
  <si>
    <t xml:space="preserve">長袖Tシャツ（Vネック） </t>
  </si>
  <si>
    <t xml:space="preserve">長袖Tシャツ（クルーネック） </t>
  </si>
  <si>
    <t xml:space="preserve">半袖Tシャツ（Vネック） </t>
  </si>
  <si>
    <t xml:space="preserve">半袖Tシャツ（クルーネック） </t>
  </si>
  <si>
    <t xml:space="preserve">ショートパンツ、ハーフパンツ </t>
  </si>
  <si>
    <t xml:space="preserve">スウェットパンツ </t>
  </si>
  <si>
    <t xml:space="preserve">ワークパンツ、カーゴパンツ </t>
  </si>
  <si>
    <t xml:space="preserve">バウンティーハンター </t>
  </si>
  <si>
    <t xml:space="preserve">パオラ フラーニ </t>
  </si>
  <si>
    <t>ハグオーワー</t>
  </si>
  <si>
    <t>パーソンズ</t>
  </si>
  <si>
    <t>ハーディ・エイミス</t>
  </si>
  <si>
    <t>ハッシュアッシュ</t>
  </si>
  <si>
    <t xml:space="preserve">バックボーン </t>
  </si>
  <si>
    <t>バツ</t>
  </si>
  <si>
    <t xml:space="preserve">パトリックコックス </t>
  </si>
  <si>
    <t xml:space="preserve">パドカレ </t>
  </si>
  <si>
    <t>バーニーズ ニューヨーク</t>
  </si>
  <si>
    <t>バナーバレット</t>
  </si>
  <si>
    <t>バナナリパブリック</t>
  </si>
  <si>
    <t xml:space="preserve">ハバーサック </t>
  </si>
  <si>
    <t>バーバリー</t>
  </si>
  <si>
    <t xml:space="preserve">スーツ（ミニスカート） </t>
  </si>
  <si>
    <t xml:space="preserve">スーツ（ロングスカート） </t>
  </si>
  <si>
    <t xml:space="preserve">マフラー </t>
  </si>
  <si>
    <t>バーバリー ブラックレーベル</t>
  </si>
  <si>
    <t>バーバリー ブルーレーベル</t>
  </si>
  <si>
    <t>バービー</t>
  </si>
  <si>
    <t>バーブァー</t>
  </si>
  <si>
    <t xml:space="preserve">パパス </t>
  </si>
  <si>
    <t>HTC</t>
  </si>
  <si>
    <t>ベルト</t>
  </si>
  <si>
    <t xml:space="preserve">30インチ未満 </t>
  </si>
  <si>
    <t xml:space="preserve">38インチ～ </t>
  </si>
  <si>
    <t>Hurley</t>
  </si>
  <si>
    <t>ハリウッド ランチ マーケット</t>
  </si>
  <si>
    <t>ハリス</t>
  </si>
  <si>
    <t xml:space="preserve">ハレ </t>
  </si>
  <si>
    <t>ハロッズ</t>
  </si>
  <si>
    <t>バリー</t>
  </si>
  <si>
    <t>バル</t>
  </si>
  <si>
    <t>バルマン</t>
  </si>
  <si>
    <t>バレンシアガ</t>
  </si>
  <si>
    <t xml:space="preserve">パラビオン </t>
  </si>
  <si>
    <t xml:space="preserve">パラブーツ </t>
  </si>
  <si>
    <t>VANS</t>
  </si>
  <si>
    <t xml:space="preserve">ハンター </t>
  </si>
  <si>
    <t>ハンティングワールド</t>
  </si>
  <si>
    <t>バンソン</t>
  </si>
  <si>
    <t>ひ</t>
  </si>
  <si>
    <t xml:space="preserve">ビアッジョブルー </t>
  </si>
  <si>
    <t xml:space="preserve">ピアスポーツ </t>
  </si>
  <si>
    <t xml:space="preserve">BCBGマックスアズリア </t>
  </si>
  <si>
    <t>visvim</t>
  </si>
  <si>
    <t xml:space="preserve">8以下 </t>
  </si>
  <si>
    <t xml:space="preserve">11以上 </t>
  </si>
  <si>
    <t>ヒステリックグラマー</t>
  </si>
  <si>
    <t xml:space="preserve">ピースナウ </t>
  </si>
  <si>
    <t xml:space="preserve">ピースメーカー </t>
  </si>
  <si>
    <t xml:space="preserve">Pippi </t>
  </si>
  <si>
    <t>ビッキー</t>
  </si>
  <si>
    <t>ピーチジョン</t>
  </si>
  <si>
    <t xml:space="preserve">インナーウエア </t>
  </si>
  <si>
    <t>ビギ</t>
  </si>
  <si>
    <t>ビバユー</t>
  </si>
  <si>
    <t>ビームス</t>
  </si>
  <si>
    <t>卑弥呼</t>
  </si>
  <si>
    <t>ヒューゴ･ボス</t>
  </si>
  <si>
    <t xml:space="preserve">ヒューマンウーマン </t>
  </si>
  <si>
    <t xml:space="preserve">ビューティビースト </t>
  </si>
  <si>
    <t>ビュルデサボン</t>
  </si>
  <si>
    <t xml:space="preserve">ピュアルセシン </t>
  </si>
  <si>
    <t xml:space="preserve">ヒロココシノ </t>
  </si>
  <si>
    <t xml:space="preserve">ヒロフ </t>
  </si>
  <si>
    <t>ビラボン</t>
  </si>
  <si>
    <t xml:space="preserve">ビリオネアボーイズクラブ </t>
  </si>
  <si>
    <t>ビルケンシュトック</t>
  </si>
  <si>
    <t>靴、サンダル</t>
  </si>
  <si>
    <t xml:space="preserve">28.5cm以上 </t>
  </si>
  <si>
    <t>ピンキー＆ダイアン</t>
  </si>
  <si>
    <t>ピンキーガールズ</t>
  </si>
  <si>
    <t>ピンクハウス</t>
  </si>
  <si>
    <t>ふ</t>
  </si>
  <si>
    <t>45rpm</t>
  </si>
  <si>
    <t xml:space="preserve">55DSL </t>
  </si>
  <si>
    <t>FAD3</t>
  </si>
  <si>
    <t>FOREVER21</t>
  </si>
  <si>
    <t xml:space="preserve">Fin </t>
  </si>
  <si>
    <t xml:space="preserve">PHENOMENON </t>
  </si>
  <si>
    <t xml:space="preserve">ファクトタム </t>
  </si>
  <si>
    <t>フィラ</t>
  </si>
  <si>
    <t xml:space="preserve">フェイラー </t>
  </si>
  <si>
    <t>フェリージ</t>
  </si>
  <si>
    <t xml:space="preserve">名刺入れ、カードケース </t>
  </si>
  <si>
    <t xml:space="preserve">フェルゥ </t>
  </si>
  <si>
    <t>フェローズ</t>
  </si>
  <si>
    <t xml:space="preserve">フライトジャケット </t>
  </si>
  <si>
    <t>フェンディ</t>
  </si>
  <si>
    <t>フォクシー</t>
  </si>
  <si>
    <t>フセインチャラヤン</t>
  </si>
  <si>
    <t>ブッテロ</t>
  </si>
  <si>
    <t>プチバトー</t>
  </si>
  <si>
    <t>プーマ</t>
  </si>
  <si>
    <t>フライ</t>
  </si>
  <si>
    <t>フラジール</t>
  </si>
  <si>
    <t>フラットヘッド</t>
  </si>
  <si>
    <t>フラボア</t>
  </si>
  <si>
    <t>フランクリン＆マーシャル</t>
  </si>
  <si>
    <t xml:space="preserve">フランシュリッペ </t>
  </si>
  <si>
    <t>フリーズショップ</t>
  </si>
  <si>
    <t>フルカウント</t>
  </si>
  <si>
    <t>フルラ</t>
  </si>
  <si>
    <t xml:space="preserve">クラッチバッグ、パーティバッグ </t>
  </si>
  <si>
    <t xml:space="preserve">フレームワーク </t>
  </si>
  <si>
    <t>フレッドペリー</t>
  </si>
  <si>
    <t xml:space="preserve">フローレント </t>
  </si>
  <si>
    <t xml:space="preserve">ブリーフィング </t>
  </si>
  <si>
    <t>ブリオーニ</t>
  </si>
  <si>
    <t>ブルーノマリ</t>
  </si>
  <si>
    <t xml:space="preserve">ブルームーンブルー </t>
  </si>
  <si>
    <t>ブルガリ</t>
  </si>
  <si>
    <t>ブルックスブラザーズ</t>
  </si>
  <si>
    <t>ブルネロクチネリ</t>
  </si>
  <si>
    <t xml:space="preserve">ブルマリン </t>
  </si>
  <si>
    <t>ブロンディ</t>
  </si>
  <si>
    <t xml:space="preserve">プーラフリーム </t>
  </si>
  <si>
    <t xml:space="preserve">プールサイド </t>
  </si>
  <si>
    <t xml:space="preserve">プライドグライド </t>
  </si>
  <si>
    <t>プライベートレーベル</t>
  </si>
  <si>
    <t xml:space="preserve">プラステ </t>
  </si>
  <si>
    <t>プラダ</t>
  </si>
  <si>
    <t>プラダ一般</t>
  </si>
  <si>
    <t xml:space="preserve">リュック </t>
  </si>
  <si>
    <t xml:space="preserve">プラダスポーツ </t>
  </si>
  <si>
    <t xml:space="preserve">メンズライン </t>
  </si>
  <si>
    <t xml:space="preserve">プリマクラッセ </t>
  </si>
  <si>
    <t>プリングル</t>
  </si>
  <si>
    <t>プレイボーイ</t>
  </si>
  <si>
    <t xml:space="preserve">プレッジ </t>
  </si>
  <si>
    <t>プレミアータ</t>
  </si>
  <si>
    <t xml:space="preserve">プロフィール </t>
  </si>
  <si>
    <t xml:space="preserve">プロポーションボディドレッシング </t>
  </si>
  <si>
    <t>へ</t>
  </si>
  <si>
    <t>ベイピー</t>
  </si>
  <si>
    <t>ペイトンプレイス</t>
  </si>
  <si>
    <t>ヘクティク</t>
  </si>
  <si>
    <t>ヘザー</t>
  </si>
  <si>
    <t xml:space="preserve">ページボーイ </t>
  </si>
  <si>
    <t xml:space="preserve">BEDWIN </t>
  </si>
  <si>
    <t xml:space="preserve">ベッツィジョンソン </t>
  </si>
  <si>
    <t>ベネトン</t>
  </si>
  <si>
    <t>ベベ</t>
  </si>
  <si>
    <t>ペーパーデニム＆クロス</t>
  </si>
  <si>
    <t xml:space="preserve">ヘム </t>
  </si>
  <si>
    <t>ヘルムート・ラング</t>
  </si>
  <si>
    <t xml:space="preserve">ベルスタッフ </t>
  </si>
  <si>
    <t>ベルンハルトウィルヘルム</t>
  </si>
  <si>
    <t>ほ</t>
  </si>
  <si>
    <t>ボイコット</t>
  </si>
  <si>
    <t xml:space="preserve">ポストオーバーオールズ </t>
  </si>
  <si>
    <t xml:space="preserve">ボッシュ </t>
  </si>
  <si>
    <t>ボッテガ・ヴェネタ</t>
  </si>
  <si>
    <t>ボディ ドレッシングデラックス</t>
  </si>
  <si>
    <t>ボナジョルナータ</t>
  </si>
  <si>
    <t>ホリスター</t>
  </si>
  <si>
    <t xml:space="preserve">ボールジー </t>
  </si>
  <si>
    <t>ボルコム</t>
  </si>
  <si>
    <t>ポール･スミス</t>
  </si>
  <si>
    <t>ポール・スチュアート</t>
  </si>
  <si>
    <t>ポール＆ジョー</t>
  </si>
  <si>
    <t xml:space="preserve">ポールカ </t>
  </si>
  <si>
    <t xml:space="preserve">ポリス </t>
  </si>
  <si>
    <t xml:space="preserve">ホワイツブーツ </t>
  </si>
  <si>
    <t xml:space="preserve">ホワイトハウスコックス </t>
  </si>
  <si>
    <t>ホワイトマウンテニアリング</t>
  </si>
  <si>
    <t xml:space="preserve">ボリオリ </t>
  </si>
  <si>
    <t>ボンダッチ</t>
  </si>
  <si>
    <t xml:space="preserve">野球帽 </t>
  </si>
  <si>
    <t>ま</t>
  </si>
  <si>
    <t>マイケルコース</t>
  </si>
  <si>
    <t>マウジー</t>
  </si>
  <si>
    <t>半袖Ｔシャツ</t>
  </si>
  <si>
    <t xml:space="preserve">スーツ（スカート） </t>
  </si>
  <si>
    <t xml:space="preserve">marka </t>
  </si>
  <si>
    <t>マーガレット・ハウエル</t>
  </si>
  <si>
    <t>マーキュリーデュオ</t>
  </si>
  <si>
    <t>マーク ジェイコブス</t>
  </si>
  <si>
    <t>マーク バイ マーク ジェイコブス</t>
  </si>
  <si>
    <t>マカフィー</t>
  </si>
  <si>
    <t xml:space="preserve">Mars </t>
  </si>
  <si>
    <t xml:space="preserve">マジェスティックレゴン </t>
  </si>
  <si>
    <t xml:space="preserve">マスターピース </t>
  </si>
  <si>
    <t>マスターマインドジャパン</t>
  </si>
  <si>
    <t>マッキントッシュ</t>
  </si>
  <si>
    <t>マックスマーラ</t>
  </si>
  <si>
    <t xml:space="preserve">マックダディー </t>
  </si>
  <si>
    <t xml:space="preserve">マテリア </t>
  </si>
  <si>
    <t>マニックス</t>
  </si>
  <si>
    <t>マノロ・ブラニク</t>
  </si>
  <si>
    <t>マリークワント</t>
  </si>
  <si>
    <t>マリクレール</t>
  </si>
  <si>
    <t>マリテフランソワジルボー</t>
  </si>
  <si>
    <t>マリメッコ</t>
  </si>
  <si>
    <t xml:space="preserve">マリンフランセーズ </t>
  </si>
  <si>
    <t>マルタン・マルジェラ</t>
  </si>
  <si>
    <t>マルニ</t>
  </si>
  <si>
    <t>み</t>
  </si>
  <si>
    <t>ミジェーン</t>
  </si>
  <si>
    <t>ミスターハリウッド</t>
  </si>
  <si>
    <t>ミスティック</t>
  </si>
  <si>
    <t>ミッシェルクラン</t>
  </si>
  <si>
    <t xml:space="preserve">36以下 </t>
  </si>
  <si>
    <t>ミッシュマッシュ</t>
  </si>
  <si>
    <t>ミッソーニ</t>
  </si>
  <si>
    <t xml:space="preserve">ミナ ペルホネン </t>
  </si>
  <si>
    <t>ミニマム</t>
  </si>
  <si>
    <t xml:space="preserve">ミネトンカ </t>
  </si>
  <si>
    <t>ミハラヤスヒロ</t>
  </si>
  <si>
    <t xml:space="preserve">ミミアンドロジャー </t>
  </si>
  <si>
    <t>ミュウミュウ</t>
  </si>
  <si>
    <t xml:space="preserve">ミラショーン </t>
  </si>
  <si>
    <t>ミルク</t>
  </si>
  <si>
    <t xml:space="preserve">ミルクフェド </t>
  </si>
  <si>
    <t>ミルクボーイ</t>
  </si>
  <si>
    <t>む/め/も</t>
  </si>
  <si>
    <t>無印良品</t>
  </si>
  <si>
    <t>MURUA</t>
  </si>
  <si>
    <t>ムチャチャ</t>
  </si>
  <si>
    <t xml:space="preserve">メイソングレイ </t>
  </si>
  <si>
    <t xml:space="preserve">メリッサ </t>
  </si>
  <si>
    <t>メルシーボークー</t>
  </si>
  <si>
    <t>メルローズ</t>
  </si>
  <si>
    <t xml:space="preserve">モガ </t>
  </si>
  <si>
    <t>モスキーノ</t>
  </si>
  <si>
    <t>モルガン</t>
  </si>
  <si>
    <t>モンクレール</t>
  </si>
  <si>
    <t>ダウンジャケット</t>
  </si>
  <si>
    <t xml:space="preserve">4以上 </t>
  </si>
  <si>
    <t>や/ゆ/よ</t>
  </si>
  <si>
    <t>ヤエカ</t>
  </si>
  <si>
    <t xml:space="preserve">ヤックパック </t>
  </si>
  <si>
    <t>ヤヌーク</t>
  </si>
  <si>
    <t>ユキコハナイ</t>
  </si>
  <si>
    <t>ユキトリイ</t>
  </si>
  <si>
    <t>ユナイテッドアローズ</t>
  </si>
  <si>
    <t xml:space="preserve">ユナイテッドバンブー </t>
  </si>
  <si>
    <t>ユニクロ</t>
  </si>
  <si>
    <t>ユリウス</t>
  </si>
  <si>
    <t xml:space="preserve">ヨーガンレール </t>
  </si>
  <si>
    <t xml:space="preserve">ヨシエイナバ </t>
  </si>
  <si>
    <t xml:space="preserve">ヨシユキコニシ </t>
  </si>
  <si>
    <t>吉田カバン、ヘッドポーター</t>
  </si>
  <si>
    <t xml:space="preserve">ウエストバッグ </t>
  </si>
  <si>
    <t xml:space="preserve">リュックサック、デイパック </t>
  </si>
  <si>
    <t xml:space="preserve">携帯電話ケース </t>
  </si>
  <si>
    <t xml:space="preserve">4℃ </t>
  </si>
  <si>
    <t>ら</t>
  </si>
  <si>
    <t>ラウンジリザード</t>
  </si>
  <si>
    <t xml:space="preserve">ラグナムーン </t>
  </si>
  <si>
    <t>ラコステ</t>
  </si>
  <si>
    <t>ポロシャツ</t>
  </si>
  <si>
    <t xml:space="preserve">2以下 </t>
  </si>
  <si>
    <t xml:space="preserve">7以上 </t>
  </si>
  <si>
    <t xml:space="preserve">ラシット </t>
  </si>
  <si>
    <t xml:space="preserve">ラ トータリテ </t>
  </si>
  <si>
    <t>ラッセルモカシン</t>
  </si>
  <si>
    <t xml:space="preserve">6.5インチ以下 </t>
  </si>
  <si>
    <t xml:space="preserve">ラッドミュージシャン </t>
  </si>
  <si>
    <t>ラフシモンズ</t>
  </si>
  <si>
    <t>ラブボート</t>
  </si>
  <si>
    <t>ラブレス</t>
  </si>
  <si>
    <t>ラベンハム</t>
  </si>
  <si>
    <t>ラルトラモーダ</t>
  </si>
  <si>
    <t xml:space="preserve">長袖シャツ、ブラウス </t>
  </si>
  <si>
    <t xml:space="preserve">半袖シャツ、ブラウス </t>
  </si>
  <si>
    <t>ラルフローレン</t>
  </si>
  <si>
    <t>ラングラー</t>
  </si>
  <si>
    <t xml:space="preserve">ラングリッツレザー </t>
  </si>
  <si>
    <t xml:space="preserve">ランゲージ </t>
  </si>
  <si>
    <t>ランセル</t>
  </si>
  <si>
    <t>ランバン</t>
  </si>
  <si>
    <t>り</t>
  </si>
  <si>
    <t>リー</t>
  </si>
  <si>
    <t>リエンダ</t>
  </si>
  <si>
    <t>リーガル</t>
  </si>
  <si>
    <t xml:space="preserve">28.0cm以上 </t>
  </si>
  <si>
    <t>リコ</t>
  </si>
  <si>
    <t>リズリサ</t>
  </si>
  <si>
    <t>リックオウエンス</t>
  </si>
  <si>
    <t xml:space="preserve">リッチ </t>
  </si>
  <si>
    <t>リップサービス</t>
  </si>
  <si>
    <t xml:space="preserve">リップヴァンウインクル </t>
  </si>
  <si>
    <t>リーバイス</t>
  </si>
  <si>
    <t xml:space="preserve">リフレクト </t>
  </si>
  <si>
    <t>リボルバー</t>
  </si>
  <si>
    <t xml:space="preserve">リミ フゥ </t>
  </si>
  <si>
    <t>る</t>
  </si>
  <si>
    <t>ルイ・ヴィトン</t>
  </si>
  <si>
    <t>モノグラムライン</t>
  </si>
  <si>
    <t>モノグラム・マルチカラー</t>
  </si>
  <si>
    <t>モノグラム・デニム</t>
  </si>
  <si>
    <t>ダミエライン</t>
  </si>
  <si>
    <t>ダミエ・アズール</t>
  </si>
  <si>
    <t xml:space="preserve">ダミエ・グラフィット </t>
  </si>
  <si>
    <t xml:space="preserve">ダミエ・ジェアン </t>
  </si>
  <si>
    <t>エピライン</t>
  </si>
  <si>
    <t xml:space="preserve">タイガライン </t>
  </si>
  <si>
    <t>ヴェルニライン</t>
  </si>
  <si>
    <t xml:space="preserve">天然革ライン </t>
  </si>
  <si>
    <t>女性用財布</t>
  </si>
  <si>
    <t xml:space="preserve">モノグラムライン </t>
  </si>
  <si>
    <t xml:space="preserve">マルチカラーライン </t>
  </si>
  <si>
    <t xml:space="preserve">ダミエライン </t>
  </si>
  <si>
    <t xml:space="preserve">エピライン </t>
  </si>
  <si>
    <t xml:space="preserve">ヴェルニライン </t>
  </si>
  <si>
    <t>男性用財布</t>
  </si>
  <si>
    <t>ルイジ ボレッリ</t>
  </si>
  <si>
    <t xml:space="preserve">ルイスレザー </t>
  </si>
  <si>
    <t xml:space="preserve">ルグランブルー </t>
  </si>
  <si>
    <t>ルシアンペラフィネ</t>
  </si>
  <si>
    <t>セーター、カットソー</t>
  </si>
  <si>
    <t xml:space="preserve">ルシェルブルー </t>
  </si>
  <si>
    <t>ルスーク</t>
  </si>
  <si>
    <t>ルードギャラリー</t>
  </si>
  <si>
    <t xml:space="preserve">ルーニィ </t>
  </si>
  <si>
    <t xml:space="preserve">ルネ </t>
  </si>
  <si>
    <t>ルパート</t>
  </si>
  <si>
    <t xml:space="preserve">ルミノア </t>
  </si>
  <si>
    <t xml:space="preserve">ルージュフォンセ </t>
  </si>
  <si>
    <t xml:space="preserve">ルージュヴィフ </t>
  </si>
  <si>
    <t xml:space="preserve">ルールナンバー925 </t>
  </si>
  <si>
    <t xml:space="preserve">ルル・ギネス </t>
  </si>
  <si>
    <t>れ</t>
  </si>
  <si>
    <t xml:space="preserve">レイジブルー </t>
  </si>
  <si>
    <t>レイバン</t>
  </si>
  <si>
    <t>サングラス</t>
  </si>
  <si>
    <t xml:space="preserve">ウェイファーラー </t>
  </si>
  <si>
    <t xml:space="preserve">アビエーター </t>
  </si>
  <si>
    <t xml:space="preserve">クラブマスター </t>
  </si>
  <si>
    <t xml:space="preserve">ジャッキーオー </t>
  </si>
  <si>
    <t>レインスプーナー</t>
  </si>
  <si>
    <t>アロハシャツ</t>
  </si>
  <si>
    <t>レオナール</t>
  </si>
  <si>
    <t>レストローズ</t>
  </si>
  <si>
    <t>レスポートサック</t>
  </si>
  <si>
    <t>レッセパッセ</t>
  </si>
  <si>
    <t>レッドペッパー</t>
  </si>
  <si>
    <t>レッドムーン</t>
  </si>
  <si>
    <t>レネ・カオヴィラ</t>
  </si>
  <si>
    <t>レノマ</t>
  </si>
  <si>
    <t>レベッカテイラー</t>
  </si>
  <si>
    <t xml:space="preserve">レペット </t>
  </si>
  <si>
    <t>レリアン</t>
  </si>
  <si>
    <t>ろ</t>
  </si>
  <si>
    <t xml:space="preserve">ロアー </t>
  </si>
  <si>
    <t xml:space="preserve">ロイスクレヨン </t>
  </si>
  <si>
    <t>ロエベ</t>
  </si>
  <si>
    <t xml:space="preserve">クラッチバッグ、パーティーバッグ </t>
  </si>
  <si>
    <t>ロエン</t>
  </si>
  <si>
    <t>ローガン</t>
  </si>
  <si>
    <t>ロキシー</t>
  </si>
  <si>
    <t>ローズバッド</t>
  </si>
  <si>
    <t xml:space="preserve">ローズファンファン </t>
  </si>
  <si>
    <t xml:space="preserve">ローズブリット </t>
  </si>
  <si>
    <t xml:space="preserve">ロジータ </t>
  </si>
  <si>
    <t>ロートレ・アモン</t>
  </si>
  <si>
    <t>ロデオクラウンズ</t>
  </si>
  <si>
    <t xml:space="preserve">ロベルタ ディ カメリーノ </t>
  </si>
  <si>
    <t>ロペ</t>
  </si>
  <si>
    <t xml:space="preserve">ロペピクニック </t>
  </si>
  <si>
    <t>ローラアシュレイ</t>
  </si>
  <si>
    <t>ローリーズファーム</t>
  </si>
  <si>
    <t>ロロピアーナ</t>
  </si>
  <si>
    <t xml:space="preserve">ロンシャン </t>
  </si>
  <si>
    <t>ロンハーマン</t>
  </si>
  <si>
    <t xml:space="preserve">シューズ </t>
  </si>
  <si>
    <t>わ</t>
  </si>
  <si>
    <t>Y's、ヨウジヤマモト</t>
  </si>
  <si>
    <t>ワールド ワイド ラブ！</t>
  </si>
  <si>
    <t xml:space="preserve">ワイルドシングス </t>
  </si>
  <si>
    <t>ワコマリア</t>
  </si>
  <si>
    <t>ワシントン</t>
  </si>
  <si>
    <t>ワッフリッシュワッフル</t>
  </si>
  <si>
    <t xml:space="preserve">ワンウェイ </t>
  </si>
  <si>
    <t>レディースファッション</t>
  </si>
  <si>
    <t>コート一般</t>
  </si>
  <si>
    <t xml:space="preserve">ステンカラーコート </t>
  </si>
  <si>
    <t xml:space="preserve">スプリングコート </t>
  </si>
  <si>
    <t>ダウンコート</t>
  </si>
  <si>
    <t>ダッフルコート</t>
  </si>
  <si>
    <t>トレンチコート</t>
  </si>
  <si>
    <t>ピーコート</t>
  </si>
  <si>
    <t>モッズコート</t>
  </si>
  <si>
    <t xml:space="preserve">レインコート </t>
  </si>
  <si>
    <t>毛皮、ファー</t>
  </si>
  <si>
    <t xml:space="preserve">セーブル </t>
  </si>
  <si>
    <t xml:space="preserve">チンチラ </t>
  </si>
  <si>
    <t xml:space="preserve">ヌートリア </t>
  </si>
  <si>
    <t xml:space="preserve">ビーバー </t>
  </si>
  <si>
    <t xml:space="preserve">フェイクファー </t>
  </si>
  <si>
    <t xml:space="preserve">フォックス </t>
  </si>
  <si>
    <t xml:space="preserve">マスクラット </t>
  </si>
  <si>
    <t xml:space="preserve">ミンク </t>
  </si>
  <si>
    <t xml:space="preserve">ムートン、ラム </t>
  </si>
  <si>
    <t xml:space="preserve">ラクーン </t>
  </si>
  <si>
    <t xml:space="preserve">ラビット </t>
  </si>
  <si>
    <t>ジャンパー、ブルゾン一般</t>
  </si>
  <si>
    <t xml:space="preserve">スタジアムジャンパー </t>
  </si>
  <si>
    <t xml:space="preserve">スカジャン </t>
  </si>
  <si>
    <t>ジージャン</t>
  </si>
  <si>
    <t xml:space="preserve">ダウンベスト </t>
  </si>
  <si>
    <t>パーカ</t>
  </si>
  <si>
    <t>パーカ一般</t>
  </si>
  <si>
    <t xml:space="preserve">ポンチョ </t>
  </si>
  <si>
    <t xml:space="preserve">ライダース </t>
  </si>
  <si>
    <t>カーディガン</t>
  </si>
  <si>
    <t>アンサンブルニット</t>
  </si>
  <si>
    <t xml:space="preserve">ツインニット、アンサンブルニット一般 </t>
  </si>
  <si>
    <t>ニット、セーター</t>
  </si>
  <si>
    <t>袖なし、ノースリーブ</t>
  </si>
  <si>
    <t xml:space="preserve">ノースリーブセーター一般 </t>
  </si>
  <si>
    <t>長袖</t>
  </si>
  <si>
    <t>半袖</t>
  </si>
  <si>
    <t xml:space="preserve">その他の袖丈 </t>
  </si>
  <si>
    <t>トレーナー</t>
  </si>
  <si>
    <t>カットソー</t>
  </si>
  <si>
    <t xml:space="preserve">ツイン、アンサンブル </t>
  </si>
  <si>
    <t xml:space="preserve">袖なし、ノースリーブ </t>
  </si>
  <si>
    <t>その他の袖丈</t>
  </si>
  <si>
    <t>シャツ、ブラウス</t>
  </si>
  <si>
    <t xml:space="preserve">ノースリーブシャツ一般 </t>
  </si>
  <si>
    <t>チュニック</t>
  </si>
  <si>
    <t>Tシャツ</t>
  </si>
  <si>
    <t>XSサイズ以下</t>
  </si>
  <si>
    <t>Vネック</t>
  </si>
  <si>
    <t xml:space="preserve">イラスト、キャラクター </t>
  </si>
  <si>
    <t xml:space="preserve">文字、ロゴ </t>
  </si>
  <si>
    <t xml:space="preserve">柄もの </t>
  </si>
  <si>
    <t xml:space="preserve">無地 </t>
  </si>
  <si>
    <t xml:space="preserve">ヘンリーネック </t>
  </si>
  <si>
    <t>丸首</t>
  </si>
  <si>
    <t>Sサイズ</t>
  </si>
  <si>
    <t>Mサイズ</t>
  </si>
  <si>
    <t>Lサイズ</t>
  </si>
  <si>
    <t>XLサイズ以上</t>
  </si>
  <si>
    <t xml:space="preserve">キャミソール </t>
  </si>
  <si>
    <t xml:space="preserve">チューブトップ、ベアトップ </t>
  </si>
  <si>
    <t>ミニスカート</t>
  </si>
  <si>
    <t>ひざ丈スカート</t>
  </si>
  <si>
    <t>ロングスカート</t>
  </si>
  <si>
    <t>スカート</t>
  </si>
  <si>
    <t>タイトスカート</t>
  </si>
  <si>
    <t>フレアースカート、ギャザースカート</t>
  </si>
  <si>
    <t>プリーツスカート</t>
  </si>
  <si>
    <t>台形スカート</t>
  </si>
  <si>
    <t>パンツ、スラックス</t>
  </si>
  <si>
    <t>デニム、ジーンズ</t>
  </si>
  <si>
    <t xml:space="preserve">X-ガール </t>
  </si>
  <si>
    <t xml:space="preserve">アールジーン </t>
  </si>
  <si>
    <t xml:space="preserve">エドウィン </t>
  </si>
  <si>
    <t xml:space="preserve">ギャップ </t>
  </si>
  <si>
    <t xml:space="preserve">サムシング </t>
  </si>
  <si>
    <t xml:space="preserve">シマロン </t>
  </si>
  <si>
    <t xml:space="preserve">ピカデリー </t>
  </si>
  <si>
    <t xml:space="preserve">ボブソン </t>
  </si>
  <si>
    <t xml:space="preserve">ラングラー </t>
  </si>
  <si>
    <t xml:space="preserve">リー </t>
  </si>
  <si>
    <t xml:space="preserve">リーバイス </t>
  </si>
  <si>
    <t xml:space="preserve">W25（約64cm）未満 </t>
  </si>
  <si>
    <t xml:space="preserve">W25（約64cm）～ </t>
  </si>
  <si>
    <t xml:space="preserve">W26（約66cm）～ </t>
  </si>
  <si>
    <t xml:space="preserve">W27（約69cm）～ </t>
  </si>
  <si>
    <t xml:space="preserve">W28（約71cm）～ </t>
  </si>
  <si>
    <t xml:space="preserve">W29（約74cm）～ </t>
  </si>
  <si>
    <t xml:space="preserve">W30（約76cm）～ </t>
  </si>
  <si>
    <t xml:space="preserve">W31（約79cm）～ </t>
  </si>
  <si>
    <t xml:space="preserve">W32（約81cm）～ </t>
  </si>
  <si>
    <t xml:space="preserve">W33（約84cm）～ </t>
  </si>
  <si>
    <t xml:space="preserve">W34（約86cm）以上 </t>
  </si>
  <si>
    <t>ワークパンツ、ペインターパンツ</t>
  </si>
  <si>
    <t>ショートパンツ</t>
  </si>
  <si>
    <t xml:space="preserve">サブリナパンツ、カプリパンツ </t>
  </si>
  <si>
    <t xml:space="preserve">サロペット、オーバーオール </t>
  </si>
  <si>
    <t>キュロット</t>
  </si>
  <si>
    <t xml:space="preserve">キュロット一般 </t>
  </si>
  <si>
    <t>チノパン</t>
  </si>
  <si>
    <t xml:space="preserve">サルエルパンツ </t>
  </si>
  <si>
    <t>パンツスーツ</t>
  </si>
  <si>
    <t xml:space="preserve">パンツスーツ一般 </t>
  </si>
  <si>
    <t xml:space="preserve">スーツ(ミニスカート)一般 </t>
  </si>
  <si>
    <t xml:space="preserve">スーツ(ロングスカート)一般 </t>
  </si>
  <si>
    <t>キュロットスーツ</t>
  </si>
  <si>
    <t xml:space="preserve">キュロットスーツ一般 </t>
  </si>
  <si>
    <t>フォーマル</t>
  </si>
  <si>
    <t>ウエディングドレス</t>
  </si>
  <si>
    <t xml:space="preserve">Aラインタイプ </t>
  </si>
  <si>
    <t xml:space="preserve">スレンダータイプ </t>
  </si>
  <si>
    <t xml:space="preserve">プリンセスタイプ </t>
  </si>
  <si>
    <t xml:space="preserve">マーメイドタイプ </t>
  </si>
  <si>
    <t xml:space="preserve">ウエディングベール </t>
  </si>
  <si>
    <t xml:space="preserve">パニエ </t>
  </si>
  <si>
    <t xml:space="preserve">ウエディンググローブ </t>
  </si>
  <si>
    <t>カラードレス</t>
  </si>
  <si>
    <t xml:space="preserve">オレンジ </t>
  </si>
  <si>
    <t xml:space="preserve">ゴールド </t>
  </si>
  <si>
    <t xml:space="preserve">シルバー </t>
  </si>
  <si>
    <t xml:space="preserve">ピンク </t>
  </si>
  <si>
    <t xml:space="preserve">黄 </t>
  </si>
  <si>
    <t xml:space="preserve">黒 </t>
  </si>
  <si>
    <t xml:space="preserve">紫 </t>
  </si>
  <si>
    <t xml:space="preserve">青 </t>
  </si>
  <si>
    <t xml:space="preserve">赤 </t>
  </si>
  <si>
    <t xml:space="preserve">茶 </t>
  </si>
  <si>
    <t xml:space="preserve">白 </t>
  </si>
  <si>
    <t xml:space="preserve">緑 </t>
  </si>
  <si>
    <t xml:space="preserve">ブラックフォーマル、喪服 </t>
  </si>
  <si>
    <t xml:space="preserve">スーツ、アンサンブル </t>
  </si>
  <si>
    <t xml:space="preserve">レギンス、トレンカ </t>
  </si>
  <si>
    <t>セット</t>
  </si>
  <si>
    <t>ブラジャー、ショーツ</t>
  </si>
  <si>
    <t>Aカップ以下</t>
  </si>
  <si>
    <t xml:space="preserve">65以下 </t>
  </si>
  <si>
    <t xml:space="preserve">80以上 </t>
  </si>
  <si>
    <t>Bカップ</t>
  </si>
  <si>
    <t>Cカップ</t>
  </si>
  <si>
    <t>Dカップ</t>
  </si>
  <si>
    <t>Eカップ以上</t>
  </si>
  <si>
    <t>アンダーシャツ</t>
  </si>
  <si>
    <t>キャミソール</t>
  </si>
  <si>
    <t>ブラジャー</t>
  </si>
  <si>
    <t>ヌーブラ</t>
  </si>
  <si>
    <t xml:space="preserve">A </t>
  </si>
  <si>
    <t xml:space="preserve">B </t>
  </si>
  <si>
    <t xml:space="preserve">C </t>
  </si>
  <si>
    <t xml:space="preserve">D </t>
  </si>
  <si>
    <t xml:space="preserve">パッド </t>
  </si>
  <si>
    <t xml:space="preserve">ストラップ </t>
  </si>
  <si>
    <t>スリップ</t>
  </si>
  <si>
    <t>ベビードール</t>
  </si>
  <si>
    <t>ショーツ</t>
  </si>
  <si>
    <t xml:space="preserve">スタンダード </t>
  </si>
  <si>
    <t xml:space="preserve">Tバック </t>
  </si>
  <si>
    <t xml:space="preserve">ヒップハング </t>
  </si>
  <si>
    <t xml:space="preserve">ビキニ </t>
  </si>
  <si>
    <t xml:space="preserve">ボクサー </t>
  </si>
  <si>
    <t xml:space="preserve">サニタリー </t>
  </si>
  <si>
    <t xml:space="preserve">ガーターベルト </t>
  </si>
  <si>
    <t>タップパンツ、フレアパンツ</t>
  </si>
  <si>
    <t>ストッキング</t>
  </si>
  <si>
    <t>補正下着</t>
  </si>
  <si>
    <t xml:space="preserve">Aカップ以下 </t>
  </si>
  <si>
    <t xml:space="preserve">Bカップ </t>
  </si>
  <si>
    <t xml:space="preserve">Cカップ </t>
  </si>
  <si>
    <t xml:space="preserve">Dカップ </t>
  </si>
  <si>
    <t xml:space="preserve">Eカップ以上 </t>
  </si>
  <si>
    <t>ガードル</t>
  </si>
  <si>
    <t xml:space="preserve">スリーインワン </t>
  </si>
  <si>
    <t>ボディスーツ</t>
  </si>
  <si>
    <t xml:space="preserve">ウエストニッパー </t>
  </si>
  <si>
    <t xml:space="preserve">ウエディング用インナーウエア </t>
  </si>
  <si>
    <t xml:space="preserve">和服用インナーウエア </t>
  </si>
  <si>
    <t xml:space="preserve">ナイトウエア、パジャマ </t>
  </si>
  <si>
    <t>水着</t>
  </si>
  <si>
    <t>セパレート</t>
  </si>
  <si>
    <t xml:space="preserve">三角ビキニ </t>
  </si>
  <si>
    <t xml:space="preserve">ワイヤービキニ </t>
  </si>
  <si>
    <t xml:space="preserve">ホルターネック </t>
  </si>
  <si>
    <t xml:space="preserve">チューブトップ </t>
  </si>
  <si>
    <t xml:space="preserve">タンキニ </t>
  </si>
  <si>
    <t xml:space="preserve">セットアップ </t>
  </si>
  <si>
    <t xml:space="preserve">スイムショーツ </t>
  </si>
  <si>
    <t xml:space="preserve">パレオ </t>
  </si>
  <si>
    <t>マタニティウエア</t>
  </si>
  <si>
    <t xml:space="preserve">ショーツ </t>
  </si>
  <si>
    <t xml:space="preserve">ブラジャー、ハーフトップ </t>
  </si>
  <si>
    <t xml:space="preserve">産前ガードル </t>
  </si>
  <si>
    <t xml:space="preserve">腹帯、妊娠帯 </t>
  </si>
  <si>
    <t xml:space="preserve">パジャマ </t>
  </si>
  <si>
    <t xml:space="preserve">パンツ、スパッツ </t>
  </si>
  <si>
    <t>レディースバッグ</t>
  </si>
  <si>
    <t>ショルダーバッグ</t>
  </si>
  <si>
    <t xml:space="preserve">ビニール製 </t>
  </si>
  <si>
    <t>皮革製</t>
  </si>
  <si>
    <t xml:space="preserve">オーストリッチ </t>
  </si>
  <si>
    <t xml:space="preserve">クロコダイル </t>
  </si>
  <si>
    <t xml:space="preserve">スエード </t>
  </si>
  <si>
    <t xml:space="preserve">牛革 </t>
  </si>
  <si>
    <t xml:space="preserve">合成皮革 </t>
  </si>
  <si>
    <t>布製</t>
  </si>
  <si>
    <t xml:space="preserve">ウール </t>
  </si>
  <si>
    <t xml:space="preserve">キャンバス、帆布 </t>
  </si>
  <si>
    <t>トートバッグ</t>
  </si>
  <si>
    <t>ハンドバッグ</t>
  </si>
  <si>
    <t xml:space="preserve">バスケット、籐かご </t>
  </si>
  <si>
    <t xml:space="preserve">バニティバッグ </t>
  </si>
  <si>
    <t xml:space="preserve">ボディバッグ </t>
  </si>
  <si>
    <t xml:space="preserve">巾着 </t>
  </si>
  <si>
    <t>レディースシューズ</t>
  </si>
  <si>
    <t xml:space="preserve">ウォーキングシューズ </t>
  </si>
  <si>
    <t>サンダル</t>
  </si>
  <si>
    <t xml:space="preserve">26.0cm以上 </t>
  </si>
  <si>
    <t>スニーカー</t>
  </si>
  <si>
    <t xml:space="preserve">グラビス </t>
  </si>
  <si>
    <t>コンバース</t>
  </si>
  <si>
    <t>スケッチャーズ</t>
  </si>
  <si>
    <t>ニューバランス</t>
  </si>
  <si>
    <t xml:space="preserve">バンズ </t>
  </si>
  <si>
    <t xml:space="preserve">パトリック </t>
  </si>
  <si>
    <t xml:space="preserve">プロケッズ </t>
  </si>
  <si>
    <t>バレエシューズ</t>
  </si>
  <si>
    <t>パンプス</t>
  </si>
  <si>
    <t>22.0cm以下</t>
  </si>
  <si>
    <t xml:space="preserve">イエロー系 </t>
  </si>
  <si>
    <t xml:space="preserve">グリーン系 </t>
  </si>
  <si>
    <t xml:space="preserve">ゴールド系 </t>
  </si>
  <si>
    <t xml:space="preserve">シルバー系 </t>
  </si>
  <si>
    <t xml:space="preserve">ブラウン系 </t>
  </si>
  <si>
    <t xml:space="preserve">ブラック系 </t>
  </si>
  <si>
    <t xml:space="preserve">ブルー系 </t>
  </si>
  <si>
    <t xml:space="preserve">ベージュ系 </t>
  </si>
  <si>
    <t xml:space="preserve">ホワイト系 </t>
  </si>
  <si>
    <t xml:space="preserve">レッド系 </t>
  </si>
  <si>
    <t>22.5cm</t>
  </si>
  <si>
    <t>23.0cm</t>
  </si>
  <si>
    <t>23.5cm</t>
  </si>
  <si>
    <t>24.0cm</t>
  </si>
  <si>
    <t>24.5cm</t>
  </si>
  <si>
    <t>25.0cm</t>
  </si>
  <si>
    <t>25.5cm</t>
  </si>
  <si>
    <t>26.0cm以上</t>
  </si>
  <si>
    <t>ブーツ</t>
  </si>
  <si>
    <t>ブーティ</t>
  </si>
  <si>
    <t xml:space="preserve">27.0cm以上 </t>
  </si>
  <si>
    <t>ショートブーツ</t>
  </si>
  <si>
    <t>ロングブーツ</t>
  </si>
  <si>
    <t xml:space="preserve">ニーハイブーツ </t>
  </si>
  <si>
    <t>ミュール</t>
  </si>
  <si>
    <t>ローファー、モカシン</t>
  </si>
  <si>
    <t xml:space="preserve">長靴、レインシューズ </t>
  </si>
  <si>
    <t>女性和服、着物</t>
  </si>
  <si>
    <t xml:space="preserve">かんざし </t>
  </si>
  <si>
    <t>きんちゃく、バッグ</t>
  </si>
  <si>
    <t xml:space="preserve">バッグ </t>
  </si>
  <si>
    <t xml:space="preserve">コート、道中着 </t>
  </si>
  <si>
    <t>下駄、草履</t>
  </si>
  <si>
    <t xml:space="preserve">S寸以下 </t>
  </si>
  <si>
    <t xml:space="preserve">M寸 </t>
  </si>
  <si>
    <t xml:space="preserve">L寸 </t>
  </si>
  <si>
    <t xml:space="preserve">LL寸以上 </t>
  </si>
  <si>
    <t>小紋</t>
  </si>
  <si>
    <t xml:space="preserve">未仕立て </t>
  </si>
  <si>
    <t xml:space="preserve">仕立て上がり </t>
  </si>
  <si>
    <t>色無地</t>
  </si>
  <si>
    <t xml:space="preserve">振袖 </t>
  </si>
  <si>
    <t>帯</t>
  </si>
  <si>
    <t xml:space="preserve">つけ帯 </t>
  </si>
  <si>
    <t>なごや帯</t>
  </si>
  <si>
    <t xml:space="preserve">丸帯 </t>
  </si>
  <si>
    <t>袋帯</t>
  </si>
  <si>
    <t>半幅帯</t>
  </si>
  <si>
    <t>紬、お召</t>
  </si>
  <si>
    <t xml:space="preserve">大島紬 </t>
  </si>
  <si>
    <t xml:space="preserve">結城紬 </t>
  </si>
  <si>
    <t xml:space="preserve">塩沢紬 </t>
  </si>
  <si>
    <t xml:space="preserve">米沢紬 </t>
  </si>
  <si>
    <t xml:space="preserve">付下げ </t>
  </si>
  <si>
    <t>訪問着</t>
  </si>
  <si>
    <t>浴衣</t>
  </si>
  <si>
    <t>三点セット</t>
  </si>
  <si>
    <t xml:space="preserve">綿紅梅 </t>
  </si>
  <si>
    <t xml:space="preserve">帯 </t>
  </si>
  <si>
    <t xml:space="preserve">反物 </t>
  </si>
  <si>
    <t>浴衣（帯付き）</t>
  </si>
  <si>
    <t xml:space="preserve">コーマ地 </t>
  </si>
  <si>
    <t xml:space="preserve">絹紅梅 </t>
  </si>
  <si>
    <t xml:space="preserve">麻 </t>
  </si>
  <si>
    <t xml:space="preserve">綿縮 </t>
  </si>
  <si>
    <t xml:space="preserve">綿絽 </t>
  </si>
  <si>
    <t>浴衣（単体）</t>
  </si>
  <si>
    <t xml:space="preserve">留袖 </t>
  </si>
  <si>
    <t>長襦袢</t>
  </si>
  <si>
    <t>和装小物</t>
  </si>
  <si>
    <t xml:space="preserve">足袋 </t>
  </si>
  <si>
    <t xml:space="preserve">帯締め </t>
  </si>
  <si>
    <t xml:space="preserve">帯板 </t>
  </si>
  <si>
    <t xml:space="preserve">帯揚げ </t>
  </si>
  <si>
    <t xml:space="preserve">帯留め </t>
  </si>
  <si>
    <t xml:space="preserve">着物ハンガー </t>
  </si>
  <si>
    <t xml:space="preserve">半衿 </t>
  </si>
  <si>
    <t>アンティーク</t>
  </si>
  <si>
    <t xml:space="preserve">アンティーク着物 </t>
  </si>
  <si>
    <t xml:space="preserve">リメイク素材 </t>
  </si>
  <si>
    <t>ファッション小物</t>
  </si>
  <si>
    <t>財布</t>
  </si>
  <si>
    <t xml:space="preserve">長財布（小銭入れあり） </t>
  </si>
  <si>
    <t xml:space="preserve">長財布（小銭入れなし） </t>
  </si>
  <si>
    <t xml:space="preserve">二つ折り財布（小銭入れあり） </t>
  </si>
  <si>
    <t xml:space="preserve">二つ折り財布（小銭入れなし） </t>
  </si>
  <si>
    <t xml:space="preserve">小銭入れ、コインケース </t>
  </si>
  <si>
    <t xml:space="preserve">定期入れ </t>
  </si>
  <si>
    <t xml:space="preserve">キーケース </t>
  </si>
  <si>
    <t>うちわ</t>
  </si>
  <si>
    <t xml:space="preserve">タレント </t>
  </si>
  <si>
    <t xml:space="preserve">ミュージシャン </t>
  </si>
  <si>
    <t xml:space="preserve">扇子 </t>
  </si>
  <si>
    <t xml:space="preserve">ふくさ </t>
  </si>
  <si>
    <t xml:space="preserve">風呂敷 </t>
  </si>
  <si>
    <t>雨傘</t>
  </si>
  <si>
    <t xml:space="preserve">長傘 </t>
  </si>
  <si>
    <t xml:space="preserve">折りたたみ傘 </t>
  </si>
  <si>
    <t xml:space="preserve">日傘 </t>
  </si>
  <si>
    <t xml:space="preserve">キャスケット </t>
  </si>
  <si>
    <t xml:space="preserve">クロッシェ、コットン帽子 </t>
  </si>
  <si>
    <t xml:space="preserve">サンバイザー </t>
  </si>
  <si>
    <t xml:space="preserve">ソフト帽 </t>
  </si>
  <si>
    <t xml:space="preserve">テンガロンハット、ウエスタンハット </t>
  </si>
  <si>
    <t xml:space="preserve">ハンチング </t>
  </si>
  <si>
    <t xml:space="preserve">ベレー帽 </t>
  </si>
  <si>
    <t xml:space="preserve">ワッチキャップ、ニットキャップ </t>
  </si>
  <si>
    <t xml:space="preserve">麦わら帽子 </t>
  </si>
  <si>
    <t xml:space="preserve">エプロン </t>
  </si>
  <si>
    <t>サスペンダー</t>
  </si>
  <si>
    <t xml:space="preserve">ティッシュカバー </t>
  </si>
  <si>
    <t>ネクタイ</t>
  </si>
  <si>
    <t xml:space="preserve">ネクタイ一般 </t>
  </si>
  <si>
    <t>ハンカチ</t>
  </si>
  <si>
    <t xml:space="preserve">バンダナ </t>
  </si>
  <si>
    <t xml:space="preserve">金属、チェーン </t>
  </si>
  <si>
    <t>皮革、レザー</t>
  </si>
  <si>
    <t>靴下</t>
  </si>
  <si>
    <t xml:space="preserve">セット、まとめ売り </t>
  </si>
  <si>
    <t xml:space="preserve">チェック </t>
  </si>
  <si>
    <t xml:space="preserve">ドット </t>
  </si>
  <si>
    <t xml:space="preserve">ボーダー </t>
  </si>
  <si>
    <t xml:space="preserve">5本指、足袋タイプ </t>
  </si>
  <si>
    <t xml:space="preserve">ショートソックス </t>
  </si>
  <si>
    <t xml:space="preserve">レッグウォーマー </t>
  </si>
  <si>
    <t>名刺入れ、カードケース</t>
  </si>
  <si>
    <t>スカーフ、ポケットチーフ</t>
  </si>
  <si>
    <t>ストール</t>
  </si>
  <si>
    <t xml:space="preserve">ストール一般 </t>
  </si>
  <si>
    <t xml:space="preserve">カシミア、パシュミナ </t>
  </si>
  <si>
    <t>マフラー</t>
  </si>
  <si>
    <t xml:space="preserve">マフラー一般 </t>
  </si>
  <si>
    <t>毛皮、ティペット</t>
  </si>
  <si>
    <t>手袋</t>
  </si>
  <si>
    <t xml:space="preserve">カシミア </t>
  </si>
  <si>
    <t xml:space="preserve">ファー、毛皮 </t>
  </si>
  <si>
    <t xml:space="preserve">皮革、レザー </t>
  </si>
  <si>
    <t>メンズファッション</t>
  </si>
  <si>
    <t xml:space="preserve">毛皮、ファー </t>
  </si>
  <si>
    <t>スタジアムジャンパー</t>
  </si>
  <si>
    <t>ダウンベスト</t>
  </si>
  <si>
    <t>テーラードジャケット、ブレザー</t>
  </si>
  <si>
    <t>マウンテンパーカ</t>
  </si>
  <si>
    <t>ライダース</t>
  </si>
  <si>
    <t xml:space="preserve">M-65 </t>
  </si>
  <si>
    <t>カバーオール</t>
  </si>
  <si>
    <t>シャツ</t>
  </si>
  <si>
    <t>長袖シャツ一般</t>
  </si>
  <si>
    <t>ドレスシャツ、ワイシャツ</t>
  </si>
  <si>
    <t>ウエスタンシャツ</t>
  </si>
  <si>
    <t>ワークシャツ</t>
  </si>
  <si>
    <t xml:space="preserve">アロハシャツ </t>
  </si>
  <si>
    <t>半袖シャツ一般</t>
  </si>
  <si>
    <t xml:space="preserve">W35以上 </t>
  </si>
  <si>
    <t xml:space="preserve">ビッグジョン </t>
  </si>
  <si>
    <t xml:space="preserve">W27以下 </t>
  </si>
  <si>
    <t xml:space="preserve">W28 </t>
  </si>
  <si>
    <t xml:space="preserve">W36 </t>
  </si>
  <si>
    <t xml:space="preserve">W37以上 </t>
  </si>
  <si>
    <t xml:space="preserve">W28未満 </t>
  </si>
  <si>
    <t xml:space="preserve">W28～ </t>
  </si>
  <si>
    <t xml:space="preserve">W29～ </t>
  </si>
  <si>
    <t xml:space="preserve">W30～ </t>
  </si>
  <si>
    <t xml:space="preserve">W31～ </t>
  </si>
  <si>
    <t xml:space="preserve">W32～ </t>
  </si>
  <si>
    <t xml:space="preserve">W33～ </t>
  </si>
  <si>
    <t xml:space="preserve">W34～ </t>
  </si>
  <si>
    <t xml:space="preserve">W35～ </t>
  </si>
  <si>
    <t xml:space="preserve">W36～ </t>
  </si>
  <si>
    <t>シングルスーツ</t>
  </si>
  <si>
    <t xml:space="preserve">ダブルスーツ </t>
  </si>
  <si>
    <t>ボクサーブリーフ</t>
  </si>
  <si>
    <t>トランクス</t>
  </si>
  <si>
    <t>ビキニ、ブリーフ</t>
  </si>
  <si>
    <t xml:space="preserve">ふんどし </t>
  </si>
  <si>
    <t xml:space="preserve">ブラックスーツ </t>
  </si>
  <si>
    <t xml:space="preserve">燕尾服、タキシード </t>
  </si>
  <si>
    <t>メンズバッグ</t>
  </si>
  <si>
    <t>メンズシューズ</t>
  </si>
  <si>
    <t>アシックス</t>
  </si>
  <si>
    <t xml:space="preserve">29.0cm </t>
  </si>
  <si>
    <t xml:space="preserve">29.5cm </t>
  </si>
  <si>
    <t xml:space="preserve">30.0cm以上 </t>
  </si>
  <si>
    <t xml:space="preserve">39以下（25.0cm以下目安） </t>
  </si>
  <si>
    <t xml:space="preserve">40（25.5cm目安） </t>
  </si>
  <si>
    <t xml:space="preserve">41（26.0cm目安） </t>
  </si>
  <si>
    <t xml:space="preserve">42（27.0cm目安） </t>
  </si>
  <si>
    <t xml:space="preserve">43（27.5cm目安） </t>
  </si>
  <si>
    <t xml:space="preserve">44（28.5cm目安） </t>
  </si>
  <si>
    <t xml:space="preserve">45（29.0cm目安） </t>
  </si>
  <si>
    <t xml:space="preserve">46（29.5cm目安） </t>
  </si>
  <si>
    <t xml:space="preserve">47以上（30.5cm以上目安） </t>
  </si>
  <si>
    <t>グラビス</t>
  </si>
  <si>
    <t>バンズ</t>
  </si>
  <si>
    <t>パトリック</t>
  </si>
  <si>
    <t xml:space="preserve">39以下（24.5cm以下目安） </t>
  </si>
  <si>
    <t xml:space="preserve">40（25.0cm目安） </t>
  </si>
  <si>
    <t xml:space="preserve">42（26.5cm目安） </t>
  </si>
  <si>
    <t xml:space="preserve">43（27.0cm目安） </t>
  </si>
  <si>
    <t xml:space="preserve">44（27.5cm目安） </t>
  </si>
  <si>
    <t xml:space="preserve">45（28.0cm目安） </t>
  </si>
  <si>
    <t xml:space="preserve">46以上（28.5cm以上目安） </t>
  </si>
  <si>
    <t>プロケッズ</t>
  </si>
  <si>
    <t>リーボック</t>
  </si>
  <si>
    <t>ウエスタンブーツ</t>
  </si>
  <si>
    <t>エンジニアブーツ</t>
  </si>
  <si>
    <t xml:space="preserve">アルフレッドバニスター </t>
  </si>
  <si>
    <t xml:space="preserve">7インチ以下 </t>
  </si>
  <si>
    <t xml:space="preserve">ジョージコックス </t>
  </si>
  <si>
    <t>ダナー</t>
  </si>
  <si>
    <t xml:space="preserve">チペワ </t>
  </si>
  <si>
    <t xml:space="preserve">トニーラマ </t>
  </si>
  <si>
    <t>ドクターマーチン</t>
  </si>
  <si>
    <t xml:space="preserve">UK4以下 </t>
  </si>
  <si>
    <t xml:space="preserve">UK5 </t>
  </si>
  <si>
    <t xml:space="preserve">UK6 </t>
  </si>
  <si>
    <t xml:space="preserve">UK10 </t>
  </si>
  <si>
    <t xml:space="preserve">UK11以上 </t>
  </si>
  <si>
    <t xml:space="preserve">ホーキンス </t>
  </si>
  <si>
    <t>レッドウィング</t>
  </si>
  <si>
    <t>ローファー、スリッポン</t>
  </si>
  <si>
    <t>ビジネスシューズ</t>
  </si>
  <si>
    <t>デッキシューズ</t>
  </si>
  <si>
    <t>ウォーキングシューズ</t>
  </si>
  <si>
    <t>男性和服、着物</t>
  </si>
  <si>
    <t xml:space="preserve">下駄、草履 </t>
  </si>
  <si>
    <t xml:space="preserve">作務衣 </t>
  </si>
  <si>
    <t xml:space="preserve">甚平 </t>
  </si>
  <si>
    <t xml:space="preserve">長襦袢 </t>
  </si>
  <si>
    <t>男女兼用バッグ</t>
  </si>
  <si>
    <t xml:space="preserve">エコバッグ </t>
  </si>
  <si>
    <t xml:space="preserve">メディスンバッグ </t>
  </si>
  <si>
    <t>キッズ、ベビーファッション</t>
  </si>
  <si>
    <t>H＆M</t>
  </si>
  <si>
    <t xml:space="preserve">ベビー用 </t>
  </si>
  <si>
    <t xml:space="preserve">女の子用 </t>
  </si>
  <si>
    <t xml:space="preserve">男の子用 </t>
  </si>
  <si>
    <t xml:space="preserve">UGG オーストラリア </t>
  </si>
  <si>
    <t>アースマジック</t>
  </si>
  <si>
    <t xml:space="preserve">アニエスベー </t>
  </si>
  <si>
    <t xml:space="preserve">エックスガール </t>
  </si>
  <si>
    <t>女の子用</t>
  </si>
  <si>
    <t xml:space="preserve">ロンパース </t>
  </si>
  <si>
    <t>男の子用</t>
  </si>
  <si>
    <t>エンジェルブルー</t>
  </si>
  <si>
    <t>GAP</t>
  </si>
  <si>
    <t>K.L.C.</t>
  </si>
  <si>
    <t>KP</t>
  </si>
  <si>
    <t xml:space="preserve">フォーマルスーツ、アンサンブル </t>
  </si>
  <si>
    <t xml:space="preserve">カーターズ </t>
  </si>
  <si>
    <t xml:space="preserve">13cm以下 </t>
  </si>
  <si>
    <t xml:space="preserve">14cm </t>
  </si>
  <si>
    <t xml:space="preserve">15.5cm </t>
  </si>
  <si>
    <t xml:space="preserve">17.5cm </t>
  </si>
  <si>
    <t xml:space="preserve">18.5cm </t>
  </si>
  <si>
    <t xml:space="preserve">19cm </t>
  </si>
  <si>
    <t xml:space="preserve">20cm </t>
  </si>
  <si>
    <t xml:space="preserve">21cm以上 </t>
  </si>
  <si>
    <t xml:space="preserve">コンビミニ </t>
  </si>
  <si>
    <t xml:space="preserve">ワンピース（ミニスカート） </t>
  </si>
  <si>
    <t xml:space="preserve">J.プレス </t>
  </si>
  <si>
    <t xml:space="preserve">フォーマルドレス </t>
  </si>
  <si>
    <t xml:space="preserve">ジャンクフード </t>
  </si>
  <si>
    <t>ジンボリー</t>
  </si>
  <si>
    <t xml:space="preserve">セリーヌ </t>
  </si>
  <si>
    <t xml:space="preserve">D＆Gジュニア </t>
  </si>
  <si>
    <t>チャビーギャング</t>
  </si>
  <si>
    <t>ティンカーベル</t>
  </si>
  <si>
    <t>デイジーラヴァーズ</t>
  </si>
  <si>
    <t xml:space="preserve">ドラッグストアーズ </t>
  </si>
  <si>
    <t>PAPP</t>
  </si>
  <si>
    <t xml:space="preserve">ハッシュアッシュ </t>
  </si>
  <si>
    <t xml:space="preserve">バツ </t>
  </si>
  <si>
    <t>バナナチップス</t>
  </si>
  <si>
    <t>ヒステリックミニ</t>
  </si>
  <si>
    <t>ファミリア</t>
  </si>
  <si>
    <t xml:space="preserve">フォーマル用スーツ、アンサンブル </t>
  </si>
  <si>
    <t>ブーフーウー</t>
  </si>
  <si>
    <t>ベビー用</t>
  </si>
  <si>
    <t xml:space="preserve">カバーオール、つなぎ </t>
  </si>
  <si>
    <t xml:space="preserve">スーツ、セットアップ </t>
  </si>
  <si>
    <t>ブルークロス</t>
  </si>
  <si>
    <t>プチジュンコ</t>
  </si>
  <si>
    <t>ベビーディオール</t>
  </si>
  <si>
    <t xml:space="preserve">ベビードール </t>
  </si>
  <si>
    <t xml:space="preserve">ボンポワン </t>
  </si>
  <si>
    <t>ポンポネット</t>
  </si>
  <si>
    <t>ミキハウス</t>
  </si>
  <si>
    <t>ミニK</t>
  </si>
  <si>
    <t>ムージョンジョン</t>
  </si>
  <si>
    <t>メゾピアノ</t>
  </si>
  <si>
    <t xml:space="preserve">100（95～104cm） </t>
  </si>
  <si>
    <t xml:space="preserve">110（105～114cm） </t>
  </si>
  <si>
    <t xml:space="preserve">120（115～124cm） </t>
  </si>
  <si>
    <t xml:space="preserve">130（125～134cm） </t>
  </si>
  <si>
    <t xml:space="preserve">140（135～144cm） </t>
  </si>
  <si>
    <t xml:space="preserve">150（145～154cm） </t>
  </si>
  <si>
    <t xml:space="preserve">160（155cm～）以上 </t>
  </si>
  <si>
    <t xml:space="preserve">無印良品 </t>
  </si>
  <si>
    <t xml:space="preserve">RONI </t>
  </si>
  <si>
    <t>ローラ アシュレイ</t>
  </si>
  <si>
    <t>ワスク</t>
  </si>
  <si>
    <t xml:space="preserve">ワッフリッシュワッフル </t>
  </si>
  <si>
    <t>子ども服（女の子用）</t>
  </si>
  <si>
    <t xml:space="preserve">ダッフルコート </t>
  </si>
  <si>
    <t xml:space="preserve">ピーコート </t>
  </si>
  <si>
    <t>レインコート</t>
  </si>
  <si>
    <t xml:space="preserve">100（～104cm）以下 </t>
  </si>
  <si>
    <t>セーター</t>
  </si>
  <si>
    <t xml:space="preserve">べべ </t>
  </si>
  <si>
    <t xml:space="preserve">エル </t>
  </si>
  <si>
    <t xml:space="preserve">オシュコシュ </t>
  </si>
  <si>
    <t xml:space="preserve">シャーリーテンプル </t>
  </si>
  <si>
    <t xml:space="preserve">ティンカーベル </t>
  </si>
  <si>
    <t xml:space="preserve">パーソンズ </t>
  </si>
  <si>
    <t xml:space="preserve">ヒステリックミニ </t>
  </si>
  <si>
    <t xml:space="preserve">ピンクハウス </t>
  </si>
  <si>
    <t xml:space="preserve">ファミリア </t>
  </si>
  <si>
    <t xml:space="preserve">プチジュンコ </t>
  </si>
  <si>
    <t xml:space="preserve">ベビーディオール </t>
  </si>
  <si>
    <t xml:space="preserve">ポンポネット </t>
  </si>
  <si>
    <t xml:space="preserve">ミキハウス </t>
  </si>
  <si>
    <t xml:space="preserve">ミニK </t>
  </si>
  <si>
    <t xml:space="preserve">ムージョンジョン </t>
  </si>
  <si>
    <t xml:space="preserve">メゾピアノ </t>
  </si>
  <si>
    <t xml:space="preserve">ラルフローレン </t>
  </si>
  <si>
    <t xml:space="preserve">組曲 </t>
  </si>
  <si>
    <t>タンクトップ、キャミソール</t>
  </si>
  <si>
    <t>スカート（ミニ）</t>
  </si>
  <si>
    <t>ジャンパースカート</t>
  </si>
  <si>
    <t>スカート（ロング）</t>
  </si>
  <si>
    <t xml:space="preserve">プリーツスカート </t>
  </si>
  <si>
    <t>ショートパンツ、半ズボン</t>
  </si>
  <si>
    <t>スパッツ、カルソン</t>
  </si>
  <si>
    <t>オーバーオール</t>
  </si>
  <si>
    <t>つなぎ</t>
  </si>
  <si>
    <t xml:space="preserve">インナーウエア一般 </t>
  </si>
  <si>
    <t xml:space="preserve">スモック </t>
  </si>
  <si>
    <t>セットアップ</t>
  </si>
  <si>
    <t>パジャマ</t>
  </si>
  <si>
    <t>スーツ、アンサンブル</t>
  </si>
  <si>
    <t>ドレス</t>
  </si>
  <si>
    <t>ロンパース</t>
  </si>
  <si>
    <t xml:space="preserve">ロンパース一般 </t>
  </si>
  <si>
    <t>和服</t>
  </si>
  <si>
    <t xml:space="preserve">3歳着物 </t>
  </si>
  <si>
    <t xml:space="preserve">7歳着物 </t>
  </si>
  <si>
    <t xml:space="preserve">他の着物 </t>
  </si>
  <si>
    <t xml:space="preserve">髪飾り </t>
  </si>
  <si>
    <t>甚平</t>
  </si>
  <si>
    <t>子ども服（男の子用）</t>
  </si>
  <si>
    <t>ブレザー</t>
  </si>
  <si>
    <t>タンクトップ</t>
  </si>
  <si>
    <t>スーツ、タキシード</t>
  </si>
  <si>
    <t xml:space="preserve">和服 </t>
  </si>
  <si>
    <t>ブリーフ、トランクス</t>
  </si>
  <si>
    <t>子ども服（男女兼用）</t>
  </si>
  <si>
    <t>トレーナー、スウェットシャツ</t>
  </si>
  <si>
    <t>パンツ、ズボン一般</t>
  </si>
  <si>
    <t>子ども用シューズ</t>
  </si>
  <si>
    <t xml:space="preserve">シューズ一般 </t>
  </si>
  <si>
    <t xml:space="preserve">15cm～ </t>
  </si>
  <si>
    <t xml:space="preserve">16cm～ </t>
  </si>
  <si>
    <t xml:space="preserve">17cm～ </t>
  </si>
  <si>
    <t xml:space="preserve">18cm～ </t>
  </si>
  <si>
    <t xml:space="preserve">19cm～ </t>
  </si>
  <si>
    <t xml:space="preserve">20cm～ </t>
  </si>
  <si>
    <t xml:space="preserve">21cm～ </t>
  </si>
  <si>
    <t xml:space="preserve">22cm～ </t>
  </si>
  <si>
    <t xml:space="preserve">23cm～ </t>
  </si>
  <si>
    <t xml:space="preserve">24cm～ </t>
  </si>
  <si>
    <t>スリッポン</t>
  </si>
  <si>
    <t>フォーマルシューズ</t>
  </si>
  <si>
    <t>ローファー</t>
  </si>
  <si>
    <t>長靴</t>
  </si>
  <si>
    <t xml:space="preserve">スクールシューズ、上履き </t>
  </si>
  <si>
    <t xml:space="preserve">スリッパ </t>
  </si>
  <si>
    <t>子ども用バッグ</t>
  </si>
  <si>
    <t xml:space="preserve">シューズケース </t>
  </si>
  <si>
    <t xml:space="preserve">ランチバッグ、弁当袋 </t>
  </si>
  <si>
    <t xml:space="preserve">ランドセル </t>
  </si>
  <si>
    <t xml:space="preserve">レッスンバッグ、トートバッグ </t>
  </si>
  <si>
    <t xml:space="preserve">巾着、体操着入れ </t>
  </si>
  <si>
    <t xml:space="preserve">通園バッグ、ショルダーバッグ </t>
  </si>
  <si>
    <t xml:space="preserve">男女兼用 </t>
  </si>
  <si>
    <t>子ども用ファッション小物</t>
  </si>
  <si>
    <t xml:space="preserve">サスペンダー </t>
  </si>
  <si>
    <t xml:space="preserve">ハンカチ </t>
  </si>
  <si>
    <t>ベビー服</t>
  </si>
  <si>
    <t xml:space="preserve">おむつカバー </t>
  </si>
  <si>
    <t xml:space="preserve">コンビ肌着 </t>
  </si>
  <si>
    <t xml:space="preserve">ラップアップ </t>
  </si>
  <si>
    <t xml:space="preserve">短肌着 </t>
  </si>
  <si>
    <t xml:space="preserve">長肌着 </t>
  </si>
  <si>
    <t xml:space="preserve">60（～64cm）以下 </t>
  </si>
  <si>
    <t xml:space="preserve">70（65～74cm） </t>
  </si>
  <si>
    <t xml:space="preserve">80（75～84cm） </t>
  </si>
  <si>
    <t xml:space="preserve">90（85cm～）以上 </t>
  </si>
  <si>
    <t xml:space="preserve">90（～94cm）以下 </t>
  </si>
  <si>
    <t>女の子用ショーツ</t>
  </si>
  <si>
    <t>カバーオール、つなぎ</t>
  </si>
  <si>
    <t xml:space="preserve">70（～74cm）以下 </t>
  </si>
  <si>
    <t xml:space="preserve">90（85～94cm） </t>
  </si>
  <si>
    <t>ショートオール</t>
  </si>
  <si>
    <t>ツーウェイオール、ドレスオール</t>
  </si>
  <si>
    <t>コート、ジャンパー</t>
  </si>
  <si>
    <t>スーツ、セットアップ</t>
  </si>
  <si>
    <t>カジュアル</t>
  </si>
  <si>
    <t>男の子用タンクトップ</t>
  </si>
  <si>
    <t>ベビードレス</t>
  </si>
  <si>
    <t>ベビードレス、セレモニードレス</t>
  </si>
  <si>
    <t xml:space="preserve">80（75cm～）以上 </t>
  </si>
  <si>
    <t xml:space="preserve">和服、祝着 </t>
  </si>
  <si>
    <t>パンツ、ズボン</t>
  </si>
  <si>
    <t>スカート一般</t>
  </si>
  <si>
    <t>ベビーシューズ</t>
  </si>
  <si>
    <t xml:space="preserve">10cm未満 </t>
  </si>
  <si>
    <t xml:space="preserve">10cm～ </t>
  </si>
  <si>
    <t xml:space="preserve">11cm～ </t>
  </si>
  <si>
    <t xml:space="preserve">12cm～ </t>
  </si>
  <si>
    <t xml:space="preserve">13cm～ </t>
  </si>
  <si>
    <t xml:space="preserve">14cm～ </t>
  </si>
  <si>
    <t xml:space="preserve">12cm未満 </t>
  </si>
  <si>
    <t>ストラップシューズ</t>
  </si>
  <si>
    <t>スリップオン、キャンバスシューズ</t>
  </si>
  <si>
    <t>ベビー用ファッション小物</t>
  </si>
  <si>
    <t xml:space="preserve">スタイ、よだれかけ </t>
  </si>
  <si>
    <t>ハンドメイド</t>
  </si>
  <si>
    <t xml:space="preserve">チュニック </t>
  </si>
  <si>
    <t xml:space="preserve">ベビー、子ども用 </t>
  </si>
  <si>
    <t>アクセサリー、時計</t>
  </si>
  <si>
    <t>ブランドアクセサリー</t>
  </si>
  <si>
    <t xml:space="preserve">ネックレス、ペンダント、チョーカー </t>
  </si>
  <si>
    <t xml:space="preserve">ブレスレット、バングル </t>
  </si>
  <si>
    <t xml:space="preserve">指輪 </t>
  </si>
  <si>
    <t xml:space="preserve">アーカー </t>
  </si>
  <si>
    <t>アガタ</t>
  </si>
  <si>
    <t xml:space="preserve">イヤリング、ピアス </t>
  </si>
  <si>
    <t>アガット</t>
  </si>
  <si>
    <t>イヤリング、ピアス</t>
  </si>
  <si>
    <t xml:space="preserve">イヤリング </t>
  </si>
  <si>
    <t xml:space="preserve">ピアス </t>
  </si>
  <si>
    <t>ブレスレット、バングル</t>
  </si>
  <si>
    <t xml:space="preserve">バングル </t>
  </si>
  <si>
    <t xml:space="preserve">ブレスレット </t>
  </si>
  <si>
    <t xml:space="preserve">Q-pot </t>
  </si>
  <si>
    <t>指輪</t>
  </si>
  <si>
    <t>ゴールド</t>
  </si>
  <si>
    <t xml:space="preserve">イエローゴールド </t>
  </si>
  <si>
    <t xml:space="preserve">ピンクゴールド </t>
  </si>
  <si>
    <t xml:space="preserve">ホワイトゴールド </t>
  </si>
  <si>
    <t xml:space="preserve">プラチナ </t>
  </si>
  <si>
    <t>カレラ イ カレラ</t>
  </si>
  <si>
    <t>ガボール</t>
  </si>
  <si>
    <t>クリスチャン・ディオール</t>
  </si>
  <si>
    <t>ネックレス、ペンダント、チョーカー</t>
  </si>
  <si>
    <t xml:space="preserve">チョーカー </t>
  </si>
  <si>
    <t xml:space="preserve">ネックレス（トップつき） </t>
  </si>
  <si>
    <t>クレイジーピッグ</t>
  </si>
  <si>
    <t xml:space="preserve">ペンダントトップ、チャーム </t>
  </si>
  <si>
    <t xml:space="preserve">ペンダントネックレス </t>
  </si>
  <si>
    <t xml:space="preserve">ブローチ </t>
  </si>
  <si>
    <t xml:space="preserve">ヘアアクセサリー </t>
  </si>
  <si>
    <t>ショーメ</t>
  </si>
  <si>
    <t>ショパール</t>
  </si>
  <si>
    <t xml:space="preserve">カフス </t>
  </si>
  <si>
    <t xml:space="preserve">ジャスティンデイビス </t>
  </si>
  <si>
    <t>ジャムホームメイド</t>
  </si>
  <si>
    <t>ジョージ・ジェンセン</t>
  </si>
  <si>
    <t>スタージュエリー</t>
  </si>
  <si>
    <t>スワロフスキー</t>
  </si>
  <si>
    <t>タテオシアン</t>
  </si>
  <si>
    <t>ダミアーニ</t>
  </si>
  <si>
    <t xml:space="preserve">タイピン </t>
  </si>
  <si>
    <t>ネックレス</t>
  </si>
  <si>
    <t>シルバー</t>
  </si>
  <si>
    <t xml:space="preserve">アップル </t>
  </si>
  <si>
    <t xml:space="preserve">アトラス </t>
  </si>
  <si>
    <t xml:space="preserve">エターナルサークル </t>
  </si>
  <si>
    <t xml:space="preserve">オープンハート </t>
  </si>
  <si>
    <t xml:space="preserve">クアドロフォリオ </t>
  </si>
  <si>
    <t xml:space="preserve">クロス </t>
  </si>
  <si>
    <t xml:space="preserve">シリウススター </t>
  </si>
  <si>
    <t xml:space="preserve">スターフィッシュ </t>
  </si>
  <si>
    <t xml:space="preserve">ティアドロップ </t>
  </si>
  <si>
    <t xml:space="preserve">ビーン </t>
  </si>
  <si>
    <t xml:space="preserve">ラージクロス </t>
  </si>
  <si>
    <t xml:space="preserve">リターントゥティファニー </t>
  </si>
  <si>
    <t xml:space="preserve">ペンダント </t>
  </si>
  <si>
    <t xml:space="preserve">デビアス </t>
  </si>
  <si>
    <t>トラヴィスワーカー</t>
  </si>
  <si>
    <t>田崎真珠</t>
  </si>
  <si>
    <t xml:space="preserve">ノジェス </t>
  </si>
  <si>
    <t>ハリー・ウィンストン</t>
  </si>
  <si>
    <t>バカラ</t>
  </si>
  <si>
    <t>ビルウォールレザー</t>
  </si>
  <si>
    <t>ピアジェ</t>
  </si>
  <si>
    <t>フォリフォリ</t>
  </si>
  <si>
    <t xml:space="preserve">フリースタイル </t>
  </si>
  <si>
    <t>ブシュロン</t>
  </si>
  <si>
    <t xml:space="preserve">ブラッディーマリー </t>
  </si>
  <si>
    <t xml:space="preserve">ブルーム </t>
  </si>
  <si>
    <t xml:space="preserve">ネックレス </t>
  </si>
  <si>
    <t>ポメラート</t>
  </si>
  <si>
    <t xml:space="preserve">ポンテヴェキオ </t>
  </si>
  <si>
    <t>ヴァンクリーフ＆アーペル</t>
  </si>
  <si>
    <t>ヴァンドーム青山</t>
  </si>
  <si>
    <t>ミキモト</t>
  </si>
  <si>
    <t>ミハエル・ネグリン</t>
  </si>
  <si>
    <t>ミリアム・ハスケル</t>
  </si>
  <si>
    <t>4℃</t>
  </si>
  <si>
    <t>レナードカムホート、ロンワンズ</t>
  </si>
  <si>
    <t xml:space="preserve">ロードキャメロット </t>
  </si>
  <si>
    <t xml:space="preserve">ローリーロドキン </t>
  </si>
  <si>
    <t>ロイヤルオーダー</t>
  </si>
  <si>
    <t>レディースアクセサリー</t>
  </si>
  <si>
    <t>ネックレス、ペンダント</t>
  </si>
  <si>
    <t>ダイヤモンド</t>
  </si>
  <si>
    <t>ゴールドチェーン</t>
  </si>
  <si>
    <t xml:space="preserve">シルバーチェーン </t>
  </si>
  <si>
    <t xml:space="preserve">プラチナチェーン </t>
  </si>
  <si>
    <t>ブランド腕時計</t>
  </si>
  <si>
    <t>あ行</t>
  </si>
  <si>
    <t xml:space="preserve">FHB </t>
  </si>
  <si>
    <t>IWC</t>
  </si>
  <si>
    <t xml:space="preserve">アクアタイマー </t>
  </si>
  <si>
    <t xml:space="preserve">インヂュニア </t>
  </si>
  <si>
    <t xml:space="preserve">ダ・ヴィンチ </t>
  </si>
  <si>
    <t xml:space="preserve">パイロット・ウォッチ </t>
  </si>
  <si>
    <t xml:space="preserve">ポートフィノ </t>
  </si>
  <si>
    <t xml:space="preserve">ポルトギーゼ </t>
  </si>
  <si>
    <t xml:space="preserve">アクアノウティック </t>
  </si>
  <si>
    <t xml:space="preserve">アラン・シルベスタイン </t>
  </si>
  <si>
    <t xml:space="preserve">アルピナ </t>
  </si>
  <si>
    <t xml:space="preserve">アンクラーク </t>
  </si>
  <si>
    <t xml:space="preserve">ウェンガー </t>
  </si>
  <si>
    <t xml:space="preserve">ウォルサム </t>
  </si>
  <si>
    <t xml:space="preserve">ウブロ </t>
  </si>
  <si>
    <t xml:space="preserve">エテルナ </t>
  </si>
  <si>
    <t xml:space="preserve">エドックス </t>
  </si>
  <si>
    <t xml:space="preserve">エニカ </t>
  </si>
  <si>
    <t xml:space="preserve">エベラール </t>
  </si>
  <si>
    <t xml:space="preserve">エベル </t>
  </si>
  <si>
    <t xml:space="preserve">エポス </t>
  </si>
  <si>
    <t xml:space="preserve">エルジン </t>
  </si>
  <si>
    <t xml:space="preserve">Hウォッチ </t>
  </si>
  <si>
    <t xml:space="preserve">クリッパー </t>
  </si>
  <si>
    <t xml:space="preserve">ケリー </t>
  </si>
  <si>
    <t xml:space="preserve">オーデマ・ピゲ </t>
  </si>
  <si>
    <t>オフィチーネ パネライ</t>
  </si>
  <si>
    <t xml:space="preserve">ラジオミール </t>
  </si>
  <si>
    <t xml:space="preserve">ルミノール ベース </t>
  </si>
  <si>
    <t xml:space="preserve">ルミノール マリーナ </t>
  </si>
  <si>
    <t>オメガ</t>
  </si>
  <si>
    <t xml:space="preserve">コンステレーション </t>
  </si>
  <si>
    <t>シーマスター</t>
  </si>
  <si>
    <t xml:space="preserve">300M </t>
  </si>
  <si>
    <t xml:space="preserve">アクアテラ </t>
  </si>
  <si>
    <t xml:space="preserve">プラネットオーシャン </t>
  </si>
  <si>
    <t>スピードマスター</t>
  </si>
  <si>
    <t xml:space="preserve">デイト </t>
  </si>
  <si>
    <t xml:space="preserve">プロフェッショナル </t>
  </si>
  <si>
    <t xml:space="preserve">デビル </t>
  </si>
  <si>
    <t xml:space="preserve">パーツ </t>
  </si>
  <si>
    <t xml:space="preserve">ベルト、ブレスレット </t>
  </si>
  <si>
    <t xml:space="preserve">箱、保証書、付属品 </t>
  </si>
  <si>
    <t>オリエント</t>
  </si>
  <si>
    <t xml:space="preserve">オリエントスター </t>
  </si>
  <si>
    <t xml:space="preserve">キングマスター </t>
  </si>
  <si>
    <t xml:space="preserve">オリス </t>
  </si>
  <si>
    <t xml:space="preserve">ヴァルカン </t>
  </si>
  <si>
    <t xml:space="preserve">ヴァン クリーフ＆アーペル </t>
  </si>
  <si>
    <t xml:space="preserve">ヴェルサーチ </t>
  </si>
  <si>
    <t>か行</t>
  </si>
  <si>
    <t>カシオ</t>
  </si>
  <si>
    <t>G-SHOCK</t>
  </si>
  <si>
    <t xml:space="preserve">コラボレーションモデル </t>
  </si>
  <si>
    <t xml:space="preserve">CODE NAME </t>
  </si>
  <si>
    <t xml:space="preserve">Cockpit Series </t>
  </si>
  <si>
    <t xml:space="preserve">Crazy Colors </t>
  </si>
  <si>
    <t xml:space="preserve">FISHERMAN </t>
  </si>
  <si>
    <t xml:space="preserve">FOXFIRE </t>
  </si>
  <si>
    <t xml:space="preserve">FROGMAN </t>
  </si>
  <si>
    <t xml:space="preserve">G'MIX </t>
  </si>
  <si>
    <t xml:space="preserve">G-COOL </t>
  </si>
  <si>
    <t xml:space="preserve">G-LIDE </t>
  </si>
  <si>
    <t xml:space="preserve">G-SPIKE </t>
  </si>
  <si>
    <t xml:space="preserve">GAUSSMAN </t>
  </si>
  <si>
    <t xml:space="preserve">GIEZ </t>
  </si>
  <si>
    <t xml:space="preserve">GULFMAN </t>
  </si>
  <si>
    <t xml:space="preserve">Hyper Colors </t>
  </si>
  <si>
    <t xml:space="preserve">MR-G </t>
  </si>
  <si>
    <t xml:space="preserve">MT-G </t>
  </si>
  <si>
    <t xml:space="preserve">MUDMAN </t>
  </si>
  <si>
    <t xml:space="preserve">RAYSMAN </t>
  </si>
  <si>
    <t xml:space="preserve">RISEMAN </t>
  </si>
  <si>
    <t xml:space="preserve">SKYFORCE </t>
  </si>
  <si>
    <t xml:space="preserve">Summer Colors </t>
  </si>
  <si>
    <t>THE G</t>
  </si>
  <si>
    <t xml:space="preserve">BLACK FORCE </t>
  </si>
  <si>
    <t xml:space="preserve">COMBINATION </t>
  </si>
  <si>
    <t xml:space="preserve">DIGITAL </t>
  </si>
  <si>
    <t xml:space="preserve">TOUGH BATTERY 10 </t>
  </si>
  <si>
    <t xml:space="preserve">TOUGH SOLAR </t>
  </si>
  <si>
    <t xml:space="preserve">WADEMAN </t>
  </si>
  <si>
    <t xml:space="preserve">X-treme </t>
  </si>
  <si>
    <t xml:space="preserve">nexax </t>
  </si>
  <si>
    <t xml:space="preserve">ラバーズコレクション </t>
  </si>
  <si>
    <t>Baby-G</t>
  </si>
  <si>
    <t xml:space="preserve">BASIC </t>
  </si>
  <si>
    <t xml:space="preserve">CASKET </t>
  </si>
  <si>
    <t xml:space="preserve">Reef </t>
  </si>
  <si>
    <t xml:space="preserve">Tripper </t>
  </si>
  <si>
    <t xml:space="preserve">PRO TREK </t>
  </si>
  <si>
    <t xml:space="preserve">EDIFICE </t>
  </si>
  <si>
    <t xml:space="preserve">OCEANUS </t>
  </si>
  <si>
    <t xml:space="preserve">データバンク </t>
  </si>
  <si>
    <t xml:space="preserve">サントスドゥカルティエ </t>
  </si>
  <si>
    <t>タンク</t>
  </si>
  <si>
    <t xml:space="preserve">タンクアメリカン </t>
  </si>
  <si>
    <t xml:space="preserve">タンクフランセーズ </t>
  </si>
  <si>
    <t xml:space="preserve">マストタンク </t>
  </si>
  <si>
    <t>パシャドゥカルティエ</t>
  </si>
  <si>
    <t xml:space="preserve">パシャ38mm </t>
  </si>
  <si>
    <t xml:space="preserve">パシャC </t>
  </si>
  <si>
    <t xml:space="preserve">パシャCメリディアン </t>
  </si>
  <si>
    <t xml:space="preserve">パンテールドゥカルティエ </t>
  </si>
  <si>
    <t xml:space="preserve">ベニュワール </t>
  </si>
  <si>
    <t xml:space="preserve">ラニエール </t>
  </si>
  <si>
    <t xml:space="preserve">ロードスター </t>
  </si>
  <si>
    <t>ヴァンテアン</t>
  </si>
  <si>
    <t xml:space="preserve">オートスカフ </t>
  </si>
  <si>
    <t xml:space="preserve">クロノスカフ </t>
  </si>
  <si>
    <t xml:space="preserve">マストヴァンテアン </t>
  </si>
  <si>
    <t xml:space="preserve">カルバン・クライン </t>
  </si>
  <si>
    <t xml:space="preserve">カレラ イ カレラ </t>
  </si>
  <si>
    <t>ガガミラノ</t>
  </si>
  <si>
    <t xml:space="preserve">クロノ </t>
  </si>
  <si>
    <t xml:space="preserve">スリム </t>
  </si>
  <si>
    <t xml:space="preserve">ダイビング </t>
  </si>
  <si>
    <t xml:space="preserve">ナポレオーネ </t>
  </si>
  <si>
    <t xml:space="preserve">マニュアーレ </t>
  </si>
  <si>
    <t xml:space="preserve">ギ・ラロッシュ </t>
  </si>
  <si>
    <t xml:space="preserve">クリスチャン・ディオール </t>
  </si>
  <si>
    <t xml:space="preserve">クレージュ </t>
  </si>
  <si>
    <t xml:space="preserve">クロノスイス </t>
  </si>
  <si>
    <t xml:space="preserve">グラハム </t>
  </si>
  <si>
    <t xml:space="preserve">グリモルディ </t>
  </si>
  <si>
    <t xml:space="preserve">コルム </t>
  </si>
  <si>
    <t xml:space="preserve">コンコルド </t>
  </si>
  <si>
    <t>さ行</t>
  </si>
  <si>
    <t>SWATCH</t>
  </si>
  <si>
    <t xml:space="preserve">.BEAT </t>
  </si>
  <si>
    <t xml:space="preserve">ACCESS </t>
  </si>
  <si>
    <t xml:space="preserve">AQUACHRONO </t>
  </si>
  <si>
    <t xml:space="preserve">AUTOMATIC </t>
  </si>
  <si>
    <t xml:space="preserve">CHRONO </t>
  </si>
  <si>
    <t xml:space="preserve">IRONY </t>
  </si>
  <si>
    <t xml:space="preserve">MUSICALL </t>
  </si>
  <si>
    <t xml:space="preserve">POP SWATCH </t>
  </si>
  <si>
    <t xml:space="preserve">SCUBA200 </t>
  </si>
  <si>
    <t xml:space="preserve">SKIN </t>
  </si>
  <si>
    <t xml:space="preserve">SOLAR </t>
  </si>
  <si>
    <t xml:space="preserve">STANDARD </t>
  </si>
  <si>
    <t xml:space="preserve">STOP WATCH </t>
  </si>
  <si>
    <t xml:space="preserve">サーカー </t>
  </si>
  <si>
    <t xml:space="preserve">シーマ </t>
  </si>
  <si>
    <t>シチズン</t>
  </si>
  <si>
    <t xml:space="preserve">アテッサ </t>
  </si>
  <si>
    <t xml:space="preserve">ウィッカ </t>
  </si>
  <si>
    <t xml:space="preserve">エクシード </t>
  </si>
  <si>
    <t xml:space="preserve">キューアンドキュー </t>
  </si>
  <si>
    <t xml:space="preserve">クロスシー </t>
  </si>
  <si>
    <t xml:space="preserve">シチズンコレクション </t>
  </si>
  <si>
    <t xml:space="preserve">プロマスター </t>
  </si>
  <si>
    <t xml:space="preserve">レグノ </t>
  </si>
  <si>
    <t xml:space="preserve">J12 </t>
  </si>
  <si>
    <t xml:space="preserve">プルミエール </t>
  </si>
  <si>
    <t xml:space="preserve">マトラッセ </t>
  </si>
  <si>
    <t xml:space="preserve">シャリオール </t>
  </si>
  <si>
    <t xml:space="preserve">シャルル ジョルダン </t>
  </si>
  <si>
    <t xml:space="preserve">ショーメ </t>
  </si>
  <si>
    <t xml:space="preserve">ショパール </t>
  </si>
  <si>
    <t xml:space="preserve">ジェイコブ </t>
  </si>
  <si>
    <t xml:space="preserve">ジェラルド・ジェンタ </t>
  </si>
  <si>
    <t xml:space="preserve">ジバンシイ </t>
  </si>
  <si>
    <t xml:space="preserve">ジャガー・ルクルト </t>
  </si>
  <si>
    <t xml:space="preserve">ジラール・ペルゴ </t>
  </si>
  <si>
    <t xml:space="preserve">ジン </t>
  </si>
  <si>
    <t xml:space="preserve">スイスミリタリー </t>
  </si>
  <si>
    <t xml:space="preserve">スカーゲン </t>
  </si>
  <si>
    <t xml:space="preserve">ストーム </t>
  </si>
  <si>
    <t xml:space="preserve">スント </t>
  </si>
  <si>
    <t>セイコー</t>
  </si>
  <si>
    <t xml:space="preserve">アルバ </t>
  </si>
  <si>
    <t xml:space="preserve">イグニッション </t>
  </si>
  <si>
    <t xml:space="preserve">エクセリーヌ </t>
  </si>
  <si>
    <t xml:space="preserve">クレドール </t>
  </si>
  <si>
    <t xml:space="preserve">グランドセイコー </t>
  </si>
  <si>
    <t xml:space="preserve">スピリット </t>
  </si>
  <si>
    <t xml:space="preserve">ドルチェ </t>
  </si>
  <si>
    <t xml:space="preserve">ブライツ </t>
  </si>
  <si>
    <t xml:space="preserve">プロスペックス </t>
  </si>
  <si>
    <t xml:space="preserve">ルキア </t>
  </si>
  <si>
    <t xml:space="preserve">ワイアード </t>
  </si>
  <si>
    <t xml:space="preserve">海外モデル </t>
  </si>
  <si>
    <t xml:space="preserve">セクター </t>
  </si>
  <si>
    <t xml:space="preserve">センチュリー </t>
  </si>
  <si>
    <t xml:space="preserve">ゼニス </t>
  </si>
  <si>
    <t xml:space="preserve">ゼノ </t>
  </si>
  <si>
    <t xml:space="preserve">ゾディアック </t>
  </si>
  <si>
    <t>た行</t>
  </si>
  <si>
    <t xml:space="preserve">タイメックス </t>
  </si>
  <si>
    <t>タグ・ホイヤー</t>
  </si>
  <si>
    <t xml:space="preserve">2000シリーズ </t>
  </si>
  <si>
    <t xml:space="preserve">アクアレーサー </t>
  </si>
  <si>
    <t xml:space="preserve">カレラ </t>
  </si>
  <si>
    <t xml:space="preserve">フォーミュラ </t>
  </si>
  <si>
    <t xml:space="preserve">モナコ </t>
  </si>
  <si>
    <t xml:space="preserve">リンク </t>
  </si>
  <si>
    <t xml:space="preserve">タバー </t>
  </si>
  <si>
    <t xml:space="preserve">ダービー＆シャルデンブラン </t>
  </si>
  <si>
    <t xml:space="preserve">ダニエル・ジャンリシャール </t>
  </si>
  <si>
    <t xml:space="preserve">ダニエル・ロート </t>
  </si>
  <si>
    <t>チュードル</t>
  </si>
  <si>
    <t xml:space="preserve">オイスター </t>
  </si>
  <si>
    <t xml:space="preserve">クロノタイム </t>
  </si>
  <si>
    <t xml:space="preserve">サブマリーナ </t>
  </si>
  <si>
    <t xml:space="preserve">ハイドロノート </t>
  </si>
  <si>
    <t xml:space="preserve">レンジャー </t>
  </si>
  <si>
    <t xml:space="preserve">チュチマ </t>
  </si>
  <si>
    <t xml:space="preserve">ティソ </t>
  </si>
  <si>
    <t xml:space="preserve">テクノス </t>
  </si>
  <si>
    <t xml:space="preserve">テクノマリーン </t>
  </si>
  <si>
    <t xml:space="preserve">テンデンス </t>
  </si>
  <si>
    <t xml:space="preserve">ディー ケー エヌ ワイ </t>
  </si>
  <si>
    <t xml:space="preserve">トニノランボルギーニ </t>
  </si>
  <si>
    <t>な行</t>
  </si>
  <si>
    <t>ニクソン</t>
  </si>
  <si>
    <t xml:space="preserve">51-30 </t>
  </si>
  <si>
    <t xml:space="preserve">42-20 </t>
  </si>
  <si>
    <t xml:space="preserve">タイムテラー </t>
  </si>
  <si>
    <t xml:space="preserve">バンクス </t>
  </si>
  <si>
    <t xml:space="preserve">ブレイヤー </t>
  </si>
  <si>
    <t xml:space="preserve">ベガ </t>
  </si>
  <si>
    <t xml:space="preserve">ノモス </t>
  </si>
  <si>
    <t>は行</t>
  </si>
  <si>
    <t>ハミルトン</t>
  </si>
  <si>
    <t xml:space="preserve">カーキ </t>
  </si>
  <si>
    <t xml:space="preserve">ジャズマスター </t>
  </si>
  <si>
    <t xml:space="preserve">ベンチュラ </t>
  </si>
  <si>
    <t xml:space="preserve">ロイド </t>
  </si>
  <si>
    <t xml:space="preserve">ハリー・ウィンストン </t>
  </si>
  <si>
    <t xml:space="preserve">ハンティング・ワールド </t>
  </si>
  <si>
    <t xml:space="preserve">バリー </t>
  </si>
  <si>
    <t xml:space="preserve">バレンチノ </t>
  </si>
  <si>
    <t>パテック フィリップ</t>
  </si>
  <si>
    <t xml:space="preserve">アクアノート </t>
  </si>
  <si>
    <t xml:space="preserve">カラトラバ </t>
  </si>
  <si>
    <t xml:space="preserve">ゴールデン・エリプス </t>
  </si>
  <si>
    <t xml:space="preserve">ゴンドーロ </t>
  </si>
  <si>
    <t xml:space="preserve">ネプチューン </t>
  </si>
  <si>
    <t xml:space="preserve">ノーチラス </t>
  </si>
  <si>
    <t xml:space="preserve">ビクトリノックス </t>
  </si>
  <si>
    <t xml:space="preserve">ピアジェ </t>
  </si>
  <si>
    <t xml:space="preserve">ピエール・カルダン </t>
  </si>
  <si>
    <t xml:space="preserve">フォッシル </t>
  </si>
  <si>
    <t xml:space="preserve">フォリフォリ </t>
  </si>
  <si>
    <t xml:space="preserve">フォルティス </t>
  </si>
  <si>
    <t>フランク・ミュラー</t>
  </si>
  <si>
    <t xml:space="preserve">カサブランカ </t>
  </si>
  <si>
    <t xml:space="preserve">コンキスタドール </t>
  </si>
  <si>
    <t xml:space="preserve">サンセット </t>
  </si>
  <si>
    <t xml:space="preserve">ロングアイランド </t>
  </si>
  <si>
    <t xml:space="preserve">フレデリック・コンスタント </t>
  </si>
  <si>
    <t>ブライトリング</t>
  </si>
  <si>
    <t>ウインドライダー</t>
  </si>
  <si>
    <t xml:space="preserve">クロノマット・エボリューション </t>
  </si>
  <si>
    <t>エアロマリン</t>
  </si>
  <si>
    <t xml:space="preserve">スーパーオーシャン </t>
  </si>
  <si>
    <t>ナビタイマー</t>
  </si>
  <si>
    <t xml:space="preserve">ナビタイマー </t>
  </si>
  <si>
    <t xml:space="preserve">モンブリラン </t>
  </si>
  <si>
    <t xml:space="preserve">ブランパン </t>
  </si>
  <si>
    <t xml:space="preserve">アショーマ </t>
  </si>
  <si>
    <t xml:space="preserve">アルミニウム </t>
  </si>
  <si>
    <t xml:space="preserve">エルゴン </t>
  </si>
  <si>
    <t xml:space="preserve">ソロテンポ </t>
  </si>
  <si>
    <t xml:space="preserve">ディアゴノ </t>
  </si>
  <si>
    <t xml:space="preserve">ビーゼロワン </t>
  </si>
  <si>
    <t xml:space="preserve">ブルガリブルガリ </t>
  </si>
  <si>
    <t xml:space="preserve">レッタンゴロ </t>
  </si>
  <si>
    <t xml:space="preserve">ブルッキアーナ </t>
  </si>
  <si>
    <t xml:space="preserve">ブレゲ </t>
  </si>
  <si>
    <t xml:space="preserve">ブローバ </t>
  </si>
  <si>
    <t xml:space="preserve">ベダ＆カンパニー </t>
  </si>
  <si>
    <t xml:space="preserve">ベル＆ロス </t>
  </si>
  <si>
    <t xml:space="preserve">ペキネ </t>
  </si>
  <si>
    <t xml:space="preserve">ボーム＆メルシエ </t>
  </si>
  <si>
    <t xml:space="preserve">ボール ウォッチ </t>
  </si>
  <si>
    <t xml:space="preserve">ポール･スミス </t>
  </si>
  <si>
    <t xml:space="preserve">ポルシェ デザイン </t>
  </si>
  <si>
    <t xml:space="preserve">ヴァシュロン・コンスタンタン </t>
  </si>
  <si>
    <t>ま行、や行</t>
  </si>
  <si>
    <t xml:space="preserve">マークバイマークジェイコブス </t>
  </si>
  <si>
    <t xml:space="preserve">ミューレ グラスヒュッテ </t>
  </si>
  <si>
    <t xml:space="preserve">モーリス・ラクロア </t>
  </si>
  <si>
    <t xml:space="preserve">モバード </t>
  </si>
  <si>
    <t xml:space="preserve">モンディーン </t>
  </si>
  <si>
    <t xml:space="preserve">モンブラン </t>
  </si>
  <si>
    <t xml:space="preserve">ユリス ナルダン </t>
  </si>
  <si>
    <t xml:space="preserve">ユンハンス </t>
  </si>
  <si>
    <t>ら行</t>
  </si>
  <si>
    <t xml:space="preserve">ラドー </t>
  </si>
  <si>
    <t xml:space="preserve">ランカスター </t>
  </si>
  <si>
    <t xml:space="preserve">ランゲ＆ゾーネ </t>
  </si>
  <si>
    <t xml:space="preserve">リトモラティーノ </t>
  </si>
  <si>
    <t>ルミノックス</t>
  </si>
  <si>
    <t xml:space="preserve">ロッキードマーティンコレクション </t>
  </si>
  <si>
    <t xml:space="preserve">レビュー トーメン </t>
  </si>
  <si>
    <t xml:space="preserve">ロータリー </t>
  </si>
  <si>
    <t xml:space="preserve">ロジェ・デュブイ </t>
  </si>
  <si>
    <t>ロレックス</t>
  </si>
  <si>
    <t>GMTマスター</t>
  </si>
  <si>
    <t xml:space="preserve">本体 </t>
  </si>
  <si>
    <t>エアキング</t>
  </si>
  <si>
    <t>エクスプローラーI</t>
  </si>
  <si>
    <t>エクスプローラーII</t>
  </si>
  <si>
    <t xml:space="preserve">カメレオン </t>
  </si>
  <si>
    <t>サブマリーナ</t>
  </si>
  <si>
    <t>シードゥエラー</t>
  </si>
  <si>
    <t xml:space="preserve">チェリーニ </t>
  </si>
  <si>
    <t>デイデイト</t>
  </si>
  <si>
    <t>デイトジャスト</t>
  </si>
  <si>
    <t>デイトナ</t>
  </si>
  <si>
    <t>パーペチュアル</t>
  </si>
  <si>
    <t xml:space="preserve">ミルガウス </t>
  </si>
  <si>
    <t xml:space="preserve">ヨットマスター </t>
  </si>
  <si>
    <t>ロンジン</t>
  </si>
  <si>
    <t xml:space="preserve">アドミラル </t>
  </si>
  <si>
    <t xml:space="preserve">グランドクラシック </t>
  </si>
  <si>
    <t xml:space="preserve">コンクエスト </t>
  </si>
  <si>
    <t xml:space="preserve">ドルチェビータ </t>
  </si>
  <si>
    <t xml:space="preserve">ハイドロ コンクエスト </t>
  </si>
  <si>
    <t>ビューティー、ヘルスケア</t>
  </si>
  <si>
    <t>めがね、コンタクト</t>
  </si>
  <si>
    <t>めがね</t>
  </si>
  <si>
    <t>セルフレーム</t>
  </si>
  <si>
    <t xml:space="preserve">フルリム </t>
  </si>
  <si>
    <t xml:space="preserve">ナイロール、ハーフリム </t>
  </si>
  <si>
    <t xml:space="preserve">アンダーリム </t>
  </si>
  <si>
    <t xml:space="preserve">その他セルフレーム </t>
  </si>
  <si>
    <t>金属フレーム</t>
  </si>
  <si>
    <t xml:space="preserve">ふち無し、ツーポイント </t>
  </si>
  <si>
    <t xml:space="preserve">鼈甲 </t>
  </si>
  <si>
    <t xml:space="preserve">めがねケース </t>
  </si>
  <si>
    <t xml:space="preserve">老眼鏡 </t>
  </si>
  <si>
    <t>カテゴリ</t>
    <phoneticPr fontId="4"/>
  </si>
  <si>
    <t>ID1</t>
    <phoneticPr fontId="4"/>
  </si>
  <si>
    <t>ID2</t>
    <phoneticPr fontId="4"/>
  </si>
  <si>
    <t>http://74553bd302f56e65.lolipop.jp/monoapparel-banner2.png</t>
    <phoneticPr fontId="4"/>
  </si>
  <si>
    <t>http://74553bd302f56e65.lolipop.jp/yahoo/newchyyuijikou2.png</t>
    <phoneticPr fontId="4"/>
  </si>
  <si>
    <t>ID</t>
    <phoneticPr fontId="4"/>
  </si>
  <si>
    <t>商品代引</t>
    <rPh sb="0" eb="2">
      <t>ショウヒン</t>
    </rPh>
    <rPh sb="2" eb="4">
      <t>ダイビ</t>
    </rPh>
    <phoneticPr fontId="4"/>
  </si>
  <si>
    <t>商品代引</t>
    <phoneticPr fontId="4"/>
  </si>
  <si>
    <t>スポーツ別</t>
  </si>
  <si>
    <t>ゴルフ</t>
  </si>
  <si>
    <t>パーリーゲイツ</t>
  </si>
  <si>
    <t>ウエア（男性用）</t>
  </si>
  <si>
    <t>ジャンパー、ジャケット</t>
  </si>
  <si>
    <t>キャップ</t>
  </si>
  <si>
    <t>サンバイザー</t>
  </si>
  <si>
    <t>キャロウェイ</t>
  </si>
  <si>
    <t>ルコック</t>
  </si>
  <si>
    <t>アンダーアーマー</t>
  </si>
  <si>
    <t>テーラーメイド</t>
  </si>
  <si>
    <t>ウエア（女性用）</t>
  </si>
  <si>
    <t xml:space="preserve"> 携帯電話、スマートフォン </t>
  </si>
  <si>
    <t xml:space="preserve"> アクセサリー </t>
  </si>
  <si>
    <t xml:space="preserve"> iPhone用ケース </t>
  </si>
  <si>
    <t xml:space="preserve"> iPhone X用</t>
  </si>
  <si>
    <t xml:space="preserve"> iPhone 7/8用</t>
  </si>
  <si>
    <t xml:space="preserve"> iPhone 6 Plus/6s Plus用</t>
  </si>
  <si>
    <t xml:space="preserve"> iPhone 5c用</t>
  </si>
  <si>
    <t xml:space="preserve"> iPhone 5s/SE用</t>
  </si>
  <si>
    <t xml:space="preserve"> iPhone 5用</t>
  </si>
  <si>
    <t xml:space="preserve"> iPhone 4/4S用</t>
  </si>
  <si>
    <t>iPhone 6/6s用</t>
    <phoneticPr fontId="4"/>
  </si>
  <si>
    <t>マンシング</t>
  </si>
  <si>
    <t>ミエコ・ウエサコ</t>
  </si>
  <si>
    <t>キャンプ、アウトドア用品</t>
  </si>
  <si>
    <t>グレゴリー</t>
  </si>
  <si>
    <t>リュックサック</t>
  </si>
  <si>
    <t>ウエストバッグ</t>
  </si>
  <si>
    <t>ダッフルバッグ、ボストンバッグ</t>
  </si>
  <si>
    <t>事務、店舗用品</t>
  </si>
  <si>
    <t>文房具</t>
  </si>
  <si>
    <t>筆記用具</t>
  </si>
  <si>
    <t>ボールペン</t>
  </si>
  <si>
    <t>ボールペン一般</t>
  </si>
  <si>
    <t>S.T.デュポン</t>
  </si>
  <si>
    <t>アウロラ</t>
  </si>
  <si>
    <t>ウォーターマン</t>
  </si>
  <si>
    <t>カランダッシュ</t>
  </si>
  <si>
    <t>クロス</t>
  </si>
  <si>
    <t>シェーファー</t>
  </si>
  <si>
    <t>パーカー</t>
  </si>
  <si>
    <t>パイロット</t>
  </si>
  <si>
    <t>ファーバーカステル</t>
  </si>
  <si>
    <t>ペリカン</t>
  </si>
  <si>
    <t>モンテグラッパ</t>
  </si>
  <si>
    <t>モンブラン</t>
  </si>
  <si>
    <t>ラミー</t>
  </si>
  <si>
    <t>ボールペン替え芯</t>
    <phoneticPr fontId="4"/>
  </si>
  <si>
    <t>シャープペンシル</t>
    <phoneticPr fontId="4"/>
  </si>
  <si>
    <t>鉛筆</t>
  </si>
  <si>
    <t>マーカー、サインペン</t>
  </si>
  <si>
    <t>複合筆記具</t>
  </si>
  <si>
    <t>蛍光ペン</t>
  </si>
  <si>
    <t>筆</t>
  </si>
  <si>
    <t>筆ペン</t>
  </si>
  <si>
    <t>修正液、修正ペン、修正テープ</t>
  </si>
  <si>
    <t>消しゴム</t>
  </si>
  <si>
    <t>用具</t>
  </si>
  <si>
    <t>キャディバッグ</t>
  </si>
  <si>
    <t>CW-X</t>
  </si>
  <si>
    <t>Jリンドバーグ</t>
  </si>
  <si>
    <t>アシュワース</t>
  </si>
  <si>
    <t>カッター＆バック</t>
  </si>
  <si>
    <t>カッパ</t>
  </si>
  <si>
    <t>クリーブランド</t>
  </si>
  <si>
    <t>ゼクシオ</t>
  </si>
  <si>
    <t>タイトリスト</t>
  </si>
  <si>
    <t>ダンスウイズドラゴン</t>
  </si>
  <si>
    <t>ツアーステージ</t>
  </si>
  <si>
    <t>パラディーゾ</t>
  </si>
  <si>
    <t>ビバハート</t>
  </si>
  <si>
    <t>プロギア</t>
  </si>
  <si>
    <t>ミズノ</t>
  </si>
  <si>
    <t>アダバット</t>
  </si>
  <si>
    <t>エドウイン</t>
  </si>
  <si>
    <t>スリクソン</t>
  </si>
  <si>
    <t>フィドラ</t>
  </si>
  <si>
    <t>ブラック＆ホワイト</t>
  </si>
  <si>
    <t>ミエコウエサコ</t>
  </si>
  <si>
    <t>ヨネックス</t>
  </si>
  <si>
    <t>ライル＆スコット</t>
  </si>
  <si>
    <t>74cm未満</t>
  </si>
  <si>
    <t>74cm～</t>
  </si>
  <si>
    <t>78cm～</t>
  </si>
  <si>
    <t>80cm～</t>
  </si>
  <si>
    <t>82cm～</t>
  </si>
  <si>
    <t>84cm～</t>
  </si>
  <si>
    <t>86cm～</t>
  </si>
  <si>
    <t>88cm～</t>
  </si>
  <si>
    <t>90cm～</t>
  </si>
  <si>
    <t>94cm～</t>
  </si>
  <si>
    <t>ソックス</t>
  </si>
  <si>
    <t>ダンロップ</t>
  </si>
  <si>
    <t>ブリヂストン</t>
  </si>
  <si>
    <t>コブラ</t>
  </si>
  <si>
    <t>ダンスウィズドラゴン</t>
  </si>
  <si>
    <t>ニット帽</t>
  </si>
  <si>
    <t>ハット</t>
  </si>
  <si>
    <t>ハンチング</t>
  </si>
  <si>
    <t>レインウエア</t>
  </si>
  <si>
    <t>23区SPORT</t>
  </si>
  <si>
    <t>ヒールクリーク</t>
  </si>
  <si>
    <t>ビバガール</t>
  </si>
  <si>
    <t>7号～</t>
  </si>
  <si>
    <t>9号～</t>
  </si>
  <si>
    <t>11号～</t>
  </si>
  <si>
    <t>13号～</t>
  </si>
  <si>
    <t>グローブ</t>
  </si>
  <si>
    <t>18cm未満</t>
  </si>
  <si>
    <t>18cm</t>
  </si>
  <si>
    <t>19cm</t>
  </si>
  <si>
    <t>20cm</t>
  </si>
  <si>
    <t>21cm</t>
  </si>
  <si>
    <t>22cm</t>
  </si>
  <si>
    <t>23cm以上</t>
  </si>
  <si>
    <t>シューズ（男性用）</t>
  </si>
  <si>
    <t>24.0cm以下</t>
  </si>
  <si>
    <t>26.0cm</t>
  </si>
  <si>
    <t>26.5cm</t>
  </si>
  <si>
    <t>27.0cm</t>
  </si>
  <si>
    <t>27.5cm</t>
  </si>
  <si>
    <t>28.0cm</t>
  </si>
  <si>
    <t>28.5cm</t>
  </si>
  <si>
    <t>29.0cm以上</t>
  </si>
  <si>
    <t>シューズ（女性用）</t>
  </si>
  <si>
    <t>25.0cm以上</t>
  </si>
  <si>
    <t>メンズ腕時計</t>
  </si>
  <si>
    <t>アナログ（クォーツ式）</t>
  </si>
  <si>
    <t>2針（時、分）</t>
  </si>
  <si>
    <t>電波時計</t>
  </si>
  <si>
    <t>2針＋カレンダー</t>
  </si>
  <si>
    <t>3針（時、分、秒）</t>
  </si>
  <si>
    <t>3針＋カレンダー</t>
  </si>
  <si>
    <t>アナログ（自動巻き）</t>
  </si>
  <si>
    <t>アナログ（手巻き）</t>
  </si>
  <si>
    <t>デジタル</t>
  </si>
  <si>
    <t>レディース腕時計</t>
  </si>
  <si>
    <t>キャラクター腕時計</t>
  </si>
  <si>
    <t>真珠</t>
  </si>
  <si>
    <t>アコヤ真珠</t>
  </si>
  <si>
    <t>白蝶（しろちょう）真珠</t>
  </si>
  <si>
    <t>黒蝶（くろちょう）真珠</t>
  </si>
  <si>
    <t>淡水真珠</t>
  </si>
  <si>
    <t>カラーストーン</t>
  </si>
  <si>
    <t>アクアマリン</t>
  </si>
  <si>
    <t>アパタイト</t>
  </si>
  <si>
    <t>アメジスト</t>
  </si>
  <si>
    <t>アレキサンドライト</t>
  </si>
  <si>
    <t>アンバー、琥珀</t>
  </si>
  <si>
    <t>エメラルド</t>
  </si>
  <si>
    <t>オニキス</t>
  </si>
  <si>
    <t>オパール</t>
  </si>
  <si>
    <t>ガーネット</t>
  </si>
  <si>
    <t>キャッツアイ、猫目石</t>
  </si>
  <si>
    <t>クリスタル、水晶</t>
  </si>
  <si>
    <t>サードニクス</t>
  </si>
  <si>
    <t>サファイア</t>
  </si>
  <si>
    <t>ジルコン</t>
  </si>
  <si>
    <t>タンザナイト</t>
  </si>
  <si>
    <t>トパーズ</t>
  </si>
  <si>
    <t>トルコ石</t>
  </si>
  <si>
    <t>トルマリン</t>
  </si>
  <si>
    <t>ヒスイ</t>
  </si>
  <si>
    <t>ペリドット</t>
  </si>
  <si>
    <t>ラピスラズリ、瑠璃</t>
  </si>
  <si>
    <t>ルビー</t>
  </si>
  <si>
    <t>人工宝石、ラインストーン</t>
  </si>
  <si>
    <t>キュービックジルコニア</t>
  </si>
  <si>
    <t>イエローゴールド</t>
  </si>
  <si>
    <t>ピンクゴールド</t>
  </si>
  <si>
    <t>ホワイトゴールド</t>
  </si>
  <si>
    <t>プラチナ</t>
  </si>
  <si>
    <t>ビーズ、ガラス</t>
  </si>
  <si>
    <t>べっ甲</t>
  </si>
  <si>
    <t>コーラル、サンゴ</t>
  </si>
  <si>
    <t>磁気</t>
  </si>
  <si>
    <t>皮革</t>
  </si>
  <si>
    <t>木製</t>
  </si>
  <si>
    <t>ペンダントトップ、チャーム</t>
  </si>
  <si>
    <t>ネックレス（チェーンのみ）</t>
  </si>
  <si>
    <t>チョーカー</t>
  </si>
  <si>
    <t>ゴールド台</t>
  </si>
  <si>
    <t>イエローゴールド台</t>
  </si>
  <si>
    <t>ピンクゴールド台</t>
  </si>
  <si>
    <t>ホワイトゴールド台</t>
  </si>
  <si>
    <t>その他ゴールド台</t>
  </si>
  <si>
    <t>シルバー台</t>
  </si>
  <si>
    <t>プラチナ台</t>
  </si>
  <si>
    <t>6号未満</t>
  </si>
  <si>
    <t>6号～</t>
  </si>
  <si>
    <t>8号～</t>
  </si>
  <si>
    <t>10号～</t>
  </si>
  <si>
    <t>12号～</t>
  </si>
  <si>
    <t>14号～</t>
  </si>
  <si>
    <t>15号～</t>
  </si>
  <si>
    <t>16号～</t>
  </si>
  <si>
    <t>17号～</t>
  </si>
  <si>
    <t>18号～</t>
  </si>
  <si>
    <t>19号～</t>
  </si>
  <si>
    <t>20号～</t>
  </si>
  <si>
    <t>21号～</t>
  </si>
  <si>
    <t>22号～</t>
  </si>
  <si>
    <t>23号～</t>
  </si>
  <si>
    <t>24号～</t>
  </si>
  <si>
    <t>25号～</t>
  </si>
  <si>
    <t>ピアス</t>
  </si>
  <si>
    <t>スタッドピアス</t>
  </si>
  <si>
    <t>リングピアス</t>
  </si>
  <si>
    <t>ロングピアス</t>
  </si>
  <si>
    <t>クロスモチーフ</t>
  </si>
  <si>
    <t>スターモチーフ</t>
  </si>
  <si>
    <t>ドロップモチーフ</t>
  </si>
  <si>
    <t>ハートモチーフ</t>
  </si>
  <si>
    <t>フラワーモチーフ</t>
  </si>
  <si>
    <t>キャッチ</t>
  </si>
  <si>
    <t>シリコン</t>
  </si>
  <si>
    <t>イヤリング</t>
  </si>
  <si>
    <t>バングル</t>
  </si>
  <si>
    <t>ブレスレット</t>
  </si>
  <si>
    <t>ゲルマニウム</t>
  </si>
  <si>
    <t>アンクレット</t>
  </si>
  <si>
    <t>裸石、ルース</t>
  </si>
  <si>
    <t>シトリン</t>
  </si>
  <si>
    <t>スピネル</t>
  </si>
  <si>
    <t>ブローチ</t>
  </si>
  <si>
    <t>カメオ</t>
  </si>
  <si>
    <t>ヘアアクセサリー</t>
  </si>
  <si>
    <t>ウイッグ</t>
  </si>
  <si>
    <t>ミディアム</t>
  </si>
  <si>
    <t>ボブ</t>
  </si>
  <si>
    <t>ショート</t>
  </si>
  <si>
    <t>コーム</t>
  </si>
  <si>
    <t>ティアラ</t>
  </si>
  <si>
    <t>バレッタ</t>
  </si>
  <si>
    <t>ヘアエクステンション</t>
  </si>
  <si>
    <t>ヘアゴム、シュシュ</t>
  </si>
  <si>
    <t>ヘアバンド、カチューシャ</t>
  </si>
  <si>
    <t>ヘアピン</t>
  </si>
  <si>
    <t>コサージュ</t>
  </si>
  <si>
    <t>オレンジ</t>
  </si>
  <si>
    <t>ピンク</t>
  </si>
  <si>
    <t>黄</t>
  </si>
  <si>
    <t>黒</t>
  </si>
  <si>
    <t>紫</t>
  </si>
  <si>
    <t>青</t>
  </si>
  <si>
    <t>赤</t>
  </si>
  <si>
    <t>茶</t>
  </si>
  <si>
    <t>白</t>
  </si>
  <si>
    <t>緑</t>
  </si>
  <si>
    <t>ボディピアス</t>
  </si>
  <si>
    <t>ステンレス</t>
  </si>
  <si>
    <t>バーベル</t>
  </si>
  <si>
    <t>リング</t>
  </si>
  <si>
    <t>チタン</t>
  </si>
  <si>
    <t>樹脂</t>
  </si>
  <si>
    <t>アクセサリーケース</t>
  </si>
  <si>
    <t>収納ケース一般</t>
  </si>
  <si>
    <t>単品用</t>
  </si>
  <si>
    <t>複数用</t>
  </si>
  <si>
    <t>ギフト、プレゼント用</t>
  </si>
  <si>
    <t>ディスプレイ用</t>
  </si>
  <si>
    <t>携帯用</t>
  </si>
  <si>
    <t>メンズアクセサリー</t>
  </si>
  <si>
    <t>ペンダント</t>
  </si>
  <si>
    <t>13号未満</t>
  </si>
  <si>
    <t>キーチェーン、ウォレットチェーン</t>
  </si>
  <si>
    <t>ウォレットチェーン</t>
  </si>
  <si>
    <t>キーチェーン</t>
  </si>
  <si>
    <t>タイピン</t>
  </si>
  <si>
    <t>カフス</t>
  </si>
  <si>
    <t>バックル</t>
  </si>
  <si>
    <t>マネークリップ</t>
  </si>
  <si>
    <t xml:space="preserve">ネイビーシールダイブウォッチシリーズ </t>
    <phoneticPr fontId="37"/>
  </si>
  <si>
    <t>iPhone 7 Plus/8 Plus用</t>
    <phoneticPr fontId="4"/>
  </si>
  <si>
    <t>画像参照</t>
    <rPh sb="0" eb="2">
      <t>ガゾウ</t>
    </rPh>
    <rPh sb="2" eb="4">
      <t>サンショウ</t>
    </rPh>
    <phoneticPr fontId="4"/>
  </si>
  <si>
    <t>未開封の新品、または購入から時間がたっていない一度も使用していない商品</t>
  </si>
  <si>
    <t>未使用に近い</t>
  </si>
  <si>
    <t>中古ではあるが数回しか使用しておらず、傷や汚れがない</t>
  </si>
  <si>
    <t>目立った傷や汚れなし</t>
  </si>
  <si>
    <t>中古品。よく見ないとわからないレベルの傷や汚れがある</t>
  </si>
  <si>
    <t>やや傷や汚れあり</t>
  </si>
  <si>
    <t>中古とわかるレベルの傷や汚れがある</t>
  </si>
  <si>
    <t>傷や汚れあり</t>
  </si>
  <si>
    <t>中古品。ひとめでわかるレベルの大きな傷や汚れがある</t>
  </si>
  <si>
    <t>全体的に状態が悪い</t>
  </si>
  <si>
    <t>中古品。大きな傷や汚れや、使用に支障が出るレベルで不具合がある。ジャンク品など。</t>
  </si>
  <si>
    <t>新品</t>
    <phoneticPr fontId="4"/>
  </si>
  <si>
    <t>出品ID</t>
    <rPh sb="0" eb="2">
      <t>シュッピン</t>
    </rPh>
    <phoneticPr fontId="4"/>
  </si>
  <si>
    <t>sell_our_s0ul</t>
  </si>
  <si>
    <t>world_stock55</t>
  </si>
  <si>
    <t>happy_free31</t>
  </si>
  <si>
    <t>yellow_clothing31</t>
  </si>
  <si>
    <t>manhattan_collection666</t>
  </si>
  <si>
    <t>used_market777</t>
  </si>
  <si>
    <t>beautifui_opportunity321</t>
  </si>
  <si>
    <t>brand_loyalty654</t>
  </si>
  <si>
    <t>fashion_base987</t>
  </si>
  <si>
    <t>rainbow_creation871</t>
  </si>
  <si>
    <t>usedstock1019</t>
  </si>
  <si>
    <t>kurieita_rabo</t>
  </si>
  <si>
    <t>final_closing96</t>
  </si>
  <si>
    <t>earnest_base</t>
  </si>
  <si>
    <t>ritzy_market</t>
  </si>
  <si>
    <t>avant_garde111</t>
  </si>
  <si>
    <t>happinessreu</t>
  </si>
  <si>
    <t>play_market1</t>
  </si>
  <si>
    <t>mono_apparels</t>
  </si>
  <si>
    <t>buffaloes_lab</t>
  </si>
  <si>
    <t>smile_creator1</t>
  </si>
  <si>
    <t>tokyo_clothing_market0</t>
  </si>
  <si>
    <t>shiny_dress1</t>
  </si>
  <si>
    <t>make_sense2</t>
  </si>
  <si>
    <t>lily_motion113</t>
  </si>
  <si>
    <t>strong_veltro</t>
  </si>
  <si>
    <t>dresscode_03</t>
  </si>
  <si>
    <t>utility_closet</t>
  </si>
  <si>
    <t>zillion_100</t>
  </si>
  <si>
    <t>hungry_hanger</t>
  </si>
  <si>
    <t>old_clothes_town</t>
  </si>
  <si>
    <t>cloud_field333</t>
  </si>
  <si>
    <t>freedom_modeerf7</t>
  </si>
  <si>
    <t>ecoism2</t>
  </si>
  <si>
    <t>joint_apparel</t>
  </si>
  <si>
    <t>base_0479</t>
  </si>
  <si>
    <t>closet_active</t>
  </si>
  <si>
    <t>arizona_sunshine1</t>
  </si>
  <si>
    <t>glossy_mode</t>
  </si>
  <si>
    <t>creators_store</t>
  </si>
  <si>
    <t>deep_impact_plus</t>
  </si>
  <si>
    <t>Infinity_star777</t>
  </si>
  <si>
    <t>candy_doll9</t>
  </si>
  <si>
    <t>better_days4</t>
  </si>
  <si>
    <t>furugi_matome_hanbai</t>
  </si>
  <si>
    <t>cheer_up666</t>
  </si>
  <si>
    <t>collection_gallery1</t>
  </si>
  <si>
    <t>future_all8</t>
  </si>
  <si>
    <t>big_achievement88</t>
  </si>
  <si>
    <t>apparel_propeller123</t>
  </si>
  <si>
    <t>cherry_bob31</t>
  </si>
  <si>
    <t>fine_addict</t>
  </si>
  <si>
    <t>algorithm_store</t>
  </si>
  <si>
    <t>challenge_myseif</t>
  </si>
  <si>
    <t>※IDの入力</t>
    <rPh sb="4" eb="6">
      <t>ニュウリョク</t>
    </rPh>
    <phoneticPr fontId="4"/>
  </si>
  <si>
    <t>http://74553bd302f56e65.lolipop.jp/yahoo/newchyyuijikou3.png</t>
    <phoneticPr fontId="4"/>
  </si>
  <si>
    <t>precious_jewel555</t>
    <phoneticPr fontId="4"/>
  </si>
  <si>
    <t>life_activities</t>
    <phoneticPr fontId="4"/>
  </si>
  <si>
    <t>fukuwa_2981</t>
    <phoneticPr fontId="4"/>
  </si>
  <si>
    <t>bubble_expectation</t>
    <phoneticPr fontId="4"/>
  </si>
  <si>
    <t>pearl_blanc77</t>
    <phoneticPr fontId="4"/>
  </si>
  <si>
    <t>style_outfit</t>
    <phoneticPr fontId="4"/>
  </si>
  <si>
    <t>chic_store88</t>
    <phoneticPr fontId="4"/>
  </si>
  <si>
    <t>trendy_design5</t>
    <phoneticPr fontId="4"/>
  </si>
  <si>
    <t>shell_natural</t>
    <phoneticPr fontId="4"/>
  </si>
  <si>
    <t>leaf_basic</t>
    <phoneticPr fontId="4"/>
  </si>
  <si>
    <t>mission_next555</t>
    <phoneticPr fontId="4"/>
  </si>
  <si>
    <t>crystal_stone55</t>
    <phoneticPr fontId="4"/>
  </si>
  <si>
    <t>vintage_snap</t>
    <phoneticPr fontId="4"/>
  </si>
  <si>
    <t>classy_clothes999</t>
    <phoneticPr fontId="4"/>
  </si>
  <si>
    <t>hope1_again</t>
    <phoneticPr fontId="4"/>
  </si>
  <si>
    <t>*</t>
  </si>
  <si>
    <t>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t>
    <rPh sb="25" eb="27">
      <t>ショウヒン</t>
    </rPh>
    <rPh sb="27" eb="29">
      <t>ジョウタイ</t>
    </rPh>
    <phoneticPr fontId="4"/>
  </si>
  <si>
    <t>梱包サイズは大サイズになります。</t>
    <rPh sb="0" eb="16">
      <t>ダイ</t>
    </rPh>
    <phoneticPr fontId="4"/>
  </si>
  <si>
    <t>00</t>
    <phoneticPr fontId="4"/>
  </si>
  <si>
    <t>下限</t>
    <rPh sb="0" eb="2">
      <t>カゲン</t>
    </rPh>
    <phoneticPr fontId="4"/>
  </si>
  <si>
    <t>上限</t>
    <rPh sb="0" eb="2">
      <t>ジョウゲン</t>
    </rPh>
    <phoneticPr fontId="4"/>
  </si>
  <si>
    <t>倍率</t>
    <rPh sb="0" eb="2">
      <t>バイリツ</t>
    </rPh>
    <phoneticPr fontId="4"/>
  </si>
  <si>
    <t>～</t>
    <phoneticPr fontId="4"/>
  </si>
  <si>
    <t>ランク</t>
    <phoneticPr fontId="4"/>
  </si>
  <si>
    <t>画像参照</t>
    <rPh sb="0" eb="2">
      <t>ガゾウ</t>
    </rPh>
    <rPh sb="2" eb="4">
      <t>サンショウ</t>
    </rPh>
    <phoneticPr fontId="4"/>
  </si>
  <si>
    <t>レディース</t>
    <phoneticPr fontId="4"/>
  </si>
  <si>
    <t>レディース</t>
    <phoneticPr fontId="4"/>
  </si>
  <si>
    <t>ベースS</t>
    <phoneticPr fontId="4"/>
  </si>
  <si>
    <t>採寸1</t>
    <rPh sb="0" eb="2">
      <t>サイスン</t>
    </rPh>
    <phoneticPr fontId="4"/>
  </si>
  <si>
    <t>採寸2</t>
    <rPh sb="0" eb="2">
      <t>サイスン</t>
    </rPh>
    <phoneticPr fontId="4"/>
  </si>
  <si>
    <t>採寸2</t>
    <rPh sb="0" eb="2">
      <t>サイスン</t>
    </rPh>
    <phoneticPr fontId="4"/>
  </si>
  <si>
    <t>仕立2</t>
    <rPh sb="0" eb="2">
      <t>シタテ</t>
    </rPh>
    <phoneticPr fontId="4"/>
  </si>
  <si>
    <t>採寸2</t>
    <rPh sb="0" eb="2">
      <t>サイスン</t>
    </rPh>
    <phoneticPr fontId="4"/>
  </si>
  <si>
    <t>タイトル括弧用1</t>
    <rPh sb="4" eb="6">
      <t>カッコ</t>
    </rPh>
    <rPh sb="6" eb="7">
      <t>ヨウ</t>
    </rPh>
    <phoneticPr fontId="4"/>
  </si>
  <si>
    <t>《</t>
  </si>
  <si>
    <t>》</t>
  </si>
  <si>
    <t>タイトル括弧用2</t>
    <phoneticPr fontId="4"/>
  </si>
  <si>
    <t>サイズ</t>
    <phoneticPr fontId="4"/>
  </si>
  <si>
    <t>無</t>
    <rPh sb="0" eb="1">
      <t>ナシ</t>
    </rPh>
    <phoneticPr fontId="4"/>
  </si>
  <si>
    <t>ブランド</t>
    <phoneticPr fontId="4"/>
  </si>
  <si>
    <t>スカート</t>
    <phoneticPr fontId="4"/>
  </si>
  <si>
    <t>ワンピース</t>
    <phoneticPr fontId="4"/>
  </si>
  <si>
    <t>【ジャケット】サイズ：　　着丈： cm　肩幅： cm　身幅： cm　袖丈： cm【スカート】サイズ：　　着丈： cm　ウエスト： cm　ヒップ： cm</t>
  </si>
  <si>
    <t>【ジャケット】サイズ：　　着丈： cm　肩幅： cm　身幅： cm　袖丈： cm【スカート】サイズ：　　着丈： cm　ウエスト： cm　ヒップ： cm</t>
    <phoneticPr fontId="4"/>
  </si>
  <si>
    <t>【ジャケット】サイズ：　　着丈： cm　肩幅： cm　身幅： cm　袖丈： cm【パンツ】サイズ：　　股上： cm　股下： cm　ウエスト： cm　もも幅： cm　裾幅： cm</t>
  </si>
  <si>
    <t>【ジャケット】サイズ：　　着丈： cm　肩幅： cm　身幅： cm　袖丈： cm【パンツ】サイズ：　　股上： cm　股下： cm　ウエスト： cm　もも幅： cm　裾幅： cm</t>
    <phoneticPr fontId="4"/>
  </si>
  <si>
    <t>採寸2</t>
    <phoneticPr fontId="4"/>
  </si>
  <si>
    <t>EX-Factors記号</t>
    <rPh sb="10" eb="12">
      <t>キゴウ</t>
    </rPh>
    <phoneticPr fontId="4"/>
  </si>
  <si>
    <t>Player記号</t>
    <rPh sb="6" eb="8">
      <t>キゴウ</t>
    </rPh>
    <phoneticPr fontId="4"/>
  </si>
  <si>
    <t>◇</t>
  </si>
  <si>
    <t>梱包サイズは大サイズになります。</t>
  </si>
  <si>
    <t>■</t>
  </si>
  <si>
    <t>梱包サイズは特大サイズになります。</t>
    <rPh sb="6" eb="8">
      <t>トクダイ</t>
    </rPh>
    <phoneticPr fontId="4"/>
  </si>
  <si>
    <t>□</t>
  </si>
  <si>
    <t>梱包サイズは特大×2サイズになります。</t>
  </si>
  <si>
    <t>▲</t>
  </si>
  <si>
    <t>梱包サイズは特大×3サイズになります。</t>
  </si>
  <si>
    <t>△</t>
  </si>
  <si>
    <t>P</t>
    <phoneticPr fontId="4"/>
  </si>
  <si>
    <t>E</t>
    <phoneticPr fontId="4"/>
  </si>
  <si>
    <t>梱包記号</t>
  </si>
  <si>
    <t>梱包記号</t>
    <rPh sb="0" eb="2">
      <t>コンポウ</t>
    </rPh>
    <rPh sb="2" eb="4">
      <t>キゴウ</t>
    </rPh>
    <phoneticPr fontId="4"/>
  </si>
  <si>
    <t xml:space="preserve"> </t>
    <phoneticPr fontId="4"/>
  </si>
  <si>
    <t>サイズM</t>
    <phoneticPr fontId="4"/>
  </si>
  <si>
    <t>長袖</t>
    <rPh sb="0" eb="2">
      <t>ナガソデ</t>
    </rPh>
    <phoneticPr fontId="4"/>
  </si>
  <si>
    <t>ベースW/9</t>
    <phoneticPr fontId="4"/>
  </si>
  <si>
    <t>新品タグ。替えボタン</t>
    <rPh sb="0" eb="2">
      <t>シンピン</t>
    </rPh>
    <rPh sb="5" eb="6">
      <t>カ</t>
    </rPh>
    <phoneticPr fontId="4"/>
  </si>
  <si>
    <t>ホワイト</t>
    <phoneticPr fontId="4"/>
  </si>
  <si>
    <t>サイズONE</t>
    <phoneticPr fontId="4"/>
  </si>
  <si>
    <t>KBF</t>
    <phoneticPr fontId="4"/>
  </si>
  <si>
    <t>◎</t>
    <phoneticPr fontId="4"/>
  </si>
  <si>
    <t>ウエストゴム、２タッグ</t>
    <phoneticPr fontId="4"/>
  </si>
  <si>
    <t>コーデュロイパンツ</t>
    <phoneticPr fontId="4"/>
  </si>
  <si>
    <t>2084224590</t>
  </si>
  <si>
    <t>ブラック</t>
    <phoneticPr fontId="4"/>
  </si>
  <si>
    <t>2084064209</t>
  </si>
  <si>
    <t>サイズ38</t>
    <phoneticPr fontId="4"/>
  </si>
  <si>
    <t>2084064247</t>
  </si>
  <si>
    <t>ニット</t>
    <phoneticPr fontId="4"/>
  </si>
  <si>
    <t>イエロー</t>
    <phoneticPr fontId="4"/>
  </si>
  <si>
    <t>表記なし</t>
    <rPh sb="0" eb="2">
      <t>ヒョウキ</t>
    </rPh>
    <phoneticPr fontId="4"/>
  </si>
  <si>
    <t>merlot メルロー</t>
    <phoneticPr fontId="4"/>
  </si>
  <si>
    <t>カーディガン</t>
    <phoneticPr fontId="4"/>
  </si>
  <si>
    <t>ホワイト/マルチ</t>
    <phoneticPr fontId="4"/>
  </si>
  <si>
    <t>イラストプリント</t>
    <phoneticPr fontId="4"/>
  </si>
  <si>
    <t>半袖</t>
    <rPh sb="0" eb="2">
      <t>ハンソデ</t>
    </rPh>
    <phoneticPr fontId="4"/>
  </si>
  <si>
    <t>ロング</t>
    <phoneticPr fontId="4"/>
  </si>
  <si>
    <t>2084224585</t>
  </si>
  <si>
    <t>サイズF</t>
    <phoneticPr fontId="4"/>
  </si>
  <si>
    <t>Heather ヘザー</t>
    <phoneticPr fontId="4"/>
  </si>
  <si>
    <t>七分袖</t>
    <rPh sb="0" eb="3">
      <t>シチブソデ</t>
    </rPh>
    <phoneticPr fontId="4"/>
  </si>
  <si>
    <t>ブラウス</t>
    <phoneticPr fontId="4"/>
  </si>
  <si>
    <t>2084064242</t>
  </si>
  <si>
    <t>マルチ</t>
    <phoneticPr fontId="4"/>
  </si>
  <si>
    <t>新品タグあり</t>
    <rPh sb="0" eb="2">
      <t>シンピン</t>
    </rPh>
    <phoneticPr fontId="4"/>
  </si>
  <si>
    <t>カーキ</t>
    <phoneticPr fontId="4"/>
  </si>
  <si>
    <t>サイズXS</t>
    <phoneticPr fontId="4"/>
  </si>
  <si>
    <t>3/2WORKS サンニーワークス</t>
    <phoneticPr fontId="4"/>
  </si>
  <si>
    <t>フロントファスナー</t>
    <phoneticPr fontId="4"/>
  </si>
  <si>
    <t>フロントファスナー。バックパッチ</t>
    <phoneticPr fontId="4"/>
  </si>
  <si>
    <t>ストレートパンツ</t>
    <phoneticPr fontId="4"/>
  </si>
  <si>
    <t>2084224588</t>
  </si>
  <si>
    <t>ベースM/9</t>
    <phoneticPr fontId="4"/>
  </si>
  <si>
    <t>who's who Chico フーズフーチコ</t>
    <phoneticPr fontId="4"/>
  </si>
  <si>
    <t>シアー素材。フリル</t>
    <rPh sb="3" eb="5">
      <t>ソザイ</t>
    </rPh>
    <phoneticPr fontId="4"/>
  </si>
  <si>
    <t>2084005208</t>
  </si>
  <si>
    <t>カットソー</t>
    <phoneticPr fontId="4"/>
  </si>
  <si>
    <t>ベージュ</t>
    <phoneticPr fontId="4"/>
  </si>
  <si>
    <t>カーゴパンツ</t>
    <phoneticPr fontId="4"/>
  </si>
  <si>
    <t>ARULE アルール</t>
    <phoneticPr fontId="4"/>
  </si>
  <si>
    <t>ポケットあり、ウエストゴム</t>
    <phoneticPr fontId="4"/>
  </si>
  <si>
    <t>サイズS</t>
    <phoneticPr fontId="4"/>
  </si>
  <si>
    <t>fifth フィフス</t>
    <phoneticPr fontId="4"/>
  </si>
  <si>
    <t>フロントボタン。ウエスト絞り</t>
    <rPh sb="12" eb="13">
      <t>シボ</t>
    </rPh>
    <phoneticPr fontId="4"/>
  </si>
  <si>
    <t>セットアップ</t>
    <phoneticPr fontId="4"/>
  </si>
  <si>
    <t>23316</t>
  </si>
  <si>
    <t>中２</t>
    <rPh sb="0" eb="1">
      <t>チュウ</t>
    </rPh>
    <phoneticPr fontId="4"/>
  </si>
  <si>
    <t>小１</t>
    <rPh sb="0" eb="1">
      <t>ショウ</t>
    </rPh>
    <phoneticPr fontId="4"/>
  </si>
  <si>
    <t>レザー系</t>
    <rPh sb="3" eb="4">
      <t>ケイ</t>
    </rPh>
    <phoneticPr fontId="4"/>
  </si>
  <si>
    <t>ピンクベージュ</t>
    <phoneticPr fontId="4"/>
  </si>
  <si>
    <t>調節可能</t>
    <rPh sb="0" eb="4">
      <t>チョウセツカノウ</t>
    </rPh>
    <phoneticPr fontId="4"/>
  </si>
  <si>
    <t>ROVERETO ロベレート</t>
    <phoneticPr fontId="4"/>
  </si>
  <si>
    <t>ダブルファスナー</t>
    <phoneticPr fontId="4"/>
  </si>
  <si>
    <t>ショルダーバック</t>
    <phoneticPr fontId="4"/>
  </si>
  <si>
    <t>ベースB/9</t>
    <phoneticPr fontId="4"/>
  </si>
  <si>
    <t>2084051001</t>
  </si>
  <si>
    <t>サイズ36</t>
    <phoneticPr fontId="4"/>
  </si>
  <si>
    <t>自由区</t>
    <rPh sb="0" eb="3">
      <t>ジユウク</t>
    </rPh>
    <phoneticPr fontId="4"/>
  </si>
  <si>
    <t>ウエストゴム</t>
    <phoneticPr fontId="4"/>
  </si>
  <si>
    <t>無&lt;br&gt;中敷き汚れあり</t>
    <rPh sb="0" eb="1">
      <t>ム</t>
    </rPh>
    <rPh sb="5" eb="7">
      <t>ナカジ</t>
    </rPh>
    <rPh sb="8" eb="9">
      <t>ヨゴ</t>
    </rPh>
    <phoneticPr fontId="4"/>
  </si>
  <si>
    <t>エナメル系</t>
    <rPh sb="4" eb="5">
      <t>ケイ</t>
    </rPh>
    <phoneticPr fontId="4"/>
  </si>
  <si>
    <t>ゴム系</t>
    <rPh sb="2" eb="3">
      <t>ケイ</t>
    </rPh>
    <phoneticPr fontId="4"/>
  </si>
  <si>
    <t>ブラウン</t>
    <phoneticPr fontId="4"/>
  </si>
  <si>
    <t>サイズ24</t>
    <phoneticPr fontId="4"/>
  </si>
  <si>
    <t>PARADIS COULEUR パラディクルール</t>
    <phoneticPr fontId="4"/>
  </si>
  <si>
    <t>花ビジュー</t>
    <rPh sb="0" eb="1">
      <t>ハナ</t>
    </rPh>
    <phoneticPr fontId="4"/>
  </si>
  <si>
    <t>パンプス</t>
    <phoneticPr fontId="4"/>
  </si>
  <si>
    <t>ベースS/9</t>
    <phoneticPr fontId="4"/>
  </si>
  <si>
    <t>2084237722</t>
  </si>
  <si>
    <t>apres jour アプレジュール</t>
    <phoneticPr fontId="4"/>
  </si>
  <si>
    <t>フロント刺繍、プリント</t>
    <rPh sb="4" eb="6">
      <t>シシュウ</t>
    </rPh>
    <phoneticPr fontId="4"/>
  </si>
  <si>
    <t>Tシャツ</t>
    <phoneticPr fontId="4"/>
  </si>
  <si>
    <t>2084051318</t>
  </si>
  <si>
    <t>パンツ</t>
    <phoneticPr fontId="4"/>
  </si>
  <si>
    <t>SOYOUS ソユーズ</t>
    <phoneticPr fontId="4"/>
  </si>
  <si>
    <t>タータンチェック</t>
    <phoneticPr fontId="4"/>
  </si>
  <si>
    <t>mezzo piano メゾピアノピアノ</t>
  </si>
  <si>
    <t>サンバイザー、キャスケット</t>
    <phoneticPr fontId="4"/>
  </si>
  <si>
    <t>キッズ</t>
    <phoneticPr fontId="4"/>
  </si>
  <si>
    <t>総柄、ワッペンあり</t>
    <rPh sb="0" eb="2">
      <t>ソウガラ</t>
    </rPh>
    <phoneticPr fontId="4"/>
  </si>
  <si>
    <t>2084006429</t>
  </si>
  <si>
    <t>無&lt;br&gt;ウエスト部分くすみあり</t>
    <rPh sb="0" eb="1">
      <t>ナ</t>
    </rPh>
    <rPh sb="9" eb="11">
      <t>ブブン</t>
    </rPh>
    <phoneticPr fontId="4"/>
  </si>
  <si>
    <t>ピンク</t>
    <phoneticPr fontId="4"/>
  </si>
  <si>
    <t>23区</t>
    <rPh sb="2" eb="3">
      <t>ク</t>
    </rPh>
    <phoneticPr fontId="4"/>
  </si>
  <si>
    <t>グリーン/ブルー</t>
    <phoneticPr fontId="4"/>
  </si>
  <si>
    <t>タータンチェック、ウエストゴム</t>
    <phoneticPr fontId="4"/>
  </si>
  <si>
    <t>サイズXL</t>
    <phoneticPr fontId="4"/>
  </si>
  <si>
    <t>coen コーエン</t>
    <phoneticPr fontId="4"/>
  </si>
  <si>
    <t>2084224592</t>
    <phoneticPr fontId="4"/>
  </si>
  <si>
    <t xml:space="preserve"> apart by lowrys アパートバイローリーズ</t>
    <phoneticPr fontId="4"/>
  </si>
  <si>
    <t>プリーツ２段重ね</t>
    <rPh sb="5" eb="7">
      <t>ダンガサ</t>
    </rPh>
    <phoneticPr fontId="4"/>
  </si>
  <si>
    <t>ティアード</t>
    <phoneticPr fontId="4"/>
  </si>
  <si>
    <t>2084007175</t>
  </si>
  <si>
    <t>無&lt;br&gt;ソール汚れあり</t>
    <rPh sb="0" eb="1">
      <t>ム</t>
    </rPh>
    <rPh sb="8" eb="9">
      <t>ヨゴ</t>
    </rPh>
    <phoneticPr fontId="4"/>
  </si>
  <si>
    <t>スエード生地</t>
    <rPh sb="4" eb="6">
      <t>キジ</t>
    </rPh>
    <phoneticPr fontId="4"/>
  </si>
  <si>
    <t>サイズ37</t>
    <phoneticPr fontId="4"/>
  </si>
  <si>
    <t>KMB</t>
    <phoneticPr fontId="4"/>
  </si>
  <si>
    <t>マジックテープ。ローファー風</t>
    <rPh sb="13" eb="14">
      <t>フウ</t>
    </rPh>
    <phoneticPr fontId="4"/>
  </si>
  <si>
    <t>2084237700</t>
  </si>
  <si>
    <t>ブルー</t>
    <phoneticPr fontId="4"/>
  </si>
  <si>
    <t>titty&amp;Co ティティー&amp;コーティアンド</t>
    <phoneticPr fontId="4"/>
  </si>
  <si>
    <t>ビブカラー。パール付き</t>
    <rPh sb="9" eb="10">
      <t>ツ</t>
    </rPh>
    <phoneticPr fontId="4"/>
  </si>
  <si>
    <t>BEAMS ビームス</t>
    <phoneticPr fontId="4"/>
  </si>
  <si>
    <t>ギャザー、サイドファスナー</t>
    <phoneticPr fontId="4"/>
  </si>
  <si>
    <t>ハーフパンツ</t>
    <phoneticPr fontId="4"/>
  </si>
  <si>
    <t>ライトブルー</t>
    <phoneticPr fontId="4"/>
  </si>
  <si>
    <t>rienda リエンダ</t>
    <phoneticPr fontId="4"/>
  </si>
  <si>
    <t>花柄。襟リボン</t>
    <rPh sb="0" eb="2">
      <t>ハナガラ</t>
    </rPh>
    <rPh sb="3" eb="4">
      <t>エリ</t>
    </rPh>
    <phoneticPr fontId="4"/>
  </si>
  <si>
    <t>2084224584</t>
  </si>
  <si>
    <t>パープル</t>
    <phoneticPr fontId="4"/>
  </si>
  <si>
    <t>サイズ40</t>
    <phoneticPr fontId="4"/>
  </si>
  <si>
    <t>ROPE PICNIC ロペピクニックピクニック</t>
    <phoneticPr fontId="4"/>
  </si>
  <si>
    <t>ローファー風。金具あり</t>
    <rPh sb="5" eb="6">
      <t>フウ</t>
    </rPh>
    <rPh sb="7" eb="9">
      <t>カナグ</t>
    </rPh>
    <phoneticPr fontId="4"/>
  </si>
  <si>
    <t>2084237742</t>
  </si>
  <si>
    <t>RANDA ランダ</t>
    <phoneticPr fontId="4"/>
  </si>
  <si>
    <t>サンダル</t>
    <phoneticPr fontId="4"/>
  </si>
  <si>
    <t>リボンあり。オープントゥ</t>
    <phoneticPr fontId="4"/>
  </si>
  <si>
    <t>2084007840</t>
  </si>
  <si>
    <t>ネイビー</t>
    <phoneticPr fontId="4"/>
  </si>
  <si>
    <t>HUNTISM ハンティズム</t>
    <phoneticPr fontId="4"/>
  </si>
  <si>
    <t>ナイロン素材</t>
    <rPh sb="4" eb="6">
      <t>ソザイ</t>
    </rPh>
    <phoneticPr fontId="4"/>
  </si>
  <si>
    <t>キャップ</t>
    <phoneticPr fontId="4"/>
  </si>
  <si>
    <t>レディースメンズ</t>
    <phoneticPr fontId="4"/>
  </si>
  <si>
    <t>2084006691</t>
  </si>
  <si>
    <t>デニム。ストレッチ素材</t>
    <rPh sb="9" eb="11">
      <t>ソザイ</t>
    </rPh>
    <phoneticPr fontId="4"/>
  </si>
  <si>
    <t>オーバーオール</t>
    <phoneticPr fontId="4"/>
  </si>
  <si>
    <t>2084047537</t>
  </si>
  <si>
    <t>サイズ30</t>
    <phoneticPr fontId="4"/>
  </si>
  <si>
    <t>Levi's リーバイス</t>
    <phoneticPr fontId="4"/>
  </si>
  <si>
    <t>フロントボタン</t>
    <phoneticPr fontId="4"/>
  </si>
  <si>
    <t>デニムパンツ</t>
    <phoneticPr fontId="4"/>
  </si>
  <si>
    <t>2084050501</t>
  </si>
  <si>
    <t>新品タグ、替えボタン１つ</t>
    <rPh sb="0" eb="2">
      <t>シンピン</t>
    </rPh>
    <rPh sb="5" eb="6">
      <t>カ</t>
    </rPh>
    <phoneticPr fontId="4"/>
  </si>
  <si>
    <t>サイズL</t>
    <phoneticPr fontId="4"/>
  </si>
  <si>
    <t>ウエスト１部ゴム。バックスリット</t>
    <rPh sb="5" eb="6">
      <t>ブ</t>
    </rPh>
    <phoneticPr fontId="4"/>
  </si>
  <si>
    <t>タイト</t>
    <phoneticPr fontId="4"/>
  </si>
  <si>
    <t>2084222294</t>
  </si>
  <si>
    <t>LOWRYS FARM</t>
    <phoneticPr fontId="4"/>
  </si>
  <si>
    <t>グリーン</t>
    <phoneticPr fontId="4"/>
  </si>
  <si>
    <t>La-gemme ラジェム</t>
    <phoneticPr fontId="4"/>
  </si>
  <si>
    <t>プルオーバー。スウェット素材</t>
    <rPh sb="12" eb="14">
      <t>ソザイ</t>
    </rPh>
    <phoneticPr fontId="4"/>
  </si>
  <si>
    <t>ROPE PICNIC ロペピクニック</t>
    <phoneticPr fontId="4"/>
  </si>
  <si>
    <t>2084064266</t>
  </si>
  <si>
    <t>ホワイト/ネイビー</t>
    <phoneticPr fontId="4"/>
  </si>
  <si>
    <t>ボーダー、ポケット２つ</t>
    <phoneticPr fontId="4"/>
  </si>
  <si>
    <t>GLOBAL WORK</t>
    <phoneticPr fontId="4"/>
  </si>
  <si>
    <t>ワイドパンツ</t>
    <phoneticPr fontId="4"/>
  </si>
  <si>
    <t>無&lt;br&gt;膝部分シミあり</t>
    <rPh sb="0" eb="1">
      <t>ナ</t>
    </rPh>
    <rPh sb="5" eb="6">
      <t>ヒザ</t>
    </rPh>
    <rPh sb="6" eb="8">
      <t>ブブン</t>
    </rPh>
    <phoneticPr fontId="4"/>
  </si>
  <si>
    <t>UNITED ARROWS ユナイテッドアローズ</t>
    <phoneticPr fontId="4"/>
  </si>
  <si>
    <t>ストレッチ素材</t>
    <rPh sb="5" eb="7">
      <t>ソザイ</t>
    </rPh>
    <phoneticPr fontId="4"/>
  </si>
  <si>
    <t>2084057506</t>
  </si>
  <si>
    <t>Vネック、後ろフェイクポケット</t>
    <rPh sb="5" eb="6">
      <t>ウシ</t>
    </rPh>
    <phoneticPr fontId="4"/>
  </si>
  <si>
    <t>each イーチ</t>
    <phoneticPr fontId="4"/>
  </si>
  <si>
    <t>Techichi テチチ</t>
    <phoneticPr fontId="4"/>
  </si>
  <si>
    <t>フレア</t>
    <phoneticPr fontId="4"/>
  </si>
  <si>
    <t>ウエストゴム、サイドファスナー。総柄</t>
    <rPh sb="16" eb="18">
      <t>ソウガラ</t>
    </rPh>
    <phoneticPr fontId="4"/>
  </si>
  <si>
    <t>クルーネック、裾リブ</t>
    <rPh sb="7" eb="8">
      <t>スソ</t>
    </rPh>
    <phoneticPr fontId="4"/>
  </si>
  <si>
    <t>furryrate ファーリーレート</t>
    <phoneticPr fontId="4"/>
  </si>
  <si>
    <t>w closet ダブルクローゼット</t>
    <phoneticPr fontId="4"/>
  </si>
  <si>
    <t>ウエストフリンジ</t>
    <phoneticPr fontId="4"/>
  </si>
  <si>
    <t>2084057502</t>
  </si>
  <si>
    <t>ウエストゴム。肩紐調節可能</t>
    <rPh sb="7" eb="8">
      <t>カタ</t>
    </rPh>
    <rPh sb="8" eb="9">
      <t>ヒモ</t>
    </rPh>
    <rPh sb="9" eb="11">
      <t>チョウセツ</t>
    </rPh>
    <rPh sb="11" eb="13">
      <t>カノウ</t>
    </rPh>
    <phoneticPr fontId="4"/>
  </si>
  <si>
    <t>miette. ミエット</t>
    <phoneticPr fontId="4"/>
  </si>
  <si>
    <t>大１</t>
    <rPh sb="0" eb="2">
      <t>ダイ</t>
    </rPh>
    <phoneticPr fontId="4"/>
  </si>
  <si>
    <t>2way</t>
    <phoneticPr fontId="4"/>
  </si>
  <si>
    <t>ブラウン/ベージュ</t>
    <phoneticPr fontId="4"/>
  </si>
  <si>
    <t>サイズ17</t>
    <phoneticPr fontId="4"/>
  </si>
  <si>
    <t>lee</t>
    <phoneticPr fontId="4"/>
  </si>
  <si>
    <t>ストラップ調節可能</t>
    <rPh sb="5" eb="9">
      <t>チョウセツカノウ</t>
    </rPh>
    <phoneticPr fontId="4"/>
  </si>
  <si>
    <t>2084053915</t>
  </si>
  <si>
    <t>ボーダー</t>
    <phoneticPr fontId="4"/>
  </si>
  <si>
    <t>RAY CASSIN レイカズン</t>
    <phoneticPr fontId="4"/>
  </si>
  <si>
    <t>リブニット</t>
    <phoneticPr fontId="4"/>
  </si>
  <si>
    <t>Quelle Chance ケルシャンス</t>
    <phoneticPr fontId="4"/>
  </si>
  <si>
    <t>花柄。ウエストゴム</t>
    <rPh sb="0" eb="2">
      <t>ハナガラ</t>
    </rPh>
    <phoneticPr fontId="4"/>
  </si>
  <si>
    <t>ショルダーあり</t>
    <phoneticPr fontId="4"/>
  </si>
  <si>
    <t>調節不可</t>
    <rPh sb="0" eb="4">
      <t>チョウセツフカ</t>
    </rPh>
    <phoneticPr fontId="4"/>
  </si>
  <si>
    <t>無&lt;br&gt;内側毛玉あり</t>
    <rPh sb="0" eb="1">
      <t>ナ</t>
    </rPh>
    <rPh sb="5" eb="9">
      <t>ウチガワケダマ</t>
    </rPh>
    <phoneticPr fontId="4"/>
  </si>
  <si>
    <t>無&lt;br&gt;首元毛玉</t>
    <rPh sb="0" eb="1">
      <t>ナ</t>
    </rPh>
    <rPh sb="5" eb="9">
      <t>クビモトケダマ</t>
    </rPh>
    <phoneticPr fontId="4"/>
  </si>
  <si>
    <t>N WITH.</t>
    <phoneticPr fontId="4"/>
  </si>
  <si>
    <t>デニム。肩ひもは調節可能です</t>
    <rPh sb="4" eb="5">
      <t>カタ</t>
    </rPh>
    <rPh sb="8" eb="10">
      <t>チョウセツ</t>
    </rPh>
    <rPh sb="10" eb="12">
      <t>カノウ</t>
    </rPh>
    <phoneticPr fontId="4"/>
  </si>
  <si>
    <t>ブラック/ブラウン</t>
    <phoneticPr fontId="4"/>
  </si>
  <si>
    <t>サイズ58</t>
    <phoneticPr fontId="4"/>
  </si>
  <si>
    <t>LACOSTE ラコステ</t>
    <phoneticPr fontId="4"/>
  </si>
  <si>
    <t>つばスウェード、ワッペンあり</t>
    <phoneticPr fontId="4"/>
  </si>
  <si>
    <t xml:space="preserve">キャップ </t>
    <phoneticPr fontId="4"/>
  </si>
  <si>
    <t>2084006685</t>
  </si>
  <si>
    <t>無&lt;br&gt;内側黄ばみ</t>
    <rPh sb="0" eb="1">
      <t>ム</t>
    </rPh>
    <rPh sb="5" eb="7">
      <t>ウチガワ</t>
    </rPh>
    <rPh sb="7" eb="8">
      <t>キ</t>
    </rPh>
    <phoneticPr fontId="4"/>
  </si>
  <si>
    <t>GDC</t>
    <phoneticPr fontId="4"/>
  </si>
  <si>
    <t>つば裏側カモフラージュ柄、左側ワンポイント刺繍あり</t>
    <rPh sb="2" eb="4">
      <t>ウラガワ</t>
    </rPh>
    <rPh sb="11" eb="12">
      <t>ガラ</t>
    </rPh>
    <rPh sb="13" eb="15">
      <t>ヒダリガワ</t>
    </rPh>
    <rPh sb="21" eb="23">
      <t>シシュウ</t>
    </rPh>
    <phoneticPr fontId="4"/>
  </si>
  <si>
    <t>無&lt;br&gt;穴あり</t>
    <rPh sb="0" eb="1">
      <t>ム</t>
    </rPh>
    <rPh sb="5" eb="6">
      <t>アナ</t>
    </rPh>
    <phoneticPr fontId="4"/>
  </si>
  <si>
    <t>布系</t>
    <rPh sb="0" eb="2">
      <t>ヌノケイ</t>
    </rPh>
    <phoneticPr fontId="4"/>
  </si>
  <si>
    <t>カモフラージュ柄</t>
    <rPh sb="7" eb="8">
      <t>ガラ</t>
    </rPh>
    <phoneticPr fontId="4"/>
  </si>
  <si>
    <t>トートバック</t>
    <phoneticPr fontId="4"/>
  </si>
  <si>
    <t>PAMM パム</t>
    <phoneticPr fontId="4"/>
  </si>
  <si>
    <t>2084050990</t>
  </si>
  <si>
    <t>PIVOT DOOR ピボットドアー</t>
    <phoneticPr fontId="4"/>
  </si>
  <si>
    <t>胸ロゴ、裾袖絞りあり</t>
    <rPh sb="0" eb="1">
      <t>ムネ</t>
    </rPh>
    <rPh sb="4" eb="6">
      <t>スソソデ</t>
    </rPh>
    <rPh sb="6" eb="7">
      <t>シボ</t>
    </rPh>
    <phoneticPr fontId="4"/>
  </si>
  <si>
    <t>フリース</t>
    <phoneticPr fontId="4"/>
  </si>
  <si>
    <t>ベースW/26</t>
    <phoneticPr fontId="4"/>
  </si>
  <si>
    <t>ベージュ/ブラウン</t>
    <phoneticPr fontId="4"/>
  </si>
  <si>
    <t>ebboria</t>
    <phoneticPr fontId="4"/>
  </si>
  <si>
    <t>アニマル柄</t>
    <rPh sb="4" eb="5">
      <t>ガラ</t>
    </rPh>
    <phoneticPr fontId="4"/>
  </si>
  <si>
    <t>2084064248</t>
  </si>
  <si>
    <t>グレー</t>
    <phoneticPr fontId="4"/>
  </si>
  <si>
    <t>サイズFREE</t>
    <phoneticPr fontId="4"/>
  </si>
  <si>
    <t>AZUL BY MOUSSY アズールバイマウジー</t>
    <phoneticPr fontId="4"/>
  </si>
  <si>
    <t>ケーブル編み</t>
    <phoneticPr fontId="4"/>
  </si>
  <si>
    <t>ETRE TOKYO</t>
    <phoneticPr fontId="4"/>
  </si>
  <si>
    <t>後ろ編み上げ、ケーブル編み、ボリューム袖</t>
    <rPh sb="0" eb="1">
      <t>ウシ</t>
    </rPh>
    <rPh sb="2" eb="3">
      <t>ア</t>
    </rPh>
    <rPh sb="4" eb="5">
      <t>ア</t>
    </rPh>
    <rPh sb="11" eb="12">
      <t>ア</t>
    </rPh>
    <rPh sb="19" eb="20">
      <t>ソデ</t>
    </rPh>
    <phoneticPr fontId="4"/>
  </si>
  <si>
    <t>JOURNAL STANDARD ジャーナルスタンダード</t>
    <phoneticPr fontId="4"/>
  </si>
  <si>
    <t>ベスト</t>
    <phoneticPr fontId="4"/>
  </si>
  <si>
    <t>無&lt;br&gt;シミあり</t>
    <rPh sb="0" eb="1">
      <t>ナ</t>
    </rPh>
    <phoneticPr fontId="4"/>
  </si>
  <si>
    <t>ケーブル編み、横リボン</t>
    <rPh sb="7" eb="8">
      <t>ヨコ</t>
    </rPh>
    <phoneticPr fontId="4"/>
  </si>
  <si>
    <t>Samansa Mos2 サマンサモスモス</t>
    <phoneticPr fontId="4"/>
  </si>
  <si>
    <t>サイドレース</t>
    <phoneticPr fontId="4"/>
  </si>
  <si>
    <t xml:space="preserve"> rps アールピーエス</t>
    <phoneticPr fontId="4"/>
  </si>
  <si>
    <t>ケーブル編み、アラン編み</t>
    <rPh sb="4" eb="5">
      <t>ア</t>
    </rPh>
    <rPh sb="10" eb="11">
      <t>ア</t>
    </rPh>
    <phoneticPr fontId="4"/>
  </si>
  <si>
    <t>チャコール</t>
    <phoneticPr fontId="4"/>
  </si>
  <si>
    <t>niko and … ニコアンド</t>
    <phoneticPr fontId="4"/>
  </si>
  <si>
    <t>ケーブル編み</t>
    <rPh sb="4" eb="5">
      <t>ア</t>
    </rPh>
    <phoneticPr fontId="4"/>
  </si>
  <si>
    <t>ホワイト/ブラック</t>
    <phoneticPr fontId="4"/>
  </si>
  <si>
    <t>サイズ38/M</t>
    <phoneticPr fontId="4"/>
  </si>
  <si>
    <t>OPAQUE.CLIP　オペークドットクリップ</t>
    <phoneticPr fontId="4"/>
  </si>
  <si>
    <t>首元ビジュー</t>
    <rPh sb="0" eb="2">
      <t>クビモト</t>
    </rPh>
    <phoneticPr fontId="4"/>
  </si>
  <si>
    <t>2084064214</t>
  </si>
  <si>
    <t>TOMMY JEANS トミージーンズ</t>
    <phoneticPr fontId="4"/>
  </si>
  <si>
    <t>胸元刺繍、クルーネック</t>
    <rPh sb="0" eb="2">
      <t>ムナモト</t>
    </rPh>
    <rPh sb="2" eb="4">
      <t>シシュウ</t>
    </rPh>
    <phoneticPr fontId="4"/>
  </si>
  <si>
    <t>2084051287</t>
  </si>
  <si>
    <t>袖プリーツ、クルーネック</t>
    <rPh sb="0" eb="1">
      <t>ソデ</t>
    </rPh>
    <phoneticPr fontId="4"/>
  </si>
  <si>
    <t>2084057486</t>
  </si>
  <si>
    <t>NATURAL BEAUTY BASIC</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</si>
</sst>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Red]&quot;¥&quot;\-#,##0"/>
    <numFmt numFmtId="176" formatCode="&quot;¥&quot;#,##0_);[Red]\(&quot;¥&quot;#,##0\)"/>
    <numFmt numFmtId="177" formatCode="0_);[Red]\(0\)"/>
    <numFmt numFmtId="178" formatCode="0_ "/>
  </numFmts>
  <fonts count="42">
    <font>
      <sz val="11"/>
      <color theme="1"/>
      <name val="ＭＳ Ｐゴシック"/>
      <family val="2"/>
      <charset val="128"/>
      <scheme val="minor"/>
    </font>
    <font>
      <sz val="11"/>
      <color theme="1"/>
      <name val="ＭＳ Ｐゴシック"/>
      <family val="2"/>
      <charset val="128"/>
    </font>
    <font>
      <sz val="11"/>
      <color theme="1"/>
      <name val="ＭＳ Ｐゴシック"/>
      <family val="2"/>
      <charset val="128"/>
      <scheme val="minor"/>
    </font>
    <font>
      <sz val="11"/>
      <color rgb="FF9C0006"/>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sz val="11"/>
      <color theme="1"/>
      <name val="ＭＳ Ｐゴシック"/>
      <family val="3"/>
      <charset val="128"/>
      <scheme val="minor"/>
    </font>
    <font>
      <b/>
      <sz val="11"/>
      <color theme="1"/>
      <name val="ＭＳ Ｐゴシック"/>
      <family val="3"/>
      <charset val="128"/>
      <scheme val="minor"/>
    </font>
    <font>
      <sz val="11"/>
      <color rgb="FFFF0000"/>
      <name val="ＭＳ Ｐゴシック"/>
      <family val="3"/>
      <charset val="128"/>
      <scheme val="minor"/>
    </font>
    <font>
      <b/>
      <sz val="11"/>
      <color theme="0"/>
      <name val="ＭＳ Ｐゴシック"/>
      <family val="3"/>
      <charset val="128"/>
      <scheme val="minor"/>
    </font>
    <font>
      <b/>
      <sz val="18"/>
      <color theme="3"/>
      <name val="ＭＳ Ｐゴシック"/>
      <family val="3"/>
      <charset val="128"/>
      <scheme val="major"/>
    </font>
    <font>
      <sz val="11"/>
      <color rgb="FF9C6500"/>
      <name val="ＭＳ Ｐゴシック"/>
      <family val="3"/>
      <charset val="128"/>
      <scheme val="minor"/>
    </font>
    <font>
      <sz val="11"/>
      <name val="ＭＳ Ｐゴシック"/>
      <family val="3"/>
      <charset val="128"/>
    </font>
    <font>
      <u/>
      <sz val="12.65"/>
      <color theme="10"/>
      <name val="ＭＳ Ｐゴシック"/>
      <family val="3"/>
      <charset val="128"/>
    </font>
    <font>
      <sz val="11"/>
      <color indexed="8"/>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rgb="FF006100"/>
      <name val="ＭＳ Ｐゴシック"/>
      <family val="3"/>
      <charset val="128"/>
      <scheme val="minor"/>
    </font>
    <font>
      <sz val="11"/>
      <color theme="0"/>
      <name val="ＭＳ Ｐゴシック"/>
      <family val="2"/>
      <charset val="128"/>
      <scheme val="minor"/>
    </font>
    <font>
      <sz val="12"/>
      <color theme="1"/>
      <name val="ＭＳ Ｐゴシック"/>
      <family val="2"/>
      <charset val="128"/>
      <scheme val="minor"/>
    </font>
    <font>
      <sz val="10"/>
      <color theme="1"/>
      <name val="ＭＳ Ｐゴシック"/>
      <family val="2"/>
      <charset val="128"/>
      <scheme val="minor"/>
    </font>
    <font>
      <sz val="9"/>
      <color theme="1"/>
      <name val="ＭＳ Ｐゴシック"/>
      <family val="2"/>
      <charset val="128"/>
      <scheme val="minor"/>
    </font>
    <font>
      <sz val="9"/>
      <color theme="1"/>
      <name val="ＭＳ Ｐゴシック"/>
      <family val="3"/>
      <charset val="128"/>
      <scheme val="minor"/>
    </font>
    <font>
      <sz val="10"/>
      <color theme="0"/>
      <name val="ＭＳ Ｐゴシック"/>
      <family val="3"/>
      <charset val="128"/>
      <scheme val="minor"/>
    </font>
    <font>
      <sz val="9"/>
      <color theme="0"/>
      <name val="ＭＳ Ｐゴシック"/>
      <family val="3"/>
      <charset val="128"/>
      <scheme val="minor"/>
    </font>
    <font>
      <sz val="10"/>
      <color theme="0"/>
      <name val="ＭＳ Ｐゴシック"/>
      <family val="2"/>
      <charset val="128"/>
      <scheme val="minor"/>
    </font>
    <font>
      <sz val="11"/>
      <name val="ＭＳ Ｐゴシック"/>
      <family val="2"/>
      <charset val="128"/>
      <scheme val="minor"/>
    </font>
    <font>
      <sz val="11"/>
      <name val="ＭＳ Ｐゴシック"/>
      <family val="3"/>
      <charset val="128"/>
      <scheme val="minor"/>
    </font>
    <font>
      <sz val="9"/>
      <color rgb="FFFF0000"/>
      <name val="ＭＳ Ｐゴシック"/>
      <family val="2"/>
      <charset val="128"/>
      <scheme val="minor"/>
    </font>
    <font>
      <sz val="9"/>
      <color rgb="FFFF0000"/>
      <name val="ＭＳ Ｐゴシック"/>
      <family val="3"/>
      <charset val="128"/>
      <scheme val="minor"/>
    </font>
    <font>
      <sz val="6"/>
      <name val="ＭＳ Ｐゴシック"/>
      <family val="2"/>
      <charset val="128"/>
    </font>
    <font>
      <b/>
      <sz val="11"/>
      <color theme="1"/>
      <name val="Meiryo"/>
      <family val="3"/>
      <charset val="128"/>
    </font>
    <font>
      <sz val="7.5"/>
      <color theme="1"/>
      <name val="Meiryo"/>
      <family val="3"/>
      <charset val="128"/>
    </font>
    <font>
      <u/>
      <sz val="11"/>
      <color theme="10"/>
      <name val="ＭＳ Ｐゴシック"/>
      <family val="2"/>
      <charset val="128"/>
      <scheme val="minor"/>
    </font>
    <font>
      <sz val="11"/>
      <color rgb="FF000000"/>
      <name val="ＭＳ Ｐゴシック"/>
      <family val="3"/>
      <charset val="128"/>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FF0000"/>
        <bgColor indexed="64"/>
      </patternFill>
    </fill>
    <fill>
      <patternFill patternType="solid">
        <fgColor rgb="FFFF6699"/>
        <bgColor indexed="64"/>
      </patternFill>
    </fill>
    <fill>
      <patternFill patternType="solid">
        <fgColor theme="0"/>
        <bgColor indexed="64"/>
      </patternFill>
    </fill>
    <fill>
      <patternFill patternType="solid">
        <fgColor rgb="FF0070C0"/>
        <bgColor indexed="64"/>
      </patternFill>
    </fill>
    <fill>
      <patternFill patternType="solid">
        <fgColor rgb="FFFFFF00"/>
        <bgColor indexed="64"/>
      </patternFill>
    </fill>
    <fill>
      <patternFill patternType="solid">
        <fgColor rgb="FFFFC00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FFFFFF"/>
        <bgColor indexed="64"/>
      </patternFill>
    </fill>
    <fill>
      <patternFill patternType="solid">
        <fgColor theme="6" tint="0.79998168889431442"/>
        <bgColor indexed="64"/>
      </patternFill>
    </fill>
  </fills>
  <borders count="3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thin">
        <color indexed="64"/>
      </bottom>
      <diagonal/>
    </border>
  </borders>
  <cellStyleXfs count="172">
    <xf numFmtId="0" fontId="0" fillId="0" borderId="0">
      <alignment vertical="center"/>
    </xf>
    <xf numFmtId="0" fontId="2" fillId="0" borderId="0">
      <alignment vertical="center"/>
    </xf>
    <xf numFmtId="0" fontId="2" fillId="0" borderId="0">
      <alignment vertical="center"/>
    </xf>
    <xf numFmtId="0" fontId="2" fillId="0" borderId="0">
      <alignment vertical="center"/>
    </xf>
    <xf numFmtId="6" fontId="6" fillId="0" borderId="0" applyFont="0" applyFill="0" applyBorder="0" applyAlignment="0" applyProtection="0">
      <alignment vertical="center"/>
    </xf>
    <xf numFmtId="0" fontId="6" fillId="10" borderId="0" applyNumberFormat="0" applyBorder="0" applyAlignment="0" applyProtection="0">
      <alignment vertical="center"/>
    </xf>
    <xf numFmtId="0" fontId="6" fillId="14" borderId="0" applyNumberFormat="0" applyBorder="0" applyAlignment="0" applyProtection="0">
      <alignment vertical="center"/>
    </xf>
    <xf numFmtId="0" fontId="6" fillId="18" borderId="0" applyNumberFormat="0" applyBorder="0" applyAlignment="0" applyProtection="0">
      <alignment vertical="center"/>
    </xf>
    <xf numFmtId="0" fontId="6" fillId="22" borderId="0" applyNumberFormat="0" applyBorder="0" applyAlignment="0" applyProtection="0">
      <alignment vertical="center"/>
    </xf>
    <xf numFmtId="0" fontId="6" fillId="26" borderId="0" applyNumberFormat="0" applyBorder="0" applyAlignment="0" applyProtection="0">
      <alignment vertical="center"/>
    </xf>
    <xf numFmtId="0" fontId="6" fillId="30" borderId="0" applyNumberFormat="0" applyBorder="0" applyAlignment="0" applyProtection="0">
      <alignment vertical="center"/>
    </xf>
    <xf numFmtId="0" fontId="6" fillId="11" borderId="0" applyNumberFormat="0" applyBorder="0" applyAlignment="0" applyProtection="0">
      <alignment vertical="center"/>
    </xf>
    <xf numFmtId="0" fontId="6" fillId="15" borderId="0" applyNumberFormat="0" applyBorder="0" applyAlignment="0" applyProtection="0">
      <alignment vertical="center"/>
    </xf>
    <xf numFmtId="0" fontId="6" fillId="19" borderId="0" applyNumberFormat="0" applyBorder="0" applyAlignment="0" applyProtection="0">
      <alignment vertical="center"/>
    </xf>
    <xf numFmtId="0" fontId="6" fillId="23" borderId="0" applyNumberFormat="0" applyBorder="0" applyAlignment="0" applyProtection="0">
      <alignment vertical="center"/>
    </xf>
    <xf numFmtId="0" fontId="6" fillId="27" borderId="0" applyNumberFormat="0" applyBorder="0" applyAlignment="0" applyProtection="0">
      <alignment vertical="center"/>
    </xf>
    <xf numFmtId="0" fontId="6" fillId="31" borderId="0" applyNumberFormat="0" applyBorder="0" applyAlignment="0" applyProtection="0">
      <alignment vertical="center"/>
    </xf>
    <xf numFmtId="0" fontId="5" fillId="12" borderId="0" applyNumberFormat="0" applyBorder="0" applyAlignment="0" applyProtection="0">
      <alignment vertical="center"/>
    </xf>
    <xf numFmtId="0" fontId="5" fillId="16" borderId="0" applyNumberFormat="0" applyBorder="0" applyAlignment="0" applyProtection="0">
      <alignment vertical="center"/>
    </xf>
    <xf numFmtId="0" fontId="5" fillId="20" borderId="0" applyNumberFormat="0" applyBorder="0" applyAlignment="0" applyProtection="0">
      <alignment vertical="center"/>
    </xf>
    <xf numFmtId="0" fontId="5" fillId="24" borderId="0" applyNumberFormat="0" applyBorder="0" applyAlignment="0" applyProtection="0">
      <alignment vertical="center"/>
    </xf>
    <xf numFmtId="0" fontId="5" fillId="28" borderId="0" applyNumberFormat="0" applyBorder="0" applyAlignment="0" applyProtection="0">
      <alignment vertical="center"/>
    </xf>
    <xf numFmtId="0" fontId="5" fillId="32" borderId="0" applyNumberFormat="0" applyBorder="0" applyAlignment="0" applyProtection="0">
      <alignment vertical="center"/>
    </xf>
    <xf numFmtId="0" fontId="5" fillId="9" borderId="0" applyNumberFormat="0" applyBorder="0" applyAlignment="0" applyProtection="0">
      <alignment vertical="center"/>
    </xf>
    <xf numFmtId="0" fontId="5" fillId="13" borderId="0" applyNumberFormat="0" applyBorder="0" applyAlignment="0" applyProtection="0">
      <alignment vertical="center"/>
    </xf>
    <xf numFmtId="0" fontId="5" fillId="17" borderId="0" applyNumberFormat="0" applyBorder="0" applyAlignment="0" applyProtection="0">
      <alignment vertical="center"/>
    </xf>
    <xf numFmtId="0" fontId="5" fillId="21" borderId="0" applyNumberFormat="0" applyBorder="0" applyAlignment="0" applyProtection="0">
      <alignment vertical="center"/>
    </xf>
    <xf numFmtId="0" fontId="5" fillId="25" borderId="0" applyNumberFormat="0" applyBorder="0" applyAlignment="0" applyProtection="0">
      <alignment vertical="center"/>
    </xf>
    <xf numFmtId="0" fontId="5" fillId="29" borderId="0" applyNumberFormat="0" applyBorder="0" applyAlignment="0" applyProtection="0">
      <alignment vertical="center"/>
    </xf>
    <xf numFmtId="0" fontId="10" fillId="0" borderId="0" applyNumberFormat="0" applyFill="0" applyBorder="0" applyAlignment="0" applyProtection="0">
      <alignment vertical="center"/>
    </xf>
    <xf numFmtId="0" fontId="9" fillId="7" borderId="7" applyNumberFormat="0" applyAlignment="0" applyProtection="0">
      <alignment vertical="center"/>
    </xf>
    <xf numFmtId="0" fontId="11" fillId="4" borderId="0" applyNumberFormat="0" applyBorder="0" applyAlignment="0" applyProtection="0">
      <alignment vertical="center"/>
    </xf>
    <xf numFmtId="9" fontId="12" fillId="0" borderId="0" applyFont="0" applyFill="0" applyBorder="0" applyAlignment="0" applyProtection="0">
      <alignment vertical="center"/>
    </xf>
    <xf numFmtId="0" fontId="13" fillId="0" borderId="0" applyNumberFormat="0" applyFill="0" applyBorder="0" applyAlignment="0" applyProtection="0">
      <alignment vertical="top"/>
      <protection locked="0"/>
    </xf>
    <xf numFmtId="0" fontId="14" fillId="8" borderId="8" applyNumberFormat="0" applyFont="0" applyAlignment="0" applyProtection="0">
      <alignment vertical="center"/>
    </xf>
    <xf numFmtId="0" fontId="2" fillId="8" borderId="8" applyNumberFormat="0" applyFont="0" applyAlignment="0" applyProtection="0">
      <alignment vertical="center"/>
    </xf>
    <xf numFmtId="0" fontId="2" fillId="8" borderId="8" applyNumberFormat="0" applyFont="0" applyAlignment="0" applyProtection="0">
      <alignment vertical="center"/>
    </xf>
    <xf numFmtId="0" fontId="15" fillId="0" borderId="6" applyNumberFormat="0" applyFill="0" applyAlignment="0" applyProtection="0">
      <alignment vertical="center"/>
    </xf>
    <xf numFmtId="0" fontId="16" fillId="3" borderId="0" applyNumberFormat="0" applyBorder="0" applyAlignment="0" applyProtection="0">
      <alignment vertical="center"/>
    </xf>
    <xf numFmtId="0" fontId="3" fillId="3" borderId="0" applyNumberFormat="0" applyBorder="0" applyAlignment="0" applyProtection="0">
      <alignment vertical="center"/>
    </xf>
    <xf numFmtId="0" fontId="17" fillId="6" borderId="4" applyNumberFormat="0" applyAlignment="0" applyProtection="0">
      <alignment vertical="center"/>
    </xf>
    <xf numFmtId="0" fontId="8" fillId="0" borderId="0" applyNumberFormat="0" applyFill="0" applyBorder="0" applyAlignment="0" applyProtection="0">
      <alignment vertical="center"/>
    </xf>
    <xf numFmtId="38" fontId="12" fillId="0" borderId="0" applyFont="0" applyFill="0" applyBorder="0" applyAlignment="0" applyProtection="0">
      <alignment vertical="center"/>
    </xf>
    <xf numFmtId="0" fontId="18" fillId="0" borderId="1" applyNumberFormat="0" applyFill="0" applyAlignment="0" applyProtection="0">
      <alignment vertical="center"/>
    </xf>
    <xf numFmtId="0" fontId="19" fillId="0" borderId="2" applyNumberFormat="0" applyFill="0" applyAlignment="0" applyProtection="0">
      <alignment vertical="center"/>
    </xf>
    <xf numFmtId="0" fontId="20" fillId="0" borderId="3" applyNumberFormat="0" applyFill="0" applyAlignment="0" applyProtection="0">
      <alignment vertical="center"/>
    </xf>
    <xf numFmtId="0" fontId="20" fillId="0" borderId="0" applyNumberFormat="0" applyFill="0" applyBorder="0" applyAlignment="0" applyProtection="0">
      <alignment vertical="center"/>
    </xf>
    <xf numFmtId="0" fontId="7" fillId="0" borderId="9" applyNumberFormat="0" applyFill="0" applyAlignment="0" applyProtection="0">
      <alignment vertical="center"/>
    </xf>
    <xf numFmtId="0" fontId="21" fillId="6" borderId="5" applyNumberFormat="0" applyAlignment="0" applyProtection="0">
      <alignment vertical="center"/>
    </xf>
    <xf numFmtId="0" fontId="22" fillId="0" borderId="0" applyNumberForma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0" fontId="23" fillId="5" borderId="4" applyNumberFormat="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6" fillId="0" borderId="0">
      <alignment vertical="center"/>
    </xf>
    <xf numFmtId="0" fontId="2" fillId="0" borderId="0">
      <alignment vertical="center"/>
    </xf>
    <xf numFmtId="0" fontId="2" fillId="0" borderId="0">
      <alignment vertical="center"/>
    </xf>
    <xf numFmtId="0" fontId="6"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6" fillId="0" borderId="0">
      <alignment vertical="center"/>
    </xf>
    <xf numFmtId="0" fontId="6" fillId="0" borderId="0">
      <alignment vertical="center"/>
    </xf>
    <xf numFmtId="0" fontId="2" fillId="0" borderId="0">
      <alignment vertical="center"/>
    </xf>
    <xf numFmtId="0" fontId="6"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2" fillId="0" borderId="0"/>
    <xf numFmtId="0" fontId="2" fillId="0" borderId="0">
      <alignment vertical="center"/>
    </xf>
    <xf numFmtId="0" fontId="2" fillId="0" borderId="0">
      <alignment vertical="center"/>
    </xf>
    <xf numFmtId="0" fontId="6" fillId="0" borderId="0">
      <alignment vertical="center"/>
    </xf>
    <xf numFmtId="0" fontId="12"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2" fillId="0" borderId="0"/>
    <xf numFmtId="0" fontId="12" fillId="0" borderId="0"/>
    <xf numFmtId="0" fontId="12" fillId="0" borderId="0"/>
    <xf numFmtId="0" fontId="2" fillId="0" borderId="0">
      <alignment vertical="center"/>
    </xf>
    <xf numFmtId="0" fontId="2" fillId="0" borderId="0">
      <alignment vertical="center"/>
    </xf>
    <xf numFmtId="0" fontId="24" fillId="2" borderId="0" applyNumberFormat="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6" fontId="6" fillId="0" borderId="0" applyFont="0" applyFill="0" applyBorder="0" applyAlignment="0" applyProtection="0">
      <alignment vertical="center"/>
    </xf>
    <xf numFmtId="0" fontId="1" fillId="0" borderId="0">
      <alignment vertical="center"/>
    </xf>
    <xf numFmtId="0" fontId="40" fillId="0" borderId="0" applyNumberFormat="0" applyFill="0" applyBorder="0" applyAlignment="0" applyProtection="0">
      <alignment vertical="center"/>
    </xf>
    <xf numFmtId="9" fontId="2" fillId="0" borderId="0" applyFont="0" applyFill="0" applyBorder="0" applyAlignment="0" applyProtection="0">
      <alignment vertical="center"/>
    </xf>
    <xf numFmtId="38" fontId="2" fillId="0" borderId="0" applyFont="0" applyFill="0" applyBorder="0" applyAlignment="0" applyProtection="0">
      <alignment vertical="center"/>
    </xf>
  </cellStyleXfs>
  <cellXfs count="108">
    <xf numFmtId="0" fontId="0" fillId="0" borderId="0" xfId="0">
      <alignment vertical="center"/>
    </xf>
    <xf numFmtId="0" fontId="5" fillId="33" borderId="0" xfId="0" applyFont="1" applyFill="1" applyAlignment="1">
      <alignment horizontal="center" vertical="center"/>
    </xf>
    <xf numFmtId="49" fontId="5" fillId="35" borderId="0" xfId="0" applyNumberFormat="1" applyFont="1" applyFill="1" applyAlignment="1">
      <alignment horizontal="center" vertical="center"/>
    </xf>
    <xf numFmtId="0" fontId="6" fillId="0" borderId="0" xfId="0" applyFont="1">
      <alignment vertical="center"/>
    </xf>
    <xf numFmtId="0" fontId="0" fillId="33" borderId="0" xfId="0" applyFill="1">
      <alignment vertical="center"/>
    </xf>
    <xf numFmtId="0" fontId="25" fillId="33" borderId="0" xfId="0" applyFont="1" applyFill="1" applyAlignment="1">
      <alignment horizontal="center" vertical="center"/>
    </xf>
    <xf numFmtId="49" fontId="6" fillId="0" borderId="0" xfId="0" applyNumberFormat="1" applyFont="1">
      <alignment vertical="center"/>
    </xf>
    <xf numFmtId="0" fontId="26" fillId="0" borderId="0" xfId="1" applyFont="1">
      <alignment vertical="center"/>
    </xf>
    <xf numFmtId="49" fontId="5" fillId="33" borderId="0" xfId="0" applyNumberFormat="1" applyFont="1" applyFill="1" applyAlignment="1">
      <alignment horizontal="center" vertical="center"/>
    </xf>
    <xf numFmtId="49" fontId="0" fillId="0" borderId="0" xfId="0" applyNumberFormat="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177" fontId="0" fillId="33" borderId="0" xfId="0" applyNumberFormat="1" applyFill="1">
      <alignment vertical="center"/>
    </xf>
    <xf numFmtId="177" fontId="0" fillId="0" borderId="0" xfId="0" applyNumberFormat="1">
      <alignment vertical="center"/>
    </xf>
    <xf numFmtId="0" fontId="5" fillId="37" borderId="11" xfId="0" applyFont="1" applyFill="1" applyBorder="1" applyAlignment="1">
      <alignment horizontal="center" vertical="center"/>
    </xf>
    <xf numFmtId="176" fontId="5" fillId="34" borderId="11" xfId="0" applyNumberFormat="1" applyFont="1" applyFill="1" applyBorder="1" applyAlignment="1">
      <alignment horizontal="center" vertical="center"/>
    </xf>
    <xf numFmtId="176" fontId="5" fillId="34" borderId="0" xfId="0" applyNumberFormat="1" applyFont="1" applyFill="1" applyAlignment="1">
      <alignment horizontal="center" vertical="center"/>
    </xf>
    <xf numFmtId="49" fontId="5" fillId="34" borderId="0" xfId="0" applyNumberFormat="1" applyFont="1" applyFill="1" applyAlignment="1">
      <alignment horizontal="center" vertical="center"/>
    </xf>
    <xf numFmtId="0" fontId="5" fillId="34" borderId="0" xfId="0" applyFont="1" applyFill="1" applyAlignment="1">
      <alignment horizontal="center" vertical="center"/>
    </xf>
    <xf numFmtId="49" fontId="5" fillId="37" borderId="0" xfId="0" applyNumberFormat="1" applyFont="1" applyFill="1" applyAlignment="1">
      <alignment horizontal="center" vertical="center"/>
    </xf>
    <xf numFmtId="0" fontId="5" fillId="37" borderId="0" xfId="0" applyFont="1" applyFill="1" applyAlignment="1">
      <alignment horizontal="center" vertical="center"/>
    </xf>
    <xf numFmtId="0" fontId="28" fillId="0" borderId="0" xfId="0" applyFont="1">
      <alignment vertical="center"/>
    </xf>
    <xf numFmtId="0" fontId="29" fillId="0" borderId="0" xfId="0" applyFont="1">
      <alignment vertical="center"/>
    </xf>
    <xf numFmtId="0" fontId="29" fillId="33" borderId="0" xfId="0" applyFont="1" applyFill="1">
      <alignment vertical="center"/>
    </xf>
    <xf numFmtId="49" fontId="30" fillId="33" borderId="0" xfId="0" applyNumberFormat="1" applyFont="1" applyFill="1" applyAlignment="1">
      <alignment horizontal="center" vertical="center"/>
    </xf>
    <xf numFmtId="49" fontId="31" fillId="33" borderId="0" xfId="0" applyNumberFormat="1" applyFont="1" applyFill="1" applyAlignment="1">
      <alignment horizontal="center" vertical="center"/>
    </xf>
    <xf numFmtId="0" fontId="30" fillId="33" borderId="0" xfId="0" applyFont="1" applyFill="1" applyAlignment="1">
      <alignment horizontal="center" vertical="center"/>
    </xf>
    <xf numFmtId="0" fontId="32" fillId="33" borderId="0" xfId="0" applyFont="1" applyFill="1" applyAlignment="1">
      <alignment horizontal="center" vertical="center"/>
    </xf>
    <xf numFmtId="0" fontId="0" fillId="0" borderId="0" xfId="0" quotePrefix="1">
      <alignment vertical="center"/>
    </xf>
    <xf numFmtId="0" fontId="33" fillId="0" borderId="0" xfId="0" applyFont="1" applyAlignment="1">
      <alignment horizontal="center" vertical="center"/>
    </xf>
    <xf numFmtId="0" fontId="34" fillId="0" borderId="0" xfId="0" applyFont="1" applyAlignment="1">
      <alignment horizontal="left" vertical="center"/>
    </xf>
    <xf numFmtId="0" fontId="0" fillId="0" borderId="0" xfId="0" applyAlignment="1">
      <alignment horizontal="center" vertical="center"/>
    </xf>
    <xf numFmtId="0" fontId="0" fillId="0" borderId="0" xfId="0" applyAlignment="1">
      <alignment horizontal="left" vertical="center"/>
    </xf>
    <xf numFmtId="178" fontId="1" fillId="0" borderId="0" xfId="168" applyNumberFormat="1">
      <alignment vertical="center"/>
    </xf>
    <xf numFmtId="0" fontId="1" fillId="0" borderId="0" xfId="168">
      <alignment vertical="center"/>
    </xf>
    <xf numFmtId="12" fontId="1" fillId="0" borderId="0" xfId="168" applyNumberFormat="1">
      <alignment vertical="center"/>
    </xf>
    <xf numFmtId="49" fontId="0" fillId="38" borderId="0" xfId="0" applyNumberFormat="1" applyFill="1" applyAlignment="1">
      <alignment horizontal="center" vertical="center"/>
    </xf>
    <xf numFmtId="177" fontId="5" fillId="34" borderId="11" xfId="0" applyNumberFormat="1" applyFont="1" applyFill="1" applyBorder="1" applyAlignment="1">
      <alignment horizontal="center" vertical="center"/>
    </xf>
    <xf numFmtId="177" fontId="0" fillId="0" borderId="0" xfId="0" applyNumberFormat="1" applyAlignment="1">
      <alignment horizontal="right" vertical="center"/>
    </xf>
    <xf numFmtId="177" fontId="0" fillId="33" borderId="0" xfId="0" applyNumberFormat="1" applyFill="1" applyAlignment="1">
      <alignment horizontal="right" vertical="center"/>
    </xf>
    <xf numFmtId="177" fontId="0" fillId="0" borderId="14" xfId="0" applyNumberFormat="1" applyBorder="1">
      <alignment vertical="center"/>
    </xf>
    <xf numFmtId="0" fontId="0" fillId="38" borderId="18" xfId="0" applyFill="1" applyBorder="1" applyAlignment="1">
      <alignment horizontal="center" vertical="center"/>
    </xf>
    <xf numFmtId="0" fontId="35" fillId="0" borderId="17" xfId="0" applyFont="1" applyBorder="1" applyAlignment="1">
      <alignment horizontal="right" vertical="center"/>
    </xf>
    <xf numFmtId="0" fontId="0" fillId="0" borderId="11" xfId="0" applyBorder="1">
      <alignment vertical="center"/>
    </xf>
    <xf numFmtId="0" fontId="0" fillId="0" borderId="12" xfId="0" applyBorder="1">
      <alignment vertical="center"/>
    </xf>
    <xf numFmtId="0" fontId="0" fillId="0" borderId="13" xfId="0" applyBorder="1" applyAlignment="1">
      <alignment horizontal="left" vertical="center"/>
    </xf>
    <xf numFmtId="0" fontId="35" fillId="0" borderId="25" xfId="0" applyFont="1" applyBorder="1" applyAlignment="1">
      <alignment horizontal="right" vertical="center"/>
    </xf>
    <xf numFmtId="0" fontId="38" fillId="42" borderId="0" xfId="0" applyFont="1" applyFill="1" applyAlignment="1">
      <alignment horizontal="right" vertical="center" wrapText="1"/>
    </xf>
    <xf numFmtId="0" fontId="39" fillId="42" borderId="0" xfId="0" applyFont="1" applyFill="1" applyAlignment="1">
      <alignment vertical="center" wrapText="1"/>
    </xf>
    <xf numFmtId="9" fontId="0" fillId="0" borderId="0" xfId="170" applyFont="1">
      <alignment vertical="center"/>
    </xf>
    <xf numFmtId="0" fontId="0" fillId="43" borderId="27" xfId="0" applyFill="1" applyBorder="1" applyAlignment="1">
      <alignment horizontal="center" vertical="center"/>
    </xf>
    <xf numFmtId="0" fontId="0" fillId="43" borderId="10" xfId="0" applyFill="1" applyBorder="1" applyAlignment="1">
      <alignment horizontal="center" vertical="center"/>
    </xf>
    <xf numFmtId="0" fontId="0" fillId="43" borderId="28" xfId="0" applyFill="1" applyBorder="1" applyAlignment="1">
      <alignment horizontal="center" vertical="center"/>
    </xf>
    <xf numFmtId="0" fontId="0" fillId="0" borderId="27" xfId="0" applyBorder="1">
      <alignment vertical="center"/>
    </xf>
    <xf numFmtId="0" fontId="0" fillId="0" borderId="28" xfId="0" applyBorder="1">
      <alignment vertical="center"/>
    </xf>
    <xf numFmtId="49" fontId="1" fillId="0" borderId="0" xfId="168" applyNumberFormat="1">
      <alignment vertical="center"/>
    </xf>
    <xf numFmtId="0" fontId="0" fillId="0" borderId="29" xfId="0" applyBorder="1">
      <alignment vertical="center"/>
    </xf>
    <xf numFmtId="0" fontId="0" fillId="0" borderId="29" xfId="0" applyBorder="1" applyAlignment="1">
      <alignment horizontal="center" vertical="center"/>
    </xf>
    <xf numFmtId="9" fontId="0" fillId="0" borderId="29" xfId="170" applyFont="1" applyBorder="1" applyAlignment="1">
      <alignment horizontal="center" vertical="center"/>
    </xf>
    <xf numFmtId="38" fontId="0" fillId="0" borderId="29" xfId="171" applyFont="1" applyBorder="1" applyAlignment="1">
      <alignment horizontal="center" vertical="center"/>
    </xf>
    <xf numFmtId="38" fontId="0" fillId="0" borderId="0" xfId="171" applyFont="1" applyAlignment="1">
      <alignment horizontal="right" vertical="center"/>
    </xf>
    <xf numFmtId="38" fontId="0" fillId="0" borderId="0" xfId="171" applyFont="1">
      <alignment vertical="center"/>
    </xf>
    <xf numFmtId="38" fontId="0" fillId="0" borderId="0" xfId="171" applyFont="1" applyBorder="1">
      <alignment vertical="center"/>
    </xf>
    <xf numFmtId="38" fontId="0" fillId="0" borderId="0" xfId="171" applyFont="1" applyBorder="1" applyAlignment="1">
      <alignment horizontal="right" vertical="center"/>
    </xf>
    <xf numFmtId="177" fontId="5" fillId="34" borderId="0" xfId="0" applyNumberFormat="1" applyFont="1" applyFill="1" applyAlignment="1">
      <alignment horizontal="center" vertical="center"/>
    </xf>
    <xf numFmtId="49" fontId="5" fillId="34" borderId="10" xfId="0" applyNumberFormat="1" applyFont="1" applyFill="1" applyBorder="1" applyAlignment="1">
      <alignment horizontal="center" vertical="center"/>
    </xf>
    <xf numFmtId="176" fontId="5" fillId="33" borderId="0" xfId="0" applyNumberFormat="1" applyFont="1" applyFill="1" applyAlignment="1">
      <alignment horizontal="center" vertical="center"/>
    </xf>
    <xf numFmtId="177" fontId="6" fillId="0" borderId="0" xfId="0" applyNumberFormat="1" applyFont="1">
      <alignment vertical="center"/>
    </xf>
    <xf numFmtId="0" fontId="6" fillId="33" borderId="0" xfId="0" applyFont="1" applyFill="1">
      <alignment vertical="center"/>
    </xf>
    <xf numFmtId="176" fontId="6" fillId="0" borderId="0" xfId="0" applyNumberFormat="1" applyFont="1">
      <alignment vertical="center"/>
    </xf>
    <xf numFmtId="0" fontId="6" fillId="36" borderId="0" xfId="0" applyFont="1" applyFill="1">
      <alignment vertical="center"/>
    </xf>
    <xf numFmtId="176" fontId="0" fillId="0" borderId="0" xfId="0" applyNumberFormat="1">
      <alignment vertical="center"/>
    </xf>
    <xf numFmtId="0" fontId="6" fillId="0" borderId="0" xfId="0" applyFont="1" applyAlignment="1">
      <alignment horizontal="center" vertical="center"/>
    </xf>
    <xf numFmtId="176" fontId="5" fillId="35" borderId="0" xfId="0" applyNumberFormat="1" applyFont="1" applyFill="1" applyAlignment="1">
      <alignment horizontal="center" vertical="center"/>
    </xf>
    <xf numFmtId="0" fontId="5" fillId="35" borderId="0" xfId="0" applyFont="1" applyFill="1" applyAlignment="1">
      <alignment horizontal="center" vertical="center"/>
    </xf>
    <xf numFmtId="0" fontId="0" fillId="39" borderId="0" xfId="0" applyFill="1" applyAlignment="1">
      <alignment horizontal="center" vertical="center"/>
    </xf>
    <xf numFmtId="0" fontId="26" fillId="0" borderId="10" xfId="1" applyFont="1" applyBorder="1">
      <alignment vertical="center"/>
    </xf>
    <xf numFmtId="0" fontId="0" fillId="36" borderId="0" xfId="0" applyFill="1">
      <alignment vertical="center"/>
    </xf>
    <xf numFmtId="49" fontId="0" fillId="33" borderId="0" xfId="0" applyNumberFormat="1" applyFill="1">
      <alignment vertical="center"/>
    </xf>
    <xf numFmtId="177" fontId="0" fillId="0" borderId="10" xfId="0" applyNumberFormat="1" applyBorder="1">
      <alignment vertical="center"/>
    </xf>
    <xf numFmtId="0" fontId="0" fillId="0" borderId="10" xfId="0" applyBorder="1">
      <alignment vertical="center"/>
    </xf>
    <xf numFmtId="56" fontId="0" fillId="0" borderId="0" xfId="0" applyNumberFormat="1">
      <alignment vertical="center"/>
    </xf>
    <xf numFmtId="0" fontId="26" fillId="33" borderId="0" xfId="1" applyFont="1" applyFill="1">
      <alignment vertical="center"/>
    </xf>
    <xf numFmtId="0" fontId="27" fillId="0" borderId="0" xfId="0" applyFont="1">
      <alignment vertical="center"/>
    </xf>
    <xf numFmtId="0" fontId="0" fillId="33" borderId="0" xfId="0" applyFill="1" applyAlignment="1">
      <alignment horizontal="center" vertical="center"/>
    </xf>
    <xf numFmtId="0" fontId="0" fillId="0" borderId="10" xfId="0" applyBorder="1" applyAlignment="1">
      <alignment horizontal="center" vertical="center"/>
    </xf>
    <xf numFmtId="0" fontId="0" fillId="0" borderId="0" xfId="0" applyAlignment="1">
      <alignment horizontal="center" vertical="center"/>
    </xf>
    <xf numFmtId="0" fontId="0" fillId="0" borderId="13" xfId="0" applyBorder="1" applyAlignment="1">
      <alignment horizontal="center" vertical="center"/>
    </xf>
    <xf numFmtId="0" fontId="36" fillId="0" borderId="25" xfId="0" applyFont="1" applyBorder="1" applyAlignment="1">
      <alignment horizontal="left" vertical="center"/>
    </xf>
    <xf numFmtId="0" fontId="36" fillId="0" borderId="26" xfId="0" applyFont="1" applyBorder="1" applyAlignment="1">
      <alignment horizontal="left" vertical="center"/>
    </xf>
    <xf numFmtId="0" fontId="0" fillId="41" borderId="19" xfId="0" applyFill="1" applyBorder="1" applyAlignment="1">
      <alignment horizontal="center" vertical="center"/>
    </xf>
    <xf numFmtId="0" fontId="0" fillId="41" borderId="22" xfId="0" applyFill="1" applyBorder="1" applyAlignment="1">
      <alignment horizontal="center" vertical="center"/>
    </xf>
    <xf numFmtId="0" fontId="0" fillId="41" borderId="24" xfId="0" applyFill="1" applyBorder="1" applyAlignment="1">
      <alignment horizontal="center" vertical="center"/>
    </xf>
    <xf numFmtId="0" fontId="0" fillId="40" borderId="19" xfId="0" applyFill="1" applyBorder="1" applyAlignment="1">
      <alignment horizontal="center" vertical="center"/>
    </xf>
    <xf numFmtId="0" fontId="0" fillId="40" borderId="22" xfId="0" applyFill="1" applyBorder="1" applyAlignment="1">
      <alignment horizontal="center" vertical="center"/>
    </xf>
    <xf numFmtId="0" fontId="0" fillId="40" borderId="24" xfId="0" applyFill="1"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16" xfId="0" applyBorder="1" applyAlignment="1">
      <alignment horizontal="left" vertical="center"/>
    </xf>
    <xf numFmtId="0" fontId="0" fillId="0" borderId="17" xfId="0" applyBorder="1" applyAlignment="1">
      <alignment horizontal="left" vertical="center"/>
    </xf>
    <xf numFmtId="0" fontId="0" fillId="0" borderId="23" xfId="0" applyBorder="1" applyAlignment="1">
      <alignment horizontal="left" vertical="center"/>
    </xf>
    <xf numFmtId="0" fontId="36" fillId="0" borderId="17" xfId="0" applyFont="1" applyBorder="1" applyAlignment="1">
      <alignment horizontal="left" vertical="center"/>
    </xf>
    <xf numFmtId="0" fontId="36" fillId="0" borderId="23" xfId="0" applyFont="1" applyBorder="1" applyAlignment="1">
      <alignment horizontal="left" vertical="center"/>
    </xf>
    <xf numFmtId="0" fontId="0" fillId="0" borderId="17" xfId="0" applyBorder="1" applyAlignment="1">
      <alignment horizontal="center" vertical="center"/>
    </xf>
    <xf numFmtId="0" fontId="0" fillId="0" borderId="18" xfId="0" applyBorder="1" applyAlignment="1">
      <alignment horizontal="center" vertical="center"/>
    </xf>
    <xf numFmtId="0" fontId="40" fillId="0" borderId="16" xfId="169" applyBorder="1" applyAlignment="1">
      <alignment horizontal="left" vertical="center"/>
    </xf>
    <xf numFmtId="0" fontId="40" fillId="0" borderId="17" xfId="169" applyBorder="1" applyAlignment="1">
      <alignment horizontal="left" vertical="center"/>
    </xf>
  </cellXfs>
  <cellStyles count="172">
    <cellStyle name="20% - アクセント 1 2" xfId="5" xr:uid="{00000000-0005-0000-0000-000000000000}"/>
    <cellStyle name="20% - アクセント 2 2" xfId="6" xr:uid="{00000000-0005-0000-0000-000001000000}"/>
    <cellStyle name="20% - アクセント 3 2" xfId="7" xr:uid="{00000000-0005-0000-0000-000002000000}"/>
    <cellStyle name="20% - アクセント 4 2" xfId="8" xr:uid="{00000000-0005-0000-0000-000003000000}"/>
    <cellStyle name="20% - アクセント 5 2" xfId="9" xr:uid="{00000000-0005-0000-0000-000004000000}"/>
    <cellStyle name="20% - アクセント 6 2" xfId="10" xr:uid="{00000000-0005-0000-0000-000005000000}"/>
    <cellStyle name="40% - アクセント 1 2" xfId="11" xr:uid="{00000000-0005-0000-0000-000006000000}"/>
    <cellStyle name="40% - アクセント 2 2" xfId="12" xr:uid="{00000000-0005-0000-0000-000007000000}"/>
    <cellStyle name="40% - アクセント 3 2" xfId="13" xr:uid="{00000000-0005-0000-0000-000008000000}"/>
    <cellStyle name="40% - アクセント 4 2" xfId="14" xr:uid="{00000000-0005-0000-0000-000009000000}"/>
    <cellStyle name="40% - アクセント 5 2" xfId="15" xr:uid="{00000000-0005-0000-0000-00000A000000}"/>
    <cellStyle name="40% - アクセント 6 2" xfId="16" xr:uid="{00000000-0005-0000-0000-00000B000000}"/>
    <cellStyle name="60% - アクセント 1 2" xfId="17" xr:uid="{00000000-0005-0000-0000-00000C000000}"/>
    <cellStyle name="60% - アクセント 2 2" xfId="18" xr:uid="{00000000-0005-0000-0000-00000D000000}"/>
    <cellStyle name="60% - アクセント 3 2" xfId="19" xr:uid="{00000000-0005-0000-0000-00000E000000}"/>
    <cellStyle name="60% - アクセント 4 2" xfId="20" xr:uid="{00000000-0005-0000-0000-00000F000000}"/>
    <cellStyle name="60% - アクセント 5 2" xfId="21" xr:uid="{00000000-0005-0000-0000-000010000000}"/>
    <cellStyle name="60% - アクセント 6 2" xfId="22" xr:uid="{00000000-0005-0000-0000-000011000000}"/>
    <cellStyle name="アクセント 1 2" xfId="23" xr:uid="{00000000-0005-0000-0000-000012000000}"/>
    <cellStyle name="アクセント 2 2" xfId="24" xr:uid="{00000000-0005-0000-0000-000013000000}"/>
    <cellStyle name="アクセント 3 2" xfId="25" xr:uid="{00000000-0005-0000-0000-000014000000}"/>
    <cellStyle name="アクセント 4 2" xfId="26" xr:uid="{00000000-0005-0000-0000-000015000000}"/>
    <cellStyle name="アクセント 5 2" xfId="27" xr:uid="{00000000-0005-0000-0000-000016000000}"/>
    <cellStyle name="アクセント 6 2" xfId="28" xr:uid="{00000000-0005-0000-0000-000017000000}"/>
    <cellStyle name="タイトル 2" xfId="29" xr:uid="{00000000-0005-0000-0000-000018000000}"/>
    <cellStyle name="チェック セル 2" xfId="30" xr:uid="{00000000-0005-0000-0000-000019000000}"/>
    <cellStyle name="どちらでもない 2" xfId="31" xr:uid="{00000000-0005-0000-0000-00001A000000}"/>
    <cellStyle name="パーセント" xfId="170" builtinId="5"/>
    <cellStyle name="パーセント 2" xfId="32" xr:uid="{00000000-0005-0000-0000-00001B000000}"/>
    <cellStyle name="ハイパーリンク" xfId="169" builtinId="8"/>
    <cellStyle name="ハイパーリンク 2" xfId="33" xr:uid="{00000000-0005-0000-0000-00001D000000}"/>
    <cellStyle name="メモ 2" xfId="34" xr:uid="{00000000-0005-0000-0000-00001E000000}"/>
    <cellStyle name="メモ 3" xfId="35" xr:uid="{00000000-0005-0000-0000-00001F000000}"/>
    <cellStyle name="メモ 3 2" xfId="36" xr:uid="{00000000-0005-0000-0000-000020000000}"/>
    <cellStyle name="リンク セル 2" xfId="37" xr:uid="{00000000-0005-0000-0000-000021000000}"/>
    <cellStyle name="悪い 2" xfId="38" xr:uid="{00000000-0005-0000-0000-000022000000}"/>
    <cellStyle name="悪い 3" xfId="39" xr:uid="{00000000-0005-0000-0000-000023000000}"/>
    <cellStyle name="計算 2" xfId="40" xr:uid="{00000000-0005-0000-0000-000024000000}"/>
    <cellStyle name="警告文 2" xfId="41" xr:uid="{00000000-0005-0000-0000-000025000000}"/>
    <cellStyle name="桁区切り" xfId="171" builtinId="6"/>
    <cellStyle name="桁区切り 2" xfId="42" xr:uid="{00000000-0005-0000-0000-000026000000}"/>
    <cellStyle name="見出し 1 2" xfId="43" xr:uid="{00000000-0005-0000-0000-000027000000}"/>
    <cellStyle name="見出し 2 2" xfId="44" xr:uid="{00000000-0005-0000-0000-000028000000}"/>
    <cellStyle name="見出し 3 2" xfId="45" xr:uid="{00000000-0005-0000-0000-000029000000}"/>
    <cellStyle name="見出し 4 2" xfId="46" xr:uid="{00000000-0005-0000-0000-00002A000000}"/>
    <cellStyle name="集計 2" xfId="47" xr:uid="{00000000-0005-0000-0000-00002B000000}"/>
    <cellStyle name="出力 2" xfId="48" xr:uid="{00000000-0005-0000-0000-00002C000000}"/>
    <cellStyle name="説明文 2" xfId="49" xr:uid="{00000000-0005-0000-0000-00002D000000}"/>
    <cellStyle name="通貨 2" xfId="4" xr:uid="{00000000-0005-0000-0000-00002E000000}"/>
    <cellStyle name="通貨 2 2" xfId="50" xr:uid="{00000000-0005-0000-0000-00002F000000}"/>
    <cellStyle name="通貨 2 2 2" xfId="154" xr:uid="{00000000-0005-0000-0000-000030000000}"/>
    <cellStyle name="通貨 2 2 2 2" xfId="160" xr:uid="{00000000-0005-0000-0000-000031000000}"/>
    <cellStyle name="通貨 2 2 2 3" xfId="166" xr:uid="{00000000-0005-0000-0000-000032000000}"/>
    <cellStyle name="通貨 2 2 3" xfId="157" xr:uid="{00000000-0005-0000-0000-000033000000}"/>
    <cellStyle name="通貨 2 2 4" xfId="163" xr:uid="{00000000-0005-0000-0000-000034000000}"/>
    <cellStyle name="通貨 2 3" xfId="153" xr:uid="{00000000-0005-0000-0000-000035000000}"/>
    <cellStyle name="通貨 2 3 2" xfId="159" xr:uid="{00000000-0005-0000-0000-000036000000}"/>
    <cellStyle name="通貨 2 3 3" xfId="165" xr:uid="{00000000-0005-0000-0000-000037000000}"/>
    <cellStyle name="通貨 2 4" xfId="156" xr:uid="{00000000-0005-0000-0000-000038000000}"/>
    <cellStyle name="通貨 2 5" xfId="162" xr:uid="{00000000-0005-0000-0000-000039000000}"/>
    <cellStyle name="通貨 3" xfId="51" xr:uid="{00000000-0005-0000-0000-00003A000000}"/>
    <cellStyle name="通貨 3 2" xfId="155" xr:uid="{00000000-0005-0000-0000-00003B000000}"/>
    <cellStyle name="通貨 3 2 2" xfId="161" xr:uid="{00000000-0005-0000-0000-00003C000000}"/>
    <cellStyle name="通貨 3 2 3" xfId="167" xr:uid="{00000000-0005-0000-0000-00003D000000}"/>
    <cellStyle name="通貨 3 3" xfId="158" xr:uid="{00000000-0005-0000-0000-00003E000000}"/>
    <cellStyle name="通貨 3 4" xfId="164" xr:uid="{00000000-0005-0000-0000-00003F000000}"/>
    <cellStyle name="入力 2" xfId="52" xr:uid="{00000000-0005-0000-0000-000040000000}"/>
    <cellStyle name="標準" xfId="0" builtinId="0"/>
    <cellStyle name="標準 10" xfId="53" xr:uid="{00000000-0005-0000-0000-000042000000}"/>
    <cellStyle name="標準 10 2" xfId="54" xr:uid="{00000000-0005-0000-0000-000043000000}"/>
    <cellStyle name="標準 11" xfId="55" xr:uid="{00000000-0005-0000-0000-000044000000}"/>
    <cellStyle name="標準 11 2" xfId="56" xr:uid="{00000000-0005-0000-0000-000045000000}"/>
    <cellStyle name="標準 11 2 2" xfId="57" xr:uid="{00000000-0005-0000-0000-000046000000}"/>
    <cellStyle name="標準 11 3" xfId="58" xr:uid="{00000000-0005-0000-0000-000047000000}"/>
    <cellStyle name="標準 12" xfId="59" xr:uid="{00000000-0005-0000-0000-000048000000}"/>
    <cellStyle name="標準 12 2" xfId="60" xr:uid="{00000000-0005-0000-0000-000049000000}"/>
    <cellStyle name="標準 13" xfId="61" xr:uid="{00000000-0005-0000-0000-00004A000000}"/>
    <cellStyle name="標準 13 2" xfId="62" xr:uid="{00000000-0005-0000-0000-00004B000000}"/>
    <cellStyle name="標準 13 2 2" xfId="1" xr:uid="{00000000-0005-0000-0000-00004C000000}"/>
    <cellStyle name="標準 13 2 2 2" xfId="63" xr:uid="{00000000-0005-0000-0000-00004D000000}"/>
    <cellStyle name="標準 13 2 3" xfId="64" xr:uid="{00000000-0005-0000-0000-00004E000000}"/>
    <cellStyle name="標準 13 3" xfId="65" xr:uid="{00000000-0005-0000-0000-00004F000000}"/>
    <cellStyle name="標準 13 3 10" xfId="66" xr:uid="{00000000-0005-0000-0000-000050000000}"/>
    <cellStyle name="標準 13 3 11" xfId="67" xr:uid="{00000000-0005-0000-0000-000051000000}"/>
    <cellStyle name="標準 13 3 12" xfId="68" xr:uid="{00000000-0005-0000-0000-000052000000}"/>
    <cellStyle name="標準 13 3 13" xfId="69" xr:uid="{00000000-0005-0000-0000-000053000000}"/>
    <cellStyle name="標準 13 3 2" xfId="70" xr:uid="{00000000-0005-0000-0000-000054000000}"/>
    <cellStyle name="標準 13 3 2 2" xfId="71" xr:uid="{00000000-0005-0000-0000-000055000000}"/>
    <cellStyle name="標準 13 3 3" xfId="72" xr:uid="{00000000-0005-0000-0000-000056000000}"/>
    <cellStyle name="標準 13 3 3 2" xfId="73" xr:uid="{00000000-0005-0000-0000-000057000000}"/>
    <cellStyle name="標準 13 3 4" xfId="74" xr:uid="{00000000-0005-0000-0000-000058000000}"/>
    <cellStyle name="標準 13 3 5" xfId="75" xr:uid="{00000000-0005-0000-0000-000059000000}"/>
    <cellStyle name="標準 13 3 6" xfId="76" xr:uid="{00000000-0005-0000-0000-00005A000000}"/>
    <cellStyle name="標準 13 3 7" xfId="77" xr:uid="{00000000-0005-0000-0000-00005B000000}"/>
    <cellStyle name="標準 13 3 8" xfId="78" xr:uid="{00000000-0005-0000-0000-00005C000000}"/>
    <cellStyle name="標準 13 3 9" xfId="79" xr:uid="{00000000-0005-0000-0000-00005D000000}"/>
    <cellStyle name="標準 13 4" xfId="80" xr:uid="{00000000-0005-0000-0000-00005E000000}"/>
    <cellStyle name="標準 14" xfId="81" xr:uid="{00000000-0005-0000-0000-00005F000000}"/>
    <cellStyle name="標準 14 2" xfId="82" xr:uid="{00000000-0005-0000-0000-000060000000}"/>
    <cellStyle name="標準 15" xfId="83" xr:uid="{00000000-0005-0000-0000-000061000000}"/>
    <cellStyle name="標準 15 2" xfId="84" xr:uid="{00000000-0005-0000-0000-000062000000}"/>
    <cellStyle name="標準 16" xfId="85" xr:uid="{00000000-0005-0000-0000-000063000000}"/>
    <cellStyle name="標準 16 2" xfId="86" xr:uid="{00000000-0005-0000-0000-000064000000}"/>
    <cellStyle name="標準 17" xfId="87" xr:uid="{00000000-0005-0000-0000-000065000000}"/>
    <cellStyle name="標準 18" xfId="88" xr:uid="{00000000-0005-0000-0000-000066000000}"/>
    <cellStyle name="標準 19" xfId="89" xr:uid="{00000000-0005-0000-0000-000067000000}"/>
    <cellStyle name="標準 2" xfId="90" xr:uid="{00000000-0005-0000-0000-000068000000}"/>
    <cellStyle name="標準 2 2" xfId="91" xr:uid="{00000000-0005-0000-0000-000069000000}"/>
    <cellStyle name="標準 2 2 2" xfId="92" xr:uid="{00000000-0005-0000-0000-00006A000000}"/>
    <cellStyle name="標準 2 3" xfId="93" xr:uid="{00000000-0005-0000-0000-00006B000000}"/>
    <cellStyle name="標準 2 3 2" xfId="94" xr:uid="{00000000-0005-0000-0000-00006C000000}"/>
    <cellStyle name="標準 2 4" xfId="95" xr:uid="{00000000-0005-0000-0000-00006D000000}"/>
    <cellStyle name="標準 2 4 2" xfId="96" xr:uid="{00000000-0005-0000-0000-00006E000000}"/>
    <cellStyle name="標準 20" xfId="97" xr:uid="{00000000-0005-0000-0000-00006F000000}"/>
    <cellStyle name="標準 21" xfId="98" xr:uid="{00000000-0005-0000-0000-000070000000}"/>
    <cellStyle name="標準 22" xfId="168" xr:uid="{00000000-0005-0000-0000-000071000000}"/>
    <cellStyle name="標準 23" xfId="99" xr:uid="{00000000-0005-0000-0000-000072000000}"/>
    <cellStyle name="標準 3" xfId="100" xr:uid="{00000000-0005-0000-0000-000073000000}"/>
    <cellStyle name="標準 3 2" xfId="101" xr:uid="{00000000-0005-0000-0000-000074000000}"/>
    <cellStyle name="標準 3 2 2" xfId="102" xr:uid="{00000000-0005-0000-0000-000075000000}"/>
    <cellStyle name="標準 3 3" xfId="103" xr:uid="{00000000-0005-0000-0000-000076000000}"/>
    <cellStyle name="標準 3 3 2" xfId="104" xr:uid="{00000000-0005-0000-0000-000077000000}"/>
    <cellStyle name="標準 4" xfId="105" xr:uid="{00000000-0005-0000-0000-000078000000}"/>
    <cellStyle name="標準 4 2" xfId="106" xr:uid="{00000000-0005-0000-0000-000079000000}"/>
    <cellStyle name="標準 4 2 2" xfId="107" xr:uid="{00000000-0005-0000-0000-00007A000000}"/>
    <cellStyle name="標準 4 3" xfId="108" xr:uid="{00000000-0005-0000-0000-00007B000000}"/>
    <cellStyle name="標準 4 4" xfId="109" xr:uid="{00000000-0005-0000-0000-00007C000000}"/>
    <cellStyle name="標準 5" xfId="110" xr:uid="{00000000-0005-0000-0000-00007D000000}"/>
    <cellStyle name="標準 5 2" xfId="111" xr:uid="{00000000-0005-0000-0000-00007E000000}"/>
    <cellStyle name="標準 5 3" xfId="112" xr:uid="{00000000-0005-0000-0000-00007F000000}"/>
    <cellStyle name="標準 5 4" xfId="113" xr:uid="{00000000-0005-0000-0000-000080000000}"/>
    <cellStyle name="標準 5 4 2" xfId="114" xr:uid="{00000000-0005-0000-0000-000081000000}"/>
    <cellStyle name="標準 5 5" xfId="115" xr:uid="{00000000-0005-0000-0000-000082000000}"/>
    <cellStyle name="標準 5 5 2" xfId="3" xr:uid="{00000000-0005-0000-0000-000083000000}"/>
    <cellStyle name="標準 5 5 2 2" xfId="116" xr:uid="{00000000-0005-0000-0000-000084000000}"/>
    <cellStyle name="標準 5 5 2 2 2" xfId="117" xr:uid="{00000000-0005-0000-0000-000085000000}"/>
    <cellStyle name="標準 5 5 2 3" xfId="118" xr:uid="{00000000-0005-0000-0000-000086000000}"/>
    <cellStyle name="標準 5 5 2 3 2" xfId="119" xr:uid="{00000000-0005-0000-0000-000087000000}"/>
    <cellStyle name="標準 5 5 2 4" xfId="120" xr:uid="{00000000-0005-0000-0000-000088000000}"/>
    <cellStyle name="標準 5 5 3" xfId="121" xr:uid="{00000000-0005-0000-0000-000089000000}"/>
    <cellStyle name="標準 5 6" xfId="2" xr:uid="{00000000-0005-0000-0000-00008A000000}"/>
    <cellStyle name="標準 5 6 2" xfId="122" xr:uid="{00000000-0005-0000-0000-00008B000000}"/>
    <cellStyle name="標準 5 6 2 2" xfId="123" xr:uid="{00000000-0005-0000-0000-00008C000000}"/>
    <cellStyle name="標準 5 6 3" xfId="124" xr:uid="{00000000-0005-0000-0000-00008D000000}"/>
    <cellStyle name="標準 5 6 3 10" xfId="125" xr:uid="{00000000-0005-0000-0000-00008E000000}"/>
    <cellStyle name="標準 5 6 3 11" xfId="126" xr:uid="{00000000-0005-0000-0000-00008F000000}"/>
    <cellStyle name="標準 5 6 3 12" xfId="127" xr:uid="{00000000-0005-0000-0000-000090000000}"/>
    <cellStyle name="標準 5 6 3 13" xfId="128" xr:uid="{00000000-0005-0000-0000-000091000000}"/>
    <cellStyle name="標準 5 6 3 2" xfId="129" xr:uid="{00000000-0005-0000-0000-000092000000}"/>
    <cellStyle name="標準 5 6 3 2 2" xfId="130" xr:uid="{00000000-0005-0000-0000-000093000000}"/>
    <cellStyle name="標準 5 6 3 3" xfId="131" xr:uid="{00000000-0005-0000-0000-000094000000}"/>
    <cellStyle name="標準 5 6 3 3 2" xfId="132" xr:uid="{00000000-0005-0000-0000-000095000000}"/>
    <cellStyle name="標準 5 6 3 4" xfId="133" xr:uid="{00000000-0005-0000-0000-000096000000}"/>
    <cellStyle name="標準 5 6 3 5" xfId="134" xr:uid="{00000000-0005-0000-0000-000097000000}"/>
    <cellStyle name="標準 5 6 3 6" xfId="135" xr:uid="{00000000-0005-0000-0000-000098000000}"/>
    <cellStyle name="標準 5 6 3 7" xfId="136" xr:uid="{00000000-0005-0000-0000-000099000000}"/>
    <cellStyle name="標準 5 6 3 8" xfId="137" xr:uid="{00000000-0005-0000-0000-00009A000000}"/>
    <cellStyle name="標準 5 6 3 9" xfId="138" xr:uid="{00000000-0005-0000-0000-00009B000000}"/>
    <cellStyle name="標準 5 6 4" xfId="139" xr:uid="{00000000-0005-0000-0000-00009C000000}"/>
    <cellStyle name="標準 5 7" xfId="140" xr:uid="{00000000-0005-0000-0000-00009D000000}"/>
    <cellStyle name="標準 5 7 2" xfId="141" xr:uid="{00000000-0005-0000-0000-00009E000000}"/>
    <cellStyle name="標準 5 8" xfId="142" xr:uid="{00000000-0005-0000-0000-00009F000000}"/>
    <cellStyle name="標準 5 8 2" xfId="143" xr:uid="{00000000-0005-0000-0000-0000A0000000}"/>
    <cellStyle name="標準 5 9" xfId="144" xr:uid="{00000000-0005-0000-0000-0000A1000000}"/>
    <cellStyle name="標準 6" xfId="145" xr:uid="{00000000-0005-0000-0000-0000A2000000}"/>
    <cellStyle name="標準 6 2" xfId="146" xr:uid="{00000000-0005-0000-0000-0000A3000000}"/>
    <cellStyle name="標準 7" xfId="147" xr:uid="{00000000-0005-0000-0000-0000A4000000}"/>
    <cellStyle name="標準 8" xfId="148" xr:uid="{00000000-0005-0000-0000-0000A5000000}"/>
    <cellStyle name="標準 8 2" xfId="149" xr:uid="{00000000-0005-0000-0000-0000A6000000}"/>
    <cellStyle name="標準 9" xfId="150" xr:uid="{00000000-0005-0000-0000-0000A7000000}"/>
    <cellStyle name="標準 9 2" xfId="151" xr:uid="{00000000-0005-0000-0000-0000A8000000}"/>
    <cellStyle name="良い 2" xfId="152" xr:uid="{00000000-0005-0000-0000-0000A9000000}"/>
  </cellStyles>
  <dxfs count="140">
    <dxf>
      <fill>
        <patternFill>
          <bgColor rgb="FFFF0000"/>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colors>
    <mruColors>
      <color rgb="FFFF3399"/>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20</xdr:row>
          <xdr:rowOff>57150</xdr:rowOff>
        </xdr:from>
        <xdr:to>
          <xdr:col>7</xdr:col>
          <xdr:colOff>600075</xdr:colOff>
          <xdr:row>22</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676275</xdr:colOff>
          <xdr:row>0</xdr:row>
          <xdr:rowOff>171450</xdr:rowOff>
        </xdr:from>
        <xdr:to>
          <xdr:col>13</xdr:col>
          <xdr:colOff>666750</xdr:colOff>
          <xdr:row>2</xdr:row>
          <xdr:rowOff>333375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※カテゴリがSheet1に反映されない場合</a:t>
              </a:r>
            </a:p>
            <a:p>
              <a:pPr algn="ctr" rtl="0">
                <a:defRPr sz="1000"/>
              </a:pPr>
              <a:r>
                <a:rPr lang="ja-JP" altLang="en-US" sz="1100" b="0" i="0" u="none" strike="noStrike" baseline="0">
                  <a:solidFill>
                    <a:srgbClr val="000000"/>
                  </a:solidFill>
                  <a:latin typeface="ＭＳ Ｐゴシック"/>
                  <a:ea typeface="ＭＳ Ｐゴシック"/>
                </a:rPr>
                <a:t>こちらのボタンをクリックしてみてください</a:t>
              </a:r>
            </a:p>
          </xdr:txBody>
        </xdr:sp>
        <xdr:clientData fPrintsWithSheet="0"/>
      </xdr:twoCellAnchor>
    </mc:Choice>
    <mc:Fallback/>
  </mc:AlternateContent>
  <xdr:twoCellAnchor>
    <xdr:from>
      <xdr:col>9</xdr:col>
      <xdr:colOff>43200</xdr:colOff>
      <xdr:row>6</xdr:row>
      <xdr:rowOff>48300</xdr:rowOff>
    </xdr:from>
    <xdr:to>
      <xdr:col>13</xdr:col>
      <xdr:colOff>0</xdr:colOff>
      <xdr:row>10</xdr:row>
      <xdr:rowOff>0</xdr:rowOff>
    </xdr:to>
    <xdr:sp macro="[0]!締め作業" textlink="">
      <xdr:nvSpPr>
        <xdr:cNvPr id="5" name="四角形: 角度付き 4">
          <a:extLst>
            <a:ext uri="{FF2B5EF4-FFF2-40B4-BE49-F238E27FC236}">
              <a16:creationId xmlns:a16="http://schemas.microsoft.com/office/drawing/2014/main" id="{00000000-0008-0000-0200-000005000000}"/>
            </a:ext>
          </a:extLst>
        </xdr:cNvPr>
        <xdr:cNvSpPr/>
      </xdr:nvSpPr>
      <xdr:spPr>
        <a:xfrm>
          <a:off x="6158250" y="1257975"/>
          <a:ext cx="2700000" cy="82800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kumimoji="1" lang="ja-JP" altLang="en-US" sz="1600"/>
            <a:t>締め作業</a:t>
          </a:r>
          <a:endParaRPr kumimoji="1" lang="en-US" altLang="ja-JP" sz="1600"/>
        </a:p>
        <a:p>
          <a:pPr algn="ctr"/>
          <a:r>
            <a:rPr kumimoji="1" lang="ja-JP" altLang="en-US" sz="1400"/>
            <a:t>（ショートカットキー： </a:t>
          </a:r>
          <a:r>
            <a:rPr kumimoji="1" lang="en-US" altLang="ja-JP" sz="1400"/>
            <a:t>Ctrl</a:t>
          </a:r>
          <a:r>
            <a:rPr kumimoji="1" lang="ja-JP" altLang="en-US" sz="1400"/>
            <a:t> </a:t>
          </a:r>
          <a:r>
            <a:rPr kumimoji="1" lang="en-US" altLang="ja-JP" sz="1400"/>
            <a:t>+</a:t>
          </a:r>
          <a:r>
            <a:rPr kumimoji="1" lang="ja-JP" altLang="en-US" sz="1400"/>
            <a:t> </a:t>
          </a:r>
          <a:r>
            <a:rPr kumimoji="1" lang="en-US" altLang="ja-JP" sz="1400"/>
            <a:t>j</a:t>
          </a:r>
          <a:r>
            <a:rPr kumimoji="1" lang="ja-JP" altLang="en-US" sz="1400"/>
            <a:t>）</a:t>
          </a:r>
          <a:endParaRPr kumimoji="1" lang="en-US" altLang="ja-JP" sz="14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74553bd302f56e65.lolipop.jp/yahoo/newchyyuijikou3.png" TargetMode="External"/><Relationship Id="rId1" Type="http://schemas.openxmlformats.org/officeDocument/2006/relationships/hyperlink" Target="http://74553bd302f56e65.lolipop.jp/monoapparel-banner.png"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dimension ref="A1:DY3"/>
  <sheetViews>
    <sheetView workbookViewId="0">
      <selection activeCell="I17" sqref="I17"/>
    </sheetView>
  </sheetViews>
  <sheetFormatPr defaultRowHeight="13.5"/>
  <cols>
    <col min="129" max="129" width="23.625" bestFit="1" customWidth="1"/>
  </cols>
  <sheetData>
    <row r="1" spans="1:129">
      <c r="A1" t="s">
        <v>168</v>
      </c>
      <c r="B1" t="s">
        <v>1</v>
      </c>
      <c r="C1" t="s">
        <v>169</v>
      </c>
      <c r="D1" t="s">
        <v>170</v>
      </c>
      <c r="E1" t="s">
        <v>171</v>
      </c>
      <c r="F1" t="s">
        <v>172</v>
      </c>
      <c r="G1" t="s">
        <v>173</v>
      </c>
      <c r="H1" t="s">
        <v>174</v>
      </c>
      <c r="I1" t="s">
        <v>175</v>
      </c>
      <c r="J1" t="s">
        <v>176</v>
      </c>
      <c r="K1" t="s">
        <v>177</v>
      </c>
      <c r="L1" t="s">
        <v>178</v>
      </c>
      <c r="M1" t="s">
        <v>179</v>
      </c>
      <c r="N1" t="s">
        <v>180</v>
      </c>
      <c r="O1" t="s">
        <v>181</v>
      </c>
      <c r="P1" t="s">
        <v>182</v>
      </c>
      <c r="Q1" t="s">
        <v>183</v>
      </c>
      <c r="R1" t="s">
        <v>184</v>
      </c>
      <c r="S1" t="s">
        <v>185</v>
      </c>
      <c r="T1" t="s">
        <v>186</v>
      </c>
      <c r="U1" t="s">
        <v>187</v>
      </c>
      <c r="V1" t="s">
        <v>188</v>
      </c>
      <c r="W1" t="s">
        <v>189</v>
      </c>
      <c r="X1" t="s">
        <v>190</v>
      </c>
      <c r="Y1" t="s">
        <v>191</v>
      </c>
      <c r="Z1" t="s">
        <v>192</v>
      </c>
      <c r="AA1" t="s">
        <v>193</v>
      </c>
      <c r="AB1" t="s">
        <v>194</v>
      </c>
      <c r="AC1" t="s">
        <v>195</v>
      </c>
      <c r="AD1" t="s">
        <v>196</v>
      </c>
      <c r="AE1" t="s">
        <v>197</v>
      </c>
      <c r="AF1" t="s">
        <v>198</v>
      </c>
      <c r="AG1" t="s">
        <v>199</v>
      </c>
      <c r="AH1" t="s">
        <v>200</v>
      </c>
      <c r="AI1" t="s">
        <v>201</v>
      </c>
      <c r="AJ1" t="s">
        <v>202</v>
      </c>
      <c r="AK1" t="s">
        <v>203</v>
      </c>
      <c r="AL1" t="s">
        <v>204</v>
      </c>
      <c r="AM1" t="s">
        <v>205</v>
      </c>
      <c r="AN1" t="s">
        <v>206</v>
      </c>
      <c r="AO1" t="s">
        <v>207</v>
      </c>
      <c r="AP1" t="s">
        <v>208</v>
      </c>
      <c r="AQ1" t="s">
        <v>209</v>
      </c>
      <c r="AR1" t="s">
        <v>210</v>
      </c>
      <c r="AS1" t="s">
        <v>2647</v>
      </c>
      <c r="AT1" t="s">
        <v>211</v>
      </c>
      <c r="AU1" t="s">
        <v>212</v>
      </c>
      <c r="AV1" t="s">
        <v>213</v>
      </c>
      <c r="AW1" t="s">
        <v>214</v>
      </c>
      <c r="AX1" t="s">
        <v>215</v>
      </c>
      <c r="AY1" t="s">
        <v>216</v>
      </c>
      <c r="AZ1" t="s">
        <v>217</v>
      </c>
      <c r="BA1" t="s">
        <v>218</v>
      </c>
      <c r="BB1" t="s">
        <v>219</v>
      </c>
      <c r="BC1" t="s">
        <v>220</v>
      </c>
      <c r="BD1" t="s">
        <v>221</v>
      </c>
      <c r="BE1" t="s">
        <v>222</v>
      </c>
      <c r="BF1" t="s">
        <v>223</v>
      </c>
      <c r="BG1" t="s">
        <v>224</v>
      </c>
      <c r="BH1" t="s">
        <v>225</v>
      </c>
      <c r="BI1" t="s">
        <v>226</v>
      </c>
      <c r="BJ1" t="s">
        <v>227</v>
      </c>
      <c r="BK1" t="s">
        <v>228</v>
      </c>
      <c r="BL1" t="s">
        <v>229</v>
      </c>
      <c r="BM1" t="s">
        <v>230</v>
      </c>
      <c r="BN1" t="s">
        <v>231</v>
      </c>
      <c r="BO1" t="s">
        <v>232</v>
      </c>
      <c r="BP1" t="s">
        <v>233</v>
      </c>
      <c r="BQ1" t="s">
        <v>234</v>
      </c>
      <c r="BR1" t="s">
        <v>235</v>
      </c>
      <c r="BS1" t="s">
        <v>236</v>
      </c>
      <c r="BT1" t="s">
        <v>237</v>
      </c>
      <c r="BU1" t="s">
        <v>238</v>
      </c>
      <c r="BV1" t="s">
        <v>239</v>
      </c>
      <c r="BW1" t="s">
        <v>240</v>
      </c>
      <c r="BX1" t="s">
        <v>241</v>
      </c>
      <c r="BY1" t="s">
        <v>242</v>
      </c>
      <c r="BZ1" t="s">
        <v>243</v>
      </c>
      <c r="CA1" t="s">
        <v>244</v>
      </c>
      <c r="CB1" t="s">
        <v>245</v>
      </c>
      <c r="CC1" t="s">
        <v>246</v>
      </c>
      <c r="CD1" t="s">
        <v>247</v>
      </c>
      <c r="CE1" t="s">
        <v>248</v>
      </c>
      <c r="CF1" t="s">
        <v>249</v>
      </c>
      <c r="CG1" t="s">
        <v>250</v>
      </c>
      <c r="CH1" t="s">
        <v>251</v>
      </c>
      <c r="CI1" t="s">
        <v>252</v>
      </c>
      <c r="CJ1" t="s">
        <v>253</v>
      </c>
      <c r="CK1" t="s">
        <v>254</v>
      </c>
      <c r="CL1" t="s">
        <v>255</v>
      </c>
      <c r="CM1" t="s">
        <v>256</v>
      </c>
      <c r="CN1" t="s">
        <v>257</v>
      </c>
      <c r="CO1" t="s">
        <v>258</v>
      </c>
      <c r="CP1" t="s">
        <v>259</v>
      </c>
      <c r="CQ1" t="s">
        <v>260</v>
      </c>
      <c r="CR1" t="s">
        <v>261</v>
      </c>
      <c r="CS1" t="s">
        <v>262</v>
      </c>
      <c r="CT1" t="s">
        <v>263</v>
      </c>
      <c r="CU1" t="s">
        <v>264</v>
      </c>
      <c r="CV1" t="s">
        <v>265</v>
      </c>
      <c r="CW1" t="s">
        <v>266</v>
      </c>
      <c r="CX1" t="s">
        <v>267</v>
      </c>
      <c r="CY1" t="s">
        <v>268</v>
      </c>
      <c r="CZ1" t="s">
        <v>269</v>
      </c>
      <c r="DA1" t="s">
        <v>270</v>
      </c>
      <c r="DB1" t="s">
        <v>271</v>
      </c>
      <c r="DC1" t="s">
        <v>272</v>
      </c>
      <c r="DD1" t="s">
        <v>273</v>
      </c>
      <c r="DE1" t="s">
        <v>274</v>
      </c>
      <c r="DF1" t="s">
        <v>275</v>
      </c>
      <c r="DG1" t="s">
        <v>276</v>
      </c>
      <c r="DH1" t="s">
        <v>277</v>
      </c>
      <c r="DI1" t="s">
        <v>278</v>
      </c>
      <c r="DJ1" t="s">
        <v>279</v>
      </c>
      <c r="DK1" t="s">
        <v>280</v>
      </c>
      <c r="DL1" t="s">
        <v>281</v>
      </c>
      <c r="DM1" t="s">
        <v>282</v>
      </c>
      <c r="DN1" t="s">
        <v>283</v>
      </c>
      <c r="DO1" t="s">
        <v>284</v>
      </c>
      <c r="DP1" t="s">
        <v>285</v>
      </c>
      <c r="DQ1" t="s">
        <v>286</v>
      </c>
      <c r="DR1" t="s">
        <v>287</v>
      </c>
      <c r="DS1" t="s">
        <v>288</v>
      </c>
      <c r="DT1" t="s">
        <v>289</v>
      </c>
      <c r="DU1" t="s">
        <v>290</v>
      </c>
      <c r="DV1" t="s">
        <v>291</v>
      </c>
      <c r="DW1" t="s">
        <v>292</v>
      </c>
      <c r="DX1" t="s">
        <v>293</v>
      </c>
      <c r="DY1" t="s">
        <v>294</v>
      </c>
    </row>
    <row r="2" spans="1:129">
      <c r="A2" s="29"/>
    </row>
    <row r="3" spans="1:129">
      <c r="A3" s="29"/>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dimension ref="A1:DY4"/>
  <sheetViews>
    <sheetView workbookViewId="0"/>
  </sheetViews>
  <sheetFormatPr defaultRowHeight="13.5"/>
  <cols>
    <col min="129" max="129" width="23.625" bestFit="1" customWidth="1"/>
  </cols>
  <sheetData>
    <row r="1" spans="1:129">
      <c r="A1" t="s">
        <v>168</v>
      </c>
      <c r="B1" t="s">
        <v>1</v>
      </c>
      <c r="C1" t="s">
        <v>169</v>
      </c>
      <c r="D1" t="s">
        <v>170</v>
      </c>
      <c r="E1" t="s">
        <v>171</v>
      </c>
      <c r="F1" t="s">
        <v>172</v>
      </c>
      <c r="G1" t="s">
        <v>173</v>
      </c>
      <c r="H1" t="s">
        <v>174</v>
      </c>
      <c r="I1" t="s">
        <v>175</v>
      </c>
      <c r="J1" t="s">
        <v>176</v>
      </c>
      <c r="K1" t="s">
        <v>177</v>
      </c>
      <c r="L1" t="s">
        <v>178</v>
      </c>
      <c r="M1" t="s">
        <v>179</v>
      </c>
      <c r="N1" t="s">
        <v>180</v>
      </c>
      <c r="O1" t="s">
        <v>181</v>
      </c>
      <c r="P1" t="s">
        <v>182</v>
      </c>
      <c r="Q1" t="s">
        <v>183</v>
      </c>
      <c r="R1" t="s">
        <v>184</v>
      </c>
      <c r="S1" t="s">
        <v>185</v>
      </c>
      <c r="T1" t="s">
        <v>186</v>
      </c>
      <c r="U1" t="s">
        <v>187</v>
      </c>
      <c r="V1" t="s">
        <v>188</v>
      </c>
      <c r="W1" t="s">
        <v>189</v>
      </c>
      <c r="X1" t="s">
        <v>190</v>
      </c>
      <c r="Y1" t="s">
        <v>191</v>
      </c>
      <c r="Z1" t="s">
        <v>192</v>
      </c>
      <c r="AA1" t="s">
        <v>193</v>
      </c>
      <c r="AB1" t="s">
        <v>194</v>
      </c>
      <c r="AC1" t="s">
        <v>195</v>
      </c>
      <c r="AD1" t="s">
        <v>196</v>
      </c>
      <c r="AE1" t="s">
        <v>197</v>
      </c>
      <c r="AF1" t="s">
        <v>198</v>
      </c>
      <c r="AG1" t="s">
        <v>199</v>
      </c>
      <c r="AH1" t="s">
        <v>200</v>
      </c>
      <c r="AI1" t="s">
        <v>201</v>
      </c>
      <c r="AJ1" t="s">
        <v>202</v>
      </c>
      <c r="AK1" t="s">
        <v>203</v>
      </c>
      <c r="AL1" t="s">
        <v>204</v>
      </c>
      <c r="AM1" t="s">
        <v>205</v>
      </c>
      <c r="AN1" t="s">
        <v>206</v>
      </c>
      <c r="AO1" t="s">
        <v>207</v>
      </c>
      <c r="AP1" t="s">
        <v>208</v>
      </c>
      <c r="AQ1" t="s">
        <v>209</v>
      </c>
      <c r="AR1" t="s">
        <v>210</v>
      </c>
      <c r="AS1" t="s">
        <v>2648</v>
      </c>
      <c r="AT1" t="s">
        <v>211</v>
      </c>
      <c r="AU1" t="s">
        <v>212</v>
      </c>
      <c r="AV1" t="s">
        <v>213</v>
      </c>
      <c r="AW1" t="s">
        <v>214</v>
      </c>
      <c r="AX1" t="s">
        <v>215</v>
      </c>
      <c r="AY1" t="s">
        <v>216</v>
      </c>
      <c r="AZ1" t="s">
        <v>217</v>
      </c>
      <c r="BA1" t="s">
        <v>218</v>
      </c>
      <c r="BB1" t="s">
        <v>219</v>
      </c>
      <c r="BC1" t="s">
        <v>220</v>
      </c>
      <c r="BD1" t="s">
        <v>221</v>
      </c>
      <c r="BE1" t="s">
        <v>222</v>
      </c>
      <c r="BF1" t="s">
        <v>223</v>
      </c>
      <c r="BG1" t="s">
        <v>224</v>
      </c>
      <c r="BH1" t="s">
        <v>225</v>
      </c>
      <c r="BI1" t="s">
        <v>226</v>
      </c>
      <c r="BJ1" t="s">
        <v>227</v>
      </c>
      <c r="BK1" t="s">
        <v>228</v>
      </c>
      <c r="BL1" t="s">
        <v>229</v>
      </c>
      <c r="BM1" t="s">
        <v>230</v>
      </c>
      <c r="BN1" t="s">
        <v>231</v>
      </c>
      <c r="BO1" t="s">
        <v>232</v>
      </c>
      <c r="BP1" t="s">
        <v>233</v>
      </c>
      <c r="BQ1" t="s">
        <v>234</v>
      </c>
      <c r="BR1" t="s">
        <v>235</v>
      </c>
      <c r="BS1" t="s">
        <v>236</v>
      </c>
      <c r="BT1" t="s">
        <v>237</v>
      </c>
      <c r="BU1" t="s">
        <v>238</v>
      </c>
      <c r="BV1" t="s">
        <v>239</v>
      </c>
      <c r="BW1" t="s">
        <v>240</v>
      </c>
      <c r="BX1" t="s">
        <v>241</v>
      </c>
      <c r="BY1" t="s">
        <v>242</v>
      </c>
      <c r="BZ1" t="s">
        <v>243</v>
      </c>
      <c r="CA1" t="s">
        <v>244</v>
      </c>
      <c r="CB1" t="s">
        <v>245</v>
      </c>
      <c r="CC1" t="s">
        <v>246</v>
      </c>
      <c r="CD1" t="s">
        <v>247</v>
      </c>
      <c r="CE1" t="s">
        <v>248</v>
      </c>
      <c r="CF1" t="s">
        <v>249</v>
      </c>
      <c r="CG1" t="s">
        <v>250</v>
      </c>
      <c r="CH1" t="s">
        <v>251</v>
      </c>
      <c r="CI1" t="s">
        <v>252</v>
      </c>
      <c r="CJ1" t="s">
        <v>253</v>
      </c>
      <c r="CK1" t="s">
        <v>254</v>
      </c>
      <c r="CL1" t="s">
        <v>255</v>
      </c>
      <c r="CM1" t="s">
        <v>256</v>
      </c>
      <c r="CN1" t="s">
        <v>257</v>
      </c>
      <c r="CO1" t="s">
        <v>258</v>
      </c>
      <c r="CP1" t="s">
        <v>259</v>
      </c>
      <c r="CQ1" t="s">
        <v>260</v>
      </c>
      <c r="CR1" t="s">
        <v>261</v>
      </c>
      <c r="CS1" t="s">
        <v>262</v>
      </c>
      <c r="CT1" t="s">
        <v>263</v>
      </c>
      <c r="CU1" t="s">
        <v>264</v>
      </c>
      <c r="CV1" t="s">
        <v>265</v>
      </c>
      <c r="CW1" t="s">
        <v>266</v>
      </c>
      <c r="CX1" t="s">
        <v>267</v>
      </c>
      <c r="CY1" t="s">
        <v>268</v>
      </c>
      <c r="CZ1" t="s">
        <v>269</v>
      </c>
      <c r="DA1" t="s">
        <v>270</v>
      </c>
      <c r="DB1" t="s">
        <v>271</v>
      </c>
      <c r="DC1" t="s">
        <v>272</v>
      </c>
      <c r="DD1" t="s">
        <v>273</v>
      </c>
      <c r="DE1" t="s">
        <v>274</v>
      </c>
      <c r="DF1" t="s">
        <v>275</v>
      </c>
      <c r="DG1" t="s">
        <v>276</v>
      </c>
      <c r="DH1" t="s">
        <v>277</v>
      </c>
      <c r="DI1" t="s">
        <v>278</v>
      </c>
      <c r="DJ1" t="s">
        <v>279</v>
      </c>
      <c r="DK1" t="s">
        <v>280</v>
      </c>
      <c r="DL1" t="s">
        <v>281</v>
      </c>
      <c r="DM1" t="s">
        <v>282</v>
      </c>
      <c r="DN1" t="s">
        <v>283</v>
      </c>
      <c r="DO1" t="s">
        <v>284</v>
      </c>
      <c r="DP1" t="s">
        <v>285</v>
      </c>
      <c r="DQ1" t="s">
        <v>286</v>
      </c>
      <c r="DR1" t="s">
        <v>287</v>
      </c>
      <c r="DS1" t="s">
        <v>288</v>
      </c>
      <c r="DT1" t="s">
        <v>289</v>
      </c>
      <c r="DU1" t="s">
        <v>290</v>
      </c>
      <c r="DV1" t="s">
        <v>291</v>
      </c>
      <c r="DW1" t="s">
        <v>292</v>
      </c>
      <c r="DX1" t="s">
        <v>293</v>
      </c>
      <c r="DY1" t="s">
        <v>294</v>
      </c>
    </row>
    <row r="2" spans="1:129">
      <c r="A2" s="29"/>
    </row>
    <row r="3" spans="1:129">
      <c r="A3" s="29"/>
    </row>
    <row r="4" spans="1:129">
      <c r="A4" s="29"/>
    </row>
  </sheetData>
  <phoneticPr fontId="4"/>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A1:H20"/>
  <sheetViews>
    <sheetView workbookViewId="0">
      <selection activeCell="A10" sqref="A10:A16"/>
    </sheetView>
  </sheetViews>
  <sheetFormatPr defaultRowHeight="13.5"/>
  <cols>
    <col min="2" max="2" width="8.25" bestFit="1" customWidth="1"/>
  </cols>
  <sheetData>
    <row r="1" spans="1:8" ht="14.25" thickBot="1">
      <c r="B1" s="30"/>
      <c r="C1" s="31"/>
      <c r="D1" s="31"/>
      <c r="E1" s="31"/>
    </row>
    <row r="2" spans="1:8">
      <c r="A2" s="91" t="s">
        <v>2642</v>
      </c>
      <c r="B2" s="97" t="s">
        <v>295</v>
      </c>
      <c r="C2" s="97"/>
      <c r="D2" s="97"/>
      <c r="E2" s="98"/>
      <c r="F2" s="44"/>
      <c r="G2" s="44"/>
      <c r="H2" s="45"/>
    </row>
    <row r="3" spans="1:8" ht="27" customHeight="1">
      <c r="A3" s="92"/>
      <c r="B3" s="42" t="s">
        <v>296</v>
      </c>
      <c r="C3" s="106" t="s">
        <v>297</v>
      </c>
      <c r="D3" s="100"/>
      <c r="E3" s="100"/>
      <c r="F3" s="100"/>
      <c r="G3" s="100"/>
      <c r="H3" s="101"/>
    </row>
    <row r="4" spans="1:8">
      <c r="A4" s="92"/>
      <c r="B4" s="43" t="s">
        <v>298</v>
      </c>
      <c r="C4" s="102" t="s">
        <v>297</v>
      </c>
      <c r="D4" s="102"/>
      <c r="E4" s="102"/>
      <c r="F4" s="102"/>
      <c r="G4" s="102"/>
      <c r="H4" s="103"/>
    </row>
    <row r="5" spans="1:8">
      <c r="A5" s="92"/>
      <c r="B5" s="32"/>
      <c r="C5" s="33"/>
      <c r="D5" s="33"/>
      <c r="E5" s="33"/>
      <c r="F5" s="33"/>
      <c r="G5" s="33"/>
      <c r="H5" s="46"/>
    </row>
    <row r="6" spans="1:8">
      <c r="A6" s="92"/>
      <c r="B6" s="104" t="s">
        <v>295</v>
      </c>
      <c r="C6" s="104"/>
      <c r="D6" s="104"/>
      <c r="E6" s="105"/>
      <c r="H6" s="10"/>
    </row>
    <row r="7" spans="1:8" ht="27" customHeight="1">
      <c r="A7" s="92"/>
      <c r="B7" s="42" t="s">
        <v>299</v>
      </c>
      <c r="C7" s="107" t="s">
        <v>2993</v>
      </c>
      <c r="D7" s="100"/>
      <c r="E7" s="100"/>
      <c r="F7" s="100"/>
      <c r="G7" s="100"/>
      <c r="H7" s="101"/>
    </row>
    <row r="8" spans="1:8" ht="14.25" thickBot="1">
      <c r="A8" s="93"/>
      <c r="B8" s="47" t="s">
        <v>298</v>
      </c>
      <c r="C8" s="89" t="s">
        <v>300</v>
      </c>
      <c r="D8" s="89"/>
      <c r="E8" s="89"/>
      <c r="F8" s="89"/>
      <c r="G8" s="89"/>
      <c r="H8" s="90"/>
    </row>
    <row r="9" spans="1:8" ht="14.25" thickBot="1"/>
    <row r="10" spans="1:8">
      <c r="A10" s="94" t="s">
        <v>2643</v>
      </c>
      <c r="B10" s="97" t="s">
        <v>295</v>
      </c>
      <c r="C10" s="97"/>
      <c r="D10" s="97"/>
      <c r="E10" s="98"/>
      <c r="F10" s="44"/>
      <c r="G10" s="44"/>
      <c r="H10" s="45"/>
    </row>
    <row r="11" spans="1:8" ht="27" customHeight="1">
      <c r="A11" s="95"/>
      <c r="B11" s="42" t="s">
        <v>296</v>
      </c>
      <c r="C11" s="99" t="s">
        <v>2644</v>
      </c>
      <c r="D11" s="100"/>
      <c r="E11" s="100"/>
      <c r="F11" s="100"/>
      <c r="G11" s="100"/>
      <c r="H11" s="101"/>
    </row>
    <row r="12" spans="1:8">
      <c r="A12" s="95"/>
      <c r="B12" s="43" t="s">
        <v>298</v>
      </c>
      <c r="C12" s="102" t="s">
        <v>297</v>
      </c>
      <c r="D12" s="102"/>
      <c r="E12" s="102"/>
      <c r="F12" s="102"/>
      <c r="G12" s="102"/>
      <c r="H12" s="103"/>
    </row>
    <row r="13" spans="1:8">
      <c r="A13" s="95"/>
      <c r="B13" s="32"/>
      <c r="C13" s="33"/>
      <c r="D13" s="33"/>
      <c r="E13" s="33"/>
      <c r="F13" s="33"/>
      <c r="G13" s="33"/>
      <c r="H13" s="46"/>
    </row>
    <row r="14" spans="1:8">
      <c r="A14" s="95"/>
      <c r="B14" s="104" t="s">
        <v>295</v>
      </c>
      <c r="C14" s="104"/>
      <c r="D14" s="104"/>
      <c r="E14" s="105"/>
      <c r="H14" s="10"/>
    </row>
    <row r="15" spans="1:8" ht="27" customHeight="1">
      <c r="A15" s="95"/>
      <c r="B15" s="42" t="s">
        <v>299</v>
      </c>
      <c r="C15" s="100" t="s">
        <v>2645</v>
      </c>
      <c r="D15" s="100"/>
      <c r="E15" s="100"/>
      <c r="F15" s="100"/>
      <c r="G15" s="100"/>
      <c r="H15" s="101"/>
    </row>
    <row r="16" spans="1:8" ht="14.25" thickBot="1">
      <c r="A16" s="96"/>
      <c r="B16" s="47" t="s">
        <v>298</v>
      </c>
      <c r="C16" s="89" t="s">
        <v>300</v>
      </c>
      <c r="D16" s="89"/>
      <c r="E16" s="89"/>
      <c r="F16" s="89"/>
      <c r="G16" s="89"/>
      <c r="H16" s="90"/>
    </row>
    <row r="17" spans="1:8" ht="14.25" thickBot="1"/>
    <row r="18" spans="1:8" ht="4.9000000000000004" customHeight="1">
      <c r="A18" s="51"/>
      <c r="B18" s="54"/>
      <c r="C18" s="44"/>
      <c r="D18" s="44"/>
      <c r="E18" s="44"/>
      <c r="F18" s="44"/>
      <c r="G18" s="45"/>
    </row>
    <row r="19" spans="1:8" ht="21.6" customHeight="1">
      <c r="A19" s="52" t="s">
        <v>2937</v>
      </c>
      <c r="B19" s="86" t="s">
        <v>2938</v>
      </c>
      <c r="C19" s="87"/>
      <c r="D19" s="87"/>
      <c r="E19" s="87"/>
      <c r="F19" s="87"/>
      <c r="G19" s="88"/>
      <c r="H19" t="s">
        <v>2992</v>
      </c>
    </row>
    <row r="20" spans="1:8" ht="7.15" customHeight="1" thickBot="1">
      <c r="A20" s="53"/>
      <c r="B20" s="55"/>
      <c r="C20" s="11"/>
      <c r="D20" s="11"/>
      <c r="E20" s="11"/>
      <c r="F20" s="11"/>
      <c r="G20" s="12"/>
    </row>
  </sheetData>
  <mergeCells count="15">
    <mergeCell ref="B19:G19"/>
    <mergeCell ref="C16:H16"/>
    <mergeCell ref="A2:A8"/>
    <mergeCell ref="A10:A16"/>
    <mergeCell ref="B10:E10"/>
    <mergeCell ref="C11:H11"/>
    <mergeCell ref="C12:H12"/>
    <mergeCell ref="B14:E14"/>
    <mergeCell ref="C15:H15"/>
    <mergeCell ref="C8:H8"/>
    <mergeCell ref="B2:E2"/>
    <mergeCell ref="C3:H3"/>
    <mergeCell ref="C4:H4"/>
    <mergeCell ref="B6:E6"/>
    <mergeCell ref="C7:H7"/>
  </mergeCells>
  <phoneticPr fontId="4"/>
  <hyperlinks>
    <hyperlink ref="C3" r:id="rId1" xr:uid="{00000000-0004-0000-0200-000000000000}"/>
    <hyperlink ref="C7" r:id="rId2" xr:uid="{00000000-0004-0000-0200-000001000000}"/>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ボタン1_Click">
                <anchor moveWithCells="1" sizeWithCells="1">
                  <from>
                    <xdr:col>6</xdr:col>
                    <xdr:colOff>57150</xdr:colOff>
                    <xdr:row>20</xdr:row>
                    <xdr:rowOff>57150</xdr:rowOff>
                  </from>
                  <to>
                    <xdr:col>7</xdr:col>
                    <xdr:colOff>600075</xdr:colOff>
                    <xdr:row>22</xdr:row>
                    <xdr:rowOff>66675</xdr:rowOff>
                  </to>
                </anchor>
              </controlPr>
            </control>
          </mc:Choice>
        </mc:AlternateContent>
        <mc:AlternateContent xmlns:mc="http://schemas.openxmlformats.org/markup-compatibility/2006">
          <mc:Choice Requires="x14">
            <control shapeId="1027" r:id="rId7" name="Button 3">
              <controlPr defaultSize="0" print="0" autoFill="0" autoPict="0" macro="[0]!ボタン2_Click">
                <anchor moveWithCells="1" sizeWithCells="1">
                  <from>
                    <xdr:col>8</xdr:col>
                    <xdr:colOff>676275</xdr:colOff>
                    <xdr:row>0</xdr:row>
                    <xdr:rowOff>171450</xdr:rowOff>
                  </from>
                  <to>
                    <xdr:col>13</xdr:col>
                    <xdr:colOff>666750</xdr:colOff>
                    <xdr:row>2</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A1E3FB0-AC3C-421E-BD7B-AC55F0B82152}">
          <x14:formula1>
            <xm:f>出品ID!$A:$A</xm:f>
          </x14:formula1>
          <xm:sqref>B19:G19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dimension ref="A1:I12829"/>
  <sheetViews>
    <sheetView topLeftCell="E425" zoomScale="115" zoomScaleNormal="115" workbookViewId="0">
      <selection activeCell="I458" sqref="I458"/>
    </sheetView>
  </sheetViews>
  <sheetFormatPr defaultColWidth="9" defaultRowHeight="13.5"/>
  <cols>
    <col min="1" max="1" width="12.375" style="34" bestFit="1" customWidth="1"/>
    <col min="2" max="2" width="22.375" style="35" bestFit="1" customWidth="1"/>
    <col min="3" max="3" width="22.625" style="35" bestFit="1" customWidth="1"/>
    <col min="4" max="4" width="27.75" style="35" bestFit="1" customWidth="1"/>
    <col min="5" max="5" width="32.75" style="35" bestFit="1" customWidth="1"/>
    <col min="6" max="6" width="33.75" style="35" bestFit="1" customWidth="1"/>
    <col min="7" max="8" width="39.125" style="35" bestFit="1" customWidth="1"/>
    <col min="9" max="9" width="19" style="35" bestFit="1" customWidth="1"/>
    <col min="10" max="16384" width="9" style="35"/>
  </cols>
  <sheetData>
    <row r="1" spans="1:6">
      <c r="A1" s="34">
        <v>2084037556</v>
      </c>
      <c r="B1" s="35" t="s">
        <v>301</v>
      </c>
      <c r="C1" s="35" t="s">
        <v>302</v>
      </c>
      <c r="D1" s="35" t="s">
        <v>303</v>
      </c>
      <c r="E1" s="35" t="s">
        <v>304</v>
      </c>
    </row>
    <row r="2" spans="1:6">
      <c r="A2" s="34">
        <v>2084037554</v>
      </c>
      <c r="B2" s="35" t="s">
        <v>301</v>
      </c>
      <c r="C2" s="35" t="s">
        <v>302</v>
      </c>
      <c r="D2" s="35" t="s">
        <v>303</v>
      </c>
      <c r="E2" s="35" t="s">
        <v>305</v>
      </c>
    </row>
    <row r="3" spans="1:6">
      <c r="A3" s="34">
        <v>2084037544</v>
      </c>
      <c r="B3" s="35" t="s">
        <v>301</v>
      </c>
      <c r="C3" s="35" t="s">
        <v>302</v>
      </c>
      <c r="D3" s="35" t="s">
        <v>303</v>
      </c>
      <c r="E3" s="35" t="s">
        <v>306</v>
      </c>
    </row>
    <row r="4" spans="1:6">
      <c r="A4" s="34">
        <v>2084037536</v>
      </c>
      <c r="B4" s="35" t="s">
        <v>301</v>
      </c>
      <c r="C4" s="35" t="s">
        <v>302</v>
      </c>
      <c r="D4" s="35" t="s">
        <v>303</v>
      </c>
      <c r="E4" s="35" t="s">
        <v>307</v>
      </c>
    </row>
    <row r="5" spans="1:6">
      <c r="A5" s="34">
        <v>2084037771</v>
      </c>
      <c r="B5" s="35" t="s">
        <v>301</v>
      </c>
      <c r="C5" s="35" t="s">
        <v>302</v>
      </c>
      <c r="D5" s="35" t="s">
        <v>303</v>
      </c>
      <c r="E5" s="35" t="s">
        <v>308</v>
      </c>
      <c r="F5" s="35" t="s">
        <v>309</v>
      </c>
    </row>
    <row r="6" spans="1:6">
      <c r="A6" s="34">
        <v>2084037773</v>
      </c>
      <c r="B6" s="35" t="s">
        <v>301</v>
      </c>
      <c r="C6" s="35" t="s">
        <v>302</v>
      </c>
      <c r="D6" s="35" t="s">
        <v>303</v>
      </c>
      <c r="E6" s="35" t="s">
        <v>308</v>
      </c>
      <c r="F6" s="35" t="s">
        <v>310</v>
      </c>
    </row>
    <row r="7" spans="1:6">
      <c r="A7" s="34">
        <v>2084052614</v>
      </c>
      <c r="B7" s="35" t="s">
        <v>301</v>
      </c>
      <c r="C7" s="35" t="s">
        <v>302</v>
      </c>
      <c r="D7" s="35" t="s">
        <v>303</v>
      </c>
      <c r="E7" s="35" t="s">
        <v>308</v>
      </c>
      <c r="F7" s="35" t="s">
        <v>311</v>
      </c>
    </row>
    <row r="8" spans="1:6">
      <c r="A8" s="34">
        <v>2084038147</v>
      </c>
      <c r="B8" s="35" t="s">
        <v>301</v>
      </c>
      <c r="C8" s="35" t="s">
        <v>302</v>
      </c>
      <c r="D8" s="35" t="s">
        <v>303</v>
      </c>
      <c r="E8" s="35" t="s">
        <v>308</v>
      </c>
      <c r="F8" s="35" t="s">
        <v>312</v>
      </c>
    </row>
    <row r="9" spans="1:6">
      <c r="A9" s="34">
        <v>2084037774</v>
      </c>
      <c r="B9" s="35" t="s">
        <v>301</v>
      </c>
      <c r="C9" s="35" t="s">
        <v>302</v>
      </c>
      <c r="D9" s="35" t="s">
        <v>303</v>
      </c>
      <c r="E9" s="35" t="s">
        <v>308</v>
      </c>
      <c r="F9" s="35" t="s">
        <v>313</v>
      </c>
    </row>
    <row r="10" spans="1:6">
      <c r="A10" s="34">
        <v>2084038142</v>
      </c>
      <c r="B10" s="35" t="s">
        <v>301</v>
      </c>
      <c r="C10" s="35" t="s">
        <v>302</v>
      </c>
      <c r="D10" s="35" t="s">
        <v>303</v>
      </c>
      <c r="E10" s="35" t="s">
        <v>308</v>
      </c>
      <c r="F10" s="35" t="s">
        <v>314</v>
      </c>
    </row>
    <row r="11" spans="1:6">
      <c r="A11" s="34">
        <v>2084037775</v>
      </c>
      <c r="B11" s="35" t="s">
        <v>301</v>
      </c>
      <c r="C11" s="35" t="s">
        <v>302</v>
      </c>
      <c r="D11" s="35" t="s">
        <v>303</v>
      </c>
      <c r="E11" s="35" t="s">
        <v>308</v>
      </c>
      <c r="F11" s="35" t="s">
        <v>315</v>
      </c>
    </row>
    <row r="12" spans="1:6">
      <c r="A12" s="34">
        <v>2084037794</v>
      </c>
      <c r="B12" s="35" t="s">
        <v>301</v>
      </c>
      <c r="C12" s="35" t="s">
        <v>302</v>
      </c>
      <c r="D12" s="35" t="s">
        <v>303</v>
      </c>
      <c r="E12" s="35" t="s">
        <v>308</v>
      </c>
      <c r="F12" s="35" t="s">
        <v>316</v>
      </c>
    </row>
    <row r="13" spans="1:6">
      <c r="A13" s="34">
        <v>2084037777</v>
      </c>
      <c r="B13" s="35" t="s">
        <v>301</v>
      </c>
      <c r="C13" s="35" t="s">
        <v>302</v>
      </c>
      <c r="D13" s="35" t="s">
        <v>303</v>
      </c>
      <c r="E13" s="35" t="s">
        <v>308</v>
      </c>
      <c r="F13" s="35" t="s">
        <v>317</v>
      </c>
    </row>
    <row r="14" spans="1:6">
      <c r="A14" s="34">
        <v>2084037779</v>
      </c>
      <c r="B14" s="35" t="s">
        <v>301</v>
      </c>
      <c r="C14" s="35" t="s">
        <v>302</v>
      </c>
      <c r="D14" s="35" t="s">
        <v>303</v>
      </c>
      <c r="E14" s="35" t="s">
        <v>308</v>
      </c>
      <c r="F14" s="35" t="s">
        <v>318</v>
      </c>
    </row>
    <row r="15" spans="1:6">
      <c r="A15" s="34">
        <v>2084038131</v>
      </c>
      <c r="B15" s="35" t="s">
        <v>301</v>
      </c>
      <c r="C15" s="35" t="s">
        <v>302</v>
      </c>
      <c r="D15" s="35" t="s">
        <v>303</v>
      </c>
      <c r="E15" s="35" t="s">
        <v>308</v>
      </c>
      <c r="F15" s="35" t="s">
        <v>319</v>
      </c>
    </row>
    <row r="16" spans="1:6">
      <c r="A16" s="34">
        <v>2084052578</v>
      </c>
      <c r="B16" s="35" t="s">
        <v>301</v>
      </c>
      <c r="C16" s="35" t="s">
        <v>302</v>
      </c>
      <c r="D16" s="35" t="s">
        <v>303</v>
      </c>
      <c r="E16" s="35" t="s">
        <v>308</v>
      </c>
      <c r="F16" s="35" t="s">
        <v>320</v>
      </c>
    </row>
    <row r="17" spans="1:7">
      <c r="A17" s="34">
        <v>2084037781</v>
      </c>
      <c r="B17" s="35" t="s">
        <v>301</v>
      </c>
      <c r="C17" s="35" t="s">
        <v>302</v>
      </c>
      <c r="D17" s="35" t="s">
        <v>303</v>
      </c>
      <c r="E17" s="35" t="s">
        <v>308</v>
      </c>
      <c r="F17" s="35" t="s">
        <v>321</v>
      </c>
    </row>
    <row r="18" spans="1:7">
      <c r="A18" s="34">
        <v>2084061800</v>
      </c>
      <c r="B18" s="35" t="s">
        <v>301</v>
      </c>
      <c r="C18" s="35" t="s">
        <v>302</v>
      </c>
      <c r="D18" s="35" t="s">
        <v>303</v>
      </c>
      <c r="E18" s="35" t="s">
        <v>308</v>
      </c>
      <c r="F18" s="35" t="s">
        <v>322</v>
      </c>
    </row>
    <row r="19" spans="1:7">
      <c r="A19" s="34">
        <v>2084037772</v>
      </c>
      <c r="B19" s="35" t="s">
        <v>301</v>
      </c>
      <c r="C19" s="35" t="s">
        <v>302</v>
      </c>
      <c r="D19" s="35" t="s">
        <v>303</v>
      </c>
      <c r="E19" s="35" t="s">
        <v>308</v>
      </c>
      <c r="F19" s="35" t="s">
        <v>323</v>
      </c>
    </row>
    <row r="20" spans="1:7">
      <c r="A20" s="34">
        <v>2084047512</v>
      </c>
      <c r="B20" s="35" t="s">
        <v>301</v>
      </c>
      <c r="C20" s="35" t="s">
        <v>302</v>
      </c>
      <c r="D20" s="35" t="s">
        <v>324</v>
      </c>
      <c r="E20" s="35" t="s">
        <v>325</v>
      </c>
    </row>
    <row r="21" spans="1:7">
      <c r="A21" s="34">
        <v>26140</v>
      </c>
      <c r="B21" s="35" t="s">
        <v>301</v>
      </c>
      <c r="C21" s="35" t="s">
        <v>302</v>
      </c>
      <c r="D21" s="35" t="s">
        <v>324</v>
      </c>
      <c r="E21" s="35" t="s">
        <v>326</v>
      </c>
    </row>
    <row r="22" spans="1:7">
      <c r="A22" s="34">
        <v>2084037454</v>
      </c>
      <c r="B22" s="35" t="s">
        <v>301</v>
      </c>
      <c r="C22" s="35" t="s">
        <v>302</v>
      </c>
      <c r="D22" s="35" t="s">
        <v>324</v>
      </c>
      <c r="E22" s="35" t="s">
        <v>327</v>
      </c>
      <c r="F22" s="35" t="s">
        <v>328</v>
      </c>
      <c r="G22" s="35" t="s">
        <v>329</v>
      </c>
    </row>
    <row r="23" spans="1:7">
      <c r="A23" s="34">
        <v>2084037464</v>
      </c>
      <c r="B23" s="35" t="s">
        <v>301</v>
      </c>
      <c r="C23" s="35" t="s">
        <v>302</v>
      </c>
      <c r="D23" s="35" t="s">
        <v>324</v>
      </c>
      <c r="E23" s="35" t="s">
        <v>327</v>
      </c>
      <c r="F23" s="35" t="s">
        <v>328</v>
      </c>
      <c r="G23" s="35" t="s">
        <v>330</v>
      </c>
    </row>
    <row r="24" spans="1:7">
      <c r="A24" s="34">
        <v>2084037459</v>
      </c>
      <c r="B24" s="35" t="s">
        <v>301</v>
      </c>
      <c r="C24" s="35" t="s">
        <v>302</v>
      </c>
      <c r="D24" s="35" t="s">
        <v>324</v>
      </c>
      <c r="E24" s="35" t="s">
        <v>327</v>
      </c>
      <c r="F24" s="35" t="s">
        <v>328</v>
      </c>
      <c r="G24" s="35" t="s">
        <v>331</v>
      </c>
    </row>
    <row r="25" spans="1:7">
      <c r="A25" s="34">
        <v>2084037467</v>
      </c>
      <c r="B25" s="35" t="s">
        <v>301</v>
      </c>
      <c r="C25" s="35" t="s">
        <v>302</v>
      </c>
      <c r="D25" s="35" t="s">
        <v>324</v>
      </c>
      <c r="E25" s="35" t="s">
        <v>327</v>
      </c>
      <c r="F25" s="35" t="s">
        <v>328</v>
      </c>
      <c r="G25" s="35" t="s">
        <v>332</v>
      </c>
    </row>
    <row r="26" spans="1:7">
      <c r="A26" s="34">
        <v>2084037470</v>
      </c>
      <c r="B26" s="35" t="s">
        <v>301</v>
      </c>
      <c r="C26" s="35" t="s">
        <v>302</v>
      </c>
      <c r="D26" s="35" t="s">
        <v>324</v>
      </c>
      <c r="E26" s="35" t="s">
        <v>327</v>
      </c>
      <c r="F26" s="35" t="s">
        <v>328</v>
      </c>
      <c r="G26" s="35" t="s">
        <v>333</v>
      </c>
    </row>
    <row r="27" spans="1:7">
      <c r="A27" s="34">
        <v>2084037455</v>
      </c>
      <c r="B27" s="35" t="s">
        <v>301</v>
      </c>
      <c r="C27" s="35" t="s">
        <v>302</v>
      </c>
      <c r="D27" s="35" t="s">
        <v>324</v>
      </c>
      <c r="E27" s="35" t="s">
        <v>327</v>
      </c>
      <c r="F27" s="35" t="s">
        <v>328</v>
      </c>
      <c r="G27" s="35" t="s">
        <v>334</v>
      </c>
    </row>
    <row r="28" spans="1:7">
      <c r="A28" s="34">
        <v>2084037471</v>
      </c>
      <c r="B28" s="35" t="s">
        <v>301</v>
      </c>
      <c r="C28" s="35" t="s">
        <v>302</v>
      </c>
      <c r="D28" s="35" t="s">
        <v>324</v>
      </c>
      <c r="E28" s="35" t="s">
        <v>327</v>
      </c>
      <c r="F28" s="35" t="s">
        <v>328</v>
      </c>
      <c r="G28" s="35" t="s">
        <v>335</v>
      </c>
    </row>
    <row r="29" spans="1:7">
      <c r="A29" s="34">
        <v>2084037485</v>
      </c>
      <c r="B29" s="35" t="s">
        <v>301</v>
      </c>
      <c r="C29" s="35" t="s">
        <v>302</v>
      </c>
      <c r="D29" s="35" t="s">
        <v>324</v>
      </c>
      <c r="E29" s="35" t="s">
        <v>327</v>
      </c>
      <c r="F29" s="35" t="s">
        <v>311</v>
      </c>
    </row>
    <row r="30" spans="1:7">
      <c r="A30" s="34">
        <v>2084037477</v>
      </c>
      <c r="B30" s="35" t="s">
        <v>301</v>
      </c>
      <c r="C30" s="35" t="s">
        <v>302</v>
      </c>
      <c r="D30" s="35" t="s">
        <v>324</v>
      </c>
      <c r="E30" s="35" t="s">
        <v>327</v>
      </c>
      <c r="F30" s="35" t="s">
        <v>336</v>
      </c>
    </row>
    <row r="31" spans="1:7">
      <c r="A31" s="34">
        <v>2084037475</v>
      </c>
      <c r="B31" s="35" t="s">
        <v>301</v>
      </c>
      <c r="C31" s="35" t="s">
        <v>302</v>
      </c>
      <c r="D31" s="35" t="s">
        <v>324</v>
      </c>
      <c r="E31" s="35" t="s">
        <v>327</v>
      </c>
      <c r="F31" s="35" t="s">
        <v>337</v>
      </c>
    </row>
    <row r="32" spans="1:7">
      <c r="A32" s="34">
        <v>2084037487</v>
      </c>
      <c r="B32" s="35" t="s">
        <v>301</v>
      </c>
      <c r="C32" s="35" t="s">
        <v>302</v>
      </c>
      <c r="D32" s="35" t="s">
        <v>324</v>
      </c>
      <c r="E32" s="35" t="s">
        <v>327</v>
      </c>
      <c r="F32" s="35" t="s">
        <v>338</v>
      </c>
    </row>
    <row r="33" spans="1:7">
      <c r="A33" s="34">
        <v>2084037601</v>
      </c>
      <c r="B33" s="35" t="s">
        <v>301</v>
      </c>
      <c r="C33" s="35" t="s">
        <v>302</v>
      </c>
      <c r="D33" s="35" t="s">
        <v>324</v>
      </c>
      <c r="E33" s="35" t="s">
        <v>327</v>
      </c>
      <c r="F33" s="35" t="s">
        <v>339</v>
      </c>
      <c r="G33" s="35" t="s">
        <v>329</v>
      </c>
    </row>
    <row r="34" spans="1:7">
      <c r="A34" s="34">
        <v>2084037605</v>
      </c>
      <c r="B34" s="35" t="s">
        <v>301</v>
      </c>
      <c r="C34" s="35" t="s">
        <v>302</v>
      </c>
      <c r="D34" s="35" t="s">
        <v>324</v>
      </c>
      <c r="E34" s="35" t="s">
        <v>327</v>
      </c>
      <c r="F34" s="35" t="s">
        <v>339</v>
      </c>
      <c r="G34" s="35" t="s">
        <v>340</v>
      </c>
    </row>
    <row r="35" spans="1:7">
      <c r="A35" s="34">
        <v>2084037603</v>
      </c>
      <c r="B35" s="35" t="s">
        <v>301</v>
      </c>
      <c r="C35" s="35" t="s">
        <v>302</v>
      </c>
      <c r="D35" s="35" t="s">
        <v>324</v>
      </c>
      <c r="E35" s="35" t="s">
        <v>327</v>
      </c>
      <c r="F35" s="35" t="s">
        <v>339</v>
      </c>
      <c r="G35" s="35" t="s">
        <v>341</v>
      </c>
    </row>
    <row r="36" spans="1:7">
      <c r="A36" s="34">
        <v>2084037609</v>
      </c>
      <c r="B36" s="35" t="s">
        <v>301</v>
      </c>
      <c r="C36" s="35" t="s">
        <v>302</v>
      </c>
      <c r="D36" s="35" t="s">
        <v>324</v>
      </c>
      <c r="E36" s="35" t="s">
        <v>327</v>
      </c>
      <c r="F36" s="35" t="s">
        <v>339</v>
      </c>
      <c r="G36" s="35" t="s">
        <v>342</v>
      </c>
    </row>
    <row r="37" spans="1:7">
      <c r="A37" s="34">
        <v>26128</v>
      </c>
      <c r="B37" s="35" t="s">
        <v>301</v>
      </c>
      <c r="C37" s="35" t="s">
        <v>302</v>
      </c>
      <c r="D37" s="35" t="s">
        <v>324</v>
      </c>
      <c r="E37" s="35" t="s">
        <v>343</v>
      </c>
    </row>
    <row r="38" spans="1:7">
      <c r="A38" s="34">
        <v>26136</v>
      </c>
      <c r="B38" s="35" t="s">
        <v>301</v>
      </c>
      <c r="C38" s="35" t="s">
        <v>302</v>
      </c>
      <c r="D38" s="35" t="s">
        <v>324</v>
      </c>
      <c r="E38" s="35" t="s">
        <v>344</v>
      </c>
    </row>
    <row r="39" spans="1:7">
      <c r="A39" s="34">
        <v>26144</v>
      </c>
      <c r="B39" s="35" t="s">
        <v>301</v>
      </c>
      <c r="C39" s="35" t="s">
        <v>302</v>
      </c>
      <c r="D39" s="35" t="s">
        <v>324</v>
      </c>
      <c r="E39" s="35" t="s">
        <v>335</v>
      </c>
    </row>
    <row r="40" spans="1:7">
      <c r="A40" s="34">
        <v>40565</v>
      </c>
      <c r="B40" s="35" t="s">
        <v>301</v>
      </c>
      <c r="C40" s="35" t="s">
        <v>302</v>
      </c>
      <c r="D40" s="35" t="s">
        <v>345</v>
      </c>
    </row>
    <row r="41" spans="1:7">
      <c r="A41" s="34">
        <v>20356</v>
      </c>
      <c r="B41" s="35" t="s">
        <v>301</v>
      </c>
      <c r="C41" s="35" t="s">
        <v>302</v>
      </c>
      <c r="D41" s="35" t="s">
        <v>346</v>
      </c>
    </row>
    <row r="42" spans="1:7">
      <c r="A42" s="34">
        <v>26014</v>
      </c>
      <c r="B42" s="35" t="s">
        <v>301</v>
      </c>
      <c r="C42" s="35" t="s">
        <v>302</v>
      </c>
      <c r="D42" s="35" t="s">
        <v>347</v>
      </c>
    </row>
    <row r="43" spans="1:7">
      <c r="A43" s="34">
        <v>2084263156</v>
      </c>
      <c r="B43" s="35" t="s">
        <v>301</v>
      </c>
      <c r="C43" s="35" t="s">
        <v>302</v>
      </c>
      <c r="D43" s="35" t="s">
        <v>348</v>
      </c>
    </row>
    <row r="44" spans="1:7">
      <c r="A44" s="34">
        <v>21116</v>
      </c>
      <c r="B44" s="35" t="s">
        <v>301</v>
      </c>
      <c r="C44" s="35" t="s">
        <v>302</v>
      </c>
      <c r="D44" s="35" t="s">
        <v>349</v>
      </c>
    </row>
    <row r="45" spans="1:7">
      <c r="A45" s="34">
        <v>25906</v>
      </c>
      <c r="B45" s="35" t="s">
        <v>301</v>
      </c>
      <c r="C45" s="35" t="s">
        <v>302</v>
      </c>
      <c r="D45" s="35" t="s">
        <v>350</v>
      </c>
    </row>
    <row r="46" spans="1:7">
      <c r="A46" s="34">
        <v>21595</v>
      </c>
      <c r="B46" s="35" t="s">
        <v>301</v>
      </c>
      <c r="C46" s="35" t="s">
        <v>302</v>
      </c>
      <c r="D46" s="35" t="s">
        <v>335</v>
      </c>
    </row>
    <row r="47" spans="1:7">
      <c r="A47" s="34">
        <v>2084064350</v>
      </c>
      <c r="B47" s="35" t="s">
        <v>2679</v>
      </c>
      <c r="C47" s="35" t="s">
        <v>2680</v>
      </c>
      <c r="D47" s="35" t="s">
        <v>2681</v>
      </c>
      <c r="E47" s="35" t="s">
        <v>2682</v>
      </c>
      <c r="F47" s="35" t="s">
        <v>2683</v>
      </c>
    </row>
    <row r="48" spans="1:7">
      <c r="A48" s="34">
        <v>2084064349</v>
      </c>
      <c r="B48" s="35" t="s">
        <v>2679</v>
      </c>
      <c r="C48" s="35" t="s">
        <v>2680</v>
      </c>
      <c r="D48" s="35" t="s">
        <v>2681</v>
      </c>
      <c r="E48" s="35" t="s">
        <v>2682</v>
      </c>
      <c r="F48" s="35" t="s">
        <v>2684</v>
      </c>
    </row>
    <row r="49" spans="1:6">
      <c r="A49" s="34">
        <v>2084242520</v>
      </c>
      <c r="B49" s="35" t="s">
        <v>2679</v>
      </c>
      <c r="C49" s="35" t="s">
        <v>2680</v>
      </c>
      <c r="D49" s="35" t="s">
        <v>2681</v>
      </c>
      <c r="E49" s="35" t="s">
        <v>2682</v>
      </c>
      <c r="F49" s="35" t="s">
        <v>2685</v>
      </c>
    </row>
    <row r="50" spans="1:6">
      <c r="A50" s="34">
        <v>2084064348</v>
      </c>
      <c r="B50" s="35" t="s">
        <v>2679</v>
      </c>
      <c r="C50" s="35" t="s">
        <v>2680</v>
      </c>
      <c r="D50" s="35" t="s">
        <v>2681</v>
      </c>
      <c r="E50" s="35" t="s">
        <v>2682</v>
      </c>
      <c r="F50" s="35" t="s">
        <v>2686</v>
      </c>
    </row>
    <row r="51" spans="1:6">
      <c r="A51" s="34">
        <v>2084242521</v>
      </c>
      <c r="B51" s="35" t="s">
        <v>2679</v>
      </c>
      <c r="C51" s="35" t="s">
        <v>2680</v>
      </c>
      <c r="D51" s="35" t="s">
        <v>2681</v>
      </c>
      <c r="E51" s="35" t="s">
        <v>2682</v>
      </c>
      <c r="F51" s="35" t="s">
        <v>2687</v>
      </c>
    </row>
    <row r="52" spans="1:6">
      <c r="A52" s="34">
        <v>2084064347</v>
      </c>
      <c r="B52" s="35" t="s">
        <v>2679</v>
      </c>
      <c r="C52" s="35" t="s">
        <v>2680</v>
      </c>
      <c r="D52" s="35" t="s">
        <v>2681</v>
      </c>
      <c r="E52" s="35" t="s">
        <v>2682</v>
      </c>
      <c r="F52" s="35" t="s">
        <v>2688</v>
      </c>
    </row>
    <row r="53" spans="1:6">
      <c r="A53" s="34">
        <v>2084221031</v>
      </c>
      <c r="B53" s="35" t="s">
        <v>2679</v>
      </c>
      <c r="C53" s="35" t="s">
        <v>2680</v>
      </c>
      <c r="D53" s="35" t="s">
        <v>2681</v>
      </c>
      <c r="E53" s="35" t="s">
        <v>2682</v>
      </c>
      <c r="F53" s="35" t="s">
        <v>2689</v>
      </c>
    </row>
    <row r="54" spans="1:6" ht="14.25" customHeight="1">
      <c r="A54" s="34">
        <v>2084221032</v>
      </c>
      <c r="B54" s="35" t="s">
        <v>2679</v>
      </c>
      <c r="C54" s="35" t="s">
        <v>2680</v>
      </c>
      <c r="D54" s="35" t="s">
        <v>2681</v>
      </c>
      <c r="E54" s="35" t="s">
        <v>2682</v>
      </c>
      <c r="F54" s="35" t="s">
        <v>1044</v>
      </c>
    </row>
    <row r="55" spans="1:6">
      <c r="A55" s="34">
        <v>2084064345</v>
      </c>
      <c r="B55" s="35" t="s">
        <v>2679</v>
      </c>
      <c r="C55" s="35" t="s">
        <v>2680</v>
      </c>
      <c r="D55" s="35" t="s">
        <v>2681</v>
      </c>
      <c r="E55" s="35" t="s">
        <v>2682</v>
      </c>
      <c r="F55" s="35" t="s">
        <v>2690</v>
      </c>
    </row>
    <row r="56" spans="1:6">
      <c r="A56" s="34">
        <v>2084221030</v>
      </c>
      <c r="B56" s="35" t="s">
        <v>2679</v>
      </c>
      <c r="C56" s="35" t="s">
        <v>2680</v>
      </c>
      <c r="D56" s="35" t="s">
        <v>2681</v>
      </c>
      <c r="E56" s="35" t="s">
        <v>2682</v>
      </c>
      <c r="F56" s="35" t="s">
        <v>2691</v>
      </c>
    </row>
    <row r="57" spans="1:6">
      <c r="A57" s="34">
        <v>2084242524</v>
      </c>
      <c r="B57" s="35" t="s">
        <v>2679</v>
      </c>
      <c r="C57" s="35" t="s">
        <v>2680</v>
      </c>
      <c r="D57" s="35" t="s">
        <v>2681</v>
      </c>
      <c r="E57" s="35" t="s">
        <v>2682</v>
      </c>
      <c r="F57" s="35" t="s">
        <v>2692</v>
      </c>
    </row>
    <row r="58" spans="1:6">
      <c r="A58" s="34">
        <v>2084064346</v>
      </c>
      <c r="B58" s="35" t="s">
        <v>2679</v>
      </c>
      <c r="C58" s="35" t="s">
        <v>2680</v>
      </c>
      <c r="D58" s="35" t="s">
        <v>2681</v>
      </c>
      <c r="E58" s="35" t="s">
        <v>2682</v>
      </c>
      <c r="F58" s="35" t="s">
        <v>2693</v>
      </c>
    </row>
    <row r="59" spans="1:6">
      <c r="A59" s="34">
        <v>2084242522</v>
      </c>
      <c r="B59" s="35" t="s">
        <v>2679</v>
      </c>
      <c r="C59" s="35" t="s">
        <v>2680</v>
      </c>
      <c r="D59" s="35" t="s">
        <v>2681</v>
      </c>
      <c r="E59" s="35" t="s">
        <v>2682</v>
      </c>
      <c r="F59" s="35" t="s">
        <v>2694</v>
      </c>
    </row>
    <row r="60" spans="1:6">
      <c r="A60" s="34">
        <v>2084064344</v>
      </c>
      <c r="B60" s="35" t="s">
        <v>2679</v>
      </c>
      <c r="C60" s="35" t="s">
        <v>2680</v>
      </c>
      <c r="D60" s="35" t="s">
        <v>2681</v>
      </c>
      <c r="E60" s="35" t="s">
        <v>2682</v>
      </c>
      <c r="F60" s="35" t="s">
        <v>2695</v>
      </c>
    </row>
    <row r="61" spans="1:6">
      <c r="A61" s="34">
        <v>2084242523</v>
      </c>
      <c r="B61" s="35" t="s">
        <v>2679</v>
      </c>
      <c r="C61" s="35" t="s">
        <v>2680</v>
      </c>
      <c r="D61" s="35" t="s">
        <v>2681</v>
      </c>
      <c r="E61" s="35" t="s">
        <v>2682</v>
      </c>
      <c r="F61" s="35" t="s">
        <v>2696</v>
      </c>
    </row>
    <row r="62" spans="1:6">
      <c r="A62" s="34">
        <v>2084305433</v>
      </c>
      <c r="B62" s="35" t="s">
        <v>2679</v>
      </c>
      <c r="C62" s="35" t="s">
        <v>2680</v>
      </c>
      <c r="D62" s="35" t="s">
        <v>2681</v>
      </c>
      <c r="E62" s="35" t="s">
        <v>2697</v>
      </c>
    </row>
    <row r="63" spans="1:6">
      <c r="A63" s="34">
        <v>2084040729</v>
      </c>
      <c r="B63" s="35" t="s">
        <v>2679</v>
      </c>
      <c r="C63" s="35" t="s">
        <v>2680</v>
      </c>
      <c r="D63" s="35" t="s">
        <v>2681</v>
      </c>
      <c r="E63" s="35" t="s">
        <v>2698</v>
      </c>
    </row>
    <row r="64" spans="1:6">
      <c r="A64" s="34">
        <v>2084040728</v>
      </c>
      <c r="B64" s="35" t="s">
        <v>2679</v>
      </c>
      <c r="C64" s="35" t="s">
        <v>2680</v>
      </c>
      <c r="D64" s="35" t="s">
        <v>2681</v>
      </c>
      <c r="E64" s="35" t="s">
        <v>2699</v>
      </c>
    </row>
    <row r="65" spans="1:7">
      <c r="A65" s="34">
        <v>2084040735</v>
      </c>
      <c r="B65" s="35" t="s">
        <v>2679</v>
      </c>
      <c r="C65" s="35" t="s">
        <v>2680</v>
      </c>
      <c r="D65" s="35" t="s">
        <v>2681</v>
      </c>
      <c r="E65" s="35" t="s">
        <v>2700</v>
      </c>
    </row>
    <row r="66" spans="1:7">
      <c r="A66" s="34">
        <v>2084049866</v>
      </c>
      <c r="B66" s="35" t="s">
        <v>2679</v>
      </c>
      <c r="C66" s="35" t="s">
        <v>2680</v>
      </c>
      <c r="D66" s="35" t="s">
        <v>2681</v>
      </c>
      <c r="E66" s="35" t="s">
        <v>2701</v>
      </c>
    </row>
    <row r="67" spans="1:7">
      <c r="A67" s="34">
        <v>2084040727</v>
      </c>
      <c r="B67" s="35" t="s">
        <v>2679</v>
      </c>
      <c r="C67" s="35" t="s">
        <v>2680</v>
      </c>
      <c r="D67" s="35" t="s">
        <v>2681</v>
      </c>
      <c r="E67" s="35" t="s">
        <v>429</v>
      </c>
    </row>
    <row r="68" spans="1:7">
      <c r="A68" s="34">
        <v>2084040730</v>
      </c>
      <c r="B68" s="35" t="s">
        <v>2679</v>
      </c>
      <c r="C68" s="35" t="s">
        <v>2680</v>
      </c>
      <c r="D68" s="35" t="s">
        <v>2681</v>
      </c>
      <c r="E68" s="35" t="s">
        <v>2702</v>
      </c>
    </row>
    <row r="69" spans="1:7">
      <c r="A69" s="34">
        <v>2084227016</v>
      </c>
      <c r="B69" s="35" t="s">
        <v>2679</v>
      </c>
      <c r="C69" s="35" t="s">
        <v>2680</v>
      </c>
      <c r="D69" s="35" t="s">
        <v>2681</v>
      </c>
      <c r="E69" s="35" t="s">
        <v>2703</v>
      </c>
    </row>
    <row r="70" spans="1:7">
      <c r="A70" s="34">
        <v>2084040733</v>
      </c>
      <c r="B70" s="35" t="s">
        <v>2679</v>
      </c>
      <c r="C70" s="35" t="s">
        <v>2680</v>
      </c>
      <c r="D70" s="35" t="s">
        <v>2681</v>
      </c>
      <c r="E70" s="35" t="s">
        <v>2704</v>
      </c>
    </row>
    <row r="71" spans="1:7">
      <c r="A71" s="34">
        <v>2084040732</v>
      </c>
      <c r="B71" s="35" t="s">
        <v>2679</v>
      </c>
      <c r="C71" s="35" t="s">
        <v>2680</v>
      </c>
      <c r="D71" s="35" t="s">
        <v>2681</v>
      </c>
      <c r="E71" s="35" t="s">
        <v>2705</v>
      </c>
    </row>
    <row r="72" spans="1:7">
      <c r="A72" s="34">
        <v>2084040731</v>
      </c>
      <c r="B72" s="35" t="s">
        <v>2679</v>
      </c>
      <c r="C72" s="35" t="s">
        <v>2680</v>
      </c>
      <c r="D72" s="35" t="s">
        <v>2681</v>
      </c>
      <c r="E72" s="35" t="s">
        <v>2706</v>
      </c>
    </row>
    <row r="73" spans="1:7">
      <c r="A73" s="34">
        <v>2084057356</v>
      </c>
      <c r="B73" s="35" t="s">
        <v>351</v>
      </c>
      <c r="C73" s="35" t="s">
        <v>2674</v>
      </c>
      <c r="D73" s="35" t="s">
        <v>475</v>
      </c>
      <c r="E73" s="35" t="s">
        <v>405</v>
      </c>
      <c r="F73" s="35" t="s">
        <v>2675</v>
      </c>
      <c r="G73" s="35" t="s">
        <v>2676</v>
      </c>
    </row>
    <row r="74" spans="1:7">
      <c r="A74" s="34">
        <v>2084057357</v>
      </c>
      <c r="B74" s="35" t="s">
        <v>351</v>
      </c>
      <c r="C74" s="35" t="s">
        <v>2674</v>
      </c>
      <c r="D74" s="35" t="s">
        <v>475</v>
      </c>
      <c r="E74" s="35" t="s">
        <v>405</v>
      </c>
      <c r="F74" s="35" t="s">
        <v>2675</v>
      </c>
      <c r="G74" s="35" t="s">
        <v>2677</v>
      </c>
    </row>
    <row r="75" spans="1:7">
      <c r="A75" s="34">
        <v>2084057359</v>
      </c>
      <c r="B75" s="35" t="s">
        <v>351</v>
      </c>
      <c r="C75" s="35" t="s">
        <v>2674</v>
      </c>
      <c r="D75" s="35" t="s">
        <v>475</v>
      </c>
      <c r="E75" s="35" t="s">
        <v>405</v>
      </c>
      <c r="F75" s="35" t="s">
        <v>2675</v>
      </c>
      <c r="G75" s="35" t="s">
        <v>1752</v>
      </c>
    </row>
    <row r="76" spans="1:7">
      <c r="A76" s="34">
        <v>2084057358</v>
      </c>
      <c r="B76" s="35" t="s">
        <v>351</v>
      </c>
      <c r="C76" s="35" t="s">
        <v>2674</v>
      </c>
      <c r="D76" s="35" t="s">
        <v>475</v>
      </c>
      <c r="E76" s="35" t="s">
        <v>405</v>
      </c>
      <c r="F76" s="35" t="s">
        <v>2675</v>
      </c>
      <c r="G76" s="35" t="s">
        <v>2678</v>
      </c>
    </row>
    <row r="77" spans="1:7">
      <c r="A77" s="34">
        <v>2084057360</v>
      </c>
      <c r="B77" s="35" t="s">
        <v>351</v>
      </c>
      <c r="C77" s="35" t="s">
        <v>2674</v>
      </c>
      <c r="D77" s="35" t="s">
        <v>475</v>
      </c>
      <c r="E77" s="35" t="s">
        <v>405</v>
      </c>
      <c r="F77" s="35" t="s">
        <v>2675</v>
      </c>
      <c r="G77" s="35" t="s">
        <v>429</v>
      </c>
    </row>
    <row r="78" spans="1:7">
      <c r="A78" s="34">
        <v>2084262333</v>
      </c>
      <c r="B78" s="35" t="s">
        <v>351</v>
      </c>
      <c r="C78" s="35" t="s">
        <v>2649</v>
      </c>
      <c r="D78" s="35" t="s">
        <v>2650</v>
      </c>
      <c r="E78" s="35" t="s">
        <v>2707</v>
      </c>
      <c r="F78" s="35" t="s">
        <v>2708</v>
      </c>
      <c r="G78" s="35" t="s">
        <v>2651</v>
      </c>
    </row>
    <row r="79" spans="1:7">
      <c r="A79" s="34">
        <v>2084262324</v>
      </c>
      <c r="B79" s="35" t="s">
        <v>351</v>
      </c>
      <c r="C79" s="35" t="s">
        <v>2649</v>
      </c>
      <c r="D79" s="35" t="s">
        <v>2650</v>
      </c>
      <c r="E79" s="35" t="s">
        <v>2652</v>
      </c>
      <c r="F79" s="35" t="s">
        <v>2653</v>
      </c>
      <c r="G79" s="34" t="s">
        <v>2709</v>
      </c>
    </row>
    <row r="80" spans="1:7">
      <c r="A80" s="34">
        <v>2084252465</v>
      </c>
      <c r="B80" s="35" t="s">
        <v>351</v>
      </c>
      <c r="C80" s="35" t="s">
        <v>2649</v>
      </c>
      <c r="D80" s="35" t="s">
        <v>2650</v>
      </c>
      <c r="E80" s="35" t="s">
        <v>2652</v>
      </c>
      <c r="F80" s="35" t="s">
        <v>2653</v>
      </c>
      <c r="G80" s="34" t="s">
        <v>2710</v>
      </c>
    </row>
    <row r="81" spans="1:7">
      <c r="A81" s="34">
        <v>2084202618</v>
      </c>
      <c r="B81" s="35" t="s">
        <v>351</v>
      </c>
      <c r="C81" s="35" t="s">
        <v>2649</v>
      </c>
      <c r="D81" s="35" t="s">
        <v>2650</v>
      </c>
      <c r="E81" s="35" t="s">
        <v>2652</v>
      </c>
      <c r="F81" s="35" t="s">
        <v>2653</v>
      </c>
      <c r="G81" s="34" t="s">
        <v>2711</v>
      </c>
    </row>
    <row r="82" spans="1:7">
      <c r="A82" s="34">
        <v>2084202612</v>
      </c>
      <c r="B82" s="35" t="s">
        <v>351</v>
      </c>
      <c r="C82" s="35" t="s">
        <v>2649</v>
      </c>
      <c r="D82" s="35" t="s">
        <v>2650</v>
      </c>
      <c r="E82" s="35" t="s">
        <v>2652</v>
      </c>
      <c r="F82" s="35" t="s">
        <v>2653</v>
      </c>
      <c r="G82" s="34" t="s">
        <v>492</v>
      </c>
    </row>
    <row r="83" spans="1:7">
      <c r="A83" s="34">
        <v>2084262321</v>
      </c>
      <c r="B83" s="35" t="s">
        <v>351</v>
      </c>
      <c r="C83" s="35" t="s">
        <v>2649</v>
      </c>
      <c r="D83" s="35" t="s">
        <v>2650</v>
      </c>
      <c r="E83" s="35" t="s">
        <v>2652</v>
      </c>
      <c r="F83" s="35" t="s">
        <v>2653</v>
      </c>
      <c r="G83" s="34" t="s">
        <v>2658</v>
      </c>
    </row>
    <row r="84" spans="1:7">
      <c r="A84" s="34">
        <v>2084254261</v>
      </c>
      <c r="B84" s="35" t="s">
        <v>351</v>
      </c>
      <c r="C84" s="35" t="s">
        <v>2649</v>
      </c>
      <c r="D84" s="35" t="s">
        <v>2650</v>
      </c>
      <c r="E84" s="35" t="s">
        <v>2652</v>
      </c>
      <c r="F84" s="35" t="s">
        <v>2653</v>
      </c>
      <c r="G84" s="34" t="s">
        <v>451</v>
      </c>
    </row>
    <row r="85" spans="1:7">
      <c r="A85" s="34">
        <v>2084202614</v>
      </c>
      <c r="B85" s="35" t="s">
        <v>351</v>
      </c>
      <c r="C85" s="35" t="s">
        <v>2649</v>
      </c>
      <c r="D85" s="35" t="s">
        <v>2650</v>
      </c>
      <c r="E85" s="35" t="s">
        <v>2652</v>
      </c>
      <c r="F85" s="35" t="s">
        <v>2653</v>
      </c>
      <c r="G85" s="34" t="s">
        <v>2712</v>
      </c>
    </row>
    <row r="86" spans="1:7">
      <c r="A86" s="34">
        <v>2084262323</v>
      </c>
      <c r="B86" s="35" t="s">
        <v>351</v>
      </c>
      <c r="C86" s="35" t="s">
        <v>2649</v>
      </c>
      <c r="D86" s="35" t="s">
        <v>2650</v>
      </c>
      <c r="E86" s="35" t="s">
        <v>2652</v>
      </c>
      <c r="F86" s="35" t="s">
        <v>2653</v>
      </c>
      <c r="G86" s="34" t="s">
        <v>2713</v>
      </c>
    </row>
    <row r="87" spans="1:7">
      <c r="A87" s="34">
        <v>2084202620</v>
      </c>
      <c r="B87" s="35" t="s">
        <v>351</v>
      </c>
      <c r="C87" s="35" t="s">
        <v>2649</v>
      </c>
      <c r="D87" s="35" t="s">
        <v>2650</v>
      </c>
      <c r="E87" s="35" t="s">
        <v>2652</v>
      </c>
      <c r="F87" s="35" t="s">
        <v>2653</v>
      </c>
      <c r="G87" s="34" t="s">
        <v>2656</v>
      </c>
    </row>
    <row r="88" spans="1:7">
      <c r="A88" s="34">
        <v>2084262322</v>
      </c>
      <c r="B88" s="35" t="s">
        <v>351</v>
      </c>
      <c r="C88" s="35" t="s">
        <v>2649</v>
      </c>
      <c r="D88" s="35" t="s">
        <v>2650</v>
      </c>
      <c r="E88" s="35" t="s">
        <v>2652</v>
      </c>
      <c r="F88" s="35" t="s">
        <v>2653</v>
      </c>
      <c r="G88" s="34" t="s">
        <v>2714</v>
      </c>
    </row>
    <row r="89" spans="1:7">
      <c r="A89" s="34">
        <v>2084202695</v>
      </c>
      <c r="B89" s="35" t="s">
        <v>351</v>
      </c>
      <c r="C89" s="35" t="s">
        <v>2649</v>
      </c>
      <c r="D89" s="35" t="s">
        <v>2650</v>
      </c>
      <c r="E89" s="35" t="s">
        <v>2652</v>
      </c>
      <c r="F89" s="35" t="s">
        <v>2653</v>
      </c>
      <c r="G89" s="34" t="s">
        <v>2715</v>
      </c>
    </row>
    <row r="90" spans="1:7">
      <c r="A90" s="34">
        <v>2084202624</v>
      </c>
      <c r="B90" s="35" t="s">
        <v>351</v>
      </c>
      <c r="C90" s="35" t="s">
        <v>2649</v>
      </c>
      <c r="D90" s="35" t="s">
        <v>2650</v>
      </c>
      <c r="E90" s="35" t="s">
        <v>2652</v>
      </c>
      <c r="F90" s="35" t="s">
        <v>2653</v>
      </c>
      <c r="G90" s="34" t="s">
        <v>2716</v>
      </c>
    </row>
    <row r="91" spans="1:7">
      <c r="A91" s="34">
        <v>2084254258</v>
      </c>
      <c r="B91" s="35" t="s">
        <v>351</v>
      </c>
      <c r="C91" s="35" t="s">
        <v>2649</v>
      </c>
      <c r="D91" s="35" t="s">
        <v>2650</v>
      </c>
      <c r="E91" s="35" t="s">
        <v>2652</v>
      </c>
      <c r="F91" s="35" t="s">
        <v>2653</v>
      </c>
      <c r="G91" s="34" t="s">
        <v>2717</v>
      </c>
    </row>
    <row r="92" spans="1:7">
      <c r="A92" s="34">
        <v>2084202611</v>
      </c>
      <c r="B92" s="35" t="s">
        <v>351</v>
      </c>
      <c r="C92" s="35" t="s">
        <v>2649</v>
      </c>
      <c r="D92" s="35" t="s">
        <v>2650</v>
      </c>
      <c r="E92" s="35" t="s">
        <v>2652</v>
      </c>
      <c r="F92" s="35" t="s">
        <v>2653</v>
      </c>
      <c r="G92" s="34" t="s">
        <v>2718</v>
      </c>
    </row>
    <row r="93" spans="1:7">
      <c r="A93" s="34">
        <v>2084202615</v>
      </c>
      <c r="B93" s="35" t="s">
        <v>351</v>
      </c>
      <c r="C93" s="35" t="s">
        <v>2649</v>
      </c>
      <c r="D93" s="35" t="s">
        <v>2650</v>
      </c>
      <c r="E93" s="35" t="s">
        <v>2652</v>
      </c>
      <c r="F93" s="35" t="s">
        <v>2653</v>
      </c>
      <c r="G93" s="34" t="s">
        <v>2659</v>
      </c>
    </row>
    <row r="94" spans="1:7">
      <c r="A94" s="34">
        <v>2084202619</v>
      </c>
      <c r="B94" s="35" t="s">
        <v>351</v>
      </c>
      <c r="C94" s="35" t="s">
        <v>2649</v>
      </c>
      <c r="D94" s="35" t="s">
        <v>2650</v>
      </c>
      <c r="E94" s="35" t="s">
        <v>2652</v>
      </c>
      <c r="F94" s="35" t="s">
        <v>2653</v>
      </c>
      <c r="G94" s="34" t="s">
        <v>1098</v>
      </c>
    </row>
    <row r="95" spans="1:7">
      <c r="A95" s="34">
        <v>2084202613</v>
      </c>
      <c r="B95" s="35" t="s">
        <v>351</v>
      </c>
      <c r="C95" s="35" t="s">
        <v>2649</v>
      </c>
      <c r="D95" s="35" t="s">
        <v>2650</v>
      </c>
      <c r="E95" s="35" t="s">
        <v>2652</v>
      </c>
      <c r="F95" s="35" t="s">
        <v>2653</v>
      </c>
      <c r="G95" s="34" t="s">
        <v>1132</v>
      </c>
    </row>
    <row r="96" spans="1:7">
      <c r="A96" s="34">
        <v>2084202622</v>
      </c>
      <c r="B96" s="35" t="s">
        <v>351</v>
      </c>
      <c r="C96" s="35" t="s">
        <v>2649</v>
      </c>
      <c r="D96" s="35" t="s">
        <v>2650</v>
      </c>
      <c r="E96" s="35" t="s">
        <v>2652</v>
      </c>
      <c r="F96" s="35" t="s">
        <v>2653</v>
      </c>
      <c r="G96" s="34" t="s">
        <v>2651</v>
      </c>
    </row>
    <row r="97" spans="1:7">
      <c r="A97" s="34">
        <v>2084202623</v>
      </c>
      <c r="B97" s="35" t="s">
        <v>351</v>
      </c>
      <c r="C97" s="35" t="s">
        <v>2649</v>
      </c>
      <c r="D97" s="35" t="s">
        <v>2650</v>
      </c>
      <c r="E97" s="35" t="s">
        <v>2652</v>
      </c>
      <c r="F97" s="35" t="s">
        <v>2653</v>
      </c>
      <c r="G97" s="34" t="s">
        <v>2719</v>
      </c>
    </row>
    <row r="98" spans="1:7">
      <c r="A98" s="34">
        <v>2084262325</v>
      </c>
      <c r="B98" s="35" t="s">
        <v>351</v>
      </c>
      <c r="C98" s="35" t="s">
        <v>2649</v>
      </c>
      <c r="D98" s="35" t="s">
        <v>2650</v>
      </c>
      <c r="E98" s="35" t="s">
        <v>2652</v>
      </c>
      <c r="F98" s="35" t="s">
        <v>2653</v>
      </c>
      <c r="G98" s="34" t="s">
        <v>2720</v>
      </c>
    </row>
    <row r="99" spans="1:7">
      <c r="A99" s="34">
        <v>2084262320</v>
      </c>
      <c r="B99" s="35" t="s">
        <v>351</v>
      </c>
      <c r="C99" s="35" t="s">
        <v>2649</v>
      </c>
      <c r="D99" s="35" t="s">
        <v>2650</v>
      </c>
      <c r="E99" s="35" t="s">
        <v>2652</v>
      </c>
      <c r="F99" s="35" t="s">
        <v>2653</v>
      </c>
      <c r="G99" s="34" t="s">
        <v>1274</v>
      </c>
    </row>
    <row r="100" spans="1:7">
      <c r="A100" s="34">
        <v>2084202625</v>
      </c>
      <c r="B100" s="35" t="s">
        <v>351</v>
      </c>
      <c r="C100" s="35" t="s">
        <v>2649</v>
      </c>
      <c r="D100" s="35" t="s">
        <v>2650</v>
      </c>
      <c r="E100" s="35" t="s">
        <v>2652</v>
      </c>
      <c r="F100" s="35" t="s">
        <v>2653</v>
      </c>
      <c r="G100" s="34" t="s">
        <v>2721</v>
      </c>
    </row>
    <row r="101" spans="1:7">
      <c r="A101" s="34">
        <v>2084202617</v>
      </c>
      <c r="B101" s="35" t="s">
        <v>351</v>
      </c>
      <c r="C101" s="35" t="s">
        <v>2649</v>
      </c>
      <c r="D101" s="35" t="s">
        <v>2650</v>
      </c>
      <c r="E101" s="35" t="s">
        <v>2652</v>
      </c>
      <c r="F101" s="35" t="s">
        <v>2653</v>
      </c>
      <c r="G101" s="34" t="s">
        <v>2672</v>
      </c>
    </row>
    <row r="102" spans="1:7">
      <c r="A102" s="34">
        <v>2084202696</v>
      </c>
      <c r="B102" s="35" t="s">
        <v>351</v>
      </c>
      <c r="C102" s="35" t="s">
        <v>2649</v>
      </c>
      <c r="D102" s="35" t="s">
        <v>2650</v>
      </c>
      <c r="E102" s="35" t="s">
        <v>2652</v>
      </c>
      <c r="F102" s="35" t="s">
        <v>2653</v>
      </c>
      <c r="G102" s="34" t="s">
        <v>2722</v>
      </c>
    </row>
    <row r="103" spans="1:7">
      <c r="A103" s="34">
        <v>2084202621</v>
      </c>
      <c r="B103" s="35" t="s">
        <v>351</v>
      </c>
      <c r="C103" s="35" t="s">
        <v>2649</v>
      </c>
      <c r="D103" s="35" t="s">
        <v>2650</v>
      </c>
      <c r="E103" s="35" t="s">
        <v>2652</v>
      </c>
      <c r="F103" s="35" t="s">
        <v>2653</v>
      </c>
      <c r="G103" s="34" t="s">
        <v>1447</v>
      </c>
    </row>
    <row r="104" spans="1:7">
      <c r="A104" s="34">
        <v>2084202616</v>
      </c>
      <c r="B104" s="35" t="s">
        <v>351</v>
      </c>
      <c r="C104" s="35" t="s">
        <v>2649</v>
      </c>
      <c r="D104" s="35" t="s">
        <v>2650</v>
      </c>
      <c r="E104" s="35" t="s">
        <v>2652</v>
      </c>
      <c r="F104" s="35" t="s">
        <v>2653</v>
      </c>
      <c r="G104" s="34" t="s">
        <v>2657</v>
      </c>
    </row>
    <row r="105" spans="1:7">
      <c r="A105" s="34">
        <v>2084202626</v>
      </c>
      <c r="B105" s="35" t="s">
        <v>351</v>
      </c>
      <c r="C105" s="35" t="s">
        <v>2649</v>
      </c>
      <c r="D105" s="35" t="s">
        <v>2650</v>
      </c>
      <c r="E105" s="35" t="s">
        <v>2652</v>
      </c>
      <c r="F105" s="35" t="s">
        <v>2653</v>
      </c>
      <c r="G105" s="34" t="s">
        <v>429</v>
      </c>
    </row>
    <row r="106" spans="1:7">
      <c r="A106" s="34">
        <v>2084262309</v>
      </c>
      <c r="B106" s="35" t="s">
        <v>351</v>
      </c>
      <c r="C106" s="35" t="s">
        <v>2649</v>
      </c>
      <c r="D106" s="35" t="s">
        <v>2650</v>
      </c>
      <c r="E106" s="35" t="s">
        <v>2652</v>
      </c>
      <c r="F106" s="35" t="s">
        <v>1930</v>
      </c>
      <c r="G106" s="34" t="s">
        <v>2709</v>
      </c>
    </row>
    <row r="107" spans="1:7">
      <c r="A107" s="34">
        <v>2084252464</v>
      </c>
      <c r="B107" s="35" t="s">
        <v>351</v>
      </c>
      <c r="C107" s="35" t="s">
        <v>2649</v>
      </c>
      <c r="D107" s="35" t="s">
        <v>2650</v>
      </c>
      <c r="E107" s="35" t="s">
        <v>2652</v>
      </c>
      <c r="F107" s="35" t="s">
        <v>1930</v>
      </c>
      <c r="G107" s="34" t="s">
        <v>2710</v>
      </c>
    </row>
    <row r="108" spans="1:7">
      <c r="A108" s="34">
        <v>2084202602</v>
      </c>
      <c r="B108" s="35" t="s">
        <v>351</v>
      </c>
      <c r="C108" s="35" t="s">
        <v>2649</v>
      </c>
      <c r="D108" s="35" t="s">
        <v>2650</v>
      </c>
      <c r="E108" s="35" t="s">
        <v>2652</v>
      </c>
      <c r="F108" s="35" t="s">
        <v>1930</v>
      </c>
      <c r="G108" s="34" t="s">
        <v>2711</v>
      </c>
    </row>
    <row r="109" spans="1:7">
      <c r="A109" s="34">
        <v>2084262310</v>
      </c>
      <c r="B109" s="35" t="s">
        <v>351</v>
      </c>
      <c r="C109" s="35" t="s">
        <v>2649</v>
      </c>
      <c r="D109" s="35" t="s">
        <v>2650</v>
      </c>
      <c r="E109" s="35" t="s">
        <v>2652</v>
      </c>
      <c r="F109" s="35" t="s">
        <v>1930</v>
      </c>
      <c r="G109" s="34" t="s">
        <v>2723</v>
      </c>
    </row>
    <row r="110" spans="1:7">
      <c r="A110" s="34">
        <v>2084202596</v>
      </c>
      <c r="B110" s="35" t="s">
        <v>351</v>
      </c>
      <c r="C110" s="35" t="s">
        <v>2649</v>
      </c>
      <c r="D110" s="35" t="s">
        <v>2650</v>
      </c>
      <c r="E110" s="35" t="s">
        <v>2652</v>
      </c>
      <c r="F110" s="35" t="s">
        <v>1930</v>
      </c>
      <c r="G110" s="34" t="s">
        <v>492</v>
      </c>
    </row>
    <row r="111" spans="1:7">
      <c r="A111" s="34">
        <v>2084240686</v>
      </c>
      <c r="B111" s="35" t="s">
        <v>351</v>
      </c>
      <c r="C111" s="35" t="s">
        <v>2649</v>
      </c>
      <c r="D111" s="35" t="s">
        <v>2650</v>
      </c>
      <c r="E111" s="35" t="s">
        <v>2652</v>
      </c>
      <c r="F111" s="35" t="s">
        <v>1930</v>
      </c>
      <c r="G111" s="34" t="s">
        <v>2658</v>
      </c>
    </row>
    <row r="112" spans="1:7">
      <c r="A112" s="34">
        <v>2084262311</v>
      </c>
      <c r="B112" s="35" t="s">
        <v>351</v>
      </c>
      <c r="C112" s="35" t="s">
        <v>2649</v>
      </c>
      <c r="D112" s="35" t="s">
        <v>2650</v>
      </c>
      <c r="E112" s="35" t="s">
        <v>2652</v>
      </c>
      <c r="F112" s="35" t="s">
        <v>1930</v>
      </c>
      <c r="G112" s="34" t="s">
        <v>2724</v>
      </c>
    </row>
    <row r="113" spans="1:7">
      <c r="A113" s="34">
        <v>2084254262</v>
      </c>
      <c r="B113" s="35" t="s">
        <v>351</v>
      </c>
      <c r="C113" s="35" t="s">
        <v>2649</v>
      </c>
      <c r="D113" s="35" t="s">
        <v>2650</v>
      </c>
      <c r="E113" s="35" t="s">
        <v>2652</v>
      </c>
      <c r="F113" s="35" t="s">
        <v>1930</v>
      </c>
      <c r="G113" s="34" t="s">
        <v>451</v>
      </c>
    </row>
    <row r="114" spans="1:7">
      <c r="A114" s="34">
        <v>2084202598</v>
      </c>
      <c r="B114" s="35" t="s">
        <v>351</v>
      </c>
      <c r="C114" s="35" t="s">
        <v>2649</v>
      </c>
      <c r="D114" s="35" t="s">
        <v>2650</v>
      </c>
      <c r="E114" s="35" t="s">
        <v>2652</v>
      </c>
      <c r="F114" s="35" t="s">
        <v>1930</v>
      </c>
      <c r="G114" s="34" t="s">
        <v>2712</v>
      </c>
    </row>
    <row r="115" spans="1:7">
      <c r="A115" s="34">
        <v>2084262312</v>
      </c>
      <c r="B115" s="35" t="s">
        <v>351</v>
      </c>
      <c r="C115" s="35" t="s">
        <v>2649</v>
      </c>
      <c r="D115" s="35" t="s">
        <v>2650</v>
      </c>
      <c r="E115" s="35" t="s">
        <v>2652</v>
      </c>
      <c r="F115" s="35" t="s">
        <v>1930</v>
      </c>
      <c r="G115" s="34" t="s">
        <v>2713</v>
      </c>
    </row>
    <row r="116" spans="1:7">
      <c r="A116" s="34">
        <v>2084202604</v>
      </c>
      <c r="B116" s="35" t="s">
        <v>351</v>
      </c>
      <c r="C116" s="35" t="s">
        <v>2649</v>
      </c>
      <c r="D116" s="35" t="s">
        <v>2650</v>
      </c>
      <c r="E116" s="35" t="s">
        <v>2652</v>
      </c>
      <c r="F116" s="35" t="s">
        <v>1930</v>
      </c>
      <c r="G116" s="34" t="s">
        <v>2656</v>
      </c>
    </row>
    <row r="117" spans="1:7">
      <c r="A117" s="34">
        <v>2084262313</v>
      </c>
      <c r="B117" s="35" t="s">
        <v>351</v>
      </c>
      <c r="C117" s="35" t="s">
        <v>2649</v>
      </c>
      <c r="D117" s="35" t="s">
        <v>2650</v>
      </c>
      <c r="E117" s="35" t="s">
        <v>2652</v>
      </c>
      <c r="F117" s="35" t="s">
        <v>1930</v>
      </c>
      <c r="G117" s="34" t="s">
        <v>2714</v>
      </c>
    </row>
    <row r="118" spans="1:7">
      <c r="A118" s="34">
        <v>2084221125</v>
      </c>
      <c r="B118" s="35" t="s">
        <v>351</v>
      </c>
      <c r="C118" s="35" t="s">
        <v>2649</v>
      </c>
      <c r="D118" s="35" t="s">
        <v>2650</v>
      </c>
      <c r="E118" s="35" t="s">
        <v>2652</v>
      </c>
      <c r="F118" s="35" t="s">
        <v>1930</v>
      </c>
      <c r="G118" s="34" t="s">
        <v>2725</v>
      </c>
    </row>
    <row r="119" spans="1:7">
      <c r="A119" s="34">
        <v>2084202595</v>
      </c>
      <c r="B119" s="35" t="s">
        <v>351</v>
      </c>
      <c r="C119" s="35" t="s">
        <v>2649</v>
      </c>
      <c r="D119" s="35" t="s">
        <v>2650</v>
      </c>
      <c r="E119" s="35" t="s">
        <v>2652</v>
      </c>
      <c r="F119" s="35" t="s">
        <v>1930</v>
      </c>
      <c r="G119" s="34" t="s">
        <v>2715</v>
      </c>
    </row>
    <row r="120" spans="1:7">
      <c r="A120" s="34">
        <v>2084202608</v>
      </c>
      <c r="B120" s="35" t="s">
        <v>351</v>
      </c>
      <c r="C120" s="35" t="s">
        <v>2649</v>
      </c>
      <c r="D120" s="35" t="s">
        <v>2650</v>
      </c>
      <c r="E120" s="35" t="s">
        <v>2652</v>
      </c>
      <c r="F120" s="35" t="s">
        <v>1930</v>
      </c>
      <c r="G120" s="34" t="s">
        <v>2716</v>
      </c>
    </row>
    <row r="121" spans="1:7">
      <c r="A121" s="34">
        <v>2084254257</v>
      </c>
      <c r="B121" s="35" t="s">
        <v>351</v>
      </c>
      <c r="C121" s="35" t="s">
        <v>2649</v>
      </c>
      <c r="D121" s="35" t="s">
        <v>2650</v>
      </c>
      <c r="E121" s="35" t="s">
        <v>2652</v>
      </c>
      <c r="F121" s="35" t="s">
        <v>1930</v>
      </c>
      <c r="G121" s="34" t="s">
        <v>2717</v>
      </c>
    </row>
    <row r="122" spans="1:7">
      <c r="A122" s="34">
        <v>2084202594</v>
      </c>
      <c r="B122" s="35" t="s">
        <v>351</v>
      </c>
      <c r="C122" s="35" t="s">
        <v>2649</v>
      </c>
      <c r="D122" s="35" t="s">
        <v>2650</v>
      </c>
      <c r="E122" s="35" t="s">
        <v>2652</v>
      </c>
      <c r="F122" s="35" t="s">
        <v>1930</v>
      </c>
      <c r="G122" s="34" t="s">
        <v>2718</v>
      </c>
    </row>
    <row r="123" spans="1:7">
      <c r="A123" s="34">
        <v>2084202599</v>
      </c>
      <c r="B123" s="35" t="s">
        <v>351</v>
      </c>
      <c r="C123" s="35" t="s">
        <v>2649</v>
      </c>
      <c r="D123" s="35" t="s">
        <v>2650</v>
      </c>
      <c r="E123" s="35" t="s">
        <v>2652</v>
      </c>
      <c r="F123" s="35" t="s">
        <v>1930</v>
      </c>
      <c r="G123" s="34" t="s">
        <v>2659</v>
      </c>
    </row>
    <row r="124" spans="1:7">
      <c r="A124" s="34">
        <v>2084202603</v>
      </c>
      <c r="B124" s="35" t="s">
        <v>351</v>
      </c>
      <c r="C124" s="35" t="s">
        <v>2649</v>
      </c>
      <c r="D124" s="35" t="s">
        <v>2650</v>
      </c>
      <c r="E124" s="35" t="s">
        <v>2652</v>
      </c>
      <c r="F124" s="35" t="s">
        <v>1930</v>
      </c>
      <c r="G124" s="34" t="s">
        <v>1098</v>
      </c>
    </row>
    <row r="125" spans="1:7">
      <c r="A125" s="34">
        <v>2084202597</v>
      </c>
      <c r="B125" s="35" t="s">
        <v>351</v>
      </c>
      <c r="C125" s="35" t="s">
        <v>2649</v>
      </c>
      <c r="D125" s="35" t="s">
        <v>2650</v>
      </c>
      <c r="E125" s="35" t="s">
        <v>2652</v>
      </c>
      <c r="F125" s="35" t="s">
        <v>1930</v>
      </c>
      <c r="G125" s="34" t="s">
        <v>1132</v>
      </c>
    </row>
    <row r="126" spans="1:7">
      <c r="A126" s="34">
        <v>2084202606</v>
      </c>
      <c r="B126" s="35" t="s">
        <v>351</v>
      </c>
      <c r="C126" s="35" t="s">
        <v>2649</v>
      </c>
      <c r="D126" s="35" t="s">
        <v>2650</v>
      </c>
      <c r="E126" s="35" t="s">
        <v>2652</v>
      </c>
      <c r="F126" s="35" t="s">
        <v>1930</v>
      </c>
      <c r="G126" s="34" t="s">
        <v>2651</v>
      </c>
    </row>
    <row r="127" spans="1:7">
      <c r="A127" s="34">
        <v>2084202607</v>
      </c>
      <c r="B127" s="35" t="s">
        <v>351</v>
      </c>
      <c r="C127" s="35" t="s">
        <v>2649</v>
      </c>
      <c r="D127" s="35" t="s">
        <v>2650</v>
      </c>
      <c r="E127" s="35" t="s">
        <v>2652</v>
      </c>
      <c r="F127" s="35" t="s">
        <v>1930</v>
      </c>
      <c r="G127" s="34" t="s">
        <v>2719</v>
      </c>
    </row>
    <row r="128" spans="1:7">
      <c r="A128" s="34">
        <v>2084262314</v>
      </c>
      <c r="B128" s="35" t="s">
        <v>351</v>
      </c>
      <c r="C128" s="35" t="s">
        <v>2649</v>
      </c>
      <c r="D128" s="35" t="s">
        <v>2650</v>
      </c>
      <c r="E128" s="35" t="s">
        <v>2652</v>
      </c>
      <c r="F128" s="35" t="s">
        <v>1930</v>
      </c>
      <c r="G128" s="34" t="s">
        <v>2720</v>
      </c>
    </row>
    <row r="129" spans="1:8">
      <c r="A129" s="34">
        <v>2084262315</v>
      </c>
      <c r="B129" s="35" t="s">
        <v>351</v>
      </c>
      <c r="C129" s="35" t="s">
        <v>2649</v>
      </c>
      <c r="D129" s="35" t="s">
        <v>2650</v>
      </c>
      <c r="E129" s="35" t="s">
        <v>2652</v>
      </c>
      <c r="F129" s="35" t="s">
        <v>1930</v>
      </c>
      <c r="G129" s="34" t="s">
        <v>2726</v>
      </c>
    </row>
    <row r="130" spans="1:8">
      <c r="A130" s="34">
        <v>2084262316</v>
      </c>
      <c r="B130" s="35" t="s">
        <v>351</v>
      </c>
      <c r="C130" s="35" t="s">
        <v>2649</v>
      </c>
      <c r="D130" s="35" t="s">
        <v>2650</v>
      </c>
      <c r="E130" s="35" t="s">
        <v>2652</v>
      </c>
      <c r="F130" s="35" t="s">
        <v>1930</v>
      </c>
      <c r="G130" s="34" t="s">
        <v>1262</v>
      </c>
    </row>
    <row r="131" spans="1:8">
      <c r="A131" s="34">
        <v>2084262317</v>
      </c>
      <c r="B131" s="35" t="s">
        <v>351</v>
      </c>
      <c r="C131" s="35" t="s">
        <v>2649</v>
      </c>
      <c r="D131" s="35" t="s">
        <v>2650</v>
      </c>
      <c r="E131" s="35" t="s">
        <v>2652</v>
      </c>
      <c r="F131" s="35" t="s">
        <v>1930</v>
      </c>
      <c r="G131" s="34" t="s">
        <v>2727</v>
      </c>
      <c r="H131" s="34"/>
    </row>
    <row r="132" spans="1:8">
      <c r="A132" s="34">
        <v>2084235526</v>
      </c>
      <c r="B132" s="35" t="s">
        <v>351</v>
      </c>
      <c r="C132" s="35" t="s">
        <v>2649</v>
      </c>
      <c r="D132" s="35" t="s">
        <v>2650</v>
      </c>
      <c r="E132" s="35" t="s">
        <v>2652</v>
      </c>
      <c r="F132" s="35" t="s">
        <v>1930</v>
      </c>
      <c r="G132" s="34" t="s">
        <v>1274</v>
      </c>
      <c r="H132" s="34"/>
    </row>
    <row r="133" spans="1:8">
      <c r="A133" s="34">
        <v>2084202609</v>
      </c>
      <c r="B133" s="35" t="s">
        <v>351</v>
      </c>
      <c r="C133" s="35" t="s">
        <v>2649</v>
      </c>
      <c r="D133" s="35" t="s">
        <v>2650</v>
      </c>
      <c r="E133" s="35" t="s">
        <v>2652</v>
      </c>
      <c r="F133" s="35" t="s">
        <v>1930</v>
      </c>
      <c r="G133" s="34" t="s">
        <v>2721</v>
      </c>
      <c r="H133" s="34"/>
    </row>
    <row r="134" spans="1:8">
      <c r="A134" s="34">
        <v>2084202601</v>
      </c>
      <c r="B134" s="35" t="s">
        <v>351</v>
      </c>
      <c r="C134" s="35" t="s">
        <v>2649</v>
      </c>
      <c r="D134" s="35" t="s">
        <v>2650</v>
      </c>
      <c r="E134" s="35" t="s">
        <v>2652</v>
      </c>
      <c r="F134" s="35" t="s">
        <v>1930</v>
      </c>
      <c r="G134" s="34" t="s">
        <v>2672</v>
      </c>
      <c r="H134" s="34"/>
    </row>
    <row r="135" spans="1:8">
      <c r="A135" s="34">
        <v>2084240687</v>
      </c>
      <c r="B135" s="35" t="s">
        <v>351</v>
      </c>
      <c r="C135" s="35" t="s">
        <v>2649</v>
      </c>
      <c r="D135" s="35" t="s">
        <v>2650</v>
      </c>
      <c r="E135" s="35" t="s">
        <v>2652</v>
      </c>
      <c r="F135" s="35" t="s">
        <v>1930</v>
      </c>
      <c r="G135" s="34" t="s">
        <v>2728</v>
      </c>
      <c r="H135" s="34"/>
    </row>
    <row r="136" spans="1:8">
      <c r="A136" s="34">
        <v>2084202697</v>
      </c>
      <c r="B136" s="35" t="s">
        <v>351</v>
      </c>
      <c r="C136" s="35" t="s">
        <v>2649</v>
      </c>
      <c r="D136" s="35" t="s">
        <v>2650</v>
      </c>
      <c r="E136" s="35" t="s">
        <v>2652</v>
      </c>
      <c r="F136" s="35" t="s">
        <v>1930</v>
      </c>
      <c r="G136" s="34" t="s">
        <v>2722</v>
      </c>
      <c r="H136" s="34"/>
    </row>
    <row r="137" spans="1:8">
      <c r="A137" s="34">
        <v>2084262318</v>
      </c>
      <c r="B137" s="35" t="s">
        <v>351</v>
      </c>
      <c r="C137" s="35" t="s">
        <v>2649</v>
      </c>
      <c r="D137" s="35" t="s">
        <v>2650</v>
      </c>
      <c r="E137" s="35" t="s">
        <v>2652</v>
      </c>
      <c r="F137" s="35" t="s">
        <v>1930</v>
      </c>
      <c r="G137" s="34" t="s">
        <v>2729</v>
      </c>
      <c r="H137" s="34"/>
    </row>
    <row r="138" spans="1:8">
      <c r="A138" s="34">
        <v>2084262319</v>
      </c>
      <c r="B138" s="35" t="s">
        <v>351</v>
      </c>
      <c r="C138" s="35" t="s">
        <v>2649</v>
      </c>
      <c r="D138" s="35" t="s">
        <v>2650</v>
      </c>
      <c r="E138" s="35" t="s">
        <v>2652</v>
      </c>
      <c r="F138" s="35" t="s">
        <v>1930</v>
      </c>
      <c r="G138" s="34" t="s">
        <v>2730</v>
      </c>
      <c r="H138" s="34"/>
    </row>
    <row r="139" spans="1:8">
      <c r="A139" s="34">
        <v>2084202605</v>
      </c>
      <c r="B139" s="35" t="s">
        <v>351</v>
      </c>
      <c r="C139" s="35" t="s">
        <v>2649</v>
      </c>
      <c r="D139" s="35" t="s">
        <v>2650</v>
      </c>
      <c r="E139" s="35" t="s">
        <v>2652</v>
      </c>
      <c r="F139" s="35" t="s">
        <v>1930</v>
      </c>
      <c r="G139" s="34" t="s">
        <v>1447</v>
      </c>
      <c r="H139" s="34"/>
    </row>
    <row r="140" spans="1:8">
      <c r="A140" s="34">
        <v>2084202600</v>
      </c>
      <c r="B140" s="35" t="s">
        <v>351</v>
      </c>
      <c r="C140" s="35" t="s">
        <v>2649</v>
      </c>
      <c r="D140" s="35" t="s">
        <v>2650</v>
      </c>
      <c r="E140" s="35" t="s">
        <v>2652</v>
      </c>
      <c r="F140" s="35" t="s">
        <v>1930</v>
      </c>
      <c r="G140" s="34" t="s">
        <v>2657</v>
      </c>
      <c r="H140" s="34"/>
    </row>
    <row r="141" spans="1:8">
      <c r="A141" s="34">
        <v>2084202610</v>
      </c>
      <c r="B141" s="35" t="s">
        <v>351</v>
      </c>
      <c r="C141" s="35" t="s">
        <v>2649</v>
      </c>
      <c r="D141" s="35" t="s">
        <v>2650</v>
      </c>
      <c r="E141" s="35" t="s">
        <v>2652</v>
      </c>
      <c r="F141" s="35" t="s">
        <v>1930</v>
      </c>
      <c r="G141" s="34" t="s">
        <v>429</v>
      </c>
      <c r="H141" s="34"/>
    </row>
    <row r="142" spans="1:8">
      <c r="A142" s="34">
        <v>2084006800</v>
      </c>
      <c r="B142" s="35" t="s">
        <v>351</v>
      </c>
      <c r="C142" s="35" t="s">
        <v>2649</v>
      </c>
      <c r="D142" s="35" t="s">
        <v>2650</v>
      </c>
      <c r="E142" s="35" t="s">
        <v>2652</v>
      </c>
      <c r="F142" s="35" t="s">
        <v>2092</v>
      </c>
      <c r="G142" s="34"/>
      <c r="H142" s="34"/>
    </row>
    <row r="143" spans="1:8">
      <c r="A143" s="34">
        <v>2084006799</v>
      </c>
      <c r="B143" s="35" t="s">
        <v>351</v>
      </c>
      <c r="C143" s="35" t="s">
        <v>2649</v>
      </c>
      <c r="D143" s="35" t="s">
        <v>2650</v>
      </c>
      <c r="E143" s="35" t="s">
        <v>2652</v>
      </c>
      <c r="F143" s="35" t="s">
        <v>1596</v>
      </c>
      <c r="G143" s="34"/>
      <c r="H143" s="34"/>
    </row>
    <row r="144" spans="1:8">
      <c r="A144" s="34">
        <v>2084252466</v>
      </c>
      <c r="B144" s="35" t="s">
        <v>351</v>
      </c>
      <c r="C144" s="35" t="s">
        <v>2649</v>
      </c>
      <c r="D144" s="35" t="s">
        <v>2650</v>
      </c>
      <c r="E144" s="35" t="s">
        <v>2652</v>
      </c>
      <c r="F144" s="35" t="s">
        <v>430</v>
      </c>
      <c r="G144" s="34" t="s">
        <v>2710</v>
      </c>
      <c r="H144" s="34"/>
    </row>
    <row r="145" spans="1:8">
      <c r="A145" s="34">
        <v>2084202706</v>
      </c>
      <c r="B145" s="35" t="s">
        <v>351</v>
      </c>
      <c r="C145" s="35" t="s">
        <v>2649</v>
      </c>
      <c r="D145" s="35" t="s">
        <v>2650</v>
      </c>
      <c r="E145" s="35" t="s">
        <v>2652</v>
      </c>
      <c r="F145" s="35" t="s">
        <v>430</v>
      </c>
      <c r="G145" s="34" t="s">
        <v>2711</v>
      </c>
      <c r="H145" s="34"/>
    </row>
    <row r="146" spans="1:8">
      <c r="A146" s="34">
        <v>2084202700</v>
      </c>
      <c r="B146" s="35" t="s">
        <v>351</v>
      </c>
      <c r="C146" s="35" t="s">
        <v>2649</v>
      </c>
      <c r="D146" s="35" t="s">
        <v>2650</v>
      </c>
      <c r="E146" s="35" t="s">
        <v>2652</v>
      </c>
      <c r="F146" s="35" t="s">
        <v>430</v>
      </c>
      <c r="G146" s="34" t="s">
        <v>492</v>
      </c>
      <c r="H146" s="34"/>
    </row>
    <row r="147" spans="1:8">
      <c r="A147" s="34">
        <v>2084254260</v>
      </c>
      <c r="B147" s="35" t="s">
        <v>351</v>
      </c>
      <c r="C147" s="35" t="s">
        <v>2649</v>
      </c>
      <c r="D147" s="35" t="s">
        <v>2650</v>
      </c>
      <c r="E147" s="35" t="s">
        <v>2652</v>
      </c>
      <c r="F147" s="35" t="s">
        <v>430</v>
      </c>
      <c r="G147" s="34" t="s">
        <v>451</v>
      </c>
      <c r="H147" s="34"/>
    </row>
    <row r="148" spans="1:8">
      <c r="A148" s="34">
        <v>2084202702</v>
      </c>
      <c r="B148" s="35" t="s">
        <v>351</v>
      </c>
      <c r="C148" s="35" t="s">
        <v>2649</v>
      </c>
      <c r="D148" s="35" t="s">
        <v>2650</v>
      </c>
      <c r="E148" s="35" t="s">
        <v>2652</v>
      </c>
      <c r="F148" s="35" t="s">
        <v>430</v>
      </c>
      <c r="G148" s="34" t="s">
        <v>2712</v>
      </c>
      <c r="H148" s="34"/>
    </row>
    <row r="149" spans="1:8">
      <c r="A149" s="34">
        <v>2084202707</v>
      </c>
      <c r="B149" s="35" t="s">
        <v>351</v>
      </c>
      <c r="C149" s="35" t="s">
        <v>2649</v>
      </c>
      <c r="D149" s="35" t="s">
        <v>2650</v>
      </c>
      <c r="E149" s="35" t="s">
        <v>2652</v>
      </c>
      <c r="F149" s="35" t="s">
        <v>430</v>
      </c>
      <c r="G149" s="34" t="s">
        <v>2656</v>
      </c>
      <c r="H149" s="34"/>
    </row>
    <row r="150" spans="1:8">
      <c r="A150" s="34">
        <v>2084202699</v>
      </c>
      <c r="B150" s="35" t="s">
        <v>351</v>
      </c>
      <c r="C150" s="35" t="s">
        <v>2649</v>
      </c>
      <c r="D150" s="35" t="s">
        <v>2650</v>
      </c>
      <c r="E150" s="35" t="s">
        <v>2652</v>
      </c>
      <c r="F150" s="35" t="s">
        <v>430</v>
      </c>
      <c r="G150" s="34" t="s">
        <v>2715</v>
      </c>
      <c r="H150" s="34"/>
    </row>
    <row r="151" spans="1:8">
      <c r="A151" s="34">
        <v>2084202711</v>
      </c>
      <c r="B151" s="35" t="s">
        <v>351</v>
      </c>
      <c r="C151" s="35" t="s">
        <v>2649</v>
      </c>
      <c r="D151" s="35" t="s">
        <v>2650</v>
      </c>
      <c r="E151" s="35" t="s">
        <v>2652</v>
      </c>
      <c r="F151" s="35" t="s">
        <v>430</v>
      </c>
      <c r="G151" s="34" t="s">
        <v>2716</v>
      </c>
      <c r="H151" s="34"/>
    </row>
    <row r="152" spans="1:8">
      <c r="A152" s="34">
        <v>2084254259</v>
      </c>
      <c r="B152" s="35" t="s">
        <v>351</v>
      </c>
      <c r="C152" s="35" t="s">
        <v>2649</v>
      </c>
      <c r="D152" s="35" t="s">
        <v>2650</v>
      </c>
      <c r="E152" s="35" t="s">
        <v>2652</v>
      </c>
      <c r="F152" s="35" t="s">
        <v>430</v>
      </c>
      <c r="G152" s="34" t="s">
        <v>2717</v>
      </c>
      <c r="H152" s="34"/>
    </row>
    <row r="153" spans="1:8">
      <c r="A153" s="34">
        <v>2084202698</v>
      </c>
      <c r="B153" s="35" t="s">
        <v>351</v>
      </c>
      <c r="C153" s="35" t="s">
        <v>2649</v>
      </c>
      <c r="D153" s="35" t="s">
        <v>2650</v>
      </c>
      <c r="E153" s="35" t="s">
        <v>2652</v>
      </c>
      <c r="F153" s="35" t="s">
        <v>430</v>
      </c>
      <c r="G153" s="34" t="s">
        <v>2718</v>
      </c>
      <c r="H153" s="34"/>
    </row>
    <row r="154" spans="1:8">
      <c r="A154" s="34">
        <v>2084202703</v>
      </c>
      <c r="B154" s="35" t="s">
        <v>351</v>
      </c>
      <c r="C154" s="35" t="s">
        <v>2649</v>
      </c>
      <c r="D154" s="35" t="s">
        <v>2650</v>
      </c>
      <c r="E154" s="35" t="s">
        <v>2652</v>
      </c>
      <c r="F154" s="35" t="s">
        <v>430</v>
      </c>
      <c r="G154" s="34" t="s">
        <v>2659</v>
      </c>
    </row>
    <row r="155" spans="1:8">
      <c r="A155" s="34">
        <v>2084202701</v>
      </c>
      <c r="B155" s="35" t="s">
        <v>351</v>
      </c>
      <c r="C155" s="35" t="s">
        <v>2649</v>
      </c>
      <c r="D155" s="35" t="s">
        <v>2650</v>
      </c>
      <c r="E155" s="35" t="s">
        <v>2652</v>
      </c>
      <c r="F155" s="35" t="s">
        <v>430</v>
      </c>
      <c r="G155" s="34" t="s">
        <v>1132</v>
      </c>
    </row>
    <row r="156" spans="1:8">
      <c r="A156" s="34">
        <v>2084202708</v>
      </c>
      <c r="B156" s="35" t="s">
        <v>351</v>
      </c>
      <c r="C156" s="35" t="s">
        <v>2649</v>
      </c>
      <c r="D156" s="35" t="s">
        <v>2650</v>
      </c>
      <c r="E156" s="35" t="s">
        <v>2652</v>
      </c>
      <c r="F156" s="35" t="s">
        <v>430</v>
      </c>
      <c r="G156" s="34" t="s">
        <v>2651</v>
      </c>
    </row>
    <row r="157" spans="1:8">
      <c r="A157" s="34">
        <v>2084202710</v>
      </c>
      <c r="B157" s="35" t="s">
        <v>351</v>
      </c>
      <c r="C157" s="35" t="s">
        <v>2649</v>
      </c>
      <c r="D157" s="35" t="s">
        <v>2650</v>
      </c>
      <c r="E157" s="35" t="s">
        <v>2652</v>
      </c>
      <c r="F157" s="35" t="s">
        <v>430</v>
      </c>
      <c r="G157" s="34" t="s">
        <v>2719</v>
      </c>
    </row>
    <row r="158" spans="1:8">
      <c r="A158" s="34">
        <v>2084202705</v>
      </c>
      <c r="B158" s="35" t="s">
        <v>351</v>
      </c>
      <c r="C158" s="35" t="s">
        <v>2649</v>
      </c>
      <c r="D158" s="35" t="s">
        <v>2650</v>
      </c>
      <c r="E158" s="35" t="s">
        <v>2652</v>
      </c>
      <c r="F158" s="35" t="s">
        <v>430</v>
      </c>
      <c r="G158" s="34" t="s">
        <v>2672</v>
      </c>
    </row>
    <row r="159" spans="1:8">
      <c r="A159" s="34">
        <v>2084202709</v>
      </c>
      <c r="B159" s="35" t="s">
        <v>351</v>
      </c>
      <c r="C159" s="35" t="s">
        <v>2649</v>
      </c>
      <c r="D159" s="35" t="s">
        <v>2650</v>
      </c>
      <c r="E159" s="35" t="s">
        <v>2652</v>
      </c>
      <c r="F159" s="35" t="s">
        <v>430</v>
      </c>
      <c r="G159" s="34" t="s">
        <v>2722</v>
      </c>
    </row>
    <row r="160" spans="1:8">
      <c r="A160" s="34">
        <v>2084202704</v>
      </c>
      <c r="B160" s="35" t="s">
        <v>351</v>
      </c>
      <c r="C160" s="35" t="s">
        <v>2649</v>
      </c>
      <c r="D160" s="35" t="s">
        <v>2650</v>
      </c>
      <c r="E160" s="35" t="s">
        <v>2652</v>
      </c>
      <c r="F160" s="35" t="s">
        <v>430</v>
      </c>
      <c r="G160" s="34" t="s">
        <v>2657</v>
      </c>
    </row>
    <row r="161" spans="1:8">
      <c r="A161" s="34">
        <v>2084202712</v>
      </c>
      <c r="B161" s="35" t="s">
        <v>351</v>
      </c>
      <c r="C161" s="35" t="s">
        <v>2649</v>
      </c>
      <c r="D161" s="35" t="s">
        <v>2650</v>
      </c>
      <c r="E161" s="35" t="s">
        <v>2652</v>
      </c>
      <c r="F161" s="35" t="s">
        <v>430</v>
      </c>
      <c r="G161" s="34" t="s">
        <v>429</v>
      </c>
      <c r="H161" s="34"/>
    </row>
    <row r="162" spans="1:8">
      <c r="A162" s="34">
        <v>2084063234</v>
      </c>
      <c r="B162" s="35" t="s">
        <v>351</v>
      </c>
      <c r="C162" s="35" t="s">
        <v>2649</v>
      </c>
      <c r="D162" s="35" t="s">
        <v>2650</v>
      </c>
      <c r="E162" s="35" t="s">
        <v>2652</v>
      </c>
      <c r="F162" s="35" t="s">
        <v>1627</v>
      </c>
      <c r="G162" s="34" t="s">
        <v>2731</v>
      </c>
      <c r="H162" s="34"/>
    </row>
    <row r="163" spans="1:8">
      <c r="A163" s="34">
        <v>2084063235</v>
      </c>
      <c r="B163" s="35" t="s">
        <v>351</v>
      </c>
      <c r="C163" s="35" t="s">
        <v>2649</v>
      </c>
      <c r="D163" s="35" t="s">
        <v>2650</v>
      </c>
      <c r="E163" s="35" t="s">
        <v>2652</v>
      </c>
      <c r="F163" s="35" t="s">
        <v>1627</v>
      </c>
      <c r="G163" s="34" t="s">
        <v>2732</v>
      </c>
      <c r="H163" s="34"/>
    </row>
    <row r="164" spans="1:8">
      <c r="A164" s="34">
        <v>2084063236</v>
      </c>
      <c r="B164" s="35" t="s">
        <v>351</v>
      </c>
      <c r="C164" s="35" t="s">
        <v>2649</v>
      </c>
      <c r="D164" s="35" t="s">
        <v>2650</v>
      </c>
      <c r="E164" s="35" t="s">
        <v>2652</v>
      </c>
      <c r="F164" s="35" t="s">
        <v>1627</v>
      </c>
      <c r="G164" s="34" t="s">
        <v>2733</v>
      </c>
      <c r="H164" s="34"/>
    </row>
    <row r="165" spans="1:8">
      <c r="A165" s="34">
        <v>2084063243</v>
      </c>
      <c r="B165" s="35" t="s">
        <v>351</v>
      </c>
      <c r="C165" s="35" t="s">
        <v>2649</v>
      </c>
      <c r="D165" s="35" t="s">
        <v>2650</v>
      </c>
      <c r="E165" s="35" t="s">
        <v>2652</v>
      </c>
      <c r="F165" s="35" t="s">
        <v>1627</v>
      </c>
      <c r="G165" s="34" t="s">
        <v>2734</v>
      </c>
      <c r="H165" s="34"/>
    </row>
    <row r="166" spans="1:8">
      <c r="A166" s="34">
        <v>2084063237</v>
      </c>
      <c r="B166" s="35" t="s">
        <v>351</v>
      </c>
      <c r="C166" s="35" t="s">
        <v>2649</v>
      </c>
      <c r="D166" s="35" t="s">
        <v>2650</v>
      </c>
      <c r="E166" s="35" t="s">
        <v>2652</v>
      </c>
      <c r="F166" s="35" t="s">
        <v>1627</v>
      </c>
      <c r="G166" s="34" t="s">
        <v>2735</v>
      </c>
      <c r="H166" s="34"/>
    </row>
    <row r="167" spans="1:8">
      <c r="A167" s="34">
        <v>2084063238</v>
      </c>
      <c r="B167" s="35" t="s">
        <v>351</v>
      </c>
      <c r="C167" s="35" t="s">
        <v>2649</v>
      </c>
      <c r="D167" s="35" t="s">
        <v>2650</v>
      </c>
      <c r="E167" s="35" t="s">
        <v>2652</v>
      </c>
      <c r="F167" s="35" t="s">
        <v>1627</v>
      </c>
      <c r="G167" s="34" t="s">
        <v>2736</v>
      </c>
      <c r="H167" s="34"/>
    </row>
    <row r="168" spans="1:8">
      <c r="A168" s="34">
        <v>2084063239</v>
      </c>
      <c r="B168" s="35" t="s">
        <v>351</v>
      </c>
      <c r="C168" s="35" t="s">
        <v>2649</v>
      </c>
      <c r="D168" s="35" t="s">
        <v>2650</v>
      </c>
      <c r="E168" s="35" t="s">
        <v>2652</v>
      </c>
      <c r="F168" s="35" t="s">
        <v>1627</v>
      </c>
      <c r="G168" s="34" t="s">
        <v>2737</v>
      </c>
      <c r="H168" s="34"/>
    </row>
    <row r="169" spans="1:8">
      <c r="A169" s="34">
        <v>2084063240</v>
      </c>
      <c r="B169" s="35" t="s">
        <v>351</v>
      </c>
      <c r="C169" s="35" t="s">
        <v>2649</v>
      </c>
      <c r="D169" s="35" t="s">
        <v>2650</v>
      </c>
      <c r="E169" s="35" t="s">
        <v>2652</v>
      </c>
      <c r="F169" s="35" t="s">
        <v>1627</v>
      </c>
      <c r="G169" s="34" t="s">
        <v>2738</v>
      </c>
      <c r="H169" s="34"/>
    </row>
    <row r="170" spans="1:8">
      <c r="A170" s="34">
        <v>2084063241</v>
      </c>
      <c r="B170" s="35" t="s">
        <v>351</v>
      </c>
      <c r="C170" s="35" t="s">
        <v>2649</v>
      </c>
      <c r="D170" s="35" t="s">
        <v>2650</v>
      </c>
      <c r="E170" s="35" t="s">
        <v>2652</v>
      </c>
      <c r="F170" s="35" t="s">
        <v>1627</v>
      </c>
      <c r="G170" s="34" t="s">
        <v>2739</v>
      </c>
      <c r="H170" s="34"/>
    </row>
    <row r="171" spans="1:8">
      <c r="A171" s="34">
        <v>2084063242</v>
      </c>
      <c r="B171" s="35" t="s">
        <v>351</v>
      </c>
      <c r="C171" s="35" t="s">
        <v>2649</v>
      </c>
      <c r="D171" s="35" t="s">
        <v>2650</v>
      </c>
      <c r="E171" s="35" t="s">
        <v>2652</v>
      </c>
      <c r="F171" s="35" t="s">
        <v>1627</v>
      </c>
      <c r="G171" s="34" t="s">
        <v>2740</v>
      </c>
      <c r="H171" s="34"/>
    </row>
    <row r="172" spans="1:8">
      <c r="A172" s="34">
        <v>2084262339</v>
      </c>
      <c r="B172" s="35" t="s">
        <v>351</v>
      </c>
      <c r="C172" s="35" t="s">
        <v>2649</v>
      </c>
      <c r="D172" s="35" t="s">
        <v>2650</v>
      </c>
      <c r="E172" s="35" t="s">
        <v>2652</v>
      </c>
      <c r="F172" s="35" t="s">
        <v>384</v>
      </c>
      <c r="G172" s="34"/>
      <c r="H172" s="34"/>
    </row>
    <row r="173" spans="1:8">
      <c r="A173" s="34">
        <v>2084063260</v>
      </c>
      <c r="B173" s="35" t="s">
        <v>351</v>
      </c>
      <c r="C173" s="35" t="s">
        <v>2649</v>
      </c>
      <c r="D173" s="35" t="s">
        <v>2650</v>
      </c>
      <c r="E173" s="35" t="s">
        <v>2652</v>
      </c>
      <c r="F173" s="35" t="s">
        <v>2741</v>
      </c>
      <c r="G173" s="34"/>
      <c r="H173" s="34"/>
    </row>
    <row r="174" spans="1:8">
      <c r="A174" s="34">
        <v>2084235604</v>
      </c>
      <c r="B174" s="35" t="s">
        <v>351</v>
      </c>
      <c r="C174" s="35" t="s">
        <v>2649</v>
      </c>
      <c r="D174" s="35" t="s">
        <v>2650</v>
      </c>
      <c r="E174" s="35" t="s">
        <v>2652</v>
      </c>
      <c r="F174" s="35" t="s">
        <v>1203</v>
      </c>
      <c r="G174" s="34" t="s">
        <v>492</v>
      </c>
      <c r="H174" s="34"/>
    </row>
    <row r="175" spans="1:8">
      <c r="A175" s="34">
        <v>2084235601</v>
      </c>
      <c r="B175" s="35" t="s">
        <v>351</v>
      </c>
      <c r="C175" s="35" t="s">
        <v>2649</v>
      </c>
      <c r="D175" s="35" t="s">
        <v>2650</v>
      </c>
      <c r="E175" s="35" t="s">
        <v>2652</v>
      </c>
      <c r="F175" s="35" t="s">
        <v>1203</v>
      </c>
      <c r="G175" s="34" t="s">
        <v>2742</v>
      </c>
      <c r="H175" s="34"/>
    </row>
    <row r="176" spans="1:8">
      <c r="A176" s="34">
        <v>2084235602</v>
      </c>
      <c r="B176" s="35" t="s">
        <v>351</v>
      </c>
      <c r="C176" s="35" t="s">
        <v>2649</v>
      </c>
      <c r="D176" s="35" t="s">
        <v>2650</v>
      </c>
      <c r="E176" s="35" t="s">
        <v>2652</v>
      </c>
      <c r="F176" s="35" t="s">
        <v>1203</v>
      </c>
      <c r="G176" s="34" t="s">
        <v>1132</v>
      </c>
      <c r="H176" s="34"/>
    </row>
    <row r="177" spans="1:8">
      <c r="A177" s="34">
        <v>2084235600</v>
      </c>
      <c r="B177" s="35" t="s">
        <v>351</v>
      </c>
      <c r="C177" s="35" t="s">
        <v>2649</v>
      </c>
      <c r="D177" s="35" t="s">
        <v>2650</v>
      </c>
      <c r="E177" s="35" t="s">
        <v>2652</v>
      </c>
      <c r="F177" s="35" t="s">
        <v>1203</v>
      </c>
      <c r="G177" s="34" t="s">
        <v>2743</v>
      </c>
      <c r="H177" s="34"/>
    </row>
    <row r="178" spans="1:8">
      <c r="A178" s="34">
        <v>2084235603</v>
      </c>
      <c r="B178" s="35" t="s">
        <v>351</v>
      </c>
      <c r="C178" s="35" t="s">
        <v>2649</v>
      </c>
      <c r="D178" s="35" t="s">
        <v>2650</v>
      </c>
      <c r="E178" s="35" t="s">
        <v>2652</v>
      </c>
      <c r="F178" s="35" t="s">
        <v>1203</v>
      </c>
      <c r="G178" s="34" t="s">
        <v>1274</v>
      </c>
      <c r="H178" s="34"/>
    </row>
    <row r="179" spans="1:8">
      <c r="A179" s="34">
        <v>2084235605</v>
      </c>
      <c r="B179" s="35" t="s">
        <v>351</v>
      </c>
      <c r="C179" s="35" t="s">
        <v>2649</v>
      </c>
      <c r="D179" s="35" t="s">
        <v>2650</v>
      </c>
      <c r="E179" s="35" t="s">
        <v>2652</v>
      </c>
      <c r="F179" s="35" t="s">
        <v>1203</v>
      </c>
      <c r="G179" s="34" t="s">
        <v>2657</v>
      </c>
      <c r="H179" s="34"/>
    </row>
    <row r="180" spans="1:8">
      <c r="A180" s="34">
        <v>2084235606</v>
      </c>
      <c r="B180" s="35" t="s">
        <v>351</v>
      </c>
      <c r="C180" s="35" t="s">
        <v>2649</v>
      </c>
      <c r="D180" s="35" t="s">
        <v>2650</v>
      </c>
      <c r="E180" s="35" t="s">
        <v>2652</v>
      </c>
      <c r="F180" s="35" t="s">
        <v>1203</v>
      </c>
      <c r="G180" s="34" t="s">
        <v>429</v>
      </c>
      <c r="H180" s="34"/>
    </row>
    <row r="181" spans="1:8">
      <c r="A181" s="34">
        <v>2084208713</v>
      </c>
      <c r="B181" s="35" t="s">
        <v>351</v>
      </c>
      <c r="C181" s="35" t="s">
        <v>2649</v>
      </c>
      <c r="D181" s="35" t="s">
        <v>2650</v>
      </c>
      <c r="E181" s="35" t="s">
        <v>2652</v>
      </c>
      <c r="F181" s="35" t="s">
        <v>2654</v>
      </c>
      <c r="G181" s="34" t="s">
        <v>492</v>
      </c>
      <c r="H181" s="34"/>
    </row>
    <row r="182" spans="1:8">
      <c r="A182" s="34">
        <v>2084262340</v>
      </c>
      <c r="B182" s="35" t="s">
        <v>351</v>
      </c>
      <c r="C182" s="35" t="s">
        <v>2649</v>
      </c>
      <c r="D182" s="35" t="s">
        <v>2650</v>
      </c>
      <c r="E182" s="35" t="s">
        <v>2652</v>
      </c>
      <c r="F182" s="35" t="s">
        <v>2654</v>
      </c>
      <c r="G182" s="34" t="s">
        <v>2658</v>
      </c>
      <c r="H182" s="34"/>
    </row>
    <row r="183" spans="1:8">
      <c r="A183" s="34">
        <v>2084262341</v>
      </c>
      <c r="B183" s="35" t="s">
        <v>351</v>
      </c>
      <c r="C183" s="35" t="s">
        <v>2649</v>
      </c>
      <c r="D183" s="35" t="s">
        <v>2650</v>
      </c>
      <c r="E183" s="35" t="s">
        <v>2652</v>
      </c>
      <c r="F183" s="35" t="s">
        <v>2654</v>
      </c>
      <c r="G183" s="34" t="s">
        <v>451</v>
      </c>
      <c r="H183" s="34"/>
    </row>
    <row r="184" spans="1:8">
      <c r="A184" s="34">
        <v>2084208709</v>
      </c>
      <c r="B184" s="35" t="s">
        <v>351</v>
      </c>
      <c r="C184" s="35" t="s">
        <v>2649</v>
      </c>
      <c r="D184" s="35" t="s">
        <v>2650</v>
      </c>
      <c r="E184" s="35" t="s">
        <v>2652</v>
      </c>
      <c r="F184" s="35" t="s">
        <v>2654</v>
      </c>
      <c r="G184" s="34" t="s">
        <v>2712</v>
      </c>
    </row>
    <row r="185" spans="1:8">
      <c r="A185" s="34">
        <v>2084208716</v>
      </c>
      <c r="B185" s="35" t="s">
        <v>351</v>
      </c>
      <c r="C185" s="35" t="s">
        <v>2649</v>
      </c>
      <c r="D185" s="35" t="s">
        <v>2650</v>
      </c>
      <c r="E185" s="35" t="s">
        <v>2652</v>
      </c>
      <c r="F185" s="35" t="s">
        <v>2654</v>
      </c>
      <c r="G185" s="34" t="s">
        <v>2656</v>
      </c>
    </row>
    <row r="186" spans="1:8">
      <c r="A186" s="34">
        <v>2084208708</v>
      </c>
      <c r="B186" s="35" t="s">
        <v>351</v>
      </c>
      <c r="C186" s="35" t="s">
        <v>2649</v>
      </c>
      <c r="D186" s="35" t="s">
        <v>2650</v>
      </c>
      <c r="E186" s="35" t="s">
        <v>2652</v>
      </c>
      <c r="F186" s="35" t="s">
        <v>2654</v>
      </c>
      <c r="G186" s="34" t="s">
        <v>2725</v>
      </c>
    </row>
    <row r="187" spans="1:8">
      <c r="A187" s="34">
        <v>2084208707</v>
      </c>
      <c r="B187" s="35" t="s">
        <v>351</v>
      </c>
      <c r="C187" s="35" t="s">
        <v>2649</v>
      </c>
      <c r="D187" s="35" t="s">
        <v>2650</v>
      </c>
      <c r="E187" s="35" t="s">
        <v>2652</v>
      </c>
      <c r="F187" s="35" t="s">
        <v>2654</v>
      </c>
      <c r="G187" s="34" t="s">
        <v>2715</v>
      </c>
    </row>
    <row r="188" spans="1:8">
      <c r="A188" s="34">
        <v>2084208710</v>
      </c>
      <c r="B188" s="35" t="s">
        <v>351</v>
      </c>
      <c r="C188" s="35" t="s">
        <v>2649</v>
      </c>
      <c r="D188" s="35" t="s">
        <v>2650</v>
      </c>
      <c r="E188" s="35" t="s">
        <v>2652</v>
      </c>
      <c r="F188" s="35" t="s">
        <v>2654</v>
      </c>
      <c r="G188" s="34" t="s">
        <v>2716</v>
      </c>
    </row>
    <row r="189" spans="1:8">
      <c r="A189" s="34">
        <v>2084208706</v>
      </c>
      <c r="B189" s="35" t="s">
        <v>351</v>
      </c>
      <c r="C189" s="35" t="s">
        <v>2649</v>
      </c>
      <c r="D189" s="35" t="s">
        <v>2650</v>
      </c>
      <c r="E189" s="35" t="s">
        <v>2652</v>
      </c>
      <c r="F189" s="35" t="s">
        <v>2654</v>
      </c>
      <c r="G189" s="34" t="s">
        <v>2718</v>
      </c>
    </row>
    <row r="190" spans="1:8">
      <c r="A190" s="34">
        <v>2084208711</v>
      </c>
      <c r="B190" s="35" t="s">
        <v>351</v>
      </c>
      <c r="C190" s="35" t="s">
        <v>2649</v>
      </c>
      <c r="D190" s="35" t="s">
        <v>2650</v>
      </c>
      <c r="E190" s="35" t="s">
        <v>2652</v>
      </c>
      <c r="F190" s="35" t="s">
        <v>2654</v>
      </c>
      <c r="G190" s="34" t="s">
        <v>2659</v>
      </c>
    </row>
    <row r="191" spans="1:8">
      <c r="A191" s="34">
        <v>2084208712</v>
      </c>
      <c r="B191" s="35" t="s">
        <v>351</v>
      </c>
      <c r="C191" s="35" t="s">
        <v>2649</v>
      </c>
      <c r="D191" s="35" t="s">
        <v>2650</v>
      </c>
      <c r="E191" s="35" t="s">
        <v>2652</v>
      </c>
      <c r="F191" s="35" t="s">
        <v>2654</v>
      </c>
      <c r="G191" s="34" t="s">
        <v>1132</v>
      </c>
      <c r="H191" s="34"/>
    </row>
    <row r="192" spans="1:8">
      <c r="A192" s="34">
        <v>2084262342</v>
      </c>
      <c r="B192" s="35" t="s">
        <v>351</v>
      </c>
      <c r="C192" s="35" t="s">
        <v>2649</v>
      </c>
      <c r="D192" s="35" t="s">
        <v>2650</v>
      </c>
      <c r="E192" s="35" t="s">
        <v>2652</v>
      </c>
      <c r="F192" s="35" t="s">
        <v>2654</v>
      </c>
      <c r="G192" s="34" t="s">
        <v>2651</v>
      </c>
      <c r="H192" s="34"/>
    </row>
    <row r="193" spans="1:8">
      <c r="A193" s="34">
        <v>2084208717</v>
      </c>
      <c r="B193" s="35" t="s">
        <v>351</v>
      </c>
      <c r="C193" s="35" t="s">
        <v>2649</v>
      </c>
      <c r="D193" s="35" t="s">
        <v>2650</v>
      </c>
      <c r="E193" s="35" t="s">
        <v>2652</v>
      </c>
      <c r="F193" s="35" t="s">
        <v>2654</v>
      </c>
      <c r="G193" s="34" t="s">
        <v>2719</v>
      </c>
      <c r="H193" s="34"/>
    </row>
    <row r="194" spans="1:8">
      <c r="A194" s="34">
        <v>2084235530</v>
      </c>
      <c r="B194" s="35" t="s">
        <v>351</v>
      </c>
      <c r="C194" s="35" t="s">
        <v>2649</v>
      </c>
      <c r="D194" s="35" t="s">
        <v>2650</v>
      </c>
      <c r="E194" s="35" t="s">
        <v>2652</v>
      </c>
      <c r="F194" s="35" t="s">
        <v>2654</v>
      </c>
      <c r="G194" s="34" t="s">
        <v>1274</v>
      </c>
      <c r="H194" s="34"/>
    </row>
    <row r="195" spans="1:8">
      <c r="A195" s="34">
        <v>2084208714</v>
      </c>
      <c r="B195" s="35" t="s">
        <v>351</v>
      </c>
      <c r="C195" s="35" t="s">
        <v>2649</v>
      </c>
      <c r="D195" s="35" t="s">
        <v>2650</v>
      </c>
      <c r="E195" s="35" t="s">
        <v>2652</v>
      </c>
      <c r="F195" s="35" t="s">
        <v>2654</v>
      </c>
      <c r="G195" s="34" t="s">
        <v>2721</v>
      </c>
      <c r="H195" s="34"/>
    </row>
    <row r="196" spans="1:8">
      <c r="A196" s="34">
        <v>2084262343</v>
      </c>
      <c r="B196" s="35" t="s">
        <v>351</v>
      </c>
      <c r="C196" s="35" t="s">
        <v>2649</v>
      </c>
      <c r="D196" s="35" t="s">
        <v>2650</v>
      </c>
      <c r="E196" s="35" t="s">
        <v>2652</v>
      </c>
      <c r="F196" s="35" t="s">
        <v>2654</v>
      </c>
      <c r="G196" s="34" t="s">
        <v>2672</v>
      </c>
      <c r="H196" s="34"/>
    </row>
    <row r="197" spans="1:8">
      <c r="A197" s="34">
        <v>2084208715</v>
      </c>
      <c r="B197" s="35" t="s">
        <v>351</v>
      </c>
      <c r="C197" s="35" t="s">
        <v>2649</v>
      </c>
      <c r="D197" s="35" t="s">
        <v>2650</v>
      </c>
      <c r="E197" s="35" t="s">
        <v>2652</v>
      </c>
      <c r="F197" s="35" t="s">
        <v>2654</v>
      </c>
      <c r="G197" s="34" t="s">
        <v>2722</v>
      </c>
      <c r="H197" s="34"/>
    </row>
    <row r="198" spans="1:8">
      <c r="A198" s="34">
        <v>2084262344</v>
      </c>
      <c r="B198" s="35" t="s">
        <v>351</v>
      </c>
      <c r="C198" s="35" t="s">
        <v>2649</v>
      </c>
      <c r="D198" s="35" t="s">
        <v>2650</v>
      </c>
      <c r="E198" s="35" t="s">
        <v>2652</v>
      </c>
      <c r="F198" s="35" t="s">
        <v>2654</v>
      </c>
      <c r="G198" s="34" t="s">
        <v>1431</v>
      </c>
      <c r="H198" s="34"/>
    </row>
    <row r="199" spans="1:8">
      <c r="A199" s="34">
        <v>2084262345</v>
      </c>
      <c r="B199" s="35" t="s">
        <v>351</v>
      </c>
      <c r="C199" s="35" t="s">
        <v>2649</v>
      </c>
      <c r="D199" s="35" t="s">
        <v>2650</v>
      </c>
      <c r="E199" s="35" t="s">
        <v>2652</v>
      </c>
      <c r="F199" s="35" t="s">
        <v>2654</v>
      </c>
      <c r="G199" s="34" t="s">
        <v>2657</v>
      </c>
      <c r="H199" s="34"/>
    </row>
    <row r="200" spans="1:8">
      <c r="A200" s="34">
        <v>2084208718</v>
      </c>
      <c r="B200" s="35" t="s">
        <v>351</v>
      </c>
      <c r="C200" s="35" t="s">
        <v>2649</v>
      </c>
      <c r="D200" s="35" t="s">
        <v>2650</v>
      </c>
      <c r="E200" s="35" t="s">
        <v>2652</v>
      </c>
      <c r="F200" s="35" t="s">
        <v>2654</v>
      </c>
      <c r="G200" s="34" t="s">
        <v>429</v>
      </c>
      <c r="H200" s="34"/>
    </row>
    <row r="201" spans="1:8">
      <c r="A201" s="34">
        <v>2084235611</v>
      </c>
      <c r="B201" s="35" t="s">
        <v>351</v>
      </c>
      <c r="C201" s="35" t="s">
        <v>2649</v>
      </c>
      <c r="D201" s="35" t="s">
        <v>2650</v>
      </c>
      <c r="E201" s="35" t="s">
        <v>2652</v>
      </c>
      <c r="F201" s="35" t="s">
        <v>2655</v>
      </c>
      <c r="G201" s="34" t="s">
        <v>492</v>
      </c>
      <c r="H201" s="34"/>
    </row>
    <row r="202" spans="1:8">
      <c r="A202" s="34">
        <v>2084262346</v>
      </c>
      <c r="B202" s="35" t="s">
        <v>351</v>
      </c>
      <c r="C202" s="35" t="s">
        <v>2649</v>
      </c>
      <c r="D202" s="35" t="s">
        <v>2650</v>
      </c>
      <c r="E202" s="35" t="s">
        <v>2652</v>
      </c>
      <c r="F202" s="35" t="s">
        <v>2655</v>
      </c>
      <c r="G202" s="34" t="s">
        <v>2658</v>
      </c>
      <c r="H202" s="34"/>
    </row>
    <row r="203" spans="1:8">
      <c r="A203" s="34">
        <v>2084235614</v>
      </c>
      <c r="B203" s="35" t="s">
        <v>351</v>
      </c>
      <c r="C203" s="35" t="s">
        <v>2649</v>
      </c>
      <c r="D203" s="35" t="s">
        <v>2650</v>
      </c>
      <c r="E203" s="35" t="s">
        <v>2652</v>
      </c>
      <c r="F203" s="35" t="s">
        <v>2655</v>
      </c>
      <c r="G203" s="34" t="s">
        <v>2656</v>
      </c>
      <c r="H203" s="34"/>
    </row>
    <row r="204" spans="1:8">
      <c r="A204" s="34">
        <v>2084262347</v>
      </c>
      <c r="B204" s="35" t="s">
        <v>351</v>
      </c>
      <c r="C204" s="35" t="s">
        <v>2649</v>
      </c>
      <c r="D204" s="35" t="s">
        <v>2650</v>
      </c>
      <c r="E204" s="35" t="s">
        <v>2652</v>
      </c>
      <c r="F204" s="35" t="s">
        <v>2655</v>
      </c>
      <c r="G204" s="34" t="s">
        <v>2744</v>
      </c>
      <c r="H204" s="34"/>
    </row>
    <row r="205" spans="1:8">
      <c r="A205" s="34">
        <v>2084262348</v>
      </c>
      <c r="B205" s="35" t="s">
        <v>351</v>
      </c>
      <c r="C205" s="35" t="s">
        <v>2649</v>
      </c>
      <c r="D205" s="35" t="s">
        <v>2650</v>
      </c>
      <c r="E205" s="35" t="s">
        <v>2652</v>
      </c>
      <c r="F205" s="35" t="s">
        <v>2655</v>
      </c>
      <c r="G205" s="34" t="s">
        <v>2725</v>
      </c>
      <c r="H205" s="34"/>
    </row>
    <row r="206" spans="1:8">
      <c r="A206" s="34">
        <v>2084262349</v>
      </c>
      <c r="B206" s="35" t="s">
        <v>351</v>
      </c>
      <c r="C206" s="35" t="s">
        <v>2649</v>
      </c>
      <c r="D206" s="35" t="s">
        <v>2650</v>
      </c>
      <c r="E206" s="35" t="s">
        <v>2652</v>
      </c>
      <c r="F206" s="35" t="s">
        <v>2655</v>
      </c>
      <c r="G206" s="34" t="s">
        <v>2716</v>
      </c>
      <c r="H206" s="34"/>
    </row>
    <row r="207" spans="1:8">
      <c r="A207" s="34">
        <v>2084262350</v>
      </c>
      <c r="B207" s="35" t="s">
        <v>351</v>
      </c>
      <c r="C207" s="35" t="s">
        <v>2649</v>
      </c>
      <c r="D207" s="35" t="s">
        <v>2650</v>
      </c>
      <c r="E207" s="35" t="s">
        <v>2652</v>
      </c>
      <c r="F207" s="35" t="s">
        <v>2655</v>
      </c>
      <c r="G207" s="34" t="s">
        <v>2745</v>
      </c>
      <c r="H207" s="34"/>
    </row>
    <row r="208" spans="1:8">
      <c r="A208" s="34">
        <v>2084235608</v>
      </c>
      <c r="B208" s="35" t="s">
        <v>351</v>
      </c>
      <c r="C208" s="35" t="s">
        <v>2649</v>
      </c>
      <c r="D208" s="35" t="s">
        <v>2650</v>
      </c>
      <c r="E208" s="35" t="s">
        <v>2652</v>
      </c>
      <c r="F208" s="35" t="s">
        <v>2655</v>
      </c>
      <c r="G208" s="34" t="s">
        <v>2742</v>
      </c>
      <c r="H208" s="34"/>
    </row>
    <row r="209" spans="1:8">
      <c r="A209" s="34">
        <v>2084235613</v>
      </c>
      <c r="B209" s="35" t="s">
        <v>351</v>
      </c>
      <c r="C209" s="35" t="s">
        <v>2649</v>
      </c>
      <c r="D209" s="35" t="s">
        <v>2650</v>
      </c>
      <c r="E209" s="35" t="s">
        <v>2652</v>
      </c>
      <c r="F209" s="35" t="s">
        <v>2655</v>
      </c>
      <c r="G209" s="34" t="s">
        <v>2659</v>
      </c>
      <c r="H209" s="34"/>
    </row>
    <row r="210" spans="1:8">
      <c r="A210" s="34">
        <v>2084235609</v>
      </c>
      <c r="B210" s="35" t="s">
        <v>351</v>
      </c>
      <c r="C210" s="35" t="s">
        <v>2649</v>
      </c>
      <c r="D210" s="35" t="s">
        <v>2650</v>
      </c>
      <c r="E210" s="35" t="s">
        <v>2652</v>
      </c>
      <c r="F210" s="35" t="s">
        <v>2655</v>
      </c>
      <c r="G210" s="34" t="s">
        <v>1132</v>
      </c>
      <c r="H210" s="34"/>
    </row>
    <row r="211" spans="1:8">
      <c r="A211" s="34">
        <v>2084262351</v>
      </c>
      <c r="B211" s="35" t="s">
        <v>351</v>
      </c>
      <c r="C211" s="35" t="s">
        <v>2649</v>
      </c>
      <c r="D211" s="35" t="s">
        <v>2650</v>
      </c>
      <c r="E211" s="35" t="s">
        <v>2652</v>
      </c>
      <c r="F211" s="35" t="s">
        <v>2655</v>
      </c>
      <c r="G211" s="34" t="s">
        <v>2651</v>
      </c>
      <c r="H211" s="34"/>
    </row>
    <row r="212" spans="1:8">
      <c r="A212" s="34">
        <v>2084235607</v>
      </c>
      <c r="B212" s="35" t="s">
        <v>351</v>
      </c>
      <c r="C212" s="35" t="s">
        <v>2649</v>
      </c>
      <c r="D212" s="35" t="s">
        <v>2650</v>
      </c>
      <c r="E212" s="35" t="s">
        <v>2652</v>
      </c>
      <c r="F212" s="35" t="s">
        <v>2655</v>
      </c>
      <c r="G212" s="34" t="s">
        <v>2743</v>
      </c>
      <c r="H212" s="34"/>
    </row>
    <row r="213" spans="1:8">
      <c r="A213" s="34">
        <v>2084235610</v>
      </c>
      <c r="B213" s="35" t="s">
        <v>351</v>
      </c>
      <c r="C213" s="35" t="s">
        <v>2649</v>
      </c>
      <c r="D213" s="35" t="s">
        <v>2650</v>
      </c>
      <c r="E213" s="35" t="s">
        <v>2652</v>
      </c>
      <c r="F213" s="35" t="s">
        <v>2655</v>
      </c>
      <c r="G213" s="34" t="s">
        <v>1274</v>
      </c>
      <c r="H213" s="34"/>
    </row>
    <row r="214" spans="1:8">
      <c r="A214" s="34">
        <v>2084262352</v>
      </c>
      <c r="B214" s="35" t="s">
        <v>351</v>
      </c>
      <c r="C214" s="35" t="s">
        <v>2649</v>
      </c>
      <c r="D214" s="35" t="s">
        <v>2650</v>
      </c>
      <c r="E214" s="35" t="s">
        <v>2652</v>
      </c>
      <c r="F214" s="35" t="s">
        <v>2655</v>
      </c>
      <c r="G214" s="34" t="s">
        <v>2729</v>
      </c>
    </row>
    <row r="215" spans="1:8">
      <c r="A215" s="34">
        <v>2084235612</v>
      </c>
      <c r="B215" s="35" t="s">
        <v>351</v>
      </c>
      <c r="C215" s="35" t="s">
        <v>2649</v>
      </c>
      <c r="D215" s="35" t="s">
        <v>2650</v>
      </c>
      <c r="E215" s="35" t="s">
        <v>2652</v>
      </c>
      <c r="F215" s="35" t="s">
        <v>2655</v>
      </c>
      <c r="G215" s="34" t="s">
        <v>2657</v>
      </c>
    </row>
    <row r="216" spans="1:8">
      <c r="A216" s="34">
        <v>2084235615</v>
      </c>
      <c r="B216" s="35" t="s">
        <v>351</v>
      </c>
      <c r="C216" s="35" t="s">
        <v>2649</v>
      </c>
      <c r="D216" s="35" t="s">
        <v>2650</v>
      </c>
      <c r="E216" s="35" t="s">
        <v>2652</v>
      </c>
      <c r="F216" s="35" t="s">
        <v>2655</v>
      </c>
      <c r="G216" s="34" t="s">
        <v>429</v>
      </c>
    </row>
    <row r="217" spans="1:8">
      <c r="A217" s="34">
        <v>2084262354</v>
      </c>
      <c r="B217" s="35" t="s">
        <v>351</v>
      </c>
      <c r="C217" s="35" t="s">
        <v>2649</v>
      </c>
      <c r="D217" s="35" t="s">
        <v>2650</v>
      </c>
      <c r="E217" s="35" t="s">
        <v>2652</v>
      </c>
      <c r="F217" s="35" t="s">
        <v>2746</v>
      </c>
      <c r="G217" s="34"/>
    </row>
    <row r="218" spans="1:8">
      <c r="A218" s="34">
        <v>2084063245</v>
      </c>
      <c r="B218" s="35" t="s">
        <v>351</v>
      </c>
      <c r="C218" s="35" t="s">
        <v>2649</v>
      </c>
      <c r="D218" s="35" t="s">
        <v>2650</v>
      </c>
      <c r="E218" s="35" t="s">
        <v>2652</v>
      </c>
      <c r="F218" s="35" t="s">
        <v>2747</v>
      </c>
      <c r="G218" s="34"/>
    </row>
    <row r="219" spans="1:8">
      <c r="A219" s="34">
        <v>2084262353</v>
      </c>
      <c r="B219" s="35" t="s">
        <v>351</v>
      </c>
      <c r="C219" s="35" t="s">
        <v>2649</v>
      </c>
      <c r="D219" s="35" t="s">
        <v>2650</v>
      </c>
      <c r="E219" s="35" t="s">
        <v>2652</v>
      </c>
      <c r="F219" s="35" t="s">
        <v>2748</v>
      </c>
      <c r="G219" s="34"/>
    </row>
    <row r="220" spans="1:8">
      <c r="A220" s="34">
        <v>2084262368</v>
      </c>
      <c r="B220" s="35" t="s">
        <v>351</v>
      </c>
      <c r="C220" s="35" t="s">
        <v>2649</v>
      </c>
      <c r="D220" s="35" t="s">
        <v>2650</v>
      </c>
      <c r="E220" s="35" t="s">
        <v>2652</v>
      </c>
      <c r="F220" s="35" t="s">
        <v>2749</v>
      </c>
      <c r="G220" s="34"/>
    </row>
    <row r="221" spans="1:8">
      <c r="A221" s="34">
        <v>2084006797</v>
      </c>
      <c r="B221" s="35" t="s">
        <v>351</v>
      </c>
      <c r="C221" s="35" t="s">
        <v>2649</v>
      </c>
      <c r="D221" s="35" t="s">
        <v>2650</v>
      </c>
      <c r="E221" s="35" t="s">
        <v>2652</v>
      </c>
      <c r="F221" s="35" t="s">
        <v>429</v>
      </c>
      <c r="G221" s="34"/>
      <c r="H221" s="34"/>
    </row>
    <row r="222" spans="1:8">
      <c r="A222" s="34">
        <v>2084006813</v>
      </c>
      <c r="B222" s="35" t="s">
        <v>351</v>
      </c>
      <c r="C222" s="35" t="s">
        <v>2649</v>
      </c>
      <c r="D222" s="35" t="s">
        <v>2650</v>
      </c>
      <c r="E222" s="35" t="s">
        <v>2660</v>
      </c>
      <c r="F222" s="35" t="s">
        <v>2653</v>
      </c>
      <c r="G222" s="34"/>
      <c r="H222" s="34"/>
    </row>
    <row r="223" spans="1:8">
      <c r="A223" s="34">
        <v>2084262355</v>
      </c>
      <c r="B223" s="35" t="s">
        <v>351</v>
      </c>
      <c r="C223" s="35" t="s">
        <v>2649</v>
      </c>
      <c r="D223" s="35" t="s">
        <v>2650</v>
      </c>
      <c r="E223" s="35" t="s">
        <v>2660</v>
      </c>
      <c r="F223" s="35" t="s">
        <v>1930</v>
      </c>
      <c r="G223" s="34" t="s">
        <v>2750</v>
      </c>
      <c r="H223" s="34"/>
    </row>
    <row r="224" spans="1:8">
      <c r="A224" s="34">
        <v>2084262356</v>
      </c>
      <c r="B224" s="35" t="s">
        <v>351</v>
      </c>
      <c r="C224" s="35" t="s">
        <v>2649</v>
      </c>
      <c r="D224" s="35" t="s">
        <v>2650</v>
      </c>
      <c r="E224" s="35" t="s">
        <v>2660</v>
      </c>
      <c r="F224" s="35" t="s">
        <v>1930</v>
      </c>
      <c r="G224" s="34" t="s">
        <v>2709</v>
      </c>
      <c r="H224" s="34"/>
    </row>
    <row r="225" spans="1:8">
      <c r="A225" s="34">
        <v>2084262357</v>
      </c>
      <c r="B225" s="35" t="s">
        <v>351</v>
      </c>
      <c r="C225" s="35" t="s">
        <v>2649</v>
      </c>
      <c r="D225" s="35" t="s">
        <v>2650</v>
      </c>
      <c r="E225" s="35" t="s">
        <v>2660</v>
      </c>
      <c r="F225" s="35" t="s">
        <v>1930</v>
      </c>
      <c r="G225" s="34" t="s">
        <v>2723</v>
      </c>
      <c r="H225" s="34"/>
    </row>
    <row r="226" spans="1:8">
      <c r="A226" s="34">
        <v>2084202852</v>
      </c>
      <c r="B226" s="35" t="s">
        <v>351</v>
      </c>
      <c r="C226" s="35" t="s">
        <v>2649</v>
      </c>
      <c r="D226" s="35" t="s">
        <v>2650</v>
      </c>
      <c r="E226" s="35" t="s">
        <v>2660</v>
      </c>
      <c r="F226" s="35" t="s">
        <v>1930</v>
      </c>
      <c r="G226" s="34" t="s">
        <v>492</v>
      </c>
      <c r="H226" s="34"/>
    </row>
    <row r="227" spans="1:8">
      <c r="A227" s="34">
        <v>2084262358</v>
      </c>
      <c r="B227" s="35" t="s">
        <v>351</v>
      </c>
      <c r="C227" s="35" t="s">
        <v>2649</v>
      </c>
      <c r="D227" s="35" t="s">
        <v>2650</v>
      </c>
      <c r="E227" s="35" t="s">
        <v>2660</v>
      </c>
      <c r="F227" s="35" t="s">
        <v>1930</v>
      </c>
      <c r="G227" s="34" t="s">
        <v>2724</v>
      </c>
      <c r="H227" s="34"/>
    </row>
    <row r="228" spans="1:8">
      <c r="A228" s="34">
        <v>2084202853</v>
      </c>
      <c r="B228" s="35" t="s">
        <v>351</v>
      </c>
      <c r="C228" s="35" t="s">
        <v>2649</v>
      </c>
      <c r="D228" s="35" t="s">
        <v>2650</v>
      </c>
      <c r="E228" s="35" t="s">
        <v>2660</v>
      </c>
      <c r="F228" s="35" t="s">
        <v>1930</v>
      </c>
      <c r="G228" s="34" t="s">
        <v>2712</v>
      </c>
      <c r="H228" s="34"/>
    </row>
    <row r="229" spans="1:8">
      <c r="A229" s="34">
        <v>2084262359</v>
      </c>
      <c r="B229" s="35" t="s">
        <v>351</v>
      </c>
      <c r="C229" s="35" t="s">
        <v>2649</v>
      </c>
      <c r="D229" s="35" t="s">
        <v>2650</v>
      </c>
      <c r="E229" s="35" t="s">
        <v>2660</v>
      </c>
      <c r="F229" s="35" t="s">
        <v>1930</v>
      </c>
      <c r="G229" s="34" t="s">
        <v>2713</v>
      </c>
      <c r="H229" s="34"/>
    </row>
    <row r="230" spans="1:8">
      <c r="A230" s="34">
        <v>2084202857</v>
      </c>
      <c r="B230" s="35" t="s">
        <v>351</v>
      </c>
      <c r="C230" s="35" t="s">
        <v>2649</v>
      </c>
      <c r="D230" s="35" t="s">
        <v>2650</v>
      </c>
      <c r="E230" s="35" t="s">
        <v>2660</v>
      </c>
      <c r="F230" s="35" t="s">
        <v>1930</v>
      </c>
      <c r="G230" s="34" t="s">
        <v>2656</v>
      </c>
      <c r="H230" s="34"/>
    </row>
    <row r="231" spans="1:8">
      <c r="A231" s="34">
        <v>2084202851</v>
      </c>
      <c r="B231" s="35" t="s">
        <v>351</v>
      </c>
      <c r="C231" s="35" t="s">
        <v>2649</v>
      </c>
      <c r="D231" s="35" t="s">
        <v>2650</v>
      </c>
      <c r="E231" s="35" t="s">
        <v>2660</v>
      </c>
      <c r="F231" s="35" t="s">
        <v>1930</v>
      </c>
      <c r="G231" s="34" t="s">
        <v>1132</v>
      </c>
      <c r="H231" s="34"/>
    </row>
    <row r="232" spans="1:8">
      <c r="A232" s="34">
        <v>2084202858</v>
      </c>
      <c r="B232" s="35" t="s">
        <v>351</v>
      </c>
      <c r="C232" s="35" t="s">
        <v>2649</v>
      </c>
      <c r="D232" s="35" t="s">
        <v>2650</v>
      </c>
      <c r="E232" s="35" t="s">
        <v>2660</v>
      </c>
      <c r="F232" s="35" t="s">
        <v>1930</v>
      </c>
      <c r="G232" s="34" t="s">
        <v>1193</v>
      </c>
      <c r="H232" s="34"/>
    </row>
    <row r="233" spans="1:8">
      <c r="A233" s="34">
        <v>2084202850</v>
      </c>
      <c r="B233" s="35" t="s">
        <v>351</v>
      </c>
      <c r="C233" s="35" t="s">
        <v>2649</v>
      </c>
      <c r="D233" s="35" t="s">
        <v>2650</v>
      </c>
      <c r="E233" s="35" t="s">
        <v>2660</v>
      </c>
      <c r="F233" s="35" t="s">
        <v>1930</v>
      </c>
      <c r="G233" s="34" t="s">
        <v>2651</v>
      </c>
      <c r="H233" s="34"/>
    </row>
    <row r="234" spans="1:8">
      <c r="A234" s="34">
        <v>2084262360</v>
      </c>
      <c r="B234" s="35" t="s">
        <v>351</v>
      </c>
      <c r="C234" s="35" t="s">
        <v>2649</v>
      </c>
      <c r="D234" s="35" t="s">
        <v>2650</v>
      </c>
      <c r="E234" s="35" t="s">
        <v>2660</v>
      </c>
      <c r="F234" s="35" t="s">
        <v>1930</v>
      </c>
      <c r="G234" s="34" t="s">
        <v>2719</v>
      </c>
      <c r="H234" s="34"/>
    </row>
    <row r="235" spans="1:8">
      <c r="A235" s="34">
        <v>2084262361</v>
      </c>
      <c r="B235" s="35" t="s">
        <v>351</v>
      </c>
      <c r="C235" s="35" t="s">
        <v>2649</v>
      </c>
      <c r="D235" s="35" t="s">
        <v>2650</v>
      </c>
      <c r="E235" s="35" t="s">
        <v>2660</v>
      </c>
      <c r="F235" s="35" t="s">
        <v>1930</v>
      </c>
      <c r="G235" s="34" t="s">
        <v>2751</v>
      </c>
      <c r="H235" s="34"/>
    </row>
    <row r="236" spans="1:8">
      <c r="A236" s="34">
        <v>2084262362</v>
      </c>
      <c r="B236" s="35" t="s">
        <v>351</v>
      </c>
      <c r="C236" s="35" t="s">
        <v>2649</v>
      </c>
      <c r="D236" s="35" t="s">
        <v>2650</v>
      </c>
      <c r="E236" s="35" t="s">
        <v>2660</v>
      </c>
      <c r="F236" s="35" t="s">
        <v>1930</v>
      </c>
      <c r="G236" s="34" t="s">
        <v>2752</v>
      </c>
      <c r="H236" s="34"/>
    </row>
    <row r="237" spans="1:8">
      <c r="A237" s="34">
        <v>2084262363</v>
      </c>
      <c r="B237" s="35" t="s">
        <v>351</v>
      </c>
      <c r="C237" s="35" t="s">
        <v>2649</v>
      </c>
      <c r="D237" s="35" t="s">
        <v>2650</v>
      </c>
      <c r="E237" s="35" t="s">
        <v>2660</v>
      </c>
      <c r="F237" s="35" t="s">
        <v>1930</v>
      </c>
      <c r="G237" s="34" t="s">
        <v>2720</v>
      </c>
      <c r="H237" s="34"/>
    </row>
    <row r="238" spans="1:8">
      <c r="A238" s="34">
        <v>2084262364</v>
      </c>
      <c r="B238" s="35" t="s">
        <v>351</v>
      </c>
      <c r="C238" s="35" t="s">
        <v>2649</v>
      </c>
      <c r="D238" s="35" t="s">
        <v>2650</v>
      </c>
      <c r="E238" s="35" t="s">
        <v>2660</v>
      </c>
      <c r="F238" s="35" t="s">
        <v>1930</v>
      </c>
      <c r="G238" s="34" t="s">
        <v>2727</v>
      </c>
      <c r="H238" s="34"/>
    </row>
    <row r="239" spans="1:8">
      <c r="A239" s="34">
        <v>2084235529</v>
      </c>
      <c r="B239" s="35" t="s">
        <v>351</v>
      </c>
      <c r="C239" s="35" t="s">
        <v>2649</v>
      </c>
      <c r="D239" s="35" t="s">
        <v>2650</v>
      </c>
      <c r="E239" s="35" t="s">
        <v>2660</v>
      </c>
      <c r="F239" s="35" t="s">
        <v>1930</v>
      </c>
      <c r="G239" s="34" t="s">
        <v>1274</v>
      </c>
      <c r="H239" s="34"/>
    </row>
    <row r="240" spans="1:8">
      <c r="A240" s="34">
        <v>2084202859</v>
      </c>
      <c r="B240" s="35" t="s">
        <v>351</v>
      </c>
      <c r="C240" s="35" t="s">
        <v>2649</v>
      </c>
      <c r="D240" s="35" t="s">
        <v>2650</v>
      </c>
      <c r="E240" s="35" t="s">
        <v>2660</v>
      </c>
      <c r="F240" s="35" t="s">
        <v>1930</v>
      </c>
      <c r="G240" s="34" t="s">
        <v>1372</v>
      </c>
      <c r="H240" s="34"/>
    </row>
    <row r="241" spans="1:8">
      <c r="A241" s="34">
        <v>2084202855</v>
      </c>
      <c r="B241" s="35" t="s">
        <v>351</v>
      </c>
      <c r="C241" s="35" t="s">
        <v>2649</v>
      </c>
      <c r="D241" s="35" t="s">
        <v>2650</v>
      </c>
      <c r="E241" s="35" t="s">
        <v>2660</v>
      </c>
      <c r="F241" s="35" t="s">
        <v>1930</v>
      </c>
      <c r="G241" s="34" t="s">
        <v>2672</v>
      </c>
      <c r="H241" s="34"/>
    </row>
    <row r="242" spans="1:8">
      <c r="A242" s="34">
        <v>2084202849</v>
      </c>
      <c r="B242" s="35" t="s">
        <v>351</v>
      </c>
      <c r="C242" s="35" t="s">
        <v>2649</v>
      </c>
      <c r="D242" s="35" t="s">
        <v>2650</v>
      </c>
      <c r="E242" s="35" t="s">
        <v>2660</v>
      </c>
      <c r="F242" s="35" t="s">
        <v>1930</v>
      </c>
      <c r="G242" s="34" t="s">
        <v>2673</v>
      </c>
      <c r="H242" s="34"/>
    </row>
    <row r="243" spans="1:8">
      <c r="A243" s="34">
        <v>2084262365</v>
      </c>
      <c r="B243" s="35" t="s">
        <v>351</v>
      </c>
      <c r="C243" s="35" t="s">
        <v>2649</v>
      </c>
      <c r="D243" s="35" t="s">
        <v>2650</v>
      </c>
      <c r="E243" s="35" t="s">
        <v>2660</v>
      </c>
      <c r="F243" s="35" t="s">
        <v>1930</v>
      </c>
      <c r="G243" s="34" t="s">
        <v>2722</v>
      </c>
      <c r="H243" s="34"/>
    </row>
    <row r="244" spans="1:8">
      <c r="A244" s="34">
        <v>2084202856</v>
      </c>
      <c r="B244" s="35" t="s">
        <v>351</v>
      </c>
      <c r="C244" s="35" t="s">
        <v>2649</v>
      </c>
      <c r="D244" s="35" t="s">
        <v>2650</v>
      </c>
      <c r="E244" s="35" t="s">
        <v>2660</v>
      </c>
      <c r="F244" s="35" t="s">
        <v>1930</v>
      </c>
      <c r="G244" s="34" t="s">
        <v>1447</v>
      </c>
    </row>
    <row r="245" spans="1:8">
      <c r="A245" s="34">
        <v>2084202854</v>
      </c>
      <c r="B245" s="35" t="s">
        <v>351</v>
      </c>
      <c r="C245" s="35" t="s">
        <v>2649</v>
      </c>
      <c r="D245" s="35" t="s">
        <v>2650</v>
      </c>
      <c r="E245" s="35" t="s">
        <v>2660</v>
      </c>
      <c r="F245" s="35" t="s">
        <v>1930</v>
      </c>
      <c r="G245" s="34" t="s">
        <v>2657</v>
      </c>
    </row>
    <row r="246" spans="1:8" ht="14.25" customHeight="1">
      <c r="A246" s="34">
        <v>2084202860</v>
      </c>
      <c r="B246" s="35" t="s">
        <v>351</v>
      </c>
      <c r="C246" s="35" t="s">
        <v>2649</v>
      </c>
      <c r="D246" s="35" t="s">
        <v>2650</v>
      </c>
      <c r="E246" s="35" t="s">
        <v>2660</v>
      </c>
      <c r="F246" s="35" t="s">
        <v>1930</v>
      </c>
      <c r="G246" s="34" t="s">
        <v>429</v>
      </c>
    </row>
    <row r="247" spans="1:8">
      <c r="A247" s="34">
        <v>2084006812</v>
      </c>
      <c r="B247" s="35" t="s">
        <v>351</v>
      </c>
      <c r="C247" s="35" t="s">
        <v>2649</v>
      </c>
      <c r="D247" s="35" t="s">
        <v>2650</v>
      </c>
      <c r="E247" s="35" t="s">
        <v>2660</v>
      </c>
      <c r="F247" s="35" t="s">
        <v>2092</v>
      </c>
      <c r="G247" s="34"/>
    </row>
    <row r="248" spans="1:8">
      <c r="A248" s="34">
        <v>2084006811</v>
      </c>
      <c r="B248" s="35" t="s">
        <v>351</v>
      </c>
      <c r="C248" s="35" t="s">
        <v>2649</v>
      </c>
      <c r="D248" s="35" t="s">
        <v>2650</v>
      </c>
      <c r="E248" s="35" t="s">
        <v>2660</v>
      </c>
      <c r="F248" s="35" t="s">
        <v>1596</v>
      </c>
      <c r="G248" s="34"/>
    </row>
    <row r="249" spans="1:8">
      <c r="A249" s="34">
        <v>2084006815</v>
      </c>
      <c r="B249" s="35" t="s">
        <v>351</v>
      </c>
      <c r="C249" s="35" t="s">
        <v>2649</v>
      </c>
      <c r="D249" s="35" t="s">
        <v>2650</v>
      </c>
      <c r="E249" s="35" t="s">
        <v>2660</v>
      </c>
      <c r="F249" s="35" t="s">
        <v>430</v>
      </c>
      <c r="G249" s="34"/>
    </row>
    <row r="250" spans="1:8">
      <c r="A250" s="34">
        <v>2084202976</v>
      </c>
      <c r="B250" s="35" t="s">
        <v>351</v>
      </c>
      <c r="C250" s="35" t="s">
        <v>2649</v>
      </c>
      <c r="D250" s="35" t="s">
        <v>2650</v>
      </c>
      <c r="E250" s="35" t="s">
        <v>2660</v>
      </c>
      <c r="F250" s="35" t="s">
        <v>1655</v>
      </c>
      <c r="G250" s="34" t="s">
        <v>2753</v>
      </c>
    </row>
    <row r="251" spans="1:8">
      <c r="A251" s="34">
        <v>2084202977</v>
      </c>
      <c r="B251" s="35" t="s">
        <v>351</v>
      </c>
      <c r="C251" s="35" t="s">
        <v>2649</v>
      </c>
      <c r="D251" s="35" t="s">
        <v>2650</v>
      </c>
      <c r="E251" s="35" t="s">
        <v>2660</v>
      </c>
      <c r="F251" s="35" t="s">
        <v>1655</v>
      </c>
      <c r="G251" s="34" t="s">
        <v>2754</v>
      </c>
      <c r="H251" s="34"/>
    </row>
    <row r="252" spans="1:8">
      <c r="A252" s="34">
        <v>2084202978</v>
      </c>
      <c r="B252" s="35" t="s">
        <v>351</v>
      </c>
      <c r="C252" s="35" t="s">
        <v>2649</v>
      </c>
      <c r="D252" s="35" t="s">
        <v>2650</v>
      </c>
      <c r="E252" s="35" t="s">
        <v>2660</v>
      </c>
      <c r="F252" s="35" t="s">
        <v>1655</v>
      </c>
      <c r="G252" s="34" t="s">
        <v>2755</v>
      </c>
      <c r="H252" s="34"/>
    </row>
    <row r="253" spans="1:8">
      <c r="A253" s="34">
        <v>2084202979</v>
      </c>
      <c r="B253" s="35" t="s">
        <v>351</v>
      </c>
      <c r="C253" s="35" t="s">
        <v>2649</v>
      </c>
      <c r="D253" s="35" t="s">
        <v>2650</v>
      </c>
      <c r="E253" s="35" t="s">
        <v>2660</v>
      </c>
      <c r="F253" s="35" t="s">
        <v>1655</v>
      </c>
      <c r="G253" s="34" t="s">
        <v>2756</v>
      </c>
      <c r="H253" s="34"/>
    </row>
    <row r="254" spans="1:8">
      <c r="A254" s="34">
        <v>2084006816</v>
      </c>
      <c r="B254" s="35" t="s">
        <v>351</v>
      </c>
      <c r="C254" s="35" t="s">
        <v>2649</v>
      </c>
      <c r="D254" s="35" t="s">
        <v>2650</v>
      </c>
      <c r="E254" s="35" t="s">
        <v>2660</v>
      </c>
      <c r="F254" s="35" t="s">
        <v>1622</v>
      </c>
      <c r="G254" s="34"/>
      <c r="H254" s="34"/>
    </row>
    <row r="255" spans="1:8">
      <c r="A255" s="34">
        <v>2084202980</v>
      </c>
      <c r="B255" s="35" t="s">
        <v>351</v>
      </c>
      <c r="C255" s="35" t="s">
        <v>2649</v>
      </c>
      <c r="D255" s="35" t="s">
        <v>2650</v>
      </c>
      <c r="E255" s="35" t="s">
        <v>2660</v>
      </c>
      <c r="F255" s="35" t="s">
        <v>1627</v>
      </c>
      <c r="G255" s="34" t="s">
        <v>2753</v>
      </c>
      <c r="H255" s="34"/>
    </row>
    <row r="256" spans="1:8">
      <c r="A256" s="34">
        <v>2084202981</v>
      </c>
      <c r="B256" s="35" t="s">
        <v>351</v>
      </c>
      <c r="C256" s="35" t="s">
        <v>2649</v>
      </c>
      <c r="D256" s="35" t="s">
        <v>2650</v>
      </c>
      <c r="E256" s="35" t="s">
        <v>2660</v>
      </c>
      <c r="F256" s="35" t="s">
        <v>1627</v>
      </c>
      <c r="G256" s="34" t="s">
        <v>2754</v>
      </c>
      <c r="H256" s="34"/>
    </row>
    <row r="257" spans="1:8">
      <c r="A257" s="34">
        <v>2084202982</v>
      </c>
      <c r="B257" s="35" t="s">
        <v>351</v>
      </c>
      <c r="C257" s="35" t="s">
        <v>2649</v>
      </c>
      <c r="D257" s="35" t="s">
        <v>2650</v>
      </c>
      <c r="E257" s="35" t="s">
        <v>2660</v>
      </c>
      <c r="F257" s="35" t="s">
        <v>1627</v>
      </c>
      <c r="G257" s="34" t="s">
        <v>2755</v>
      </c>
      <c r="H257" s="34"/>
    </row>
    <row r="258" spans="1:8">
      <c r="A258" s="34">
        <v>2084202983</v>
      </c>
      <c r="B258" s="35" t="s">
        <v>351</v>
      </c>
      <c r="C258" s="35" t="s">
        <v>2649</v>
      </c>
      <c r="D258" s="35" t="s">
        <v>2650</v>
      </c>
      <c r="E258" s="35" t="s">
        <v>2660</v>
      </c>
      <c r="F258" s="35" t="s">
        <v>1627</v>
      </c>
      <c r="G258" s="34" t="s">
        <v>2756</v>
      </c>
      <c r="H258" s="34"/>
    </row>
    <row r="259" spans="1:8">
      <c r="A259" s="34">
        <v>2084262366</v>
      </c>
      <c r="B259" s="35" t="s">
        <v>351</v>
      </c>
      <c r="C259" s="35" t="s">
        <v>2649</v>
      </c>
      <c r="D259" s="35" t="s">
        <v>2650</v>
      </c>
      <c r="E259" s="35" t="s">
        <v>2660</v>
      </c>
      <c r="F259" s="35" t="s">
        <v>384</v>
      </c>
      <c r="G259" s="34"/>
      <c r="H259" s="34"/>
    </row>
    <row r="260" spans="1:8">
      <c r="A260" s="34">
        <v>2084063261</v>
      </c>
      <c r="B260" s="35" t="s">
        <v>351</v>
      </c>
      <c r="C260" s="35" t="s">
        <v>2649</v>
      </c>
      <c r="D260" s="35" t="s">
        <v>2650</v>
      </c>
      <c r="E260" s="35" t="s">
        <v>2660</v>
      </c>
      <c r="F260" s="35" t="s">
        <v>2741</v>
      </c>
      <c r="G260" s="34"/>
      <c r="H260" s="34"/>
    </row>
    <row r="261" spans="1:8">
      <c r="A261" s="34">
        <v>2084063256</v>
      </c>
      <c r="B261" s="35" t="s">
        <v>351</v>
      </c>
      <c r="C261" s="35" t="s">
        <v>2649</v>
      </c>
      <c r="D261" s="35" t="s">
        <v>2650</v>
      </c>
      <c r="E261" s="35" t="s">
        <v>2660</v>
      </c>
      <c r="F261" s="35" t="s">
        <v>1203</v>
      </c>
      <c r="G261" s="34"/>
      <c r="H261" s="34"/>
    </row>
    <row r="262" spans="1:8">
      <c r="A262" s="34">
        <v>2084063209</v>
      </c>
      <c r="B262" s="35" t="s">
        <v>351</v>
      </c>
      <c r="C262" s="35" t="s">
        <v>2649</v>
      </c>
      <c r="D262" s="35" t="s">
        <v>2650</v>
      </c>
      <c r="E262" s="35" t="s">
        <v>2660</v>
      </c>
      <c r="F262" s="35" t="s">
        <v>2757</v>
      </c>
      <c r="G262" s="34" t="s">
        <v>2758</v>
      </c>
      <c r="H262" s="34"/>
    </row>
    <row r="263" spans="1:8">
      <c r="A263" s="34">
        <v>2084063210</v>
      </c>
      <c r="B263" s="35" t="s">
        <v>351</v>
      </c>
      <c r="C263" s="35" t="s">
        <v>2649</v>
      </c>
      <c r="D263" s="35" t="s">
        <v>2650</v>
      </c>
      <c r="E263" s="35" t="s">
        <v>2660</v>
      </c>
      <c r="F263" s="35" t="s">
        <v>2757</v>
      </c>
      <c r="G263" s="34" t="s">
        <v>2759</v>
      </c>
      <c r="H263" s="34"/>
    </row>
    <row r="264" spans="1:8">
      <c r="A264" s="34">
        <v>2084063211</v>
      </c>
      <c r="B264" s="35" t="s">
        <v>351</v>
      </c>
      <c r="C264" s="35" t="s">
        <v>2649</v>
      </c>
      <c r="D264" s="35" t="s">
        <v>2650</v>
      </c>
      <c r="E264" s="35" t="s">
        <v>2660</v>
      </c>
      <c r="F264" s="35" t="s">
        <v>2757</v>
      </c>
      <c r="G264" s="34" t="s">
        <v>2760</v>
      </c>
      <c r="H264" s="34"/>
    </row>
    <row r="265" spans="1:8">
      <c r="A265" s="34">
        <v>2084063212</v>
      </c>
      <c r="B265" s="35" t="s">
        <v>351</v>
      </c>
      <c r="C265" s="35" t="s">
        <v>2649</v>
      </c>
      <c r="D265" s="35" t="s">
        <v>2650</v>
      </c>
      <c r="E265" s="35" t="s">
        <v>2660</v>
      </c>
      <c r="F265" s="35" t="s">
        <v>2757</v>
      </c>
      <c r="G265" s="34" t="s">
        <v>2761</v>
      </c>
      <c r="H265" s="34"/>
    </row>
    <row r="266" spans="1:8">
      <c r="A266" s="34">
        <v>2084063213</v>
      </c>
      <c r="B266" s="35" t="s">
        <v>351</v>
      </c>
      <c r="C266" s="35" t="s">
        <v>2649</v>
      </c>
      <c r="D266" s="35" t="s">
        <v>2650</v>
      </c>
      <c r="E266" s="35" t="s">
        <v>2660</v>
      </c>
      <c r="F266" s="35" t="s">
        <v>2757</v>
      </c>
      <c r="G266" s="34" t="s">
        <v>2762</v>
      </c>
      <c r="H266" s="34"/>
    </row>
    <row r="267" spans="1:8">
      <c r="A267" s="34">
        <v>2084063214</v>
      </c>
      <c r="B267" s="35" t="s">
        <v>351</v>
      </c>
      <c r="C267" s="35" t="s">
        <v>2649</v>
      </c>
      <c r="D267" s="35" t="s">
        <v>2650</v>
      </c>
      <c r="E267" s="35" t="s">
        <v>2660</v>
      </c>
      <c r="F267" s="35" t="s">
        <v>2757</v>
      </c>
      <c r="G267" s="34" t="s">
        <v>2763</v>
      </c>
      <c r="H267" s="34"/>
    </row>
    <row r="268" spans="1:8">
      <c r="A268" s="34">
        <v>2084063215</v>
      </c>
      <c r="B268" s="35" t="s">
        <v>351</v>
      </c>
      <c r="C268" s="35" t="s">
        <v>2649</v>
      </c>
      <c r="D268" s="35" t="s">
        <v>2650</v>
      </c>
      <c r="E268" s="35" t="s">
        <v>2660</v>
      </c>
      <c r="F268" s="35" t="s">
        <v>2757</v>
      </c>
      <c r="G268" s="34" t="s">
        <v>2764</v>
      </c>
      <c r="H268" s="34"/>
    </row>
    <row r="269" spans="1:8">
      <c r="A269" s="34">
        <v>2084063247</v>
      </c>
      <c r="B269" s="35" t="s">
        <v>351</v>
      </c>
      <c r="C269" s="35" t="s">
        <v>2649</v>
      </c>
      <c r="D269" s="35" t="s">
        <v>2650</v>
      </c>
      <c r="E269" s="35" t="s">
        <v>2660</v>
      </c>
      <c r="F269" s="35" t="s">
        <v>2654</v>
      </c>
      <c r="G269" s="34"/>
      <c r="H269" s="34"/>
    </row>
    <row r="270" spans="1:8">
      <c r="A270" s="34">
        <v>2084063249</v>
      </c>
      <c r="B270" s="35" t="s">
        <v>351</v>
      </c>
      <c r="C270" s="35" t="s">
        <v>2649</v>
      </c>
      <c r="D270" s="35" t="s">
        <v>2650</v>
      </c>
      <c r="E270" s="35" t="s">
        <v>2660</v>
      </c>
      <c r="F270" s="35" t="s">
        <v>2655</v>
      </c>
      <c r="G270" s="34"/>
      <c r="H270" s="34"/>
    </row>
    <row r="271" spans="1:8">
      <c r="A271" s="34">
        <v>2084063248</v>
      </c>
      <c r="B271" s="35" t="s">
        <v>351</v>
      </c>
      <c r="C271" s="35" t="s">
        <v>2649</v>
      </c>
      <c r="D271" s="35" t="s">
        <v>2650</v>
      </c>
      <c r="E271" s="35" t="s">
        <v>2660</v>
      </c>
      <c r="F271" s="35" t="s">
        <v>2747</v>
      </c>
      <c r="G271" s="34"/>
      <c r="H271" s="34"/>
    </row>
    <row r="272" spans="1:8">
      <c r="A272" s="34">
        <v>2084262367</v>
      </c>
      <c r="B272" s="35" t="s">
        <v>351</v>
      </c>
      <c r="C272" s="35" t="s">
        <v>2649</v>
      </c>
      <c r="D272" s="35" t="s">
        <v>2650</v>
      </c>
      <c r="E272" s="35" t="s">
        <v>2660</v>
      </c>
      <c r="F272" s="35" t="s">
        <v>2749</v>
      </c>
      <c r="G272" s="34"/>
      <c r="H272" s="34"/>
    </row>
    <row r="273" spans="1:8">
      <c r="A273" s="34">
        <v>2084006809</v>
      </c>
      <c r="B273" s="35" t="s">
        <v>351</v>
      </c>
      <c r="C273" s="35" t="s">
        <v>2649</v>
      </c>
      <c r="D273" s="35" t="s">
        <v>2650</v>
      </c>
      <c r="E273" s="35" t="s">
        <v>2660</v>
      </c>
      <c r="F273" s="35" t="s">
        <v>429</v>
      </c>
      <c r="G273" s="34"/>
      <c r="H273" s="34"/>
    </row>
    <row r="274" spans="1:8">
      <c r="A274" s="34">
        <v>2084063216</v>
      </c>
      <c r="B274" s="35" t="s">
        <v>351</v>
      </c>
      <c r="C274" s="35" t="s">
        <v>2649</v>
      </c>
      <c r="D274" s="35" t="s">
        <v>2650</v>
      </c>
      <c r="E274" s="35" t="s">
        <v>2765</v>
      </c>
      <c r="F274" s="35" t="s">
        <v>2766</v>
      </c>
      <c r="G274" s="34"/>
      <c r="H274" s="34"/>
    </row>
    <row r="275" spans="1:8">
      <c r="A275" s="34">
        <v>2084063217</v>
      </c>
      <c r="B275" s="35" t="s">
        <v>351</v>
      </c>
      <c r="C275" s="35" t="s">
        <v>2649</v>
      </c>
      <c r="D275" s="35" t="s">
        <v>2650</v>
      </c>
      <c r="E275" s="35" t="s">
        <v>2765</v>
      </c>
      <c r="F275" s="35" t="s">
        <v>1798</v>
      </c>
      <c r="G275" s="34"/>
      <c r="H275" s="34"/>
    </row>
    <row r="276" spans="1:8">
      <c r="A276" s="34">
        <v>2084063218</v>
      </c>
      <c r="B276" s="35" t="s">
        <v>351</v>
      </c>
      <c r="C276" s="35" t="s">
        <v>2649</v>
      </c>
      <c r="D276" s="35" t="s">
        <v>2650</v>
      </c>
      <c r="E276" s="35" t="s">
        <v>2765</v>
      </c>
      <c r="F276" s="35" t="s">
        <v>1799</v>
      </c>
      <c r="G276" s="34"/>
      <c r="H276" s="34"/>
    </row>
    <row r="277" spans="1:8">
      <c r="A277" s="34">
        <v>2084063219</v>
      </c>
      <c r="B277" s="35" t="s">
        <v>351</v>
      </c>
      <c r="C277" s="35" t="s">
        <v>2649</v>
      </c>
      <c r="D277" s="35" t="s">
        <v>2650</v>
      </c>
      <c r="E277" s="35" t="s">
        <v>2765</v>
      </c>
      <c r="F277" s="35" t="s">
        <v>1800</v>
      </c>
      <c r="G277" s="34"/>
      <c r="H277" s="34"/>
    </row>
    <row r="278" spans="1:8">
      <c r="A278" s="34">
        <v>2084063220</v>
      </c>
      <c r="B278" s="35" t="s">
        <v>351</v>
      </c>
      <c r="C278" s="35" t="s">
        <v>2649</v>
      </c>
      <c r="D278" s="35" t="s">
        <v>2650</v>
      </c>
      <c r="E278" s="35" t="s">
        <v>2765</v>
      </c>
      <c r="F278" s="35" t="s">
        <v>2767</v>
      </c>
      <c r="G278" s="34"/>
      <c r="H278" s="34"/>
    </row>
    <row r="279" spans="1:8">
      <c r="A279" s="34">
        <v>2084063221</v>
      </c>
      <c r="B279" s="35" t="s">
        <v>351</v>
      </c>
      <c r="C279" s="35" t="s">
        <v>2649</v>
      </c>
      <c r="D279" s="35" t="s">
        <v>2650</v>
      </c>
      <c r="E279" s="35" t="s">
        <v>2765</v>
      </c>
      <c r="F279" s="35" t="s">
        <v>2768</v>
      </c>
      <c r="G279" s="34"/>
      <c r="H279" s="34"/>
    </row>
    <row r="280" spans="1:8">
      <c r="A280" s="34">
        <v>2084063222</v>
      </c>
      <c r="B280" s="35" t="s">
        <v>351</v>
      </c>
      <c r="C280" s="35" t="s">
        <v>2649</v>
      </c>
      <c r="D280" s="35" t="s">
        <v>2650</v>
      </c>
      <c r="E280" s="35" t="s">
        <v>2765</v>
      </c>
      <c r="F280" s="35" t="s">
        <v>2769</v>
      </c>
      <c r="G280" s="34"/>
      <c r="H280" s="34"/>
    </row>
    <row r="281" spans="1:8">
      <c r="A281" s="34">
        <v>2084063223</v>
      </c>
      <c r="B281" s="35" t="s">
        <v>351</v>
      </c>
      <c r="C281" s="35" t="s">
        <v>2649</v>
      </c>
      <c r="D281" s="35" t="s">
        <v>2650</v>
      </c>
      <c r="E281" s="35" t="s">
        <v>2765</v>
      </c>
      <c r="F281" s="35" t="s">
        <v>2770</v>
      </c>
      <c r="G281" s="34"/>
      <c r="H281" s="34"/>
    </row>
    <row r="282" spans="1:8">
      <c r="A282" s="34">
        <v>2084063224</v>
      </c>
      <c r="B282" s="35" t="s">
        <v>351</v>
      </c>
      <c r="C282" s="35" t="s">
        <v>2649</v>
      </c>
      <c r="D282" s="35" t="s">
        <v>2650</v>
      </c>
      <c r="E282" s="35" t="s">
        <v>2765</v>
      </c>
      <c r="F282" s="35" t="s">
        <v>2771</v>
      </c>
      <c r="G282" s="34"/>
      <c r="H282" s="34"/>
    </row>
    <row r="283" spans="1:8">
      <c r="A283" s="34">
        <v>2084063225</v>
      </c>
      <c r="B283" s="35" t="s">
        <v>351</v>
      </c>
      <c r="C283" s="35" t="s">
        <v>2649</v>
      </c>
      <c r="D283" s="35" t="s">
        <v>2650</v>
      </c>
      <c r="E283" s="35" t="s">
        <v>2765</v>
      </c>
      <c r="F283" s="35" t="s">
        <v>2772</v>
      </c>
      <c r="G283" s="34"/>
      <c r="H283" s="34"/>
    </row>
    <row r="284" spans="1:8">
      <c r="A284" s="34">
        <v>2084063226</v>
      </c>
      <c r="B284" s="35" t="s">
        <v>351</v>
      </c>
      <c r="C284" s="35" t="s">
        <v>2649</v>
      </c>
      <c r="D284" s="35" t="s">
        <v>2650</v>
      </c>
      <c r="E284" s="35" t="s">
        <v>2765</v>
      </c>
      <c r="F284" s="35" t="s">
        <v>2773</v>
      </c>
      <c r="G284" s="34"/>
      <c r="H284" s="34"/>
    </row>
    <row r="285" spans="1:8">
      <c r="A285" s="34">
        <v>2084063227</v>
      </c>
      <c r="B285" s="35" t="s">
        <v>351</v>
      </c>
      <c r="C285" s="35" t="s">
        <v>2649</v>
      </c>
      <c r="D285" s="35" t="s">
        <v>2650</v>
      </c>
      <c r="E285" s="35" t="s">
        <v>2774</v>
      </c>
      <c r="F285" s="35" t="s">
        <v>1783</v>
      </c>
      <c r="G285" s="34"/>
      <c r="H285" s="34"/>
    </row>
    <row r="286" spans="1:8">
      <c r="A286" s="34">
        <v>2084063228</v>
      </c>
      <c r="B286" s="35" t="s">
        <v>351</v>
      </c>
      <c r="C286" s="35" t="s">
        <v>2649</v>
      </c>
      <c r="D286" s="35" t="s">
        <v>2650</v>
      </c>
      <c r="E286" s="35" t="s">
        <v>2774</v>
      </c>
      <c r="F286" s="35" t="s">
        <v>1794</v>
      </c>
      <c r="G286" s="34"/>
      <c r="H286" s="34"/>
    </row>
    <row r="287" spans="1:8">
      <c r="A287" s="34">
        <v>2084063229</v>
      </c>
      <c r="B287" s="35" t="s">
        <v>351</v>
      </c>
      <c r="C287" s="35" t="s">
        <v>2649</v>
      </c>
      <c r="D287" s="35" t="s">
        <v>2650</v>
      </c>
      <c r="E287" s="35" t="s">
        <v>2774</v>
      </c>
      <c r="F287" s="35" t="s">
        <v>1795</v>
      </c>
      <c r="G287" s="34"/>
      <c r="H287" s="34"/>
    </row>
    <row r="288" spans="1:8">
      <c r="A288" s="34">
        <v>2084063230</v>
      </c>
      <c r="B288" s="35" t="s">
        <v>351</v>
      </c>
      <c r="C288" s="35" t="s">
        <v>2649</v>
      </c>
      <c r="D288" s="35" t="s">
        <v>2650</v>
      </c>
      <c r="E288" s="35" t="s">
        <v>2774</v>
      </c>
      <c r="F288" s="35" t="s">
        <v>1796</v>
      </c>
      <c r="G288" s="34"/>
      <c r="H288" s="34"/>
    </row>
    <row r="289" spans="1:8">
      <c r="A289" s="34">
        <v>2084063231</v>
      </c>
      <c r="B289" s="35" t="s">
        <v>351</v>
      </c>
      <c r="C289" s="35" t="s">
        <v>2649</v>
      </c>
      <c r="D289" s="35" t="s">
        <v>2650</v>
      </c>
      <c r="E289" s="35" t="s">
        <v>2774</v>
      </c>
      <c r="F289" s="35" t="s">
        <v>1797</v>
      </c>
      <c r="G289" s="34"/>
      <c r="H289" s="34"/>
    </row>
    <row r="290" spans="1:8">
      <c r="A290" s="34">
        <v>2084063232</v>
      </c>
      <c r="B290" s="35" t="s">
        <v>351</v>
      </c>
      <c r="C290" s="35" t="s">
        <v>2649</v>
      </c>
      <c r="D290" s="35" t="s">
        <v>2650</v>
      </c>
      <c r="E290" s="35" t="s">
        <v>2774</v>
      </c>
      <c r="F290" s="35" t="s">
        <v>1798</v>
      </c>
      <c r="G290" s="34"/>
      <c r="H290" s="34"/>
    </row>
    <row r="291" spans="1:8">
      <c r="A291" s="34">
        <v>2084063233</v>
      </c>
      <c r="B291" s="35" t="s">
        <v>351</v>
      </c>
      <c r="C291" s="35" t="s">
        <v>2649</v>
      </c>
      <c r="D291" s="35" t="s">
        <v>2650</v>
      </c>
      <c r="E291" s="35" t="s">
        <v>2774</v>
      </c>
      <c r="F291" s="35" t="s">
        <v>2775</v>
      </c>
      <c r="G291" s="34"/>
      <c r="H291" s="34"/>
    </row>
    <row r="292" spans="1:8">
      <c r="A292" s="34">
        <v>2084203260</v>
      </c>
      <c r="B292" s="35" t="s">
        <v>351</v>
      </c>
      <c r="C292" s="35" t="s">
        <v>352</v>
      </c>
      <c r="D292" s="35" t="s">
        <v>353</v>
      </c>
      <c r="E292" s="35" t="s">
        <v>368</v>
      </c>
      <c r="F292" s="35" t="s">
        <v>355</v>
      </c>
      <c r="G292" s="35" t="s">
        <v>356</v>
      </c>
    </row>
    <row r="293" spans="1:8">
      <c r="A293" s="34">
        <v>2084203257</v>
      </c>
      <c r="B293" s="35" t="s">
        <v>351</v>
      </c>
      <c r="C293" s="35" t="s">
        <v>352</v>
      </c>
      <c r="D293" s="35" t="s">
        <v>353</v>
      </c>
      <c r="E293" s="35" t="s">
        <v>368</v>
      </c>
      <c r="F293" s="35" t="s">
        <v>355</v>
      </c>
      <c r="G293" s="35" t="s">
        <v>357</v>
      </c>
    </row>
    <row r="294" spans="1:8">
      <c r="A294" s="34">
        <v>2084203263</v>
      </c>
      <c r="B294" s="35" t="s">
        <v>351</v>
      </c>
      <c r="C294" s="35" t="s">
        <v>352</v>
      </c>
      <c r="D294" s="35" t="s">
        <v>353</v>
      </c>
      <c r="E294" s="35" t="s">
        <v>368</v>
      </c>
      <c r="F294" s="35" t="s">
        <v>355</v>
      </c>
      <c r="G294" s="35" t="s">
        <v>358</v>
      </c>
    </row>
    <row r="295" spans="1:8">
      <c r="A295" s="34">
        <v>2084203262</v>
      </c>
      <c r="B295" s="35" t="s">
        <v>351</v>
      </c>
      <c r="C295" s="35" t="s">
        <v>352</v>
      </c>
      <c r="D295" s="35" t="s">
        <v>353</v>
      </c>
      <c r="E295" s="35" t="s">
        <v>368</v>
      </c>
      <c r="F295" s="35" t="s">
        <v>355</v>
      </c>
      <c r="G295" s="35" t="s">
        <v>359</v>
      </c>
    </row>
    <row r="296" spans="1:8">
      <c r="A296" s="34">
        <v>2084203261</v>
      </c>
      <c r="B296" s="35" t="s">
        <v>351</v>
      </c>
      <c r="C296" s="35" t="s">
        <v>352</v>
      </c>
      <c r="D296" s="35" t="s">
        <v>353</v>
      </c>
      <c r="E296" s="35" t="s">
        <v>368</v>
      </c>
      <c r="F296" s="35" t="s">
        <v>355</v>
      </c>
      <c r="G296" s="35" t="s">
        <v>360</v>
      </c>
    </row>
    <row r="297" spans="1:8">
      <c r="A297" s="34">
        <v>2084203256</v>
      </c>
      <c r="B297" s="35" t="s">
        <v>351</v>
      </c>
      <c r="C297" s="35" t="s">
        <v>352</v>
      </c>
      <c r="D297" s="35" t="s">
        <v>353</v>
      </c>
      <c r="E297" s="35" t="s">
        <v>368</v>
      </c>
      <c r="F297" s="35" t="s">
        <v>355</v>
      </c>
      <c r="G297" s="35" t="s">
        <v>361</v>
      </c>
    </row>
    <row r="298" spans="1:8">
      <c r="A298" s="34">
        <v>2084203258</v>
      </c>
      <c r="B298" s="35" t="s">
        <v>351</v>
      </c>
      <c r="C298" s="35" t="s">
        <v>352</v>
      </c>
      <c r="D298" s="35" t="s">
        <v>353</v>
      </c>
      <c r="E298" s="35" t="s">
        <v>368</v>
      </c>
      <c r="F298" s="35" t="s">
        <v>355</v>
      </c>
      <c r="G298" s="35" t="s">
        <v>362</v>
      </c>
    </row>
    <row r="299" spans="1:8">
      <c r="A299" s="34">
        <v>2084203259</v>
      </c>
      <c r="B299" s="35" t="s">
        <v>351</v>
      </c>
      <c r="C299" s="35" t="s">
        <v>352</v>
      </c>
      <c r="D299" s="35" t="s">
        <v>353</v>
      </c>
      <c r="E299" s="35" t="s">
        <v>368</v>
      </c>
      <c r="F299" s="35" t="s">
        <v>355</v>
      </c>
      <c r="G299" s="35" t="s">
        <v>363</v>
      </c>
    </row>
    <row r="300" spans="1:8">
      <c r="A300" s="34">
        <v>2084203264</v>
      </c>
      <c r="B300" s="35" t="s">
        <v>351</v>
      </c>
      <c r="C300" s="35" t="s">
        <v>352</v>
      </c>
      <c r="D300" s="35" t="s">
        <v>353</v>
      </c>
      <c r="E300" s="35" t="s">
        <v>368</v>
      </c>
      <c r="F300" s="35" t="s">
        <v>355</v>
      </c>
      <c r="G300" s="35" t="s">
        <v>335</v>
      </c>
    </row>
    <row r="301" spans="1:8">
      <c r="A301" s="34">
        <v>2084056981</v>
      </c>
      <c r="B301" s="35" t="s">
        <v>351</v>
      </c>
      <c r="C301" s="35" t="s">
        <v>352</v>
      </c>
      <c r="D301" s="35" t="s">
        <v>353</v>
      </c>
      <c r="E301" s="35" t="s">
        <v>368</v>
      </c>
      <c r="F301" s="35" t="s">
        <v>369</v>
      </c>
    </row>
    <row r="302" spans="1:8">
      <c r="A302" s="34">
        <v>2084203269</v>
      </c>
      <c r="B302" s="35" t="s">
        <v>351</v>
      </c>
      <c r="C302" s="35" t="s">
        <v>352</v>
      </c>
      <c r="D302" s="35" t="s">
        <v>353</v>
      </c>
      <c r="E302" s="35" t="s">
        <v>368</v>
      </c>
      <c r="F302" s="35" t="s">
        <v>366</v>
      </c>
      <c r="G302" s="35" t="s">
        <v>356</v>
      </c>
    </row>
    <row r="303" spans="1:8">
      <c r="A303" s="34">
        <v>2084203266</v>
      </c>
      <c r="B303" s="35" t="s">
        <v>351</v>
      </c>
      <c r="C303" s="35" t="s">
        <v>352</v>
      </c>
      <c r="D303" s="35" t="s">
        <v>353</v>
      </c>
      <c r="E303" s="35" t="s">
        <v>368</v>
      </c>
      <c r="F303" s="35" t="s">
        <v>366</v>
      </c>
      <c r="G303" s="35" t="s">
        <v>357</v>
      </c>
    </row>
    <row r="304" spans="1:8">
      <c r="A304" s="34">
        <v>2084203265</v>
      </c>
      <c r="B304" s="35" t="s">
        <v>351</v>
      </c>
      <c r="C304" s="35" t="s">
        <v>352</v>
      </c>
      <c r="D304" s="35" t="s">
        <v>353</v>
      </c>
      <c r="E304" s="35" t="s">
        <v>368</v>
      </c>
      <c r="F304" s="35" t="s">
        <v>366</v>
      </c>
      <c r="G304" s="35" t="s">
        <v>361</v>
      </c>
    </row>
    <row r="305" spans="1:7">
      <c r="A305" s="34">
        <v>2084203267</v>
      </c>
      <c r="B305" s="35" t="s">
        <v>351</v>
      </c>
      <c r="C305" s="35" t="s">
        <v>352</v>
      </c>
      <c r="D305" s="35" t="s">
        <v>353</v>
      </c>
      <c r="E305" s="35" t="s">
        <v>368</v>
      </c>
      <c r="F305" s="35" t="s">
        <v>366</v>
      </c>
      <c r="G305" s="35" t="s">
        <v>362</v>
      </c>
    </row>
    <row r="306" spans="1:7">
      <c r="A306" s="34">
        <v>2084203268</v>
      </c>
      <c r="B306" s="35" t="s">
        <v>351</v>
      </c>
      <c r="C306" s="35" t="s">
        <v>352</v>
      </c>
      <c r="D306" s="35" t="s">
        <v>353</v>
      </c>
      <c r="E306" s="35" t="s">
        <v>368</v>
      </c>
      <c r="F306" s="35" t="s">
        <v>366</v>
      </c>
      <c r="G306" s="35" t="s">
        <v>363</v>
      </c>
    </row>
    <row r="307" spans="1:7">
      <c r="A307" s="34">
        <v>2084203270</v>
      </c>
      <c r="B307" s="35" t="s">
        <v>351</v>
      </c>
      <c r="C307" s="35" t="s">
        <v>352</v>
      </c>
      <c r="D307" s="35" t="s">
        <v>353</v>
      </c>
      <c r="E307" s="35" t="s">
        <v>368</v>
      </c>
      <c r="F307" s="35" t="s">
        <v>366</v>
      </c>
      <c r="G307" s="35" t="s">
        <v>335</v>
      </c>
    </row>
    <row r="308" spans="1:7">
      <c r="A308" s="34">
        <v>2084303394</v>
      </c>
      <c r="B308" s="35" t="s">
        <v>351</v>
      </c>
      <c r="C308" s="35" t="s">
        <v>352</v>
      </c>
      <c r="D308" s="35" t="s">
        <v>353</v>
      </c>
      <c r="E308" s="35" t="s">
        <v>368</v>
      </c>
      <c r="F308" s="35" t="s">
        <v>370</v>
      </c>
    </row>
    <row r="309" spans="1:7">
      <c r="A309" s="34">
        <v>2084057107</v>
      </c>
      <c r="B309" s="35" t="s">
        <v>351</v>
      </c>
      <c r="C309" s="35" t="s">
        <v>352</v>
      </c>
      <c r="D309" s="35" t="s">
        <v>353</v>
      </c>
      <c r="E309" s="35" t="s">
        <v>368</v>
      </c>
      <c r="F309" s="35" t="s">
        <v>335</v>
      </c>
    </row>
    <row r="310" spans="1:7">
      <c r="A310" s="34">
        <v>2084303393</v>
      </c>
      <c r="B310" s="35" t="s">
        <v>351</v>
      </c>
      <c r="C310" s="35" t="s">
        <v>352</v>
      </c>
      <c r="D310" s="35" t="s">
        <v>353</v>
      </c>
      <c r="E310" s="35" t="s">
        <v>371</v>
      </c>
    </row>
    <row r="311" spans="1:7">
      <c r="A311" s="34">
        <v>2084056985</v>
      </c>
      <c r="B311" s="35" t="s">
        <v>351</v>
      </c>
      <c r="C311" s="35" t="s">
        <v>352</v>
      </c>
      <c r="D311" s="35" t="s">
        <v>353</v>
      </c>
      <c r="E311" s="35" t="s">
        <v>10</v>
      </c>
      <c r="F311" s="35" t="s">
        <v>372</v>
      </c>
    </row>
    <row r="312" spans="1:7">
      <c r="A312" s="34">
        <v>2084263731</v>
      </c>
      <c r="B312" s="35" t="s">
        <v>351</v>
      </c>
      <c r="C312" s="35" t="s">
        <v>352</v>
      </c>
      <c r="D312" s="35" t="s">
        <v>353</v>
      </c>
      <c r="E312" s="35" t="s">
        <v>10</v>
      </c>
      <c r="F312" s="35" t="s">
        <v>373</v>
      </c>
      <c r="G312" s="35" t="s">
        <v>374</v>
      </c>
    </row>
    <row r="313" spans="1:7">
      <c r="A313" s="34">
        <v>2084263732</v>
      </c>
      <c r="B313" s="35" t="s">
        <v>351</v>
      </c>
      <c r="C313" s="35" t="s">
        <v>352</v>
      </c>
      <c r="D313" s="35" t="s">
        <v>353</v>
      </c>
      <c r="E313" s="35" t="s">
        <v>10</v>
      </c>
      <c r="F313" s="35" t="s">
        <v>373</v>
      </c>
      <c r="G313" s="35" t="s">
        <v>375</v>
      </c>
    </row>
    <row r="314" spans="1:7">
      <c r="A314" s="34">
        <v>2084263733</v>
      </c>
      <c r="B314" s="35" t="s">
        <v>351</v>
      </c>
      <c r="C314" s="35" t="s">
        <v>352</v>
      </c>
      <c r="D314" s="35" t="s">
        <v>353</v>
      </c>
      <c r="E314" s="35" t="s">
        <v>10</v>
      </c>
      <c r="F314" s="35" t="s">
        <v>373</v>
      </c>
      <c r="G314" s="35" t="s">
        <v>376</v>
      </c>
    </row>
    <row r="315" spans="1:7">
      <c r="A315" s="34">
        <v>2084263734</v>
      </c>
      <c r="B315" s="35" t="s">
        <v>351</v>
      </c>
      <c r="C315" s="35" t="s">
        <v>352</v>
      </c>
      <c r="D315" s="35" t="s">
        <v>353</v>
      </c>
      <c r="E315" s="35" t="s">
        <v>10</v>
      </c>
      <c r="F315" s="35" t="s">
        <v>373</v>
      </c>
      <c r="G315" s="35" t="s">
        <v>377</v>
      </c>
    </row>
    <row r="316" spans="1:7">
      <c r="A316" s="34">
        <v>2084263735</v>
      </c>
      <c r="B316" s="35" t="s">
        <v>351</v>
      </c>
      <c r="C316" s="35" t="s">
        <v>352</v>
      </c>
      <c r="D316" s="35" t="s">
        <v>353</v>
      </c>
      <c r="E316" s="35" t="s">
        <v>10</v>
      </c>
      <c r="F316" s="35" t="s">
        <v>378</v>
      </c>
      <c r="G316" s="35" t="s">
        <v>374</v>
      </c>
    </row>
    <row r="317" spans="1:7">
      <c r="A317" s="34">
        <v>2084263736</v>
      </c>
      <c r="B317" s="35" t="s">
        <v>351</v>
      </c>
      <c r="C317" s="35" t="s">
        <v>352</v>
      </c>
      <c r="D317" s="35" t="s">
        <v>353</v>
      </c>
      <c r="E317" s="35" t="s">
        <v>10</v>
      </c>
      <c r="F317" s="35" t="s">
        <v>378</v>
      </c>
      <c r="G317" s="35" t="s">
        <v>375</v>
      </c>
    </row>
    <row r="318" spans="1:7">
      <c r="A318" s="34">
        <v>2084263737</v>
      </c>
      <c r="B318" s="35" t="s">
        <v>351</v>
      </c>
      <c r="C318" s="35" t="s">
        <v>352</v>
      </c>
      <c r="D318" s="35" t="s">
        <v>353</v>
      </c>
      <c r="E318" s="35" t="s">
        <v>10</v>
      </c>
      <c r="F318" s="35" t="s">
        <v>378</v>
      </c>
      <c r="G318" s="35" t="s">
        <v>376</v>
      </c>
    </row>
    <row r="319" spans="1:7">
      <c r="A319" s="34">
        <v>2084263738</v>
      </c>
      <c r="B319" s="35" t="s">
        <v>351</v>
      </c>
      <c r="C319" s="35" t="s">
        <v>352</v>
      </c>
      <c r="D319" s="35" t="s">
        <v>353</v>
      </c>
      <c r="E319" s="35" t="s">
        <v>10</v>
      </c>
      <c r="F319" s="35" t="s">
        <v>378</v>
      </c>
      <c r="G319" s="35" t="s">
        <v>377</v>
      </c>
    </row>
    <row r="320" spans="1:7">
      <c r="A320" s="34">
        <v>2084056986</v>
      </c>
      <c r="B320" s="35" t="s">
        <v>351</v>
      </c>
      <c r="C320" s="35" t="s">
        <v>352</v>
      </c>
      <c r="D320" s="35" t="s">
        <v>353</v>
      </c>
      <c r="E320" s="35" t="s">
        <v>10</v>
      </c>
      <c r="F320" s="35" t="s">
        <v>335</v>
      </c>
    </row>
    <row r="321" spans="1:8">
      <c r="A321" s="34">
        <v>2084203335</v>
      </c>
      <c r="B321" s="35" t="s">
        <v>351</v>
      </c>
      <c r="C321" s="35" t="s">
        <v>352</v>
      </c>
      <c r="D321" s="35" t="s">
        <v>353</v>
      </c>
      <c r="E321" s="35" t="s">
        <v>379</v>
      </c>
      <c r="F321" s="35" t="s">
        <v>380</v>
      </c>
      <c r="G321" s="35" t="s">
        <v>355</v>
      </c>
      <c r="H321" s="35" t="s">
        <v>356</v>
      </c>
    </row>
    <row r="322" spans="1:8">
      <c r="A322" s="34">
        <v>2084203332</v>
      </c>
      <c r="B322" s="35" t="s">
        <v>351</v>
      </c>
      <c r="C322" s="35" t="s">
        <v>352</v>
      </c>
      <c r="D322" s="35" t="s">
        <v>353</v>
      </c>
      <c r="E322" s="35" t="s">
        <v>379</v>
      </c>
      <c r="F322" s="35" t="s">
        <v>380</v>
      </c>
      <c r="G322" s="35" t="s">
        <v>355</v>
      </c>
      <c r="H322" s="35" t="s">
        <v>357</v>
      </c>
    </row>
    <row r="323" spans="1:8">
      <c r="A323" s="34">
        <v>2084203331</v>
      </c>
      <c r="B323" s="35" t="s">
        <v>351</v>
      </c>
      <c r="C323" s="35" t="s">
        <v>352</v>
      </c>
      <c r="D323" s="35" t="s">
        <v>353</v>
      </c>
      <c r="E323" s="35" t="s">
        <v>379</v>
      </c>
      <c r="F323" s="35" t="s">
        <v>380</v>
      </c>
      <c r="G323" s="35" t="s">
        <v>355</v>
      </c>
      <c r="H323" s="35" t="s">
        <v>361</v>
      </c>
    </row>
    <row r="324" spans="1:8">
      <c r="A324" s="34">
        <v>2084203333</v>
      </c>
      <c r="B324" s="35" t="s">
        <v>351</v>
      </c>
      <c r="C324" s="35" t="s">
        <v>352</v>
      </c>
      <c r="D324" s="35" t="s">
        <v>353</v>
      </c>
      <c r="E324" s="35" t="s">
        <v>379</v>
      </c>
      <c r="F324" s="35" t="s">
        <v>380</v>
      </c>
      <c r="G324" s="35" t="s">
        <v>355</v>
      </c>
      <c r="H324" s="35" t="s">
        <v>362</v>
      </c>
    </row>
    <row r="325" spans="1:8">
      <c r="A325" s="34">
        <v>2084203334</v>
      </c>
      <c r="B325" s="35" t="s">
        <v>351</v>
      </c>
      <c r="C325" s="35" t="s">
        <v>352</v>
      </c>
      <c r="D325" s="35" t="s">
        <v>353</v>
      </c>
      <c r="E325" s="35" t="s">
        <v>379</v>
      </c>
      <c r="F325" s="35" t="s">
        <v>380</v>
      </c>
      <c r="G325" s="35" t="s">
        <v>355</v>
      </c>
      <c r="H325" s="35" t="s">
        <v>363</v>
      </c>
    </row>
    <row r="326" spans="1:8">
      <c r="A326" s="34">
        <v>2084203336</v>
      </c>
      <c r="B326" s="35" t="s">
        <v>351</v>
      </c>
      <c r="C326" s="35" t="s">
        <v>352</v>
      </c>
      <c r="D326" s="35" t="s">
        <v>353</v>
      </c>
      <c r="E326" s="35" t="s">
        <v>379</v>
      </c>
      <c r="F326" s="35" t="s">
        <v>380</v>
      </c>
      <c r="G326" s="35" t="s">
        <v>355</v>
      </c>
      <c r="H326" s="35" t="s">
        <v>335</v>
      </c>
    </row>
    <row r="327" spans="1:8">
      <c r="A327" s="34">
        <v>2084203338</v>
      </c>
      <c r="B327" s="35" t="s">
        <v>351</v>
      </c>
      <c r="C327" s="35" t="s">
        <v>352</v>
      </c>
      <c r="D327" s="35" t="s">
        <v>353</v>
      </c>
      <c r="E327" s="35" t="s">
        <v>379</v>
      </c>
      <c r="F327" s="35" t="s">
        <v>380</v>
      </c>
      <c r="G327" s="35" t="s">
        <v>365</v>
      </c>
      <c r="H327" s="35" t="s">
        <v>357</v>
      </c>
    </row>
    <row r="328" spans="1:8">
      <c r="A328" s="34">
        <v>2084203337</v>
      </c>
      <c r="B328" s="35" t="s">
        <v>351</v>
      </c>
      <c r="C328" s="35" t="s">
        <v>352</v>
      </c>
      <c r="D328" s="35" t="s">
        <v>353</v>
      </c>
      <c r="E328" s="35" t="s">
        <v>379</v>
      </c>
      <c r="F328" s="35" t="s">
        <v>380</v>
      </c>
      <c r="G328" s="35" t="s">
        <v>365</v>
      </c>
      <c r="H328" s="35" t="s">
        <v>361</v>
      </c>
    </row>
    <row r="329" spans="1:8">
      <c r="A329" s="34">
        <v>2084203339</v>
      </c>
      <c r="B329" s="35" t="s">
        <v>351</v>
      </c>
      <c r="C329" s="35" t="s">
        <v>352</v>
      </c>
      <c r="D329" s="35" t="s">
        <v>353</v>
      </c>
      <c r="E329" s="35" t="s">
        <v>379</v>
      </c>
      <c r="F329" s="35" t="s">
        <v>380</v>
      </c>
      <c r="G329" s="35" t="s">
        <v>365</v>
      </c>
      <c r="H329" s="35" t="s">
        <v>335</v>
      </c>
    </row>
    <row r="330" spans="1:8">
      <c r="A330" s="34">
        <v>2084203341</v>
      </c>
      <c r="B330" s="35" t="s">
        <v>351</v>
      </c>
      <c r="C330" s="35" t="s">
        <v>352</v>
      </c>
      <c r="D330" s="35" t="s">
        <v>353</v>
      </c>
      <c r="E330" s="35" t="s">
        <v>379</v>
      </c>
      <c r="F330" s="35" t="s">
        <v>380</v>
      </c>
      <c r="G330" s="35" t="s">
        <v>366</v>
      </c>
      <c r="H330" s="35" t="s">
        <v>357</v>
      </c>
    </row>
    <row r="331" spans="1:8">
      <c r="A331" s="34">
        <v>2084203340</v>
      </c>
      <c r="B331" s="35" t="s">
        <v>351</v>
      </c>
      <c r="C331" s="35" t="s">
        <v>352</v>
      </c>
      <c r="D331" s="35" t="s">
        <v>353</v>
      </c>
      <c r="E331" s="35" t="s">
        <v>379</v>
      </c>
      <c r="F331" s="35" t="s">
        <v>380</v>
      </c>
      <c r="G331" s="35" t="s">
        <v>366</v>
      </c>
      <c r="H331" s="35" t="s">
        <v>361</v>
      </c>
    </row>
    <row r="332" spans="1:8">
      <c r="A332" s="34">
        <v>2084203342</v>
      </c>
      <c r="B332" s="35" t="s">
        <v>351</v>
      </c>
      <c r="C332" s="35" t="s">
        <v>352</v>
      </c>
      <c r="D332" s="35" t="s">
        <v>353</v>
      </c>
      <c r="E332" s="35" t="s">
        <v>379</v>
      </c>
      <c r="F332" s="35" t="s">
        <v>380</v>
      </c>
      <c r="G332" s="35" t="s">
        <v>366</v>
      </c>
      <c r="H332" s="35" t="s">
        <v>362</v>
      </c>
    </row>
    <row r="333" spans="1:8">
      <c r="A333" s="34">
        <v>2084203343</v>
      </c>
      <c r="B333" s="35" t="s">
        <v>351</v>
      </c>
      <c r="C333" s="35" t="s">
        <v>352</v>
      </c>
      <c r="D333" s="35" t="s">
        <v>353</v>
      </c>
      <c r="E333" s="35" t="s">
        <v>379</v>
      </c>
      <c r="F333" s="35" t="s">
        <v>380</v>
      </c>
      <c r="G333" s="35" t="s">
        <v>366</v>
      </c>
      <c r="H333" s="35" t="s">
        <v>335</v>
      </c>
    </row>
    <row r="334" spans="1:8">
      <c r="A334" s="34">
        <v>2084056992</v>
      </c>
      <c r="B334" s="35" t="s">
        <v>351</v>
      </c>
      <c r="C334" s="35" t="s">
        <v>352</v>
      </c>
      <c r="D334" s="35" t="s">
        <v>353</v>
      </c>
      <c r="E334" s="35" t="s">
        <v>379</v>
      </c>
      <c r="F334" s="35" t="s">
        <v>380</v>
      </c>
      <c r="G334" s="35" t="s">
        <v>335</v>
      </c>
    </row>
    <row r="335" spans="1:8">
      <c r="A335" s="34">
        <v>2084057002</v>
      </c>
      <c r="B335" s="35" t="s">
        <v>351</v>
      </c>
      <c r="C335" s="35" t="s">
        <v>352</v>
      </c>
      <c r="D335" s="35" t="s">
        <v>353</v>
      </c>
      <c r="E335" s="35" t="s">
        <v>379</v>
      </c>
      <c r="F335" s="35" t="s">
        <v>381</v>
      </c>
      <c r="G335" s="35" t="s">
        <v>382</v>
      </c>
    </row>
    <row r="336" spans="1:8">
      <c r="A336" s="34">
        <v>2084057003</v>
      </c>
      <c r="B336" s="35" t="s">
        <v>351</v>
      </c>
      <c r="C336" s="35" t="s">
        <v>352</v>
      </c>
      <c r="D336" s="35" t="s">
        <v>353</v>
      </c>
      <c r="E336" s="35" t="s">
        <v>379</v>
      </c>
      <c r="F336" s="35" t="s">
        <v>381</v>
      </c>
      <c r="G336" s="35" t="s">
        <v>369</v>
      </c>
    </row>
    <row r="337" spans="1:7">
      <c r="A337" s="34">
        <v>2084057004</v>
      </c>
      <c r="B337" s="35" t="s">
        <v>351</v>
      </c>
      <c r="C337" s="35" t="s">
        <v>352</v>
      </c>
      <c r="D337" s="35" t="s">
        <v>353</v>
      </c>
      <c r="E337" s="35" t="s">
        <v>379</v>
      </c>
      <c r="F337" s="35" t="s">
        <v>381</v>
      </c>
      <c r="G337" s="35" t="s">
        <v>383</v>
      </c>
    </row>
    <row r="338" spans="1:7">
      <c r="A338" s="34">
        <v>2084057005</v>
      </c>
      <c r="B338" s="35" t="s">
        <v>351</v>
      </c>
      <c r="C338" s="35" t="s">
        <v>352</v>
      </c>
      <c r="D338" s="35" t="s">
        <v>353</v>
      </c>
      <c r="E338" s="35" t="s">
        <v>379</v>
      </c>
      <c r="F338" s="35" t="s">
        <v>381</v>
      </c>
      <c r="G338" s="35" t="s">
        <v>335</v>
      </c>
    </row>
    <row r="339" spans="1:7">
      <c r="A339" s="34">
        <v>2084246663</v>
      </c>
      <c r="B339" s="35" t="s">
        <v>351</v>
      </c>
      <c r="C339" s="35" t="s">
        <v>352</v>
      </c>
      <c r="D339" s="35" t="s">
        <v>353</v>
      </c>
      <c r="E339" s="35" t="s">
        <v>384</v>
      </c>
      <c r="F339" s="35" t="s">
        <v>385</v>
      </c>
    </row>
    <row r="340" spans="1:7">
      <c r="A340" s="34">
        <v>2084246664</v>
      </c>
      <c r="B340" s="35" t="s">
        <v>351</v>
      </c>
      <c r="C340" s="35" t="s">
        <v>352</v>
      </c>
      <c r="D340" s="35" t="s">
        <v>353</v>
      </c>
      <c r="E340" s="35" t="s">
        <v>384</v>
      </c>
      <c r="F340" s="35" t="s">
        <v>386</v>
      </c>
    </row>
    <row r="341" spans="1:7">
      <c r="A341" s="34">
        <v>2084246693</v>
      </c>
      <c r="B341" s="35" t="s">
        <v>351</v>
      </c>
      <c r="C341" s="35" t="s">
        <v>352</v>
      </c>
      <c r="D341" s="35" t="s">
        <v>353</v>
      </c>
      <c r="E341" s="35" t="s">
        <v>384</v>
      </c>
      <c r="F341" s="35" t="s">
        <v>387</v>
      </c>
    </row>
    <row r="342" spans="1:7">
      <c r="A342" s="34">
        <v>2084246665</v>
      </c>
      <c r="B342" s="35" t="s">
        <v>351</v>
      </c>
      <c r="C342" s="35" t="s">
        <v>352</v>
      </c>
      <c r="D342" s="35" t="s">
        <v>353</v>
      </c>
      <c r="E342" s="35" t="s">
        <v>384</v>
      </c>
      <c r="F342" s="35" t="s">
        <v>335</v>
      </c>
    </row>
    <row r="343" spans="1:7">
      <c r="A343" s="34">
        <v>2084006786</v>
      </c>
      <c r="B343" s="35" t="s">
        <v>351</v>
      </c>
      <c r="C343" s="35" t="s">
        <v>352</v>
      </c>
      <c r="D343" s="35" t="s">
        <v>353</v>
      </c>
      <c r="E343" s="35" t="s">
        <v>388</v>
      </c>
    </row>
    <row r="344" spans="1:7">
      <c r="A344" s="34">
        <v>2084006787</v>
      </c>
      <c r="B344" s="35" t="s">
        <v>351</v>
      </c>
      <c r="C344" s="35" t="s">
        <v>352</v>
      </c>
      <c r="D344" s="35" t="s">
        <v>353</v>
      </c>
      <c r="E344" s="35" t="s">
        <v>389</v>
      </c>
    </row>
    <row r="345" spans="1:7">
      <c r="A345" s="34">
        <v>2084006831</v>
      </c>
      <c r="B345" s="35" t="s">
        <v>351</v>
      </c>
      <c r="C345" s="35" t="s">
        <v>352</v>
      </c>
      <c r="D345" s="35" t="s">
        <v>353</v>
      </c>
      <c r="E345" s="35" t="s">
        <v>335</v>
      </c>
    </row>
    <row r="346" spans="1:7">
      <c r="A346" s="34">
        <v>2084203509</v>
      </c>
      <c r="B346" s="35" t="s">
        <v>351</v>
      </c>
      <c r="C346" s="35" t="s">
        <v>352</v>
      </c>
      <c r="D346" s="35" t="s">
        <v>390</v>
      </c>
      <c r="E346" s="35" t="s">
        <v>354</v>
      </c>
      <c r="F346" s="35" t="s">
        <v>355</v>
      </c>
      <c r="G346" s="35" t="s">
        <v>356</v>
      </c>
    </row>
    <row r="347" spans="1:7">
      <c r="A347" s="34">
        <v>2084203507</v>
      </c>
      <c r="B347" s="35" t="s">
        <v>351</v>
      </c>
      <c r="C347" s="35" t="s">
        <v>352</v>
      </c>
      <c r="D347" s="35" t="s">
        <v>390</v>
      </c>
      <c r="E347" s="35" t="s">
        <v>354</v>
      </c>
      <c r="F347" s="35" t="s">
        <v>355</v>
      </c>
      <c r="G347" s="35" t="s">
        <v>357</v>
      </c>
    </row>
    <row r="348" spans="1:7">
      <c r="A348" s="34">
        <v>2084203506</v>
      </c>
      <c r="B348" s="35" t="s">
        <v>351</v>
      </c>
      <c r="C348" s="35" t="s">
        <v>352</v>
      </c>
      <c r="D348" s="35" t="s">
        <v>390</v>
      </c>
      <c r="E348" s="35" t="s">
        <v>354</v>
      </c>
      <c r="F348" s="35" t="s">
        <v>355</v>
      </c>
      <c r="G348" s="35" t="s">
        <v>361</v>
      </c>
    </row>
    <row r="349" spans="1:7">
      <c r="A349" s="34">
        <v>2084203508</v>
      </c>
      <c r="B349" s="35" t="s">
        <v>351</v>
      </c>
      <c r="C349" s="35" t="s">
        <v>352</v>
      </c>
      <c r="D349" s="35" t="s">
        <v>390</v>
      </c>
      <c r="E349" s="35" t="s">
        <v>354</v>
      </c>
      <c r="F349" s="35" t="s">
        <v>355</v>
      </c>
      <c r="G349" s="35" t="s">
        <v>362</v>
      </c>
    </row>
    <row r="350" spans="1:7">
      <c r="A350" s="34">
        <v>2084203511</v>
      </c>
      <c r="B350" s="35" t="s">
        <v>351</v>
      </c>
      <c r="C350" s="35" t="s">
        <v>352</v>
      </c>
      <c r="D350" s="35" t="s">
        <v>390</v>
      </c>
      <c r="E350" s="35" t="s">
        <v>354</v>
      </c>
      <c r="F350" s="35" t="s">
        <v>355</v>
      </c>
      <c r="G350" s="35" t="s">
        <v>363</v>
      </c>
    </row>
    <row r="351" spans="1:7">
      <c r="A351" s="34">
        <v>2084203510</v>
      </c>
      <c r="B351" s="35" t="s">
        <v>351</v>
      </c>
      <c r="C351" s="35" t="s">
        <v>352</v>
      </c>
      <c r="D351" s="35" t="s">
        <v>390</v>
      </c>
      <c r="E351" s="35" t="s">
        <v>354</v>
      </c>
      <c r="F351" s="35" t="s">
        <v>355</v>
      </c>
      <c r="G351" s="35" t="s">
        <v>335</v>
      </c>
    </row>
    <row r="352" spans="1:7">
      <c r="A352" s="34">
        <v>2084203515</v>
      </c>
      <c r="B352" s="35" t="s">
        <v>351</v>
      </c>
      <c r="C352" s="35" t="s">
        <v>352</v>
      </c>
      <c r="D352" s="35" t="s">
        <v>390</v>
      </c>
      <c r="E352" s="35" t="s">
        <v>354</v>
      </c>
      <c r="F352" s="35" t="s">
        <v>365</v>
      </c>
      <c r="G352" s="35" t="s">
        <v>356</v>
      </c>
    </row>
    <row r="353" spans="1:7">
      <c r="A353" s="34">
        <v>2084203513</v>
      </c>
      <c r="B353" s="35" t="s">
        <v>351</v>
      </c>
      <c r="C353" s="35" t="s">
        <v>352</v>
      </c>
      <c r="D353" s="35" t="s">
        <v>390</v>
      </c>
      <c r="E353" s="35" t="s">
        <v>354</v>
      </c>
      <c r="F353" s="35" t="s">
        <v>365</v>
      </c>
      <c r="G353" s="35" t="s">
        <v>357</v>
      </c>
    </row>
    <row r="354" spans="1:7">
      <c r="A354" s="34">
        <v>2084203512</v>
      </c>
      <c r="B354" s="35" t="s">
        <v>351</v>
      </c>
      <c r="C354" s="35" t="s">
        <v>352</v>
      </c>
      <c r="D354" s="35" t="s">
        <v>390</v>
      </c>
      <c r="E354" s="35" t="s">
        <v>354</v>
      </c>
      <c r="F354" s="35" t="s">
        <v>365</v>
      </c>
      <c r="G354" s="35" t="s">
        <v>361</v>
      </c>
    </row>
    <row r="355" spans="1:7">
      <c r="A355" s="34">
        <v>2084203514</v>
      </c>
      <c r="B355" s="35" t="s">
        <v>351</v>
      </c>
      <c r="C355" s="35" t="s">
        <v>352</v>
      </c>
      <c r="D355" s="35" t="s">
        <v>390</v>
      </c>
      <c r="E355" s="35" t="s">
        <v>354</v>
      </c>
      <c r="F355" s="35" t="s">
        <v>365</v>
      </c>
      <c r="G355" s="35" t="s">
        <v>362</v>
      </c>
    </row>
    <row r="356" spans="1:7">
      <c r="A356" s="34">
        <v>2084203516</v>
      </c>
      <c r="B356" s="35" t="s">
        <v>351</v>
      </c>
      <c r="C356" s="35" t="s">
        <v>352</v>
      </c>
      <c r="D356" s="35" t="s">
        <v>390</v>
      </c>
      <c r="E356" s="35" t="s">
        <v>354</v>
      </c>
      <c r="F356" s="35" t="s">
        <v>365</v>
      </c>
      <c r="G356" s="35" t="s">
        <v>335</v>
      </c>
    </row>
    <row r="357" spans="1:7">
      <c r="A357" s="34">
        <v>2084203518</v>
      </c>
      <c r="B357" s="35" t="s">
        <v>351</v>
      </c>
      <c r="C357" s="35" t="s">
        <v>352</v>
      </c>
      <c r="D357" s="35" t="s">
        <v>390</v>
      </c>
      <c r="E357" s="35" t="s">
        <v>354</v>
      </c>
      <c r="F357" s="35" t="s">
        <v>366</v>
      </c>
      <c r="G357" s="35" t="s">
        <v>357</v>
      </c>
    </row>
    <row r="358" spans="1:7">
      <c r="A358" s="34">
        <v>2084203517</v>
      </c>
      <c r="B358" s="35" t="s">
        <v>351</v>
      </c>
      <c r="C358" s="35" t="s">
        <v>352</v>
      </c>
      <c r="D358" s="35" t="s">
        <v>390</v>
      </c>
      <c r="E358" s="35" t="s">
        <v>354</v>
      </c>
      <c r="F358" s="35" t="s">
        <v>366</v>
      </c>
      <c r="G358" s="35" t="s">
        <v>361</v>
      </c>
    </row>
    <row r="359" spans="1:7">
      <c r="A359" s="34">
        <v>2084203519</v>
      </c>
      <c r="B359" s="35" t="s">
        <v>351</v>
      </c>
      <c r="C359" s="35" t="s">
        <v>352</v>
      </c>
      <c r="D359" s="35" t="s">
        <v>390</v>
      </c>
      <c r="E359" s="35" t="s">
        <v>354</v>
      </c>
      <c r="F359" s="35" t="s">
        <v>366</v>
      </c>
      <c r="G359" s="35" t="s">
        <v>362</v>
      </c>
    </row>
    <row r="360" spans="1:7">
      <c r="A360" s="34">
        <v>2084203520</v>
      </c>
      <c r="B360" s="35" t="s">
        <v>351</v>
      </c>
      <c r="C360" s="35" t="s">
        <v>352</v>
      </c>
      <c r="D360" s="35" t="s">
        <v>390</v>
      </c>
      <c r="E360" s="35" t="s">
        <v>354</v>
      </c>
      <c r="F360" s="35" t="s">
        <v>366</v>
      </c>
      <c r="G360" s="35" t="s">
        <v>335</v>
      </c>
    </row>
    <row r="361" spans="1:7">
      <c r="A361" s="34">
        <v>2084057048</v>
      </c>
      <c r="B361" s="35" t="s">
        <v>351</v>
      </c>
      <c r="C361" s="35" t="s">
        <v>352</v>
      </c>
      <c r="D361" s="35" t="s">
        <v>390</v>
      </c>
      <c r="E361" s="35" t="s">
        <v>354</v>
      </c>
      <c r="F361" s="35" t="s">
        <v>335</v>
      </c>
    </row>
    <row r="362" spans="1:7">
      <c r="A362" s="34">
        <v>2084057017</v>
      </c>
      <c r="B362" s="35" t="s">
        <v>351</v>
      </c>
      <c r="C362" s="35" t="s">
        <v>352</v>
      </c>
      <c r="D362" s="35" t="s">
        <v>390</v>
      </c>
      <c r="E362" s="35" t="s">
        <v>367</v>
      </c>
    </row>
    <row r="363" spans="1:7">
      <c r="A363" s="34">
        <v>2084203524</v>
      </c>
      <c r="B363" s="35" t="s">
        <v>351</v>
      </c>
      <c r="C363" s="35" t="s">
        <v>352</v>
      </c>
      <c r="D363" s="35" t="s">
        <v>390</v>
      </c>
      <c r="E363" s="35" t="s">
        <v>368</v>
      </c>
      <c r="F363" s="35" t="s">
        <v>355</v>
      </c>
      <c r="G363" s="35" t="s">
        <v>356</v>
      </c>
    </row>
    <row r="364" spans="1:7">
      <c r="A364" s="34">
        <v>2084203522</v>
      </c>
      <c r="B364" s="35" t="s">
        <v>351</v>
      </c>
      <c r="C364" s="35" t="s">
        <v>352</v>
      </c>
      <c r="D364" s="35" t="s">
        <v>390</v>
      </c>
      <c r="E364" s="35" t="s">
        <v>368</v>
      </c>
      <c r="F364" s="35" t="s">
        <v>355</v>
      </c>
      <c r="G364" s="35" t="s">
        <v>357</v>
      </c>
    </row>
    <row r="365" spans="1:7">
      <c r="A365" s="34">
        <v>2084203521</v>
      </c>
      <c r="B365" s="35" t="s">
        <v>351</v>
      </c>
      <c r="C365" s="35" t="s">
        <v>352</v>
      </c>
      <c r="D365" s="35" t="s">
        <v>390</v>
      </c>
      <c r="E365" s="35" t="s">
        <v>368</v>
      </c>
      <c r="F365" s="35" t="s">
        <v>355</v>
      </c>
      <c r="G365" s="35" t="s">
        <v>361</v>
      </c>
    </row>
    <row r="366" spans="1:7">
      <c r="A366" s="34">
        <v>2084203523</v>
      </c>
      <c r="B366" s="35" t="s">
        <v>351</v>
      </c>
      <c r="C366" s="35" t="s">
        <v>352</v>
      </c>
      <c r="D366" s="35" t="s">
        <v>390</v>
      </c>
      <c r="E366" s="35" t="s">
        <v>368</v>
      </c>
      <c r="F366" s="35" t="s">
        <v>355</v>
      </c>
      <c r="G366" s="35" t="s">
        <v>362</v>
      </c>
    </row>
    <row r="367" spans="1:7">
      <c r="A367" s="34">
        <v>2084203525</v>
      </c>
      <c r="B367" s="35" t="s">
        <v>351</v>
      </c>
      <c r="C367" s="35" t="s">
        <v>352</v>
      </c>
      <c r="D367" s="35" t="s">
        <v>390</v>
      </c>
      <c r="E367" s="35" t="s">
        <v>368</v>
      </c>
      <c r="F367" s="35" t="s">
        <v>355</v>
      </c>
      <c r="G367" s="35" t="s">
        <v>335</v>
      </c>
    </row>
    <row r="368" spans="1:7">
      <c r="A368" s="34">
        <v>2084057022</v>
      </c>
      <c r="B368" s="35" t="s">
        <v>351</v>
      </c>
      <c r="C368" s="35" t="s">
        <v>352</v>
      </c>
      <c r="D368" s="35" t="s">
        <v>390</v>
      </c>
      <c r="E368" s="35" t="s">
        <v>368</v>
      </c>
      <c r="F368" s="35" t="s">
        <v>369</v>
      </c>
    </row>
    <row r="369" spans="1:8">
      <c r="A369" s="34">
        <v>2084057023</v>
      </c>
      <c r="B369" s="35" t="s">
        <v>351</v>
      </c>
      <c r="C369" s="35" t="s">
        <v>352</v>
      </c>
      <c r="D369" s="35" t="s">
        <v>390</v>
      </c>
      <c r="E369" s="35" t="s">
        <v>368</v>
      </c>
      <c r="F369" s="35" t="s">
        <v>383</v>
      </c>
    </row>
    <row r="370" spans="1:8">
      <c r="A370" s="34">
        <v>2084303395</v>
      </c>
      <c r="B370" s="35" t="s">
        <v>351</v>
      </c>
      <c r="C370" s="35" t="s">
        <v>352</v>
      </c>
      <c r="D370" s="35" t="s">
        <v>390</v>
      </c>
      <c r="E370" s="35" t="s">
        <v>368</v>
      </c>
      <c r="F370" s="35" t="s">
        <v>370</v>
      </c>
    </row>
    <row r="371" spans="1:8">
      <c r="A371" s="34">
        <v>2084057024</v>
      </c>
      <c r="B371" s="35" t="s">
        <v>351</v>
      </c>
      <c r="C371" s="35" t="s">
        <v>352</v>
      </c>
      <c r="D371" s="35" t="s">
        <v>390</v>
      </c>
      <c r="E371" s="35" t="s">
        <v>368</v>
      </c>
      <c r="F371" s="35" t="s">
        <v>335</v>
      </c>
    </row>
    <row r="372" spans="1:8">
      <c r="A372" s="34">
        <v>2084303392</v>
      </c>
      <c r="B372" s="35" t="s">
        <v>351</v>
      </c>
      <c r="C372" s="35" t="s">
        <v>352</v>
      </c>
      <c r="D372" s="35" t="s">
        <v>390</v>
      </c>
      <c r="E372" s="35" t="s">
        <v>371</v>
      </c>
    </row>
    <row r="373" spans="1:8">
      <c r="A373" s="34">
        <v>2084057027</v>
      </c>
      <c r="B373" s="35" t="s">
        <v>351</v>
      </c>
      <c r="C373" s="35" t="s">
        <v>352</v>
      </c>
      <c r="D373" s="35" t="s">
        <v>390</v>
      </c>
      <c r="E373" s="35" t="s">
        <v>10</v>
      </c>
      <c r="F373" s="35" t="s">
        <v>372</v>
      </c>
    </row>
    <row r="374" spans="1:8">
      <c r="A374" s="34">
        <v>2084263739</v>
      </c>
      <c r="B374" s="35" t="s">
        <v>351</v>
      </c>
      <c r="C374" s="35" t="s">
        <v>352</v>
      </c>
      <c r="D374" s="35" t="s">
        <v>390</v>
      </c>
      <c r="E374" s="35" t="s">
        <v>10</v>
      </c>
      <c r="F374" s="35" t="s">
        <v>373</v>
      </c>
      <c r="G374" s="35" t="s">
        <v>391</v>
      </c>
    </row>
    <row r="375" spans="1:8">
      <c r="A375" s="34">
        <v>2084263740</v>
      </c>
      <c r="B375" s="35" t="s">
        <v>351</v>
      </c>
      <c r="C375" s="35" t="s">
        <v>352</v>
      </c>
      <c r="D375" s="35" t="s">
        <v>390</v>
      </c>
      <c r="E375" s="35" t="s">
        <v>10</v>
      </c>
      <c r="F375" s="35" t="s">
        <v>373</v>
      </c>
      <c r="G375" s="35" t="s">
        <v>392</v>
      </c>
    </row>
    <row r="376" spans="1:8">
      <c r="A376" s="34">
        <v>2084263741</v>
      </c>
      <c r="B376" s="35" t="s">
        <v>351</v>
      </c>
      <c r="C376" s="35" t="s">
        <v>352</v>
      </c>
      <c r="D376" s="35" t="s">
        <v>390</v>
      </c>
      <c r="E376" s="35" t="s">
        <v>10</v>
      </c>
      <c r="F376" s="35" t="s">
        <v>373</v>
      </c>
      <c r="G376" s="35" t="s">
        <v>375</v>
      </c>
    </row>
    <row r="377" spans="1:8">
      <c r="A377" s="34">
        <v>2084263742</v>
      </c>
      <c r="B377" s="35" t="s">
        <v>351</v>
      </c>
      <c r="C377" s="35" t="s">
        <v>352</v>
      </c>
      <c r="D377" s="35" t="s">
        <v>390</v>
      </c>
      <c r="E377" s="35" t="s">
        <v>10</v>
      </c>
      <c r="F377" s="35" t="s">
        <v>373</v>
      </c>
      <c r="G377" s="35" t="s">
        <v>393</v>
      </c>
    </row>
    <row r="378" spans="1:8">
      <c r="A378" s="34">
        <v>2084263743</v>
      </c>
      <c r="B378" s="35" t="s">
        <v>351</v>
      </c>
      <c r="C378" s="35" t="s">
        <v>352</v>
      </c>
      <c r="D378" s="35" t="s">
        <v>390</v>
      </c>
      <c r="E378" s="35" t="s">
        <v>10</v>
      </c>
      <c r="F378" s="35" t="s">
        <v>378</v>
      </c>
      <c r="G378" s="35" t="s">
        <v>391</v>
      </c>
    </row>
    <row r="379" spans="1:8">
      <c r="A379" s="34">
        <v>2084263744</v>
      </c>
      <c r="B379" s="35" t="s">
        <v>351</v>
      </c>
      <c r="C379" s="35" t="s">
        <v>352</v>
      </c>
      <c r="D379" s="35" t="s">
        <v>390</v>
      </c>
      <c r="E379" s="35" t="s">
        <v>10</v>
      </c>
      <c r="F379" s="35" t="s">
        <v>378</v>
      </c>
      <c r="G379" s="35" t="s">
        <v>392</v>
      </c>
    </row>
    <row r="380" spans="1:8">
      <c r="A380" s="34">
        <v>2084263745</v>
      </c>
      <c r="B380" s="35" t="s">
        <v>351</v>
      </c>
      <c r="C380" s="35" t="s">
        <v>352</v>
      </c>
      <c r="D380" s="35" t="s">
        <v>390</v>
      </c>
      <c r="E380" s="35" t="s">
        <v>10</v>
      </c>
      <c r="F380" s="35" t="s">
        <v>378</v>
      </c>
      <c r="G380" s="35" t="s">
        <v>375</v>
      </c>
    </row>
    <row r="381" spans="1:8">
      <c r="A381" s="34">
        <v>2084263746</v>
      </c>
      <c r="B381" s="35" t="s">
        <v>351</v>
      </c>
      <c r="C381" s="35" t="s">
        <v>352</v>
      </c>
      <c r="D381" s="35" t="s">
        <v>390</v>
      </c>
      <c r="E381" s="35" t="s">
        <v>10</v>
      </c>
      <c r="F381" s="35" t="s">
        <v>378</v>
      </c>
      <c r="G381" s="35" t="s">
        <v>393</v>
      </c>
    </row>
    <row r="382" spans="1:8">
      <c r="A382" s="34">
        <v>2084057028</v>
      </c>
      <c r="B382" s="35" t="s">
        <v>351</v>
      </c>
      <c r="C382" s="35" t="s">
        <v>352</v>
      </c>
      <c r="D382" s="35" t="s">
        <v>390</v>
      </c>
      <c r="E382" s="35" t="s">
        <v>10</v>
      </c>
      <c r="F382" s="35" t="s">
        <v>335</v>
      </c>
    </row>
    <row r="383" spans="1:8">
      <c r="A383" s="34">
        <v>2084203527</v>
      </c>
      <c r="B383" s="35" t="s">
        <v>351</v>
      </c>
      <c r="C383" s="35" t="s">
        <v>352</v>
      </c>
      <c r="D383" s="35" t="s">
        <v>390</v>
      </c>
      <c r="E383" s="35" t="s">
        <v>379</v>
      </c>
      <c r="F383" s="35" t="s">
        <v>380</v>
      </c>
      <c r="G383" s="35" t="s">
        <v>355</v>
      </c>
      <c r="H383" s="35" t="s">
        <v>357</v>
      </c>
    </row>
    <row r="384" spans="1:8">
      <c r="A384" s="34">
        <v>2084203526</v>
      </c>
      <c r="B384" s="35" t="s">
        <v>351</v>
      </c>
      <c r="C384" s="35" t="s">
        <v>352</v>
      </c>
      <c r="D384" s="35" t="s">
        <v>390</v>
      </c>
      <c r="E384" s="35" t="s">
        <v>379</v>
      </c>
      <c r="F384" s="35" t="s">
        <v>380</v>
      </c>
      <c r="G384" s="35" t="s">
        <v>355</v>
      </c>
      <c r="H384" s="35" t="s">
        <v>361</v>
      </c>
    </row>
    <row r="385" spans="1:8">
      <c r="A385" s="34">
        <v>2084203528</v>
      </c>
      <c r="B385" s="35" t="s">
        <v>351</v>
      </c>
      <c r="C385" s="35" t="s">
        <v>352</v>
      </c>
      <c r="D385" s="35" t="s">
        <v>390</v>
      </c>
      <c r="E385" s="35" t="s">
        <v>379</v>
      </c>
      <c r="F385" s="35" t="s">
        <v>380</v>
      </c>
      <c r="G385" s="35" t="s">
        <v>355</v>
      </c>
      <c r="H385" s="35" t="s">
        <v>362</v>
      </c>
    </row>
    <row r="386" spans="1:8">
      <c r="A386" s="34">
        <v>2084203529</v>
      </c>
      <c r="B386" s="35" t="s">
        <v>351</v>
      </c>
      <c r="C386" s="35" t="s">
        <v>352</v>
      </c>
      <c r="D386" s="35" t="s">
        <v>390</v>
      </c>
      <c r="E386" s="35" t="s">
        <v>379</v>
      </c>
      <c r="F386" s="35" t="s">
        <v>380</v>
      </c>
      <c r="G386" s="35" t="s">
        <v>355</v>
      </c>
      <c r="H386" s="35" t="s">
        <v>335</v>
      </c>
    </row>
    <row r="387" spans="1:8">
      <c r="A387" s="34">
        <v>2084203531</v>
      </c>
      <c r="B387" s="35" t="s">
        <v>351</v>
      </c>
      <c r="C387" s="35" t="s">
        <v>352</v>
      </c>
      <c r="D387" s="35" t="s">
        <v>390</v>
      </c>
      <c r="E387" s="35" t="s">
        <v>379</v>
      </c>
      <c r="F387" s="35" t="s">
        <v>380</v>
      </c>
      <c r="G387" s="35" t="s">
        <v>365</v>
      </c>
      <c r="H387" s="35" t="s">
        <v>357</v>
      </c>
    </row>
    <row r="388" spans="1:8">
      <c r="A388" s="34">
        <v>2084203530</v>
      </c>
      <c r="B388" s="35" t="s">
        <v>351</v>
      </c>
      <c r="C388" s="35" t="s">
        <v>352</v>
      </c>
      <c r="D388" s="35" t="s">
        <v>390</v>
      </c>
      <c r="E388" s="35" t="s">
        <v>379</v>
      </c>
      <c r="F388" s="35" t="s">
        <v>380</v>
      </c>
      <c r="G388" s="35" t="s">
        <v>365</v>
      </c>
      <c r="H388" s="35" t="s">
        <v>361</v>
      </c>
    </row>
    <row r="389" spans="1:8">
      <c r="A389" s="34">
        <v>2084203532</v>
      </c>
      <c r="B389" s="35" t="s">
        <v>351</v>
      </c>
      <c r="C389" s="35" t="s">
        <v>352</v>
      </c>
      <c r="D389" s="35" t="s">
        <v>390</v>
      </c>
      <c r="E389" s="35" t="s">
        <v>379</v>
      </c>
      <c r="F389" s="35" t="s">
        <v>380</v>
      </c>
      <c r="G389" s="35" t="s">
        <v>365</v>
      </c>
      <c r="H389" s="35" t="s">
        <v>362</v>
      </c>
    </row>
    <row r="390" spans="1:8">
      <c r="A390" s="34">
        <v>2084203533</v>
      </c>
      <c r="B390" s="35" t="s">
        <v>351</v>
      </c>
      <c r="C390" s="35" t="s">
        <v>352</v>
      </c>
      <c r="D390" s="35" t="s">
        <v>390</v>
      </c>
      <c r="E390" s="35" t="s">
        <v>379</v>
      </c>
      <c r="F390" s="35" t="s">
        <v>380</v>
      </c>
      <c r="G390" s="35" t="s">
        <v>365</v>
      </c>
      <c r="H390" s="35" t="s">
        <v>335</v>
      </c>
    </row>
    <row r="391" spans="1:8">
      <c r="A391" s="34">
        <v>2084057033</v>
      </c>
      <c r="B391" s="35" t="s">
        <v>351</v>
      </c>
      <c r="C391" s="35" t="s">
        <v>352</v>
      </c>
      <c r="D391" s="35" t="s">
        <v>390</v>
      </c>
      <c r="E391" s="35" t="s">
        <v>379</v>
      </c>
      <c r="F391" s="35" t="s">
        <v>380</v>
      </c>
      <c r="G391" s="35" t="s">
        <v>383</v>
      </c>
    </row>
    <row r="392" spans="1:8">
      <c r="A392" s="34">
        <v>2084057034</v>
      </c>
      <c r="B392" s="35" t="s">
        <v>351</v>
      </c>
      <c r="C392" s="35" t="s">
        <v>352</v>
      </c>
      <c r="D392" s="35" t="s">
        <v>390</v>
      </c>
      <c r="E392" s="35" t="s">
        <v>379</v>
      </c>
      <c r="F392" s="35" t="s">
        <v>380</v>
      </c>
      <c r="G392" s="35" t="s">
        <v>335</v>
      </c>
    </row>
    <row r="393" spans="1:8">
      <c r="A393" s="34">
        <v>2084057036</v>
      </c>
      <c r="B393" s="35" t="s">
        <v>351</v>
      </c>
      <c r="C393" s="35" t="s">
        <v>352</v>
      </c>
      <c r="D393" s="35" t="s">
        <v>390</v>
      </c>
      <c r="E393" s="35" t="s">
        <v>379</v>
      </c>
      <c r="F393" s="35" t="s">
        <v>381</v>
      </c>
      <c r="G393" s="35" t="s">
        <v>382</v>
      </c>
    </row>
    <row r="394" spans="1:8">
      <c r="A394" s="34">
        <v>2084057037</v>
      </c>
      <c r="B394" s="35" t="s">
        <v>351</v>
      </c>
      <c r="C394" s="35" t="s">
        <v>352</v>
      </c>
      <c r="D394" s="35" t="s">
        <v>390</v>
      </c>
      <c r="E394" s="35" t="s">
        <v>379</v>
      </c>
      <c r="F394" s="35" t="s">
        <v>381</v>
      </c>
      <c r="G394" s="35" t="s">
        <v>369</v>
      </c>
    </row>
    <row r="395" spans="1:8">
      <c r="A395" s="34">
        <v>2084057035</v>
      </c>
      <c r="B395" s="35" t="s">
        <v>351</v>
      </c>
      <c r="C395" s="35" t="s">
        <v>352</v>
      </c>
      <c r="D395" s="35" t="s">
        <v>390</v>
      </c>
      <c r="E395" s="35" t="s">
        <v>379</v>
      </c>
      <c r="F395" s="35" t="s">
        <v>381</v>
      </c>
      <c r="G395" s="35" t="s">
        <v>383</v>
      </c>
    </row>
    <row r="396" spans="1:8">
      <c r="A396" s="34">
        <v>2084057038</v>
      </c>
      <c r="B396" s="35" t="s">
        <v>351</v>
      </c>
      <c r="C396" s="35" t="s">
        <v>352</v>
      </c>
      <c r="D396" s="35" t="s">
        <v>390</v>
      </c>
      <c r="E396" s="35" t="s">
        <v>379</v>
      </c>
      <c r="F396" s="35" t="s">
        <v>381</v>
      </c>
      <c r="G396" s="35" t="s">
        <v>335</v>
      </c>
    </row>
    <row r="397" spans="1:8">
      <c r="A397" s="34">
        <v>2084246667</v>
      </c>
      <c r="B397" s="35" t="s">
        <v>351</v>
      </c>
      <c r="C397" s="35" t="s">
        <v>352</v>
      </c>
      <c r="D397" s="35" t="s">
        <v>390</v>
      </c>
      <c r="E397" s="35" t="s">
        <v>384</v>
      </c>
      <c r="F397" s="35" t="s">
        <v>385</v>
      </c>
    </row>
    <row r="398" spans="1:8">
      <c r="A398" s="34">
        <v>2084246688</v>
      </c>
      <c r="B398" s="35" t="s">
        <v>351</v>
      </c>
      <c r="C398" s="35" t="s">
        <v>352</v>
      </c>
      <c r="D398" s="35" t="s">
        <v>390</v>
      </c>
      <c r="E398" s="35" t="s">
        <v>384</v>
      </c>
      <c r="F398" s="35" t="s">
        <v>394</v>
      </c>
    </row>
    <row r="399" spans="1:8">
      <c r="A399" s="34">
        <v>2084246668</v>
      </c>
      <c r="B399" s="35" t="s">
        <v>351</v>
      </c>
      <c r="C399" s="35" t="s">
        <v>352</v>
      </c>
      <c r="D399" s="35" t="s">
        <v>390</v>
      </c>
      <c r="E399" s="35" t="s">
        <v>384</v>
      </c>
      <c r="F399" s="35" t="s">
        <v>386</v>
      </c>
    </row>
    <row r="400" spans="1:8">
      <c r="A400" s="34">
        <v>2084246689</v>
      </c>
      <c r="B400" s="35" t="s">
        <v>351</v>
      </c>
      <c r="C400" s="35" t="s">
        <v>352</v>
      </c>
      <c r="D400" s="35" t="s">
        <v>390</v>
      </c>
      <c r="E400" s="35" t="s">
        <v>384</v>
      </c>
      <c r="F400" s="35" t="s">
        <v>395</v>
      </c>
    </row>
    <row r="401" spans="1:6">
      <c r="A401" s="34">
        <v>2084246690</v>
      </c>
      <c r="B401" s="35" t="s">
        <v>351</v>
      </c>
      <c r="C401" s="35" t="s">
        <v>352</v>
      </c>
      <c r="D401" s="35" t="s">
        <v>390</v>
      </c>
      <c r="E401" s="35" t="s">
        <v>384</v>
      </c>
      <c r="F401" s="35" t="s">
        <v>387</v>
      </c>
    </row>
    <row r="402" spans="1:6">
      <c r="A402" s="34">
        <v>2084246669</v>
      </c>
      <c r="B402" s="35" t="s">
        <v>351</v>
      </c>
      <c r="C402" s="35" t="s">
        <v>352</v>
      </c>
      <c r="D402" s="35" t="s">
        <v>390</v>
      </c>
      <c r="E402" s="35" t="s">
        <v>384</v>
      </c>
      <c r="F402" s="35" t="s">
        <v>335</v>
      </c>
    </row>
    <row r="403" spans="1:6">
      <c r="A403" s="34">
        <v>2084006785</v>
      </c>
      <c r="B403" s="35" t="s">
        <v>351</v>
      </c>
      <c r="C403" s="35" t="s">
        <v>352</v>
      </c>
      <c r="D403" s="35" t="s">
        <v>390</v>
      </c>
      <c r="E403" s="35" t="s">
        <v>388</v>
      </c>
    </row>
    <row r="404" spans="1:6">
      <c r="A404" s="34">
        <v>2084006788</v>
      </c>
      <c r="B404" s="35" t="s">
        <v>351</v>
      </c>
      <c r="C404" s="35" t="s">
        <v>352</v>
      </c>
      <c r="D404" s="35" t="s">
        <v>390</v>
      </c>
      <c r="E404" s="35" t="s">
        <v>389</v>
      </c>
    </row>
    <row r="405" spans="1:6">
      <c r="A405" s="34">
        <v>2084006832</v>
      </c>
      <c r="B405" s="35" t="s">
        <v>351</v>
      </c>
      <c r="C405" s="35" t="s">
        <v>352</v>
      </c>
      <c r="D405" s="35" t="s">
        <v>390</v>
      </c>
      <c r="E405" s="35" t="s">
        <v>335</v>
      </c>
    </row>
    <row r="406" spans="1:6">
      <c r="A406" s="34">
        <v>2084057085</v>
      </c>
      <c r="B406" s="35" t="s">
        <v>351</v>
      </c>
      <c r="C406" s="35" t="s">
        <v>352</v>
      </c>
      <c r="D406" s="35" t="s">
        <v>396</v>
      </c>
      <c r="E406" s="35" t="s">
        <v>354</v>
      </c>
      <c r="F406" s="35" t="s">
        <v>382</v>
      </c>
    </row>
    <row r="407" spans="1:6">
      <c r="A407" s="34">
        <v>2084057086</v>
      </c>
      <c r="B407" s="35" t="s">
        <v>351</v>
      </c>
      <c r="C407" s="35" t="s">
        <v>352</v>
      </c>
      <c r="D407" s="35" t="s">
        <v>396</v>
      </c>
      <c r="E407" s="35" t="s">
        <v>354</v>
      </c>
      <c r="F407" s="35" t="s">
        <v>369</v>
      </c>
    </row>
    <row r="408" spans="1:6">
      <c r="A408" s="34">
        <v>2084057087</v>
      </c>
      <c r="B408" s="35" t="s">
        <v>351</v>
      </c>
      <c r="C408" s="35" t="s">
        <v>352</v>
      </c>
      <c r="D408" s="35" t="s">
        <v>396</v>
      </c>
      <c r="E408" s="35" t="s">
        <v>354</v>
      </c>
      <c r="F408" s="35" t="s">
        <v>383</v>
      </c>
    </row>
    <row r="409" spans="1:6">
      <c r="A409" s="34">
        <v>2084057088</v>
      </c>
      <c r="B409" s="35" t="s">
        <v>351</v>
      </c>
      <c r="C409" s="35" t="s">
        <v>352</v>
      </c>
      <c r="D409" s="35" t="s">
        <v>396</v>
      </c>
      <c r="E409" s="35" t="s">
        <v>354</v>
      </c>
      <c r="F409" s="35" t="s">
        <v>335</v>
      </c>
    </row>
    <row r="410" spans="1:6">
      <c r="A410" s="34">
        <v>2084057061</v>
      </c>
      <c r="B410" s="35" t="s">
        <v>351</v>
      </c>
      <c r="C410" s="35" t="s">
        <v>352</v>
      </c>
      <c r="D410" s="35" t="s">
        <v>396</v>
      </c>
      <c r="E410" s="35" t="s">
        <v>367</v>
      </c>
    </row>
    <row r="411" spans="1:6">
      <c r="A411" s="34">
        <v>2084057067</v>
      </c>
      <c r="B411" s="35" t="s">
        <v>351</v>
      </c>
      <c r="C411" s="35" t="s">
        <v>352</v>
      </c>
      <c r="D411" s="35" t="s">
        <v>396</v>
      </c>
      <c r="E411" s="35" t="s">
        <v>368</v>
      </c>
      <c r="F411" s="35" t="s">
        <v>382</v>
      </c>
    </row>
    <row r="412" spans="1:6">
      <c r="A412" s="34">
        <v>2084057068</v>
      </c>
      <c r="B412" s="35" t="s">
        <v>351</v>
      </c>
      <c r="C412" s="35" t="s">
        <v>352</v>
      </c>
      <c r="D412" s="35" t="s">
        <v>396</v>
      </c>
      <c r="E412" s="35" t="s">
        <v>368</v>
      </c>
      <c r="F412" s="35" t="s">
        <v>369</v>
      </c>
    </row>
    <row r="413" spans="1:6">
      <c r="A413" s="34">
        <v>2084057069</v>
      </c>
      <c r="B413" s="35" t="s">
        <v>351</v>
      </c>
      <c r="C413" s="35" t="s">
        <v>352</v>
      </c>
      <c r="D413" s="35" t="s">
        <v>396</v>
      </c>
      <c r="E413" s="35" t="s">
        <v>368</v>
      </c>
      <c r="F413" s="35" t="s">
        <v>383</v>
      </c>
    </row>
    <row r="414" spans="1:6">
      <c r="A414" s="34">
        <v>2084057070</v>
      </c>
      <c r="B414" s="35" t="s">
        <v>351</v>
      </c>
      <c r="C414" s="35" t="s">
        <v>352</v>
      </c>
      <c r="D414" s="35" t="s">
        <v>396</v>
      </c>
      <c r="E414" s="35" t="s">
        <v>368</v>
      </c>
      <c r="F414" s="35" t="s">
        <v>335</v>
      </c>
    </row>
    <row r="415" spans="1:6">
      <c r="A415" s="34">
        <v>2084057073</v>
      </c>
      <c r="B415" s="35" t="s">
        <v>351</v>
      </c>
      <c r="C415" s="35" t="s">
        <v>352</v>
      </c>
      <c r="D415" s="35" t="s">
        <v>396</v>
      </c>
      <c r="E415" s="35" t="s">
        <v>10</v>
      </c>
      <c r="F415" s="35" t="s">
        <v>372</v>
      </c>
    </row>
    <row r="416" spans="1:6">
      <c r="A416" s="34">
        <v>2084057072</v>
      </c>
      <c r="B416" s="35" t="s">
        <v>351</v>
      </c>
      <c r="C416" s="35" t="s">
        <v>352</v>
      </c>
      <c r="D416" s="35" t="s">
        <v>396</v>
      </c>
      <c r="E416" s="35" t="s">
        <v>10</v>
      </c>
      <c r="F416" s="35" t="s">
        <v>397</v>
      </c>
    </row>
    <row r="417" spans="1:7">
      <c r="A417" s="34">
        <v>2084057071</v>
      </c>
      <c r="B417" s="35" t="s">
        <v>351</v>
      </c>
      <c r="C417" s="35" t="s">
        <v>352</v>
      </c>
      <c r="D417" s="35" t="s">
        <v>396</v>
      </c>
      <c r="E417" s="35" t="s">
        <v>10</v>
      </c>
      <c r="F417" s="35" t="s">
        <v>398</v>
      </c>
    </row>
    <row r="418" spans="1:7">
      <c r="A418" s="34">
        <v>2084057074</v>
      </c>
      <c r="B418" s="35" t="s">
        <v>351</v>
      </c>
      <c r="C418" s="35" t="s">
        <v>352</v>
      </c>
      <c r="D418" s="35" t="s">
        <v>396</v>
      </c>
      <c r="E418" s="35" t="s">
        <v>10</v>
      </c>
      <c r="F418" s="35" t="s">
        <v>335</v>
      </c>
    </row>
    <row r="419" spans="1:7">
      <c r="A419" s="34">
        <v>2084057077</v>
      </c>
      <c r="B419" s="35" t="s">
        <v>351</v>
      </c>
      <c r="C419" s="35" t="s">
        <v>352</v>
      </c>
      <c r="D419" s="35" t="s">
        <v>396</v>
      </c>
      <c r="E419" s="35" t="s">
        <v>379</v>
      </c>
      <c r="F419" s="35" t="s">
        <v>381</v>
      </c>
      <c r="G419" s="35" t="s">
        <v>382</v>
      </c>
    </row>
    <row r="420" spans="1:7">
      <c r="A420" s="34">
        <v>2084057078</v>
      </c>
      <c r="B420" s="35" t="s">
        <v>351</v>
      </c>
      <c r="C420" s="35" t="s">
        <v>352</v>
      </c>
      <c r="D420" s="35" t="s">
        <v>396</v>
      </c>
      <c r="E420" s="35" t="s">
        <v>379</v>
      </c>
      <c r="F420" s="35" t="s">
        <v>381</v>
      </c>
      <c r="G420" s="35" t="s">
        <v>369</v>
      </c>
    </row>
    <row r="421" spans="1:7">
      <c r="A421" s="34">
        <v>2084057079</v>
      </c>
      <c r="B421" s="35" t="s">
        <v>351</v>
      </c>
      <c r="C421" s="35" t="s">
        <v>352</v>
      </c>
      <c r="D421" s="35" t="s">
        <v>396</v>
      </c>
      <c r="E421" s="35" t="s">
        <v>379</v>
      </c>
      <c r="F421" s="35" t="s">
        <v>381</v>
      </c>
      <c r="G421" s="35" t="s">
        <v>383</v>
      </c>
    </row>
    <row r="422" spans="1:7">
      <c r="A422" s="34">
        <v>2084057080</v>
      </c>
      <c r="B422" s="35" t="s">
        <v>351</v>
      </c>
      <c r="C422" s="35" t="s">
        <v>352</v>
      </c>
      <c r="D422" s="35" t="s">
        <v>396</v>
      </c>
      <c r="E422" s="35" t="s">
        <v>379</v>
      </c>
      <c r="F422" s="35" t="s">
        <v>381</v>
      </c>
      <c r="G422" s="35" t="s">
        <v>335</v>
      </c>
    </row>
    <row r="423" spans="1:7">
      <c r="A423" s="34">
        <v>2084057081</v>
      </c>
      <c r="B423" s="35" t="s">
        <v>351</v>
      </c>
      <c r="C423" s="35" t="s">
        <v>352</v>
      </c>
      <c r="D423" s="35" t="s">
        <v>396</v>
      </c>
      <c r="E423" s="35" t="s">
        <v>379</v>
      </c>
      <c r="F423" s="35" t="s">
        <v>380</v>
      </c>
      <c r="G423" s="35" t="s">
        <v>382</v>
      </c>
    </row>
    <row r="424" spans="1:7">
      <c r="A424" s="34">
        <v>2084057082</v>
      </c>
      <c r="B424" s="35" t="s">
        <v>351</v>
      </c>
      <c r="C424" s="35" t="s">
        <v>352</v>
      </c>
      <c r="D424" s="35" t="s">
        <v>396</v>
      </c>
      <c r="E424" s="35" t="s">
        <v>379</v>
      </c>
      <c r="F424" s="35" t="s">
        <v>380</v>
      </c>
      <c r="G424" s="35" t="s">
        <v>369</v>
      </c>
    </row>
    <row r="425" spans="1:7">
      <c r="A425" s="34">
        <v>2084057083</v>
      </c>
      <c r="B425" s="35" t="s">
        <v>351</v>
      </c>
      <c r="C425" s="35" t="s">
        <v>352</v>
      </c>
      <c r="D425" s="35" t="s">
        <v>396</v>
      </c>
      <c r="E425" s="35" t="s">
        <v>379</v>
      </c>
      <c r="F425" s="35" t="s">
        <v>380</v>
      </c>
      <c r="G425" s="35" t="s">
        <v>383</v>
      </c>
    </row>
    <row r="426" spans="1:7">
      <c r="A426" s="34">
        <v>2084057084</v>
      </c>
      <c r="B426" s="35" t="s">
        <v>351</v>
      </c>
      <c r="C426" s="35" t="s">
        <v>352</v>
      </c>
      <c r="D426" s="35" t="s">
        <v>396</v>
      </c>
      <c r="E426" s="35" t="s">
        <v>379</v>
      </c>
      <c r="F426" s="35" t="s">
        <v>380</v>
      </c>
      <c r="G426" s="35" t="s">
        <v>335</v>
      </c>
    </row>
    <row r="427" spans="1:7">
      <c r="A427" s="34">
        <v>2084057066</v>
      </c>
      <c r="B427" s="35" t="s">
        <v>351</v>
      </c>
      <c r="C427" s="35" t="s">
        <v>352</v>
      </c>
      <c r="D427" s="35" t="s">
        <v>396</v>
      </c>
      <c r="E427" s="35" t="s">
        <v>335</v>
      </c>
    </row>
    <row r="428" spans="1:7">
      <c r="A428" s="34">
        <v>2084263747</v>
      </c>
      <c r="B428" s="35" t="s">
        <v>351</v>
      </c>
      <c r="C428" s="35" t="s">
        <v>352</v>
      </c>
      <c r="D428" s="35" t="s">
        <v>399</v>
      </c>
      <c r="E428" s="35" t="s">
        <v>400</v>
      </c>
    </row>
    <row r="429" spans="1:7">
      <c r="A429" s="34">
        <v>2084263748</v>
      </c>
      <c r="B429" s="35" t="s">
        <v>351</v>
      </c>
      <c r="C429" s="35" t="s">
        <v>352</v>
      </c>
      <c r="D429" s="35" t="s">
        <v>399</v>
      </c>
      <c r="E429" s="35" t="s">
        <v>367</v>
      </c>
    </row>
    <row r="430" spans="1:7">
      <c r="A430" s="34">
        <v>2084263749</v>
      </c>
      <c r="B430" s="35" t="s">
        <v>351</v>
      </c>
      <c r="C430" s="35" t="s">
        <v>352</v>
      </c>
      <c r="D430" s="35" t="s">
        <v>399</v>
      </c>
      <c r="E430" s="35" t="s">
        <v>401</v>
      </c>
    </row>
    <row r="431" spans="1:7">
      <c r="A431" s="34">
        <v>2084263752</v>
      </c>
      <c r="B431" s="35" t="s">
        <v>351</v>
      </c>
      <c r="C431" s="35" t="s">
        <v>352</v>
      </c>
      <c r="D431" s="35" t="s">
        <v>399</v>
      </c>
      <c r="E431" s="35" t="s">
        <v>402</v>
      </c>
    </row>
    <row r="432" spans="1:7">
      <c r="A432" s="34">
        <v>2084263750</v>
      </c>
      <c r="B432" s="35" t="s">
        <v>351</v>
      </c>
      <c r="C432" s="35" t="s">
        <v>352</v>
      </c>
      <c r="D432" s="35" t="s">
        <v>399</v>
      </c>
      <c r="E432" s="35" t="s">
        <v>403</v>
      </c>
    </row>
    <row r="433" spans="1:7">
      <c r="A433" s="34">
        <v>2084263751</v>
      </c>
      <c r="B433" s="35" t="s">
        <v>351</v>
      </c>
      <c r="C433" s="35" t="s">
        <v>352</v>
      </c>
      <c r="D433" s="35" t="s">
        <v>399</v>
      </c>
      <c r="E433" s="35" t="s">
        <v>335</v>
      </c>
    </row>
    <row r="434" spans="1:7">
      <c r="A434" s="34">
        <v>2084263644</v>
      </c>
      <c r="B434" s="35" t="s">
        <v>351</v>
      </c>
      <c r="C434" s="35" t="s">
        <v>404</v>
      </c>
      <c r="D434" s="35" t="s">
        <v>405</v>
      </c>
      <c r="E434" s="35" t="s">
        <v>406</v>
      </c>
      <c r="F434" s="35" t="s">
        <v>407</v>
      </c>
    </row>
    <row r="435" spans="1:7">
      <c r="A435" s="34">
        <v>2084263643</v>
      </c>
      <c r="B435" s="35" t="s">
        <v>351</v>
      </c>
      <c r="C435" s="35" t="s">
        <v>404</v>
      </c>
      <c r="D435" s="35" t="s">
        <v>405</v>
      </c>
      <c r="E435" s="35" t="s">
        <v>406</v>
      </c>
      <c r="F435" s="35" t="s">
        <v>408</v>
      </c>
    </row>
    <row r="436" spans="1:7">
      <c r="A436" s="34">
        <v>2084226700</v>
      </c>
      <c r="B436" s="35" t="s">
        <v>351</v>
      </c>
      <c r="C436" s="35" t="s">
        <v>404</v>
      </c>
      <c r="D436" s="35" t="s">
        <v>405</v>
      </c>
      <c r="E436" s="35" t="s">
        <v>409</v>
      </c>
      <c r="F436" s="35" t="s">
        <v>408</v>
      </c>
    </row>
    <row r="437" spans="1:7">
      <c r="A437" s="34">
        <v>2084226701</v>
      </c>
      <c r="B437" s="35" t="s">
        <v>351</v>
      </c>
      <c r="C437" s="35" t="s">
        <v>404</v>
      </c>
      <c r="D437" s="35" t="s">
        <v>405</v>
      </c>
      <c r="E437" s="35" t="s">
        <v>409</v>
      </c>
      <c r="F437" s="35" t="s">
        <v>407</v>
      </c>
    </row>
    <row r="438" spans="1:7">
      <c r="A438" s="34">
        <v>2084226702</v>
      </c>
      <c r="B438" s="35" t="s">
        <v>351</v>
      </c>
      <c r="C438" s="35" t="s">
        <v>404</v>
      </c>
      <c r="D438" s="35" t="s">
        <v>405</v>
      </c>
      <c r="E438" s="35" t="s">
        <v>409</v>
      </c>
      <c r="F438" s="35" t="s">
        <v>335</v>
      </c>
    </row>
    <row r="439" spans="1:7">
      <c r="A439" s="34">
        <v>2084285404</v>
      </c>
      <c r="B439" s="35" t="s">
        <v>351</v>
      </c>
      <c r="C439" s="35" t="s">
        <v>404</v>
      </c>
      <c r="D439" s="35" t="s">
        <v>405</v>
      </c>
      <c r="E439" s="35" t="s">
        <v>410</v>
      </c>
      <c r="F439" s="35" t="s">
        <v>407</v>
      </c>
    </row>
    <row r="440" spans="1:7">
      <c r="A440" s="34">
        <v>2084300026</v>
      </c>
      <c r="B440" s="35" t="s">
        <v>351</v>
      </c>
      <c r="C440" s="35" t="s">
        <v>404</v>
      </c>
      <c r="D440" s="35" t="s">
        <v>405</v>
      </c>
      <c r="E440" s="35" t="s">
        <v>410</v>
      </c>
      <c r="F440" s="35" t="s">
        <v>353</v>
      </c>
      <c r="G440" s="35" t="s">
        <v>374</v>
      </c>
    </row>
    <row r="441" spans="1:7">
      <c r="A441" s="34">
        <v>2084300027</v>
      </c>
      <c r="B441" s="35" t="s">
        <v>351</v>
      </c>
      <c r="C441" s="35" t="s">
        <v>404</v>
      </c>
      <c r="D441" s="35" t="s">
        <v>405</v>
      </c>
      <c r="E441" s="35" t="s">
        <v>410</v>
      </c>
      <c r="F441" s="35" t="s">
        <v>353</v>
      </c>
      <c r="G441" s="35" t="s">
        <v>375</v>
      </c>
    </row>
    <row r="442" spans="1:7">
      <c r="A442" s="34">
        <v>2084300028</v>
      </c>
      <c r="B442" s="35" t="s">
        <v>351</v>
      </c>
      <c r="C442" s="35" t="s">
        <v>404</v>
      </c>
      <c r="D442" s="35" t="s">
        <v>405</v>
      </c>
      <c r="E442" s="35" t="s">
        <v>410</v>
      </c>
      <c r="F442" s="35" t="s">
        <v>353</v>
      </c>
      <c r="G442" s="35" t="s">
        <v>376</v>
      </c>
    </row>
    <row r="443" spans="1:7">
      <c r="A443" s="34">
        <v>2084300029</v>
      </c>
      <c r="B443" s="35" t="s">
        <v>351</v>
      </c>
      <c r="C443" s="35" t="s">
        <v>404</v>
      </c>
      <c r="D443" s="35" t="s">
        <v>405</v>
      </c>
      <c r="E443" s="35" t="s">
        <v>410</v>
      </c>
      <c r="F443" s="35" t="s">
        <v>353</v>
      </c>
      <c r="G443" s="35" t="s">
        <v>377</v>
      </c>
    </row>
    <row r="444" spans="1:7">
      <c r="A444" s="34">
        <v>2084203608</v>
      </c>
      <c r="B444" s="35" t="s">
        <v>351</v>
      </c>
      <c r="C444" s="35" t="s">
        <v>404</v>
      </c>
      <c r="D444" s="35" t="s">
        <v>405</v>
      </c>
      <c r="E444" s="35" t="s">
        <v>410</v>
      </c>
      <c r="F444" s="35" t="s">
        <v>335</v>
      </c>
    </row>
    <row r="445" spans="1:7">
      <c r="A445" s="34">
        <v>2084226776</v>
      </c>
      <c r="B445" s="35" t="s">
        <v>351</v>
      </c>
      <c r="C445" s="35" t="s">
        <v>404</v>
      </c>
      <c r="D445" s="35" t="s">
        <v>405</v>
      </c>
      <c r="E445" s="35" t="s">
        <v>411</v>
      </c>
      <c r="F445" s="35" t="s">
        <v>408</v>
      </c>
    </row>
    <row r="446" spans="1:7">
      <c r="A446" s="34">
        <v>2084226777</v>
      </c>
      <c r="B446" s="35" t="s">
        <v>351</v>
      </c>
      <c r="C446" s="35" t="s">
        <v>404</v>
      </c>
      <c r="D446" s="35" t="s">
        <v>405</v>
      </c>
      <c r="E446" s="35" t="s">
        <v>411</v>
      </c>
      <c r="F446" s="35" t="s">
        <v>407</v>
      </c>
    </row>
    <row r="447" spans="1:7">
      <c r="A447" s="34">
        <v>2084226778</v>
      </c>
      <c r="B447" s="35" t="s">
        <v>351</v>
      </c>
      <c r="C447" s="35" t="s">
        <v>404</v>
      </c>
      <c r="D447" s="35" t="s">
        <v>405</v>
      </c>
      <c r="E447" s="35" t="s">
        <v>411</v>
      </c>
      <c r="F447" s="35" t="s">
        <v>335</v>
      </c>
    </row>
    <row r="448" spans="1:7">
      <c r="A448" s="34">
        <v>2084230664</v>
      </c>
      <c r="B448" s="35" t="s">
        <v>351</v>
      </c>
      <c r="C448" s="35" t="s">
        <v>404</v>
      </c>
      <c r="D448" s="35" t="s">
        <v>405</v>
      </c>
      <c r="E448" s="35" t="s">
        <v>412</v>
      </c>
      <c r="F448" s="35" t="s">
        <v>407</v>
      </c>
    </row>
    <row r="449" spans="1:9">
      <c r="A449" s="34">
        <v>2084230663</v>
      </c>
      <c r="B449" s="35" t="s">
        <v>351</v>
      </c>
      <c r="C449" s="35" t="s">
        <v>404</v>
      </c>
      <c r="D449" s="35" t="s">
        <v>405</v>
      </c>
      <c r="E449" s="35" t="s">
        <v>412</v>
      </c>
      <c r="F449" s="35" t="s">
        <v>408</v>
      </c>
    </row>
    <row r="450" spans="1:9">
      <c r="A450" s="34">
        <v>2084230665</v>
      </c>
      <c r="B450" s="35" t="s">
        <v>351</v>
      </c>
      <c r="C450" s="35" t="s">
        <v>404</v>
      </c>
      <c r="D450" s="35" t="s">
        <v>405</v>
      </c>
      <c r="E450" s="35" t="s">
        <v>412</v>
      </c>
      <c r="F450" s="35" t="s">
        <v>335</v>
      </c>
    </row>
    <row r="451" spans="1:9">
      <c r="A451" s="34">
        <v>2084203610</v>
      </c>
      <c r="B451" s="35" t="s">
        <v>351</v>
      </c>
      <c r="C451" s="35" t="s">
        <v>404</v>
      </c>
      <c r="D451" s="35" t="s">
        <v>405</v>
      </c>
      <c r="E451" s="35" t="s">
        <v>413</v>
      </c>
      <c r="F451" s="35" t="s">
        <v>408</v>
      </c>
    </row>
    <row r="452" spans="1:9">
      <c r="A452" s="34">
        <v>2084203611</v>
      </c>
      <c r="B452" s="35" t="s">
        <v>351</v>
      </c>
      <c r="C452" s="35" t="s">
        <v>404</v>
      </c>
      <c r="D452" s="35" t="s">
        <v>405</v>
      </c>
      <c r="E452" s="35" t="s">
        <v>413</v>
      </c>
      <c r="F452" s="35" t="s">
        <v>335</v>
      </c>
    </row>
    <row r="453" spans="1:9">
      <c r="A453" s="34">
        <v>2084229213</v>
      </c>
      <c r="B453" s="35" t="s">
        <v>351</v>
      </c>
      <c r="C453" s="35" t="s">
        <v>404</v>
      </c>
      <c r="D453" s="35" t="s">
        <v>405</v>
      </c>
      <c r="E453" s="35" t="s">
        <v>414</v>
      </c>
    </row>
    <row r="454" spans="1:9">
      <c r="A454" s="34">
        <v>2084226704</v>
      </c>
      <c r="B454" s="35" t="s">
        <v>351</v>
      </c>
      <c r="C454" s="35" t="s">
        <v>404</v>
      </c>
      <c r="D454" s="35" t="s">
        <v>405</v>
      </c>
      <c r="E454" s="35" t="s">
        <v>415</v>
      </c>
      <c r="F454" s="35" t="s">
        <v>408</v>
      </c>
    </row>
    <row r="455" spans="1:9">
      <c r="A455" s="34">
        <v>2084226706</v>
      </c>
      <c r="B455" s="35" t="s">
        <v>351</v>
      </c>
      <c r="C455" s="35" t="s">
        <v>404</v>
      </c>
      <c r="D455" s="35" t="s">
        <v>405</v>
      </c>
      <c r="E455" s="35" t="s">
        <v>415</v>
      </c>
      <c r="F455" s="35" t="s">
        <v>407</v>
      </c>
    </row>
    <row r="456" spans="1:9">
      <c r="A456" s="34">
        <v>2084226705</v>
      </c>
      <c r="B456" s="35" t="s">
        <v>351</v>
      </c>
      <c r="C456" s="35" t="s">
        <v>404</v>
      </c>
      <c r="D456" s="35" t="s">
        <v>405</v>
      </c>
      <c r="E456" s="35" t="s">
        <v>415</v>
      </c>
      <c r="F456" s="35" t="s">
        <v>335</v>
      </c>
    </row>
    <row r="457" spans="1:9">
      <c r="A457" s="34">
        <v>2084057331</v>
      </c>
      <c r="B457" s="35" t="s">
        <v>351</v>
      </c>
      <c r="C457" s="35" t="s">
        <v>404</v>
      </c>
      <c r="D457" s="35" t="s">
        <v>405</v>
      </c>
      <c r="E457" s="35" t="s">
        <v>416</v>
      </c>
      <c r="F457" s="35" t="s">
        <v>353</v>
      </c>
      <c r="G457" s="35" t="s">
        <v>368</v>
      </c>
      <c r="H457" s="35" t="s">
        <v>335</v>
      </c>
    </row>
    <row r="458" spans="1:9">
      <c r="A458" s="34">
        <v>2084300010</v>
      </c>
      <c r="B458" s="35" t="s">
        <v>351</v>
      </c>
      <c r="C458" s="35" t="s">
        <v>404</v>
      </c>
      <c r="D458" s="35" t="s">
        <v>405</v>
      </c>
      <c r="E458" s="35" t="s">
        <v>416</v>
      </c>
      <c r="F458" s="35" t="s">
        <v>353</v>
      </c>
      <c r="G458" s="35" t="s">
        <v>368</v>
      </c>
      <c r="H458" s="35" t="s">
        <v>417</v>
      </c>
      <c r="I458" s="35" t="s">
        <v>374</v>
      </c>
    </row>
    <row r="459" spans="1:9">
      <c r="A459" s="34">
        <v>2084300011</v>
      </c>
      <c r="B459" s="35" t="s">
        <v>351</v>
      </c>
      <c r="C459" s="35" t="s">
        <v>404</v>
      </c>
      <c r="D459" s="35" t="s">
        <v>405</v>
      </c>
      <c r="E459" s="35" t="s">
        <v>416</v>
      </c>
      <c r="F459" s="35" t="s">
        <v>353</v>
      </c>
      <c r="G459" s="35" t="s">
        <v>368</v>
      </c>
      <c r="H459" s="35" t="s">
        <v>417</v>
      </c>
      <c r="I459" s="35" t="s">
        <v>375</v>
      </c>
    </row>
    <row r="460" spans="1:9">
      <c r="A460" s="34">
        <v>2084300012</v>
      </c>
      <c r="B460" s="35" t="s">
        <v>351</v>
      </c>
      <c r="C460" s="35" t="s">
        <v>404</v>
      </c>
      <c r="D460" s="35" t="s">
        <v>405</v>
      </c>
      <c r="E460" s="35" t="s">
        <v>416</v>
      </c>
      <c r="F460" s="35" t="s">
        <v>353</v>
      </c>
      <c r="G460" s="35" t="s">
        <v>368</v>
      </c>
      <c r="H460" s="35" t="s">
        <v>417</v>
      </c>
      <c r="I460" s="35" t="s">
        <v>376</v>
      </c>
    </row>
    <row r="461" spans="1:9">
      <c r="A461" s="34">
        <v>2084300013</v>
      </c>
      <c r="B461" s="35" t="s">
        <v>351</v>
      </c>
      <c r="C461" s="35" t="s">
        <v>404</v>
      </c>
      <c r="D461" s="35" t="s">
        <v>405</v>
      </c>
      <c r="E461" s="35" t="s">
        <v>416</v>
      </c>
      <c r="F461" s="35" t="s">
        <v>353</v>
      </c>
      <c r="G461" s="35" t="s">
        <v>368</v>
      </c>
      <c r="H461" s="35" t="s">
        <v>417</v>
      </c>
      <c r="I461" s="35" t="s">
        <v>377</v>
      </c>
    </row>
    <row r="462" spans="1:9">
      <c r="A462" s="34">
        <v>2084300014</v>
      </c>
      <c r="B462" s="35" t="s">
        <v>351</v>
      </c>
      <c r="C462" s="35" t="s">
        <v>404</v>
      </c>
      <c r="D462" s="35" t="s">
        <v>405</v>
      </c>
      <c r="E462" s="35" t="s">
        <v>416</v>
      </c>
      <c r="F462" s="35" t="s">
        <v>353</v>
      </c>
      <c r="G462" s="35" t="s">
        <v>368</v>
      </c>
      <c r="H462" s="35" t="s">
        <v>366</v>
      </c>
      <c r="I462" s="35" t="s">
        <v>418</v>
      </c>
    </row>
    <row r="463" spans="1:9">
      <c r="A463" s="34">
        <v>2084300015</v>
      </c>
      <c r="B463" s="35" t="s">
        <v>351</v>
      </c>
      <c r="C463" s="35" t="s">
        <v>404</v>
      </c>
      <c r="D463" s="35" t="s">
        <v>405</v>
      </c>
      <c r="E463" s="35" t="s">
        <v>416</v>
      </c>
      <c r="F463" s="35" t="s">
        <v>353</v>
      </c>
      <c r="G463" s="35" t="s">
        <v>368</v>
      </c>
      <c r="H463" s="35" t="s">
        <v>366</v>
      </c>
      <c r="I463" s="35" t="s">
        <v>375</v>
      </c>
    </row>
    <row r="464" spans="1:9">
      <c r="A464" s="34">
        <v>2084300016</v>
      </c>
      <c r="B464" s="35" t="s">
        <v>351</v>
      </c>
      <c r="C464" s="35" t="s">
        <v>404</v>
      </c>
      <c r="D464" s="35" t="s">
        <v>405</v>
      </c>
      <c r="E464" s="35" t="s">
        <v>416</v>
      </c>
      <c r="F464" s="35" t="s">
        <v>353</v>
      </c>
      <c r="G464" s="35" t="s">
        <v>368</v>
      </c>
      <c r="H464" s="35" t="s">
        <v>366</v>
      </c>
      <c r="I464" s="35" t="s">
        <v>376</v>
      </c>
    </row>
    <row r="465" spans="1:9">
      <c r="A465" s="34">
        <v>2084300017</v>
      </c>
      <c r="B465" s="35" t="s">
        <v>351</v>
      </c>
      <c r="C465" s="35" t="s">
        <v>404</v>
      </c>
      <c r="D465" s="35" t="s">
        <v>405</v>
      </c>
      <c r="E465" s="35" t="s">
        <v>416</v>
      </c>
      <c r="F465" s="35" t="s">
        <v>353</v>
      </c>
      <c r="G465" s="35" t="s">
        <v>368</v>
      </c>
      <c r="H465" s="35" t="s">
        <v>366</v>
      </c>
      <c r="I465" s="35" t="s">
        <v>377</v>
      </c>
    </row>
    <row r="466" spans="1:9">
      <c r="A466" s="34">
        <v>2084057330</v>
      </c>
      <c r="B466" s="35" t="s">
        <v>351</v>
      </c>
      <c r="C466" s="35" t="s">
        <v>404</v>
      </c>
      <c r="D466" s="35" t="s">
        <v>405</v>
      </c>
      <c r="E466" s="35" t="s">
        <v>416</v>
      </c>
      <c r="F466" s="35" t="s">
        <v>353</v>
      </c>
      <c r="G466" s="35" t="s">
        <v>368</v>
      </c>
      <c r="H466" s="35" t="s">
        <v>419</v>
      </c>
    </row>
    <row r="467" spans="1:9">
      <c r="A467" s="34">
        <v>2084057332</v>
      </c>
      <c r="B467" s="35" t="s">
        <v>351</v>
      </c>
      <c r="C467" s="35" t="s">
        <v>404</v>
      </c>
      <c r="D467" s="35" t="s">
        <v>405</v>
      </c>
      <c r="E467" s="35" t="s">
        <v>416</v>
      </c>
      <c r="F467" s="35" t="s">
        <v>353</v>
      </c>
      <c r="G467" s="35" t="s">
        <v>420</v>
      </c>
    </row>
    <row r="468" spans="1:9">
      <c r="A468" s="34">
        <v>2084057335</v>
      </c>
      <c r="B468" s="35" t="s">
        <v>351</v>
      </c>
      <c r="C468" s="35" t="s">
        <v>404</v>
      </c>
      <c r="D468" s="35" t="s">
        <v>405</v>
      </c>
      <c r="E468" s="35" t="s">
        <v>416</v>
      </c>
      <c r="F468" s="35" t="s">
        <v>353</v>
      </c>
      <c r="G468" s="35" t="s">
        <v>10</v>
      </c>
      <c r="H468" s="35" t="s">
        <v>397</v>
      </c>
    </row>
    <row r="469" spans="1:9">
      <c r="A469" s="34">
        <v>2084057334</v>
      </c>
      <c r="B469" s="35" t="s">
        <v>351</v>
      </c>
      <c r="C469" s="35" t="s">
        <v>404</v>
      </c>
      <c r="D469" s="35" t="s">
        <v>405</v>
      </c>
      <c r="E469" s="35" t="s">
        <v>416</v>
      </c>
      <c r="F469" s="35" t="s">
        <v>353</v>
      </c>
      <c r="G469" s="35" t="s">
        <v>10</v>
      </c>
      <c r="H469" s="35" t="s">
        <v>421</v>
      </c>
    </row>
    <row r="470" spans="1:9">
      <c r="A470" s="34">
        <v>2084057336</v>
      </c>
      <c r="B470" s="35" t="s">
        <v>351</v>
      </c>
      <c r="C470" s="35" t="s">
        <v>404</v>
      </c>
      <c r="D470" s="35" t="s">
        <v>405</v>
      </c>
      <c r="E470" s="35" t="s">
        <v>416</v>
      </c>
      <c r="F470" s="35" t="s">
        <v>353</v>
      </c>
      <c r="G470" s="35" t="s">
        <v>10</v>
      </c>
      <c r="H470" s="35" t="s">
        <v>398</v>
      </c>
    </row>
    <row r="471" spans="1:9">
      <c r="A471" s="34">
        <v>2084057337</v>
      </c>
      <c r="B471" s="35" t="s">
        <v>351</v>
      </c>
      <c r="C471" s="35" t="s">
        <v>404</v>
      </c>
      <c r="D471" s="35" t="s">
        <v>405</v>
      </c>
      <c r="E471" s="35" t="s">
        <v>416</v>
      </c>
      <c r="F471" s="35" t="s">
        <v>353</v>
      </c>
      <c r="G471" s="35" t="s">
        <v>10</v>
      </c>
      <c r="H471" s="35" t="s">
        <v>422</v>
      </c>
    </row>
    <row r="472" spans="1:9">
      <c r="A472" s="34">
        <v>2084057338</v>
      </c>
      <c r="B472" s="35" t="s">
        <v>351</v>
      </c>
      <c r="C472" s="35" t="s">
        <v>404</v>
      </c>
      <c r="D472" s="35" t="s">
        <v>405</v>
      </c>
      <c r="E472" s="35" t="s">
        <v>416</v>
      </c>
      <c r="F472" s="35" t="s">
        <v>353</v>
      </c>
      <c r="G472" s="35" t="s">
        <v>10</v>
      </c>
      <c r="H472" s="35" t="s">
        <v>335</v>
      </c>
    </row>
    <row r="473" spans="1:9">
      <c r="A473" s="34">
        <v>2084057340</v>
      </c>
      <c r="B473" s="35" t="s">
        <v>351</v>
      </c>
      <c r="C473" s="35" t="s">
        <v>404</v>
      </c>
      <c r="D473" s="35" t="s">
        <v>405</v>
      </c>
      <c r="E473" s="35" t="s">
        <v>416</v>
      </c>
      <c r="F473" s="35" t="s">
        <v>353</v>
      </c>
      <c r="G473" s="35" t="s">
        <v>379</v>
      </c>
      <c r="H473" s="35" t="s">
        <v>423</v>
      </c>
    </row>
    <row r="474" spans="1:9">
      <c r="A474" s="34">
        <v>2084057341</v>
      </c>
      <c r="B474" s="35" t="s">
        <v>351</v>
      </c>
      <c r="C474" s="35" t="s">
        <v>404</v>
      </c>
      <c r="D474" s="35" t="s">
        <v>405</v>
      </c>
      <c r="E474" s="35" t="s">
        <v>416</v>
      </c>
      <c r="F474" s="35" t="s">
        <v>353</v>
      </c>
      <c r="G474" s="35" t="s">
        <v>379</v>
      </c>
      <c r="H474" s="35" t="s">
        <v>424</v>
      </c>
    </row>
    <row r="475" spans="1:9">
      <c r="A475" s="34">
        <v>2084057342</v>
      </c>
      <c r="B475" s="35" t="s">
        <v>351</v>
      </c>
      <c r="C475" s="35" t="s">
        <v>404</v>
      </c>
      <c r="D475" s="35" t="s">
        <v>405</v>
      </c>
      <c r="E475" s="35" t="s">
        <v>416</v>
      </c>
      <c r="F475" s="35" t="s">
        <v>353</v>
      </c>
      <c r="G475" s="35" t="s">
        <v>335</v>
      </c>
    </row>
    <row r="476" spans="1:9">
      <c r="A476" s="34">
        <v>2084057326</v>
      </c>
      <c r="B476" s="35" t="s">
        <v>351</v>
      </c>
      <c r="C476" s="35" t="s">
        <v>404</v>
      </c>
      <c r="D476" s="35" t="s">
        <v>405</v>
      </c>
      <c r="E476" s="35" t="s">
        <v>416</v>
      </c>
      <c r="F476" s="35" t="s">
        <v>407</v>
      </c>
    </row>
    <row r="477" spans="1:9">
      <c r="A477" s="34">
        <v>2084057344</v>
      </c>
      <c r="B477" s="35" t="s">
        <v>351</v>
      </c>
      <c r="C477" s="35" t="s">
        <v>404</v>
      </c>
      <c r="D477" s="35" t="s">
        <v>405</v>
      </c>
      <c r="E477" s="35" t="s">
        <v>416</v>
      </c>
      <c r="F477" s="35" t="s">
        <v>335</v>
      </c>
    </row>
    <row r="478" spans="1:9">
      <c r="A478" s="34">
        <v>2084300018</v>
      </c>
      <c r="B478" s="35" t="s">
        <v>351</v>
      </c>
      <c r="C478" s="35" t="s">
        <v>404</v>
      </c>
      <c r="D478" s="35" t="s">
        <v>405</v>
      </c>
      <c r="E478" s="35" t="s">
        <v>425</v>
      </c>
      <c r="F478" s="35" t="s">
        <v>353</v>
      </c>
      <c r="G478" s="35" t="s">
        <v>368</v>
      </c>
      <c r="H478" s="35" t="s">
        <v>417</v>
      </c>
      <c r="I478" s="35" t="s">
        <v>374</v>
      </c>
    </row>
    <row r="479" spans="1:9">
      <c r="A479" s="34">
        <v>2084300019</v>
      </c>
      <c r="B479" s="35" t="s">
        <v>351</v>
      </c>
      <c r="C479" s="35" t="s">
        <v>404</v>
      </c>
      <c r="D479" s="35" t="s">
        <v>405</v>
      </c>
      <c r="E479" s="35" t="s">
        <v>425</v>
      </c>
      <c r="F479" s="35" t="s">
        <v>353</v>
      </c>
      <c r="G479" s="35" t="s">
        <v>368</v>
      </c>
      <c r="H479" s="35" t="s">
        <v>417</v>
      </c>
      <c r="I479" s="35" t="s">
        <v>375</v>
      </c>
    </row>
    <row r="480" spans="1:9">
      <c r="A480" s="34">
        <v>2084300020</v>
      </c>
      <c r="B480" s="35" t="s">
        <v>351</v>
      </c>
      <c r="C480" s="35" t="s">
        <v>404</v>
      </c>
      <c r="D480" s="35" t="s">
        <v>405</v>
      </c>
      <c r="E480" s="35" t="s">
        <v>425</v>
      </c>
      <c r="F480" s="35" t="s">
        <v>353</v>
      </c>
      <c r="G480" s="35" t="s">
        <v>368</v>
      </c>
      <c r="H480" s="35" t="s">
        <v>417</v>
      </c>
      <c r="I480" s="35" t="s">
        <v>376</v>
      </c>
    </row>
    <row r="481" spans="1:9">
      <c r="A481" s="34">
        <v>2084300021</v>
      </c>
      <c r="B481" s="35" t="s">
        <v>351</v>
      </c>
      <c r="C481" s="35" t="s">
        <v>404</v>
      </c>
      <c r="D481" s="35" t="s">
        <v>405</v>
      </c>
      <c r="E481" s="35" t="s">
        <v>425</v>
      </c>
      <c r="F481" s="35" t="s">
        <v>353</v>
      </c>
      <c r="G481" s="35" t="s">
        <v>368</v>
      </c>
      <c r="H481" s="35" t="s">
        <v>417</v>
      </c>
      <c r="I481" s="35" t="s">
        <v>377</v>
      </c>
    </row>
    <row r="482" spans="1:9">
      <c r="A482" s="34">
        <v>2084300022</v>
      </c>
      <c r="B482" s="35" t="s">
        <v>351</v>
      </c>
      <c r="C482" s="35" t="s">
        <v>404</v>
      </c>
      <c r="D482" s="35" t="s">
        <v>405</v>
      </c>
      <c r="E482" s="35" t="s">
        <v>425</v>
      </c>
      <c r="F482" s="35" t="s">
        <v>353</v>
      </c>
      <c r="G482" s="35" t="s">
        <v>368</v>
      </c>
      <c r="H482" s="35" t="s">
        <v>366</v>
      </c>
      <c r="I482" s="35" t="s">
        <v>374</v>
      </c>
    </row>
    <row r="483" spans="1:9">
      <c r="A483" s="34">
        <v>2084300023</v>
      </c>
      <c r="B483" s="35" t="s">
        <v>351</v>
      </c>
      <c r="C483" s="35" t="s">
        <v>404</v>
      </c>
      <c r="D483" s="35" t="s">
        <v>405</v>
      </c>
      <c r="E483" s="35" t="s">
        <v>425</v>
      </c>
      <c r="F483" s="35" t="s">
        <v>353</v>
      </c>
      <c r="G483" s="35" t="s">
        <v>368</v>
      </c>
      <c r="H483" s="35" t="s">
        <v>366</v>
      </c>
      <c r="I483" s="35" t="s">
        <v>375</v>
      </c>
    </row>
    <row r="484" spans="1:9">
      <c r="A484" s="34">
        <v>2084300024</v>
      </c>
      <c r="B484" s="35" t="s">
        <v>351</v>
      </c>
      <c r="C484" s="35" t="s">
        <v>404</v>
      </c>
      <c r="D484" s="35" t="s">
        <v>405</v>
      </c>
      <c r="E484" s="35" t="s">
        <v>425</v>
      </c>
      <c r="F484" s="35" t="s">
        <v>353</v>
      </c>
      <c r="G484" s="35" t="s">
        <v>368</v>
      </c>
      <c r="H484" s="35" t="s">
        <v>366</v>
      </c>
      <c r="I484" s="35" t="s">
        <v>376</v>
      </c>
    </row>
    <row r="485" spans="1:9">
      <c r="A485" s="34">
        <v>2084300025</v>
      </c>
      <c r="B485" s="35" t="s">
        <v>351</v>
      </c>
      <c r="C485" s="35" t="s">
        <v>404</v>
      </c>
      <c r="D485" s="35" t="s">
        <v>405</v>
      </c>
      <c r="E485" s="35" t="s">
        <v>425</v>
      </c>
      <c r="F485" s="35" t="s">
        <v>353</v>
      </c>
      <c r="G485" s="35" t="s">
        <v>368</v>
      </c>
      <c r="H485" s="35" t="s">
        <v>366</v>
      </c>
      <c r="I485" s="35" t="s">
        <v>377</v>
      </c>
    </row>
    <row r="486" spans="1:9">
      <c r="A486" s="34">
        <v>2084057307</v>
      </c>
      <c r="B486" s="35" t="s">
        <v>351</v>
      </c>
      <c r="C486" s="35" t="s">
        <v>404</v>
      </c>
      <c r="D486" s="35" t="s">
        <v>405</v>
      </c>
      <c r="E486" s="35" t="s">
        <v>425</v>
      </c>
      <c r="F486" s="35" t="s">
        <v>353</v>
      </c>
      <c r="G486" s="35" t="s">
        <v>368</v>
      </c>
      <c r="H486" s="35" t="s">
        <v>419</v>
      </c>
    </row>
    <row r="487" spans="1:9">
      <c r="A487" s="34">
        <v>2084057308</v>
      </c>
      <c r="B487" s="35" t="s">
        <v>351</v>
      </c>
      <c r="C487" s="35" t="s">
        <v>404</v>
      </c>
      <c r="D487" s="35" t="s">
        <v>405</v>
      </c>
      <c r="E487" s="35" t="s">
        <v>425</v>
      </c>
      <c r="F487" s="35" t="s">
        <v>353</v>
      </c>
      <c r="G487" s="35" t="s">
        <v>368</v>
      </c>
      <c r="H487" s="35" t="s">
        <v>335</v>
      </c>
    </row>
    <row r="488" spans="1:9">
      <c r="A488" s="34">
        <v>2084057309</v>
      </c>
      <c r="B488" s="35" t="s">
        <v>351</v>
      </c>
      <c r="C488" s="35" t="s">
        <v>404</v>
      </c>
      <c r="D488" s="35" t="s">
        <v>405</v>
      </c>
      <c r="E488" s="35" t="s">
        <v>425</v>
      </c>
      <c r="F488" s="35" t="s">
        <v>353</v>
      </c>
      <c r="G488" s="35" t="s">
        <v>420</v>
      </c>
    </row>
    <row r="489" spans="1:9">
      <c r="A489" s="34">
        <v>2084057318</v>
      </c>
      <c r="B489" s="35" t="s">
        <v>351</v>
      </c>
      <c r="C489" s="35" t="s">
        <v>404</v>
      </c>
      <c r="D489" s="35" t="s">
        <v>405</v>
      </c>
      <c r="E489" s="35" t="s">
        <v>425</v>
      </c>
      <c r="F489" s="35" t="s">
        <v>353</v>
      </c>
      <c r="G489" s="35" t="s">
        <v>10</v>
      </c>
      <c r="H489" s="35" t="s">
        <v>397</v>
      </c>
    </row>
    <row r="490" spans="1:9">
      <c r="A490" s="34">
        <v>2084057317</v>
      </c>
      <c r="B490" s="35" t="s">
        <v>351</v>
      </c>
      <c r="C490" s="35" t="s">
        <v>404</v>
      </c>
      <c r="D490" s="35" t="s">
        <v>405</v>
      </c>
      <c r="E490" s="35" t="s">
        <v>425</v>
      </c>
      <c r="F490" s="35" t="s">
        <v>353</v>
      </c>
      <c r="G490" s="35" t="s">
        <v>10</v>
      </c>
      <c r="H490" s="35" t="s">
        <v>421</v>
      </c>
    </row>
    <row r="491" spans="1:9">
      <c r="A491" s="34">
        <v>2084057315</v>
      </c>
      <c r="B491" s="35" t="s">
        <v>351</v>
      </c>
      <c r="C491" s="35" t="s">
        <v>404</v>
      </c>
      <c r="D491" s="35" t="s">
        <v>405</v>
      </c>
      <c r="E491" s="35" t="s">
        <v>425</v>
      </c>
      <c r="F491" s="35" t="s">
        <v>353</v>
      </c>
      <c r="G491" s="35" t="s">
        <v>10</v>
      </c>
      <c r="H491" s="35" t="s">
        <v>398</v>
      </c>
    </row>
    <row r="492" spans="1:9">
      <c r="A492" s="34">
        <v>2084057316</v>
      </c>
      <c r="B492" s="35" t="s">
        <v>351</v>
      </c>
      <c r="C492" s="35" t="s">
        <v>404</v>
      </c>
      <c r="D492" s="35" t="s">
        <v>405</v>
      </c>
      <c r="E492" s="35" t="s">
        <v>425</v>
      </c>
      <c r="F492" s="35" t="s">
        <v>353</v>
      </c>
      <c r="G492" s="35" t="s">
        <v>10</v>
      </c>
      <c r="H492" s="35" t="s">
        <v>422</v>
      </c>
    </row>
    <row r="493" spans="1:9">
      <c r="A493" s="34">
        <v>2084057319</v>
      </c>
      <c r="B493" s="35" t="s">
        <v>351</v>
      </c>
      <c r="C493" s="35" t="s">
        <v>404</v>
      </c>
      <c r="D493" s="35" t="s">
        <v>405</v>
      </c>
      <c r="E493" s="35" t="s">
        <v>425</v>
      </c>
      <c r="F493" s="35" t="s">
        <v>353</v>
      </c>
      <c r="G493" s="35" t="s">
        <v>10</v>
      </c>
      <c r="H493" s="35" t="s">
        <v>335</v>
      </c>
    </row>
    <row r="494" spans="1:9">
      <c r="A494" s="34">
        <v>2084057321</v>
      </c>
      <c r="B494" s="35" t="s">
        <v>351</v>
      </c>
      <c r="C494" s="35" t="s">
        <v>404</v>
      </c>
      <c r="D494" s="35" t="s">
        <v>405</v>
      </c>
      <c r="E494" s="35" t="s">
        <v>425</v>
      </c>
      <c r="F494" s="35" t="s">
        <v>353</v>
      </c>
      <c r="G494" s="35" t="s">
        <v>379</v>
      </c>
      <c r="H494" s="35" t="s">
        <v>423</v>
      </c>
    </row>
    <row r="495" spans="1:9">
      <c r="A495" s="34">
        <v>2084057322</v>
      </c>
      <c r="B495" s="35" t="s">
        <v>351</v>
      </c>
      <c r="C495" s="35" t="s">
        <v>404</v>
      </c>
      <c r="D495" s="35" t="s">
        <v>405</v>
      </c>
      <c r="E495" s="35" t="s">
        <v>425</v>
      </c>
      <c r="F495" s="35" t="s">
        <v>353</v>
      </c>
      <c r="G495" s="35" t="s">
        <v>379</v>
      </c>
      <c r="H495" s="35" t="s">
        <v>424</v>
      </c>
    </row>
    <row r="496" spans="1:9">
      <c r="A496" s="34">
        <v>2084057323</v>
      </c>
      <c r="B496" s="35" t="s">
        <v>351</v>
      </c>
      <c r="C496" s="35" t="s">
        <v>404</v>
      </c>
      <c r="D496" s="35" t="s">
        <v>405</v>
      </c>
      <c r="E496" s="35" t="s">
        <v>425</v>
      </c>
      <c r="F496" s="35" t="s">
        <v>353</v>
      </c>
      <c r="G496" s="35" t="s">
        <v>335</v>
      </c>
    </row>
    <row r="497" spans="1:9">
      <c r="A497" s="34">
        <v>2084057303</v>
      </c>
      <c r="B497" s="35" t="s">
        <v>351</v>
      </c>
      <c r="C497" s="35" t="s">
        <v>404</v>
      </c>
      <c r="D497" s="35" t="s">
        <v>405</v>
      </c>
      <c r="E497" s="35" t="s">
        <v>425</v>
      </c>
      <c r="F497" s="35" t="s">
        <v>407</v>
      </c>
    </row>
    <row r="498" spans="1:9">
      <c r="A498" s="34">
        <v>2084057345</v>
      </c>
      <c r="B498" s="35" t="s">
        <v>351</v>
      </c>
      <c r="C498" s="35" t="s">
        <v>404</v>
      </c>
      <c r="D498" s="35" t="s">
        <v>405</v>
      </c>
      <c r="E498" s="35" t="s">
        <v>425</v>
      </c>
      <c r="F498" s="35" t="s">
        <v>335</v>
      </c>
    </row>
    <row r="499" spans="1:9">
      <c r="A499" s="34">
        <v>2084226720</v>
      </c>
      <c r="B499" s="35" t="s">
        <v>351</v>
      </c>
      <c r="C499" s="35" t="s">
        <v>404</v>
      </c>
      <c r="D499" s="35" t="s">
        <v>405</v>
      </c>
      <c r="E499" s="35" t="s">
        <v>426</v>
      </c>
      <c r="F499" s="35" t="s">
        <v>408</v>
      </c>
    </row>
    <row r="500" spans="1:9">
      <c r="A500" s="34">
        <v>2084226721</v>
      </c>
      <c r="B500" s="35" t="s">
        <v>351</v>
      </c>
      <c r="C500" s="35" t="s">
        <v>404</v>
      </c>
      <c r="D500" s="35" t="s">
        <v>405</v>
      </c>
      <c r="E500" s="35" t="s">
        <v>426</v>
      </c>
      <c r="F500" s="35" t="s">
        <v>407</v>
      </c>
    </row>
    <row r="501" spans="1:9">
      <c r="A501" s="34">
        <v>2084226722</v>
      </c>
      <c r="B501" s="35" t="s">
        <v>351</v>
      </c>
      <c r="C501" s="35" t="s">
        <v>404</v>
      </c>
      <c r="D501" s="35" t="s">
        <v>405</v>
      </c>
      <c r="E501" s="35" t="s">
        <v>426</v>
      </c>
      <c r="F501" s="35" t="s">
        <v>335</v>
      </c>
    </row>
    <row r="502" spans="1:9">
      <c r="A502" s="34">
        <v>2084221331</v>
      </c>
      <c r="B502" s="35" t="s">
        <v>351</v>
      </c>
      <c r="C502" s="35" t="s">
        <v>404</v>
      </c>
      <c r="D502" s="35" t="s">
        <v>405</v>
      </c>
      <c r="E502" s="35" t="s">
        <v>427</v>
      </c>
      <c r="F502" s="35" t="s">
        <v>353</v>
      </c>
      <c r="G502" s="35" t="s">
        <v>368</v>
      </c>
      <c r="H502" s="35" t="s">
        <v>417</v>
      </c>
      <c r="I502" s="35" t="s">
        <v>391</v>
      </c>
    </row>
    <row r="503" spans="1:9">
      <c r="A503" s="34">
        <v>2084221332</v>
      </c>
      <c r="B503" s="35" t="s">
        <v>351</v>
      </c>
      <c r="C503" s="35" t="s">
        <v>404</v>
      </c>
      <c r="D503" s="35" t="s">
        <v>405</v>
      </c>
      <c r="E503" s="35" t="s">
        <v>427</v>
      </c>
      <c r="F503" s="35" t="s">
        <v>353</v>
      </c>
      <c r="G503" s="35" t="s">
        <v>368</v>
      </c>
      <c r="H503" s="35" t="s">
        <v>417</v>
      </c>
      <c r="I503" s="35" t="s">
        <v>392</v>
      </c>
    </row>
    <row r="504" spans="1:9">
      <c r="A504" s="34">
        <v>2084221333</v>
      </c>
      <c r="B504" s="35" t="s">
        <v>351</v>
      </c>
      <c r="C504" s="35" t="s">
        <v>404</v>
      </c>
      <c r="D504" s="35" t="s">
        <v>405</v>
      </c>
      <c r="E504" s="35" t="s">
        <v>427</v>
      </c>
      <c r="F504" s="35" t="s">
        <v>353</v>
      </c>
      <c r="G504" s="35" t="s">
        <v>368</v>
      </c>
      <c r="H504" s="35" t="s">
        <v>417</v>
      </c>
      <c r="I504" s="35" t="s">
        <v>375</v>
      </c>
    </row>
    <row r="505" spans="1:9">
      <c r="A505" s="34">
        <v>2084221334</v>
      </c>
      <c r="B505" s="35" t="s">
        <v>351</v>
      </c>
      <c r="C505" s="35" t="s">
        <v>404</v>
      </c>
      <c r="D505" s="35" t="s">
        <v>405</v>
      </c>
      <c r="E505" s="35" t="s">
        <v>427</v>
      </c>
      <c r="F505" s="35" t="s">
        <v>353</v>
      </c>
      <c r="G505" s="35" t="s">
        <v>368</v>
      </c>
      <c r="H505" s="35" t="s">
        <v>417</v>
      </c>
      <c r="I505" s="35" t="s">
        <v>376</v>
      </c>
    </row>
    <row r="506" spans="1:9">
      <c r="A506" s="34">
        <v>2084221335</v>
      </c>
      <c r="B506" s="35" t="s">
        <v>351</v>
      </c>
      <c r="C506" s="35" t="s">
        <v>404</v>
      </c>
      <c r="D506" s="35" t="s">
        <v>405</v>
      </c>
      <c r="E506" s="35" t="s">
        <v>427</v>
      </c>
      <c r="F506" s="35" t="s">
        <v>353</v>
      </c>
      <c r="G506" s="35" t="s">
        <v>368</v>
      </c>
      <c r="H506" s="35" t="s">
        <v>417</v>
      </c>
      <c r="I506" s="35" t="s">
        <v>377</v>
      </c>
    </row>
    <row r="507" spans="1:9">
      <c r="A507" s="34">
        <v>2084221340</v>
      </c>
      <c r="B507" s="35" t="s">
        <v>351</v>
      </c>
      <c r="C507" s="35" t="s">
        <v>404</v>
      </c>
      <c r="D507" s="35" t="s">
        <v>405</v>
      </c>
      <c r="E507" s="35" t="s">
        <v>427</v>
      </c>
      <c r="F507" s="35" t="s">
        <v>353</v>
      </c>
      <c r="G507" s="35" t="s">
        <v>368</v>
      </c>
      <c r="H507" s="35" t="s">
        <v>366</v>
      </c>
      <c r="I507" s="35" t="s">
        <v>391</v>
      </c>
    </row>
    <row r="508" spans="1:9">
      <c r="A508" s="34">
        <v>2084221339</v>
      </c>
      <c r="B508" s="35" t="s">
        <v>351</v>
      </c>
      <c r="C508" s="35" t="s">
        <v>404</v>
      </c>
      <c r="D508" s="35" t="s">
        <v>405</v>
      </c>
      <c r="E508" s="35" t="s">
        <v>427</v>
      </c>
      <c r="F508" s="35" t="s">
        <v>353</v>
      </c>
      <c r="G508" s="35" t="s">
        <v>368</v>
      </c>
      <c r="H508" s="35" t="s">
        <v>366</v>
      </c>
      <c r="I508" s="35" t="s">
        <v>392</v>
      </c>
    </row>
    <row r="509" spans="1:9">
      <c r="A509" s="34">
        <v>2084221338</v>
      </c>
      <c r="B509" s="35" t="s">
        <v>351</v>
      </c>
      <c r="C509" s="35" t="s">
        <v>404</v>
      </c>
      <c r="D509" s="35" t="s">
        <v>405</v>
      </c>
      <c r="E509" s="35" t="s">
        <v>427</v>
      </c>
      <c r="F509" s="35" t="s">
        <v>353</v>
      </c>
      <c r="G509" s="35" t="s">
        <v>368</v>
      </c>
      <c r="H509" s="35" t="s">
        <v>366</v>
      </c>
      <c r="I509" s="35" t="s">
        <v>375</v>
      </c>
    </row>
    <row r="510" spans="1:9">
      <c r="A510" s="34">
        <v>2084221337</v>
      </c>
      <c r="B510" s="35" t="s">
        <v>351</v>
      </c>
      <c r="C510" s="35" t="s">
        <v>404</v>
      </c>
      <c r="D510" s="35" t="s">
        <v>405</v>
      </c>
      <c r="E510" s="35" t="s">
        <v>427</v>
      </c>
      <c r="F510" s="35" t="s">
        <v>353</v>
      </c>
      <c r="G510" s="35" t="s">
        <v>368</v>
      </c>
      <c r="H510" s="35" t="s">
        <v>366</v>
      </c>
      <c r="I510" s="35" t="s">
        <v>376</v>
      </c>
    </row>
    <row r="511" spans="1:9">
      <c r="A511" s="34">
        <v>2084221336</v>
      </c>
      <c r="B511" s="35" t="s">
        <v>351</v>
      </c>
      <c r="C511" s="35" t="s">
        <v>404</v>
      </c>
      <c r="D511" s="35" t="s">
        <v>405</v>
      </c>
      <c r="E511" s="35" t="s">
        <v>427</v>
      </c>
      <c r="F511" s="35" t="s">
        <v>353</v>
      </c>
      <c r="G511" s="35" t="s">
        <v>368</v>
      </c>
      <c r="H511" s="35" t="s">
        <v>366</v>
      </c>
      <c r="I511" s="35" t="s">
        <v>377</v>
      </c>
    </row>
    <row r="512" spans="1:9">
      <c r="A512" s="34">
        <v>2084221341</v>
      </c>
      <c r="B512" s="35" t="s">
        <v>351</v>
      </c>
      <c r="C512" s="35" t="s">
        <v>404</v>
      </c>
      <c r="D512" s="35" t="s">
        <v>405</v>
      </c>
      <c r="E512" s="35" t="s">
        <v>427</v>
      </c>
      <c r="F512" s="35" t="s">
        <v>353</v>
      </c>
      <c r="G512" s="35" t="s">
        <v>368</v>
      </c>
      <c r="H512" s="35" t="s">
        <v>428</v>
      </c>
      <c r="I512" s="35" t="s">
        <v>391</v>
      </c>
    </row>
    <row r="513" spans="1:9">
      <c r="A513" s="34">
        <v>2084221342</v>
      </c>
      <c r="B513" s="35" t="s">
        <v>351</v>
      </c>
      <c r="C513" s="35" t="s">
        <v>404</v>
      </c>
      <c r="D513" s="35" t="s">
        <v>405</v>
      </c>
      <c r="E513" s="35" t="s">
        <v>427</v>
      </c>
      <c r="F513" s="35" t="s">
        <v>353</v>
      </c>
      <c r="G513" s="35" t="s">
        <v>368</v>
      </c>
      <c r="H513" s="35" t="s">
        <v>428</v>
      </c>
      <c r="I513" s="35" t="s">
        <v>392</v>
      </c>
    </row>
    <row r="514" spans="1:9">
      <c r="A514" s="34">
        <v>2084221343</v>
      </c>
      <c r="B514" s="35" t="s">
        <v>351</v>
      </c>
      <c r="C514" s="35" t="s">
        <v>404</v>
      </c>
      <c r="D514" s="35" t="s">
        <v>405</v>
      </c>
      <c r="E514" s="35" t="s">
        <v>427</v>
      </c>
      <c r="F514" s="35" t="s">
        <v>353</v>
      </c>
      <c r="G514" s="35" t="s">
        <v>368</v>
      </c>
      <c r="H514" s="35" t="s">
        <v>428</v>
      </c>
      <c r="I514" s="35" t="s">
        <v>375</v>
      </c>
    </row>
    <row r="515" spans="1:9">
      <c r="A515" s="34">
        <v>2084221344</v>
      </c>
      <c r="B515" s="35" t="s">
        <v>351</v>
      </c>
      <c r="C515" s="35" t="s">
        <v>404</v>
      </c>
      <c r="D515" s="35" t="s">
        <v>405</v>
      </c>
      <c r="E515" s="35" t="s">
        <v>427</v>
      </c>
      <c r="F515" s="35" t="s">
        <v>353</v>
      </c>
      <c r="G515" s="35" t="s">
        <v>368</v>
      </c>
      <c r="H515" s="35" t="s">
        <v>428</v>
      </c>
      <c r="I515" s="35" t="s">
        <v>376</v>
      </c>
    </row>
    <row r="516" spans="1:9">
      <c r="A516" s="34">
        <v>2084221345</v>
      </c>
      <c r="B516" s="35" t="s">
        <v>351</v>
      </c>
      <c r="C516" s="35" t="s">
        <v>404</v>
      </c>
      <c r="D516" s="35" t="s">
        <v>405</v>
      </c>
      <c r="E516" s="35" t="s">
        <v>427</v>
      </c>
      <c r="F516" s="35" t="s">
        <v>353</v>
      </c>
      <c r="G516" s="35" t="s">
        <v>368</v>
      </c>
      <c r="H516" s="35" t="s">
        <v>428</v>
      </c>
      <c r="I516" s="35" t="s">
        <v>377</v>
      </c>
    </row>
    <row r="517" spans="1:9">
      <c r="A517" s="34">
        <v>2084221346</v>
      </c>
      <c r="B517" s="35" t="s">
        <v>351</v>
      </c>
      <c r="C517" s="35" t="s">
        <v>404</v>
      </c>
      <c r="D517" s="35" t="s">
        <v>405</v>
      </c>
      <c r="E517" s="35" t="s">
        <v>427</v>
      </c>
      <c r="F517" s="35" t="s">
        <v>353</v>
      </c>
      <c r="G517" s="35" t="s">
        <v>368</v>
      </c>
      <c r="H517" s="35" t="s">
        <v>429</v>
      </c>
      <c r="I517" s="35" t="s">
        <v>391</v>
      </c>
    </row>
    <row r="518" spans="1:9">
      <c r="A518" s="34">
        <v>2084221347</v>
      </c>
      <c r="B518" s="35" t="s">
        <v>351</v>
      </c>
      <c r="C518" s="35" t="s">
        <v>404</v>
      </c>
      <c r="D518" s="35" t="s">
        <v>405</v>
      </c>
      <c r="E518" s="35" t="s">
        <v>427</v>
      </c>
      <c r="F518" s="35" t="s">
        <v>353</v>
      </c>
      <c r="G518" s="35" t="s">
        <v>368</v>
      </c>
      <c r="H518" s="35" t="s">
        <v>429</v>
      </c>
      <c r="I518" s="35" t="s">
        <v>392</v>
      </c>
    </row>
    <row r="519" spans="1:9">
      <c r="A519" s="34">
        <v>2084221348</v>
      </c>
      <c r="B519" s="35" t="s">
        <v>351</v>
      </c>
      <c r="C519" s="35" t="s">
        <v>404</v>
      </c>
      <c r="D519" s="35" t="s">
        <v>405</v>
      </c>
      <c r="E519" s="35" t="s">
        <v>427</v>
      </c>
      <c r="F519" s="35" t="s">
        <v>353</v>
      </c>
      <c r="G519" s="35" t="s">
        <v>368</v>
      </c>
      <c r="H519" s="35" t="s">
        <v>429</v>
      </c>
      <c r="I519" s="35" t="s">
        <v>375</v>
      </c>
    </row>
    <row r="520" spans="1:9">
      <c r="A520" s="34">
        <v>2084221349</v>
      </c>
      <c r="B520" s="35" t="s">
        <v>351</v>
      </c>
      <c r="C520" s="35" t="s">
        <v>404</v>
      </c>
      <c r="D520" s="35" t="s">
        <v>405</v>
      </c>
      <c r="E520" s="35" t="s">
        <v>427</v>
      </c>
      <c r="F520" s="35" t="s">
        <v>353</v>
      </c>
      <c r="G520" s="35" t="s">
        <v>368</v>
      </c>
      <c r="H520" s="35" t="s">
        <v>429</v>
      </c>
      <c r="I520" s="35" t="s">
        <v>376</v>
      </c>
    </row>
    <row r="521" spans="1:9">
      <c r="A521" s="34">
        <v>2084221350</v>
      </c>
      <c r="B521" s="35" t="s">
        <v>351</v>
      </c>
      <c r="C521" s="35" t="s">
        <v>404</v>
      </c>
      <c r="D521" s="35" t="s">
        <v>405</v>
      </c>
      <c r="E521" s="35" t="s">
        <v>427</v>
      </c>
      <c r="F521" s="35" t="s">
        <v>353</v>
      </c>
      <c r="G521" s="35" t="s">
        <v>368</v>
      </c>
      <c r="H521" s="35" t="s">
        <v>429</v>
      </c>
      <c r="I521" s="35" t="s">
        <v>377</v>
      </c>
    </row>
    <row r="522" spans="1:9">
      <c r="A522" s="34">
        <v>2084057287</v>
      </c>
      <c r="B522" s="35" t="s">
        <v>351</v>
      </c>
      <c r="C522" s="35" t="s">
        <v>404</v>
      </c>
      <c r="D522" s="35" t="s">
        <v>405</v>
      </c>
      <c r="E522" s="35" t="s">
        <v>427</v>
      </c>
      <c r="F522" s="35" t="s">
        <v>353</v>
      </c>
      <c r="G522" s="35" t="s">
        <v>430</v>
      </c>
      <c r="H522" s="35" t="s">
        <v>370</v>
      </c>
    </row>
    <row r="523" spans="1:9">
      <c r="A523" s="34">
        <v>2084057288</v>
      </c>
      <c r="B523" s="35" t="s">
        <v>351</v>
      </c>
      <c r="C523" s="35" t="s">
        <v>404</v>
      </c>
      <c r="D523" s="35" t="s">
        <v>405</v>
      </c>
      <c r="E523" s="35" t="s">
        <v>427</v>
      </c>
      <c r="F523" s="35" t="s">
        <v>353</v>
      </c>
      <c r="G523" s="35" t="s">
        <v>430</v>
      </c>
      <c r="H523" s="35" t="s">
        <v>383</v>
      </c>
    </row>
    <row r="524" spans="1:9">
      <c r="A524" s="34">
        <v>2084057289</v>
      </c>
      <c r="B524" s="35" t="s">
        <v>351</v>
      </c>
      <c r="C524" s="35" t="s">
        <v>404</v>
      </c>
      <c r="D524" s="35" t="s">
        <v>405</v>
      </c>
      <c r="E524" s="35" t="s">
        <v>427</v>
      </c>
      <c r="F524" s="35" t="s">
        <v>353</v>
      </c>
      <c r="G524" s="35" t="s">
        <v>430</v>
      </c>
      <c r="H524" s="35" t="s">
        <v>419</v>
      </c>
    </row>
    <row r="525" spans="1:9">
      <c r="A525" s="34">
        <v>2084057290</v>
      </c>
      <c r="B525" s="35" t="s">
        <v>351</v>
      </c>
      <c r="C525" s="35" t="s">
        <v>404</v>
      </c>
      <c r="D525" s="35" t="s">
        <v>405</v>
      </c>
      <c r="E525" s="35" t="s">
        <v>427</v>
      </c>
      <c r="F525" s="35" t="s">
        <v>353</v>
      </c>
      <c r="G525" s="35" t="s">
        <v>430</v>
      </c>
      <c r="H525" s="35" t="s">
        <v>335</v>
      </c>
    </row>
    <row r="526" spans="1:9">
      <c r="A526" s="34">
        <v>2084057295</v>
      </c>
      <c r="B526" s="35" t="s">
        <v>351</v>
      </c>
      <c r="C526" s="35" t="s">
        <v>404</v>
      </c>
      <c r="D526" s="35" t="s">
        <v>405</v>
      </c>
      <c r="E526" s="35" t="s">
        <v>427</v>
      </c>
      <c r="F526" s="35" t="s">
        <v>353</v>
      </c>
      <c r="G526" s="35" t="s">
        <v>10</v>
      </c>
      <c r="H526" s="35" t="s">
        <v>397</v>
      </c>
    </row>
    <row r="527" spans="1:9">
      <c r="A527" s="34">
        <v>2084057294</v>
      </c>
      <c r="B527" s="35" t="s">
        <v>351</v>
      </c>
      <c r="C527" s="35" t="s">
        <v>404</v>
      </c>
      <c r="D527" s="35" t="s">
        <v>405</v>
      </c>
      <c r="E527" s="35" t="s">
        <v>427</v>
      </c>
      <c r="F527" s="35" t="s">
        <v>353</v>
      </c>
      <c r="G527" s="35" t="s">
        <v>10</v>
      </c>
      <c r="H527" s="35" t="s">
        <v>421</v>
      </c>
    </row>
    <row r="528" spans="1:9">
      <c r="A528" s="34">
        <v>2084057292</v>
      </c>
      <c r="B528" s="35" t="s">
        <v>351</v>
      </c>
      <c r="C528" s="35" t="s">
        <v>404</v>
      </c>
      <c r="D528" s="35" t="s">
        <v>405</v>
      </c>
      <c r="E528" s="35" t="s">
        <v>427</v>
      </c>
      <c r="F528" s="35" t="s">
        <v>353</v>
      </c>
      <c r="G528" s="35" t="s">
        <v>10</v>
      </c>
      <c r="H528" s="35" t="s">
        <v>398</v>
      </c>
    </row>
    <row r="529" spans="1:8">
      <c r="A529" s="34">
        <v>2084057293</v>
      </c>
      <c r="B529" s="35" t="s">
        <v>351</v>
      </c>
      <c r="C529" s="35" t="s">
        <v>404</v>
      </c>
      <c r="D529" s="35" t="s">
        <v>405</v>
      </c>
      <c r="E529" s="35" t="s">
        <v>427</v>
      </c>
      <c r="F529" s="35" t="s">
        <v>353</v>
      </c>
      <c r="G529" s="35" t="s">
        <v>10</v>
      </c>
      <c r="H529" s="35" t="s">
        <v>422</v>
      </c>
    </row>
    <row r="530" spans="1:8">
      <c r="A530" s="34">
        <v>2084057296</v>
      </c>
      <c r="B530" s="35" t="s">
        <v>351</v>
      </c>
      <c r="C530" s="35" t="s">
        <v>404</v>
      </c>
      <c r="D530" s="35" t="s">
        <v>405</v>
      </c>
      <c r="E530" s="35" t="s">
        <v>427</v>
      </c>
      <c r="F530" s="35" t="s">
        <v>353</v>
      </c>
      <c r="G530" s="35" t="s">
        <v>10</v>
      </c>
      <c r="H530" s="35" t="s">
        <v>335</v>
      </c>
    </row>
    <row r="531" spans="1:8">
      <c r="A531" s="34">
        <v>2084057298</v>
      </c>
      <c r="B531" s="35" t="s">
        <v>351</v>
      </c>
      <c r="C531" s="35" t="s">
        <v>404</v>
      </c>
      <c r="D531" s="35" t="s">
        <v>405</v>
      </c>
      <c r="E531" s="35" t="s">
        <v>427</v>
      </c>
      <c r="F531" s="35" t="s">
        <v>353</v>
      </c>
      <c r="G531" s="35" t="s">
        <v>379</v>
      </c>
      <c r="H531" s="35" t="s">
        <v>423</v>
      </c>
    </row>
    <row r="532" spans="1:8">
      <c r="A532" s="34">
        <v>2084057299</v>
      </c>
      <c r="B532" s="35" t="s">
        <v>351</v>
      </c>
      <c r="C532" s="35" t="s">
        <v>404</v>
      </c>
      <c r="D532" s="35" t="s">
        <v>405</v>
      </c>
      <c r="E532" s="35" t="s">
        <v>427</v>
      </c>
      <c r="F532" s="35" t="s">
        <v>353</v>
      </c>
      <c r="G532" s="35" t="s">
        <v>379</v>
      </c>
      <c r="H532" s="35" t="s">
        <v>424</v>
      </c>
    </row>
    <row r="533" spans="1:8">
      <c r="A533" s="34">
        <v>2084057300</v>
      </c>
      <c r="B533" s="35" t="s">
        <v>351</v>
      </c>
      <c r="C533" s="35" t="s">
        <v>404</v>
      </c>
      <c r="D533" s="35" t="s">
        <v>405</v>
      </c>
      <c r="E533" s="35" t="s">
        <v>427</v>
      </c>
      <c r="F533" s="35" t="s">
        <v>353</v>
      </c>
      <c r="G533" s="35" t="s">
        <v>335</v>
      </c>
    </row>
    <row r="534" spans="1:8">
      <c r="A534" s="34">
        <v>2084057280</v>
      </c>
      <c r="B534" s="35" t="s">
        <v>351</v>
      </c>
      <c r="C534" s="35" t="s">
        <v>404</v>
      </c>
      <c r="D534" s="35" t="s">
        <v>405</v>
      </c>
      <c r="E534" s="35" t="s">
        <v>427</v>
      </c>
      <c r="F534" s="35" t="s">
        <v>407</v>
      </c>
    </row>
    <row r="535" spans="1:8">
      <c r="A535" s="34">
        <v>2084285402</v>
      </c>
      <c r="B535" s="35" t="s">
        <v>351</v>
      </c>
      <c r="C535" s="35" t="s">
        <v>404</v>
      </c>
      <c r="D535" s="35" t="s">
        <v>405</v>
      </c>
      <c r="E535" s="35" t="s">
        <v>427</v>
      </c>
      <c r="F535" s="35" t="s">
        <v>431</v>
      </c>
    </row>
    <row r="536" spans="1:8">
      <c r="A536" s="34">
        <v>2084057343</v>
      </c>
      <c r="B536" s="35" t="s">
        <v>351</v>
      </c>
      <c r="C536" s="35" t="s">
        <v>404</v>
      </c>
      <c r="D536" s="35" t="s">
        <v>405</v>
      </c>
      <c r="E536" s="35" t="s">
        <v>427</v>
      </c>
      <c r="F536" s="35" t="s">
        <v>335</v>
      </c>
    </row>
    <row r="537" spans="1:8">
      <c r="A537" s="34">
        <v>2084229215</v>
      </c>
      <c r="B537" s="35" t="s">
        <v>351</v>
      </c>
      <c r="C537" s="35" t="s">
        <v>404</v>
      </c>
      <c r="D537" s="35" t="s">
        <v>405</v>
      </c>
      <c r="E537" s="35" t="s">
        <v>432</v>
      </c>
      <c r="F537" s="35" t="s">
        <v>408</v>
      </c>
    </row>
    <row r="538" spans="1:8">
      <c r="A538" s="34">
        <v>2084229216</v>
      </c>
      <c r="B538" s="35" t="s">
        <v>351</v>
      </c>
      <c r="C538" s="35" t="s">
        <v>404</v>
      </c>
      <c r="D538" s="35" t="s">
        <v>405</v>
      </c>
      <c r="E538" s="35" t="s">
        <v>432</v>
      </c>
      <c r="F538" s="35" t="s">
        <v>407</v>
      </c>
    </row>
    <row r="539" spans="1:8">
      <c r="A539" s="34">
        <v>2084229217</v>
      </c>
      <c r="B539" s="35" t="s">
        <v>351</v>
      </c>
      <c r="C539" s="35" t="s">
        <v>404</v>
      </c>
      <c r="D539" s="35" t="s">
        <v>405</v>
      </c>
      <c r="E539" s="35" t="s">
        <v>432</v>
      </c>
      <c r="F539" s="35" t="s">
        <v>335</v>
      </c>
    </row>
    <row r="540" spans="1:8">
      <c r="A540" s="34">
        <v>2084226714</v>
      </c>
      <c r="B540" s="35" t="s">
        <v>351</v>
      </c>
      <c r="C540" s="35" t="s">
        <v>404</v>
      </c>
      <c r="D540" s="35" t="s">
        <v>405</v>
      </c>
      <c r="E540" s="35" t="s">
        <v>433</v>
      </c>
      <c r="F540" s="35" t="s">
        <v>408</v>
      </c>
    </row>
    <row r="541" spans="1:8">
      <c r="A541" s="34">
        <v>2084226715</v>
      </c>
      <c r="B541" s="35" t="s">
        <v>351</v>
      </c>
      <c r="C541" s="35" t="s">
        <v>404</v>
      </c>
      <c r="D541" s="35" t="s">
        <v>405</v>
      </c>
      <c r="E541" s="35" t="s">
        <v>433</v>
      </c>
      <c r="F541" s="35" t="s">
        <v>407</v>
      </c>
    </row>
    <row r="542" spans="1:8">
      <c r="A542" s="34">
        <v>2084226716</v>
      </c>
      <c r="B542" s="35" t="s">
        <v>351</v>
      </c>
      <c r="C542" s="35" t="s">
        <v>404</v>
      </c>
      <c r="D542" s="35" t="s">
        <v>405</v>
      </c>
      <c r="E542" s="35" t="s">
        <v>433</v>
      </c>
      <c r="F542" s="35" t="s">
        <v>335</v>
      </c>
    </row>
    <row r="543" spans="1:8">
      <c r="A543" s="34">
        <v>2084203601</v>
      </c>
      <c r="B543" s="35" t="s">
        <v>351</v>
      </c>
      <c r="C543" s="35" t="s">
        <v>404</v>
      </c>
      <c r="D543" s="35" t="s">
        <v>405</v>
      </c>
      <c r="E543" s="35" t="s">
        <v>434</v>
      </c>
      <c r="F543" s="35" t="s">
        <v>408</v>
      </c>
    </row>
    <row r="544" spans="1:8">
      <c r="A544" s="34">
        <v>2084203602</v>
      </c>
      <c r="B544" s="35" t="s">
        <v>351</v>
      </c>
      <c r="C544" s="35" t="s">
        <v>404</v>
      </c>
      <c r="D544" s="35" t="s">
        <v>405</v>
      </c>
      <c r="E544" s="35" t="s">
        <v>434</v>
      </c>
      <c r="F544" s="35" t="s">
        <v>335</v>
      </c>
    </row>
    <row r="545" spans="1:6">
      <c r="A545" s="34">
        <v>2084203604</v>
      </c>
      <c r="B545" s="35" t="s">
        <v>351</v>
      </c>
      <c r="C545" s="35" t="s">
        <v>404</v>
      </c>
      <c r="D545" s="35" t="s">
        <v>405</v>
      </c>
      <c r="E545" s="35" t="s">
        <v>435</v>
      </c>
      <c r="F545" s="35" t="s">
        <v>408</v>
      </c>
    </row>
    <row r="546" spans="1:6">
      <c r="A546" s="34">
        <v>2084228574</v>
      </c>
      <c r="B546" s="35" t="s">
        <v>351</v>
      </c>
      <c r="C546" s="35" t="s">
        <v>404</v>
      </c>
      <c r="D546" s="35" t="s">
        <v>405</v>
      </c>
      <c r="E546" s="35" t="s">
        <v>435</v>
      </c>
      <c r="F546" s="35" t="s">
        <v>407</v>
      </c>
    </row>
    <row r="547" spans="1:6">
      <c r="A547" s="34">
        <v>2084203605</v>
      </c>
      <c r="B547" s="35" t="s">
        <v>351</v>
      </c>
      <c r="C547" s="35" t="s">
        <v>404</v>
      </c>
      <c r="D547" s="35" t="s">
        <v>405</v>
      </c>
      <c r="E547" s="35" t="s">
        <v>435</v>
      </c>
      <c r="F547" s="35" t="s">
        <v>335</v>
      </c>
    </row>
    <row r="548" spans="1:6">
      <c r="A548" s="34">
        <v>2084203613</v>
      </c>
      <c r="B548" s="35" t="s">
        <v>351</v>
      </c>
      <c r="C548" s="35" t="s">
        <v>404</v>
      </c>
      <c r="D548" s="35" t="s">
        <v>405</v>
      </c>
      <c r="E548" s="35" t="s">
        <v>436</v>
      </c>
      <c r="F548" s="35" t="s">
        <v>408</v>
      </c>
    </row>
    <row r="549" spans="1:6">
      <c r="A549" s="34">
        <v>2084203614</v>
      </c>
      <c r="B549" s="35" t="s">
        <v>351</v>
      </c>
      <c r="C549" s="35" t="s">
        <v>404</v>
      </c>
      <c r="D549" s="35" t="s">
        <v>405</v>
      </c>
      <c r="E549" s="35" t="s">
        <v>436</v>
      </c>
      <c r="F549" s="35" t="s">
        <v>335</v>
      </c>
    </row>
    <row r="550" spans="1:6">
      <c r="A550" s="34">
        <v>2084203598</v>
      </c>
      <c r="B550" s="35" t="s">
        <v>351</v>
      </c>
      <c r="C550" s="35" t="s">
        <v>404</v>
      </c>
      <c r="D550" s="35" t="s">
        <v>405</v>
      </c>
      <c r="E550" s="35" t="s">
        <v>437</v>
      </c>
      <c r="F550" s="35" t="s">
        <v>408</v>
      </c>
    </row>
    <row r="551" spans="1:6">
      <c r="A551" s="34">
        <v>2084228575</v>
      </c>
      <c r="B551" s="35" t="s">
        <v>351</v>
      </c>
      <c r="C551" s="35" t="s">
        <v>404</v>
      </c>
      <c r="D551" s="35" t="s">
        <v>405</v>
      </c>
      <c r="E551" s="35" t="s">
        <v>437</v>
      </c>
      <c r="F551" s="35" t="s">
        <v>407</v>
      </c>
    </row>
    <row r="552" spans="1:6">
      <c r="A552" s="34">
        <v>2084203599</v>
      </c>
      <c r="B552" s="35" t="s">
        <v>351</v>
      </c>
      <c r="C552" s="35" t="s">
        <v>404</v>
      </c>
      <c r="D552" s="35" t="s">
        <v>405</v>
      </c>
      <c r="E552" s="35" t="s">
        <v>437</v>
      </c>
      <c r="F552" s="35" t="s">
        <v>335</v>
      </c>
    </row>
    <row r="553" spans="1:6">
      <c r="A553" s="34">
        <v>2084226725</v>
      </c>
      <c r="B553" s="35" t="s">
        <v>351</v>
      </c>
      <c r="C553" s="35" t="s">
        <v>404</v>
      </c>
      <c r="D553" s="35" t="s">
        <v>405</v>
      </c>
      <c r="E553" s="35" t="s">
        <v>438</v>
      </c>
      <c r="F553" s="35" t="s">
        <v>408</v>
      </c>
    </row>
    <row r="554" spans="1:6">
      <c r="A554" s="34">
        <v>2084226726</v>
      </c>
      <c r="B554" s="35" t="s">
        <v>351</v>
      </c>
      <c r="C554" s="35" t="s">
        <v>404</v>
      </c>
      <c r="D554" s="35" t="s">
        <v>405</v>
      </c>
      <c r="E554" s="35" t="s">
        <v>438</v>
      </c>
      <c r="F554" s="35" t="s">
        <v>407</v>
      </c>
    </row>
    <row r="555" spans="1:6">
      <c r="A555" s="34">
        <v>2084226727</v>
      </c>
      <c r="B555" s="35" t="s">
        <v>351</v>
      </c>
      <c r="C555" s="35" t="s">
        <v>404</v>
      </c>
      <c r="D555" s="35" t="s">
        <v>405</v>
      </c>
      <c r="E555" s="35" t="s">
        <v>438</v>
      </c>
      <c r="F555" s="35" t="s">
        <v>335</v>
      </c>
    </row>
    <row r="556" spans="1:6">
      <c r="A556" s="34">
        <v>2084226710</v>
      </c>
      <c r="B556" s="35" t="s">
        <v>351</v>
      </c>
      <c r="C556" s="35" t="s">
        <v>404</v>
      </c>
      <c r="D556" s="35" t="s">
        <v>405</v>
      </c>
      <c r="E556" s="35" t="s">
        <v>439</v>
      </c>
      <c r="F556" s="35" t="s">
        <v>408</v>
      </c>
    </row>
    <row r="557" spans="1:6">
      <c r="A557" s="34">
        <v>2084226711</v>
      </c>
      <c r="B557" s="35" t="s">
        <v>351</v>
      </c>
      <c r="C557" s="35" t="s">
        <v>404</v>
      </c>
      <c r="D557" s="35" t="s">
        <v>405</v>
      </c>
      <c r="E557" s="35" t="s">
        <v>439</v>
      </c>
      <c r="F557" s="35" t="s">
        <v>407</v>
      </c>
    </row>
    <row r="558" spans="1:6">
      <c r="A558" s="34">
        <v>2084226712</v>
      </c>
      <c r="B558" s="35" t="s">
        <v>351</v>
      </c>
      <c r="C558" s="35" t="s">
        <v>404</v>
      </c>
      <c r="D558" s="35" t="s">
        <v>405</v>
      </c>
      <c r="E558" s="35" t="s">
        <v>439</v>
      </c>
      <c r="F558" s="35" t="s">
        <v>335</v>
      </c>
    </row>
    <row r="559" spans="1:6">
      <c r="A559" s="34">
        <v>2084229209</v>
      </c>
      <c r="B559" s="35" t="s">
        <v>351</v>
      </c>
      <c r="C559" s="35" t="s">
        <v>404</v>
      </c>
      <c r="D559" s="35" t="s">
        <v>405</v>
      </c>
      <c r="E559" s="35" t="s">
        <v>440</v>
      </c>
      <c r="F559" s="35" t="s">
        <v>408</v>
      </c>
    </row>
    <row r="560" spans="1:6">
      <c r="A560" s="34">
        <v>2084229210</v>
      </c>
      <c r="B560" s="35" t="s">
        <v>351</v>
      </c>
      <c r="C560" s="35" t="s">
        <v>404</v>
      </c>
      <c r="D560" s="35" t="s">
        <v>405</v>
      </c>
      <c r="E560" s="35" t="s">
        <v>440</v>
      </c>
      <c r="F560" s="35" t="s">
        <v>407</v>
      </c>
    </row>
    <row r="561" spans="1:6">
      <c r="A561" s="34">
        <v>2084229211</v>
      </c>
      <c r="B561" s="35" t="s">
        <v>351</v>
      </c>
      <c r="C561" s="35" t="s">
        <v>404</v>
      </c>
      <c r="D561" s="35" t="s">
        <v>405</v>
      </c>
      <c r="E561" s="35" t="s">
        <v>440</v>
      </c>
      <c r="F561" s="35" t="s">
        <v>335</v>
      </c>
    </row>
    <row r="562" spans="1:6">
      <c r="A562" s="34">
        <v>2084203595</v>
      </c>
      <c r="B562" s="35" t="s">
        <v>351</v>
      </c>
      <c r="C562" s="35" t="s">
        <v>404</v>
      </c>
      <c r="D562" s="35" t="s">
        <v>405</v>
      </c>
      <c r="E562" s="35" t="s">
        <v>441</v>
      </c>
      <c r="F562" s="35" t="s">
        <v>408</v>
      </c>
    </row>
    <row r="563" spans="1:6">
      <c r="A563" s="34">
        <v>2084228573</v>
      </c>
      <c r="B563" s="35" t="s">
        <v>351</v>
      </c>
      <c r="C563" s="35" t="s">
        <v>404</v>
      </c>
      <c r="D563" s="35" t="s">
        <v>405</v>
      </c>
      <c r="E563" s="35" t="s">
        <v>441</v>
      </c>
      <c r="F563" s="35" t="s">
        <v>407</v>
      </c>
    </row>
    <row r="564" spans="1:6">
      <c r="A564" s="34">
        <v>2084203596</v>
      </c>
      <c r="B564" s="35" t="s">
        <v>351</v>
      </c>
      <c r="C564" s="35" t="s">
        <v>404</v>
      </c>
      <c r="D564" s="35" t="s">
        <v>405</v>
      </c>
      <c r="E564" s="35" t="s">
        <v>441</v>
      </c>
      <c r="F564" s="35" t="s">
        <v>335</v>
      </c>
    </row>
    <row r="565" spans="1:6">
      <c r="A565" s="34">
        <v>2084057226</v>
      </c>
      <c r="B565" s="35" t="s">
        <v>351</v>
      </c>
      <c r="C565" s="35" t="s">
        <v>404</v>
      </c>
      <c r="D565" s="35" t="s">
        <v>353</v>
      </c>
      <c r="E565" s="35" t="s">
        <v>368</v>
      </c>
      <c r="F565" s="35" t="s">
        <v>370</v>
      </c>
    </row>
    <row r="566" spans="1:6">
      <c r="A566" s="34">
        <v>2084057227</v>
      </c>
      <c r="B566" s="35" t="s">
        <v>351</v>
      </c>
      <c r="C566" s="35" t="s">
        <v>404</v>
      </c>
      <c r="D566" s="35" t="s">
        <v>353</v>
      </c>
      <c r="E566" s="35" t="s">
        <v>368</v>
      </c>
      <c r="F566" s="35" t="s">
        <v>383</v>
      </c>
    </row>
    <row r="567" spans="1:6">
      <c r="A567" s="34">
        <v>2084057228</v>
      </c>
      <c r="B567" s="35" t="s">
        <v>351</v>
      </c>
      <c r="C567" s="35" t="s">
        <v>404</v>
      </c>
      <c r="D567" s="35" t="s">
        <v>353</v>
      </c>
      <c r="E567" s="35" t="s">
        <v>368</v>
      </c>
      <c r="F567" s="35" t="s">
        <v>419</v>
      </c>
    </row>
    <row r="568" spans="1:6">
      <c r="A568" s="34">
        <v>2084057229</v>
      </c>
      <c r="B568" s="35" t="s">
        <v>351</v>
      </c>
      <c r="C568" s="35" t="s">
        <v>404</v>
      </c>
      <c r="D568" s="35" t="s">
        <v>353</v>
      </c>
      <c r="E568" s="35" t="s">
        <v>368</v>
      </c>
      <c r="F568" s="35" t="s">
        <v>335</v>
      </c>
    </row>
    <row r="569" spans="1:6">
      <c r="A569" s="34">
        <v>2084057237</v>
      </c>
      <c r="B569" s="35" t="s">
        <v>351</v>
      </c>
      <c r="C569" s="35" t="s">
        <v>404</v>
      </c>
      <c r="D569" s="35" t="s">
        <v>353</v>
      </c>
      <c r="E569" s="35" t="s">
        <v>430</v>
      </c>
      <c r="F569" s="35" t="s">
        <v>370</v>
      </c>
    </row>
    <row r="570" spans="1:6">
      <c r="A570" s="34">
        <v>2084057238</v>
      </c>
      <c r="B570" s="35" t="s">
        <v>351</v>
      </c>
      <c r="C570" s="35" t="s">
        <v>404</v>
      </c>
      <c r="D570" s="35" t="s">
        <v>353</v>
      </c>
      <c r="E570" s="35" t="s">
        <v>430</v>
      </c>
      <c r="F570" s="35" t="s">
        <v>383</v>
      </c>
    </row>
    <row r="571" spans="1:6">
      <c r="A571" s="34">
        <v>2084057239</v>
      </c>
      <c r="B571" s="35" t="s">
        <v>351</v>
      </c>
      <c r="C571" s="35" t="s">
        <v>404</v>
      </c>
      <c r="D571" s="35" t="s">
        <v>353</v>
      </c>
      <c r="E571" s="35" t="s">
        <v>430</v>
      </c>
      <c r="F571" s="35" t="s">
        <v>419</v>
      </c>
    </row>
    <row r="572" spans="1:6">
      <c r="A572" s="34">
        <v>2084057247</v>
      </c>
      <c r="B572" s="35" t="s">
        <v>351</v>
      </c>
      <c r="C572" s="35" t="s">
        <v>404</v>
      </c>
      <c r="D572" s="35" t="s">
        <v>353</v>
      </c>
      <c r="E572" s="35" t="s">
        <v>430</v>
      </c>
      <c r="F572" s="35" t="s">
        <v>335</v>
      </c>
    </row>
    <row r="573" spans="1:6">
      <c r="A573" s="34">
        <v>2084057232</v>
      </c>
      <c r="B573" s="35" t="s">
        <v>351</v>
      </c>
      <c r="C573" s="35" t="s">
        <v>404</v>
      </c>
      <c r="D573" s="35" t="s">
        <v>353</v>
      </c>
      <c r="E573" s="35" t="s">
        <v>10</v>
      </c>
      <c r="F573" s="35" t="s">
        <v>397</v>
      </c>
    </row>
    <row r="574" spans="1:6">
      <c r="A574" s="34">
        <v>2084057233</v>
      </c>
      <c r="B574" s="35" t="s">
        <v>351</v>
      </c>
      <c r="C574" s="35" t="s">
        <v>404</v>
      </c>
      <c r="D574" s="35" t="s">
        <v>353</v>
      </c>
      <c r="E574" s="35" t="s">
        <v>10</v>
      </c>
      <c r="F574" s="35" t="s">
        <v>421</v>
      </c>
    </row>
    <row r="575" spans="1:6">
      <c r="A575" s="34">
        <v>2084057231</v>
      </c>
      <c r="B575" s="35" t="s">
        <v>351</v>
      </c>
      <c r="C575" s="35" t="s">
        <v>404</v>
      </c>
      <c r="D575" s="35" t="s">
        <v>353</v>
      </c>
      <c r="E575" s="35" t="s">
        <v>10</v>
      </c>
      <c r="F575" s="35" t="s">
        <v>398</v>
      </c>
    </row>
    <row r="576" spans="1:6">
      <c r="A576" s="34">
        <v>2084057234</v>
      </c>
      <c r="B576" s="35" t="s">
        <v>351</v>
      </c>
      <c r="C576" s="35" t="s">
        <v>404</v>
      </c>
      <c r="D576" s="35" t="s">
        <v>353</v>
      </c>
      <c r="E576" s="35" t="s">
        <v>10</v>
      </c>
      <c r="F576" s="35" t="s">
        <v>422</v>
      </c>
    </row>
    <row r="577" spans="1:6">
      <c r="A577" s="34">
        <v>2084057235</v>
      </c>
      <c r="B577" s="35" t="s">
        <v>351</v>
      </c>
      <c r="C577" s="35" t="s">
        <v>404</v>
      </c>
      <c r="D577" s="35" t="s">
        <v>353</v>
      </c>
      <c r="E577" s="35" t="s">
        <v>10</v>
      </c>
      <c r="F577" s="35" t="s">
        <v>335</v>
      </c>
    </row>
    <row r="578" spans="1:6">
      <c r="A578" s="34">
        <v>2084057248</v>
      </c>
      <c r="B578" s="35" t="s">
        <v>351</v>
      </c>
      <c r="C578" s="35" t="s">
        <v>404</v>
      </c>
      <c r="D578" s="35" t="s">
        <v>353</v>
      </c>
      <c r="E578" s="35" t="s">
        <v>379</v>
      </c>
      <c r="F578" s="35" t="s">
        <v>423</v>
      </c>
    </row>
    <row r="579" spans="1:6">
      <c r="A579" s="34">
        <v>2084057249</v>
      </c>
      <c r="B579" s="35" t="s">
        <v>351</v>
      </c>
      <c r="C579" s="35" t="s">
        <v>404</v>
      </c>
      <c r="D579" s="35" t="s">
        <v>353</v>
      </c>
      <c r="E579" s="35" t="s">
        <v>379</v>
      </c>
      <c r="F579" s="35" t="s">
        <v>424</v>
      </c>
    </row>
    <row r="580" spans="1:6">
      <c r="A580" s="34">
        <v>2084057250</v>
      </c>
      <c r="B580" s="35" t="s">
        <v>351</v>
      </c>
      <c r="C580" s="35" t="s">
        <v>404</v>
      </c>
      <c r="D580" s="35" t="s">
        <v>353</v>
      </c>
      <c r="E580" s="35" t="s">
        <v>335</v>
      </c>
    </row>
    <row r="581" spans="1:6">
      <c r="A581" s="34">
        <v>2084230673</v>
      </c>
      <c r="B581" s="35" t="s">
        <v>351</v>
      </c>
      <c r="C581" s="35" t="s">
        <v>404</v>
      </c>
      <c r="D581" s="35" t="s">
        <v>390</v>
      </c>
      <c r="E581" s="35" t="s">
        <v>401</v>
      </c>
    </row>
    <row r="582" spans="1:6">
      <c r="A582" s="34">
        <v>2084230674</v>
      </c>
      <c r="B582" s="35" t="s">
        <v>351</v>
      </c>
      <c r="C582" s="35" t="s">
        <v>404</v>
      </c>
      <c r="D582" s="35" t="s">
        <v>390</v>
      </c>
      <c r="E582" s="35" t="s">
        <v>402</v>
      </c>
    </row>
    <row r="583" spans="1:6">
      <c r="A583" s="34">
        <v>2084230675</v>
      </c>
      <c r="B583" s="35" t="s">
        <v>351</v>
      </c>
      <c r="C583" s="35" t="s">
        <v>404</v>
      </c>
      <c r="D583" s="35" t="s">
        <v>390</v>
      </c>
      <c r="E583" s="35" t="s">
        <v>420</v>
      </c>
    </row>
    <row r="584" spans="1:6">
      <c r="A584" s="34">
        <v>2084230676</v>
      </c>
      <c r="B584" s="35" t="s">
        <v>351</v>
      </c>
      <c r="C584" s="35" t="s">
        <v>404</v>
      </c>
      <c r="D584" s="35" t="s">
        <v>390</v>
      </c>
      <c r="E584" s="35" t="s">
        <v>403</v>
      </c>
    </row>
    <row r="585" spans="1:6">
      <c r="A585" s="34">
        <v>2084230677</v>
      </c>
      <c r="B585" s="35" t="s">
        <v>351</v>
      </c>
      <c r="C585" s="35" t="s">
        <v>404</v>
      </c>
      <c r="D585" s="35" t="s">
        <v>390</v>
      </c>
      <c r="E585" s="35" t="s">
        <v>335</v>
      </c>
    </row>
    <row r="586" spans="1:6">
      <c r="A586" s="34">
        <v>2084057223</v>
      </c>
      <c r="B586" s="35" t="s">
        <v>351</v>
      </c>
      <c r="C586" s="35" t="s">
        <v>404</v>
      </c>
      <c r="D586" s="35" t="s">
        <v>431</v>
      </c>
    </row>
    <row r="587" spans="1:6">
      <c r="A587" s="34">
        <v>2084057245</v>
      </c>
      <c r="B587" s="35" t="s">
        <v>351</v>
      </c>
      <c r="C587" s="35" t="s">
        <v>404</v>
      </c>
      <c r="D587" s="35" t="s">
        <v>442</v>
      </c>
      <c r="E587" s="35" t="s">
        <v>443</v>
      </c>
    </row>
    <row r="588" spans="1:6">
      <c r="A588" s="34">
        <v>2084057244</v>
      </c>
      <c r="B588" s="35" t="s">
        <v>351</v>
      </c>
      <c r="C588" s="35" t="s">
        <v>404</v>
      </c>
      <c r="D588" s="35" t="s">
        <v>442</v>
      </c>
      <c r="E588" s="35" t="s">
        <v>444</v>
      </c>
    </row>
    <row r="589" spans="1:6">
      <c r="A589" s="34">
        <v>2084057243</v>
      </c>
      <c r="B589" s="35" t="s">
        <v>351</v>
      </c>
      <c r="C589" s="35" t="s">
        <v>404</v>
      </c>
      <c r="D589" s="35" t="s">
        <v>442</v>
      </c>
      <c r="E589" s="35" t="s">
        <v>445</v>
      </c>
    </row>
    <row r="590" spans="1:6">
      <c r="A590" s="34">
        <v>2084057246</v>
      </c>
      <c r="B590" s="35" t="s">
        <v>351</v>
      </c>
      <c r="C590" s="35" t="s">
        <v>404</v>
      </c>
      <c r="D590" s="35" t="s">
        <v>442</v>
      </c>
      <c r="E590" s="35" t="s">
        <v>335</v>
      </c>
    </row>
    <row r="591" spans="1:6">
      <c r="A591" s="34">
        <v>2084246695</v>
      </c>
      <c r="B591" s="35" t="s">
        <v>351</v>
      </c>
      <c r="C591" s="35" t="s">
        <v>446</v>
      </c>
      <c r="D591" s="35" t="s">
        <v>447</v>
      </c>
    </row>
    <row r="592" spans="1:6">
      <c r="A592" s="34">
        <v>2084246694</v>
      </c>
      <c r="B592" s="35" t="s">
        <v>351</v>
      </c>
      <c r="C592" s="35" t="s">
        <v>446</v>
      </c>
      <c r="D592" s="35" t="s">
        <v>448</v>
      </c>
    </row>
    <row r="593" spans="1:5">
      <c r="A593" s="34">
        <v>2084214052</v>
      </c>
      <c r="B593" s="35" t="s">
        <v>351</v>
      </c>
      <c r="C593" s="35" t="s">
        <v>446</v>
      </c>
      <c r="D593" s="35" t="s">
        <v>449</v>
      </c>
    </row>
    <row r="594" spans="1:5">
      <c r="A594" s="34">
        <v>2084214050</v>
      </c>
      <c r="B594" s="35" t="s">
        <v>351</v>
      </c>
      <c r="C594" s="35" t="s">
        <v>446</v>
      </c>
      <c r="D594" s="35" t="s">
        <v>450</v>
      </c>
    </row>
    <row r="595" spans="1:5">
      <c r="A595" s="34">
        <v>2084214047</v>
      </c>
      <c r="B595" s="35" t="s">
        <v>351</v>
      </c>
      <c r="C595" s="35" t="s">
        <v>446</v>
      </c>
      <c r="D595" s="35" t="s">
        <v>357</v>
      </c>
    </row>
    <row r="596" spans="1:5">
      <c r="A596" s="34">
        <v>2084214335</v>
      </c>
      <c r="B596" s="35" t="s">
        <v>351</v>
      </c>
      <c r="C596" s="35" t="s">
        <v>446</v>
      </c>
      <c r="D596" s="35" t="s">
        <v>451</v>
      </c>
      <c r="E596" s="35" t="s">
        <v>452</v>
      </c>
    </row>
    <row r="597" spans="1:5">
      <c r="A597" s="34">
        <v>2084214336</v>
      </c>
      <c r="B597" s="35" t="s">
        <v>351</v>
      </c>
      <c r="C597" s="35" t="s">
        <v>446</v>
      </c>
      <c r="D597" s="35" t="s">
        <v>451</v>
      </c>
      <c r="E597" s="35" t="s">
        <v>453</v>
      </c>
    </row>
    <row r="598" spans="1:5">
      <c r="A598" s="34">
        <v>2084214053</v>
      </c>
      <c r="B598" s="35" t="s">
        <v>351</v>
      </c>
      <c r="C598" s="35" t="s">
        <v>446</v>
      </c>
      <c r="D598" s="35" t="s">
        <v>454</v>
      </c>
    </row>
    <row r="599" spans="1:5">
      <c r="A599" s="34">
        <v>2084214051</v>
      </c>
      <c r="B599" s="35" t="s">
        <v>351</v>
      </c>
      <c r="C599" s="35" t="s">
        <v>446</v>
      </c>
      <c r="D599" s="35" t="s">
        <v>455</v>
      </c>
    </row>
    <row r="600" spans="1:5">
      <c r="A600" s="34">
        <v>2084246696</v>
      </c>
      <c r="B600" s="35" t="s">
        <v>351</v>
      </c>
      <c r="C600" s="35" t="s">
        <v>446</v>
      </c>
      <c r="D600" s="35" t="s">
        <v>456</v>
      </c>
    </row>
    <row r="601" spans="1:5">
      <c r="A601" s="34">
        <v>2084214054</v>
      </c>
      <c r="B601" s="35" t="s">
        <v>351</v>
      </c>
      <c r="C601" s="35" t="s">
        <v>446</v>
      </c>
      <c r="D601" s="35" t="s">
        <v>457</v>
      </c>
    </row>
    <row r="602" spans="1:5">
      <c r="A602" s="34">
        <v>2084214046</v>
      </c>
      <c r="B602" s="35" t="s">
        <v>351</v>
      </c>
      <c r="C602" s="35" t="s">
        <v>446</v>
      </c>
      <c r="D602" s="35" t="s">
        <v>361</v>
      </c>
    </row>
    <row r="603" spans="1:5">
      <c r="A603" s="34">
        <v>2084214055</v>
      </c>
      <c r="B603" s="35" t="s">
        <v>351</v>
      </c>
      <c r="C603" s="35" t="s">
        <v>446</v>
      </c>
      <c r="D603" s="35" t="s">
        <v>458</v>
      </c>
    </row>
    <row r="604" spans="1:5">
      <c r="A604" s="34">
        <v>2084214049</v>
      </c>
      <c r="B604" s="35" t="s">
        <v>351</v>
      </c>
      <c r="C604" s="35" t="s">
        <v>446</v>
      </c>
      <c r="D604" s="35" t="s">
        <v>459</v>
      </c>
    </row>
    <row r="605" spans="1:5">
      <c r="A605" s="34">
        <v>2084214057</v>
      </c>
      <c r="B605" s="35" t="s">
        <v>351</v>
      </c>
      <c r="C605" s="35" t="s">
        <v>446</v>
      </c>
      <c r="D605" s="35" t="s">
        <v>460</v>
      </c>
    </row>
    <row r="606" spans="1:5">
      <c r="A606" s="34">
        <v>2084214048</v>
      </c>
      <c r="B606" s="35" t="s">
        <v>351</v>
      </c>
      <c r="C606" s="35" t="s">
        <v>446</v>
      </c>
      <c r="D606" s="35" t="s">
        <v>461</v>
      </c>
    </row>
    <row r="607" spans="1:5">
      <c r="A607" s="34">
        <v>2084214056</v>
      </c>
      <c r="B607" s="35" t="s">
        <v>351</v>
      </c>
      <c r="C607" s="35" t="s">
        <v>446</v>
      </c>
      <c r="D607" s="35" t="s">
        <v>335</v>
      </c>
    </row>
    <row r="608" spans="1:5">
      <c r="A608" s="34">
        <v>2084255832</v>
      </c>
      <c r="B608" s="35" t="s">
        <v>462</v>
      </c>
      <c r="C608" s="35" t="s">
        <v>405</v>
      </c>
      <c r="D608" s="35" t="s">
        <v>463</v>
      </c>
      <c r="E608" s="35" t="s">
        <v>464</v>
      </c>
    </row>
    <row r="609" spans="1:7">
      <c r="A609" s="34">
        <v>2084229922</v>
      </c>
      <c r="B609" s="35" t="s">
        <v>462</v>
      </c>
      <c r="C609" s="35" t="s">
        <v>405</v>
      </c>
      <c r="D609" s="35" t="s">
        <v>463</v>
      </c>
      <c r="E609" s="35" t="s">
        <v>465</v>
      </c>
    </row>
    <row r="610" spans="1:7">
      <c r="A610" s="34">
        <v>2084050167</v>
      </c>
      <c r="B610" s="35" t="s">
        <v>462</v>
      </c>
      <c r="C610" s="35" t="s">
        <v>405</v>
      </c>
      <c r="D610" s="35" t="s">
        <v>463</v>
      </c>
      <c r="E610" s="35" t="s">
        <v>466</v>
      </c>
    </row>
    <row r="611" spans="1:7">
      <c r="A611" s="34">
        <v>2084050169</v>
      </c>
      <c r="B611" s="35" t="s">
        <v>462</v>
      </c>
      <c r="C611" s="35" t="s">
        <v>405</v>
      </c>
      <c r="D611" s="35" t="s">
        <v>463</v>
      </c>
      <c r="E611" s="35" t="s">
        <v>467</v>
      </c>
    </row>
    <row r="612" spans="1:7">
      <c r="A612" s="34">
        <v>2084310026</v>
      </c>
      <c r="B612" s="35" t="s">
        <v>462</v>
      </c>
      <c r="C612" s="35" t="s">
        <v>405</v>
      </c>
      <c r="D612" s="35" t="s">
        <v>463</v>
      </c>
      <c r="E612" s="35" t="s">
        <v>468</v>
      </c>
      <c r="F612" s="35" t="s">
        <v>390</v>
      </c>
      <c r="G612" s="35" t="s">
        <v>469</v>
      </c>
    </row>
    <row r="613" spans="1:7">
      <c r="A613" s="34">
        <v>2084310027</v>
      </c>
      <c r="B613" s="35" t="s">
        <v>462</v>
      </c>
      <c r="C613" s="35" t="s">
        <v>405</v>
      </c>
      <c r="D613" s="35" t="s">
        <v>463</v>
      </c>
      <c r="E613" s="35" t="s">
        <v>468</v>
      </c>
      <c r="F613" s="35" t="s">
        <v>390</v>
      </c>
      <c r="G613" s="35" t="s">
        <v>470</v>
      </c>
    </row>
    <row r="614" spans="1:7">
      <c r="A614" s="34">
        <v>2084310028</v>
      </c>
      <c r="B614" s="35" t="s">
        <v>462</v>
      </c>
      <c r="C614" s="35" t="s">
        <v>405</v>
      </c>
      <c r="D614" s="35" t="s">
        <v>463</v>
      </c>
      <c r="E614" s="35" t="s">
        <v>468</v>
      </c>
      <c r="F614" s="35" t="s">
        <v>390</v>
      </c>
      <c r="G614" s="35" t="s">
        <v>471</v>
      </c>
    </row>
    <row r="615" spans="1:7">
      <c r="A615" s="34">
        <v>2084310029</v>
      </c>
      <c r="B615" s="35" t="s">
        <v>462</v>
      </c>
      <c r="C615" s="35" t="s">
        <v>405</v>
      </c>
      <c r="D615" s="35" t="s">
        <v>463</v>
      </c>
      <c r="E615" s="35" t="s">
        <v>468</v>
      </c>
      <c r="F615" s="35" t="s">
        <v>390</v>
      </c>
      <c r="G615" s="35" t="s">
        <v>472</v>
      </c>
    </row>
    <row r="616" spans="1:7">
      <c r="A616" s="34">
        <v>2084310030</v>
      </c>
      <c r="B616" s="35" t="s">
        <v>462</v>
      </c>
      <c r="C616" s="35" t="s">
        <v>405</v>
      </c>
      <c r="D616" s="35" t="s">
        <v>463</v>
      </c>
      <c r="E616" s="35" t="s">
        <v>468</v>
      </c>
      <c r="F616" s="35" t="s">
        <v>390</v>
      </c>
      <c r="G616" s="35" t="s">
        <v>473</v>
      </c>
    </row>
    <row r="617" spans="1:7">
      <c r="A617" s="34">
        <v>2084238680</v>
      </c>
      <c r="B617" s="35" t="s">
        <v>462</v>
      </c>
      <c r="C617" s="35" t="s">
        <v>405</v>
      </c>
      <c r="D617" s="35" t="s">
        <v>463</v>
      </c>
      <c r="E617" s="35" t="s">
        <v>468</v>
      </c>
      <c r="F617" s="35" t="s">
        <v>408</v>
      </c>
    </row>
    <row r="618" spans="1:7">
      <c r="A618" s="34">
        <v>2084238683</v>
      </c>
      <c r="B618" s="35" t="s">
        <v>462</v>
      </c>
      <c r="C618" s="35" t="s">
        <v>405</v>
      </c>
      <c r="D618" s="35" t="s">
        <v>463</v>
      </c>
      <c r="E618" s="35" t="s">
        <v>468</v>
      </c>
      <c r="F618" s="35" t="s">
        <v>335</v>
      </c>
    </row>
    <row r="619" spans="1:7">
      <c r="A619" s="34">
        <v>2084308632</v>
      </c>
      <c r="B619" s="35" t="s">
        <v>462</v>
      </c>
      <c r="C619" s="35" t="s">
        <v>405</v>
      </c>
      <c r="D619" s="35" t="s">
        <v>463</v>
      </c>
      <c r="E619" s="35" t="s">
        <v>474</v>
      </c>
      <c r="F619" s="35" t="s">
        <v>475</v>
      </c>
    </row>
    <row r="620" spans="1:7">
      <c r="A620" s="34">
        <v>2084308633</v>
      </c>
      <c r="B620" s="35" t="s">
        <v>462</v>
      </c>
      <c r="C620" s="35" t="s">
        <v>405</v>
      </c>
      <c r="D620" s="35" t="s">
        <v>463</v>
      </c>
      <c r="E620" s="35" t="s">
        <v>474</v>
      </c>
      <c r="F620" s="35" t="s">
        <v>367</v>
      </c>
    </row>
    <row r="621" spans="1:7">
      <c r="A621" s="34">
        <v>2084308634</v>
      </c>
      <c r="B621" s="35" t="s">
        <v>462</v>
      </c>
      <c r="C621" s="35" t="s">
        <v>405</v>
      </c>
      <c r="D621" s="35" t="s">
        <v>463</v>
      </c>
      <c r="E621" s="35" t="s">
        <v>474</v>
      </c>
      <c r="F621" s="35" t="s">
        <v>401</v>
      </c>
    </row>
    <row r="622" spans="1:7">
      <c r="A622" s="34">
        <v>2084308635</v>
      </c>
      <c r="B622" s="35" t="s">
        <v>462</v>
      </c>
      <c r="C622" s="35" t="s">
        <v>405</v>
      </c>
      <c r="D622" s="35" t="s">
        <v>463</v>
      </c>
      <c r="E622" s="35" t="s">
        <v>474</v>
      </c>
      <c r="F622" s="35" t="s">
        <v>402</v>
      </c>
    </row>
    <row r="623" spans="1:7">
      <c r="A623" s="34">
        <v>2084308637</v>
      </c>
      <c r="B623" s="35" t="s">
        <v>462</v>
      </c>
      <c r="C623" s="35" t="s">
        <v>405</v>
      </c>
      <c r="D623" s="35" t="s">
        <v>463</v>
      </c>
      <c r="E623" s="35" t="s">
        <v>474</v>
      </c>
      <c r="F623" s="35" t="s">
        <v>476</v>
      </c>
    </row>
    <row r="624" spans="1:7">
      <c r="A624" s="34">
        <v>2084308636</v>
      </c>
      <c r="B624" s="35" t="s">
        <v>462</v>
      </c>
      <c r="C624" s="35" t="s">
        <v>405</v>
      </c>
      <c r="D624" s="35" t="s">
        <v>463</v>
      </c>
      <c r="E624" s="35" t="s">
        <v>474</v>
      </c>
      <c r="F624" s="35" t="s">
        <v>477</v>
      </c>
    </row>
    <row r="625" spans="1:7">
      <c r="A625" s="34">
        <v>2084308638</v>
      </c>
      <c r="B625" s="35" t="s">
        <v>462</v>
      </c>
      <c r="C625" s="35" t="s">
        <v>405</v>
      </c>
      <c r="D625" s="35" t="s">
        <v>463</v>
      </c>
      <c r="E625" s="35" t="s">
        <v>474</v>
      </c>
      <c r="F625" s="35" t="s">
        <v>478</v>
      </c>
    </row>
    <row r="626" spans="1:7">
      <c r="A626" s="34">
        <v>2084308639</v>
      </c>
      <c r="B626" s="35" t="s">
        <v>462</v>
      </c>
      <c r="C626" s="35" t="s">
        <v>405</v>
      </c>
      <c r="D626" s="35" t="s">
        <v>463</v>
      </c>
      <c r="E626" s="35" t="s">
        <v>474</v>
      </c>
      <c r="F626" s="35" t="s">
        <v>335</v>
      </c>
    </row>
    <row r="627" spans="1:7">
      <c r="A627" s="34">
        <v>2084229889</v>
      </c>
      <c r="B627" s="35" t="s">
        <v>462</v>
      </c>
      <c r="C627" s="35" t="s">
        <v>405</v>
      </c>
      <c r="D627" s="35" t="s">
        <v>463</v>
      </c>
      <c r="E627" s="35" t="s">
        <v>479</v>
      </c>
    </row>
    <row r="628" spans="1:7">
      <c r="A628" s="34">
        <v>2084054357</v>
      </c>
      <c r="B628" s="35" t="s">
        <v>462</v>
      </c>
      <c r="C628" s="35" t="s">
        <v>405</v>
      </c>
      <c r="D628" s="35" t="s">
        <v>463</v>
      </c>
      <c r="E628" s="35" t="s">
        <v>480</v>
      </c>
      <c r="F628" s="35" t="s">
        <v>367</v>
      </c>
    </row>
    <row r="629" spans="1:7">
      <c r="A629" s="34">
        <v>2084054360</v>
      </c>
      <c r="B629" s="35" t="s">
        <v>462</v>
      </c>
      <c r="C629" s="35" t="s">
        <v>405</v>
      </c>
      <c r="D629" s="35" t="s">
        <v>463</v>
      </c>
      <c r="E629" s="35" t="s">
        <v>480</v>
      </c>
      <c r="F629" s="35" t="s">
        <v>368</v>
      </c>
      <c r="G629" s="35" t="s">
        <v>481</v>
      </c>
    </row>
    <row r="630" spans="1:7">
      <c r="A630" s="34">
        <v>2084054359</v>
      </c>
      <c r="B630" s="35" t="s">
        <v>462</v>
      </c>
      <c r="C630" s="35" t="s">
        <v>405</v>
      </c>
      <c r="D630" s="35" t="s">
        <v>463</v>
      </c>
      <c r="E630" s="35" t="s">
        <v>480</v>
      </c>
      <c r="F630" s="35" t="s">
        <v>368</v>
      </c>
      <c r="G630" s="35" t="s">
        <v>482</v>
      </c>
    </row>
    <row r="631" spans="1:7">
      <c r="A631" s="34">
        <v>2084054361</v>
      </c>
      <c r="B631" s="35" t="s">
        <v>462</v>
      </c>
      <c r="C631" s="35" t="s">
        <v>405</v>
      </c>
      <c r="D631" s="35" t="s">
        <v>463</v>
      </c>
      <c r="E631" s="35" t="s">
        <v>480</v>
      </c>
      <c r="F631" s="35" t="s">
        <v>368</v>
      </c>
      <c r="G631" s="35" t="s">
        <v>335</v>
      </c>
    </row>
    <row r="632" spans="1:7">
      <c r="A632" s="34">
        <v>2084054367</v>
      </c>
      <c r="B632" s="35" t="s">
        <v>462</v>
      </c>
      <c r="C632" s="35" t="s">
        <v>405</v>
      </c>
      <c r="D632" s="35" t="s">
        <v>463</v>
      </c>
      <c r="E632" s="35" t="s">
        <v>480</v>
      </c>
      <c r="F632" s="35" t="s">
        <v>10</v>
      </c>
      <c r="G632" s="35" t="s">
        <v>483</v>
      </c>
    </row>
    <row r="633" spans="1:7">
      <c r="A633" s="34">
        <v>2084054364</v>
      </c>
      <c r="B633" s="35" t="s">
        <v>462</v>
      </c>
      <c r="C633" s="35" t="s">
        <v>405</v>
      </c>
      <c r="D633" s="35" t="s">
        <v>463</v>
      </c>
      <c r="E633" s="35" t="s">
        <v>480</v>
      </c>
      <c r="F633" s="35" t="s">
        <v>10</v>
      </c>
      <c r="G633" s="35" t="s">
        <v>397</v>
      </c>
    </row>
    <row r="634" spans="1:7">
      <c r="A634" s="34">
        <v>2084054366</v>
      </c>
      <c r="B634" s="35" t="s">
        <v>462</v>
      </c>
      <c r="C634" s="35" t="s">
        <v>405</v>
      </c>
      <c r="D634" s="35" t="s">
        <v>463</v>
      </c>
      <c r="E634" s="35" t="s">
        <v>480</v>
      </c>
      <c r="F634" s="35" t="s">
        <v>10</v>
      </c>
      <c r="G634" s="35" t="s">
        <v>421</v>
      </c>
    </row>
    <row r="635" spans="1:7">
      <c r="A635" s="34">
        <v>2084054363</v>
      </c>
      <c r="B635" s="35" t="s">
        <v>462</v>
      </c>
      <c r="C635" s="35" t="s">
        <v>405</v>
      </c>
      <c r="D635" s="35" t="s">
        <v>463</v>
      </c>
      <c r="E635" s="35" t="s">
        <v>480</v>
      </c>
      <c r="F635" s="35" t="s">
        <v>10</v>
      </c>
      <c r="G635" s="35" t="s">
        <v>398</v>
      </c>
    </row>
    <row r="636" spans="1:7">
      <c r="A636" s="34">
        <v>2084054365</v>
      </c>
      <c r="B636" s="35" t="s">
        <v>462</v>
      </c>
      <c r="C636" s="35" t="s">
        <v>405</v>
      </c>
      <c r="D636" s="35" t="s">
        <v>463</v>
      </c>
      <c r="E636" s="35" t="s">
        <v>480</v>
      </c>
      <c r="F636" s="35" t="s">
        <v>10</v>
      </c>
      <c r="G636" s="35" t="s">
        <v>422</v>
      </c>
    </row>
    <row r="637" spans="1:7">
      <c r="A637" s="34">
        <v>2084054368</v>
      </c>
      <c r="B637" s="35" t="s">
        <v>462</v>
      </c>
      <c r="C637" s="35" t="s">
        <v>405</v>
      </c>
      <c r="D637" s="35" t="s">
        <v>463</v>
      </c>
      <c r="E637" s="35" t="s">
        <v>480</v>
      </c>
      <c r="F637" s="35" t="s">
        <v>10</v>
      </c>
      <c r="G637" s="35" t="s">
        <v>335</v>
      </c>
    </row>
    <row r="638" spans="1:7">
      <c r="A638" s="34">
        <v>2084054370</v>
      </c>
      <c r="B638" s="35" t="s">
        <v>462</v>
      </c>
      <c r="C638" s="35" t="s">
        <v>405</v>
      </c>
      <c r="D638" s="35" t="s">
        <v>463</v>
      </c>
      <c r="E638" s="35" t="s">
        <v>480</v>
      </c>
      <c r="F638" s="35" t="s">
        <v>379</v>
      </c>
      <c r="G638" s="35" t="s">
        <v>476</v>
      </c>
    </row>
    <row r="639" spans="1:7">
      <c r="A639" s="34">
        <v>2084054371</v>
      </c>
      <c r="B639" s="35" t="s">
        <v>462</v>
      </c>
      <c r="C639" s="35" t="s">
        <v>405</v>
      </c>
      <c r="D639" s="35" t="s">
        <v>463</v>
      </c>
      <c r="E639" s="35" t="s">
        <v>480</v>
      </c>
      <c r="F639" s="35" t="s">
        <v>379</v>
      </c>
      <c r="G639" s="35" t="s">
        <v>335</v>
      </c>
    </row>
    <row r="640" spans="1:7">
      <c r="A640" s="34">
        <v>2084054373</v>
      </c>
      <c r="B640" s="35" t="s">
        <v>462</v>
      </c>
      <c r="C640" s="35" t="s">
        <v>405</v>
      </c>
      <c r="D640" s="35" t="s">
        <v>463</v>
      </c>
      <c r="E640" s="35" t="s">
        <v>480</v>
      </c>
      <c r="F640" s="35" t="s">
        <v>484</v>
      </c>
    </row>
    <row r="641" spans="1:6">
      <c r="A641" s="34">
        <v>2084054372</v>
      </c>
      <c r="B641" s="35" t="s">
        <v>462</v>
      </c>
      <c r="C641" s="35" t="s">
        <v>405</v>
      </c>
      <c r="D641" s="35" t="s">
        <v>463</v>
      </c>
      <c r="E641" s="35" t="s">
        <v>480</v>
      </c>
      <c r="F641" s="35" t="s">
        <v>335</v>
      </c>
    </row>
    <row r="642" spans="1:6">
      <c r="A642" s="34">
        <v>2084289143</v>
      </c>
      <c r="B642" s="35" t="s">
        <v>462</v>
      </c>
      <c r="C642" s="35" t="s">
        <v>405</v>
      </c>
      <c r="D642" s="35" t="s">
        <v>463</v>
      </c>
      <c r="E642" s="35" t="s">
        <v>485</v>
      </c>
      <c r="F642" s="35" t="s">
        <v>407</v>
      </c>
    </row>
    <row r="643" spans="1:6">
      <c r="A643" s="34">
        <v>2084289142</v>
      </c>
      <c r="B643" s="35" t="s">
        <v>462</v>
      </c>
      <c r="C643" s="35" t="s">
        <v>405</v>
      </c>
      <c r="D643" s="35" t="s">
        <v>463</v>
      </c>
      <c r="E643" s="35" t="s">
        <v>485</v>
      </c>
      <c r="F643" s="35" t="s">
        <v>408</v>
      </c>
    </row>
    <row r="644" spans="1:6">
      <c r="A644" s="34">
        <v>2084305464</v>
      </c>
      <c r="B644" s="35" t="s">
        <v>462</v>
      </c>
      <c r="C644" s="35" t="s">
        <v>405</v>
      </c>
      <c r="D644" s="35" t="s">
        <v>463</v>
      </c>
      <c r="E644" s="35" t="s">
        <v>486</v>
      </c>
      <c r="F644" s="35" t="s">
        <v>407</v>
      </c>
    </row>
    <row r="645" spans="1:6">
      <c r="A645" s="34">
        <v>2084305463</v>
      </c>
      <c r="B645" s="35" t="s">
        <v>462</v>
      </c>
      <c r="C645" s="35" t="s">
        <v>405</v>
      </c>
      <c r="D645" s="35" t="s">
        <v>463</v>
      </c>
      <c r="E645" s="35" t="s">
        <v>486</v>
      </c>
      <c r="F645" s="35" t="s">
        <v>408</v>
      </c>
    </row>
    <row r="646" spans="1:6">
      <c r="A646" s="34">
        <v>2084230540</v>
      </c>
      <c r="B646" s="35" t="s">
        <v>462</v>
      </c>
      <c r="C646" s="35" t="s">
        <v>405</v>
      </c>
      <c r="D646" s="35" t="s">
        <v>463</v>
      </c>
      <c r="E646" s="35" t="s">
        <v>487</v>
      </c>
      <c r="F646" s="35" t="s">
        <v>335</v>
      </c>
    </row>
    <row r="647" spans="1:6">
      <c r="A647" s="34">
        <v>2084230539</v>
      </c>
      <c r="B647" s="35" t="s">
        <v>462</v>
      </c>
      <c r="C647" s="35" t="s">
        <v>405</v>
      </c>
      <c r="D647" s="35" t="s">
        <v>463</v>
      </c>
      <c r="E647" s="35" t="s">
        <v>487</v>
      </c>
      <c r="F647" s="35" t="s">
        <v>407</v>
      </c>
    </row>
    <row r="648" spans="1:6">
      <c r="A648" s="34">
        <v>2084230538</v>
      </c>
      <c r="B648" s="35" t="s">
        <v>462</v>
      </c>
      <c r="C648" s="35" t="s">
        <v>405</v>
      </c>
      <c r="D648" s="35" t="s">
        <v>463</v>
      </c>
      <c r="E648" s="35" t="s">
        <v>487</v>
      </c>
      <c r="F648" s="35" t="s">
        <v>408</v>
      </c>
    </row>
    <row r="649" spans="1:6">
      <c r="A649" s="34">
        <v>2084289449</v>
      </c>
      <c r="B649" s="35" t="s">
        <v>462</v>
      </c>
      <c r="C649" s="35" t="s">
        <v>405</v>
      </c>
      <c r="D649" s="35" t="s">
        <v>463</v>
      </c>
      <c r="E649" s="35" t="s">
        <v>488</v>
      </c>
      <c r="F649" s="35" t="s">
        <v>367</v>
      </c>
    </row>
    <row r="650" spans="1:6">
      <c r="A650" s="34">
        <v>2084289450</v>
      </c>
      <c r="B650" s="35" t="s">
        <v>462</v>
      </c>
      <c r="C650" s="35" t="s">
        <v>405</v>
      </c>
      <c r="D650" s="35" t="s">
        <v>463</v>
      </c>
      <c r="E650" s="35" t="s">
        <v>488</v>
      </c>
      <c r="F650" s="35" t="s">
        <v>401</v>
      </c>
    </row>
    <row r="651" spans="1:6">
      <c r="A651" s="34">
        <v>2084289451</v>
      </c>
      <c r="B651" s="35" t="s">
        <v>462</v>
      </c>
      <c r="C651" s="35" t="s">
        <v>405</v>
      </c>
      <c r="D651" s="35" t="s">
        <v>463</v>
      </c>
      <c r="E651" s="35" t="s">
        <v>488</v>
      </c>
      <c r="F651" s="35" t="s">
        <v>402</v>
      </c>
    </row>
    <row r="652" spans="1:6">
      <c r="A652" s="34">
        <v>2084289452</v>
      </c>
      <c r="B652" s="35" t="s">
        <v>462</v>
      </c>
      <c r="C652" s="35" t="s">
        <v>405</v>
      </c>
      <c r="D652" s="35" t="s">
        <v>463</v>
      </c>
      <c r="E652" s="35" t="s">
        <v>488</v>
      </c>
      <c r="F652" s="35" t="s">
        <v>477</v>
      </c>
    </row>
    <row r="653" spans="1:6">
      <c r="A653" s="34">
        <v>2084289453</v>
      </c>
      <c r="B653" s="35" t="s">
        <v>462</v>
      </c>
      <c r="C653" s="35" t="s">
        <v>405</v>
      </c>
      <c r="D653" s="35" t="s">
        <v>463</v>
      </c>
      <c r="E653" s="35" t="s">
        <v>488</v>
      </c>
      <c r="F653" s="35" t="s">
        <v>476</v>
      </c>
    </row>
    <row r="654" spans="1:6">
      <c r="A654" s="34">
        <v>2084289454</v>
      </c>
      <c r="B654" s="35" t="s">
        <v>462</v>
      </c>
      <c r="C654" s="35" t="s">
        <v>405</v>
      </c>
      <c r="D654" s="35" t="s">
        <v>463</v>
      </c>
      <c r="E654" s="35" t="s">
        <v>488</v>
      </c>
      <c r="F654" s="35" t="s">
        <v>478</v>
      </c>
    </row>
    <row r="655" spans="1:6">
      <c r="A655" s="34">
        <v>2084289455</v>
      </c>
      <c r="B655" s="35" t="s">
        <v>462</v>
      </c>
      <c r="C655" s="35" t="s">
        <v>405</v>
      </c>
      <c r="D655" s="35" t="s">
        <v>463</v>
      </c>
      <c r="E655" s="35" t="s">
        <v>488</v>
      </c>
      <c r="F655" s="35" t="s">
        <v>335</v>
      </c>
    </row>
    <row r="656" spans="1:6">
      <c r="A656" s="34">
        <v>2084056309</v>
      </c>
      <c r="B656" s="35" t="s">
        <v>462</v>
      </c>
      <c r="C656" s="35" t="s">
        <v>405</v>
      </c>
      <c r="D656" s="35" t="s">
        <v>463</v>
      </c>
      <c r="E656" s="35" t="s">
        <v>489</v>
      </c>
      <c r="F656" s="35" t="s">
        <v>367</v>
      </c>
    </row>
    <row r="657" spans="1:7">
      <c r="A657" s="34">
        <v>2084056311</v>
      </c>
      <c r="B657" s="35" t="s">
        <v>462</v>
      </c>
      <c r="C657" s="35" t="s">
        <v>405</v>
      </c>
      <c r="D657" s="35" t="s">
        <v>463</v>
      </c>
      <c r="E657" s="35" t="s">
        <v>489</v>
      </c>
      <c r="F657" s="35" t="s">
        <v>368</v>
      </c>
      <c r="G657" s="35" t="s">
        <v>481</v>
      </c>
    </row>
    <row r="658" spans="1:7">
      <c r="A658" s="34">
        <v>2084056312</v>
      </c>
      <c r="B658" s="35" t="s">
        <v>462</v>
      </c>
      <c r="C658" s="35" t="s">
        <v>405</v>
      </c>
      <c r="D658" s="35" t="s">
        <v>463</v>
      </c>
      <c r="E658" s="35" t="s">
        <v>489</v>
      </c>
      <c r="F658" s="35" t="s">
        <v>368</v>
      </c>
      <c r="G658" s="35" t="s">
        <v>335</v>
      </c>
    </row>
    <row r="659" spans="1:7">
      <c r="A659" s="34">
        <v>2084056320</v>
      </c>
      <c r="B659" s="35" t="s">
        <v>462</v>
      </c>
      <c r="C659" s="35" t="s">
        <v>405</v>
      </c>
      <c r="D659" s="35" t="s">
        <v>463</v>
      </c>
      <c r="E659" s="35" t="s">
        <v>489</v>
      </c>
      <c r="F659" s="35" t="s">
        <v>10</v>
      </c>
      <c r="G659" s="35" t="s">
        <v>483</v>
      </c>
    </row>
    <row r="660" spans="1:7">
      <c r="A660" s="34">
        <v>2084056316</v>
      </c>
      <c r="B660" s="35" t="s">
        <v>462</v>
      </c>
      <c r="C660" s="35" t="s">
        <v>405</v>
      </c>
      <c r="D660" s="35" t="s">
        <v>463</v>
      </c>
      <c r="E660" s="35" t="s">
        <v>489</v>
      </c>
      <c r="F660" s="35" t="s">
        <v>10</v>
      </c>
      <c r="G660" s="35" t="s">
        <v>397</v>
      </c>
    </row>
    <row r="661" spans="1:7">
      <c r="A661" s="34">
        <v>2084056319</v>
      </c>
      <c r="B661" s="35" t="s">
        <v>462</v>
      </c>
      <c r="C661" s="35" t="s">
        <v>405</v>
      </c>
      <c r="D661" s="35" t="s">
        <v>463</v>
      </c>
      <c r="E661" s="35" t="s">
        <v>489</v>
      </c>
      <c r="F661" s="35" t="s">
        <v>10</v>
      </c>
      <c r="G661" s="35" t="s">
        <v>421</v>
      </c>
    </row>
    <row r="662" spans="1:7">
      <c r="A662" s="34">
        <v>2084056315</v>
      </c>
      <c r="B662" s="35" t="s">
        <v>462</v>
      </c>
      <c r="C662" s="35" t="s">
        <v>405</v>
      </c>
      <c r="D662" s="35" t="s">
        <v>463</v>
      </c>
      <c r="E662" s="35" t="s">
        <v>489</v>
      </c>
      <c r="F662" s="35" t="s">
        <v>10</v>
      </c>
      <c r="G662" s="35" t="s">
        <v>398</v>
      </c>
    </row>
    <row r="663" spans="1:7">
      <c r="A663" s="34">
        <v>2084056318</v>
      </c>
      <c r="B663" s="35" t="s">
        <v>462</v>
      </c>
      <c r="C663" s="35" t="s">
        <v>405</v>
      </c>
      <c r="D663" s="35" t="s">
        <v>463</v>
      </c>
      <c r="E663" s="35" t="s">
        <v>489</v>
      </c>
      <c r="F663" s="35" t="s">
        <v>10</v>
      </c>
      <c r="G663" s="35" t="s">
        <v>422</v>
      </c>
    </row>
    <row r="664" spans="1:7">
      <c r="A664" s="34">
        <v>2084056321</v>
      </c>
      <c r="B664" s="35" t="s">
        <v>462</v>
      </c>
      <c r="C664" s="35" t="s">
        <v>405</v>
      </c>
      <c r="D664" s="35" t="s">
        <v>463</v>
      </c>
      <c r="E664" s="35" t="s">
        <v>489</v>
      </c>
      <c r="F664" s="35" t="s">
        <v>10</v>
      </c>
      <c r="G664" s="35" t="s">
        <v>335</v>
      </c>
    </row>
    <row r="665" spans="1:7">
      <c r="A665" s="34">
        <v>2084056326</v>
      </c>
      <c r="B665" s="35" t="s">
        <v>462</v>
      </c>
      <c r="C665" s="35" t="s">
        <v>405</v>
      </c>
      <c r="D665" s="35" t="s">
        <v>463</v>
      </c>
      <c r="E665" s="35" t="s">
        <v>489</v>
      </c>
      <c r="F665" s="35" t="s">
        <v>379</v>
      </c>
      <c r="G665" s="35" t="s">
        <v>476</v>
      </c>
    </row>
    <row r="666" spans="1:7">
      <c r="A666" s="34">
        <v>2084056327</v>
      </c>
      <c r="B666" s="35" t="s">
        <v>462</v>
      </c>
      <c r="C666" s="35" t="s">
        <v>405</v>
      </c>
      <c r="D666" s="35" t="s">
        <v>463</v>
      </c>
      <c r="E666" s="35" t="s">
        <v>489</v>
      </c>
      <c r="F666" s="35" t="s">
        <v>379</v>
      </c>
      <c r="G666" s="35" t="s">
        <v>335</v>
      </c>
    </row>
    <row r="667" spans="1:7">
      <c r="A667" s="34">
        <v>2084056330</v>
      </c>
      <c r="B667" s="35" t="s">
        <v>462</v>
      </c>
      <c r="C667" s="35" t="s">
        <v>405</v>
      </c>
      <c r="D667" s="35" t="s">
        <v>463</v>
      </c>
      <c r="E667" s="35" t="s">
        <v>489</v>
      </c>
      <c r="F667" s="35" t="s">
        <v>335</v>
      </c>
    </row>
    <row r="668" spans="1:7">
      <c r="A668" s="34">
        <v>2084205264</v>
      </c>
      <c r="B668" s="35" t="s">
        <v>462</v>
      </c>
      <c r="C668" s="35" t="s">
        <v>405</v>
      </c>
      <c r="D668" s="35" t="s">
        <v>463</v>
      </c>
      <c r="E668" s="35" t="s">
        <v>490</v>
      </c>
      <c r="F668" s="35" t="s">
        <v>367</v>
      </c>
    </row>
    <row r="669" spans="1:7">
      <c r="A669" s="34">
        <v>2084205265</v>
      </c>
      <c r="B669" s="35" t="s">
        <v>462</v>
      </c>
      <c r="C669" s="35" t="s">
        <v>405</v>
      </c>
      <c r="D669" s="35" t="s">
        <v>463</v>
      </c>
      <c r="E669" s="35" t="s">
        <v>490</v>
      </c>
      <c r="F669" s="35" t="s">
        <v>401</v>
      </c>
    </row>
    <row r="670" spans="1:7">
      <c r="A670" s="34">
        <v>2084205266</v>
      </c>
      <c r="B670" s="35" t="s">
        <v>462</v>
      </c>
      <c r="C670" s="35" t="s">
        <v>405</v>
      </c>
      <c r="D670" s="35" t="s">
        <v>463</v>
      </c>
      <c r="E670" s="35" t="s">
        <v>490</v>
      </c>
      <c r="F670" s="35" t="s">
        <v>402</v>
      </c>
    </row>
    <row r="671" spans="1:7">
      <c r="A671" s="34">
        <v>2084205267</v>
      </c>
      <c r="B671" s="35" t="s">
        <v>462</v>
      </c>
      <c r="C671" s="35" t="s">
        <v>405</v>
      </c>
      <c r="D671" s="35" t="s">
        <v>463</v>
      </c>
      <c r="E671" s="35" t="s">
        <v>490</v>
      </c>
      <c r="F671" s="35" t="s">
        <v>403</v>
      </c>
    </row>
    <row r="672" spans="1:7">
      <c r="A672" s="34">
        <v>2084205268</v>
      </c>
      <c r="B672" s="35" t="s">
        <v>462</v>
      </c>
      <c r="C672" s="35" t="s">
        <v>405</v>
      </c>
      <c r="D672" s="35" t="s">
        <v>463</v>
      </c>
      <c r="E672" s="35" t="s">
        <v>490</v>
      </c>
      <c r="F672" s="35" t="s">
        <v>335</v>
      </c>
    </row>
    <row r="673" spans="1:7">
      <c r="A673" s="34">
        <v>2084237978</v>
      </c>
      <c r="B673" s="35" t="s">
        <v>462</v>
      </c>
      <c r="C673" s="35" t="s">
        <v>405</v>
      </c>
      <c r="D673" s="35" t="s">
        <v>463</v>
      </c>
      <c r="E673" s="35" t="s">
        <v>491</v>
      </c>
      <c r="F673" s="35" t="s">
        <v>390</v>
      </c>
      <c r="G673" s="35" t="s">
        <v>367</v>
      </c>
    </row>
    <row r="674" spans="1:7">
      <c r="A674" s="34">
        <v>2084237979</v>
      </c>
      <c r="B674" s="35" t="s">
        <v>462</v>
      </c>
      <c r="C674" s="35" t="s">
        <v>405</v>
      </c>
      <c r="D674" s="35" t="s">
        <v>463</v>
      </c>
      <c r="E674" s="35" t="s">
        <v>491</v>
      </c>
      <c r="F674" s="35" t="s">
        <v>390</v>
      </c>
      <c r="G674" s="35" t="s">
        <v>401</v>
      </c>
    </row>
    <row r="675" spans="1:7">
      <c r="A675" s="34">
        <v>2084237980</v>
      </c>
      <c r="B675" s="35" t="s">
        <v>462</v>
      </c>
      <c r="C675" s="35" t="s">
        <v>405</v>
      </c>
      <c r="D675" s="35" t="s">
        <v>463</v>
      </c>
      <c r="E675" s="35" t="s">
        <v>491</v>
      </c>
      <c r="F675" s="35" t="s">
        <v>390</v>
      </c>
      <c r="G675" s="35" t="s">
        <v>402</v>
      </c>
    </row>
    <row r="676" spans="1:7">
      <c r="A676" s="34">
        <v>2084237982</v>
      </c>
      <c r="B676" s="35" t="s">
        <v>462</v>
      </c>
      <c r="C676" s="35" t="s">
        <v>405</v>
      </c>
      <c r="D676" s="35" t="s">
        <v>463</v>
      </c>
      <c r="E676" s="35" t="s">
        <v>491</v>
      </c>
      <c r="F676" s="35" t="s">
        <v>390</v>
      </c>
      <c r="G676" s="35" t="s">
        <v>403</v>
      </c>
    </row>
    <row r="677" spans="1:7">
      <c r="A677" s="34">
        <v>2084237981</v>
      </c>
      <c r="B677" s="35" t="s">
        <v>462</v>
      </c>
      <c r="C677" s="35" t="s">
        <v>405</v>
      </c>
      <c r="D677" s="35" t="s">
        <v>463</v>
      </c>
      <c r="E677" s="35" t="s">
        <v>491</v>
      </c>
      <c r="F677" s="35" t="s">
        <v>390</v>
      </c>
      <c r="G677" s="35" t="s">
        <v>478</v>
      </c>
    </row>
    <row r="678" spans="1:7">
      <c r="A678" s="34">
        <v>2084237983</v>
      </c>
      <c r="B678" s="35" t="s">
        <v>462</v>
      </c>
      <c r="C678" s="35" t="s">
        <v>405</v>
      </c>
      <c r="D678" s="35" t="s">
        <v>463</v>
      </c>
      <c r="E678" s="35" t="s">
        <v>491</v>
      </c>
      <c r="F678" s="35" t="s">
        <v>390</v>
      </c>
      <c r="G678" s="35" t="s">
        <v>335</v>
      </c>
    </row>
    <row r="679" spans="1:7">
      <c r="A679" s="34">
        <v>2084237984</v>
      </c>
      <c r="B679" s="35" t="s">
        <v>462</v>
      </c>
      <c r="C679" s="35" t="s">
        <v>405</v>
      </c>
      <c r="D679" s="35" t="s">
        <v>463</v>
      </c>
      <c r="E679" s="35" t="s">
        <v>491</v>
      </c>
      <c r="F679" s="35" t="s">
        <v>353</v>
      </c>
      <c r="G679" s="35" t="s">
        <v>367</v>
      </c>
    </row>
    <row r="680" spans="1:7">
      <c r="A680" s="34">
        <v>2084237985</v>
      </c>
      <c r="B680" s="35" t="s">
        <v>462</v>
      </c>
      <c r="C680" s="35" t="s">
        <v>405</v>
      </c>
      <c r="D680" s="35" t="s">
        <v>463</v>
      </c>
      <c r="E680" s="35" t="s">
        <v>491</v>
      </c>
      <c r="F680" s="35" t="s">
        <v>353</v>
      </c>
      <c r="G680" s="35" t="s">
        <v>401</v>
      </c>
    </row>
    <row r="681" spans="1:7">
      <c r="A681" s="34">
        <v>2084237986</v>
      </c>
      <c r="B681" s="35" t="s">
        <v>462</v>
      </c>
      <c r="C681" s="35" t="s">
        <v>405</v>
      </c>
      <c r="D681" s="35" t="s">
        <v>463</v>
      </c>
      <c r="E681" s="35" t="s">
        <v>491</v>
      </c>
      <c r="F681" s="35" t="s">
        <v>353</v>
      </c>
      <c r="G681" s="35" t="s">
        <v>402</v>
      </c>
    </row>
    <row r="682" spans="1:7">
      <c r="A682" s="34">
        <v>2084237987</v>
      </c>
      <c r="B682" s="35" t="s">
        <v>462</v>
      </c>
      <c r="C682" s="35" t="s">
        <v>405</v>
      </c>
      <c r="D682" s="35" t="s">
        <v>463</v>
      </c>
      <c r="E682" s="35" t="s">
        <v>491</v>
      </c>
      <c r="F682" s="35" t="s">
        <v>353</v>
      </c>
      <c r="G682" s="35" t="s">
        <v>403</v>
      </c>
    </row>
    <row r="683" spans="1:7">
      <c r="A683" s="34">
        <v>2084237988</v>
      </c>
      <c r="B683" s="35" t="s">
        <v>462</v>
      </c>
      <c r="C683" s="35" t="s">
        <v>405</v>
      </c>
      <c r="D683" s="35" t="s">
        <v>463</v>
      </c>
      <c r="E683" s="35" t="s">
        <v>491</v>
      </c>
      <c r="F683" s="35" t="s">
        <v>353</v>
      </c>
      <c r="G683" s="35" t="s">
        <v>335</v>
      </c>
    </row>
    <row r="684" spans="1:7">
      <c r="A684" s="34">
        <v>2084229921</v>
      </c>
      <c r="B684" s="35" t="s">
        <v>462</v>
      </c>
      <c r="C684" s="35" t="s">
        <v>405</v>
      </c>
      <c r="D684" s="35" t="s">
        <v>463</v>
      </c>
      <c r="E684" s="35" t="s">
        <v>491</v>
      </c>
      <c r="F684" s="35" t="s">
        <v>335</v>
      </c>
    </row>
    <row r="685" spans="1:7">
      <c r="A685" s="34">
        <v>2084242857</v>
      </c>
      <c r="B685" s="35" t="s">
        <v>462</v>
      </c>
      <c r="C685" s="35" t="s">
        <v>405</v>
      </c>
      <c r="D685" s="35" t="s">
        <v>463</v>
      </c>
      <c r="E685" s="35" t="s">
        <v>492</v>
      </c>
      <c r="F685" s="35" t="s">
        <v>475</v>
      </c>
    </row>
    <row r="686" spans="1:7">
      <c r="A686" s="34">
        <v>2084242608</v>
      </c>
      <c r="B686" s="35" t="s">
        <v>462</v>
      </c>
      <c r="C686" s="35" t="s">
        <v>405</v>
      </c>
      <c r="D686" s="35" t="s">
        <v>463</v>
      </c>
      <c r="E686" s="35" t="s">
        <v>492</v>
      </c>
      <c r="F686" s="35" t="s">
        <v>390</v>
      </c>
      <c r="G686" s="35" t="s">
        <v>401</v>
      </c>
    </row>
    <row r="687" spans="1:7">
      <c r="A687" s="34">
        <v>2084242609</v>
      </c>
      <c r="B687" s="35" t="s">
        <v>462</v>
      </c>
      <c r="C687" s="35" t="s">
        <v>405</v>
      </c>
      <c r="D687" s="35" t="s">
        <v>463</v>
      </c>
      <c r="E687" s="35" t="s">
        <v>492</v>
      </c>
      <c r="F687" s="35" t="s">
        <v>390</v>
      </c>
      <c r="G687" s="35" t="s">
        <v>402</v>
      </c>
    </row>
    <row r="688" spans="1:7">
      <c r="A688" s="34">
        <v>2084242610</v>
      </c>
      <c r="B688" s="35" t="s">
        <v>462</v>
      </c>
      <c r="C688" s="35" t="s">
        <v>405</v>
      </c>
      <c r="D688" s="35" t="s">
        <v>463</v>
      </c>
      <c r="E688" s="35" t="s">
        <v>492</v>
      </c>
      <c r="F688" s="35" t="s">
        <v>390</v>
      </c>
      <c r="G688" s="35" t="s">
        <v>403</v>
      </c>
    </row>
    <row r="689" spans="1:8">
      <c r="A689" s="34">
        <v>2084242611</v>
      </c>
      <c r="B689" s="35" t="s">
        <v>462</v>
      </c>
      <c r="C689" s="35" t="s">
        <v>405</v>
      </c>
      <c r="D689" s="35" t="s">
        <v>463</v>
      </c>
      <c r="E689" s="35" t="s">
        <v>492</v>
      </c>
      <c r="F689" s="35" t="s">
        <v>390</v>
      </c>
      <c r="G689" s="35" t="s">
        <v>335</v>
      </c>
    </row>
    <row r="690" spans="1:8">
      <c r="A690" s="34">
        <v>2084030700</v>
      </c>
      <c r="B690" s="35" t="s">
        <v>462</v>
      </c>
      <c r="C690" s="35" t="s">
        <v>405</v>
      </c>
      <c r="D690" s="35" t="s">
        <v>463</v>
      </c>
      <c r="E690" s="35" t="s">
        <v>492</v>
      </c>
      <c r="F690" s="35" t="s">
        <v>353</v>
      </c>
      <c r="G690" s="35" t="s">
        <v>481</v>
      </c>
    </row>
    <row r="691" spans="1:8">
      <c r="A691" s="34">
        <v>2084030277</v>
      </c>
      <c r="B691" s="35" t="s">
        <v>462</v>
      </c>
      <c r="C691" s="35" t="s">
        <v>405</v>
      </c>
      <c r="D691" s="35" t="s">
        <v>463</v>
      </c>
      <c r="E691" s="35" t="s">
        <v>492</v>
      </c>
      <c r="F691" s="35" t="s">
        <v>353</v>
      </c>
      <c r="G691" s="35" t="s">
        <v>493</v>
      </c>
    </row>
    <row r="692" spans="1:8">
      <c r="A692" s="34">
        <v>2084031389</v>
      </c>
      <c r="B692" s="35" t="s">
        <v>462</v>
      </c>
      <c r="C692" s="35" t="s">
        <v>405</v>
      </c>
      <c r="D692" s="35" t="s">
        <v>463</v>
      </c>
      <c r="E692" s="35" t="s">
        <v>492</v>
      </c>
      <c r="F692" s="35" t="s">
        <v>353</v>
      </c>
      <c r="G692" s="35" t="s">
        <v>494</v>
      </c>
    </row>
    <row r="693" spans="1:8">
      <c r="A693" s="34">
        <v>2084031538</v>
      </c>
      <c r="B693" s="35" t="s">
        <v>462</v>
      </c>
      <c r="C693" s="35" t="s">
        <v>405</v>
      </c>
      <c r="D693" s="35" t="s">
        <v>463</v>
      </c>
      <c r="E693" s="35" t="s">
        <v>492</v>
      </c>
      <c r="F693" s="35" t="s">
        <v>353</v>
      </c>
      <c r="G693" s="35" t="s">
        <v>397</v>
      </c>
    </row>
    <row r="694" spans="1:8">
      <c r="A694" s="34">
        <v>2084030400</v>
      </c>
      <c r="B694" s="35" t="s">
        <v>462</v>
      </c>
      <c r="C694" s="35" t="s">
        <v>405</v>
      </c>
      <c r="D694" s="35" t="s">
        <v>463</v>
      </c>
      <c r="E694" s="35" t="s">
        <v>492</v>
      </c>
      <c r="F694" s="35" t="s">
        <v>353</v>
      </c>
      <c r="G694" s="35" t="s">
        <v>421</v>
      </c>
    </row>
    <row r="695" spans="1:8">
      <c r="A695" s="34">
        <v>2084221909</v>
      </c>
      <c r="B695" s="35" t="s">
        <v>462</v>
      </c>
      <c r="C695" s="35" t="s">
        <v>405</v>
      </c>
      <c r="D695" s="35" t="s">
        <v>463</v>
      </c>
      <c r="E695" s="35" t="s">
        <v>492</v>
      </c>
      <c r="F695" s="35" t="s">
        <v>353</v>
      </c>
      <c r="G695" s="35" t="s">
        <v>378</v>
      </c>
      <c r="H695" s="35" t="s">
        <v>391</v>
      </c>
    </row>
    <row r="696" spans="1:8">
      <c r="A696" s="34">
        <v>2084221910</v>
      </c>
      <c r="B696" s="35" t="s">
        <v>462</v>
      </c>
      <c r="C696" s="35" t="s">
        <v>405</v>
      </c>
      <c r="D696" s="35" t="s">
        <v>463</v>
      </c>
      <c r="E696" s="35" t="s">
        <v>492</v>
      </c>
      <c r="F696" s="35" t="s">
        <v>353</v>
      </c>
      <c r="G696" s="35" t="s">
        <v>378</v>
      </c>
      <c r="H696" s="35" t="s">
        <v>392</v>
      </c>
    </row>
    <row r="697" spans="1:8">
      <c r="A697" s="34">
        <v>2084221911</v>
      </c>
      <c r="B697" s="35" t="s">
        <v>462</v>
      </c>
      <c r="C697" s="35" t="s">
        <v>405</v>
      </c>
      <c r="D697" s="35" t="s">
        <v>463</v>
      </c>
      <c r="E697" s="35" t="s">
        <v>492</v>
      </c>
      <c r="F697" s="35" t="s">
        <v>353</v>
      </c>
      <c r="G697" s="35" t="s">
        <v>378</v>
      </c>
      <c r="H697" s="35" t="s">
        <v>375</v>
      </c>
    </row>
    <row r="698" spans="1:8">
      <c r="A698" s="34">
        <v>2084221912</v>
      </c>
      <c r="B698" s="35" t="s">
        <v>462</v>
      </c>
      <c r="C698" s="35" t="s">
        <v>405</v>
      </c>
      <c r="D698" s="35" t="s">
        <v>463</v>
      </c>
      <c r="E698" s="35" t="s">
        <v>492</v>
      </c>
      <c r="F698" s="35" t="s">
        <v>353</v>
      </c>
      <c r="G698" s="35" t="s">
        <v>378</v>
      </c>
      <c r="H698" s="35" t="s">
        <v>376</v>
      </c>
    </row>
    <row r="699" spans="1:8">
      <c r="A699" s="34">
        <v>2084221913</v>
      </c>
      <c r="B699" s="35" t="s">
        <v>462</v>
      </c>
      <c r="C699" s="35" t="s">
        <v>405</v>
      </c>
      <c r="D699" s="35" t="s">
        <v>463</v>
      </c>
      <c r="E699" s="35" t="s">
        <v>492</v>
      </c>
      <c r="F699" s="35" t="s">
        <v>353</v>
      </c>
      <c r="G699" s="35" t="s">
        <v>378</v>
      </c>
      <c r="H699" s="35" t="s">
        <v>377</v>
      </c>
    </row>
    <row r="700" spans="1:8">
      <c r="A700" s="34">
        <v>2084030339</v>
      </c>
      <c r="B700" s="35" t="s">
        <v>462</v>
      </c>
      <c r="C700" s="35" t="s">
        <v>405</v>
      </c>
      <c r="D700" s="35" t="s">
        <v>463</v>
      </c>
      <c r="E700" s="35" t="s">
        <v>492</v>
      </c>
      <c r="F700" s="35" t="s">
        <v>353</v>
      </c>
      <c r="G700" s="35" t="s">
        <v>422</v>
      </c>
    </row>
    <row r="701" spans="1:8">
      <c r="A701" s="34">
        <v>2084051260</v>
      </c>
      <c r="B701" s="35" t="s">
        <v>462</v>
      </c>
      <c r="C701" s="35" t="s">
        <v>405</v>
      </c>
      <c r="D701" s="35" t="s">
        <v>463</v>
      </c>
      <c r="E701" s="35" t="s">
        <v>492</v>
      </c>
      <c r="F701" s="35" t="s">
        <v>353</v>
      </c>
      <c r="G701" s="35" t="s">
        <v>379</v>
      </c>
      <c r="H701" s="35" t="s">
        <v>495</v>
      </c>
    </row>
    <row r="702" spans="1:8">
      <c r="A702" s="34">
        <v>2084051261</v>
      </c>
      <c r="B702" s="35" t="s">
        <v>462</v>
      </c>
      <c r="C702" s="35" t="s">
        <v>405</v>
      </c>
      <c r="D702" s="35" t="s">
        <v>463</v>
      </c>
      <c r="E702" s="35" t="s">
        <v>492</v>
      </c>
      <c r="F702" s="35" t="s">
        <v>353</v>
      </c>
      <c r="G702" s="35" t="s">
        <v>379</v>
      </c>
      <c r="H702" s="35" t="s">
        <v>335</v>
      </c>
    </row>
    <row r="703" spans="1:8">
      <c r="A703" s="34">
        <v>2084051275</v>
      </c>
      <c r="B703" s="35" t="s">
        <v>462</v>
      </c>
      <c r="C703" s="35" t="s">
        <v>405</v>
      </c>
      <c r="D703" s="35" t="s">
        <v>463</v>
      </c>
      <c r="E703" s="35" t="s">
        <v>492</v>
      </c>
      <c r="F703" s="35" t="s">
        <v>353</v>
      </c>
      <c r="G703" s="35" t="s">
        <v>335</v>
      </c>
    </row>
    <row r="704" spans="1:8">
      <c r="A704" s="34">
        <v>2084048665</v>
      </c>
      <c r="B704" s="35" t="s">
        <v>462</v>
      </c>
      <c r="C704" s="35" t="s">
        <v>405</v>
      </c>
      <c r="D704" s="35" t="s">
        <v>463</v>
      </c>
      <c r="E704" s="35" t="s">
        <v>492</v>
      </c>
      <c r="F704" s="35" t="s">
        <v>335</v>
      </c>
    </row>
    <row r="705" spans="1:7">
      <c r="A705" s="34">
        <v>2084229924</v>
      </c>
      <c r="B705" s="35" t="s">
        <v>462</v>
      </c>
      <c r="C705" s="35" t="s">
        <v>405</v>
      </c>
      <c r="D705" s="35" t="s">
        <v>463</v>
      </c>
      <c r="E705" s="35" t="s">
        <v>496</v>
      </c>
    </row>
    <row r="706" spans="1:7">
      <c r="A706" s="34">
        <v>2084200728</v>
      </c>
      <c r="B706" s="35" t="s">
        <v>462</v>
      </c>
      <c r="C706" s="35" t="s">
        <v>405</v>
      </c>
      <c r="D706" s="35" t="s">
        <v>463</v>
      </c>
      <c r="E706" s="35" t="s">
        <v>497</v>
      </c>
      <c r="F706" s="35" t="s">
        <v>407</v>
      </c>
    </row>
    <row r="707" spans="1:7">
      <c r="A707" s="34">
        <v>2084200727</v>
      </c>
      <c r="B707" s="35" t="s">
        <v>462</v>
      </c>
      <c r="C707" s="35" t="s">
        <v>405</v>
      </c>
      <c r="D707" s="35" t="s">
        <v>463</v>
      </c>
      <c r="E707" s="35" t="s">
        <v>497</v>
      </c>
      <c r="F707" s="35" t="s">
        <v>408</v>
      </c>
    </row>
    <row r="708" spans="1:7">
      <c r="A708" s="34">
        <v>2084200729</v>
      </c>
      <c r="B708" s="35" t="s">
        <v>462</v>
      </c>
      <c r="C708" s="35" t="s">
        <v>405</v>
      </c>
      <c r="D708" s="35" t="s">
        <v>463</v>
      </c>
      <c r="E708" s="35" t="s">
        <v>497</v>
      </c>
      <c r="F708" s="35" t="s">
        <v>335</v>
      </c>
    </row>
    <row r="709" spans="1:7">
      <c r="A709" s="34">
        <v>2084259911</v>
      </c>
      <c r="B709" s="35" t="s">
        <v>462</v>
      </c>
      <c r="C709" s="35" t="s">
        <v>405</v>
      </c>
      <c r="D709" s="35" t="s">
        <v>463</v>
      </c>
      <c r="E709" s="35" t="s">
        <v>498</v>
      </c>
      <c r="F709" s="35" t="s">
        <v>407</v>
      </c>
    </row>
    <row r="710" spans="1:7">
      <c r="A710" s="34">
        <v>2084259910</v>
      </c>
      <c r="B710" s="35" t="s">
        <v>462</v>
      </c>
      <c r="C710" s="35" t="s">
        <v>405</v>
      </c>
      <c r="D710" s="35" t="s">
        <v>463</v>
      </c>
      <c r="E710" s="35" t="s">
        <v>498</v>
      </c>
      <c r="F710" s="35" t="s">
        <v>408</v>
      </c>
    </row>
    <row r="711" spans="1:7">
      <c r="A711" s="34">
        <v>2084298362</v>
      </c>
      <c r="B711" s="35" t="s">
        <v>462</v>
      </c>
      <c r="C711" s="35" t="s">
        <v>405</v>
      </c>
      <c r="D711" s="35" t="s">
        <v>463</v>
      </c>
      <c r="E711" s="35" t="s">
        <v>499</v>
      </c>
    </row>
    <row r="712" spans="1:7">
      <c r="A712" s="34">
        <v>2084289457</v>
      </c>
      <c r="B712" s="35" t="s">
        <v>462</v>
      </c>
      <c r="C712" s="35" t="s">
        <v>405</v>
      </c>
      <c r="D712" s="35" t="s">
        <v>463</v>
      </c>
      <c r="E712" s="35" t="s">
        <v>500</v>
      </c>
      <c r="F712" s="35" t="s">
        <v>407</v>
      </c>
    </row>
    <row r="713" spans="1:7">
      <c r="A713" s="34">
        <v>2084289456</v>
      </c>
      <c r="B713" s="35" t="s">
        <v>462</v>
      </c>
      <c r="C713" s="35" t="s">
        <v>405</v>
      </c>
      <c r="D713" s="35" t="s">
        <v>463</v>
      </c>
      <c r="E713" s="35" t="s">
        <v>500</v>
      </c>
      <c r="F713" s="35" t="s">
        <v>408</v>
      </c>
    </row>
    <row r="714" spans="1:7">
      <c r="A714" s="34">
        <v>2084207574</v>
      </c>
      <c r="B714" s="35" t="s">
        <v>462</v>
      </c>
      <c r="C714" s="35" t="s">
        <v>405</v>
      </c>
      <c r="D714" s="35" t="s">
        <v>463</v>
      </c>
      <c r="E714" s="35" t="s">
        <v>501</v>
      </c>
      <c r="F714" s="35" t="s">
        <v>367</v>
      </c>
    </row>
    <row r="715" spans="1:7">
      <c r="A715" s="34">
        <v>2084207577</v>
      </c>
      <c r="B715" s="35" t="s">
        <v>462</v>
      </c>
      <c r="C715" s="35" t="s">
        <v>405</v>
      </c>
      <c r="D715" s="35" t="s">
        <v>463</v>
      </c>
      <c r="E715" s="35" t="s">
        <v>501</v>
      </c>
      <c r="F715" s="35" t="s">
        <v>368</v>
      </c>
      <c r="G715" s="35" t="s">
        <v>481</v>
      </c>
    </row>
    <row r="716" spans="1:7">
      <c r="A716" s="34">
        <v>2084207576</v>
      </c>
      <c r="B716" s="35" t="s">
        <v>462</v>
      </c>
      <c r="C716" s="35" t="s">
        <v>405</v>
      </c>
      <c r="D716" s="35" t="s">
        <v>463</v>
      </c>
      <c r="E716" s="35" t="s">
        <v>501</v>
      </c>
      <c r="F716" s="35" t="s">
        <v>368</v>
      </c>
      <c r="G716" s="35" t="s">
        <v>482</v>
      </c>
    </row>
    <row r="717" spans="1:7">
      <c r="A717" s="34">
        <v>2084207578</v>
      </c>
      <c r="B717" s="35" t="s">
        <v>462</v>
      </c>
      <c r="C717" s="35" t="s">
        <v>405</v>
      </c>
      <c r="D717" s="35" t="s">
        <v>463</v>
      </c>
      <c r="E717" s="35" t="s">
        <v>501</v>
      </c>
      <c r="F717" s="35" t="s">
        <v>368</v>
      </c>
      <c r="G717" s="35" t="s">
        <v>335</v>
      </c>
    </row>
    <row r="718" spans="1:7">
      <c r="A718" s="34">
        <v>2084207585</v>
      </c>
      <c r="B718" s="35" t="s">
        <v>462</v>
      </c>
      <c r="C718" s="35" t="s">
        <v>405</v>
      </c>
      <c r="D718" s="35" t="s">
        <v>463</v>
      </c>
      <c r="E718" s="35" t="s">
        <v>501</v>
      </c>
      <c r="F718" s="35" t="s">
        <v>10</v>
      </c>
      <c r="G718" s="35" t="s">
        <v>335</v>
      </c>
    </row>
    <row r="719" spans="1:7">
      <c r="A719" s="34">
        <v>2084207584</v>
      </c>
      <c r="B719" s="35" t="s">
        <v>462</v>
      </c>
      <c r="C719" s="35" t="s">
        <v>405</v>
      </c>
      <c r="D719" s="35" t="s">
        <v>463</v>
      </c>
      <c r="E719" s="35" t="s">
        <v>501</v>
      </c>
      <c r="F719" s="35" t="s">
        <v>10</v>
      </c>
      <c r="G719" s="35" t="s">
        <v>483</v>
      </c>
    </row>
    <row r="720" spans="1:7">
      <c r="A720" s="34">
        <v>2084207581</v>
      </c>
      <c r="B720" s="35" t="s">
        <v>462</v>
      </c>
      <c r="C720" s="35" t="s">
        <v>405</v>
      </c>
      <c r="D720" s="35" t="s">
        <v>463</v>
      </c>
      <c r="E720" s="35" t="s">
        <v>501</v>
      </c>
      <c r="F720" s="35" t="s">
        <v>10</v>
      </c>
      <c r="G720" s="35" t="s">
        <v>397</v>
      </c>
    </row>
    <row r="721" spans="1:7">
      <c r="A721" s="34">
        <v>2084207583</v>
      </c>
      <c r="B721" s="35" t="s">
        <v>462</v>
      </c>
      <c r="C721" s="35" t="s">
        <v>405</v>
      </c>
      <c r="D721" s="35" t="s">
        <v>463</v>
      </c>
      <c r="E721" s="35" t="s">
        <v>501</v>
      </c>
      <c r="F721" s="35" t="s">
        <v>10</v>
      </c>
      <c r="G721" s="35" t="s">
        <v>421</v>
      </c>
    </row>
    <row r="722" spans="1:7">
      <c r="A722" s="34">
        <v>2084207580</v>
      </c>
      <c r="B722" s="35" t="s">
        <v>462</v>
      </c>
      <c r="C722" s="35" t="s">
        <v>405</v>
      </c>
      <c r="D722" s="35" t="s">
        <v>463</v>
      </c>
      <c r="E722" s="35" t="s">
        <v>501</v>
      </c>
      <c r="F722" s="35" t="s">
        <v>10</v>
      </c>
      <c r="G722" s="35" t="s">
        <v>398</v>
      </c>
    </row>
    <row r="723" spans="1:7">
      <c r="A723" s="34">
        <v>2084207582</v>
      </c>
      <c r="B723" s="35" t="s">
        <v>462</v>
      </c>
      <c r="C723" s="35" t="s">
        <v>405</v>
      </c>
      <c r="D723" s="35" t="s">
        <v>463</v>
      </c>
      <c r="E723" s="35" t="s">
        <v>501</v>
      </c>
      <c r="F723" s="35" t="s">
        <v>10</v>
      </c>
      <c r="G723" s="35" t="s">
        <v>422</v>
      </c>
    </row>
    <row r="724" spans="1:7">
      <c r="A724" s="34">
        <v>2084207587</v>
      </c>
      <c r="B724" s="35" t="s">
        <v>462</v>
      </c>
      <c r="C724" s="35" t="s">
        <v>405</v>
      </c>
      <c r="D724" s="35" t="s">
        <v>463</v>
      </c>
      <c r="E724" s="35" t="s">
        <v>501</v>
      </c>
      <c r="F724" s="35" t="s">
        <v>379</v>
      </c>
      <c r="G724" s="35" t="s">
        <v>476</v>
      </c>
    </row>
    <row r="725" spans="1:7">
      <c r="A725" s="34">
        <v>2084207588</v>
      </c>
      <c r="B725" s="35" t="s">
        <v>462</v>
      </c>
      <c r="C725" s="35" t="s">
        <v>405</v>
      </c>
      <c r="D725" s="35" t="s">
        <v>463</v>
      </c>
      <c r="E725" s="35" t="s">
        <v>501</v>
      </c>
      <c r="F725" s="35" t="s">
        <v>379</v>
      </c>
      <c r="G725" s="35" t="s">
        <v>335</v>
      </c>
    </row>
    <row r="726" spans="1:7">
      <c r="A726" s="34">
        <v>2084207589</v>
      </c>
      <c r="B726" s="35" t="s">
        <v>462</v>
      </c>
      <c r="C726" s="35" t="s">
        <v>405</v>
      </c>
      <c r="D726" s="35" t="s">
        <v>463</v>
      </c>
      <c r="E726" s="35" t="s">
        <v>501</v>
      </c>
      <c r="F726" s="35" t="s">
        <v>478</v>
      </c>
    </row>
    <row r="727" spans="1:7">
      <c r="A727" s="34">
        <v>2084207590</v>
      </c>
      <c r="B727" s="35" t="s">
        <v>462</v>
      </c>
      <c r="C727" s="35" t="s">
        <v>405</v>
      </c>
      <c r="D727" s="35" t="s">
        <v>463</v>
      </c>
      <c r="E727" s="35" t="s">
        <v>501</v>
      </c>
      <c r="F727" s="35" t="s">
        <v>335</v>
      </c>
    </row>
    <row r="728" spans="1:7">
      <c r="A728" s="34">
        <v>2084229911</v>
      </c>
      <c r="B728" s="35" t="s">
        <v>462</v>
      </c>
      <c r="C728" s="35" t="s">
        <v>405</v>
      </c>
      <c r="D728" s="35" t="s">
        <v>463</v>
      </c>
      <c r="E728" s="35" t="s">
        <v>502</v>
      </c>
    </row>
    <row r="729" spans="1:7">
      <c r="A729" s="34">
        <v>2084055634</v>
      </c>
      <c r="B729" s="35" t="s">
        <v>462</v>
      </c>
      <c r="C729" s="35" t="s">
        <v>405</v>
      </c>
      <c r="D729" s="35" t="s">
        <v>463</v>
      </c>
      <c r="E729" s="35" t="s">
        <v>503</v>
      </c>
      <c r="F729" s="35" t="s">
        <v>475</v>
      </c>
    </row>
    <row r="730" spans="1:7">
      <c r="A730" s="34">
        <v>2084055619</v>
      </c>
      <c r="B730" s="35" t="s">
        <v>462</v>
      </c>
      <c r="C730" s="35" t="s">
        <v>405</v>
      </c>
      <c r="D730" s="35" t="s">
        <v>463</v>
      </c>
      <c r="E730" s="35" t="s">
        <v>503</v>
      </c>
      <c r="F730" s="35" t="s">
        <v>367</v>
      </c>
    </row>
    <row r="731" spans="1:7">
      <c r="A731" s="34">
        <v>2084055622</v>
      </c>
      <c r="B731" s="35" t="s">
        <v>462</v>
      </c>
      <c r="C731" s="35" t="s">
        <v>405</v>
      </c>
      <c r="D731" s="35" t="s">
        <v>463</v>
      </c>
      <c r="E731" s="35" t="s">
        <v>503</v>
      </c>
      <c r="F731" s="35" t="s">
        <v>368</v>
      </c>
      <c r="G731" s="35" t="s">
        <v>481</v>
      </c>
    </row>
    <row r="732" spans="1:7">
      <c r="A732" s="34">
        <v>2084055621</v>
      </c>
      <c r="B732" s="35" t="s">
        <v>462</v>
      </c>
      <c r="C732" s="35" t="s">
        <v>405</v>
      </c>
      <c r="D732" s="35" t="s">
        <v>463</v>
      </c>
      <c r="E732" s="35" t="s">
        <v>503</v>
      </c>
      <c r="F732" s="35" t="s">
        <v>368</v>
      </c>
      <c r="G732" s="35" t="s">
        <v>482</v>
      </c>
    </row>
    <row r="733" spans="1:7">
      <c r="A733" s="34">
        <v>2084055623</v>
      </c>
      <c r="B733" s="35" t="s">
        <v>462</v>
      </c>
      <c r="C733" s="35" t="s">
        <v>405</v>
      </c>
      <c r="D733" s="35" t="s">
        <v>463</v>
      </c>
      <c r="E733" s="35" t="s">
        <v>503</v>
      </c>
      <c r="F733" s="35" t="s">
        <v>368</v>
      </c>
      <c r="G733" s="35" t="s">
        <v>335</v>
      </c>
    </row>
    <row r="734" spans="1:7">
      <c r="A734" s="34">
        <v>2084055629</v>
      </c>
      <c r="B734" s="35" t="s">
        <v>462</v>
      </c>
      <c r="C734" s="35" t="s">
        <v>405</v>
      </c>
      <c r="D734" s="35" t="s">
        <v>463</v>
      </c>
      <c r="E734" s="35" t="s">
        <v>503</v>
      </c>
      <c r="F734" s="35" t="s">
        <v>10</v>
      </c>
      <c r="G734" s="35" t="s">
        <v>483</v>
      </c>
    </row>
    <row r="735" spans="1:7">
      <c r="A735" s="34">
        <v>2084055626</v>
      </c>
      <c r="B735" s="35" t="s">
        <v>462</v>
      </c>
      <c r="C735" s="35" t="s">
        <v>405</v>
      </c>
      <c r="D735" s="35" t="s">
        <v>463</v>
      </c>
      <c r="E735" s="35" t="s">
        <v>503</v>
      </c>
      <c r="F735" s="35" t="s">
        <v>10</v>
      </c>
      <c r="G735" s="35" t="s">
        <v>397</v>
      </c>
    </row>
    <row r="736" spans="1:7">
      <c r="A736" s="34">
        <v>2084055628</v>
      </c>
      <c r="B736" s="35" t="s">
        <v>462</v>
      </c>
      <c r="C736" s="35" t="s">
        <v>405</v>
      </c>
      <c r="D736" s="35" t="s">
        <v>463</v>
      </c>
      <c r="E736" s="35" t="s">
        <v>503</v>
      </c>
      <c r="F736" s="35" t="s">
        <v>10</v>
      </c>
      <c r="G736" s="35" t="s">
        <v>421</v>
      </c>
    </row>
    <row r="737" spans="1:8">
      <c r="A737" s="34">
        <v>2084055625</v>
      </c>
      <c r="B737" s="35" t="s">
        <v>462</v>
      </c>
      <c r="C737" s="35" t="s">
        <v>405</v>
      </c>
      <c r="D737" s="35" t="s">
        <v>463</v>
      </c>
      <c r="E737" s="35" t="s">
        <v>503</v>
      </c>
      <c r="F737" s="35" t="s">
        <v>10</v>
      </c>
      <c r="G737" s="35" t="s">
        <v>398</v>
      </c>
    </row>
    <row r="738" spans="1:8">
      <c r="A738" s="34">
        <v>2084055627</v>
      </c>
      <c r="B738" s="35" t="s">
        <v>462</v>
      </c>
      <c r="C738" s="35" t="s">
        <v>405</v>
      </c>
      <c r="D738" s="35" t="s">
        <v>463</v>
      </c>
      <c r="E738" s="35" t="s">
        <v>503</v>
      </c>
      <c r="F738" s="35" t="s">
        <v>10</v>
      </c>
      <c r="G738" s="35" t="s">
        <v>422</v>
      </c>
    </row>
    <row r="739" spans="1:8">
      <c r="A739" s="34">
        <v>2084055630</v>
      </c>
      <c r="B739" s="35" t="s">
        <v>462</v>
      </c>
      <c r="C739" s="35" t="s">
        <v>405</v>
      </c>
      <c r="D739" s="35" t="s">
        <v>463</v>
      </c>
      <c r="E739" s="35" t="s">
        <v>503</v>
      </c>
      <c r="F739" s="35" t="s">
        <v>10</v>
      </c>
      <c r="G739" s="35" t="s">
        <v>335</v>
      </c>
    </row>
    <row r="740" spans="1:8">
      <c r="A740" s="34">
        <v>2084055632</v>
      </c>
      <c r="B740" s="35" t="s">
        <v>462</v>
      </c>
      <c r="C740" s="35" t="s">
        <v>405</v>
      </c>
      <c r="D740" s="35" t="s">
        <v>463</v>
      </c>
      <c r="E740" s="35" t="s">
        <v>503</v>
      </c>
      <c r="F740" s="35" t="s">
        <v>379</v>
      </c>
      <c r="G740" s="35" t="s">
        <v>476</v>
      </c>
    </row>
    <row r="741" spans="1:8">
      <c r="A741" s="34">
        <v>2084055633</v>
      </c>
      <c r="B741" s="35" t="s">
        <v>462</v>
      </c>
      <c r="C741" s="35" t="s">
        <v>405</v>
      </c>
      <c r="D741" s="35" t="s">
        <v>463</v>
      </c>
      <c r="E741" s="35" t="s">
        <v>503</v>
      </c>
      <c r="F741" s="35" t="s">
        <v>379</v>
      </c>
      <c r="G741" s="35" t="s">
        <v>335</v>
      </c>
    </row>
    <row r="742" spans="1:8">
      <c r="A742" s="34">
        <v>2084061437</v>
      </c>
      <c r="B742" s="35" t="s">
        <v>462</v>
      </c>
      <c r="C742" s="35" t="s">
        <v>405</v>
      </c>
      <c r="D742" s="35" t="s">
        <v>463</v>
      </c>
      <c r="E742" s="35" t="s">
        <v>503</v>
      </c>
      <c r="F742" s="35" t="s">
        <v>478</v>
      </c>
    </row>
    <row r="743" spans="1:8">
      <c r="A743" s="34">
        <v>2084243708</v>
      </c>
      <c r="B743" s="35" t="s">
        <v>462</v>
      </c>
      <c r="C743" s="35" t="s">
        <v>405</v>
      </c>
      <c r="D743" s="35" t="s">
        <v>463</v>
      </c>
      <c r="E743" s="35" t="s">
        <v>503</v>
      </c>
      <c r="F743" s="35" t="s">
        <v>504</v>
      </c>
    </row>
    <row r="744" spans="1:8">
      <c r="A744" s="34">
        <v>2084055635</v>
      </c>
      <c r="B744" s="35" t="s">
        <v>462</v>
      </c>
      <c r="C744" s="35" t="s">
        <v>405</v>
      </c>
      <c r="D744" s="35" t="s">
        <v>463</v>
      </c>
      <c r="E744" s="35" t="s">
        <v>503</v>
      </c>
      <c r="F744" s="35" t="s">
        <v>335</v>
      </c>
    </row>
    <row r="745" spans="1:8">
      <c r="A745" s="34">
        <v>2084056669</v>
      </c>
      <c r="B745" s="35" t="s">
        <v>462</v>
      </c>
      <c r="C745" s="35" t="s">
        <v>405</v>
      </c>
      <c r="D745" s="35" t="s">
        <v>463</v>
      </c>
      <c r="E745" s="35" t="s">
        <v>505</v>
      </c>
      <c r="F745" s="35" t="s">
        <v>390</v>
      </c>
      <c r="G745" s="35" t="s">
        <v>367</v>
      </c>
    </row>
    <row r="746" spans="1:8">
      <c r="A746" s="34">
        <v>2084056670</v>
      </c>
      <c r="B746" s="35" t="s">
        <v>462</v>
      </c>
      <c r="C746" s="35" t="s">
        <v>405</v>
      </c>
      <c r="D746" s="35" t="s">
        <v>463</v>
      </c>
      <c r="E746" s="35" t="s">
        <v>505</v>
      </c>
      <c r="F746" s="35" t="s">
        <v>390</v>
      </c>
      <c r="G746" s="35" t="s">
        <v>401</v>
      </c>
    </row>
    <row r="747" spans="1:8">
      <c r="A747" s="34">
        <v>2084056672</v>
      </c>
      <c r="B747" s="35" t="s">
        <v>462</v>
      </c>
      <c r="C747" s="35" t="s">
        <v>405</v>
      </c>
      <c r="D747" s="35" t="s">
        <v>463</v>
      </c>
      <c r="E747" s="35" t="s">
        <v>505</v>
      </c>
      <c r="F747" s="35" t="s">
        <v>390</v>
      </c>
      <c r="G747" s="35" t="s">
        <v>10</v>
      </c>
      <c r="H747" s="35" t="s">
        <v>483</v>
      </c>
    </row>
    <row r="748" spans="1:8">
      <c r="A748" s="34">
        <v>2084056674</v>
      </c>
      <c r="B748" s="35" t="s">
        <v>462</v>
      </c>
      <c r="C748" s="35" t="s">
        <v>405</v>
      </c>
      <c r="D748" s="35" t="s">
        <v>463</v>
      </c>
      <c r="E748" s="35" t="s">
        <v>505</v>
      </c>
      <c r="F748" s="35" t="s">
        <v>390</v>
      </c>
      <c r="G748" s="35" t="s">
        <v>10</v>
      </c>
      <c r="H748" s="35" t="s">
        <v>397</v>
      </c>
    </row>
    <row r="749" spans="1:8">
      <c r="A749" s="34">
        <v>2084056673</v>
      </c>
      <c r="B749" s="35" t="s">
        <v>462</v>
      </c>
      <c r="C749" s="35" t="s">
        <v>405</v>
      </c>
      <c r="D749" s="35" t="s">
        <v>463</v>
      </c>
      <c r="E749" s="35" t="s">
        <v>505</v>
      </c>
      <c r="F749" s="35" t="s">
        <v>390</v>
      </c>
      <c r="G749" s="35" t="s">
        <v>10</v>
      </c>
      <c r="H749" s="35" t="s">
        <v>421</v>
      </c>
    </row>
    <row r="750" spans="1:8">
      <c r="A750" s="34">
        <v>2084056675</v>
      </c>
      <c r="B750" s="35" t="s">
        <v>462</v>
      </c>
      <c r="C750" s="35" t="s">
        <v>405</v>
      </c>
      <c r="D750" s="35" t="s">
        <v>463</v>
      </c>
      <c r="E750" s="35" t="s">
        <v>505</v>
      </c>
      <c r="F750" s="35" t="s">
        <v>390</v>
      </c>
      <c r="G750" s="35" t="s">
        <v>10</v>
      </c>
      <c r="H750" s="35" t="s">
        <v>398</v>
      </c>
    </row>
    <row r="751" spans="1:8">
      <c r="A751" s="34">
        <v>2084056676</v>
      </c>
      <c r="B751" s="35" t="s">
        <v>462</v>
      </c>
      <c r="C751" s="35" t="s">
        <v>405</v>
      </c>
      <c r="D751" s="35" t="s">
        <v>463</v>
      </c>
      <c r="E751" s="35" t="s">
        <v>505</v>
      </c>
      <c r="F751" s="35" t="s">
        <v>390</v>
      </c>
      <c r="G751" s="35" t="s">
        <v>10</v>
      </c>
      <c r="H751" s="35" t="s">
        <v>422</v>
      </c>
    </row>
    <row r="752" spans="1:8">
      <c r="A752" s="34">
        <v>2084056677</v>
      </c>
      <c r="B752" s="35" t="s">
        <v>462</v>
      </c>
      <c r="C752" s="35" t="s">
        <v>405</v>
      </c>
      <c r="D752" s="35" t="s">
        <v>463</v>
      </c>
      <c r="E752" s="35" t="s">
        <v>505</v>
      </c>
      <c r="F752" s="35" t="s">
        <v>390</v>
      </c>
      <c r="G752" s="35" t="s">
        <v>10</v>
      </c>
      <c r="H752" s="35" t="s">
        <v>335</v>
      </c>
    </row>
    <row r="753" spans="1:8">
      <c r="A753" s="34">
        <v>2084056679</v>
      </c>
      <c r="B753" s="35" t="s">
        <v>462</v>
      </c>
      <c r="C753" s="35" t="s">
        <v>405</v>
      </c>
      <c r="D753" s="35" t="s">
        <v>463</v>
      </c>
      <c r="E753" s="35" t="s">
        <v>505</v>
      </c>
      <c r="F753" s="35" t="s">
        <v>390</v>
      </c>
      <c r="G753" s="35" t="s">
        <v>379</v>
      </c>
      <c r="H753" s="35" t="s">
        <v>476</v>
      </c>
    </row>
    <row r="754" spans="1:8">
      <c r="A754" s="34">
        <v>2084056680</v>
      </c>
      <c r="B754" s="35" t="s">
        <v>462</v>
      </c>
      <c r="C754" s="35" t="s">
        <v>405</v>
      </c>
      <c r="D754" s="35" t="s">
        <v>463</v>
      </c>
      <c r="E754" s="35" t="s">
        <v>505</v>
      </c>
      <c r="F754" s="35" t="s">
        <v>390</v>
      </c>
      <c r="G754" s="35" t="s">
        <v>379</v>
      </c>
      <c r="H754" s="35" t="s">
        <v>335</v>
      </c>
    </row>
    <row r="755" spans="1:8">
      <c r="A755" s="34">
        <v>2084056740</v>
      </c>
      <c r="B755" s="35" t="s">
        <v>462</v>
      </c>
      <c r="C755" s="35" t="s">
        <v>405</v>
      </c>
      <c r="D755" s="35" t="s">
        <v>463</v>
      </c>
      <c r="E755" s="35" t="s">
        <v>505</v>
      </c>
      <c r="F755" s="35" t="s">
        <v>390</v>
      </c>
      <c r="G755" s="35" t="s">
        <v>335</v>
      </c>
    </row>
    <row r="756" spans="1:8">
      <c r="A756" s="34">
        <v>2084056681</v>
      </c>
      <c r="B756" s="35" t="s">
        <v>462</v>
      </c>
      <c r="C756" s="35" t="s">
        <v>405</v>
      </c>
      <c r="D756" s="35" t="s">
        <v>463</v>
      </c>
      <c r="E756" s="35" t="s">
        <v>505</v>
      </c>
      <c r="F756" s="35" t="s">
        <v>335</v>
      </c>
    </row>
    <row r="757" spans="1:8">
      <c r="A757" s="34">
        <v>2084242541</v>
      </c>
      <c r="B757" s="35" t="s">
        <v>462</v>
      </c>
      <c r="C757" s="35" t="s">
        <v>405</v>
      </c>
      <c r="D757" s="35" t="s">
        <v>463</v>
      </c>
      <c r="E757" s="35" t="s">
        <v>506</v>
      </c>
    </row>
    <row r="758" spans="1:8">
      <c r="A758" s="34">
        <v>2084024277</v>
      </c>
      <c r="B758" s="35" t="s">
        <v>462</v>
      </c>
      <c r="C758" s="35" t="s">
        <v>405</v>
      </c>
      <c r="D758" s="35" t="s">
        <v>463</v>
      </c>
      <c r="E758" s="35" t="s">
        <v>507</v>
      </c>
      <c r="F758" s="35" t="s">
        <v>475</v>
      </c>
    </row>
    <row r="759" spans="1:8">
      <c r="A759" s="34">
        <v>2084028221</v>
      </c>
      <c r="B759" s="35" t="s">
        <v>462</v>
      </c>
      <c r="C759" s="35" t="s">
        <v>405</v>
      </c>
      <c r="D759" s="35" t="s">
        <v>463</v>
      </c>
      <c r="E759" s="35" t="s">
        <v>507</v>
      </c>
      <c r="F759" s="35" t="s">
        <v>390</v>
      </c>
      <c r="G759" s="35" t="s">
        <v>367</v>
      </c>
    </row>
    <row r="760" spans="1:8">
      <c r="A760" s="34">
        <v>2084028773</v>
      </c>
      <c r="B760" s="35" t="s">
        <v>462</v>
      </c>
      <c r="C760" s="35" t="s">
        <v>405</v>
      </c>
      <c r="D760" s="35" t="s">
        <v>463</v>
      </c>
      <c r="E760" s="35" t="s">
        <v>507</v>
      </c>
      <c r="F760" s="35" t="s">
        <v>390</v>
      </c>
      <c r="G760" s="35" t="s">
        <v>368</v>
      </c>
      <c r="H760" s="35" t="s">
        <v>508</v>
      </c>
    </row>
    <row r="761" spans="1:8">
      <c r="A761" s="34">
        <v>2084029306</v>
      </c>
      <c r="B761" s="35" t="s">
        <v>462</v>
      </c>
      <c r="C761" s="35" t="s">
        <v>405</v>
      </c>
      <c r="D761" s="35" t="s">
        <v>463</v>
      </c>
      <c r="E761" s="35" t="s">
        <v>507</v>
      </c>
      <c r="F761" s="35" t="s">
        <v>390</v>
      </c>
      <c r="G761" s="35" t="s">
        <v>368</v>
      </c>
      <c r="H761" s="35" t="s">
        <v>481</v>
      </c>
    </row>
    <row r="762" spans="1:8">
      <c r="A762" s="34">
        <v>2084029883</v>
      </c>
      <c r="B762" s="35" t="s">
        <v>462</v>
      </c>
      <c r="C762" s="35" t="s">
        <v>405</v>
      </c>
      <c r="D762" s="35" t="s">
        <v>463</v>
      </c>
      <c r="E762" s="35" t="s">
        <v>507</v>
      </c>
      <c r="F762" s="35" t="s">
        <v>390</v>
      </c>
      <c r="G762" s="35" t="s">
        <v>368</v>
      </c>
      <c r="H762" s="35" t="s">
        <v>494</v>
      </c>
    </row>
    <row r="763" spans="1:8">
      <c r="A763" s="34">
        <v>2084058647</v>
      </c>
      <c r="B763" s="35" t="s">
        <v>462</v>
      </c>
      <c r="C763" s="35" t="s">
        <v>405</v>
      </c>
      <c r="D763" s="35" t="s">
        <v>463</v>
      </c>
      <c r="E763" s="35" t="s">
        <v>507</v>
      </c>
      <c r="F763" s="35" t="s">
        <v>390</v>
      </c>
      <c r="G763" s="35" t="s">
        <v>368</v>
      </c>
      <c r="H763" s="35" t="s">
        <v>335</v>
      </c>
    </row>
    <row r="764" spans="1:8">
      <c r="A764" s="34">
        <v>2084027322</v>
      </c>
      <c r="B764" s="35" t="s">
        <v>462</v>
      </c>
      <c r="C764" s="35" t="s">
        <v>405</v>
      </c>
      <c r="D764" s="35" t="s">
        <v>463</v>
      </c>
      <c r="E764" s="35" t="s">
        <v>507</v>
      </c>
      <c r="F764" s="35" t="s">
        <v>390</v>
      </c>
      <c r="G764" s="35" t="s">
        <v>10</v>
      </c>
      <c r="H764" s="35" t="s">
        <v>509</v>
      </c>
    </row>
    <row r="765" spans="1:8">
      <c r="A765" s="34">
        <v>2084027815</v>
      </c>
      <c r="B765" s="35" t="s">
        <v>462</v>
      </c>
      <c r="C765" s="35" t="s">
        <v>405</v>
      </c>
      <c r="D765" s="35" t="s">
        <v>463</v>
      </c>
      <c r="E765" s="35" t="s">
        <v>507</v>
      </c>
      <c r="F765" s="35" t="s">
        <v>390</v>
      </c>
      <c r="G765" s="35" t="s">
        <v>10</v>
      </c>
      <c r="H765" s="35" t="s">
        <v>510</v>
      </c>
    </row>
    <row r="766" spans="1:8">
      <c r="A766" s="34">
        <v>2084027889</v>
      </c>
      <c r="B766" s="35" t="s">
        <v>462</v>
      </c>
      <c r="C766" s="35" t="s">
        <v>405</v>
      </c>
      <c r="D766" s="35" t="s">
        <v>463</v>
      </c>
      <c r="E766" s="35" t="s">
        <v>507</v>
      </c>
      <c r="F766" s="35" t="s">
        <v>390</v>
      </c>
      <c r="G766" s="35" t="s">
        <v>10</v>
      </c>
      <c r="H766" s="35" t="s">
        <v>511</v>
      </c>
    </row>
    <row r="767" spans="1:8">
      <c r="A767" s="34">
        <v>2084027927</v>
      </c>
      <c r="B767" s="35" t="s">
        <v>462</v>
      </c>
      <c r="C767" s="35" t="s">
        <v>405</v>
      </c>
      <c r="D767" s="35" t="s">
        <v>463</v>
      </c>
      <c r="E767" s="35" t="s">
        <v>507</v>
      </c>
      <c r="F767" s="35" t="s">
        <v>390</v>
      </c>
      <c r="G767" s="35" t="s">
        <v>10</v>
      </c>
      <c r="H767" s="35" t="s">
        <v>493</v>
      </c>
    </row>
    <row r="768" spans="1:8">
      <c r="A768" s="34">
        <v>2084027446</v>
      </c>
      <c r="B768" s="35" t="s">
        <v>462</v>
      </c>
      <c r="C768" s="35" t="s">
        <v>405</v>
      </c>
      <c r="D768" s="35" t="s">
        <v>463</v>
      </c>
      <c r="E768" s="35" t="s">
        <v>507</v>
      </c>
      <c r="F768" s="35" t="s">
        <v>390</v>
      </c>
      <c r="G768" s="35" t="s">
        <v>10</v>
      </c>
      <c r="H768" s="35" t="s">
        <v>512</v>
      </c>
    </row>
    <row r="769" spans="1:8">
      <c r="A769" s="34">
        <v>2084027613</v>
      </c>
      <c r="B769" s="35" t="s">
        <v>462</v>
      </c>
      <c r="C769" s="35" t="s">
        <v>405</v>
      </c>
      <c r="D769" s="35" t="s">
        <v>463</v>
      </c>
      <c r="E769" s="35" t="s">
        <v>507</v>
      </c>
      <c r="F769" s="35" t="s">
        <v>390</v>
      </c>
      <c r="G769" s="35" t="s">
        <v>10</v>
      </c>
      <c r="H769" s="35" t="s">
        <v>513</v>
      </c>
    </row>
    <row r="770" spans="1:8">
      <c r="A770" s="34">
        <v>2084027983</v>
      </c>
      <c r="B770" s="35" t="s">
        <v>462</v>
      </c>
      <c r="C770" s="35" t="s">
        <v>405</v>
      </c>
      <c r="D770" s="35" t="s">
        <v>463</v>
      </c>
      <c r="E770" s="35" t="s">
        <v>507</v>
      </c>
      <c r="F770" s="35" t="s">
        <v>390</v>
      </c>
      <c r="G770" s="35" t="s">
        <v>10</v>
      </c>
      <c r="H770" s="35" t="s">
        <v>420</v>
      </c>
    </row>
    <row r="771" spans="1:8">
      <c r="A771" s="34">
        <v>2084027284</v>
      </c>
      <c r="B771" s="35" t="s">
        <v>462</v>
      </c>
      <c r="C771" s="35" t="s">
        <v>405</v>
      </c>
      <c r="D771" s="35" t="s">
        <v>463</v>
      </c>
      <c r="E771" s="35" t="s">
        <v>507</v>
      </c>
      <c r="F771" s="35" t="s">
        <v>390</v>
      </c>
      <c r="G771" s="35" t="s">
        <v>10</v>
      </c>
      <c r="H771" s="35" t="s">
        <v>514</v>
      </c>
    </row>
    <row r="772" spans="1:8">
      <c r="A772" s="34">
        <v>2084027411</v>
      </c>
      <c r="B772" s="35" t="s">
        <v>462</v>
      </c>
      <c r="C772" s="35" t="s">
        <v>405</v>
      </c>
      <c r="D772" s="35" t="s">
        <v>463</v>
      </c>
      <c r="E772" s="35" t="s">
        <v>507</v>
      </c>
      <c r="F772" s="35" t="s">
        <v>390</v>
      </c>
      <c r="G772" s="35" t="s">
        <v>10</v>
      </c>
      <c r="H772" s="35" t="s">
        <v>515</v>
      </c>
    </row>
    <row r="773" spans="1:8">
      <c r="A773" s="34">
        <v>2084027530</v>
      </c>
      <c r="B773" s="35" t="s">
        <v>462</v>
      </c>
      <c r="C773" s="35" t="s">
        <v>405</v>
      </c>
      <c r="D773" s="35" t="s">
        <v>463</v>
      </c>
      <c r="E773" s="35" t="s">
        <v>507</v>
      </c>
      <c r="F773" s="35" t="s">
        <v>390</v>
      </c>
      <c r="G773" s="35" t="s">
        <v>10</v>
      </c>
      <c r="H773" s="35" t="s">
        <v>421</v>
      </c>
    </row>
    <row r="774" spans="1:8">
      <c r="A774" s="34">
        <v>2084027691</v>
      </c>
      <c r="B774" s="35" t="s">
        <v>462</v>
      </c>
      <c r="C774" s="35" t="s">
        <v>405</v>
      </c>
      <c r="D774" s="35" t="s">
        <v>463</v>
      </c>
      <c r="E774" s="35" t="s">
        <v>507</v>
      </c>
      <c r="F774" s="35" t="s">
        <v>390</v>
      </c>
      <c r="G774" s="35" t="s">
        <v>10</v>
      </c>
      <c r="H774" s="35" t="s">
        <v>516</v>
      </c>
    </row>
    <row r="775" spans="1:8">
      <c r="A775" s="34">
        <v>2084027208</v>
      </c>
      <c r="B775" s="35" t="s">
        <v>462</v>
      </c>
      <c r="C775" s="35" t="s">
        <v>405</v>
      </c>
      <c r="D775" s="35" t="s">
        <v>463</v>
      </c>
      <c r="E775" s="35" t="s">
        <v>507</v>
      </c>
      <c r="F775" s="35" t="s">
        <v>390</v>
      </c>
      <c r="G775" s="35" t="s">
        <v>10</v>
      </c>
      <c r="H775" s="35" t="s">
        <v>517</v>
      </c>
    </row>
    <row r="776" spans="1:8">
      <c r="A776" s="34">
        <v>2084027377</v>
      </c>
      <c r="B776" s="35" t="s">
        <v>462</v>
      </c>
      <c r="C776" s="35" t="s">
        <v>405</v>
      </c>
      <c r="D776" s="35" t="s">
        <v>463</v>
      </c>
      <c r="E776" s="35" t="s">
        <v>507</v>
      </c>
      <c r="F776" s="35" t="s">
        <v>390</v>
      </c>
      <c r="G776" s="35" t="s">
        <v>10</v>
      </c>
      <c r="H776" s="35" t="s">
        <v>518</v>
      </c>
    </row>
    <row r="777" spans="1:8">
      <c r="A777" s="34">
        <v>2084027580</v>
      </c>
      <c r="B777" s="35" t="s">
        <v>462</v>
      </c>
      <c r="C777" s="35" t="s">
        <v>405</v>
      </c>
      <c r="D777" s="35" t="s">
        <v>463</v>
      </c>
      <c r="E777" s="35" t="s">
        <v>507</v>
      </c>
      <c r="F777" s="35" t="s">
        <v>390</v>
      </c>
      <c r="G777" s="35" t="s">
        <v>10</v>
      </c>
      <c r="H777" s="35" t="s">
        <v>422</v>
      </c>
    </row>
    <row r="778" spans="1:8">
      <c r="A778" s="34">
        <v>2084027781</v>
      </c>
      <c r="B778" s="35" t="s">
        <v>462</v>
      </c>
      <c r="C778" s="35" t="s">
        <v>405</v>
      </c>
      <c r="D778" s="35" t="s">
        <v>463</v>
      </c>
      <c r="E778" s="35" t="s">
        <v>507</v>
      </c>
      <c r="F778" s="35" t="s">
        <v>390</v>
      </c>
      <c r="G778" s="35" t="s">
        <v>10</v>
      </c>
      <c r="H778" s="35" t="s">
        <v>519</v>
      </c>
    </row>
    <row r="779" spans="1:8">
      <c r="A779" s="34">
        <v>2084058649</v>
      </c>
      <c r="B779" s="35" t="s">
        <v>462</v>
      </c>
      <c r="C779" s="35" t="s">
        <v>405</v>
      </c>
      <c r="D779" s="35" t="s">
        <v>463</v>
      </c>
      <c r="E779" s="35" t="s">
        <v>507</v>
      </c>
      <c r="F779" s="35" t="s">
        <v>390</v>
      </c>
      <c r="G779" s="35" t="s">
        <v>10</v>
      </c>
      <c r="H779" s="35" t="s">
        <v>335</v>
      </c>
    </row>
    <row r="780" spans="1:8">
      <c r="A780" s="34">
        <v>2084028017</v>
      </c>
      <c r="B780" s="35" t="s">
        <v>462</v>
      </c>
      <c r="C780" s="35" t="s">
        <v>405</v>
      </c>
      <c r="D780" s="35" t="s">
        <v>463</v>
      </c>
      <c r="E780" s="35" t="s">
        <v>507</v>
      </c>
      <c r="F780" s="35" t="s">
        <v>390</v>
      </c>
      <c r="G780" s="35" t="s">
        <v>379</v>
      </c>
      <c r="H780" s="35" t="s">
        <v>520</v>
      </c>
    </row>
    <row r="781" spans="1:8">
      <c r="A781" s="34">
        <v>2084028052</v>
      </c>
      <c r="B781" s="35" t="s">
        <v>462</v>
      </c>
      <c r="C781" s="35" t="s">
        <v>405</v>
      </c>
      <c r="D781" s="35" t="s">
        <v>463</v>
      </c>
      <c r="E781" s="35" t="s">
        <v>507</v>
      </c>
      <c r="F781" s="35" t="s">
        <v>390</v>
      </c>
      <c r="G781" s="35" t="s">
        <v>379</v>
      </c>
      <c r="H781" s="35" t="s">
        <v>521</v>
      </c>
    </row>
    <row r="782" spans="1:8">
      <c r="A782" s="34">
        <v>2084028187</v>
      </c>
      <c r="B782" s="35" t="s">
        <v>462</v>
      </c>
      <c r="C782" s="35" t="s">
        <v>405</v>
      </c>
      <c r="D782" s="35" t="s">
        <v>463</v>
      </c>
      <c r="E782" s="35" t="s">
        <v>507</v>
      </c>
      <c r="F782" s="35" t="s">
        <v>390</v>
      </c>
      <c r="G782" s="35" t="s">
        <v>379</v>
      </c>
      <c r="H782" s="35" t="s">
        <v>522</v>
      </c>
    </row>
    <row r="783" spans="1:8">
      <c r="A783" s="34">
        <v>2084028425</v>
      </c>
      <c r="B783" s="35" t="s">
        <v>462</v>
      </c>
      <c r="C783" s="35" t="s">
        <v>405</v>
      </c>
      <c r="D783" s="35" t="s">
        <v>463</v>
      </c>
      <c r="E783" s="35" t="s">
        <v>507</v>
      </c>
      <c r="F783" s="35" t="s">
        <v>390</v>
      </c>
      <c r="G783" s="35" t="s">
        <v>379</v>
      </c>
      <c r="H783" s="35" t="s">
        <v>523</v>
      </c>
    </row>
    <row r="784" spans="1:8">
      <c r="A784" s="34">
        <v>2084028091</v>
      </c>
      <c r="B784" s="35" t="s">
        <v>462</v>
      </c>
      <c r="C784" s="35" t="s">
        <v>405</v>
      </c>
      <c r="D784" s="35" t="s">
        <v>463</v>
      </c>
      <c r="E784" s="35" t="s">
        <v>507</v>
      </c>
      <c r="F784" s="35" t="s">
        <v>390</v>
      </c>
      <c r="G784" s="35" t="s">
        <v>379</v>
      </c>
      <c r="H784" s="35" t="s">
        <v>524</v>
      </c>
    </row>
    <row r="785" spans="1:8">
      <c r="A785" s="34">
        <v>2084028257</v>
      </c>
      <c r="B785" s="35" t="s">
        <v>462</v>
      </c>
      <c r="C785" s="35" t="s">
        <v>405</v>
      </c>
      <c r="D785" s="35" t="s">
        <v>463</v>
      </c>
      <c r="E785" s="35" t="s">
        <v>507</v>
      </c>
      <c r="F785" s="35" t="s">
        <v>390</v>
      </c>
      <c r="G785" s="35" t="s">
        <v>379</v>
      </c>
      <c r="H785" s="35" t="s">
        <v>525</v>
      </c>
    </row>
    <row r="786" spans="1:8">
      <c r="A786" s="34">
        <v>2084028459</v>
      </c>
      <c r="B786" s="35" t="s">
        <v>462</v>
      </c>
      <c r="C786" s="35" t="s">
        <v>405</v>
      </c>
      <c r="D786" s="35" t="s">
        <v>463</v>
      </c>
      <c r="E786" s="35" t="s">
        <v>507</v>
      </c>
      <c r="F786" s="35" t="s">
        <v>390</v>
      </c>
      <c r="G786" s="35" t="s">
        <v>379</v>
      </c>
      <c r="H786" s="35" t="s">
        <v>526</v>
      </c>
    </row>
    <row r="787" spans="1:8">
      <c r="A787" s="34">
        <v>2084028328</v>
      </c>
      <c r="B787" s="35" t="s">
        <v>462</v>
      </c>
      <c r="C787" s="35" t="s">
        <v>405</v>
      </c>
      <c r="D787" s="35" t="s">
        <v>463</v>
      </c>
      <c r="E787" s="35" t="s">
        <v>507</v>
      </c>
      <c r="F787" s="35" t="s">
        <v>390</v>
      </c>
      <c r="G787" s="35" t="s">
        <v>379</v>
      </c>
      <c r="H787" s="35" t="s">
        <v>527</v>
      </c>
    </row>
    <row r="788" spans="1:8">
      <c r="A788" s="34">
        <v>2084028494</v>
      </c>
      <c r="B788" s="35" t="s">
        <v>462</v>
      </c>
      <c r="C788" s="35" t="s">
        <v>405</v>
      </c>
      <c r="D788" s="35" t="s">
        <v>463</v>
      </c>
      <c r="E788" s="35" t="s">
        <v>507</v>
      </c>
      <c r="F788" s="35" t="s">
        <v>390</v>
      </c>
      <c r="G788" s="35" t="s">
        <v>379</v>
      </c>
      <c r="H788" s="35" t="s">
        <v>528</v>
      </c>
    </row>
    <row r="789" spans="1:8">
      <c r="A789" s="34">
        <v>2084028370</v>
      </c>
      <c r="B789" s="35" t="s">
        <v>462</v>
      </c>
      <c r="C789" s="35" t="s">
        <v>405</v>
      </c>
      <c r="D789" s="35" t="s">
        <v>463</v>
      </c>
      <c r="E789" s="35" t="s">
        <v>507</v>
      </c>
      <c r="F789" s="35" t="s">
        <v>390</v>
      </c>
      <c r="G789" s="35" t="s">
        <v>379</v>
      </c>
      <c r="H789" s="35" t="s">
        <v>529</v>
      </c>
    </row>
    <row r="790" spans="1:8">
      <c r="A790" s="34">
        <v>2084058651</v>
      </c>
      <c r="B790" s="35" t="s">
        <v>462</v>
      </c>
      <c r="C790" s="35" t="s">
        <v>405</v>
      </c>
      <c r="D790" s="35" t="s">
        <v>463</v>
      </c>
      <c r="E790" s="35" t="s">
        <v>507</v>
      </c>
      <c r="F790" s="35" t="s">
        <v>390</v>
      </c>
      <c r="G790" s="35" t="s">
        <v>379</v>
      </c>
      <c r="H790" s="35" t="s">
        <v>335</v>
      </c>
    </row>
    <row r="791" spans="1:8">
      <c r="A791" s="34">
        <v>2084028584</v>
      </c>
      <c r="B791" s="35" t="s">
        <v>462</v>
      </c>
      <c r="C791" s="35" t="s">
        <v>405</v>
      </c>
      <c r="D791" s="35" t="s">
        <v>463</v>
      </c>
      <c r="E791" s="35" t="s">
        <v>507</v>
      </c>
      <c r="F791" s="35" t="s">
        <v>390</v>
      </c>
      <c r="G791" s="35" t="s">
        <v>530</v>
      </c>
      <c r="H791" s="35" t="s">
        <v>531</v>
      </c>
    </row>
    <row r="792" spans="1:8">
      <c r="A792" s="34">
        <v>2084028628</v>
      </c>
      <c r="B792" s="35" t="s">
        <v>462</v>
      </c>
      <c r="C792" s="35" t="s">
        <v>405</v>
      </c>
      <c r="D792" s="35" t="s">
        <v>463</v>
      </c>
      <c r="E792" s="35" t="s">
        <v>507</v>
      </c>
      <c r="F792" s="35" t="s">
        <v>390</v>
      </c>
      <c r="G792" s="35" t="s">
        <v>530</v>
      </c>
      <c r="H792" s="35" t="s">
        <v>532</v>
      </c>
    </row>
    <row r="793" spans="1:8">
      <c r="A793" s="34">
        <v>2084058653</v>
      </c>
      <c r="B793" s="35" t="s">
        <v>462</v>
      </c>
      <c r="C793" s="35" t="s">
        <v>405</v>
      </c>
      <c r="D793" s="35" t="s">
        <v>463</v>
      </c>
      <c r="E793" s="35" t="s">
        <v>507</v>
      </c>
      <c r="F793" s="35" t="s">
        <v>390</v>
      </c>
      <c r="G793" s="35" t="s">
        <v>530</v>
      </c>
      <c r="H793" s="35" t="s">
        <v>335</v>
      </c>
    </row>
    <row r="794" spans="1:8">
      <c r="A794" s="34">
        <v>2084030120</v>
      </c>
      <c r="B794" s="35" t="s">
        <v>462</v>
      </c>
      <c r="C794" s="35" t="s">
        <v>405</v>
      </c>
      <c r="D794" s="35" t="s">
        <v>463</v>
      </c>
      <c r="E794" s="35" t="s">
        <v>507</v>
      </c>
      <c r="F794" s="35" t="s">
        <v>390</v>
      </c>
      <c r="G794" s="35" t="s">
        <v>533</v>
      </c>
      <c r="H794" s="35" t="s">
        <v>534</v>
      </c>
    </row>
    <row r="795" spans="1:8">
      <c r="A795" s="34">
        <v>2084030154</v>
      </c>
      <c r="B795" s="35" t="s">
        <v>462</v>
      </c>
      <c r="C795" s="35" t="s">
        <v>405</v>
      </c>
      <c r="D795" s="35" t="s">
        <v>463</v>
      </c>
      <c r="E795" s="35" t="s">
        <v>507</v>
      </c>
      <c r="F795" s="35" t="s">
        <v>390</v>
      </c>
      <c r="G795" s="35" t="s">
        <v>533</v>
      </c>
      <c r="H795" s="35" t="s">
        <v>535</v>
      </c>
    </row>
    <row r="796" spans="1:8">
      <c r="A796" s="34">
        <v>2084027141</v>
      </c>
      <c r="B796" s="35" t="s">
        <v>462</v>
      </c>
      <c r="C796" s="35" t="s">
        <v>405</v>
      </c>
      <c r="D796" s="35" t="s">
        <v>463</v>
      </c>
      <c r="E796" s="35" t="s">
        <v>507</v>
      </c>
      <c r="F796" s="35" t="s">
        <v>390</v>
      </c>
      <c r="G796" s="35" t="s">
        <v>533</v>
      </c>
      <c r="H796" s="35" t="s">
        <v>536</v>
      </c>
    </row>
    <row r="797" spans="1:8">
      <c r="A797" s="34">
        <v>2084058655</v>
      </c>
      <c r="B797" s="35" t="s">
        <v>462</v>
      </c>
      <c r="C797" s="35" t="s">
        <v>405</v>
      </c>
      <c r="D797" s="35" t="s">
        <v>463</v>
      </c>
      <c r="E797" s="35" t="s">
        <v>507</v>
      </c>
      <c r="F797" s="35" t="s">
        <v>390</v>
      </c>
      <c r="G797" s="35" t="s">
        <v>533</v>
      </c>
      <c r="H797" s="35" t="s">
        <v>335</v>
      </c>
    </row>
    <row r="798" spans="1:8">
      <c r="A798" s="34">
        <v>2084050803</v>
      </c>
      <c r="B798" s="35" t="s">
        <v>462</v>
      </c>
      <c r="C798" s="35" t="s">
        <v>405</v>
      </c>
      <c r="D798" s="35" t="s">
        <v>463</v>
      </c>
      <c r="E798" s="35" t="s">
        <v>507</v>
      </c>
      <c r="F798" s="35" t="s">
        <v>390</v>
      </c>
      <c r="G798" s="35" t="s">
        <v>335</v>
      </c>
    </row>
    <row r="799" spans="1:8">
      <c r="A799" s="34">
        <v>2084030701</v>
      </c>
      <c r="B799" s="35" t="s">
        <v>462</v>
      </c>
      <c r="C799" s="35" t="s">
        <v>405</v>
      </c>
      <c r="D799" s="35" t="s">
        <v>463</v>
      </c>
      <c r="E799" s="35" t="s">
        <v>507</v>
      </c>
      <c r="F799" s="35" t="s">
        <v>353</v>
      </c>
      <c r="G799" s="35" t="s">
        <v>481</v>
      </c>
    </row>
    <row r="800" spans="1:8">
      <c r="A800" s="34">
        <v>2084031479</v>
      </c>
      <c r="B800" s="35" t="s">
        <v>462</v>
      </c>
      <c r="C800" s="35" t="s">
        <v>405</v>
      </c>
      <c r="D800" s="35" t="s">
        <v>463</v>
      </c>
      <c r="E800" s="35" t="s">
        <v>507</v>
      </c>
      <c r="F800" s="35" t="s">
        <v>353</v>
      </c>
      <c r="G800" s="35" t="s">
        <v>482</v>
      </c>
    </row>
    <row r="801" spans="1:7">
      <c r="A801" s="34">
        <v>2084031599</v>
      </c>
      <c r="B801" s="35" t="s">
        <v>462</v>
      </c>
      <c r="C801" s="35" t="s">
        <v>405</v>
      </c>
      <c r="D801" s="35" t="s">
        <v>463</v>
      </c>
      <c r="E801" s="35" t="s">
        <v>507</v>
      </c>
      <c r="F801" s="35" t="s">
        <v>353</v>
      </c>
      <c r="G801" s="35" t="s">
        <v>483</v>
      </c>
    </row>
    <row r="802" spans="1:7">
      <c r="A802" s="34">
        <v>2084030278</v>
      </c>
      <c r="B802" s="35" t="s">
        <v>462</v>
      </c>
      <c r="C802" s="35" t="s">
        <v>405</v>
      </c>
      <c r="D802" s="35" t="s">
        <v>463</v>
      </c>
      <c r="E802" s="35" t="s">
        <v>507</v>
      </c>
      <c r="F802" s="35" t="s">
        <v>353</v>
      </c>
      <c r="G802" s="35" t="s">
        <v>493</v>
      </c>
    </row>
    <row r="803" spans="1:7">
      <c r="A803" s="34">
        <v>2084031390</v>
      </c>
      <c r="B803" s="35" t="s">
        <v>462</v>
      </c>
      <c r="C803" s="35" t="s">
        <v>405</v>
      </c>
      <c r="D803" s="35" t="s">
        <v>463</v>
      </c>
      <c r="E803" s="35" t="s">
        <v>507</v>
      </c>
      <c r="F803" s="35" t="s">
        <v>353</v>
      </c>
      <c r="G803" s="35" t="s">
        <v>494</v>
      </c>
    </row>
    <row r="804" spans="1:7">
      <c r="A804" s="34">
        <v>2084031539</v>
      </c>
      <c r="B804" s="35" t="s">
        <v>462</v>
      </c>
      <c r="C804" s="35" t="s">
        <v>405</v>
      </c>
      <c r="D804" s="35" t="s">
        <v>463</v>
      </c>
      <c r="E804" s="35" t="s">
        <v>507</v>
      </c>
      <c r="F804" s="35" t="s">
        <v>353</v>
      </c>
      <c r="G804" s="35" t="s">
        <v>397</v>
      </c>
    </row>
    <row r="805" spans="1:7">
      <c r="A805" s="34">
        <v>2084030401</v>
      </c>
      <c r="B805" s="35" t="s">
        <v>462</v>
      </c>
      <c r="C805" s="35" t="s">
        <v>405</v>
      </c>
      <c r="D805" s="35" t="s">
        <v>463</v>
      </c>
      <c r="E805" s="35" t="s">
        <v>507</v>
      </c>
      <c r="F805" s="35" t="s">
        <v>353</v>
      </c>
      <c r="G805" s="35" t="s">
        <v>421</v>
      </c>
    </row>
    <row r="806" spans="1:7">
      <c r="A806" s="34">
        <v>2084031569</v>
      </c>
      <c r="B806" s="35" t="s">
        <v>462</v>
      </c>
      <c r="C806" s="35" t="s">
        <v>405</v>
      </c>
      <c r="D806" s="35" t="s">
        <v>463</v>
      </c>
      <c r="E806" s="35" t="s">
        <v>507</v>
      </c>
      <c r="F806" s="35" t="s">
        <v>353</v>
      </c>
      <c r="G806" s="35" t="s">
        <v>398</v>
      </c>
    </row>
    <row r="807" spans="1:7">
      <c r="A807" s="34">
        <v>2084030340</v>
      </c>
      <c r="B807" s="35" t="s">
        <v>462</v>
      </c>
      <c r="C807" s="35" t="s">
        <v>405</v>
      </c>
      <c r="D807" s="35" t="s">
        <v>463</v>
      </c>
      <c r="E807" s="35" t="s">
        <v>507</v>
      </c>
      <c r="F807" s="35" t="s">
        <v>353</v>
      </c>
      <c r="G807" s="35" t="s">
        <v>422</v>
      </c>
    </row>
    <row r="808" spans="1:7">
      <c r="A808" s="34">
        <v>2084050804</v>
      </c>
      <c r="B808" s="35" t="s">
        <v>462</v>
      </c>
      <c r="C808" s="35" t="s">
        <v>405</v>
      </c>
      <c r="D808" s="35" t="s">
        <v>463</v>
      </c>
      <c r="E808" s="35" t="s">
        <v>507</v>
      </c>
      <c r="F808" s="35" t="s">
        <v>353</v>
      </c>
      <c r="G808" s="35" t="s">
        <v>403</v>
      </c>
    </row>
    <row r="809" spans="1:7">
      <c r="A809" s="34">
        <v>2084050805</v>
      </c>
      <c r="B809" s="35" t="s">
        <v>462</v>
      </c>
      <c r="C809" s="35" t="s">
        <v>405</v>
      </c>
      <c r="D809" s="35" t="s">
        <v>463</v>
      </c>
      <c r="E809" s="35" t="s">
        <v>507</v>
      </c>
      <c r="F809" s="35" t="s">
        <v>353</v>
      </c>
      <c r="G809" s="35" t="s">
        <v>335</v>
      </c>
    </row>
    <row r="810" spans="1:7">
      <c r="A810" s="34">
        <v>2084025428</v>
      </c>
      <c r="B810" s="35" t="s">
        <v>462</v>
      </c>
      <c r="C810" s="35" t="s">
        <v>405</v>
      </c>
      <c r="D810" s="35" t="s">
        <v>463</v>
      </c>
      <c r="E810" s="35" t="s">
        <v>507</v>
      </c>
      <c r="F810" s="35" t="s">
        <v>442</v>
      </c>
      <c r="G810" s="35" t="s">
        <v>537</v>
      </c>
    </row>
    <row r="811" spans="1:7">
      <c r="A811" s="34">
        <v>2084025203</v>
      </c>
      <c r="B811" s="35" t="s">
        <v>462</v>
      </c>
      <c r="C811" s="35" t="s">
        <v>405</v>
      </c>
      <c r="D811" s="35" t="s">
        <v>463</v>
      </c>
      <c r="E811" s="35" t="s">
        <v>507</v>
      </c>
      <c r="F811" s="35" t="s">
        <v>442</v>
      </c>
      <c r="G811" s="35" t="s">
        <v>538</v>
      </c>
    </row>
    <row r="812" spans="1:7">
      <c r="A812" s="34">
        <v>2084025381</v>
      </c>
      <c r="B812" s="35" t="s">
        <v>462</v>
      </c>
      <c r="C812" s="35" t="s">
        <v>405</v>
      </c>
      <c r="D812" s="35" t="s">
        <v>463</v>
      </c>
      <c r="E812" s="35" t="s">
        <v>507</v>
      </c>
      <c r="F812" s="35" t="s">
        <v>442</v>
      </c>
      <c r="G812" s="35" t="s">
        <v>539</v>
      </c>
    </row>
    <row r="813" spans="1:7">
      <c r="A813" s="34">
        <v>2084050806</v>
      </c>
      <c r="B813" s="35" t="s">
        <v>462</v>
      </c>
      <c r="C813" s="35" t="s">
        <v>405</v>
      </c>
      <c r="D813" s="35" t="s">
        <v>463</v>
      </c>
      <c r="E813" s="35" t="s">
        <v>507</v>
      </c>
      <c r="F813" s="35" t="s">
        <v>442</v>
      </c>
      <c r="G813" s="35" t="s">
        <v>335</v>
      </c>
    </row>
    <row r="814" spans="1:7">
      <c r="A814" s="34">
        <v>2084048649</v>
      </c>
      <c r="B814" s="35" t="s">
        <v>462</v>
      </c>
      <c r="C814" s="35" t="s">
        <v>405</v>
      </c>
      <c r="D814" s="35" t="s">
        <v>463</v>
      </c>
      <c r="E814" s="35" t="s">
        <v>507</v>
      </c>
      <c r="F814" s="35" t="s">
        <v>335</v>
      </c>
    </row>
    <row r="815" spans="1:7">
      <c r="A815" s="34">
        <v>2084050173</v>
      </c>
      <c r="B815" s="35" t="s">
        <v>462</v>
      </c>
      <c r="C815" s="35" t="s">
        <v>405</v>
      </c>
      <c r="D815" s="35" t="s">
        <v>463</v>
      </c>
      <c r="E815" s="35" t="s">
        <v>540</v>
      </c>
    </row>
    <row r="816" spans="1:7">
      <c r="A816" s="34">
        <v>2084229887</v>
      </c>
      <c r="B816" s="35" t="s">
        <v>462</v>
      </c>
      <c r="C816" s="35" t="s">
        <v>405</v>
      </c>
      <c r="D816" s="35" t="s">
        <v>463</v>
      </c>
      <c r="E816" s="35" t="s">
        <v>541</v>
      </c>
      <c r="F816" s="35" t="s">
        <v>407</v>
      </c>
    </row>
    <row r="817" spans="1:9">
      <c r="A817" s="34">
        <v>2084229886</v>
      </c>
      <c r="B817" s="35" t="s">
        <v>462</v>
      </c>
      <c r="C817" s="35" t="s">
        <v>405</v>
      </c>
      <c r="D817" s="35" t="s">
        <v>463</v>
      </c>
      <c r="E817" s="35" t="s">
        <v>541</v>
      </c>
      <c r="F817" s="35" t="s">
        <v>408</v>
      </c>
    </row>
    <row r="818" spans="1:9">
      <c r="A818" s="34">
        <v>2084229888</v>
      </c>
      <c r="B818" s="35" t="s">
        <v>462</v>
      </c>
      <c r="C818" s="35" t="s">
        <v>405</v>
      </c>
      <c r="D818" s="35" t="s">
        <v>463</v>
      </c>
      <c r="E818" s="35" t="s">
        <v>541</v>
      </c>
      <c r="F818" s="35" t="s">
        <v>335</v>
      </c>
    </row>
    <row r="819" spans="1:9">
      <c r="A819" s="34">
        <v>2084055062</v>
      </c>
      <c r="B819" s="35" t="s">
        <v>462</v>
      </c>
      <c r="C819" s="35" t="s">
        <v>405</v>
      </c>
      <c r="D819" s="35" t="s">
        <v>463</v>
      </c>
      <c r="E819" s="35" t="s">
        <v>542</v>
      </c>
      <c r="F819" s="35" t="s">
        <v>475</v>
      </c>
    </row>
    <row r="820" spans="1:9">
      <c r="A820" s="34">
        <v>2084055775</v>
      </c>
      <c r="B820" s="35" t="s">
        <v>462</v>
      </c>
      <c r="C820" s="35" t="s">
        <v>405</v>
      </c>
      <c r="D820" s="35" t="s">
        <v>463</v>
      </c>
      <c r="E820" s="35" t="s">
        <v>542</v>
      </c>
      <c r="F820" s="35" t="s">
        <v>484</v>
      </c>
    </row>
    <row r="821" spans="1:9">
      <c r="A821" s="34">
        <v>2084055051</v>
      </c>
      <c r="B821" s="35" t="s">
        <v>462</v>
      </c>
      <c r="C821" s="35" t="s">
        <v>405</v>
      </c>
      <c r="D821" s="35" t="s">
        <v>463</v>
      </c>
      <c r="E821" s="35" t="s">
        <v>542</v>
      </c>
      <c r="F821" s="35" t="s">
        <v>353</v>
      </c>
      <c r="G821" s="35" t="s">
        <v>367</v>
      </c>
    </row>
    <row r="822" spans="1:9">
      <c r="A822" s="34">
        <v>2084055063</v>
      </c>
      <c r="B822" s="35" t="s">
        <v>462</v>
      </c>
      <c r="C822" s="35" t="s">
        <v>405</v>
      </c>
      <c r="D822" s="35" t="s">
        <v>463</v>
      </c>
      <c r="E822" s="35" t="s">
        <v>542</v>
      </c>
      <c r="F822" s="35" t="s">
        <v>353</v>
      </c>
      <c r="G822" s="35" t="s">
        <v>368</v>
      </c>
      <c r="H822" s="35" t="s">
        <v>481</v>
      </c>
    </row>
    <row r="823" spans="1:9">
      <c r="A823" s="34">
        <v>2084055065</v>
      </c>
      <c r="B823" s="35" t="s">
        <v>462</v>
      </c>
      <c r="C823" s="35" t="s">
        <v>405</v>
      </c>
      <c r="D823" s="35" t="s">
        <v>463</v>
      </c>
      <c r="E823" s="35" t="s">
        <v>542</v>
      </c>
      <c r="F823" s="35" t="s">
        <v>353</v>
      </c>
      <c r="G823" s="35" t="s">
        <v>368</v>
      </c>
      <c r="H823" s="35" t="s">
        <v>543</v>
      </c>
    </row>
    <row r="824" spans="1:9">
      <c r="A824" s="34">
        <v>2084055064</v>
      </c>
      <c r="B824" s="35" t="s">
        <v>462</v>
      </c>
      <c r="C824" s="35" t="s">
        <v>405</v>
      </c>
      <c r="D824" s="35" t="s">
        <v>463</v>
      </c>
      <c r="E824" s="35" t="s">
        <v>542</v>
      </c>
      <c r="F824" s="35" t="s">
        <v>353</v>
      </c>
      <c r="G824" s="35" t="s">
        <v>368</v>
      </c>
      <c r="H824" s="35" t="s">
        <v>335</v>
      </c>
    </row>
    <row r="825" spans="1:9">
      <c r="A825" s="34">
        <v>2084055060</v>
      </c>
      <c r="B825" s="35" t="s">
        <v>462</v>
      </c>
      <c r="C825" s="35" t="s">
        <v>405</v>
      </c>
      <c r="D825" s="35" t="s">
        <v>463</v>
      </c>
      <c r="E825" s="35" t="s">
        <v>542</v>
      </c>
      <c r="F825" s="35" t="s">
        <v>353</v>
      </c>
      <c r="G825" s="35" t="s">
        <v>10</v>
      </c>
      <c r="H825" s="35" t="s">
        <v>544</v>
      </c>
    </row>
    <row r="826" spans="1:9">
      <c r="A826" s="34">
        <v>2084055057</v>
      </c>
      <c r="B826" s="35" t="s">
        <v>462</v>
      </c>
      <c r="C826" s="35" t="s">
        <v>405</v>
      </c>
      <c r="D826" s="35" t="s">
        <v>463</v>
      </c>
      <c r="E826" s="35" t="s">
        <v>542</v>
      </c>
      <c r="F826" s="35" t="s">
        <v>353</v>
      </c>
      <c r="G826" s="35" t="s">
        <v>10</v>
      </c>
      <c r="H826" s="35" t="s">
        <v>397</v>
      </c>
    </row>
    <row r="827" spans="1:9">
      <c r="A827" s="34">
        <v>2084055056</v>
      </c>
      <c r="B827" s="35" t="s">
        <v>462</v>
      </c>
      <c r="C827" s="35" t="s">
        <v>405</v>
      </c>
      <c r="D827" s="35" t="s">
        <v>463</v>
      </c>
      <c r="E827" s="35" t="s">
        <v>542</v>
      </c>
      <c r="F827" s="35" t="s">
        <v>353</v>
      </c>
      <c r="G827" s="35" t="s">
        <v>10</v>
      </c>
      <c r="H827" s="35" t="s">
        <v>421</v>
      </c>
    </row>
    <row r="828" spans="1:9">
      <c r="A828" s="34">
        <v>2084060514</v>
      </c>
      <c r="B828" s="35" t="s">
        <v>462</v>
      </c>
      <c r="C828" s="35" t="s">
        <v>405</v>
      </c>
      <c r="D828" s="35" t="s">
        <v>463</v>
      </c>
      <c r="E828" s="35" t="s">
        <v>542</v>
      </c>
      <c r="F828" s="35" t="s">
        <v>353</v>
      </c>
      <c r="G828" s="35" t="s">
        <v>10</v>
      </c>
      <c r="H828" s="35" t="s">
        <v>378</v>
      </c>
      <c r="I828" s="35" t="s">
        <v>391</v>
      </c>
    </row>
    <row r="829" spans="1:9">
      <c r="A829" s="34">
        <v>2084060515</v>
      </c>
      <c r="B829" s="35" t="s">
        <v>462</v>
      </c>
      <c r="C829" s="35" t="s">
        <v>405</v>
      </c>
      <c r="D829" s="35" t="s">
        <v>463</v>
      </c>
      <c r="E829" s="35" t="s">
        <v>542</v>
      </c>
      <c r="F829" s="35" t="s">
        <v>353</v>
      </c>
      <c r="G829" s="35" t="s">
        <v>10</v>
      </c>
      <c r="H829" s="35" t="s">
        <v>378</v>
      </c>
      <c r="I829" s="35" t="s">
        <v>392</v>
      </c>
    </row>
    <row r="830" spans="1:9">
      <c r="A830" s="34">
        <v>2084060516</v>
      </c>
      <c r="B830" s="35" t="s">
        <v>462</v>
      </c>
      <c r="C830" s="35" t="s">
        <v>405</v>
      </c>
      <c r="D830" s="35" t="s">
        <v>463</v>
      </c>
      <c r="E830" s="35" t="s">
        <v>542</v>
      </c>
      <c r="F830" s="35" t="s">
        <v>353</v>
      </c>
      <c r="G830" s="35" t="s">
        <v>10</v>
      </c>
      <c r="H830" s="35" t="s">
        <v>378</v>
      </c>
      <c r="I830" s="35" t="s">
        <v>375</v>
      </c>
    </row>
    <row r="831" spans="1:9">
      <c r="A831" s="34">
        <v>2084060517</v>
      </c>
      <c r="B831" s="35" t="s">
        <v>462</v>
      </c>
      <c r="C831" s="35" t="s">
        <v>405</v>
      </c>
      <c r="D831" s="35" t="s">
        <v>463</v>
      </c>
      <c r="E831" s="35" t="s">
        <v>542</v>
      </c>
      <c r="F831" s="35" t="s">
        <v>353</v>
      </c>
      <c r="G831" s="35" t="s">
        <v>10</v>
      </c>
      <c r="H831" s="35" t="s">
        <v>378</v>
      </c>
      <c r="I831" s="35" t="s">
        <v>376</v>
      </c>
    </row>
    <row r="832" spans="1:9">
      <c r="A832" s="34">
        <v>2084060518</v>
      </c>
      <c r="B832" s="35" t="s">
        <v>462</v>
      </c>
      <c r="C832" s="35" t="s">
        <v>405</v>
      </c>
      <c r="D832" s="35" t="s">
        <v>463</v>
      </c>
      <c r="E832" s="35" t="s">
        <v>542</v>
      </c>
      <c r="F832" s="35" t="s">
        <v>353</v>
      </c>
      <c r="G832" s="35" t="s">
        <v>10</v>
      </c>
      <c r="H832" s="35" t="s">
        <v>378</v>
      </c>
      <c r="I832" s="35" t="s">
        <v>377</v>
      </c>
    </row>
    <row r="833" spans="1:8">
      <c r="A833" s="34">
        <v>2084055058</v>
      </c>
      <c r="B833" s="35" t="s">
        <v>462</v>
      </c>
      <c r="C833" s="35" t="s">
        <v>405</v>
      </c>
      <c r="D833" s="35" t="s">
        <v>463</v>
      </c>
      <c r="E833" s="35" t="s">
        <v>542</v>
      </c>
      <c r="F833" s="35" t="s">
        <v>353</v>
      </c>
      <c r="G833" s="35" t="s">
        <v>10</v>
      </c>
      <c r="H833" s="35" t="s">
        <v>422</v>
      </c>
    </row>
    <row r="834" spans="1:8">
      <c r="A834" s="34">
        <v>2084055061</v>
      </c>
      <c r="B834" s="35" t="s">
        <v>462</v>
      </c>
      <c r="C834" s="35" t="s">
        <v>405</v>
      </c>
      <c r="D834" s="35" t="s">
        <v>463</v>
      </c>
      <c r="E834" s="35" t="s">
        <v>542</v>
      </c>
      <c r="F834" s="35" t="s">
        <v>353</v>
      </c>
      <c r="G834" s="35" t="s">
        <v>10</v>
      </c>
      <c r="H834" s="35" t="s">
        <v>335</v>
      </c>
    </row>
    <row r="835" spans="1:8">
      <c r="A835" s="34">
        <v>2084055067</v>
      </c>
      <c r="B835" s="35" t="s">
        <v>462</v>
      </c>
      <c r="C835" s="35" t="s">
        <v>405</v>
      </c>
      <c r="D835" s="35" t="s">
        <v>463</v>
      </c>
      <c r="E835" s="35" t="s">
        <v>542</v>
      </c>
      <c r="F835" s="35" t="s">
        <v>353</v>
      </c>
      <c r="G835" s="35" t="s">
        <v>379</v>
      </c>
      <c r="H835" s="35" t="s">
        <v>335</v>
      </c>
    </row>
    <row r="836" spans="1:8">
      <c r="A836" s="34">
        <v>2084055066</v>
      </c>
      <c r="B836" s="35" t="s">
        <v>462</v>
      </c>
      <c r="C836" s="35" t="s">
        <v>405</v>
      </c>
      <c r="D836" s="35" t="s">
        <v>463</v>
      </c>
      <c r="E836" s="35" t="s">
        <v>542</v>
      </c>
      <c r="F836" s="35" t="s">
        <v>353</v>
      </c>
      <c r="G836" s="35" t="s">
        <v>379</v>
      </c>
      <c r="H836" s="35" t="s">
        <v>545</v>
      </c>
    </row>
    <row r="837" spans="1:8">
      <c r="A837" s="34">
        <v>2084055055</v>
      </c>
      <c r="B837" s="35" t="s">
        <v>462</v>
      </c>
      <c r="C837" s="35" t="s">
        <v>405</v>
      </c>
      <c r="D837" s="35" t="s">
        <v>463</v>
      </c>
      <c r="E837" s="35" t="s">
        <v>542</v>
      </c>
      <c r="F837" s="35" t="s">
        <v>353</v>
      </c>
      <c r="G837" s="35" t="s">
        <v>335</v>
      </c>
    </row>
    <row r="838" spans="1:8">
      <c r="A838" s="34">
        <v>2084055069</v>
      </c>
      <c r="B838" s="35" t="s">
        <v>462</v>
      </c>
      <c r="C838" s="35" t="s">
        <v>405</v>
      </c>
      <c r="D838" s="35" t="s">
        <v>463</v>
      </c>
      <c r="E838" s="35" t="s">
        <v>542</v>
      </c>
      <c r="F838" s="35" t="s">
        <v>335</v>
      </c>
    </row>
    <row r="839" spans="1:8">
      <c r="A839" s="34">
        <v>2084215811</v>
      </c>
      <c r="B839" s="35" t="s">
        <v>462</v>
      </c>
      <c r="C839" s="35" t="s">
        <v>405</v>
      </c>
      <c r="D839" s="35" t="s">
        <v>463</v>
      </c>
      <c r="E839" s="35" t="s">
        <v>546</v>
      </c>
      <c r="F839" s="35" t="s">
        <v>390</v>
      </c>
      <c r="G839" s="35" t="s">
        <v>367</v>
      </c>
    </row>
    <row r="840" spans="1:8">
      <c r="A840" s="34">
        <v>2084215812</v>
      </c>
      <c r="B840" s="35" t="s">
        <v>462</v>
      </c>
      <c r="C840" s="35" t="s">
        <v>405</v>
      </c>
      <c r="D840" s="35" t="s">
        <v>463</v>
      </c>
      <c r="E840" s="35" t="s">
        <v>546</v>
      </c>
      <c r="F840" s="35" t="s">
        <v>390</v>
      </c>
      <c r="G840" s="35" t="s">
        <v>401</v>
      </c>
    </row>
    <row r="841" spans="1:8">
      <c r="A841" s="34">
        <v>2084215813</v>
      </c>
      <c r="B841" s="35" t="s">
        <v>462</v>
      </c>
      <c r="C841" s="35" t="s">
        <v>405</v>
      </c>
      <c r="D841" s="35" t="s">
        <v>463</v>
      </c>
      <c r="E841" s="35" t="s">
        <v>546</v>
      </c>
      <c r="F841" s="35" t="s">
        <v>390</v>
      </c>
      <c r="G841" s="35" t="s">
        <v>402</v>
      </c>
    </row>
    <row r="842" spans="1:8">
      <c r="A842" s="34">
        <v>2084215815</v>
      </c>
      <c r="B842" s="35" t="s">
        <v>462</v>
      </c>
      <c r="C842" s="35" t="s">
        <v>405</v>
      </c>
      <c r="D842" s="35" t="s">
        <v>463</v>
      </c>
      <c r="E842" s="35" t="s">
        <v>546</v>
      </c>
      <c r="F842" s="35" t="s">
        <v>390</v>
      </c>
      <c r="G842" s="35" t="s">
        <v>379</v>
      </c>
      <c r="H842" s="35" t="s">
        <v>476</v>
      </c>
    </row>
    <row r="843" spans="1:8">
      <c r="A843" s="34">
        <v>2084215816</v>
      </c>
      <c r="B843" s="35" t="s">
        <v>462</v>
      </c>
      <c r="C843" s="35" t="s">
        <v>405</v>
      </c>
      <c r="D843" s="35" t="s">
        <v>463</v>
      </c>
      <c r="E843" s="35" t="s">
        <v>546</v>
      </c>
      <c r="F843" s="35" t="s">
        <v>390</v>
      </c>
      <c r="G843" s="35" t="s">
        <v>379</v>
      </c>
      <c r="H843" s="35" t="s">
        <v>335</v>
      </c>
    </row>
    <row r="844" spans="1:8">
      <c r="A844" s="34">
        <v>2084215817</v>
      </c>
      <c r="B844" s="35" t="s">
        <v>462</v>
      </c>
      <c r="C844" s="35" t="s">
        <v>405</v>
      </c>
      <c r="D844" s="35" t="s">
        <v>463</v>
      </c>
      <c r="E844" s="35" t="s">
        <v>546</v>
      </c>
      <c r="F844" s="35" t="s">
        <v>390</v>
      </c>
      <c r="G844" s="35" t="s">
        <v>478</v>
      </c>
    </row>
    <row r="845" spans="1:8">
      <c r="A845" s="34">
        <v>2084215818</v>
      </c>
      <c r="B845" s="35" t="s">
        <v>462</v>
      </c>
      <c r="C845" s="35" t="s">
        <v>405</v>
      </c>
      <c r="D845" s="35" t="s">
        <v>463</v>
      </c>
      <c r="E845" s="35" t="s">
        <v>546</v>
      </c>
      <c r="F845" s="35" t="s">
        <v>390</v>
      </c>
      <c r="G845" s="35" t="s">
        <v>335</v>
      </c>
    </row>
    <row r="846" spans="1:8">
      <c r="A846" s="34">
        <v>2084215820</v>
      </c>
      <c r="B846" s="35" t="s">
        <v>462</v>
      </c>
      <c r="C846" s="35" t="s">
        <v>405</v>
      </c>
      <c r="D846" s="35" t="s">
        <v>463</v>
      </c>
      <c r="E846" s="35" t="s">
        <v>546</v>
      </c>
      <c r="F846" s="35" t="s">
        <v>353</v>
      </c>
      <c r="G846" s="35" t="s">
        <v>367</v>
      </c>
    </row>
    <row r="847" spans="1:8">
      <c r="A847" s="34">
        <v>2084215821</v>
      </c>
      <c r="B847" s="35" t="s">
        <v>462</v>
      </c>
      <c r="C847" s="35" t="s">
        <v>405</v>
      </c>
      <c r="D847" s="35" t="s">
        <v>463</v>
      </c>
      <c r="E847" s="35" t="s">
        <v>546</v>
      </c>
      <c r="F847" s="35" t="s">
        <v>353</v>
      </c>
      <c r="G847" s="35" t="s">
        <v>401</v>
      </c>
    </row>
    <row r="848" spans="1:8">
      <c r="A848" s="34">
        <v>2084215822</v>
      </c>
      <c r="B848" s="35" t="s">
        <v>462</v>
      </c>
      <c r="C848" s="35" t="s">
        <v>405</v>
      </c>
      <c r="D848" s="35" t="s">
        <v>463</v>
      </c>
      <c r="E848" s="35" t="s">
        <v>546</v>
      </c>
      <c r="F848" s="35" t="s">
        <v>353</v>
      </c>
      <c r="G848" s="35" t="s">
        <v>402</v>
      </c>
    </row>
    <row r="849" spans="1:8">
      <c r="A849" s="34">
        <v>2084215823</v>
      </c>
      <c r="B849" s="35" t="s">
        <v>462</v>
      </c>
      <c r="C849" s="35" t="s">
        <v>405</v>
      </c>
      <c r="D849" s="35" t="s">
        <v>463</v>
      </c>
      <c r="E849" s="35" t="s">
        <v>546</v>
      </c>
      <c r="F849" s="35" t="s">
        <v>353</v>
      </c>
      <c r="G849" s="35" t="s">
        <v>403</v>
      </c>
    </row>
    <row r="850" spans="1:8">
      <c r="A850" s="34">
        <v>2084215824</v>
      </c>
      <c r="B850" s="35" t="s">
        <v>462</v>
      </c>
      <c r="C850" s="35" t="s">
        <v>405</v>
      </c>
      <c r="D850" s="35" t="s">
        <v>463</v>
      </c>
      <c r="E850" s="35" t="s">
        <v>546</v>
      </c>
      <c r="F850" s="35" t="s">
        <v>353</v>
      </c>
      <c r="G850" s="35" t="s">
        <v>335</v>
      </c>
    </row>
    <row r="851" spans="1:8">
      <c r="A851" s="34">
        <v>2084215825</v>
      </c>
      <c r="B851" s="35" t="s">
        <v>462</v>
      </c>
      <c r="C851" s="35" t="s">
        <v>405</v>
      </c>
      <c r="D851" s="35" t="s">
        <v>463</v>
      </c>
      <c r="E851" s="35" t="s">
        <v>546</v>
      </c>
      <c r="F851" s="35" t="s">
        <v>335</v>
      </c>
    </row>
    <row r="852" spans="1:8">
      <c r="A852" s="34">
        <v>2084028220</v>
      </c>
      <c r="B852" s="35" t="s">
        <v>462</v>
      </c>
      <c r="C852" s="35" t="s">
        <v>405</v>
      </c>
      <c r="D852" s="35" t="s">
        <v>463</v>
      </c>
      <c r="E852" s="35" t="s">
        <v>547</v>
      </c>
      <c r="F852" s="35" t="s">
        <v>390</v>
      </c>
      <c r="G852" s="35" t="s">
        <v>367</v>
      </c>
    </row>
    <row r="853" spans="1:8">
      <c r="A853" s="34">
        <v>2084028772</v>
      </c>
      <c r="B853" s="35" t="s">
        <v>462</v>
      </c>
      <c r="C853" s="35" t="s">
        <v>405</v>
      </c>
      <c r="D853" s="35" t="s">
        <v>463</v>
      </c>
      <c r="E853" s="35" t="s">
        <v>547</v>
      </c>
      <c r="F853" s="35" t="s">
        <v>390</v>
      </c>
      <c r="G853" s="35" t="s">
        <v>368</v>
      </c>
      <c r="H853" s="35" t="s">
        <v>508</v>
      </c>
    </row>
    <row r="854" spans="1:8">
      <c r="A854" s="34">
        <v>2084029305</v>
      </c>
      <c r="B854" s="35" t="s">
        <v>462</v>
      </c>
      <c r="C854" s="35" t="s">
        <v>405</v>
      </c>
      <c r="D854" s="35" t="s">
        <v>463</v>
      </c>
      <c r="E854" s="35" t="s">
        <v>547</v>
      </c>
      <c r="F854" s="35" t="s">
        <v>390</v>
      </c>
      <c r="G854" s="35" t="s">
        <v>368</v>
      </c>
      <c r="H854" s="35" t="s">
        <v>481</v>
      </c>
    </row>
    <row r="855" spans="1:8">
      <c r="A855" s="34">
        <v>2084029882</v>
      </c>
      <c r="B855" s="35" t="s">
        <v>462</v>
      </c>
      <c r="C855" s="35" t="s">
        <v>405</v>
      </c>
      <c r="D855" s="35" t="s">
        <v>463</v>
      </c>
      <c r="E855" s="35" t="s">
        <v>547</v>
      </c>
      <c r="F855" s="35" t="s">
        <v>390</v>
      </c>
      <c r="G855" s="35" t="s">
        <v>368</v>
      </c>
      <c r="H855" s="35" t="s">
        <v>494</v>
      </c>
    </row>
    <row r="856" spans="1:8">
      <c r="A856" s="34">
        <v>2084058637</v>
      </c>
      <c r="B856" s="35" t="s">
        <v>462</v>
      </c>
      <c r="C856" s="35" t="s">
        <v>405</v>
      </c>
      <c r="D856" s="35" t="s">
        <v>463</v>
      </c>
      <c r="E856" s="35" t="s">
        <v>547</v>
      </c>
      <c r="F856" s="35" t="s">
        <v>390</v>
      </c>
      <c r="G856" s="35" t="s">
        <v>368</v>
      </c>
      <c r="H856" s="35" t="s">
        <v>335</v>
      </c>
    </row>
    <row r="857" spans="1:8">
      <c r="A857" s="34">
        <v>2084027321</v>
      </c>
      <c r="B857" s="35" t="s">
        <v>462</v>
      </c>
      <c r="C857" s="35" t="s">
        <v>405</v>
      </c>
      <c r="D857" s="35" t="s">
        <v>463</v>
      </c>
      <c r="E857" s="35" t="s">
        <v>547</v>
      </c>
      <c r="F857" s="35" t="s">
        <v>390</v>
      </c>
      <c r="G857" s="35" t="s">
        <v>10</v>
      </c>
      <c r="H857" s="35" t="s">
        <v>509</v>
      </c>
    </row>
    <row r="858" spans="1:8">
      <c r="A858" s="34">
        <v>2084027814</v>
      </c>
      <c r="B858" s="35" t="s">
        <v>462</v>
      </c>
      <c r="C858" s="35" t="s">
        <v>405</v>
      </c>
      <c r="D858" s="35" t="s">
        <v>463</v>
      </c>
      <c r="E858" s="35" t="s">
        <v>547</v>
      </c>
      <c r="F858" s="35" t="s">
        <v>390</v>
      </c>
      <c r="G858" s="35" t="s">
        <v>10</v>
      </c>
      <c r="H858" s="35" t="s">
        <v>510</v>
      </c>
    </row>
    <row r="859" spans="1:8">
      <c r="A859" s="34">
        <v>2084027888</v>
      </c>
      <c r="B859" s="35" t="s">
        <v>462</v>
      </c>
      <c r="C859" s="35" t="s">
        <v>405</v>
      </c>
      <c r="D859" s="35" t="s">
        <v>463</v>
      </c>
      <c r="E859" s="35" t="s">
        <v>547</v>
      </c>
      <c r="F859" s="35" t="s">
        <v>390</v>
      </c>
      <c r="G859" s="35" t="s">
        <v>10</v>
      </c>
      <c r="H859" s="35" t="s">
        <v>511</v>
      </c>
    </row>
    <row r="860" spans="1:8">
      <c r="A860" s="34">
        <v>2084027926</v>
      </c>
      <c r="B860" s="35" t="s">
        <v>462</v>
      </c>
      <c r="C860" s="35" t="s">
        <v>405</v>
      </c>
      <c r="D860" s="35" t="s">
        <v>463</v>
      </c>
      <c r="E860" s="35" t="s">
        <v>547</v>
      </c>
      <c r="F860" s="35" t="s">
        <v>390</v>
      </c>
      <c r="G860" s="35" t="s">
        <v>10</v>
      </c>
      <c r="H860" s="35" t="s">
        <v>493</v>
      </c>
    </row>
    <row r="861" spans="1:8">
      <c r="A861" s="34">
        <v>2084027445</v>
      </c>
      <c r="B861" s="35" t="s">
        <v>462</v>
      </c>
      <c r="C861" s="35" t="s">
        <v>405</v>
      </c>
      <c r="D861" s="35" t="s">
        <v>463</v>
      </c>
      <c r="E861" s="35" t="s">
        <v>547</v>
      </c>
      <c r="F861" s="35" t="s">
        <v>390</v>
      </c>
      <c r="G861" s="35" t="s">
        <v>10</v>
      </c>
      <c r="H861" s="35" t="s">
        <v>512</v>
      </c>
    </row>
    <row r="862" spans="1:8">
      <c r="A862" s="34">
        <v>2084027982</v>
      </c>
      <c r="B862" s="35" t="s">
        <v>462</v>
      </c>
      <c r="C862" s="35" t="s">
        <v>405</v>
      </c>
      <c r="D862" s="35" t="s">
        <v>463</v>
      </c>
      <c r="E862" s="35" t="s">
        <v>547</v>
      </c>
      <c r="F862" s="35" t="s">
        <v>390</v>
      </c>
      <c r="G862" s="35" t="s">
        <v>10</v>
      </c>
      <c r="H862" s="35" t="s">
        <v>420</v>
      </c>
    </row>
    <row r="863" spans="1:8">
      <c r="A863" s="34">
        <v>2084027283</v>
      </c>
      <c r="B863" s="35" t="s">
        <v>462</v>
      </c>
      <c r="C863" s="35" t="s">
        <v>405</v>
      </c>
      <c r="D863" s="35" t="s">
        <v>463</v>
      </c>
      <c r="E863" s="35" t="s">
        <v>547</v>
      </c>
      <c r="F863" s="35" t="s">
        <v>390</v>
      </c>
      <c r="G863" s="35" t="s">
        <v>10</v>
      </c>
      <c r="H863" s="35" t="s">
        <v>514</v>
      </c>
    </row>
    <row r="864" spans="1:8">
      <c r="A864" s="34">
        <v>2084027410</v>
      </c>
      <c r="B864" s="35" t="s">
        <v>462</v>
      </c>
      <c r="C864" s="35" t="s">
        <v>405</v>
      </c>
      <c r="D864" s="35" t="s">
        <v>463</v>
      </c>
      <c r="E864" s="35" t="s">
        <v>547</v>
      </c>
      <c r="F864" s="35" t="s">
        <v>390</v>
      </c>
      <c r="G864" s="35" t="s">
        <v>10</v>
      </c>
      <c r="H864" s="35" t="s">
        <v>515</v>
      </c>
    </row>
    <row r="865" spans="1:8">
      <c r="A865" s="34">
        <v>2084027529</v>
      </c>
      <c r="B865" s="35" t="s">
        <v>462</v>
      </c>
      <c r="C865" s="35" t="s">
        <v>405</v>
      </c>
      <c r="D865" s="35" t="s">
        <v>463</v>
      </c>
      <c r="E865" s="35" t="s">
        <v>547</v>
      </c>
      <c r="F865" s="35" t="s">
        <v>390</v>
      </c>
      <c r="G865" s="35" t="s">
        <v>10</v>
      </c>
      <c r="H865" s="35" t="s">
        <v>421</v>
      </c>
    </row>
    <row r="866" spans="1:8">
      <c r="A866" s="34">
        <v>2084027690</v>
      </c>
      <c r="B866" s="35" t="s">
        <v>462</v>
      </c>
      <c r="C866" s="35" t="s">
        <v>405</v>
      </c>
      <c r="D866" s="35" t="s">
        <v>463</v>
      </c>
      <c r="E866" s="35" t="s">
        <v>547</v>
      </c>
      <c r="F866" s="35" t="s">
        <v>390</v>
      </c>
      <c r="G866" s="35" t="s">
        <v>10</v>
      </c>
      <c r="H866" s="35" t="s">
        <v>516</v>
      </c>
    </row>
    <row r="867" spans="1:8">
      <c r="A867" s="34">
        <v>2084027207</v>
      </c>
      <c r="B867" s="35" t="s">
        <v>462</v>
      </c>
      <c r="C867" s="35" t="s">
        <v>405</v>
      </c>
      <c r="D867" s="35" t="s">
        <v>463</v>
      </c>
      <c r="E867" s="35" t="s">
        <v>547</v>
      </c>
      <c r="F867" s="35" t="s">
        <v>390</v>
      </c>
      <c r="G867" s="35" t="s">
        <v>10</v>
      </c>
      <c r="H867" s="35" t="s">
        <v>517</v>
      </c>
    </row>
    <row r="868" spans="1:8">
      <c r="A868" s="34">
        <v>2084027376</v>
      </c>
      <c r="B868" s="35" t="s">
        <v>462</v>
      </c>
      <c r="C868" s="35" t="s">
        <v>405</v>
      </c>
      <c r="D868" s="35" t="s">
        <v>463</v>
      </c>
      <c r="E868" s="35" t="s">
        <v>547</v>
      </c>
      <c r="F868" s="35" t="s">
        <v>390</v>
      </c>
      <c r="G868" s="35" t="s">
        <v>10</v>
      </c>
      <c r="H868" s="35" t="s">
        <v>518</v>
      </c>
    </row>
    <row r="869" spans="1:8">
      <c r="A869" s="34">
        <v>2084027579</v>
      </c>
      <c r="B869" s="35" t="s">
        <v>462</v>
      </c>
      <c r="C869" s="35" t="s">
        <v>405</v>
      </c>
      <c r="D869" s="35" t="s">
        <v>463</v>
      </c>
      <c r="E869" s="35" t="s">
        <v>547</v>
      </c>
      <c r="F869" s="35" t="s">
        <v>390</v>
      </c>
      <c r="G869" s="35" t="s">
        <v>10</v>
      </c>
      <c r="H869" s="35" t="s">
        <v>422</v>
      </c>
    </row>
    <row r="870" spans="1:8">
      <c r="A870" s="34">
        <v>2084027780</v>
      </c>
      <c r="B870" s="35" t="s">
        <v>462</v>
      </c>
      <c r="C870" s="35" t="s">
        <v>405</v>
      </c>
      <c r="D870" s="35" t="s">
        <v>463</v>
      </c>
      <c r="E870" s="35" t="s">
        <v>547</v>
      </c>
      <c r="F870" s="35" t="s">
        <v>390</v>
      </c>
      <c r="G870" s="35" t="s">
        <v>10</v>
      </c>
      <c r="H870" s="35" t="s">
        <v>519</v>
      </c>
    </row>
    <row r="871" spans="1:8">
      <c r="A871" s="34">
        <v>2084058639</v>
      </c>
      <c r="B871" s="35" t="s">
        <v>462</v>
      </c>
      <c r="C871" s="35" t="s">
        <v>405</v>
      </c>
      <c r="D871" s="35" t="s">
        <v>463</v>
      </c>
      <c r="E871" s="35" t="s">
        <v>547</v>
      </c>
      <c r="F871" s="35" t="s">
        <v>390</v>
      </c>
      <c r="G871" s="35" t="s">
        <v>10</v>
      </c>
      <c r="H871" s="35" t="s">
        <v>335</v>
      </c>
    </row>
    <row r="872" spans="1:8">
      <c r="A872" s="34">
        <v>2084028016</v>
      </c>
      <c r="B872" s="35" t="s">
        <v>462</v>
      </c>
      <c r="C872" s="35" t="s">
        <v>405</v>
      </c>
      <c r="D872" s="35" t="s">
        <v>463</v>
      </c>
      <c r="E872" s="35" t="s">
        <v>547</v>
      </c>
      <c r="F872" s="35" t="s">
        <v>390</v>
      </c>
      <c r="G872" s="35" t="s">
        <v>379</v>
      </c>
      <c r="H872" s="35" t="s">
        <v>520</v>
      </c>
    </row>
    <row r="873" spans="1:8">
      <c r="A873" s="34">
        <v>2084028051</v>
      </c>
      <c r="B873" s="35" t="s">
        <v>462</v>
      </c>
      <c r="C873" s="35" t="s">
        <v>405</v>
      </c>
      <c r="D873" s="35" t="s">
        <v>463</v>
      </c>
      <c r="E873" s="35" t="s">
        <v>547</v>
      </c>
      <c r="F873" s="35" t="s">
        <v>390</v>
      </c>
      <c r="G873" s="35" t="s">
        <v>379</v>
      </c>
      <c r="H873" s="35" t="s">
        <v>521</v>
      </c>
    </row>
    <row r="874" spans="1:8">
      <c r="A874" s="34">
        <v>2084028186</v>
      </c>
      <c r="B874" s="35" t="s">
        <v>462</v>
      </c>
      <c r="C874" s="35" t="s">
        <v>405</v>
      </c>
      <c r="D874" s="35" t="s">
        <v>463</v>
      </c>
      <c r="E874" s="35" t="s">
        <v>547</v>
      </c>
      <c r="F874" s="35" t="s">
        <v>390</v>
      </c>
      <c r="G874" s="35" t="s">
        <v>379</v>
      </c>
      <c r="H874" s="35" t="s">
        <v>522</v>
      </c>
    </row>
    <row r="875" spans="1:8">
      <c r="A875" s="34">
        <v>2084028424</v>
      </c>
      <c r="B875" s="35" t="s">
        <v>462</v>
      </c>
      <c r="C875" s="35" t="s">
        <v>405</v>
      </c>
      <c r="D875" s="35" t="s">
        <v>463</v>
      </c>
      <c r="E875" s="35" t="s">
        <v>547</v>
      </c>
      <c r="F875" s="35" t="s">
        <v>390</v>
      </c>
      <c r="G875" s="35" t="s">
        <v>379</v>
      </c>
      <c r="H875" s="35" t="s">
        <v>523</v>
      </c>
    </row>
    <row r="876" spans="1:8">
      <c r="A876" s="34">
        <v>2084028090</v>
      </c>
      <c r="B876" s="35" t="s">
        <v>462</v>
      </c>
      <c r="C876" s="35" t="s">
        <v>405</v>
      </c>
      <c r="D876" s="35" t="s">
        <v>463</v>
      </c>
      <c r="E876" s="35" t="s">
        <v>547</v>
      </c>
      <c r="F876" s="35" t="s">
        <v>390</v>
      </c>
      <c r="G876" s="35" t="s">
        <v>379</v>
      </c>
      <c r="H876" s="35" t="s">
        <v>524</v>
      </c>
    </row>
    <row r="877" spans="1:8">
      <c r="A877" s="34">
        <v>2084028256</v>
      </c>
      <c r="B877" s="35" t="s">
        <v>462</v>
      </c>
      <c r="C877" s="35" t="s">
        <v>405</v>
      </c>
      <c r="D877" s="35" t="s">
        <v>463</v>
      </c>
      <c r="E877" s="35" t="s">
        <v>547</v>
      </c>
      <c r="F877" s="35" t="s">
        <v>390</v>
      </c>
      <c r="G877" s="35" t="s">
        <v>379</v>
      </c>
      <c r="H877" s="35" t="s">
        <v>525</v>
      </c>
    </row>
    <row r="878" spans="1:8">
      <c r="A878" s="34">
        <v>2084028458</v>
      </c>
      <c r="B878" s="35" t="s">
        <v>462</v>
      </c>
      <c r="C878" s="35" t="s">
        <v>405</v>
      </c>
      <c r="D878" s="35" t="s">
        <v>463</v>
      </c>
      <c r="E878" s="35" t="s">
        <v>547</v>
      </c>
      <c r="F878" s="35" t="s">
        <v>390</v>
      </c>
      <c r="G878" s="35" t="s">
        <v>379</v>
      </c>
      <c r="H878" s="35" t="s">
        <v>526</v>
      </c>
    </row>
    <row r="879" spans="1:8">
      <c r="A879" s="34">
        <v>2084028327</v>
      </c>
      <c r="B879" s="35" t="s">
        <v>462</v>
      </c>
      <c r="C879" s="35" t="s">
        <v>405</v>
      </c>
      <c r="D879" s="35" t="s">
        <v>463</v>
      </c>
      <c r="E879" s="35" t="s">
        <v>547</v>
      </c>
      <c r="F879" s="35" t="s">
        <v>390</v>
      </c>
      <c r="G879" s="35" t="s">
        <v>379</v>
      </c>
      <c r="H879" s="35" t="s">
        <v>527</v>
      </c>
    </row>
    <row r="880" spans="1:8">
      <c r="A880" s="34">
        <v>2084028493</v>
      </c>
      <c r="B880" s="35" t="s">
        <v>462</v>
      </c>
      <c r="C880" s="35" t="s">
        <v>405</v>
      </c>
      <c r="D880" s="35" t="s">
        <v>463</v>
      </c>
      <c r="E880" s="35" t="s">
        <v>547</v>
      </c>
      <c r="F880" s="35" t="s">
        <v>390</v>
      </c>
      <c r="G880" s="35" t="s">
        <v>379</v>
      </c>
      <c r="H880" s="35" t="s">
        <v>528</v>
      </c>
    </row>
    <row r="881" spans="1:8">
      <c r="A881" s="34">
        <v>2084028369</v>
      </c>
      <c r="B881" s="35" t="s">
        <v>462</v>
      </c>
      <c r="C881" s="35" t="s">
        <v>405</v>
      </c>
      <c r="D881" s="35" t="s">
        <v>463</v>
      </c>
      <c r="E881" s="35" t="s">
        <v>547</v>
      </c>
      <c r="F881" s="35" t="s">
        <v>390</v>
      </c>
      <c r="G881" s="35" t="s">
        <v>379</v>
      </c>
      <c r="H881" s="35" t="s">
        <v>548</v>
      </c>
    </row>
    <row r="882" spans="1:8">
      <c r="A882" s="34">
        <v>2084058641</v>
      </c>
      <c r="B882" s="35" t="s">
        <v>462</v>
      </c>
      <c r="C882" s="35" t="s">
        <v>405</v>
      </c>
      <c r="D882" s="35" t="s">
        <v>463</v>
      </c>
      <c r="E882" s="35" t="s">
        <v>547</v>
      </c>
      <c r="F882" s="35" t="s">
        <v>390</v>
      </c>
      <c r="G882" s="35" t="s">
        <v>379</v>
      </c>
      <c r="H882" s="35" t="s">
        <v>335</v>
      </c>
    </row>
    <row r="883" spans="1:8">
      <c r="A883" s="34">
        <v>2084028583</v>
      </c>
      <c r="B883" s="35" t="s">
        <v>462</v>
      </c>
      <c r="C883" s="35" t="s">
        <v>405</v>
      </c>
      <c r="D883" s="35" t="s">
        <v>463</v>
      </c>
      <c r="E883" s="35" t="s">
        <v>547</v>
      </c>
      <c r="F883" s="35" t="s">
        <v>390</v>
      </c>
      <c r="G883" s="35" t="s">
        <v>530</v>
      </c>
      <c r="H883" s="35" t="s">
        <v>531</v>
      </c>
    </row>
    <row r="884" spans="1:8">
      <c r="A884" s="34">
        <v>2084028627</v>
      </c>
      <c r="B884" s="35" t="s">
        <v>462</v>
      </c>
      <c r="C884" s="35" t="s">
        <v>405</v>
      </c>
      <c r="D884" s="35" t="s">
        <v>463</v>
      </c>
      <c r="E884" s="35" t="s">
        <v>547</v>
      </c>
      <c r="F884" s="35" t="s">
        <v>390</v>
      </c>
      <c r="G884" s="35" t="s">
        <v>530</v>
      </c>
      <c r="H884" s="35" t="s">
        <v>532</v>
      </c>
    </row>
    <row r="885" spans="1:8">
      <c r="A885" s="34">
        <v>2084058643</v>
      </c>
      <c r="B885" s="35" t="s">
        <v>462</v>
      </c>
      <c r="C885" s="35" t="s">
        <v>405</v>
      </c>
      <c r="D885" s="35" t="s">
        <v>463</v>
      </c>
      <c r="E885" s="35" t="s">
        <v>547</v>
      </c>
      <c r="F885" s="35" t="s">
        <v>390</v>
      </c>
      <c r="G885" s="35" t="s">
        <v>530</v>
      </c>
      <c r="H885" s="35" t="s">
        <v>335</v>
      </c>
    </row>
    <row r="886" spans="1:8">
      <c r="A886" s="34">
        <v>2084027140</v>
      </c>
      <c r="B886" s="35" t="s">
        <v>462</v>
      </c>
      <c r="C886" s="35" t="s">
        <v>405</v>
      </c>
      <c r="D886" s="35" t="s">
        <v>463</v>
      </c>
      <c r="E886" s="35" t="s">
        <v>547</v>
      </c>
      <c r="F886" s="35" t="s">
        <v>390</v>
      </c>
      <c r="G886" s="35" t="s">
        <v>549</v>
      </c>
    </row>
    <row r="887" spans="1:8">
      <c r="A887" s="34">
        <v>2084050615</v>
      </c>
      <c r="B887" s="35" t="s">
        <v>462</v>
      </c>
      <c r="C887" s="35" t="s">
        <v>405</v>
      </c>
      <c r="D887" s="35" t="s">
        <v>463</v>
      </c>
      <c r="E887" s="35" t="s">
        <v>547</v>
      </c>
      <c r="F887" s="35" t="s">
        <v>390</v>
      </c>
      <c r="G887" s="35" t="s">
        <v>335</v>
      </c>
    </row>
    <row r="888" spans="1:8">
      <c r="A888" s="34">
        <v>2084050618</v>
      </c>
      <c r="B888" s="35" t="s">
        <v>462</v>
      </c>
      <c r="C888" s="35" t="s">
        <v>405</v>
      </c>
      <c r="D888" s="35" t="s">
        <v>463</v>
      </c>
      <c r="E888" s="35" t="s">
        <v>547</v>
      </c>
      <c r="F888" s="35" t="s">
        <v>353</v>
      </c>
      <c r="G888" s="35" t="s">
        <v>368</v>
      </c>
      <c r="H888" s="35" t="s">
        <v>481</v>
      </c>
    </row>
    <row r="889" spans="1:8">
      <c r="A889" s="34">
        <v>2084050619</v>
      </c>
      <c r="B889" s="35" t="s">
        <v>462</v>
      </c>
      <c r="C889" s="35" t="s">
        <v>405</v>
      </c>
      <c r="D889" s="35" t="s">
        <v>463</v>
      </c>
      <c r="E889" s="35" t="s">
        <v>547</v>
      </c>
      <c r="F889" s="35" t="s">
        <v>353</v>
      </c>
      <c r="G889" s="35" t="s">
        <v>368</v>
      </c>
      <c r="H889" s="35" t="s">
        <v>335</v>
      </c>
    </row>
    <row r="890" spans="1:8">
      <c r="A890" s="34">
        <v>2084050622</v>
      </c>
      <c r="B890" s="35" t="s">
        <v>462</v>
      </c>
      <c r="C890" s="35" t="s">
        <v>405</v>
      </c>
      <c r="D890" s="35" t="s">
        <v>463</v>
      </c>
      <c r="E890" s="35" t="s">
        <v>547</v>
      </c>
      <c r="F890" s="35" t="s">
        <v>353</v>
      </c>
      <c r="G890" s="35" t="s">
        <v>10</v>
      </c>
      <c r="H890" s="35" t="s">
        <v>550</v>
      </c>
    </row>
    <row r="891" spans="1:8">
      <c r="A891" s="34">
        <v>2084050621</v>
      </c>
      <c r="B891" s="35" t="s">
        <v>462</v>
      </c>
      <c r="C891" s="35" t="s">
        <v>405</v>
      </c>
      <c r="D891" s="35" t="s">
        <v>463</v>
      </c>
      <c r="E891" s="35" t="s">
        <v>547</v>
      </c>
      <c r="F891" s="35" t="s">
        <v>353</v>
      </c>
      <c r="G891" s="35" t="s">
        <v>10</v>
      </c>
      <c r="H891" s="35" t="s">
        <v>385</v>
      </c>
    </row>
    <row r="892" spans="1:8">
      <c r="A892" s="34">
        <v>2084050623</v>
      </c>
      <c r="B892" s="35" t="s">
        <v>462</v>
      </c>
      <c r="C892" s="35" t="s">
        <v>405</v>
      </c>
      <c r="D892" s="35" t="s">
        <v>463</v>
      </c>
      <c r="E892" s="35" t="s">
        <v>547</v>
      </c>
      <c r="F892" s="35" t="s">
        <v>353</v>
      </c>
      <c r="G892" s="35" t="s">
        <v>10</v>
      </c>
      <c r="H892" s="35" t="s">
        <v>335</v>
      </c>
    </row>
    <row r="893" spans="1:8">
      <c r="A893" s="34">
        <v>2084050625</v>
      </c>
      <c r="B893" s="35" t="s">
        <v>462</v>
      </c>
      <c r="C893" s="35" t="s">
        <v>405</v>
      </c>
      <c r="D893" s="35" t="s">
        <v>463</v>
      </c>
      <c r="E893" s="35" t="s">
        <v>547</v>
      </c>
      <c r="F893" s="35" t="s">
        <v>353</v>
      </c>
      <c r="G893" s="35" t="s">
        <v>379</v>
      </c>
      <c r="H893" s="35" t="s">
        <v>545</v>
      </c>
    </row>
    <row r="894" spans="1:8">
      <c r="A894" s="34">
        <v>2084050626</v>
      </c>
      <c r="B894" s="35" t="s">
        <v>462</v>
      </c>
      <c r="C894" s="35" t="s">
        <v>405</v>
      </c>
      <c r="D894" s="35" t="s">
        <v>463</v>
      </c>
      <c r="E894" s="35" t="s">
        <v>547</v>
      </c>
      <c r="F894" s="35" t="s">
        <v>353</v>
      </c>
      <c r="G894" s="35" t="s">
        <v>379</v>
      </c>
      <c r="H894" s="35" t="s">
        <v>335</v>
      </c>
    </row>
    <row r="895" spans="1:8">
      <c r="A895" s="34">
        <v>2084050627</v>
      </c>
      <c r="B895" s="35" t="s">
        <v>462</v>
      </c>
      <c r="C895" s="35" t="s">
        <v>405</v>
      </c>
      <c r="D895" s="35" t="s">
        <v>463</v>
      </c>
      <c r="E895" s="35" t="s">
        <v>547</v>
      </c>
      <c r="F895" s="35" t="s">
        <v>353</v>
      </c>
      <c r="G895" s="35" t="s">
        <v>335</v>
      </c>
    </row>
    <row r="896" spans="1:8">
      <c r="A896" s="34">
        <v>2084048647</v>
      </c>
      <c r="B896" s="35" t="s">
        <v>462</v>
      </c>
      <c r="C896" s="35" t="s">
        <v>405</v>
      </c>
      <c r="D896" s="35" t="s">
        <v>463</v>
      </c>
      <c r="E896" s="35" t="s">
        <v>547</v>
      </c>
      <c r="F896" s="35" t="s">
        <v>335</v>
      </c>
    </row>
    <row r="897" spans="1:9">
      <c r="A897" s="34">
        <v>2084214935</v>
      </c>
      <c r="B897" s="35" t="s">
        <v>462</v>
      </c>
      <c r="C897" s="35" t="s">
        <v>405</v>
      </c>
      <c r="D897" s="35" t="s">
        <v>463</v>
      </c>
      <c r="E897" s="35" t="s">
        <v>551</v>
      </c>
      <c r="F897" s="35" t="s">
        <v>390</v>
      </c>
      <c r="G897" s="35" t="s">
        <v>552</v>
      </c>
      <c r="H897" s="35" t="s">
        <v>391</v>
      </c>
    </row>
    <row r="898" spans="1:9">
      <c r="A898" s="34">
        <v>2084214936</v>
      </c>
      <c r="B898" s="35" t="s">
        <v>462</v>
      </c>
      <c r="C898" s="35" t="s">
        <v>405</v>
      </c>
      <c r="D898" s="35" t="s">
        <v>463</v>
      </c>
      <c r="E898" s="35" t="s">
        <v>551</v>
      </c>
      <c r="F898" s="35" t="s">
        <v>390</v>
      </c>
      <c r="G898" s="35" t="s">
        <v>552</v>
      </c>
      <c r="H898" s="35" t="s">
        <v>392</v>
      </c>
    </row>
    <row r="899" spans="1:9">
      <c r="A899" s="34">
        <v>2084214937</v>
      </c>
      <c r="B899" s="35" t="s">
        <v>462</v>
      </c>
      <c r="C899" s="35" t="s">
        <v>405</v>
      </c>
      <c r="D899" s="35" t="s">
        <v>463</v>
      </c>
      <c r="E899" s="35" t="s">
        <v>551</v>
      </c>
      <c r="F899" s="35" t="s">
        <v>390</v>
      </c>
      <c r="G899" s="35" t="s">
        <v>552</v>
      </c>
      <c r="H899" s="35" t="s">
        <v>375</v>
      </c>
    </row>
    <row r="900" spans="1:9">
      <c r="A900" s="34">
        <v>2084214938</v>
      </c>
      <c r="B900" s="35" t="s">
        <v>462</v>
      </c>
      <c r="C900" s="35" t="s">
        <v>405</v>
      </c>
      <c r="D900" s="35" t="s">
        <v>463</v>
      </c>
      <c r="E900" s="35" t="s">
        <v>551</v>
      </c>
      <c r="F900" s="35" t="s">
        <v>390</v>
      </c>
      <c r="G900" s="35" t="s">
        <v>552</v>
      </c>
      <c r="H900" s="35" t="s">
        <v>376</v>
      </c>
    </row>
    <row r="901" spans="1:9">
      <c r="A901" s="34">
        <v>2084214939</v>
      </c>
      <c r="B901" s="35" t="s">
        <v>462</v>
      </c>
      <c r="C901" s="35" t="s">
        <v>405</v>
      </c>
      <c r="D901" s="35" t="s">
        <v>463</v>
      </c>
      <c r="E901" s="35" t="s">
        <v>551</v>
      </c>
      <c r="F901" s="35" t="s">
        <v>390</v>
      </c>
      <c r="G901" s="35" t="s">
        <v>552</v>
      </c>
      <c r="H901" s="35" t="s">
        <v>377</v>
      </c>
    </row>
    <row r="902" spans="1:9">
      <c r="A902" s="34">
        <v>2084060531</v>
      </c>
      <c r="B902" s="35" t="s">
        <v>462</v>
      </c>
      <c r="C902" s="35" t="s">
        <v>405</v>
      </c>
      <c r="D902" s="35" t="s">
        <v>463</v>
      </c>
      <c r="E902" s="35" t="s">
        <v>551</v>
      </c>
      <c r="F902" s="35" t="s">
        <v>390</v>
      </c>
      <c r="G902" s="35" t="s">
        <v>10</v>
      </c>
      <c r="H902" s="35" t="s">
        <v>397</v>
      </c>
    </row>
    <row r="903" spans="1:9">
      <c r="A903" s="34">
        <v>2084060532</v>
      </c>
      <c r="B903" s="35" t="s">
        <v>462</v>
      </c>
      <c r="C903" s="35" t="s">
        <v>405</v>
      </c>
      <c r="D903" s="35" t="s">
        <v>463</v>
      </c>
      <c r="E903" s="35" t="s">
        <v>551</v>
      </c>
      <c r="F903" s="35" t="s">
        <v>390</v>
      </c>
      <c r="G903" s="35" t="s">
        <v>10</v>
      </c>
      <c r="H903" s="35" t="s">
        <v>378</v>
      </c>
      <c r="I903" s="35" t="s">
        <v>391</v>
      </c>
    </row>
    <row r="904" spans="1:9">
      <c r="A904" s="34">
        <v>2084060533</v>
      </c>
      <c r="B904" s="35" t="s">
        <v>462</v>
      </c>
      <c r="C904" s="35" t="s">
        <v>405</v>
      </c>
      <c r="D904" s="35" t="s">
        <v>463</v>
      </c>
      <c r="E904" s="35" t="s">
        <v>551</v>
      </c>
      <c r="F904" s="35" t="s">
        <v>390</v>
      </c>
      <c r="G904" s="35" t="s">
        <v>10</v>
      </c>
      <c r="H904" s="35" t="s">
        <v>378</v>
      </c>
      <c r="I904" s="35" t="s">
        <v>392</v>
      </c>
    </row>
    <row r="905" spans="1:9">
      <c r="A905" s="34">
        <v>2084060534</v>
      </c>
      <c r="B905" s="35" t="s">
        <v>462</v>
      </c>
      <c r="C905" s="35" t="s">
        <v>405</v>
      </c>
      <c r="D905" s="35" t="s">
        <v>463</v>
      </c>
      <c r="E905" s="35" t="s">
        <v>551</v>
      </c>
      <c r="F905" s="35" t="s">
        <v>390</v>
      </c>
      <c r="G905" s="35" t="s">
        <v>10</v>
      </c>
      <c r="H905" s="35" t="s">
        <v>378</v>
      </c>
      <c r="I905" s="35" t="s">
        <v>375</v>
      </c>
    </row>
    <row r="906" spans="1:9">
      <c r="A906" s="34">
        <v>2084060535</v>
      </c>
      <c r="B906" s="35" t="s">
        <v>462</v>
      </c>
      <c r="C906" s="35" t="s">
        <v>405</v>
      </c>
      <c r="D906" s="35" t="s">
        <v>463</v>
      </c>
      <c r="E906" s="35" t="s">
        <v>551</v>
      </c>
      <c r="F906" s="35" t="s">
        <v>390</v>
      </c>
      <c r="G906" s="35" t="s">
        <v>10</v>
      </c>
      <c r="H906" s="35" t="s">
        <v>378</v>
      </c>
      <c r="I906" s="35" t="s">
        <v>376</v>
      </c>
    </row>
    <row r="907" spans="1:9">
      <c r="A907" s="34">
        <v>2084060536</v>
      </c>
      <c r="B907" s="35" t="s">
        <v>462</v>
      </c>
      <c r="C907" s="35" t="s">
        <v>405</v>
      </c>
      <c r="D907" s="35" t="s">
        <v>463</v>
      </c>
      <c r="E907" s="35" t="s">
        <v>551</v>
      </c>
      <c r="F907" s="35" t="s">
        <v>390</v>
      </c>
      <c r="G907" s="35" t="s">
        <v>10</v>
      </c>
      <c r="H907" s="35" t="s">
        <v>378</v>
      </c>
      <c r="I907" s="35" t="s">
        <v>377</v>
      </c>
    </row>
    <row r="908" spans="1:9">
      <c r="A908" s="34">
        <v>2084060537</v>
      </c>
      <c r="B908" s="35" t="s">
        <v>462</v>
      </c>
      <c r="C908" s="35" t="s">
        <v>405</v>
      </c>
      <c r="D908" s="35" t="s">
        <v>463</v>
      </c>
      <c r="E908" s="35" t="s">
        <v>551</v>
      </c>
      <c r="F908" s="35" t="s">
        <v>390</v>
      </c>
      <c r="G908" s="35" t="s">
        <v>10</v>
      </c>
      <c r="H908" s="35" t="s">
        <v>421</v>
      </c>
    </row>
    <row r="909" spans="1:9">
      <c r="A909" s="34">
        <v>2084060538</v>
      </c>
      <c r="B909" s="35" t="s">
        <v>462</v>
      </c>
      <c r="C909" s="35" t="s">
        <v>405</v>
      </c>
      <c r="D909" s="35" t="s">
        <v>463</v>
      </c>
      <c r="E909" s="35" t="s">
        <v>551</v>
      </c>
      <c r="F909" s="35" t="s">
        <v>390</v>
      </c>
      <c r="G909" s="35" t="s">
        <v>10</v>
      </c>
      <c r="H909" s="35" t="s">
        <v>422</v>
      </c>
    </row>
    <row r="910" spans="1:9">
      <c r="A910" s="34">
        <v>2084060539</v>
      </c>
      <c r="B910" s="35" t="s">
        <v>462</v>
      </c>
      <c r="C910" s="35" t="s">
        <v>405</v>
      </c>
      <c r="D910" s="35" t="s">
        <v>463</v>
      </c>
      <c r="E910" s="35" t="s">
        <v>551</v>
      </c>
      <c r="F910" s="35" t="s">
        <v>390</v>
      </c>
      <c r="G910" s="35" t="s">
        <v>10</v>
      </c>
      <c r="H910" s="35" t="s">
        <v>553</v>
      </c>
    </row>
    <row r="911" spans="1:9">
      <c r="A911" s="34">
        <v>2084060540</v>
      </c>
      <c r="B911" s="35" t="s">
        <v>462</v>
      </c>
      <c r="C911" s="35" t="s">
        <v>405</v>
      </c>
      <c r="D911" s="35" t="s">
        <v>463</v>
      </c>
      <c r="E911" s="35" t="s">
        <v>551</v>
      </c>
      <c r="F911" s="35" t="s">
        <v>390</v>
      </c>
      <c r="G911" s="35" t="s">
        <v>10</v>
      </c>
      <c r="H911" s="35" t="s">
        <v>554</v>
      </c>
    </row>
    <row r="912" spans="1:9">
      <c r="A912" s="34">
        <v>2084050551</v>
      </c>
      <c r="B912" s="35" t="s">
        <v>462</v>
      </c>
      <c r="C912" s="35" t="s">
        <v>405</v>
      </c>
      <c r="D912" s="35" t="s">
        <v>463</v>
      </c>
      <c r="E912" s="35" t="s">
        <v>551</v>
      </c>
      <c r="F912" s="35" t="s">
        <v>390</v>
      </c>
      <c r="G912" s="35" t="s">
        <v>10</v>
      </c>
      <c r="H912" s="35" t="s">
        <v>510</v>
      </c>
    </row>
    <row r="913" spans="1:9">
      <c r="A913" s="34">
        <v>2084050552</v>
      </c>
      <c r="B913" s="35" t="s">
        <v>462</v>
      </c>
      <c r="C913" s="35" t="s">
        <v>405</v>
      </c>
      <c r="D913" s="35" t="s">
        <v>463</v>
      </c>
      <c r="E913" s="35" t="s">
        <v>551</v>
      </c>
      <c r="F913" s="35" t="s">
        <v>390</v>
      </c>
      <c r="G913" s="35" t="s">
        <v>10</v>
      </c>
      <c r="H913" s="35" t="s">
        <v>335</v>
      </c>
    </row>
    <row r="914" spans="1:9">
      <c r="A914" s="34">
        <v>2084050556</v>
      </c>
      <c r="B914" s="35" t="s">
        <v>462</v>
      </c>
      <c r="C914" s="35" t="s">
        <v>405</v>
      </c>
      <c r="D914" s="35" t="s">
        <v>463</v>
      </c>
      <c r="E914" s="35" t="s">
        <v>551</v>
      </c>
      <c r="F914" s="35" t="s">
        <v>390</v>
      </c>
      <c r="G914" s="35" t="s">
        <v>379</v>
      </c>
      <c r="H914" s="35" t="s">
        <v>521</v>
      </c>
    </row>
    <row r="915" spans="1:9">
      <c r="A915" s="34">
        <v>2084050554</v>
      </c>
      <c r="B915" s="35" t="s">
        <v>462</v>
      </c>
      <c r="C915" s="35" t="s">
        <v>405</v>
      </c>
      <c r="D915" s="35" t="s">
        <v>463</v>
      </c>
      <c r="E915" s="35" t="s">
        <v>551</v>
      </c>
      <c r="F915" s="35" t="s">
        <v>390</v>
      </c>
      <c r="G915" s="35" t="s">
        <v>379</v>
      </c>
      <c r="H915" s="35" t="s">
        <v>545</v>
      </c>
    </row>
    <row r="916" spans="1:9">
      <c r="A916" s="34">
        <v>2084050557</v>
      </c>
      <c r="B916" s="35" t="s">
        <v>462</v>
      </c>
      <c r="C916" s="35" t="s">
        <v>405</v>
      </c>
      <c r="D916" s="35" t="s">
        <v>463</v>
      </c>
      <c r="E916" s="35" t="s">
        <v>551</v>
      </c>
      <c r="F916" s="35" t="s">
        <v>390</v>
      </c>
      <c r="G916" s="35" t="s">
        <v>379</v>
      </c>
      <c r="H916" s="35" t="s">
        <v>476</v>
      </c>
    </row>
    <row r="917" spans="1:9">
      <c r="A917" s="34">
        <v>2084050555</v>
      </c>
      <c r="B917" s="35" t="s">
        <v>462</v>
      </c>
      <c r="C917" s="35" t="s">
        <v>405</v>
      </c>
      <c r="D917" s="35" t="s">
        <v>463</v>
      </c>
      <c r="E917" s="35" t="s">
        <v>551</v>
      </c>
      <c r="F917" s="35" t="s">
        <v>390</v>
      </c>
      <c r="G917" s="35" t="s">
        <v>379</v>
      </c>
      <c r="H917" s="35" t="s">
        <v>555</v>
      </c>
    </row>
    <row r="918" spans="1:9">
      <c r="A918" s="34">
        <v>2084050558</v>
      </c>
      <c r="B918" s="35" t="s">
        <v>462</v>
      </c>
      <c r="C918" s="35" t="s">
        <v>405</v>
      </c>
      <c r="D918" s="35" t="s">
        <v>463</v>
      </c>
      <c r="E918" s="35" t="s">
        <v>551</v>
      </c>
      <c r="F918" s="35" t="s">
        <v>390</v>
      </c>
      <c r="G918" s="35" t="s">
        <v>379</v>
      </c>
      <c r="H918" s="35" t="s">
        <v>335</v>
      </c>
    </row>
    <row r="919" spans="1:9">
      <c r="A919" s="34">
        <v>2084050560</v>
      </c>
      <c r="B919" s="35" t="s">
        <v>462</v>
      </c>
      <c r="C919" s="35" t="s">
        <v>405</v>
      </c>
      <c r="D919" s="35" t="s">
        <v>463</v>
      </c>
      <c r="E919" s="35" t="s">
        <v>551</v>
      </c>
      <c r="F919" s="35" t="s">
        <v>390</v>
      </c>
      <c r="G919" s="35" t="s">
        <v>335</v>
      </c>
    </row>
    <row r="920" spans="1:9">
      <c r="A920" s="34">
        <v>2084214980</v>
      </c>
      <c r="B920" s="35" t="s">
        <v>462</v>
      </c>
      <c r="C920" s="35" t="s">
        <v>405</v>
      </c>
      <c r="D920" s="35" t="s">
        <v>463</v>
      </c>
      <c r="E920" s="35" t="s">
        <v>551</v>
      </c>
      <c r="F920" s="35" t="s">
        <v>353</v>
      </c>
      <c r="G920" s="35" t="s">
        <v>552</v>
      </c>
      <c r="H920" s="35" t="s">
        <v>391</v>
      </c>
    </row>
    <row r="921" spans="1:9">
      <c r="A921" s="34">
        <v>2084214998</v>
      </c>
      <c r="B921" s="35" t="s">
        <v>462</v>
      </c>
      <c r="C921" s="35" t="s">
        <v>405</v>
      </c>
      <c r="D921" s="35" t="s">
        <v>463</v>
      </c>
      <c r="E921" s="35" t="s">
        <v>551</v>
      </c>
      <c r="F921" s="35" t="s">
        <v>353</v>
      </c>
      <c r="G921" s="35" t="s">
        <v>552</v>
      </c>
      <c r="H921" s="35" t="s">
        <v>392</v>
      </c>
    </row>
    <row r="922" spans="1:9">
      <c r="A922" s="34">
        <v>2084215018</v>
      </c>
      <c r="B922" s="35" t="s">
        <v>462</v>
      </c>
      <c r="C922" s="35" t="s">
        <v>405</v>
      </c>
      <c r="D922" s="35" t="s">
        <v>463</v>
      </c>
      <c r="E922" s="35" t="s">
        <v>551</v>
      </c>
      <c r="F922" s="35" t="s">
        <v>353</v>
      </c>
      <c r="G922" s="35" t="s">
        <v>552</v>
      </c>
      <c r="H922" s="35" t="s">
        <v>375</v>
      </c>
    </row>
    <row r="923" spans="1:9">
      <c r="A923" s="34">
        <v>2084215019</v>
      </c>
      <c r="B923" s="35" t="s">
        <v>462</v>
      </c>
      <c r="C923" s="35" t="s">
        <v>405</v>
      </c>
      <c r="D923" s="35" t="s">
        <v>463</v>
      </c>
      <c r="E923" s="35" t="s">
        <v>551</v>
      </c>
      <c r="F923" s="35" t="s">
        <v>353</v>
      </c>
      <c r="G923" s="35" t="s">
        <v>552</v>
      </c>
      <c r="H923" s="35" t="s">
        <v>376</v>
      </c>
    </row>
    <row r="924" spans="1:9">
      <c r="A924" s="34">
        <v>2084215020</v>
      </c>
      <c r="B924" s="35" t="s">
        <v>462</v>
      </c>
      <c r="C924" s="35" t="s">
        <v>405</v>
      </c>
      <c r="D924" s="35" t="s">
        <v>463</v>
      </c>
      <c r="E924" s="35" t="s">
        <v>551</v>
      </c>
      <c r="F924" s="35" t="s">
        <v>353</v>
      </c>
      <c r="G924" s="35" t="s">
        <v>552</v>
      </c>
      <c r="H924" s="35" t="s">
        <v>377</v>
      </c>
    </row>
    <row r="925" spans="1:9">
      <c r="A925" s="34">
        <v>2084060520</v>
      </c>
      <c r="B925" s="35" t="s">
        <v>462</v>
      </c>
      <c r="C925" s="35" t="s">
        <v>405</v>
      </c>
      <c r="D925" s="35" t="s">
        <v>463</v>
      </c>
      <c r="E925" s="35" t="s">
        <v>551</v>
      </c>
      <c r="F925" s="35" t="s">
        <v>353</v>
      </c>
      <c r="G925" s="35" t="s">
        <v>10</v>
      </c>
      <c r="H925" s="35" t="s">
        <v>397</v>
      </c>
    </row>
    <row r="926" spans="1:9">
      <c r="A926" s="34">
        <v>2084060521</v>
      </c>
      <c r="B926" s="35" t="s">
        <v>462</v>
      </c>
      <c r="C926" s="35" t="s">
        <v>405</v>
      </c>
      <c r="D926" s="35" t="s">
        <v>463</v>
      </c>
      <c r="E926" s="35" t="s">
        <v>551</v>
      </c>
      <c r="F926" s="35" t="s">
        <v>353</v>
      </c>
      <c r="G926" s="35" t="s">
        <v>10</v>
      </c>
      <c r="H926" s="35" t="s">
        <v>378</v>
      </c>
      <c r="I926" s="35" t="s">
        <v>391</v>
      </c>
    </row>
    <row r="927" spans="1:9">
      <c r="A927" s="34">
        <v>2084060523</v>
      </c>
      <c r="B927" s="35" t="s">
        <v>462</v>
      </c>
      <c r="C927" s="35" t="s">
        <v>405</v>
      </c>
      <c r="D927" s="35" t="s">
        <v>463</v>
      </c>
      <c r="E927" s="35" t="s">
        <v>551</v>
      </c>
      <c r="F927" s="35" t="s">
        <v>353</v>
      </c>
      <c r="G927" s="35" t="s">
        <v>10</v>
      </c>
      <c r="H927" s="35" t="s">
        <v>378</v>
      </c>
      <c r="I927" s="35" t="s">
        <v>392</v>
      </c>
    </row>
    <row r="928" spans="1:9">
      <c r="A928" s="34">
        <v>2084060522</v>
      </c>
      <c r="B928" s="35" t="s">
        <v>462</v>
      </c>
      <c r="C928" s="35" t="s">
        <v>405</v>
      </c>
      <c r="D928" s="35" t="s">
        <v>463</v>
      </c>
      <c r="E928" s="35" t="s">
        <v>551</v>
      </c>
      <c r="F928" s="35" t="s">
        <v>353</v>
      </c>
      <c r="G928" s="35" t="s">
        <v>10</v>
      </c>
      <c r="H928" s="35" t="s">
        <v>378</v>
      </c>
      <c r="I928" s="35" t="s">
        <v>375</v>
      </c>
    </row>
    <row r="929" spans="1:9">
      <c r="A929" s="34">
        <v>2084060524</v>
      </c>
      <c r="B929" s="35" t="s">
        <v>462</v>
      </c>
      <c r="C929" s="35" t="s">
        <v>405</v>
      </c>
      <c r="D929" s="35" t="s">
        <v>463</v>
      </c>
      <c r="E929" s="35" t="s">
        <v>551</v>
      </c>
      <c r="F929" s="35" t="s">
        <v>353</v>
      </c>
      <c r="G929" s="35" t="s">
        <v>10</v>
      </c>
      <c r="H929" s="35" t="s">
        <v>378</v>
      </c>
      <c r="I929" s="35" t="s">
        <v>376</v>
      </c>
    </row>
    <row r="930" spans="1:9">
      <c r="A930" s="34">
        <v>2084060525</v>
      </c>
      <c r="B930" s="35" t="s">
        <v>462</v>
      </c>
      <c r="C930" s="35" t="s">
        <v>405</v>
      </c>
      <c r="D930" s="35" t="s">
        <v>463</v>
      </c>
      <c r="E930" s="35" t="s">
        <v>551</v>
      </c>
      <c r="F930" s="35" t="s">
        <v>353</v>
      </c>
      <c r="G930" s="35" t="s">
        <v>10</v>
      </c>
      <c r="H930" s="35" t="s">
        <v>378</v>
      </c>
      <c r="I930" s="35" t="s">
        <v>377</v>
      </c>
    </row>
    <row r="931" spans="1:9">
      <c r="A931" s="34">
        <v>2084060526</v>
      </c>
      <c r="B931" s="35" t="s">
        <v>462</v>
      </c>
      <c r="C931" s="35" t="s">
        <v>405</v>
      </c>
      <c r="D931" s="35" t="s">
        <v>463</v>
      </c>
      <c r="E931" s="35" t="s">
        <v>551</v>
      </c>
      <c r="F931" s="35" t="s">
        <v>353</v>
      </c>
      <c r="G931" s="35" t="s">
        <v>10</v>
      </c>
      <c r="H931" s="35" t="s">
        <v>421</v>
      </c>
    </row>
    <row r="932" spans="1:9">
      <c r="A932" s="34">
        <v>2084060527</v>
      </c>
      <c r="B932" s="35" t="s">
        <v>462</v>
      </c>
      <c r="C932" s="35" t="s">
        <v>405</v>
      </c>
      <c r="D932" s="35" t="s">
        <v>463</v>
      </c>
      <c r="E932" s="35" t="s">
        <v>551</v>
      </c>
      <c r="F932" s="35" t="s">
        <v>353</v>
      </c>
      <c r="G932" s="35" t="s">
        <v>10</v>
      </c>
      <c r="H932" s="35" t="s">
        <v>422</v>
      </c>
    </row>
    <row r="933" spans="1:9">
      <c r="A933" s="34">
        <v>2084060528</v>
      </c>
      <c r="B933" s="35" t="s">
        <v>462</v>
      </c>
      <c r="C933" s="35" t="s">
        <v>405</v>
      </c>
      <c r="D933" s="35" t="s">
        <v>463</v>
      </c>
      <c r="E933" s="35" t="s">
        <v>551</v>
      </c>
      <c r="F933" s="35" t="s">
        <v>353</v>
      </c>
      <c r="G933" s="35" t="s">
        <v>10</v>
      </c>
      <c r="H933" s="35" t="s">
        <v>553</v>
      </c>
    </row>
    <row r="934" spans="1:9">
      <c r="A934" s="34">
        <v>2084233252</v>
      </c>
      <c r="B934" s="35" t="s">
        <v>462</v>
      </c>
      <c r="C934" s="35" t="s">
        <v>405</v>
      </c>
      <c r="D934" s="35" t="s">
        <v>463</v>
      </c>
      <c r="E934" s="35" t="s">
        <v>551</v>
      </c>
      <c r="F934" s="35" t="s">
        <v>353</v>
      </c>
      <c r="G934" s="35" t="s">
        <v>10</v>
      </c>
      <c r="H934" s="35" t="s">
        <v>556</v>
      </c>
      <c r="I934" s="35" t="s">
        <v>391</v>
      </c>
    </row>
    <row r="935" spans="1:9">
      <c r="A935" s="34">
        <v>2084233253</v>
      </c>
      <c r="B935" s="35" t="s">
        <v>462</v>
      </c>
      <c r="C935" s="35" t="s">
        <v>405</v>
      </c>
      <c r="D935" s="35" t="s">
        <v>463</v>
      </c>
      <c r="E935" s="35" t="s">
        <v>551</v>
      </c>
      <c r="F935" s="35" t="s">
        <v>353</v>
      </c>
      <c r="G935" s="35" t="s">
        <v>10</v>
      </c>
      <c r="H935" s="35" t="s">
        <v>556</v>
      </c>
      <c r="I935" s="35" t="s">
        <v>392</v>
      </c>
    </row>
    <row r="936" spans="1:9">
      <c r="A936" s="34">
        <v>2084233254</v>
      </c>
      <c r="B936" s="35" t="s">
        <v>462</v>
      </c>
      <c r="C936" s="35" t="s">
        <v>405</v>
      </c>
      <c r="D936" s="35" t="s">
        <v>463</v>
      </c>
      <c r="E936" s="35" t="s">
        <v>551</v>
      </c>
      <c r="F936" s="35" t="s">
        <v>353</v>
      </c>
      <c r="G936" s="35" t="s">
        <v>10</v>
      </c>
      <c r="H936" s="35" t="s">
        <v>556</v>
      </c>
      <c r="I936" s="35" t="s">
        <v>375</v>
      </c>
    </row>
    <row r="937" spans="1:9">
      <c r="A937" s="34">
        <v>2084233255</v>
      </c>
      <c r="B937" s="35" t="s">
        <v>462</v>
      </c>
      <c r="C937" s="35" t="s">
        <v>405</v>
      </c>
      <c r="D937" s="35" t="s">
        <v>463</v>
      </c>
      <c r="E937" s="35" t="s">
        <v>551</v>
      </c>
      <c r="F937" s="35" t="s">
        <v>353</v>
      </c>
      <c r="G937" s="35" t="s">
        <v>10</v>
      </c>
      <c r="H937" s="35" t="s">
        <v>556</v>
      </c>
      <c r="I937" s="35" t="s">
        <v>376</v>
      </c>
    </row>
    <row r="938" spans="1:9">
      <c r="A938" s="34">
        <v>2084233256</v>
      </c>
      <c r="B938" s="35" t="s">
        <v>462</v>
      </c>
      <c r="C938" s="35" t="s">
        <v>405</v>
      </c>
      <c r="D938" s="35" t="s">
        <v>463</v>
      </c>
      <c r="E938" s="35" t="s">
        <v>551</v>
      </c>
      <c r="F938" s="35" t="s">
        <v>353</v>
      </c>
      <c r="G938" s="35" t="s">
        <v>10</v>
      </c>
      <c r="H938" s="35" t="s">
        <v>556</v>
      </c>
      <c r="I938" s="35" t="s">
        <v>377</v>
      </c>
    </row>
    <row r="939" spans="1:9">
      <c r="A939" s="34">
        <v>2084050538</v>
      </c>
      <c r="B939" s="35" t="s">
        <v>462</v>
      </c>
      <c r="C939" s="35" t="s">
        <v>405</v>
      </c>
      <c r="D939" s="35" t="s">
        <v>463</v>
      </c>
      <c r="E939" s="35" t="s">
        <v>551</v>
      </c>
      <c r="F939" s="35" t="s">
        <v>353</v>
      </c>
      <c r="G939" s="35" t="s">
        <v>10</v>
      </c>
      <c r="H939" s="35" t="s">
        <v>335</v>
      </c>
    </row>
    <row r="940" spans="1:9">
      <c r="A940" s="34">
        <v>2084050542</v>
      </c>
      <c r="B940" s="35" t="s">
        <v>462</v>
      </c>
      <c r="C940" s="35" t="s">
        <v>405</v>
      </c>
      <c r="D940" s="35" t="s">
        <v>463</v>
      </c>
      <c r="E940" s="35" t="s">
        <v>551</v>
      </c>
      <c r="F940" s="35" t="s">
        <v>353</v>
      </c>
      <c r="G940" s="35" t="s">
        <v>379</v>
      </c>
      <c r="H940" s="35" t="s">
        <v>495</v>
      </c>
    </row>
    <row r="941" spans="1:9">
      <c r="A941" s="34">
        <v>2084213249</v>
      </c>
      <c r="B941" s="35" t="s">
        <v>462</v>
      </c>
      <c r="C941" s="35" t="s">
        <v>405</v>
      </c>
      <c r="D941" s="35" t="s">
        <v>463</v>
      </c>
      <c r="E941" s="35" t="s">
        <v>551</v>
      </c>
      <c r="F941" s="35" t="s">
        <v>353</v>
      </c>
      <c r="G941" s="35" t="s">
        <v>379</v>
      </c>
      <c r="H941" s="35" t="s">
        <v>557</v>
      </c>
      <c r="I941" s="35" t="s">
        <v>558</v>
      </c>
    </row>
    <row r="942" spans="1:9">
      <c r="A942" s="34">
        <v>2084213250</v>
      </c>
      <c r="B942" s="35" t="s">
        <v>462</v>
      </c>
      <c r="C942" s="35" t="s">
        <v>405</v>
      </c>
      <c r="D942" s="35" t="s">
        <v>463</v>
      </c>
      <c r="E942" s="35" t="s">
        <v>551</v>
      </c>
      <c r="F942" s="35" t="s">
        <v>353</v>
      </c>
      <c r="G942" s="35" t="s">
        <v>379</v>
      </c>
      <c r="H942" s="35" t="s">
        <v>557</v>
      </c>
      <c r="I942" s="35" t="s">
        <v>559</v>
      </c>
    </row>
    <row r="943" spans="1:9">
      <c r="A943" s="34">
        <v>2084213251</v>
      </c>
      <c r="B943" s="35" t="s">
        <v>462</v>
      </c>
      <c r="C943" s="35" t="s">
        <v>405</v>
      </c>
      <c r="D943" s="35" t="s">
        <v>463</v>
      </c>
      <c r="E943" s="35" t="s">
        <v>551</v>
      </c>
      <c r="F943" s="35" t="s">
        <v>353</v>
      </c>
      <c r="G943" s="35" t="s">
        <v>379</v>
      </c>
      <c r="H943" s="35" t="s">
        <v>557</v>
      </c>
      <c r="I943" s="35" t="s">
        <v>560</v>
      </c>
    </row>
    <row r="944" spans="1:9">
      <c r="A944" s="34">
        <v>2084213252</v>
      </c>
      <c r="B944" s="35" t="s">
        <v>462</v>
      </c>
      <c r="C944" s="35" t="s">
        <v>405</v>
      </c>
      <c r="D944" s="35" t="s">
        <v>463</v>
      </c>
      <c r="E944" s="35" t="s">
        <v>551</v>
      </c>
      <c r="F944" s="35" t="s">
        <v>353</v>
      </c>
      <c r="G944" s="35" t="s">
        <v>379</v>
      </c>
      <c r="H944" s="35" t="s">
        <v>557</v>
      </c>
      <c r="I944" s="35" t="s">
        <v>561</v>
      </c>
    </row>
    <row r="945" spans="1:9">
      <c r="A945" s="34">
        <v>2084213253</v>
      </c>
      <c r="B945" s="35" t="s">
        <v>462</v>
      </c>
      <c r="C945" s="35" t="s">
        <v>405</v>
      </c>
      <c r="D945" s="35" t="s">
        <v>463</v>
      </c>
      <c r="E945" s="35" t="s">
        <v>551</v>
      </c>
      <c r="F945" s="35" t="s">
        <v>353</v>
      </c>
      <c r="G945" s="35" t="s">
        <v>379</v>
      </c>
      <c r="H945" s="35" t="s">
        <v>557</v>
      </c>
      <c r="I945" s="35" t="s">
        <v>562</v>
      </c>
    </row>
    <row r="946" spans="1:9">
      <c r="A946" s="34">
        <v>2084213254</v>
      </c>
      <c r="B946" s="35" t="s">
        <v>462</v>
      </c>
      <c r="C946" s="35" t="s">
        <v>405</v>
      </c>
      <c r="D946" s="35" t="s">
        <v>463</v>
      </c>
      <c r="E946" s="35" t="s">
        <v>551</v>
      </c>
      <c r="F946" s="35" t="s">
        <v>353</v>
      </c>
      <c r="G946" s="35" t="s">
        <v>379</v>
      </c>
      <c r="H946" s="35" t="s">
        <v>557</v>
      </c>
      <c r="I946" s="35" t="s">
        <v>563</v>
      </c>
    </row>
    <row r="947" spans="1:9">
      <c r="A947" s="34">
        <v>2084213255</v>
      </c>
      <c r="B947" s="35" t="s">
        <v>462</v>
      </c>
      <c r="C947" s="35" t="s">
        <v>405</v>
      </c>
      <c r="D947" s="35" t="s">
        <v>463</v>
      </c>
      <c r="E947" s="35" t="s">
        <v>551</v>
      </c>
      <c r="F947" s="35" t="s">
        <v>353</v>
      </c>
      <c r="G947" s="35" t="s">
        <v>379</v>
      </c>
      <c r="H947" s="35" t="s">
        <v>557</v>
      </c>
      <c r="I947" s="35" t="s">
        <v>564</v>
      </c>
    </row>
    <row r="948" spans="1:9">
      <c r="A948" s="34">
        <v>2084213256</v>
      </c>
      <c r="B948" s="35" t="s">
        <v>462</v>
      </c>
      <c r="C948" s="35" t="s">
        <v>405</v>
      </c>
      <c r="D948" s="35" t="s">
        <v>463</v>
      </c>
      <c r="E948" s="35" t="s">
        <v>551</v>
      </c>
      <c r="F948" s="35" t="s">
        <v>353</v>
      </c>
      <c r="G948" s="35" t="s">
        <v>379</v>
      </c>
      <c r="H948" s="35" t="s">
        <v>557</v>
      </c>
      <c r="I948" s="35" t="s">
        <v>565</v>
      </c>
    </row>
    <row r="949" spans="1:9">
      <c r="A949" s="34">
        <v>2084213257</v>
      </c>
      <c r="B949" s="35" t="s">
        <v>462</v>
      </c>
      <c r="C949" s="35" t="s">
        <v>405</v>
      </c>
      <c r="D949" s="35" t="s">
        <v>463</v>
      </c>
      <c r="E949" s="35" t="s">
        <v>551</v>
      </c>
      <c r="F949" s="35" t="s">
        <v>353</v>
      </c>
      <c r="G949" s="35" t="s">
        <v>379</v>
      </c>
      <c r="H949" s="35" t="s">
        <v>557</v>
      </c>
      <c r="I949" s="35" t="s">
        <v>566</v>
      </c>
    </row>
    <row r="950" spans="1:9">
      <c r="A950" s="34">
        <v>2084050541</v>
      </c>
      <c r="B950" s="35" t="s">
        <v>462</v>
      </c>
      <c r="C950" s="35" t="s">
        <v>405</v>
      </c>
      <c r="D950" s="35" t="s">
        <v>463</v>
      </c>
      <c r="E950" s="35" t="s">
        <v>551</v>
      </c>
      <c r="F950" s="35" t="s">
        <v>353</v>
      </c>
      <c r="G950" s="35" t="s">
        <v>379</v>
      </c>
      <c r="H950" s="35" t="s">
        <v>555</v>
      </c>
    </row>
    <row r="951" spans="1:9">
      <c r="A951" s="34">
        <v>2084050543</v>
      </c>
      <c r="B951" s="35" t="s">
        <v>462</v>
      </c>
      <c r="C951" s="35" t="s">
        <v>405</v>
      </c>
      <c r="D951" s="35" t="s">
        <v>463</v>
      </c>
      <c r="E951" s="35" t="s">
        <v>551</v>
      </c>
      <c r="F951" s="35" t="s">
        <v>353</v>
      </c>
      <c r="G951" s="35" t="s">
        <v>379</v>
      </c>
      <c r="H951" s="35" t="s">
        <v>335</v>
      </c>
    </row>
    <row r="952" spans="1:9">
      <c r="A952" s="34">
        <v>2084050544</v>
      </c>
      <c r="B952" s="35" t="s">
        <v>462</v>
      </c>
      <c r="C952" s="35" t="s">
        <v>405</v>
      </c>
      <c r="D952" s="35" t="s">
        <v>463</v>
      </c>
      <c r="E952" s="35" t="s">
        <v>551</v>
      </c>
      <c r="F952" s="35" t="s">
        <v>353</v>
      </c>
      <c r="G952" s="35" t="s">
        <v>335</v>
      </c>
    </row>
    <row r="953" spans="1:9">
      <c r="A953" s="34">
        <v>2084061713</v>
      </c>
      <c r="B953" s="35" t="s">
        <v>462</v>
      </c>
      <c r="C953" s="35" t="s">
        <v>405</v>
      </c>
      <c r="D953" s="35" t="s">
        <v>463</v>
      </c>
      <c r="E953" s="35" t="s">
        <v>551</v>
      </c>
      <c r="F953" s="35" t="s">
        <v>442</v>
      </c>
      <c r="G953" s="35" t="s">
        <v>335</v>
      </c>
    </row>
    <row r="954" spans="1:9">
      <c r="A954" s="34">
        <v>2084061712</v>
      </c>
      <c r="B954" s="35" t="s">
        <v>462</v>
      </c>
      <c r="C954" s="35" t="s">
        <v>405</v>
      </c>
      <c r="D954" s="35" t="s">
        <v>463</v>
      </c>
      <c r="E954" s="35" t="s">
        <v>551</v>
      </c>
      <c r="F954" s="35" t="s">
        <v>442</v>
      </c>
      <c r="G954" s="35" t="s">
        <v>445</v>
      </c>
    </row>
    <row r="955" spans="1:9">
      <c r="A955" s="34">
        <v>2084050559</v>
      </c>
      <c r="B955" s="35" t="s">
        <v>462</v>
      </c>
      <c r="C955" s="35" t="s">
        <v>405</v>
      </c>
      <c r="D955" s="35" t="s">
        <v>463</v>
      </c>
      <c r="E955" s="35" t="s">
        <v>551</v>
      </c>
      <c r="F955" s="35" t="s">
        <v>335</v>
      </c>
    </row>
    <row r="956" spans="1:9">
      <c r="A956" s="34">
        <v>2084050813</v>
      </c>
      <c r="B956" s="35" t="s">
        <v>462</v>
      </c>
      <c r="C956" s="35" t="s">
        <v>405</v>
      </c>
      <c r="D956" s="35" t="s">
        <v>463</v>
      </c>
      <c r="E956" s="35" t="s">
        <v>567</v>
      </c>
      <c r="F956" s="35" t="s">
        <v>390</v>
      </c>
      <c r="G956" s="35" t="s">
        <v>368</v>
      </c>
      <c r="H956" s="35" t="s">
        <v>481</v>
      </c>
    </row>
    <row r="957" spans="1:9">
      <c r="A957" s="34">
        <v>2084050814</v>
      </c>
      <c r="B957" s="35" t="s">
        <v>462</v>
      </c>
      <c r="C957" s="35" t="s">
        <v>405</v>
      </c>
      <c r="D957" s="35" t="s">
        <v>463</v>
      </c>
      <c r="E957" s="35" t="s">
        <v>567</v>
      </c>
      <c r="F957" s="35" t="s">
        <v>390</v>
      </c>
      <c r="G957" s="35" t="s">
        <v>368</v>
      </c>
      <c r="H957" s="35" t="s">
        <v>335</v>
      </c>
    </row>
    <row r="958" spans="1:9">
      <c r="A958" s="34">
        <v>2084050816</v>
      </c>
      <c r="B958" s="35" t="s">
        <v>462</v>
      </c>
      <c r="C958" s="35" t="s">
        <v>405</v>
      </c>
      <c r="D958" s="35" t="s">
        <v>463</v>
      </c>
      <c r="E958" s="35" t="s">
        <v>567</v>
      </c>
      <c r="F958" s="35" t="s">
        <v>390</v>
      </c>
      <c r="G958" s="35" t="s">
        <v>10</v>
      </c>
      <c r="H958" s="35" t="s">
        <v>568</v>
      </c>
    </row>
    <row r="959" spans="1:9">
      <c r="A959" s="34">
        <v>2084050817</v>
      </c>
      <c r="B959" s="35" t="s">
        <v>462</v>
      </c>
      <c r="C959" s="35" t="s">
        <v>405</v>
      </c>
      <c r="D959" s="35" t="s">
        <v>463</v>
      </c>
      <c r="E959" s="35" t="s">
        <v>567</v>
      </c>
      <c r="F959" s="35" t="s">
        <v>390</v>
      </c>
      <c r="G959" s="35" t="s">
        <v>10</v>
      </c>
      <c r="H959" s="35" t="s">
        <v>335</v>
      </c>
    </row>
    <row r="960" spans="1:9">
      <c r="A960" s="34">
        <v>2084050819</v>
      </c>
      <c r="B960" s="35" t="s">
        <v>462</v>
      </c>
      <c r="C960" s="35" t="s">
        <v>405</v>
      </c>
      <c r="D960" s="35" t="s">
        <v>463</v>
      </c>
      <c r="E960" s="35" t="s">
        <v>567</v>
      </c>
      <c r="F960" s="35" t="s">
        <v>390</v>
      </c>
      <c r="G960" s="35" t="s">
        <v>379</v>
      </c>
      <c r="H960" s="35" t="s">
        <v>476</v>
      </c>
    </row>
    <row r="961" spans="1:8">
      <c r="A961" s="34">
        <v>2084050820</v>
      </c>
      <c r="B961" s="35" t="s">
        <v>462</v>
      </c>
      <c r="C961" s="35" t="s">
        <v>405</v>
      </c>
      <c r="D961" s="35" t="s">
        <v>463</v>
      </c>
      <c r="E961" s="35" t="s">
        <v>567</v>
      </c>
      <c r="F961" s="35" t="s">
        <v>390</v>
      </c>
      <c r="G961" s="35" t="s">
        <v>379</v>
      </c>
      <c r="H961" s="35" t="s">
        <v>335</v>
      </c>
    </row>
    <row r="962" spans="1:8">
      <c r="A962" s="34">
        <v>2084050811</v>
      </c>
      <c r="B962" s="35" t="s">
        <v>462</v>
      </c>
      <c r="C962" s="35" t="s">
        <v>405</v>
      </c>
      <c r="D962" s="35" t="s">
        <v>463</v>
      </c>
      <c r="E962" s="35" t="s">
        <v>567</v>
      </c>
      <c r="F962" s="35" t="s">
        <v>390</v>
      </c>
      <c r="G962" s="35" t="s">
        <v>335</v>
      </c>
    </row>
    <row r="963" spans="1:8">
      <c r="A963" s="34">
        <v>2084030702</v>
      </c>
      <c r="B963" s="35" t="s">
        <v>462</v>
      </c>
      <c r="C963" s="35" t="s">
        <v>405</v>
      </c>
      <c r="D963" s="35" t="s">
        <v>463</v>
      </c>
      <c r="E963" s="35" t="s">
        <v>567</v>
      </c>
      <c r="F963" s="35" t="s">
        <v>353</v>
      </c>
      <c r="G963" s="35" t="s">
        <v>481</v>
      </c>
    </row>
    <row r="964" spans="1:8">
      <c r="A964" s="34">
        <v>2084031600</v>
      </c>
      <c r="B964" s="35" t="s">
        <v>462</v>
      </c>
      <c r="C964" s="35" t="s">
        <v>405</v>
      </c>
      <c r="D964" s="35" t="s">
        <v>463</v>
      </c>
      <c r="E964" s="35" t="s">
        <v>567</v>
      </c>
      <c r="F964" s="35" t="s">
        <v>353</v>
      </c>
      <c r="G964" s="35" t="s">
        <v>483</v>
      </c>
    </row>
    <row r="965" spans="1:8">
      <c r="A965" s="34">
        <v>2084031480</v>
      </c>
      <c r="B965" s="35" t="s">
        <v>462</v>
      </c>
      <c r="C965" s="35" t="s">
        <v>405</v>
      </c>
      <c r="D965" s="35" t="s">
        <v>463</v>
      </c>
      <c r="E965" s="35" t="s">
        <v>567</v>
      </c>
      <c r="F965" s="35" t="s">
        <v>353</v>
      </c>
      <c r="G965" s="35" t="s">
        <v>482</v>
      </c>
    </row>
    <row r="966" spans="1:8">
      <c r="A966" s="34">
        <v>2084030279</v>
      </c>
      <c r="B966" s="35" t="s">
        <v>462</v>
      </c>
      <c r="C966" s="35" t="s">
        <v>405</v>
      </c>
      <c r="D966" s="35" t="s">
        <v>463</v>
      </c>
      <c r="E966" s="35" t="s">
        <v>567</v>
      </c>
      <c r="F966" s="35" t="s">
        <v>353</v>
      </c>
      <c r="G966" s="35" t="s">
        <v>493</v>
      </c>
    </row>
    <row r="967" spans="1:8">
      <c r="A967" s="34">
        <v>2084037237</v>
      </c>
      <c r="B967" s="35" t="s">
        <v>462</v>
      </c>
      <c r="C967" s="35" t="s">
        <v>405</v>
      </c>
      <c r="D967" s="35" t="s">
        <v>463</v>
      </c>
      <c r="E967" s="35" t="s">
        <v>567</v>
      </c>
      <c r="F967" s="35" t="s">
        <v>353</v>
      </c>
      <c r="G967" s="35" t="s">
        <v>494</v>
      </c>
    </row>
    <row r="968" spans="1:8">
      <c r="A968" s="34">
        <v>2084050807</v>
      </c>
      <c r="B968" s="35" t="s">
        <v>462</v>
      </c>
      <c r="C968" s="35" t="s">
        <v>405</v>
      </c>
      <c r="D968" s="35" t="s">
        <v>463</v>
      </c>
      <c r="E968" s="35" t="s">
        <v>567</v>
      </c>
      <c r="F968" s="35" t="s">
        <v>353</v>
      </c>
      <c r="G968" s="35" t="s">
        <v>403</v>
      </c>
    </row>
    <row r="969" spans="1:8">
      <c r="A969" s="34">
        <v>2084031536</v>
      </c>
      <c r="B969" s="35" t="s">
        <v>462</v>
      </c>
      <c r="C969" s="35" t="s">
        <v>405</v>
      </c>
      <c r="D969" s="35" t="s">
        <v>463</v>
      </c>
      <c r="E969" s="35" t="s">
        <v>567</v>
      </c>
      <c r="F969" s="35" t="s">
        <v>353</v>
      </c>
      <c r="G969" s="35" t="s">
        <v>397</v>
      </c>
    </row>
    <row r="970" spans="1:8">
      <c r="A970" s="34">
        <v>2084030402</v>
      </c>
      <c r="B970" s="35" t="s">
        <v>462</v>
      </c>
      <c r="C970" s="35" t="s">
        <v>405</v>
      </c>
      <c r="D970" s="35" t="s">
        <v>463</v>
      </c>
      <c r="E970" s="35" t="s">
        <v>567</v>
      </c>
      <c r="F970" s="35" t="s">
        <v>353</v>
      </c>
      <c r="G970" s="35" t="s">
        <v>421</v>
      </c>
    </row>
    <row r="971" spans="1:8">
      <c r="A971" s="34">
        <v>2084031570</v>
      </c>
      <c r="B971" s="35" t="s">
        <v>462</v>
      </c>
      <c r="C971" s="35" t="s">
        <v>405</v>
      </c>
      <c r="D971" s="35" t="s">
        <v>463</v>
      </c>
      <c r="E971" s="35" t="s">
        <v>567</v>
      </c>
      <c r="F971" s="35" t="s">
        <v>353</v>
      </c>
      <c r="G971" s="35" t="s">
        <v>398</v>
      </c>
    </row>
    <row r="972" spans="1:8">
      <c r="A972" s="34">
        <v>2084030341</v>
      </c>
      <c r="B972" s="35" t="s">
        <v>462</v>
      </c>
      <c r="C972" s="35" t="s">
        <v>405</v>
      </c>
      <c r="D972" s="35" t="s">
        <v>463</v>
      </c>
      <c r="E972" s="35" t="s">
        <v>567</v>
      </c>
      <c r="F972" s="35" t="s">
        <v>353</v>
      </c>
      <c r="G972" s="35" t="s">
        <v>422</v>
      </c>
    </row>
    <row r="973" spans="1:8">
      <c r="A973" s="34">
        <v>2084050808</v>
      </c>
      <c r="B973" s="35" t="s">
        <v>462</v>
      </c>
      <c r="C973" s="35" t="s">
        <v>405</v>
      </c>
      <c r="D973" s="35" t="s">
        <v>463</v>
      </c>
      <c r="E973" s="35" t="s">
        <v>567</v>
      </c>
      <c r="F973" s="35" t="s">
        <v>353</v>
      </c>
      <c r="G973" s="35" t="s">
        <v>335</v>
      </c>
    </row>
    <row r="974" spans="1:8">
      <c r="A974" s="34">
        <v>2084031391</v>
      </c>
      <c r="B974" s="35" t="s">
        <v>462</v>
      </c>
      <c r="C974" s="35" t="s">
        <v>405</v>
      </c>
      <c r="D974" s="35" t="s">
        <v>463</v>
      </c>
      <c r="E974" s="35" t="s">
        <v>567</v>
      </c>
      <c r="F974" s="35" t="s">
        <v>442</v>
      </c>
      <c r="G974" s="35" t="s">
        <v>569</v>
      </c>
    </row>
    <row r="975" spans="1:8">
      <c r="A975" s="34">
        <v>2084050809</v>
      </c>
      <c r="B975" s="35" t="s">
        <v>462</v>
      </c>
      <c r="C975" s="35" t="s">
        <v>405</v>
      </c>
      <c r="D975" s="35" t="s">
        <v>463</v>
      </c>
      <c r="E975" s="35" t="s">
        <v>567</v>
      </c>
      <c r="F975" s="35" t="s">
        <v>442</v>
      </c>
      <c r="G975" s="35" t="s">
        <v>335</v>
      </c>
    </row>
    <row r="976" spans="1:8">
      <c r="A976" s="34">
        <v>2084048653</v>
      </c>
      <c r="B976" s="35" t="s">
        <v>462</v>
      </c>
      <c r="C976" s="35" t="s">
        <v>405</v>
      </c>
      <c r="D976" s="35" t="s">
        <v>463</v>
      </c>
      <c r="E976" s="35" t="s">
        <v>567</v>
      </c>
      <c r="F976" s="35" t="s">
        <v>335</v>
      </c>
    </row>
    <row r="977" spans="1:9">
      <c r="A977" s="34">
        <v>2084206642</v>
      </c>
      <c r="B977" s="35" t="s">
        <v>462</v>
      </c>
      <c r="C977" s="35" t="s">
        <v>405</v>
      </c>
      <c r="D977" s="35" t="s">
        <v>463</v>
      </c>
      <c r="E977" s="35" t="s">
        <v>570</v>
      </c>
      <c r="F977" s="35" t="s">
        <v>367</v>
      </c>
    </row>
    <row r="978" spans="1:9">
      <c r="A978" s="34">
        <v>2084206645</v>
      </c>
      <c r="B978" s="35" t="s">
        <v>462</v>
      </c>
      <c r="C978" s="35" t="s">
        <v>405</v>
      </c>
      <c r="D978" s="35" t="s">
        <v>463</v>
      </c>
      <c r="E978" s="35" t="s">
        <v>570</v>
      </c>
      <c r="F978" s="35" t="s">
        <v>368</v>
      </c>
      <c r="G978" s="35" t="s">
        <v>481</v>
      </c>
    </row>
    <row r="979" spans="1:9">
      <c r="A979" s="34">
        <v>2084206644</v>
      </c>
      <c r="B979" s="35" t="s">
        <v>462</v>
      </c>
      <c r="C979" s="35" t="s">
        <v>405</v>
      </c>
      <c r="D979" s="35" t="s">
        <v>463</v>
      </c>
      <c r="E979" s="35" t="s">
        <v>570</v>
      </c>
      <c r="F979" s="35" t="s">
        <v>368</v>
      </c>
      <c r="G979" s="35" t="s">
        <v>482</v>
      </c>
    </row>
    <row r="980" spans="1:9">
      <c r="A980" s="34">
        <v>2084206646</v>
      </c>
      <c r="B980" s="35" t="s">
        <v>462</v>
      </c>
      <c r="C980" s="35" t="s">
        <v>405</v>
      </c>
      <c r="D980" s="35" t="s">
        <v>463</v>
      </c>
      <c r="E980" s="35" t="s">
        <v>570</v>
      </c>
      <c r="F980" s="35" t="s">
        <v>368</v>
      </c>
      <c r="G980" s="35" t="s">
        <v>335</v>
      </c>
    </row>
    <row r="981" spans="1:9">
      <c r="A981" s="34">
        <v>2084206652</v>
      </c>
      <c r="B981" s="35" t="s">
        <v>462</v>
      </c>
      <c r="C981" s="35" t="s">
        <v>405</v>
      </c>
      <c r="D981" s="35" t="s">
        <v>463</v>
      </c>
      <c r="E981" s="35" t="s">
        <v>570</v>
      </c>
      <c r="F981" s="35" t="s">
        <v>10</v>
      </c>
      <c r="G981" s="35" t="s">
        <v>483</v>
      </c>
    </row>
    <row r="982" spans="1:9">
      <c r="A982" s="34">
        <v>2084206649</v>
      </c>
      <c r="B982" s="35" t="s">
        <v>462</v>
      </c>
      <c r="C982" s="35" t="s">
        <v>405</v>
      </c>
      <c r="D982" s="35" t="s">
        <v>463</v>
      </c>
      <c r="E982" s="35" t="s">
        <v>570</v>
      </c>
      <c r="F982" s="35" t="s">
        <v>10</v>
      </c>
      <c r="G982" s="35" t="s">
        <v>397</v>
      </c>
    </row>
    <row r="983" spans="1:9">
      <c r="A983" s="34">
        <v>2084206651</v>
      </c>
      <c r="B983" s="35" t="s">
        <v>462</v>
      </c>
      <c r="C983" s="35" t="s">
        <v>405</v>
      </c>
      <c r="D983" s="35" t="s">
        <v>463</v>
      </c>
      <c r="E983" s="35" t="s">
        <v>570</v>
      </c>
      <c r="F983" s="35" t="s">
        <v>10</v>
      </c>
      <c r="G983" s="35" t="s">
        <v>421</v>
      </c>
    </row>
    <row r="984" spans="1:9">
      <c r="A984" s="34">
        <v>2084206648</v>
      </c>
      <c r="B984" s="35" t="s">
        <v>462</v>
      </c>
      <c r="C984" s="35" t="s">
        <v>405</v>
      </c>
      <c r="D984" s="35" t="s">
        <v>463</v>
      </c>
      <c r="E984" s="35" t="s">
        <v>570</v>
      </c>
      <c r="F984" s="35" t="s">
        <v>10</v>
      </c>
      <c r="G984" s="35" t="s">
        <v>398</v>
      </c>
    </row>
    <row r="985" spans="1:9">
      <c r="A985" s="34">
        <v>2084206650</v>
      </c>
      <c r="B985" s="35" t="s">
        <v>462</v>
      </c>
      <c r="C985" s="35" t="s">
        <v>405</v>
      </c>
      <c r="D985" s="35" t="s">
        <v>463</v>
      </c>
      <c r="E985" s="35" t="s">
        <v>570</v>
      </c>
      <c r="F985" s="35" t="s">
        <v>10</v>
      </c>
      <c r="G985" s="35" t="s">
        <v>422</v>
      </c>
    </row>
    <row r="986" spans="1:9">
      <c r="A986" s="34">
        <v>2084206653</v>
      </c>
      <c r="B986" s="35" t="s">
        <v>462</v>
      </c>
      <c r="C986" s="35" t="s">
        <v>405</v>
      </c>
      <c r="D986" s="35" t="s">
        <v>463</v>
      </c>
      <c r="E986" s="35" t="s">
        <v>570</v>
      </c>
      <c r="F986" s="35" t="s">
        <v>10</v>
      </c>
      <c r="G986" s="35" t="s">
        <v>335</v>
      </c>
    </row>
    <row r="987" spans="1:9">
      <c r="A987" s="34">
        <v>2084206655</v>
      </c>
      <c r="B987" s="35" t="s">
        <v>462</v>
      </c>
      <c r="C987" s="35" t="s">
        <v>405</v>
      </c>
      <c r="D987" s="35" t="s">
        <v>463</v>
      </c>
      <c r="E987" s="35" t="s">
        <v>570</v>
      </c>
      <c r="F987" s="35" t="s">
        <v>379</v>
      </c>
      <c r="G987" s="35" t="s">
        <v>476</v>
      </c>
    </row>
    <row r="988" spans="1:9">
      <c r="A988" s="34">
        <v>2084206656</v>
      </c>
      <c r="B988" s="35" t="s">
        <v>462</v>
      </c>
      <c r="C988" s="35" t="s">
        <v>405</v>
      </c>
      <c r="D988" s="35" t="s">
        <v>463</v>
      </c>
      <c r="E988" s="35" t="s">
        <v>570</v>
      </c>
      <c r="F988" s="35" t="s">
        <v>379</v>
      </c>
      <c r="G988" s="35" t="s">
        <v>335</v>
      </c>
    </row>
    <row r="989" spans="1:9">
      <c r="A989" s="34">
        <v>2084206657</v>
      </c>
      <c r="B989" s="35" t="s">
        <v>462</v>
      </c>
      <c r="C989" s="35" t="s">
        <v>405</v>
      </c>
      <c r="D989" s="35" t="s">
        <v>463</v>
      </c>
      <c r="E989" s="35" t="s">
        <v>570</v>
      </c>
      <c r="F989" s="35" t="s">
        <v>478</v>
      </c>
    </row>
    <row r="990" spans="1:9">
      <c r="A990" s="34">
        <v>2084206658</v>
      </c>
      <c r="B990" s="35" t="s">
        <v>462</v>
      </c>
      <c r="C990" s="35" t="s">
        <v>405</v>
      </c>
      <c r="D990" s="35" t="s">
        <v>463</v>
      </c>
      <c r="E990" s="35" t="s">
        <v>570</v>
      </c>
      <c r="F990" s="35" t="s">
        <v>335</v>
      </c>
    </row>
    <row r="991" spans="1:9">
      <c r="A991" s="34">
        <v>2084246116</v>
      </c>
      <c r="B991" s="35" t="s">
        <v>462</v>
      </c>
      <c r="C991" s="35" t="s">
        <v>405</v>
      </c>
      <c r="D991" s="35" t="s">
        <v>463</v>
      </c>
      <c r="E991" s="35" t="s">
        <v>571</v>
      </c>
      <c r="F991" s="35" t="s">
        <v>407</v>
      </c>
    </row>
    <row r="992" spans="1:9">
      <c r="A992" s="34">
        <v>2084228169</v>
      </c>
      <c r="B992" s="35" t="s">
        <v>462</v>
      </c>
      <c r="C992" s="35" t="s">
        <v>405</v>
      </c>
      <c r="D992" s="35" t="s">
        <v>463</v>
      </c>
      <c r="E992" s="35" t="s">
        <v>571</v>
      </c>
      <c r="F992" s="35" t="s">
        <v>353</v>
      </c>
      <c r="G992" s="35" t="s">
        <v>368</v>
      </c>
      <c r="H992" s="35" t="s">
        <v>572</v>
      </c>
      <c r="I992" s="35" t="s">
        <v>573</v>
      </c>
    </row>
    <row r="993" spans="1:9">
      <c r="A993" s="34">
        <v>2084228170</v>
      </c>
      <c r="B993" s="35" t="s">
        <v>462</v>
      </c>
      <c r="C993" s="35" t="s">
        <v>405</v>
      </c>
      <c r="D993" s="35" t="s">
        <v>463</v>
      </c>
      <c r="E993" s="35" t="s">
        <v>571</v>
      </c>
      <c r="F993" s="35" t="s">
        <v>353</v>
      </c>
      <c r="G993" s="35" t="s">
        <v>368</v>
      </c>
      <c r="H993" s="35" t="s">
        <v>572</v>
      </c>
      <c r="I993" s="35" t="s">
        <v>574</v>
      </c>
    </row>
    <row r="994" spans="1:9">
      <c r="A994" s="34">
        <v>2084228171</v>
      </c>
      <c r="B994" s="35" t="s">
        <v>462</v>
      </c>
      <c r="C994" s="35" t="s">
        <v>405</v>
      </c>
      <c r="D994" s="35" t="s">
        <v>463</v>
      </c>
      <c r="E994" s="35" t="s">
        <v>571</v>
      </c>
      <c r="F994" s="35" t="s">
        <v>353</v>
      </c>
      <c r="G994" s="35" t="s">
        <v>368</v>
      </c>
      <c r="H994" s="35" t="s">
        <v>572</v>
      </c>
      <c r="I994" s="35" t="s">
        <v>575</v>
      </c>
    </row>
    <row r="995" spans="1:9">
      <c r="A995" s="34">
        <v>2084228172</v>
      </c>
      <c r="B995" s="35" t="s">
        <v>462</v>
      </c>
      <c r="C995" s="35" t="s">
        <v>405</v>
      </c>
      <c r="D995" s="35" t="s">
        <v>463</v>
      </c>
      <c r="E995" s="35" t="s">
        <v>571</v>
      </c>
      <c r="F995" s="35" t="s">
        <v>353</v>
      </c>
      <c r="G995" s="35" t="s">
        <v>368</v>
      </c>
      <c r="H995" s="35" t="s">
        <v>572</v>
      </c>
      <c r="I995" s="35" t="s">
        <v>576</v>
      </c>
    </row>
    <row r="996" spans="1:9">
      <c r="A996" s="34">
        <v>2084228173</v>
      </c>
      <c r="B996" s="35" t="s">
        <v>462</v>
      </c>
      <c r="C996" s="35" t="s">
        <v>405</v>
      </c>
      <c r="D996" s="35" t="s">
        <v>463</v>
      </c>
      <c r="E996" s="35" t="s">
        <v>571</v>
      </c>
      <c r="F996" s="35" t="s">
        <v>353</v>
      </c>
      <c r="G996" s="35" t="s">
        <v>368</v>
      </c>
      <c r="H996" s="35" t="s">
        <v>572</v>
      </c>
      <c r="I996" s="35" t="s">
        <v>577</v>
      </c>
    </row>
    <row r="997" spans="1:9">
      <c r="A997" s="34">
        <v>2084228164</v>
      </c>
      <c r="B997" s="35" t="s">
        <v>462</v>
      </c>
      <c r="C997" s="35" t="s">
        <v>405</v>
      </c>
      <c r="D997" s="35" t="s">
        <v>463</v>
      </c>
      <c r="E997" s="35" t="s">
        <v>571</v>
      </c>
      <c r="F997" s="35" t="s">
        <v>353</v>
      </c>
      <c r="G997" s="35" t="s">
        <v>368</v>
      </c>
      <c r="H997" s="35" t="s">
        <v>572</v>
      </c>
      <c r="I997" s="35" t="s">
        <v>391</v>
      </c>
    </row>
    <row r="998" spans="1:9">
      <c r="A998" s="34">
        <v>2084228165</v>
      </c>
      <c r="B998" s="35" t="s">
        <v>462</v>
      </c>
      <c r="C998" s="35" t="s">
        <v>405</v>
      </c>
      <c r="D998" s="35" t="s">
        <v>463</v>
      </c>
      <c r="E998" s="35" t="s">
        <v>571</v>
      </c>
      <c r="F998" s="35" t="s">
        <v>353</v>
      </c>
      <c r="G998" s="35" t="s">
        <v>368</v>
      </c>
      <c r="H998" s="35" t="s">
        <v>572</v>
      </c>
      <c r="I998" s="35" t="s">
        <v>392</v>
      </c>
    </row>
    <row r="999" spans="1:9">
      <c r="A999" s="34">
        <v>2084228166</v>
      </c>
      <c r="B999" s="35" t="s">
        <v>462</v>
      </c>
      <c r="C999" s="35" t="s">
        <v>405</v>
      </c>
      <c r="D999" s="35" t="s">
        <v>463</v>
      </c>
      <c r="E999" s="35" t="s">
        <v>571</v>
      </c>
      <c r="F999" s="35" t="s">
        <v>353</v>
      </c>
      <c r="G999" s="35" t="s">
        <v>368</v>
      </c>
      <c r="H999" s="35" t="s">
        <v>572</v>
      </c>
      <c r="I999" s="35" t="s">
        <v>375</v>
      </c>
    </row>
    <row r="1000" spans="1:9">
      <c r="A1000" s="34">
        <v>2084228167</v>
      </c>
      <c r="B1000" s="35" t="s">
        <v>462</v>
      </c>
      <c r="C1000" s="35" t="s">
        <v>405</v>
      </c>
      <c r="D1000" s="35" t="s">
        <v>463</v>
      </c>
      <c r="E1000" s="35" t="s">
        <v>571</v>
      </c>
      <c r="F1000" s="35" t="s">
        <v>353</v>
      </c>
      <c r="G1000" s="35" t="s">
        <v>368</v>
      </c>
      <c r="H1000" s="35" t="s">
        <v>572</v>
      </c>
      <c r="I1000" s="35" t="s">
        <v>376</v>
      </c>
    </row>
    <row r="1001" spans="1:9">
      <c r="A1001" s="34">
        <v>2084228168</v>
      </c>
      <c r="B1001" s="35" t="s">
        <v>462</v>
      </c>
      <c r="C1001" s="35" t="s">
        <v>405</v>
      </c>
      <c r="D1001" s="35" t="s">
        <v>463</v>
      </c>
      <c r="E1001" s="35" t="s">
        <v>571</v>
      </c>
      <c r="F1001" s="35" t="s">
        <v>353</v>
      </c>
      <c r="G1001" s="35" t="s">
        <v>368</v>
      </c>
      <c r="H1001" s="35" t="s">
        <v>572</v>
      </c>
      <c r="I1001" s="35" t="s">
        <v>377</v>
      </c>
    </row>
    <row r="1002" spans="1:9">
      <c r="A1002" s="34">
        <v>2084057122</v>
      </c>
      <c r="B1002" s="35" t="s">
        <v>462</v>
      </c>
      <c r="C1002" s="35" t="s">
        <v>405</v>
      </c>
      <c r="D1002" s="35" t="s">
        <v>463</v>
      </c>
      <c r="E1002" s="35" t="s">
        <v>571</v>
      </c>
      <c r="F1002" s="35" t="s">
        <v>353</v>
      </c>
      <c r="G1002" s="35" t="s">
        <v>368</v>
      </c>
      <c r="H1002" s="35" t="s">
        <v>335</v>
      </c>
    </row>
    <row r="1003" spans="1:9">
      <c r="A1003" s="34">
        <v>2084057124</v>
      </c>
      <c r="B1003" s="35" t="s">
        <v>462</v>
      </c>
      <c r="C1003" s="35" t="s">
        <v>405</v>
      </c>
      <c r="D1003" s="35" t="s">
        <v>463</v>
      </c>
      <c r="E1003" s="35" t="s">
        <v>571</v>
      </c>
      <c r="F1003" s="35" t="s">
        <v>353</v>
      </c>
      <c r="G1003" s="35" t="s">
        <v>10</v>
      </c>
      <c r="H1003" s="35" t="s">
        <v>544</v>
      </c>
    </row>
    <row r="1004" spans="1:9">
      <c r="A1004" s="34">
        <v>2084057128</v>
      </c>
      <c r="B1004" s="35" t="s">
        <v>462</v>
      </c>
      <c r="C1004" s="35" t="s">
        <v>405</v>
      </c>
      <c r="D1004" s="35" t="s">
        <v>463</v>
      </c>
      <c r="E1004" s="35" t="s">
        <v>571</v>
      </c>
      <c r="F1004" s="35" t="s">
        <v>353</v>
      </c>
      <c r="G1004" s="35" t="s">
        <v>10</v>
      </c>
      <c r="H1004" s="35" t="s">
        <v>397</v>
      </c>
    </row>
    <row r="1005" spans="1:9">
      <c r="A1005" s="34">
        <v>2084057127</v>
      </c>
      <c r="B1005" s="35" t="s">
        <v>462</v>
      </c>
      <c r="C1005" s="35" t="s">
        <v>405</v>
      </c>
      <c r="D1005" s="35" t="s">
        <v>463</v>
      </c>
      <c r="E1005" s="35" t="s">
        <v>571</v>
      </c>
      <c r="F1005" s="35" t="s">
        <v>353</v>
      </c>
      <c r="G1005" s="35" t="s">
        <v>10</v>
      </c>
      <c r="H1005" s="35" t="s">
        <v>421</v>
      </c>
    </row>
    <row r="1006" spans="1:9">
      <c r="A1006" s="34">
        <v>2084057126</v>
      </c>
      <c r="B1006" s="35" t="s">
        <v>462</v>
      </c>
      <c r="C1006" s="35" t="s">
        <v>405</v>
      </c>
      <c r="D1006" s="35" t="s">
        <v>463</v>
      </c>
      <c r="E1006" s="35" t="s">
        <v>571</v>
      </c>
      <c r="F1006" s="35" t="s">
        <v>353</v>
      </c>
      <c r="G1006" s="35" t="s">
        <v>10</v>
      </c>
      <c r="H1006" s="35" t="s">
        <v>398</v>
      </c>
    </row>
    <row r="1007" spans="1:9">
      <c r="A1007" s="34">
        <v>2084057125</v>
      </c>
      <c r="B1007" s="35" t="s">
        <v>462</v>
      </c>
      <c r="C1007" s="35" t="s">
        <v>405</v>
      </c>
      <c r="D1007" s="35" t="s">
        <v>463</v>
      </c>
      <c r="E1007" s="35" t="s">
        <v>571</v>
      </c>
      <c r="F1007" s="35" t="s">
        <v>353</v>
      </c>
      <c r="G1007" s="35" t="s">
        <v>10</v>
      </c>
      <c r="H1007" s="35" t="s">
        <v>422</v>
      </c>
    </row>
    <row r="1008" spans="1:9">
      <c r="A1008" s="34">
        <v>2084057129</v>
      </c>
      <c r="B1008" s="35" t="s">
        <v>462</v>
      </c>
      <c r="C1008" s="35" t="s">
        <v>405</v>
      </c>
      <c r="D1008" s="35" t="s">
        <v>463</v>
      </c>
      <c r="E1008" s="35" t="s">
        <v>571</v>
      </c>
      <c r="F1008" s="35" t="s">
        <v>353</v>
      </c>
      <c r="G1008" s="35" t="s">
        <v>10</v>
      </c>
      <c r="H1008" s="35" t="s">
        <v>335</v>
      </c>
    </row>
    <row r="1009" spans="1:8">
      <c r="A1009" s="34">
        <v>2084057130</v>
      </c>
      <c r="B1009" s="35" t="s">
        <v>462</v>
      </c>
      <c r="C1009" s="35" t="s">
        <v>405</v>
      </c>
      <c r="D1009" s="35" t="s">
        <v>463</v>
      </c>
      <c r="E1009" s="35" t="s">
        <v>571</v>
      </c>
      <c r="F1009" s="35" t="s">
        <v>353</v>
      </c>
      <c r="G1009" s="35" t="s">
        <v>403</v>
      </c>
    </row>
    <row r="1010" spans="1:8">
      <c r="A1010" s="34">
        <v>2084057131</v>
      </c>
      <c r="B1010" s="35" t="s">
        <v>462</v>
      </c>
      <c r="C1010" s="35" t="s">
        <v>405</v>
      </c>
      <c r="D1010" s="35" t="s">
        <v>463</v>
      </c>
      <c r="E1010" s="35" t="s">
        <v>571</v>
      </c>
      <c r="F1010" s="35" t="s">
        <v>353</v>
      </c>
      <c r="G1010" s="35" t="s">
        <v>335</v>
      </c>
    </row>
    <row r="1011" spans="1:8">
      <c r="A1011" s="34">
        <v>2084057119</v>
      </c>
      <c r="B1011" s="35" t="s">
        <v>462</v>
      </c>
      <c r="C1011" s="35" t="s">
        <v>405</v>
      </c>
      <c r="D1011" s="35" t="s">
        <v>463</v>
      </c>
      <c r="E1011" s="35" t="s">
        <v>571</v>
      </c>
      <c r="F1011" s="35" t="s">
        <v>335</v>
      </c>
    </row>
    <row r="1012" spans="1:8">
      <c r="A1012" s="34">
        <v>2084303231</v>
      </c>
      <c r="B1012" s="35" t="s">
        <v>462</v>
      </c>
      <c r="C1012" s="35" t="s">
        <v>405</v>
      </c>
      <c r="D1012" s="35" t="s">
        <v>463</v>
      </c>
      <c r="E1012" s="35" t="s">
        <v>578</v>
      </c>
      <c r="F1012" s="35" t="s">
        <v>407</v>
      </c>
    </row>
    <row r="1013" spans="1:8">
      <c r="A1013" s="34">
        <v>2084303230</v>
      </c>
      <c r="B1013" s="35" t="s">
        <v>462</v>
      </c>
      <c r="C1013" s="35" t="s">
        <v>405</v>
      </c>
      <c r="D1013" s="35" t="s">
        <v>463</v>
      </c>
      <c r="E1013" s="35" t="s">
        <v>578</v>
      </c>
      <c r="F1013" s="35" t="s">
        <v>408</v>
      </c>
    </row>
    <row r="1014" spans="1:8">
      <c r="A1014" s="34">
        <v>2084061805</v>
      </c>
      <c r="B1014" s="35" t="s">
        <v>462</v>
      </c>
      <c r="C1014" s="35" t="s">
        <v>405</v>
      </c>
      <c r="D1014" s="35" t="s">
        <v>463</v>
      </c>
      <c r="E1014" s="35" t="s">
        <v>579</v>
      </c>
      <c r="F1014" s="35" t="s">
        <v>390</v>
      </c>
      <c r="G1014" s="35" t="s">
        <v>368</v>
      </c>
      <c r="H1014" s="35" t="s">
        <v>481</v>
      </c>
    </row>
    <row r="1015" spans="1:8">
      <c r="A1015" s="34">
        <v>2084061806</v>
      </c>
      <c r="B1015" s="35" t="s">
        <v>462</v>
      </c>
      <c r="C1015" s="35" t="s">
        <v>405</v>
      </c>
      <c r="D1015" s="35" t="s">
        <v>463</v>
      </c>
      <c r="E1015" s="35" t="s">
        <v>579</v>
      </c>
      <c r="F1015" s="35" t="s">
        <v>390</v>
      </c>
      <c r="G1015" s="35" t="s">
        <v>368</v>
      </c>
      <c r="H1015" s="35" t="s">
        <v>335</v>
      </c>
    </row>
    <row r="1016" spans="1:8">
      <c r="A1016" s="34">
        <v>2084061812</v>
      </c>
      <c r="B1016" s="35" t="s">
        <v>462</v>
      </c>
      <c r="C1016" s="35" t="s">
        <v>405</v>
      </c>
      <c r="D1016" s="35" t="s">
        <v>463</v>
      </c>
      <c r="E1016" s="35" t="s">
        <v>579</v>
      </c>
      <c r="F1016" s="35" t="s">
        <v>390</v>
      </c>
      <c r="G1016" s="35" t="s">
        <v>10</v>
      </c>
      <c r="H1016" s="35" t="s">
        <v>483</v>
      </c>
    </row>
    <row r="1017" spans="1:8">
      <c r="A1017" s="34">
        <v>2084061931</v>
      </c>
      <c r="B1017" s="35" t="s">
        <v>462</v>
      </c>
      <c r="C1017" s="35" t="s">
        <v>405</v>
      </c>
      <c r="D1017" s="35" t="s">
        <v>463</v>
      </c>
      <c r="E1017" s="35" t="s">
        <v>579</v>
      </c>
      <c r="F1017" s="35" t="s">
        <v>390</v>
      </c>
      <c r="G1017" s="35" t="s">
        <v>10</v>
      </c>
      <c r="H1017" s="35" t="s">
        <v>580</v>
      </c>
    </row>
    <row r="1018" spans="1:8">
      <c r="A1018" s="34">
        <v>2084061809</v>
      </c>
      <c r="B1018" s="35" t="s">
        <v>462</v>
      </c>
      <c r="C1018" s="35" t="s">
        <v>405</v>
      </c>
      <c r="D1018" s="35" t="s">
        <v>463</v>
      </c>
      <c r="E1018" s="35" t="s">
        <v>579</v>
      </c>
      <c r="F1018" s="35" t="s">
        <v>390</v>
      </c>
      <c r="G1018" s="35" t="s">
        <v>10</v>
      </c>
      <c r="H1018" s="35" t="s">
        <v>397</v>
      </c>
    </row>
    <row r="1019" spans="1:8">
      <c r="A1019" s="34">
        <v>2084061811</v>
      </c>
      <c r="B1019" s="35" t="s">
        <v>462</v>
      </c>
      <c r="C1019" s="35" t="s">
        <v>405</v>
      </c>
      <c r="D1019" s="35" t="s">
        <v>463</v>
      </c>
      <c r="E1019" s="35" t="s">
        <v>579</v>
      </c>
      <c r="F1019" s="35" t="s">
        <v>390</v>
      </c>
      <c r="G1019" s="35" t="s">
        <v>10</v>
      </c>
      <c r="H1019" s="35" t="s">
        <v>421</v>
      </c>
    </row>
    <row r="1020" spans="1:8">
      <c r="A1020" s="34">
        <v>2084061808</v>
      </c>
      <c r="B1020" s="35" t="s">
        <v>462</v>
      </c>
      <c r="C1020" s="35" t="s">
        <v>405</v>
      </c>
      <c r="D1020" s="35" t="s">
        <v>463</v>
      </c>
      <c r="E1020" s="35" t="s">
        <v>579</v>
      </c>
      <c r="F1020" s="35" t="s">
        <v>390</v>
      </c>
      <c r="G1020" s="35" t="s">
        <v>10</v>
      </c>
      <c r="H1020" s="35" t="s">
        <v>398</v>
      </c>
    </row>
    <row r="1021" spans="1:8">
      <c r="A1021" s="34">
        <v>2084061810</v>
      </c>
      <c r="B1021" s="35" t="s">
        <v>462</v>
      </c>
      <c r="C1021" s="35" t="s">
        <v>405</v>
      </c>
      <c r="D1021" s="35" t="s">
        <v>463</v>
      </c>
      <c r="E1021" s="35" t="s">
        <v>579</v>
      </c>
      <c r="F1021" s="35" t="s">
        <v>390</v>
      </c>
      <c r="G1021" s="35" t="s">
        <v>10</v>
      </c>
      <c r="H1021" s="35" t="s">
        <v>422</v>
      </c>
    </row>
    <row r="1022" spans="1:8">
      <c r="A1022" s="34">
        <v>2084061813</v>
      </c>
      <c r="B1022" s="35" t="s">
        <v>462</v>
      </c>
      <c r="C1022" s="35" t="s">
        <v>405</v>
      </c>
      <c r="D1022" s="35" t="s">
        <v>463</v>
      </c>
      <c r="E1022" s="35" t="s">
        <v>579</v>
      </c>
      <c r="F1022" s="35" t="s">
        <v>390</v>
      </c>
      <c r="G1022" s="35" t="s">
        <v>10</v>
      </c>
      <c r="H1022" s="35" t="s">
        <v>335</v>
      </c>
    </row>
    <row r="1023" spans="1:8">
      <c r="A1023" s="34">
        <v>2084061816</v>
      </c>
      <c r="B1023" s="35" t="s">
        <v>462</v>
      </c>
      <c r="C1023" s="35" t="s">
        <v>405</v>
      </c>
      <c r="D1023" s="35" t="s">
        <v>463</v>
      </c>
      <c r="E1023" s="35" t="s">
        <v>579</v>
      </c>
      <c r="F1023" s="35" t="s">
        <v>390</v>
      </c>
      <c r="G1023" s="35" t="s">
        <v>379</v>
      </c>
      <c r="H1023" s="35" t="s">
        <v>545</v>
      </c>
    </row>
    <row r="1024" spans="1:8">
      <c r="A1024" s="34">
        <v>2084061815</v>
      </c>
      <c r="B1024" s="35" t="s">
        <v>462</v>
      </c>
      <c r="C1024" s="35" t="s">
        <v>405</v>
      </c>
      <c r="D1024" s="35" t="s">
        <v>463</v>
      </c>
      <c r="E1024" s="35" t="s">
        <v>579</v>
      </c>
      <c r="F1024" s="35" t="s">
        <v>390</v>
      </c>
      <c r="G1024" s="35" t="s">
        <v>379</v>
      </c>
      <c r="H1024" s="35" t="s">
        <v>476</v>
      </c>
    </row>
    <row r="1025" spans="1:8">
      <c r="A1025" s="34">
        <v>2084061817</v>
      </c>
      <c r="B1025" s="35" t="s">
        <v>462</v>
      </c>
      <c r="C1025" s="35" t="s">
        <v>405</v>
      </c>
      <c r="D1025" s="35" t="s">
        <v>463</v>
      </c>
      <c r="E1025" s="35" t="s">
        <v>579</v>
      </c>
      <c r="F1025" s="35" t="s">
        <v>390</v>
      </c>
      <c r="G1025" s="35" t="s">
        <v>379</v>
      </c>
      <c r="H1025" s="35" t="s">
        <v>335</v>
      </c>
    </row>
    <row r="1026" spans="1:8">
      <c r="A1026" s="34">
        <v>2084061818</v>
      </c>
      <c r="B1026" s="35" t="s">
        <v>462</v>
      </c>
      <c r="C1026" s="35" t="s">
        <v>405</v>
      </c>
      <c r="D1026" s="35" t="s">
        <v>463</v>
      </c>
      <c r="E1026" s="35" t="s">
        <v>579</v>
      </c>
      <c r="F1026" s="35" t="s">
        <v>390</v>
      </c>
      <c r="G1026" s="35" t="s">
        <v>335</v>
      </c>
    </row>
    <row r="1027" spans="1:8">
      <c r="A1027" s="34">
        <v>2084061821</v>
      </c>
      <c r="B1027" s="35" t="s">
        <v>462</v>
      </c>
      <c r="C1027" s="35" t="s">
        <v>405</v>
      </c>
      <c r="D1027" s="35" t="s">
        <v>463</v>
      </c>
      <c r="E1027" s="35" t="s">
        <v>579</v>
      </c>
      <c r="F1027" s="35" t="s">
        <v>353</v>
      </c>
      <c r="G1027" s="35" t="s">
        <v>368</v>
      </c>
      <c r="H1027" s="35" t="s">
        <v>481</v>
      </c>
    </row>
    <row r="1028" spans="1:8">
      <c r="A1028" s="34">
        <v>2084061822</v>
      </c>
      <c r="B1028" s="35" t="s">
        <v>462</v>
      </c>
      <c r="C1028" s="35" t="s">
        <v>405</v>
      </c>
      <c r="D1028" s="35" t="s">
        <v>463</v>
      </c>
      <c r="E1028" s="35" t="s">
        <v>579</v>
      </c>
      <c r="F1028" s="35" t="s">
        <v>353</v>
      </c>
      <c r="G1028" s="35" t="s">
        <v>368</v>
      </c>
      <c r="H1028" s="35" t="s">
        <v>335</v>
      </c>
    </row>
    <row r="1029" spans="1:8">
      <c r="A1029" s="34">
        <v>2084061828</v>
      </c>
      <c r="B1029" s="35" t="s">
        <v>462</v>
      </c>
      <c r="C1029" s="35" t="s">
        <v>405</v>
      </c>
      <c r="D1029" s="35" t="s">
        <v>463</v>
      </c>
      <c r="E1029" s="35" t="s">
        <v>579</v>
      </c>
      <c r="F1029" s="35" t="s">
        <v>353</v>
      </c>
      <c r="G1029" s="35" t="s">
        <v>10</v>
      </c>
      <c r="H1029" s="35" t="s">
        <v>483</v>
      </c>
    </row>
    <row r="1030" spans="1:8">
      <c r="A1030" s="34">
        <v>2084061932</v>
      </c>
      <c r="B1030" s="35" t="s">
        <v>462</v>
      </c>
      <c r="C1030" s="35" t="s">
        <v>405</v>
      </c>
      <c r="D1030" s="35" t="s">
        <v>463</v>
      </c>
      <c r="E1030" s="35" t="s">
        <v>579</v>
      </c>
      <c r="F1030" s="35" t="s">
        <v>353</v>
      </c>
      <c r="G1030" s="35" t="s">
        <v>10</v>
      </c>
      <c r="H1030" s="35" t="s">
        <v>580</v>
      </c>
    </row>
    <row r="1031" spans="1:8">
      <c r="A1031" s="34">
        <v>2084061825</v>
      </c>
      <c r="B1031" s="35" t="s">
        <v>462</v>
      </c>
      <c r="C1031" s="35" t="s">
        <v>405</v>
      </c>
      <c r="D1031" s="35" t="s">
        <v>463</v>
      </c>
      <c r="E1031" s="35" t="s">
        <v>579</v>
      </c>
      <c r="F1031" s="35" t="s">
        <v>353</v>
      </c>
      <c r="G1031" s="35" t="s">
        <v>10</v>
      </c>
      <c r="H1031" s="35" t="s">
        <v>397</v>
      </c>
    </row>
    <row r="1032" spans="1:8">
      <c r="A1032" s="34">
        <v>2084061827</v>
      </c>
      <c r="B1032" s="35" t="s">
        <v>462</v>
      </c>
      <c r="C1032" s="35" t="s">
        <v>405</v>
      </c>
      <c r="D1032" s="35" t="s">
        <v>463</v>
      </c>
      <c r="E1032" s="35" t="s">
        <v>579</v>
      </c>
      <c r="F1032" s="35" t="s">
        <v>353</v>
      </c>
      <c r="G1032" s="35" t="s">
        <v>10</v>
      </c>
      <c r="H1032" s="35" t="s">
        <v>421</v>
      </c>
    </row>
    <row r="1033" spans="1:8">
      <c r="A1033" s="34">
        <v>2084061824</v>
      </c>
      <c r="B1033" s="35" t="s">
        <v>462</v>
      </c>
      <c r="C1033" s="35" t="s">
        <v>405</v>
      </c>
      <c r="D1033" s="35" t="s">
        <v>463</v>
      </c>
      <c r="E1033" s="35" t="s">
        <v>579</v>
      </c>
      <c r="F1033" s="35" t="s">
        <v>353</v>
      </c>
      <c r="G1033" s="35" t="s">
        <v>10</v>
      </c>
      <c r="H1033" s="35" t="s">
        <v>398</v>
      </c>
    </row>
    <row r="1034" spans="1:8">
      <c r="A1034" s="34">
        <v>2084061826</v>
      </c>
      <c r="B1034" s="35" t="s">
        <v>462</v>
      </c>
      <c r="C1034" s="35" t="s">
        <v>405</v>
      </c>
      <c r="D1034" s="35" t="s">
        <v>463</v>
      </c>
      <c r="E1034" s="35" t="s">
        <v>579</v>
      </c>
      <c r="F1034" s="35" t="s">
        <v>353</v>
      </c>
      <c r="G1034" s="35" t="s">
        <v>10</v>
      </c>
      <c r="H1034" s="35" t="s">
        <v>422</v>
      </c>
    </row>
    <row r="1035" spans="1:8">
      <c r="A1035" s="34">
        <v>2084061829</v>
      </c>
      <c r="B1035" s="35" t="s">
        <v>462</v>
      </c>
      <c r="C1035" s="35" t="s">
        <v>405</v>
      </c>
      <c r="D1035" s="35" t="s">
        <v>463</v>
      </c>
      <c r="E1035" s="35" t="s">
        <v>579</v>
      </c>
      <c r="F1035" s="35" t="s">
        <v>353</v>
      </c>
      <c r="G1035" s="35" t="s">
        <v>10</v>
      </c>
      <c r="H1035" s="35" t="s">
        <v>335</v>
      </c>
    </row>
    <row r="1036" spans="1:8">
      <c r="A1036" s="34">
        <v>2084061831</v>
      </c>
      <c r="B1036" s="35" t="s">
        <v>462</v>
      </c>
      <c r="C1036" s="35" t="s">
        <v>405</v>
      </c>
      <c r="D1036" s="35" t="s">
        <v>463</v>
      </c>
      <c r="E1036" s="35" t="s">
        <v>579</v>
      </c>
      <c r="F1036" s="35" t="s">
        <v>353</v>
      </c>
      <c r="G1036" s="35" t="s">
        <v>379</v>
      </c>
      <c r="H1036" s="35" t="s">
        <v>545</v>
      </c>
    </row>
    <row r="1037" spans="1:8">
      <c r="A1037" s="34">
        <v>2084061832</v>
      </c>
      <c r="B1037" s="35" t="s">
        <v>462</v>
      </c>
      <c r="C1037" s="35" t="s">
        <v>405</v>
      </c>
      <c r="D1037" s="35" t="s">
        <v>463</v>
      </c>
      <c r="E1037" s="35" t="s">
        <v>579</v>
      </c>
      <c r="F1037" s="35" t="s">
        <v>353</v>
      </c>
      <c r="G1037" s="35" t="s">
        <v>379</v>
      </c>
      <c r="H1037" s="35" t="s">
        <v>335</v>
      </c>
    </row>
    <row r="1038" spans="1:8">
      <c r="A1038" s="34">
        <v>2084061833</v>
      </c>
      <c r="B1038" s="35" t="s">
        <v>462</v>
      </c>
      <c r="C1038" s="35" t="s">
        <v>405</v>
      </c>
      <c r="D1038" s="35" t="s">
        <v>463</v>
      </c>
      <c r="E1038" s="35" t="s">
        <v>579</v>
      </c>
      <c r="F1038" s="35" t="s">
        <v>353</v>
      </c>
      <c r="G1038" s="35" t="s">
        <v>335</v>
      </c>
    </row>
    <row r="1039" spans="1:8">
      <c r="A1039" s="34">
        <v>2084061834</v>
      </c>
      <c r="B1039" s="35" t="s">
        <v>462</v>
      </c>
      <c r="C1039" s="35" t="s">
        <v>405</v>
      </c>
      <c r="D1039" s="35" t="s">
        <v>463</v>
      </c>
      <c r="E1039" s="35" t="s">
        <v>579</v>
      </c>
      <c r="F1039" s="35" t="s">
        <v>335</v>
      </c>
    </row>
    <row r="1040" spans="1:8">
      <c r="A1040" s="34">
        <v>2084055085</v>
      </c>
      <c r="B1040" s="35" t="s">
        <v>462</v>
      </c>
      <c r="C1040" s="35" t="s">
        <v>405</v>
      </c>
      <c r="D1040" s="35" t="s">
        <v>463</v>
      </c>
      <c r="E1040" s="35" t="s">
        <v>581</v>
      </c>
      <c r="F1040" s="35" t="s">
        <v>390</v>
      </c>
      <c r="G1040" s="35" t="s">
        <v>335</v>
      </c>
    </row>
    <row r="1041" spans="1:8">
      <c r="A1041" s="34">
        <v>2084055082</v>
      </c>
      <c r="B1041" s="35" t="s">
        <v>462</v>
      </c>
      <c r="C1041" s="35" t="s">
        <v>405</v>
      </c>
      <c r="D1041" s="35" t="s">
        <v>463</v>
      </c>
      <c r="E1041" s="35" t="s">
        <v>581</v>
      </c>
      <c r="F1041" s="35" t="s">
        <v>390</v>
      </c>
      <c r="G1041" s="35" t="s">
        <v>401</v>
      </c>
    </row>
    <row r="1042" spans="1:8">
      <c r="A1042" s="34">
        <v>2084055087</v>
      </c>
      <c r="B1042" s="35" t="s">
        <v>462</v>
      </c>
      <c r="C1042" s="35" t="s">
        <v>405</v>
      </c>
      <c r="D1042" s="35" t="s">
        <v>463</v>
      </c>
      <c r="E1042" s="35" t="s">
        <v>581</v>
      </c>
      <c r="F1042" s="35" t="s">
        <v>390</v>
      </c>
      <c r="G1042" s="35" t="s">
        <v>10</v>
      </c>
      <c r="H1042" s="35" t="s">
        <v>397</v>
      </c>
    </row>
    <row r="1043" spans="1:8">
      <c r="A1043" s="34">
        <v>2084055086</v>
      </c>
      <c r="B1043" s="35" t="s">
        <v>462</v>
      </c>
      <c r="C1043" s="35" t="s">
        <v>405</v>
      </c>
      <c r="D1043" s="35" t="s">
        <v>463</v>
      </c>
      <c r="E1043" s="35" t="s">
        <v>581</v>
      </c>
      <c r="F1043" s="35" t="s">
        <v>390</v>
      </c>
      <c r="G1043" s="35" t="s">
        <v>10</v>
      </c>
      <c r="H1043" s="35" t="s">
        <v>421</v>
      </c>
    </row>
    <row r="1044" spans="1:8">
      <c r="A1044" s="34">
        <v>2084055089</v>
      </c>
      <c r="B1044" s="35" t="s">
        <v>462</v>
      </c>
      <c r="C1044" s="35" t="s">
        <v>405</v>
      </c>
      <c r="D1044" s="35" t="s">
        <v>463</v>
      </c>
      <c r="E1044" s="35" t="s">
        <v>581</v>
      </c>
      <c r="F1044" s="35" t="s">
        <v>390</v>
      </c>
      <c r="G1044" s="35" t="s">
        <v>10</v>
      </c>
      <c r="H1044" s="35" t="s">
        <v>398</v>
      </c>
    </row>
    <row r="1045" spans="1:8">
      <c r="A1045" s="34">
        <v>2084055088</v>
      </c>
      <c r="B1045" s="35" t="s">
        <v>462</v>
      </c>
      <c r="C1045" s="35" t="s">
        <v>405</v>
      </c>
      <c r="D1045" s="35" t="s">
        <v>463</v>
      </c>
      <c r="E1045" s="35" t="s">
        <v>581</v>
      </c>
      <c r="F1045" s="35" t="s">
        <v>390</v>
      </c>
      <c r="G1045" s="35" t="s">
        <v>10</v>
      </c>
      <c r="H1045" s="35" t="s">
        <v>422</v>
      </c>
    </row>
    <row r="1046" spans="1:8">
      <c r="A1046" s="34">
        <v>2084055090</v>
      </c>
      <c r="B1046" s="35" t="s">
        <v>462</v>
      </c>
      <c r="C1046" s="35" t="s">
        <v>405</v>
      </c>
      <c r="D1046" s="35" t="s">
        <v>463</v>
      </c>
      <c r="E1046" s="35" t="s">
        <v>581</v>
      </c>
      <c r="F1046" s="35" t="s">
        <v>390</v>
      </c>
      <c r="G1046" s="35" t="s">
        <v>10</v>
      </c>
      <c r="H1046" s="35" t="s">
        <v>335</v>
      </c>
    </row>
    <row r="1047" spans="1:8">
      <c r="A1047" s="34">
        <v>2084055092</v>
      </c>
      <c r="B1047" s="35" t="s">
        <v>462</v>
      </c>
      <c r="C1047" s="35" t="s">
        <v>405</v>
      </c>
      <c r="D1047" s="35" t="s">
        <v>463</v>
      </c>
      <c r="E1047" s="35" t="s">
        <v>581</v>
      </c>
      <c r="F1047" s="35" t="s">
        <v>390</v>
      </c>
      <c r="G1047" s="35" t="s">
        <v>379</v>
      </c>
      <c r="H1047" s="35" t="s">
        <v>335</v>
      </c>
    </row>
    <row r="1048" spans="1:8">
      <c r="A1048" s="34">
        <v>2084055091</v>
      </c>
      <c r="B1048" s="35" t="s">
        <v>462</v>
      </c>
      <c r="C1048" s="35" t="s">
        <v>405</v>
      </c>
      <c r="D1048" s="35" t="s">
        <v>463</v>
      </c>
      <c r="E1048" s="35" t="s">
        <v>581</v>
      </c>
      <c r="F1048" s="35" t="s">
        <v>390</v>
      </c>
      <c r="G1048" s="35" t="s">
        <v>379</v>
      </c>
      <c r="H1048" s="35" t="s">
        <v>476</v>
      </c>
    </row>
    <row r="1049" spans="1:8">
      <c r="A1049" s="34">
        <v>2084055073</v>
      </c>
      <c r="B1049" s="35" t="s">
        <v>462</v>
      </c>
      <c r="C1049" s="35" t="s">
        <v>405</v>
      </c>
      <c r="D1049" s="35" t="s">
        <v>463</v>
      </c>
      <c r="E1049" s="35" t="s">
        <v>581</v>
      </c>
      <c r="F1049" s="35" t="s">
        <v>353</v>
      </c>
      <c r="G1049" s="35" t="s">
        <v>401</v>
      </c>
    </row>
    <row r="1050" spans="1:8">
      <c r="A1050" s="34">
        <v>2084055078</v>
      </c>
      <c r="B1050" s="35" t="s">
        <v>462</v>
      </c>
      <c r="C1050" s="35" t="s">
        <v>405</v>
      </c>
      <c r="D1050" s="35" t="s">
        <v>463</v>
      </c>
      <c r="E1050" s="35" t="s">
        <v>581</v>
      </c>
      <c r="F1050" s="35" t="s">
        <v>353</v>
      </c>
      <c r="G1050" s="35" t="s">
        <v>10</v>
      </c>
      <c r="H1050" s="35" t="s">
        <v>397</v>
      </c>
    </row>
    <row r="1051" spans="1:8">
      <c r="A1051" s="34">
        <v>2084055077</v>
      </c>
      <c r="B1051" s="35" t="s">
        <v>462</v>
      </c>
      <c r="C1051" s="35" t="s">
        <v>405</v>
      </c>
      <c r="D1051" s="35" t="s">
        <v>463</v>
      </c>
      <c r="E1051" s="35" t="s">
        <v>581</v>
      </c>
      <c r="F1051" s="35" t="s">
        <v>353</v>
      </c>
      <c r="G1051" s="35" t="s">
        <v>10</v>
      </c>
      <c r="H1051" s="35" t="s">
        <v>421</v>
      </c>
    </row>
    <row r="1052" spans="1:8">
      <c r="A1052" s="34">
        <v>2084055079</v>
      </c>
      <c r="B1052" s="35" t="s">
        <v>462</v>
      </c>
      <c r="C1052" s="35" t="s">
        <v>405</v>
      </c>
      <c r="D1052" s="35" t="s">
        <v>463</v>
      </c>
      <c r="E1052" s="35" t="s">
        <v>581</v>
      </c>
      <c r="F1052" s="35" t="s">
        <v>353</v>
      </c>
      <c r="G1052" s="35" t="s">
        <v>10</v>
      </c>
      <c r="H1052" s="35" t="s">
        <v>398</v>
      </c>
    </row>
    <row r="1053" spans="1:8">
      <c r="A1053" s="34">
        <v>2084055080</v>
      </c>
      <c r="B1053" s="35" t="s">
        <v>462</v>
      </c>
      <c r="C1053" s="35" t="s">
        <v>405</v>
      </c>
      <c r="D1053" s="35" t="s">
        <v>463</v>
      </c>
      <c r="E1053" s="35" t="s">
        <v>581</v>
      </c>
      <c r="F1053" s="35" t="s">
        <v>353</v>
      </c>
      <c r="G1053" s="35" t="s">
        <v>10</v>
      </c>
      <c r="H1053" s="35" t="s">
        <v>422</v>
      </c>
    </row>
    <row r="1054" spans="1:8">
      <c r="A1054" s="34">
        <v>2084055081</v>
      </c>
      <c r="B1054" s="35" t="s">
        <v>462</v>
      </c>
      <c r="C1054" s="35" t="s">
        <v>405</v>
      </c>
      <c r="D1054" s="35" t="s">
        <v>463</v>
      </c>
      <c r="E1054" s="35" t="s">
        <v>581</v>
      </c>
      <c r="F1054" s="35" t="s">
        <v>353</v>
      </c>
      <c r="G1054" s="35" t="s">
        <v>10</v>
      </c>
      <c r="H1054" s="35" t="s">
        <v>335</v>
      </c>
    </row>
    <row r="1055" spans="1:8">
      <c r="A1055" s="34">
        <v>2084055075</v>
      </c>
      <c r="B1055" s="35" t="s">
        <v>462</v>
      </c>
      <c r="C1055" s="35" t="s">
        <v>405</v>
      </c>
      <c r="D1055" s="35" t="s">
        <v>463</v>
      </c>
      <c r="E1055" s="35" t="s">
        <v>581</v>
      </c>
      <c r="F1055" s="35" t="s">
        <v>353</v>
      </c>
      <c r="G1055" s="35" t="s">
        <v>403</v>
      </c>
    </row>
    <row r="1056" spans="1:8">
      <c r="A1056" s="34">
        <v>2084055076</v>
      </c>
      <c r="B1056" s="35" t="s">
        <v>462</v>
      </c>
      <c r="C1056" s="35" t="s">
        <v>405</v>
      </c>
      <c r="D1056" s="35" t="s">
        <v>463</v>
      </c>
      <c r="E1056" s="35" t="s">
        <v>581</v>
      </c>
      <c r="F1056" s="35" t="s">
        <v>353</v>
      </c>
      <c r="G1056" s="35" t="s">
        <v>335</v>
      </c>
    </row>
    <row r="1057" spans="1:7">
      <c r="A1057" s="34">
        <v>2084055072</v>
      </c>
      <c r="B1057" s="35" t="s">
        <v>462</v>
      </c>
      <c r="C1057" s="35" t="s">
        <v>405</v>
      </c>
      <c r="D1057" s="35" t="s">
        <v>463</v>
      </c>
      <c r="E1057" s="35" t="s">
        <v>581</v>
      </c>
      <c r="F1057" s="35" t="s">
        <v>335</v>
      </c>
    </row>
    <row r="1058" spans="1:7">
      <c r="A1058" s="34">
        <v>2084055915</v>
      </c>
      <c r="B1058" s="35" t="s">
        <v>462</v>
      </c>
      <c r="C1058" s="35" t="s">
        <v>405</v>
      </c>
      <c r="D1058" s="35" t="s">
        <v>463</v>
      </c>
      <c r="E1058" s="35" t="s">
        <v>582</v>
      </c>
      <c r="F1058" s="35" t="s">
        <v>367</v>
      </c>
    </row>
    <row r="1059" spans="1:7">
      <c r="A1059" s="34">
        <v>2084055928</v>
      </c>
      <c r="B1059" s="35" t="s">
        <v>462</v>
      </c>
      <c r="C1059" s="35" t="s">
        <v>405</v>
      </c>
      <c r="D1059" s="35" t="s">
        <v>463</v>
      </c>
      <c r="E1059" s="35" t="s">
        <v>582</v>
      </c>
      <c r="F1059" s="35" t="s">
        <v>368</v>
      </c>
      <c r="G1059" s="35" t="s">
        <v>481</v>
      </c>
    </row>
    <row r="1060" spans="1:7">
      <c r="A1060" s="34">
        <v>2084055929</v>
      </c>
      <c r="B1060" s="35" t="s">
        <v>462</v>
      </c>
      <c r="C1060" s="35" t="s">
        <v>405</v>
      </c>
      <c r="D1060" s="35" t="s">
        <v>463</v>
      </c>
      <c r="E1060" s="35" t="s">
        <v>582</v>
      </c>
      <c r="F1060" s="35" t="s">
        <v>368</v>
      </c>
      <c r="G1060" s="35" t="s">
        <v>335</v>
      </c>
    </row>
    <row r="1061" spans="1:7">
      <c r="A1061" s="34">
        <v>2084055927</v>
      </c>
      <c r="B1061" s="35" t="s">
        <v>462</v>
      </c>
      <c r="C1061" s="35" t="s">
        <v>405</v>
      </c>
      <c r="D1061" s="35" t="s">
        <v>463</v>
      </c>
      <c r="E1061" s="35" t="s">
        <v>582</v>
      </c>
      <c r="F1061" s="35" t="s">
        <v>10</v>
      </c>
      <c r="G1061" s="35" t="s">
        <v>483</v>
      </c>
    </row>
    <row r="1062" spans="1:7">
      <c r="A1062" s="34">
        <v>2084055925</v>
      </c>
      <c r="B1062" s="35" t="s">
        <v>462</v>
      </c>
      <c r="C1062" s="35" t="s">
        <v>405</v>
      </c>
      <c r="D1062" s="35" t="s">
        <v>463</v>
      </c>
      <c r="E1062" s="35" t="s">
        <v>582</v>
      </c>
      <c r="F1062" s="35" t="s">
        <v>10</v>
      </c>
      <c r="G1062" s="35" t="s">
        <v>397</v>
      </c>
    </row>
    <row r="1063" spans="1:7">
      <c r="A1063" s="34">
        <v>2084055924</v>
      </c>
      <c r="B1063" s="35" t="s">
        <v>462</v>
      </c>
      <c r="C1063" s="35" t="s">
        <v>405</v>
      </c>
      <c r="D1063" s="35" t="s">
        <v>463</v>
      </c>
      <c r="E1063" s="35" t="s">
        <v>582</v>
      </c>
      <c r="F1063" s="35" t="s">
        <v>10</v>
      </c>
      <c r="G1063" s="35" t="s">
        <v>421</v>
      </c>
    </row>
    <row r="1064" spans="1:7">
      <c r="A1064" s="34">
        <v>2084055922</v>
      </c>
      <c r="B1064" s="35" t="s">
        <v>462</v>
      </c>
      <c r="C1064" s="35" t="s">
        <v>405</v>
      </c>
      <c r="D1064" s="35" t="s">
        <v>463</v>
      </c>
      <c r="E1064" s="35" t="s">
        <v>582</v>
      </c>
      <c r="F1064" s="35" t="s">
        <v>10</v>
      </c>
      <c r="G1064" s="35" t="s">
        <v>398</v>
      </c>
    </row>
    <row r="1065" spans="1:7">
      <c r="A1065" s="34">
        <v>2084055923</v>
      </c>
      <c r="B1065" s="35" t="s">
        <v>462</v>
      </c>
      <c r="C1065" s="35" t="s">
        <v>405</v>
      </c>
      <c r="D1065" s="35" t="s">
        <v>463</v>
      </c>
      <c r="E1065" s="35" t="s">
        <v>582</v>
      </c>
      <c r="F1065" s="35" t="s">
        <v>10</v>
      </c>
      <c r="G1065" s="35" t="s">
        <v>422</v>
      </c>
    </row>
    <row r="1066" spans="1:7">
      <c r="A1066" s="34">
        <v>2084055926</v>
      </c>
      <c r="B1066" s="35" t="s">
        <v>462</v>
      </c>
      <c r="C1066" s="35" t="s">
        <v>405</v>
      </c>
      <c r="D1066" s="35" t="s">
        <v>463</v>
      </c>
      <c r="E1066" s="35" t="s">
        <v>582</v>
      </c>
      <c r="F1066" s="35" t="s">
        <v>10</v>
      </c>
      <c r="G1066" s="35" t="s">
        <v>335</v>
      </c>
    </row>
    <row r="1067" spans="1:7">
      <c r="A1067" s="34">
        <v>2084055919</v>
      </c>
      <c r="B1067" s="35" t="s">
        <v>462</v>
      </c>
      <c r="C1067" s="35" t="s">
        <v>405</v>
      </c>
      <c r="D1067" s="35" t="s">
        <v>463</v>
      </c>
      <c r="E1067" s="35" t="s">
        <v>582</v>
      </c>
      <c r="F1067" s="35" t="s">
        <v>379</v>
      </c>
      <c r="G1067" s="35" t="s">
        <v>476</v>
      </c>
    </row>
    <row r="1068" spans="1:7">
      <c r="A1068" s="34">
        <v>2084055920</v>
      </c>
      <c r="B1068" s="35" t="s">
        <v>462</v>
      </c>
      <c r="C1068" s="35" t="s">
        <v>405</v>
      </c>
      <c r="D1068" s="35" t="s">
        <v>463</v>
      </c>
      <c r="E1068" s="35" t="s">
        <v>582</v>
      </c>
      <c r="F1068" s="35" t="s">
        <v>379</v>
      </c>
      <c r="G1068" s="35" t="s">
        <v>335</v>
      </c>
    </row>
    <row r="1069" spans="1:7">
      <c r="A1069" s="34">
        <v>2084055921</v>
      </c>
      <c r="B1069" s="35" t="s">
        <v>462</v>
      </c>
      <c r="C1069" s="35" t="s">
        <v>405</v>
      </c>
      <c r="D1069" s="35" t="s">
        <v>463</v>
      </c>
      <c r="E1069" s="35" t="s">
        <v>582</v>
      </c>
      <c r="F1069" s="35" t="s">
        <v>335</v>
      </c>
    </row>
    <row r="1070" spans="1:7">
      <c r="A1070" s="34">
        <v>2084283080</v>
      </c>
      <c r="B1070" s="35" t="s">
        <v>462</v>
      </c>
      <c r="C1070" s="35" t="s">
        <v>405</v>
      </c>
      <c r="D1070" s="35" t="s">
        <v>463</v>
      </c>
      <c r="E1070" s="35" t="s">
        <v>583</v>
      </c>
    </row>
    <row r="1071" spans="1:7">
      <c r="A1071" s="34">
        <v>2084284010</v>
      </c>
      <c r="B1071" s="35" t="s">
        <v>462</v>
      </c>
      <c r="C1071" s="35" t="s">
        <v>405</v>
      </c>
      <c r="D1071" s="35" t="s">
        <v>463</v>
      </c>
      <c r="E1071" s="35" t="s">
        <v>584</v>
      </c>
    </row>
    <row r="1072" spans="1:7">
      <c r="A1072" s="34">
        <v>2084193053</v>
      </c>
      <c r="B1072" s="35" t="s">
        <v>462</v>
      </c>
      <c r="C1072" s="35" t="s">
        <v>405</v>
      </c>
      <c r="D1072" s="35" t="s">
        <v>463</v>
      </c>
      <c r="E1072" s="35" t="s">
        <v>585</v>
      </c>
      <c r="F1072" s="35" t="s">
        <v>367</v>
      </c>
    </row>
    <row r="1073" spans="1:7">
      <c r="A1073" s="34">
        <v>2084193056</v>
      </c>
      <c r="B1073" s="35" t="s">
        <v>462</v>
      </c>
      <c r="C1073" s="35" t="s">
        <v>405</v>
      </c>
      <c r="D1073" s="35" t="s">
        <v>463</v>
      </c>
      <c r="E1073" s="35" t="s">
        <v>585</v>
      </c>
      <c r="F1073" s="35" t="s">
        <v>368</v>
      </c>
      <c r="G1073" s="35" t="s">
        <v>481</v>
      </c>
    </row>
    <row r="1074" spans="1:7">
      <c r="A1074" s="34">
        <v>2084193055</v>
      </c>
      <c r="B1074" s="35" t="s">
        <v>462</v>
      </c>
      <c r="C1074" s="35" t="s">
        <v>405</v>
      </c>
      <c r="D1074" s="35" t="s">
        <v>463</v>
      </c>
      <c r="E1074" s="35" t="s">
        <v>585</v>
      </c>
      <c r="F1074" s="35" t="s">
        <v>368</v>
      </c>
      <c r="G1074" s="35" t="s">
        <v>482</v>
      </c>
    </row>
    <row r="1075" spans="1:7">
      <c r="A1075" s="34">
        <v>2084193057</v>
      </c>
      <c r="B1075" s="35" t="s">
        <v>462</v>
      </c>
      <c r="C1075" s="35" t="s">
        <v>405</v>
      </c>
      <c r="D1075" s="35" t="s">
        <v>463</v>
      </c>
      <c r="E1075" s="35" t="s">
        <v>585</v>
      </c>
      <c r="F1075" s="35" t="s">
        <v>368</v>
      </c>
      <c r="G1075" s="35" t="s">
        <v>335</v>
      </c>
    </row>
    <row r="1076" spans="1:7">
      <c r="A1076" s="34">
        <v>2084193063</v>
      </c>
      <c r="B1076" s="35" t="s">
        <v>462</v>
      </c>
      <c r="C1076" s="35" t="s">
        <v>405</v>
      </c>
      <c r="D1076" s="35" t="s">
        <v>463</v>
      </c>
      <c r="E1076" s="35" t="s">
        <v>585</v>
      </c>
      <c r="F1076" s="35" t="s">
        <v>10</v>
      </c>
      <c r="G1076" s="35" t="s">
        <v>483</v>
      </c>
    </row>
    <row r="1077" spans="1:7">
      <c r="A1077" s="34">
        <v>2084193060</v>
      </c>
      <c r="B1077" s="35" t="s">
        <v>462</v>
      </c>
      <c r="C1077" s="35" t="s">
        <v>405</v>
      </c>
      <c r="D1077" s="35" t="s">
        <v>463</v>
      </c>
      <c r="E1077" s="35" t="s">
        <v>585</v>
      </c>
      <c r="F1077" s="35" t="s">
        <v>10</v>
      </c>
      <c r="G1077" s="35" t="s">
        <v>397</v>
      </c>
    </row>
    <row r="1078" spans="1:7">
      <c r="A1078" s="34">
        <v>2084193062</v>
      </c>
      <c r="B1078" s="35" t="s">
        <v>462</v>
      </c>
      <c r="C1078" s="35" t="s">
        <v>405</v>
      </c>
      <c r="D1078" s="35" t="s">
        <v>463</v>
      </c>
      <c r="E1078" s="35" t="s">
        <v>585</v>
      </c>
      <c r="F1078" s="35" t="s">
        <v>10</v>
      </c>
      <c r="G1078" s="35" t="s">
        <v>421</v>
      </c>
    </row>
    <row r="1079" spans="1:7">
      <c r="A1079" s="34">
        <v>2084193059</v>
      </c>
      <c r="B1079" s="35" t="s">
        <v>462</v>
      </c>
      <c r="C1079" s="35" t="s">
        <v>405</v>
      </c>
      <c r="D1079" s="35" t="s">
        <v>463</v>
      </c>
      <c r="E1079" s="35" t="s">
        <v>585</v>
      </c>
      <c r="F1079" s="35" t="s">
        <v>10</v>
      </c>
      <c r="G1079" s="35" t="s">
        <v>398</v>
      </c>
    </row>
    <row r="1080" spans="1:7">
      <c r="A1080" s="34">
        <v>2084193061</v>
      </c>
      <c r="B1080" s="35" t="s">
        <v>462</v>
      </c>
      <c r="C1080" s="35" t="s">
        <v>405</v>
      </c>
      <c r="D1080" s="35" t="s">
        <v>463</v>
      </c>
      <c r="E1080" s="35" t="s">
        <v>585</v>
      </c>
      <c r="F1080" s="35" t="s">
        <v>10</v>
      </c>
      <c r="G1080" s="35" t="s">
        <v>422</v>
      </c>
    </row>
    <row r="1081" spans="1:7">
      <c r="A1081" s="34">
        <v>2084193064</v>
      </c>
      <c r="B1081" s="35" t="s">
        <v>462</v>
      </c>
      <c r="C1081" s="35" t="s">
        <v>405</v>
      </c>
      <c r="D1081" s="35" t="s">
        <v>463</v>
      </c>
      <c r="E1081" s="35" t="s">
        <v>585</v>
      </c>
      <c r="F1081" s="35" t="s">
        <v>10</v>
      </c>
      <c r="G1081" s="35" t="s">
        <v>335</v>
      </c>
    </row>
    <row r="1082" spans="1:7">
      <c r="A1082" s="34">
        <v>2084193066</v>
      </c>
      <c r="B1082" s="35" t="s">
        <v>462</v>
      </c>
      <c r="C1082" s="35" t="s">
        <v>405</v>
      </c>
      <c r="D1082" s="35" t="s">
        <v>463</v>
      </c>
      <c r="E1082" s="35" t="s">
        <v>585</v>
      </c>
      <c r="F1082" s="35" t="s">
        <v>379</v>
      </c>
      <c r="G1082" s="35" t="s">
        <v>476</v>
      </c>
    </row>
    <row r="1083" spans="1:7">
      <c r="A1083" s="34">
        <v>2084193067</v>
      </c>
      <c r="B1083" s="35" t="s">
        <v>462</v>
      </c>
      <c r="C1083" s="35" t="s">
        <v>405</v>
      </c>
      <c r="D1083" s="35" t="s">
        <v>463</v>
      </c>
      <c r="E1083" s="35" t="s">
        <v>585</v>
      </c>
      <c r="F1083" s="35" t="s">
        <v>379</v>
      </c>
      <c r="G1083" s="35" t="s">
        <v>335</v>
      </c>
    </row>
    <row r="1084" spans="1:7">
      <c r="A1084" s="34">
        <v>2084193068</v>
      </c>
      <c r="B1084" s="35" t="s">
        <v>462</v>
      </c>
      <c r="C1084" s="35" t="s">
        <v>405</v>
      </c>
      <c r="D1084" s="35" t="s">
        <v>463</v>
      </c>
      <c r="E1084" s="35" t="s">
        <v>585</v>
      </c>
      <c r="F1084" s="35" t="s">
        <v>335</v>
      </c>
    </row>
    <row r="1085" spans="1:7">
      <c r="A1085" s="34">
        <v>2084050843</v>
      </c>
      <c r="B1085" s="35" t="s">
        <v>462</v>
      </c>
      <c r="C1085" s="35" t="s">
        <v>405</v>
      </c>
      <c r="D1085" s="35" t="s">
        <v>463</v>
      </c>
      <c r="E1085" s="35" t="s">
        <v>586</v>
      </c>
      <c r="F1085" s="35" t="s">
        <v>587</v>
      </c>
      <c r="G1085" s="35" t="s">
        <v>588</v>
      </c>
    </row>
    <row r="1086" spans="1:7">
      <c r="A1086" s="34">
        <v>2084050844</v>
      </c>
      <c r="B1086" s="35" t="s">
        <v>462</v>
      </c>
      <c r="C1086" s="35" t="s">
        <v>405</v>
      </c>
      <c r="D1086" s="35" t="s">
        <v>463</v>
      </c>
      <c r="E1086" s="35" t="s">
        <v>586</v>
      </c>
      <c r="F1086" s="35" t="s">
        <v>587</v>
      </c>
      <c r="G1086" s="35" t="s">
        <v>335</v>
      </c>
    </row>
    <row r="1087" spans="1:7">
      <c r="A1087" s="34">
        <v>2084050845</v>
      </c>
      <c r="B1087" s="35" t="s">
        <v>462</v>
      </c>
      <c r="C1087" s="35" t="s">
        <v>405</v>
      </c>
      <c r="D1087" s="35" t="s">
        <v>463</v>
      </c>
      <c r="E1087" s="35" t="s">
        <v>586</v>
      </c>
      <c r="F1087" s="35" t="s">
        <v>484</v>
      </c>
    </row>
    <row r="1088" spans="1:7">
      <c r="A1088" s="34">
        <v>2084028222</v>
      </c>
      <c r="B1088" s="35" t="s">
        <v>462</v>
      </c>
      <c r="C1088" s="35" t="s">
        <v>405</v>
      </c>
      <c r="D1088" s="35" t="s">
        <v>463</v>
      </c>
      <c r="E1088" s="35" t="s">
        <v>586</v>
      </c>
      <c r="F1088" s="35" t="s">
        <v>390</v>
      </c>
      <c r="G1088" s="35" t="s">
        <v>367</v>
      </c>
    </row>
    <row r="1089" spans="1:8">
      <c r="A1089" s="34">
        <v>2084028774</v>
      </c>
      <c r="B1089" s="35" t="s">
        <v>462</v>
      </c>
      <c r="C1089" s="35" t="s">
        <v>405</v>
      </c>
      <c r="D1089" s="35" t="s">
        <v>463</v>
      </c>
      <c r="E1089" s="35" t="s">
        <v>586</v>
      </c>
      <c r="F1089" s="35" t="s">
        <v>390</v>
      </c>
      <c r="G1089" s="35" t="s">
        <v>368</v>
      </c>
      <c r="H1089" s="35" t="s">
        <v>508</v>
      </c>
    </row>
    <row r="1090" spans="1:8">
      <c r="A1090" s="34">
        <v>2084029307</v>
      </c>
      <c r="B1090" s="35" t="s">
        <v>462</v>
      </c>
      <c r="C1090" s="35" t="s">
        <v>405</v>
      </c>
      <c r="D1090" s="35" t="s">
        <v>463</v>
      </c>
      <c r="E1090" s="35" t="s">
        <v>586</v>
      </c>
      <c r="F1090" s="35" t="s">
        <v>390</v>
      </c>
      <c r="G1090" s="35" t="s">
        <v>368</v>
      </c>
      <c r="H1090" s="35" t="s">
        <v>481</v>
      </c>
    </row>
    <row r="1091" spans="1:8">
      <c r="A1091" s="34">
        <v>2084029884</v>
      </c>
      <c r="B1091" s="35" t="s">
        <v>462</v>
      </c>
      <c r="C1091" s="35" t="s">
        <v>405</v>
      </c>
      <c r="D1091" s="35" t="s">
        <v>463</v>
      </c>
      <c r="E1091" s="35" t="s">
        <v>586</v>
      </c>
      <c r="F1091" s="35" t="s">
        <v>390</v>
      </c>
      <c r="G1091" s="35" t="s">
        <v>368</v>
      </c>
      <c r="H1091" s="35" t="s">
        <v>494</v>
      </c>
    </row>
    <row r="1092" spans="1:8">
      <c r="A1092" s="34">
        <v>2084058657</v>
      </c>
      <c r="B1092" s="35" t="s">
        <v>462</v>
      </c>
      <c r="C1092" s="35" t="s">
        <v>405</v>
      </c>
      <c r="D1092" s="35" t="s">
        <v>463</v>
      </c>
      <c r="E1092" s="35" t="s">
        <v>586</v>
      </c>
      <c r="F1092" s="35" t="s">
        <v>390</v>
      </c>
      <c r="G1092" s="35" t="s">
        <v>368</v>
      </c>
      <c r="H1092" s="35" t="s">
        <v>335</v>
      </c>
    </row>
    <row r="1093" spans="1:8">
      <c r="A1093" s="34">
        <v>2084027323</v>
      </c>
      <c r="B1093" s="35" t="s">
        <v>462</v>
      </c>
      <c r="C1093" s="35" t="s">
        <v>405</v>
      </c>
      <c r="D1093" s="35" t="s">
        <v>463</v>
      </c>
      <c r="E1093" s="35" t="s">
        <v>586</v>
      </c>
      <c r="F1093" s="35" t="s">
        <v>390</v>
      </c>
      <c r="G1093" s="35" t="s">
        <v>10</v>
      </c>
      <c r="H1093" s="35" t="s">
        <v>509</v>
      </c>
    </row>
    <row r="1094" spans="1:8">
      <c r="A1094" s="34">
        <v>2084027816</v>
      </c>
      <c r="B1094" s="35" t="s">
        <v>462</v>
      </c>
      <c r="C1094" s="35" t="s">
        <v>405</v>
      </c>
      <c r="D1094" s="35" t="s">
        <v>463</v>
      </c>
      <c r="E1094" s="35" t="s">
        <v>586</v>
      </c>
      <c r="F1094" s="35" t="s">
        <v>390</v>
      </c>
      <c r="G1094" s="35" t="s">
        <v>10</v>
      </c>
      <c r="H1094" s="35" t="s">
        <v>510</v>
      </c>
    </row>
    <row r="1095" spans="1:8">
      <c r="A1095" s="34">
        <v>2084027848</v>
      </c>
      <c r="B1095" s="35" t="s">
        <v>462</v>
      </c>
      <c r="C1095" s="35" t="s">
        <v>405</v>
      </c>
      <c r="D1095" s="35" t="s">
        <v>463</v>
      </c>
      <c r="E1095" s="35" t="s">
        <v>586</v>
      </c>
      <c r="F1095" s="35" t="s">
        <v>390</v>
      </c>
      <c r="G1095" s="35" t="s">
        <v>10</v>
      </c>
      <c r="H1095" s="35" t="s">
        <v>511</v>
      </c>
    </row>
    <row r="1096" spans="1:8">
      <c r="A1096" s="34">
        <v>2084027928</v>
      </c>
      <c r="B1096" s="35" t="s">
        <v>462</v>
      </c>
      <c r="C1096" s="35" t="s">
        <v>405</v>
      </c>
      <c r="D1096" s="35" t="s">
        <v>463</v>
      </c>
      <c r="E1096" s="35" t="s">
        <v>586</v>
      </c>
      <c r="F1096" s="35" t="s">
        <v>390</v>
      </c>
      <c r="G1096" s="35" t="s">
        <v>10</v>
      </c>
      <c r="H1096" s="35" t="s">
        <v>493</v>
      </c>
    </row>
    <row r="1097" spans="1:8">
      <c r="A1097" s="34">
        <v>2084027447</v>
      </c>
      <c r="B1097" s="35" t="s">
        <v>462</v>
      </c>
      <c r="C1097" s="35" t="s">
        <v>405</v>
      </c>
      <c r="D1097" s="35" t="s">
        <v>463</v>
      </c>
      <c r="E1097" s="35" t="s">
        <v>586</v>
      </c>
      <c r="F1097" s="35" t="s">
        <v>390</v>
      </c>
      <c r="G1097" s="35" t="s">
        <v>10</v>
      </c>
      <c r="H1097" s="35" t="s">
        <v>512</v>
      </c>
    </row>
    <row r="1098" spans="1:8">
      <c r="A1098" s="34">
        <v>2084027614</v>
      </c>
      <c r="B1098" s="35" t="s">
        <v>462</v>
      </c>
      <c r="C1098" s="35" t="s">
        <v>405</v>
      </c>
      <c r="D1098" s="35" t="s">
        <v>463</v>
      </c>
      <c r="E1098" s="35" t="s">
        <v>586</v>
      </c>
      <c r="F1098" s="35" t="s">
        <v>390</v>
      </c>
      <c r="G1098" s="35" t="s">
        <v>10</v>
      </c>
      <c r="H1098" s="35" t="s">
        <v>513</v>
      </c>
    </row>
    <row r="1099" spans="1:8">
      <c r="A1099" s="34">
        <v>2084027984</v>
      </c>
      <c r="B1099" s="35" t="s">
        <v>462</v>
      </c>
      <c r="C1099" s="35" t="s">
        <v>405</v>
      </c>
      <c r="D1099" s="35" t="s">
        <v>463</v>
      </c>
      <c r="E1099" s="35" t="s">
        <v>586</v>
      </c>
      <c r="F1099" s="35" t="s">
        <v>390</v>
      </c>
      <c r="G1099" s="35" t="s">
        <v>10</v>
      </c>
      <c r="H1099" s="35" t="s">
        <v>420</v>
      </c>
    </row>
    <row r="1100" spans="1:8">
      <c r="A1100" s="34">
        <v>2084027285</v>
      </c>
      <c r="B1100" s="35" t="s">
        <v>462</v>
      </c>
      <c r="C1100" s="35" t="s">
        <v>405</v>
      </c>
      <c r="D1100" s="35" t="s">
        <v>463</v>
      </c>
      <c r="E1100" s="35" t="s">
        <v>586</v>
      </c>
      <c r="F1100" s="35" t="s">
        <v>390</v>
      </c>
      <c r="G1100" s="35" t="s">
        <v>10</v>
      </c>
      <c r="H1100" s="35" t="s">
        <v>514</v>
      </c>
    </row>
    <row r="1101" spans="1:8">
      <c r="A1101" s="34">
        <v>2084027412</v>
      </c>
      <c r="B1101" s="35" t="s">
        <v>462</v>
      </c>
      <c r="C1101" s="35" t="s">
        <v>405</v>
      </c>
      <c r="D1101" s="35" t="s">
        <v>463</v>
      </c>
      <c r="E1101" s="35" t="s">
        <v>586</v>
      </c>
      <c r="F1101" s="35" t="s">
        <v>390</v>
      </c>
      <c r="G1101" s="35" t="s">
        <v>10</v>
      </c>
      <c r="H1101" s="35" t="s">
        <v>515</v>
      </c>
    </row>
    <row r="1102" spans="1:8">
      <c r="A1102" s="34">
        <v>2084027531</v>
      </c>
      <c r="B1102" s="35" t="s">
        <v>462</v>
      </c>
      <c r="C1102" s="35" t="s">
        <v>405</v>
      </c>
      <c r="D1102" s="35" t="s">
        <v>463</v>
      </c>
      <c r="E1102" s="35" t="s">
        <v>586</v>
      </c>
      <c r="F1102" s="35" t="s">
        <v>390</v>
      </c>
      <c r="G1102" s="35" t="s">
        <v>10</v>
      </c>
      <c r="H1102" s="35" t="s">
        <v>421</v>
      </c>
    </row>
    <row r="1103" spans="1:8">
      <c r="A1103" s="34">
        <v>2084027692</v>
      </c>
      <c r="B1103" s="35" t="s">
        <v>462</v>
      </c>
      <c r="C1103" s="35" t="s">
        <v>405</v>
      </c>
      <c r="D1103" s="35" t="s">
        <v>463</v>
      </c>
      <c r="E1103" s="35" t="s">
        <v>586</v>
      </c>
      <c r="F1103" s="35" t="s">
        <v>390</v>
      </c>
      <c r="G1103" s="35" t="s">
        <v>10</v>
      </c>
      <c r="H1103" s="35" t="s">
        <v>516</v>
      </c>
    </row>
    <row r="1104" spans="1:8">
      <c r="A1104" s="34">
        <v>2084027209</v>
      </c>
      <c r="B1104" s="35" t="s">
        <v>462</v>
      </c>
      <c r="C1104" s="35" t="s">
        <v>405</v>
      </c>
      <c r="D1104" s="35" t="s">
        <v>463</v>
      </c>
      <c r="E1104" s="35" t="s">
        <v>586</v>
      </c>
      <c r="F1104" s="35" t="s">
        <v>390</v>
      </c>
      <c r="G1104" s="35" t="s">
        <v>10</v>
      </c>
      <c r="H1104" s="35" t="s">
        <v>517</v>
      </c>
    </row>
    <row r="1105" spans="1:8">
      <c r="A1105" s="34">
        <v>2084027378</v>
      </c>
      <c r="B1105" s="35" t="s">
        <v>462</v>
      </c>
      <c r="C1105" s="35" t="s">
        <v>405</v>
      </c>
      <c r="D1105" s="35" t="s">
        <v>463</v>
      </c>
      <c r="E1105" s="35" t="s">
        <v>586</v>
      </c>
      <c r="F1105" s="35" t="s">
        <v>390</v>
      </c>
      <c r="G1105" s="35" t="s">
        <v>10</v>
      </c>
      <c r="H1105" s="35" t="s">
        <v>518</v>
      </c>
    </row>
    <row r="1106" spans="1:8">
      <c r="A1106" s="34">
        <v>2084027581</v>
      </c>
      <c r="B1106" s="35" t="s">
        <v>462</v>
      </c>
      <c r="C1106" s="35" t="s">
        <v>405</v>
      </c>
      <c r="D1106" s="35" t="s">
        <v>463</v>
      </c>
      <c r="E1106" s="35" t="s">
        <v>586</v>
      </c>
      <c r="F1106" s="35" t="s">
        <v>390</v>
      </c>
      <c r="G1106" s="35" t="s">
        <v>10</v>
      </c>
      <c r="H1106" s="35" t="s">
        <v>422</v>
      </c>
    </row>
    <row r="1107" spans="1:8">
      <c r="A1107" s="34">
        <v>2084027782</v>
      </c>
      <c r="B1107" s="35" t="s">
        <v>462</v>
      </c>
      <c r="C1107" s="35" t="s">
        <v>405</v>
      </c>
      <c r="D1107" s="35" t="s">
        <v>463</v>
      </c>
      <c r="E1107" s="35" t="s">
        <v>586</v>
      </c>
      <c r="F1107" s="35" t="s">
        <v>390</v>
      </c>
      <c r="G1107" s="35" t="s">
        <v>10</v>
      </c>
      <c r="H1107" s="35" t="s">
        <v>519</v>
      </c>
    </row>
    <row r="1108" spans="1:8">
      <c r="A1108" s="34">
        <v>2084058659</v>
      </c>
      <c r="B1108" s="35" t="s">
        <v>462</v>
      </c>
      <c r="C1108" s="35" t="s">
        <v>405</v>
      </c>
      <c r="D1108" s="35" t="s">
        <v>463</v>
      </c>
      <c r="E1108" s="35" t="s">
        <v>586</v>
      </c>
      <c r="F1108" s="35" t="s">
        <v>390</v>
      </c>
      <c r="G1108" s="35" t="s">
        <v>10</v>
      </c>
      <c r="H1108" s="35" t="s">
        <v>335</v>
      </c>
    </row>
    <row r="1109" spans="1:8">
      <c r="A1109" s="34">
        <v>2084028053</v>
      </c>
      <c r="B1109" s="35" t="s">
        <v>462</v>
      </c>
      <c r="C1109" s="35" t="s">
        <v>405</v>
      </c>
      <c r="D1109" s="35" t="s">
        <v>463</v>
      </c>
      <c r="E1109" s="35" t="s">
        <v>586</v>
      </c>
      <c r="F1109" s="35" t="s">
        <v>390</v>
      </c>
      <c r="G1109" s="35" t="s">
        <v>379</v>
      </c>
      <c r="H1109" s="35" t="s">
        <v>521</v>
      </c>
    </row>
    <row r="1110" spans="1:8">
      <c r="A1110" s="34">
        <v>2084028188</v>
      </c>
      <c r="B1110" s="35" t="s">
        <v>462</v>
      </c>
      <c r="C1110" s="35" t="s">
        <v>405</v>
      </c>
      <c r="D1110" s="35" t="s">
        <v>463</v>
      </c>
      <c r="E1110" s="35" t="s">
        <v>586</v>
      </c>
      <c r="F1110" s="35" t="s">
        <v>390</v>
      </c>
      <c r="G1110" s="35" t="s">
        <v>379</v>
      </c>
      <c r="H1110" s="35" t="s">
        <v>522</v>
      </c>
    </row>
    <row r="1111" spans="1:8">
      <c r="A1111" s="34">
        <v>2084028426</v>
      </c>
      <c r="B1111" s="35" t="s">
        <v>462</v>
      </c>
      <c r="C1111" s="35" t="s">
        <v>405</v>
      </c>
      <c r="D1111" s="35" t="s">
        <v>463</v>
      </c>
      <c r="E1111" s="35" t="s">
        <v>586</v>
      </c>
      <c r="F1111" s="35" t="s">
        <v>390</v>
      </c>
      <c r="G1111" s="35" t="s">
        <v>379</v>
      </c>
      <c r="H1111" s="35" t="s">
        <v>523</v>
      </c>
    </row>
    <row r="1112" spans="1:8">
      <c r="A1112" s="34">
        <v>2084028092</v>
      </c>
      <c r="B1112" s="35" t="s">
        <v>462</v>
      </c>
      <c r="C1112" s="35" t="s">
        <v>405</v>
      </c>
      <c r="D1112" s="35" t="s">
        <v>463</v>
      </c>
      <c r="E1112" s="35" t="s">
        <v>586</v>
      </c>
      <c r="F1112" s="35" t="s">
        <v>390</v>
      </c>
      <c r="G1112" s="35" t="s">
        <v>379</v>
      </c>
      <c r="H1112" s="35" t="s">
        <v>524</v>
      </c>
    </row>
    <row r="1113" spans="1:8">
      <c r="A1113" s="34">
        <v>2084028258</v>
      </c>
      <c r="B1113" s="35" t="s">
        <v>462</v>
      </c>
      <c r="C1113" s="35" t="s">
        <v>405</v>
      </c>
      <c r="D1113" s="35" t="s">
        <v>463</v>
      </c>
      <c r="E1113" s="35" t="s">
        <v>586</v>
      </c>
      <c r="F1113" s="35" t="s">
        <v>390</v>
      </c>
      <c r="G1113" s="35" t="s">
        <v>379</v>
      </c>
      <c r="H1113" s="35" t="s">
        <v>525</v>
      </c>
    </row>
    <row r="1114" spans="1:8">
      <c r="A1114" s="34">
        <v>2084028460</v>
      </c>
      <c r="B1114" s="35" t="s">
        <v>462</v>
      </c>
      <c r="C1114" s="35" t="s">
        <v>405</v>
      </c>
      <c r="D1114" s="35" t="s">
        <v>463</v>
      </c>
      <c r="E1114" s="35" t="s">
        <v>586</v>
      </c>
      <c r="F1114" s="35" t="s">
        <v>390</v>
      </c>
      <c r="G1114" s="35" t="s">
        <v>379</v>
      </c>
      <c r="H1114" s="35" t="s">
        <v>526</v>
      </c>
    </row>
    <row r="1115" spans="1:8">
      <c r="A1115" s="34">
        <v>2084028329</v>
      </c>
      <c r="B1115" s="35" t="s">
        <v>462</v>
      </c>
      <c r="C1115" s="35" t="s">
        <v>405</v>
      </c>
      <c r="D1115" s="35" t="s">
        <v>463</v>
      </c>
      <c r="E1115" s="35" t="s">
        <v>586</v>
      </c>
      <c r="F1115" s="35" t="s">
        <v>390</v>
      </c>
      <c r="G1115" s="35" t="s">
        <v>379</v>
      </c>
      <c r="H1115" s="35" t="s">
        <v>527</v>
      </c>
    </row>
    <row r="1116" spans="1:8">
      <c r="A1116" s="34">
        <v>2084028495</v>
      </c>
      <c r="B1116" s="35" t="s">
        <v>462</v>
      </c>
      <c r="C1116" s="35" t="s">
        <v>405</v>
      </c>
      <c r="D1116" s="35" t="s">
        <v>463</v>
      </c>
      <c r="E1116" s="35" t="s">
        <v>586</v>
      </c>
      <c r="F1116" s="35" t="s">
        <v>390</v>
      </c>
      <c r="G1116" s="35" t="s">
        <v>379</v>
      </c>
      <c r="H1116" s="35" t="s">
        <v>528</v>
      </c>
    </row>
    <row r="1117" spans="1:8">
      <c r="A1117" s="34">
        <v>2084028371</v>
      </c>
      <c r="B1117" s="35" t="s">
        <v>462</v>
      </c>
      <c r="C1117" s="35" t="s">
        <v>405</v>
      </c>
      <c r="D1117" s="35" t="s">
        <v>463</v>
      </c>
      <c r="E1117" s="35" t="s">
        <v>586</v>
      </c>
      <c r="F1117" s="35" t="s">
        <v>390</v>
      </c>
      <c r="G1117" s="35" t="s">
        <v>379</v>
      </c>
      <c r="H1117" s="35" t="s">
        <v>529</v>
      </c>
    </row>
    <row r="1118" spans="1:8">
      <c r="A1118" s="34">
        <v>2084058661</v>
      </c>
      <c r="B1118" s="35" t="s">
        <v>462</v>
      </c>
      <c r="C1118" s="35" t="s">
        <v>405</v>
      </c>
      <c r="D1118" s="35" t="s">
        <v>463</v>
      </c>
      <c r="E1118" s="35" t="s">
        <v>586</v>
      </c>
      <c r="F1118" s="35" t="s">
        <v>390</v>
      </c>
      <c r="G1118" s="35" t="s">
        <v>379</v>
      </c>
      <c r="H1118" s="35" t="s">
        <v>335</v>
      </c>
    </row>
    <row r="1119" spans="1:8">
      <c r="A1119" s="34">
        <v>2084028585</v>
      </c>
      <c r="B1119" s="35" t="s">
        <v>462</v>
      </c>
      <c r="C1119" s="35" t="s">
        <v>405</v>
      </c>
      <c r="D1119" s="35" t="s">
        <v>463</v>
      </c>
      <c r="E1119" s="35" t="s">
        <v>586</v>
      </c>
      <c r="F1119" s="35" t="s">
        <v>390</v>
      </c>
      <c r="G1119" s="35" t="s">
        <v>530</v>
      </c>
      <c r="H1119" s="35" t="s">
        <v>531</v>
      </c>
    </row>
    <row r="1120" spans="1:8">
      <c r="A1120" s="34">
        <v>2084028629</v>
      </c>
      <c r="B1120" s="35" t="s">
        <v>462</v>
      </c>
      <c r="C1120" s="35" t="s">
        <v>405</v>
      </c>
      <c r="D1120" s="35" t="s">
        <v>463</v>
      </c>
      <c r="E1120" s="35" t="s">
        <v>586</v>
      </c>
      <c r="F1120" s="35" t="s">
        <v>390</v>
      </c>
      <c r="G1120" s="35" t="s">
        <v>530</v>
      </c>
      <c r="H1120" s="35" t="s">
        <v>532</v>
      </c>
    </row>
    <row r="1121" spans="1:9">
      <c r="A1121" s="34">
        <v>2084058663</v>
      </c>
      <c r="B1121" s="35" t="s">
        <v>462</v>
      </c>
      <c r="C1121" s="35" t="s">
        <v>405</v>
      </c>
      <c r="D1121" s="35" t="s">
        <v>463</v>
      </c>
      <c r="E1121" s="35" t="s">
        <v>586</v>
      </c>
      <c r="F1121" s="35" t="s">
        <v>390</v>
      </c>
      <c r="G1121" s="35" t="s">
        <v>530</v>
      </c>
      <c r="H1121" s="35" t="s">
        <v>335</v>
      </c>
    </row>
    <row r="1122" spans="1:9">
      <c r="A1122" s="34">
        <v>2084027142</v>
      </c>
      <c r="B1122" s="35" t="s">
        <v>462</v>
      </c>
      <c r="C1122" s="35" t="s">
        <v>405</v>
      </c>
      <c r="D1122" s="35" t="s">
        <v>463</v>
      </c>
      <c r="E1122" s="35" t="s">
        <v>586</v>
      </c>
      <c r="F1122" s="35" t="s">
        <v>390</v>
      </c>
      <c r="G1122" s="35" t="s">
        <v>549</v>
      </c>
    </row>
    <row r="1123" spans="1:9">
      <c r="A1123" s="34">
        <v>2084050851</v>
      </c>
      <c r="B1123" s="35" t="s">
        <v>462</v>
      </c>
      <c r="C1123" s="35" t="s">
        <v>405</v>
      </c>
      <c r="D1123" s="35" t="s">
        <v>463</v>
      </c>
      <c r="E1123" s="35" t="s">
        <v>586</v>
      </c>
      <c r="F1123" s="35" t="s">
        <v>390</v>
      </c>
      <c r="G1123" s="35" t="s">
        <v>335</v>
      </c>
    </row>
    <row r="1124" spans="1:9">
      <c r="A1124" s="34">
        <v>2084050847</v>
      </c>
      <c r="B1124" s="35" t="s">
        <v>462</v>
      </c>
      <c r="C1124" s="35" t="s">
        <v>405</v>
      </c>
      <c r="D1124" s="35" t="s">
        <v>463</v>
      </c>
      <c r="E1124" s="35" t="s">
        <v>586</v>
      </c>
      <c r="F1124" s="35" t="s">
        <v>442</v>
      </c>
      <c r="G1124" s="35" t="s">
        <v>589</v>
      </c>
    </row>
    <row r="1125" spans="1:9">
      <c r="A1125" s="34">
        <v>2084050848</v>
      </c>
      <c r="B1125" s="35" t="s">
        <v>462</v>
      </c>
      <c r="C1125" s="35" t="s">
        <v>405</v>
      </c>
      <c r="D1125" s="35" t="s">
        <v>463</v>
      </c>
      <c r="E1125" s="35" t="s">
        <v>586</v>
      </c>
      <c r="F1125" s="35" t="s">
        <v>442</v>
      </c>
      <c r="G1125" s="35" t="s">
        <v>504</v>
      </c>
    </row>
    <row r="1126" spans="1:9">
      <c r="A1126" s="34">
        <v>2084050849</v>
      </c>
      <c r="B1126" s="35" t="s">
        <v>462</v>
      </c>
      <c r="C1126" s="35" t="s">
        <v>405</v>
      </c>
      <c r="D1126" s="35" t="s">
        <v>463</v>
      </c>
      <c r="E1126" s="35" t="s">
        <v>586</v>
      </c>
      <c r="F1126" s="35" t="s">
        <v>442</v>
      </c>
      <c r="G1126" s="35" t="s">
        <v>445</v>
      </c>
    </row>
    <row r="1127" spans="1:9">
      <c r="A1127" s="34">
        <v>2084050850</v>
      </c>
      <c r="B1127" s="35" t="s">
        <v>462</v>
      </c>
      <c r="C1127" s="35" t="s">
        <v>405</v>
      </c>
      <c r="D1127" s="35" t="s">
        <v>463</v>
      </c>
      <c r="E1127" s="35" t="s">
        <v>586</v>
      </c>
      <c r="F1127" s="35" t="s">
        <v>442</v>
      </c>
      <c r="G1127" s="35" t="s">
        <v>335</v>
      </c>
    </row>
    <row r="1128" spans="1:9">
      <c r="A1128" s="34">
        <v>2084048651</v>
      </c>
      <c r="B1128" s="35" t="s">
        <v>462</v>
      </c>
      <c r="C1128" s="35" t="s">
        <v>405</v>
      </c>
      <c r="D1128" s="35" t="s">
        <v>463</v>
      </c>
      <c r="E1128" s="35" t="s">
        <v>586</v>
      </c>
      <c r="F1128" s="35" t="s">
        <v>335</v>
      </c>
    </row>
    <row r="1129" spans="1:9">
      <c r="A1129" s="34">
        <v>2084228126</v>
      </c>
      <c r="B1129" s="35" t="s">
        <v>462</v>
      </c>
      <c r="C1129" s="35" t="s">
        <v>405</v>
      </c>
      <c r="D1129" s="35" t="s">
        <v>463</v>
      </c>
      <c r="E1129" s="35" t="s">
        <v>590</v>
      </c>
      <c r="F1129" s="35" t="s">
        <v>407</v>
      </c>
    </row>
    <row r="1130" spans="1:9">
      <c r="A1130" s="34">
        <v>2084228119</v>
      </c>
      <c r="B1130" s="35" t="s">
        <v>462</v>
      </c>
      <c r="C1130" s="35" t="s">
        <v>405</v>
      </c>
      <c r="D1130" s="35" t="s">
        <v>463</v>
      </c>
      <c r="E1130" s="35" t="s">
        <v>590</v>
      </c>
      <c r="F1130" s="35" t="s">
        <v>353</v>
      </c>
      <c r="G1130" s="35" t="s">
        <v>368</v>
      </c>
      <c r="H1130" s="35" t="s">
        <v>572</v>
      </c>
      <c r="I1130" s="35" t="s">
        <v>391</v>
      </c>
    </row>
    <row r="1131" spans="1:9">
      <c r="A1131" s="34">
        <v>2084228120</v>
      </c>
      <c r="B1131" s="35" t="s">
        <v>462</v>
      </c>
      <c r="C1131" s="35" t="s">
        <v>405</v>
      </c>
      <c r="D1131" s="35" t="s">
        <v>463</v>
      </c>
      <c r="E1131" s="35" t="s">
        <v>590</v>
      </c>
      <c r="F1131" s="35" t="s">
        <v>353</v>
      </c>
      <c r="G1131" s="35" t="s">
        <v>368</v>
      </c>
      <c r="H1131" s="35" t="s">
        <v>572</v>
      </c>
      <c r="I1131" s="35" t="s">
        <v>392</v>
      </c>
    </row>
    <row r="1132" spans="1:9">
      <c r="A1132" s="34">
        <v>2084228121</v>
      </c>
      <c r="B1132" s="35" t="s">
        <v>462</v>
      </c>
      <c r="C1132" s="35" t="s">
        <v>405</v>
      </c>
      <c r="D1132" s="35" t="s">
        <v>463</v>
      </c>
      <c r="E1132" s="35" t="s">
        <v>590</v>
      </c>
      <c r="F1132" s="35" t="s">
        <v>353</v>
      </c>
      <c r="G1132" s="35" t="s">
        <v>368</v>
      </c>
      <c r="H1132" s="35" t="s">
        <v>572</v>
      </c>
      <c r="I1132" s="35" t="s">
        <v>375</v>
      </c>
    </row>
    <row r="1133" spans="1:9">
      <c r="A1133" s="34">
        <v>2084228122</v>
      </c>
      <c r="B1133" s="35" t="s">
        <v>462</v>
      </c>
      <c r="C1133" s="35" t="s">
        <v>405</v>
      </c>
      <c r="D1133" s="35" t="s">
        <v>463</v>
      </c>
      <c r="E1133" s="35" t="s">
        <v>590</v>
      </c>
      <c r="F1133" s="35" t="s">
        <v>353</v>
      </c>
      <c r="G1133" s="35" t="s">
        <v>368</v>
      </c>
      <c r="H1133" s="35" t="s">
        <v>572</v>
      </c>
      <c r="I1133" s="35" t="s">
        <v>376</v>
      </c>
    </row>
    <row r="1134" spans="1:9">
      <c r="A1134" s="34">
        <v>2084228123</v>
      </c>
      <c r="B1134" s="35" t="s">
        <v>462</v>
      </c>
      <c r="C1134" s="35" t="s">
        <v>405</v>
      </c>
      <c r="D1134" s="35" t="s">
        <v>463</v>
      </c>
      <c r="E1134" s="35" t="s">
        <v>590</v>
      </c>
      <c r="F1134" s="35" t="s">
        <v>353</v>
      </c>
      <c r="G1134" s="35" t="s">
        <v>368</v>
      </c>
      <c r="H1134" s="35" t="s">
        <v>572</v>
      </c>
      <c r="I1134" s="35" t="s">
        <v>377</v>
      </c>
    </row>
    <row r="1135" spans="1:9">
      <c r="A1135" s="34">
        <v>2084228124</v>
      </c>
      <c r="B1135" s="35" t="s">
        <v>462</v>
      </c>
      <c r="C1135" s="35" t="s">
        <v>405</v>
      </c>
      <c r="D1135" s="35" t="s">
        <v>463</v>
      </c>
      <c r="E1135" s="35" t="s">
        <v>590</v>
      </c>
      <c r="F1135" s="35" t="s">
        <v>353</v>
      </c>
      <c r="G1135" s="35" t="s">
        <v>368</v>
      </c>
      <c r="H1135" s="35" t="s">
        <v>335</v>
      </c>
    </row>
    <row r="1136" spans="1:9">
      <c r="A1136" s="34">
        <v>2084228125</v>
      </c>
      <c r="B1136" s="35" t="s">
        <v>462</v>
      </c>
      <c r="C1136" s="35" t="s">
        <v>405</v>
      </c>
      <c r="D1136" s="35" t="s">
        <v>463</v>
      </c>
      <c r="E1136" s="35" t="s">
        <v>590</v>
      </c>
      <c r="F1136" s="35" t="s">
        <v>353</v>
      </c>
      <c r="G1136" s="35" t="s">
        <v>335</v>
      </c>
    </row>
    <row r="1137" spans="1:8">
      <c r="A1137" s="34">
        <v>2084228127</v>
      </c>
      <c r="B1137" s="35" t="s">
        <v>462</v>
      </c>
      <c r="C1137" s="35" t="s">
        <v>405</v>
      </c>
      <c r="D1137" s="35" t="s">
        <v>463</v>
      </c>
      <c r="E1137" s="35" t="s">
        <v>590</v>
      </c>
      <c r="F1137" s="35" t="s">
        <v>335</v>
      </c>
    </row>
    <row r="1138" spans="1:8">
      <c r="A1138" s="34">
        <v>2084283081</v>
      </c>
      <c r="B1138" s="35" t="s">
        <v>462</v>
      </c>
      <c r="C1138" s="35" t="s">
        <v>405</v>
      </c>
      <c r="D1138" s="35" t="s">
        <v>463</v>
      </c>
      <c r="E1138" s="35" t="s">
        <v>591</v>
      </c>
    </row>
    <row r="1139" spans="1:8">
      <c r="A1139" s="34">
        <v>2084208387</v>
      </c>
      <c r="B1139" s="35" t="s">
        <v>462</v>
      </c>
      <c r="C1139" s="35" t="s">
        <v>405</v>
      </c>
      <c r="D1139" s="35" t="s">
        <v>463</v>
      </c>
      <c r="E1139" s="35" t="s">
        <v>592</v>
      </c>
      <c r="F1139" s="35" t="s">
        <v>367</v>
      </c>
    </row>
    <row r="1140" spans="1:8">
      <c r="A1140" s="34">
        <v>2084208388</v>
      </c>
      <c r="B1140" s="35" t="s">
        <v>462</v>
      </c>
      <c r="C1140" s="35" t="s">
        <v>405</v>
      </c>
      <c r="D1140" s="35" t="s">
        <v>463</v>
      </c>
      <c r="E1140" s="35" t="s">
        <v>592</v>
      </c>
      <c r="F1140" s="35" t="s">
        <v>401</v>
      </c>
    </row>
    <row r="1141" spans="1:8">
      <c r="A1141" s="34">
        <v>2084208389</v>
      </c>
      <c r="B1141" s="35" t="s">
        <v>462</v>
      </c>
      <c r="C1141" s="35" t="s">
        <v>405</v>
      </c>
      <c r="D1141" s="35" t="s">
        <v>463</v>
      </c>
      <c r="E1141" s="35" t="s">
        <v>592</v>
      </c>
      <c r="F1141" s="35" t="s">
        <v>402</v>
      </c>
    </row>
    <row r="1142" spans="1:8">
      <c r="A1142" s="34">
        <v>2084208391</v>
      </c>
      <c r="B1142" s="35" t="s">
        <v>462</v>
      </c>
      <c r="C1142" s="35" t="s">
        <v>405</v>
      </c>
      <c r="D1142" s="35" t="s">
        <v>463</v>
      </c>
      <c r="E1142" s="35" t="s">
        <v>592</v>
      </c>
      <c r="F1142" s="35" t="s">
        <v>379</v>
      </c>
      <c r="G1142" s="35" t="s">
        <v>476</v>
      </c>
    </row>
    <row r="1143" spans="1:8">
      <c r="A1143" s="34">
        <v>2084208392</v>
      </c>
      <c r="B1143" s="35" t="s">
        <v>462</v>
      </c>
      <c r="C1143" s="35" t="s">
        <v>405</v>
      </c>
      <c r="D1143" s="35" t="s">
        <v>463</v>
      </c>
      <c r="E1143" s="35" t="s">
        <v>592</v>
      </c>
      <c r="F1143" s="35" t="s">
        <v>379</v>
      </c>
      <c r="G1143" s="35" t="s">
        <v>335</v>
      </c>
    </row>
    <row r="1144" spans="1:8">
      <c r="A1144" s="34">
        <v>2084208393</v>
      </c>
      <c r="B1144" s="35" t="s">
        <v>462</v>
      </c>
      <c r="C1144" s="35" t="s">
        <v>405</v>
      </c>
      <c r="D1144" s="35" t="s">
        <v>463</v>
      </c>
      <c r="E1144" s="35" t="s">
        <v>592</v>
      </c>
      <c r="F1144" s="35" t="s">
        <v>478</v>
      </c>
    </row>
    <row r="1145" spans="1:8">
      <c r="A1145" s="34">
        <v>2084208394</v>
      </c>
      <c r="B1145" s="35" t="s">
        <v>462</v>
      </c>
      <c r="C1145" s="35" t="s">
        <v>405</v>
      </c>
      <c r="D1145" s="35" t="s">
        <v>463</v>
      </c>
      <c r="E1145" s="35" t="s">
        <v>592</v>
      </c>
      <c r="F1145" s="35" t="s">
        <v>335</v>
      </c>
    </row>
    <row r="1146" spans="1:8">
      <c r="A1146" s="34">
        <v>2084028223</v>
      </c>
      <c r="B1146" s="35" t="s">
        <v>462</v>
      </c>
      <c r="C1146" s="35" t="s">
        <v>405</v>
      </c>
      <c r="D1146" s="35" t="s">
        <v>463</v>
      </c>
      <c r="E1146" s="35" t="s">
        <v>593</v>
      </c>
      <c r="F1146" s="35" t="s">
        <v>390</v>
      </c>
      <c r="G1146" s="35" t="s">
        <v>367</v>
      </c>
    </row>
    <row r="1147" spans="1:8">
      <c r="A1147" s="34">
        <v>2084028775</v>
      </c>
      <c r="B1147" s="35" t="s">
        <v>462</v>
      </c>
      <c r="C1147" s="35" t="s">
        <v>405</v>
      </c>
      <c r="D1147" s="35" t="s">
        <v>463</v>
      </c>
      <c r="E1147" s="35" t="s">
        <v>593</v>
      </c>
      <c r="F1147" s="35" t="s">
        <v>390</v>
      </c>
      <c r="G1147" s="35" t="s">
        <v>368</v>
      </c>
      <c r="H1147" s="35" t="s">
        <v>508</v>
      </c>
    </row>
    <row r="1148" spans="1:8">
      <c r="A1148" s="34">
        <v>2084029308</v>
      </c>
      <c r="B1148" s="35" t="s">
        <v>462</v>
      </c>
      <c r="C1148" s="35" t="s">
        <v>405</v>
      </c>
      <c r="D1148" s="35" t="s">
        <v>463</v>
      </c>
      <c r="E1148" s="35" t="s">
        <v>593</v>
      </c>
      <c r="F1148" s="35" t="s">
        <v>390</v>
      </c>
      <c r="G1148" s="35" t="s">
        <v>368</v>
      </c>
      <c r="H1148" s="35" t="s">
        <v>481</v>
      </c>
    </row>
    <row r="1149" spans="1:8">
      <c r="A1149" s="34">
        <v>2084029885</v>
      </c>
      <c r="B1149" s="35" t="s">
        <v>462</v>
      </c>
      <c r="C1149" s="35" t="s">
        <v>405</v>
      </c>
      <c r="D1149" s="35" t="s">
        <v>463</v>
      </c>
      <c r="E1149" s="35" t="s">
        <v>593</v>
      </c>
      <c r="F1149" s="35" t="s">
        <v>390</v>
      </c>
      <c r="G1149" s="35" t="s">
        <v>368</v>
      </c>
      <c r="H1149" s="35" t="s">
        <v>494</v>
      </c>
    </row>
    <row r="1150" spans="1:8">
      <c r="A1150" s="34">
        <v>2084058667</v>
      </c>
      <c r="B1150" s="35" t="s">
        <v>462</v>
      </c>
      <c r="C1150" s="35" t="s">
        <v>405</v>
      </c>
      <c r="D1150" s="35" t="s">
        <v>463</v>
      </c>
      <c r="E1150" s="35" t="s">
        <v>593</v>
      </c>
      <c r="F1150" s="35" t="s">
        <v>390</v>
      </c>
      <c r="G1150" s="35" t="s">
        <v>368</v>
      </c>
      <c r="H1150" s="35" t="s">
        <v>335</v>
      </c>
    </row>
    <row r="1151" spans="1:8">
      <c r="A1151" s="34">
        <v>2084027324</v>
      </c>
      <c r="B1151" s="35" t="s">
        <v>462</v>
      </c>
      <c r="C1151" s="35" t="s">
        <v>405</v>
      </c>
      <c r="D1151" s="35" t="s">
        <v>463</v>
      </c>
      <c r="E1151" s="35" t="s">
        <v>593</v>
      </c>
      <c r="F1151" s="35" t="s">
        <v>390</v>
      </c>
      <c r="G1151" s="35" t="s">
        <v>10</v>
      </c>
      <c r="H1151" s="35" t="s">
        <v>509</v>
      </c>
    </row>
    <row r="1152" spans="1:8">
      <c r="A1152" s="34">
        <v>2084027817</v>
      </c>
      <c r="B1152" s="35" t="s">
        <v>462</v>
      </c>
      <c r="C1152" s="35" t="s">
        <v>405</v>
      </c>
      <c r="D1152" s="35" t="s">
        <v>463</v>
      </c>
      <c r="E1152" s="35" t="s">
        <v>593</v>
      </c>
      <c r="F1152" s="35" t="s">
        <v>390</v>
      </c>
      <c r="G1152" s="35" t="s">
        <v>10</v>
      </c>
      <c r="H1152" s="35" t="s">
        <v>510</v>
      </c>
    </row>
    <row r="1153" spans="1:8">
      <c r="A1153" s="34">
        <v>2084027849</v>
      </c>
      <c r="B1153" s="35" t="s">
        <v>462</v>
      </c>
      <c r="C1153" s="35" t="s">
        <v>405</v>
      </c>
      <c r="D1153" s="35" t="s">
        <v>463</v>
      </c>
      <c r="E1153" s="35" t="s">
        <v>593</v>
      </c>
      <c r="F1153" s="35" t="s">
        <v>390</v>
      </c>
      <c r="G1153" s="35" t="s">
        <v>10</v>
      </c>
      <c r="H1153" s="35" t="s">
        <v>511</v>
      </c>
    </row>
    <row r="1154" spans="1:8">
      <c r="A1154" s="34">
        <v>2084027929</v>
      </c>
      <c r="B1154" s="35" t="s">
        <v>462</v>
      </c>
      <c r="C1154" s="35" t="s">
        <v>405</v>
      </c>
      <c r="D1154" s="35" t="s">
        <v>463</v>
      </c>
      <c r="E1154" s="35" t="s">
        <v>593</v>
      </c>
      <c r="F1154" s="35" t="s">
        <v>390</v>
      </c>
      <c r="G1154" s="35" t="s">
        <v>10</v>
      </c>
      <c r="H1154" s="35" t="s">
        <v>493</v>
      </c>
    </row>
    <row r="1155" spans="1:8">
      <c r="A1155" s="34">
        <v>2084027448</v>
      </c>
      <c r="B1155" s="35" t="s">
        <v>462</v>
      </c>
      <c r="C1155" s="35" t="s">
        <v>405</v>
      </c>
      <c r="D1155" s="35" t="s">
        <v>463</v>
      </c>
      <c r="E1155" s="35" t="s">
        <v>593</v>
      </c>
      <c r="F1155" s="35" t="s">
        <v>390</v>
      </c>
      <c r="G1155" s="35" t="s">
        <v>10</v>
      </c>
      <c r="H1155" s="35" t="s">
        <v>512</v>
      </c>
    </row>
    <row r="1156" spans="1:8">
      <c r="A1156" s="34">
        <v>2084027615</v>
      </c>
      <c r="B1156" s="35" t="s">
        <v>462</v>
      </c>
      <c r="C1156" s="35" t="s">
        <v>405</v>
      </c>
      <c r="D1156" s="35" t="s">
        <v>463</v>
      </c>
      <c r="E1156" s="35" t="s">
        <v>593</v>
      </c>
      <c r="F1156" s="35" t="s">
        <v>390</v>
      </c>
      <c r="G1156" s="35" t="s">
        <v>10</v>
      </c>
      <c r="H1156" s="35" t="s">
        <v>513</v>
      </c>
    </row>
    <row r="1157" spans="1:8">
      <c r="A1157" s="34">
        <v>2084027985</v>
      </c>
      <c r="B1157" s="35" t="s">
        <v>462</v>
      </c>
      <c r="C1157" s="35" t="s">
        <v>405</v>
      </c>
      <c r="D1157" s="35" t="s">
        <v>463</v>
      </c>
      <c r="E1157" s="35" t="s">
        <v>593</v>
      </c>
      <c r="F1157" s="35" t="s">
        <v>390</v>
      </c>
      <c r="G1157" s="35" t="s">
        <v>10</v>
      </c>
      <c r="H1157" s="35" t="s">
        <v>420</v>
      </c>
    </row>
    <row r="1158" spans="1:8">
      <c r="A1158" s="34">
        <v>2084027286</v>
      </c>
      <c r="B1158" s="35" t="s">
        <v>462</v>
      </c>
      <c r="C1158" s="35" t="s">
        <v>405</v>
      </c>
      <c r="D1158" s="35" t="s">
        <v>463</v>
      </c>
      <c r="E1158" s="35" t="s">
        <v>593</v>
      </c>
      <c r="F1158" s="35" t="s">
        <v>390</v>
      </c>
      <c r="G1158" s="35" t="s">
        <v>10</v>
      </c>
      <c r="H1158" s="35" t="s">
        <v>514</v>
      </c>
    </row>
    <row r="1159" spans="1:8">
      <c r="A1159" s="34">
        <v>2084027413</v>
      </c>
      <c r="B1159" s="35" t="s">
        <v>462</v>
      </c>
      <c r="C1159" s="35" t="s">
        <v>405</v>
      </c>
      <c r="D1159" s="35" t="s">
        <v>463</v>
      </c>
      <c r="E1159" s="35" t="s">
        <v>593</v>
      </c>
      <c r="F1159" s="35" t="s">
        <v>390</v>
      </c>
      <c r="G1159" s="35" t="s">
        <v>10</v>
      </c>
      <c r="H1159" s="35" t="s">
        <v>515</v>
      </c>
    </row>
    <row r="1160" spans="1:8">
      <c r="A1160" s="34">
        <v>2084027532</v>
      </c>
      <c r="B1160" s="35" t="s">
        <v>462</v>
      </c>
      <c r="C1160" s="35" t="s">
        <v>405</v>
      </c>
      <c r="D1160" s="35" t="s">
        <v>463</v>
      </c>
      <c r="E1160" s="35" t="s">
        <v>593</v>
      </c>
      <c r="F1160" s="35" t="s">
        <v>390</v>
      </c>
      <c r="G1160" s="35" t="s">
        <v>10</v>
      </c>
      <c r="H1160" s="35" t="s">
        <v>421</v>
      </c>
    </row>
    <row r="1161" spans="1:8">
      <c r="A1161" s="34">
        <v>2084027693</v>
      </c>
      <c r="B1161" s="35" t="s">
        <v>462</v>
      </c>
      <c r="C1161" s="35" t="s">
        <v>405</v>
      </c>
      <c r="D1161" s="35" t="s">
        <v>463</v>
      </c>
      <c r="E1161" s="35" t="s">
        <v>593</v>
      </c>
      <c r="F1161" s="35" t="s">
        <v>390</v>
      </c>
      <c r="G1161" s="35" t="s">
        <v>10</v>
      </c>
      <c r="H1161" s="35" t="s">
        <v>516</v>
      </c>
    </row>
    <row r="1162" spans="1:8">
      <c r="A1162" s="34">
        <v>2084027210</v>
      </c>
      <c r="B1162" s="35" t="s">
        <v>462</v>
      </c>
      <c r="C1162" s="35" t="s">
        <v>405</v>
      </c>
      <c r="D1162" s="35" t="s">
        <v>463</v>
      </c>
      <c r="E1162" s="35" t="s">
        <v>593</v>
      </c>
      <c r="F1162" s="35" t="s">
        <v>390</v>
      </c>
      <c r="G1162" s="35" t="s">
        <v>10</v>
      </c>
      <c r="H1162" s="35" t="s">
        <v>517</v>
      </c>
    </row>
    <row r="1163" spans="1:8">
      <c r="A1163" s="34">
        <v>2084027379</v>
      </c>
      <c r="B1163" s="35" t="s">
        <v>462</v>
      </c>
      <c r="C1163" s="35" t="s">
        <v>405</v>
      </c>
      <c r="D1163" s="35" t="s">
        <v>463</v>
      </c>
      <c r="E1163" s="35" t="s">
        <v>593</v>
      </c>
      <c r="F1163" s="35" t="s">
        <v>390</v>
      </c>
      <c r="G1163" s="35" t="s">
        <v>10</v>
      </c>
      <c r="H1163" s="35" t="s">
        <v>518</v>
      </c>
    </row>
    <row r="1164" spans="1:8">
      <c r="A1164" s="34">
        <v>2084027582</v>
      </c>
      <c r="B1164" s="35" t="s">
        <v>462</v>
      </c>
      <c r="C1164" s="35" t="s">
        <v>405</v>
      </c>
      <c r="D1164" s="35" t="s">
        <v>463</v>
      </c>
      <c r="E1164" s="35" t="s">
        <v>593</v>
      </c>
      <c r="F1164" s="35" t="s">
        <v>390</v>
      </c>
      <c r="G1164" s="35" t="s">
        <v>10</v>
      </c>
      <c r="H1164" s="35" t="s">
        <v>422</v>
      </c>
    </row>
    <row r="1165" spans="1:8">
      <c r="A1165" s="34">
        <v>2084027783</v>
      </c>
      <c r="B1165" s="35" t="s">
        <v>462</v>
      </c>
      <c r="C1165" s="35" t="s">
        <v>405</v>
      </c>
      <c r="D1165" s="35" t="s">
        <v>463</v>
      </c>
      <c r="E1165" s="35" t="s">
        <v>593</v>
      </c>
      <c r="F1165" s="35" t="s">
        <v>390</v>
      </c>
      <c r="G1165" s="35" t="s">
        <v>10</v>
      </c>
      <c r="H1165" s="35" t="s">
        <v>519</v>
      </c>
    </row>
    <row r="1166" spans="1:8">
      <c r="A1166" s="34">
        <v>2084058669</v>
      </c>
      <c r="B1166" s="35" t="s">
        <v>462</v>
      </c>
      <c r="C1166" s="35" t="s">
        <v>405</v>
      </c>
      <c r="D1166" s="35" t="s">
        <v>463</v>
      </c>
      <c r="E1166" s="35" t="s">
        <v>593</v>
      </c>
      <c r="F1166" s="35" t="s">
        <v>390</v>
      </c>
      <c r="G1166" s="35" t="s">
        <v>10</v>
      </c>
      <c r="H1166" s="35" t="s">
        <v>335</v>
      </c>
    </row>
    <row r="1167" spans="1:8">
      <c r="A1167" s="34">
        <v>2084028019</v>
      </c>
      <c r="B1167" s="35" t="s">
        <v>462</v>
      </c>
      <c r="C1167" s="35" t="s">
        <v>405</v>
      </c>
      <c r="D1167" s="35" t="s">
        <v>463</v>
      </c>
      <c r="E1167" s="35" t="s">
        <v>593</v>
      </c>
      <c r="F1167" s="35" t="s">
        <v>390</v>
      </c>
      <c r="G1167" s="35" t="s">
        <v>379</v>
      </c>
      <c r="H1167" s="35" t="s">
        <v>520</v>
      </c>
    </row>
    <row r="1168" spans="1:8">
      <c r="A1168" s="34">
        <v>2084028054</v>
      </c>
      <c r="B1168" s="35" t="s">
        <v>462</v>
      </c>
      <c r="C1168" s="35" t="s">
        <v>405</v>
      </c>
      <c r="D1168" s="35" t="s">
        <v>463</v>
      </c>
      <c r="E1168" s="35" t="s">
        <v>593</v>
      </c>
      <c r="F1168" s="35" t="s">
        <v>390</v>
      </c>
      <c r="G1168" s="35" t="s">
        <v>379</v>
      </c>
      <c r="H1168" s="35" t="s">
        <v>521</v>
      </c>
    </row>
    <row r="1169" spans="1:8">
      <c r="A1169" s="34">
        <v>2084028189</v>
      </c>
      <c r="B1169" s="35" t="s">
        <v>462</v>
      </c>
      <c r="C1169" s="35" t="s">
        <v>405</v>
      </c>
      <c r="D1169" s="35" t="s">
        <v>463</v>
      </c>
      <c r="E1169" s="35" t="s">
        <v>593</v>
      </c>
      <c r="F1169" s="35" t="s">
        <v>390</v>
      </c>
      <c r="G1169" s="35" t="s">
        <v>379</v>
      </c>
      <c r="H1169" s="35" t="s">
        <v>522</v>
      </c>
    </row>
    <row r="1170" spans="1:8">
      <c r="A1170" s="34">
        <v>2084028427</v>
      </c>
      <c r="B1170" s="35" t="s">
        <v>462</v>
      </c>
      <c r="C1170" s="35" t="s">
        <v>405</v>
      </c>
      <c r="D1170" s="35" t="s">
        <v>463</v>
      </c>
      <c r="E1170" s="35" t="s">
        <v>593</v>
      </c>
      <c r="F1170" s="35" t="s">
        <v>390</v>
      </c>
      <c r="G1170" s="35" t="s">
        <v>379</v>
      </c>
      <c r="H1170" s="35" t="s">
        <v>523</v>
      </c>
    </row>
    <row r="1171" spans="1:8">
      <c r="A1171" s="34">
        <v>2084028093</v>
      </c>
      <c r="B1171" s="35" t="s">
        <v>462</v>
      </c>
      <c r="C1171" s="35" t="s">
        <v>405</v>
      </c>
      <c r="D1171" s="35" t="s">
        <v>463</v>
      </c>
      <c r="E1171" s="35" t="s">
        <v>593</v>
      </c>
      <c r="F1171" s="35" t="s">
        <v>390</v>
      </c>
      <c r="G1171" s="35" t="s">
        <v>379</v>
      </c>
      <c r="H1171" s="35" t="s">
        <v>524</v>
      </c>
    </row>
    <row r="1172" spans="1:8">
      <c r="A1172" s="34">
        <v>2084028259</v>
      </c>
      <c r="B1172" s="35" t="s">
        <v>462</v>
      </c>
      <c r="C1172" s="35" t="s">
        <v>405</v>
      </c>
      <c r="D1172" s="35" t="s">
        <v>463</v>
      </c>
      <c r="E1172" s="35" t="s">
        <v>593</v>
      </c>
      <c r="F1172" s="35" t="s">
        <v>390</v>
      </c>
      <c r="G1172" s="35" t="s">
        <v>379</v>
      </c>
      <c r="H1172" s="35" t="s">
        <v>525</v>
      </c>
    </row>
    <row r="1173" spans="1:8">
      <c r="A1173" s="34">
        <v>2084028461</v>
      </c>
      <c r="B1173" s="35" t="s">
        <v>462</v>
      </c>
      <c r="C1173" s="35" t="s">
        <v>405</v>
      </c>
      <c r="D1173" s="35" t="s">
        <v>463</v>
      </c>
      <c r="E1173" s="35" t="s">
        <v>593</v>
      </c>
      <c r="F1173" s="35" t="s">
        <v>390</v>
      </c>
      <c r="G1173" s="35" t="s">
        <v>379</v>
      </c>
      <c r="H1173" s="35" t="s">
        <v>526</v>
      </c>
    </row>
    <row r="1174" spans="1:8">
      <c r="A1174" s="34">
        <v>2084028372</v>
      </c>
      <c r="B1174" s="35" t="s">
        <v>462</v>
      </c>
      <c r="C1174" s="35" t="s">
        <v>405</v>
      </c>
      <c r="D1174" s="35" t="s">
        <v>463</v>
      </c>
      <c r="E1174" s="35" t="s">
        <v>593</v>
      </c>
      <c r="F1174" s="35" t="s">
        <v>390</v>
      </c>
      <c r="G1174" s="35" t="s">
        <v>379</v>
      </c>
      <c r="H1174" s="35" t="s">
        <v>529</v>
      </c>
    </row>
    <row r="1175" spans="1:8">
      <c r="A1175" s="34">
        <v>2084058671</v>
      </c>
      <c r="B1175" s="35" t="s">
        <v>462</v>
      </c>
      <c r="C1175" s="35" t="s">
        <v>405</v>
      </c>
      <c r="D1175" s="35" t="s">
        <v>463</v>
      </c>
      <c r="E1175" s="35" t="s">
        <v>593</v>
      </c>
      <c r="F1175" s="35" t="s">
        <v>390</v>
      </c>
      <c r="G1175" s="35" t="s">
        <v>379</v>
      </c>
      <c r="H1175" s="35" t="s">
        <v>335</v>
      </c>
    </row>
    <row r="1176" spans="1:8">
      <c r="A1176" s="34">
        <v>2084028586</v>
      </c>
      <c r="B1176" s="35" t="s">
        <v>462</v>
      </c>
      <c r="C1176" s="35" t="s">
        <v>405</v>
      </c>
      <c r="D1176" s="35" t="s">
        <v>463</v>
      </c>
      <c r="E1176" s="35" t="s">
        <v>593</v>
      </c>
      <c r="F1176" s="35" t="s">
        <v>390</v>
      </c>
      <c r="G1176" s="35" t="s">
        <v>530</v>
      </c>
      <c r="H1176" s="35" t="s">
        <v>531</v>
      </c>
    </row>
    <row r="1177" spans="1:8">
      <c r="A1177" s="34">
        <v>2084028630</v>
      </c>
      <c r="B1177" s="35" t="s">
        <v>462</v>
      </c>
      <c r="C1177" s="35" t="s">
        <v>405</v>
      </c>
      <c r="D1177" s="35" t="s">
        <v>463</v>
      </c>
      <c r="E1177" s="35" t="s">
        <v>593</v>
      </c>
      <c r="F1177" s="35" t="s">
        <v>390</v>
      </c>
      <c r="G1177" s="35" t="s">
        <v>530</v>
      </c>
      <c r="H1177" s="35" t="s">
        <v>532</v>
      </c>
    </row>
    <row r="1178" spans="1:8">
      <c r="A1178" s="34">
        <v>2084058673</v>
      </c>
      <c r="B1178" s="35" t="s">
        <v>462</v>
      </c>
      <c r="C1178" s="35" t="s">
        <v>405</v>
      </c>
      <c r="D1178" s="35" t="s">
        <v>463</v>
      </c>
      <c r="E1178" s="35" t="s">
        <v>593</v>
      </c>
      <c r="F1178" s="35" t="s">
        <v>390</v>
      </c>
      <c r="G1178" s="35" t="s">
        <v>530</v>
      </c>
      <c r="H1178" s="35" t="s">
        <v>335</v>
      </c>
    </row>
    <row r="1179" spans="1:8">
      <c r="A1179" s="34">
        <v>2084030122</v>
      </c>
      <c r="B1179" s="35" t="s">
        <v>462</v>
      </c>
      <c r="C1179" s="35" t="s">
        <v>405</v>
      </c>
      <c r="D1179" s="35" t="s">
        <v>463</v>
      </c>
      <c r="E1179" s="35" t="s">
        <v>593</v>
      </c>
      <c r="F1179" s="35" t="s">
        <v>390</v>
      </c>
      <c r="G1179" s="35" t="s">
        <v>533</v>
      </c>
      <c r="H1179" s="35" t="s">
        <v>534</v>
      </c>
    </row>
    <row r="1180" spans="1:8">
      <c r="A1180" s="34">
        <v>2084030156</v>
      </c>
      <c r="B1180" s="35" t="s">
        <v>462</v>
      </c>
      <c r="C1180" s="35" t="s">
        <v>405</v>
      </c>
      <c r="D1180" s="35" t="s">
        <v>463</v>
      </c>
      <c r="E1180" s="35" t="s">
        <v>593</v>
      </c>
      <c r="F1180" s="35" t="s">
        <v>390</v>
      </c>
      <c r="G1180" s="35" t="s">
        <v>533</v>
      </c>
      <c r="H1180" s="35" t="s">
        <v>535</v>
      </c>
    </row>
    <row r="1181" spans="1:8">
      <c r="A1181" s="34">
        <v>2084027143</v>
      </c>
      <c r="B1181" s="35" t="s">
        <v>462</v>
      </c>
      <c r="C1181" s="35" t="s">
        <v>405</v>
      </c>
      <c r="D1181" s="35" t="s">
        <v>463</v>
      </c>
      <c r="E1181" s="35" t="s">
        <v>593</v>
      </c>
      <c r="F1181" s="35" t="s">
        <v>390</v>
      </c>
      <c r="G1181" s="35" t="s">
        <v>533</v>
      </c>
      <c r="H1181" s="35" t="s">
        <v>536</v>
      </c>
    </row>
    <row r="1182" spans="1:8">
      <c r="A1182" s="34">
        <v>2084050821</v>
      </c>
      <c r="B1182" s="35" t="s">
        <v>462</v>
      </c>
      <c r="C1182" s="35" t="s">
        <v>405</v>
      </c>
      <c r="D1182" s="35" t="s">
        <v>463</v>
      </c>
      <c r="E1182" s="35" t="s">
        <v>593</v>
      </c>
      <c r="F1182" s="35" t="s">
        <v>390</v>
      </c>
      <c r="G1182" s="35" t="s">
        <v>335</v>
      </c>
    </row>
    <row r="1183" spans="1:8">
      <c r="A1183" s="34">
        <v>2084052892</v>
      </c>
      <c r="B1183" s="35" t="s">
        <v>462</v>
      </c>
      <c r="C1183" s="35" t="s">
        <v>405</v>
      </c>
      <c r="D1183" s="35" t="s">
        <v>463</v>
      </c>
      <c r="E1183" s="35" t="s">
        <v>593</v>
      </c>
      <c r="F1183" s="35" t="s">
        <v>353</v>
      </c>
      <c r="G1183" s="35" t="s">
        <v>367</v>
      </c>
    </row>
    <row r="1184" spans="1:8">
      <c r="A1184" s="34">
        <v>2084030703</v>
      </c>
      <c r="B1184" s="35" t="s">
        <v>462</v>
      </c>
      <c r="C1184" s="35" t="s">
        <v>405</v>
      </c>
      <c r="D1184" s="35" t="s">
        <v>463</v>
      </c>
      <c r="E1184" s="35" t="s">
        <v>593</v>
      </c>
      <c r="F1184" s="35" t="s">
        <v>353</v>
      </c>
      <c r="G1184" s="35" t="s">
        <v>481</v>
      </c>
    </row>
    <row r="1185" spans="1:7">
      <c r="A1185" s="34">
        <v>2084031601</v>
      </c>
      <c r="B1185" s="35" t="s">
        <v>462</v>
      </c>
      <c r="C1185" s="35" t="s">
        <v>405</v>
      </c>
      <c r="D1185" s="35" t="s">
        <v>463</v>
      </c>
      <c r="E1185" s="35" t="s">
        <v>593</v>
      </c>
      <c r="F1185" s="35" t="s">
        <v>353</v>
      </c>
      <c r="G1185" s="35" t="s">
        <v>483</v>
      </c>
    </row>
    <row r="1186" spans="1:7">
      <c r="A1186" s="34">
        <v>2084031481</v>
      </c>
      <c r="B1186" s="35" t="s">
        <v>462</v>
      </c>
      <c r="C1186" s="35" t="s">
        <v>405</v>
      </c>
      <c r="D1186" s="35" t="s">
        <v>463</v>
      </c>
      <c r="E1186" s="35" t="s">
        <v>593</v>
      </c>
      <c r="F1186" s="35" t="s">
        <v>353</v>
      </c>
      <c r="G1186" s="35" t="s">
        <v>482</v>
      </c>
    </row>
    <row r="1187" spans="1:7">
      <c r="A1187" s="34">
        <v>2084030253</v>
      </c>
      <c r="B1187" s="35" t="s">
        <v>462</v>
      </c>
      <c r="C1187" s="35" t="s">
        <v>405</v>
      </c>
      <c r="D1187" s="35" t="s">
        <v>463</v>
      </c>
      <c r="E1187" s="35" t="s">
        <v>593</v>
      </c>
      <c r="F1187" s="35" t="s">
        <v>353</v>
      </c>
      <c r="G1187" s="35" t="s">
        <v>493</v>
      </c>
    </row>
    <row r="1188" spans="1:7">
      <c r="A1188" s="34">
        <v>2084037235</v>
      </c>
      <c r="B1188" s="35" t="s">
        <v>462</v>
      </c>
      <c r="C1188" s="35" t="s">
        <v>405</v>
      </c>
      <c r="D1188" s="35" t="s">
        <v>463</v>
      </c>
      <c r="E1188" s="35" t="s">
        <v>593</v>
      </c>
      <c r="F1188" s="35" t="s">
        <v>353</v>
      </c>
      <c r="G1188" s="35" t="s">
        <v>494</v>
      </c>
    </row>
    <row r="1189" spans="1:7">
      <c r="A1189" s="34">
        <v>2084050822</v>
      </c>
      <c r="B1189" s="35" t="s">
        <v>462</v>
      </c>
      <c r="C1189" s="35" t="s">
        <v>405</v>
      </c>
      <c r="D1189" s="35" t="s">
        <v>463</v>
      </c>
      <c r="E1189" s="35" t="s">
        <v>593</v>
      </c>
      <c r="F1189" s="35" t="s">
        <v>353</v>
      </c>
      <c r="G1189" s="35" t="s">
        <v>403</v>
      </c>
    </row>
    <row r="1190" spans="1:7">
      <c r="A1190" s="34">
        <v>2084031495</v>
      </c>
      <c r="B1190" s="35" t="s">
        <v>462</v>
      </c>
      <c r="C1190" s="35" t="s">
        <v>405</v>
      </c>
      <c r="D1190" s="35" t="s">
        <v>463</v>
      </c>
      <c r="E1190" s="35" t="s">
        <v>593</v>
      </c>
      <c r="F1190" s="35" t="s">
        <v>353</v>
      </c>
      <c r="G1190" s="35" t="s">
        <v>397</v>
      </c>
    </row>
    <row r="1191" spans="1:7">
      <c r="A1191" s="34">
        <v>2084030403</v>
      </c>
      <c r="B1191" s="35" t="s">
        <v>462</v>
      </c>
      <c r="C1191" s="35" t="s">
        <v>405</v>
      </c>
      <c r="D1191" s="35" t="s">
        <v>463</v>
      </c>
      <c r="E1191" s="35" t="s">
        <v>593</v>
      </c>
      <c r="F1191" s="35" t="s">
        <v>353</v>
      </c>
      <c r="G1191" s="35" t="s">
        <v>421</v>
      </c>
    </row>
    <row r="1192" spans="1:7">
      <c r="A1192" s="34">
        <v>2084031571</v>
      </c>
      <c r="B1192" s="35" t="s">
        <v>462</v>
      </c>
      <c r="C1192" s="35" t="s">
        <v>405</v>
      </c>
      <c r="D1192" s="35" t="s">
        <v>463</v>
      </c>
      <c r="E1192" s="35" t="s">
        <v>593</v>
      </c>
      <c r="F1192" s="35" t="s">
        <v>353</v>
      </c>
      <c r="G1192" s="35" t="s">
        <v>398</v>
      </c>
    </row>
    <row r="1193" spans="1:7">
      <c r="A1193" s="34">
        <v>2084030342</v>
      </c>
      <c r="B1193" s="35" t="s">
        <v>462</v>
      </c>
      <c r="C1193" s="35" t="s">
        <v>405</v>
      </c>
      <c r="D1193" s="35" t="s">
        <v>463</v>
      </c>
      <c r="E1193" s="35" t="s">
        <v>593</v>
      </c>
      <c r="F1193" s="35" t="s">
        <v>353</v>
      </c>
      <c r="G1193" s="35" t="s">
        <v>422</v>
      </c>
    </row>
    <row r="1194" spans="1:7">
      <c r="A1194" s="34">
        <v>2084053588</v>
      </c>
      <c r="B1194" s="35" t="s">
        <v>462</v>
      </c>
      <c r="C1194" s="35" t="s">
        <v>405</v>
      </c>
      <c r="D1194" s="35" t="s">
        <v>463</v>
      </c>
      <c r="E1194" s="35" t="s">
        <v>593</v>
      </c>
      <c r="F1194" s="35" t="s">
        <v>353</v>
      </c>
      <c r="G1194" s="35" t="s">
        <v>549</v>
      </c>
    </row>
    <row r="1195" spans="1:7">
      <c r="A1195" s="34">
        <v>2084050823</v>
      </c>
      <c r="B1195" s="35" t="s">
        <v>462</v>
      </c>
      <c r="C1195" s="35" t="s">
        <v>405</v>
      </c>
      <c r="D1195" s="35" t="s">
        <v>463</v>
      </c>
      <c r="E1195" s="35" t="s">
        <v>593</v>
      </c>
      <c r="F1195" s="35" t="s">
        <v>353</v>
      </c>
      <c r="G1195" s="35" t="s">
        <v>335</v>
      </c>
    </row>
    <row r="1196" spans="1:7">
      <c r="A1196" s="34">
        <v>2084033992</v>
      </c>
      <c r="B1196" s="35" t="s">
        <v>462</v>
      </c>
      <c r="C1196" s="35" t="s">
        <v>405</v>
      </c>
      <c r="D1196" s="35" t="s">
        <v>463</v>
      </c>
      <c r="E1196" s="35" t="s">
        <v>593</v>
      </c>
      <c r="F1196" s="35" t="s">
        <v>442</v>
      </c>
      <c r="G1196" s="35" t="s">
        <v>537</v>
      </c>
    </row>
    <row r="1197" spans="1:7">
      <c r="A1197" s="34">
        <v>2084031392</v>
      </c>
      <c r="B1197" s="35" t="s">
        <v>462</v>
      </c>
      <c r="C1197" s="35" t="s">
        <v>405</v>
      </c>
      <c r="D1197" s="35" t="s">
        <v>463</v>
      </c>
      <c r="E1197" s="35" t="s">
        <v>593</v>
      </c>
      <c r="F1197" s="35" t="s">
        <v>442</v>
      </c>
      <c r="G1197" s="35" t="s">
        <v>569</v>
      </c>
    </row>
    <row r="1198" spans="1:7">
      <c r="A1198" s="34">
        <v>2084050824</v>
      </c>
      <c r="B1198" s="35" t="s">
        <v>462</v>
      </c>
      <c r="C1198" s="35" t="s">
        <v>405</v>
      </c>
      <c r="D1198" s="35" t="s">
        <v>463</v>
      </c>
      <c r="E1198" s="35" t="s">
        <v>593</v>
      </c>
      <c r="F1198" s="35" t="s">
        <v>442</v>
      </c>
      <c r="G1198" s="35" t="s">
        <v>335</v>
      </c>
    </row>
    <row r="1199" spans="1:7">
      <c r="A1199" s="34">
        <v>2084048652</v>
      </c>
      <c r="B1199" s="35" t="s">
        <v>462</v>
      </c>
      <c r="C1199" s="35" t="s">
        <v>405</v>
      </c>
      <c r="D1199" s="35" t="s">
        <v>463</v>
      </c>
      <c r="E1199" s="35" t="s">
        <v>593</v>
      </c>
      <c r="F1199" s="35" t="s">
        <v>335</v>
      </c>
    </row>
    <row r="1200" spans="1:7">
      <c r="A1200" s="34">
        <v>2084283079</v>
      </c>
      <c r="B1200" s="35" t="s">
        <v>462</v>
      </c>
      <c r="C1200" s="35" t="s">
        <v>405</v>
      </c>
      <c r="D1200" s="35" t="s">
        <v>463</v>
      </c>
      <c r="E1200" s="35" t="s">
        <v>594</v>
      </c>
      <c r="F1200" s="35" t="s">
        <v>407</v>
      </c>
    </row>
    <row r="1201" spans="1:8">
      <c r="A1201" s="34">
        <v>2084283078</v>
      </c>
      <c r="B1201" s="35" t="s">
        <v>462</v>
      </c>
      <c r="C1201" s="35" t="s">
        <v>405</v>
      </c>
      <c r="D1201" s="35" t="s">
        <v>463</v>
      </c>
      <c r="E1201" s="35" t="s">
        <v>594</v>
      </c>
      <c r="F1201" s="35" t="s">
        <v>408</v>
      </c>
    </row>
    <row r="1202" spans="1:8">
      <c r="A1202" s="34">
        <v>2084056454</v>
      </c>
      <c r="B1202" s="35" t="s">
        <v>462</v>
      </c>
      <c r="C1202" s="35" t="s">
        <v>405</v>
      </c>
      <c r="D1202" s="35" t="s">
        <v>463</v>
      </c>
      <c r="E1202" s="35" t="s">
        <v>595</v>
      </c>
      <c r="F1202" s="35" t="s">
        <v>390</v>
      </c>
      <c r="G1202" s="35" t="s">
        <v>367</v>
      </c>
    </row>
    <row r="1203" spans="1:8">
      <c r="A1203" s="34">
        <v>2084056455</v>
      </c>
      <c r="B1203" s="35" t="s">
        <v>462</v>
      </c>
      <c r="C1203" s="35" t="s">
        <v>405</v>
      </c>
      <c r="D1203" s="35" t="s">
        <v>463</v>
      </c>
      <c r="E1203" s="35" t="s">
        <v>595</v>
      </c>
      <c r="F1203" s="35" t="s">
        <v>390</v>
      </c>
      <c r="G1203" s="35" t="s">
        <v>401</v>
      </c>
    </row>
    <row r="1204" spans="1:8">
      <c r="A1204" s="34">
        <v>2084056461</v>
      </c>
      <c r="B1204" s="35" t="s">
        <v>462</v>
      </c>
      <c r="C1204" s="35" t="s">
        <v>405</v>
      </c>
      <c r="D1204" s="35" t="s">
        <v>463</v>
      </c>
      <c r="E1204" s="35" t="s">
        <v>595</v>
      </c>
      <c r="F1204" s="35" t="s">
        <v>390</v>
      </c>
      <c r="G1204" s="35" t="s">
        <v>10</v>
      </c>
      <c r="H1204" s="35" t="s">
        <v>483</v>
      </c>
    </row>
    <row r="1205" spans="1:8">
      <c r="A1205" s="34">
        <v>2084056458</v>
      </c>
      <c r="B1205" s="35" t="s">
        <v>462</v>
      </c>
      <c r="C1205" s="35" t="s">
        <v>405</v>
      </c>
      <c r="D1205" s="35" t="s">
        <v>463</v>
      </c>
      <c r="E1205" s="35" t="s">
        <v>595</v>
      </c>
      <c r="F1205" s="35" t="s">
        <v>390</v>
      </c>
      <c r="G1205" s="35" t="s">
        <v>10</v>
      </c>
      <c r="H1205" s="35" t="s">
        <v>397</v>
      </c>
    </row>
    <row r="1206" spans="1:8">
      <c r="A1206" s="34">
        <v>2084056460</v>
      </c>
      <c r="B1206" s="35" t="s">
        <v>462</v>
      </c>
      <c r="C1206" s="35" t="s">
        <v>405</v>
      </c>
      <c r="D1206" s="35" t="s">
        <v>463</v>
      </c>
      <c r="E1206" s="35" t="s">
        <v>595</v>
      </c>
      <c r="F1206" s="35" t="s">
        <v>390</v>
      </c>
      <c r="G1206" s="35" t="s">
        <v>10</v>
      </c>
      <c r="H1206" s="35" t="s">
        <v>421</v>
      </c>
    </row>
    <row r="1207" spans="1:8">
      <c r="A1207" s="34">
        <v>2084056457</v>
      </c>
      <c r="B1207" s="35" t="s">
        <v>462</v>
      </c>
      <c r="C1207" s="35" t="s">
        <v>405</v>
      </c>
      <c r="D1207" s="35" t="s">
        <v>463</v>
      </c>
      <c r="E1207" s="35" t="s">
        <v>595</v>
      </c>
      <c r="F1207" s="35" t="s">
        <v>390</v>
      </c>
      <c r="G1207" s="35" t="s">
        <v>10</v>
      </c>
      <c r="H1207" s="35" t="s">
        <v>398</v>
      </c>
    </row>
    <row r="1208" spans="1:8">
      <c r="A1208" s="34">
        <v>2084056459</v>
      </c>
      <c r="B1208" s="35" t="s">
        <v>462</v>
      </c>
      <c r="C1208" s="35" t="s">
        <v>405</v>
      </c>
      <c r="D1208" s="35" t="s">
        <v>463</v>
      </c>
      <c r="E1208" s="35" t="s">
        <v>595</v>
      </c>
      <c r="F1208" s="35" t="s">
        <v>390</v>
      </c>
      <c r="G1208" s="35" t="s">
        <v>10</v>
      </c>
      <c r="H1208" s="35" t="s">
        <v>422</v>
      </c>
    </row>
    <row r="1209" spans="1:8">
      <c r="A1209" s="34">
        <v>2084056462</v>
      </c>
      <c r="B1209" s="35" t="s">
        <v>462</v>
      </c>
      <c r="C1209" s="35" t="s">
        <v>405</v>
      </c>
      <c r="D1209" s="35" t="s">
        <v>463</v>
      </c>
      <c r="E1209" s="35" t="s">
        <v>595</v>
      </c>
      <c r="F1209" s="35" t="s">
        <v>390</v>
      </c>
      <c r="G1209" s="35" t="s">
        <v>10</v>
      </c>
      <c r="H1209" s="35" t="s">
        <v>335</v>
      </c>
    </row>
    <row r="1210" spans="1:8">
      <c r="A1210" s="34">
        <v>2084056464</v>
      </c>
      <c r="B1210" s="35" t="s">
        <v>462</v>
      </c>
      <c r="C1210" s="35" t="s">
        <v>405</v>
      </c>
      <c r="D1210" s="35" t="s">
        <v>463</v>
      </c>
      <c r="E1210" s="35" t="s">
        <v>595</v>
      </c>
      <c r="F1210" s="35" t="s">
        <v>390</v>
      </c>
      <c r="G1210" s="35" t="s">
        <v>379</v>
      </c>
      <c r="H1210" s="35" t="s">
        <v>476</v>
      </c>
    </row>
    <row r="1211" spans="1:8">
      <c r="A1211" s="34">
        <v>2084056465</v>
      </c>
      <c r="B1211" s="35" t="s">
        <v>462</v>
      </c>
      <c r="C1211" s="35" t="s">
        <v>405</v>
      </c>
      <c r="D1211" s="35" t="s">
        <v>463</v>
      </c>
      <c r="E1211" s="35" t="s">
        <v>595</v>
      </c>
      <c r="F1211" s="35" t="s">
        <v>390</v>
      </c>
      <c r="G1211" s="35" t="s">
        <v>379</v>
      </c>
      <c r="H1211" s="35" t="s">
        <v>335</v>
      </c>
    </row>
    <row r="1212" spans="1:8">
      <c r="A1212" s="34">
        <v>2084056466</v>
      </c>
      <c r="B1212" s="35" t="s">
        <v>462</v>
      </c>
      <c r="C1212" s="35" t="s">
        <v>405</v>
      </c>
      <c r="D1212" s="35" t="s">
        <v>463</v>
      </c>
      <c r="E1212" s="35" t="s">
        <v>595</v>
      </c>
      <c r="F1212" s="35" t="s">
        <v>390</v>
      </c>
      <c r="G1212" s="35" t="s">
        <v>335</v>
      </c>
    </row>
    <row r="1213" spans="1:8">
      <c r="A1213" s="34">
        <v>2084056442</v>
      </c>
      <c r="B1213" s="35" t="s">
        <v>462</v>
      </c>
      <c r="C1213" s="35" t="s">
        <v>405</v>
      </c>
      <c r="D1213" s="35" t="s">
        <v>463</v>
      </c>
      <c r="E1213" s="35" t="s">
        <v>595</v>
      </c>
      <c r="F1213" s="35" t="s">
        <v>353</v>
      </c>
      <c r="G1213" s="35" t="s">
        <v>367</v>
      </c>
    </row>
    <row r="1214" spans="1:8">
      <c r="A1214" s="34">
        <v>2084056443</v>
      </c>
      <c r="B1214" s="35" t="s">
        <v>462</v>
      </c>
      <c r="C1214" s="35" t="s">
        <v>405</v>
      </c>
      <c r="D1214" s="35" t="s">
        <v>463</v>
      </c>
      <c r="E1214" s="35" t="s">
        <v>595</v>
      </c>
      <c r="F1214" s="35" t="s">
        <v>353</v>
      </c>
      <c r="G1214" s="35" t="s">
        <v>401</v>
      </c>
    </row>
    <row r="1215" spans="1:8">
      <c r="A1215" s="34">
        <v>2084056449</v>
      </c>
      <c r="B1215" s="35" t="s">
        <v>462</v>
      </c>
      <c r="C1215" s="35" t="s">
        <v>405</v>
      </c>
      <c r="D1215" s="35" t="s">
        <v>463</v>
      </c>
      <c r="E1215" s="35" t="s">
        <v>595</v>
      </c>
      <c r="F1215" s="35" t="s">
        <v>353</v>
      </c>
      <c r="G1215" s="35" t="s">
        <v>10</v>
      </c>
      <c r="H1215" s="35" t="s">
        <v>483</v>
      </c>
    </row>
    <row r="1216" spans="1:8">
      <c r="A1216" s="34">
        <v>2084056446</v>
      </c>
      <c r="B1216" s="35" t="s">
        <v>462</v>
      </c>
      <c r="C1216" s="35" t="s">
        <v>405</v>
      </c>
      <c r="D1216" s="35" t="s">
        <v>463</v>
      </c>
      <c r="E1216" s="35" t="s">
        <v>595</v>
      </c>
      <c r="F1216" s="35" t="s">
        <v>353</v>
      </c>
      <c r="G1216" s="35" t="s">
        <v>10</v>
      </c>
      <c r="H1216" s="35" t="s">
        <v>397</v>
      </c>
    </row>
    <row r="1217" spans="1:8">
      <c r="A1217" s="34">
        <v>2084056448</v>
      </c>
      <c r="B1217" s="35" t="s">
        <v>462</v>
      </c>
      <c r="C1217" s="35" t="s">
        <v>405</v>
      </c>
      <c r="D1217" s="35" t="s">
        <v>463</v>
      </c>
      <c r="E1217" s="35" t="s">
        <v>595</v>
      </c>
      <c r="F1217" s="35" t="s">
        <v>353</v>
      </c>
      <c r="G1217" s="35" t="s">
        <v>10</v>
      </c>
      <c r="H1217" s="35" t="s">
        <v>421</v>
      </c>
    </row>
    <row r="1218" spans="1:8">
      <c r="A1218" s="34">
        <v>2084056445</v>
      </c>
      <c r="B1218" s="35" t="s">
        <v>462</v>
      </c>
      <c r="C1218" s="35" t="s">
        <v>405</v>
      </c>
      <c r="D1218" s="35" t="s">
        <v>463</v>
      </c>
      <c r="E1218" s="35" t="s">
        <v>595</v>
      </c>
      <c r="F1218" s="35" t="s">
        <v>353</v>
      </c>
      <c r="G1218" s="35" t="s">
        <v>10</v>
      </c>
      <c r="H1218" s="35" t="s">
        <v>398</v>
      </c>
    </row>
    <row r="1219" spans="1:8">
      <c r="A1219" s="34">
        <v>2084056447</v>
      </c>
      <c r="B1219" s="35" t="s">
        <v>462</v>
      </c>
      <c r="C1219" s="35" t="s">
        <v>405</v>
      </c>
      <c r="D1219" s="35" t="s">
        <v>463</v>
      </c>
      <c r="E1219" s="35" t="s">
        <v>595</v>
      </c>
      <c r="F1219" s="35" t="s">
        <v>353</v>
      </c>
      <c r="G1219" s="35" t="s">
        <v>10</v>
      </c>
      <c r="H1219" s="35" t="s">
        <v>422</v>
      </c>
    </row>
    <row r="1220" spans="1:8">
      <c r="A1220" s="34">
        <v>2084056450</v>
      </c>
      <c r="B1220" s="35" t="s">
        <v>462</v>
      </c>
      <c r="C1220" s="35" t="s">
        <v>405</v>
      </c>
      <c r="D1220" s="35" t="s">
        <v>463</v>
      </c>
      <c r="E1220" s="35" t="s">
        <v>595</v>
      </c>
      <c r="F1220" s="35" t="s">
        <v>353</v>
      </c>
      <c r="G1220" s="35" t="s">
        <v>10</v>
      </c>
      <c r="H1220" s="35" t="s">
        <v>335</v>
      </c>
    </row>
    <row r="1221" spans="1:8">
      <c r="A1221" s="34">
        <v>2084056451</v>
      </c>
      <c r="B1221" s="35" t="s">
        <v>462</v>
      </c>
      <c r="C1221" s="35" t="s">
        <v>405</v>
      </c>
      <c r="D1221" s="35" t="s">
        <v>463</v>
      </c>
      <c r="E1221" s="35" t="s">
        <v>595</v>
      </c>
      <c r="F1221" s="35" t="s">
        <v>353</v>
      </c>
      <c r="G1221" s="35" t="s">
        <v>403</v>
      </c>
    </row>
    <row r="1222" spans="1:8">
      <c r="A1222" s="34">
        <v>2084056452</v>
      </c>
      <c r="B1222" s="35" t="s">
        <v>462</v>
      </c>
      <c r="C1222" s="35" t="s">
        <v>405</v>
      </c>
      <c r="D1222" s="35" t="s">
        <v>463</v>
      </c>
      <c r="E1222" s="35" t="s">
        <v>595</v>
      </c>
      <c r="F1222" s="35" t="s">
        <v>353</v>
      </c>
      <c r="G1222" s="35" t="s">
        <v>335</v>
      </c>
    </row>
    <row r="1223" spans="1:8">
      <c r="A1223" s="34">
        <v>2084056467</v>
      </c>
      <c r="B1223" s="35" t="s">
        <v>462</v>
      </c>
      <c r="C1223" s="35" t="s">
        <v>405</v>
      </c>
      <c r="D1223" s="35" t="s">
        <v>463</v>
      </c>
      <c r="E1223" s="35" t="s">
        <v>595</v>
      </c>
      <c r="F1223" s="35" t="s">
        <v>335</v>
      </c>
    </row>
    <row r="1224" spans="1:8">
      <c r="A1224" s="34">
        <v>2084199093</v>
      </c>
      <c r="B1224" s="35" t="s">
        <v>462</v>
      </c>
      <c r="C1224" s="35" t="s">
        <v>405</v>
      </c>
      <c r="D1224" s="35" t="s">
        <v>463</v>
      </c>
      <c r="E1224" s="35" t="s">
        <v>596</v>
      </c>
      <c r="F1224" s="35" t="s">
        <v>407</v>
      </c>
    </row>
    <row r="1225" spans="1:8">
      <c r="A1225" s="34">
        <v>2084199092</v>
      </c>
      <c r="B1225" s="35" t="s">
        <v>462</v>
      </c>
      <c r="C1225" s="35" t="s">
        <v>405</v>
      </c>
      <c r="D1225" s="35" t="s">
        <v>463</v>
      </c>
      <c r="E1225" s="35" t="s">
        <v>596</v>
      </c>
      <c r="F1225" s="35" t="s">
        <v>408</v>
      </c>
    </row>
    <row r="1226" spans="1:8">
      <c r="A1226" s="34">
        <v>2084199094</v>
      </c>
      <c r="B1226" s="35" t="s">
        <v>462</v>
      </c>
      <c r="C1226" s="35" t="s">
        <v>405</v>
      </c>
      <c r="D1226" s="35" t="s">
        <v>463</v>
      </c>
      <c r="E1226" s="35" t="s">
        <v>596</v>
      </c>
      <c r="F1226" s="35" t="s">
        <v>597</v>
      </c>
    </row>
    <row r="1227" spans="1:8">
      <c r="A1227" s="34">
        <v>2084199095</v>
      </c>
      <c r="B1227" s="35" t="s">
        <v>462</v>
      </c>
      <c r="C1227" s="35" t="s">
        <v>405</v>
      </c>
      <c r="D1227" s="35" t="s">
        <v>463</v>
      </c>
      <c r="E1227" s="35" t="s">
        <v>596</v>
      </c>
      <c r="F1227" s="35" t="s">
        <v>335</v>
      </c>
    </row>
    <row r="1228" spans="1:8">
      <c r="A1228" s="34">
        <v>2084298364</v>
      </c>
      <c r="B1228" s="35" t="s">
        <v>462</v>
      </c>
      <c r="C1228" s="35" t="s">
        <v>405</v>
      </c>
      <c r="D1228" s="35" t="s">
        <v>463</v>
      </c>
      <c r="E1228" s="35" t="s">
        <v>598</v>
      </c>
      <c r="F1228" s="35" t="s">
        <v>407</v>
      </c>
    </row>
    <row r="1229" spans="1:8">
      <c r="A1229" s="34">
        <v>2084298365</v>
      </c>
      <c r="B1229" s="35" t="s">
        <v>462</v>
      </c>
      <c r="C1229" s="35" t="s">
        <v>405</v>
      </c>
      <c r="D1229" s="35" t="s">
        <v>463</v>
      </c>
      <c r="E1229" s="35" t="s">
        <v>598</v>
      </c>
      <c r="F1229" s="35" t="s">
        <v>408</v>
      </c>
    </row>
    <row r="1230" spans="1:8">
      <c r="A1230" s="34">
        <v>2084199159</v>
      </c>
      <c r="B1230" s="35" t="s">
        <v>462</v>
      </c>
      <c r="C1230" s="35" t="s">
        <v>405</v>
      </c>
      <c r="D1230" s="35" t="s">
        <v>463</v>
      </c>
      <c r="E1230" s="35" t="s">
        <v>599</v>
      </c>
      <c r="F1230" s="35" t="s">
        <v>407</v>
      </c>
    </row>
    <row r="1231" spans="1:8">
      <c r="A1231" s="34">
        <v>2084199158</v>
      </c>
      <c r="B1231" s="35" t="s">
        <v>462</v>
      </c>
      <c r="C1231" s="35" t="s">
        <v>405</v>
      </c>
      <c r="D1231" s="35" t="s">
        <v>463</v>
      </c>
      <c r="E1231" s="35" t="s">
        <v>599</v>
      </c>
      <c r="F1231" s="35" t="s">
        <v>408</v>
      </c>
    </row>
    <row r="1232" spans="1:8">
      <c r="A1232" s="34">
        <v>2084199160</v>
      </c>
      <c r="B1232" s="35" t="s">
        <v>462</v>
      </c>
      <c r="C1232" s="35" t="s">
        <v>405</v>
      </c>
      <c r="D1232" s="35" t="s">
        <v>463</v>
      </c>
      <c r="E1232" s="35" t="s">
        <v>599</v>
      </c>
      <c r="F1232" s="35" t="s">
        <v>335</v>
      </c>
    </row>
    <row r="1233" spans="1:8">
      <c r="A1233" s="34">
        <v>2084255834</v>
      </c>
      <c r="B1233" s="35" t="s">
        <v>462</v>
      </c>
      <c r="C1233" s="35" t="s">
        <v>405</v>
      </c>
      <c r="D1233" s="35" t="s">
        <v>463</v>
      </c>
      <c r="E1233" s="35" t="s">
        <v>600</v>
      </c>
    </row>
    <row r="1234" spans="1:8">
      <c r="A1234" s="34">
        <v>2084246117</v>
      </c>
      <c r="B1234" s="35" t="s">
        <v>462</v>
      </c>
      <c r="C1234" s="35" t="s">
        <v>405</v>
      </c>
      <c r="D1234" s="35" t="s">
        <v>463</v>
      </c>
      <c r="E1234" s="35" t="s">
        <v>601</v>
      </c>
    </row>
    <row r="1235" spans="1:8">
      <c r="A1235" s="34">
        <v>2084283082</v>
      </c>
      <c r="B1235" s="35" t="s">
        <v>462</v>
      </c>
      <c r="C1235" s="35" t="s">
        <v>405</v>
      </c>
      <c r="D1235" s="35" t="s">
        <v>463</v>
      </c>
      <c r="E1235" s="35" t="s">
        <v>602</v>
      </c>
    </row>
    <row r="1236" spans="1:8">
      <c r="A1236" s="34">
        <v>2084315870</v>
      </c>
      <c r="B1236" s="35" t="s">
        <v>462</v>
      </c>
      <c r="C1236" s="35" t="s">
        <v>405</v>
      </c>
      <c r="D1236" s="35" t="s">
        <v>463</v>
      </c>
      <c r="E1236" s="35" t="s">
        <v>603</v>
      </c>
    </row>
    <row r="1237" spans="1:8">
      <c r="A1237" s="34">
        <v>2084259912</v>
      </c>
      <c r="B1237" s="35" t="s">
        <v>462</v>
      </c>
      <c r="C1237" s="35" t="s">
        <v>405</v>
      </c>
      <c r="D1237" s="35" t="s">
        <v>463</v>
      </c>
      <c r="E1237" s="35" t="s">
        <v>604</v>
      </c>
    </row>
    <row r="1238" spans="1:8">
      <c r="A1238" s="34">
        <v>2084308664</v>
      </c>
      <c r="B1238" s="35" t="s">
        <v>462</v>
      </c>
      <c r="C1238" s="35" t="s">
        <v>405</v>
      </c>
      <c r="D1238" s="35" t="s">
        <v>463</v>
      </c>
      <c r="E1238" s="35" t="s">
        <v>605</v>
      </c>
      <c r="F1238" s="35" t="s">
        <v>475</v>
      </c>
    </row>
    <row r="1239" spans="1:8">
      <c r="A1239" s="34">
        <v>2084308666</v>
      </c>
      <c r="B1239" s="35" t="s">
        <v>462</v>
      </c>
      <c r="C1239" s="35" t="s">
        <v>405</v>
      </c>
      <c r="D1239" s="35" t="s">
        <v>463</v>
      </c>
      <c r="E1239" s="35" t="s">
        <v>605</v>
      </c>
      <c r="F1239" s="35" t="s">
        <v>402</v>
      </c>
    </row>
    <row r="1240" spans="1:8">
      <c r="A1240" s="34">
        <v>2084308665</v>
      </c>
      <c r="B1240" s="35" t="s">
        <v>462</v>
      </c>
      <c r="C1240" s="35" t="s">
        <v>405</v>
      </c>
      <c r="D1240" s="35" t="s">
        <v>463</v>
      </c>
      <c r="E1240" s="35" t="s">
        <v>605</v>
      </c>
      <c r="F1240" s="35" t="s">
        <v>478</v>
      </c>
    </row>
    <row r="1241" spans="1:8">
      <c r="A1241" s="34">
        <v>2084308667</v>
      </c>
      <c r="B1241" s="35" t="s">
        <v>462</v>
      </c>
      <c r="C1241" s="35" t="s">
        <v>405</v>
      </c>
      <c r="D1241" s="35" t="s">
        <v>463</v>
      </c>
      <c r="E1241" s="35" t="s">
        <v>605</v>
      </c>
      <c r="F1241" s="35" t="s">
        <v>476</v>
      </c>
    </row>
    <row r="1242" spans="1:8">
      <c r="A1242" s="34">
        <v>2084308668</v>
      </c>
      <c r="B1242" s="35" t="s">
        <v>462</v>
      </c>
      <c r="C1242" s="35" t="s">
        <v>405</v>
      </c>
      <c r="D1242" s="35" t="s">
        <v>463</v>
      </c>
      <c r="E1242" s="35" t="s">
        <v>605</v>
      </c>
      <c r="F1242" s="35" t="s">
        <v>606</v>
      </c>
    </row>
    <row r="1243" spans="1:8">
      <c r="A1243" s="34">
        <v>2084308669</v>
      </c>
      <c r="B1243" s="35" t="s">
        <v>462</v>
      </c>
      <c r="C1243" s="35" t="s">
        <v>405</v>
      </c>
      <c r="D1243" s="35" t="s">
        <v>463</v>
      </c>
      <c r="E1243" s="35" t="s">
        <v>605</v>
      </c>
      <c r="F1243" s="35" t="s">
        <v>335</v>
      </c>
    </row>
    <row r="1244" spans="1:8">
      <c r="A1244" s="34">
        <v>2084229912</v>
      </c>
      <c r="B1244" s="35" t="s">
        <v>462</v>
      </c>
      <c r="C1244" s="35" t="s">
        <v>405</v>
      </c>
      <c r="D1244" s="35" t="s">
        <v>463</v>
      </c>
      <c r="E1244" s="35" t="s">
        <v>607</v>
      </c>
    </row>
    <row r="1245" spans="1:8">
      <c r="A1245" s="34">
        <v>2084028224</v>
      </c>
      <c r="B1245" s="35" t="s">
        <v>462</v>
      </c>
      <c r="C1245" s="35" t="s">
        <v>405</v>
      </c>
      <c r="D1245" s="35" t="s">
        <v>463</v>
      </c>
      <c r="E1245" s="35" t="s">
        <v>608</v>
      </c>
      <c r="F1245" s="35" t="s">
        <v>390</v>
      </c>
      <c r="G1245" s="35" t="s">
        <v>367</v>
      </c>
    </row>
    <row r="1246" spans="1:8">
      <c r="A1246" s="34">
        <v>2084028776</v>
      </c>
      <c r="B1246" s="35" t="s">
        <v>462</v>
      </c>
      <c r="C1246" s="35" t="s">
        <v>405</v>
      </c>
      <c r="D1246" s="35" t="s">
        <v>463</v>
      </c>
      <c r="E1246" s="35" t="s">
        <v>608</v>
      </c>
      <c r="F1246" s="35" t="s">
        <v>390</v>
      </c>
      <c r="G1246" s="35" t="s">
        <v>368</v>
      </c>
      <c r="H1246" s="35" t="s">
        <v>508</v>
      </c>
    </row>
    <row r="1247" spans="1:8">
      <c r="A1247" s="34">
        <v>2084029309</v>
      </c>
      <c r="B1247" s="35" t="s">
        <v>462</v>
      </c>
      <c r="C1247" s="35" t="s">
        <v>405</v>
      </c>
      <c r="D1247" s="35" t="s">
        <v>463</v>
      </c>
      <c r="E1247" s="35" t="s">
        <v>608</v>
      </c>
      <c r="F1247" s="35" t="s">
        <v>390</v>
      </c>
      <c r="G1247" s="35" t="s">
        <v>368</v>
      </c>
      <c r="H1247" s="35" t="s">
        <v>481</v>
      </c>
    </row>
    <row r="1248" spans="1:8">
      <c r="A1248" s="34">
        <v>2084029886</v>
      </c>
      <c r="B1248" s="35" t="s">
        <v>462</v>
      </c>
      <c r="C1248" s="35" t="s">
        <v>405</v>
      </c>
      <c r="D1248" s="35" t="s">
        <v>463</v>
      </c>
      <c r="E1248" s="35" t="s">
        <v>608</v>
      </c>
      <c r="F1248" s="35" t="s">
        <v>390</v>
      </c>
      <c r="G1248" s="35" t="s">
        <v>368</v>
      </c>
      <c r="H1248" s="35" t="s">
        <v>494</v>
      </c>
    </row>
    <row r="1249" spans="1:8">
      <c r="A1249" s="34">
        <v>2084058677</v>
      </c>
      <c r="B1249" s="35" t="s">
        <v>462</v>
      </c>
      <c r="C1249" s="35" t="s">
        <v>405</v>
      </c>
      <c r="D1249" s="35" t="s">
        <v>463</v>
      </c>
      <c r="E1249" s="35" t="s">
        <v>608</v>
      </c>
      <c r="F1249" s="35" t="s">
        <v>390</v>
      </c>
      <c r="G1249" s="35" t="s">
        <v>368</v>
      </c>
      <c r="H1249" s="35" t="s">
        <v>335</v>
      </c>
    </row>
    <row r="1250" spans="1:8">
      <c r="A1250" s="34">
        <v>2084027325</v>
      </c>
      <c r="B1250" s="35" t="s">
        <v>462</v>
      </c>
      <c r="C1250" s="35" t="s">
        <v>405</v>
      </c>
      <c r="D1250" s="35" t="s">
        <v>463</v>
      </c>
      <c r="E1250" s="35" t="s">
        <v>608</v>
      </c>
      <c r="F1250" s="35" t="s">
        <v>390</v>
      </c>
      <c r="G1250" s="35" t="s">
        <v>10</v>
      </c>
      <c r="H1250" s="35" t="s">
        <v>509</v>
      </c>
    </row>
    <row r="1251" spans="1:8">
      <c r="A1251" s="34">
        <v>2084027818</v>
      </c>
      <c r="B1251" s="35" t="s">
        <v>462</v>
      </c>
      <c r="C1251" s="35" t="s">
        <v>405</v>
      </c>
      <c r="D1251" s="35" t="s">
        <v>463</v>
      </c>
      <c r="E1251" s="35" t="s">
        <v>608</v>
      </c>
      <c r="F1251" s="35" t="s">
        <v>390</v>
      </c>
      <c r="G1251" s="35" t="s">
        <v>10</v>
      </c>
      <c r="H1251" s="35" t="s">
        <v>510</v>
      </c>
    </row>
    <row r="1252" spans="1:8">
      <c r="A1252" s="34">
        <v>2084027850</v>
      </c>
      <c r="B1252" s="35" t="s">
        <v>462</v>
      </c>
      <c r="C1252" s="35" t="s">
        <v>405</v>
      </c>
      <c r="D1252" s="35" t="s">
        <v>463</v>
      </c>
      <c r="E1252" s="35" t="s">
        <v>608</v>
      </c>
      <c r="F1252" s="35" t="s">
        <v>390</v>
      </c>
      <c r="G1252" s="35" t="s">
        <v>10</v>
      </c>
      <c r="H1252" s="35" t="s">
        <v>511</v>
      </c>
    </row>
    <row r="1253" spans="1:8">
      <c r="A1253" s="34">
        <v>2084027930</v>
      </c>
      <c r="B1253" s="35" t="s">
        <v>462</v>
      </c>
      <c r="C1253" s="35" t="s">
        <v>405</v>
      </c>
      <c r="D1253" s="35" t="s">
        <v>463</v>
      </c>
      <c r="E1253" s="35" t="s">
        <v>608</v>
      </c>
      <c r="F1253" s="35" t="s">
        <v>390</v>
      </c>
      <c r="G1253" s="35" t="s">
        <v>10</v>
      </c>
      <c r="H1253" s="35" t="s">
        <v>493</v>
      </c>
    </row>
    <row r="1254" spans="1:8">
      <c r="A1254" s="34">
        <v>2084027449</v>
      </c>
      <c r="B1254" s="35" t="s">
        <v>462</v>
      </c>
      <c r="C1254" s="35" t="s">
        <v>405</v>
      </c>
      <c r="D1254" s="35" t="s">
        <v>463</v>
      </c>
      <c r="E1254" s="35" t="s">
        <v>608</v>
      </c>
      <c r="F1254" s="35" t="s">
        <v>390</v>
      </c>
      <c r="G1254" s="35" t="s">
        <v>10</v>
      </c>
      <c r="H1254" s="35" t="s">
        <v>512</v>
      </c>
    </row>
    <row r="1255" spans="1:8">
      <c r="A1255" s="34">
        <v>2084027616</v>
      </c>
      <c r="B1255" s="35" t="s">
        <v>462</v>
      </c>
      <c r="C1255" s="35" t="s">
        <v>405</v>
      </c>
      <c r="D1255" s="35" t="s">
        <v>463</v>
      </c>
      <c r="E1255" s="35" t="s">
        <v>608</v>
      </c>
      <c r="F1255" s="35" t="s">
        <v>390</v>
      </c>
      <c r="G1255" s="35" t="s">
        <v>10</v>
      </c>
      <c r="H1255" s="35" t="s">
        <v>513</v>
      </c>
    </row>
    <row r="1256" spans="1:8">
      <c r="A1256" s="34">
        <v>2084027986</v>
      </c>
      <c r="B1256" s="35" t="s">
        <v>462</v>
      </c>
      <c r="C1256" s="35" t="s">
        <v>405</v>
      </c>
      <c r="D1256" s="35" t="s">
        <v>463</v>
      </c>
      <c r="E1256" s="35" t="s">
        <v>608</v>
      </c>
      <c r="F1256" s="35" t="s">
        <v>390</v>
      </c>
      <c r="G1256" s="35" t="s">
        <v>10</v>
      </c>
      <c r="H1256" s="35" t="s">
        <v>420</v>
      </c>
    </row>
    <row r="1257" spans="1:8">
      <c r="A1257" s="34">
        <v>2084027287</v>
      </c>
      <c r="B1257" s="35" t="s">
        <v>462</v>
      </c>
      <c r="C1257" s="35" t="s">
        <v>405</v>
      </c>
      <c r="D1257" s="35" t="s">
        <v>463</v>
      </c>
      <c r="E1257" s="35" t="s">
        <v>608</v>
      </c>
      <c r="F1257" s="35" t="s">
        <v>390</v>
      </c>
      <c r="G1257" s="35" t="s">
        <v>10</v>
      </c>
      <c r="H1257" s="35" t="s">
        <v>514</v>
      </c>
    </row>
    <row r="1258" spans="1:8">
      <c r="A1258" s="34">
        <v>2084027414</v>
      </c>
      <c r="B1258" s="35" t="s">
        <v>462</v>
      </c>
      <c r="C1258" s="35" t="s">
        <v>405</v>
      </c>
      <c r="D1258" s="35" t="s">
        <v>463</v>
      </c>
      <c r="E1258" s="35" t="s">
        <v>608</v>
      </c>
      <c r="F1258" s="35" t="s">
        <v>390</v>
      </c>
      <c r="G1258" s="35" t="s">
        <v>10</v>
      </c>
      <c r="H1258" s="35" t="s">
        <v>515</v>
      </c>
    </row>
    <row r="1259" spans="1:8">
      <c r="A1259" s="34">
        <v>2084027533</v>
      </c>
      <c r="B1259" s="35" t="s">
        <v>462</v>
      </c>
      <c r="C1259" s="35" t="s">
        <v>405</v>
      </c>
      <c r="D1259" s="35" t="s">
        <v>463</v>
      </c>
      <c r="E1259" s="35" t="s">
        <v>608</v>
      </c>
      <c r="F1259" s="35" t="s">
        <v>390</v>
      </c>
      <c r="G1259" s="35" t="s">
        <v>10</v>
      </c>
      <c r="H1259" s="35" t="s">
        <v>421</v>
      </c>
    </row>
    <row r="1260" spans="1:8">
      <c r="A1260" s="34">
        <v>2084027694</v>
      </c>
      <c r="B1260" s="35" t="s">
        <v>462</v>
      </c>
      <c r="C1260" s="35" t="s">
        <v>405</v>
      </c>
      <c r="D1260" s="35" t="s">
        <v>463</v>
      </c>
      <c r="E1260" s="35" t="s">
        <v>608</v>
      </c>
      <c r="F1260" s="35" t="s">
        <v>390</v>
      </c>
      <c r="G1260" s="35" t="s">
        <v>10</v>
      </c>
      <c r="H1260" s="35" t="s">
        <v>516</v>
      </c>
    </row>
    <row r="1261" spans="1:8">
      <c r="A1261" s="34">
        <v>2084027211</v>
      </c>
      <c r="B1261" s="35" t="s">
        <v>462</v>
      </c>
      <c r="C1261" s="35" t="s">
        <v>405</v>
      </c>
      <c r="D1261" s="35" t="s">
        <v>463</v>
      </c>
      <c r="E1261" s="35" t="s">
        <v>608</v>
      </c>
      <c r="F1261" s="35" t="s">
        <v>390</v>
      </c>
      <c r="G1261" s="35" t="s">
        <v>10</v>
      </c>
      <c r="H1261" s="35" t="s">
        <v>517</v>
      </c>
    </row>
    <row r="1262" spans="1:8">
      <c r="A1262" s="34">
        <v>2084027380</v>
      </c>
      <c r="B1262" s="35" t="s">
        <v>462</v>
      </c>
      <c r="C1262" s="35" t="s">
        <v>405</v>
      </c>
      <c r="D1262" s="35" t="s">
        <v>463</v>
      </c>
      <c r="E1262" s="35" t="s">
        <v>608</v>
      </c>
      <c r="F1262" s="35" t="s">
        <v>390</v>
      </c>
      <c r="G1262" s="35" t="s">
        <v>10</v>
      </c>
      <c r="H1262" s="35" t="s">
        <v>518</v>
      </c>
    </row>
    <row r="1263" spans="1:8">
      <c r="A1263" s="34">
        <v>2084027583</v>
      </c>
      <c r="B1263" s="35" t="s">
        <v>462</v>
      </c>
      <c r="C1263" s="35" t="s">
        <v>405</v>
      </c>
      <c r="D1263" s="35" t="s">
        <v>463</v>
      </c>
      <c r="E1263" s="35" t="s">
        <v>608</v>
      </c>
      <c r="F1263" s="35" t="s">
        <v>390</v>
      </c>
      <c r="G1263" s="35" t="s">
        <v>10</v>
      </c>
      <c r="H1263" s="35" t="s">
        <v>422</v>
      </c>
    </row>
    <row r="1264" spans="1:8">
      <c r="A1264" s="34">
        <v>2084027784</v>
      </c>
      <c r="B1264" s="35" t="s">
        <v>462</v>
      </c>
      <c r="C1264" s="35" t="s">
        <v>405</v>
      </c>
      <c r="D1264" s="35" t="s">
        <v>463</v>
      </c>
      <c r="E1264" s="35" t="s">
        <v>608</v>
      </c>
      <c r="F1264" s="35" t="s">
        <v>390</v>
      </c>
      <c r="G1264" s="35" t="s">
        <v>10</v>
      </c>
      <c r="H1264" s="35" t="s">
        <v>519</v>
      </c>
    </row>
    <row r="1265" spans="1:8">
      <c r="A1265" s="34">
        <v>2084058679</v>
      </c>
      <c r="B1265" s="35" t="s">
        <v>462</v>
      </c>
      <c r="C1265" s="35" t="s">
        <v>405</v>
      </c>
      <c r="D1265" s="35" t="s">
        <v>463</v>
      </c>
      <c r="E1265" s="35" t="s">
        <v>608</v>
      </c>
      <c r="F1265" s="35" t="s">
        <v>390</v>
      </c>
      <c r="G1265" s="35" t="s">
        <v>10</v>
      </c>
      <c r="H1265" s="35" t="s">
        <v>335</v>
      </c>
    </row>
    <row r="1266" spans="1:8">
      <c r="A1266" s="34">
        <v>2084028020</v>
      </c>
      <c r="B1266" s="35" t="s">
        <v>462</v>
      </c>
      <c r="C1266" s="35" t="s">
        <v>405</v>
      </c>
      <c r="D1266" s="35" t="s">
        <v>463</v>
      </c>
      <c r="E1266" s="35" t="s">
        <v>608</v>
      </c>
      <c r="F1266" s="35" t="s">
        <v>390</v>
      </c>
      <c r="G1266" s="35" t="s">
        <v>379</v>
      </c>
      <c r="H1266" s="35" t="s">
        <v>520</v>
      </c>
    </row>
    <row r="1267" spans="1:8">
      <c r="A1267" s="34">
        <v>2084028055</v>
      </c>
      <c r="B1267" s="35" t="s">
        <v>462</v>
      </c>
      <c r="C1267" s="35" t="s">
        <v>405</v>
      </c>
      <c r="D1267" s="35" t="s">
        <v>463</v>
      </c>
      <c r="E1267" s="35" t="s">
        <v>608</v>
      </c>
      <c r="F1267" s="35" t="s">
        <v>390</v>
      </c>
      <c r="G1267" s="35" t="s">
        <v>379</v>
      </c>
      <c r="H1267" s="35" t="s">
        <v>521</v>
      </c>
    </row>
    <row r="1268" spans="1:8">
      <c r="A1268" s="34">
        <v>2084028155</v>
      </c>
      <c r="B1268" s="35" t="s">
        <v>462</v>
      </c>
      <c r="C1268" s="35" t="s">
        <v>405</v>
      </c>
      <c r="D1268" s="35" t="s">
        <v>463</v>
      </c>
      <c r="E1268" s="35" t="s">
        <v>608</v>
      </c>
      <c r="F1268" s="35" t="s">
        <v>390</v>
      </c>
      <c r="G1268" s="35" t="s">
        <v>379</v>
      </c>
      <c r="H1268" s="35" t="s">
        <v>522</v>
      </c>
    </row>
    <row r="1269" spans="1:8">
      <c r="A1269" s="34">
        <v>2084028428</v>
      </c>
      <c r="B1269" s="35" t="s">
        <v>462</v>
      </c>
      <c r="C1269" s="35" t="s">
        <v>405</v>
      </c>
      <c r="D1269" s="35" t="s">
        <v>463</v>
      </c>
      <c r="E1269" s="35" t="s">
        <v>608</v>
      </c>
      <c r="F1269" s="35" t="s">
        <v>390</v>
      </c>
      <c r="G1269" s="35" t="s">
        <v>379</v>
      </c>
      <c r="H1269" s="35" t="s">
        <v>523</v>
      </c>
    </row>
    <row r="1270" spans="1:8">
      <c r="A1270" s="34">
        <v>2084028094</v>
      </c>
      <c r="B1270" s="35" t="s">
        <v>462</v>
      </c>
      <c r="C1270" s="35" t="s">
        <v>405</v>
      </c>
      <c r="D1270" s="35" t="s">
        <v>463</v>
      </c>
      <c r="E1270" s="35" t="s">
        <v>608</v>
      </c>
      <c r="F1270" s="35" t="s">
        <v>390</v>
      </c>
      <c r="G1270" s="35" t="s">
        <v>379</v>
      </c>
      <c r="H1270" s="35" t="s">
        <v>524</v>
      </c>
    </row>
    <row r="1271" spans="1:8">
      <c r="A1271" s="34">
        <v>2084028260</v>
      </c>
      <c r="B1271" s="35" t="s">
        <v>462</v>
      </c>
      <c r="C1271" s="35" t="s">
        <v>405</v>
      </c>
      <c r="D1271" s="35" t="s">
        <v>463</v>
      </c>
      <c r="E1271" s="35" t="s">
        <v>608</v>
      </c>
      <c r="F1271" s="35" t="s">
        <v>390</v>
      </c>
      <c r="G1271" s="35" t="s">
        <v>379</v>
      </c>
      <c r="H1271" s="35" t="s">
        <v>525</v>
      </c>
    </row>
    <row r="1272" spans="1:8">
      <c r="A1272" s="34">
        <v>2084028462</v>
      </c>
      <c r="B1272" s="35" t="s">
        <v>462</v>
      </c>
      <c r="C1272" s="35" t="s">
        <v>405</v>
      </c>
      <c r="D1272" s="35" t="s">
        <v>463</v>
      </c>
      <c r="E1272" s="35" t="s">
        <v>608</v>
      </c>
      <c r="F1272" s="35" t="s">
        <v>390</v>
      </c>
      <c r="G1272" s="35" t="s">
        <v>379</v>
      </c>
      <c r="H1272" s="35" t="s">
        <v>526</v>
      </c>
    </row>
    <row r="1273" spans="1:8">
      <c r="A1273" s="34">
        <v>2084028331</v>
      </c>
      <c r="B1273" s="35" t="s">
        <v>462</v>
      </c>
      <c r="C1273" s="35" t="s">
        <v>405</v>
      </c>
      <c r="D1273" s="35" t="s">
        <v>463</v>
      </c>
      <c r="E1273" s="35" t="s">
        <v>608</v>
      </c>
      <c r="F1273" s="35" t="s">
        <v>390</v>
      </c>
      <c r="G1273" s="35" t="s">
        <v>379</v>
      </c>
      <c r="H1273" s="35" t="s">
        <v>527</v>
      </c>
    </row>
    <row r="1274" spans="1:8">
      <c r="A1274" s="34">
        <v>2084028497</v>
      </c>
      <c r="B1274" s="35" t="s">
        <v>462</v>
      </c>
      <c r="C1274" s="35" t="s">
        <v>405</v>
      </c>
      <c r="D1274" s="35" t="s">
        <v>463</v>
      </c>
      <c r="E1274" s="35" t="s">
        <v>608</v>
      </c>
      <c r="F1274" s="35" t="s">
        <v>390</v>
      </c>
      <c r="G1274" s="35" t="s">
        <v>379</v>
      </c>
      <c r="H1274" s="35" t="s">
        <v>528</v>
      </c>
    </row>
    <row r="1275" spans="1:8">
      <c r="A1275" s="34">
        <v>2084028373</v>
      </c>
      <c r="B1275" s="35" t="s">
        <v>462</v>
      </c>
      <c r="C1275" s="35" t="s">
        <v>405</v>
      </c>
      <c r="D1275" s="35" t="s">
        <v>463</v>
      </c>
      <c r="E1275" s="35" t="s">
        <v>608</v>
      </c>
      <c r="F1275" s="35" t="s">
        <v>390</v>
      </c>
      <c r="G1275" s="35" t="s">
        <v>379</v>
      </c>
      <c r="H1275" s="35" t="s">
        <v>548</v>
      </c>
    </row>
    <row r="1276" spans="1:8">
      <c r="A1276" s="34">
        <v>2084058681</v>
      </c>
      <c r="B1276" s="35" t="s">
        <v>462</v>
      </c>
      <c r="C1276" s="35" t="s">
        <v>405</v>
      </c>
      <c r="D1276" s="35" t="s">
        <v>463</v>
      </c>
      <c r="E1276" s="35" t="s">
        <v>608</v>
      </c>
      <c r="F1276" s="35" t="s">
        <v>390</v>
      </c>
      <c r="G1276" s="35" t="s">
        <v>379</v>
      </c>
      <c r="H1276" s="35" t="s">
        <v>335</v>
      </c>
    </row>
    <row r="1277" spans="1:8">
      <c r="A1277" s="34">
        <v>2084028587</v>
      </c>
      <c r="B1277" s="35" t="s">
        <v>462</v>
      </c>
      <c r="C1277" s="35" t="s">
        <v>405</v>
      </c>
      <c r="D1277" s="35" t="s">
        <v>463</v>
      </c>
      <c r="E1277" s="35" t="s">
        <v>608</v>
      </c>
      <c r="F1277" s="35" t="s">
        <v>390</v>
      </c>
      <c r="G1277" s="35" t="s">
        <v>530</v>
      </c>
      <c r="H1277" s="35" t="s">
        <v>531</v>
      </c>
    </row>
    <row r="1278" spans="1:8">
      <c r="A1278" s="34">
        <v>2084028631</v>
      </c>
      <c r="B1278" s="35" t="s">
        <v>462</v>
      </c>
      <c r="C1278" s="35" t="s">
        <v>405</v>
      </c>
      <c r="D1278" s="35" t="s">
        <v>463</v>
      </c>
      <c r="E1278" s="35" t="s">
        <v>608</v>
      </c>
      <c r="F1278" s="35" t="s">
        <v>390</v>
      </c>
      <c r="G1278" s="35" t="s">
        <v>530</v>
      </c>
      <c r="H1278" s="35" t="s">
        <v>532</v>
      </c>
    </row>
    <row r="1279" spans="1:8">
      <c r="A1279" s="34">
        <v>2084058683</v>
      </c>
      <c r="B1279" s="35" t="s">
        <v>462</v>
      </c>
      <c r="C1279" s="35" t="s">
        <v>405</v>
      </c>
      <c r="D1279" s="35" t="s">
        <v>463</v>
      </c>
      <c r="E1279" s="35" t="s">
        <v>608</v>
      </c>
      <c r="F1279" s="35" t="s">
        <v>390</v>
      </c>
      <c r="G1279" s="35" t="s">
        <v>530</v>
      </c>
      <c r="H1279" s="35" t="s">
        <v>335</v>
      </c>
    </row>
    <row r="1280" spans="1:8">
      <c r="A1280" s="34">
        <v>2084030085</v>
      </c>
      <c r="B1280" s="35" t="s">
        <v>462</v>
      </c>
      <c r="C1280" s="35" t="s">
        <v>405</v>
      </c>
      <c r="D1280" s="35" t="s">
        <v>463</v>
      </c>
      <c r="E1280" s="35" t="s">
        <v>608</v>
      </c>
      <c r="F1280" s="35" t="s">
        <v>390</v>
      </c>
      <c r="G1280" s="35" t="s">
        <v>533</v>
      </c>
      <c r="H1280" s="35" t="s">
        <v>609</v>
      </c>
    </row>
    <row r="1281" spans="1:8">
      <c r="A1281" s="34">
        <v>2084030123</v>
      </c>
      <c r="B1281" s="35" t="s">
        <v>462</v>
      </c>
      <c r="C1281" s="35" t="s">
        <v>405</v>
      </c>
      <c r="D1281" s="35" t="s">
        <v>463</v>
      </c>
      <c r="E1281" s="35" t="s">
        <v>608</v>
      </c>
      <c r="F1281" s="35" t="s">
        <v>390</v>
      </c>
      <c r="G1281" s="35" t="s">
        <v>533</v>
      </c>
      <c r="H1281" s="35" t="s">
        <v>534</v>
      </c>
    </row>
    <row r="1282" spans="1:8">
      <c r="A1282" s="34">
        <v>2084030157</v>
      </c>
      <c r="B1282" s="35" t="s">
        <v>462</v>
      </c>
      <c r="C1282" s="35" t="s">
        <v>405</v>
      </c>
      <c r="D1282" s="35" t="s">
        <v>463</v>
      </c>
      <c r="E1282" s="35" t="s">
        <v>608</v>
      </c>
      <c r="F1282" s="35" t="s">
        <v>390</v>
      </c>
      <c r="G1282" s="35" t="s">
        <v>533</v>
      </c>
      <c r="H1282" s="35" t="s">
        <v>535</v>
      </c>
    </row>
    <row r="1283" spans="1:8">
      <c r="A1283" s="34">
        <v>2084027144</v>
      </c>
      <c r="B1283" s="35" t="s">
        <v>462</v>
      </c>
      <c r="C1283" s="35" t="s">
        <v>405</v>
      </c>
      <c r="D1283" s="35" t="s">
        <v>463</v>
      </c>
      <c r="E1283" s="35" t="s">
        <v>608</v>
      </c>
      <c r="F1283" s="35" t="s">
        <v>390</v>
      </c>
      <c r="G1283" s="35" t="s">
        <v>533</v>
      </c>
      <c r="H1283" s="35" t="s">
        <v>536</v>
      </c>
    </row>
    <row r="1284" spans="1:8">
      <c r="A1284" s="34">
        <v>2084058685</v>
      </c>
      <c r="B1284" s="35" t="s">
        <v>462</v>
      </c>
      <c r="C1284" s="35" t="s">
        <v>405</v>
      </c>
      <c r="D1284" s="35" t="s">
        <v>463</v>
      </c>
      <c r="E1284" s="35" t="s">
        <v>608</v>
      </c>
      <c r="F1284" s="35" t="s">
        <v>390</v>
      </c>
      <c r="G1284" s="35" t="s">
        <v>533</v>
      </c>
      <c r="H1284" s="35" t="s">
        <v>335</v>
      </c>
    </row>
    <row r="1285" spans="1:8">
      <c r="A1285" s="34">
        <v>2084058783</v>
      </c>
      <c r="B1285" s="35" t="s">
        <v>462</v>
      </c>
      <c r="C1285" s="35" t="s">
        <v>405</v>
      </c>
      <c r="D1285" s="35" t="s">
        <v>463</v>
      </c>
      <c r="E1285" s="35" t="s">
        <v>608</v>
      </c>
      <c r="F1285" s="35" t="s">
        <v>390</v>
      </c>
      <c r="G1285" s="35" t="s">
        <v>335</v>
      </c>
    </row>
    <row r="1286" spans="1:8">
      <c r="A1286" s="34">
        <v>2084048656</v>
      </c>
      <c r="B1286" s="35" t="s">
        <v>462</v>
      </c>
      <c r="C1286" s="35" t="s">
        <v>405</v>
      </c>
      <c r="D1286" s="35" t="s">
        <v>463</v>
      </c>
      <c r="E1286" s="35" t="s">
        <v>608</v>
      </c>
      <c r="F1286" s="35" t="s">
        <v>335</v>
      </c>
    </row>
    <row r="1287" spans="1:8">
      <c r="A1287" s="34">
        <v>2084050766</v>
      </c>
      <c r="B1287" s="35" t="s">
        <v>462</v>
      </c>
      <c r="C1287" s="35" t="s">
        <v>405</v>
      </c>
      <c r="D1287" s="35" t="s">
        <v>463</v>
      </c>
      <c r="E1287" s="35" t="s">
        <v>610</v>
      </c>
      <c r="F1287" s="35" t="s">
        <v>611</v>
      </c>
      <c r="G1287" s="35" t="s">
        <v>407</v>
      </c>
    </row>
    <row r="1288" spans="1:8">
      <c r="A1288" s="34">
        <v>2084050765</v>
      </c>
      <c r="B1288" s="35" t="s">
        <v>462</v>
      </c>
      <c r="C1288" s="35" t="s">
        <v>405</v>
      </c>
      <c r="D1288" s="35" t="s">
        <v>463</v>
      </c>
      <c r="E1288" s="35" t="s">
        <v>610</v>
      </c>
      <c r="F1288" s="35" t="s">
        <v>611</v>
      </c>
      <c r="G1288" s="35" t="s">
        <v>408</v>
      </c>
    </row>
    <row r="1289" spans="1:8">
      <c r="A1289" s="34">
        <v>2084050754</v>
      </c>
      <c r="B1289" s="35" t="s">
        <v>462</v>
      </c>
      <c r="C1289" s="35" t="s">
        <v>405</v>
      </c>
      <c r="D1289" s="35" t="s">
        <v>463</v>
      </c>
      <c r="E1289" s="35" t="s">
        <v>610</v>
      </c>
      <c r="F1289" s="35" t="s">
        <v>390</v>
      </c>
      <c r="G1289" s="35" t="s">
        <v>368</v>
      </c>
      <c r="H1289" s="35" t="s">
        <v>481</v>
      </c>
    </row>
    <row r="1290" spans="1:8">
      <c r="A1290" s="34">
        <v>2084050755</v>
      </c>
      <c r="B1290" s="35" t="s">
        <v>462</v>
      </c>
      <c r="C1290" s="35" t="s">
        <v>405</v>
      </c>
      <c r="D1290" s="35" t="s">
        <v>463</v>
      </c>
      <c r="E1290" s="35" t="s">
        <v>610</v>
      </c>
      <c r="F1290" s="35" t="s">
        <v>390</v>
      </c>
      <c r="G1290" s="35" t="s">
        <v>368</v>
      </c>
      <c r="H1290" s="35" t="s">
        <v>335</v>
      </c>
    </row>
    <row r="1291" spans="1:8">
      <c r="A1291" s="34">
        <v>2084050758</v>
      </c>
      <c r="B1291" s="35" t="s">
        <v>462</v>
      </c>
      <c r="C1291" s="35" t="s">
        <v>405</v>
      </c>
      <c r="D1291" s="35" t="s">
        <v>463</v>
      </c>
      <c r="E1291" s="35" t="s">
        <v>610</v>
      </c>
      <c r="F1291" s="35" t="s">
        <v>390</v>
      </c>
      <c r="G1291" s="35" t="s">
        <v>10</v>
      </c>
      <c r="H1291" s="35" t="s">
        <v>550</v>
      </c>
    </row>
    <row r="1292" spans="1:8">
      <c r="A1292" s="34">
        <v>2084050757</v>
      </c>
      <c r="B1292" s="35" t="s">
        <v>462</v>
      </c>
      <c r="C1292" s="35" t="s">
        <v>405</v>
      </c>
      <c r="D1292" s="35" t="s">
        <v>463</v>
      </c>
      <c r="E1292" s="35" t="s">
        <v>610</v>
      </c>
      <c r="F1292" s="35" t="s">
        <v>390</v>
      </c>
      <c r="G1292" s="35" t="s">
        <v>10</v>
      </c>
      <c r="H1292" s="35" t="s">
        <v>568</v>
      </c>
    </row>
    <row r="1293" spans="1:8">
      <c r="A1293" s="34">
        <v>2084050759</v>
      </c>
      <c r="B1293" s="35" t="s">
        <v>462</v>
      </c>
      <c r="C1293" s="35" t="s">
        <v>405</v>
      </c>
      <c r="D1293" s="35" t="s">
        <v>463</v>
      </c>
      <c r="E1293" s="35" t="s">
        <v>610</v>
      </c>
      <c r="F1293" s="35" t="s">
        <v>390</v>
      </c>
      <c r="G1293" s="35" t="s">
        <v>10</v>
      </c>
      <c r="H1293" s="35" t="s">
        <v>335</v>
      </c>
    </row>
    <row r="1294" spans="1:8">
      <c r="A1294" s="34">
        <v>2084050761</v>
      </c>
      <c r="B1294" s="35" t="s">
        <v>462</v>
      </c>
      <c r="C1294" s="35" t="s">
        <v>405</v>
      </c>
      <c r="D1294" s="35" t="s">
        <v>463</v>
      </c>
      <c r="E1294" s="35" t="s">
        <v>610</v>
      </c>
      <c r="F1294" s="35" t="s">
        <v>390</v>
      </c>
      <c r="G1294" s="35" t="s">
        <v>379</v>
      </c>
      <c r="H1294" s="35" t="s">
        <v>476</v>
      </c>
    </row>
    <row r="1295" spans="1:8">
      <c r="A1295" s="34">
        <v>2084050762</v>
      </c>
      <c r="B1295" s="35" t="s">
        <v>462</v>
      </c>
      <c r="C1295" s="35" t="s">
        <v>405</v>
      </c>
      <c r="D1295" s="35" t="s">
        <v>463</v>
      </c>
      <c r="E1295" s="35" t="s">
        <v>610</v>
      </c>
      <c r="F1295" s="35" t="s">
        <v>390</v>
      </c>
      <c r="G1295" s="35" t="s">
        <v>379</v>
      </c>
      <c r="H1295" s="35" t="s">
        <v>335</v>
      </c>
    </row>
    <row r="1296" spans="1:8">
      <c r="A1296" s="34">
        <v>2084050752</v>
      </c>
      <c r="B1296" s="35" t="s">
        <v>462</v>
      </c>
      <c r="C1296" s="35" t="s">
        <v>405</v>
      </c>
      <c r="D1296" s="35" t="s">
        <v>463</v>
      </c>
      <c r="E1296" s="35" t="s">
        <v>610</v>
      </c>
      <c r="F1296" s="35" t="s">
        <v>390</v>
      </c>
      <c r="G1296" s="35" t="s">
        <v>478</v>
      </c>
    </row>
    <row r="1297" spans="1:8">
      <c r="A1297" s="34">
        <v>2084050763</v>
      </c>
      <c r="B1297" s="35" t="s">
        <v>462</v>
      </c>
      <c r="C1297" s="35" t="s">
        <v>405</v>
      </c>
      <c r="D1297" s="35" t="s">
        <v>463</v>
      </c>
      <c r="E1297" s="35" t="s">
        <v>610</v>
      </c>
      <c r="F1297" s="35" t="s">
        <v>390</v>
      </c>
      <c r="G1297" s="35" t="s">
        <v>335</v>
      </c>
    </row>
    <row r="1298" spans="1:8">
      <c r="A1298" s="34">
        <v>2084052893</v>
      </c>
      <c r="B1298" s="35" t="s">
        <v>462</v>
      </c>
      <c r="C1298" s="35" t="s">
        <v>405</v>
      </c>
      <c r="D1298" s="35" t="s">
        <v>463</v>
      </c>
      <c r="E1298" s="35" t="s">
        <v>610</v>
      </c>
      <c r="F1298" s="35" t="s">
        <v>353</v>
      </c>
      <c r="G1298" s="35" t="s">
        <v>367</v>
      </c>
    </row>
    <row r="1299" spans="1:8">
      <c r="A1299" s="34">
        <v>2084030704</v>
      </c>
      <c r="B1299" s="35" t="s">
        <v>462</v>
      </c>
      <c r="C1299" s="35" t="s">
        <v>405</v>
      </c>
      <c r="D1299" s="35" t="s">
        <v>463</v>
      </c>
      <c r="E1299" s="35" t="s">
        <v>610</v>
      </c>
      <c r="F1299" s="35" t="s">
        <v>353</v>
      </c>
      <c r="G1299" s="35" t="s">
        <v>481</v>
      </c>
    </row>
    <row r="1300" spans="1:8">
      <c r="A1300" s="34">
        <v>2084031602</v>
      </c>
      <c r="B1300" s="35" t="s">
        <v>462</v>
      </c>
      <c r="C1300" s="35" t="s">
        <v>405</v>
      </c>
      <c r="D1300" s="35" t="s">
        <v>463</v>
      </c>
      <c r="E1300" s="35" t="s">
        <v>610</v>
      </c>
      <c r="F1300" s="35" t="s">
        <v>353</v>
      </c>
      <c r="G1300" s="35" t="s">
        <v>483</v>
      </c>
    </row>
    <row r="1301" spans="1:8">
      <c r="A1301" s="34">
        <v>2084030254</v>
      </c>
      <c r="B1301" s="35" t="s">
        <v>462</v>
      </c>
      <c r="C1301" s="35" t="s">
        <v>405</v>
      </c>
      <c r="D1301" s="35" t="s">
        <v>463</v>
      </c>
      <c r="E1301" s="35" t="s">
        <v>610</v>
      </c>
      <c r="F1301" s="35" t="s">
        <v>353</v>
      </c>
      <c r="G1301" s="35" t="s">
        <v>493</v>
      </c>
    </row>
    <row r="1302" spans="1:8">
      <c r="A1302" s="34">
        <v>2084031393</v>
      </c>
      <c r="B1302" s="35" t="s">
        <v>462</v>
      </c>
      <c r="C1302" s="35" t="s">
        <v>405</v>
      </c>
      <c r="D1302" s="35" t="s">
        <v>463</v>
      </c>
      <c r="E1302" s="35" t="s">
        <v>610</v>
      </c>
      <c r="F1302" s="35" t="s">
        <v>353</v>
      </c>
      <c r="G1302" s="35" t="s">
        <v>494</v>
      </c>
    </row>
    <row r="1303" spans="1:8">
      <c r="A1303" s="34">
        <v>2084050749</v>
      </c>
      <c r="B1303" s="35" t="s">
        <v>462</v>
      </c>
      <c r="C1303" s="35" t="s">
        <v>405</v>
      </c>
      <c r="D1303" s="35" t="s">
        <v>463</v>
      </c>
      <c r="E1303" s="35" t="s">
        <v>610</v>
      </c>
      <c r="F1303" s="35" t="s">
        <v>353</v>
      </c>
      <c r="G1303" s="35" t="s">
        <v>403</v>
      </c>
    </row>
    <row r="1304" spans="1:8">
      <c r="A1304" s="34">
        <v>2084031496</v>
      </c>
      <c r="B1304" s="35" t="s">
        <v>462</v>
      </c>
      <c r="C1304" s="35" t="s">
        <v>405</v>
      </c>
      <c r="D1304" s="35" t="s">
        <v>463</v>
      </c>
      <c r="E1304" s="35" t="s">
        <v>610</v>
      </c>
      <c r="F1304" s="35" t="s">
        <v>353</v>
      </c>
      <c r="G1304" s="35" t="s">
        <v>397</v>
      </c>
    </row>
    <row r="1305" spans="1:8">
      <c r="A1305" s="34">
        <v>2084030404</v>
      </c>
      <c r="B1305" s="35" t="s">
        <v>462</v>
      </c>
      <c r="C1305" s="35" t="s">
        <v>405</v>
      </c>
      <c r="D1305" s="35" t="s">
        <v>463</v>
      </c>
      <c r="E1305" s="35" t="s">
        <v>610</v>
      </c>
      <c r="F1305" s="35" t="s">
        <v>353</v>
      </c>
      <c r="G1305" s="35" t="s">
        <v>421</v>
      </c>
    </row>
    <row r="1306" spans="1:8">
      <c r="A1306" s="34">
        <v>2084221914</v>
      </c>
      <c r="B1306" s="35" t="s">
        <v>462</v>
      </c>
      <c r="C1306" s="35" t="s">
        <v>405</v>
      </c>
      <c r="D1306" s="35" t="s">
        <v>463</v>
      </c>
      <c r="E1306" s="35" t="s">
        <v>610</v>
      </c>
      <c r="F1306" s="35" t="s">
        <v>353</v>
      </c>
      <c r="G1306" s="35" t="s">
        <v>378</v>
      </c>
      <c r="H1306" s="35" t="s">
        <v>374</v>
      </c>
    </row>
    <row r="1307" spans="1:8">
      <c r="A1307" s="34">
        <v>2084221915</v>
      </c>
      <c r="B1307" s="35" t="s">
        <v>462</v>
      </c>
      <c r="C1307" s="35" t="s">
        <v>405</v>
      </c>
      <c r="D1307" s="35" t="s">
        <v>463</v>
      </c>
      <c r="E1307" s="35" t="s">
        <v>610</v>
      </c>
      <c r="F1307" s="35" t="s">
        <v>353</v>
      </c>
      <c r="G1307" s="35" t="s">
        <v>378</v>
      </c>
      <c r="H1307" s="35" t="s">
        <v>375</v>
      </c>
    </row>
    <row r="1308" spans="1:8">
      <c r="A1308" s="34">
        <v>2084221916</v>
      </c>
      <c r="B1308" s="35" t="s">
        <v>462</v>
      </c>
      <c r="C1308" s="35" t="s">
        <v>405</v>
      </c>
      <c r="D1308" s="35" t="s">
        <v>463</v>
      </c>
      <c r="E1308" s="35" t="s">
        <v>610</v>
      </c>
      <c r="F1308" s="35" t="s">
        <v>353</v>
      </c>
      <c r="G1308" s="35" t="s">
        <v>378</v>
      </c>
      <c r="H1308" s="35" t="s">
        <v>393</v>
      </c>
    </row>
    <row r="1309" spans="1:8">
      <c r="A1309" s="34">
        <v>2084030343</v>
      </c>
      <c r="B1309" s="35" t="s">
        <v>462</v>
      </c>
      <c r="C1309" s="35" t="s">
        <v>405</v>
      </c>
      <c r="D1309" s="35" t="s">
        <v>463</v>
      </c>
      <c r="E1309" s="35" t="s">
        <v>610</v>
      </c>
      <c r="F1309" s="35" t="s">
        <v>353</v>
      </c>
      <c r="G1309" s="35" t="s">
        <v>422</v>
      </c>
    </row>
    <row r="1310" spans="1:8">
      <c r="A1310" s="34">
        <v>2084050750</v>
      </c>
      <c r="B1310" s="35" t="s">
        <v>462</v>
      </c>
      <c r="C1310" s="35" t="s">
        <v>405</v>
      </c>
      <c r="D1310" s="35" t="s">
        <v>463</v>
      </c>
      <c r="E1310" s="35" t="s">
        <v>610</v>
      </c>
      <c r="F1310" s="35" t="s">
        <v>353</v>
      </c>
      <c r="G1310" s="35" t="s">
        <v>335</v>
      </c>
    </row>
    <row r="1311" spans="1:8">
      <c r="A1311" s="34">
        <v>2084048657</v>
      </c>
      <c r="B1311" s="35" t="s">
        <v>462</v>
      </c>
      <c r="C1311" s="35" t="s">
        <v>405</v>
      </c>
      <c r="D1311" s="35" t="s">
        <v>463</v>
      </c>
      <c r="E1311" s="35" t="s">
        <v>610</v>
      </c>
      <c r="F1311" s="35" t="s">
        <v>335</v>
      </c>
    </row>
    <row r="1312" spans="1:8">
      <c r="A1312" s="34">
        <v>2084308661</v>
      </c>
      <c r="B1312" s="35" t="s">
        <v>462</v>
      </c>
      <c r="C1312" s="35" t="s">
        <v>405</v>
      </c>
      <c r="D1312" s="35" t="s">
        <v>463</v>
      </c>
      <c r="E1312" s="35" t="s">
        <v>612</v>
      </c>
      <c r="F1312" s="35" t="s">
        <v>475</v>
      </c>
    </row>
    <row r="1313" spans="1:7">
      <c r="A1313" s="34">
        <v>2084308662</v>
      </c>
      <c r="B1313" s="35" t="s">
        <v>462</v>
      </c>
      <c r="C1313" s="35" t="s">
        <v>405</v>
      </c>
      <c r="D1313" s="35" t="s">
        <v>463</v>
      </c>
      <c r="E1313" s="35" t="s">
        <v>612</v>
      </c>
      <c r="F1313" s="35" t="s">
        <v>402</v>
      </c>
    </row>
    <row r="1314" spans="1:7">
      <c r="A1314" s="34">
        <v>2084309018</v>
      </c>
      <c r="B1314" s="35" t="s">
        <v>462</v>
      </c>
      <c r="C1314" s="35" t="s">
        <v>405</v>
      </c>
      <c r="D1314" s="35" t="s">
        <v>463</v>
      </c>
      <c r="E1314" s="35" t="s">
        <v>612</v>
      </c>
      <c r="F1314" s="35" t="s">
        <v>484</v>
      </c>
    </row>
    <row r="1315" spans="1:7">
      <c r="A1315" s="34">
        <v>2084309017</v>
      </c>
      <c r="B1315" s="35" t="s">
        <v>462</v>
      </c>
      <c r="C1315" s="35" t="s">
        <v>405</v>
      </c>
      <c r="D1315" s="35" t="s">
        <v>463</v>
      </c>
      <c r="E1315" s="35" t="s">
        <v>612</v>
      </c>
      <c r="F1315" s="35" t="s">
        <v>445</v>
      </c>
    </row>
    <row r="1316" spans="1:7">
      <c r="A1316" s="34">
        <v>2084308663</v>
      </c>
      <c r="B1316" s="35" t="s">
        <v>462</v>
      </c>
      <c r="C1316" s="35" t="s">
        <v>405</v>
      </c>
      <c r="D1316" s="35" t="s">
        <v>463</v>
      </c>
      <c r="E1316" s="35" t="s">
        <v>612</v>
      </c>
      <c r="F1316" s="35" t="s">
        <v>335</v>
      </c>
    </row>
    <row r="1317" spans="1:7">
      <c r="A1317" s="34">
        <v>2084199081</v>
      </c>
      <c r="B1317" s="35" t="s">
        <v>462</v>
      </c>
      <c r="C1317" s="35" t="s">
        <v>405</v>
      </c>
      <c r="D1317" s="35" t="s">
        <v>463</v>
      </c>
      <c r="E1317" s="35" t="s">
        <v>613</v>
      </c>
      <c r="F1317" s="35" t="s">
        <v>407</v>
      </c>
    </row>
    <row r="1318" spans="1:7">
      <c r="A1318" s="34">
        <v>2084199080</v>
      </c>
      <c r="B1318" s="35" t="s">
        <v>462</v>
      </c>
      <c r="C1318" s="35" t="s">
        <v>405</v>
      </c>
      <c r="D1318" s="35" t="s">
        <v>463</v>
      </c>
      <c r="E1318" s="35" t="s">
        <v>613</v>
      </c>
      <c r="F1318" s="35" t="s">
        <v>408</v>
      </c>
    </row>
    <row r="1319" spans="1:7">
      <c r="A1319" s="34">
        <v>2084199082</v>
      </c>
      <c r="B1319" s="35" t="s">
        <v>462</v>
      </c>
      <c r="C1319" s="35" t="s">
        <v>405</v>
      </c>
      <c r="D1319" s="35" t="s">
        <v>463</v>
      </c>
      <c r="E1319" s="35" t="s">
        <v>613</v>
      </c>
      <c r="F1319" s="35" t="s">
        <v>335</v>
      </c>
    </row>
    <row r="1320" spans="1:7">
      <c r="A1320" s="34">
        <v>2084229915</v>
      </c>
      <c r="B1320" s="35" t="s">
        <v>462</v>
      </c>
      <c r="C1320" s="35" t="s">
        <v>405</v>
      </c>
      <c r="D1320" s="35" t="s">
        <v>463</v>
      </c>
      <c r="E1320" s="35" t="s">
        <v>614</v>
      </c>
      <c r="F1320" s="35" t="s">
        <v>407</v>
      </c>
    </row>
    <row r="1321" spans="1:7">
      <c r="A1321" s="34">
        <v>2084229914</v>
      </c>
      <c r="B1321" s="35" t="s">
        <v>462</v>
      </c>
      <c r="C1321" s="35" t="s">
        <v>405</v>
      </c>
      <c r="D1321" s="35" t="s">
        <v>463</v>
      </c>
      <c r="E1321" s="35" t="s">
        <v>614</v>
      </c>
      <c r="F1321" s="35" t="s">
        <v>408</v>
      </c>
    </row>
    <row r="1322" spans="1:7">
      <c r="A1322" s="34">
        <v>2084229916</v>
      </c>
      <c r="B1322" s="35" t="s">
        <v>462</v>
      </c>
      <c r="C1322" s="35" t="s">
        <v>405</v>
      </c>
      <c r="D1322" s="35" t="s">
        <v>463</v>
      </c>
      <c r="E1322" s="35" t="s">
        <v>614</v>
      </c>
      <c r="F1322" s="35" t="s">
        <v>335</v>
      </c>
    </row>
    <row r="1323" spans="1:7">
      <c r="A1323" s="34">
        <v>2084229917</v>
      </c>
      <c r="B1323" s="35" t="s">
        <v>462</v>
      </c>
      <c r="C1323" s="35" t="s">
        <v>405</v>
      </c>
      <c r="D1323" s="35" t="s">
        <v>463</v>
      </c>
      <c r="E1323" s="35" t="s">
        <v>615</v>
      </c>
    </row>
    <row r="1324" spans="1:7">
      <c r="A1324" s="34">
        <v>2084054421</v>
      </c>
      <c r="B1324" s="35" t="s">
        <v>462</v>
      </c>
      <c r="C1324" s="35" t="s">
        <v>405</v>
      </c>
      <c r="D1324" s="35" t="s">
        <v>463</v>
      </c>
      <c r="E1324" s="35" t="s">
        <v>616</v>
      </c>
      <c r="F1324" s="35" t="s">
        <v>367</v>
      </c>
    </row>
    <row r="1325" spans="1:7">
      <c r="A1325" s="34">
        <v>2084054424</v>
      </c>
      <c r="B1325" s="35" t="s">
        <v>462</v>
      </c>
      <c r="C1325" s="35" t="s">
        <v>405</v>
      </c>
      <c r="D1325" s="35" t="s">
        <v>463</v>
      </c>
      <c r="E1325" s="35" t="s">
        <v>616</v>
      </c>
      <c r="F1325" s="35" t="s">
        <v>368</v>
      </c>
      <c r="G1325" s="35" t="s">
        <v>481</v>
      </c>
    </row>
    <row r="1326" spans="1:7">
      <c r="A1326" s="34">
        <v>2084054423</v>
      </c>
      <c r="B1326" s="35" t="s">
        <v>462</v>
      </c>
      <c r="C1326" s="35" t="s">
        <v>405</v>
      </c>
      <c r="D1326" s="35" t="s">
        <v>463</v>
      </c>
      <c r="E1326" s="35" t="s">
        <v>616</v>
      </c>
      <c r="F1326" s="35" t="s">
        <v>368</v>
      </c>
      <c r="G1326" s="35" t="s">
        <v>482</v>
      </c>
    </row>
    <row r="1327" spans="1:7">
      <c r="A1327" s="34">
        <v>2084054425</v>
      </c>
      <c r="B1327" s="35" t="s">
        <v>462</v>
      </c>
      <c r="C1327" s="35" t="s">
        <v>405</v>
      </c>
      <c r="D1327" s="35" t="s">
        <v>463</v>
      </c>
      <c r="E1327" s="35" t="s">
        <v>616</v>
      </c>
      <c r="F1327" s="35" t="s">
        <v>368</v>
      </c>
      <c r="G1327" s="35" t="s">
        <v>335</v>
      </c>
    </row>
    <row r="1328" spans="1:7">
      <c r="A1328" s="34">
        <v>2084054431</v>
      </c>
      <c r="B1328" s="35" t="s">
        <v>462</v>
      </c>
      <c r="C1328" s="35" t="s">
        <v>405</v>
      </c>
      <c r="D1328" s="35" t="s">
        <v>463</v>
      </c>
      <c r="E1328" s="35" t="s">
        <v>616</v>
      </c>
      <c r="F1328" s="35" t="s">
        <v>10</v>
      </c>
      <c r="G1328" s="35" t="s">
        <v>483</v>
      </c>
    </row>
    <row r="1329" spans="1:7">
      <c r="A1329" s="34">
        <v>2084054428</v>
      </c>
      <c r="B1329" s="35" t="s">
        <v>462</v>
      </c>
      <c r="C1329" s="35" t="s">
        <v>405</v>
      </c>
      <c r="D1329" s="35" t="s">
        <v>463</v>
      </c>
      <c r="E1329" s="35" t="s">
        <v>616</v>
      </c>
      <c r="F1329" s="35" t="s">
        <v>10</v>
      </c>
      <c r="G1329" s="35" t="s">
        <v>397</v>
      </c>
    </row>
    <row r="1330" spans="1:7">
      <c r="A1330" s="34">
        <v>2084054430</v>
      </c>
      <c r="B1330" s="35" t="s">
        <v>462</v>
      </c>
      <c r="C1330" s="35" t="s">
        <v>405</v>
      </c>
      <c r="D1330" s="35" t="s">
        <v>463</v>
      </c>
      <c r="E1330" s="35" t="s">
        <v>616</v>
      </c>
      <c r="F1330" s="35" t="s">
        <v>10</v>
      </c>
      <c r="G1330" s="35" t="s">
        <v>421</v>
      </c>
    </row>
    <row r="1331" spans="1:7">
      <c r="A1331" s="34">
        <v>2084054427</v>
      </c>
      <c r="B1331" s="35" t="s">
        <v>462</v>
      </c>
      <c r="C1331" s="35" t="s">
        <v>405</v>
      </c>
      <c r="D1331" s="35" t="s">
        <v>463</v>
      </c>
      <c r="E1331" s="35" t="s">
        <v>616</v>
      </c>
      <c r="F1331" s="35" t="s">
        <v>10</v>
      </c>
      <c r="G1331" s="35" t="s">
        <v>398</v>
      </c>
    </row>
    <row r="1332" spans="1:7">
      <c r="A1332" s="34">
        <v>2084054429</v>
      </c>
      <c r="B1332" s="35" t="s">
        <v>462</v>
      </c>
      <c r="C1332" s="35" t="s">
        <v>405</v>
      </c>
      <c r="D1332" s="35" t="s">
        <v>463</v>
      </c>
      <c r="E1332" s="35" t="s">
        <v>616</v>
      </c>
      <c r="F1332" s="35" t="s">
        <v>10</v>
      </c>
      <c r="G1332" s="35" t="s">
        <v>422</v>
      </c>
    </row>
    <row r="1333" spans="1:7">
      <c r="A1333" s="34">
        <v>2084054432</v>
      </c>
      <c r="B1333" s="35" t="s">
        <v>462</v>
      </c>
      <c r="C1333" s="35" t="s">
        <v>405</v>
      </c>
      <c r="D1333" s="35" t="s">
        <v>463</v>
      </c>
      <c r="E1333" s="35" t="s">
        <v>616</v>
      </c>
      <c r="F1333" s="35" t="s">
        <v>10</v>
      </c>
      <c r="G1333" s="35" t="s">
        <v>335</v>
      </c>
    </row>
    <row r="1334" spans="1:7">
      <c r="A1334" s="34">
        <v>2084054434</v>
      </c>
      <c r="B1334" s="35" t="s">
        <v>462</v>
      </c>
      <c r="C1334" s="35" t="s">
        <v>405</v>
      </c>
      <c r="D1334" s="35" t="s">
        <v>463</v>
      </c>
      <c r="E1334" s="35" t="s">
        <v>616</v>
      </c>
      <c r="F1334" s="35" t="s">
        <v>379</v>
      </c>
      <c r="G1334" s="35" t="s">
        <v>476</v>
      </c>
    </row>
    <row r="1335" spans="1:7">
      <c r="A1335" s="34">
        <v>2084054435</v>
      </c>
      <c r="B1335" s="35" t="s">
        <v>462</v>
      </c>
      <c r="C1335" s="35" t="s">
        <v>405</v>
      </c>
      <c r="D1335" s="35" t="s">
        <v>463</v>
      </c>
      <c r="E1335" s="35" t="s">
        <v>616</v>
      </c>
      <c r="F1335" s="35" t="s">
        <v>379</v>
      </c>
      <c r="G1335" s="35" t="s">
        <v>335</v>
      </c>
    </row>
    <row r="1336" spans="1:7">
      <c r="A1336" s="34">
        <v>2084061438</v>
      </c>
      <c r="B1336" s="35" t="s">
        <v>462</v>
      </c>
      <c r="C1336" s="35" t="s">
        <v>405</v>
      </c>
      <c r="D1336" s="35" t="s">
        <v>463</v>
      </c>
      <c r="E1336" s="35" t="s">
        <v>616</v>
      </c>
      <c r="F1336" s="35" t="s">
        <v>478</v>
      </c>
    </row>
    <row r="1337" spans="1:7">
      <c r="A1337" s="34">
        <v>2084054436</v>
      </c>
      <c r="B1337" s="35" t="s">
        <v>462</v>
      </c>
      <c r="C1337" s="35" t="s">
        <v>405</v>
      </c>
      <c r="D1337" s="35" t="s">
        <v>463</v>
      </c>
      <c r="E1337" s="35" t="s">
        <v>616</v>
      </c>
      <c r="F1337" s="35" t="s">
        <v>335</v>
      </c>
    </row>
    <row r="1338" spans="1:7">
      <c r="A1338" s="34">
        <v>2084055779</v>
      </c>
      <c r="B1338" s="35" t="s">
        <v>462</v>
      </c>
      <c r="C1338" s="35" t="s">
        <v>405</v>
      </c>
      <c r="D1338" s="35" t="s">
        <v>617</v>
      </c>
      <c r="E1338" s="35" t="s">
        <v>618</v>
      </c>
      <c r="F1338" s="35" t="s">
        <v>367</v>
      </c>
    </row>
    <row r="1339" spans="1:7">
      <c r="A1339" s="34">
        <v>2084055780</v>
      </c>
      <c r="B1339" s="35" t="s">
        <v>462</v>
      </c>
      <c r="C1339" s="35" t="s">
        <v>405</v>
      </c>
      <c r="D1339" s="35" t="s">
        <v>617</v>
      </c>
      <c r="E1339" s="35" t="s">
        <v>618</v>
      </c>
      <c r="F1339" s="35" t="s">
        <v>401</v>
      </c>
    </row>
    <row r="1340" spans="1:7">
      <c r="A1340" s="34">
        <v>2084055790</v>
      </c>
      <c r="B1340" s="35" t="s">
        <v>462</v>
      </c>
      <c r="C1340" s="35" t="s">
        <v>405</v>
      </c>
      <c r="D1340" s="35" t="s">
        <v>617</v>
      </c>
      <c r="E1340" s="35" t="s">
        <v>618</v>
      </c>
      <c r="F1340" s="35" t="s">
        <v>10</v>
      </c>
      <c r="G1340" s="35" t="s">
        <v>483</v>
      </c>
    </row>
    <row r="1341" spans="1:7">
      <c r="A1341" s="34">
        <v>2084055789</v>
      </c>
      <c r="B1341" s="35" t="s">
        <v>462</v>
      </c>
      <c r="C1341" s="35" t="s">
        <v>405</v>
      </c>
      <c r="D1341" s="35" t="s">
        <v>617</v>
      </c>
      <c r="E1341" s="35" t="s">
        <v>618</v>
      </c>
      <c r="F1341" s="35" t="s">
        <v>10</v>
      </c>
      <c r="G1341" s="35" t="s">
        <v>397</v>
      </c>
    </row>
    <row r="1342" spans="1:7">
      <c r="A1342" s="34">
        <v>2084055788</v>
      </c>
      <c r="B1342" s="35" t="s">
        <v>462</v>
      </c>
      <c r="C1342" s="35" t="s">
        <v>405</v>
      </c>
      <c r="D1342" s="35" t="s">
        <v>617</v>
      </c>
      <c r="E1342" s="35" t="s">
        <v>618</v>
      </c>
      <c r="F1342" s="35" t="s">
        <v>10</v>
      </c>
      <c r="G1342" s="35" t="s">
        <v>421</v>
      </c>
    </row>
    <row r="1343" spans="1:7">
      <c r="A1343" s="34">
        <v>2084055787</v>
      </c>
      <c r="B1343" s="35" t="s">
        <v>462</v>
      </c>
      <c r="C1343" s="35" t="s">
        <v>405</v>
      </c>
      <c r="D1343" s="35" t="s">
        <v>617</v>
      </c>
      <c r="E1343" s="35" t="s">
        <v>618</v>
      </c>
      <c r="F1343" s="35" t="s">
        <v>10</v>
      </c>
      <c r="G1343" s="35" t="s">
        <v>398</v>
      </c>
    </row>
    <row r="1344" spans="1:7">
      <c r="A1344" s="34">
        <v>2084055786</v>
      </c>
      <c r="B1344" s="35" t="s">
        <v>462</v>
      </c>
      <c r="C1344" s="35" t="s">
        <v>405</v>
      </c>
      <c r="D1344" s="35" t="s">
        <v>617</v>
      </c>
      <c r="E1344" s="35" t="s">
        <v>618</v>
      </c>
      <c r="F1344" s="35" t="s">
        <v>10</v>
      </c>
      <c r="G1344" s="35" t="s">
        <v>422</v>
      </c>
    </row>
    <row r="1345" spans="1:8">
      <c r="A1345" s="34">
        <v>2084055791</v>
      </c>
      <c r="B1345" s="35" t="s">
        <v>462</v>
      </c>
      <c r="C1345" s="35" t="s">
        <v>405</v>
      </c>
      <c r="D1345" s="35" t="s">
        <v>617</v>
      </c>
      <c r="E1345" s="35" t="s">
        <v>618</v>
      </c>
      <c r="F1345" s="35" t="s">
        <v>10</v>
      </c>
      <c r="G1345" s="35" t="s">
        <v>335</v>
      </c>
    </row>
    <row r="1346" spans="1:8">
      <c r="A1346" s="34">
        <v>2084055784</v>
      </c>
      <c r="B1346" s="35" t="s">
        <v>462</v>
      </c>
      <c r="C1346" s="35" t="s">
        <v>405</v>
      </c>
      <c r="D1346" s="35" t="s">
        <v>617</v>
      </c>
      <c r="E1346" s="35" t="s">
        <v>618</v>
      </c>
      <c r="F1346" s="35" t="s">
        <v>379</v>
      </c>
      <c r="G1346" s="35" t="s">
        <v>476</v>
      </c>
    </row>
    <row r="1347" spans="1:8">
      <c r="A1347" s="34">
        <v>2084055785</v>
      </c>
      <c r="B1347" s="35" t="s">
        <v>462</v>
      </c>
      <c r="C1347" s="35" t="s">
        <v>405</v>
      </c>
      <c r="D1347" s="35" t="s">
        <v>617</v>
      </c>
      <c r="E1347" s="35" t="s">
        <v>618</v>
      </c>
      <c r="F1347" s="35" t="s">
        <v>379</v>
      </c>
      <c r="G1347" s="35" t="s">
        <v>335</v>
      </c>
    </row>
    <row r="1348" spans="1:8">
      <c r="A1348" s="34">
        <v>2084055783</v>
      </c>
      <c r="B1348" s="35" t="s">
        <v>462</v>
      </c>
      <c r="C1348" s="35" t="s">
        <v>405</v>
      </c>
      <c r="D1348" s="35" t="s">
        <v>617</v>
      </c>
      <c r="E1348" s="35" t="s">
        <v>618</v>
      </c>
      <c r="F1348" s="35" t="s">
        <v>335</v>
      </c>
    </row>
    <row r="1349" spans="1:8">
      <c r="A1349" s="34">
        <v>2084056366</v>
      </c>
      <c r="B1349" s="35" t="s">
        <v>462</v>
      </c>
      <c r="C1349" s="35" t="s">
        <v>405</v>
      </c>
      <c r="D1349" s="35" t="s">
        <v>617</v>
      </c>
      <c r="E1349" s="35" t="s">
        <v>619</v>
      </c>
      <c r="F1349" s="35" t="s">
        <v>390</v>
      </c>
      <c r="G1349" s="35" t="s">
        <v>367</v>
      </c>
    </row>
    <row r="1350" spans="1:8">
      <c r="A1350" s="34">
        <v>2084056368</v>
      </c>
      <c r="B1350" s="35" t="s">
        <v>462</v>
      </c>
      <c r="C1350" s="35" t="s">
        <v>405</v>
      </c>
      <c r="D1350" s="35" t="s">
        <v>617</v>
      </c>
      <c r="E1350" s="35" t="s">
        <v>619</v>
      </c>
      <c r="F1350" s="35" t="s">
        <v>390</v>
      </c>
      <c r="G1350" s="35" t="s">
        <v>368</v>
      </c>
      <c r="H1350" s="35" t="s">
        <v>481</v>
      </c>
    </row>
    <row r="1351" spans="1:8">
      <c r="A1351" s="34">
        <v>2084056369</v>
      </c>
      <c r="B1351" s="35" t="s">
        <v>462</v>
      </c>
      <c r="C1351" s="35" t="s">
        <v>405</v>
      </c>
      <c r="D1351" s="35" t="s">
        <v>617</v>
      </c>
      <c r="E1351" s="35" t="s">
        <v>619</v>
      </c>
      <c r="F1351" s="35" t="s">
        <v>390</v>
      </c>
      <c r="G1351" s="35" t="s">
        <v>368</v>
      </c>
      <c r="H1351" s="35" t="s">
        <v>335</v>
      </c>
    </row>
    <row r="1352" spans="1:8">
      <c r="A1352" s="34">
        <v>2084056376</v>
      </c>
      <c r="B1352" s="35" t="s">
        <v>462</v>
      </c>
      <c r="C1352" s="35" t="s">
        <v>405</v>
      </c>
      <c r="D1352" s="35" t="s">
        <v>617</v>
      </c>
      <c r="E1352" s="35" t="s">
        <v>619</v>
      </c>
      <c r="F1352" s="35" t="s">
        <v>390</v>
      </c>
      <c r="G1352" s="35" t="s">
        <v>10</v>
      </c>
      <c r="H1352" s="35" t="s">
        <v>483</v>
      </c>
    </row>
    <row r="1353" spans="1:8">
      <c r="A1353" s="34">
        <v>2084056372</v>
      </c>
      <c r="B1353" s="35" t="s">
        <v>462</v>
      </c>
      <c r="C1353" s="35" t="s">
        <v>405</v>
      </c>
      <c r="D1353" s="35" t="s">
        <v>617</v>
      </c>
      <c r="E1353" s="35" t="s">
        <v>619</v>
      </c>
      <c r="F1353" s="35" t="s">
        <v>390</v>
      </c>
      <c r="G1353" s="35" t="s">
        <v>10</v>
      </c>
      <c r="H1353" s="35" t="s">
        <v>397</v>
      </c>
    </row>
    <row r="1354" spans="1:8">
      <c r="A1354" s="34">
        <v>2084056375</v>
      </c>
      <c r="B1354" s="35" t="s">
        <v>462</v>
      </c>
      <c r="C1354" s="35" t="s">
        <v>405</v>
      </c>
      <c r="D1354" s="35" t="s">
        <v>617</v>
      </c>
      <c r="E1354" s="35" t="s">
        <v>619</v>
      </c>
      <c r="F1354" s="35" t="s">
        <v>390</v>
      </c>
      <c r="G1354" s="35" t="s">
        <v>10</v>
      </c>
      <c r="H1354" s="35" t="s">
        <v>421</v>
      </c>
    </row>
    <row r="1355" spans="1:8">
      <c r="A1355" s="34">
        <v>2084056371</v>
      </c>
      <c r="B1355" s="35" t="s">
        <v>462</v>
      </c>
      <c r="C1355" s="35" t="s">
        <v>405</v>
      </c>
      <c r="D1355" s="35" t="s">
        <v>617</v>
      </c>
      <c r="E1355" s="35" t="s">
        <v>619</v>
      </c>
      <c r="F1355" s="35" t="s">
        <v>390</v>
      </c>
      <c r="G1355" s="35" t="s">
        <v>10</v>
      </c>
      <c r="H1355" s="35" t="s">
        <v>398</v>
      </c>
    </row>
    <row r="1356" spans="1:8">
      <c r="A1356" s="34">
        <v>2084056374</v>
      </c>
      <c r="B1356" s="35" t="s">
        <v>462</v>
      </c>
      <c r="C1356" s="35" t="s">
        <v>405</v>
      </c>
      <c r="D1356" s="35" t="s">
        <v>617</v>
      </c>
      <c r="E1356" s="35" t="s">
        <v>619</v>
      </c>
      <c r="F1356" s="35" t="s">
        <v>390</v>
      </c>
      <c r="G1356" s="35" t="s">
        <v>10</v>
      </c>
      <c r="H1356" s="35" t="s">
        <v>422</v>
      </c>
    </row>
    <row r="1357" spans="1:8">
      <c r="A1357" s="34">
        <v>2084056377</v>
      </c>
      <c r="B1357" s="35" t="s">
        <v>462</v>
      </c>
      <c r="C1357" s="35" t="s">
        <v>405</v>
      </c>
      <c r="D1357" s="35" t="s">
        <v>617</v>
      </c>
      <c r="E1357" s="35" t="s">
        <v>619</v>
      </c>
      <c r="F1357" s="35" t="s">
        <v>390</v>
      </c>
      <c r="G1357" s="35" t="s">
        <v>10</v>
      </c>
      <c r="H1357" s="35" t="s">
        <v>335</v>
      </c>
    </row>
    <row r="1358" spans="1:8">
      <c r="A1358" s="34">
        <v>2084056379</v>
      </c>
      <c r="B1358" s="35" t="s">
        <v>462</v>
      </c>
      <c r="C1358" s="35" t="s">
        <v>405</v>
      </c>
      <c r="D1358" s="35" t="s">
        <v>617</v>
      </c>
      <c r="E1358" s="35" t="s">
        <v>619</v>
      </c>
      <c r="F1358" s="35" t="s">
        <v>390</v>
      </c>
      <c r="G1358" s="35" t="s">
        <v>379</v>
      </c>
      <c r="H1358" s="35" t="s">
        <v>476</v>
      </c>
    </row>
    <row r="1359" spans="1:8">
      <c r="A1359" s="34">
        <v>2084056380</v>
      </c>
      <c r="B1359" s="35" t="s">
        <v>462</v>
      </c>
      <c r="C1359" s="35" t="s">
        <v>405</v>
      </c>
      <c r="D1359" s="35" t="s">
        <v>617</v>
      </c>
      <c r="E1359" s="35" t="s">
        <v>619</v>
      </c>
      <c r="F1359" s="35" t="s">
        <v>390</v>
      </c>
      <c r="G1359" s="35" t="s">
        <v>379</v>
      </c>
      <c r="H1359" s="35" t="s">
        <v>335</v>
      </c>
    </row>
    <row r="1360" spans="1:8">
      <c r="A1360" s="34">
        <v>2084056381</v>
      </c>
      <c r="B1360" s="35" t="s">
        <v>462</v>
      </c>
      <c r="C1360" s="35" t="s">
        <v>405</v>
      </c>
      <c r="D1360" s="35" t="s">
        <v>617</v>
      </c>
      <c r="E1360" s="35" t="s">
        <v>619</v>
      </c>
      <c r="F1360" s="35" t="s">
        <v>390</v>
      </c>
      <c r="G1360" s="35" t="s">
        <v>335</v>
      </c>
    </row>
    <row r="1361" spans="1:8">
      <c r="A1361" s="34">
        <v>2084056382</v>
      </c>
      <c r="B1361" s="35" t="s">
        <v>462</v>
      </c>
      <c r="C1361" s="35" t="s">
        <v>405</v>
      </c>
      <c r="D1361" s="35" t="s">
        <v>617</v>
      </c>
      <c r="E1361" s="35" t="s">
        <v>619</v>
      </c>
      <c r="F1361" s="35" t="s">
        <v>335</v>
      </c>
    </row>
    <row r="1362" spans="1:8">
      <c r="A1362" s="34">
        <v>2084314315</v>
      </c>
      <c r="B1362" s="35" t="s">
        <v>462</v>
      </c>
      <c r="C1362" s="35" t="s">
        <v>405</v>
      </c>
      <c r="D1362" s="35" t="s">
        <v>617</v>
      </c>
      <c r="E1362" s="35" t="s">
        <v>620</v>
      </c>
    </row>
    <row r="1363" spans="1:8">
      <c r="A1363" s="34">
        <v>2084050780</v>
      </c>
      <c r="B1363" s="35" t="s">
        <v>462</v>
      </c>
      <c r="C1363" s="35" t="s">
        <v>405</v>
      </c>
      <c r="D1363" s="35" t="s">
        <v>617</v>
      </c>
      <c r="E1363" s="35" t="s">
        <v>621</v>
      </c>
      <c r="F1363" s="35" t="s">
        <v>390</v>
      </c>
      <c r="G1363" s="35" t="s">
        <v>368</v>
      </c>
      <c r="H1363" s="35" t="s">
        <v>481</v>
      </c>
    </row>
    <row r="1364" spans="1:8">
      <c r="A1364" s="34">
        <v>2084050781</v>
      </c>
      <c r="B1364" s="35" t="s">
        <v>462</v>
      </c>
      <c r="C1364" s="35" t="s">
        <v>405</v>
      </c>
      <c r="D1364" s="35" t="s">
        <v>617</v>
      </c>
      <c r="E1364" s="35" t="s">
        <v>621</v>
      </c>
      <c r="F1364" s="35" t="s">
        <v>390</v>
      </c>
      <c r="G1364" s="35" t="s">
        <v>368</v>
      </c>
      <c r="H1364" s="35" t="s">
        <v>335</v>
      </c>
    </row>
    <row r="1365" spans="1:8">
      <c r="A1365" s="34">
        <v>2084050783</v>
      </c>
      <c r="B1365" s="35" t="s">
        <v>462</v>
      </c>
      <c r="C1365" s="35" t="s">
        <v>405</v>
      </c>
      <c r="D1365" s="35" t="s">
        <v>617</v>
      </c>
      <c r="E1365" s="35" t="s">
        <v>621</v>
      </c>
      <c r="F1365" s="35" t="s">
        <v>390</v>
      </c>
      <c r="G1365" s="35" t="s">
        <v>10</v>
      </c>
      <c r="H1365" s="35" t="s">
        <v>568</v>
      </c>
    </row>
    <row r="1366" spans="1:8">
      <c r="A1366" s="34">
        <v>2084050784</v>
      </c>
      <c r="B1366" s="35" t="s">
        <v>462</v>
      </c>
      <c r="C1366" s="35" t="s">
        <v>405</v>
      </c>
      <c r="D1366" s="35" t="s">
        <v>617</v>
      </c>
      <c r="E1366" s="35" t="s">
        <v>621</v>
      </c>
      <c r="F1366" s="35" t="s">
        <v>390</v>
      </c>
      <c r="G1366" s="35" t="s">
        <v>10</v>
      </c>
      <c r="H1366" s="35" t="s">
        <v>622</v>
      </c>
    </row>
    <row r="1367" spans="1:8">
      <c r="A1367" s="34">
        <v>2084050785</v>
      </c>
      <c r="B1367" s="35" t="s">
        <v>462</v>
      </c>
      <c r="C1367" s="35" t="s">
        <v>405</v>
      </c>
      <c r="D1367" s="35" t="s">
        <v>617</v>
      </c>
      <c r="E1367" s="35" t="s">
        <v>621</v>
      </c>
      <c r="F1367" s="35" t="s">
        <v>390</v>
      </c>
      <c r="G1367" s="35" t="s">
        <v>10</v>
      </c>
      <c r="H1367" s="35" t="s">
        <v>335</v>
      </c>
    </row>
    <row r="1368" spans="1:8">
      <c r="A1368" s="34">
        <v>2084050787</v>
      </c>
      <c r="B1368" s="35" t="s">
        <v>462</v>
      </c>
      <c r="C1368" s="35" t="s">
        <v>405</v>
      </c>
      <c r="D1368" s="35" t="s">
        <v>617</v>
      </c>
      <c r="E1368" s="35" t="s">
        <v>621</v>
      </c>
      <c r="F1368" s="35" t="s">
        <v>390</v>
      </c>
      <c r="G1368" s="35" t="s">
        <v>379</v>
      </c>
      <c r="H1368" s="35" t="s">
        <v>476</v>
      </c>
    </row>
    <row r="1369" spans="1:8">
      <c r="A1369" s="34">
        <v>2084050788</v>
      </c>
      <c r="B1369" s="35" t="s">
        <v>462</v>
      </c>
      <c r="C1369" s="35" t="s">
        <v>405</v>
      </c>
      <c r="D1369" s="35" t="s">
        <v>617</v>
      </c>
      <c r="E1369" s="35" t="s">
        <v>621</v>
      </c>
      <c r="F1369" s="35" t="s">
        <v>390</v>
      </c>
      <c r="G1369" s="35" t="s">
        <v>379</v>
      </c>
      <c r="H1369" s="35" t="s">
        <v>335</v>
      </c>
    </row>
    <row r="1370" spans="1:8">
      <c r="A1370" s="34">
        <v>2084050778</v>
      </c>
      <c r="B1370" s="35" t="s">
        <v>462</v>
      </c>
      <c r="C1370" s="35" t="s">
        <v>405</v>
      </c>
      <c r="D1370" s="35" t="s">
        <v>617</v>
      </c>
      <c r="E1370" s="35" t="s">
        <v>621</v>
      </c>
      <c r="F1370" s="35" t="s">
        <v>390</v>
      </c>
      <c r="G1370" s="35" t="s">
        <v>478</v>
      </c>
    </row>
    <row r="1371" spans="1:8">
      <c r="A1371" s="34">
        <v>2084050789</v>
      </c>
      <c r="B1371" s="35" t="s">
        <v>462</v>
      </c>
      <c r="C1371" s="35" t="s">
        <v>405</v>
      </c>
      <c r="D1371" s="35" t="s">
        <v>617</v>
      </c>
      <c r="E1371" s="35" t="s">
        <v>621</v>
      </c>
      <c r="F1371" s="35" t="s">
        <v>390</v>
      </c>
      <c r="G1371" s="35" t="s">
        <v>335</v>
      </c>
    </row>
    <row r="1372" spans="1:8">
      <c r="A1372" s="34">
        <v>2084050770</v>
      </c>
      <c r="B1372" s="35" t="s">
        <v>462</v>
      </c>
      <c r="C1372" s="35" t="s">
        <v>405</v>
      </c>
      <c r="D1372" s="35" t="s">
        <v>617</v>
      </c>
      <c r="E1372" s="35" t="s">
        <v>621</v>
      </c>
      <c r="F1372" s="35" t="s">
        <v>353</v>
      </c>
      <c r="G1372" s="35" t="s">
        <v>368</v>
      </c>
      <c r="H1372" s="35" t="s">
        <v>481</v>
      </c>
    </row>
    <row r="1373" spans="1:8">
      <c r="A1373" s="34">
        <v>2084050771</v>
      </c>
      <c r="B1373" s="35" t="s">
        <v>462</v>
      </c>
      <c r="C1373" s="35" t="s">
        <v>405</v>
      </c>
      <c r="D1373" s="35" t="s">
        <v>617</v>
      </c>
      <c r="E1373" s="35" t="s">
        <v>621</v>
      </c>
      <c r="F1373" s="35" t="s">
        <v>353</v>
      </c>
      <c r="G1373" s="35" t="s">
        <v>368</v>
      </c>
      <c r="H1373" s="35" t="s">
        <v>335</v>
      </c>
    </row>
    <row r="1374" spans="1:8">
      <c r="A1374" s="34">
        <v>2084050773</v>
      </c>
      <c r="B1374" s="35" t="s">
        <v>462</v>
      </c>
      <c r="C1374" s="35" t="s">
        <v>405</v>
      </c>
      <c r="D1374" s="35" t="s">
        <v>617</v>
      </c>
      <c r="E1374" s="35" t="s">
        <v>621</v>
      </c>
      <c r="F1374" s="35" t="s">
        <v>353</v>
      </c>
      <c r="G1374" s="35" t="s">
        <v>10</v>
      </c>
      <c r="H1374" s="35" t="s">
        <v>385</v>
      </c>
    </row>
    <row r="1375" spans="1:8">
      <c r="A1375" s="34">
        <v>2084050774</v>
      </c>
      <c r="B1375" s="35" t="s">
        <v>462</v>
      </c>
      <c r="C1375" s="35" t="s">
        <v>405</v>
      </c>
      <c r="D1375" s="35" t="s">
        <v>617</v>
      </c>
      <c r="E1375" s="35" t="s">
        <v>621</v>
      </c>
      <c r="F1375" s="35" t="s">
        <v>353</v>
      </c>
      <c r="G1375" s="35" t="s">
        <v>10</v>
      </c>
      <c r="H1375" s="35" t="s">
        <v>335</v>
      </c>
    </row>
    <row r="1376" spans="1:8">
      <c r="A1376" s="34">
        <v>2084050775</v>
      </c>
      <c r="B1376" s="35" t="s">
        <v>462</v>
      </c>
      <c r="C1376" s="35" t="s">
        <v>405</v>
      </c>
      <c r="D1376" s="35" t="s">
        <v>617</v>
      </c>
      <c r="E1376" s="35" t="s">
        <v>621</v>
      </c>
      <c r="F1376" s="35" t="s">
        <v>353</v>
      </c>
      <c r="G1376" s="35" t="s">
        <v>403</v>
      </c>
    </row>
    <row r="1377" spans="1:8">
      <c r="A1377" s="34">
        <v>2084050776</v>
      </c>
      <c r="B1377" s="35" t="s">
        <v>462</v>
      </c>
      <c r="C1377" s="35" t="s">
        <v>405</v>
      </c>
      <c r="D1377" s="35" t="s">
        <v>617</v>
      </c>
      <c r="E1377" s="35" t="s">
        <v>621</v>
      </c>
      <c r="F1377" s="35" t="s">
        <v>353</v>
      </c>
      <c r="G1377" s="35" t="s">
        <v>335</v>
      </c>
    </row>
    <row r="1378" spans="1:8">
      <c r="A1378" s="34">
        <v>2084050791</v>
      </c>
      <c r="B1378" s="35" t="s">
        <v>462</v>
      </c>
      <c r="C1378" s="35" t="s">
        <v>405</v>
      </c>
      <c r="D1378" s="35" t="s">
        <v>617</v>
      </c>
      <c r="E1378" s="35" t="s">
        <v>621</v>
      </c>
      <c r="F1378" s="35" t="s">
        <v>442</v>
      </c>
      <c r="G1378" s="35" t="s">
        <v>569</v>
      </c>
    </row>
    <row r="1379" spans="1:8">
      <c r="A1379" s="34">
        <v>2084050792</v>
      </c>
      <c r="B1379" s="35" t="s">
        <v>462</v>
      </c>
      <c r="C1379" s="35" t="s">
        <v>405</v>
      </c>
      <c r="D1379" s="35" t="s">
        <v>617</v>
      </c>
      <c r="E1379" s="35" t="s">
        <v>621</v>
      </c>
      <c r="F1379" s="35" t="s">
        <v>442</v>
      </c>
      <c r="G1379" s="35" t="s">
        <v>335</v>
      </c>
    </row>
    <row r="1380" spans="1:8">
      <c r="A1380" s="34">
        <v>2084050793</v>
      </c>
      <c r="B1380" s="35" t="s">
        <v>462</v>
      </c>
      <c r="C1380" s="35" t="s">
        <v>405</v>
      </c>
      <c r="D1380" s="35" t="s">
        <v>617</v>
      </c>
      <c r="E1380" s="35" t="s">
        <v>621</v>
      </c>
      <c r="F1380" s="35" t="s">
        <v>335</v>
      </c>
    </row>
    <row r="1381" spans="1:8">
      <c r="A1381" s="34">
        <v>2084283083</v>
      </c>
      <c r="B1381" s="35" t="s">
        <v>462</v>
      </c>
      <c r="C1381" s="35" t="s">
        <v>405</v>
      </c>
      <c r="D1381" s="35" t="s">
        <v>617</v>
      </c>
      <c r="E1381" s="35" t="s">
        <v>623</v>
      </c>
    </row>
    <row r="1382" spans="1:8">
      <c r="A1382" s="34">
        <v>2084024416</v>
      </c>
      <c r="B1382" s="35" t="s">
        <v>462</v>
      </c>
      <c r="C1382" s="35" t="s">
        <v>405</v>
      </c>
      <c r="D1382" s="35" t="s">
        <v>617</v>
      </c>
      <c r="E1382" s="35" t="s">
        <v>624</v>
      </c>
    </row>
    <row r="1383" spans="1:8">
      <c r="A1383" s="34">
        <v>2084028225</v>
      </c>
      <c r="B1383" s="35" t="s">
        <v>462</v>
      </c>
      <c r="C1383" s="35" t="s">
        <v>405</v>
      </c>
      <c r="D1383" s="35" t="s">
        <v>617</v>
      </c>
      <c r="E1383" s="35" t="s">
        <v>625</v>
      </c>
      <c r="F1383" s="35" t="s">
        <v>390</v>
      </c>
      <c r="G1383" s="35" t="s">
        <v>367</v>
      </c>
    </row>
    <row r="1384" spans="1:8">
      <c r="A1384" s="34">
        <v>2084028777</v>
      </c>
      <c r="B1384" s="35" t="s">
        <v>462</v>
      </c>
      <c r="C1384" s="35" t="s">
        <v>405</v>
      </c>
      <c r="D1384" s="35" t="s">
        <v>617</v>
      </c>
      <c r="E1384" s="35" t="s">
        <v>625</v>
      </c>
      <c r="F1384" s="35" t="s">
        <v>390</v>
      </c>
      <c r="G1384" s="35" t="s">
        <v>368</v>
      </c>
      <c r="H1384" s="35" t="s">
        <v>508</v>
      </c>
    </row>
    <row r="1385" spans="1:8">
      <c r="A1385" s="34">
        <v>2084029310</v>
      </c>
      <c r="B1385" s="35" t="s">
        <v>462</v>
      </c>
      <c r="C1385" s="35" t="s">
        <v>405</v>
      </c>
      <c r="D1385" s="35" t="s">
        <v>617</v>
      </c>
      <c r="E1385" s="35" t="s">
        <v>625</v>
      </c>
      <c r="F1385" s="35" t="s">
        <v>390</v>
      </c>
      <c r="G1385" s="35" t="s">
        <v>368</v>
      </c>
      <c r="H1385" s="35" t="s">
        <v>481</v>
      </c>
    </row>
    <row r="1386" spans="1:8">
      <c r="A1386" s="34">
        <v>2084029887</v>
      </c>
      <c r="B1386" s="35" t="s">
        <v>462</v>
      </c>
      <c r="C1386" s="35" t="s">
        <v>405</v>
      </c>
      <c r="D1386" s="35" t="s">
        <v>617</v>
      </c>
      <c r="E1386" s="35" t="s">
        <v>625</v>
      </c>
      <c r="F1386" s="35" t="s">
        <v>390</v>
      </c>
      <c r="G1386" s="35" t="s">
        <v>368</v>
      </c>
      <c r="H1386" s="35" t="s">
        <v>494</v>
      </c>
    </row>
    <row r="1387" spans="1:8">
      <c r="A1387" s="34">
        <v>2084058687</v>
      </c>
      <c r="B1387" s="35" t="s">
        <v>462</v>
      </c>
      <c r="C1387" s="35" t="s">
        <v>405</v>
      </c>
      <c r="D1387" s="35" t="s">
        <v>617</v>
      </c>
      <c r="E1387" s="35" t="s">
        <v>625</v>
      </c>
      <c r="F1387" s="35" t="s">
        <v>390</v>
      </c>
      <c r="G1387" s="35" t="s">
        <v>368</v>
      </c>
      <c r="H1387" s="35" t="s">
        <v>335</v>
      </c>
    </row>
    <row r="1388" spans="1:8">
      <c r="A1388" s="34">
        <v>2084027326</v>
      </c>
      <c r="B1388" s="35" t="s">
        <v>462</v>
      </c>
      <c r="C1388" s="35" t="s">
        <v>405</v>
      </c>
      <c r="D1388" s="35" t="s">
        <v>617</v>
      </c>
      <c r="E1388" s="35" t="s">
        <v>625</v>
      </c>
      <c r="F1388" s="35" t="s">
        <v>390</v>
      </c>
      <c r="G1388" s="35" t="s">
        <v>10</v>
      </c>
      <c r="H1388" s="35" t="s">
        <v>509</v>
      </c>
    </row>
    <row r="1389" spans="1:8">
      <c r="A1389" s="34">
        <v>2084027819</v>
      </c>
      <c r="B1389" s="35" t="s">
        <v>462</v>
      </c>
      <c r="C1389" s="35" t="s">
        <v>405</v>
      </c>
      <c r="D1389" s="35" t="s">
        <v>617</v>
      </c>
      <c r="E1389" s="35" t="s">
        <v>625</v>
      </c>
      <c r="F1389" s="35" t="s">
        <v>390</v>
      </c>
      <c r="G1389" s="35" t="s">
        <v>10</v>
      </c>
      <c r="H1389" s="35" t="s">
        <v>510</v>
      </c>
    </row>
    <row r="1390" spans="1:8">
      <c r="A1390" s="34">
        <v>2084027851</v>
      </c>
      <c r="B1390" s="35" t="s">
        <v>462</v>
      </c>
      <c r="C1390" s="35" t="s">
        <v>405</v>
      </c>
      <c r="D1390" s="35" t="s">
        <v>617</v>
      </c>
      <c r="E1390" s="35" t="s">
        <v>625</v>
      </c>
      <c r="F1390" s="35" t="s">
        <v>390</v>
      </c>
      <c r="G1390" s="35" t="s">
        <v>10</v>
      </c>
      <c r="H1390" s="35" t="s">
        <v>511</v>
      </c>
    </row>
    <row r="1391" spans="1:8">
      <c r="A1391" s="34">
        <v>2084027931</v>
      </c>
      <c r="B1391" s="35" t="s">
        <v>462</v>
      </c>
      <c r="C1391" s="35" t="s">
        <v>405</v>
      </c>
      <c r="D1391" s="35" t="s">
        <v>617</v>
      </c>
      <c r="E1391" s="35" t="s">
        <v>625</v>
      </c>
      <c r="F1391" s="35" t="s">
        <v>390</v>
      </c>
      <c r="G1391" s="35" t="s">
        <v>10</v>
      </c>
      <c r="H1391" s="35" t="s">
        <v>493</v>
      </c>
    </row>
    <row r="1392" spans="1:8">
      <c r="A1392" s="34">
        <v>2084027450</v>
      </c>
      <c r="B1392" s="35" t="s">
        <v>462</v>
      </c>
      <c r="C1392" s="35" t="s">
        <v>405</v>
      </c>
      <c r="D1392" s="35" t="s">
        <v>617</v>
      </c>
      <c r="E1392" s="35" t="s">
        <v>625</v>
      </c>
      <c r="F1392" s="35" t="s">
        <v>390</v>
      </c>
      <c r="G1392" s="35" t="s">
        <v>10</v>
      </c>
      <c r="H1392" s="35" t="s">
        <v>512</v>
      </c>
    </row>
    <row r="1393" spans="1:8">
      <c r="A1393" s="34">
        <v>2084027617</v>
      </c>
      <c r="B1393" s="35" t="s">
        <v>462</v>
      </c>
      <c r="C1393" s="35" t="s">
        <v>405</v>
      </c>
      <c r="D1393" s="35" t="s">
        <v>617</v>
      </c>
      <c r="E1393" s="35" t="s">
        <v>625</v>
      </c>
      <c r="F1393" s="35" t="s">
        <v>390</v>
      </c>
      <c r="G1393" s="35" t="s">
        <v>10</v>
      </c>
      <c r="H1393" s="35" t="s">
        <v>513</v>
      </c>
    </row>
    <row r="1394" spans="1:8">
      <c r="A1394" s="34">
        <v>2084027987</v>
      </c>
      <c r="B1394" s="35" t="s">
        <v>462</v>
      </c>
      <c r="C1394" s="35" t="s">
        <v>405</v>
      </c>
      <c r="D1394" s="35" t="s">
        <v>617</v>
      </c>
      <c r="E1394" s="35" t="s">
        <v>625</v>
      </c>
      <c r="F1394" s="35" t="s">
        <v>390</v>
      </c>
      <c r="G1394" s="35" t="s">
        <v>10</v>
      </c>
      <c r="H1394" s="35" t="s">
        <v>420</v>
      </c>
    </row>
    <row r="1395" spans="1:8">
      <c r="A1395" s="34">
        <v>2084027288</v>
      </c>
      <c r="B1395" s="35" t="s">
        <v>462</v>
      </c>
      <c r="C1395" s="35" t="s">
        <v>405</v>
      </c>
      <c r="D1395" s="35" t="s">
        <v>617</v>
      </c>
      <c r="E1395" s="35" t="s">
        <v>625</v>
      </c>
      <c r="F1395" s="35" t="s">
        <v>390</v>
      </c>
      <c r="G1395" s="35" t="s">
        <v>10</v>
      </c>
      <c r="H1395" s="35" t="s">
        <v>514</v>
      </c>
    </row>
    <row r="1396" spans="1:8">
      <c r="A1396" s="34">
        <v>2084027415</v>
      </c>
      <c r="B1396" s="35" t="s">
        <v>462</v>
      </c>
      <c r="C1396" s="35" t="s">
        <v>405</v>
      </c>
      <c r="D1396" s="35" t="s">
        <v>617</v>
      </c>
      <c r="E1396" s="35" t="s">
        <v>625</v>
      </c>
      <c r="F1396" s="35" t="s">
        <v>390</v>
      </c>
      <c r="G1396" s="35" t="s">
        <v>10</v>
      </c>
      <c r="H1396" s="35" t="s">
        <v>515</v>
      </c>
    </row>
    <row r="1397" spans="1:8">
      <c r="A1397" s="34">
        <v>2084027534</v>
      </c>
      <c r="B1397" s="35" t="s">
        <v>462</v>
      </c>
      <c r="C1397" s="35" t="s">
        <v>405</v>
      </c>
      <c r="D1397" s="35" t="s">
        <v>617</v>
      </c>
      <c r="E1397" s="35" t="s">
        <v>625</v>
      </c>
      <c r="F1397" s="35" t="s">
        <v>390</v>
      </c>
      <c r="G1397" s="35" t="s">
        <v>10</v>
      </c>
      <c r="H1397" s="35" t="s">
        <v>421</v>
      </c>
    </row>
    <row r="1398" spans="1:8">
      <c r="A1398" s="34">
        <v>2084027695</v>
      </c>
      <c r="B1398" s="35" t="s">
        <v>462</v>
      </c>
      <c r="C1398" s="35" t="s">
        <v>405</v>
      </c>
      <c r="D1398" s="35" t="s">
        <v>617</v>
      </c>
      <c r="E1398" s="35" t="s">
        <v>625</v>
      </c>
      <c r="F1398" s="35" t="s">
        <v>390</v>
      </c>
      <c r="G1398" s="35" t="s">
        <v>10</v>
      </c>
      <c r="H1398" s="35" t="s">
        <v>516</v>
      </c>
    </row>
    <row r="1399" spans="1:8">
      <c r="A1399" s="34">
        <v>2084027212</v>
      </c>
      <c r="B1399" s="35" t="s">
        <v>462</v>
      </c>
      <c r="C1399" s="35" t="s">
        <v>405</v>
      </c>
      <c r="D1399" s="35" t="s">
        <v>617</v>
      </c>
      <c r="E1399" s="35" t="s">
        <v>625</v>
      </c>
      <c r="F1399" s="35" t="s">
        <v>390</v>
      </c>
      <c r="G1399" s="35" t="s">
        <v>10</v>
      </c>
      <c r="H1399" s="35" t="s">
        <v>517</v>
      </c>
    </row>
    <row r="1400" spans="1:8">
      <c r="A1400" s="34">
        <v>2084027381</v>
      </c>
      <c r="B1400" s="35" t="s">
        <v>462</v>
      </c>
      <c r="C1400" s="35" t="s">
        <v>405</v>
      </c>
      <c r="D1400" s="35" t="s">
        <v>617</v>
      </c>
      <c r="E1400" s="35" t="s">
        <v>625</v>
      </c>
      <c r="F1400" s="35" t="s">
        <v>390</v>
      </c>
      <c r="G1400" s="35" t="s">
        <v>10</v>
      </c>
      <c r="H1400" s="35" t="s">
        <v>518</v>
      </c>
    </row>
    <row r="1401" spans="1:8">
      <c r="A1401" s="34">
        <v>2084027584</v>
      </c>
      <c r="B1401" s="35" t="s">
        <v>462</v>
      </c>
      <c r="C1401" s="35" t="s">
        <v>405</v>
      </c>
      <c r="D1401" s="35" t="s">
        <v>617</v>
      </c>
      <c r="E1401" s="35" t="s">
        <v>625</v>
      </c>
      <c r="F1401" s="35" t="s">
        <v>390</v>
      </c>
      <c r="G1401" s="35" t="s">
        <v>10</v>
      </c>
      <c r="H1401" s="35" t="s">
        <v>422</v>
      </c>
    </row>
    <row r="1402" spans="1:8">
      <c r="A1402" s="34">
        <v>2084027785</v>
      </c>
      <c r="B1402" s="35" t="s">
        <v>462</v>
      </c>
      <c r="C1402" s="35" t="s">
        <v>405</v>
      </c>
      <c r="D1402" s="35" t="s">
        <v>617</v>
      </c>
      <c r="E1402" s="35" t="s">
        <v>625</v>
      </c>
      <c r="F1402" s="35" t="s">
        <v>390</v>
      </c>
      <c r="G1402" s="35" t="s">
        <v>10</v>
      </c>
      <c r="H1402" s="35" t="s">
        <v>519</v>
      </c>
    </row>
    <row r="1403" spans="1:8">
      <c r="A1403" s="34">
        <v>2084058689</v>
      </c>
      <c r="B1403" s="35" t="s">
        <v>462</v>
      </c>
      <c r="C1403" s="35" t="s">
        <v>405</v>
      </c>
      <c r="D1403" s="35" t="s">
        <v>617</v>
      </c>
      <c r="E1403" s="35" t="s">
        <v>625</v>
      </c>
      <c r="F1403" s="35" t="s">
        <v>390</v>
      </c>
      <c r="G1403" s="35" t="s">
        <v>10</v>
      </c>
      <c r="H1403" s="35" t="s">
        <v>335</v>
      </c>
    </row>
    <row r="1404" spans="1:8">
      <c r="A1404" s="34">
        <v>2084028021</v>
      </c>
      <c r="B1404" s="35" t="s">
        <v>462</v>
      </c>
      <c r="C1404" s="35" t="s">
        <v>405</v>
      </c>
      <c r="D1404" s="35" t="s">
        <v>617</v>
      </c>
      <c r="E1404" s="35" t="s">
        <v>625</v>
      </c>
      <c r="F1404" s="35" t="s">
        <v>390</v>
      </c>
      <c r="G1404" s="35" t="s">
        <v>379</v>
      </c>
      <c r="H1404" s="35" t="s">
        <v>520</v>
      </c>
    </row>
    <row r="1405" spans="1:8">
      <c r="A1405" s="34">
        <v>2084028056</v>
      </c>
      <c r="B1405" s="35" t="s">
        <v>462</v>
      </c>
      <c r="C1405" s="35" t="s">
        <v>405</v>
      </c>
      <c r="D1405" s="35" t="s">
        <v>617</v>
      </c>
      <c r="E1405" s="35" t="s">
        <v>625</v>
      </c>
      <c r="F1405" s="35" t="s">
        <v>390</v>
      </c>
      <c r="G1405" s="35" t="s">
        <v>379</v>
      </c>
      <c r="H1405" s="35" t="s">
        <v>521</v>
      </c>
    </row>
    <row r="1406" spans="1:8">
      <c r="A1406" s="34">
        <v>2084028156</v>
      </c>
      <c r="B1406" s="35" t="s">
        <v>462</v>
      </c>
      <c r="C1406" s="35" t="s">
        <v>405</v>
      </c>
      <c r="D1406" s="35" t="s">
        <v>617</v>
      </c>
      <c r="E1406" s="35" t="s">
        <v>625</v>
      </c>
      <c r="F1406" s="35" t="s">
        <v>390</v>
      </c>
      <c r="G1406" s="35" t="s">
        <v>379</v>
      </c>
      <c r="H1406" s="35" t="s">
        <v>522</v>
      </c>
    </row>
    <row r="1407" spans="1:8">
      <c r="A1407" s="34">
        <v>2084028429</v>
      </c>
      <c r="B1407" s="35" t="s">
        <v>462</v>
      </c>
      <c r="C1407" s="35" t="s">
        <v>405</v>
      </c>
      <c r="D1407" s="35" t="s">
        <v>617</v>
      </c>
      <c r="E1407" s="35" t="s">
        <v>625</v>
      </c>
      <c r="F1407" s="35" t="s">
        <v>390</v>
      </c>
      <c r="G1407" s="35" t="s">
        <v>379</v>
      </c>
      <c r="H1407" s="35" t="s">
        <v>523</v>
      </c>
    </row>
    <row r="1408" spans="1:8">
      <c r="A1408" s="34">
        <v>2084028095</v>
      </c>
      <c r="B1408" s="35" t="s">
        <v>462</v>
      </c>
      <c r="C1408" s="35" t="s">
        <v>405</v>
      </c>
      <c r="D1408" s="35" t="s">
        <v>617</v>
      </c>
      <c r="E1408" s="35" t="s">
        <v>625</v>
      </c>
      <c r="F1408" s="35" t="s">
        <v>390</v>
      </c>
      <c r="G1408" s="35" t="s">
        <v>379</v>
      </c>
      <c r="H1408" s="35" t="s">
        <v>524</v>
      </c>
    </row>
    <row r="1409" spans="1:8">
      <c r="A1409" s="34">
        <v>2084028261</v>
      </c>
      <c r="B1409" s="35" t="s">
        <v>462</v>
      </c>
      <c r="C1409" s="35" t="s">
        <v>405</v>
      </c>
      <c r="D1409" s="35" t="s">
        <v>617</v>
      </c>
      <c r="E1409" s="35" t="s">
        <v>625</v>
      </c>
      <c r="F1409" s="35" t="s">
        <v>390</v>
      </c>
      <c r="G1409" s="35" t="s">
        <v>379</v>
      </c>
      <c r="H1409" s="35" t="s">
        <v>525</v>
      </c>
    </row>
    <row r="1410" spans="1:8">
      <c r="A1410" s="34">
        <v>2084028463</v>
      </c>
      <c r="B1410" s="35" t="s">
        <v>462</v>
      </c>
      <c r="C1410" s="35" t="s">
        <v>405</v>
      </c>
      <c r="D1410" s="35" t="s">
        <v>617</v>
      </c>
      <c r="E1410" s="35" t="s">
        <v>625</v>
      </c>
      <c r="F1410" s="35" t="s">
        <v>390</v>
      </c>
      <c r="G1410" s="35" t="s">
        <v>379</v>
      </c>
      <c r="H1410" s="35" t="s">
        <v>526</v>
      </c>
    </row>
    <row r="1411" spans="1:8">
      <c r="A1411" s="34">
        <v>2084028332</v>
      </c>
      <c r="B1411" s="35" t="s">
        <v>462</v>
      </c>
      <c r="C1411" s="35" t="s">
        <v>405</v>
      </c>
      <c r="D1411" s="35" t="s">
        <v>617</v>
      </c>
      <c r="E1411" s="35" t="s">
        <v>625</v>
      </c>
      <c r="F1411" s="35" t="s">
        <v>390</v>
      </c>
      <c r="G1411" s="35" t="s">
        <v>379</v>
      </c>
      <c r="H1411" s="35" t="s">
        <v>527</v>
      </c>
    </row>
    <row r="1412" spans="1:8">
      <c r="A1412" s="34">
        <v>2084028498</v>
      </c>
      <c r="B1412" s="35" t="s">
        <v>462</v>
      </c>
      <c r="C1412" s="35" t="s">
        <v>405</v>
      </c>
      <c r="D1412" s="35" t="s">
        <v>617</v>
      </c>
      <c r="E1412" s="35" t="s">
        <v>625</v>
      </c>
      <c r="F1412" s="35" t="s">
        <v>390</v>
      </c>
      <c r="G1412" s="35" t="s">
        <v>379</v>
      </c>
      <c r="H1412" s="35" t="s">
        <v>528</v>
      </c>
    </row>
    <row r="1413" spans="1:8">
      <c r="A1413" s="34">
        <v>2084028374</v>
      </c>
      <c r="B1413" s="35" t="s">
        <v>462</v>
      </c>
      <c r="C1413" s="35" t="s">
        <v>405</v>
      </c>
      <c r="D1413" s="35" t="s">
        <v>617</v>
      </c>
      <c r="E1413" s="35" t="s">
        <v>625</v>
      </c>
      <c r="F1413" s="35" t="s">
        <v>390</v>
      </c>
      <c r="G1413" s="35" t="s">
        <v>379</v>
      </c>
      <c r="H1413" s="35" t="s">
        <v>548</v>
      </c>
    </row>
    <row r="1414" spans="1:8">
      <c r="A1414" s="34">
        <v>2084058691</v>
      </c>
      <c r="B1414" s="35" t="s">
        <v>462</v>
      </c>
      <c r="C1414" s="35" t="s">
        <v>405</v>
      </c>
      <c r="D1414" s="35" t="s">
        <v>617</v>
      </c>
      <c r="E1414" s="35" t="s">
        <v>625</v>
      </c>
      <c r="F1414" s="35" t="s">
        <v>390</v>
      </c>
      <c r="G1414" s="35" t="s">
        <v>379</v>
      </c>
      <c r="H1414" s="35" t="s">
        <v>335</v>
      </c>
    </row>
    <row r="1415" spans="1:8">
      <c r="A1415" s="34">
        <v>2084028588</v>
      </c>
      <c r="B1415" s="35" t="s">
        <v>462</v>
      </c>
      <c r="C1415" s="35" t="s">
        <v>405</v>
      </c>
      <c r="D1415" s="35" t="s">
        <v>617</v>
      </c>
      <c r="E1415" s="35" t="s">
        <v>625</v>
      </c>
      <c r="F1415" s="35" t="s">
        <v>390</v>
      </c>
      <c r="G1415" s="35" t="s">
        <v>530</v>
      </c>
      <c r="H1415" s="35" t="s">
        <v>531</v>
      </c>
    </row>
    <row r="1416" spans="1:8">
      <c r="A1416" s="34">
        <v>2084028632</v>
      </c>
      <c r="B1416" s="35" t="s">
        <v>462</v>
      </c>
      <c r="C1416" s="35" t="s">
        <v>405</v>
      </c>
      <c r="D1416" s="35" t="s">
        <v>617</v>
      </c>
      <c r="E1416" s="35" t="s">
        <v>625</v>
      </c>
      <c r="F1416" s="35" t="s">
        <v>390</v>
      </c>
      <c r="G1416" s="35" t="s">
        <v>530</v>
      </c>
      <c r="H1416" s="35" t="s">
        <v>532</v>
      </c>
    </row>
    <row r="1417" spans="1:8">
      <c r="A1417" s="34">
        <v>2084058693</v>
      </c>
      <c r="B1417" s="35" t="s">
        <v>462</v>
      </c>
      <c r="C1417" s="35" t="s">
        <v>405</v>
      </c>
      <c r="D1417" s="35" t="s">
        <v>617</v>
      </c>
      <c r="E1417" s="35" t="s">
        <v>625</v>
      </c>
      <c r="F1417" s="35" t="s">
        <v>390</v>
      </c>
      <c r="G1417" s="35" t="s">
        <v>530</v>
      </c>
      <c r="H1417" s="35" t="s">
        <v>335</v>
      </c>
    </row>
    <row r="1418" spans="1:8">
      <c r="A1418" s="34">
        <v>2084030124</v>
      </c>
      <c r="B1418" s="35" t="s">
        <v>462</v>
      </c>
      <c r="C1418" s="35" t="s">
        <v>405</v>
      </c>
      <c r="D1418" s="35" t="s">
        <v>617</v>
      </c>
      <c r="E1418" s="35" t="s">
        <v>625</v>
      </c>
      <c r="F1418" s="35" t="s">
        <v>390</v>
      </c>
      <c r="G1418" s="35" t="s">
        <v>533</v>
      </c>
      <c r="H1418" s="35" t="s">
        <v>534</v>
      </c>
    </row>
    <row r="1419" spans="1:8">
      <c r="A1419" s="34">
        <v>2084030158</v>
      </c>
      <c r="B1419" s="35" t="s">
        <v>462</v>
      </c>
      <c r="C1419" s="35" t="s">
        <v>405</v>
      </c>
      <c r="D1419" s="35" t="s">
        <v>617</v>
      </c>
      <c r="E1419" s="35" t="s">
        <v>625</v>
      </c>
      <c r="F1419" s="35" t="s">
        <v>390</v>
      </c>
      <c r="G1419" s="35" t="s">
        <v>533</v>
      </c>
      <c r="H1419" s="35" t="s">
        <v>535</v>
      </c>
    </row>
    <row r="1420" spans="1:8">
      <c r="A1420" s="34">
        <v>2084027145</v>
      </c>
      <c r="B1420" s="35" t="s">
        <v>462</v>
      </c>
      <c r="C1420" s="35" t="s">
        <v>405</v>
      </c>
      <c r="D1420" s="35" t="s">
        <v>617</v>
      </c>
      <c r="E1420" s="35" t="s">
        <v>625</v>
      </c>
      <c r="F1420" s="35" t="s">
        <v>390</v>
      </c>
      <c r="G1420" s="35" t="s">
        <v>533</v>
      </c>
      <c r="H1420" s="35" t="s">
        <v>536</v>
      </c>
    </row>
    <row r="1421" spans="1:8">
      <c r="A1421" s="34">
        <v>2084058695</v>
      </c>
      <c r="B1421" s="35" t="s">
        <v>462</v>
      </c>
      <c r="C1421" s="35" t="s">
        <v>405</v>
      </c>
      <c r="D1421" s="35" t="s">
        <v>617</v>
      </c>
      <c r="E1421" s="35" t="s">
        <v>625</v>
      </c>
      <c r="F1421" s="35" t="s">
        <v>390</v>
      </c>
      <c r="G1421" s="35" t="s">
        <v>533</v>
      </c>
      <c r="H1421" s="35" t="s">
        <v>335</v>
      </c>
    </row>
    <row r="1422" spans="1:8">
      <c r="A1422" s="34">
        <v>2084058782</v>
      </c>
      <c r="B1422" s="35" t="s">
        <v>462</v>
      </c>
      <c r="C1422" s="35" t="s">
        <v>405</v>
      </c>
      <c r="D1422" s="35" t="s">
        <v>617</v>
      </c>
      <c r="E1422" s="35" t="s">
        <v>625</v>
      </c>
      <c r="F1422" s="35" t="s">
        <v>390</v>
      </c>
      <c r="G1422" s="35" t="s">
        <v>335</v>
      </c>
    </row>
    <row r="1423" spans="1:8">
      <c r="A1423" s="34">
        <v>2084048666</v>
      </c>
      <c r="B1423" s="35" t="s">
        <v>462</v>
      </c>
      <c r="C1423" s="35" t="s">
        <v>405</v>
      </c>
      <c r="D1423" s="35" t="s">
        <v>617</v>
      </c>
      <c r="E1423" s="35" t="s">
        <v>625</v>
      </c>
      <c r="F1423" s="35" t="s">
        <v>335</v>
      </c>
    </row>
    <row r="1424" spans="1:8">
      <c r="A1424" s="34">
        <v>2084051514</v>
      </c>
      <c r="B1424" s="35" t="s">
        <v>462</v>
      </c>
      <c r="C1424" s="35" t="s">
        <v>405</v>
      </c>
      <c r="D1424" s="35" t="s">
        <v>617</v>
      </c>
      <c r="E1424" s="35" t="s">
        <v>626</v>
      </c>
      <c r="F1424" s="35" t="s">
        <v>475</v>
      </c>
    </row>
    <row r="1425" spans="1:8">
      <c r="A1425" s="34">
        <v>2084051518</v>
      </c>
      <c r="B1425" s="35" t="s">
        <v>462</v>
      </c>
      <c r="C1425" s="35" t="s">
        <v>405</v>
      </c>
      <c r="D1425" s="35" t="s">
        <v>617</v>
      </c>
      <c r="E1425" s="35" t="s">
        <v>626</v>
      </c>
      <c r="F1425" s="35" t="s">
        <v>390</v>
      </c>
      <c r="G1425" s="35" t="s">
        <v>368</v>
      </c>
      <c r="H1425" s="35" t="s">
        <v>481</v>
      </c>
    </row>
    <row r="1426" spans="1:8">
      <c r="A1426" s="34">
        <v>2084051519</v>
      </c>
      <c r="B1426" s="35" t="s">
        <v>462</v>
      </c>
      <c r="C1426" s="35" t="s">
        <v>405</v>
      </c>
      <c r="D1426" s="35" t="s">
        <v>617</v>
      </c>
      <c r="E1426" s="35" t="s">
        <v>626</v>
      </c>
      <c r="F1426" s="35" t="s">
        <v>390</v>
      </c>
      <c r="G1426" s="35" t="s">
        <v>368</v>
      </c>
      <c r="H1426" s="35" t="s">
        <v>335</v>
      </c>
    </row>
    <row r="1427" spans="1:8">
      <c r="A1427" s="34">
        <v>2084051521</v>
      </c>
      <c r="B1427" s="35" t="s">
        <v>462</v>
      </c>
      <c r="C1427" s="35" t="s">
        <v>405</v>
      </c>
      <c r="D1427" s="35" t="s">
        <v>617</v>
      </c>
      <c r="E1427" s="35" t="s">
        <v>626</v>
      </c>
      <c r="F1427" s="35" t="s">
        <v>390</v>
      </c>
      <c r="G1427" s="35" t="s">
        <v>10</v>
      </c>
      <c r="H1427" s="35" t="s">
        <v>510</v>
      </c>
    </row>
    <row r="1428" spans="1:8">
      <c r="A1428" s="34">
        <v>2084051523</v>
      </c>
      <c r="B1428" s="35" t="s">
        <v>462</v>
      </c>
      <c r="C1428" s="35" t="s">
        <v>405</v>
      </c>
      <c r="D1428" s="35" t="s">
        <v>617</v>
      </c>
      <c r="E1428" s="35" t="s">
        <v>626</v>
      </c>
      <c r="F1428" s="35" t="s">
        <v>390</v>
      </c>
      <c r="G1428" s="35" t="s">
        <v>10</v>
      </c>
      <c r="H1428" s="35" t="s">
        <v>397</v>
      </c>
    </row>
    <row r="1429" spans="1:8">
      <c r="A1429" s="34">
        <v>2084051522</v>
      </c>
      <c r="B1429" s="35" t="s">
        <v>462</v>
      </c>
      <c r="C1429" s="35" t="s">
        <v>405</v>
      </c>
      <c r="D1429" s="35" t="s">
        <v>617</v>
      </c>
      <c r="E1429" s="35" t="s">
        <v>626</v>
      </c>
      <c r="F1429" s="35" t="s">
        <v>390</v>
      </c>
      <c r="G1429" s="35" t="s">
        <v>10</v>
      </c>
      <c r="H1429" s="35" t="s">
        <v>398</v>
      </c>
    </row>
    <row r="1430" spans="1:8">
      <c r="A1430" s="34">
        <v>2084051524</v>
      </c>
      <c r="B1430" s="35" t="s">
        <v>462</v>
      </c>
      <c r="C1430" s="35" t="s">
        <v>405</v>
      </c>
      <c r="D1430" s="35" t="s">
        <v>617</v>
      </c>
      <c r="E1430" s="35" t="s">
        <v>626</v>
      </c>
      <c r="F1430" s="35" t="s">
        <v>390</v>
      </c>
      <c r="G1430" s="35" t="s">
        <v>10</v>
      </c>
      <c r="H1430" s="35" t="s">
        <v>335</v>
      </c>
    </row>
    <row r="1431" spans="1:8">
      <c r="A1431" s="34">
        <v>2084051526</v>
      </c>
      <c r="B1431" s="35" t="s">
        <v>462</v>
      </c>
      <c r="C1431" s="35" t="s">
        <v>405</v>
      </c>
      <c r="D1431" s="35" t="s">
        <v>617</v>
      </c>
      <c r="E1431" s="35" t="s">
        <v>626</v>
      </c>
      <c r="F1431" s="35" t="s">
        <v>390</v>
      </c>
      <c r="G1431" s="35" t="s">
        <v>379</v>
      </c>
      <c r="H1431" s="35" t="s">
        <v>476</v>
      </c>
    </row>
    <row r="1432" spans="1:8">
      <c r="A1432" s="34">
        <v>2084051527</v>
      </c>
      <c r="B1432" s="35" t="s">
        <v>462</v>
      </c>
      <c r="C1432" s="35" t="s">
        <v>405</v>
      </c>
      <c r="D1432" s="35" t="s">
        <v>617</v>
      </c>
      <c r="E1432" s="35" t="s">
        <v>626</v>
      </c>
      <c r="F1432" s="35" t="s">
        <v>390</v>
      </c>
      <c r="G1432" s="35" t="s">
        <v>379</v>
      </c>
      <c r="H1432" s="35" t="s">
        <v>335</v>
      </c>
    </row>
    <row r="1433" spans="1:8">
      <c r="A1433" s="34">
        <v>2084051528</v>
      </c>
      <c r="B1433" s="35" t="s">
        <v>462</v>
      </c>
      <c r="C1433" s="35" t="s">
        <v>405</v>
      </c>
      <c r="D1433" s="35" t="s">
        <v>617</v>
      </c>
      <c r="E1433" s="35" t="s">
        <v>626</v>
      </c>
      <c r="F1433" s="35" t="s">
        <v>390</v>
      </c>
      <c r="G1433" s="35" t="s">
        <v>335</v>
      </c>
    </row>
    <row r="1434" spans="1:8">
      <c r="A1434" s="34">
        <v>2084030705</v>
      </c>
      <c r="B1434" s="35" t="s">
        <v>462</v>
      </c>
      <c r="C1434" s="35" t="s">
        <v>405</v>
      </c>
      <c r="D1434" s="35" t="s">
        <v>617</v>
      </c>
      <c r="E1434" s="35" t="s">
        <v>626</v>
      </c>
      <c r="F1434" s="35" t="s">
        <v>353</v>
      </c>
      <c r="G1434" s="35" t="s">
        <v>368</v>
      </c>
      <c r="H1434" s="35" t="s">
        <v>481</v>
      </c>
    </row>
    <row r="1435" spans="1:8">
      <c r="A1435" s="34">
        <v>2084051509</v>
      </c>
      <c r="B1435" s="35" t="s">
        <v>462</v>
      </c>
      <c r="C1435" s="35" t="s">
        <v>405</v>
      </c>
      <c r="D1435" s="35" t="s">
        <v>617</v>
      </c>
      <c r="E1435" s="35" t="s">
        <v>626</v>
      </c>
      <c r="F1435" s="35" t="s">
        <v>353</v>
      </c>
      <c r="G1435" s="35" t="s">
        <v>368</v>
      </c>
      <c r="H1435" s="35" t="s">
        <v>335</v>
      </c>
    </row>
    <row r="1436" spans="1:8">
      <c r="A1436" s="34">
        <v>2084031603</v>
      </c>
      <c r="B1436" s="35" t="s">
        <v>462</v>
      </c>
      <c r="C1436" s="35" t="s">
        <v>405</v>
      </c>
      <c r="D1436" s="35" t="s">
        <v>617</v>
      </c>
      <c r="E1436" s="35" t="s">
        <v>626</v>
      </c>
      <c r="F1436" s="35" t="s">
        <v>353</v>
      </c>
      <c r="G1436" s="35" t="s">
        <v>10</v>
      </c>
      <c r="H1436" s="35" t="s">
        <v>483</v>
      </c>
    </row>
    <row r="1437" spans="1:8">
      <c r="A1437" s="34">
        <v>2084031497</v>
      </c>
      <c r="B1437" s="35" t="s">
        <v>462</v>
      </c>
      <c r="C1437" s="35" t="s">
        <v>405</v>
      </c>
      <c r="D1437" s="35" t="s">
        <v>617</v>
      </c>
      <c r="E1437" s="35" t="s">
        <v>626</v>
      </c>
      <c r="F1437" s="35" t="s">
        <v>353</v>
      </c>
      <c r="G1437" s="35" t="s">
        <v>10</v>
      </c>
      <c r="H1437" s="35" t="s">
        <v>397</v>
      </c>
    </row>
    <row r="1438" spans="1:8">
      <c r="A1438" s="34">
        <v>2084030405</v>
      </c>
      <c r="B1438" s="35" t="s">
        <v>462</v>
      </c>
      <c r="C1438" s="35" t="s">
        <v>405</v>
      </c>
      <c r="D1438" s="35" t="s">
        <v>617</v>
      </c>
      <c r="E1438" s="35" t="s">
        <v>626</v>
      </c>
      <c r="F1438" s="35" t="s">
        <v>353</v>
      </c>
      <c r="G1438" s="35" t="s">
        <v>10</v>
      </c>
      <c r="H1438" s="35" t="s">
        <v>421</v>
      </c>
    </row>
    <row r="1439" spans="1:8">
      <c r="A1439" s="34">
        <v>2084031573</v>
      </c>
      <c r="B1439" s="35" t="s">
        <v>462</v>
      </c>
      <c r="C1439" s="35" t="s">
        <v>405</v>
      </c>
      <c r="D1439" s="35" t="s">
        <v>617</v>
      </c>
      <c r="E1439" s="35" t="s">
        <v>626</v>
      </c>
      <c r="F1439" s="35" t="s">
        <v>353</v>
      </c>
      <c r="G1439" s="35" t="s">
        <v>10</v>
      </c>
      <c r="H1439" s="35" t="s">
        <v>398</v>
      </c>
    </row>
    <row r="1440" spans="1:8">
      <c r="A1440" s="34">
        <v>2084030344</v>
      </c>
      <c r="B1440" s="35" t="s">
        <v>462</v>
      </c>
      <c r="C1440" s="35" t="s">
        <v>405</v>
      </c>
      <c r="D1440" s="35" t="s">
        <v>617</v>
      </c>
      <c r="E1440" s="35" t="s">
        <v>626</v>
      </c>
      <c r="F1440" s="35" t="s">
        <v>353</v>
      </c>
      <c r="G1440" s="35" t="s">
        <v>10</v>
      </c>
      <c r="H1440" s="35" t="s">
        <v>422</v>
      </c>
    </row>
    <row r="1441" spans="1:8">
      <c r="A1441" s="34">
        <v>2084051511</v>
      </c>
      <c r="B1441" s="35" t="s">
        <v>462</v>
      </c>
      <c r="C1441" s="35" t="s">
        <v>405</v>
      </c>
      <c r="D1441" s="35" t="s">
        <v>617</v>
      </c>
      <c r="E1441" s="35" t="s">
        <v>626</v>
      </c>
      <c r="F1441" s="35" t="s">
        <v>353</v>
      </c>
      <c r="G1441" s="35" t="s">
        <v>10</v>
      </c>
      <c r="H1441" s="35" t="s">
        <v>335</v>
      </c>
    </row>
    <row r="1442" spans="1:8">
      <c r="A1442" s="34">
        <v>2084051512</v>
      </c>
      <c r="B1442" s="35" t="s">
        <v>462</v>
      </c>
      <c r="C1442" s="35" t="s">
        <v>405</v>
      </c>
      <c r="D1442" s="35" t="s">
        <v>617</v>
      </c>
      <c r="E1442" s="35" t="s">
        <v>626</v>
      </c>
      <c r="F1442" s="35" t="s">
        <v>353</v>
      </c>
      <c r="G1442" s="35" t="s">
        <v>403</v>
      </c>
    </row>
    <row r="1443" spans="1:8">
      <c r="A1443" s="34">
        <v>2084051513</v>
      </c>
      <c r="B1443" s="35" t="s">
        <v>462</v>
      </c>
      <c r="C1443" s="35" t="s">
        <v>405</v>
      </c>
      <c r="D1443" s="35" t="s">
        <v>617</v>
      </c>
      <c r="E1443" s="35" t="s">
        <v>626</v>
      </c>
      <c r="F1443" s="35" t="s">
        <v>353</v>
      </c>
      <c r="G1443" s="35" t="s">
        <v>335</v>
      </c>
    </row>
    <row r="1444" spans="1:8">
      <c r="A1444" s="34">
        <v>2084048664</v>
      </c>
      <c r="B1444" s="35" t="s">
        <v>462</v>
      </c>
      <c r="C1444" s="35" t="s">
        <v>405</v>
      </c>
      <c r="D1444" s="35" t="s">
        <v>617</v>
      </c>
      <c r="E1444" s="35" t="s">
        <v>626</v>
      </c>
      <c r="F1444" s="35" t="s">
        <v>335</v>
      </c>
    </row>
    <row r="1445" spans="1:8">
      <c r="A1445" s="34">
        <v>2084229925</v>
      </c>
      <c r="B1445" s="35" t="s">
        <v>462</v>
      </c>
      <c r="C1445" s="35" t="s">
        <v>405</v>
      </c>
      <c r="D1445" s="35" t="s">
        <v>617</v>
      </c>
      <c r="E1445" s="35" t="s">
        <v>627</v>
      </c>
    </row>
    <row r="1446" spans="1:8">
      <c r="A1446" s="34">
        <v>2084210893</v>
      </c>
      <c r="B1446" s="35" t="s">
        <v>462</v>
      </c>
      <c r="C1446" s="35" t="s">
        <v>405</v>
      </c>
      <c r="D1446" s="35" t="s">
        <v>617</v>
      </c>
      <c r="E1446" s="35" t="s">
        <v>628</v>
      </c>
      <c r="F1446" s="35" t="s">
        <v>475</v>
      </c>
    </row>
    <row r="1447" spans="1:8">
      <c r="A1447" s="34">
        <v>2084210895</v>
      </c>
      <c r="B1447" s="35" t="s">
        <v>462</v>
      </c>
      <c r="C1447" s="35" t="s">
        <v>405</v>
      </c>
      <c r="D1447" s="35" t="s">
        <v>617</v>
      </c>
      <c r="E1447" s="35" t="s">
        <v>628</v>
      </c>
      <c r="F1447" s="35" t="s">
        <v>442</v>
      </c>
      <c r="G1447" s="35" t="s">
        <v>504</v>
      </c>
    </row>
    <row r="1448" spans="1:8">
      <c r="A1448" s="34">
        <v>2084210896</v>
      </c>
      <c r="B1448" s="35" t="s">
        <v>462</v>
      </c>
      <c r="C1448" s="35" t="s">
        <v>405</v>
      </c>
      <c r="D1448" s="35" t="s">
        <v>617</v>
      </c>
      <c r="E1448" s="35" t="s">
        <v>628</v>
      </c>
      <c r="F1448" s="35" t="s">
        <v>442</v>
      </c>
      <c r="G1448" s="35" t="s">
        <v>335</v>
      </c>
    </row>
    <row r="1449" spans="1:8">
      <c r="A1449" s="34">
        <v>2084210897</v>
      </c>
      <c r="B1449" s="35" t="s">
        <v>462</v>
      </c>
      <c r="C1449" s="35" t="s">
        <v>405</v>
      </c>
      <c r="D1449" s="35" t="s">
        <v>617</v>
      </c>
      <c r="E1449" s="35" t="s">
        <v>628</v>
      </c>
      <c r="F1449" s="35" t="s">
        <v>335</v>
      </c>
    </row>
    <row r="1450" spans="1:8">
      <c r="A1450" s="34">
        <v>2084028226</v>
      </c>
      <c r="B1450" s="35" t="s">
        <v>462</v>
      </c>
      <c r="C1450" s="35" t="s">
        <v>405</v>
      </c>
      <c r="D1450" s="35" t="s">
        <v>617</v>
      </c>
      <c r="E1450" s="35" t="s">
        <v>629</v>
      </c>
      <c r="F1450" s="35" t="s">
        <v>390</v>
      </c>
      <c r="G1450" s="35" t="s">
        <v>367</v>
      </c>
    </row>
    <row r="1451" spans="1:8">
      <c r="A1451" s="34">
        <v>2084028778</v>
      </c>
      <c r="B1451" s="35" t="s">
        <v>462</v>
      </c>
      <c r="C1451" s="35" t="s">
        <v>405</v>
      </c>
      <c r="D1451" s="35" t="s">
        <v>617</v>
      </c>
      <c r="E1451" s="35" t="s">
        <v>629</v>
      </c>
      <c r="F1451" s="35" t="s">
        <v>390</v>
      </c>
      <c r="G1451" s="35" t="s">
        <v>368</v>
      </c>
      <c r="H1451" s="35" t="s">
        <v>508</v>
      </c>
    </row>
    <row r="1452" spans="1:8">
      <c r="A1452" s="34">
        <v>2084029311</v>
      </c>
      <c r="B1452" s="35" t="s">
        <v>462</v>
      </c>
      <c r="C1452" s="35" t="s">
        <v>405</v>
      </c>
      <c r="D1452" s="35" t="s">
        <v>617</v>
      </c>
      <c r="E1452" s="35" t="s">
        <v>629</v>
      </c>
      <c r="F1452" s="35" t="s">
        <v>390</v>
      </c>
      <c r="G1452" s="35" t="s">
        <v>368</v>
      </c>
      <c r="H1452" s="35" t="s">
        <v>481</v>
      </c>
    </row>
    <row r="1453" spans="1:8">
      <c r="A1453" s="34">
        <v>2084029888</v>
      </c>
      <c r="B1453" s="35" t="s">
        <v>462</v>
      </c>
      <c r="C1453" s="35" t="s">
        <v>405</v>
      </c>
      <c r="D1453" s="35" t="s">
        <v>617</v>
      </c>
      <c r="E1453" s="35" t="s">
        <v>629</v>
      </c>
      <c r="F1453" s="35" t="s">
        <v>390</v>
      </c>
      <c r="G1453" s="35" t="s">
        <v>368</v>
      </c>
      <c r="H1453" s="35" t="s">
        <v>494</v>
      </c>
    </row>
    <row r="1454" spans="1:8">
      <c r="A1454" s="34">
        <v>2084058697</v>
      </c>
      <c r="B1454" s="35" t="s">
        <v>462</v>
      </c>
      <c r="C1454" s="35" t="s">
        <v>405</v>
      </c>
      <c r="D1454" s="35" t="s">
        <v>617</v>
      </c>
      <c r="E1454" s="35" t="s">
        <v>629</v>
      </c>
      <c r="F1454" s="35" t="s">
        <v>390</v>
      </c>
      <c r="G1454" s="35" t="s">
        <v>368</v>
      </c>
      <c r="H1454" s="35" t="s">
        <v>335</v>
      </c>
    </row>
    <row r="1455" spans="1:8">
      <c r="A1455" s="34">
        <v>2084027327</v>
      </c>
      <c r="B1455" s="35" t="s">
        <v>462</v>
      </c>
      <c r="C1455" s="35" t="s">
        <v>405</v>
      </c>
      <c r="D1455" s="35" t="s">
        <v>617</v>
      </c>
      <c r="E1455" s="35" t="s">
        <v>629</v>
      </c>
      <c r="F1455" s="35" t="s">
        <v>390</v>
      </c>
      <c r="G1455" s="35" t="s">
        <v>10</v>
      </c>
      <c r="H1455" s="35" t="s">
        <v>509</v>
      </c>
    </row>
    <row r="1456" spans="1:8">
      <c r="A1456" s="34">
        <v>2084027820</v>
      </c>
      <c r="B1456" s="35" t="s">
        <v>462</v>
      </c>
      <c r="C1456" s="35" t="s">
        <v>405</v>
      </c>
      <c r="D1456" s="35" t="s">
        <v>617</v>
      </c>
      <c r="E1456" s="35" t="s">
        <v>629</v>
      </c>
      <c r="F1456" s="35" t="s">
        <v>390</v>
      </c>
      <c r="G1456" s="35" t="s">
        <v>10</v>
      </c>
      <c r="H1456" s="35" t="s">
        <v>510</v>
      </c>
    </row>
    <row r="1457" spans="1:8">
      <c r="A1457" s="34">
        <v>2084027852</v>
      </c>
      <c r="B1457" s="35" t="s">
        <v>462</v>
      </c>
      <c r="C1457" s="35" t="s">
        <v>405</v>
      </c>
      <c r="D1457" s="35" t="s">
        <v>617</v>
      </c>
      <c r="E1457" s="35" t="s">
        <v>629</v>
      </c>
      <c r="F1457" s="35" t="s">
        <v>390</v>
      </c>
      <c r="G1457" s="35" t="s">
        <v>10</v>
      </c>
      <c r="H1457" s="35" t="s">
        <v>511</v>
      </c>
    </row>
    <row r="1458" spans="1:8">
      <c r="A1458" s="34">
        <v>2084027932</v>
      </c>
      <c r="B1458" s="35" t="s">
        <v>462</v>
      </c>
      <c r="C1458" s="35" t="s">
        <v>405</v>
      </c>
      <c r="D1458" s="35" t="s">
        <v>617</v>
      </c>
      <c r="E1458" s="35" t="s">
        <v>629</v>
      </c>
      <c r="F1458" s="35" t="s">
        <v>390</v>
      </c>
      <c r="G1458" s="35" t="s">
        <v>10</v>
      </c>
      <c r="H1458" s="35" t="s">
        <v>493</v>
      </c>
    </row>
    <row r="1459" spans="1:8">
      <c r="A1459" s="34">
        <v>2084027451</v>
      </c>
      <c r="B1459" s="35" t="s">
        <v>462</v>
      </c>
      <c r="C1459" s="35" t="s">
        <v>405</v>
      </c>
      <c r="D1459" s="35" t="s">
        <v>617</v>
      </c>
      <c r="E1459" s="35" t="s">
        <v>629</v>
      </c>
      <c r="F1459" s="35" t="s">
        <v>390</v>
      </c>
      <c r="G1459" s="35" t="s">
        <v>10</v>
      </c>
      <c r="H1459" s="35" t="s">
        <v>512</v>
      </c>
    </row>
    <row r="1460" spans="1:8">
      <c r="A1460" s="34">
        <v>2084027618</v>
      </c>
      <c r="B1460" s="35" t="s">
        <v>462</v>
      </c>
      <c r="C1460" s="35" t="s">
        <v>405</v>
      </c>
      <c r="D1460" s="35" t="s">
        <v>617</v>
      </c>
      <c r="E1460" s="35" t="s">
        <v>629</v>
      </c>
      <c r="F1460" s="35" t="s">
        <v>390</v>
      </c>
      <c r="G1460" s="35" t="s">
        <v>10</v>
      </c>
      <c r="H1460" s="35" t="s">
        <v>513</v>
      </c>
    </row>
    <row r="1461" spans="1:8">
      <c r="A1461" s="34">
        <v>2084027988</v>
      </c>
      <c r="B1461" s="35" t="s">
        <v>462</v>
      </c>
      <c r="C1461" s="35" t="s">
        <v>405</v>
      </c>
      <c r="D1461" s="35" t="s">
        <v>617</v>
      </c>
      <c r="E1461" s="35" t="s">
        <v>629</v>
      </c>
      <c r="F1461" s="35" t="s">
        <v>390</v>
      </c>
      <c r="G1461" s="35" t="s">
        <v>10</v>
      </c>
      <c r="H1461" s="35" t="s">
        <v>420</v>
      </c>
    </row>
    <row r="1462" spans="1:8">
      <c r="A1462" s="34">
        <v>2084027289</v>
      </c>
      <c r="B1462" s="35" t="s">
        <v>462</v>
      </c>
      <c r="C1462" s="35" t="s">
        <v>405</v>
      </c>
      <c r="D1462" s="35" t="s">
        <v>617</v>
      </c>
      <c r="E1462" s="35" t="s">
        <v>629</v>
      </c>
      <c r="F1462" s="35" t="s">
        <v>390</v>
      </c>
      <c r="G1462" s="35" t="s">
        <v>10</v>
      </c>
      <c r="H1462" s="35" t="s">
        <v>514</v>
      </c>
    </row>
    <row r="1463" spans="1:8">
      <c r="A1463" s="34">
        <v>2084027416</v>
      </c>
      <c r="B1463" s="35" t="s">
        <v>462</v>
      </c>
      <c r="C1463" s="35" t="s">
        <v>405</v>
      </c>
      <c r="D1463" s="35" t="s">
        <v>617</v>
      </c>
      <c r="E1463" s="35" t="s">
        <v>629</v>
      </c>
      <c r="F1463" s="35" t="s">
        <v>390</v>
      </c>
      <c r="G1463" s="35" t="s">
        <v>10</v>
      </c>
      <c r="H1463" s="35" t="s">
        <v>515</v>
      </c>
    </row>
    <row r="1464" spans="1:8">
      <c r="A1464" s="34">
        <v>2084027535</v>
      </c>
      <c r="B1464" s="35" t="s">
        <v>462</v>
      </c>
      <c r="C1464" s="35" t="s">
        <v>405</v>
      </c>
      <c r="D1464" s="35" t="s">
        <v>617</v>
      </c>
      <c r="E1464" s="35" t="s">
        <v>629</v>
      </c>
      <c r="F1464" s="35" t="s">
        <v>390</v>
      </c>
      <c r="G1464" s="35" t="s">
        <v>10</v>
      </c>
      <c r="H1464" s="35" t="s">
        <v>421</v>
      </c>
    </row>
    <row r="1465" spans="1:8">
      <c r="A1465" s="34">
        <v>2084027696</v>
      </c>
      <c r="B1465" s="35" t="s">
        <v>462</v>
      </c>
      <c r="C1465" s="35" t="s">
        <v>405</v>
      </c>
      <c r="D1465" s="35" t="s">
        <v>617</v>
      </c>
      <c r="E1465" s="35" t="s">
        <v>629</v>
      </c>
      <c r="F1465" s="35" t="s">
        <v>390</v>
      </c>
      <c r="G1465" s="35" t="s">
        <v>10</v>
      </c>
      <c r="H1465" s="35" t="s">
        <v>516</v>
      </c>
    </row>
    <row r="1466" spans="1:8">
      <c r="A1466" s="34">
        <v>2084027213</v>
      </c>
      <c r="B1466" s="35" t="s">
        <v>462</v>
      </c>
      <c r="C1466" s="35" t="s">
        <v>405</v>
      </c>
      <c r="D1466" s="35" t="s">
        <v>617</v>
      </c>
      <c r="E1466" s="35" t="s">
        <v>629</v>
      </c>
      <c r="F1466" s="35" t="s">
        <v>390</v>
      </c>
      <c r="G1466" s="35" t="s">
        <v>10</v>
      </c>
      <c r="H1466" s="35" t="s">
        <v>517</v>
      </c>
    </row>
    <row r="1467" spans="1:8">
      <c r="A1467" s="34">
        <v>2084027382</v>
      </c>
      <c r="B1467" s="35" t="s">
        <v>462</v>
      </c>
      <c r="C1467" s="35" t="s">
        <v>405</v>
      </c>
      <c r="D1467" s="35" t="s">
        <v>617</v>
      </c>
      <c r="E1467" s="35" t="s">
        <v>629</v>
      </c>
      <c r="F1467" s="35" t="s">
        <v>390</v>
      </c>
      <c r="G1467" s="35" t="s">
        <v>10</v>
      </c>
      <c r="H1467" s="35" t="s">
        <v>518</v>
      </c>
    </row>
    <row r="1468" spans="1:8">
      <c r="A1468" s="34">
        <v>2084027585</v>
      </c>
      <c r="B1468" s="35" t="s">
        <v>462</v>
      </c>
      <c r="C1468" s="35" t="s">
        <v>405</v>
      </c>
      <c r="D1468" s="35" t="s">
        <v>617</v>
      </c>
      <c r="E1468" s="35" t="s">
        <v>629</v>
      </c>
      <c r="F1468" s="35" t="s">
        <v>390</v>
      </c>
      <c r="G1468" s="35" t="s">
        <v>10</v>
      </c>
      <c r="H1468" s="35" t="s">
        <v>422</v>
      </c>
    </row>
    <row r="1469" spans="1:8">
      <c r="A1469" s="34">
        <v>2084027786</v>
      </c>
      <c r="B1469" s="35" t="s">
        <v>462</v>
      </c>
      <c r="C1469" s="35" t="s">
        <v>405</v>
      </c>
      <c r="D1469" s="35" t="s">
        <v>617</v>
      </c>
      <c r="E1469" s="35" t="s">
        <v>629</v>
      </c>
      <c r="F1469" s="35" t="s">
        <v>390</v>
      </c>
      <c r="G1469" s="35" t="s">
        <v>10</v>
      </c>
      <c r="H1469" s="35" t="s">
        <v>519</v>
      </c>
    </row>
    <row r="1470" spans="1:8">
      <c r="A1470" s="34">
        <v>2084058699</v>
      </c>
      <c r="B1470" s="35" t="s">
        <v>462</v>
      </c>
      <c r="C1470" s="35" t="s">
        <v>405</v>
      </c>
      <c r="D1470" s="35" t="s">
        <v>617</v>
      </c>
      <c r="E1470" s="35" t="s">
        <v>629</v>
      </c>
      <c r="F1470" s="35" t="s">
        <v>390</v>
      </c>
      <c r="G1470" s="35" t="s">
        <v>10</v>
      </c>
      <c r="H1470" s="35" t="s">
        <v>335</v>
      </c>
    </row>
    <row r="1471" spans="1:8">
      <c r="A1471" s="34">
        <v>2084028022</v>
      </c>
      <c r="B1471" s="35" t="s">
        <v>462</v>
      </c>
      <c r="C1471" s="35" t="s">
        <v>405</v>
      </c>
      <c r="D1471" s="35" t="s">
        <v>617</v>
      </c>
      <c r="E1471" s="35" t="s">
        <v>629</v>
      </c>
      <c r="F1471" s="35" t="s">
        <v>390</v>
      </c>
      <c r="G1471" s="35" t="s">
        <v>379</v>
      </c>
      <c r="H1471" s="35" t="s">
        <v>520</v>
      </c>
    </row>
    <row r="1472" spans="1:8">
      <c r="A1472" s="34">
        <v>2084028057</v>
      </c>
      <c r="B1472" s="35" t="s">
        <v>462</v>
      </c>
      <c r="C1472" s="35" t="s">
        <v>405</v>
      </c>
      <c r="D1472" s="35" t="s">
        <v>617</v>
      </c>
      <c r="E1472" s="35" t="s">
        <v>629</v>
      </c>
      <c r="F1472" s="35" t="s">
        <v>390</v>
      </c>
      <c r="G1472" s="35" t="s">
        <v>379</v>
      </c>
      <c r="H1472" s="35" t="s">
        <v>521</v>
      </c>
    </row>
    <row r="1473" spans="1:8">
      <c r="A1473" s="34">
        <v>2084028157</v>
      </c>
      <c r="B1473" s="35" t="s">
        <v>462</v>
      </c>
      <c r="C1473" s="35" t="s">
        <v>405</v>
      </c>
      <c r="D1473" s="35" t="s">
        <v>617</v>
      </c>
      <c r="E1473" s="35" t="s">
        <v>629</v>
      </c>
      <c r="F1473" s="35" t="s">
        <v>390</v>
      </c>
      <c r="G1473" s="35" t="s">
        <v>379</v>
      </c>
      <c r="H1473" s="35" t="s">
        <v>522</v>
      </c>
    </row>
    <row r="1474" spans="1:8">
      <c r="A1474" s="34">
        <v>2084028430</v>
      </c>
      <c r="B1474" s="35" t="s">
        <v>462</v>
      </c>
      <c r="C1474" s="35" t="s">
        <v>405</v>
      </c>
      <c r="D1474" s="35" t="s">
        <v>617</v>
      </c>
      <c r="E1474" s="35" t="s">
        <v>629</v>
      </c>
      <c r="F1474" s="35" t="s">
        <v>390</v>
      </c>
      <c r="G1474" s="35" t="s">
        <v>379</v>
      </c>
      <c r="H1474" s="35" t="s">
        <v>523</v>
      </c>
    </row>
    <row r="1475" spans="1:8">
      <c r="A1475" s="34">
        <v>2084028096</v>
      </c>
      <c r="B1475" s="35" t="s">
        <v>462</v>
      </c>
      <c r="C1475" s="35" t="s">
        <v>405</v>
      </c>
      <c r="D1475" s="35" t="s">
        <v>617</v>
      </c>
      <c r="E1475" s="35" t="s">
        <v>629</v>
      </c>
      <c r="F1475" s="35" t="s">
        <v>390</v>
      </c>
      <c r="G1475" s="35" t="s">
        <v>379</v>
      </c>
      <c r="H1475" s="35" t="s">
        <v>524</v>
      </c>
    </row>
    <row r="1476" spans="1:8">
      <c r="A1476" s="34">
        <v>2084028262</v>
      </c>
      <c r="B1476" s="35" t="s">
        <v>462</v>
      </c>
      <c r="C1476" s="35" t="s">
        <v>405</v>
      </c>
      <c r="D1476" s="35" t="s">
        <v>617</v>
      </c>
      <c r="E1476" s="35" t="s">
        <v>629</v>
      </c>
      <c r="F1476" s="35" t="s">
        <v>390</v>
      </c>
      <c r="G1476" s="35" t="s">
        <v>379</v>
      </c>
      <c r="H1476" s="35" t="s">
        <v>525</v>
      </c>
    </row>
    <row r="1477" spans="1:8">
      <c r="A1477" s="34">
        <v>2084028464</v>
      </c>
      <c r="B1477" s="35" t="s">
        <v>462</v>
      </c>
      <c r="C1477" s="35" t="s">
        <v>405</v>
      </c>
      <c r="D1477" s="35" t="s">
        <v>617</v>
      </c>
      <c r="E1477" s="35" t="s">
        <v>629</v>
      </c>
      <c r="F1477" s="35" t="s">
        <v>390</v>
      </c>
      <c r="G1477" s="35" t="s">
        <v>379</v>
      </c>
      <c r="H1477" s="35" t="s">
        <v>526</v>
      </c>
    </row>
    <row r="1478" spans="1:8">
      <c r="A1478" s="34">
        <v>2084028333</v>
      </c>
      <c r="B1478" s="35" t="s">
        <v>462</v>
      </c>
      <c r="C1478" s="35" t="s">
        <v>405</v>
      </c>
      <c r="D1478" s="35" t="s">
        <v>617</v>
      </c>
      <c r="E1478" s="35" t="s">
        <v>629</v>
      </c>
      <c r="F1478" s="35" t="s">
        <v>390</v>
      </c>
      <c r="G1478" s="35" t="s">
        <v>379</v>
      </c>
      <c r="H1478" s="35" t="s">
        <v>527</v>
      </c>
    </row>
    <row r="1479" spans="1:8">
      <c r="A1479" s="34">
        <v>2084028499</v>
      </c>
      <c r="B1479" s="35" t="s">
        <v>462</v>
      </c>
      <c r="C1479" s="35" t="s">
        <v>405</v>
      </c>
      <c r="D1479" s="35" t="s">
        <v>617</v>
      </c>
      <c r="E1479" s="35" t="s">
        <v>629</v>
      </c>
      <c r="F1479" s="35" t="s">
        <v>390</v>
      </c>
      <c r="G1479" s="35" t="s">
        <v>379</v>
      </c>
      <c r="H1479" s="35" t="s">
        <v>528</v>
      </c>
    </row>
    <row r="1480" spans="1:8">
      <c r="A1480" s="34">
        <v>2084028375</v>
      </c>
      <c r="B1480" s="35" t="s">
        <v>462</v>
      </c>
      <c r="C1480" s="35" t="s">
        <v>405</v>
      </c>
      <c r="D1480" s="35" t="s">
        <v>617</v>
      </c>
      <c r="E1480" s="35" t="s">
        <v>629</v>
      </c>
      <c r="F1480" s="35" t="s">
        <v>390</v>
      </c>
      <c r="G1480" s="35" t="s">
        <v>379</v>
      </c>
      <c r="H1480" s="35" t="s">
        <v>548</v>
      </c>
    </row>
    <row r="1481" spans="1:8">
      <c r="A1481" s="34">
        <v>2084058701</v>
      </c>
      <c r="B1481" s="35" t="s">
        <v>462</v>
      </c>
      <c r="C1481" s="35" t="s">
        <v>405</v>
      </c>
      <c r="D1481" s="35" t="s">
        <v>617</v>
      </c>
      <c r="E1481" s="35" t="s">
        <v>629</v>
      </c>
      <c r="F1481" s="35" t="s">
        <v>390</v>
      </c>
      <c r="G1481" s="35" t="s">
        <v>379</v>
      </c>
      <c r="H1481" s="35" t="s">
        <v>335</v>
      </c>
    </row>
    <row r="1482" spans="1:8">
      <c r="A1482" s="34">
        <v>2084028589</v>
      </c>
      <c r="B1482" s="35" t="s">
        <v>462</v>
      </c>
      <c r="C1482" s="35" t="s">
        <v>405</v>
      </c>
      <c r="D1482" s="35" t="s">
        <v>617</v>
      </c>
      <c r="E1482" s="35" t="s">
        <v>629</v>
      </c>
      <c r="F1482" s="35" t="s">
        <v>390</v>
      </c>
      <c r="G1482" s="35" t="s">
        <v>530</v>
      </c>
      <c r="H1482" s="35" t="s">
        <v>531</v>
      </c>
    </row>
    <row r="1483" spans="1:8">
      <c r="A1483" s="34">
        <v>2084028633</v>
      </c>
      <c r="B1483" s="35" t="s">
        <v>462</v>
      </c>
      <c r="C1483" s="35" t="s">
        <v>405</v>
      </c>
      <c r="D1483" s="35" t="s">
        <v>617</v>
      </c>
      <c r="E1483" s="35" t="s">
        <v>629</v>
      </c>
      <c r="F1483" s="35" t="s">
        <v>390</v>
      </c>
      <c r="G1483" s="35" t="s">
        <v>530</v>
      </c>
      <c r="H1483" s="35" t="s">
        <v>532</v>
      </c>
    </row>
    <row r="1484" spans="1:8">
      <c r="A1484" s="34">
        <v>2084058703</v>
      </c>
      <c r="B1484" s="35" t="s">
        <v>462</v>
      </c>
      <c r="C1484" s="35" t="s">
        <v>405</v>
      </c>
      <c r="D1484" s="35" t="s">
        <v>617</v>
      </c>
      <c r="E1484" s="35" t="s">
        <v>629</v>
      </c>
      <c r="F1484" s="35" t="s">
        <v>390</v>
      </c>
      <c r="G1484" s="35" t="s">
        <v>530</v>
      </c>
      <c r="H1484" s="35" t="s">
        <v>335</v>
      </c>
    </row>
    <row r="1485" spans="1:8">
      <c r="A1485" s="34">
        <v>2084030125</v>
      </c>
      <c r="B1485" s="35" t="s">
        <v>462</v>
      </c>
      <c r="C1485" s="35" t="s">
        <v>405</v>
      </c>
      <c r="D1485" s="35" t="s">
        <v>617</v>
      </c>
      <c r="E1485" s="35" t="s">
        <v>629</v>
      </c>
      <c r="F1485" s="35" t="s">
        <v>390</v>
      </c>
      <c r="G1485" s="35" t="s">
        <v>533</v>
      </c>
      <c r="H1485" s="35" t="s">
        <v>534</v>
      </c>
    </row>
    <row r="1486" spans="1:8">
      <c r="A1486" s="34">
        <v>2084030159</v>
      </c>
      <c r="B1486" s="35" t="s">
        <v>462</v>
      </c>
      <c r="C1486" s="35" t="s">
        <v>405</v>
      </c>
      <c r="D1486" s="35" t="s">
        <v>617</v>
      </c>
      <c r="E1486" s="35" t="s">
        <v>629</v>
      </c>
      <c r="F1486" s="35" t="s">
        <v>390</v>
      </c>
      <c r="G1486" s="35" t="s">
        <v>533</v>
      </c>
      <c r="H1486" s="35" t="s">
        <v>535</v>
      </c>
    </row>
    <row r="1487" spans="1:8">
      <c r="A1487" s="34">
        <v>2084027146</v>
      </c>
      <c r="B1487" s="35" t="s">
        <v>462</v>
      </c>
      <c r="C1487" s="35" t="s">
        <v>405</v>
      </c>
      <c r="D1487" s="35" t="s">
        <v>617</v>
      </c>
      <c r="E1487" s="35" t="s">
        <v>629</v>
      </c>
      <c r="F1487" s="35" t="s">
        <v>390</v>
      </c>
      <c r="G1487" s="35" t="s">
        <v>533</v>
      </c>
      <c r="H1487" s="35" t="s">
        <v>536</v>
      </c>
    </row>
    <row r="1488" spans="1:8">
      <c r="A1488" s="34">
        <v>2084058705</v>
      </c>
      <c r="B1488" s="35" t="s">
        <v>462</v>
      </c>
      <c r="C1488" s="35" t="s">
        <v>405</v>
      </c>
      <c r="D1488" s="35" t="s">
        <v>617</v>
      </c>
      <c r="E1488" s="35" t="s">
        <v>629</v>
      </c>
      <c r="F1488" s="35" t="s">
        <v>390</v>
      </c>
      <c r="G1488" s="35" t="s">
        <v>533</v>
      </c>
      <c r="H1488" s="35" t="s">
        <v>335</v>
      </c>
    </row>
    <row r="1489" spans="1:7">
      <c r="A1489" s="34">
        <v>2084058781</v>
      </c>
      <c r="B1489" s="35" t="s">
        <v>462</v>
      </c>
      <c r="C1489" s="35" t="s">
        <v>405</v>
      </c>
      <c r="D1489" s="35" t="s">
        <v>617</v>
      </c>
      <c r="E1489" s="35" t="s">
        <v>629</v>
      </c>
      <c r="F1489" s="35" t="s">
        <v>390</v>
      </c>
      <c r="G1489" s="35" t="s">
        <v>335</v>
      </c>
    </row>
    <row r="1490" spans="1:7">
      <c r="A1490" s="34">
        <v>2084048660</v>
      </c>
      <c r="B1490" s="35" t="s">
        <v>462</v>
      </c>
      <c r="C1490" s="35" t="s">
        <v>405</v>
      </c>
      <c r="D1490" s="35" t="s">
        <v>617</v>
      </c>
      <c r="E1490" s="35" t="s">
        <v>629</v>
      </c>
      <c r="F1490" s="35" t="s">
        <v>335</v>
      </c>
    </row>
    <row r="1491" spans="1:7">
      <c r="A1491" s="34">
        <v>2084054711</v>
      </c>
      <c r="B1491" s="35" t="s">
        <v>462</v>
      </c>
      <c r="C1491" s="35" t="s">
        <v>405</v>
      </c>
      <c r="D1491" s="35" t="s">
        <v>617</v>
      </c>
      <c r="E1491" s="35" t="s">
        <v>630</v>
      </c>
      <c r="F1491" s="35" t="s">
        <v>367</v>
      </c>
    </row>
    <row r="1492" spans="1:7">
      <c r="A1492" s="34">
        <v>2084054713</v>
      </c>
      <c r="B1492" s="35" t="s">
        <v>462</v>
      </c>
      <c r="C1492" s="35" t="s">
        <v>405</v>
      </c>
      <c r="D1492" s="35" t="s">
        <v>617</v>
      </c>
      <c r="E1492" s="35" t="s">
        <v>630</v>
      </c>
      <c r="F1492" s="35" t="s">
        <v>368</v>
      </c>
      <c r="G1492" s="35" t="s">
        <v>481</v>
      </c>
    </row>
    <row r="1493" spans="1:7">
      <c r="A1493" s="34">
        <v>2084054714</v>
      </c>
      <c r="B1493" s="35" t="s">
        <v>462</v>
      </c>
      <c r="C1493" s="35" t="s">
        <v>405</v>
      </c>
      <c r="D1493" s="35" t="s">
        <v>617</v>
      </c>
      <c r="E1493" s="35" t="s">
        <v>630</v>
      </c>
      <c r="F1493" s="35" t="s">
        <v>368</v>
      </c>
      <c r="G1493" s="35" t="s">
        <v>335</v>
      </c>
    </row>
    <row r="1494" spans="1:7">
      <c r="A1494" s="34">
        <v>2084054716</v>
      </c>
      <c r="B1494" s="35" t="s">
        <v>462</v>
      </c>
      <c r="C1494" s="35" t="s">
        <v>405</v>
      </c>
      <c r="D1494" s="35" t="s">
        <v>617</v>
      </c>
      <c r="E1494" s="35" t="s">
        <v>630</v>
      </c>
      <c r="F1494" s="35" t="s">
        <v>10</v>
      </c>
      <c r="G1494" s="35" t="s">
        <v>483</v>
      </c>
    </row>
    <row r="1495" spans="1:7">
      <c r="A1495" s="34">
        <v>2084054717</v>
      </c>
      <c r="B1495" s="35" t="s">
        <v>462</v>
      </c>
      <c r="C1495" s="35" t="s">
        <v>405</v>
      </c>
      <c r="D1495" s="35" t="s">
        <v>617</v>
      </c>
      <c r="E1495" s="35" t="s">
        <v>630</v>
      </c>
      <c r="F1495" s="35" t="s">
        <v>10</v>
      </c>
      <c r="G1495" s="35" t="s">
        <v>510</v>
      </c>
    </row>
    <row r="1496" spans="1:7">
      <c r="A1496" s="34">
        <v>2084054719</v>
      </c>
      <c r="B1496" s="35" t="s">
        <v>462</v>
      </c>
      <c r="C1496" s="35" t="s">
        <v>405</v>
      </c>
      <c r="D1496" s="35" t="s">
        <v>617</v>
      </c>
      <c r="E1496" s="35" t="s">
        <v>630</v>
      </c>
      <c r="F1496" s="35" t="s">
        <v>10</v>
      </c>
      <c r="G1496" s="35" t="s">
        <v>397</v>
      </c>
    </row>
    <row r="1497" spans="1:7">
      <c r="A1497" s="34">
        <v>2084054718</v>
      </c>
      <c r="B1497" s="35" t="s">
        <v>462</v>
      </c>
      <c r="C1497" s="35" t="s">
        <v>405</v>
      </c>
      <c r="D1497" s="35" t="s">
        <v>617</v>
      </c>
      <c r="E1497" s="35" t="s">
        <v>630</v>
      </c>
      <c r="F1497" s="35" t="s">
        <v>10</v>
      </c>
      <c r="G1497" s="35" t="s">
        <v>421</v>
      </c>
    </row>
    <row r="1498" spans="1:7">
      <c r="A1498" s="34">
        <v>2084054720</v>
      </c>
      <c r="B1498" s="35" t="s">
        <v>462</v>
      </c>
      <c r="C1498" s="35" t="s">
        <v>405</v>
      </c>
      <c r="D1498" s="35" t="s">
        <v>617</v>
      </c>
      <c r="E1498" s="35" t="s">
        <v>630</v>
      </c>
      <c r="F1498" s="35" t="s">
        <v>10</v>
      </c>
      <c r="G1498" s="35" t="s">
        <v>398</v>
      </c>
    </row>
    <row r="1499" spans="1:7">
      <c r="A1499" s="34">
        <v>2084054721</v>
      </c>
      <c r="B1499" s="35" t="s">
        <v>462</v>
      </c>
      <c r="C1499" s="35" t="s">
        <v>405</v>
      </c>
      <c r="D1499" s="35" t="s">
        <v>617</v>
      </c>
      <c r="E1499" s="35" t="s">
        <v>630</v>
      </c>
      <c r="F1499" s="35" t="s">
        <v>10</v>
      </c>
      <c r="G1499" s="35" t="s">
        <v>422</v>
      </c>
    </row>
    <row r="1500" spans="1:7">
      <c r="A1500" s="34">
        <v>2084054722</v>
      </c>
      <c r="B1500" s="35" t="s">
        <v>462</v>
      </c>
      <c r="C1500" s="35" t="s">
        <v>405</v>
      </c>
      <c r="D1500" s="35" t="s">
        <v>617</v>
      </c>
      <c r="E1500" s="35" t="s">
        <v>630</v>
      </c>
      <c r="F1500" s="35" t="s">
        <v>10</v>
      </c>
      <c r="G1500" s="35" t="s">
        <v>335</v>
      </c>
    </row>
    <row r="1501" spans="1:7">
      <c r="A1501" s="34">
        <v>2084054724</v>
      </c>
      <c r="B1501" s="35" t="s">
        <v>462</v>
      </c>
      <c r="C1501" s="35" t="s">
        <v>405</v>
      </c>
      <c r="D1501" s="35" t="s">
        <v>617</v>
      </c>
      <c r="E1501" s="35" t="s">
        <v>630</v>
      </c>
      <c r="F1501" s="35" t="s">
        <v>379</v>
      </c>
      <c r="G1501" s="35" t="s">
        <v>476</v>
      </c>
    </row>
    <row r="1502" spans="1:7">
      <c r="A1502" s="34">
        <v>2084054725</v>
      </c>
      <c r="B1502" s="35" t="s">
        <v>462</v>
      </c>
      <c r="C1502" s="35" t="s">
        <v>405</v>
      </c>
      <c r="D1502" s="35" t="s">
        <v>617</v>
      </c>
      <c r="E1502" s="35" t="s">
        <v>630</v>
      </c>
      <c r="F1502" s="35" t="s">
        <v>379</v>
      </c>
      <c r="G1502" s="35" t="s">
        <v>335</v>
      </c>
    </row>
    <row r="1503" spans="1:7">
      <c r="A1503" s="34">
        <v>2084061439</v>
      </c>
      <c r="B1503" s="35" t="s">
        <v>462</v>
      </c>
      <c r="C1503" s="35" t="s">
        <v>405</v>
      </c>
      <c r="D1503" s="35" t="s">
        <v>617</v>
      </c>
      <c r="E1503" s="35" t="s">
        <v>630</v>
      </c>
      <c r="F1503" s="35" t="s">
        <v>478</v>
      </c>
    </row>
    <row r="1504" spans="1:7">
      <c r="A1504" s="34">
        <v>2084054726</v>
      </c>
      <c r="B1504" s="35" t="s">
        <v>462</v>
      </c>
      <c r="C1504" s="35" t="s">
        <v>405</v>
      </c>
      <c r="D1504" s="35" t="s">
        <v>617</v>
      </c>
      <c r="E1504" s="35" t="s">
        <v>630</v>
      </c>
      <c r="F1504" s="35" t="s">
        <v>335</v>
      </c>
    </row>
    <row r="1505" spans="1:7">
      <c r="A1505" s="34">
        <v>2084261445</v>
      </c>
      <c r="B1505" s="35" t="s">
        <v>462</v>
      </c>
      <c r="C1505" s="35" t="s">
        <v>405</v>
      </c>
      <c r="D1505" s="35" t="s">
        <v>617</v>
      </c>
      <c r="E1505" s="35" t="s">
        <v>631</v>
      </c>
    </row>
    <row r="1506" spans="1:7">
      <c r="A1506" s="34">
        <v>2084314559</v>
      </c>
      <c r="B1506" s="35" t="s">
        <v>462</v>
      </c>
      <c r="C1506" s="35" t="s">
        <v>405</v>
      </c>
      <c r="D1506" s="35" t="s">
        <v>617</v>
      </c>
      <c r="E1506" s="35" t="s">
        <v>632</v>
      </c>
    </row>
    <row r="1507" spans="1:7">
      <c r="A1507" s="34">
        <v>2084056208</v>
      </c>
      <c r="B1507" s="35" t="s">
        <v>462</v>
      </c>
      <c r="C1507" s="35" t="s">
        <v>405</v>
      </c>
      <c r="D1507" s="35" t="s">
        <v>617</v>
      </c>
      <c r="E1507" s="35" t="s">
        <v>633</v>
      </c>
      <c r="F1507" s="35" t="s">
        <v>367</v>
      </c>
    </row>
    <row r="1508" spans="1:7">
      <c r="A1508" s="34">
        <v>2084056211</v>
      </c>
      <c r="B1508" s="35" t="s">
        <v>462</v>
      </c>
      <c r="C1508" s="35" t="s">
        <v>405</v>
      </c>
      <c r="D1508" s="35" t="s">
        <v>617</v>
      </c>
      <c r="E1508" s="35" t="s">
        <v>633</v>
      </c>
      <c r="F1508" s="35" t="s">
        <v>368</v>
      </c>
      <c r="G1508" s="35" t="s">
        <v>481</v>
      </c>
    </row>
    <row r="1509" spans="1:7">
      <c r="A1509" s="34">
        <v>2084056210</v>
      </c>
      <c r="B1509" s="35" t="s">
        <v>462</v>
      </c>
      <c r="C1509" s="35" t="s">
        <v>405</v>
      </c>
      <c r="D1509" s="35" t="s">
        <v>617</v>
      </c>
      <c r="E1509" s="35" t="s">
        <v>633</v>
      </c>
      <c r="F1509" s="35" t="s">
        <v>368</v>
      </c>
      <c r="G1509" s="35" t="s">
        <v>482</v>
      </c>
    </row>
    <row r="1510" spans="1:7">
      <c r="A1510" s="34">
        <v>2084056212</v>
      </c>
      <c r="B1510" s="35" t="s">
        <v>462</v>
      </c>
      <c r="C1510" s="35" t="s">
        <v>405</v>
      </c>
      <c r="D1510" s="35" t="s">
        <v>617</v>
      </c>
      <c r="E1510" s="35" t="s">
        <v>633</v>
      </c>
      <c r="F1510" s="35" t="s">
        <v>368</v>
      </c>
      <c r="G1510" s="35" t="s">
        <v>335</v>
      </c>
    </row>
    <row r="1511" spans="1:7">
      <c r="A1511" s="34">
        <v>2084056219</v>
      </c>
      <c r="B1511" s="35" t="s">
        <v>462</v>
      </c>
      <c r="C1511" s="35" t="s">
        <v>405</v>
      </c>
      <c r="D1511" s="35" t="s">
        <v>617</v>
      </c>
      <c r="E1511" s="35" t="s">
        <v>633</v>
      </c>
      <c r="F1511" s="35" t="s">
        <v>10</v>
      </c>
      <c r="G1511" s="35" t="s">
        <v>483</v>
      </c>
    </row>
    <row r="1512" spans="1:7">
      <c r="A1512" s="34">
        <v>2084056215</v>
      </c>
      <c r="B1512" s="35" t="s">
        <v>462</v>
      </c>
      <c r="C1512" s="35" t="s">
        <v>405</v>
      </c>
      <c r="D1512" s="35" t="s">
        <v>617</v>
      </c>
      <c r="E1512" s="35" t="s">
        <v>633</v>
      </c>
      <c r="F1512" s="35" t="s">
        <v>10</v>
      </c>
      <c r="G1512" s="35" t="s">
        <v>397</v>
      </c>
    </row>
    <row r="1513" spans="1:7">
      <c r="A1513" s="34">
        <v>2084056217</v>
      </c>
      <c r="B1513" s="35" t="s">
        <v>462</v>
      </c>
      <c r="C1513" s="35" t="s">
        <v>405</v>
      </c>
      <c r="D1513" s="35" t="s">
        <v>617</v>
      </c>
      <c r="E1513" s="35" t="s">
        <v>633</v>
      </c>
      <c r="F1513" s="35" t="s">
        <v>10</v>
      </c>
      <c r="G1513" s="35" t="s">
        <v>421</v>
      </c>
    </row>
    <row r="1514" spans="1:7">
      <c r="A1514" s="34">
        <v>2084056214</v>
      </c>
      <c r="B1514" s="35" t="s">
        <v>462</v>
      </c>
      <c r="C1514" s="35" t="s">
        <v>405</v>
      </c>
      <c r="D1514" s="35" t="s">
        <v>617</v>
      </c>
      <c r="E1514" s="35" t="s">
        <v>633</v>
      </c>
      <c r="F1514" s="35" t="s">
        <v>10</v>
      </c>
      <c r="G1514" s="35" t="s">
        <v>398</v>
      </c>
    </row>
    <row r="1515" spans="1:7">
      <c r="A1515" s="34">
        <v>2084056216</v>
      </c>
      <c r="B1515" s="35" t="s">
        <v>462</v>
      </c>
      <c r="C1515" s="35" t="s">
        <v>405</v>
      </c>
      <c r="D1515" s="35" t="s">
        <v>617</v>
      </c>
      <c r="E1515" s="35" t="s">
        <v>633</v>
      </c>
      <c r="F1515" s="35" t="s">
        <v>10</v>
      </c>
      <c r="G1515" s="35" t="s">
        <v>422</v>
      </c>
    </row>
    <row r="1516" spans="1:7">
      <c r="A1516" s="34">
        <v>2084056220</v>
      </c>
      <c r="B1516" s="35" t="s">
        <v>462</v>
      </c>
      <c r="C1516" s="35" t="s">
        <v>405</v>
      </c>
      <c r="D1516" s="35" t="s">
        <v>617</v>
      </c>
      <c r="E1516" s="35" t="s">
        <v>633</v>
      </c>
      <c r="F1516" s="35" t="s">
        <v>10</v>
      </c>
      <c r="G1516" s="35" t="s">
        <v>335</v>
      </c>
    </row>
    <row r="1517" spans="1:7">
      <c r="A1517" s="34">
        <v>2084056223</v>
      </c>
      <c r="B1517" s="35" t="s">
        <v>462</v>
      </c>
      <c r="C1517" s="35" t="s">
        <v>405</v>
      </c>
      <c r="D1517" s="35" t="s">
        <v>617</v>
      </c>
      <c r="E1517" s="35" t="s">
        <v>633</v>
      </c>
      <c r="F1517" s="35" t="s">
        <v>379</v>
      </c>
      <c r="G1517" s="35" t="s">
        <v>476</v>
      </c>
    </row>
    <row r="1518" spans="1:7">
      <c r="A1518" s="34">
        <v>2084056225</v>
      </c>
      <c r="B1518" s="35" t="s">
        <v>462</v>
      </c>
      <c r="C1518" s="35" t="s">
        <v>405</v>
      </c>
      <c r="D1518" s="35" t="s">
        <v>617</v>
      </c>
      <c r="E1518" s="35" t="s">
        <v>633</v>
      </c>
      <c r="F1518" s="35" t="s">
        <v>379</v>
      </c>
      <c r="G1518" s="35" t="s">
        <v>335</v>
      </c>
    </row>
    <row r="1519" spans="1:7">
      <c r="A1519" s="34">
        <v>2084061440</v>
      </c>
      <c r="B1519" s="35" t="s">
        <v>462</v>
      </c>
      <c r="C1519" s="35" t="s">
        <v>405</v>
      </c>
      <c r="D1519" s="35" t="s">
        <v>617</v>
      </c>
      <c r="E1519" s="35" t="s">
        <v>633</v>
      </c>
      <c r="F1519" s="35" t="s">
        <v>478</v>
      </c>
    </row>
    <row r="1520" spans="1:7">
      <c r="A1520" s="34">
        <v>2084056227</v>
      </c>
      <c r="B1520" s="35" t="s">
        <v>462</v>
      </c>
      <c r="C1520" s="35" t="s">
        <v>405</v>
      </c>
      <c r="D1520" s="35" t="s">
        <v>617</v>
      </c>
      <c r="E1520" s="35" t="s">
        <v>633</v>
      </c>
      <c r="F1520" s="35" t="s">
        <v>335</v>
      </c>
    </row>
    <row r="1521" spans="1:8">
      <c r="A1521" s="34">
        <v>2084050181</v>
      </c>
      <c r="B1521" s="35" t="s">
        <v>462</v>
      </c>
      <c r="C1521" s="35" t="s">
        <v>405</v>
      </c>
      <c r="D1521" s="35" t="s">
        <v>617</v>
      </c>
      <c r="E1521" s="35" t="s">
        <v>634</v>
      </c>
    </row>
    <row r="1522" spans="1:8">
      <c r="A1522" s="34">
        <v>2084028227</v>
      </c>
      <c r="B1522" s="35" t="s">
        <v>462</v>
      </c>
      <c r="C1522" s="35" t="s">
        <v>405</v>
      </c>
      <c r="D1522" s="35" t="s">
        <v>617</v>
      </c>
      <c r="E1522" s="35" t="s">
        <v>635</v>
      </c>
      <c r="F1522" s="35" t="s">
        <v>390</v>
      </c>
      <c r="G1522" s="35" t="s">
        <v>367</v>
      </c>
    </row>
    <row r="1523" spans="1:8">
      <c r="A1523" s="34">
        <v>2084028779</v>
      </c>
      <c r="B1523" s="35" t="s">
        <v>462</v>
      </c>
      <c r="C1523" s="35" t="s">
        <v>405</v>
      </c>
      <c r="D1523" s="35" t="s">
        <v>617</v>
      </c>
      <c r="E1523" s="35" t="s">
        <v>635</v>
      </c>
      <c r="F1523" s="35" t="s">
        <v>390</v>
      </c>
      <c r="G1523" s="35" t="s">
        <v>368</v>
      </c>
      <c r="H1523" s="35" t="s">
        <v>508</v>
      </c>
    </row>
    <row r="1524" spans="1:8">
      <c r="A1524" s="34">
        <v>2084029312</v>
      </c>
      <c r="B1524" s="35" t="s">
        <v>462</v>
      </c>
      <c r="C1524" s="35" t="s">
        <v>405</v>
      </c>
      <c r="D1524" s="35" t="s">
        <v>617</v>
      </c>
      <c r="E1524" s="35" t="s">
        <v>635</v>
      </c>
      <c r="F1524" s="35" t="s">
        <v>390</v>
      </c>
      <c r="G1524" s="35" t="s">
        <v>368</v>
      </c>
      <c r="H1524" s="35" t="s">
        <v>481</v>
      </c>
    </row>
    <row r="1525" spans="1:8">
      <c r="A1525" s="34">
        <v>2084029889</v>
      </c>
      <c r="B1525" s="35" t="s">
        <v>462</v>
      </c>
      <c r="C1525" s="35" t="s">
        <v>405</v>
      </c>
      <c r="D1525" s="35" t="s">
        <v>617</v>
      </c>
      <c r="E1525" s="35" t="s">
        <v>635</v>
      </c>
      <c r="F1525" s="35" t="s">
        <v>390</v>
      </c>
      <c r="G1525" s="35" t="s">
        <v>368</v>
      </c>
      <c r="H1525" s="35" t="s">
        <v>494</v>
      </c>
    </row>
    <row r="1526" spans="1:8">
      <c r="A1526" s="34">
        <v>2084058707</v>
      </c>
      <c r="B1526" s="35" t="s">
        <v>462</v>
      </c>
      <c r="C1526" s="35" t="s">
        <v>405</v>
      </c>
      <c r="D1526" s="35" t="s">
        <v>617</v>
      </c>
      <c r="E1526" s="35" t="s">
        <v>635</v>
      </c>
      <c r="F1526" s="35" t="s">
        <v>390</v>
      </c>
      <c r="G1526" s="35" t="s">
        <v>368</v>
      </c>
      <c r="H1526" s="35" t="s">
        <v>335</v>
      </c>
    </row>
    <row r="1527" spans="1:8">
      <c r="A1527" s="34">
        <v>2084027328</v>
      </c>
      <c r="B1527" s="35" t="s">
        <v>462</v>
      </c>
      <c r="C1527" s="35" t="s">
        <v>405</v>
      </c>
      <c r="D1527" s="35" t="s">
        <v>617</v>
      </c>
      <c r="E1527" s="35" t="s">
        <v>635</v>
      </c>
      <c r="F1527" s="35" t="s">
        <v>390</v>
      </c>
      <c r="G1527" s="35" t="s">
        <v>10</v>
      </c>
      <c r="H1527" s="35" t="s">
        <v>509</v>
      </c>
    </row>
    <row r="1528" spans="1:8">
      <c r="A1528" s="34">
        <v>2084027821</v>
      </c>
      <c r="B1528" s="35" t="s">
        <v>462</v>
      </c>
      <c r="C1528" s="35" t="s">
        <v>405</v>
      </c>
      <c r="D1528" s="35" t="s">
        <v>617</v>
      </c>
      <c r="E1528" s="35" t="s">
        <v>635</v>
      </c>
      <c r="F1528" s="35" t="s">
        <v>390</v>
      </c>
      <c r="G1528" s="35" t="s">
        <v>10</v>
      </c>
      <c r="H1528" s="35" t="s">
        <v>510</v>
      </c>
    </row>
    <row r="1529" spans="1:8">
      <c r="A1529" s="34">
        <v>2084027853</v>
      </c>
      <c r="B1529" s="35" t="s">
        <v>462</v>
      </c>
      <c r="C1529" s="35" t="s">
        <v>405</v>
      </c>
      <c r="D1529" s="35" t="s">
        <v>617</v>
      </c>
      <c r="E1529" s="35" t="s">
        <v>635</v>
      </c>
      <c r="F1529" s="35" t="s">
        <v>390</v>
      </c>
      <c r="G1529" s="35" t="s">
        <v>10</v>
      </c>
      <c r="H1529" s="35" t="s">
        <v>511</v>
      </c>
    </row>
    <row r="1530" spans="1:8">
      <c r="A1530" s="34">
        <v>2084027933</v>
      </c>
      <c r="B1530" s="35" t="s">
        <v>462</v>
      </c>
      <c r="C1530" s="35" t="s">
        <v>405</v>
      </c>
      <c r="D1530" s="35" t="s">
        <v>617</v>
      </c>
      <c r="E1530" s="35" t="s">
        <v>635</v>
      </c>
      <c r="F1530" s="35" t="s">
        <v>390</v>
      </c>
      <c r="G1530" s="35" t="s">
        <v>10</v>
      </c>
      <c r="H1530" s="35" t="s">
        <v>493</v>
      </c>
    </row>
    <row r="1531" spans="1:8">
      <c r="A1531" s="34">
        <v>2084027452</v>
      </c>
      <c r="B1531" s="35" t="s">
        <v>462</v>
      </c>
      <c r="C1531" s="35" t="s">
        <v>405</v>
      </c>
      <c r="D1531" s="35" t="s">
        <v>617</v>
      </c>
      <c r="E1531" s="35" t="s">
        <v>635</v>
      </c>
      <c r="F1531" s="35" t="s">
        <v>390</v>
      </c>
      <c r="G1531" s="35" t="s">
        <v>10</v>
      </c>
      <c r="H1531" s="35" t="s">
        <v>512</v>
      </c>
    </row>
    <row r="1532" spans="1:8">
      <c r="A1532" s="34">
        <v>2084027619</v>
      </c>
      <c r="B1532" s="35" t="s">
        <v>462</v>
      </c>
      <c r="C1532" s="35" t="s">
        <v>405</v>
      </c>
      <c r="D1532" s="35" t="s">
        <v>617</v>
      </c>
      <c r="E1532" s="35" t="s">
        <v>635</v>
      </c>
      <c r="F1532" s="35" t="s">
        <v>390</v>
      </c>
      <c r="G1532" s="35" t="s">
        <v>10</v>
      </c>
      <c r="H1532" s="35" t="s">
        <v>513</v>
      </c>
    </row>
    <row r="1533" spans="1:8">
      <c r="A1533" s="34">
        <v>2084027989</v>
      </c>
      <c r="B1533" s="35" t="s">
        <v>462</v>
      </c>
      <c r="C1533" s="35" t="s">
        <v>405</v>
      </c>
      <c r="D1533" s="35" t="s">
        <v>617</v>
      </c>
      <c r="E1533" s="35" t="s">
        <v>635</v>
      </c>
      <c r="F1533" s="35" t="s">
        <v>390</v>
      </c>
      <c r="G1533" s="35" t="s">
        <v>10</v>
      </c>
      <c r="H1533" s="35" t="s">
        <v>420</v>
      </c>
    </row>
    <row r="1534" spans="1:8">
      <c r="A1534" s="34">
        <v>2084027241</v>
      </c>
      <c r="B1534" s="35" t="s">
        <v>462</v>
      </c>
      <c r="C1534" s="35" t="s">
        <v>405</v>
      </c>
      <c r="D1534" s="35" t="s">
        <v>617</v>
      </c>
      <c r="E1534" s="35" t="s">
        <v>635</v>
      </c>
      <c r="F1534" s="35" t="s">
        <v>390</v>
      </c>
      <c r="G1534" s="35" t="s">
        <v>10</v>
      </c>
      <c r="H1534" s="35" t="s">
        <v>514</v>
      </c>
    </row>
    <row r="1535" spans="1:8">
      <c r="A1535" s="34">
        <v>2084027417</v>
      </c>
      <c r="B1535" s="35" t="s">
        <v>462</v>
      </c>
      <c r="C1535" s="35" t="s">
        <v>405</v>
      </c>
      <c r="D1535" s="35" t="s">
        <v>617</v>
      </c>
      <c r="E1535" s="35" t="s">
        <v>635</v>
      </c>
      <c r="F1535" s="35" t="s">
        <v>390</v>
      </c>
      <c r="G1535" s="35" t="s">
        <v>10</v>
      </c>
      <c r="H1535" s="35" t="s">
        <v>515</v>
      </c>
    </row>
    <row r="1536" spans="1:8">
      <c r="A1536" s="34">
        <v>2084027536</v>
      </c>
      <c r="B1536" s="35" t="s">
        <v>462</v>
      </c>
      <c r="C1536" s="35" t="s">
        <v>405</v>
      </c>
      <c r="D1536" s="35" t="s">
        <v>617</v>
      </c>
      <c r="E1536" s="35" t="s">
        <v>635</v>
      </c>
      <c r="F1536" s="35" t="s">
        <v>390</v>
      </c>
      <c r="G1536" s="35" t="s">
        <v>10</v>
      </c>
      <c r="H1536" s="35" t="s">
        <v>421</v>
      </c>
    </row>
    <row r="1537" spans="1:8">
      <c r="A1537" s="34">
        <v>2084027697</v>
      </c>
      <c r="B1537" s="35" t="s">
        <v>462</v>
      </c>
      <c r="C1537" s="35" t="s">
        <v>405</v>
      </c>
      <c r="D1537" s="35" t="s">
        <v>617</v>
      </c>
      <c r="E1537" s="35" t="s">
        <v>635</v>
      </c>
      <c r="F1537" s="35" t="s">
        <v>390</v>
      </c>
      <c r="G1537" s="35" t="s">
        <v>10</v>
      </c>
      <c r="H1537" s="35" t="s">
        <v>516</v>
      </c>
    </row>
    <row r="1538" spans="1:8">
      <c r="A1538" s="34">
        <v>2084027214</v>
      </c>
      <c r="B1538" s="35" t="s">
        <v>462</v>
      </c>
      <c r="C1538" s="35" t="s">
        <v>405</v>
      </c>
      <c r="D1538" s="35" t="s">
        <v>617</v>
      </c>
      <c r="E1538" s="35" t="s">
        <v>635</v>
      </c>
      <c r="F1538" s="35" t="s">
        <v>390</v>
      </c>
      <c r="G1538" s="35" t="s">
        <v>10</v>
      </c>
      <c r="H1538" s="35" t="s">
        <v>517</v>
      </c>
    </row>
    <row r="1539" spans="1:8">
      <c r="A1539" s="34">
        <v>2084027383</v>
      </c>
      <c r="B1539" s="35" t="s">
        <v>462</v>
      </c>
      <c r="C1539" s="35" t="s">
        <v>405</v>
      </c>
      <c r="D1539" s="35" t="s">
        <v>617</v>
      </c>
      <c r="E1539" s="35" t="s">
        <v>635</v>
      </c>
      <c r="F1539" s="35" t="s">
        <v>390</v>
      </c>
      <c r="G1539" s="35" t="s">
        <v>10</v>
      </c>
      <c r="H1539" s="35" t="s">
        <v>518</v>
      </c>
    </row>
    <row r="1540" spans="1:8">
      <c r="A1540" s="34">
        <v>2084027586</v>
      </c>
      <c r="B1540" s="35" t="s">
        <v>462</v>
      </c>
      <c r="C1540" s="35" t="s">
        <v>405</v>
      </c>
      <c r="D1540" s="35" t="s">
        <v>617</v>
      </c>
      <c r="E1540" s="35" t="s">
        <v>635</v>
      </c>
      <c r="F1540" s="35" t="s">
        <v>390</v>
      </c>
      <c r="G1540" s="35" t="s">
        <v>10</v>
      </c>
      <c r="H1540" s="35" t="s">
        <v>422</v>
      </c>
    </row>
    <row r="1541" spans="1:8">
      <c r="A1541" s="34">
        <v>2084027787</v>
      </c>
      <c r="B1541" s="35" t="s">
        <v>462</v>
      </c>
      <c r="C1541" s="35" t="s">
        <v>405</v>
      </c>
      <c r="D1541" s="35" t="s">
        <v>617</v>
      </c>
      <c r="E1541" s="35" t="s">
        <v>635</v>
      </c>
      <c r="F1541" s="35" t="s">
        <v>390</v>
      </c>
      <c r="G1541" s="35" t="s">
        <v>10</v>
      </c>
      <c r="H1541" s="35" t="s">
        <v>519</v>
      </c>
    </row>
    <row r="1542" spans="1:8">
      <c r="A1542" s="34">
        <v>2084058709</v>
      </c>
      <c r="B1542" s="35" t="s">
        <v>462</v>
      </c>
      <c r="C1542" s="35" t="s">
        <v>405</v>
      </c>
      <c r="D1542" s="35" t="s">
        <v>617</v>
      </c>
      <c r="E1542" s="35" t="s">
        <v>635</v>
      </c>
      <c r="F1542" s="35" t="s">
        <v>390</v>
      </c>
      <c r="G1542" s="35" t="s">
        <v>10</v>
      </c>
      <c r="H1542" s="35" t="s">
        <v>335</v>
      </c>
    </row>
    <row r="1543" spans="1:8">
      <c r="A1543" s="34">
        <v>2084028023</v>
      </c>
      <c r="B1543" s="35" t="s">
        <v>462</v>
      </c>
      <c r="C1543" s="35" t="s">
        <v>405</v>
      </c>
      <c r="D1543" s="35" t="s">
        <v>617</v>
      </c>
      <c r="E1543" s="35" t="s">
        <v>635</v>
      </c>
      <c r="F1543" s="35" t="s">
        <v>390</v>
      </c>
      <c r="G1543" s="35" t="s">
        <v>379</v>
      </c>
      <c r="H1543" s="35" t="s">
        <v>520</v>
      </c>
    </row>
    <row r="1544" spans="1:8">
      <c r="A1544" s="34">
        <v>2084028058</v>
      </c>
      <c r="B1544" s="35" t="s">
        <v>462</v>
      </c>
      <c r="C1544" s="35" t="s">
        <v>405</v>
      </c>
      <c r="D1544" s="35" t="s">
        <v>617</v>
      </c>
      <c r="E1544" s="35" t="s">
        <v>635</v>
      </c>
      <c r="F1544" s="35" t="s">
        <v>390</v>
      </c>
      <c r="G1544" s="35" t="s">
        <v>379</v>
      </c>
      <c r="H1544" s="35" t="s">
        <v>521</v>
      </c>
    </row>
    <row r="1545" spans="1:8">
      <c r="A1545" s="34">
        <v>2084028158</v>
      </c>
      <c r="B1545" s="35" t="s">
        <v>462</v>
      </c>
      <c r="C1545" s="35" t="s">
        <v>405</v>
      </c>
      <c r="D1545" s="35" t="s">
        <v>617</v>
      </c>
      <c r="E1545" s="35" t="s">
        <v>635</v>
      </c>
      <c r="F1545" s="35" t="s">
        <v>390</v>
      </c>
      <c r="G1545" s="35" t="s">
        <v>379</v>
      </c>
      <c r="H1545" s="35" t="s">
        <v>522</v>
      </c>
    </row>
    <row r="1546" spans="1:8">
      <c r="A1546" s="34">
        <v>2084028431</v>
      </c>
      <c r="B1546" s="35" t="s">
        <v>462</v>
      </c>
      <c r="C1546" s="35" t="s">
        <v>405</v>
      </c>
      <c r="D1546" s="35" t="s">
        <v>617</v>
      </c>
      <c r="E1546" s="35" t="s">
        <v>635</v>
      </c>
      <c r="F1546" s="35" t="s">
        <v>390</v>
      </c>
      <c r="G1546" s="35" t="s">
        <v>379</v>
      </c>
      <c r="H1546" s="35" t="s">
        <v>523</v>
      </c>
    </row>
    <row r="1547" spans="1:8">
      <c r="A1547" s="34">
        <v>2084028097</v>
      </c>
      <c r="B1547" s="35" t="s">
        <v>462</v>
      </c>
      <c r="C1547" s="35" t="s">
        <v>405</v>
      </c>
      <c r="D1547" s="35" t="s">
        <v>617</v>
      </c>
      <c r="E1547" s="35" t="s">
        <v>635</v>
      </c>
      <c r="F1547" s="35" t="s">
        <v>390</v>
      </c>
      <c r="G1547" s="35" t="s">
        <v>379</v>
      </c>
      <c r="H1547" s="35" t="s">
        <v>524</v>
      </c>
    </row>
    <row r="1548" spans="1:8">
      <c r="A1548" s="34">
        <v>2084028263</v>
      </c>
      <c r="B1548" s="35" t="s">
        <v>462</v>
      </c>
      <c r="C1548" s="35" t="s">
        <v>405</v>
      </c>
      <c r="D1548" s="35" t="s">
        <v>617</v>
      </c>
      <c r="E1548" s="35" t="s">
        <v>635</v>
      </c>
      <c r="F1548" s="35" t="s">
        <v>390</v>
      </c>
      <c r="G1548" s="35" t="s">
        <v>379</v>
      </c>
      <c r="H1548" s="35" t="s">
        <v>525</v>
      </c>
    </row>
    <row r="1549" spans="1:8">
      <c r="A1549" s="34">
        <v>2084028465</v>
      </c>
      <c r="B1549" s="35" t="s">
        <v>462</v>
      </c>
      <c r="C1549" s="35" t="s">
        <v>405</v>
      </c>
      <c r="D1549" s="35" t="s">
        <v>617</v>
      </c>
      <c r="E1549" s="35" t="s">
        <v>635</v>
      </c>
      <c r="F1549" s="35" t="s">
        <v>390</v>
      </c>
      <c r="G1549" s="35" t="s">
        <v>379</v>
      </c>
      <c r="H1549" s="35" t="s">
        <v>526</v>
      </c>
    </row>
    <row r="1550" spans="1:8">
      <c r="A1550" s="34">
        <v>2084028334</v>
      </c>
      <c r="B1550" s="35" t="s">
        <v>462</v>
      </c>
      <c r="C1550" s="35" t="s">
        <v>405</v>
      </c>
      <c r="D1550" s="35" t="s">
        <v>617</v>
      </c>
      <c r="E1550" s="35" t="s">
        <v>635</v>
      </c>
      <c r="F1550" s="35" t="s">
        <v>390</v>
      </c>
      <c r="G1550" s="35" t="s">
        <v>379</v>
      </c>
      <c r="H1550" s="35" t="s">
        <v>527</v>
      </c>
    </row>
    <row r="1551" spans="1:8">
      <c r="A1551" s="34">
        <v>2084028500</v>
      </c>
      <c r="B1551" s="35" t="s">
        <v>462</v>
      </c>
      <c r="C1551" s="35" t="s">
        <v>405</v>
      </c>
      <c r="D1551" s="35" t="s">
        <v>617</v>
      </c>
      <c r="E1551" s="35" t="s">
        <v>635</v>
      </c>
      <c r="F1551" s="35" t="s">
        <v>390</v>
      </c>
      <c r="G1551" s="35" t="s">
        <v>379</v>
      </c>
      <c r="H1551" s="35" t="s">
        <v>528</v>
      </c>
    </row>
    <row r="1552" spans="1:8">
      <c r="A1552" s="34">
        <v>2084028376</v>
      </c>
      <c r="B1552" s="35" t="s">
        <v>462</v>
      </c>
      <c r="C1552" s="35" t="s">
        <v>405</v>
      </c>
      <c r="D1552" s="35" t="s">
        <v>617</v>
      </c>
      <c r="E1552" s="35" t="s">
        <v>635</v>
      </c>
      <c r="F1552" s="35" t="s">
        <v>390</v>
      </c>
      <c r="G1552" s="35" t="s">
        <v>379</v>
      </c>
      <c r="H1552" s="35" t="s">
        <v>548</v>
      </c>
    </row>
    <row r="1553" spans="1:8">
      <c r="A1553" s="34">
        <v>2084058711</v>
      </c>
      <c r="B1553" s="35" t="s">
        <v>462</v>
      </c>
      <c r="C1553" s="35" t="s">
        <v>405</v>
      </c>
      <c r="D1553" s="35" t="s">
        <v>617</v>
      </c>
      <c r="E1553" s="35" t="s">
        <v>635</v>
      </c>
      <c r="F1553" s="35" t="s">
        <v>390</v>
      </c>
      <c r="G1553" s="35" t="s">
        <v>379</v>
      </c>
      <c r="H1553" s="35" t="s">
        <v>335</v>
      </c>
    </row>
    <row r="1554" spans="1:8">
      <c r="A1554" s="34">
        <v>2084028540</v>
      </c>
      <c r="B1554" s="35" t="s">
        <v>462</v>
      </c>
      <c r="C1554" s="35" t="s">
        <v>405</v>
      </c>
      <c r="D1554" s="35" t="s">
        <v>617</v>
      </c>
      <c r="E1554" s="35" t="s">
        <v>635</v>
      </c>
      <c r="F1554" s="35" t="s">
        <v>390</v>
      </c>
      <c r="G1554" s="35" t="s">
        <v>530</v>
      </c>
      <c r="H1554" s="35" t="s">
        <v>531</v>
      </c>
    </row>
    <row r="1555" spans="1:8">
      <c r="A1555" s="34">
        <v>2084028634</v>
      </c>
      <c r="B1555" s="35" t="s">
        <v>462</v>
      </c>
      <c r="C1555" s="35" t="s">
        <v>405</v>
      </c>
      <c r="D1555" s="35" t="s">
        <v>617</v>
      </c>
      <c r="E1555" s="35" t="s">
        <v>635</v>
      </c>
      <c r="F1555" s="35" t="s">
        <v>390</v>
      </c>
      <c r="G1555" s="35" t="s">
        <v>530</v>
      </c>
      <c r="H1555" s="35" t="s">
        <v>532</v>
      </c>
    </row>
    <row r="1556" spans="1:8">
      <c r="A1556" s="34">
        <v>2084058713</v>
      </c>
      <c r="B1556" s="35" t="s">
        <v>462</v>
      </c>
      <c r="C1556" s="35" t="s">
        <v>405</v>
      </c>
      <c r="D1556" s="35" t="s">
        <v>617</v>
      </c>
      <c r="E1556" s="35" t="s">
        <v>635</v>
      </c>
      <c r="F1556" s="35" t="s">
        <v>390</v>
      </c>
      <c r="G1556" s="35" t="s">
        <v>530</v>
      </c>
      <c r="H1556" s="35" t="s">
        <v>335</v>
      </c>
    </row>
    <row r="1557" spans="1:8">
      <c r="A1557" s="34">
        <v>2084030126</v>
      </c>
      <c r="B1557" s="35" t="s">
        <v>462</v>
      </c>
      <c r="C1557" s="35" t="s">
        <v>405</v>
      </c>
      <c r="D1557" s="35" t="s">
        <v>617</v>
      </c>
      <c r="E1557" s="35" t="s">
        <v>635</v>
      </c>
      <c r="F1557" s="35" t="s">
        <v>390</v>
      </c>
      <c r="G1557" s="35" t="s">
        <v>533</v>
      </c>
      <c r="H1557" s="35" t="s">
        <v>534</v>
      </c>
    </row>
    <row r="1558" spans="1:8">
      <c r="A1558" s="34">
        <v>2084030160</v>
      </c>
      <c r="B1558" s="35" t="s">
        <v>462</v>
      </c>
      <c r="C1558" s="35" t="s">
        <v>405</v>
      </c>
      <c r="D1558" s="35" t="s">
        <v>617</v>
      </c>
      <c r="E1558" s="35" t="s">
        <v>635</v>
      </c>
      <c r="F1558" s="35" t="s">
        <v>390</v>
      </c>
      <c r="G1558" s="35" t="s">
        <v>533</v>
      </c>
      <c r="H1558" s="35" t="s">
        <v>535</v>
      </c>
    </row>
    <row r="1559" spans="1:8">
      <c r="A1559" s="34">
        <v>2084027147</v>
      </c>
      <c r="B1559" s="35" t="s">
        <v>462</v>
      </c>
      <c r="C1559" s="35" t="s">
        <v>405</v>
      </c>
      <c r="D1559" s="35" t="s">
        <v>617</v>
      </c>
      <c r="E1559" s="35" t="s">
        <v>635</v>
      </c>
      <c r="F1559" s="35" t="s">
        <v>390</v>
      </c>
      <c r="G1559" s="35" t="s">
        <v>533</v>
      </c>
      <c r="H1559" s="35" t="s">
        <v>536</v>
      </c>
    </row>
    <row r="1560" spans="1:8">
      <c r="A1560" s="34">
        <v>2084058715</v>
      </c>
      <c r="B1560" s="35" t="s">
        <v>462</v>
      </c>
      <c r="C1560" s="35" t="s">
        <v>405</v>
      </c>
      <c r="D1560" s="35" t="s">
        <v>617</v>
      </c>
      <c r="E1560" s="35" t="s">
        <v>635</v>
      </c>
      <c r="F1560" s="35" t="s">
        <v>390</v>
      </c>
      <c r="G1560" s="35" t="s">
        <v>533</v>
      </c>
      <c r="H1560" s="35" t="s">
        <v>335</v>
      </c>
    </row>
    <row r="1561" spans="1:8">
      <c r="A1561" s="34">
        <v>2084058780</v>
      </c>
      <c r="B1561" s="35" t="s">
        <v>462</v>
      </c>
      <c r="C1561" s="35" t="s">
        <v>405</v>
      </c>
      <c r="D1561" s="35" t="s">
        <v>617</v>
      </c>
      <c r="E1561" s="35" t="s">
        <v>635</v>
      </c>
      <c r="F1561" s="35" t="s">
        <v>390</v>
      </c>
      <c r="G1561" s="35" t="s">
        <v>335</v>
      </c>
    </row>
    <row r="1562" spans="1:8">
      <c r="A1562" s="34">
        <v>2084048662</v>
      </c>
      <c r="B1562" s="35" t="s">
        <v>462</v>
      </c>
      <c r="C1562" s="35" t="s">
        <v>405</v>
      </c>
      <c r="D1562" s="35" t="s">
        <v>617</v>
      </c>
      <c r="E1562" s="35" t="s">
        <v>635</v>
      </c>
      <c r="F1562" s="35" t="s">
        <v>335</v>
      </c>
    </row>
    <row r="1563" spans="1:8">
      <c r="A1563" s="34">
        <v>2084236947</v>
      </c>
      <c r="B1563" s="35" t="s">
        <v>462</v>
      </c>
      <c r="C1563" s="35" t="s">
        <v>405</v>
      </c>
      <c r="D1563" s="35" t="s">
        <v>617</v>
      </c>
      <c r="E1563" s="35" t="s">
        <v>636</v>
      </c>
      <c r="F1563" s="35" t="s">
        <v>407</v>
      </c>
    </row>
    <row r="1564" spans="1:8">
      <c r="A1564" s="34">
        <v>2084236946</v>
      </c>
      <c r="B1564" s="35" t="s">
        <v>462</v>
      </c>
      <c r="C1564" s="35" t="s">
        <v>405</v>
      </c>
      <c r="D1564" s="35" t="s">
        <v>617</v>
      </c>
      <c r="E1564" s="35" t="s">
        <v>636</v>
      </c>
      <c r="F1564" s="35" t="s">
        <v>408</v>
      </c>
    </row>
    <row r="1565" spans="1:8">
      <c r="A1565" s="34">
        <v>2084236948</v>
      </c>
      <c r="B1565" s="35" t="s">
        <v>462</v>
      </c>
      <c r="C1565" s="35" t="s">
        <v>405</v>
      </c>
      <c r="D1565" s="35" t="s">
        <v>617</v>
      </c>
      <c r="E1565" s="35" t="s">
        <v>636</v>
      </c>
      <c r="F1565" s="35" t="s">
        <v>335</v>
      </c>
    </row>
    <row r="1566" spans="1:8">
      <c r="A1566" s="34">
        <v>2084229272</v>
      </c>
      <c r="B1566" s="35" t="s">
        <v>462</v>
      </c>
      <c r="C1566" s="35" t="s">
        <v>405</v>
      </c>
      <c r="D1566" s="35" t="s">
        <v>617</v>
      </c>
      <c r="E1566" s="35" t="s">
        <v>637</v>
      </c>
      <c r="F1566" s="35" t="s">
        <v>407</v>
      </c>
    </row>
    <row r="1567" spans="1:8">
      <c r="A1567" s="34">
        <v>2084229271</v>
      </c>
      <c r="B1567" s="35" t="s">
        <v>462</v>
      </c>
      <c r="C1567" s="35" t="s">
        <v>405</v>
      </c>
      <c r="D1567" s="35" t="s">
        <v>617</v>
      </c>
      <c r="E1567" s="35" t="s">
        <v>637</v>
      </c>
      <c r="F1567" s="35" t="s">
        <v>408</v>
      </c>
    </row>
    <row r="1568" spans="1:8">
      <c r="A1568" s="34">
        <v>2084229273</v>
      </c>
      <c r="B1568" s="35" t="s">
        <v>462</v>
      </c>
      <c r="C1568" s="35" t="s">
        <v>405</v>
      </c>
      <c r="D1568" s="35" t="s">
        <v>617</v>
      </c>
      <c r="E1568" s="35" t="s">
        <v>637</v>
      </c>
      <c r="F1568" s="35" t="s">
        <v>335</v>
      </c>
    </row>
    <row r="1569" spans="1:8">
      <c r="A1569" s="34">
        <v>2084238779</v>
      </c>
      <c r="B1569" s="35" t="s">
        <v>462</v>
      </c>
      <c r="C1569" s="35" t="s">
        <v>405</v>
      </c>
      <c r="D1569" s="35" t="s">
        <v>617</v>
      </c>
      <c r="E1569" s="35" t="s">
        <v>638</v>
      </c>
      <c r="F1569" s="35" t="s">
        <v>407</v>
      </c>
    </row>
    <row r="1570" spans="1:8">
      <c r="A1570" s="34">
        <v>2084238778</v>
      </c>
      <c r="B1570" s="35" t="s">
        <v>462</v>
      </c>
      <c r="C1570" s="35" t="s">
        <v>405</v>
      </c>
      <c r="D1570" s="35" t="s">
        <v>617</v>
      </c>
      <c r="E1570" s="35" t="s">
        <v>638</v>
      </c>
      <c r="F1570" s="35" t="s">
        <v>408</v>
      </c>
    </row>
    <row r="1571" spans="1:8">
      <c r="A1571" s="34">
        <v>2084238780</v>
      </c>
      <c r="B1571" s="35" t="s">
        <v>462</v>
      </c>
      <c r="C1571" s="35" t="s">
        <v>405</v>
      </c>
      <c r="D1571" s="35" t="s">
        <v>617</v>
      </c>
      <c r="E1571" s="35" t="s">
        <v>638</v>
      </c>
      <c r="F1571" s="35" t="s">
        <v>335</v>
      </c>
    </row>
    <row r="1572" spans="1:8">
      <c r="A1572" s="34">
        <v>2084283084</v>
      </c>
      <c r="B1572" s="35" t="s">
        <v>462</v>
      </c>
      <c r="C1572" s="35" t="s">
        <v>405</v>
      </c>
      <c r="D1572" s="35" t="s">
        <v>639</v>
      </c>
      <c r="E1572" s="35" t="s">
        <v>640</v>
      </c>
    </row>
    <row r="1573" spans="1:8">
      <c r="A1573" s="34">
        <v>2084258412</v>
      </c>
      <c r="B1573" s="35" t="s">
        <v>462</v>
      </c>
      <c r="C1573" s="35" t="s">
        <v>405</v>
      </c>
      <c r="D1573" s="35" t="s">
        <v>639</v>
      </c>
      <c r="E1573" s="35" t="s">
        <v>641</v>
      </c>
    </row>
    <row r="1574" spans="1:8">
      <c r="A1574" s="34">
        <v>2084301236</v>
      </c>
      <c r="B1574" s="35" t="s">
        <v>462</v>
      </c>
      <c r="C1574" s="35" t="s">
        <v>405</v>
      </c>
      <c r="D1574" s="35" t="s">
        <v>639</v>
      </c>
      <c r="E1574" s="35" t="s">
        <v>642</v>
      </c>
      <c r="F1574" s="35" t="s">
        <v>407</v>
      </c>
    </row>
    <row r="1575" spans="1:8">
      <c r="A1575" s="34">
        <v>2084301235</v>
      </c>
      <c r="B1575" s="35" t="s">
        <v>462</v>
      </c>
      <c r="C1575" s="35" t="s">
        <v>405</v>
      </c>
      <c r="D1575" s="35" t="s">
        <v>639</v>
      </c>
      <c r="E1575" s="35" t="s">
        <v>642</v>
      </c>
      <c r="F1575" s="35" t="s">
        <v>408</v>
      </c>
    </row>
    <row r="1576" spans="1:8">
      <c r="A1576" s="34">
        <v>2084298367</v>
      </c>
      <c r="B1576" s="35" t="s">
        <v>462</v>
      </c>
      <c r="C1576" s="35" t="s">
        <v>405</v>
      </c>
      <c r="D1576" s="35" t="s">
        <v>639</v>
      </c>
      <c r="E1576" s="35" t="s">
        <v>643</v>
      </c>
      <c r="F1576" s="35" t="s">
        <v>407</v>
      </c>
    </row>
    <row r="1577" spans="1:8">
      <c r="A1577" s="34">
        <v>2084298368</v>
      </c>
      <c r="B1577" s="35" t="s">
        <v>462</v>
      </c>
      <c r="C1577" s="35" t="s">
        <v>405</v>
      </c>
      <c r="D1577" s="35" t="s">
        <v>639</v>
      </c>
      <c r="E1577" s="35" t="s">
        <v>643</v>
      </c>
      <c r="F1577" s="35" t="s">
        <v>408</v>
      </c>
    </row>
    <row r="1578" spans="1:8">
      <c r="A1578" s="34">
        <v>2084058265</v>
      </c>
      <c r="B1578" s="35" t="s">
        <v>462</v>
      </c>
      <c r="C1578" s="35" t="s">
        <v>405</v>
      </c>
      <c r="D1578" s="35" t="s">
        <v>639</v>
      </c>
      <c r="E1578" s="35" t="s">
        <v>644</v>
      </c>
      <c r="F1578" s="35" t="s">
        <v>353</v>
      </c>
      <c r="G1578" s="35" t="s">
        <v>368</v>
      </c>
      <c r="H1578" s="35" t="s">
        <v>645</v>
      </c>
    </row>
    <row r="1579" spans="1:8">
      <c r="A1579" s="34">
        <v>2084058266</v>
      </c>
      <c r="B1579" s="35" t="s">
        <v>462</v>
      </c>
      <c r="C1579" s="35" t="s">
        <v>405</v>
      </c>
      <c r="D1579" s="35" t="s">
        <v>639</v>
      </c>
      <c r="E1579" s="35" t="s">
        <v>644</v>
      </c>
      <c r="F1579" s="35" t="s">
        <v>353</v>
      </c>
      <c r="G1579" s="35" t="s">
        <v>368</v>
      </c>
      <c r="H1579" s="35" t="s">
        <v>335</v>
      </c>
    </row>
    <row r="1580" spans="1:8">
      <c r="A1580" s="34">
        <v>2084058206</v>
      </c>
      <c r="B1580" s="35" t="s">
        <v>462</v>
      </c>
      <c r="C1580" s="35" t="s">
        <v>405</v>
      </c>
      <c r="D1580" s="35" t="s">
        <v>639</v>
      </c>
      <c r="E1580" s="35" t="s">
        <v>644</v>
      </c>
      <c r="F1580" s="35" t="s">
        <v>353</v>
      </c>
      <c r="G1580" s="35" t="s">
        <v>10</v>
      </c>
      <c r="H1580" s="35" t="s">
        <v>397</v>
      </c>
    </row>
    <row r="1581" spans="1:8">
      <c r="A1581" s="34">
        <v>2084058204</v>
      </c>
      <c r="B1581" s="35" t="s">
        <v>462</v>
      </c>
      <c r="C1581" s="35" t="s">
        <v>405</v>
      </c>
      <c r="D1581" s="35" t="s">
        <v>639</v>
      </c>
      <c r="E1581" s="35" t="s">
        <v>644</v>
      </c>
      <c r="F1581" s="35" t="s">
        <v>353</v>
      </c>
      <c r="G1581" s="35" t="s">
        <v>10</v>
      </c>
      <c r="H1581" s="35" t="s">
        <v>421</v>
      </c>
    </row>
    <row r="1582" spans="1:8">
      <c r="A1582" s="34">
        <v>2084058203</v>
      </c>
      <c r="B1582" s="35" t="s">
        <v>462</v>
      </c>
      <c r="C1582" s="35" t="s">
        <v>405</v>
      </c>
      <c r="D1582" s="35" t="s">
        <v>639</v>
      </c>
      <c r="E1582" s="35" t="s">
        <v>644</v>
      </c>
      <c r="F1582" s="35" t="s">
        <v>353</v>
      </c>
      <c r="G1582" s="35" t="s">
        <v>10</v>
      </c>
      <c r="H1582" s="35" t="s">
        <v>398</v>
      </c>
    </row>
    <row r="1583" spans="1:8">
      <c r="A1583" s="34">
        <v>2084058202</v>
      </c>
      <c r="B1583" s="35" t="s">
        <v>462</v>
      </c>
      <c r="C1583" s="35" t="s">
        <v>405</v>
      </c>
      <c r="D1583" s="35" t="s">
        <v>639</v>
      </c>
      <c r="E1583" s="35" t="s">
        <v>644</v>
      </c>
      <c r="F1583" s="35" t="s">
        <v>353</v>
      </c>
      <c r="G1583" s="35" t="s">
        <v>10</v>
      </c>
      <c r="H1583" s="35" t="s">
        <v>422</v>
      </c>
    </row>
    <row r="1584" spans="1:8">
      <c r="A1584" s="34">
        <v>2084058207</v>
      </c>
      <c r="B1584" s="35" t="s">
        <v>462</v>
      </c>
      <c r="C1584" s="35" t="s">
        <v>405</v>
      </c>
      <c r="D1584" s="35" t="s">
        <v>639</v>
      </c>
      <c r="E1584" s="35" t="s">
        <v>644</v>
      </c>
      <c r="F1584" s="35" t="s">
        <v>353</v>
      </c>
      <c r="G1584" s="35" t="s">
        <v>10</v>
      </c>
      <c r="H1584" s="35" t="s">
        <v>335</v>
      </c>
    </row>
    <row r="1585" spans="1:8">
      <c r="A1585" s="34">
        <v>2084058210</v>
      </c>
      <c r="B1585" s="35" t="s">
        <v>462</v>
      </c>
      <c r="C1585" s="35" t="s">
        <v>405</v>
      </c>
      <c r="D1585" s="35" t="s">
        <v>639</v>
      </c>
      <c r="E1585" s="35" t="s">
        <v>644</v>
      </c>
      <c r="F1585" s="35" t="s">
        <v>353</v>
      </c>
      <c r="G1585" s="35" t="s">
        <v>379</v>
      </c>
      <c r="H1585" s="35" t="s">
        <v>545</v>
      </c>
    </row>
    <row r="1586" spans="1:8">
      <c r="A1586" s="34">
        <v>2084058212</v>
      </c>
      <c r="B1586" s="35" t="s">
        <v>462</v>
      </c>
      <c r="C1586" s="35" t="s">
        <v>405</v>
      </c>
      <c r="D1586" s="35" t="s">
        <v>639</v>
      </c>
      <c r="E1586" s="35" t="s">
        <v>644</v>
      </c>
      <c r="F1586" s="35" t="s">
        <v>353</v>
      </c>
      <c r="G1586" s="35" t="s">
        <v>379</v>
      </c>
      <c r="H1586" s="35" t="s">
        <v>335</v>
      </c>
    </row>
    <row r="1587" spans="1:8">
      <c r="A1587" s="34">
        <v>2084058214</v>
      </c>
      <c r="B1587" s="35" t="s">
        <v>462</v>
      </c>
      <c r="C1587" s="35" t="s">
        <v>405</v>
      </c>
      <c r="D1587" s="35" t="s">
        <v>639</v>
      </c>
      <c r="E1587" s="35" t="s">
        <v>644</v>
      </c>
      <c r="F1587" s="35" t="s">
        <v>353</v>
      </c>
      <c r="G1587" s="35" t="s">
        <v>335</v>
      </c>
    </row>
    <row r="1588" spans="1:8">
      <c r="A1588" s="34">
        <v>2084058215</v>
      </c>
      <c r="B1588" s="35" t="s">
        <v>462</v>
      </c>
      <c r="C1588" s="35" t="s">
        <v>405</v>
      </c>
      <c r="D1588" s="35" t="s">
        <v>639</v>
      </c>
      <c r="E1588" s="35" t="s">
        <v>644</v>
      </c>
      <c r="F1588" s="35" t="s">
        <v>335</v>
      </c>
    </row>
    <row r="1589" spans="1:8">
      <c r="A1589" s="34">
        <v>2084232945</v>
      </c>
      <c r="B1589" s="35" t="s">
        <v>462</v>
      </c>
      <c r="C1589" s="35" t="s">
        <v>405</v>
      </c>
      <c r="D1589" s="35" t="s">
        <v>639</v>
      </c>
      <c r="E1589" s="35" t="s">
        <v>646</v>
      </c>
      <c r="F1589" s="35" t="s">
        <v>611</v>
      </c>
      <c r="G1589" s="35" t="s">
        <v>647</v>
      </c>
    </row>
    <row r="1590" spans="1:8">
      <c r="A1590" s="34">
        <v>2084232946</v>
      </c>
      <c r="B1590" s="35" t="s">
        <v>462</v>
      </c>
      <c r="C1590" s="35" t="s">
        <v>405</v>
      </c>
      <c r="D1590" s="35" t="s">
        <v>639</v>
      </c>
      <c r="E1590" s="35" t="s">
        <v>646</v>
      </c>
      <c r="F1590" s="35" t="s">
        <v>611</v>
      </c>
      <c r="G1590" s="35" t="s">
        <v>648</v>
      </c>
    </row>
    <row r="1591" spans="1:8">
      <c r="A1591" s="34">
        <v>2084232947</v>
      </c>
      <c r="B1591" s="35" t="s">
        <v>462</v>
      </c>
      <c r="C1591" s="35" t="s">
        <v>405</v>
      </c>
      <c r="D1591" s="35" t="s">
        <v>639</v>
      </c>
      <c r="E1591" s="35" t="s">
        <v>646</v>
      </c>
      <c r="F1591" s="35" t="s">
        <v>611</v>
      </c>
      <c r="G1591" s="35" t="s">
        <v>649</v>
      </c>
    </row>
    <row r="1592" spans="1:8">
      <c r="A1592" s="34">
        <v>2084232948</v>
      </c>
      <c r="B1592" s="35" t="s">
        <v>462</v>
      </c>
      <c r="C1592" s="35" t="s">
        <v>405</v>
      </c>
      <c r="D1592" s="35" t="s">
        <v>639</v>
      </c>
      <c r="E1592" s="35" t="s">
        <v>646</v>
      </c>
      <c r="F1592" s="35" t="s">
        <v>611</v>
      </c>
      <c r="G1592" s="35" t="s">
        <v>650</v>
      </c>
    </row>
    <row r="1593" spans="1:8">
      <c r="A1593" s="34">
        <v>2084232949</v>
      </c>
      <c r="B1593" s="35" t="s">
        <v>462</v>
      </c>
      <c r="C1593" s="35" t="s">
        <v>405</v>
      </c>
      <c r="D1593" s="35" t="s">
        <v>639</v>
      </c>
      <c r="E1593" s="35" t="s">
        <v>646</v>
      </c>
      <c r="F1593" s="35" t="s">
        <v>611</v>
      </c>
      <c r="G1593" s="35" t="s">
        <v>651</v>
      </c>
    </row>
    <row r="1594" spans="1:8">
      <c r="A1594" s="34">
        <v>2084232950</v>
      </c>
      <c r="B1594" s="35" t="s">
        <v>462</v>
      </c>
      <c r="C1594" s="35" t="s">
        <v>405</v>
      </c>
      <c r="D1594" s="35" t="s">
        <v>639</v>
      </c>
      <c r="E1594" s="35" t="s">
        <v>646</v>
      </c>
      <c r="F1594" s="35" t="s">
        <v>611</v>
      </c>
      <c r="G1594" s="35" t="s">
        <v>652</v>
      </c>
    </row>
    <row r="1595" spans="1:8">
      <c r="A1595" s="34">
        <v>2084232951</v>
      </c>
      <c r="B1595" s="35" t="s">
        <v>462</v>
      </c>
      <c r="C1595" s="35" t="s">
        <v>405</v>
      </c>
      <c r="D1595" s="35" t="s">
        <v>639</v>
      </c>
      <c r="E1595" s="35" t="s">
        <v>646</v>
      </c>
      <c r="F1595" s="35" t="s">
        <v>611</v>
      </c>
      <c r="G1595" s="35" t="s">
        <v>653</v>
      </c>
    </row>
    <row r="1596" spans="1:8">
      <c r="A1596" s="34">
        <v>2084232955</v>
      </c>
      <c r="B1596" s="35" t="s">
        <v>462</v>
      </c>
      <c r="C1596" s="35" t="s">
        <v>405</v>
      </c>
      <c r="D1596" s="35" t="s">
        <v>639</v>
      </c>
      <c r="E1596" s="35" t="s">
        <v>646</v>
      </c>
      <c r="F1596" s="35" t="s">
        <v>611</v>
      </c>
      <c r="G1596" s="35" t="s">
        <v>654</v>
      </c>
    </row>
    <row r="1597" spans="1:8">
      <c r="A1597" s="34">
        <v>2084232952</v>
      </c>
      <c r="B1597" s="35" t="s">
        <v>462</v>
      </c>
      <c r="C1597" s="35" t="s">
        <v>405</v>
      </c>
      <c r="D1597" s="35" t="s">
        <v>639</v>
      </c>
      <c r="E1597" s="35" t="s">
        <v>646</v>
      </c>
      <c r="F1597" s="35" t="s">
        <v>611</v>
      </c>
      <c r="G1597" s="35" t="s">
        <v>655</v>
      </c>
    </row>
    <row r="1598" spans="1:8">
      <c r="A1598" s="34">
        <v>2084232953</v>
      </c>
      <c r="B1598" s="35" t="s">
        <v>462</v>
      </c>
      <c r="C1598" s="35" t="s">
        <v>405</v>
      </c>
      <c r="D1598" s="35" t="s">
        <v>639</v>
      </c>
      <c r="E1598" s="35" t="s">
        <v>646</v>
      </c>
      <c r="F1598" s="35" t="s">
        <v>611</v>
      </c>
      <c r="G1598" s="35" t="s">
        <v>656</v>
      </c>
    </row>
    <row r="1599" spans="1:8">
      <c r="A1599" s="34">
        <v>2084232954</v>
      </c>
      <c r="B1599" s="35" t="s">
        <v>462</v>
      </c>
      <c r="C1599" s="35" t="s">
        <v>405</v>
      </c>
      <c r="D1599" s="35" t="s">
        <v>639</v>
      </c>
      <c r="E1599" s="35" t="s">
        <v>646</v>
      </c>
      <c r="F1599" s="35" t="s">
        <v>611</v>
      </c>
      <c r="G1599" s="35" t="s">
        <v>657</v>
      </c>
    </row>
    <row r="1600" spans="1:8">
      <c r="A1600" s="34">
        <v>2084232956</v>
      </c>
      <c r="B1600" s="35" t="s">
        <v>462</v>
      </c>
      <c r="C1600" s="35" t="s">
        <v>405</v>
      </c>
      <c r="D1600" s="35" t="s">
        <v>639</v>
      </c>
      <c r="E1600" s="35" t="s">
        <v>646</v>
      </c>
      <c r="F1600" s="35" t="s">
        <v>335</v>
      </c>
    </row>
    <row r="1601" spans="1:7">
      <c r="A1601" s="34">
        <v>2084050182</v>
      </c>
      <c r="B1601" s="35" t="s">
        <v>462</v>
      </c>
      <c r="C1601" s="35" t="s">
        <v>405</v>
      </c>
      <c r="D1601" s="35" t="s">
        <v>639</v>
      </c>
      <c r="E1601" s="35" t="s">
        <v>658</v>
      </c>
    </row>
    <row r="1602" spans="1:7">
      <c r="A1602" s="34">
        <v>2084036141</v>
      </c>
      <c r="B1602" s="35" t="s">
        <v>462</v>
      </c>
      <c r="C1602" s="35" t="s">
        <v>405</v>
      </c>
      <c r="D1602" s="35" t="s">
        <v>639</v>
      </c>
      <c r="E1602" s="35" t="s">
        <v>659</v>
      </c>
      <c r="F1602" s="35" t="s">
        <v>569</v>
      </c>
    </row>
    <row r="1603" spans="1:7">
      <c r="A1603" s="34">
        <v>2084261624</v>
      </c>
      <c r="B1603" s="35" t="s">
        <v>462</v>
      </c>
      <c r="C1603" s="35" t="s">
        <v>405</v>
      </c>
      <c r="D1603" s="35" t="s">
        <v>639</v>
      </c>
      <c r="E1603" s="35" t="s">
        <v>659</v>
      </c>
      <c r="F1603" s="35" t="s">
        <v>407</v>
      </c>
    </row>
    <row r="1604" spans="1:7">
      <c r="A1604" s="34">
        <v>2084261623</v>
      </c>
      <c r="B1604" s="35" t="s">
        <v>462</v>
      </c>
      <c r="C1604" s="35" t="s">
        <v>405</v>
      </c>
      <c r="D1604" s="35" t="s">
        <v>639</v>
      </c>
      <c r="E1604" s="35" t="s">
        <v>659</v>
      </c>
      <c r="F1604" s="35" t="s">
        <v>408</v>
      </c>
    </row>
    <row r="1605" spans="1:7">
      <c r="A1605" s="34">
        <v>2084048754</v>
      </c>
      <c r="B1605" s="35" t="s">
        <v>462</v>
      </c>
      <c r="C1605" s="35" t="s">
        <v>405</v>
      </c>
      <c r="D1605" s="35" t="s">
        <v>639</v>
      </c>
      <c r="E1605" s="35" t="s">
        <v>659</v>
      </c>
      <c r="F1605" s="35" t="s">
        <v>335</v>
      </c>
    </row>
    <row r="1606" spans="1:7">
      <c r="A1606" s="34">
        <v>2084199103</v>
      </c>
      <c r="B1606" s="35" t="s">
        <v>462</v>
      </c>
      <c r="C1606" s="35" t="s">
        <v>405</v>
      </c>
      <c r="D1606" s="35" t="s">
        <v>639</v>
      </c>
      <c r="E1606" s="35" t="s">
        <v>660</v>
      </c>
      <c r="F1606" s="35" t="s">
        <v>407</v>
      </c>
    </row>
    <row r="1607" spans="1:7">
      <c r="A1607" s="34">
        <v>2084199098</v>
      </c>
      <c r="B1607" s="35" t="s">
        <v>462</v>
      </c>
      <c r="C1607" s="35" t="s">
        <v>405</v>
      </c>
      <c r="D1607" s="35" t="s">
        <v>639</v>
      </c>
      <c r="E1607" s="35" t="s">
        <v>660</v>
      </c>
      <c r="F1607" s="35" t="s">
        <v>353</v>
      </c>
      <c r="G1607" s="35" t="s">
        <v>367</v>
      </c>
    </row>
    <row r="1608" spans="1:7">
      <c r="A1608" s="34">
        <v>2084199099</v>
      </c>
      <c r="B1608" s="35" t="s">
        <v>462</v>
      </c>
      <c r="C1608" s="35" t="s">
        <v>405</v>
      </c>
      <c r="D1608" s="35" t="s">
        <v>639</v>
      </c>
      <c r="E1608" s="35" t="s">
        <v>660</v>
      </c>
      <c r="F1608" s="35" t="s">
        <v>353</v>
      </c>
      <c r="G1608" s="35" t="s">
        <v>401</v>
      </c>
    </row>
    <row r="1609" spans="1:7">
      <c r="A1609" s="34">
        <v>2084199100</v>
      </c>
      <c r="B1609" s="35" t="s">
        <v>462</v>
      </c>
      <c r="C1609" s="35" t="s">
        <v>405</v>
      </c>
      <c r="D1609" s="35" t="s">
        <v>639</v>
      </c>
      <c r="E1609" s="35" t="s">
        <v>660</v>
      </c>
      <c r="F1609" s="35" t="s">
        <v>353</v>
      </c>
      <c r="G1609" s="35" t="s">
        <v>402</v>
      </c>
    </row>
    <row r="1610" spans="1:7">
      <c r="A1610" s="34">
        <v>2084199101</v>
      </c>
      <c r="B1610" s="35" t="s">
        <v>462</v>
      </c>
      <c r="C1610" s="35" t="s">
        <v>405</v>
      </c>
      <c r="D1610" s="35" t="s">
        <v>639</v>
      </c>
      <c r="E1610" s="35" t="s">
        <v>660</v>
      </c>
      <c r="F1610" s="35" t="s">
        <v>353</v>
      </c>
      <c r="G1610" s="35" t="s">
        <v>403</v>
      </c>
    </row>
    <row r="1611" spans="1:7">
      <c r="A1611" s="34">
        <v>2084199102</v>
      </c>
      <c r="B1611" s="35" t="s">
        <v>462</v>
      </c>
      <c r="C1611" s="35" t="s">
        <v>405</v>
      </c>
      <c r="D1611" s="35" t="s">
        <v>639</v>
      </c>
      <c r="E1611" s="35" t="s">
        <v>660</v>
      </c>
      <c r="F1611" s="35" t="s">
        <v>353</v>
      </c>
      <c r="G1611" s="35" t="s">
        <v>335</v>
      </c>
    </row>
    <row r="1612" spans="1:7">
      <c r="A1612" s="34">
        <v>2084199104</v>
      </c>
      <c r="B1612" s="35" t="s">
        <v>462</v>
      </c>
      <c r="C1612" s="35" t="s">
        <v>405</v>
      </c>
      <c r="D1612" s="35" t="s">
        <v>639</v>
      </c>
      <c r="E1612" s="35" t="s">
        <v>660</v>
      </c>
      <c r="F1612" s="35" t="s">
        <v>597</v>
      </c>
    </row>
    <row r="1613" spans="1:7">
      <c r="A1613" s="34">
        <v>2084199105</v>
      </c>
      <c r="B1613" s="35" t="s">
        <v>462</v>
      </c>
      <c r="C1613" s="35" t="s">
        <v>405</v>
      </c>
      <c r="D1613" s="35" t="s">
        <v>639</v>
      </c>
      <c r="E1613" s="35" t="s">
        <v>660</v>
      </c>
      <c r="F1613" s="35" t="s">
        <v>335</v>
      </c>
    </row>
    <row r="1614" spans="1:7">
      <c r="A1614" s="34">
        <v>2084243975</v>
      </c>
      <c r="B1614" s="35" t="s">
        <v>462</v>
      </c>
      <c r="C1614" s="35" t="s">
        <v>405</v>
      </c>
      <c r="D1614" s="35" t="s">
        <v>639</v>
      </c>
      <c r="E1614" s="35" t="s">
        <v>661</v>
      </c>
    </row>
    <row r="1615" spans="1:7">
      <c r="A1615" s="34">
        <v>2084050184</v>
      </c>
      <c r="B1615" s="35" t="s">
        <v>462</v>
      </c>
      <c r="C1615" s="35" t="s">
        <v>405</v>
      </c>
      <c r="D1615" s="35" t="s">
        <v>639</v>
      </c>
      <c r="E1615" s="35" t="s">
        <v>662</v>
      </c>
    </row>
    <row r="1616" spans="1:7">
      <c r="A1616" s="34">
        <v>2084050837</v>
      </c>
      <c r="B1616" s="35" t="s">
        <v>462</v>
      </c>
      <c r="C1616" s="35" t="s">
        <v>405</v>
      </c>
      <c r="D1616" s="35" t="s">
        <v>639</v>
      </c>
      <c r="E1616" s="35" t="s">
        <v>663</v>
      </c>
      <c r="F1616" s="35" t="s">
        <v>475</v>
      </c>
    </row>
    <row r="1617" spans="1:8">
      <c r="A1617" s="34">
        <v>2084050836</v>
      </c>
      <c r="B1617" s="35" t="s">
        <v>462</v>
      </c>
      <c r="C1617" s="35" t="s">
        <v>405</v>
      </c>
      <c r="D1617" s="35" t="s">
        <v>639</v>
      </c>
      <c r="E1617" s="35" t="s">
        <v>663</v>
      </c>
      <c r="F1617" s="35" t="s">
        <v>611</v>
      </c>
      <c r="G1617" s="35" t="s">
        <v>407</v>
      </c>
    </row>
    <row r="1618" spans="1:8">
      <c r="A1618" s="34">
        <v>2084050835</v>
      </c>
      <c r="B1618" s="35" t="s">
        <v>462</v>
      </c>
      <c r="C1618" s="35" t="s">
        <v>405</v>
      </c>
      <c r="D1618" s="35" t="s">
        <v>639</v>
      </c>
      <c r="E1618" s="35" t="s">
        <v>663</v>
      </c>
      <c r="F1618" s="35" t="s">
        <v>611</v>
      </c>
      <c r="G1618" s="35" t="s">
        <v>408</v>
      </c>
    </row>
    <row r="1619" spans="1:8">
      <c r="A1619" s="34">
        <v>2084028228</v>
      </c>
      <c r="B1619" s="35" t="s">
        <v>462</v>
      </c>
      <c r="C1619" s="35" t="s">
        <v>405</v>
      </c>
      <c r="D1619" s="35" t="s">
        <v>639</v>
      </c>
      <c r="E1619" s="35" t="s">
        <v>663</v>
      </c>
      <c r="F1619" s="35" t="s">
        <v>390</v>
      </c>
      <c r="G1619" s="35" t="s">
        <v>367</v>
      </c>
    </row>
    <row r="1620" spans="1:8">
      <c r="A1620" s="34">
        <v>2084028780</v>
      </c>
      <c r="B1620" s="35" t="s">
        <v>462</v>
      </c>
      <c r="C1620" s="35" t="s">
        <v>405</v>
      </c>
      <c r="D1620" s="35" t="s">
        <v>639</v>
      </c>
      <c r="E1620" s="35" t="s">
        <v>663</v>
      </c>
      <c r="F1620" s="35" t="s">
        <v>390</v>
      </c>
      <c r="G1620" s="35" t="s">
        <v>368</v>
      </c>
      <c r="H1620" s="35" t="s">
        <v>508</v>
      </c>
    </row>
    <row r="1621" spans="1:8">
      <c r="A1621" s="34">
        <v>2084029313</v>
      </c>
      <c r="B1621" s="35" t="s">
        <v>462</v>
      </c>
      <c r="C1621" s="35" t="s">
        <v>405</v>
      </c>
      <c r="D1621" s="35" t="s">
        <v>639</v>
      </c>
      <c r="E1621" s="35" t="s">
        <v>663</v>
      </c>
      <c r="F1621" s="35" t="s">
        <v>390</v>
      </c>
      <c r="G1621" s="35" t="s">
        <v>368</v>
      </c>
      <c r="H1621" s="35" t="s">
        <v>481</v>
      </c>
    </row>
    <row r="1622" spans="1:8">
      <c r="A1622" s="34">
        <v>2084029864</v>
      </c>
      <c r="B1622" s="35" t="s">
        <v>462</v>
      </c>
      <c r="C1622" s="35" t="s">
        <v>405</v>
      </c>
      <c r="D1622" s="35" t="s">
        <v>639</v>
      </c>
      <c r="E1622" s="35" t="s">
        <v>663</v>
      </c>
      <c r="F1622" s="35" t="s">
        <v>390</v>
      </c>
      <c r="G1622" s="35" t="s">
        <v>368</v>
      </c>
      <c r="H1622" s="35" t="s">
        <v>494</v>
      </c>
    </row>
    <row r="1623" spans="1:8">
      <c r="A1623" s="34">
        <v>2084058767</v>
      </c>
      <c r="B1623" s="35" t="s">
        <v>462</v>
      </c>
      <c r="C1623" s="35" t="s">
        <v>405</v>
      </c>
      <c r="D1623" s="35" t="s">
        <v>639</v>
      </c>
      <c r="E1623" s="35" t="s">
        <v>663</v>
      </c>
      <c r="F1623" s="35" t="s">
        <v>390</v>
      </c>
      <c r="G1623" s="35" t="s">
        <v>368</v>
      </c>
      <c r="H1623" s="35" t="s">
        <v>335</v>
      </c>
    </row>
    <row r="1624" spans="1:8">
      <c r="A1624" s="34">
        <v>2084027329</v>
      </c>
      <c r="B1624" s="35" t="s">
        <v>462</v>
      </c>
      <c r="C1624" s="35" t="s">
        <v>405</v>
      </c>
      <c r="D1624" s="35" t="s">
        <v>639</v>
      </c>
      <c r="E1624" s="35" t="s">
        <v>663</v>
      </c>
      <c r="F1624" s="35" t="s">
        <v>390</v>
      </c>
      <c r="G1624" s="35" t="s">
        <v>10</v>
      </c>
      <c r="H1624" s="35" t="s">
        <v>509</v>
      </c>
    </row>
    <row r="1625" spans="1:8">
      <c r="A1625" s="34">
        <v>2084027822</v>
      </c>
      <c r="B1625" s="35" t="s">
        <v>462</v>
      </c>
      <c r="C1625" s="35" t="s">
        <v>405</v>
      </c>
      <c r="D1625" s="35" t="s">
        <v>639</v>
      </c>
      <c r="E1625" s="35" t="s">
        <v>663</v>
      </c>
      <c r="F1625" s="35" t="s">
        <v>390</v>
      </c>
      <c r="G1625" s="35" t="s">
        <v>10</v>
      </c>
      <c r="H1625" s="35" t="s">
        <v>510</v>
      </c>
    </row>
    <row r="1626" spans="1:8">
      <c r="A1626" s="34">
        <v>2084027854</v>
      </c>
      <c r="B1626" s="35" t="s">
        <v>462</v>
      </c>
      <c r="C1626" s="35" t="s">
        <v>405</v>
      </c>
      <c r="D1626" s="35" t="s">
        <v>639</v>
      </c>
      <c r="E1626" s="35" t="s">
        <v>663</v>
      </c>
      <c r="F1626" s="35" t="s">
        <v>390</v>
      </c>
      <c r="G1626" s="35" t="s">
        <v>10</v>
      </c>
      <c r="H1626" s="35" t="s">
        <v>511</v>
      </c>
    </row>
    <row r="1627" spans="1:8">
      <c r="A1627" s="34">
        <v>2084027934</v>
      </c>
      <c r="B1627" s="35" t="s">
        <v>462</v>
      </c>
      <c r="C1627" s="35" t="s">
        <v>405</v>
      </c>
      <c r="D1627" s="35" t="s">
        <v>639</v>
      </c>
      <c r="E1627" s="35" t="s">
        <v>663</v>
      </c>
      <c r="F1627" s="35" t="s">
        <v>390</v>
      </c>
      <c r="G1627" s="35" t="s">
        <v>10</v>
      </c>
      <c r="H1627" s="35" t="s">
        <v>493</v>
      </c>
    </row>
    <row r="1628" spans="1:8">
      <c r="A1628" s="34">
        <v>2084027453</v>
      </c>
      <c r="B1628" s="35" t="s">
        <v>462</v>
      </c>
      <c r="C1628" s="35" t="s">
        <v>405</v>
      </c>
      <c r="D1628" s="35" t="s">
        <v>639</v>
      </c>
      <c r="E1628" s="35" t="s">
        <v>663</v>
      </c>
      <c r="F1628" s="35" t="s">
        <v>390</v>
      </c>
      <c r="G1628" s="35" t="s">
        <v>10</v>
      </c>
      <c r="H1628" s="35" t="s">
        <v>512</v>
      </c>
    </row>
    <row r="1629" spans="1:8">
      <c r="A1629" s="34">
        <v>2084027620</v>
      </c>
      <c r="B1629" s="35" t="s">
        <v>462</v>
      </c>
      <c r="C1629" s="35" t="s">
        <v>405</v>
      </c>
      <c r="D1629" s="35" t="s">
        <v>639</v>
      </c>
      <c r="E1629" s="35" t="s">
        <v>663</v>
      </c>
      <c r="F1629" s="35" t="s">
        <v>390</v>
      </c>
      <c r="G1629" s="35" t="s">
        <v>10</v>
      </c>
      <c r="H1629" s="35" t="s">
        <v>513</v>
      </c>
    </row>
    <row r="1630" spans="1:8">
      <c r="A1630" s="34">
        <v>2084027964</v>
      </c>
      <c r="B1630" s="35" t="s">
        <v>462</v>
      </c>
      <c r="C1630" s="35" t="s">
        <v>405</v>
      </c>
      <c r="D1630" s="35" t="s">
        <v>639</v>
      </c>
      <c r="E1630" s="35" t="s">
        <v>663</v>
      </c>
      <c r="F1630" s="35" t="s">
        <v>390</v>
      </c>
      <c r="G1630" s="35" t="s">
        <v>10</v>
      </c>
      <c r="H1630" s="35" t="s">
        <v>420</v>
      </c>
    </row>
    <row r="1631" spans="1:8">
      <c r="A1631" s="34">
        <v>2084027242</v>
      </c>
      <c r="B1631" s="35" t="s">
        <v>462</v>
      </c>
      <c r="C1631" s="35" t="s">
        <v>405</v>
      </c>
      <c r="D1631" s="35" t="s">
        <v>639</v>
      </c>
      <c r="E1631" s="35" t="s">
        <v>663</v>
      </c>
      <c r="F1631" s="35" t="s">
        <v>390</v>
      </c>
      <c r="G1631" s="35" t="s">
        <v>10</v>
      </c>
      <c r="H1631" s="35" t="s">
        <v>514</v>
      </c>
    </row>
    <row r="1632" spans="1:8">
      <c r="A1632" s="34">
        <v>2084027418</v>
      </c>
      <c r="B1632" s="35" t="s">
        <v>462</v>
      </c>
      <c r="C1632" s="35" t="s">
        <v>405</v>
      </c>
      <c r="D1632" s="35" t="s">
        <v>639</v>
      </c>
      <c r="E1632" s="35" t="s">
        <v>663</v>
      </c>
      <c r="F1632" s="35" t="s">
        <v>390</v>
      </c>
      <c r="G1632" s="35" t="s">
        <v>10</v>
      </c>
      <c r="H1632" s="35" t="s">
        <v>515</v>
      </c>
    </row>
    <row r="1633" spans="1:8">
      <c r="A1633" s="34">
        <v>2084027537</v>
      </c>
      <c r="B1633" s="35" t="s">
        <v>462</v>
      </c>
      <c r="C1633" s="35" t="s">
        <v>405</v>
      </c>
      <c r="D1633" s="35" t="s">
        <v>639</v>
      </c>
      <c r="E1633" s="35" t="s">
        <v>663</v>
      </c>
      <c r="F1633" s="35" t="s">
        <v>390</v>
      </c>
      <c r="G1633" s="35" t="s">
        <v>10</v>
      </c>
      <c r="H1633" s="35" t="s">
        <v>421</v>
      </c>
    </row>
    <row r="1634" spans="1:8">
      <c r="A1634" s="34">
        <v>2084027698</v>
      </c>
      <c r="B1634" s="35" t="s">
        <v>462</v>
      </c>
      <c r="C1634" s="35" t="s">
        <v>405</v>
      </c>
      <c r="D1634" s="35" t="s">
        <v>639</v>
      </c>
      <c r="E1634" s="35" t="s">
        <v>663</v>
      </c>
      <c r="F1634" s="35" t="s">
        <v>390</v>
      </c>
      <c r="G1634" s="35" t="s">
        <v>10</v>
      </c>
      <c r="H1634" s="35" t="s">
        <v>516</v>
      </c>
    </row>
    <row r="1635" spans="1:8">
      <c r="A1635" s="34">
        <v>2084027215</v>
      </c>
      <c r="B1635" s="35" t="s">
        <v>462</v>
      </c>
      <c r="C1635" s="35" t="s">
        <v>405</v>
      </c>
      <c r="D1635" s="35" t="s">
        <v>639</v>
      </c>
      <c r="E1635" s="35" t="s">
        <v>663</v>
      </c>
      <c r="F1635" s="35" t="s">
        <v>390</v>
      </c>
      <c r="G1635" s="35" t="s">
        <v>10</v>
      </c>
      <c r="H1635" s="35" t="s">
        <v>517</v>
      </c>
    </row>
    <row r="1636" spans="1:8">
      <c r="A1636" s="34">
        <v>2084027384</v>
      </c>
      <c r="B1636" s="35" t="s">
        <v>462</v>
      </c>
      <c r="C1636" s="35" t="s">
        <v>405</v>
      </c>
      <c r="D1636" s="35" t="s">
        <v>639</v>
      </c>
      <c r="E1636" s="35" t="s">
        <v>663</v>
      </c>
      <c r="F1636" s="35" t="s">
        <v>390</v>
      </c>
      <c r="G1636" s="35" t="s">
        <v>10</v>
      </c>
      <c r="H1636" s="35" t="s">
        <v>518</v>
      </c>
    </row>
    <row r="1637" spans="1:8">
      <c r="A1637" s="34">
        <v>2084027587</v>
      </c>
      <c r="B1637" s="35" t="s">
        <v>462</v>
      </c>
      <c r="C1637" s="35" t="s">
        <v>405</v>
      </c>
      <c r="D1637" s="35" t="s">
        <v>639</v>
      </c>
      <c r="E1637" s="35" t="s">
        <v>663</v>
      </c>
      <c r="F1637" s="35" t="s">
        <v>390</v>
      </c>
      <c r="G1637" s="35" t="s">
        <v>10</v>
      </c>
      <c r="H1637" s="35" t="s">
        <v>422</v>
      </c>
    </row>
    <row r="1638" spans="1:8">
      <c r="A1638" s="34">
        <v>2084027788</v>
      </c>
      <c r="B1638" s="35" t="s">
        <v>462</v>
      </c>
      <c r="C1638" s="35" t="s">
        <v>405</v>
      </c>
      <c r="D1638" s="35" t="s">
        <v>639</v>
      </c>
      <c r="E1638" s="35" t="s">
        <v>663</v>
      </c>
      <c r="F1638" s="35" t="s">
        <v>390</v>
      </c>
      <c r="G1638" s="35" t="s">
        <v>10</v>
      </c>
      <c r="H1638" s="35" t="s">
        <v>519</v>
      </c>
    </row>
    <row r="1639" spans="1:8">
      <c r="A1639" s="34">
        <v>2084058769</v>
      </c>
      <c r="B1639" s="35" t="s">
        <v>462</v>
      </c>
      <c r="C1639" s="35" t="s">
        <v>405</v>
      </c>
      <c r="D1639" s="35" t="s">
        <v>639</v>
      </c>
      <c r="E1639" s="35" t="s">
        <v>663</v>
      </c>
      <c r="F1639" s="35" t="s">
        <v>390</v>
      </c>
      <c r="G1639" s="35" t="s">
        <v>10</v>
      </c>
      <c r="H1639" s="35" t="s">
        <v>335</v>
      </c>
    </row>
    <row r="1640" spans="1:8">
      <c r="A1640" s="34">
        <v>2084028024</v>
      </c>
      <c r="B1640" s="35" t="s">
        <v>462</v>
      </c>
      <c r="C1640" s="35" t="s">
        <v>405</v>
      </c>
      <c r="D1640" s="35" t="s">
        <v>639</v>
      </c>
      <c r="E1640" s="35" t="s">
        <v>663</v>
      </c>
      <c r="F1640" s="35" t="s">
        <v>390</v>
      </c>
      <c r="G1640" s="35" t="s">
        <v>379</v>
      </c>
      <c r="H1640" s="35" t="s">
        <v>520</v>
      </c>
    </row>
    <row r="1641" spans="1:8">
      <c r="A1641" s="34">
        <v>2084028059</v>
      </c>
      <c r="B1641" s="35" t="s">
        <v>462</v>
      </c>
      <c r="C1641" s="35" t="s">
        <v>405</v>
      </c>
      <c r="D1641" s="35" t="s">
        <v>639</v>
      </c>
      <c r="E1641" s="35" t="s">
        <v>663</v>
      </c>
      <c r="F1641" s="35" t="s">
        <v>390</v>
      </c>
      <c r="G1641" s="35" t="s">
        <v>379</v>
      </c>
      <c r="H1641" s="35" t="s">
        <v>521</v>
      </c>
    </row>
    <row r="1642" spans="1:8">
      <c r="A1642" s="34">
        <v>2084028159</v>
      </c>
      <c r="B1642" s="35" t="s">
        <v>462</v>
      </c>
      <c r="C1642" s="35" t="s">
        <v>405</v>
      </c>
      <c r="D1642" s="35" t="s">
        <v>639</v>
      </c>
      <c r="E1642" s="35" t="s">
        <v>663</v>
      </c>
      <c r="F1642" s="35" t="s">
        <v>390</v>
      </c>
      <c r="G1642" s="35" t="s">
        <v>379</v>
      </c>
      <c r="H1642" s="35" t="s">
        <v>522</v>
      </c>
    </row>
    <row r="1643" spans="1:8">
      <c r="A1643" s="34">
        <v>2084028432</v>
      </c>
      <c r="B1643" s="35" t="s">
        <v>462</v>
      </c>
      <c r="C1643" s="35" t="s">
        <v>405</v>
      </c>
      <c r="D1643" s="35" t="s">
        <v>639</v>
      </c>
      <c r="E1643" s="35" t="s">
        <v>663</v>
      </c>
      <c r="F1643" s="35" t="s">
        <v>390</v>
      </c>
      <c r="G1643" s="35" t="s">
        <v>379</v>
      </c>
      <c r="H1643" s="35" t="s">
        <v>523</v>
      </c>
    </row>
    <row r="1644" spans="1:8">
      <c r="A1644" s="34">
        <v>2084028098</v>
      </c>
      <c r="B1644" s="35" t="s">
        <v>462</v>
      </c>
      <c r="C1644" s="35" t="s">
        <v>405</v>
      </c>
      <c r="D1644" s="35" t="s">
        <v>639</v>
      </c>
      <c r="E1644" s="35" t="s">
        <v>663</v>
      </c>
      <c r="F1644" s="35" t="s">
        <v>390</v>
      </c>
      <c r="G1644" s="35" t="s">
        <v>379</v>
      </c>
      <c r="H1644" s="35" t="s">
        <v>524</v>
      </c>
    </row>
    <row r="1645" spans="1:8">
      <c r="A1645" s="34">
        <v>2084028264</v>
      </c>
      <c r="B1645" s="35" t="s">
        <v>462</v>
      </c>
      <c r="C1645" s="35" t="s">
        <v>405</v>
      </c>
      <c r="D1645" s="35" t="s">
        <v>639</v>
      </c>
      <c r="E1645" s="35" t="s">
        <v>663</v>
      </c>
      <c r="F1645" s="35" t="s">
        <v>390</v>
      </c>
      <c r="G1645" s="35" t="s">
        <v>379</v>
      </c>
      <c r="H1645" s="35" t="s">
        <v>525</v>
      </c>
    </row>
    <row r="1646" spans="1:8">
      <c r="A1646" s="34">
        <v>2084028466</v>
      </c>
      <c r="B1646" s="35" t="s">
        <v>462</v>
      </c>
      <c r="C1646" s="35" t="s">
        <v>405</v>
      </c>
      <c r="D1646" s="35" t="s">
        <v>639</v>
      </c>
      <c r="E1646" s="35" t="s">
        <v>663</v>
      </c>
      <c r="F1646" s="35" t="s">
        <v>390</v>
      </c>
      <c r="G1646" s="35" t="s">
        <v>379</v>
      </c>
      <c r="H1646" s="35" t="s">
        <v>526</v>
      </c>
    </row>
    <row r="1647" spans="1:8">
      <c r="A1647" s="34">
        <v>2084028335</v>
      </c>
      <c r="B1647" s="35" t="s">
        <v>462</v>
      </c>
      <c r="C1647" s="35" t="s">
        <v>405</v>
      </c>
      <c r="D1647" s="35" t="s">
        <v>639</v>
      </c>
      <c r="E1647" s="35" t="s">
        <v>663</v>
      </c>
      <c r="F1647" s="35" t="s">
        <v>390</v>
      </c>
      <c r="G1647" s="35" t="s">
        <v>379</v>
      </c>
      <c r="H1647" s="35" t="s">
        <v>527</v>
      </c>
    </row>
    <row r="1648" spans="1:8">
      <c r="A1648" s="34">
        <v>2084028501</v>
      </c>
      <c r="B1648" s="35" t="s">
        <v>462</v>
      </c>
      <c r="C1648" s="35" t="s">
        <v>405</v>
      </c>
      <c r="D1648" s="35" t="s">
        <v>639</v>
      </c>
      <c r="E1648" s="35" t="s">
        <v>663</v>
      </c>
      <c r="F1648" s="35" t="s">
        <v>390</v>
      </c>
      <c r="G1648" s="35" t="s">
        <v>379</v>
      </c>
      <c r="H1648" s="35" t="s">
        <v>528</v>
      </c>
    </row>
    <row r="1649" spans="1:8">
      <c r="A1649" s="34">
        <v>2084028377</v>
      </c>
      <c r="B1649" s="35" t="s">
        <v>462</v>
      </c>
      <c r="C1649" s="35" t="s">
        <v>405</v>
      </c>
      <c r="D1649" s="35" t="s">
        <v>639</v>
      </c>
      <c r="E1649" s="35" t="s">
        <v>663</v>
      </c>
      <c r="F1649" s="35" t="s">
        <v>390</v>
      </c>
      <c r="G1649" s="35" t="s">
        <v>379</v>
      </c>
      <c r="H1649" s="35" t="s">
        <v>529</v>
      </c>
    </row>
    <row r="1650" spans="1:8">
      <c r="A1650" s="34">
        <v>2084058771</v>
      </c>
      <c r="B1650" s="35" t="s">
        <v>462</v>
      </c>
      <c r="C1650" s="35" t="s">
        <v>405</v>
      </c>
      <c r="D1650" s="35" t="s">
        <v>639</v>
      </c>
      <c r="E1650" s="35" t="s">
        <v>663</v>
      </c>
      <c r="F1650" s="35" t="s">
        <v>390</v>
      </c>
      <c r="G1650" s="35" t="s">
        <v>379</v>
      </c>
      <c r="H1650" s="35" t="s">
        <v>335</v>
      </c>
    </row>
    <row r="1651" spans="1:8">
      <c r="A1651" s="34">
        <v>2084028541</v>
      </c>
      <c r="B1651" s="35" t="s">
        <v>462</v>
      </c>
      <c r="C1651" s="35" t="s">
        <v>405</v>
      </c>
      <c r="D1651" s="35" t="s">
        <v>639</v>
      </c>
      <c r="E1651" s="35" t="s">
        <v>663</v>
      </c>
      <c r="F1651" s="35" t="s">
        <v>390</v>
      </c>
      <c r="G1651" s="35" t="s">
        <v>530</v>
      </c>
      <c r="H1651" s="35" t="s">
        <v>531</v>
      </c>
    </row>
    <row r="1652" spans="1:8">
      <c r="A1652" s="34">
        <v>2084028635</v>
      </c>
      <c r="B1652" s="35" t="s">
        <v>462</v>
      </c>
      <c r="C1652" s="35" t="s">
        <v>405</v>
      </c>
      <c r="D1652" s="35" t="s">
        <v>639</v>
      </c>
      <c r="E1652" s="35" t="s">
        <v>663</v>
      </c>
      <c r="F1652" s="35" t="s">
        <v>390</v>
      </c>
      <c r="G1652" s="35" t="s">
        <v>530</v>
      </c>
      <c r="H1652" s="35" t="s">
        <v>532</v>
      </c>
    </row>
    <row r="1653" spans="1:8">
      <c r="A1653" s="34">
        <v>2084058773</v>
      </c>
      <c r="B1653" s="35" t="s">
        <v>462</v>
      </c>
      <c r="C1653" s="35" t="s">
        <v>405</v>
      </c>
      <c r="D1653" s="35" t="s">
        <v>639</v>
      </c>
      <c r="E1653" s="35" t="s">
        <v>663</v>
      </c>
      <c r="F1653" s="35" t="s">
        <v>390</v>
      </c>
      <c r="G1653" s="35" t="s">
        <v>530</v>
      </c>
      <c r="H1653" s="35" t="s">
        <v>335</v>
      </c>
    </row>
    <row r="1654" spans="1:8">
      <c r="A1654" s="34">
        <v>2084030127</v>
      </c>
      <c r="B1654" s="35" t="s">
        <v>462</v>
      </c>
      <c r="C1654" s="35" t="s">
        <v>405</v>
      </c>
      <c r="D1654" s="35" t="s">
        <v>639</v>
      </c>
      <c r="E1654" s="35" t="s">
        <v>663</v>
      </c>
      <c r="F1654" s="35" t="s">
        <v>390</v>
      </c>
      <c r="G1654" s="35" t="s">
        <v>533</v>
      </c>
      <c r="H1654" s="35" t="s">
        <v>534</v>
      </c>
    </row>
    <row r="1655" spans="1:8">
      <c r="A1655" s="34">
        <v>2084030161</v>
      </c>
      <c r="B1655" s="35" t="s">
        <v>462</v>
      </c>
      <c r="C1655" s="35" t="s">
        <v>405</v>
      </c>
      <c r="D1655" s="35" t="s">
        <v>639</v>
      </c>
      <c r="E1655" s="35" t="s">
        <v>663</v>
      </c>
      <c r="F1655" s="35" t="s">
        <v>390</v>
      </c>
      <c r="G1655" s="35" t="s">
        <v>533</v>
      </c>
      <c r="H1655" s="35" t="s">
        <v>535</v>
      </c>
    </row>
    <row r="1656" spans="1:8">
      <c r="A1656" s="34">
        <v>2084027148</v>
      </c>
      <c r="B1656" s="35" t="s">
        <v>462</v>
      </c>
      <c r="C1656" s="35" t="s">
        <v>405</v>
      </c>
      <c r="D1656" s="35" t="s">
        <v>639</v>
      </c>
      <c r="E1656" s="35" t="s">
        <v>663</v>
      </c>
      <c r="F1656" s="35" t="s">
        <v>390</v>
      </c>
      <c r="G1656" s="35" t="s">
        <v>533</v>
      </c>
      <c r="H1656" s="35" t="s">
        <v>536</v>
      </c>
    </row>
    <row r="1657" spans="1:8">
      <c r="A1657" s="34">
        <v>2084058775</v>
      </c>
      <c r="B1657" s="35" t="s">
        <v>462</v>
      </c>
      <c r="C1657" s="35" t="s">
        <v>405</v>
      </c>
      <c r="D1657" s="35" t="s">
        <v>639</v>
      </c>
      <c r="E1657" s="35" t="s">
        <v>663</v>
      </c>
      <c r="F1657" s="35" t="s">
        <v>390</v>
      </c>
      <c r="G1657" s="35" t="s">
        <v>533</v>
      </c>
      <c r="H1657" s="35" t="s">
        <v>335</v>
      </c>
    </row>
    <row r="1658" spans="1:8">
      <c r="A1658" s="34">
        <v>2084050831</v>
      </c>
      <c r="B1658" s="35" t="s">
        <v>462</v>
      </c>
      <c r="C1658" s="35" t="s">
        <v>405</v>
      </c>
      <c r="D1658" s="35" t="s">
        <v>639</v>
      </c>
      <c r="E1658" s="35" t="s">
        <v>663</v>
      </c>
      <c r="F1658" s="35" t="s">
        <v>390</v>
      </c>
      <c r="G1658" s="35" t="s">
        <v>335</v>
      </c>
    </row>
    <row r="1659" spans="1:8">
      <c r="A1659" s="34">
        <v>2084030706</v>
      </c>
      <c r="B1659" s="35" t="s">
        <v>462</v>
      </c>
      <c r="C1659" s="35" t="s">
        <v>405</v>
      </c>
      <c r="D1659" s="35" t="s">
        <v>639</v>
      </c>
      <c r="E1659" s="35" t="s">
        <v>663</v>
      </c>
      <c r="F1659" s="35" t="s">
        <v>353</v>
      </c>
      <c r="G1659" s="35" t="s">
        <v>481</v>
      </c>
    </row>
    <row r="1660" spans="1:8">
      <c r="A1660" s="34">
        <v>2084031484</v>
      </c>
      <c r="B1660" s="35" t="s">
        <v>462</v>
      </c>
      <c r="C1660" s="35" t="s">
        <v>405</v>
      </c>
      <c r="D1660" s="35" t="s">
        <v>639</v>
      </c>
      <c r="E1660" s="35" t="s">
        <v>663</v>
      </c>
      <c r="F1660" s="35" t="s">
        <v>353</v>
      </c>
      <c r="G1660" s="35" t="s">
        <v>482</v>
      </c>
    </row>
    <row r="1661" spans="1:8">
      <c r="A1661" s="34">
        <v>2084031604</v>
      </c>
      <c r="B1661" s="35" t="s">
        <v>462</v>
      </c>
      <c r="C1661" s="35" t="s">
        <v>405</v>
      </c>
      <c r="D1661" s="35" t="s">
        <v>639</v>
      </c>
      <c r="E1661" s="35" t="s">
        <v>663</v>
      </c>
      <c r="F1661" s="35" t="s">
        <v>353</v>
      </c>
      <c r="G1661" s="35" t="s">
        <v>483</v>
      </c>
    </row>
    <row r="1662" spans="1:8">
      <c r="A1662" s="34">
        <v>2084030256</v>
      </c>
      <c r="B1662" s="35" t="s">
        <v>462</v>
      </c>
      <c r="C1662" s="35" t="s">
        <v>405</v>
      </c>
      <c r="D1662" s="35" t="s">
        <v>639</v>
      </c>
      <c r="E1662" s="35" t="s">
        <v>663</v>
      </c>
      <c r="F1662" s="35" t="s">
        <v>353</v>
      </c>
      <c r="G1662" s="35" t="s">
        <v>493</v>
      </c>
    </row>
    <row r="1663" spans="1:8">
      <c r="A1663" s="34">
        <v>2084031395</v>
      </c>
      <c r="B1663" s="35" t="s">
        <v>462</v>
      </c>
      <c r="C1663" s="35" t="s">
        <v>405</v>
      </c>
      <c r="D1663" s="35" t="s">
        <v>639</v>
      </c>
      <c r="E1663" s="35" t="s">
        <v>663</v>
      </c>
      <c r="F1663" s="35" t="s">
        <v>353</v>
      </c>
      <c r="G1663" s="35" t="s">
        <v>494</v>
      </c>
    </row>
    <row r="1664" spans="1:8">
      <c r="A1664" s="34">
        <v>2084031498</v>
      </c>
      <c r="B1664" s="35" t="s">
        <v>462</v>
      </c>
      <c r="C1664" s="35" t="s">
        <v>405</v>
      </c>
      <c r="D1664" s="35" t="s">
        <v>639</v>
      </c>
      <c r="E1664" s="35" t="s">
        <v>663</v>
      </c>
      <c r="F1664" s="35" t="s">
        <v>353</v>
      </c>
      <c r="G1664" s="35" t="s">
        <v>397</v>
      </c>
    </row>
    <row r="1665" spans="1:7">
      <c r="A1665" s="34">
        <v>2084030406</v>
      </c>
      <c r="B1665" s="35" t="s">
        <v>462</v>
      </c>
      <c r="C1665" s="35" t="s">
        <v>405</v>
      </c>
      <c r="D1665" s="35" t="s">
        <v>639</v>
      </c>
      <c r="E1665" s="35" t="s">
        <v>663</v>
      </c>
      <c r="F1665" s="35" t="s">
        <v>353</v>
      </c>
      <c r="G1665" s="35" t="s">
        <v>421</v>
      </c>
    </row>
    <row r="1666" spans="1:7">
      <c r="A1666" s="34">
        <v>2084031574</v>
      </c>
      <c r="B1666" s="35" t="s">
        <v>462</v>
      </c>
      <c r="C1666" s="35" t="s">
        <v>405</v>
      </c>
      <c r="D1666" s="35" t="s">
        <v>639</v>
      </c>
      <c r="E1666" s="35" t="s">
        <v>663</v>
      </c>
      <c r="F1666" s="35" t="s">
        <v>353</v>
      </c>
      <c r="G1666" s="35" t="s">
        <v>398</v>
      </c>
    </row>
    <row r="1667" spans="1:7">
      <c r="A1667" s="34">
        <v>2084030345</v>
      </c>
      <c r="B1667" s="35" t="s">
        <v>462</v>
      </c>
      <c r="C1667" s="35" t="s">
        <v>405</v>
      </c>
      <c r="D1667" s="35" t="s">
        <v>639</v>
      </c>
      <c r="E1667" s="35" t="s">
        <v>663</v>
      </c>
      <c r="F1667" s="35" t="s">
        <v>353</v>
      </c>
      <c r="G1667" s="35" t="s">
        <v>422</v>
      </c>
    </row>
    <row r="1668" spans="1:7">
      <c r="A1668" s="34">
        <v>2084050832</v>
      </c>
      <c r="B1668" s="35" t="s">
        <v>462</v>
      </c>
      <c r="C1668" s="35" t="s">
        <v>405</v>
      </c>
      <c r="D1668" s="35" t="s">
        <v>639</v>
      </c>
      <c r="E1668" s="35" t="s">
        <v>663</v>
      </c>
      <c r="F1668" s="35" t="s">
        <v>353</v>
      </c>
      <c r="G1668" s="35" t="s">
        <v>403</v>
      </c>
    </row>
    <row r="1669" spans="1:7">
      <c r="A1669" s="34">
        <v>2084050833</v>
      </c>
      <c r="B1669" s="35" t="s">
        <v>462</v>
      </c>
      <c r="C1669" s="35" t="s">
        <v>405</v>
      </c>
      <c r="D1669" s="35" t="s">
        <v>639</v>
      </c>
      <c r="E1669" s="35" t="s">
        <v>663</v>
      </c>
      <c r="F1669" s="35" t="s">
        <v>353</v>
      </c>
      <c r="G1669" s="35" t="s">
        <v>335</v>
      </c>
    </row>
    <row r="1670" spans="1:7">
      <c r="A1670" s="34">
        <v>2084050840</v>
      </c>
      <c r="B1670" s="35" t="s">
        <v>462</v>
      </c>
      <c r="C1670" s="35" t="s">
        <v>405</v>
      </c>
      <c r="D1670" s="35" t="s">
        <v>639</v>
      </c>
      <c r="E1670" s="35" t="s">
        <v>663</v>
      </c>
      <c r="F1670" s="35" t="s">
        <v>442</v>
      </c>
      <c r="G1670" s="35" t="s">
        <v>569</v>
      </c>
    </row>
    <row r="1671" spans="1:7">
      <c r="A1671" s="34">
        <v>2084050839</v>
      </c>
      <c r="B1671" s="35" t="s">
        <v>462</v>
      </c>
      <c r="C1671" s="35" t="s">
        <v>405</v>
      </c>
      <c r="D1671" s="35" t="s">
        <v>639</v>
      </c>
      <c r="E1671" s="35" t="s">
        <v>663</v>
      </c>
      <c r="F1671" s="35" t="s">
        <v>442</v>
      </c>
      <c r="G1671" s="35" t="s">
        <v>504</v>
      </c>
    </row>
    <row r="1672" spans="1:7">
      <c r="A1672" s="34">
        <v>2084050841</v>
      </c>
      <c r="B1672" s="35" t="s">
        <v>462</v>
      </c>
      <c r="C1672" s="35" t="s">
        <v>405</v>
      </c>
      <c r="D1672" s="35" t="s">
        <v>639</v>
      </c>
      <c r="E1672" s="35" t="s">
        <v>663</v>
      </c>
      <c r="F1672" s="35" t="s">
        <v>442</v>
      </c>
      <c r="G1672" s="35" t="s">
        <v>335</v>
      </c>
    </row>
    <row r="1673" spans="1:7">
      <c r="A1673" s="34">
        <v>2084048755</v>
      </c>
      <c r="B1673" s="35" t="s">
        <v>462</v>
      </c>
      <c r="C1673" s="35" t="s">
        <v>405</v>
      </c>
      <c r="D1673" s="35" t="s">
        <v>639</v>
      </c>
      <c r="E1673" s="35" t="s">
        <v>663</v>
      </c>
      <c r="F1673" s="35" t="s">
        <v>335</v>
      </c>
    </row>
    <row r="1674" spans="1:7">
      <c r="A1674" s="34">
        <v>2084062349</v>
      </c>
      <c r="B1674" s="35" t="s">
        <v>462</v>
      </c>
      <c r="C1674" s="35" t="s">
        <v>405</v>
      </c>
      <c r="D1674" s="35" t="s">
        <v>639</v>
      </c>
      <c r="E1674" s="35" t="s">
        <v>664</v>
      </c>
      <c r="F1674" s="35" t="s">
        <v>367</v>
      </c>
    </row>
    <row r="1675" spans="1:7">
      <c r="A1675" s="34">
        <v>2084062352</v>
      </c>
      <c r="B1675" s="35" t="s">
        <v>462</v>
      </c>
      <c r="C1675" s="35" t="s">
        <v>405</v>
      </c>
      <c r="D1675" s="35" t="s">
        <v>639</v>
      </c>
      <c r="E1675" s="35" t="s">
        <v>664</v>
      </c>
      <c r="F1675" s="35" t="s">
        <v>368</v>
      </c>
      <c r="G1675" s="35" t="s">
        <v>481</v>
      </c>
    </row>
    <row r="1676" spans="1:7">
      <c r="A1676" s="34">
        <v>2084062351</v>
      </c>
      <c r="B1676" s="35" t="s">
        <v>462</v>
      </c>
      <c r="C1676" s="35" t="s">
        <v>405</v>
      </c>
      <c r="D1676" s="35" t="s">
        <v>639</v>
      </c>
      <c r="E1676" s="35" t="s">
        <v>664</v>
      </c>
      <c r="F1676" s="35" t="s">
        <v>368</v>
      </c>
      <c r="G1676" s="35" t="s">
        <v>482</v>
      </c>
    </row>
    <row r="1677" spans="1:7">
      <c r="A1677" s="34">
        <v>2084062353</v>
      </c>
      <c r="B1677" s="35" t="s">
        <v>462</v>
      </c>
      <c r="C1677" s="35" t="s">
        <v>405</v>
      </c>
      <c r="D1677" s="35" t="s">
        <v>639</v>
      </c>
      <c r="E1677" s="35" t="s">
        <v>664</v>
      </c>
      <c r="F1677" s="35" t="s">
        <v>368</v>
      </c>
      <c r="G1677" s="35" t="s">
        <v>335</v>
      </c>
    </row>
    <row r="1678" spans="1:7">
      <c r="A1678" s="34">
        <v>2084062359</v>
      </c>
      <c r="B1678" s="35" t="s">
        <v>462</v>
      </c>
      <c r="C1678" s="35" t="s">
        <v>405</v>
      </c>
      <c r="D1678" s="35" t="s">
        <v>639</v>
      </c>
      <c r="E1678" s="35" t="s">
        <v>664</v>
      </c>
      <c r="F1678" s="35" t="s">
        <v>10</v>
      </c>
      <c r="G1678" s="35" t="s">
        <v>483</v>
      </c>
    </row>
    <row r="1679" spans="1:7">
      <c r="A1679" s="34">
        <v>2084062356</v>
      </c>
      <c r="B1679" s="35" t="s">
        <v>462</v>
      </c>
      <c r="C1679" s="35" t="s">
        <v>405</v>
      </c>
      <c r="D1679" s="35" t="s">
        <v>639</v>
      </c>
      <c r="E1679" s="35" t="s">
        <v>664</v>
      </c>
      <c r="F1679" s="35" t="s">
        <v>10</v>
      </c>
      <c r="G1679" s="35" t="s">
        <v>397</v>
      </c>
    </row>
    <row r="1680" spans="1:7">
      <c r="A1680" s="34">
        <v>2084062358</v>
      </c>
      <c r="B1680" s="35" t="s">
        <v>462</v>
      </c>
      <c r="C1680" s="35" t="s">
        <v>405</v>
      </c>
      <c r="D1680" s="35" t="s">
        <v>639</v>
      </c>
      <c r="E1680" s="35" t="s">
        <v>664</v>
      </c>
      <c r="F1680" s="35" t="s">
        <v>10</v>
      </c>
      <c r="G1680" s="35" t="s">
        <v>421</v>
      </c>
    </row>
    <row r="1681" spans="1:7">
      <c r="A1681" s="34">
        <v>2084062355</v>
      </c>
      <c r="B1681" s="35" t="s">
        <v>462</v>
      </c>
      <c r="C1681" s="35" t="s">
        <v>405</v>
      </c>
      <c r="D1681" s="35" t="s">
        <v>639</v>
      </c>
      <c r="E1681" s="35" t="s">
        <v>664</v>
      </c>
      <c r="F1681" s="35" t="s">
        <v>10</v>
      </c>
      <c r="G1681" s="35" t="s">
        <v>398</v>
      </c>
    </row>
    <row r="1682" spans="1:7">
      <c r="A1682" s="34">
        <v>2084062357</v>
      </c>
      <c r="B1682" s="35" t="s">
        <v>462</v>
      </c>
      <c r="C1682" s="35" t="s">
        <v>405</v>
      </c>
      <c r="D1682" s="35" t="s">
        <v>639</v>
      </c>
      <c r="E1682" s="35" t="s">
        <v>664</v>
      </c>
      <c r="F1682" s="35" t="s">
        <v>10</v>
      </c>
      <c r="G1682" s="35" t="s">
        <v>422</v>
      </c>
    </row>
    <row r="1683" spans="1:7">
      <c r="A1683" s="34">
        <v>2084062360</v>
      </c>
      <c r="B1683" s="35" t="s">
        <v>462</v>
      </c>
      <c r="C1683" s="35" t="s">
        <v>405</v>
      </c>
      <c r="D1683" s="35" t="s">
        <v>639</v>
      </c>
      <c r="E1683" s="35" t="s">
        <v>664</v>
      </c>
      <c r="F1683" s="35" t="s">
        <v>10</v>
      </c>
      <c r="G1683" s="35" t="s">
        <v>335</v>
      </c>
    </row>
    <row r="1684" spans="1:7">
      <c r="A1684" s="34">
        <v>2084062362</v>
      </c>
      <c r="B1684" s="35" t="s">
        <v>462</v>
      </c>
      <c r="C1684" s="35" t="s">
        <v>405</v>
      </c>
      <c r="D1684" s="35" t="s">
        <v>639</v>
      </c>
      <c r="E1684" s="35" t="s">
        <v>664</v>
      </c>
      <c r="F1684" s="35" t="s">
        <v>379</v>
      </c>
      <c r="G1684" s="35" t="s">
        <v>476</v>
      </c>
    </row>
    <row r="1685" spans="1:7">
      <c r="A1685" s="34">
        <v>2084062363</v>
      </c>
      <c r="B1685" s="35" t="s">
        <v>462</v>
      </c>
      <c r="C1685" s="35" t="s">
        <v>405</v>
      </c>
      <c r="D1685" s="35" t="s">
        <v>639</v>
      </c>
      <c r="E1685" s="35" t="s">
        <v>664</v>
      </c>
      <c r="F1685" s="35" t="s">
        <v>379</v>
      </c>
      <c r="G1685" s="35" t="s">
        <v>335</v>
      </c>
    </row>
    <row r="1686" spans="1:7">
      <c r="A1686" s="34">
        <v>2084062364</v>
      </c>
      <c r="B1686" s="35" t="s">
        <v>462</v>
      </c>
      <c r="C1686" s="35" t="s">
        <v>405</v>
      </c>
      <c r="D1686" s="35" t="s">
        <v>639</v>
      </c>
      <c r="E1686" s="35" t="s">
        <v>664</v>
      </c>
      <c r="F1686" s="35" t="s">
        <v>478</v>
      </c>
    </row>
    <row r="1687" spans="1:7">
      <c r="A1687" s="34">
        <v>2084062365</v>
      </c>
      <c r="B1687" s="35" t="s">
        <v>462</v>
      </c>
      <c r="C1687" s="35" t="s">
        <v>405</v>
      </c>
      <c r="D1687" s="35" t="s">
        <v>639</v>
      </c>
      <c r="E1687" s="35" t="s">
        <v>664</v>
      </c>
      <c r="F1687" s="35" t="s">
        <v>335</v>
      </c>
    </row>
    <row r="1688" spans="1:7">
      <c r="A1688" s="34">
        <v>2084054576</v>
      </c>
      <c r="B1688" s="35" t="s">
        <v>462</v>
      </c>
      <c r="C1688" s="35" t="s">
        <v>405</v>
      </c>
      <c r="D1688" s="35" t="s">
        <v>639</v>
      </c>
      <c r="E1688" s="35" t="s">
        <v>665</v>
      </c>
      <c r="F1688" s="35" t="s">
        <v>367</v>
      </c>
    </row>
    <row r="1689" spans="1:7">
      <c r="A1689" s="34">
        <v>2084054579</v>
      </c>
      <c r="B1689" s="35" t="s">
        <v>462</v>
      </c>
      <c r="C1689" s="35" t="s">
        <v>405</v>
      </c>
      <c r="D1689" s="35" t="s">
        <v>639</v>
      </c>
      <c r="E1689" s="35" t="s">
        <v>665</v>
      </c>
      <c r="F1689" s="35" t="s">
        <v>368</v>
      </c>
      <c r="G1689" s="35" t="s">
        <v>481</v>
      </c>
    </row>
    <row r="1690" spans="1:7">
      <c r="A1690" s="34">
        <v>2084054578</v>
      </c>
      <c r="B1690" s="35" t="s">
        <v>462</v>
      </c>
      <c r="C1690" s="35" t="s">
        <v>405</v>
      </c>
      <c r="D1690" s="35" t="s">
        <v>639</v>
      </c>
      <c r="E1690" s="35" t="s">
        <v>665</v>
      </c>
      <c r="F1690" s="35" t="s">
        <v>368</v>
      </c>
      <c r="G1690" s="35" t="s">
        <v>482</v>
      </c>
    </row>
    <row r="1691" spans="1:7">
      <c r="A1691" s="34">
        <v>2084054580</v>
      </c>
      <c r="B1691" s="35" t="s">
        <v>462</v>
      </c>
      <c r="C1691" s="35" t="s">
        <v>405</v>
      </c>
      <c r="D1691" s="35" t="s">
        <v>639</v>
      </c>
      <c r="E1691" s="35" t="s">
        <v>665</v>
      </c>
      <c r="F1691" s="35" t="s">
        <v>368</v>
      </c>
      <c r="G1691" s="35" t="s">
        <v>335</v>
      </c>
    </row>
    <row r="1692" spans="1:7">
      <c r="A1692" s="34">
        <v>2084054586</v>
      </c>
      <c r="B1692" s="35" t="s">
        <v>462</v>
      </c>
      <c r="C1692" s="35" t="s">
        <v>405</v>
      </c>
      <c r="D1692" s="35" t="s">
        <v>639</v>
      </c>
      <c r="E1692" s="35" t="s">
        <v>665</v>
      </c>
      <c r="F1692" s="35" t="s">
        <v>10</v>
      </c>
      <c r="G1692" s="35" t="s">
        <v>483</v>
      </c>
    </row>
    <row r="1693" spans="1:7">
      <c r="A1693" s="34">
        <v>2084054583</v>
      </c>
      <c r="B1693" s="35" t="s">
        <v>462</v>
      </c>
      <c r="C1693" s="35" t="s">
        <v>405</v>
      </c>
      <c r="D1693" s="35" t="s">
        <v>639</v>
      </c>
      <c r="E1693" s="35" t="s">
        <v>665</v>
      </c>
      <c r="F1693" s="35" t="s">
        <v>10</v>
      </c>
      <c r="G1693" s="35" t="s">
        <v>397</v>
      </c>
    </row>
    <row r="1694" spans="1:7">
      <c r="A1694" s="34">
        <v>2084054585</v>
      </c>
      <c r="B1694" s="35" t="s">
        <v>462</v>
      </c>
      <c r="C1694" s="35" t="s">
        <v>405</v>
      </c>
      <c r="D1694" s="35" t="s">
        <v>639</v>
      </c>
      <c r="E1694" s="35" t="s">
        <v>665</v>
      </c>
      <c r="F1694" s="35" t="s">
        <v>10</v>
      </c>
      <c r="G1694" s="35" t="s">
        <v>421</v>
      </c>
    </row>
    <row r="1695" spans="1:7">
      <c r="A1695" s="34">
        <v>2084054582</v>
      </c>
      <c r="B1695" s="35" t="s">
        <v>462</v>
      </c>
      <c r="C1695" s="35" t="s">
        <v>405</v>
      </c>
      <c r="D1695" s="35" t="s">
        <v>639</v>
      </c>
      <c r="E1695" s="35" t="s">
        <v>665</v>
      </c>
      <c r="F1695" s="35" t="s">
        <v>10</v>
      </c>
      <c r="G1695" s="35" t="s">
        <v>398</v>
      </c>
    </row>
    <row r="1696" spans="1:7">
      <c r="A1696" s="34">
        <v>2084054584</v>
      </c>
      <c r="B1696" s="35" t="s">
        <v>462</v>
      </c>
      <c r="C1696" s="35" t="s">
        <v>405</v>
      </c>
      <c r="D1696" s="35" t="s">
        <v>639</v>
      </c>
      <c r="E1696" s="35" t="s">
        <v>665</v>
      </c>
      <c r="F1696" s="35" t="s">
        <v>10</v>
      </c>
      <c r="G1696" s="35" t="s">
        <v>422</v>
      </c>
    </row>
    <row r="1697" spans="1:8">
      <c r="A1697" s="34">
        <v>2084054587</v>
      </c>
      <c r="B1697" s="35" t="s">
        <v>462</v>
      </c>
      <c r="C1697" s="35" t="s">
        <v>405</v>
      </c>
      <c r="D1697" s="35" t="s">
        <v>639</v>
      </c>
      <c r="E1697" s="35" t="s">
        <v>665</v>
      </c>
      <c r="F1697" s="35" t="s">
        <v>10</v>
      </c>
      <c r="G1697" s="35" t="s">
        <v>335</v>
      </c>
    </row>
    <row r="1698" spans="1:8">
      <c r="A1698" s="34">
        <v>2084054589</v>
      </c>
      <c r="B1698" s="35" t="s">
        <v>462</v>
      </c>
      <c r="C1698" s="35" t="s">
        <v>405</v>
      </c>
      <c r="D1698" s="35" t="s">
        <v>639</v>
      </c>
      <c r="E1698" s="35" t="s">
        <v>665</v>
      </c>
      <c r="F1698" s="35" t="s">
        <v>379</v>
      </c>
      <c r="G1698" s="35" t="s">
        <v>476</v>
      </c>
    </row>
    <row r="1699" spans="1:8">
      <c r="A1699" s="34">
        <v>2084054590</v>
      </c>
      <c r="B1699" s="35" t="s">
        <v>462</v>
      </c>
      <c r="C1699" s="35" t="s">
        <v>405</v>
      </c>
      <c r="D1699" s="35" t="s">
        <v>639</v>
      </c>
      <c r="E1699" s="35" t="s">
        <v>665</v>
      </c>
      <c r="F1699" s="35" t="s">
        <v>379</v>
      </c>
      <c r="G1699" s="35" t="s">
        <v>335</v>
      </c>
    </row>
    <row r="1700" spans="1:8">
      <c r="A1700" s="34">
        <v>2084054591</v>
      </c>
      <c r="B1700" s="35" t="s">
        <v>462</v>
      </c>
      <c r="C1700" s="35" t="s">
        <v>405</v>
      </c>
      <c r="D1700" s="35" t="s">
        <v>639</v>
      </c>
      <c r="E1700" s="35" t="s">
        <v>665</v>
      </c>
      <c r="F1700" s="35" t="s">
        <v>335</v>
      </c>
    </row>
    <row r="1701" spans="1:8">
      <c r="A1701" s="34">
        <v>2084051615</v>
      </c>
      <c r="B1701" s="35" t="s">
        <v>462</v>
      </c>
      <c r="C1701" s="35" t="s">
        <v>405</v>
      </c>
      <c r="D1701" s="35" t="s">
        <v>639</v>
      </c>
      <c r="E1701" s="35" t="s">
        <v>666</v>
      </c>
      <c r="F1701" s="35" t="s">
        <v>475</v>
      </c>
    </row>
    <row r="1702" spans="1:8">
      <c r="A1702" s="34">
        <v>2084051625</v>
      </c>
      <c r="B1702" s="35" t="s">
        <v>462</v>
      </c>
      <c r="C1702" s="35" t="s">
        <v>405</v>
      </c>
      <c r="D1702" s="35" t="s">
        <v>639</v>
      </c>
      <c r="E1702" s="35" t="s">
        <v>666</v>
      </c>
      <c r="F1702" s="35" t="s">
        <v>390</v>
      </c>
      <c r="G1702" s="35" t="s">
        <v>368</v>
      </c>
      <c r="H1702" s="35" t="s">
        <v>481</v>
      </c>
    </row>
    <row r="1703" spans="1:8">
      <c r="A1703" s="34">
        <v>2084051626</v>
      </c>
      <c r="B1703" s="35" t="s">
        <v>462</v>
      </c>
      <c r="C1703" s="35" t="s">
        <v>405</v>
      </c>
      <c r="D1703" s="35" t="s">
        <v>639</v>
      </c>
      <c r="E1703" s="35" t="s">
        <v>666</v>
      </c>
      <c r="F1703" s="35" t="s">
        <v>390</v>
      </c>
      <c r="G1703" s="35" t="s">
        <v>368</v>
      </c>
      <c r="H1703" s="35" t="s">
        <v>335</v>
      </c>
    </row>
    <row r="1704" spans="1:8">
      <c r="A1704" s="34">
        <v>2084051630</v>
      </c>
      <c r="B1704" s="35" t="s">
        <v>462</v>
      </c>
      <c r="C1704" s="35" t="s">
        <v>405</v>
      </c>
      <c r="D1704" s="35" t="s">
        <v>639</v>
      </c>
      <c r="E1704" s="35" t="s">
        <v>666</v>
      </c>
      <c r="F1704" s="35" t="s">
        <v>390</v>
      </c>
      <c r="G1704" s="35" t="s">
        <v>10</v>
      </c>
      <c r="H1704" s="35" t="s">
        <v>510</v>
      </c>
    </row>
    <row r="1705" spans="1:8">
      <c r="A1705" s="34">
        <v>2084051620</v>
      </c>
      <c r="B1705" s="35" t="s">
        <v>462</v>
      </c>
      <c r="C1705" s="35" t="s">
        <v>405</v>
      </c>
      <c r="D1705" s="35" t="s">
        <v>639</v>
      </c>
      <c r="E1705" s="35" t="s">
        <v>666</v>
      </c>
      <c r="F1705" s="35" t="s">
        <v>390</v>
      </c>
      <c r="G1705" s="35" t="s">
        <v>10</v>
      </c>
      <c r="H1705" s="35" t="s">
        <v>397</v>
      </c>
    </row>
    <row r="1706" spans="1:8">
      <c r="A1706" s="34">
        <v>2084051628</v>
      </c>
      <c r="B1706" s="35" t="s">
        <v>462</v>
      </c>
      <c r="C1706" s="35" t="s">
        <v>405</v>
      </c>
      <c r="D1706" s="35" t="s">
        <v>639</v>
      </c>
      <c r="E1706" s="35" t="s">
        <v>666</v>
      </c>
      <c r="F1706" s="35" t="s">
        <v>390</v>
      </c>
      <c r="G1706" s="35" t="s">
        <v>10</v>
      </c>
      <c r="H1706" s="35" t="s">
        <v>421</v>
      </c>
    </row>
    <row r="1707" spans="1:8">
      <c r="A1707" s="34">
        <v>2084051618</v>
      </c>
      <c r="B1707" s="35" t="s">
        <v>462</v>
      </c>
      <c r="C1707" s="35" t="s">
        <v>405</v>
      </c>
      <c r="D1707" s="35" t="s">
        <v>639</v>
      </c>
      <c r="E1707" s="35" t="s">
        <v>666</v>
      </c>
      <c r="F1707" s="35" t="s">
        <v>390</v>
      </c>
      <c r="G1707" s="35" t="s">
        <v>10</v>
      </c>
      <c r="H1707" s="35" t="s">
        <v>398</v>
      </c>
    </row>
    <row r="1708" spans="1:8">
      <c r="A1708" s="34">
        <v>2084051629</v>
      </c>
      <c r="B1708" s="35" t="s">
        <v>462</v>
      </c>
      <c r="C1708" s="35" t="s">
        <v>405</v>
      </c>
      <c r="D1708" s="35" t="s">
        <v>639</v>
      </c>
      <c r="E1708" s="35" t="s">
        <v>666</v>
      </c>
      <c r="F1708" s="35" t="s">
        <v>390</v>
      </c>
      <c r="G1708" s="35" t="s">
        <v>10</v>
      </c>
      <c r="H1708" s="35" t="s">
        <v>422</v>
      </c>
    </row>
    <row r="1709" spans="1:8">
      <c r="A1709" s="34">
        <v>2084051619</v>
      </c>
      <c r="B1709" s="35" t="s">
        <v>462</v>
      </c>
      <c r="C1709" s="35" t="s">
        <v>405</v>
      </c>
      <c r="D1709" s="35" t="s">
        <v>639</v>
      </c>
      <c r="E1709" s="35" t="s">
        <v>666</v>
      </c>
      <c r="F1709" s="35" t="s">
        <v>390</v>
      </c>
      <c r="G1709" s="35" t="s">
        <v>10</v>
      </c>
      <c r="H1709" s="35" t="s">
        <v>335</v>
      </c>
    </row>
    <row r="1710" spans="1:8">
      <c r="A1710" s="34">
        <v>2084051622</v>
      </c>
      <c r="B1710" s="35" t="s">
        <v>462</v>
      </c>
      <c r="C1710" s="35" t="s">
        <v>405</v>
      </c>
      <c r="D1710" s="35" t="s">
        <v>639</v>
      </c>
      <c r="E1710" s="35" t="s">
        <v>666</v>
      </c>
      <c r="F1710" s="35" t="s">
        <v>390</v>
      </c>
      <c r="G1710" s="35" t="s">
        <v>379</v>
      </c>
      <c r="H1710" s="35" t="s">
        <v>476</v>
      </c>
    </row>
    <row r="1711" spans="1:8">
      <c r="A1711" s="34">
        <v>2084051623</v>
      </c>
      <c r="B1711" s="35" t="s">
        <v>462</v>
      </c>
      <c r="C1711" s="35" t="s">
        <v>405</v>
      </c>
      <c r="D1711" s="35" t="s">
        <v>639</v>
      </c>
      <c r="E1711" s="35" t="s">
        <v>666</v>
      </c>
      <c r="F1711" s="35" t="s">
        <v>390</v>
      </c>
      <c r="G1711" s="35" t="s">
        <v>379</v>
      </c>
      <c r="H1711" s="35" t="s">
        <v>335</v>
      </c>
    </row>
    <row r="1712" spans="1:8">
      <c r="A1712" s="34">
        <v>2084061445</v>
      </c>
      <c r="B1712" s="35" t="s">
        <v>462</v>
      </c>
      <c r="C1712" s="35" t="s">
        <v>405</v>
      </c>
      <c r="D1712" s="35" t="s">
        <v>639</v>
      </c>
      <c r="E1712" s="35" t="s">
        <v>666</v>
      </c>
      <c r="F1712" s="35" t="s">
        <v>390</v>
      </c>
      <c r="G1712" s="35" t="s">
        <v>478</v>
      </c>
    </row>
    <row r="1713" spans="1:7">
      <c r="A1713" s="34">
        <v>2084051627</v>
      </c>
      <c r="B1713" s="35" t="s">
        <v>462</v>
      </c>
      <c r="C1713" s="35" t="s">
        <v>405</v>
      </c>
      <c r="D1713" s="35" t="s">
        <v>639</v>
      </c>
      <c r="E1713" s="35" t="s">
        <v>666</v>
      </c>
      <c r="F1713" s="35" t="s">
        <v>390</v>
      </c>
      <c r="G1713" s="35" t="s">
        <v>335</v>
      </c>
    </row>
    <row r="1714" spans="1:7">
      <c r="A1714" s="34">
        <v>2084030707</v>
      </c>
      <c r="B1714" s="35" t="s">
        <v>462</v>
      </c>
      <c r="C1714" s="35" t="s">
        <v>405</v>
      </c>
      <c r="D1714" s="35" t="s">
        <v>639</v>
      </c>
      <c r="E1714" s="35" t="s">
        <v>666</v>
      </c>
      <c r="F1714" s="35" t="s">
        <v>353</v>
      </c>
      <c r="G1714" s="35" t="s">
        <v>481</v>
      </c>
    </row>
    <row r="1715" spans="1:7">
      <c r="A1715" s="34">
        <v>2084031605</v>
      </c>
      <c r="B1715" s="35" t="s">
        <v>462</v>
      </c>
      <c r="C1715" s="35" t="s">
        <v>405</v>
      </c>
      <c r="D1715" s="35" t="s">
        <v>639</v>
      </c>
      <c r="E1715" s="35" t="s">
        <v>666</v>
      </c>
      <c r="F1715" s="35" t="s">
        <v>353</v>
      </c>
      <c r="G1715" s="35" t="s">
        <v>483</v>
      </c>
    </row>
    <row r="1716" spans="1:7">
      <c r="A1716" s="34">
        <v>2084031485</v>
      </c>
      <c r="B1716" s="35" t="s">
        <v>462</v>
      </c>
      <c r="C1716" s="35" t="s">
        <v>405</v>
      </c>
      <c r="D1716" s="35" t="s">
        <v>639</v>
      </c>
      <c r="E1716" s="35" t="s">
        <v>666</v>
      </c>
      <c r="F1716" s="35" t="s">
        <v>353</v>
      </c>
      <c r="G1716" s="35" t="s">
        <v>482</v>
      </c>
    </row>
    <row r="1717" spans="1:7">
      <c r="A1717" s="34">
        <v>2084030257</v>
      </c>
      <c r="B1717" s="35" t="s">
        <v>462</v>
      </c>
      <c r="C1717" s="35" t="s">
        <v>405</v>
      </c>
      <c r="D1717" s="35" t="s">
        <v>639</v>
      </c>
      <c r="E1717" s="35" t="s">
        <v>666</v>
      </c>
      <c r="F1717" s="35" t="s">
        <v>353</v>
      </c>
      <c r="G1717" s="35" t="s">
        <v>493</v>
      </c>
    </row>
    <row r="1718" spans="1:7">
      <c r="A1718" s="34">
        <v>2084037280</v>
      </c>
      <c r="B1718" s="35" t="s">
        <v>462</v>
      </c>
      <c r="C1718" s="35" t="s">
        <v>405</v>
      </c>
      <c r="D1718" s="35" t="s">
        <v>639</v>
      </c>
      <c r="E1718" s="35" t="s">
        <v>666</v>
      </c>
      <c r="F1718" s="35" t="s">
        <v>353</v>
      </c>
      <c r="G1718" s="35" t="s">
        <v>494</v>
      </c>
    </row>
    <row r="1719" spans="1:7">
      <c r="A1719" s="34">
        <v>2084051262</v>
      </c>
      <c r="B1719" s="35" t="s">
        <v>462</v>
      </c>
      <c r="C1719" s="35" t="s">
        <v>405</v>
      </c>
      <c r="D1719" s="35" t="s">
        <v>639</v>
      </c>
      <c r="E1719" s="35" t="s">
        <v>666</v>
      </c>
      <c r="F1719" s="35" t="s">
        <v>353</v>
      </c>
      <c r="G1719" s="35" t="s">
        <v>403</v>
      </c>
    </row>
    <row r="1720" spans="1:7">
      <c r="A1720" s="34">
        <v>2084031499</v>
      </c>
      <c r="B1720" s="35" t="s">
        <v>462</v>
      </c>
      <c r="C1720" s="35" t="s">
        <v>405</v>
      </c>
      <c r="D1720" s="35" t="s">
        <v>639</v>
      </c>
      <c r="E1720" s="35" t="s">
        <v>666</v>
      </c>
      <c r="F1720" s="35" t="s">
        <v>353</v>
      </c>
      <c r="G1720" s="35" t="s">
        <v>397</v>
      </c>
    </row>
    <row r="1721" spans="1:7">
      <c r="A1721" s="34">
        <v>2084030407</v>
      </c>
      <c r="B1721" s="35" t="s">
        <v>462</v>
      </c>
      <c r="C1721" s="35" t="s">
        <v>405</v>
      </c>
      <c r="D1721" s="35" t="s">
        <v>639</v>
      </c>
      <c r="E1721" s="35" t="s">
        <v>666</v>
      </c>
      <c r="F1721" s="35" t="s">
        <v>353</v>
      </c>
      <c r="G1721" s="35" t="s">
        <v>421</v>
      </c>
    </row>
    <row r="1722" spans="1:7">
      <c r="A1722" s="34">
        <v>2084031575</v>
      </c>
      <c r="B1722" s="35" t="s">
        <v>462</v>
      </c>
      <c r="C1722" s="35" t="s">
        <v>405</v>
      </c>
      <c r="D1722" s="35" t="s">
        <v>639</v>
      </c>
      <c r="E1722" s="35" t="s">
        <v>666</v>
      </c>
      <c r="F1722" s="35" t="s">
        <v>353</v>
      </c>
      <c r="G1722" s="35" t="s">
        <v>398</v>
      </c>
    </row>
    <row r="1723" spans="1:7">
      <c r="A1723" s="34">
        <v>2084030346</v>
      </c>
      <c r="B1723" s="35" t="s">
        <v>462</v>
      </c>
      <c r="C1723" s="35" t="s">
        <v>405</v>
      </c>
      <c r="D1723" s="35" t="s">
        <v>639</v>
      </c>
      <c r="E1723" s="35" t="s">
        <v>666</v>
      </c>
      <c r="F1723" s="35" t="s">
        <v>353</v>
      </c>
      <c r="G1723" s="35" t="s">
        <v>422</v>
      </c>
    </row>
    <row r="1724" spans="1:7">
      <c r="A1724" s="34">
        <v>2084051265</v>
      </c>
      <c r="B1724" s="35" t="s">
        <v>462</v>
      </c>
      <c r="C1724" s="35" t="s">
        <v>405</v>
      </c>
      <c r="D1724" s="35" t="s">
        <v>639</v>
      </c>
      <c r="E1724" s="35" t="s">
        <v>666</v>
      </c>
      <c r="F1724" s="35" t="s">
        <v>353</v>
      </c>
      <c r="G1724" s="35" t="s">
        <v>335</v>
      </c>
    </row>
    <row r="1725" spans="1:7">
      <c r="A1725" s="34">
        <v>2084033994</v>
      </c>
      <c r="B1725" s="35" t="s">
        <v>462</v>
      </c>
      <c r="C1725" s="35" t="s">
        <v>405</v>
      </c>
      <c r="D1725" s="35" t="s">
        <v>639</v>
      </c>
      <c r="E1725" s="35" t="s">
        <v>666</v>
      </c>
      <c r="F1725" s="35" t="s">
        <v>442</v>
      </c>
      <c r="G1725" s="35" t="s">
        <v>537</v>
      </c>
    </row>
    <row r="1726" spans="1:7">
      <c r="A1726" s="34">
        <v>2084031396</v>
      </c>
      <c r="B1726" s="35" t="s">
        <v>462</v>
      </c>
      <c r="C1726" s="35" t="s">
        <v>405</v>
      </c>
      <c r="D1726" s="35" t="s">
        <v>639</v>
      </c>
      <c r="E1726" s="35" t="s">
        <v>666</v>
      </c>
      <c r="F1726" s="35" t="s">
        <v>442</v>
      </c>
      <c r="G1726" s="35" t="s">
        <v>569</v>
      </c>
    </row>
    <row r="1727" spans="1:7">
      <c r="A1727" s="34">
        <v>2084051263</v>
      </c>
      <c r="B1727" s="35" t="s">
        <v>462</v>
      </c>
      <c r="C1727" s="35" t="s">
        <v>405</v>
      </c>
      <c r="D1727" s="35" t="s">
        <v>639</v>
      </c>
      <c r="E1727" s="35" t="s">
        <v>666</v>
      </c>
      <c r="F1727" s="35" t="s">
        <v>442</v>
      </c>
      <c r="G1727" s="35" t="s">
        <v>335</v>
      </c>
    </row>
    <row r="1728" spans="1:7">
      <c r="A1728" s="34">
        <v>2084048756</v>
      </c>
      <c r="B1728" s="35" t="s">
        <v>462</v>
      </c>
      <c r="C1728" s="35" t="s">
        <v>405</v>
      </c>
      <c r="D1728" s="35" t="s">
        <v>639</v>
      </c>
      <c r="E1728" s="35" t="s">
        <v>666</v>
      </c>
      <c r="F1728" s="35" t="s">
        <v>335</v>
      </c>
    </row>
    <row r="1729" spans="1:8">
      <c r="A1729" s="34">
        <v>2084205007</v>
      </c>
      <c r="B1729" s="35" t="s">
        <v>462</v>
      </c>
      <c r="C1729" s="35" t="s">
        <v>405</v>
      </c>
      <c r="D1729" s="35" t="s">
        <v>639</v>
      </c>
      <c r="E1729" s="35" t="s">
        <v>667</v>
      </c>
      <c r="F1729" s="35" t="s">
        <v>407</v>
      </c>
    </row>
    <row r="1730" spans="1:8">
      <c r="A1730" s="34">
        <v>2084205006</v>
      </c>
      <c r="B1730" s="35" t="s">
        <v>462</v>
      </c>
      <c r="C1730" s="35" t="s">
        <v>405</v>
      </c>
      <c r="D1730" s="35" t="s">
        <v>639</v>
      </c>
      <c r="E1730" s="35" t="s">
        <v>667</v>
      </c>
      <c r="F1730" s="35" t="s">
        <v>408</v>
      </c>
    </row>
    <row r="1731" spans="1:8">
      <c r="A1731" s="34">
        <v>2084205008</v>
      </c>
      <c r="B1731" s="35" t="s">
        <v>462</v>
      </c>
      <c r="C1731" s="35" t="s">
        <v>405</v>
      </c>
      <c r="D1731" s="35" t="s">
        <v>639</v>
      </c>
      <c r="E1731" s="35" t="s">
        <v>667</v>
      </c>
      <c r="F1731" s="35" t="s">
        <v>335</v>
      </c>
    </row>
    <row r="1732" spans="1:8">
      <c r="A1732" s="34">
        <v>2084298372</v>
      </c>
      <c r="B1732" s="35" t="s">
        <v>462</v>
      </c>
      <c r="C1732" s="35" t="s">
        <v>405</v>
      </c>
      <c r="D1732" s="35" t="s">
        <v>639</v>
      </c>
      <c r="E1732" s="35" t="s">
        <v>668</v>
      </c>
      <c r="F1732" s="35" t="s">
        <v>407</v>
      </c>
    </row>
    <row r="1733" spans="1:8">
      <c r="A1733" s="34">
        <v>2084298373</v>
      </c>
      <c r="B1733" s="35" t="s">
        <v>462</v>
      </c>
      <c r="C1733" s="35" t="s">
        <v>405</v>
      </c>
      <c r="D1733" s="35" t="s">
        <v>639</v>
      </c>
      <c r="E1733" s="35" t="s">
        <v>668</v>
      </c>
      <c r="F1733" s="35" t="s">
        <v>408</v>
      </c>
    </row>
    <row r="1734" spans="1:8">
      <c r="A1734" s="34">
        <v>2084230541</v>
      </c>
      <c r="B1734" s="35" t="s">
        <v>462</v>
      </c>
      <c r="C1734" s="35" t="s">
        <v>405</v>
      </c>
      <c r="D1734" s="35" t="s">
        <v>669</v>
      </c>
      <c r="E1734" s="35" t="s">
        <v>670</v>
      </c>
    </row>
    <row r="1735" spans="1:8">
      <c r="A1735" s="34">
        <v>2084061918</v>
      </c>
      <c r="B1735" s="35" t="s">
        <v>462</v>
      </c>
      <c r="C1735" s="35" t="s">
        <v>405</v>
      </c>
      <c r="D1735" s="35" t="s">
        <v>669</v>
      </c>
      <c r="E1735" s="35" t="s">
        <v>671</v>
      </c>
      <c r="F1735" s="35" t="s">
        <v>597</v>
      </c>
    </row>
    <row r="1736" spans="1:8">
      <c r="A1736" s="34">
        <v>2084061919</v>
      </c>
      <c r="B1736" s="35" t="s">
        <v>462</v>
      </c>
      <c r="C1736" s="35" t="s">
        <v>405</v>
      </c>
      <c r="D1736" s="35" t="s">
        <v>669</v>
      </c>
      <c r="E1736" s="35" t="s">
        <v>671</v>
      </c>
      <c r="F1736" s="35" t="s">
        <v>335</v>
      </c>
    </row>
    <row r="1737" spans="1:8">
      <c r="A1737" s="34">
        <v>2084214389</v>
      </c>
      <c r="B1737" s="35" t="s">
        <v>462</v>
      </c>
      <c r="C1737" s="35" t="s">
        <v>405</v>
      </c>
      <c r="D1737" s="35" t="s">
        <v>669</v>
      </c>
      <c r="E1737" s="35" t="s">
        <v>672</v>
      </c>
      <c r="F1737" s="35" t="s">
        <v>390</v>
      </c>
      <c r="G1737" s="35" t="s">
        <v>367</v>
      </c>
    </row>
    <row r="1738" spans="1:8">
      <c r="A1738" s="34">
        <v>2084214392</v>
      </c>
      <c r="B1738" s="35" t="s">
        <v>462</v>
      </c>
      <c r="C1738" s="35" t="s">
        <v>405</v>
      </c>
      <c r="D1738" s="35" t="s">
        <v>669</v>
      </c>
      <c r="E1738" s="35" t="s">
        <v>672</v>
      </c>
      <c r="F1738" s="35" t="s">
        <v>390</v>
      </c>
      <c r="G1738" s="35" t="s">
        <v>368</v>
      </c>
      <c r="H1738" s="35" t="s">
        <v>481</v>
      </c>
    </row>
    <row r="1739" spans="1:8">
      <c r="A1739" s="34">
        <v>2084214391</v>
      </c>
      <c r="B1739" s="35" t="s">
        <v>462</v>
      </c>
      <c r="C1739" s="35" t="s">
        <v>405</v>
      </c>
      <c r="D1739" s="35" t="s">
        <v>669</v>
      </c>
      <c r="E1739" s="35" t="s">
        <v>672</v>
      </c>
      <c r="F1739" s="35" t="s">
        <v>390</v>
      </c>
      <c r="G1739" s="35" t="s">
        <v>368</v>
      </c>
      <c r="H1739" s="35" t="s">
        <v>482</v>
      </c>
    </row>
    <row r="1740" spans="1:8">
      <c r="A1740" s="34">
        <v>2084214393</v>
      </c>
      <c r="B1740" s="35" t="s">
        <v>462</v>
      </c>
      <c r="C1740" s="35" t="s">
        <v>405</v>
      </c>
      <c r="D1740" s="35" t="s">
        <v>669</v>
      </c>
      <c r="E1740" s="35" t="s">
        <v>672</v>
      </c>
      <c r="F1740" s="35" t="s">
        <v>390</v>
      </c>
      <c r="G1740" s="35" t="s">
        <v>368</v>
      </c>
      <c r="H1740" s="35" t="s">
        <v>335</v>
      </c>
    </row>
    <row r="1741" spans="1:8">
      <c r="A1741" s="34">
        <v>2084214399</v>
      </c>
      <c r="B1741" s="35" t="s">
        <v>462</v>
      </c>
      <c r="C1741" s="35" t="s">
        <v>405</v>
      </c>
      <c r="D1741" s="35" t="s">
        <v>669</v>
      </c>
      <c r="E1741" s="35" t="s">
        <v>672</v>
      </c>
      <c r="F1741" s="35" t="s">
        <v>390</v>
      </c>
      <c r="G1741" s="35" t="s">
        <v>10</v>
      </c>
      <c r="H1741" s="35" t="s">
        <v>483</v>
      </c>
    </row>
    <row r="1742" spans="1:8">
      <c r="A1742" s="34">
        <v>2084214396</v>
      </c>
      <c r="B1742" s="35" t="s">
        <v>462</v>
      </c>
      <c r="C1742" s="35" t="s">
        <v>405</v>
      </c>
      <c r="D1742" s="35" t="s">
        <v>669</v>
      </c>
      <c r="E1742" s="35" t="s">
        <v>672</v>
      </c>
      <c r="F1742" s="35" t="s">
        <v>390</v>
      </c>
      <c r="G1742" s="35" t="s">
        <v>10</v>
      </c>
      <c r="H1742" s="35" t="s">
        <v>397</v>
      </c>
    </row>
    <row r="1743" spans="1:8">
      <c r="A1743" s="34">
        <v>2084214398</v>
      </c>
      <c r="B1743" s="35" t="s">
        <v>462</v>
      </c>
      <c r="C1743" s="35" t="s">
        <v>405</v>
      </c>
      <c r="D1743" s="35" t="s">
        <v>669</v>
      </c>
      <c r="E1743" s="35" t="s">
        <v>672</v>
      </c>
      <c r="F1743" s="35" t="s">
        <v>390</v>
      </c>
      <c r="G1743" s="35" t="s">
        <v>10</v>
      </c>
      <c r="H1743" s="35" t="s">
        <v>421</v>
      </c>
    </row>
    <row r="1744" spans="1:8">
      <c r="A1744" s="34">
        <v>2084214395</v>
      </c>
      <c r="B1744" s="35" t="s">
        <v>462</v>
      </c>
      <c r="C1744" s="35" t="s">
        <v>405</v>
      </c>
      <c r="D1744" s="35" t="s">
        <v>669</v>
      </c>
      <c r="E1744" s="35" t="s">
        <v>672</v>
      </c>
      <c r="F1744" s="35" t="s">
        <v>390</v>
      </c>
      <c r="G1744" s="35" t="s">
        <v>10</v>
      </c>
      <c r="H1744" s="35" t="s">
        <v>398</v>
      </c>
    </row>
    <row r="1745" spans="1:8">
      <c r="A1745" s="34">
        <v>2084214397</v>
      </c>
      <c r="B1745" s="35" t="s">
        <v>462</v>
      </c>
      <c r="C1745" s="35" t="s">
        <v>405</v>
      </c>
      <c r="D1745" s="35" t="s">
        <v>669</v>
      </c>
      <c r="E1745" s="35" t="s">
        <v>672</v>
      </c>
      <c r="F1745" s="35" t="s">
        <v>390</v>
      </c>
      <c r="G1745" s="35" t="s">
        <v>10</v>
      </c>
      <c r="H1745" s="35" t="s">
        <v>422</v>
      </c>
    </row>
    <row r="1746" spans="1:8">
      <c r="A1746" s="34">
        <v>2084214400</v>
      </c>
      <c r="B1746" s="35" t="s">
        <v>462</v>
      </c>
      <c r="C1746" s="35" t="s">
        <v>405</v>
      </c>
      <c r="D1746" s="35" t="s">
        <v>669</v>
      </c>
      <c r="E1746" s="35" t="s">
        <v>672</v>
      </c>
      <c r="F1746" s="35" t="s">
        <v>390</v>
      </c>
      <c r="G1746" s="35" t="s">
        <v>10</v>
      </c>
      <c r="H1746" s="35" t="s">
        <v>335</v>
      </c>
    </row>
    <row r="1747" spans="1:8">
      <c r="A1747" s="34">
        <v>2084214402</v>
      </c>
      <c r="B1747" s="35" t="s">
        <v>462</v>
      </c>
      <c r="C1747" s="35" t="s">
        <v>405</v>
      </c>
      <c r="D1747" s="35" t="s">
        <v>669</v>
      </c>
      <c r="E1747" s="35" t="s">
        <v>672</v>
      </c>
      <c r="F1747" s="35" t="s">
        <v>390</v>
      </c>
      <c r="G1747" s="35" t="s">
        <v>379</v>
      </c>
      <c r="H1747" s="35" t="s">
        <v>476</v>
      </c>
    </row>
    <row r="1748" spans="1:8">
      <c r="A1748" s="34">
        <v>2084214403</v>
      </c>
      <c r="B1748" s="35" t="s">
        <v>462</v>
      </c>
      <c r="C1748" s="35" t="s">
        <v>405</v>
      </c>
      <c r="D1748" s="35" t="s">
        <v>669</v>
      </c>
      <c r="E1748" s="35" t="s">
        <v>672</v>
      </c>
      <c r="F1748" s="35" t="s">
        <v>390</v>
      </c>
      <c r="G1748" s="35" t="s">
        <v>379</v>
      </c>
      <c r="H1748" s="35" t="s">
        <v>335</v>
      </c>
    </row>
    <row r="1749" spans="1:8">
      <c r="A1749" s="34">
        <v>2084214404</v>
      </c>
      <c r="B1749" s="35" t="s">
        <v>462</v>
      </c>
      <c r="C1749" s="35" t="s">
        <v>405</v>
      </c>
      <c r="D1749" s="35" t="s">
        <v>669</v>
      </c>
      <c r="E1749" s="35" t="s">
        <v>672</v>
      </c>
      <c r="F1749" s="35" t="s">
        <v>390</v>
      </c>
      <c r="G1749" s="35" t="s">
        <v>478</v>
      </c>
    </row>
    <row r="1750" spans="1:8">
      <c r="A1750" s="34">
        <v>2084214405</v>
      </c>
      <c r="B1750" s="35" t="s">
        <v>462</v>
      </c>
      <c r="C1750" s="35" t="s">
        <v>405</v>
      </c>
      <c r="D1750" s="35" t="s">
        <v>669</v>
      </c>
      <c r="E1750" s="35" t="s">
        <v>672</v>
      </c>
      <c r="F1750" s="35" t="s">
        <v>390</v>
      </c>
      <c r="G1750" s="35" t="s">
        <v>335</v>
      </c>
    </row>
    <row r="1751" spans="1:8">
      <c r="A1751" s="34">
        <v>2084214407</v>
      </c>
      <c r="B1751" s="35" t="s">
        <v>462</v>
      </c>
      <c r="C1751" s="35" t="s">
        <v>405</v>
      </c>
      <c r="D1751" s="35" t="s">
        <v>669</v>
      </c>
      <c r="E1751" s="35" t="s">
        <v>672</v>
      </c>
      <c r="F1751" s="35" t="s">
        <v>353</v>
      </c>
      <c r="G1751" s="35" t="s">
        <v>367</v>
      </c>
    </row>
    <row r="1752" spans="1:8">
      <c r="A1752" s="34">
        <v>2084214410</v>
      </c>
      <c r="B1752" s="35" t="s">
        <v>462</v>
      </c>
      <c r="C1752" s="35" t="s">
        <v>405</v>
      </c>
      <c r="D1752" s="35" t="s">
        <v>669</v>
      </c>
      <c r="E1752" s="35" t="s">
        <v>672</v>
      </c>
      <c r="F1752" s="35" t="s">
        <v>353</v>
      </c>
      <c r="G1752" s="35" t="s">
        <v>368</v>
      </c>
      <c r="H1752" s="35" t="s">
        <v>481</v>
      </c>
    </row>
    <row r="1753" spans="1:8">
      <c r="A1753" s="34">
        <v>2084214409</v>
      </c>
      <c r="B1753" s="35" t="s">
        <v>462</v>
      </c>
      <c r="C1753" s="35" t="s">
        <v>405</v>
      </c>
      <c r="D1753" s="35" t="s">
        <v>669</v>
      </c>
      <c r="E1753" s="35" t="s">
        <v>672</v>
      </c>
      <c r="F1753" s="35" t="s">
        <v>353</v>
      </c>
      <c r="G1753" s="35" t="s">
        <v>368</v>
      </c>
      <c r="H1753" s="35" t="s">
        <v>482</v>
      </c>
    </row>
    <row r="1754" spans="1:8">
      <c r="A1754" s="34">
        <v>2084214411</v>
      </c>
      <c r="B1754" s="35" t="s">
        <v>462</v>
      </c>
      <c r="C1754" s="35" t="s">
        <v>405</v>
      </c>
      <c r="D1754" s="35" t="s">
        <v>669</v>
      </c>
      <c r="E1754" s="35" t="s">
        <v>672</v>
      </c>
      <c r="F1754" s="35" t="s">
        <v>353</v>
      </c>
      <c r="G1754" s="35" t="s">
        <v>368</v>
      </c>
      <c r="H1754" s="35" t="s">
        <v>335</v>
      </c>
    </row>
    <row r="1755" spans="1:8">
      <c r="A1755" s="34">
        <v>2084214417</v>
      </c>
      <c r="B1755" s="35" t="s">
        <v>462</v>
      </c>
      <c r="C1755" s="35" t="s">
        <v>405</v>
      </c>
      <c r="D1755" s="35" t="s">
        <v>669</v>
      </c>
      <c r="E1755" s="35" t="s">
        <v>672</v>
      </c>
      <c r="F1755" s="35" t="s">
        <v>353</v>
      </c>
      <c r="G1755" s="35" t="s">
        <v>10</v>
      </c>
      <c r="H1755" s="35" t="s">
        <v>483</v>
      </c>
    </row>
    <row r="1756" spans="1:8">
      <c r="A1756" s="34">
        <v>2084214414</v>
      </c>
      <c r="B1756" s="35" t="s">
        <v>462</v>
      </c>
      <c r="C1756" s="35" t="s">
        <v>405</v>
      </c>
      <c r="D1756" s="35" t="s">
        <v>669</v>
      </c>
      <c r="E1756" s="35" t="s">
        <v>672</v>
      </c>
      <c r="F1756" s="35" t="s">
        <v>353</v>
      </c>
      <c r="G1756" s="35" t="s">
        <v>10</v>
      </c>
      <c r="H1756" s="35" t="s">
        <v>397</v>
      </c>
    </row>
    <row r="1757" spans="1:8">
      <c r="A1757" s="34">
        <v>2084214416</v>
      </c>
      <c r="B1757" s="35" t="s">
        <v>462</v>
      </c>
      <c r="C1757" s="35" t="s">
        <v>405</v>
      </c>
      <c r="D1757" s="35" t="s">
        <v>669</v>
      </c>
      <c r="E1757" s="35" t="s">
        <v>672</v>
      </c>
      <c r="F1757" s="35" t="s">
        <v>353</v>
      </c>
      <c r="G1757" s="35" t="s">
        <v>10</v>
      </c>
      <c r="H1757" s="35" t="s">
        <v>421</v>
      </c>
    </row>
    <row r="1758" spans="1:8">
      <c r="A1758" s="34">
        <v>2084214413</v>
      </c>
      <c r="B1758" s="35" t="s">
        <v>462</v>
      </c>
      <c r="C1758" s="35" t="s">
        <v>405</v>
      </c>
      <c r="D1758" s="35" t="s">
        <v>669</v>
      </c>
      <c r="E1758" s="35" t="s">
        <v>672</v>
      </c>
      <c r="F1758" s="35" t="s">
        <v>353</v>
      </c>
      <c r="G1758" s="35" t="s">
        <v>10</v>
      </c>
      <c r="H1758" s="35" t="s">
        <v>398</v>
      </c>
    </row>
    <row r="1759" spans="1:8">
      <c r="A1759" s="34">
        <v>2084214415</v>
      </c>
      <c r="B1759" s="35" t="s">
        <v>462</v>
      </c>
      <c r="C1759" s="35" t="s">
        <v>405</v>
      </c>
      <c r="D1759" s="35" t="s">
        <v>669</v>
      </c>
      <c r="E1759" s="35" t="s">
        <v>672</v>
      </c>
      <c r="F1759" s="35" t="s">
        <v>353</v>
      </c>
      <c r="G1759" s="35" t="s">
        <v>10</v>
      </c>
      <c r="H1759" s="35" t="s">
        <v>422</v>
      </c>
    </row>
    <row r="1760" spans="1:8">
      <c r="A1760" s="34">
        <v>2084214418</v>
      </c>
      <c r="B1760" s="35" t="s">
        <v>462</v>
      </c>
      <c r="C1760" s="35" t="s">
        <v>405</v>
      </c>
      <c r="D1760" s="35" t="s">
        <v>669</v>
      </c>
      <c r="E1760" s="35" t="s">
        <v>672</v>
      </c>
      <c r="F1760" s="35" t="s">
        <v>353</v>
      </c>
      <c r="G1760" s="35" t="s">
        <v>10</v>
      </c>
      <c r="H1760" s="35" t="s">
        <v>335</v>
      </c>
    </row>
    <row r="1761" spans="1:8">
      <c r="A1761" s="34">
        <v>2084214419</v>
      </c>
      <c r="B1761" s="35" t="s">
        <v>462</v>
      </c>
      <c r="C1761" s="35" t="s">
        <v>405</v>
      </c>
      <c r="D1761" s="35" t="s">
        <v>669</v>
      </c>
      <c r="E1761" s="35" t="s">
        <v>672</v>
      </c>
      <c r="F1761" s="35" t="s">
        <v>353</v>
      </c>
      <c r="G1761" s="35" t="s">
        <v>403</v>
      </c>
    </row>
    <row r="1762" spans="1:8">
      <c r="A1762" s="34">
        <v>2084214420</v>
      </c>
      <c r="B1762" s="35" t="s">
        <v>462</v>
      </c>
      <c r="C1762" s="35" t="s">
        <v>405</v>
      </c>
      <c r="D1762" s="35" t="s">
        <v>669</v>
      </c>
      <c r="E1762" s="35" t="s">
        <v>672</v>
      </c>
      <c r="F1762" s="35" t="s">
        <v>353</v>
      </c>
      <c r="G1762" s="35" t="s">
        <v>335</v>
      </c>
    </row>
    <row r="1763" spans="1:8">
      <c r="A1763" s="34">
        <v>2084214424</v>
      </c>
      <c r="B1763" s="35" t="s">
        <v>462</v>
      </c>
      <c r="C1763" s="35" t="s">
        <v>405</v>
      </c>
      <c r="D1763" s="35" t="s">
        <v>669</v>
      </c>
      <c r="E1763" s="35" t="s">
        <v>672</v>
      </c>
      <c r="F1763" s="35" t="s">
        <v>335</v>
      </c>
    </row>
    <row r="1764" spans="1:8">
      <c r="A1764" s="34">
        <v>2084298369</v>
      </c>
      <c r="B1764" s="35" t="s">
        <v>462</v>
      </c>
      <c r="C1764" s="35" t="s">
        <v>405</v>
      </c>
      <c r="D1764" s="35" t="s">
        <v>669</v>
      </c>
      <c r="E1764" s="35" t="s">
        <v>673</v>
      </c>
    </row>
    <row r="1765" spans="1:8">
      <c r="A1765" s="34">
        <v>2084303220</v>
      </c>
      <c r="B1765" s="35" t="s">
        <v>462</v>
      </c>
      <c r="C1765" s="35" t="s">
        <v>405</v>
      </c>
      <c r="D1765" s="35" t="s">
        <v>669</v>
      </c>
      <c r="E1765" s="35" t="s">
        <v>674</v>
      </c>
      <c r="F1765" s="35" t="s">
        <v>390</v>
      </c>
      <c r="G1765" s="35" t="s">
        <v>401</v>
      </c>
    </row>
    <row r="1766" spans="1:8">
      <c r="A1766" s="34">
        <v>2084303221</v>
      </c>
      <c r="B1766" s="35" t="s">
        <v>462</v>
      </c>
      <c r="C1766" s="35" t="s">
        <v>405</v>
      </c>
      <c r="D1766" s="35" t="s">
        <v>669</v>
      </c>
      <c r="E1766" s="35" t="s">
        <v>674</v>
      </c>
      <c r="F1766" s="35" t="s">
        <v>390</v>
      </c>
      <c r="G1766" s="35" t="s">
        <v>402</v>
      </c>
    </row>
    <row r="1767" spans="1:8">
      <c r="A1767" s="34">
        <v>2084303222</v>
      </c>
      <c r="B1767" s="35" t="s">
        <v>462</v>
      </c>
      <c r="C1767" s="35" t="s">
        <v>405</v>
      </c>
      <c r="D1767" s="35" t="s">
        <v>669</v>
      </c>
      <c r="E1767" s="35" t="s">
        <v>674</v>
      </c>
      <c r="F1767" s="35" t="s">
        <v>390</v>
      </c>
      <c r="G1767" s="35" t="s">
        <v>477</v>
      </c>
    </row>
    <row r="1768" spans="1:8">
      <c r="A1768" s="34">
        <v>2084303223</v>
      </c>
      <c r="B1768" s="35" t="s">
        <v>462</v>
      </c>
      <c r="C1768" s="35" t="s">
        <v>405</v>
      </c>
      <c r="D1768" s="35" t="s">
        <v>669</v>
      </c>
      <c r="E1768" s="35" t="s">
        <v>674</v>
      </c>
      <c r="F1768" s="35" t="s">
        <v>390</v>
      </c>
      <c r="G1768" s="35" t="s">
        <v>476</v>
      </c>
    </row>
    <row r="1769" spans="1:8">
      <c r="A1769" s="34">
        <v>2084303224</v>
      </c>
      <c r="B1769" s="35" t="s">
        <v>462</v>
      </c>
      <c r="C1769" s="35" t="s">
        <v>405</v>
      </c>
      <c r="D1769" s="35" t="s">
        <v>669</v>
      </c>
      <c r="E1769" s="35" t="s">
        <v>674</v>
      </c>
      <c r="F1769" s="35" t="s">
        <v>390</v>
      </c>
      <c r="G1769" s="35" t="s">
        <v>335</v>
      </c>
    </row>
    <row r="1770" spans="1:8">
      <c r="A1770" s="34">
        <v>2084303225</v>
      </c>
      <c r="B1770" s="35" t="s">
        <v>462</v>
      </c>
      <c r="C1770" s="35" t="s">
        <v>405</v>
      </c>
      <c r="D1770" s="35" t="s">
        <v>669</v>
      </c>
      <c r="E1770" s="35" t="s">
        <v>674</v>
      </c>
      <c r="F1770" s="35" t="s">
        <v>353</v>
      </c>
      <c r="G1770" s="35" t="s">
        <v>401</v>
      </c>
    </row>
    <row r="1771" spans="1:8">
      <c r="A1771" s="34">
        <v>2084303226</v>
      </c>
      <c r="B1771" s="35" t="s">
        <v>462</v>
      </c>
      <c r="C1771" s="35" t="s">
        <v>405</v>
      </c>
      <c r="D1771" s="35" t="s">
        <v>669</v>
      </c>
      <c r="E1771" s="35" t="s">
        <v>674</v>
      </c>
      <c r="F1771" s="35" t="s">
        <v>353</v>
      </c>
      <c r="G1771" s="35" t="s">
        <v>402</v>
      </c>
    </row>
    <row r="1772" spans="1:8">
      <c r="A1772" s="34">
        <v>2084303227</v>
      </c>
      <c r="B1772" s="35" t="s">
        <v>462</v>
      </c>
      <c r="C1772" s="35" t="s">
        <v>405</v>
      </c>
      <c r="D1772" s="35" t="s">
        <v>669</v>
      </c>
      <c r="E1772" s="35" t="s">
        <v>674</v>
      </c>
      <c r="F1772" s="35" t="s">
        <v>353</v>
      </c>
      <c r="G1772" s="35" t="s">
        <v>477</v>
      </c>
    </row>
    <row r="1773" spans="1:8">
      <c r="A1773" s="34">
        <v>2084303228</v>
      </c>
      <c r="B1773" s="35" t="s">
        <v>462</v>
      </c>
      <c r="C1773" s="35" t="s">
        <v>405</v>
      </c>
      <c r="D1773" s="35" t="s">
        <v>669</v>
      </c>
      <c r="E1773" s="35" t="s">
        <v>674</v>
      </c>
      <c r="F1773" s="35" t="s">
        <v>353</v>
      </c>
      <c r="G1773" s="35" t="s">
        <v>335</v>
      </c>
    </row>
    <row r="1774" spans="1:8">
      <c r="A1774" s="34">
        <v>2084050187</v>
      </c>
      <c r="B1774" s="35" t="s">
        <v>462</v>
      </c>
      <c r="C1774" s="35" t="s">
        <v>405</v>
      </c>
      <c r="D1774" s="35" t="s">
        <v>669</v>
      </c>
      <c r="E1774" s="35" t="s">
        <v>675</v>
      </c>
    </row>
    <row r="1775" spans="1:8">
      <c r="A1775" s="34">
        <v>2084055305</v>
      </c>
      <c r="B1775" s="35" t="s">
        <v>462</v>
      </c>
      <c r="C1775" s="35" t="s">
        <v>405</v>
      </c>
      <c r="D1775" s="35" t="s">
        <v>669</v>
      </c>
      <c r="E1775" s="35" t="s">
        <v>676</v>
      </c>
      <c r="F1775" s="35" t="s">
        <v>390</v>
      </c>
      <c r="G1775" s="35" t="s">
        <v>367</v>
      </c>
    </row>
    <row r="1776" spans="1:8">
      <c r="A1776" s="34">
        <v>2084055308</v>
      </c>
      <c r="B1776" s="35" t="s">
        <v>462</v>
      </c>
      <c r="C1776" s="35" t="s">
        <v>405</v>
      </c>
      <c r="D1776" s="35" t="s">
        <v>669</v>
      </c>
      <c r="E1776" s="35" t="s">
        <v>676</v>
      </c>
      <c r="F1776" s="35" t="s">
        <v>390</v>
      </c>
      <c r="G1776" s="35" t="s">
        <v>368</v>
      </c>
      <c r="H1776" s="35" t="s">
        <v>481</v>
      </c>
    </row>
    <row r="1777" spans="1:8">
      <c r="A1777" s="34">
        <v>2084055307</v>
      </c>
      <c r="B1777" s="35" t="s">
        <v>462</v>
      </c>
      <c r="C1777" s="35" t="s">
        <v>405</v>
      </c>
      <c r="D1777" s="35" t="s">
        <v>669</v>
      </c>
      <c r="E1777" s="35" t="s">
        <v>676</v>
      </c>
      <c r="F1777" s="35" t="s">
        <v>390</v>
      </c>
      <c r="G1777" s="35" t="s">
        <v>368</v>
      </c>
      <c r="H1777" s="35" t="s">
        <v>482</v>
      </c>
    </row>
    <row r="1778" spans="1:8">
      <c r="A1778" s="34">
        <v>2084055309</v>
      </c>
      <c r="B1778" s="35" t="s">
        <v>462</v>
      </c>
      <c r="C1778" s="35" t="s">
        <v>405</v>
      </c>
      <c r="D1778" s="35" t="s">
        <v>669</v>
      </c>
      <c r="E1778" s="35" t="s">
        <v>676</v>
      </c>
      <c r="F1778" s="35" t="s">
        <v>390</v>
      </c>
      <c r="G1778" s="35" t="s">
        <v>368</v>
      </c>
      <c r="H1778" s="35" t="s">
        <v>335</v>
      </c>
    </row>
    <row r="1779" spans="1:8">
      <c r="A1779" s="34">
        <v>2084055315</v>
      </c>
      <c r="B1779" s="35" t="s">
        <v>462</v>
      </c>
      <c r="C1779" s="35" t="s">
        <v>405</v>
      </c>
      <c r="D1779" s="35" t="s">
        <v>669</v>
      </c>
      <c r="E1779" s="35" t="s">
        <v>676</v>
      </c>
      <c r="F1779" s="35" t="s">
        <v>390</v>
      </c>
      <c r="G1779" s="35" t="s">
        <v>10</v>
      </c>
      <c r="H1779" s="35" t="s">
        <v>483</v>
      </c>
    </row>
    <row r="1780" spans="1:8">
      <c r="A1780" s="34">
        <v>2084055312</v>
      </c>
      <c r="B1780" s="35" t="s">
        <v>462</v>
      </c>
      <c r="C1780" s="35" t="s">
        <v>405</v>
      </c>
      <c r="D1780" s="35" t="s">
        <v>669</v>
      </c>
      <c r="E1780" s="35" t="s">
        <v>676</v>
      </c>
      <c r="F1780" s="35" t="s">
        <v>390</v>
      </c>
      <c r="G1780" s="35" t="s">
        <v>10</v>
      </c>
      <c r="H1780" s="35" t="s">
        <v>397</v>
      </c>
    </row>
    <row r="1781" spans="1:8">
      <c r="A1781" s="34">
        <v>2084055314</v>
      </c>
      <c r="B1781" s="35" t="s">
        <v>462</v>
      </c>
      <c r="C1781" s="35" t="s">
        <v>405</v>
      </c>
      <c r="D1781" s="35" t="s">
        <v>669</v>
      </c>
      <c r="E1781" s="35" t="s">
        <v>676</v>
      </c>
      <c r="F1781" s="35" t="s">
        <v>390</v>
      </c>
      <c r="G1781" s="35" t="s">
        <v>10</v>
      </c>
      <c r="H1781" s="35" t="s">
        <v>421</v>
      </c>
    </row>
    <row r="1782" spans="1:8">
      <c r="A1782" s="34">
        <v>2084055311</v>
      </c>
      <c r="B1782" s="35" t="s">
        <v>462</v>
      </c>
      <c r="C1782" s="35" t="s">
        <v>405</v>
      </c>
      <c r="D1782" s="35" t="s">
        <v>669</v>
      </c>
      <c r="E1782" s="35" t="s">
        <v>676</v>
      </c>
      <c r="F1782" s="35" t="s">
        <v>390</v>
      </c>
      <c r="G1782" s="35" t="s">
        <v>10</v>
      </c>
      <c r="H1782" s="35" t="s">
        <v>398</v>
      </c>
    </row>
    <row r="1783" spans="1:8">
      <c r="A1783" s="34">
        <v>2084055313</v>
      </c>
      <c r="B1783" s="35" t="s">
        <v>462</v>
      </c>
      <c r="C1783" s="35" t="s">
        <v>405</v>
      </c>
      <c r="D1783" s="35" t="s">
        <v>669</v>
      </c>
      <c r="E1783" s="35" t="s">
        <v>676</v>
      </c>
      <c r="F1783" s="35" t="s">
        <v>390</v>
      </c>
      <c r="G1783" s="35" t="s">
        <v>10</v>
      </c>
      <c r="H1783" s="35" t="s">
        <v>422</v>
      </c>
    </row>
    <row r="1784" spans="1:8">
      <c r="A1784" s="34">
        <v>2084055316</v>
      </c>
      <c r="B1784" s="35" t="s">
        <v>462</v>
      </c>
      <c r="C1784" s="35" t="s">
        <v>405</v>
      </c>
      <c r="D1784" s="35" t="s">
        <v>669</v>
      </c>
      <c r="E1784" s="35" t="s">
        <v>676</v>
      </c>
      <c r="F1784" s="35" t="s">
        <v>390</v>
      </c>
      <c r="G1784" s="35" t="s">
        <v>10</v>
      </c>
      <c r="H1784" s="35" t="s">
        <v>335</v>
      </c>
    </row>
    <row r="1785" spans="1:8">
      <c r="A1785" s="34">
        <v>2084055318</v>
      </c>
      <c r="B1785" s="35" t="s">
        <v>462</v>
      </c>
      <c r="C1785" s="35" t="s">
        <v>405</v>
      </c>
      <c r="D1785" s="35" t="s">
        <v>669</v>
      </c>
      <c r="E1785" s="35" t="s">
        <v>676</v>
      </c>
      <c r="F1785" s="35" t="s">
        <v>390</v>
      </c>
      <c r="G1785" s="35" t="s">
        <v>379</v>
      </c>
      <c r="H1785" s="35" t="s">
        <v>476</v>
      </c>
    </row>
    <row r="1786" spans="1:8">
      <c r="A1786" s="34">
        <v>2084055319</v>
      </c>
      <c r="B1786" s="35" t="s">
        <v>462</v>
      </c>
      <c r="C1786" s="35" t="s">
        <v>405</v>
      </c>
      <c r="D1786" s="35" t="s">
        <v>669</v>
      </c>
      <c r="E1786" s="35" t="s">
        <v>676</v>
      </c>
      <c r="F1786" s="35" t="s">
        <v>390</v>
      </c>
      <c r="G1786" s="35" t="s">
        <v>379</v>
      </c>
      <c r="H1786" s="35" t="s">
        <v>335</v>
      </c>
    </row>
    <row r="1787" spans="1:8">
      <c r="A1787" s="34">
        <v>2084055320</v>
      </c>
      <c r="B1787" s="35" t="s">
        <v>462</v>
      </c>
      <c r="C1787" s="35" t="s">
        <v>405</v>
      </c>
      <c r="D1787" s="35" t="s">
        <v>669</v>
      </c>
      <c r="E1787" s="35" t="s">
        <v>676</v>
      </c>
      <c r="F1787" s="35" t="s">
        <v>390</v>
      </c>
      <c r="G1787" s="35" t="s">
        <v>335</v>
      </c>
    </row>
    <row r="1788" spans="1:8">
      <c r="A1788" s="34">
        <v>2084055321</v>
      </c>
      <c r="B1788" s="35" t="s">
        <v>462</v>
      </c>
      <c r="C1788" s="35" t="s">
        <v>405</v>
      </c>
      <c r="D1788" s="35" t="s">
        <v>669</v>
      </c>
      <c r="E1788" s="35" t="s">
        <v>676</v>
      </c>
      <c r="F1788" s="35" t="s">
        <v>335</v>
      </c>
    </row>
    <row r="1789" spans="1:8">
      <c r="A1789" s="34">
        <v>2084030708</v>
      </c>
      <c r="B1789" s="35" t="s">
        <v>462</v>
      </c>
      <c r="C1789" s="35" t="s">
        <v>405</v>
      </c>
      <c r="D1789" s="35" t="s">
        <v>669</v>
      </c>
      <c r="E1789" s="35" t="s">
        <v>677</v>
      </c>
      <c r="F1789" s="35" t="s">
        <v>353</v>
      </c>
      <c r="G1789" s="35" t="s">
        <v>481</v>
      </c>
    </row>
    <row r="1790" spans="1:8">
      <c r="A1790" s="34">
        <v>2084031606</v>
      </c>
      <c r="B1790" s="35" t="s">
        <v>462</v>
      </c>
      <c r="C1790" s="35" t="s">
        <v>405</v>
      </c>
      <c r="D1790" s="35" t="s">
        <v>669</v>
      </c>
      <c r="E1790" s="35" t="s">
        <v>677</v>
      </c>
      <c r="F1790" s="35" t="s">
        <v>353</v>
      </c>
      <c r="G1790" s="35" t="s">
        <v>483</v>
      </c>
    </row>
    <row r="1791" spans="1:8">
      <c r="A1791" s="34">
        <v>2084030258</v>
      </c>
      <c r="B1791" s="35" t="s">
        <v>462</v>
      </c>
      <c r="C1791" s="35" t="s">
        <v>405</v>
      </c>
      <c r="D1791" s="35" t="s">
        <v>669</v>
      </c>
      <c r="E1791" s="35" t="s">
        <v>677</v>
      </c>
      <c r="F1791" s="35" t="s">
        <v>353</v>
      </c>
      <c r="G1791" s="35" t="s">
        <v>493</v>
      </c>
    </row>
    <row r="1792" spans="1:8">
      <c r="A1792" s="34">
        <v>2084031397</v>
      </c>
      <c r="B1792" s="35" t="s">
        <v>462</v>
      </c>
      <c r="C1792" s="35" t="s">
        <v>405</v>
      </c>
      <c r="D1792" s="35" t="s">
        <v>669</v>
      </c>
      <c r="E1792" s="35" t="s">
        <v>677</v>
      </c>
      <c r="F1792" s="35" t="s">
        <v>353</v>
      </c>
      <c r="G1792" s="35" t="s">
        <v>494</v>
      </c>
    </row>
    <row r="1793" spans="1:8">
      <c r="A1793" s="34">
        <v>2084050825</v>
      </c>
      <c r="B1793" s="35" t="s">
        <v>462</v>
      </c>
      <c r="C1793" s="35" t="s">
        <v>405</v>
      </c>
      <c r="D1793" s="35" t="s">
        <v>669</v>
      </c>
      <c r="E1793" s="35" t="s">
        <v>677</v>
      </c>
      <c r="F1793" s="35" t="s">
        <v>353</v>
      </c>
      <c r="G1793" s="35" t="s">
        <v>403</v>
      </c>
    </row>
    <row r="1794" spans="1:8">
      <c r="A1794" s="34">
        <v>2084031500</v>
      </c>
      <c r="B1794" s="35" t="s">
        <v>462</v>
      </c>
      <c r="C1794" s="35" t="s">
        <v>405</v>
      </c>
      <c r="D1794" s="35" t="s">
        <v>669</v>
      </c>
      <c r="E1794" s="35" t="s">
        <v>677</v>
      </c>
      <c r="F1794" s="35" t="s">
        <v>353</v>
      </c>
      <c r="G1794" s="35" t="s">
        <v>397</v>
      </c>
    </row>
    <row r="1795" spans="1:8">
      <c r="A1795" s="34">
        <v>2084030408</v>
      </c>
      <c r="B1795" s="35" t="s">
        <v>462</v>
      </c>
      <c r="C1795" s="35" t="s">
        <v>405</v>
      </c>
      <c r="D1795" s="35" t="s">
        <v>669</v>
      </c>
      <c r="E1795" s="35" t="s">
        <v>677</v>
      </c>
      <c r="F1795" s="35" t="s">
        <v>353</v>
      </c>
      <c r="G1795" s="35" t="s">
        <v>421</v>
      </c>
    </row>
    <row r="1796" spans="1:8">
      <c r="A1796" s="34">
        <v>2084031576</v>
      </c>
      <c r="B1796" s="35" t="s">
        <v>462</v>
      </c>
      <c r="C1796" s="35" t="s">
        <v>405</v>
      </c>
      <c r="D1796" s="35" t="s">
        <v>669</v>
      </c>
      <c r="E1796" s="35" t="s">
        <v>677</v>
      </c>
      <c r="F1796" s="35" t="s">
        <v>353</v>
      </c>
      <c r="G1796" s="35" t="s">
        <v>398</v>
      </c>
    </row>
    <row r="1797" spans="1:8">
      <c r="A1797" s="34">
        <v>2084030347</v>
      </c>
      <c r="B1797" s="35" t="s">
        <v>462</v>
      </c>
      <c r="C1797" s="35" t="s">
        <v>405</v>
      </c>
      <c r="D1797" s="35" t="s">
        <v>669</v>
      </c>
      <c r="E1797" s="35" t="s">
        <v>677</v>
      </c>
      <c r="F1797" s="35" t="s">
        <v>353</v>
      </c>
      <c r="G1797" s="35" t="s">
        <v>422</v>
      </c>
    </row>
    <row r="1798" spans="1:8">
      <c r="A1798" s="34">
        <v>2084048668</v>
      </c>
      <c r="B1798" s="35" t="s">
        <v>462</v>
      </c>
      <c r="C1798" s="35" t="s">
        <v>405</v>
      </c>
      <c r="D1798" s="35" t="s">
        <v>669</v>
      </c>
      <c r="E1798" s="35" t="s">
        <v>677</v>
      </c>
      <c r="F1798" s="35" t="s">
        <v>335</v>
      </c>
    </row>
    <row r="1799" spans="1:8">
      <c r="A1799" s="34">
        <v>2084028229</v>
      </c>
      <c r="B1799" s="35" t="s">
        <v>462</v>
      </c>
      <c r="C1799" s="35" t="s">
        <v>405</v>
      </c>
      <c r="D1799" s="35" t="s">
        <v>669</v>
      </c>
      <c r="E1799" s="35" t="s">
        <v>678</v>
      </c>
      <c r="F1799" s="35" t="s">
        <v>390</v>
      </c>
      <c r="G1799" s="35" t="s">
        <v>367</v>
      </c>
    </row>
    <row r="1800" spans="1:8">
      <c r="A1800" s="34">
        <v>2084028781</v>
      </c>
      <c r="B1800" s="35" t="s">
        <v>462</v>
      </c>
      <c r="C1800" s="35" t="s">
        <v>405</v>
      </c>
      <c r="D1800" s="35" t="s">
        <v>669</v>
      </c>
      <c r="E1800" s="35" t="s">
        <v>678</v>
      </c>
      <c r="F1800" s="35" t="s">
        <v>390</v>
      </c>
      <c r="G1800" s="35" t="s">
        <v>368</v>
      </c>
      <c r="H1800" s="35" t="s">
        <v>508</v>
      </c>
    </row>
    <row r="1801" spans="1:8">
      <c r="A1801" s="34">
        <v>2084029314</v>
      </c>
      <c r="B1801" s="35" t="s">
        <v>462</v>
      </c>
      <c r="C1801" s="35" t="s">
        <v>405</v>
      </c>
      <c r="D1801" s="35" t="s">
        <v>669</v>
      </c>
      <c r="E1801" s="35" t="s">
        <v>678</v>
      </c>
      <c r="F1801" s="35" t="s">
        <v>390</v>
      </c>
      <c r="G1801" s="35" t="s">
        <v>368</v>
      </c>
      <c r="H1801" s="35" t="s">
        <v>481</v>
      </c>
    </row>
    <row r="1802" spans="1:8">
      <c r="A1802" s="34">
        <v>2084029865</v>
      </c>
      <c r="B1802" s="35" t="s">
        <v>462</v>
      </c>
      <c r="C1802" s="35" t="s">
        <v>405</v>
      </c>
      <c r="D1802" s="35" t="s">
        <v>669</v>
      </c>
      <c r="E1802" s="35" t="s">
        <v>678</v>
      </c>
      <c r="F1802" s="35" t="s">
        <v>390</v>
      </c>
      <c r="G1802" s="35" t="s">
        <v>368</v>
      </c>
      <c r="H1802" s="35" t="s">
        <v>494</v>
      </c>
    </row>
    <row r="1803" spans="1:8">
      <c r="A1803" s="34">
        <v>2084058717</v>
      </c>
      <c r="B1803" s="35" t="s">
        <v>462</v>
      </c>
      <c r="C1803" s="35" t="s">
        <v>405</v>
      </c>
      <c r="D1803" s="35" t="s">
        <v>669</v>
      </c>
      <c r="E1803" s="35" t="s">
        <v>678</v>
      </c>
      <c r="F1803" s="35" t="s">
        <v>390</v>
      </c>
      <c r="G1803" s="35" t="s">
        <v>368</v>
      </c>
      <c r="H1803" s="35" t="s">
        <v>335</v>
      </c>
    </row>
    <row r="1804" spans="1:8">
      <c r="A1804" s="34">
        <v>2084027330</v>
      </c>
      <c r="B1804" s="35" t="s">
        <v>462</v>
      </c>
      <c r="C1804" s="35" t="s">
        <v>405</v>
      </c>
      <c r="D1804" s="35" t="s">
        <v>669</v>
      </c>
      <c r="E1804" s="35" t="s">
        <v>678</v>
      </c>
      <c r="F1804" s="35" t="s">
        <v>390</v>
      </c>
      <c r="G1804" s="35" t="s">
        <v>10</v>
      </c>
      <c r="H1804" s="35" t="s">
        <v>509</v>
      </c>
    </row>
    <row r="1805" spans="1:8">
      <c r="A1805" s="34">
        <v>2084027823</v>
      </c>
      <c r="B1805" s="35" t="s">
        <v>462</v>
      </c>
      <c r="C1805" s="35" t="s">
        <v>405</v>
      </c>
      <c r="D1805" s="35" t="s">
        <v>669</v>
      </c>
      <c r="E1805" s="35" t="s">
        <v>678</v>
      </c>
      <c r="F1805" s="35" t="s">
        <v>390</v>
      </c>
      <c r="G1805" s="35" t="s">
        <v>10</v>
      </c>
      <c r="H1805" s="35" t="s">
        <v>510</v>
      </c>
    </row>
    <row r="1806" spans="1:8">
      <c r="A1806" s="34">
        <v>2084027855</v>
      </c>
      <c r="B1806" s="35" t="s">
        <v>462</v>
      </c>
      <c r="C1806" s="35" t="s">
        <v>405</v>
      </c>
      <c r="D1806" s="35" t="s">
        <v>669</v>
      </c>
      <c r="E1806" s="35" t="s">
        <v>678</v>
      </c>
      <c r="F1806" s="35" t="s">
        <v>390</v>
      </c>
      <c r="G1806" s="35" t="s">
        <v>10</v>
      </c>
      <c r="H1806" s="35" t="s">
        <v>511</v>
      </c>
    </row>
    <row r="1807" spans="1:8">
      <c r="A1807" s="34">
        <v>2084027935</v>
      </c>
      <c r="B1807" s="35" t="s">
        <v>462</v>
      </c>
      <c r="C1807" s="35" t="s">
        <v>405</v>
      </c>
      <c r="D1807" s="35" t="s">
        <v>669</v>
      </c>
      <c r="E1807" s="35" t="s">
        <v>678</v>
      </c>
      <c r="F1807" s="35" t="s">
        <v>390</v>
      </c>
      <c r="G1807" s="35" t="s">
        <v>10</v>
      </c>
      <c r="H1807" s="35" t="s">
        <v>493</v>
      </c>
    </row>
    <row r="1808" spans="1:8">
      <c r="A1808" s="34">
        <v>2084027454</v>
      </c>
      <c r="B1808" s="35" t="s">
        <v>462</v>
      </c>
      <c r="C1808" s="35" t="s">
        <v>405</v>
      </c>
      <c r="D1808" s="35" t="s">
        <v>669</v>
      </c>
      <c r="E1808" s="35" t="s">
        <v>678</v>
      </c>
      <c r="F1808" s="35" t="s">
        <v>390</v>
      </c>
      <c r="G1808" s="35" t="s">
        <v>10</v>
      </c>
      <c r="H1808" s="35" t="s">
        <v>512</v>
      </c>
    </row>
    <row r="1809" spans="1:8">
      <c r="A1809" s="34">
        <v>2084027621</v>
      </c>
      <c r="B1809" s="35" t="s">
        <v>462</v>
      </c>
      <c r="C1809" s="35" t="s">
        <v>405</v>
      </c>
      <c r="D1809" s="35" t="s">
        <v>669</v>
      </c>
      <c r="E1809" s="35" t="s">
        <v>678</v>
      </c>
      <c r="F1809" s="35" t="s">
        <v>390</v>
      </c>
      <c r="G1809" s="35" t="s">
        <v>10</v>
      </c>
      <c r="H1809" s="35" t="s">
        <v>513</v>
      </c>
    </row>
    <row r="1810" spans="1:8">
      <c r="A1810" s="34">
        <v>2084027965</v>
      </c>
      <c r="B1810" s="35" t="s">
        <v>462</v>
      </c>
      <c r="C1810" s="35" t="s">
        <v>405</v>
      </c>
      <c r="D1810" s="35" t="s">
        <v>669</v>
      </c>
      <c r="E1810" s="35" t="s">
        <v>678</v>
      </c>
      <c r="F1810" s="35" t="s">
        <v>390</v>
      </c>
      <c r="G1810" s="35" t="s">
        <v>10</v>
      </c>
      <c r="H1810" s="35" t="s">
        <v>420</v>
      </c>
    </row>
    <row r="1811" spans="1:8">
      <c r="A1811" s="34">
        <v>2084027243</v>
      </c>
      <c r="B1811" s="35" t="s">
        <v>462</v>
      </c>
      <c r="C1811" s="35" t="s">
        <v>405</v>
      </c>
      <c r="D1811" s="35" t="s">
        <v>669</v>
      </c>
      <c r="E1811" s="35" t="s">
        <v>678</v>
      </c>
      <c r="F1811" s="35" t="s">
        <v>390</v>
      </c>
      <c r="G1811" s="35" t="s">
        <v>10</v>
      </c>
      <c r="H1811" s="35" t="s">
        <v>514</v>
      </c>
    </row>
    <row r="1812" spans="1:8">
      <c r="A1812" s="34">
        <v>2084027419</v>
      </c>
      <c r="B1812" s="35" t="s">
        <v>462</v>
      </c>
      <c r="C1812" s="35" t="s">
        <v>405</v>
      </c>
      <c r="D1812" s="35" t="s">
        <v>669</v>
      </c>
      <c r="E1812" s="35" t="s">
        <v>678</v>
      </c>
      <c r="F1812" s="35" t="s">
        <v>390</v>
      </c>
      <c r="G1812" s="35" t="s">
        <v>10</v>
      </c>
      <c r="H1812" s="35" t="s">
        <v>515</v>
      </c>
    </row>
    <row r="1813" spans="1:8">
      <c r="A1813" s="34">
        <v>2084027538</v>
      </c>
      <c r="B1813" s="35" t="s">
        <v>462</v>
      </c>
      <c r="C1813" s="35" t="s">
        <v>405</v>
      </c>
      <c r="D1813" s="35" t="s">
        <v>669</v>
      </c>
      <c r="E1813" s="35" t="s">
        <v>678</v>
      </c>
      <c r="F1813" s="35" t="s">
        <v>390</v>
      </c>
      <c r="G1813" s="35" t="s">
        <v>10</v>
      </c>
      <c r="H1813" s="35" t="s">
        <v>421</v>
      </c>
    </row>
    <row r="1814" spans="1:8">
      <c r="A1814" s="34">
        <v>2084027699</v>
      </c>
      <c r="B1814" s="35" t="s">
        <v>462</v>
      </c>
      <c r="C1814" s="35" t="s">
        <v>405</v>
      </c>
      <c r="D1814" s="35" t="s">
        <v>669</v>
      </c>
      <c r="E1814" s="35" t="s">
        <v>678</v>
      </c>
      <c r="F1814" s="35" t="s">
        <v>390</v>
      </c>
      <c r="G1814" s="35" t="s">
        <v>10</v>
      </c>
      <c r="H1814" s="35" t="s">
        <v>516</v>
      </c>
    </row>
    <row r="1815" spans="1:8">
      <c r="A1815" s="34">
        <v>2084027216</v>
      </c>
      <c r="B1815" s="35" t="s">
        <v>462</v>
      </c>
      <c r="C1815" s="35" t="s">
        <v>405</v>
      </c>
      <c r="D1815" s="35" t="s">
        <v>669</v>
      </c>
      <c r="E1815" s="35" t="s">
        <v>678</v>
      </c>
      <c r="F1815" s="35" t="s">
        <v>390</v>
      </c>
      <c r="G1815" s="35" t="s">
        <v>10</v>
      </c>
      <c r="H1815" s="35" t="s">
        <v>517</v>
      </c>
    </row>
    <row r="1816" spans="1:8">
      <c r="A1816" s="34">
        <v>2084027385</v>
      </c>
      <c r="B1816" s="35" t="s">
        <v>462</v>
      </c>
      <c r="C1816" s="35" t="s">
        <v>405</v>
      </c>
      <c r="D1816" s="35" t="s">
        <v>669</v>
      </c>
      <c r="E1816" s="35" t="s">
        <v>678</v>
      </c>
      <c r="F1816" s="35" t="s">
        <v>390</v>
      </c>
      <c r="G1816" s="35" t="s">
        <v>10</v>
      </c>
      <c r="H1816" s="35" t="s">
        <v>518</v>
      </c>
    </row>
    <row r="1817" spans="1:8">
      <c r="A1817" s="34">
        <v>2084027588</v>
      </c>
      <c r="B1817" s="35" t="s">
        <v>462</v>
      </c>
      <c r="C1817" s="35" t="s">
        <v>405</v>
      </c>
      <c r="D1817" s="35" t="s">
        <v>669</v>
      </c>
      <c r="E1817" s="35" t="s">
        <v>678</v>
      </c>
      <c r="F1817" s="35" t="s">
        <v>390</v>
      </c>
      <c r="G1817" s="35" t="s">
        <v>10</v>
      </c>
      <c r="H1817" s="35" t="s">
        <v>422</v>
      </c>
    </row>
    <row r="1818" spans="1:8">
      <c r="A1818" s="34">
        <v>2084027789</v>
      </c>
      <c r="B1818" s="35" t="s">
        <v>462</v>
      </c>
      <c r="C1818" s="35" t="s">
        <v>405</v>
      </c>
      <c r="D1818" s="35" t="s">
        <v>669</v>
      </c>
      <c r="E1818" s="35" t="s">
        <v>678</v>
      </c>
      <c r="F1818" s="35" t="s">
        <v>390</v>
      </c>
      <c r="G1818" s="35" t="s">
        <v>10</v>
      </c>
      <c r="H1818" s="35" t="s">
        <v>519</v>
      </c>
    </row>
    <row r="1819" spans="1:8">
      <c r="A1819" s="34">
        <v>2084058719</v>
      </c>
      <c r="B1819" s="35" t="s">
        <v>462</v>
      </c>
      <c r="C1819" s="35" t="s">
        <v>405</v>
      </c>
      <c r="D1819" s="35" t="s">
        <v>669</v>
      </c>
      <c r="E1819" s="35" t="s">
        <v>678</v>
      </c>
      <c r="F1819" s="35" t="s">
        <v>390</v>
      </c>
      <c r="G1819" s="35" t="s">
        <v>10</v>
      </c>
      <c r="H1819" s="35" t="s">
        <v>335</v>
      </c>
    </row>
    <row r="1820" spans="1:8">
      <c r="A1820" s="34">
        <v>2084028060</v>
      </c>
      <c r="B1820" s="35" t="s">
        <v>462</v>
      </c>
      <c r="C1820" s="35" t="s">
        <v>405</v>
      </c>
      <c r="D1820" s="35" t="s">
        <v>669</v>
      </c>
      <c r="E1820" s="35" t="s">
        <v>678</v>
      </c>
      <c r="F1820" s="35" t="s">
        <v>390</v>
      </c>
      <c r="G1820" s="35" t="s">
        <v>379</v>
      </c>
      <c r="H1820" s="35" t="s">
        <v>521</v>
      </c>
    </row>
    <row r="1821" spans="1:8">
      <c r="A1821" s="34">
        <v>2084028160</v>
      </c>
      <c r="B1821" s="35" t="s">
        <v>462</v>
      </c>
      <c r="C1821" s="35" t="s">
        <v>405</v>
      </c>
      <c r="D1821" s="35" t="s">
        <v>669</v>
      </c>
      <c r="E1821" s="35" t="s">
        <v>678</v>
      </c>
      <c r="F1821" s="35" t="s">
        <v>390</v>
      </c>
      <c r="G1821" s="35" t="s">
        <v>379</v>
      </c>
      <c r="H1821" s="35" t="s">
        <v>522</v>
      </c>
    </row>
    <row r="1822" spans="1:8">
      <c r="A1822" s="34">
        <v>2084028433</v>
      </c>
      <c r="B1822" s="35" t="s">
        <v>462</v>
      </c>
      <c r="C1822" s="35" t="s">
        <v>405</v>
      </c>
      <c r="D1822" s="35" t="s">
        <v>669</v>
      </c>
      <c r="E1822" s="35" t="s">
        <v>678</v>
      </c>
      <c r="F1822" s="35" t="s">
        <v>390</v>
      </c>
      <c r="G1822" s="35" t="s">
        <v>379</v>
      </c>
      <c r="H1822" s="35" t="s">
        <v>523</v>
      </c>
    </row>
    <row r="1823" spans="1:8">
      <c r="A1823" s="34">
        <v>2084028099</v>
      </c>
      <c r="B1823" s="35" t="s">
        <v>462</v>
      </c>
      <c r="C1823" s="35" t="s">
        <v>405</v>
      </c>
      <c r="D1823" s="35" t="s">
        <v>669</v>
      </c>
      <c r="E1823" s="35" t="s">
        <v>678</v>
      </c>
      <c r="F1823" s="35" t="s">
        <v>390</v>
      </c>
      <c r="G1823" s="35" t="s">
        <v>379</v>
      </c>
      <c r="H1823" s="35" t="s">
        <v>524</v>
      </c>
    </row>
    <row r="1824" spans="1:8">
      <c r="A1824" s="34">
        <v>2084028265</v>
      </c>
      <c r="B1824" s="35" t="s">
        <v>462</v>
      </c>
      <c r="C1824" s="35" t="s">
        <v>405</v>
      </c>
      <c r="D1824" s="35" t="s">
        <v>669</v>
      </c>
      <c r="E1824" s="35" t="s">
        <v>678</v>
      </c>
      <c r="F1824" s="35" t="s">
        <v>390</v>
      </c>
      <c r="G1824" s="35" t="s">
        <v>379</v>
      </c>
      <c r="H1824" s="35" t="s">
        <v>525</v>
      </c>
    </row>
    <row r="1825" spans="1:8">
      <c r="A1825" s="34">
        <v>2084028467</v>
      </c>
      <c r="B1825" s="35" t="s">
        <v>462</v>
      </c>
      <c r="C1825" s="35" t="s">
        <v>405</v>
      </c>
      <c r="D1825" s="35" t="s">
        <v>669</v>
      </c>
      <c r="E1825" s="35" t="s">
        <v>678</v>
      </c>
      <c r="F1825" s="35" t="s">
        <v>390</v>
      </c>
      <c r="G1825" s="35" t="s">
        <v>379</v>
      </c>
      <c r="H1825" s="35" t="s">
        <v>526</v>
      </c>
    </row>
    <row r="1826" spans="1:8">
      <c r="A1826" s="34">
        <v>2084028290</v>
      </c>
      <c r="B1826" s="35" t="s">
        <v>462</v>
      </c>
      <c r="C1826" s="35" t="s">
        <v>405</v>
      </c>
      <c r="D1826" s="35" t="s">
        <v>669</v>
      </c>
      <c r="E1826" s="35" t="s">
        <v>678</v>
      </c>
      <c r="F1826" s="35" t="s">
        <v>390</v>
      </c>
      <c r="G1826" s="35" t="s">
        <v>379</v>
      </c>
      <c r="H1826" s="35" t="s">
        <v>527</v>
      </c>
    </row>
    <row r="1827" spans="1:8">
      <c r="A1827" s="34">
        <v>2084028502</v>
      </c>
      <c r="B1827" s="35" t="s">
        <v>462</v>
      </c>
      <c r="C1827" s="35" t="s">
        <v>405</v>
      </c>
      <c r="D1827" s="35" t="s">
        <v>669</v>
      </c>
      <c r="E1827" s="35" t="s">
        <v>678</v>
      </c>
      <c r="F1827" s="35" t="s">
        <v>390</v>
      </c>
      <c r="G1827" s="35" t="s">
        <v>379</v>
      </c>
      <c r="H1827" s="35" t="s">
        <v>528</v>
      </c>
    </row>
    <row r="1828" spans="1:8">
      <c r="A1828" s="34">
        <v>2084028378</v>
      </c>
      <c r="B1828" s="35" t="s">
        <v>462</v>
      </c>
      <c r="C1828" s="35" t="s">
        <v>405</v>
      </c>
      <c r="D1828" s="35" t="s">
        <v>669</v>
      </c>
      <c r="E1828" s="35" t="s">
        <v>678</v>
      </c>
      <c r="F1828" s="35" t="s">
        <v>390</v>
      </c>
      <c r="G1828" s="35" t="s">
        <v>379</v>
      </c>
      <c r="H1828" s="35" t="s">
        <v>529</v>
      </c>
    </row>
    <row r="1829" spans="1:8">
      <c r="A1829" s="34">
        <v>2084058721</v>
      </c>
      <c r="B1829" s="35" t="s">
        <v>462</v>
      </c>
      <c r="C1829" s="35" t="s">
        <v>405</v>
      </c>
      <c r="D1829" s="35" t="s">
        <v>669</v>
      </c>
      <c r="E1829" s="35" t="s">
        <v>678</v>
      </c>
      <c r="F1829" s="35" t="s">
        <v>390</v>
      </c>
      <c r="G1829" s="35" t="s">
        <v>379</v>
      </c>
      <c r="H1829" s="35" t="s">
        <v>335</v>
      </c>
    </row>
    <row r="1830" spans="1:8">
      <c r="A1830" s="34">
        <v>2084028542</v>
      </c>
      <c r="B1830" s="35" t="s">
        <v>462</v>
      </c>
      <c r="C1830" s="35" t="s">
        <v>405</v>
      </c>
      <c r="D1830" s="35" t="s">
        <v>669</v>
      </c>
      <c r="E1830" s="35" t="s">
        <v>678</v>
      </c>
      <c r="F1830" s="35" t="s">
        <v>390</v>
      </c>
      <c r="G1830" s="35" t="s">
        <v>530</v>
      </c>
      <c r="H1830" s="35" t="s">
        <v>531</v>
      </c>
    </row>
    <row r="1831" spans="1:8">
      <c r="A1831" s="34">
        <v>2084028636</v>
      </c>
      <c r="B1831" s="35" t="s">
        <v>462</v>
      </c>
      <c r="C1831" s="35" t="s">
        <v>405</v>
      </c>
      <c r="D1831" s="35" t="s">
        <v>669</v>
      </c>
      <c r="E1831" s="35" t="s">
        <v>678</v>
      </c>
      <c r="F1831" s="35" t="s">
        <v>390</v>
      </c>
      <c r="G1831" s="35" t="s">
        <v>530</v>
      </c>
      <c r="H1831" s="35" t="s">
        <v>532</v>
      </c>
    </row>
    <row r="1832" spans="1:8">
      <c r="A1832" s="34">
        <v>2084058723</v>
      </c>
      <c r="B1832" s="35" t="s">
        <v>462</v>
      </c>
      <c r="C1832" s="35" t="s">
        <v>405</v>
      </c>
      <c r="D1832" s="35" t="s">
        <v>669</v>
      </c>
      <c r="E1832" s="35" t="s">
        <v>678</v>
      </c>
      <c r="F1832" s="35" t="s">
        <v>390</v>
      </c>
      <c r="G1832" s="35" t="s">
        <v>530</v>
      </c>
      <c r="H1832" s="35" t="s">
        <v>335</v>
      </c>
    </row>
    <row r="1833" spans="1:8">
      <c r="A1833" s="34">
        <v>2084058779</v>
      </c>
      <c r="B1833" s="35" t="s">
        <v>462</v>
      </c>
      <c r="C1833" s="35" t="s">
        <v>405</v>
      </c>
      <c r="D1833" s="35" t="s">
        <v>669</v>
      </c>
      <c r="E1833" s="35" t="s">
        <v>678</v>
      </c>
      <c r="F1833" s="35" t="s">
        <v>390</v>
      </c>
      <c r="G1833" s="35" t="s">
        <v>335</v>
      </c>
    </row>
    <row r="1834" spans="1:8">
      <c r="A1834" s="34">
        <v>2084048779</v>
      </c>
      <c r="B1834" s="35" t="s">
        <v>462</v>
      </c>
      <c r="C1834" s="35" t="s">
        <v>405</v>
      </c>
      <c r="D1834" s="35" t="s">
        <v>669</v>
      </c>
      <c r="E1834" s="35" t="s">
        <v>678</v>
      </c>
      <c r="F1834" s="35" t="s">
        <v>335</v>
      </c>
    </row>
    <row r="1835" spans="1:8">
      <c r="A1835" s="34">
        <v>2084283085</v>
      </c>
      <c r="B1835" s="35" t="s">
        <v>462</v>
      </c>
      <c r="C1835" s="35" t="s">
        <v>405</v>
      </c>
      <c r="D1835" s="35" t="s">
        <v>669</v>
      </c>
      <c r="E1835" s="35" t="s">
        <v>679</v>
      </c>
    </row>
    <row r="1836" spans="1:8">
      <c r="A1836" s="34">
        <v>2084259142</v>
      </c>
      <c r="B1836" s="35" t="s">
        <v>462</v>
      </c>
      <c r="C1836" s="35" t="s">
        <v>405</v>
      </c>
      <c r="D1836" s="35" t="s">
        <v>669</v>
      </c>
      <c r="E1836" s="35" t="s">
        <v>680</v>
      </c>
    </row>
    <row r="1837" spans="1:8">
      <c r="A1837" s="34">
        <v>2084238781</v>
      </c>
      <c r="B1837" s="35" t="s">
        <v>462</v>
      </c>
      <c r="C1837" s="35" t="s">
        <v>405</v>
      </c>
      <c r="D1837" s="35" t="s">
        <v>669</v>
      </c>
      <c r="E1837" s="35" t="s">
        <v>681</v>
      </c>
    </row>
    <row r="1838" spans="1:8">
      <c r="A1838" s="34">
        <v>2084054917</v>
      </c>
      <c r="B1838" s="35" t="s">
        <v>462</v>
      </c>
      <c r="C1838" s="35" t="s">
        <v>405</v>
      </c>
      <c r="D1838" s="35" t="s">
        <v>669</v>
      </c>
      <c r="E1838" s="35" t="s">
        <v>682</v>
      </c>
      <c r="F1838" s="35" t="s">
        <v>390</v>
      </c>
      <c r="G1838" s="35" t="s">
        <v>367</v>
      </c>
    </row>
    <row r="1839" spans="1:8">
      <c r="A1839" s="34">
        <v>2084054921</v>
      </c>
      <c r="B1839" s="35" t="s">
        <v>462</v>
      </c>
      <c r="C1839" s="35" t="s">
        <v>405</v>
      </c>
      <c r="D1839" s="35" t="s">
        <v>669</v>
      </c>
      <c r="E1839" s="35" t="s">
        <v>682</v>
      </c>
      <c r="F1839" s="35" t="s">
        <v>390</v>
      </c>
      <c r="G1839" s="35" t="s">
        <v>368</v>
      </c>
      <c r="H1839" s="35" t="s">
        <v>481</v>
      </c>
    </row>
    <row r="1840" spans="1:8">
      <c r="A1840" s="34">
        <v>2084054920</v>
      </c>
      <c r="B1840" s="35" t="s">
        <v>462</v>
      </c>
      <c r="C1840" s="35" t="s">
        <v>405</v>
      </c>
      <c r="D1840" s="35" t="s">
        <v>669</v>
      </c>
      <c r="E1840" s="35" t="s">
        <v>682</v>
      </c>
      <c r="F1840" s="35" t="s">
        <v>390</v>
      </c>
      <c r="G1840" s="35" t="s">
        <v>368</v>
      </c>
      <c r="H1840" s="35" t="s">
        <v>482</v>
      </c>
    </row>
    <row r="1841" spans="1:8">
      <c r="A1841" s="34">
        <v>2084054922</v>
      </c>
      <c r="B1841" s="35" t="s">
        <v>462</v>
      </c>
      <c r="C1841" s="35" t="s">
        <v>405</v>
      </c>
      <c r="D1841" s="35" t="s">
        <v>669</v>
      </c>
      <c r="E1841" s="35" t="s">
        <v>682</v>
      </c>
      <c r="F1841" s="35" t="s">
        <v>390</v>
      </c>
      <c r="G1841" s="35" t="s">
        <v>368</v>
      </c>
      <c r="H1841" s="35" t="s">
        <v>335</v>
      </c>
    </row>
    <row r="1842" spans="1:8">
      <c r="A1842" s="34">
        <v>2084054928</v>
      </c>
      <c r="B1842" s="35" t="s">
        <v>462</v>
      </c>
      <c r="C1842" s="35" t="s">
        <v>405</v>
      </c>
      <c r="D1842" s="35" t="s">
        <v>669</v>
      </c>
      <c r="E1842" s="35" t="s">
        <v>682</v>
      </c>
      <c r="F1842" s="35" t="s">
        <v>390</v>
      </c>
      <c r="G1842" s="35" t="s">
        <v>10</v>
      </c>
      <c r="H1842" s="35" t="s">
        <v>483</v>
      </c>
    </row>
    <row r="1843" spans="1:8">
      <c r="A1843" s="34">
        <v>2084054925</v>
      </c>
      <c r="B1843" s="35" t="s">
        <v>462</v>
      </c>
      <c r="C1843" s="35" t="s">
        <v>405</v>
      </c>
      <c r="D1843" s="35" t="s">
        <v>669</v>
      </c>
      <c r="E1843" s="35" t="s">
        <v>682</v>
      </c>
      <c r="F1843" s="35" t="s">
        <v>390</v>
      </c>
      <c r="G1843" s="35" t="s">
        <v>10</v>
      </c>
      <c r="H1843" s="35" t="s">
        <v>397</v>
      </c>
    </row>
    <row r="1844" spans="1:8">
      <c r="A1844" s="34">
        <v>2084054927</v>
      </c>
      <c r="B1844" s="35" t="s">
        <v>462</v>
      </c>
      <c r="C1844" s="35" t="s">
        <v>405</v>
      </c>
      <c r="D1844" s="35" t="s">
        <v>669</v>
      </c>
      <c r="E1844" s="35" t="s">
        <v>682</v>
      </c>
      <c r="F1844" s="35" t="s">
        <v>390</v>
      </c>
      <c r="G1844" s="35" t="s">
        <v>10</v>
      </c>
      <c r="H1844" s="35" t="s">
        <v>421</v>
      </c>
    </row>
    <row r="1845" spans="1:8">
      <c r="A1845" s="34">
        <v>2084054924</v>
      </c>
      <c r="B1845" s="35" t="s">
        <v>462</v>
      </c>
      <c r="C1845" s="35" t="s">
        <v>405</v>
      </c>
      <c r="D1845" s="35" t="s">
        <v>669</v>
      </c>
      <c r="E1845" s="35" t="s">
        <v>682</v>
      </c>
      <c r="F1845" s="35" t="s">
        <v>390</v>
      </c>
      <c r="G1845" s="35" t="s">
        <v>10</v>
      </c>
      <c r="H1845" s="35" t="s">
        <v>398</v>
      </c>
    </row>
    <row r="1846" spans="1:8">
      <c r="A1846" s="34">
        <v>2084054926</v>
      </c>
      <c r="B1846" s="35" t="s">
        <v>462</v>
      </c>
      <c r="C1846" s="35" t="s">
        <v>405</v>
      </c>
      <c r="D1846" s="35" t="s">
        <v>669</v>
      </c>
      <c r="E1846" s="35" t="s">
        <v>682</v>
      </c>
      <c r="F1846" s="35" t="s">
        <v>390</v>
      </c>
      <c r="G1846" s="35" t="s">
        <v>10</v>
      </c>
      <c r="H1846" s="35" t="s">
        <v>422</v>
      </c>
    </row>
    <row r="1847" spans="1:8">
      <c r="A1847" s="34">
        <v>2084054929</v>
      </c>
      <c r="B1847" s="35" t="s">
        <v>462</v>
      </c>
      <c r="C1847" s="35" t="s">
        <v>405</v>
      </c>
      <c r="D1847" s="35" t="s">
        <v>669</v>
      </c>
      <c r="E1847" s="35" t="s">
        <v>682</v>
      </c>
      <c r="F1847" s="35" t="s">
        <v>390</v>
      </c>
      <c r="G1847" s="35" t="s">
        <v>10</v>
      </c>
      <c r="H1847" s="35" t="s">
        <v>335</v>
      </c>
    </row>
    <row r="1848" spans="1:8">
      <c r="A1848" s="34">
        <v>2084054931</v>
      </c>
      <c r="B1848" s="35" t="s">
        <v>462</v>
      </c>
      <c r="C1848" s="35" t="s">
        <v>405</v>
      </c>
      <c r="D1848" s="35" t="s">
        <v>669</v>
      </c>
      <c r="E1848" s="35" t="s">
        <v>682</v>
      </c>
      <c r="F1848" s="35" t="s">
        <v>390</v>
      </c>
      <c r="G1848" s="35" t="s">
        <v>379</v>
      </c>
      <c r="H1848" s="35" t="s">
        <v>476</v>
      </c>
    </row>
    <row r="1849" spans="1:8">
      <c r="A1849" s="34">
        <v>2084054932</v>
      </c>
      <c r="B1849" s="35" t="s">
        <v>462</v>
      </c>
      <c r="C1849" s="35" t="s">
        <v>405</v>
      </c>
      <c r="D1849" s="35" t="s">
        <v>669</v>
      </c>
      <c r="E1849" s="35" t="s">
        <v>682</v>
      </c>
      <c r="F1849" s="35" t="s">
        <v>390</v>
      </c>
      <c r="G1849" s="35" t="s">
        <v>379</v>
      </c>
      <c r="H1849" s="35" t="s">
        <v>335</v>
      </c>
    </row>
    <row r="1850" spans="1:8">
      <c r="A1850" s="34">
        <v>2084054933</v>
      </c>
      <c r="B1850" s="35" t="s">
        <v>462</v>
      </c>
      <c r="C1850" s="35" t="s">
        <v>405</v>
      </c>
      <c r="D1850" s="35" t="s">
        <v>669</v>
      </c>
      <c r="E1850" s="35" t="s">
        <v>682</v>
      </c>
      <c r="F1850" s="35" t="s">
        <v>390</v>
      </c>
      <c r="G1850" s="35" t="s">
        <v>335</v>
      </c>
    </row>
    <row r="1851" spans="1:8">
      <c r="A1851" s="34">
        <v>2084054934</v>
      </c>
      <c r="B1851" s="35" t="s">
        <v>462</v>
      </c>
      <c r="C1851" s="35" t="s">
        <v>405</v>
      </c>
      <c r="D1851" s="35" t="s">
        <v>669</v>
      </c>
      <c r="E1851" s="35" t="s">
        <v>682</v>
      </c>
      <c r="F1851" s="35" t="s">
        <v>335</v>
      </c>
    </row>
    <row r="1852" spans="1:8">
      <c r="A1852" s="34">
        <v>2084226787</v>
      </c>
      <c r="B1852" s="35" t="s">
        <v>462</v>
      </c>
      <c r="C1852" s="35" t="s">
        <v>405</v>
      </c>
      <c r="D1852" s="35" t="s">
        <v>669</v>
      </c>
      <c r="E1852" s="35" t="s">
        <v>683</v>
      </c>
      <c r="F1852" s="35" t="s">
        <v>353</v>
      </c>
      <c r="G1852" s="35" t="s">
        <v>401</v>
      </c>
    </row>
    <row r="1853" spans="1:8">
      <c r="A1853" s="34">
        <v>2084226793</v>
      </c>
      <c r="B1853" s="35" t="s">
        <v>462</v>
      </c>
      <c r="C1853" s="35" t="s">
        <v>405</v>
      </c>
      <c r="D1853" s="35" t="s">
        <v>669</v>
      </c>
      <c r="E1853" s="35" t="s">
        <v>683</v>
      </c>
      <c r="F1853" s="35" t="s">
        <v>353</v>
      </c>
      <c r="G1853" s="35" t="s">
        <v>10</v>
      </c>
      <c r="H1853" s="35" t="s">
        <v>544</v>
      </c>
    </row>
    <row r="1854" spans="1:8">
      <c r="A1854" s="34">
        <v>2084226792</v>
      </c>
      <c r="B1854" s="35" t="s">
        <v>462</v>
      </c>
      <c r="C1854" s="35" t="s">
        <v>405</v>
      </c>
      <c r="D1854" s="35" t="s">
        <v>669</v>
      </c>
      <c r="E1854" s="35" t="s">
        <v>683</v>
      </c>
      <c r="F1854" s="35" t="s">
        <v>353</v>
      </c>
      <c r="G1854" s="35" t="s">
        <v>10</v>
      </c>
      <c r="H1854" s="35" t="s">
        <v>397</v>
      </c>
    </row>
    <row r="1855" spans="1:8">
      <c r="A1855" s="34">
        <v>2084226791</v>
      </c>
      <c r="B1855" s="35" t="s">
        <v>462</v>
      </c>
      <c r="C1855" s="35" t="s">
        <v>405</v>
      </c>
      <c r="D1855" s="35" t="s">
        <v>669</v>
      </c>
      <c r="E1855" s="35" t="s">
        <v>683</v>
      </c>
      <c r="F1855" s="35" t="s">
        <v>353</v>
      </c>
      <c r="G1855" s="35" t="s">
        <v>10</v>
      </c>
      <c r="H1855" s="35" t="s">
        <v>421</v>
      </c>
    </row>
    <row r="1856" spans="1:8">
      <c r="A1856" s="34">
        <v>2084226790</v>
      </c>
      <c r="B1856" s="35" t="s">
        <v>462</v>
      </c>
      <c r="C1856" s="35" t="s">
        <v>405</v>
      </c>
      <c r="D1856" s="35" t="s">
        <v>669</v>
      </c>
      <c r="E1856" s="35" t="s">
        <v>683</v>
      </c>
      <c r="F1856" s="35" t="s">
        <v>353</v>
      </c>
      <c r="G1856" s="35" t="s">
        <v>10</v>
      </c>
      <c r="H1856" s="35" t="s">
        <v>398</v>
      </c>
    </row>
    <row r="1857" spans="1:9">
      <c r="A1857" s="34">
        <v>2084226789</v>
      </c>
      <c r="B1857" s="35" t="s">
        <v>462</v>
      </c>
      <c r="C1857" s="35" t="s">
        <v>405</v>
      </c>
      <c r="D1857" s="35" t="s">
        <v>669</v>
      </c>
      <c r="E1857" s="35" t="s">
        <v>683</v>
      </c>
      <c r="F1857" s="35" t="s">
        <v>353</v>
      </c>
      <c r="G1857" s="35" t="s">
        <v>10</v>
      </c>
      <c r="H1857" s="35" t="s">
        <v>422</v>
      </c>
    </row>
    <row r="1858" spans="1:9">
      <c r="A1858" s="34">
        <v>2084226794</v>
      </c>
      <c r="B1858" s="35" t="s">
        <v>462</v>
      </c>
      <c r="C1858" s="35" t="s">
        <v>405</v>
      </c>
      <c r="D1858" s="35" t="s">
        <v>669</v>
      </c>
      <c r="E1858" s="35" t="s">
        <v>683</v>
      </c>
      <c r="F1858" s="35" t="s">
        <v>353</v>
      </c>
      <c r="G1858" s="35" t="s">
        <v>10</v>
      </c>
      <c r="H1858" s="35" t="s">
        <v>335</v>
      </c>
    </row>
    <row r="1859" spans="1:9">
      <c r="A1859" s="34">
        <v>2084226797</v>
      </c>
      <c r="B1859" s="35" t="s">
        <v>462</v>
      </c>
      <c r="C1859" s="35" t="s">
        <v>405</v>
      </c>
      <c r="D1859" s="35" t="s">
        <v>669</v>
      </c>
      <c r="E1859" s="35" t="s">
        <v>683</v>
      </c>
      <c r="F1859" s="35" t="s">
        <v>353</v>
      </c>
      <c r="G1859" s="35" t="s">
        <v>379</v>
      </c>
      <c r="H1859" s="35" t="s">
        <v>557</v>
      </c>
      <c r="I1859" s="35" t="s">
        <v>684</v>
      </c>
    </row>
    <row r="1860" spans="1:9">
      <c r="A1860" s="34">
        <v>2084226798</v>
      </c>
      <c r="B1860" s="35" t="s">
        <v>462</v>
      </c>
      <c r="C1860" s="35" t="s">
        <v>405</v>
      </c>
      <c r="D1860" s="35" t="s">
        <v>669</v>
      </c>
      <c r="E1860" s="35" t="s">
        <v>683</v>
      </c>
      <c r="F1860" s="35" t="s">
        <v>353</v>
      </c>
      <c r="G1860" s="35" t="s">
        <v>379</v>
      </c>
      <c r="H1860" s="35" t="s">
        <v>557</v>
      </c>
      <c r="I1860" s="35" t="s">
        <v>685</v>
      </c>
    </row>
    <row r="1861" spans="1:9">
      <c r="A1861" s="34">
        <v>2084226799</v>
      </c>
      <c r="B1861" s="35" t="s">
        <v>462</v>
      </c>
      <c r="C1861" s="35" t="s">
        <v>405</v>
      </c>
      <c r="D1861" s="35" t="s">
        <v>669</v>
      </c>
      <c r="E1861" s="35" t="s">
        <v>683</v>
      </c>
      <c r="F1861" s="35" t="s">
        <v>353</v>
      </c>
      <c r="G1861" s="35" t="s">
        <v>379</v>
      </c>
      <c r="H1861" s="35" t="s">
        <v>557</v>
      </c>
      <c r="I1861" s="35" t="s">
        <v>686</v>
      </c>
    </row>
    <row r="1862" spans="1:9">
      <c r="A1862" s="34">
        <v>2084226800</v>
      </c>
      <c r="B1862" s="35" t="s">
        <v>462</v>
      </c>
      <c r="C1862" s="35" t="s">
        <v>405</v>
      </c>
      <c r="D1862" s="35" t="s">
        <v>669</v>
      </c>
      <c r="E1862" s="35" t="s">
        <v>683</v>
      </c>
      <c r="F1862" s="35" t="s">
        <v>353</v>
      </c>
      <c r="G1862" s="35" t="s">
        <v>379</v>
      </c>
      <c r="H1862" s="35" t="s">
        <v>557</v>
      </c>
      <c r="I1862" s="35" t="s">
        <v>687</v>
      </c>
    </row>
    <row r="1863" spans="1:9">
      <c r="A1863" s="34">
        <v>2084226801</v>
      </c>
      <c r="B1863" s="35" t="s">
        <v>462</v>
      </c>
      <c r="C1863" s="35" t="s">
        <v>405</v>
      </c>
      <c r="D1863" s="35" t="s">
        <v>669</v>
      </c>
      <c r="E1863" s="35" t="s">
        <v>683</v>
      </c>
      <c r="F1863" s="35" t="s">
        <v>353</v>
      </c>
      <c r="G1863" s="35" t="s">
        <v>379</v>
      </c>
      <c r="H1863" s="35" t="s">
        <v>557</v>
      </c>
      <c r="I1863" s="35" t="s">
        <v>688</v>
      </c>
    </row>
    <row r="1864" spans="1:9">
      <c r="A1864" s="34">
        <v>2084226802</v>
      </c>
      <c r="B1864" s="35" t="s">
        <v>462</v>
      </c>
      <c r="C1864" s="35" t="s">
        <v>405</v>
      </c>
      <c r="D1864" s="35" t="s">
        <v>669</v>
      </c>
      <c r="E1864" s="35" t="s">
        <v>683</v>
      </c>
      <c r="F1864" s="35" t="s">
        <v>353</v>
      </c>
      <c r="G1864" s="35" t="s">
        <v>379</v>
      </c>
      <c r="H1864" s="35" t="s">
        <v>557</v>
      </c>
      <c r="I1864" s="35" t="s">
        <v>689</v>
      </c>
    </row>
    <row r="1865" spans="1:9">
      <c r="A1865" s="34">
        <v>2084226803</v>
      </c>
      <c r="B1865" s="35" t="s">
        <v>462</v>
      </c>
      <c r="C1865" s="35" t="s">
        <v>405</v>
      </c>
      <c r="D1865" s="35" t="s">
        <v>669</v>
      </c>
      <c r="E1865" s="35" t="s">
        <v>683</v>
      </c>
      <c r="F1865" s="35" t="s">
        <v>353</v>
      </c>
      <c r="G1865" s="35" t="s">
        <v>379</v>
      </c>
      <c r="H1865" s="35" t="s">
        <v>335</v>
      </c>
    </row>
    <row r="1866" spans="1:9">
      <c r="A1866" s="34">
        <v>2084226804</v>
      </c>
      <c r="B1866" s="35" t="s">
        <v>462</v>
      </c>
      <c r="C1866" s="35" t="s">
        <v>405</v>
      </c>
      <c r="D1866" s="35" t="s">
        <v>669</v>
      </c>
      <c r="E1866" s="35" t="s">
        <v>683</v>
      </c>
      <c r="F1866" s="35" t="s">
        <v>353</v>
      </c>
      <c r="G1866" s="35" t="s">
        <v>335</v>
      </c>
    </row>
    <row r="1867" spans="1:9">
      <c r="A1867" s="34">
        <v>2084226805</v>
      </c>
      <c r="B1867" s="35" t="s">
        <v>462</v>
      </c>
      <c r="C1867" s="35" t="s">
        <v>405</v>
      </c>
      <c r="D1867" s="35" t="s">
        <v>669</v>
      </c>
      <c r="E1867" s="35" t="s">
        <v>683</v>
      </c>
      <c r="F1867" s="35" t="s">
        <v>407</v>
      </c>
    </row>
    <row r="1868" spans="1:9">
      <c r="A1868" s="34">
        <v>2084226806</v>
      </c>
      <c r="B1868" s="35" t="s">
        <v>462</v>
      </c>
      <c r="C1868" s="35" t="s">
        <v>405</v>
      </c>
      <c r="D1868" s="35" t="s">
        <v>669</v>
      </c>
      <c r="E1868" s="35" t="s">
        <v>683</v>
      </c>
      <c r="F1868" s="35" t="s">
        <v>335</v>
      </c>
    </row>
    <row r="1869" spans="1:9">
      <c r="A1869" s="34">
        <v>2084028230</v>
      </c>
      <c r="B1869" s="35" t="s">
        <v>462</v>
      </c>
      <c r="C1869" s="35" t="s">
        <v>405</v>
      </c>
      <c r="D1869" s="35" t="s">
        <v>669</v>
      </c>
      <c r="E1869" s="35" t="s">
        <v>690</v>
      </c>
      <c r="F1869" s="35" t="s">
        <v>390</v>
      </c>
      <c r="G1869" s="35" t="s">
        <v>367</v>
      </c>
    </row>
    <row r="1870" spans="1:9">
      <c r="A1870" s="34">
        <v>2084028782</v>
      </c>
      <c r="B1870" s="35" t="s">
        <v>462</v>
      </c>
      <c r="C1870" s="35" t="s">
        <v>405</v>
      </c>
      <c r="D1870" s="35" t="s">
        <v>669</v>
      </c>
      <c r="E1870" s="35" t="s">
        <v>690</v>
      </c>
      <c r="F1870" s="35" t="s">
        <v>390</v>
      </c>
      <c r="G1870" s="35" t="s">
        <v>368</v>
      </c>
      <c r="H1870" s="35" t="s">
        <v>508</v>
      </c>
    </row>
    <row r="1871" spans="1:9">
      <c r="A1871" s="34">
        <v>2084029315</v>
      </c>
      <c r="B1871" s="35" t="s">
        <v>462</v>
      </c>
      <c r="C1871" s="35" t="s">
        <v>405</v>
      </c>
      <c r="D1871" s="35" t="s">
        <v>669</v>
      </c>
      <c r="E1871" s="35" t="s">
        <v>690</v>
      </c>
      <c r="F1871" s="35" t="s">
        <v>390</v>
      </c>
      <c r="G1871" s="35" t="s">
        <v>368</v>
      </c>
      <c r="H1871" s="35" t="s">
        <v>481</v>
      </c>
    </row>
    <row r="1872" spans="1:9">
      <c r="A1872" s="34">
        <v>2084029866</v>
      </c>
      <c r="B1872" s="35" t="s">
        <v>462</v>
      </c>
      <c r="C1872" s="35" t="s">
        <v>405</v>
      </c>
      <c r="D1872" s="35" t="s">
        <v>669</v>
      </c>
      <c r="E1872" s="35" t="s">
        <v>690</v>
      </c>
      <c r="F1872" s="35" t="s">
        <v>390</v>
      </c>
      <c r="G1872" s="35" t="s">
        <v>368</v>
      </c>
      <c r="H1872" s="35" t="s">
        <v>494</v>
      </c>
    </row>
    <row r="1873" spans="1:8">
      <c r="A1873" s="34">
        <v>2084058727</v>
      </c>
      <c r="B1873" s="35" t="s">
        <v>462</v>
      </c>
      <c r="C1873" s="35" t="s">
        <v>405</v>
      </c>
      <c r="D1873" s="35" t="s">
        <v>669</v>
      </c>
      <c r="E1873" s="35" t="s">
        <v>690</v>
      </c>
      <c r="F1873" s="35" t="s">
        <v>390</v>
      </c>
      <c r="G1873" s="35" t="s">
        <v>368</v>
      </c>
      <c r="H1873" s="35" t="s">
        <v>335</v>
      </c>
    </row>
    <row r="1874" spans="1:8">
      <c r="A1874" s="34">
        <v>2084027331</v>
      </c>
      <c r="B1874" s="35" t="s">
        <v>462</v>
      </c>
      <c r="C1874" s="35" t="s">
        <v>405</v>
      </c>
      <c r="D1874" s="35" t="s">
        <v>669</v>
      </c>
      <c r="E1874" s="35" t="s">
        <v>690</v>
      </c>
      <c r="F1874" s="35" t="s">
        <v>390</v>
      </c>
      <c r="G1874" s="35" t="s">
        <v>10</v>
      </c>
      <c r="H1874" s="35" t="s">
        <v>509</v>
      </c>
    </row>
    <row r="1875" spans="1:8">
      <c r="A1875" s="34">
        <v>2084027824</v>
      </c>
      <c r="B1875" s="35" t="s">
        <v>462</v>
      </c>
      <c r="C1875" s="35" t="s">
        <v>405</v>
      </c>
      <c r="D1875" s="35" t="s">
        <v>669</v>
      </c>
      <c r="E1875" s="35" t="s">
        <v>690</v>
      </c>
      <c r="F1875" s="35" t="s">
        <v>390</v>
      </c>
      <c r="G1875" s="35" t="s">
        <v>10</v>
      </c>
      <c r="H1875" s="35" t="s">
        <v>510</v>
      </c>
    </row>
    <row r="1876" spans="1:8">
      <c r="A1876" s="34">
        <v>2084027856</v>
      </c>
      <c r="B1876" s="35" t="s">
        <v>462</v>
      </c>
      <c r="C1876" s="35" t="s">
        <v>405</v>
      </c>
      <c r="D1876" s="35" t="s">
        <v>669</v>
      </c>
      <c r="E1876" s="35" t="s">
        <v>690</v>
      </c>
      <c r="F1876" s="35" t="s">
        <v>390</v>
      </c>
      <c r="G1876" s="35" t="s">
        <v>10</v>
      </c>
      <c r="H1876" s="35" t="s">
        <v>511</v>
      </c>
    </row>
    <row r="1877" spans="1:8">
      <c r="A1877" s="34">
        <v>2084027936</v>
      </c>
      <c r="B1877" s="35" t="s">
        <v>462</v>
      </c>
      <c r="C1877" s="35" t="s">
        <v>405</v>
      </c>
      <c r="D1877" s="35" t="s">
        <v>669</v>
      </c>
      <c r="E1877" s="35" t="s">
        <v>690</v>
      </c>
      <c r="F1877" s="35" t="s">
        <v>390</v>
      </c>
      <c r="G1877" s="35" t="s">
        <v>10</v>
      </c>
      <c r="H1877" s="35" t="s">
        <v>493</v>
      </c>
    </row>
    <row r="1878" spans="1:8">
      <c r="A1878" s="34">
        <v>2084027455</v>
      </c>
      <c r="B1878" s="35" t="s">
        <v>462</v>
      </c>
      <c r="C1878" s="35" t="s">
        <v>405</v>
      </c>
      <c r="D1878" s="35" t="s">
        <v>669</v>
      </c>
      <c r="E1878" s="35" t="s">
        <v>690</v>
      </c>
      <c r="F1878" s="35" t="s">
        <v>390</v>
      </c>
      <c r="G1878" s="35" t="s">
        <v>10</v>
      </c>
      <c r="H1878" s="35" t="s">
        <v>512</v>
      </c>
    </row>
    <row r="1879" spans="1:8">
      <c r="A1879" s="34">
        <v>2084027622</v>
      </c>
      <c r="B1879" s="35" t="s">
        <v>462</v>
      </c>
      <c r="C1879" s="35" t="s">
        <v>405</v>
      </c>
      <c r="D1879" s="35" t="s">
        <v>669</v>
      </c>
      <c r="E1879" s="35" t="s">
        <v>690</v>
      </c>
      <c r="F1879" s="35" t="s">
        <v>390</v>
      </c>
      <c r="G1879" s="35" t="s">
        <v>10</v>
      </c>
      <c r="H1879" s="35" t="s">
        <v>513</v>
      </c>
    </row>
    <row r="1880" spans="1:8">
      <c r="A1880" s="34">
        <v>2084027966</v>
      </c>
      <c r="B1880" s="35" t="s">
        <v>462</v>
      </c>
      <c r="C1880" s="35" t="s">
        <v>405</v>
      </c>
      <c r="D1880" s="35" t="s">
        <v>669</v>
      </c>
      <c r="E1880" s="35" t="s">
        <v>690</v>
      </c>
      <c r="F1880" s="35" t="s">
        <v>390</v>
      </c>
      <c r="G1880" s="35" t="s">
        <v>10</v>
      </c>
      <c r="H1880" s="35" t="s">
        <v>420</v>
      </c>
    </row>
    <row r="1881" spans="1:8">
      <c r="A1881" s="34">
        <v>2084027244</v>
      </c>
      <c r="B1881" s="35" t="s">
        <v>462</v>
      </c>
      <c r="C1881" s="35" t="s">
        <v>405</v>
      </c>
      <c r="D1881" s="35" t="s">
        <v>669</v>
      </c>
      <c r="E1881" s="35" t="s">
        <v>690</v>
      </c>
      <c r="F1881" s="35" t="s">
        <v>390</v>
      </c>
      <c r="G1881" s="35" t="s">
        <v>10</v>
      </c>
      <c r="H1881" s="35" t="s">
        <v>514</v>
      </c>
    </row>
    <row r="1882" spans="1:8">
      <c r="A1882" s="34">
        <v>2084027420</v>
      </c>
      <c r="B1882" s="35" t="s">
        <v>462</v>
      </c>
      <c r="C1882" s="35" t="s">
        <v>405</v>
      </c>
      <c r="D1882" s="35" t="s">
        <v>669</v>
      </c>
      <c r="E1882" s="35" t="s">
        <v>690</v>
      </c>
      <c r="F1882" s="35" t="s">
        <v>390</v>
      </c>
      <c r="G1882" s="35" t="s">
        <v>10</v>
      </c>
      <c r="H1882" s="35" t="s">
        <v>515</v>
      </c>
    </row>
    <row r="1883" spans="1:8">
      <c r="A1883" s="34">
        <v>2084027539</v>
      </c>
      <c r="B1883" s="35" t="s">
        <v>462</v>
      </c>
      <c r="C1883" s="35" t="s">
        <v>405</v>
      </c>
      <c r="D1883" s="35" t="s">
        <v>669</v>
      </c>
      <c r="E1883" s="35" t="s">
        <v>690</v>
      </c>
      <c r="F1883" s="35" t="s">
        <v>390</v>
      </c>
      <c r="G1883" s="35" t="s">
        <v>10</v>
      </c>
      <c r="H1883" s="35" t="s">
        <v>421</v>
      </c>
    </row>
    <row r="1884" spans="1:8">
      <c r="A1884" s="34">
        <v>2084027700</v>
      </c>
      <c r="B1884" s="35" t="s">
        <v>462</v>
      </c>
      <c r="C1884" s="35" t="s">
        <v>405</v>
      </c>
      <c r="D1884" s="35" t="s">
        <v>669</v>
      </c>
      <c r="E1884" s="35" t="s">
        <v>690</v>
      </c>
      <c r="F1884" s="35" t="s">
        <v>390</v>
      </c>
      <c r="G1884" s="35" t="s">
        <v>10</v>
      </c>
      <c r="H1884" s="35" t="s">
        <v>516</v>
      </c>
    </row>
    <row r="1885" spans="1:8">
      <c r="A1885" s="34">
        <v>2084027217</v>
      </c>
      <c r="B1885" s="35" t="s">
        <v>462</v>
      </c>
      <c r="C1885" s="35" t="s">
        <v>405</v>
      </c>
      <c r="D1885" s="35" t="s">
        <v>669</v>
      </c>
      <c r="E1885" s="35" t="s">
        <v>690</v>
      </c>
      <c r="F1885" s="35" t="s">
        <v>390</v>
      </c>
      <c r="G1885" s="35" t="s">
        <v>10</v>
      </c>
      <c r="H1885" s="35" t="s">
        <v>517</v>
      </c>
    </row>
    <row r="1886" spans="1:8">
      <c r="A1886" s="34">
        <v>2084027386</v>
      </c>
      <c r="B1886" s="35" t="s">
        <v>462</v>
      </c>
      <c r="C1886" s="35" t="s">
        <v>405</v>
      </c>
      <c r="D1886" s="35" t="s">
        <v>669</v>
      </c>
      <c r="E1886" s="35" t="s">
        <v>690</v>
      </c>
      <c r="F1886" s="35" t="s">
        <v>390</v>
      </c>
      <c r="G1886" s="35" t="s">
        <v>10</v>
      </c>
      <c r="H1886" s="35" t="s">
        <v>518</v>
      </c>
    </row>
    <row r="1887" spans="1:8">
      <c r="A1887" s="34">
        <v>2084027589</v>
      </c>
      <c r="B1887" s="35" t="s">
        <v>462</v>
      </c>
      <c r="C1887" s="35" t="s">
        <v>405</v>
      </c>
      <c r="D1887" s="35" t="s">
        <v>669</v>
      </c>
      <c r="E1887" s="35" t="s">
        <v>690</v>
      </c>
      <c r="F1887" s="35" t="s">
        <v>390</v>
      </c>
      <c r="G1887" s="35" t="s">
        <v>10</v>
      </c>
      <c r="H1887" s="35" t="s">
        <v>422</v>
      </c>
    </row>
    <row r="1888" spans="1:8">
      <c r="A1888" s="34">
        <v>2084027750</v>
      </c>
      <c r="B1888" s="35" t="s">
        <v>462</v>
      </c>
      <c r="C1888" s="35" t="s">
        <v>405</v>
      </c>
      <c r="D1888" s="35" t="s">
        <v>669</v>
      </c>
      <c r="E1888" s="35" t="s">
        <v>690</v>
      </c>
      <c r="F1888" s="35" t="s">
        <v>390</v>
      </c>
      <c r="G1888" s="35" t="s">
        <v>10</v>
      </c>
      <c r="H1888" s="35" t="s">
        <v>519</v>
      </c>
    </row>
    <row r="1889" spans="1:8">
      <c r="A1889" s="34">
        <v>2084058729</v>
      </c>
      <c r="B1889" s="35" t="s">
        <v>462</v>
      </c>
      <c r="C1889" s="35" t="s">
        <v>405</v>
      </c>
      <c r="D1889" s="35" t="s">
        <v>669</v>
      </c>
      <c r="E1889" s="35" t="s">
        <v>690</v>
      </c>
      <c r="F1889" s="35" t="s">
        <v>390</v>
      </c>
      <c r="G1889" s="35" t="s">
        <v>10</v>
      </c>
      <c r="H1889" s="35" t="s">
        <v>335</v>
      </c>
    </row>
    <row r="1890" spans="1:8">
      <c r="A1890" s="34">
        <v>2084028061</v>
      </c>
      <c r="B1890" s="35" t="s">
        <v>462</v>
      </c>
      <c r="C1890" s="35" t="s">
        <v>405</v>
      </c>
      <c r="D1890" s="35" t="s">
        <v>669</v>
      </c>
      <c r="E1890" s="35" t="s">
        <v>690</v>
      </c>
      <c r="F1890" s="35" t="s">
        <v>390</v>
      </c>
      <c r="G1890" s="35" t="s">
        <v>379</v>
      </c>
      <c r="H1890" s="35" t="s">
        <v>521</v>
      </c>
    </row>
    <row r="1891" spans="1:8">
      <c r="A1891" s="34">
        <v>2084028161</v>
      </c>
      <c r="B1891" s="35" t="s">
        <v>462</v>
      </c>
      <c r="C1891" s="35" t="s">
        <v>405</v>
      </c>
      <c r="D1891" s="35" t="s">
        <v>669</v>
      </c>
      <c r="E1891" s="35" t="s">
        <v>690</v>
      </c>
      <c r="F1891" s="35" t="s">
        <v>390</v>
      </c>
      <c r="G1891" s="35" t="s">
        <v>379</v>
      </c>
      <c r="H1891" s="35" t="s">
        <v>522</v>
      </c>
    </row>
    <row r="1892" spans="1:8">
      <c r="A1892" s="34">
        <v>2084028434</v>
      </c>
      <c r="B1892" s="35" t="s">
        <v>462</v>
      </c>
      <c r="C1892" s="35" t="s">
        <v>405</v>
      </c>
      <c r="D1892" s="35" t="s">
        <v>669</v>
      </c>
      <c r="E1892" s="35" t="s">
        <v>690</v>
      </c>
      <c r="F1892" s="35" t="s">
        <v>390</v>
      </c>
      <c r="G1892" s="35" t="s">
        <v>379</v>
      </c>
      <c r="H1892" s="35" t="s">
        <v>523</v>
      </c>
    </row>
    <row r="1893" spans="1:8">
      <c r="A1893" s="34">
        <v>2084028100</v>
      </c>
      <c r="B1893" s="35" t="s">
        <v>462</v>
      </c>
      <c r="C1893" s="35" t="s">
        <v>405</v>
      </c>
      <c r="D1893" s="35" t="s">
        <v>669</v>
      </c>
      <c r="E1893" s="35" t="s">
        <v>690</v>
      </c>
      <c r="F1893" s="35" t="s">
        <v>390</v>
      </c>
      <c r="G1893" s="35" t="s">
        <v>379</v>
      </c>
      <c r="H1893" s="35" t="s">
        <v>524</v>
      </c>
    </row>
    <row r="1894" spans="1:8">
      <c r="A1894" s="34">
        <v>2084028266</v>
      </c>
      <c r="B1894" s="35" t="s">
        <v>462</v>
      </c>
      <c r="C1894" s="35" t="s">
        <v>405</v>
      </c>
      <c r="D1894" s="35" t="s">
        <v>669</v>
      </c>
      <c r="E1894" s="35" t="s">
        <v>690</v>
      </c>
      <c r="F1894" s="35" t="s">
        <v>390</v>
      </c>
      <c r="G1894" s="35" t="s">
        <v>379</v>
      </c>
      <c r="H1894" s="35" t="s">
        <v>525</v>
      </c>
    </row>
    <row r="1895" spans="1:8">
      <c r="A1895" s="34">
        <v>2084028468</v>
      </c>
      <c r="B1895" s="35" t="s">
        <v>462</v>
      </c>
      <c r="C1895" s="35" t="s">
        <v>405</v>
      </c>
      <c r="D1895" s="35" t="s">
        <v>669</v>
      </c>
      <c r="E1895" s="35" t="s">
        <v>690</v>
      </c>
      <c r="F1895" s="35" t="s">
        <v>390</v>
      </c>
      <c r="G1895" s="35" t="s">
        <v>379</v>
      </c>
      <c r="H1895" s="35" t="s">
        <v>526</v>
      </c>
    </row>
    <row r="1896" spans="1:8">
      <c r="A1896" s="34">
        <v>2084028291</v>
      </c>
      <c r="B1896" s="35" t="s">
        <v>462</v>
      </c>
      <c r="C1896" s="35" t="s">
        <v>405</v>
      </c>
      <c r="D1896" s="35" t="s">
        <v>669</v>
      </c>
      <c r="E1896" s="35" t="s">
        <v>690</v>
      </c>
      <c r="F1896" s="35" t="s">
        <v>390</v>
      </c>
      <c r="G1896" s="35" t="s">
        <v>379</v>
      </c>
      <c r="H1896" s="35" t="s">
        <v>527</v>
      </c>
    </row>
    <row r="1897" spans="1:8">
      <c r="A1897" s="34">
        <v>2084028503</v>
      </c>
      <c r="B1897" s="35" t="s">
        <v>462</v>
      </c>
      <c r="C1897" s="35" t="s">
        <v>405</v>
      </c>
      <c r="D1897" s="35" t="s">
        <v>669</v>
      </c>
      <c r="E1897" s="35" t="s">
        <v>690</v>
      </c>
      <c r="F1897" s="35" t="s">
        <v>390</v>
      </c>
      <c r="G1897" s="35" t="s">
        <v>379</v>
      </c>
      <c r="H1897" s="35" t="s">
        <v>528</v>
      </c>
    </row>
    <row r="1898" spans="1:8">
      <c r="A1898" s="34">
        <v>2084028379</v>
      </c>
      <c r="B1898" s="35" t="s">
        <v>462</v>
      </c>
      <c r="C1898" s="35" t="s">
        <v>405</v>
      </c>
      <c r="D1898" s="35" t="s">
        <v>669</v>
      </c>
      <c r="E1898" s="35" t="s">
        <v>690</v>
      </c>
      <c r="F1898" s="35" t="s">
        <v>390</v>
      </c>
      <c r="G1898" s="35" t="s">
        <v>379</v>
      </c>
      <c r="H1898" s="35" t="s">
        <v>529</v>
      </c>
    </row>
    <row r="1899" spans="1:8">
      <c r="A1899" s="34">
        <v>2084058731</v>
      </c>
      <c r="B1899" s="35" t="s">
        <v>462</v>
      </c>
      <c r="C1899" s="35" t="s">
        <v>405</v>
      </c>
      <c r="D1899" s="35" t="s">
        <v>669</v>
      </c>
      <c r="E1899" s="35" t="s">
        <v>690</v>
      </c>
      <c r="F1899" s="35" t="s">
        <v>390</v>
      </c>
      <c r="G1899" s="35" t="s">
        <v>379</v>
      </c>
      <c r="H1899" s="35" t="s">
        <v>335</v>
      </c>
    </row>
    <row r="1900" spans="1:8">
      <c r="A1900" s="34">
        <v>2084028543</v>
      </c>
      <c r="B1900" s="35" t="s">
        <v>462</v>
      </c>
      <c r="C1900" s="35" t="s">
        <v>405</v>
      </c>
      <c r="D1900" s="35" t="s">
        <v>669</v>
      </c>
      <c r="E1900" s="35" t="s">
        <v>690</v>
      </c>
      <c r="F1900" s="35" t="s">
        <v>390</v>
      </c>
      <c r="G1900" s="35" t="s">
        <v>530</v>
      </c>
      <c r="H1900" s="35" t="s">
        <v>531</v>
      </c>
    </row>
    <row r="1901" spans="1:8">
      <c r="A1901" s="34">
        <v>2084028637</v>
      </c>
      <c r="B1901" s="35" t="s">
        <v>462</v>
      </c>
      <c r="C1901" s="35" t="s">
        <v>405</v>
      </c>
      <c r="D1901" s="35" t="s">
        <v>669</v>
      </c>
      <c r="E1901" s="35" t="s">
        <v>690</v>
      </c>
      <c r="F1901" s="35" t="s">
        <v>390</v>
      </c>
      <c r="G1901" s="35" t="s">
        <v>530</v>
      </c>
      <c r="H1901" s="35" t="s">
        <v>532</v>
      </c>
    </row>
    <row r="1902" spans="1:8">
      <c r="A1902" s="34">
        <v>2084058733</v>
      </c>
      <c r="B1902" s="35" t="s">
        <v>462</v>
      </c>
      <c r="C1902" s="35" t="s">
        <v>405</v>
      </c>
      <c r="D1902" s="35" t="s">
        <v>669</v>
      </c>
      <c r="E1902" s="35" t="s">
        <v>690</v>
      </c>
      <c r="F1902" s="35" t="s">
        <v>390</v>
      </c>
      <c r="G1902" s="35" t="s">
        <v>530</v>
      </c>
      <c r="H1902" s="35" t="s">
        <v>335</v>
      </c>
    </row>
    <row r="1903" spans="1:8">
      <c r="A1903" s="34">
        <v>2084058778</v>
      </c>
      <c r="B1903" s="35" t="s">
        <v>462</v>
      </c>
      <c r="C1903" s="35" t="s">
        <v>405</v>
      </c>
      <c r="D1903" s="35" t="s">
        <v>669</v>
      </c>
      <c r="E1903" s="35" t="s">
        <v>690</v>
      </c>
      <c r="F1903" s="35" t="s">
        <v>390</v>
      </c>
      <c r="G1903" s="35" t="s">
        <v>335</v>
      </c>
    </row>
    <row r="1904" spans="1:8">
      <c r="A1904" s="34">
        <v>2084048781</v>
      </c>
      <c r="B1904" s="35" t="s">
        <v>462</v>
      </c>
      <c r="C1904" s="35" t="s">
        <v>405</v>
      </c>
      <c r="D1904" s="35" t="s">
        <v>669</v>
      </c>
      <c r="E1904" s="35" t="s">
        <v>690</v>
      </c>
      <c r="F1904" s="35" t="s">
        <v>335</v>
      </c>
    </row>
    <row r="1905" spans="1:8">
      <c r="A1905" s="34">
        <v>2084055996</v>
      </c>
      <c r="B1905" s="35" t="s">
        <v>462</v>
      </c>
      <c r="C1905" s="35" t="s">
        <v>405</v>
      </c>
      <c r="D1905" s="35" t="s">
        <v>669</v>
      </c>
      <c r="E1905" s="35" t="s">
        <v>691</v>
      </c>
      <c r="F1905" s="35" t="s">
        <v>390</v>
      </c>
      <c r="G1905" s="35" t="s">
        <v>367</v>
      </c>
    </row>
    <row r="1906" spans="1:8">
      <c r="A1906" s="34">
        <v>2084055997</v>
      </c>
      <c r="B1906" s="35" t="s">
        <v>462</v>
      </c>
      <c r="C1906" s="35" t="s">
        <v>405</v>
      </c>
      <c r="D1906" s="35" t="s">
        <v>669</v>
      </c>
      <c r="E1906" s="35" t="s">
        <v>691</v>
      </c>
      <c r="F1906" s="35" t="s">
        <v>390</v>
      </c>
      <c r="G1906" s="35" t="s">
        <v>401</v>
      </c>
    </row>
    <row r="1907" spans="1:8">
      <c r="A1907" s="34">
        <v>2084056001</v>
      </c>
      <c r="B1907" s="35" t="s">
        <v>462</v>
      </c>
      <c r="C1907" s="35" t="s">
        <v>405</v>
      </c>
      <c r="D1907" s="35" t="s">
        <v>669</v>
      </c>
      <c r="E1907" s="35" t="s">
        <v>691</v>
      </c>
      <c r="F1907" s="35" t="s">
        <v>390</v>
      </c>
      <c r="G1907" s="35" t="s">
        <v>10</v>
      </c>
      <c r="H1907" s="35" t="s">
        <v>483</v>
      </c>
    </row>
    <row r="1908" spans="1:8">
      <c r="A1908" s="34">
        <v>2084056005</v>
      </c>
      <c r="B1908" s="35" t="s">
        <v>462</v>
      </c>
      <c r="C1908" s="35" t="s">
        <v>405</v>
      </c>
      <c r="D1908" s="35" t="s">
        <v>669</v>
      </c>
      <c r="E1908" s="35" t="s">
        <v>691</v>
      </c>
      <c r="F1908" s="35" t="s">
        <v>390</v>
      </c>
      <c r="G1908" s="35" t="s">
        <v>10</v>
      </c>
      <c r="H1908" s="35" t="s">
        <v>397</v>
      </c>
    </row>
    <row r="1909" spans="1:8">
      <c r="A1909" s="34">
        <v>2084056004</v>
      </c>
      <c r="B1909" s="35" t="s">
        <v>462</v>
      </c>
      <c r="C1909" s="35" t="s">
        <v>405</v>
      </c>
      <c r="D1909" s="35" t="s">
        <v>669</v>
      </c>
      <c r="E1909" s="35" t="s">
        <v>691</v>
      </c>
      <c r="F1909" s="35" t="s">
        <v>390</v>
      </c>
      <c r="G1909" s="35" t="s">
        <v>10</v>
      </c>
      <c r="H1909" s="35" t="s">
        <v>421</v>
      </c>
    </row>
    <row r="1910" spans="1:8">
      <c r="A1910" s="34">
        <v>2084056002</v>
      </c>
      <c r="B1910" s="35" t="s">
        <v>462</v>
      </c>
      <c r="C1910" s="35" t="s">
        <v>405</v>
      </c>
      <c r="D1910" s="35" t="s">
        <v>669</v>
      </c>
      <c r="E1910" s="35" t="s">
        <v>691</v>
      </c>
      <c r="F1910" s="35" t="s">
        <v>390</v>
      </c>
      <c r="G1910" s="35" t="s">
        <v>10</v>
      </c>
      <c r="H1910" s="35" t="s">
        <v>398</v>
      </c>
    </row>
    <row r="1911" spans="1:8">
      <c r="A1911" s="34">
        <v>2084056003</v>
      </c>
      <c r="B1911" s="35" t="s">
        <v>462</v>
      </c>
      <c r="C1911" s="35" t="s">
        <v>405</v>
      </c>
      <c r="D1911" s="35" t="s">
        <v>669</v>
      </c>
      <c r="E1911" s="35" t="s">
        <v>691</v>
      </c>
      <c r="F1911" s="35" t="s">
        <v>390</v>
      </c>
      <c r="G1911" s="35" t="s">
        <v>10</v>
      </c>
      <c r="H1911" s="35" t="s">
        <v>422</v>
      </c>
    </row>
    <row r="1912" spans="1:8">
      <c r="A1912" s="34">
        <v>2084056006</v>
      </c>
      <c r="B1912" s="35" t="s">
        <v>462</v>
      </c>
      <c r="C1912" s="35" t="s">
        <v>405</v>
      </c>
      <c r="D1912" s="35" t="s">
        <v>669</v>
      </c>
      <c r="E1912" s="35" t="s">
        <v>691</v>
      </c>
      <c r="F1912" s="35" t="s">
        <v>390</v>
      </c>
      <c r="G1912" s="35" t="s">
        <v>10</v>
      </c>
      <c r="H1912" s="35" t="s">
        <v>335</v>
      </c>
    </row>
    <row r="1913" spans="1:8">
      <c r="A1913" s="34">
        <v>2084056007</v>
      </c>
      <c r="B1913" s="35" t="s">
        <v>462</v>
      </c>
      <c r="C1913" s="35" t="s">
        <v>405</v>
      </c>
      <c r="D1913" s="35" t="s">
        <v>669</v>
      </c>
      <c r="E1913" s="35" t="s">
        <v>691</v>
      </c>
      <c r="F1913" s="35" t="s">
        <v>390</v>
      </c>
      <c r="G1913" s="35" t="s">
        <v>379</v>
      </c>
      <c r="H1913" s="35" t="s">
        <v>476</v>
      </c>
    </row>
    <row r="1914" spans="1:8">
      <c r="A1914" s="34">
        <v>2084056008</v>
      </c>
      <c r="B1914" s="35" t="s">
        <v>462</v>
      </c>
      <c r="C1914" s="35" t="s">
        <v>405</v>
      </c>
      <c r="D1914" s="35" t="s">
        <v>669</v>
      </c>
      <c r="E1914" s="35" t="s">
        <v>691</v>
      </c>
      <c r="F1914" s="35" t="s">
        <v>390</v>
      </c>
      <c r="G1914" s="35" t="s">
        <v>379</v>
      </c>
      <c r="H1914" s="35" t="s">
        <v>335</v>
      </c>
    </row>
    <row r="1915" spans="1:8">
      <c r="A1915" s="34">
        <v>2084238144</v>
      </c>
      <c r="B1915" s="35" t="s">
        <v>462</v>
      </c>
      <c r="C1915" s="35" t="s">
        <v>405</v>
      </c>
      <c r="D1915" s="35" t="s">
        <v>669</v>
      </c>
      <c r="E1915" s="35" t="s">
        <v>691</v>
      </c>
      <c r="F1915" s="35" t="s">
        <v>390</v>
      </c>
      <c r="G1915" s="35" t="s">
        <v>478</v>
      </c>
    </row>
    <row r="1916" spans="1:8">
      <c r="A1916" s="34">
        <v>2084056000</v>
      </c>
      <c r="B1916" s="35" t="s">
        <v>462</v>
      </c>
      <c r="C1916" s="35" t="s">
        <v>405</v>
      </c>
      <c r="D1916" s="35" t="s">
        <v>669</v>
      </c>
      <c r="E1916" s="35" t="s">
        <v>691</v>
      </c>
      <c r="F1916" s="35" t="s">
        <v>390</v>
      </c>
      <c r="G1916" s="35" t="s">
        <v>335</v>
      </c>
    </row>
    <row r="1917" spans="1:8">
      <c r="A1917" s="34">
        <v>2084055983</v>
      </c>
      <c r="B1917" s="35" t="s">
        <v>462</v>
      </c>
      <c r="C1917" s="35" t="s">
        <v>405</v>
      </c>
      <c r="D1917" s="35" t="s">
        <v>669</v>
      </c>
      <c r="E1917" s="35" t="s">
        <v>691</v>
      </c>
      <c r="F1917" s="35" t="s">
        <v>353</v>
      </c>
      <c r="G1917" s="35" t="s">
        <v>367</v>
      </c>
    </row>
    <row r="1918" spans="1:8">
      <c r="A1918" s="34">
        <v>2084055988</v>
      </c>
      <c r="B1918" s="35" t="s">
        <v>462</v>
      </c>
      <c r="C1918" s="35" t="s">
        <v>405</v>
      </c>
      <c r="D1918" s="35" t="s">
        <v>669</v>
      </c>
      <c r="E1918" s="35" t="s">
        <v>691</v>
      </c>
      <c r="F1918" s="35" t="s">
        <v>353</v>
      </c>
      <c r="G1918" s="35" t="s">
        <v>368</v>
      </c>
      <c r="H1918" s="35" t="s">
        <v>481</v>
      </c>
    </row>
    <row r="1919" spans="1:8">
      <c r="A1919" s="34">
        <v>2084055989</v>
      </c>
      <c r="B1919" s="35" t="s">
        <v>462</v>
      </c>
      <c r="C1919" s="35" t="s">
        <v>405</v>
      </c>
      <c r="D1919" s="35" t="s">
        <v>669</v>
      </c>
      <c r="E1919" s="35" t="s">
        <v>691</v>
      </c>
      <c r="F1919" s="35" t="s">
        <v>353</v>
      </c>
      <c r="G1919" s="35" t="s">
        <v>368</v>
      </c>
      <c r="H1919" s="35" t="s">
        <v>335</v>
      </c>
    </row>
    <row r="1920" spans="1:8">
      <c r="A1920" s="34">
        <v>2084055995</v>
      </c>
      <c r="B1920" s="35" t="s">
        <v>462</v>
      </c>
      <c r="C1920" s="35" t="s">
        <v>405</v>
      </c>
      <c r="D1920" s="35" t="s">
        <v>669</v>
      </c>
      <c r="E1920" s="35" t="s">
        <v>691</v>
      </c>
      <c r="F1920" s="35" t="s">
        <v>353</v>
      </c>
      <c r="G1920" s="35" t="s">
        <v>10</v>
      </c>
      <c r="H1920" s="35" t="s">
        <v>483</v>
      </c>
    </row>
    <row r="1921" spans="1:8">
      <c r="A1921" s="34">
        <v>2084055993</v>
      </c>
      <c r="B1921" s="35" t="s">
        <v>462</v>
      </c>
      <c r="C1921" s="35" t="s">
        <v>405</v>
      </c>
      <c r="D1921" s="35" t="s">
        <v>669</v>
      </c>
      <c r="E1921" s="35" t="s">
        <v>691</v>
      </c>
      <c r="F1921" s="35" t="s">
        <v>353</v>
      </c>
      <c r="G1921" s="35" t="s">
        <v>10</v>
      </c>
      <c r="H1921" s="35" t="s">
        <v>397</v>
      </c>
    </row>
    <row r="1922" spans="1:8">
      <c r="A1922" s="34">
        <v>2084055991</v>
      </c>
      <c r="B1922" s="35" t="s">
        <v>462</v>
      </c>
      <c r="C1922" s="35" t="s">
        <v>405</v>
      </c>
      <c r="D1922" s="35" t="s">
        <v>669</v>
      </c>
      <c r="E1922" s="35" t="s">
        <v>691</v>
      </c>
      <c r="F1922" s="35" t="s">
        <v>353</v>
      </c>
      <c r="G1922" s="35" t="s">
        <v>10</v>
      </c>
      <c r="H1922" s="35" t="s">
        <v>421</v>
      </c>
    </row>
    <row r="1923" spans="1:8">
      <c r="A1923" s="34">
        <v>2084055992</v>
      </c>
      <c r="B1923" s="35" t="s">
        <v>462</v>
      </c>
      <c r="C1923" s="35" t="s">
        <v>405</v>
      </c>
      <c r="D1923" s="35" t="s">
        <v>669</v>
      </c>
      <c r="E1923" s="35" t="s">
        <v>691</v>
      </c>
      <c r="F1923" s="35" t="s">
        <v>353</v>
      </c>
      <c r="G1923" s="35" t="s">
        <v>10</v>
      </c>
      <c r="H1923" s="35" t="s">
        <v>398</v>
      </c>
    </row>
    <row r="1924" spans="1:8">
      <c r="A1924" s="34">
        <v>2084055990</v>
      </c>
      <c r="B1924" s="35" t="s">
        <v>462</v>
      </c>
      <c r="C1924" s="35" t="s">
        <v>405</v>
      </c>
      <c r="D1924" s="35" t="s">
        <v>669</v>
      </c>
      <c r="E1924" s="35" t="s">
        <v>691</v>
      </c>
      <c r="F1924" s="35" t="s">
        <v>353</v>
      </c>
      <c r="G1924" s="35" t="s">
        <v>10</v>
      </c>
      <c r="H1924" s="35" t="s">
        <v>422</v>
      </c>
    </row>
    <row r="1925" spans="1:8">
      <c r="A1925" s="34">
        <v>2084055994</v>
      </c>
      <c r="B1925" s="35" t="s">
        <v>462</v>
      </c>
      <c r="C1925" s="35" t="s">
        <v>405</v>
      </c>
      <c r="D1925" s="35" t="s">
        <v>669</v>
      </c>
      <c r="E1925" s="35" t="s">
        <v>691</v>
      </c>
      <c r="F1925" s="35" t="s">
        <v>353</v>
      </c>
      <c r="G1925" s="35" t="s">
        <v>10</v>
      </c>
      <c r="H1925" s="35" t="s">
        <v>335</v>
      </c>
    </row>
    <row r="1926" spans="1:8">
      <c r="A1926" s="34">
        <v>2084055986</v>
      </c>
      <c r="B1926" s="35" t="s">
        <v>462</v>
      </c>
      <c r="C1926" s="35" t="s">
        <v>405</v>
      </c>
      <c r="D1926" s="35" t="s">
        <v>669</v>
      </c>
      <c r="E1926" s="35" t="s">
        <v>691</v>
      </c>
      <c r="F1926" s="35" t="s">
        <v>353</v>
      </c>
      <c r="G1926" s="35" t="s">
        <v>403</v>
      </c>
    </row>
    <row r="1927" spans="1:8">
      <c r="A1927" s="34">
        <v>2084238143</v>
      </c>
      <c r="B1927" s="35" t="s">
        <v>462</v>
      </c>
      <c r="C1927" s="35" t="s">
        <v>405</v>
      </c>
      <c r="D1927" s="35" t="s">
        <v>669</v>
      </c>
      <c r="E1927" s="35" t="s">
        <v>691</v>
      </c>
      <c r="F1927" s="35" t="s">
        <v>353</v>
      </c>
      <c r="G1927" s="35" t="s">
        <v>549</v>
      </c>
    </row>
    <row r="1928" spans="1:8">
      <c r="A1928" s="34">
        <v>2084055987</v>
      </c>
      <c r="B1928" s="35" t="s">
        <v>462</v>
      </c>
      <c r="C1928" s="35" t="s">
        <v>405</v>
      </c>
      <c r="D1928" s="35" t="s">
        <v>669</v>
      </c>
      <c r="E1928" s="35" t="s">
        <v>691</v>
      </c>
      <c r="F1928" s="35" t="s">
        <v>353</v>
      </c>
      <c r="G1928" s="35" t="s">
        <v>335</v>
      </c>
    </row>
    <row r="1929" spans="1:8">
      <c r="A1929" s="34">
        <v>2084055982</v>
      </c>
      <c r="B1929" s="35" t="s">
        <v>462</v>
      </c>
      <c r="C1929" s="35" t="s">
        <v>405</v>
      </c>
      <c r="D1929" s="35" t="s">
        <v>669</v>
      </c>
      <c r="E1929" s="35" t="s">
        <v>691</v>
      </c>
      <c r="F1929" s="35" t="s">
        <v>335</v>
      </c>
    </row>
    <row r="1930" spans="1:8">
      <c r="A1930" s="34">
        <v>2084051561</v>
      </c>
      <c r="B1930" s="35" t="s">
        <v>462</v>
      </c>
      <c r="C1930" s="35" t="s">
        <v>405</v>
      </c>
      <c r="D1930" s="35" t="s">
        <v>669</v>
      </c>
      <c r="E1930" s="35" t="s">
        <v>692</v>
      </c>
      <c r="F1930" s="35" t="s">
        <v>475</v>
      </c>
    </row>
    <row r="1931" spans="1:8">
      <c r="A1931" s="34">
        <v>2084051551</v>
      </c>
      <c r="B1931" s="35" t="s">
        <v>462</v>
      </c>
      <c r="C1931" s="35" t="s">
        <v>405</v>
      </c>
      <c r="D1931" s="35" t="s">
        <v>669</v>
      </c>
      <c r="E1931" s="35" t="s">
        <v>692</v>
      </c>
      <c r="F1931" s="35" t="s">
        <v>390</v>
      </c>
      <c r="G1931" s="35" t="s">
        <v>368</v>
      </c>
      <c r="H1931" s="35" t="s">
        <v>481</v>
      </c>
    </row>
    <row r="1932" spans="1:8">
      <c r="A1932" s="34">
        <v>2084051553</v>
      </c>
      <c r="B1932" s="35" t="s">
        <v>462</v>
      </c>
      <c r="C1932" s="35" t="s">
        <v>405</v>
      </c>
      <c r="D1932" s="35" t="s">
        <v>669</v>
      </c>
      <c r="E1932" s="35" t="s">
        <v>692</v>
      </c>
      <c r="F1932" s="35" t="s">
        <v>390</v>
      </c>
      <c r="G1932" s="35" t="s">
        <v>368</v>
      </c>
      <c r="H1932" s="35" t="s">
        <v>335</v>
      </c>
    </row>
    <row r="1933" spans="1:8">
      <c r="A1933" s="34">
        <v>2084051556</v>
      </c>
      <c r="B1933" s="35" t="s">
        <v>462</v>
      </c>
      <c r="C1933" s="35" t="s">
        <v>405</v>
      </c>
      <c r="D1933" s="35" t="s">
        <v>669</v>
      </c>
      <c r="E1933" s="35" t="s">
        <v>692</v>
      </c>
      <c r="F1933" s="35" t="s">
        <v>390</v>
      </c>
      <c r="G1933" s="35" t="s">
        <v>10</v>
      </c>
      <c r="H1933" s="35" t="s">
        <v>421</v>
      </c>
    </row>
    <row r="1934" spans="1:8">
      <c r="A1934" s="34">
        <v>2084051555</v>
      </c>
      <c r="B1934" s="35" t="s">
        <v>462</v>
      </c>
      <c r="C1934" s="35" t="s">
        <v>405</v>
      </c>
      <c r="D1934" s="35" t="s">
        <v>669</v>
      </c>
      <c r="E1934" s="35" t="s">
        <v>692</v>
      </c>
      <c r="F1934" s="35" t="s">
        <v>390</v>
      </c>
      <c r="G1934" s="35" t="s">
        <v>10</v>
      </c>
      <c r="H1934" s="35" t="s">
        <v>422</v>
      </c>
    </row>
    <row r="1935" spans="1:8">
      <c r="A1935" s="34">
        <v>2084051557</v>
      </c>
      <c r="B1935" s="35" t="s">
        <v>462</v>
      </c>
      <c r="C1935" s="35" t="s">
        <v>405</v>
      </c>
      <c r="D1935" s="35" t="s">
        <v>669</v>
      </c>
      <c r="E1935" s="35" t="s">
        <v>692</v>
      </c>
      <c r="F1935" s="35" t="s">
        <v>390</v>
      </c>
      <c r="G1935" s="35" t="s">
        <v>10</v>
      </c>
      <c r="H1935" s="35" t="s">
        <v>335</v>
      </c>
    </row>
    <row r="1936" spans="1:8">
      <c r="A1936" s="34">
        <v>2084051559</v>
      </c>
      <c r="B1936" s="35" t="s">
        <v>462</v>
      </c>
      <c r="C1936" s="35" t="s">
        <v>405</v>
      </c>
      <c r="D1936" s="35" t="s">
        <v>669</v>
      </c>
      <c r="E1936" s="35" t="s">
        <v>692</v>
      </c>
      <c r="F1936" s="35" t="s">
        <v>390</v>
      </c>
      <c r="G1936" s="35" t="s">
        <v>379</v>
      </c>
      <c r="H1936" s="35" t="s">
        <v>476</v>
      </c>
    </row>
    <row r="1937" spans="1:8">
      <c r="A1937" s="34">
        <v>2084051560</v>
      </c>
      <c r="B1937" s="35" t="s">
        <v>462</v>
      </c>
      <c r="C1937" s="35" t="s">
        <v>405</v>
      </c>
      <c r="D1937" s="35" t="s">
        <v>669</v>
      </c>
      <c r="E1937" s="35" t="s">
        <v>692</v>
      </c>
      <c r="F1937" s="35" t="s">
        <v>390</v>
      </c>
      <c r="G1937" s="35" t="s">
        <v>379</v>
      </c>
      <c r="H1937" s="35" t="s">
        <v>335</v>
      </c>
    </row>
    <row r="1938" spans="1:8">
      <c r="A1938" s="34">
        <v>2084051552</v>
      </c>
      <c r="B1938" s="35" t="s">
        <v>462</v>
      </c>
      <c r="C1938" s="35" t="s">
        <v>405</v>
      </c>
      <c r="D1938" s="35" t="s">
        <v>669</v>
      </c>
      <c r="E1938" s="35" t="s">
        <v>692</v>
      </c>
      <c r="F1938" s="35" t="s">
        <v>390</v>
      </c>
      <c r="G1938" s="35" t="s">
        <v>335</v>
      </c>
    </row>
    <row r="1939" spans="1:8">
      <c r="A1939" s="34">
        <v>2084030709</v>
      </c>
      <c r="B1939" s="35" t="s">
        <v>462</v>
      </c>
      <c r="C1939" s="35" t="s">
        <v>405</v>
      </c>
      <c r="D1939" s="35" t="s">
        <v>669</v>
      </c>
      <c r="E1939" s="35" t="s">
        <v>692</v>
      </c>
      <c r="F1939" s="35" t="s">
        <v>353</v>
      </c>
      <c r="G1939" s="35" t="s">
        <v>368</v>
      </c>
      <c r="H1939" s="35" t="s">
        <v>481</v>
      </c>
    </row>
    <row r="1940" spans="1:8">
      <c r="A1940" s="34">
        <v>2084031487</v>
      </c>
      <c r="B1940" s="35" t="s">
        <v>462</v>
      </c>
      <c r="C1940" s="35" t="s">
        <v>405</v>
      </c>
      <c r="D1940" s="35" t="s">
        <v>669</v>
      </c>
      <c r="E1940" s="35" t="s">
        <v>692</v>
      </c>
      <c r="F1940" s="35" t="s">
        <v>353</v>
      </c>
      <c r="G1940" s="35" t="s">
        <v>368</v>
      </c>
      <c r="H1940" s="35" t="s">
        <v>482</v>
      </c>
    </row>
    <row r="1941" spans="1:8">
      <c r="A1941" s="34">
        <v>2084051544</v>
      </c>
      <c r="B1941" s="35" t="s">
        <v>462</v>
      </c>
      <c r="C1941" s="35" t="s">
        <v>405</v>
      </c>
      <c r="D1941" s="35" t="s">
        <v>669</v>
      </c>
      <c r="E1941" s="35" t="s">
        <v>692</v>
      </c>
      <c r="F1941" s="35" t="s">
        <v>353</v>
      </c>
      <c r="G1941" s="35" t="s">
        <v>368</v>
      </c>
      <c r="H1941" s="35" t="s">
        <v>335</v>
      </c>
    </row>
    <row r="1942" spans="1:8">
      <c r="A1942" s="34">
        <v>2084031607</v>
      </c>
      <c r="B1942" s="35" t="s">
        <v>462</v>
      </c>
      <c r="C1942" s="35" t="s">
        <v>405</v>
      </c>
      <c r="D1942" s="35" t="s">
        <v>669</v>
      </c>
      <c r="E1942" s="35" t="s">
        <v>692</v>
      </c>
      <c r="F1942" s="35" t="s">
        <v>353</v>
      </c>
      <c r="G1942" s="35" t="s">
        <v>10</v>
      </c>
      <c r="H1942" s="35" t="s">
        <v>483</v>
      </c>
    </row>
    <row r="1943" spans="1:8">
      <c r="A1943" s="34">
        <v>2084030409</v>
      </c>
      <c r="B1943" s="35" t="s">
        <v>462</v>
      </c>
      <c r="C1943" s="35" t="s">
        <v>405</v>
      </c>
      <c r="D1943" s="35" t="s">
        <v>669</v>
      </c>
      <c r="E1943" s="35" t="s">
        <v>692</v>
      </c>
      <c r="F1943" s="35" t="s">
        <v>353</v>
      </c>
      <c r="G1943" s="35" t="s">
        <v>10</v>
      </c>
      <c r="H1943" s="35" t="s">
        <v>421</v>
      </c>
    </row>
    <row r="1944" spans="1:8">
      <c r="A1944" s="34">
        <v>2084030348</v>
      </c>
      <c r="B1944" s="35" t="s">
        <v>462</v>
      </c>
      <c r="C1944" s="35" t="s">
        <v>405</v>
      </c>
      <c r="D1944" s="35" t="s">
        <v>669</v>
      </c>
      <c r="E1944" s="35" t="s">
        <v>692</v>
      </c>
      <c r="F1944" s="35" t="s">
        <v>353</v>
      </c>
      <c r="G1944" s="35" t="s">
        <v>10</v>
      </c>
      <c r="H1944" s="35" t="s">
        <v>422</v>
      </c>
    </row>
    <row r="1945" spans="1:8">
      <c r="A1945" s="34">
        <v>2084051542</v>
      </c>
      <c r="B1945" s="35" t="s">
        <v>462</v>
      </c>
      <c r="C1945" s="35" t="s">
        <v>405</v>
      </c>
      <c r="D1945" s="35" t="s">
        <v>669</v>
      </c>
      <c r="E1945" s="35" t="s">
        <v>692</v>
      </c>
      <c r="F1945" s="35" t="s">
        <v>353</v>
      </c>
      <c r="G1945" s="35" t="s">
        <v>10</v>
      </c>
      <c r="H1945" s="35" t="s">
        <v>335</v>
      </c>
    </row>
    <row r="1946" spans="1:8">
      <c r="A1946" s="34">
        <v>2084051546</v>
      </c>
      <c r="B1946" s="35" t="s">
        <v>462</v>
      </c>
      <c r="C1946" s="35" t="s">
        <v>405</v>
      </c>
      <c r="D1946" s="35" t="s">
        <v>669</v>
      </c>
      <c r="E1946" s="35" t="s">
        <v>692</v>
      </c>
      <c r="F1946" s="35" t="s">
        <v>353</v>
      </c>
      <c r="G1946" s="35" t="s">
        <v>403</v>
      </c>
    </row>
    <row r="1947" spans="1:8">
      <c r="A1947" s="34">
        <v>2084051547</v>
      </c>
      <c r="B1947" s="35" t="s">
        <v>462</v>
      </c>
      <c r="C1947" s="35" t="s">
        <v>405</v>
      </c>
      <c r="D1947" s="35" t="s">
        <v>669</v>
      </c>
      <c r="E1947" s="35" t="s">
        <v>692</v>
      </c>
      <c r="F1947" s="35" t="s">
        <v>353</v>
      </c>
      <c r="G1947" s="35" t="s">
        <v>335</v>
      </c>
    </row>
    <row r="1948" spans="1:8">
      <c r="A1948" s="34">
        <v>2084051548</v>
      </c>
      <c r="B1948" s="35" t="s">
        <v>462</v>
      </c>
      <c r="C1948" s="35" t="s">
        <v>405</v>
      </c>
      <c r="D1948" s="35" t="s">
        <v>669</v>
      </c>
      <c r="E1948" s="35" t="s">
        <v>692</v>
      </c>
      <c r="F1948" s="35" t="s">
        <v>335</v>
      </c>
    </row>
    <row r="1949" spans="1:8">
      <c r="A1949" s="34">
        <v>2084243715</v>
      </c>
      <c r="B1949" s="35" t="s">
        <v>462</v>
      </c>
      <c r="C1949" s="35" t="s">
        <v>405</v>
      </c>
      <c r="D1949" s="35" t="s">
        <v>669</v>
      </c>
      <c r="E1949" s="35" t="s">
        <v>693</v>
      </c>
      <c r="F1949" s="35" t="s">
        <v>407</v>
      </c>
    </row>
    <row r="1950" spans="1:8">
      <c r="A1950" s="34">
        <v>2084308583</v>
      </c>
      <c r="B1950" s="35" t="s">
        <v>462</v>
      </c>
      <c r="C1950" s="35" t="s">
        <v>405</v>
      </c>
      <c r="D1950" s="35" t="s">
        <v>669</v>
      </c>
      <c r="E1950" s="35" t="s">
        <v>693</v>
      </c>
      <c r="F1950" s="35" t="s">
        <v>353</v>
      </c>
      <c r="G1950" s="35" t="s">
        <v>401</v>
      </c>
    </row>
    <row r="1951" spans="1:8">
      <c r="A1951" s="34">
        <v>2084308584</v>
      </c>
      <c r="B1951" s="35" t="s">
        <v>462</v>
      </c>
      <c r="C1951" s="35" t="s">
        <v>405</v>
      </c>
      <c r="D1951" s="35" t="s">
        <v>669</v>
      </c>
      <c r="E1951" s="35" t="s">
        <v>693</v>
      </c>
      <c r="F1951" s="35" t="s">
        <v>353</v>
      </c>
      <c r="G1951" s="35" t="s">
        <v>421</v>
      </c>
    </row>
    <row r="1952" spans="1:8">
      <c r="A1952" s="34">
        <v>2084308585</v>
      </c>
      <c r="B1952" s="35" t="s">
        <v>462</v>
      </c>
      <c r="C1952" s="35" t="s">
        <v>405</v>
      </c>
      <c r="D1952" s="35" t="s">
        <v>669</v>
      </c>
      <c r="E1952" s="35" t="s">
        <v>693</v>
      </c>
      <c r="F1952" s="35" t="s">
        <v>353</v>
      </c>
      <c r="G1952" s="35" t="s">
        <v>422</v>
      </c>
    </row>
    <row r="1953" spans="1:8">
      <c r="A1953" s="34">
        <v>2084308586</v>
      </c>
      <c r="B1953" s="35" t="s">
        <v>462</v>
      </c>
      <c r="C1953" s="35" t="s">
        <v>405</v>
      </c>
      <c r="D1953" s="35" t="s">
        <v>669</v>
      </c>
      <c r="E1953" s="35" t="s">
        <v>693</v>
      </c>
      <c r="F1953" s="35" t="s">
        <v>353</v>
      </c>
      <c r="G1953" s="35" t="s">
        <v>397</v>
      </c>
    </row>
    <row r="1954" spans="1:8">
      <c r="A1954" s="34">
        <v>2084308587</v>
      </c>
      <c r="B1954" s="35" t="s">
        <v>462</v>
      </c>
      <c r="C1954" s="35" t="s">
        <v>405</v>
      </c>
      <c r="D1954" s="35" t="s">
        <v>669</v>
      </c>
      <c r="E1954" s="35" t="s">
        <v>693</v>
      </c>
      <c r="F1954" s="35" t="s">
        <v>353</v>
      </c>
      <c r="G1954" s="35" t="s">
        <v>398</v>
      </c>
    </row>
    <row r="1955" spans="1:8">
      <c r="A1955" s="34">
        <v>2084308588</v>
      </c>
      <c r="B1955" s="35" t="s">
        <v>462</v>
      </c>
      <c r="C1955" s="35" t="s">
        <v>405</v>
      </c>
      <c r="D1955" s="35" t="s">
        <v>669</v>
      </c>
      <c r="E1955" s="35" t="s">
        <v>693</v>
      </c>
      <c r="F1955" s="35" t="s">
        <v>353</v>
      </c>
      <c r="G1955" s="35" t="s">
        <v>477</v>
      </c>
    </row>
    <row r="1956" spans="1:8">
      <c r="A1956" s="34">
        <v>2084308589</v>
      </c>
      <c r="B1956" s="35" t="s">
        <v>462</v>
      </c>
      <c r="C1956" s="35" t="s">
        <v>405</v>
      </c>
      <c r="D1956" s="35" t="s">
        <v>669</v>
      </c>
      <c r="E1956" s="35" t="s">
        <v>693</v>
      </c>
      <c r="F1956" s="35" t="s">
        <v>353</v>
      </c>
      <c r="G1956" s="35" t="s">
        <v>445</v>
      </c>
    </row>
    <row r="1957" spans="1:8">
      <c r="A1957" s="34">
        <v>2084308590</v>
      </c>
      <c r="B1957" s="35" t="s">
        <v>462</v>
      </c>
      <c r="C1957" s="35" t="s">
        <v>405</v>
      </c>
      <c r="D1957" s="35" t="s">
        <v>669</v>
      </c>
      <c r="E1957" s="35" t="s">
        <v>693</v>
      </c>
      <c r="F1957" s="35" t="s">
        <v>353</v>
      </c>
      <c r="G1957" s="35" t="s">
        <v>335</v>
      </c>
    </row>
    <row r="1958" spans="1:8">
      <c r="A1958" s="34">
        <v>2084227079</v>
      </c>
      <c r="B1958" s="35" t="s">
        <v>462</v>
      </c>
      <c r="C1958" s="35" t="s">
        <v>405</v>
      </c>
      <c r="D1958" s="35" t="s">
        <v>669</v>
      </c>
      <c r="E1958" s="35" t="s">
        <v>694</v>
      </c>
      <c r="F1958" s="35" t="s">
        <v>390</v>
      </c>
      <c r="G1958" s="35" t="s">
        <v>401</v>
      </c>
    </row>
    <row r="1959" spans="1:8">
      <c r="A1959" s="34">
        <v>2084227080</v>
      </c>
      <c r="B1959" s="35" t="s">
        <v>462</v>
      </c>
      <c r="C1959" s="35" t="s">
        <v>405</v>
      </c>
      <c r="D1959" s="35" t="s">
        <v>669</v>
      </c>
      <c r="E1959" s="35" t="s">
        <v>694</v>
      </c>
      <c r="F1959" s="35" t="s">
        <v>390</v>
      </c>
      <c r="G1959" s="35" t="s">
        <v>402</v>
      </c>
    </row>
    <row r="1960" spans="1:8">
      <c r="A1960" s="34">
        <v>2084227082</v>
      </c>
      <c r="B1960" s="35" t="s">
        <v>462</v>
      </c>
      <c r="C1960" s="35" t="s">
        <v>405</v>
      </c>
      <c r="D1960" s="35" t="s">
        <v>669</v>
      </c>
      <c r="E1960" s="35" t="s">
        <v>694</v>
      </c>
      <c r="F1960" s="35" t="s">
        <v>390</v>
      </c>
      <c r="G1960" s="35" t="s">
        <v>379</v>
      </c>
      <c r="H1960" s="35" t="s">
        <v>335</v>
      </c>
    </row>
    <row r="1961" spans="1:8">
      <c r="A1961" s="34">
        <v>2084227084</v>
      </c>
      <c r="B1961" s="35" t="s">
        <v>462</v>
      </c>
      <c r="C1961" s="35" t="s">
        <v>405</v>
      </c>
      <c r="D1961" s="35" t="s">
        <v>669</v>
      </c>
      <c r="E1961" s="35" t="s">
        <v>694</v>
      </c>
      <c r="F1961" s="35" t="s">
        <v>390</v>
      </c>
      <c r="G1961" s="35" t="s">
        <v>335</v>
      </c>
    </row>
    <row r="1962" spans="1:8">
      <c r="A1962" s="34">
        <v>2084227085</v>
      </c>
      <c r="B1962" s="35" t="s">
        <v>462</v>
      </c>
      <c r="C1962" s="35" t="s">
        <v>405</v>
      </c>
      <c r="D1962" s="35" t="s">
        <v>669</v>
      </c>
      <c r="E1962" s="35" t="s">
        <v>694</v>
      </c>
      <c r="F1962" s="35" t="s">
        <v>353</v>
      </c>
      <c r="G1962" s="35" t="s">
        <v>401</v>
      </c>
    </row>
    <row r="1963" spans="1:8">
      <c r="A1963" s="34">
        <v>2084227086</v>
      </c>
      <c r="B1963" s="35" t="s">
        <v>462</v>
      </c>
      <c r="C1963" s="35" t="s">
        <v>405</v>
      </c>
      <c r="D1963" s="35" t="s">
        <v>669</v>
      </c>
      <c r="E1963" s="35" t="s">
        <v>694</v>
      </c>
      <c r="F1963" s="35" t="s">
        <v>353</v>
      </c>
      <c r="G1963" s="35" t="s">
        <v>402</v>
      </c>
    </row>
    <row r="1964" spans="1:8">
      <c r="A1964" s="34">
        <v>2084227090</v>
      </c>
      <c r="B1964" s="35" t="s">
        <v>462</v>
      </c>
      <c r="C1964" s="35" t="s">
        <v>405</v>
      </c>
      <c r="D1964" s="35" t="s">
        <v>669</v>
      </c>
      <c r="E1964" s="35" t="s">
        <v>694</v>
      </c>
      <c r="F1964" s="35" t="s">
        <v>353</v>
      </c>
      <c r="G1964" s="35" t="s">
        <v>379</v>
      </c>
      <c r="H1964" s="35" t="s">
        <v>335</v>
      </c>
    </row>
    <row r="1965" spans="1:8">
      <c r="A1965" s="34">
        <v>2084227088</v>
      </c>
      <c r="B1965" s="35" t="s">
        <v>462</v>
      </c>
      <c r="C1965" s="35" t="s">
        <v>405</v>
      </c>
      <c r="D1965" s="35" t="s">
        <v>669</v>
      </c>
      <c r="E1965" s="35" t="s">
        <v>694</v>
      </c>
      <c r="F1965" s="35" t="s">
        <v>353</v>
      </c>
      <c r="G1965" s="35" t="s">
        <v>335</v>
      </c>
    </row>
    <row r="1966" spans="1:8">
      <c r="A1966" s="34">
        <v>2084227078</v>
      </c>
      <c r="B1966" s="35" t="s">
        <v>462</v>
      </c>
      <c r="C1966" s="35" t="s">
        <v>405</v>
      </c>
      <c r="D1966" s="35" t="s">
        <v>669</v>
      </c>
      <c r="E1966" s="35" t="s">
        <v>694</v>
      </c>
      <c r="F1966" s="35" t="s">
        <v>335</v>
      </c>
    </row>
    <row r="1967" spans="1:8">
      <c r="A1967" s="34">
        <v>2084062157</v>
      </c>
      <c r="B1967" s="35" t="s">
        <v>462</v>
      </c>
      <c r="C1967" s="35" t="s">
        <v>405</v>
      </c>
      <c r="D1967" s="35" t="s">
        <v>669</v>
      </c>
      <c r="E1967" s="35" t="s">
        <v>695</v>
      </c>
      <c r="F1967" s="35" t="s">
        <v>484</v>
      </c>
    </row>
    <row r="1968" spans="1:8">
      <c r="A1968" s="34">
        <v>2084062158</v>
      </c>
      <c r="B1968" s="35" t="s">
        <v>462</v>
      </c>
      <c r="C1968" s="35" t="s">
        <v>405</v>
      </c>
      <c r="D1968" s="35" t="s">
        <v>669</v>
      </c>
      <c r="E1968" s="35" t="s">
        <v>695</v>
      </c>
      <c r="F1968" s="35" t="s">
        <v>335</v>
      </c>
    </row>
    <row r="1969" spans="1:7">
      <c r="A1969" s="34">
        <v>2084283138</v>
      </c>
      <c r="B1969" s="35" t="s">
        <v>462</v>
      </c>
      <c r="C1969" s="35" t="s">
        <v>405</v>
      </c>
      <c r="D1969" s="35" t="s">
        <v>669</v>
      </c>
      <c r="E1969" s="35" t="s">
        <v>696</v>
      </c>
    </row>
    <row r="1970" spans="1:7">
      <c r="A1970" s="34">
        <v>2084298370</v>
      </c>
      <c r="B1970" s="35" t="s">
        <v>462</v>
      </c>
      <c r="C1970" s="35" t="s">
        <v>405</v>
      </c>
      <c r="D1970" s="35" t="s">
        <v>669</v>
      </c>
      <c r="E1970" s="35" t="s">
        <v>697</v>
      </c>
    </row>
    <row r="1971" spans="1:7">
      <c r="A1971" s="34">
        <v>2084259908</v>
      </c>
      <c r="B1971" s="35" t="s">
        <v>462</v>
      </c>
      <c r="C1971" s="35" t="s">
        <v>405</v>
      </c>
      <c r="D1971" s="35" t="s">
        <v>669</v>
      </c>
      <c r="E1971" s="35" t="s">
        <v>698</v>
      </c>
    </row>
    <row r="1972" spans="1:7">
      <c r="A1972" s="34">
        <v>2084054325</v>
      </c>
      <c r="B1972" s="35" t="s">
        <v>462</v>
      </c>
      <c r="C1972" s="35" t="s">
        <v>405</v>
      </c>
      <c r="D1972" s="35" t="s">
        <v>669</v>
      </c>
      <c r="E1972" s="35" t="s">
        <v>699</v>
      </c>
      <c r="F1972" s="35" t="s">
        <v>367</v>
      </c>
    </row>
    <row r="1973" spans="1:7">
      <c r="A1973" s="34">
        <v>2084054328</v>
      </c>
      <c r="B1973" s="35" t="s">
        <v>462</v>
      </c>
      <c r="C1973" s="35" t="s">
        <v>405</v>
      </c>
      <c r="D1973" s="35" t="s">
        <v>669</v>
      </c>
      <c r="E1973" s="35" t="s">
        <v>699</v>
      </c>
      <c r="F1973" s="35" t="s">
        <v>368</v>
      </c>
      <c r="G1973" s="35" t="s">
        <v>481</v>
      </c>
    </row>
    <row r="1974" spans="1:7">
      <c r="A1974" s="34">
        <v>2084054327</v>
      </c>
      <c r="B1974" s="35" t="s">
        <v>462</v>
      </c>
      <c r="C1974" s="35" t="s">
        <v>405</v>
      </c>
      <c r="D1974" s="35" t="s">
        <v>669</v>
      </c>
      <c r="E1974" s="35" t="s">
        <v>699</v>
      </c>
      <c r="F1974" s="35" t="s">
        <v>368</v>
      </c>
      <c r="G1974" s="35" t="s">
        <v>482</v>
      </c>
    </row>
    <row r="1975" spans="1:7">
      <c r="A1975" s="34">
        <v>2084054329</v>
      </c>
      <c r="B1975" s="35" t="s">
        <v>462</v>
      </c>
      <c r="C1975" s="35" t="s">
        <v>405</v>
      </c>
      <c r="D1975" s="35" t="s">
        <v>669</v>
      </c>
      <c r="E1975" s="35" t="s">
        <v>699</v>
      </c>
      <c r="F1975" s="35" t="s">
        <v>368</v>
      </c>
      <c r="G1975" s="35" t="s">
        <v>335</v>
      </c>
    </row>
    <row r="1976" spans="1:7">
      <c r="A1976" s="34">
        <v>2084054335</v>
      </c>
      <c r="B1976" s="35" t="s">
        <v>462</v>
      </c>
      <c r="C1976" s="35" t="s">
        <v>405</v>
      </c>
      <c r="D1976" s="35" t="s">
        <v>669</v>
      </c>
      <c r="E1976" s="35" t="s">
        <v>699</v>
      </c>
      <c r="F1976" s="35" t="s">
        <v>10</v>
      </c>
      <c r="G1976" s="35" t="s">
        <v>483</v>
      </c>
    </row>
    <row r="1977" spans="1:7">
      <c r="A1977" s="34">
        <v>2084054332</v>
      </c>
      <c r="B1977" s="35" t="s">
        <v>462</v>
      </c>
      <c r="C1977" s="35" t="s">
        <v>405</v>
      </c>
      <c r="D1977" s="35" t="s">
        <v>669</v>
      </c>
      <c r="E1977" s="35" t="s">
        <v>699</v>
      </c>
      <c r="F1977" s="35" t="s">
        <v>10</v>
      </c>
      <c r="G1977" s="35" t="s">
        <v>397</v>
      </c>
    </row>
    <row r="1978" spans="1:7">
      <c r="A1978" s="34">
        <v>2084054334</v>
      </c>
      <c r="B1978" s="35" t="s">
        <v>462</v>
      </c>
      <c r="C1978" s="35" t="s">
        <v>405</v>
      </c>
      <c r="D1978" s="35" t="s">
        <v>669</v>
      </c>
      <c r="E1978" s="35" t="s">
        <v>699</v>
      </c>
      <c r="F1978" s="35" t="s">
        <v>10</v>
      </c>
      <c r="G1978" s="35" t="s">
        <v>421</v>
      </c>
    </row>
    <row r="1979" spans="1:7">
      <c r="A1979" s="34">
        <v>2084054331</v>
      </c>
      <c r="B1979" s="35" t="s">
        <v>462</v>
      </c>
      <c r="C1979" s="35" t="s">
        <v>405</v>
      </c>
      <c r="D1979" s="35" t="s">
        <v>669</v>
      </c>
      <c r="E1979" s="35" t="s">
        <v>699</v>
      </c>
      <c r="F1979" s="35" t="s">
        <v>10</v>
      </c>
      <c r="G1979" s="35" t="s">
        <v>398</v>
      </c>
    </row>
    <row r="1980" spans="1:7">
      <c r="A1980" s="34">
        <v>2084054333</v>
      </c>
      <c r="B1980" s="35" t="s">
        <v>462</v>
      </c>
      <c r="C1980" s="35" t="s">
        <v>405</v>
      </c>
      <c r="D1980" s="35" t="s">
        <v>669</v>
      </c>
      <c r="E1980" s="35" t="s">
        <v>699</v>
      </c>
      <c r="F1980" s="35" t="s">
        <v>10</v>
      </c>
      <c r="G1980" s="35" t="s">
        <v>422</v>
      </c>
    </row>
    <row r="1981" spans="1:7">
      <c r="A1981" s="34">
        <v>2084054336</v>
      </c>
      <c r="B1981" s="35" t="s">
        <v>462</v>
      </c>
      <c r="C1981" s="35" t="s">
        <v>405</v>
      </c>
      <c r="D1981" s="35" t="s">
        <v>669</v>
      </c>
      <c r="E1981" s="35" t="s">
        <v>699</v>
      </c>
      <c r="F1981" s="35" t="s">
        <v>10</v>
      </c>
      <c r="G1981" s="35" t="s">
        <v>335</v>
      </c>
    </row>
    <row r="1982" spans="1:7">
      <c r="A1982" s="34">
        <v>2084054338</v>
      </c>
      <c r="B1982" s="35" t="s">
        <v>462</v>
      </c>
      <c r="C1982" s="35" t="s">
        <v>405</v>
      </c>
      <c r="D1982" s="35" t="s">
        <v>669</v>
      </c>
      <c r="E1982" s="35" t="s">
        <v>699</v>
      </c>
      <c r="F1982" s="35" t="s">
        <v>379</v>
      </c>
      <c r="G1982" s="35" t="s">
        <v>476</v>
      </c>
    </row>
    <row r="1983" spans="1:7">
      <c r="A1983" s="34">
        <v>2084054339</v>
      </c>
      <c r="B1983" s="35" t="s">
        <v>462</v>
      </c>
      <c r="C1983" s="35" t="s">
        <v>405</v>
      </c>
      <c r="D1983" s="35" t="s">
        <v>669</v>
      </c>
      <c r="E1983" s="35" t="s">
        <v>699</v>
      </c>
      <c r="F1983" s="35" t="s">
        <v>379</v>
      </c>
      <c r="G1983" s="35" t="s">
        <v>335</v>
      </c>
    </row>
    <row r="1984" spans="1:7">
      <c r="A1984" s="34">
        <v>2084061441</v>
      </c>
      <c r="B1984" s="35" t="s">
        <v>462</v>
      </c>
      <c r="C1984" s="35" t="s">
        <v>405</v>
      </c>
      <c r="D1984" s="35" t="s">
        <v>669</v>
      </c>
      <c r="E1984" s="35" t="s">
        <v>699</v>
      </c>
      <c r="F1984" s="35" t="s">
        <v>478</v>
      </c>
    </row>
    <row r="1985" spans="1:7">
      <c r="A1985" s="34">
        <v>2084054340</v>
      </c>
      <c r="B1985" s="35" t="s">
        <v>462</v>
      </c>
      <c r="C1985" s="35" t="s">
        <v>405</v>
      </c>
      <c r="D1985" s="35" t="s">
        <v>669</v>
      </c>
      <c r="E1985" s="35" t="s">
        <v>699</v>
      </c>
      <c r="F1985" s="35" t="s">
        <v>335</v>
      </c>
    </row>
    <row r="1986" spans="1:7">
      <c r="A1986" s="34">
        <v>2084054661</v>
      </c>
      <c r="B1986" s="35" t="s">
        <v>462</v>
      </c>
      <c r="C1986" s="35" t="s">
        <v>405</v>
      </c>
      <c r="D1986" s="35" t="s">
        <v>669</v>
      </c>
      <c r="E1986" s="35" t="s">
        <v>700</v>
      </c>
      <c r="F1986" s="35" t="s">
        <v>367</v>
      </c>
    </row>
    <row r="1987" spans="1:7">
      <c r="A1987" s="34">
        <v>2084054664</v>
      </c>
      <c r="B1987" s="35" t="s">
        <v>462</v>
      </c>
      <c r="C1987" s="35" t="s">
        <v>405</v>
      </c>
      <c r="D1987" s="35" t="s">
        <v>669</v>
      </c>
      <c r="E1987" s="35" t="s">
        <v>700</v>
      </c>
      <c r="F1987" s="35" t="s">
        <v>368</v>
      </c>
      <c r="G1987" s="35" t="s">
        <v>481</v>
      </c>
    </row>
    <row r="1988" spans="1:7">
      <c r="A1988" s="34">
        <v>2084054663</v>
      </c>
      <c r="B1988" s="35" t="s">
        <v>462</v>
      </c>
      <c r="C1988" s="35" t="s">
        <v>405</v>
      </c>
      <c r="D1988" s="35" t="s">
        <v>669</v>
      </c>
      <c r="E1988" s="35" t="s">
        <v>700</v>
      </c>
      <c r="F1988" s="35" t="s">
        <v>368</v>
      </c>
      <c r="G1988" s="35" t="s">
        <v>482</v>
      </c>
    </row>
    <row r="1989" spans="1:7">
      <c r="A1989" s="34">
        <v>2084054665</v>
      </c>
      <c r="B1989" s="35" t="s">
        <v>462</v>
      </c>
      <c r="C1989" s="35" t="s">
        <v>405</v>
      </c>
      <c r="D1989" s="35" t="s">
        <v>669</v>
      </c>
      <c r="E1989" s="35" t="s">
        <v>700</v>
      </c>
      <c r="F1989" s="35" t="s">
        <v>368</v>
      </c>
      <c r="G1989" s="35" t="s">
        <v>335</v>
      </c>
    </row>
    <row r="1990" spans="1:7">
      <c r="A1990" s="34">
        <v>2084054671</v>
      </c>
      <c r="B1990" s="35" t="s">
        <v>462</v>
      </c>
      <c r="C1990" s="35" t="s">
        <v>405</v>
      </c>
      <c r="D1990" s="35" t="s">
        <v>669</v>
      </c>
      <c r="E1990" s="35" t="s">
        <v>700</v>
      </c>
      <c r="F1990" s="35" t="s">
        <v>10</v>
      </c>
      <c r="G1990" s="35" t="s">
        <v>483</v>
      </c>
    </row>
    <row r="1991" spans="1:7">
      <c r="A1991" s="34">
        <v>2084054668</v>
      </c>
      <c r="B1991" s="35" t="s">
        <v>462</v>
      </c>
      <c r="C1991" s="35" t="s">
        <v>405</v>
      </c>
      <c r="D1991" s="35" t="s">
        <v>669</v>
      </c>
      <c r="E1991" s="35" t="s">
        <v>700</v>
      </c>
      <c r="F1991" s="35" t="s">
        <v>10</v>
      </c>
      <c r="G1991" s="35" t="s">
        <v>397</v>
      </c>
    </row>
    <row r="1992" spans="1:7">
      <c r="A1992" s="34">
        <v>2084054670</v>
      </c>
      <c r="B1992" s="35" t="s">
        <v>462</v>
      </c>
      <c r="C1992" s="35" t="s">
        <v>405</v>
      </c>
      <c r="D1992" s="35" t="s">
        <v>669</v>
      </c>
      <c r="E1992" s="35" t="s">
        <v>700</v>
      </c>
      <c r="F1992" s="35" t="s">
        <v>10</v>
      </c>
      <c r="G1992" s="35" t="s">
        <v>421</v>
      </c>
    </row>
    <row r="1993" spans="1:7">
      <c r="A1993" s="34">
        <v>2084054667</v>
      </c>
      <c r="B1993" s="35" t="s">
        <v>462</v>
      </c>
      <c r="C1993" s="35" t="s">
        <v>405</v>
      </c>
      <c r="D1993" s="35" t="s">
        <v>669</v>
      </c>
      <c r="E1993" s="35" t="s">
        <v>700</v>
      </c>
      <c r="F1993" s="35" t="s">
        <v>10</v>
      </c>
      <c r="G1993" s="35" t="s">
        <v>398</v>
      </c>
    </row>
    <row r="1994" spans="1:7">
      <c r="A1994" s="34">
        <v>2084054669</v>
      </c>
      <c r="B1994" s="35" t="s">
        <v>462</v>
      </c>
      <c r="C1994" s="35" t="s">
        <v>405</v>
      </c>
      <c r="D1994" s="35" t="s">
        <v>669</v>
      </c>
      <c r="E1994" s="35" t="s">
        <v>700</v>
      </c>
      <c r="F1994" s="35" t="s">
        <v>10</v>
      </c>
      <c r="G1994" s="35" t="s">
        <v>422</v>
      </c>
    </row>
    <row r="1995" spans="1:7">
      <c r="A1995" s="34">
        <v>2084054672</v>
      </c>
      <c r="B1995" s="35" t="s">
        <v>462</v>
      </c>
      <c r="C1995" s="35" t="s">
        <v>405</v>
      </c>
      <c r="D1995" s="35" t="s">
        <v>669</v>
      </c>
      <c r="E1995" s="35" t="s">
        <v>700</v>
      </c>
      <c r="F1995" s="35" t="s">
        <v>10</v>
      </c>
      <c r="G1995" s="35" t="s">
        <v>335</v>
      </c>
    </row>
    <row r="1996" spans="1:7">
      <c r="A1996" s="34">
        <v>2084054674</v>
      </c>
      <c r="B1996" s="35" t="s">
        <v>462</v>
      </c>
      <c r="C1996" s="35" t="s">
        <v>405</v>
      </c>
      <c r="D1996" s="35" t="s">
        <v>669</v>
      </c>
      <c r="E1996" s="35" t="s">
        <v>700</v>
      </c>
      <c r="F1996" s="35" t="s">
        <v>379</v>
      </c>
      <c r="G1996" s="35" t="s">
        <v>476</v>
      </c>
    </row>
    <row r="1997" spans="1:7">
      <c r="A1997" s="34">
        <v>2084054675</v>
      </c>
      <c r="B1997" s="35" t="s">
        <v>462</v>
      </c>
      <c r="C1997" s="35" t="s">
        <v>405</v>
      </c>
      <c r="D1997" s="35" t="s">
        <v>669</v>
      </c>
      <c r="E1997" s="35" t="s">
        <v>700</v>
      </c>
      <c r="F1997" s="35" t="s">
        <v>379</v>
      </c>
      <c r="G1997" s="35" t="s">
        <v>335</v>
      </c>
    </row>
    <row r="1998" spans="1:7">
      <c r="A1998" s="34">
        <v>2084054676</v>
      </c>
      <c r="B1998" s="35" t="s">
        <v>462</v>
      </c>
      <c r="C1998" s="35" t="s">
        <v>405</v>
      </c>
      <c r="D1998" s="35" t="s">
        <v>669</v>
      </c>
      <c r="E1998" s="35" t="s">
        <v>700</v>
      </c>
      <c r="F1998" s="35" t="s">
        <v>335</v>
      </c>
    </row>
    <row r="1999" spans="1:7">
      <c r="A1999" s="34">
        <v>2084259915</v>
      </c>
      <c r="B1999" s="35" t="s">
        <v>462</v>
      </c>
      <c r="C1999" s="35" t="s">
        <v>405</v>
      </c>
      <c r="D1999" s="35" t="s">
        <v>669</v>
      </c>
      <c r="E1999" s="35" t="s">
        <v>701</v>
      </c>
      <c r="F1999" s="35" t="s">
        <v>407</v>
      </c>
    </row>
    <row r="2000" spans="1:7">
      <c r="A2000" s="34">
        <v>2084259914</v>
      </c>
      <c r="B2000" s="35" t="s">
        <v>462</v>
      </c>
      <c r="C2000" s="35" t="s">
        <v>405</v>
      </c>
      <c r="D2000" s="35" t="s">
        <v>669</v>
      </c>
      <c r="E2000" s="35" t="s">
        <v>701</v>
      </c>
      <c r="F2000" s="35" t="s">
        <v>408</v>
      </c>
    </row>
    <row r="2001" spans="1:8">
      <c r="A2001" s="34">
        <v>2084056250</v>
      </c>
      <c r="B2001" s="35" t="s">
        <v>462</v>
      </c>
      <c r="C2001" s="35" t="s">
        <v>405</v>
      </c>
      <c r="D2001" s="35" t="s">
        <v>669</v>
      </c>
      <c r="E2001" s="35" t="s">
        <v>702</v>
      </c>
      <c r="F2001" s="35" t="s">
        <v>390</v>
      </c>
      <c r="G2001" s="35" t="s">
        <v>368</v>
      </c>
      <c r="H2001" s="35" t="s">
        <v>645</v>
      </c>
    </row>
    <row r="2002" spans="1:8">
      <c r="A2002" s="34">
        <v>2084056251</v>
      </c>
      <c r="B2002" s="35" t="s">
        <v>462</v>
      </c>
      <c r="C2002" s="35" t="s">
        <v>405</v>
      </c>
      <c r="D2002" s="35" t="s">
        <v>669</v>
      </c>
      <c r="E2002" s="35" t="s">
        <v>702</v>
      </c>
      <c r="F2002" s="35" t="s">
        <v>390</v>
      </c>
      <c r="G2002" s="35" t="s">
        <v>368</v>
      </c>
      <c r="H2002" s="35" t="s">
        <v>335</v>
      </c>
    </row>
    <row r="2003" spans="1:8">
      <c r="A2003" s="34">
        <v>2084056253</v>
      </c>
      <c r="B2003" s="35" t="s">
        <v>462</v>
      </c>
      <c r="C2003" s="35" t="s">
        <v>405</v>
      </c>
      <c r="D2003" s="35" t="s">
        <v>669</v>
      </c>
      <c r="E2003" s="35" t="s">
        <v>702</v>
      </c>
      <c r="F2003" s="35" t="s">
        <v>390</v>
      </c>
      <c r="G2003" s="35" t="s">
        <v>10</v>
      </c>
      <c r="H2003" s="35" t="s">
        <v>544</v>
      </c>
    </row>
    <row r="2004" spans="1:8">
      <c r="A2004" s="34">
        <v>2084056257</v>
      </c>
      <c r="B2004" s="35" t="s">
        <v>462</v>
      </c>
      <c r="C2004" s="35" t="s">
        <v>405</v>
      </c>
      <c r="D2004" s="35" t="s">
        <v>669</v>
      </c>
      <c r="E2004" s="35" t="s">
        <v>702</v>
      </c>
      <c r="F2004" s="35" t="s">
        <v>390</v>
      </c>
      <c r="G2004" s="35" t="s">
        <v>10</v>
      </c>
      <c r="H2004" s="35" t="s">
        <v>397</v>
      </c>
    </row>
    <row r="2005" spans="1:8">
      <c r="A2005" s="34">
        <v>2084056256</v>
      </c>
      <c r="B2005" s="35" t="s">
        <v>462</v>
      </c>
      <c r="C2005" s="35" t="s">
        <v>405</v>
      </c>
      <c r="D2005" s="35" t="s">
        <v>669</v>
      </c>
      <c r="E2005" s="35" t="s">
        <v>702</v>
      </c>
      <c r="F2005" s="35" t="s">
        <v>390</v>
      </c>
      <c r="G2005" s="35" t="s">
        <v>10</v>
      </c>
      <c r="H2005" s="35" t="s">
        <v>421</v>
      </c>
    </row>
    <row r="2006" spans="1:8">
      <c r="A2006" s="34">
        <v>2084056255</v>
      </c>
      <c r="B2006" s="35" t="s">
        <v>462</v>
      </c>
      <c r="C2006" s="35" t="s">
        <v>405</v>
      </c>
      <c r="D2006" s="35" t="s">
        <v>669</v>
      </c>
      <c r="E2006" s="35" t="s">
        <v>702</v>
      </c>
      <c r="F2006" s="35" t="s">
        <v>390</v>
      </c>
      <c r="G2006" s="35" t="s">
        <v>10</v>
      </c>
      <c r="H2006" s="35" t="s">
        <v>398</v>
      </c>
    </row>
    <row r="2007" spans="1:8">
      <c r="A2007" s="34">
        <v>2084056254</v>
      </c>
      <c r="B2007" s="35" t="s">
        <v>462</v>
      </c>
      <c r="C2007" s="35" t="s">
        <v>405</v>
      </c>
      <c r="D2007" s="35" t="s">
        <v>669</v>
      </c>
      <c r="E2007" s="35" t="s">
        <v>702</v>
      </c>
      <c r="F2007" s="35" t="s">
        <v>390</v>
      </c>
      <c r="G2007" s="35" t="s">
        <v>10</v>
      </c>
      <c r="H2007" s="35" t="s">
        <v>422</v>
      </c>
    </row>
    <row r="2008" spans="1:8">
      <c r="A2008" s="34">
        <v>2084056258</v>
      </c>
      <c r="B2008" s="35" t="s">
        <v>462</v>
      </c>
      <c r="C2008" s="35" t="s">
        <v>405</v>
      </c>
      <c r="D2008" s="35" t="s">
        <v>669</v>
      </c>
      <c r="E2008" s="35" t="s">
        <v>702</v>
      </c>
      <c r="F2008" s="35" t="s">
        <v>390</v>
      </c>
      <c r="G2008" s="35" t="s">
        <v>10</v>
      </c>
      <c r="H2008" s="35" t="s">
        <v>335</v>
      </c>
    </row>
    <row r="2009" spans="1:8">
      <c r="A2009" s="34">
        <v>2084056260</v>
      </c>
      <c r="B2009" s="35" t="s">
        <v>462</v>
      </c>
      <c r="C2009" s="35" t="s">
        <v>405</v>
      </c>
      <c r="D2009" s="35" t="s">
        <v>669</v>
      </c>
      <c r="E2009" s="35" t="s">
        <v>702</v>
      </c>
      <c r="F2009" s="35" t="s">
        <v>390</v>
      </c>
      <c r="G2009" s="35" t="s">
        <v>379</v>
      </c>
      <c r="H2009" s="35" t="s">
        <v>545</v>
      </c>
    </row>
    <row r="2010" spans="1:8">
      <c r="A2010" s="34">
        <v>2084056261</v>
      </c>
      <c r="B2010" s="35" t="s">
        <v>462</v>
      </c>
      <c r="C2010" s="35" t="s">
        <v>405</v>
      </c>
      <c r="D2010" s="35" t="s">
        <v>669</v>
      </c>
      <c r="E2010" s="35" t="s">
        <v>702</v>
      </c>
      <c r="F2010" s="35" t="s">
        <v>390</v>
      </c>
      <c r="G2010" s="35" t="s">
        <v>379</v>
      </c>
      <c r="H2010" s="35" t="s">
        <v>335</v>
      </c>
    </row>
    <row r="2011" spans="1:8">
      <c r="A2011" s="34">
        <v>2084056262</v>
      </c>
      <c r="B2011" s="35" t="s">
        <v>462</v>
      </c>
      <c r="C2011" s="35" t="s">
        <v>405</v>
      </c>
      <c r="D2011" s="35" t="s">
        <v>669</v>
      </c>
      <c r="E2011" s="35" t="s">
        <v>702</v>
      </c>
      <c r="F2011" s="35" t="s">
        <v>390</v>
      </c>
      <c r="G2011" s="35" t="s">
        <v>335</v>
      </c>
    </row>
    <row r="2012" spans="1:8">
      <c r="A2012" s="34">
        <v>2084056202</v>
      </c>
      <c r="B2012" s="35" t="s">
        <v>462</v>
      </c>
      <c r="C2012" s="35" t="s">
        <v>405</v>
      </c>
      <c r="D2012" s="35" t="s">
        <v>669</v>
      </c>
      <c r="E2012" s="35" t="s">
        <v>702</v>
      </c>
      <c r="F2012" s="35" t="s">
        <v>353</v>
      </c>
      <c r="G2012" s="35" t="s">
        <v>368</v>
      </c>
      <c r="H2012" s="35" t="s">
        <v>645</v>
      </c>
    </row>
    <row r="2013" spans="1:8">
      <c r="A2013" s="34">
        <v>2084056203</v>
      </c>
      <c r="B2013" s="35" t="s">
        <v>462</v>
      </c>
      <c r="C2013" s="35" t="s">
        <v>405</v>
      </c>
      <c r="D2013" s="35" t="s">
        <v>669</v>
      </c>
      <c r="E2013" s="35" t="s">
        <v>702</v>
      </c>
      <c r="F2013" s="35" t="s">
        <v>353</v>
      </c>
      <c r="G2013" s="35" t="s">
        <v>368</v>
      </c>
      <c r="H2013" s="35" t="s">
        <v>335</v>
      </c>
    </row>
    <row r="2014" spans="1:8">
      <c r="A2014" s="34">
        <v>2084056222</v>
      </c>
      <c r="B2014" s="35" t="s">
        <v>462</v>
      </c>
      <c r="C2014" s="35" t="s">
        <v>405</v>
      </c>
      <c r="D2014" s="35" t="s">
        <v>669</v>
      </c>
      <c r="E2014" s="35" t="s">
        <v>702</v>
      </c>
      <c r="F2014" s="35" t="s">
        <v>353</v>
      </c>
      <c r="G2014" s="35" t="s">
        <v>10</v>
      </c>
      <c r="H2014" s="35" t="s">
        <v>544</v>
      </c>
    </row>
    <row r="2015" spans="1:8">
      <c r="A2015" s="34">
        <v>2084056226</v>
      </c>
      <c r="B2015" s="35" t="s">
        <v>462</v>
      </c>
      <c r="C2015" s="35" t="s">
        <v>405</v>
      </c>
      <c r="D2015" s="35" t="s">
        <v>669</v>
      </c>
      <c r="E2015" s="35" t="s">
        <v>702</v>
      </c>
      <c r="F2015" s="35" t="s">
        <v>353</v>
      </c>
      <c r="G2015" s="35" t="s">
        <v>10</v>
      </c>
      <c r="H2015" s="35" t="s">
        <v>397</v>
      </c>
    </row>
    <row r="2016" spans="1:8">
      <c r="A2016" s="34">
        <v>2084056224</v>
      </c>
      <c r="B2016" s="35" t="s">
        <v>462</v>
      </c>
      <c r="C2016" s="35" t="s">
        <v>405</v>
      </c>
      <c r="D2016" s="35" t="s">
        <v>669</v>
      </c>
      <c r="E2016" s="35" t="s">
        <v>702</v>
      </c>
      <c r="F2016" s="35" t="s">
        <v>353</v>
      </c>
      <c r="G2016" s="35" t="s">
        <v>10</v>
      </c>
      <c r="H2016" s="35" t="s">
        <v>421</v>
      </c>
    </row>
    <row r="2017" spans="1:9">
      <c r="A2017" s="34">
        <v>2084056231</v>
      </c>
      <c r="B2017" s="35" t="s">
        <v>462</v>
      </c>
      <c r="C2017" s="35" t="s">
        <v>405</v>
      </c>
      <c r="D2017" s="35" t="s">
        <v>669</v>
      </c>
      <c r="E2017" s="35" t="s">
        <v>702</v>
      </c>
      <c r="F2017" s="35" t="s">
        <v>353</v>
      </c>
      <c r="G2017" s="35" t="s">
        <v>10</v>
      </c>
      <c r="H2017" s="35" t="s">
        <v>398</v>
      </c>
    </row>
    <row r="2018" spans="1:9">
      <c r="A2018" s="34">
        <v>2084056228</v>
      </c>
      <c r="B2018" s="35" t="s">
        <v>462</v>
      </c>
      <c r="C2018" s="35" t="s">
        <v>405</v>
      </c>
      <c r="D2018" s="35" t="s">
        <v>669</v>
      </c>
      <c r="E2018" s="35" t="s">
        <v>702</v>
      </c>
      <c r="F2018" s="35" t="s">
        <v>353</v>
      </c>
      <c r="G2018" s="35" t="s">
        <v>10</v>
      </c>
      <c r="H2018" s="35" t="s">
        <v>422</v>
      </c>
    </row>
    <row r="2019" spans="1:9">
      <c r="A2019" s="34">
        <v>2084056234</v>
      </c>
      <c r="B2019" s="35" t="s">
        <v>462</v>
      </c>
      <c r="C2019" s="35" t="s">
        <v>405</v>
      </c>
      <c r="D2019" s="35" t="s">
        <v>669</v>
      </c>
      <c r="E2019" s="35" t="s">
        <v>702</v>
      </c>
      <c r="F2019" s="35" t="s">
        <v>353</v>
      </c>
      <c r="G2019" s="35" t="s">
        <v>10</v>
      </c>
      <c r="H2019" s="35" t="s">
        <v>335</v>
      </c>
    </row>
    <row r="2020" spans="1:9">
      <c r="A2020" s="34">
        <v>2084213277</v>
      </c>
      <c r="B2020" s="35" t="s">
        <v>462</v>
      </c>
      <c r="C2020" s="35" t="s">
        <v>405</v>
      </c>
      <c r="D2020" s="35" t="s">
        <v>669</v>
      </c>
      <c r="E2020" s="35" t="s">
        <v>702</v>
      </c>
      <c r="F2020" s="35" t="s">
        <v>353</v>
      </c>
      <c r="G2020" s="35" t="s">
        <v>379</v>
      </c>
      <c r="H2020" s="35" t="s">
        <v>557</v>
      </c>
      <c r="I2020" s="35" t="s">
        <v>558</v>
      </c>
    </row>
    <row r="2021" spans="1:9">
      <c r="A2021" s="34">
        <v>2084213279</v>
      </c>
      <c r="B2021" s="35" t="s">
        <v>462</v>
      </c>
      <c r="C2021" s="35" t="s">
        <v>405</v>
      </c>
      <c r="D2021" s="35" t="s">
        <v>669</v>
      </c>
      <c r="E2021" s="35" t="s">
        <v>702</v>
      </c>
      <c r="F2021" s="35" t="s">
        <v>353</v>
      </c>
      <c r="G2021" s="35" t="s">
        <v>379</v>
      </c>
      <c r="H2021" s="35" t="s">
        <v>557</v>
      </c>
      <c r="I2021" s="35" t="s">
        <v>559</v>
      </c>
    </row>
    <row r="2022" spans="1:9">
      <c r="A2022" s="34">
        <v>2084213280</v>
      </c>
      <c r="B2022" s="35" t="s">
        <v>462</v>
      </c>
      <c r="C2022" s="35" t="s">
        <v>405</v>
      </c>
      <c r="D2022" s="35" t="s">
        <v>669</v>
      </c>
      <c r="E2022" s="35" t="s">
        <v>702</v>
      </c>
      <c r="F2022" s="35" t="s">
        <v>353</v>
      </c>
      <c r="G2022" s="35" t="s">
        <v>379</v>
      </c>
      <c r="H2022" s="35" t="s">
        <v>557</v>
      </c>
      <c r="I2022" s="35" t="s">
        <v>560</v>
      </c>
    </row>
    <row r="2023" spans="1:9">
      <c r="A2023" s="34">
        <v>2084213281</v>
      </c>
      <c r="B2023" s="35" t="s">
        <v>462</v>
      </c>
      <c r="C2023" s="35" t="s">
        <v>405</v>
      </c>
      <c r="D2023" s="35" t="s">
        <v>669</v>
      </c>
      <c r="E2023" s="35" t="s">
        <v>702</v>
      </c>
      <c r="F2023" s="35" t="s">
        <v>353</v>
      </c>
      <c r="G2023" s="35" t="s">
        <v>379</v>
      </c>
      <c r="H2023" s="35" t="s">
        <v>557</v>
      </c>
      <c r="I2023" s="35" t="s">
        <v>561</v>
      </c>
    </row>
    <row r="2024" spans="1:9">
      <c r="A2024" s="34">
        <v>2084213282</v>
      </c>
      <c r="B2024" s="35" t="s">
        <v>462</v>
      </c>
      <c r="C2024" s="35" t="s">
        <v>405</v>
      </c>
      <c r="D2024" s="35" t="s">
        <v>669</v>
      </c>
      <c r="E2024" s="35" t="s">
        <v>702</v>
      </c>
      <c r="F2024" s="35" t="s">
        <v>353</v>
      </c>
      <c r="G2024" s="35" t="s">
        <v>379</v>
      </c>
      <c r="H2024" s="35" t="s">
        <v>557</v>
      </c>
      <c r="I2024" s="35" t="s">
        <v>562</v>
      </c>
    </row>
    <row r="2025" spans="1:9">
      <c r="A2025" s="34">
        <v>2084213283</v>
      </c>
      <c r="B2025" s="35" t="s">
        <v>462</v>
      </c>
      <c r="C2025" s="35" t="s">
        <v>405</v>
      </c>
      <c r="D2025" s="35" t="s">
        <v>669</v>
      </c>
      <c r="E2025" s="35" t="s">
        <v>702</v>
      </c>
      <c r="F2025" s="35" t="s">
        <v>353</v>
      </c>
      <c r="G2025" s="35" t="s">
        <v>379</v>
      </c>
      <c r="H2025" s="35" t="s">
        <v>557</v>
      </c>
      <c r="I2025" s="35" t="s">
        <v>563</v>
      </c>
    </row>
    <row r="2026" spans="1:9">
      <c r="A2026" s="34">
        <v>2084213285</v>
      </c>
      <c r="B2026" s="35" t="s">
        <v>462</v>
      </c>
      <c r="C2026" s="35" t="s">
        <v>405</v>
      </c>
      <c r="D2026" s="35" t="s">
        <v>669</v>
      </c>
      <c r="E2026" s="35" t="s">
        <v>702</v>
      </c>
      <c r="F2026" s="35" t="s">
        <v>353</v>
      </c>
      <c r="G2026" s="35" t="s">
        <v>379</v>
      </c>
      <c r="H2026" s="35" t="s">
        <v>557</v>
      </c>
      <c r="I2026" s="35" t="s">
        <v>564</v>
      </c>
    </row>
    <row r="2027" spans="1:9">
      <c r="A2027" s="34">
        <v>2084213287</v>
      </c>
      <c r="B2027" s="35" t="s">
        <v>462</v>
      </c>
      <c r="C2027" s="35" t="s">
        <v>405</v>
      </c>
      <c r="D2027" s="35" t="s">
        <v>669</v>
      </c>
      <c r="E2027" s="35" t="s">
        <v>702</v>
      </c>
      <c r="F2027" s="35" t="s">
        <v>353</v>
      </c>
      <c r="G2027" s="35" t="s">
        <v>379</v>
      </c>
      <c r="H2027" s="35" t="s">
        <v>557</v>
      </c>
      <c r="I2027" s="35" t="s">
        <v>565</v>
      </c>
    </row>
    <row r="2028" spans="1:9">
      <c r="A2028" s="34">
        <v>2084213288</v>
      </c>
      <c r="B2028" s="35" t="s">
        <v>462</v>
      </c>
      <c r="C2028" s="35" t="s">
        <v>405</v>
      </c>
      <c r="D2028" s="35" t="s">
        <v>669</v>
      </c>
      <c r="E2028" s="35" t="s">
        <v>702</v>
      </c>
      <c r="F2028" s="35" t="s">
        <v>353</v>
      </c>
      <c r="G2028" s="35" t="s">
        <v>379</v>
      </c>
      <c r="H2028" s="35" t="s">
        <v>557</v>
      </c>
      <c r="I2028" s="35" t="s">
        <v>566</v>
      </c>
    </row>
    <row r="2029" spans="1:9">
      <c r="A2029" s="34">
        <v>2084056242</v>
      </c>
      <c r="B2029" s="35" t="s">
        <v>462</v>
      </c>
      <c r="C2029" s="35" t="s">
        <v>405</v>
      </c>
      <c r="D2029" s="35" t="s">
        <v>669</v>
      </c>
      <c r="E2029" s="35" t="s">
        <v>702</v>
      </c>
      <c r="F2029" s="35" t="s">
        <v>353</v>
      </c>
      <c r="G2029" s="35" t="s">
        <v>379</v>
      </c>
      <c r="H2029" s="35" t="s">
        <v>335</v>
      </c>
    </row>
    <row r="2030" spans="1:9">
      <c r="A2030" s="34">
        <v>2084056245</v>
      </c>
      <c r="B2030" s="35" t="s">
        <v>462</v>
      </c>
      <c r="C2030" s="35" t="s">
        <v>405</v>
      </c>
      <c r="D2030" s="35" t="s">
        <v>669</v>
      </c>
      <c r="E2030" s="35" t="s">
        <v>702</v>
      </c>
      <c r="F2030" s="35" t="s">
        <v>353</v>
      </c>
      <c r="G2030" s="35" t="s">
        <v>335</v>
      </c>
    </row>
    <row r="2031" spans="1:9">
      <c r="A2031" s="34">
        <v>2084056247</v>
      </c>
      <c r="B2031" s="35" t="s">
        <v>462</v>
      </c>
      <c r="C2031" s="35" t="s">
        <v>405</v>
      </c>
      <c r="D2031" s="35" t="s">
        <v>669</v>
      </c>
      <c r="E2031" s="35" t="s">
        <v>702</v>
      </c>
      <c r="F2031" s="35" t="s">
        <v>335</v>
      </c>
    </row>
    <row r="2032" spans="1:9">
      <c r="A2032" s="34">
        <v>2084308670</v>
      </c>
      <c r="B2032" s="35" t="s">
        <v>462</v>
      </c>
      <c r="C2032" s="35" t="s">
        <v>405</v>
      </c>
      <c r="D2032" s="35" t="s">
        <v>669</v>
      </c>
      <c r="E2032" s="35" t="s">
        <v>703</v>
      </c>
      <c r="F2032" s="35" t="s">
        <v>475</v>
      </c>
    </row>
    <row r="2033" spans="1:8">
      <c r="A2033" s="34">
        <v>2084308671</v>
      </c>
      <c r="B2033" s="35" t="s">
        <v>462</v>
      </c>
      <c r="C2033" s="35" t="s">
        <v>405</v>
      </c>
      <c r="D2033" s="35" t="s">
        <v>669</v>
      </c>
      <c r="E2033" s="35" t="s">
        <v>703</v>
      </c>
      <c r="F2033" s="35" t="s">
        <v>367</v>
      </c>
    </row>
    <row r="2034" spans="1:8">
      <c r="A2034" s="34">
        <v>2084308672</v>
      </c>
      <c r="B2034" s="35" t="s">
        <v>462</v>
      </c>
      <c r="C2034" s="35" t="s">
        <v>405</v>
      </c>
      <c r="D2034" s="35" t="s">
        <v>669</v>
      </c>
      <c r="E2034" s="35" t="s">
        <v>703</v>
      </c>
      <c r="F2034" s="35" t="s">
        <v>401</v>
      </c>
    </row>
    <row r="2035" spans="1:8">
      <c r="A2035" s="34">
        <v>2084308673</v>
      </c>
      <c r="B2035" s="35" t="s">
        <v>462</v>
      </c>
      <c r="C2035" s="35" t="s">
        <v>405</v>
      </c>
      <c r="D2035" s="35" t="s">
        <v>669</v>
      </c>
      <c r="E2035" s="35" t="s">
        <v>703</v>
      </c>
      <c r="F2035" s="35" t="s">
        <v>402</v>
      </c>
    </row>
    <row r="2036" spans="1:8">
      <c r="A2036" s="34">
        <v>2084308675</v>
      </c>
      <c r="B2036" s="35" t="s">
        <v>462</v>
      </c>
      <c r="C2036" s="35" t="s">
        <v>405</v>
      </c>
      <c r="D2036" s="35" t="s">
        <v>669</v>
      </c>
      <c r="E2036" s="35" t="s">
        <v>703</v>
      </c>
      <c r="F2036" s="35" t="s">
        <v>476</v>
      </c>
    </row>
    <row r="2037" spans="1:8">
      <c r="A2037" s="34">
        <v>2084308674</v>
      </c>
      <c r="B2037" s="35" t="s">
        <v>462</v>
      </c>
      <c r="C2037" s="35" t="s">
        <v>405</v>
      </c>
      <c r="D2037" s="35" t="s">
        <v>669</v>
      </c>
      <c r="E2037" s="35" t="s">
        <v>703</v>
      </c>
      <c r="F2037" s="35" t="s">
        <v>477</v>
      </c>
    </row>
    <row r="2038" spans="1:8">
      <c r="A2038" s="34">
        <v>2084308676</v>
      </c>
      <c r="B2038" s="35" t="s">
        <v>462</v>
      </c>
      <c r="C2038" s="35" t="s">
        <v>405</v>
      </c>
      <c r="D2038" s="35" t="s">
        <v>669</v>
      </c>
      <c r="E2038" s="35" t="s">
        <v>703</v>
      </c>
      <c r="F2038" s="35" t="s">
        <v>478</v>
      </c>
    </row>
    <row r="2039" spans="1:8">
      <c r="A2039" s="34">
        <v>2084308677</v>
      </c>
      <c r="B2039" s="35" t="s">
        <v>462</v>
      </c>
      <c r="C2039" s="35" t="s">
        <v>405</v>
      </c>
      <c r="D2039" s="35" t="s">
        <v>669</v>
      </c>
      <c r="E2039" s="35" t="s">
        <v>703</v>
      </c>
      <c r="F2039" s="35" t="s">
        <v>335</v>
      </c>
    </row>
    <row r="2040" spans="1:8">
      <c r="A2040" s="34">
        <v>2084054763</v>
      </c>
      <c r="B2040" s="35" t="s">
        <v>462</v>
      </c>
      <c r="C2040" s="35" t="s">
        <v>405</v>
      </c>
      <c r="D2040" s="35" t="s">
        <v>669</v>
      </c>
      <c r="E2040" s="35" t="s">
        <v>704</v>
      </c>
      <c r="F2040" s="35" t="s">
        <v>475</v>
      </c>
    </row>
    <row r="2041" spans="1:8">
      <c r="A2041" s="34">
        <v>2084054750</v>
      </c>
      <c r="B2041" s="35" t="s">
        <v>462</v>
      </c>
      <c r="C2041" s="35" t="s">
        <v>405</v>
      </c>
      <c r="D2041" s="35" t="s">
        <v>669</v>
      </c>
      <c r="E2041" s="35" t="s">
        <v>704</v>
      </c>
      <c r="F2041" s="35" t="s">
        <v>390</v>
      </c>
      <c r="G2041" s="35" t="s">
        <v>367</v>
      </c>
    </row>
    <row r="2042" spans="1:8">
      <c r="A2042" s="34">
        <v>2084054751</v>
      </c>
      <c r="B2042" s="35" t="s">
        <v>462</v>
      </c>
      <c r="C2042" s="35" t="s">
        <v>405</v>
      </c>
      <c r="D2042" s="35" t="s">
        <v>669</v>
      </c>
      <c r="E2042" s="35" t="s">
        <v>704</v>
      </c>
      <c r="F2042" s="35" t="s">
        <v>390</v>
      </c>
      <c r="G2042" s="35" t="s">
        <v>401</v>
      </c>
    </row>
    <row r="2043" spans="1:8">
      <c r="A2043" s="34">
        <v>2084054757</v>
      </c>
      <c r="B2043" s="35" t="s">
        <v>462</v>
      </c>
      <c r="C2043" s="35" t="s">
        <v>405</v>
      </c>
      <c r="D2043" s="35" t="s">
        <v>669</v>
      </c>
      <c r="E2043" s="35" t="s">
        <v>704</v>
      </c>
      <c r="F2043" s="35" t="s">
        <v>390</v>
      </c>
      <c r="G2043" s="35" t="s">
        <v>10</v>
      </c>
      <c r="H2043" s="35" t="s">
        <v>483</v>
      </c>
    </row>
    <row r="2044" spans="1:8">
      <c r="A2044" s="34">
        <v>2084054754</v>
      </c>
      <c r="B2044" s="35" t="s">
        <v>462</v>
      </c>
      <c r="C2044" s="35" t="s">
        <v>405</v>
      </c>
      <c r="D2044" s="35" t="s">
        <v>669</v>
      </c>
      <c r="E2044" s="35" t="s">
        <v>704</v>
      </c>
      <c r="F2044" s="35" t="s">
        <v>390</v>
      </c>
      <c r="G2044" s="35" t="s">
        <v>10</v>
      </c>
      <c r="H2044" s="35" t="s">
        <v>397</v>
      </c>
    </row>
    <row r="2045" spans="1:8">
      <c r="A2045" s="34">
        <v>2084054756</v>
      </c>
      <c r="B2045" s="35" t="s">
        <v>462</v>
      </c>
      <c r="C2045" s="35" t="s">
        <v>405</v>
      </c>
      <c r="D2045" s="35" t="s">
        <v>669</v>
      </c>
      <c r="E2045" s="35" t="s">
        <v>704</v>
      </c>
      <c r="F2045" s="35" t="s">
        <v>390</v>
      </c>
      <c r="G2045" s="35" t="s">
        <v>10</v>
      </c>
      <c r="H2045" s="35" t="s">
        <v>421</v>
      </c>
    </row>
    <row r="2046" spans="1:8">
      <c r="A2046" s="34">
        <v>2084054753</v>
      </c>
      <c r="B2046" s="35" t="s">
        <v>462</v>
      </c>
      <c r="C2046" s="35" t="s">
        <v>405</v>
      </c>
      <c r="D2046" s="35" t="s">
        <v>669</v>
      </c>
      <c r="E2046" s="35" t="s">
        <v>704</v>
      </c>
      <c r="F2046" s="35" t="s">
        <v>390</v>
      </c>
      <c r="G2046" s="35" t="s">
        <v>10</v>
      </c>
      <c r="H2046" s="35" t="s">
        <v>398</v>
      </c>
    </row>
    <row r="2047" spans="1:8">
      <c r="A2047" s="34">
        <v>2084054755</v>
      </c>
      <c r="B2047" s="35" t="s">
        <v>462</v>
      </c>
      <c r="C2047" s="35" t="s">
        <v>405</v>
      </c>
      <c r="D2047" s="35" t="s">
        <v>669</v>
      </c>
      <c r="E2047" s="35" t="s">
        <v>704</v>
      </c>
      <c r="F2047" s="35" t="s">
        <v>390</v>
      </c>
      <c r="G2047" s="35" t="s">
        <v>10</v>
      </c>
      <c r="H2047" s="35" t="s">
        <v>422</v>
      </c>
    </row>
    <row r="2048" spans="1:8">
      <c r="A2048" s="34">
        <v>2084054758</v>
      </c>
      <c r="B2048" s="35" t="s">
        <v>462</v>
      </c>
      <c r="C2048" s="35" t="s">
        <v>405</v>
      </c>
      <c r="D2048" s="35" t="s">
        <v>669</v>
      </c>
      <c r="E2048" s="35" t="s">
        <v>704</v>
      </c>
      <c r="F2048" s="35" t="s">
        <v>390</v>
      </c>
      <c r="G2048" s="35" t="s">
        <v>10</v>
      </c>
      <c r="H2048" s="35" t="s">
        <v>335</v>
      </c>
    </row>
    <row r="2049" spans="1:8">
      <c r="A2049" s="34">
        <v>2084054760</v>
      </c>
      <c r="B2049" s="35" t="s">
        <v>462</v>
      </c>
      <c r="C2049" s="35" t="s">
        <v>405</v>
      </c>
      <c r="D2049" s="35" t="s">
        <v>669</v>
      </c>
      <c r="E2049" s="35" t="s">
        <v>704</v>
      </c>
      <c r="F2049" s="35" t="s">
        <v>390</v>
      </c>
      <c r="G2049" s="35" t="s">
        <v>379</v>
      </c>
      <c r="H2049" s="35" t="s">
        <v>476</v>
      </c>
    </row>
    <row r="2050" spans="1:8">
      <c r="A2050" s="34">
        <v>2084054761</v>
      </c>
      <c r="B2050" s="35" t="s">
        <v>462</v>
      </c>
      <c r="C2050" s="35" t="s">
        <v>405</v>
      </c>
      <c r="D2050" s="35" t="s">
        <v>669</v>
      </c>
      <c r="E2050" s="35" t="s">
        <v>704</v>
      </c>
      <c r="F2050" s="35" t="s">
        <v>390</v>
      </c>
      <c r="G2050" s="35" t="s">
        <v>379</v>
      </c>
      <c r="H2050" s="35" t="s">
        <v>335</v>
      </c>
    </row>
    <row r="2051" spans="1:8">
      <c r="A2051" s="34">
        <v>2084054762</v>
      </c>
      <c r="B2051" s="35" t="s">
        <v>462</v>
      </c>
      <c r="C2051" s="35" t="s">
        <v>405</v>
      </c>
      <c r="D2051" s="35" t="s">
        <v>669</v>
      </c>
      <c r="E2051" s="35" t="s">
        <v>704</v>
      </c>
      <c r="F2051" s="35" t="s">
        <v>390</v>
      </c>
      <c r="G2051" s="35" t="s">
        <v>335</v>
      </c>
    </row>
    <row r="2052" spans="1:8">
      <c r="A2052" s="34">
        <v>2084054738</v>
      </c>
      <c r="B2052" s="35" t="s">
        <v>462</v>
      </c>
      <c r="C2052" s="35" t="s">
        <v>405</v>
      </c>
      <c r="D2052" s="35" t="s">
        <v>669</v>
      </c>
      <c r="E2052" s="35" t="s">
        <v>704</v>
      </c>
      <c r="F2052" s="35" t="s">
        <v>353</v>
      </c>
      <c r="G2052" s="35" t="s">
        <v>367</v>
      </c>
    </row>
    <row r="2053" spans="1:8">
      <c r="A2053" s="34">
        <v>2084054739</v>
      </c>
      <c r="B2053" s="35" t="s">
        <v>462</v>
      </c>
      <c r="C2053" s="35" t="s">
        <v>405</v>
      </c>
      <c r="D2053" s="35" t="s">
        <v>669</v>
      </c>
      <c r="E2053" s="35" t="s">
        <v>704</v>
      </c>
      <c r="F2053" s="35" t="s">
        <v>353</v>
      </c>
      <c r="G2053" s="35" t="s">
        <v>401</v>
      </c>
    </row>
    <row r="2054" spans="1:8">
      <c r="A2054" s="34">
        <v>2084054745</v>
      </c>
      <c r="B2054" s="35" t="s">
        <v>462</v>
      </c>
      <c r="C2054" s="35" t="s">
        <v>405</v>
      </c>
      <c r="D2054" s="35" t="s">
        <v>669</v>
      </c>
      <c r="E2054" s="35" t="s">
        <v>704</v>
      </c>
      <c r="F2054" s="35" t="s">
        <v>353</v>
      </c>
      <c r="G2054" s="35" t="s">
        <v>10</v>
      </c>
      <c r="H2054" s="35" t="s">
        <v>483</v>
      </c>
    </row>
    <row r="2055" spans="1:8">
      <c r="A2055" s="34">
        <v>2084054742</v>
      </c>
      <c r="B2055" s="35" t="s">
        <v>462</v>
      </c>
      <c r="C2055" s="35" t="s">
        <v>405</v>
      </c>
      <c r="D2055" s="35" t="s">
        <v>669</v>
      </c>
      <c r="E2055" s="35" t="s">
        <v>704</v>
      </c>
      <c r="F2055" s="35" t="s">
        <v>353</v>
      </c>
      <c r="G2055" s="35" t="s">
        <v>10</v>
      </c>
      <c r="H2055" s="35" t="s">
        <v>397</v>
      </c>
    </row>
    <row r="2056" spans="1:8">
      <c r="A2056" s="34">
        <v>2084054744</v>
      </c>
      <c r="B2056" s="35" t="s">
        <v>462</v>
      </c>
      <c r="C2056" s="35" t="s">
        <v>405</v>
      </c>
      <c r="D2056" s="35" t="s">
        <v>669</v>
      </c>
      <c r="E2056" s="35" t="s">
        <v>704</v>
      </c>
      <c r="F2056" s="35" t="s">
        <v>353</v>
      </c>
      <c r="G2056" s="35" t="s">
        <v>10</v>
      </c>
      <c r="H2056" s="35" t="s">
        <v>421</v>
      </c>
    </row>
    <row r="2057" spans="1:8">
      <c r="A2057" s="34">
        <v>2084054741</v>
      </c>
      <c r="B2057" s="35" t="s">
        <v>462</v>
      </c>
      <c r="C2057" s="35" t="s">
        <v>405</v>
      </c>
      <c r="D2057" s="35" t="s">
        <v>669</v>
      </c>
      <c r="E2057" s="35" t="s">
        <v>704</v>
      </c>
      <c r="F2057" s="35" t="s">
        <v>353</v>
      </c>
      <c r="G2057" s="35" t="s">
        <v>10</v>
      </c>
      <c r="H2057" s="35" t="s">
        <v>398</v>
      </c>
    </row>
    <row r="2058" spans="1:8">
      <c r="A2058" s="34">
        <v>2084054743</v>
      </c>
      <c r="B2058" s="35" t="s">
        <v>462</v>
      </c>
      <c r="C2058" s="35" t="s">
        <v>405</v>
      </c>
      <c r="D2058" s="35" t="s">
        <v>669</v>
      </c>
      <c r="E2058" s="35" t="s">
        <v>704</v>
      </c>
      <c r="F2058" s="35" t="s">
        <v>353</v>
      </c>
      <c r="G2058" s="35" t="s">
        <v>10</v>
      </c>
      <c r="H2058" s="35" t="s">
        <v>422</v>
      </c>
    </row>
    <row r="2059" spans="1:8">
      <c r="A2059" s="34">
        <v>2084054746</v>
      </c>
      <c r="B2059" s="35" t="s">
        <v>462</v>
      </c>
      <c r="C2059" s="35" t="s">
        <v>405</v>
      </c>
      <c r="D2059" s="35" t="s">
        <v>669</v>
      </c>
      <c r="E2059" s="35" t="s">
        <v>704</v>
      </c>
      <c r="F2059" s="35" t="s">
        <v>353</v>
      </c>
      <c r="G2059" s="35" t="s">
        <v>10</v>
      </c>
      <c r="H2059" s="35" t="s">
        <v>335</v>
      </c>
    </row>
    <row r="2060" spans="1:8">
      <c r="A2060" s="34">
        <v>2084054747</v>
      </c>
      <c r="B2060" s="35" t="s">
        <v>462</v>
      </c>
      <c r="C2060" s="35" t="s">
        <v>405</v>
      </c>
      <c r="D2060" s="35" t="s">
        <v>669</v>
      </c>
      <c r="E2060" s="35" t="s">
        <v>704</v>
      </c>
      <c r="F2060" s="35" t="s">
        <v>353</v>
      </c>
      <c r="G2060" s="35" t="s">
        <v>403</v>
      </c>
    </row>
    <row r="2061" spans="1:8">
      <c r="A2061" s="34">
        <v>2084054748</v>
      </c>
      <c r="B2061" s="35" t="s">
        <v>462</v>
      </c>
      <c r="C2061" s="35" t="s">
        <v>405</v>
      </c>
      <c r="D2061" s="35" t="s">
        <v>669</v>
      </c>
      <c r="E2061" s="35" t="s">
        <v>704</v>
      </c>
      <c r="F2061" s="35" t="s">
        <v>353</v>
      </c>
      <c r="G2061" s="35" t="s">
        <v>335</v>
      </c>
    </row>
    <row r="2062" spans="1:8">
      <c r="A2062" s="34">
        <v>2084054764</v>
      </c>
      <c r="B2062" s="35" t="s">
        <v>462</v>
      </c>
      <c r="C2062" s="35" t="s">
        <v>405</v>
      </c>
      <c r="D2062" s="35" t="s">
        <v>669</v>
      </c>
      <c r="E2062" s="35" t="s">
        <v>704</v>
      </c>
      <c r="F2062" s="35" t="s">
        <v>335</v>
      </c>
    </row>
    <row r="2063" spans="1:8">
      <c r="A2063" s="34">
        <v>2084283142</v>
      </c>
      <c r="B2063" s="35" t="s">
        <v>462</v>
      </c>
      <c r="C2063" s="35" t="s">
        <v>405</v>
      </c>
      <c r="D2063" s="35" t="s">
        <v>669</v>
      </c>
      <c r="E2063" s="35" t="s">
        <v>705</v>
      </c>
      <c r="F2063" s="35" t="s">
        <v>407</v>
      </c>
    </row>
    <row r="2064" spans="1:8">
      <c r="A2064" s="34">
        <v>2084283141</v>
      </c>
      <c r="B2064" s="35" t="s">
        <v>462</v>
      </c>
      <c r="C2064" s="35" t="s">
        <v>405</v>
      </c>
      <c r="D2064" s="35" t="s">
        <v>669</v>
      </c>
      <c r="E2064" s="35" t="s">
        <v>705</v>
      </c>
      <c r="F2064" s="35" t="s">
        <v>408</v>
      </c>
    </row>
    <row r="2065" spans="1:7">
      <c r="A2065" s="34">
        <v>2084055873</v>
      </c>
      <c r="B2065" s="35" t="s">
        <v>462</v>
      </c>
      <c r="C2065" s="35" t="s">
        <v>405</v>
      </c>
      <c r="D2065" s="35" t="s">
        <v>669</v>
      </c>
      <c r="E2065" s="35" t="s">
        <v>706</v>
      </c>
      <c r="F2065" s="35" t="s">
        <v>367</v>
      </c>
    </row>
    <row r="2066" spans="1:7">
      <c r="A2066" s="34">
        <v>2084055875</v>
      </c>
      <c r="B2066" s="35" t="s">
        <v>462</v>
      </c>
      <c r="C2066" s="35" t="s">
        <v>405</v>
      </c>
      <c r="D2066" s="35" t="s">
        <v>669</v>
      </c>
      <c r="E2066" s="35" t="s">
        <v>706</v>
      </c>
      <c r="F2066" s="35" t="s">
        <v>401</v>
      </c>
    </row>
    <row r="2067" spans="1:7">
      <c r="A2067" s="34">
        <v>2084055880</v>
      </c>
      <c r="B2067" s="35" t="s">
        <v>462</v>
      </c>
      <c r="C2067" s="35" t="s">
        <v>405</v>
      </c>
      <c r="D2067" s="35" t="s">
        <v>669</v>
      </c>
      <c r="E2067" s="35" t="s">
        <v>706</v>
      </c>
      <c r="F2067" s="35" t="s">
        <v>10</v>
      </c>
      <c r="G2067" s="35" t="s">
        <v>483</v>
      </c>
    </row>
    <row r="2068" spans="1:7">
      <c r="A2068" s="34">
        <v>2084055882</v>
      </c>
      <c r="B2068" s="35" t="s">
        <v>462</v>
      </c>
      <c r="C2068" s="35" t="s">
        <v>405</v>
      </c>
      <c r="D2068" s="35" t="s">
        <v>669</v>
      </c>
      <c r="E2068" s="35" t="s">
        <v>706</v>
      </c>
      <c r="F2068" s="35" t="s">
        <v>10</v>
      </c>
      <c r="G2068" s="35" t="s">
        <v>397</v>
      </c>
    </row>
    <row r="2069" spans="1:7">
      <c r="A2069" s="34">
        <v>2084055881</v>
      </c>
      <c r="B2069" s="35" t="s">
        <v>462</v>
      </c>
      <c r="C2069" s="35" t="s">
        <v>405</v>
      </c>
      <c r="D2069" s="35" t="s">
        <v>669</v>
      </c>
      <c r="E2069" s="35" t="s">
        <v>706</v>
      </c>
      <c r="F2069" s="35" t="s">
        <v>10</v>
      </c>
      <c r="G2069" s="35" t="s">
        <v>421</v>
      </c>
    </row>
    <row r="2070" spans="1:7">
      <c r="A2070" s="34">
        <v>2084055884</v>
      </c>
      <c r="B2070" s="35" t="s">
        <v>462</v>
      </c>
      <c r="C2070" s="35" t="s">
        <v>405</v>
      </c>
      <c r="D2070" s="35" t="s">
        <v>669</v>
      </c>
      <c r="E2070" s="35" t="s">
        <v>706</v>
      </c>
      <c r="F2070" s="35" t="s">
        <v>10</v>
      </c>
      <c r="G2070" s="35" t="s">
        <v>398</v>
      </c>
    </row>
    <row r="2071" spans="1:7">
      <c r="A2071" s="34">
        <v>2084055883</v>
      </c>
      <c r="B2071" s="35" t="s">
        <v>462</v>
      </c>
      <c r="C2071" s="35" t="s">
        <v>405</v>
      </c>
      <c r="D2071" s="35" t="s">
        <v>669</v>
      </c>
      <c r="E2071" s="35" t="s">
        <v>706</v>
      </c>
      <c r="F2071" s="35" t="s">
        <v>10</v>
      </c>
      <c r="G2071" s="35" t="s">
        <v>422</v>
      </c>
    </row>
    <row r="2072" spans="1:7">
      <c r="A2072" s="34">
        <v>2084055885</v>
      </c>
      <c r="B2072" s="35" t="s">
        <v>462</v>
      </c>
      <c r="C2072" s="35" t="s">
        <v>405</v>
      </c>
      <c r="D2072" s="35" t="s">
        <v>669</v>
      </c>
      <c r="E2072" s="35" t="s">
        <v>706</v>
      </c>
      <c r="F2072" s="35" t="s">
        <v>10</v>
      </c>
      <c r="G2072" s="35" t="s">
        <v>335</v>
      </c>
    </row>
    <row r="2073" spans="1:7">
      <c r="A2073" s="34">
        <v>2084055878</v>
      </c>
      <c r="B2073" s="35" t="s">
        <v>462</v>
      </c>
      <c r="C2073" s="35" t="s">
        <v>405</v>
      </c>
      <c r="D2073" s="35" t="s">
        <v>669</v>
      </c>
      <c r="E2073" s="35" t="s">
        <v>706</v>
      </c>
      <c r="F2073" s="35" t="s">
        <v>379</v>
      </c>
      <c r="G2073" s="35" t="s">
        <v>476</v>
      </c>
    </row>
    <row r="2074" spans="1:7">
      <c r="A2074" s="34">
        <v>2084055879</v>
      </c>
      <c r="B2074" s="35" t="s">
        <v>462</v>
      </c>
      <c r="C2074" s="35" t="s">
        <v>405</v>
      </c>
      <c r="D2074" s="35" t="s">
        <v>669</v>
      </c>
      <c r="E2074" s="35" t="s">
        <v>706</v>
      </c>
      <c r="F2074" s="35" t="s">
        <v>379</v>
      </c>
      <c r="G2074" s="35" t="s">
        <v>335</v>
      </c>
    </row>
    <row r="2075" spans="1:7">
      <c r="A2075" s="34">
        <v>2084055877</v>
      </c>
      <c r="B2075" s="35" t="s">
        <v>462</v>
      </c>
      <c r="C2075" s="35" t="s">
        <v>405</v>
      </c>
      <c r="D2075" s="35" t="s">
        <v>669</v>
      </c>
      <c r="E2075" s="35" t="s">
        <v>706</v>
      </c>
      <c r="F2075" s="35" t="s">
        <v>335</v>
      </c>
    </row>
    <row r="2076" spans="1:7">
      <c r="A2076" s="34">
        <v>2084244365</v>
      </c>
      <c r="B2076" s="35" t="s">
        <v>462</v>
      </c>
      <c r="C2076" s="35" t="s">
        <v>405</v>
      </c>
      <c r="D2076" s="35" t="s">
        <v>669</v>
      </c>
      <c r="E2076" s="35" t="s">
        <v>707</v>
      </c>
      <c r="F2076" s="35" t="s">
        <v>407</v>
      </c>
    </row>
    <row r="2077" spans="1:7">
      <c r="A2077" s="34">
        <v>2084244364</v>
      </c>
      <c r="B2077" s="35" t="s">
        <v>462</v>
      </c>
      <c r="C2077" s="35" t="s">
        <v>405</v>
      </c>
      <c r="D2077" s="35" t="s">
        <v>669</v>
      </c>
      <c r="E2077" s="35" t="s">
        <v>707</v>
      </c>
      <c r="F2077" s="35" t="s">
        <v>408</v>
      </c>
    </row>
    <row r="2078" spans="1:7">
      <c r="A2078" s="34">
        <v>2084261185</v>
      </c>
      <c r="B2078" s="35" t="s">
        <v>462</v>
      </c>
      <c r="C2078" s="35" t="s">
        <v>405</v>
      </c>
      <c r="D2078" s="35" t="s">
        <v>669</v>
      </c>
      <c r="E2078" s="35" t="s">
        <v>708</v>
      </c>
    </row>
    <row r="2079" spans="1:7">
      <c r="A2079" s="34">
        <v>2084055583</v>
      </c>
      <c r="B2079" s="35" t="s">
        <v>462</v>
      </c>
      <c r="C2079" s="35" t="s">
        <v>405</v>
      </c>
      <c r="D2079" s="35" t="s">
        <v>669</v>
      </c>
      <c r="E2079" s="35" t="s">
        <v>709</v>
      </c>
      <c r="F2079" s="35" t="s">
        <v>475</v>
      </c>
    </row>
    <row r="2080" spans="1:7">
      <c r="A2080" s="34">
        <v>2084055567</v>
      </c>
      <c r="B2080" s="35" t="s">
        <v>462</v>
      </c>
      <c r="C2080" s="35" t="s">
        <v>405</v>
      </c>
      <c r="D2080" s="35" t="s">
        <v>669</v>
      </c>
      <c r="E2080" s="35" t="s">
        <v>709</v>
      </c>
      <c r="F2080" s="35" t="s">
        <v>390</v>
      </c>
      <c r="G2080" s="35" t="s">
        <v>367</v>
      </c>
    </row>
    <row r="2081" spans="1:8">
      <c r="A2081" s="34">
        <v>2084055570</v>
      </c>
      <c r="B2081" s="35" t="s">
        <v>462</v>
      </c>
      <c r="C2081" s="35" t="s">
        <v>405</v>
      </c>
      <c r="D2081" s="35" t="s">
        <v>669</v>
      </c>
      <c r="E2081" s="35" t="s">
        <v>709</v>
      </c>
      <c r="F2081" s="35" t="s">
        <v>390</v>
      </c>
      <c r="G2081" s="35" t="s">
        <v>368</v>
      </c>
      <c r="H2081" s="35" t="s">
        <v>481</v>
      </c>
    </row>
    <row r="2082" spans="1:8">
      <c r="A2082" s="34">
        <v>2084055569</v>
      </c>
      <c r="B2082" s="35" t="s">
        <v>462</v>
      </c>
      <c r="C2082" s="35" t="s">
        <v>405</v>
      </c>
      <c r="D2082" s="35" t="s">
        <v>669</v>
      </c>
      <c r="E2082" s="35" t="s">
        <v>709</v>
      </c>
      <c r="F2082" s="35" t="s">
        <v>390</v>
      </c>
      <c r="G2082" s="35" t="s">
        <v>368</v>
      </c>
      <c r="H2082" s="35" t="s">
        <v>482</v>
      </c>
    </row>
    <row r="2083" spans="1:8">
      <c r="A2083" s="34">
        <v>2084055571</v>
      </c>
      <c r="B2083" s="35" t="s">
        <v>462</v>
      </c>
      <c r="C2083" s="35" t="s">
        <v>405</v>
      </c>
      <c r="D2083" s="35" t="s">
        <v>669</v>
      </c>
      <c r="E2083" s="35" t="s">
        <v>709</v>
      </c>
      <c r="F2083" s="35" t="s">
        <v>390</v>
      </c>
      <c r="G2083" s="35" t="s">
        <v>368</v>
      </c>
      <c r="H2083" s="35" t="s">
        <v>335</v>
      </c>
    </row>
    <row r="2084" spans="1:8">
      <c r="A2084" s="34">
        <v>2084055577</v>
      </c>
      <c r="B2084" s="35" t="s">
        <v>462</v>
      </c>
      <c r="C2084" s="35" t="s">
        <v>405</v>
      </c>
      <c r="D2084" s="35" t="s">
        <v>669</v>
      </c>
      <c r="E2084" s="35" t="s">
        <v>709</v>
      </c>
      <c r="F2084" s="35" t="s">
        <v>390</v>
      </c>
      <c r="G2084" s="35" t="s">
        <v>10</v>
      </c>
      <c r="H2084" s="35" t="s">
        <v>483</v>
      </c>
    </row>
    <row r="2085" spans="1:8">
      <c r="A2085" s="34">
        <v>2084055574</v>
      </c>
      <c r="B2085" s="35" t="s">
        <v>462</v>
      </c>
      <c r="C2085" s="35" t="s">
        <v>405</v>
      </c>
      <c r="D2085" s="35" t="s">
        <v>669</v>
      </c>
      <c r="E2085" s="35" t="s">
        <v>709</v>
      </c>
      <c r="F2085" s="35" t="s">
        <v>390</v>
      </c>
      <c r="G2085" s="35" t="s">
        <v>10</v>
      </c>
      <c r="H2085" s="35" t="s">
        <v>397</v>
      </c>
    </row>
    <row r="2086" spans="1:8">
      <c r="A2086" s="34">
        <v>2084055576</v>
      </c>
      <c r="B2086" s="35" t="s">
        <v>462</v>
      </c>
      <c r="C2086" s="35" t="s">
        <v>405</v>
      </c>
      <c r="D2086" s="35" t="s">
        <v>669</v>
      </c>
      <c r="E2086" s="35" t="s">
        <v>709</v>
      </c>
      <c r="F2086" s="35" t="s">
        <v>390</v>
      </c>
      <c r="G2086" s="35" t="s">
        <v>10</v>
      </c>
      <c r="H2086" s="35" t="s">
        <v>421</v>
      </c>
    </row>
    <row r="2087" spans="1:8">
      <c r="A2087" s="34">
        <v>2084055573</v>
      </c>
      <c r="B2087" s="35" t="s">
        <v>462</v>
      </c>
      <c r="C2087" s="35" t="s">
        <v>405</v>
      </c>
      <c r="D2087" s="35" t="s">
        <v>669</v>
      </c>
      <c r="E2087" s="35" t="s">
        <v>709</v>
      </c>
      <c r="F2087" s="35" t="s">
        <v>390</v>
      </c>
      <c r="G2087" s="35" t="s">
        <v>10</v>
      </c>
      <c r="H2087" s="35" t="s">
        <v>398</v>
      </c>
    </row>
    <row r="2088" spans="1:8">
      <c r="A2088" s="34">
        <v>2084055575</v>
      </c>
      <c r="B2088" s="35" t="s">
        <v>462</v>
      </c>
      <c r="C2088" s="35" t="s">
        <v>405</v>
      </c>
      <c r="D2088" s="35" t="s">
        <v>669</v>
      </c>
      <c r="E2088" s="35" t="s">
        <v>709</v>
      </c>
      <c r="F2088" s="35" t="s">
        <v>390</v>
      </c>
      <c r="G2088" s="35" t="s">
        <v>10</v>
      </c>
      <c r="H2088" s="35" t="s">
        <v>422</v>
      </c>
    </row>
    <row r="2089" spans="1:8">
      <c r="A2089" s="34">
        <v>2084055578</v>
      </c>
      <c r="B2089" s="35" t="s">
        <v>462</v>
      </c>
      <c r="C2089" s="35" t="s">
        <v>405</v>
      </c>
      <c r="D2089" s="35" t="s">
        <v>669</v>
      </c>
      <c r="E2089" s="35" t="s">
        <v>709</v>
      </c>
      <c r="F2089" s="35" t="s">
        <v>390</v>
      </c>
      <c r="G2089" s="35" t="s">
        <v>10</v>
      </c>
      <c r="H2089" s="35" t="s">
        <v>335</v>
      </c>
    </row>
    <row r="2090" spans="1:8">
      <c r="A2090" s="34">
        <v>2084055580</v>
      </c>
      <c r="B2090" s="35" t="s">
        <v>462</v>
      </c>
      <c r="C2090" s="35" t="s">
        <v>405</v>
      </c>
      <c r="D2090" s="35" t="s">
        <v>669</v>
      </c>
      <c r="E2090" s="35" t="s">
        <v>709</v>
      </c>
      <c r="F2090" s="35" t="s">
        <v>390</v>
      </c>
      <c r="G2090" s="35" t="s">
        <v>379</v>
      </c>
      <c r="H2090" s="35" t="s">
        <v>476</v>
      </c>
    </row>
    <row r="2091" spans="1:8">
      <c r="A2091" s="34">
        <v>2084055581</v>
      </c>
      <c r="B2091" s="35" t="s">
        <v>462</v>
      </c>
      <c r="C2091" s="35" t="s">
        <v>405</v>
      </c>
      <c r="D2091" s="35" t="s">
        <v>669</v>
      </c>
      <c r="E2091" s="35" t="s">
        <v>709</v>
      </c>
      <c r="F2091" s="35" t="s">
        <v>390</v>
      </c>
      <c r="G2091" s="35" t="s">
        <v>379</v>
      </c>
      <c r="H2091" s="35" t="s">
        <v>335</v>
      </c>
    </row>
    <row r="2092" spans="1:8">
      <c r="A2092" s="34">
        <v>2084061442</v>
      </c>
      <c r="B2092" s="35" t="s">
        <v>462</v>
      </c>
      <c r="C2092" s="35" t="s">
        <v>405</v>
      </c>
      <c r="D2092" s="35" t="s">
        <v>669</v>
      </c>
      <c r="E2092" s="35" t="s">
        <v>709</v>
      </c>
      <c r="F2092" s="35" t="s">
        <v>390</v>
      </c>
      <c r="G2092" s="35" t="s">
        <v>478</v>
      </c>
    </row>
    <row r="2093" spans="1:8">
      <c r="A2093" s="34">
        <v>2084055582</v>
      </c>
      <c r="B2093" s="35" t="s">
        <v>462</v>
      </c>
      <c r="C2093" s="35" t="s">
        <v>405</v>
      </c>
      <c r="D2093" s="35" t="s">
        <v>669</v>
      </c>
      <c r="E2093" s="35" t="s">
        <v>709</v>
      </c>
      <c r="F2093" s="35" t="s">
        <v>390</v>
      </c>
      <c r="G2093" s="35" t="s">
        <v>335</v>
      </c>
    </row>
    <row r="2094" spans="1:8">
      <c r="A2094" s="34">
        <v>2084055585</v>
      </c>
      <c r="B2094" s="35" t="s">
        <v>462</v>
      </c>
      <c r="C2094" s="35" t="s">
        <v>405</v>
      </c>
      <c r="D2094" s="35" t="s">
        <v>669</v>
      </c>
      <c r="E2094" s="35" t="s">
        <v>709</v>
      </c>
      <c r="F2094" s="35" t="s">
        <v>442</v>
      </c>
      <c r="G2094" s="35" t="s">
        <v>710</v>
      </c>
    </row>
    <row r="2095" spans="1:8">
      <c r="A2095" s="34">
        <v>2084055586</v>
      </c>
      <c r="B2095" s="35" t="s">
        <v>462</v>
      </c>
      <c r="C2095" s="35" t="s">
        <v>405</v>
      </c>
      <c r="D2095" s="35" t="s">
        <v>669</v>
      </c>
      <c r="E2095" s="35" t="s">
        <v>709</v>
      </c>
      <c r="F2095" s="35" t="s">
        <v>442</v>
      </c>
      <c r="G2095" s="35" t="s">
        <v>504</v>
      </c>
    </row>
    <row r="2096" spans="1:8">
      <c r="A2096" s="34">
        <v>2084055587</v>
      </c>
      <c r="B2096" s="35" t="s">
        <v>462</v>
      </c>
      <c r="C2096" s="35" t="s">
        <v>405</v>
      </c>
      <c r="D2096" s="35" t="s">
        <v>669</v>
      </c>
      <c r="E2096" s="35" t="s">
        <v>709</v>
      </c>
      <c r="F2096" s="35" t="s">
        <v>442</v>
      </c>
      <c r="G2096" s="35" t="s">
        <v>335</v>
      </c>
    </row>
    <row r="2097" spans="1:8">
      <c r="A2097" s="34">
        <v>2084055588</v>
      </c>
      <c r="B2097" s="35" t="s">
        <v>462</v>
      </c>
      <c r="C2097" s="35" t="s">
        <v>405</v>
      </c>
      <c r="D2097" s="35" t="s">
        <v>669</v>
      </c>
      <c r="E2097" s="35" t="s">
        <v>709</v>
      </c>
      <c r="F2097" s="35" t="s">
        <v>335</v>
      </c>
    </row>
    <row r="2098" spans="1:8">
      <c r="A2098" s="34">
        <v>2084298374</v>
      </c>
      <c r="B2098" s="35" t="s">
        <v>462</v>
      </c>
      <c r="C2098" s="35" t="s">
        <v>405</v>
      </c>
      <c r="D2098" s="35" t="s">
        <v>669</v>
      </c>
      <c r="E2098" s="35" t="s">
        <v>711</v>
      </c>
    </row>
    <row r="2099" spans="1:8">
      <c r="A2099" s="34">
        <v>2084229890</v>
      </c>
      <c r="B2099" s="35" t="s">
        <v>462</v>
      </c>
      <c r="C2099" s="35" t="s">
        <v>405</v>
      </c>
      <c r="D2099" s="35" t="s">
        <v>669</v>
      </c>
      <c r="E2099" s="35" t="s">
        <v>712</v>
      </c>
    </row>
    <row r="2100" spans="1:8">
      <c r="A2100" s="34">
        <v>2084301211</v>
      </c>
      <c r="B2100" s="35" t="s">
        <v>462</v>
      </c>
      <c r="C2100" s="35" t="s">
        <v>405</v>
      </c>
      <c r="D2100" s="35" t="s">
        <v>669</v>
      </c>
      <c r="E2100" s="35" t="s">
        <v>713</v>
      </c>
    </row>
    <row r="2101" spans="1:8">
      <c r="A2101" s="34">
        <v>2084256952</v>
      </c>
      <c r="B2101" s="35" t="s">
        <v>462</v>
      </c>
      <c r="C2101" s="35" t="s">
        <v>405</v>
      </c>
      <c r="D2101" s="35" t="s">
        <v>669</v>
      </c>
      <c r="E2101" s="35" t="s">
        <v>714</v>
      </c>
    </row>
    <row r="2102" spans="1:8">
      <c r="A2102" s="34">
        <v>2084024285</v>
      </c>
      <c r="B2102" s="35" t="s">
        <v>462</v>
      </c>
      <c r="C2102" s="35" t="s">
        <v>405</v>
      </c>
      <c r="D2102" s="35" t="s">
        <v>669</v>
      </c>
      <c r="E2102" s="35" t="s">
        <v>715</v>
      </c>
      <c r="F2102" s="35" t="s">
        <v>475</v>
      </c>
    </row>
    <row r="2103" spans="1:8">
      <c r="A2103" s="34">
        <v>2084028231</v>
      </c>
      <c r="B2103" s="35" t="s">
        <v>462</v>
      </c>
      <c r="C2103" s="35" t="s">
        <v>405</v>
      </c>
      <c r="D2103" s="35" t="s">
        <v>669</v>
      </c>
      <c r="E2103" s="35" t="s">
        <v>715</v>
      </c>
      <c r="F2103" s="35" t="s">
        <v>390</v>
      </c>
      <c r="G2103" s="35" t="s">
        <v>367</v>
      </c>
    </row>
    <row r="2104" spans="1:8">
      <c r="A2104" s="34">
        <v>2084028783</v>
      </c>
      <c r="B2104" s="35" t="s">
        <v>462</v>
      </c>
      <c r="C2104" s="35" t="s">
        <v>405</v>
      </c>
      <c r="D2104" s="35" t="s">
        <v>669</v>
      </c>
      <c r="E2104" s="35" t="s">
        <v>715</v>
      </c>
      <c r="F2104" s="35" t="s">
        <v>390</v>
      </c>
      <c r="G2104" s="35" t="s">
        <v>368</v>
      </c>
      <c r="H2104" s="35" t="s">
        <v>508</v>
      </c>
    </row>
    <row r="2105" spans="1:8">
      <c r="A2105" s="34">
        <v>2084029316</v>
      </c>
      <c r="B2105" s="35" t="s">
        <v>462</v>
      </c>
      <c r="C2105" s="35" t="s">
        <v>405</v>
      </c>
      <c r="D2105" s="35" t="s">
        <v>669</v>
      </c>
      <c r="E2105" s="35" t="s">
        <v>715</v>
      </c>
      <c r="F2105" s="35" t="s">
        <v>390</v>
      </c>
      <c r="G2105" s="35" t="s">
        <v>368</v>
      </c>
      <c r="H2105" s="35" t="s">
        <v>481</v>
      </c>
    </row>
    <row r="2106" spans="1:8">
      <c r="A2106" s="34">
        <v>2084029867</v>
      </c>
      <c r="B2106" s="35" t="s">
        <v>462</v>
      </c>
      <c r="C2106" s="35" t="s">
        <v>405</v>
      </c>
      <c r="D2106" s="35" t="s">
        <v>669</v>
      </c>
      <c r="E2106" s="35" t="s">
        <v>715</v>
      </c>
      <c r="F2106" s="35" t="s">
        <v>390</v>
      </c>
      <c r="G2106" s="35" t="s">
        <v>368</v>
      </c>
      <c r="H2106" s="35" t="s">
        <v>494</v>
      </c>
    </row>
    <row r="2107" spans="1:8">
      <c r="A2107" s="34">
        <v>2084058737</v>
      </c>
      <c r="B2107" s="35" t="s">
        <v>462</v>
      </c>
      <c r="C2107" s="35" t="s">
        <v>405</v>
      </c>
      <c r="D2107" s="35" t="s">
        <v>669</v>
      </c>
      <c r="E2107" s="35" t="s">
        <v>715</v>
      </c>
      <c r="F2107" s="35" t="s">
        <v>390</v>
      </c>
      <c r="G2107" s="35" t="s">
        <v>368</v>
      </c>
      <c r="H2107" s="35" t="s">
        <v>335</v>
      </c>
    </row>
    <row r="2108" spans="1:8">
      <c r="A2108" s="34">
        <v>2084027332</v>
      </c>
      <c r="B2108" s="35" t="s">
        <v>462</v>
      </c>
      <c r="C2108" s="35" t="s">
        <v>405</v>
      </c>
      <c r="D2108" s="35" t="s">
        <v>669</v>
      </c>
      <c r="E2108" s="35" t="s">
        <v>715</v>
      </c>
      <c r="F2108" s="35" t="s">
        <v>390</v>
      </c>
      <c r="G2108" s="35" t="s">
        <v>10</v>
      </c>
      <c r="H2108" s="35" t="s">
        <v>509</v>
      </c>
    </row>
    <row r="2109" spans="1:8">
      <c r="A2109" s="34">
        <v>2084027825</v>
      </c>
      <c r="B2109" s="35" t="s">
        <v>462</v>
      </c>
      <c r="C2109" s="35" t="s">
        <v>405</v>
      </c>
      <c r="D2109" s="35" t="s">
        <v>669</v>
      </c>
      <c r="E2109" s="35" t="s">
        <v>715</v>
      </c>
      <c r="F2109" s="35" t="s">
        <v>390</v>
      </c>
      <c r="G2109" s="35" t="s">
        <v>10</v>
      </c>
      <c r="H2109" s="35" t="s">
        <v>510</v>
      </c>
    </row>
    <row r="2110" spans="1:8">
      <c r="A2110" s="34">
        <v>2084027857</v>
      </c>
      <c r="B2110" s="35" t="s">
        <v>462</v>
      </c>
      <c r="C2110" s="35" t="s">
        <v>405</v>
      </c>
      <c r="D2110" s="35" t="s">
        <v>669</v>
      </c>
      <c r="E2110" s="35" t="s">
        <v>715</v>
      </c>
      <c r="F2110" s="35" t="s">
        <v>390</v>
      </c>
      <c r="G2110" s="35" t="s">
        <v>10</v>
      </c>
      <c r="H2110" s="35" t="s">
        <v>511</v>
      </c>
    </row>
    <row r="2111" spans="1:8">
      <c r="A2111" s="34">
        <v>2084027937</v>
      </c>
      <c r="B2111" s="35" t="s">
        <v>462</v>
      </c>
      <c r="C2111" s="35" t="s">
        <v>405</v>
      </c>
      <c r="D2111" s="35" t="s">
        <v>669</v>
      </c>
      <c r="E2111" s="35" t="s">
        <v>715</v>
      </c>
      <c r="F2111" s="35" t="s">
        <v>390</v>
      </c>
      <c r="G2111" s="35" t="s">
        <v>10</v>
      </c>
      <c r="H2111" s="35" t="s">
        <v>493</v>
      </c>
    </row>
    <row r="2112" spans="1:8">
      <c r="A2112" s="34">
        <v>2084027456</v>
      </c>
      <c r="B2112" s="35" t="s">
        <v>462</v>
      </c>
      <c r="C2112" s="35" t="s">
        <v>405</v>
      </c>
      <c r="D2112" s="35" t="s">
        <v>669</v>
      </c>
      <c r="E2112" s="35" t="s">
        <v>715</v>
      </c>
      <c r="F2112" s="35" t="s">
        <v>390</v>
      </c>
      <c r="G2112" s="35" t="s">
        <v>10</v>
      </c>
      <c r="H2112" s="35" t="s">
        <v>512</v>
      </c>
    </row>
    <row r="2113" spans="1:8">
      <c r="A2113" s="34">
        <v>2084027623</v>
      </c>
      <c r="B2113" s="35" t="s">
        <v>462</v>
      </c>
      <c r="C2113" s="35" t="s">
        <v>405</v>
      </c>
      <c r="D2113" s="35" t="s">
        <v>669</v>
      </c>
      <c r="E2113" s="35" t="s">
        <v>715</v>
      </c>
      <c r="F2113" s="35" t="s">
        <v>390</v>
      </c>
      <c r="G2113" s="35" t="s">
        <v>10</v>
      </c>
      <c r="H2113" s="35" t="s">
        <v>513</v>
      </c>
    </row>
    <row r="2114" spans="1:8">
      <c r="A2114" s="34">
        <v>2084027967</v>
      </c>
      <c r="B2114" s="35" t="s">
        <v>462</v>
      </c>
      <c r="C2114" s="35" t="s">
        <v>405</v>
      </c>
      <c r="D2114" s="35" t="s">
        <v>669</v>
      </c>
      <c r="E2114" s="35" t="s">
        <v>715</v>
      </c>
      <c r="F2114" s="35" t="s">
        <v>390</v>
      </c>
      <c r="G2114" s="35" t="s">
        <v>10</v>
      </c>
      <c r="H2114" s="35" t="s">
        <v>420</v>
      </c>
    </row>
    <row r="2115" spans="1:8">
      <c r="A2115" s="34">
        <v>2084027245</v>
      </c>
      <c r="B2115" s="35" t="s">
        <v>462</v>
      </c>
      <c r="C2115" s="35" t="s">
        <v>405</v>
      </c>
      <c r="D2115" s="35" t="s">
        <v>669</v>
      </c>
      <c r="E2115" s="35" t="s">
        <v>715</v>
      </c>
      <c r="F2115" s="35" t="s">
        <v>390</v>
      </c>
      <c r="G2115" s="35" t="s">
        <v>10</v>
      </c>
      <c r="H2115" s="35" t="s">
        <v>514</v>
      </c>
    </row>
    <row r="2116" spans="1:8">
      <c r="A2116" s="34">
        <v>2084027421</v>
      </c>
      <c r="B2116" s="35" t="s">
        <v>462</v>
      </c>
      <c r="C2116" s="35" t="s">
        <v>405</v>
      </c>
      <c r="D2116" s="35" t="s">
        <v>669</v>
      </c>
      <c r="E2116" s="35" t="s">
        <v>715</v>
      </c>
      <c r="F2116" s="35" t="s">
        <v>390</v>
      </c>
      <c r="G2116" s="35" t="s">
        <v>10</v>
      </c>
      <c r="H2116" s="35" t="s">
        <v>515</v>
      </c>
    </row>
    <row r="2117" spans="1:8">
      <c r="A2117" s="34">
        <v>2084027490</v>
      </c>
      <c r="B2117" s="35" t="s">
        <v>462</v>
      </c>
      <c r="C2117" s="35" t="s">
        <v>405</v>
      </c>
      <c r="D2117" s="35" t="s">
        <v>669</v>
      </c>
      <c r="E2117" s="35" t="s">
        <v>715</v>
      </c>
      <c r="F2117" s="35" t="s">
        <v>390</v>
      </c>
      <c r="G2117" s="35" t="s">
        <v>10</v>
      </c>
      <c r="H2117" s="35" t="s">
        <v>421</v>
      </c>
    </row>
    <row r="2118" spans="1:8">
      <c r="A2118" s="34">
        <v>2084027701</v>
      </c>
      <c r="B2118" s="35" t="s">
        <v>462</v>
      </c>
      <c r="C2118" s="35" t="s">
        <v>405</v>
      </c>
      <c r="D2118" s="35" t="s">
        <v>669</v>
      </c>
      <c r="E2118" s="35" t="s">
        <v>715</v>
      </c>
      <c r="F2118" s="35" t="s">
        <v>390</v>
      </c>
      <c r="G2118" s="35" t="s">
        <v>10</v>
      </c>
      <c r="H2118" s="35" t="s">
        <v>516</v>
      </c>
    </row>
    <row r="2119" spans="1:8">
      <c r="A2119" s="34">
        <v>2084027218</v>
      </c>
      <c r="B2119" s="35" t="s">
        <v>462</v>
      </c>
      <c r="C2119" s="35" t="s">
        <v>405</v>
      </c>
      <c r="D2119" s="35" t="s">
        <v>669</v>
      </c>
      <c r="E2119" s="35" t="s">
        <v>715</v>
      </c>
      <c r="F2119" s="35" t="s">
        <v>390</v>
      </c>
      <c r="G2119" s="35" t="s">
        <v>10</v>
      </c>
      <c r="H2119" s="35" t="s">
        <v>517</v>
      </c>
    </row>
    <row r="2120" spans="1:8">
      <c r="A2120" s="34">
        <v>2084027387</v>
      </c>
      <c r="B2120" s="35" t="s">
        <v>462</v>
      </c>
      <c r="C2120" s="35" t="s">
        <v>405</v>
      </c>
      <c r="D2120" s="35" t="s">
        <v>669</v>
      </c>
      <c r="E2120" s="35" t="s">
        <v>715</v>
      </c>
      <c r="F2120" s="35" t="s">
        <v>390</v>
      </c>
      <c r="G2120" s="35" t="s">
        <v>10</v>
      </c>
      <c r="H2120" s="35" t="s">
        <v>518</v>
      </c>
    </row>
    <row r="2121" spans="1:8">
      <c r="A2121" s="34">
        <v>2084027567</v>
      </c>
      <c r="B2121" s="35" t="s">
        <v>462</v>
      </c>
      <c r="C2121" s="35" t="s">
        <v>405</v>
      </c>
      <c r="D2121" s="35" t="s">
        <v>669</v>
      </c>
      <c r="E2121" s="35" t="s">
        <v>715</v>
      </c>
      <c r="F2121" s="35" t="s">
        <v>390</v>
      </c>
      <c r="G2121" s="35" t="s">
        <v>10</v>
      </c>
      <c r="H2121" s="35" t="s">
        <v>422</v>
      </c>
    </row>
    <row r="2122" spans="1:8">
      <c r="A2122" s="34">
        <v>2084027751</v>
      </c>
      <c r="B2122" s="35" t="s">
        <v>462</v>
      </c>
      <c r="C2122" s="35" t="s">
        <v>405</v>
      </c>
      <c r="D2122" s="35" t="s">
        <v>669</v>
      </c>
      <c r="E2122" s="35" t="s">
        <v>715</v>
      </c>
      <c r="F2122" s="35" t="s">
        <v>390</v>
      </c>
      <c r="G2122" s="35" t="s">
        <v>10</v>
      </c>
      <c r="H2122" s="35" t="s">
        <v>519</v>
      </c>
    </row>
    <row r="2123" spans="1:8">
      <c r="A2123" s="34">
        <v>2084058739</v>
      </c>
      <c r="B2123" s="35" t="s">
        <v>462</v>
      </c>
      <c r="C2123" s="35" t="s">
        <v>405</v>
      </c>
      <c r="D2123" s="35" t="s">
        <v>669</v>
      </c>
      <c r="E2123" s="35" t="s">
        <v>715</v>
      </c>
      <c r="F2123" s="35" t="s">
        <v>390</v>
      </c>
      <c r="G2123" s="35" t="s">
        <v>10</v>
      </c>
      <c r="H2123" s="35" t="s">
        <v>335</v>
      </c>
    </row>
    <row r="2124" spans="1:8">
      <c r="A2124" s="34">
        <v>2084028027</v>
      </c>
      <c r="B2124" s="35" t="s">
        <v>462</v>
      </c>
      <c r="C2124" s="35" t="s">
        <v>405</v>
      </c>
      <c r="D2124" s="35" t="s">
        <v>669</v>
      </c>
      <c r="E2124" s="35" t="s">
        <v>715</v>
      </c>
      <c r="F2124" s="35" t="s">
        <v>390</v>
      </c>
      <c r="G2124" s="35" t="s">
        <v>379</v>
      </c>
      <c r="H2124" s="35" t="s">
        <v>520</v>
      </c>
    </row>
    <row r="2125" spans="1:8">
      <c r="A2125" s="34">
        <v>2084028062</v>
      </c>
      <c r="B2125" s="35" t="s">
        <v>462</v>
      </c>
      <c r="C2125" s="35" t="s">
        <v>405</v>
      </c>
      <c r="D2125" s="35" t="s">
        <v>669</v>
      </c>
      <c r="E2125" s="35" t="s">
        <v>715</v>
      </c>
      <c r="F2125" s="35" t="s">
        <v>390</v>
      </c>
      <c r="G2125" s="35" t="s">
        <v>379</v>
      </c>
      <c r="H2125" s="35" t="s">
        <v>521</v>
      </c>
    </row>
    <row r="2126" spans="1:8">
      <c r="A2126" s="34">
        <v>2084028162</v>
      </c>
      <c r="B2126" s="35" t="s">
        <v>462</v>
      </c>
      <c r="C2126" s="35" t="s">
        <v>405</v>
      </c>
      <c r="D2126" s="35" t="s">
        <v>669</v>
      </c>
      <c r="E2126" s="35" t="s">
        <v>715</v>
      </c>
      <c r="F2126" s="35" t="s">
        <v>390</v>
      </c>
      <c r="G2126" s="35" t="s">
        <v>379</v>
      </c>
      <c r="H2126" s="35" t="s">
        <v>522</v>
      </c>
    </row>
    <row r="2127" spans="1:8">
      <c r="A2127" s="34">
        <v>2084028435</v>
      </c>
      <c r="B2127" s="35" t="s">
        <v>462</v>
      </c>
      <c r="C2127" s="35" t="s">
        <v>405</v>
      </c>
      <c r="D2127" s="35" t="s">
        <v>669</v>
      </c>
      <c r="E2127" s="35" t="s">
        <v>715</v>
      </c>
      <c r="F2127" s="35" t="s">
        <v>390</v>
      </c>
      <c r="G2127" s="35" t="s">
        <v>379</v>
      </c>
      <c r="H2127" s="35" t="s">
        <v>523</v>
      </c>
    </row>
    <row r="2128" spans="1:8">
      <c r="A2128" s="34">
        <v>2084028101</v>
      </c>
      <c r="B2128" s="35" t="s">
        <v>462</v>
      </c>
      <c r="C2128" s="35" t="s">
        <v>405</v>
      </c>
      <c r="D2128" s="35" t="s">
        <v>669</v>
      </c>
      <c r="E2128" s="35" t="s">
        <v>715</v>
      </c>
      <c r="F2128" s="35" t="s">
        <v>390</v>
      </c>
      <c r="G2128" s="35" t="s">
        <v>379</v>
      </c>
      <c r="H2128" s="35" t="s">
        <v>524</v>
      </c>
    </row>
    <row r="2129" spans="1:8">
      <c r="A2129" s="34">
        <v>2084028267</v>
      </c>
      <c r="B2129" s="35" t="s">
        <v>462</v>
      </c>
      <c r="C2129" s="35" t="s">
        <v>405</v>
      </c>
      <c r="D2129" s="35" t="s">
        <v>669</v>
      </c>
      <c r="E2129" s="35" t="s">
        <v>715</v>
      </c>
      <c r="F2129" s="35" t="s">
        <v>390</v>
      </c>
      <c r="G2129" s="35" t="s">
        <v>379</v>
      </c>
      <c r="H2129" s="35" t="s">
        <v>525</v>
      </c>
    </row>
    <row r="2130" spans="1:8">
      <c r="A2130" s="34">
        <v>2084028469</v>
      </c>
      <c r="B2130" s="35" t="s">
        <v>462</v>
      </c>
      <c r="C2130" s="35" t="s">
        <v>405</v>
      </c>
      <c r="D2130" s="35" t="s">
        <v>669</v>
      </c>
      <c r="E2130" s="35" t="s">
        <v>715</v>
      </c>
      <c r="F2130" s="35" t="s">
        <v>390</v>
      </c>
      <c r="G2130" s="35" t="s">
        <v>379</v>
      </c>
      <c r="H2130" s="35" t="s">
        <v>526</v>
      </c>
    </row>
    <row r="2131" spans="1:8">
      <c r="A2131" s="34">
        <v>2084028292</v>
      </c>
      <c r="B2131" s="35" t="s">
        <v>462</v>
      </c>
      <c r="C2131" s="35" t="s">
        <v>405</v>
      </c>
      <c r="D2131" s="35" t="s">
        <v>669</v>
      </c>
      <c r="E2131" s="35" t="s">
        <v>715</v>
      </c>
      <c r="F2131" s="35" t="s">
        <v>390</v>
      </c>
      <c r="G2131" s="35" t="s">
        <v>379</v>
      </c>
      <c r="H2131" s="35" t="s">
        <v>527</v>
      </c>
    </row>
    <row r="2132" spans="1:8">
      <c r="A2132" s="34">
        <v>2084028504</v>
      </c>
      <c r="B2132" s="35" t="s">
        <v>462</v>
      </c>
      <c r="C2132" s="35" t="s">
        <v>405</v>
      </c>
      <c r="D2132" s="35" t="s">
        <v>669</v>
      </c>
      <c r="E2132" s="35" t="s">
        <v>715</v>
      </c>
      <c r="F2132" s="35" t="s">
        <v>390</v>
      </c>
      <c r="G2132" s="35" t="s">
        <v>379</v>
      </c>
      <c r="H2132" s="35" t="s">
        <v>528</v>
      </c>
    </row>
    <row r="2133" spans="1:8">
      <c r="A2133" s="34">
        <v>2084028380</v>
      </c>
      <c r="B2133" s="35" t="s">
        <v>462</v>
      </c>
      <c r="C2133" s="35" t="s">
        <v>405</v>
      </c>
      <c r="D2133" s="35" t="s">
        <v>669</v>
      </c>
      <c r="E2133" s="35" t="s">
        <v>715</v>
      </c>
      <c r="F2133" s="35" t="s">
        <v>390</v>
      </c>
      <c r="G2133" s="35" t="s">
        <v>379</v>
      </c>
      <c r="H2133" s="35" t="s">
        <v>529</v>
      </c>
    </row>
    <row r="2134" spans="1:8">
      <c r="A2134" s="34">
        <v>2084058741</v>
      </c>
      <c r="B2134" s="35" t="s">
        <v>462</v>
      </c>
      <c r="C2134" s="35" t="s">
        <v>405</v>
      </c>
      <c r="D2134" s="35" t="s">
        <v>669</v>
      </c>
      <c r="E2134" s="35" t="s">
        <v>715</v>
      </c>
      <c r="F2134" s="35" t="s">
        <v>390</v>
      </c>
      <c r="G2134" s="35" t="s">
        <v>379</v>
      </c>
      <c r="H2134" s="35" t="s">
        <v>335</v>
      </c>
    </row>
    <row r="2135" spans="1:8">
      <c r="A2135" s="34">
        <v>2084028544</v>
      </c>
      <c r="B2135" s="35" t="s">
        <v>462</v>
      </c>
      <c r="C2135" s="35" t="s">
        <v>405</v>
      </c>
      <c r="D2135" s="35" t="s">
        <v>669</v>
      </c>
      <c r="E2135" s="35" t="s">
        <v>715</v>
      </c>
      <c r="F2135" s="35" t="s">
        <v>390</v>
      </c>
      <c r="G2135" s="35" t="s">
        <v>530</v>
      </c>
      <c r="H2135" s="35" t="s">
        <v>531</v>
      </c>
    </row>
    <row r="2136" spans="1:8">
      <c r="A2136" s="34">
        <v>2084028638</v>
      </c>
      <c r="B2136" s="35" t="s">
        <v>462</v>
      </c>
      <c r="C2136" s="35" t="s">
        <v>405</v>
      </c>
      <c r="D2136" s="35" t="s">
        <v>669</v>
      </c>
      <c r="E2136" s="35" t="s">
        <v>715</v>
      </c>
      <c r="F2136" s="35" t="s">
        <v>390</v>
      </c>
      <c r="G2136" s="35" t="s">
        <v>530</v>
      </c>
      <c r="H2136" s="35" t="s">
        <v>532</v>
      </c>
    </row>
    <row r="2137" spans="1:8">
      <c r="A2137" s="34">
        <v>2084058743</v>
      </c>
      <c r="B2137" s="35" t="s">
        <v>462</v>
      </c>
      <c r="C2137" s="35" t="s">
        <v>405</v>
      </c>
      <c r="D2137" s="35" t="s">
        <v>669</v>
      </c>
      <c r="E2137" s="35" t="s">
        <v>715</v>
      </c>
      <c r="F2137" s="35" t="s">
        <v>390</v>
      </c>
      <c r="G2137" s="35" t="s">
        <v>530</v>
      </c>
      <c r="H2137" s="35" t="s">
        <v>335</v>
      </c>
    </row>
    <row r="2138" spans="1:8">
      <c r="A2138" s="34">
        <v>2084030046</v>
      </c>
      <c r="B2138" s="35" t="s">
        <v>462</v>
      </c>
      <c r="C2138" s="35" t="s">
        <v>405</v>
      </c>
      <c r="D2138" s="35" t="s">
        <v>669</v>
      </c>
      <c r="E2138" s="35" t="s">
        <v>715</v>
      </c>
      <c r="F2138" s="35" t="s">
        <v>390</v>
      </c>
      <c r="G2138" s="35" t="s">
        <v>533</v>
      </c>
      <c r="H2138" s="35" t="s">
        <v>609</v>
      </c>
    </row>
    <row r="2139" spans="1:8">
      <c r="A2139" s="34">
        <v>2084030130</v>
      </c>
      <c r="B2139" s="35" t="s">
        <v>462</v>
      </c>
      <c r="C2139" s="35" t="s">
        <v>405</v>
      </c>
      <c r="D2139" s="35" t="s">
        <v>669</v>
      </c>
      <c r="E2139" s="35" t="s">
        <v>715</v>
      </c>
      <c r="F2139" s="35" t="s">
        <v>390</v>
      </c>
      <c r="G2139" s="35" t="s">
        <v>533</v>
      </c>
      <c r="H2139" s="35" t="s">
        <v>534</v>
      </c>
    </row>
    <row r="2140" spans="1:8">
      <c r="A2140" s="34">
        <v>2084030164</v>
      </c>
      <c r="B2140" s="35" t="s">
        <v>462</v>
      </c>
      <c r="C2140" s="35" t="s">
        <v>405</v>
      </c>
      <c r="D2140" s="35" t="s">
        <v>669</v>
      </c>
      <c r="E2140" s="35" t="s">
        <v>715</v>
      </c>
      <c r="F2140" s="35" t="s">
        <v>390</v>
      </c>
      <c r="G2140" s="35" t="s">
        <v>533</v>
      </c>
      <c r="H2140" s="35" t="s">
        <v>535</v>
      </c>
    </row>
    <row r="2141" spans="1:8">
      <c r="A2141" s="34">
        <v>2084027151</v>
      </c>
      <c r="B2141" s="35" t="s">
        <v>462</v>
      </c>
      <c r="C2141" s="35" t="s">
        <v>405</v>
      </c>
      <c r="D2141" s="35" t="s">
        <v>669</v>
      </c>
      <c r="E2141" s="35" t="s">
        <v>715</v>
      </c>
      <c r="F2141" s="35" t="s">
        <v>390</v>
      </c>
      <c r="G2141" s="35" t="s">
        <v>533</v>
      </c>
      <c r="H2141" s="35" t="s">
        <v>536</v>
      </c>
    </row>
    <row r="2142" spans="1:8">
      <c r="A2142" s="34">
        <v>2084058745</v>
      </c>
      <c r="B2142" s="35" t="s">
        <v>462</v>
      </c>
      <c r="C2142" s="35" t="s">
        <v>405</v>
      </c>
      <c r="D2142" s="35" t="s">
        <v>669</v>
      </c>
      <c r="E2142" s="35" t="s">
        <v>715</v>
      </c>
      <c r="F2142" s="35" t="s">
        <v>390</v>
      </c>
      <c r="G2142" s="35" t="s">
        <v>533</v>
      </c>
      <c r="H2142" s="35" t="s">
        <v>335</v>
      </c>
    </row>
    <row r="2143" spans="1:8">
      <c r="A2143" s="34">
        <v>2084058777</v>
      </c>
      <c r="B2143" s="35" t="s">
        <v>462</v>
      </c>
      <c r="C2143" s="35" t="s">
        <v>405</v>
      </c>
      <c r="D2143" s="35" t="s">
        <v>669</v>
      </c>
      <c r="E2143" s="35" t="s">
        <v>715</v>
      </c>
      <c r="F2143" s="35" t="s">
        <v>390</v>
      </c>
      <c r="G2143" s="35" t="s">
        <v>335</v>
      </c>
    </row>
    <row r="2144" spans="1:8">
      <c r="A2144" s="34">
        <v>2084050826</v>
      </c>
      <c r="B2144" s="35" t="s">
        <v>462</v>
      </c>
      <c r="C2144" s="35" t="s">
        <v>405</v>
      </c>
      <c r="D2144" s="35" t="s">
        <v>669</v>
      </c>
      <c r="E2144" s="35" t="s">
        <v>715</v>
      </c>
      <c r="F2144" s="35" t="s">
        <v>335</v>
      </c>
    </row>
    <row r="2145" spans="1:8">
      <c r="A2145" s="34">
        <v>2084024332</v>
      </c>
      <c r="B2145" s="35" t="s">
        <v>462</v>
      </c>
      <c r="C2145" s="35" t="s">
        <v>405</v>
      </c>
      <c r="D2145" s="35" t="s">
        <v>669</v>
      </c>
      <c r="E2145" s="35" t="s">
        <v>716</v>
      </c>
    </row>
    <row r="2146" spans="1:8">
      <c r="A2146" s="34">
        <v>2084024275</v>
      </c>
      <c r="B2146" s="35" t="s">
        <v>462</v>
      </c>
      <c r="C2146" s="35" t="s">
        <v>405</v>
      </c>
      <c r="D2146" s="35" t="s">
        <v>669</v>
      </c>
      <c r="E2146" s="35" t="s">
        <v>717</v>
      </c>
      <c r="F2146" s="35" t="s">
        <v>587</v>
      </c>
      <c r="G2146" s="35" t="s">
        <v>718</v>
      </c>
    </row>
    <row r="2147" spans="1:8">
      <c r="A2147" s="34">
        <v>2084024271</v>
      </c>
      <c r="B2147" s="35" t="s">
        <v>462</v>
      </c>
      <c r="C2147" s="35" t="s">
        <v>405</v>
      </c>
      <c r="D2147" s="35" t="s">
        <v>669</v>
      </c>
      <c r="E2147" s="35" t="s">
        <v>717</v>
      </c>
      <c r="F2147" s="35" t="s">
        <v>587</v>
      </c>
      <c r="G2147" s="35" t="s">
        <v>719</v>
      </c>
    </row>
    <row r="2148" spans="1:8">
      <c r="A2148" s="34">
        <v>2084024269</v>
      </c>
      <c r="B2148" s="35" t="s">
        <v>462</v>
      </c>
      <c r="C2148" s="35" t="s">
        <v>405</v>
      </c>
      <c r="D2148" s="35" t="s">
        <v>669</v>
      </c>
      <c r="E2148" s="35" t="s">
        <v>717</v>
      </c>
      <c r="F2148" s="35" t="s">
        <v>587</v>
      </c>
      <c r="G2148" s="35" t="s">
        <v>720</v>
      </c>
    </row>
    <row r="2149" spans="1:8">
      <c r="A2149" s="34">
        <v>2084060612</v>
      </c>
      <c r="B2149" s="35" t="s">
        <v>462</v>
      </c>
      <c r="C2149" s="35" t="s">
        <v>405</v>
      </c>
      <c r="D2149" s="35" t="s">
        <v>669</v>
      </c>
      <c r="E2149" s="35" t="s">
        <v>717</v>
      </c>
      <c r="F2149" s="35" t="s">
        <v>587</v>
      </c>
      <c r="G2149" s="35" t="s">
        <v>721</v>
      </c>
      <c r="H2149" s="35" t="s">
        <v>722</v>
      </c>
    </row>
    <row r="2150" spans="1:8">
      <c r="A2150" s="34">
        <v>2084060613</v>
      </c>
      <c r="B2150" s="35" t="s">
        <v>462</v>
      </c>
      <c r="C2150" s="35" t="s">
        <v>405</v>
      </c>
      <c r="D2150" s="35" t="s">
        <v>669</v>
      </c>
      <c r="E2150" s="35" t="s">
        <v>717</v>
      </c>
      <c r="F2150" s="35" t="s">
        <v>587</v>
      </c>
      <c r="G2150" s="35" t="s">
        <v>721</v>
      </c>
      <c r="H2150" s="35" t="s">
        <v>723</v>
      </c>
    </row>
    <row r="2151" spans="1:8">
      <c r="A2151" s="34">
        <v>2084060614</v>
      </c>
      <c r="B2151" s="35" t="s">
        <v>462</v>
      </c>
      <c r="C2151" s="35" t="s">
        <v>405</v>
      </c>
      <c r="D2151" s="35" t="s">
        <v>669</v>
      </c>
      <c r="E2151" s="35" t="s">
        <v>717</v>
      </c>
      <c r="F2151" s="35" t="s">
        <v>587</v>
      </c>
      <c r="G2151" s="35" t="s">
        <v>721</v>
      </c>
      <c r="H2151" s="35" t="s">
        <v>724</v>
      </c>
    </row>
    <row r="2152" spans="1:8">
      <c r="A2152" s="34">
        <v>2084060615</v>
      </c>
      <c r="B2152" s="35" t="s">
        <v>462</v>
      </c>
      <c r="C2152" s="35" t="s">
        <v>405</v>
      </c>
      <c r="D2152" s="35" t="s">
        <v>669</v>
      </c>
      <c r="E2152" s="35" t="s">
        <v>717</v>
      </c>
      <c r="F2152" s="35" t="s">
        <v>587</v>
      </c>
      <c r="G2152" s="35" t="s">
        <v>721</v>
      </c>
      <c r="H2152" s="35" t="s">
        <v>725</v>
      </c>
    </row>
    <row r="2153" spans="1:8">
      <c r="A2153" s="34">
        <v>2084060616</v>
      </c>
      <c r="B2153" s="35" t="s">
        <v>462</v>
      </c>
      <c r="C2153" s="35" t="s">
        <v>405</v>
      </c>
      <c r="D2153" s="35" t="s">
        <v>669</v>
      </c>
      <c r="E2153" s="35" t="s">
        <v>717</v>
      </c>
      <c r="F2153" s="35" t="s">
        <v>587</v>
      </c>
      <c r="G2153" s="35" t="s">
        <v>721</v>
      </c>
      <c r="H2153" s="35" t="s">
        <v>726</v>
      </c>
    </row>
    <row r="2154" spans="1:8">
      <c r="A2154" s="34">
        <v>2084060617</v>
      </c>
      <c r="B2154" s="35" t="s">
        <v>462</v>
      </c>
      <c r="C2154" s="35" t="s">
        <v>405</v>
      </c>
      <c r="D2154" s="35" t="s">
        <v>669</v>
      </c>
      <c r="E2154" s="35" t="s">
        <v>717</v>
      </c>
      <c r="F2154" s="35" t="s">
        <v>587</v>
      </c>
      <c r="G2154" s="35" t="s">
        <v>721</v>
      </c>
      <c r="H2154" s="35" t="s">
        <v>335</v>
      </c>
    </row>
    <row r="2155" spans="1:8">
      <c r="A2155" s="34">
        <v>2084024270</v>
      </c>
      <c r="B2155" s="35" t="s">
        <v>462</v>
      </c>
      <c r="C2155" s="35" t="s">
        <v>405</v>
      </c>
      <c r="D2155" s="35" t="s">
        <v>669</v>
      </c>
      <c r="E2155" s="35" t="s">
        <v>717</v>
      </c>
      <c r="F2155" s="35" t="s">
        <v>587</v>
      </c>
      <c r="G2155" s="35" t="s">
        <v>727</v>
      </c>
    </row>
    <row r="2156" spans="1:8">
      <c r="A2156" s="34">
        <v>2084024276</v>
      </c>
      <c r="B2156" s="35" t="s">
        <v>462</v>
      </c>
      <c r="C2156" s="35" t="s">
        <v>405</v>
      </c>
      <c r="D2156" s="35" t="s">
        <v>669</v>
      </c>
      <c r="E2156" s="35" t="s">
        <v>717</v>
      </c>
      <c r="F2156" s="35" t="s">
        <v>587</v>
      </c>
      <c r="G2156" s="35" t="s">
        <v>728</v>
      </c>
    </row>
    <row r="2157" spans="1:8">
      <c r="A2157" s="34">
        <v>2084024274</v>
      </c>
      <c r="B2157" s="35" t="s">
        <v>462</v>
      </c>
      <c r="C2157" s="35" t="s">
        <v>405</v>
      </c>
      <c r="D2157" s="35" t="s">
        <v>669</v>
      </c>
      <c r="E2157" s="35" t="s">
        <v>717</v>
      </c>
      <c r="F2157" s="35" t="s">
        <v>587</v>
      </c>
      <c r="G2157" s="35" t="s">
        <v>729</v>
      </c>
    </row>
    <row r="2158" spans="1:8">
      <c r="A2158" s="34">
        <v>2084024273</v>
      </c>
      <c r="B2158" s="35" t="s">
        <v>462</v>
      </c>
      <c r="C2158" s="35" t="s">
        <v>405</v>
      </c>
      <c r="D2158" s="35" t="s">
        <v>669</v>
      </c>
      <c r="E2158" s="35" t="s">
        <v>717</v>
      </c>
      <c r="F2158" s="35" t="s">
        <v>587</v>
      </c>
      <c r="G2158" s="35" t="s">
        <v>730</v>
      </c>
    </row>
    <row r="2159" spans="1:8">
      <c r="A2159" s="34">
        <v>2084024272</v>
      </c>
      <c r="B2159" s="35" t="s">
        <v>462</v>
      </c>
      <c r="C2159" s="35" t="s">
        <v>405</v>
      </c>
      <c r="D2159" s="35" t="s">
        <v>669</v>
      </c>
      <c r="E2159" s="35" t="s">
        <v>717</v>
      </c>
      <c r="F2159" s="35" t="s">
        <v>587</v>
      </c>
      <c r="G2159" s="35" t="s">
        <v>731</v>
      </c>
    </row>
    <row r="2160" spans="1:8">
      <c r="A2160" s="34">
        <v>2084024267</v>
      </c>
      <c r="B2160" s="35" t="s">
        <v>462</v>
      </c>
      <c r="C2160" s="35" t="s">
        <v>405</v>
      </c>
      <c r="D2160" s="35" t="s">
        <v>669</v>
      </c>
      <c r="E2160" s="35" t="s">
        <v>717</v>
      </c>
      <c r="F2160" s="35" t="s">
        <v>587</v>
      </c>
      <c r="G2160" s="35" t="s">
        <v>335</v>
      </c>
    </row>
    <row r="2161" spans="1:8">
      <c r="A2161" s="34">
        <v>2084199168</v>
      </c>
      <c r="B2161" s="35" t="s">
        <v>462</v>
      </c>
      <c r="C2161" s="35" t="s">
        <v>405</v>
      </c>
      <c r="D2161" s="35" t="s">
        <v>669</v>
      </c>
      <c r="E2161" s="35" t="s">
        <v>717</v>
      </c>
      <c r="F2161" s="35" t="s">
        <v>611</v>
      </c>
      <c r="G2161" s="35" t="s">
        <v>407</v>
      </c>
    </row>
    <row r="2162" spans="1:8">
      <c r="A2162" s="34">
        <v>2084199167</v>
      </c>
      <c r="B2162" s="35" t="s">
        <v>462</v>
      </c>
      <c r="C2162" s="35" t="s">
        <v>405</v>
      </c>
      <c r="D2162" s="35" t="s">
        <v>669</v>
      </c>
      <c r="E2162" s="35" t="s">
        <v>717</v>
      </c>
      <c r="F2162" s="35" t="s">
        <v>611</v>
      </c>
      <c r="G2162" s="35" t="s">
        <v>408</v>
      </c>
    </row>
    <row r="2163" spans="1:8">
      <c r="A2163" s="34">
        <v>2084028232</v>
      </c>
      <c r="B2163" s="35" t="s">
        <v>462</v>
      </c>
      <c r="C2163" s="35" t="s">
        <v>405</v>
      </c>
      <c r="D2163" s="35" t="s">
        <v>669</v>
      </c>
      <c r="E2163" s="35" t="s">
        <v>717</v>
      </c>
      <c r="F2163" s="35" t="s">
        <v>390</v>
      </c>
      <c r="G2163" s="35" t="s">
        <v>367</v>
      </c>
    </row>
    <row r="2164" spans="1:8">
      <c r="A2164" s="34">
        <v>2084028784</v>
      </c>
      <c r="B2164" s="35" t="s">
        <v>462</v>
      </c>
      <c r="C2164" s="35" t="s">
        <v>405</v>
      </c>
      <c r="D2164" s="35" t="s">
        <v>669</v>
      </c>
      <c r="E2164" s="35" t="s">
        <v>717</v>
      </c>
      <c r="F2164" s="35" t="s">
        <v>390</v>
      </c>
      <c r="G2164" s="35" t="s">
        <v>368</v>
      </c>
      <c r="H2164" s="35" t="s">
        <v>508</v>
      </c>
    </row>
    <row r="2165" spans="1:8">
      <c r="A2165" s="34">
        <v>2084029317</v>
      </c>
      <c r="B2165" s="35" t="s">
        <v>462</v>
      </c>
      <c r="C2165" s="35" t="s">
        <v>405</v>
      </c>
      <c r="D2165" s="35" t="s">
        <v>669</v>
      </c>
      <c r="E2165" s="35" t="s">
        <v>717</v>
      </c>
      <c r="F2165" s="35" t="s">
        <v>390</v>
      </c>
      <c r="G2165" s="35" t="s">
        <v>368</v>
      </c>
      <c r="H2165" s="35" t="s">
        <v>481</v>
      </c>
    </row>
    <row r="2166" spans="1:8">
      <c r="A2166" s="34">
        <v>2084029868</v>
      </c>
      <c r="B2166" s="35" t="s">
        <v>462</v>
      </c>
      <c r="C2166" s="35" t="s">
        <v>405</v>
      </c>
      <c r="D2166" s="35" t="s">
        <v>669</v>
      </c>
      <c r="E2166" s="35" t="s">
        <v>717</v>
      </c>
      <c r="F2166" s="35" t="s">
        <v>390</v>
      </c>
      <c r="G2166" s="35" t="s">
        <v>368</v>
      </c>
      <c r="H2166" s="35" t="s">
        <v>494</v>
      </c>
    </row>
    <row r="2167" spans="1:8">
      <c r="A2167" s="34">
        <v>2084058747</v>
      </c>
      <c r="B2167" s="35" t="s">
        <v>462</v>
      </c>
      <c r="C2167" s="35" t="s">
        <v>405</v>
      </c>
      <c r="D2167" s="35" t="s">
        <v>669</v>
      </c>
      <c r="E2167" s="35" t="s">
        <v>717</v>
      </c>
      <c r="F2167" s="35" t="s">
        <v>390</v>
      </c>
      <c r="G2167" s="35" t="s">
        <v>368</v>
      </c>
      <c r="H2167" s="35" t="s">
        <v>335</v>
      </c>
    </row>
    <row r="2168" spans="1:8">
      <c r="A2168" s="34">
        <v>2084027333</v>
      </c>
      <c r="B2168" s="35" t="s">
        <v>462</v>
      </c>
      <c r="C2168" s="35" t="s">
        <v>405</v>
      </c>
      <c r="D2168" s="35" t="s">
        <v>669</v>
      </c>
      <c r="E2168" s="35" t="s">
        <v>717</v>
      </c>
      <c r="F2168" s="35" t="s">
        <v>390</v>
      </c>
      <c r="G2168" s="35" t="s">
        <v>10</v>
      </c>
      <c r="H2168" s="35" t="s">
        <v>509</v>
      </c>
    </row>
    <row r="2169" spans="1:8">
      <c r="A2169" s="34">
        <v>2084027826</v>
      </c>
      <c r="B2169" s="35" t="s">
        <v>462</v>
      </c>
      <c r="C2169" s="35" t="s">
        <v>405</v>
      </c>
      <c r="D2169" s="35" t="s">
        <v>669</v>
      </c>
      <c r="E2169" s="35" t="s">
        <v>717</v>
      </c>
      <c r="F2169" s="35" t="s">
        <v>390</v>
      </c>
      <c r="G2169" s="35" t="s">
        <v>10</v>
      </c>
      <c r="H2169" s="35" t="s">
        <v>510</v>
      </c>
    </row>
    <row r="2170" spans="1:8">
      <c r="A2170" s="34">
        <v>2084027858</v>
      </c>
      <c r="B2170" s="35" t="s">
        <v>462</v>
      </c>
      <c r="C2170" s="35" t="s">
        <v>405</v>
      </c>
      <c r="D2170" s="35" t="s">
        <v>669</v>
      </c>
      <c r="E2170" s="35" t="s">
        <v>717</v>
      </c>
      <c r="F2170" s="35" t="s">
        <v>390</v>
      </c>
      <c r="G2170" s="35" t="s">
        <v>10</v>
      </c>
      <c r="H2170" s="35" t="s">
        <v>511</v>
      </c>
    </row>
    <row r="2171" spans="1:8">
      <c r="A2171" s="34">
        <v>2084027938</v>
      </c>
      <c r="B2171" s="35" t="s">
        <v>462</v>
      </c>
      <c r="C2171" s="35" t="s">
        <v>405</v>
      </c>
      <c r="D2171" s="35" t="s">
        <v>669</v>
      </c>
      <c r="E2171" s="35" t="s">
        <v>717</v>
      </c>
      <c r="F2171" s="35" t="s">
        <v>390</v>
      </c>
      <c r="G2171" s="35" t="s">
        <v>10</v>
      </c>
      <c r="H2171" s="35" t="s">
        <v>493</v>
      </c>
    </row>
    <row r="2172" spans="1:8">
      <c r="A2172" s="34">
        <v>2084027457</v>
      </c>
      <c r="B2172" s="35" t="s">
        <v>462</v>
      </c>
      <c r="C2172" s="35" t="s">
        <v>405</v>
      </c>
      <c r="D2172" s="35" t="s">
        <v>669</v>
      </c>
      <c r="E2172" s="35" t="s">
        <v>717</v>
      </c>
      <c r="F2172" s="35" t="s">
        <v>390</v>
      </c>
      <c r="G2172" s="35" t="s">
        <v>10</v>
      </c>
      <c r="H2172" s="35" t="s">
        <v>512</v>
      </c>
    </row>
    <row r="2173" spans="1:8">
      <c r="A2173" s="34">
        <v>2084027624</v>
      </c>
      <c r="B2173" s="35" t="s">
        <v>462</v>
      </c>
      <c r="C2173" s="35" t="s">
        <v>405</v>
      </c>
      <c r="D2173" s="35" t="s">
        <v>669</v>
      </c>
      <c r="E2173" s="35" t="s">
        <v>717</v>
      </c>
      <c r="F2173" s="35" t="s">
        <v>390</v>
      </c>
      <c r="G2173" s="35" t="s">
        <v>10</v>
      </c>
      <c r="H2173" s="35" t="s">
        <v>513</v>
      </c>
    </row>
    <row r="2174" spans="1:8">
      <c r="A2174" s="34">
        <v>2084027968</v>
      </c>
      <c r="B2174" s="35" t="s">
        <v>462</v>
      </c>
      <c r="C2174" s="35" t="s">
        <v>405</v>
      </c>
      <c r="D2174" s="35" t="s">
        <v>669</v>
      </c>
      <c r="E2174" s="35" t="s">
        <v>717</v>
      </c>
      <c r="F2174" s="35" t="s">
        <v>390</v>
      </c>
      <c r="G2174" s="35" t="s">
        <v>10</v>
      </c>
      <c r="H2174" s="35" t="s">
        <v>420</v>
      </c>
    </row>
    <row r="2175" spans="1:8">
      <c r="A2175" s="34">
        <v>2084027246</v>
      </c>
      <c r="B2175" s="35" t="s">
        <v>462</v>
      </c>
      <c r="C2175" s="35" t="s">
        <v>405</v>
      </c>
      <c r="D2175" s="35" t="s">
        <v>669</v>
      </c>
      <c r="E2175" s="35" t="s">
        <v>717</v>
      </c>
      <c r="F2175" s="35" t="s">
        <v>390</v>
      </c>
      <c r="G2175" s="35" t="s">
        <v>10</v>
      </c>
      <c r="H2175" s="35" t="s">
        <v>514</v>
      </c>
    </row>
    <row r="2176" spans="1:8">
      <c r="A2176" s="34">
        <v>2084027422</v>
      </c>
      <c r="B2176" s="35" t="s">
        <v>462</v>
      </c>
      <c r="C2176" s="35" t="s">
        <v>405</v>
      </c>
      <c r="D2176" s="35" t="s">
        <v>669</v>
      </c>
      <c r="E2176" s="35" t="s">
        <v>717</v>
      </c>
      <c r="F2176" s="35" t="s">
        <v>390</v>
      </c>
      <c r="G2176" s="35" t="s">
        <v>10</v>
      </c>
      <c r="H2176" s="35" t="s">
        <v>515</v>
      </c>
    </row>
    <row r="2177" spans="1:8">
      <c r="A2177" s="34">
        <v>2084027491</v>
      </c>
      <c r="B2177" s="35" t="s">
        <v>462</v>
      </c>
      <c r="C2177" s="35" t="s">
        <v>405</v>
      </c>
      <c r="D2177" s="35" t="s">
        <v>669</v>
      </c>
      <c r="E2177" s="35" t="s">
        <v>717</v>
      </c>
      <c r="F2177" s="35" t="s">
        <v>390</v>
      </c>
      <c r="G2177" s="35" t="s">
        <v>10</v>
      </c>
      <c r="H2177" s="35" t="s">
        <v>421</v>
      </c>
    </row>
    <row r="2178" spans="1:8">
      <c r="A2178" s="34">
        <v>2084027702</v>
      </c>
      <c r="B2178" s="35" t="s">
        <v>462</v>
      </c>
      <c r="C2178" s="35" t="s">
        <v>405</v>
      </c>
      <c r="D2178" s="35" t="s">
        <v>669</v>
      </c>
      <c r="E2178" s="35" t="s">
        <v>717</v>
      </c>
      <c r="F2178" s="35" t="s">
        <v>390</v>
      </c>
      <c r="G2178" s="35" t="s">
        <v>10</v>
      </c>
      <c r="H2178" s="35" t="s">
        <v>516</v>
      </c>
    </row>
    <row r="2179" spans="1:8">
      <c r="A2179" s="34">
        <v>2084027219</v>
      </c>
      <c r="B2179" s="35" t="s">
        <v>462</v>
      </c>
      <c r="C2179" s="35" t="s">
        <v>405</v>
      </c>
      <c r="D2179" s="35" t="s">
        <v>669</v>
      </c>
      <c r="E2179" s="35" t="s">
        <v>717</v>
      </c>
      <c r="F2179" s="35" t="s">
        <v>390</v>
      </c>
      <c r="G2179" s="35" t="s">
        <v>10</v>
      </c>
      <c r="H2179" s="35" t="s">
        <v>517</v>
      </c>
    </row>
    <row r="2180" spans="1:8">
      <c r="A2180" s="34">
        <v>2084027388</v>
      </c>
      <c r="B2180" s="35" t="s">
        <v>462</v>
      </c>
      <c r="C2180" s="35" t="s">
        <v>405</v>
      </c>
      <c r="D2180" s="35" t="s">
        <v>669</v>
      </c>
      <c r="E2180" s="35" t="s">
        <v>717</v>
      </c>
      <c r="F2180" s="35" t="s">
        <v>390</v>
      </c>
      <c r="G2180" s="35" t="s">
        <v>10</v>
      </c>
      <c r="H2180" s="35" t="s">
        <v>518</v>
      </c>
    </row>
    <row r="2181" spans="1:8">
      <c r="A2181" s="34">
        <v>2084027568</v>
      </c>
      <c r="B2181" s="35" t="s">
        <v>462</v>
      </c>
      <c r="C2181" s="35" t="s">
        <v>405</v>
      </c>
      <c r="D2181" s="35" t="s">
        <v>669</v>
      </c>
      <c r="E2181" s="35" t="s">
        <v>717</v>
      </c>
      <c r="F2181" s="35" t="s">
        <v>390</v>
      </c>
      <c r="G2181" s="35" t="s">
        <v>10</v>
      </c>
      <c r="H2181" s="35" t="s">
        <v>422</v>
      </c>
    </row>
    <row r="2182" spans="1:8">
      <c r="A2182" s="34">
        <v>2084027752</v>
      </c>
      <c r="B2182" s="35" t="s">
        <v>462</v>
      </c>
      <c r="C2182" s="35" t="s">
        <v>405</v>
      </c>
      <c r="D2182" s="35" t="s">
        <v>669</v>
      </c>
      <c r="E2182" s="35" t="s">
        <v>717</v>
      </c>
      <c r="F2182" s="35" t="s">
        <v>390</v>
      </c>
      <c r="G2182" s="35" t="s">
        <v>10</v>
      </c>
      <c r="H2182" s="35" t="s">
        <v>519</v>
      </c>
    </row>
    <row r="2183" spans="1:8">
      <c r="A2183" s="34">
        <v>2084058749</v>
      </c>
      <c r="B2183" s="35" t="s">
        <v>462</v>
      </c>
      <c r="C2183" s="35" t="s">
        <v>405</v>
      </c>
      <c r="D2183" s="35" t="s">
        <v>669</v>
      </c>
      <c r="E2183" s="35" t="s">
        <v>717</v>
      </c>
      <c r="F2183" s="35" t="s">
        <v>390</v>
      </c>
      <c r="G2183" s="35" t="s">
        <v>10</v>
      </c>
      <c r="H2183" s="35" t="s">
        <v>335</v>
      </c>
    </row>
    <row r="2184" spans="1:8">
      <c r="A2184" s="34">
        <v>2084028063</v>
      </c>
      <c r="B2184" s="35" t="s">
        <v>462</v>
      </c>
      <c r="C2184" s="35" t="s">
        <v>405</v>
      </c>
      <c r="D2184" s="35" t="s">
        <v>669</v>
      </c>
      <c r="E2184" s="35" t="s">
        <v>717</v>
      </c>
      <c r="F2184" s="35" t="s">
        <v>390</v>
      </c>
      <c r="G2184" s="35" t="s">
        <v>379</v>
      </c>
      <c r="H2184" s="35" t="s">
        <v>521</v>
      </c>
    </row>
    <row r="2185" spans="1:8">
      <c r="A2185" s="34">
        <v>2084028163</v>
      </c>
      <c r="B2185" s="35" t="s">
        <v>462</v>
      </c>
      <c r="C2185" s="35" t="s">
        <v>405</v>
      </c>
      <c r="D2185" s="35" t="s">
        <v>669</v>
      </c>
      <c r="E2185" s="35" t="s">
        <v>717</v>
      </c>
      <c r="F2185" s="35" t="s">
        <v>390</v>
      </c>
      <c r="G2185" s="35" t="s">
        <v>379</v>
      </c>
      <c r="H2185" s="35" t="s">
        <v>522</v>
      </c>
    </row>
    <row r="2186" spans="1:8">
      <c r="A2186" s="34">
        <v>2084028436</v>
      </c>
      <c r="B2186" s="35" t="s">
        <v>462</v>
      </c>
      <c r="C2186" s="35" t="s">
        <v>405</v>
      </c>
      <c r="D2186" s="35" t="s">
        <v>669</v>
      </c>
      <c r="E2186" s="35" t="s">
        <v>717</v>
      </c>
      <c r="F2186" s="35" t="s">
        <v>390</v>
      </c>
      <c r="G2186" s="35" t="s">
        <v>379</v>
      </c>
      <c r="H2186" s="35" t="s">
        <v>523</v>
      </c>
    </row>
    <row r="2187" spans="1:8">
      <c r="A2187" s="34">
        <v>2084028102</v>
      </c>
      <c r="B2187" s="35" t="s">
        <v>462</v>
      </c>
      <c r="C2187" s="35" t="s">
        <v>405</v>
      </c>
      <c r="D2187" s="35" t="s">
        <v>669</v>
      </c>
      <c r="E2187" s="35" t="s">
        <v>717</v>
      </c>
      <c r="F2187" s="35" t="s">
        <v>390</v>
      </c>
      <c r="G2187" s="35" t="s">
        <v>379</v>
      </c>
      <c r="H2187" s="35" t="s">
        <v>524</v>
      </c>
    </row>
    <row r="2188" spans="1:8">
      <c r="A2188" s="34">
        <v>2084028268</v>
      </c>
      <c r="B2188" s="35" t="s">
        <v>462</v>
      </c>
      <c r="C2188" s="35" t="s">
        <v>405</v>
      </c>
      <c r="D2188" s="35" t="s">
        <v>669</v>
      </c>
      <c r="E2188" s="35" t="s">
        <v>717</v>
      </c>
      <c r="F2188" s="35" t="s">
        <v>390</v>
      </c>
      <c r="G2188" s="35" t="s">
        <v>379</v>
      </c>
      <c r="H2188" s="35" t="s">
        <v>525</v>
      </c>
    </row>
    <row r="2189" spans="1:8">
      <c r="A2189" s="34">
        <v>2084028470</v>
      </c>
      <c r="B2189" s="35" t="s">
        <v>462</v>
      </c>
      <c r="C2189" s="35" t="s">
        <v>405</v>
      </c>
      <c r="D2189" s="35" t="s">
        <v>669</v>
      </c>
      <c r="E2189" s="35" t="s">
        <v>717</v>
      </c>
      <c r="F2189" s="35" t="s">
        <v>390</v>
      </c>
      <c r="G2189" s="35" t="s">
        <v>379</v>
      </c>
      <c r="H2189" s="35" t="s">
        <v>526</v>
      </c>
    </row>
    <row r="2190" spans="1:8">
      <c r="A2190" s="34">
        <v>2084028293</v>
      </c>
      <c r="B2190" s="35" t="s">
        <v>462</v>
      </c>
      <c r="C2190" s="35" t="s">
        <v>405</v>
      </c>
      <c r="D2190" s="35" t="s">
        <v>669</v>
      </c>
      <c r="E2190" s="35" t="s">
        <v>717</v>
      </c>
      <c r="F2190" s="35" t="s">
        <v>390</v>
      </c>
      <c r="G2190" s="35" t="s">
        <v>379</v>
      </c>
      <c r="H2190" s="35" t="s">
        <v>527</v>
      </c>
    </row>
    <row r="2191" spans="1:8">
      <c r="A2191" s="34">
        <v>2084028505</v>
      </c>
      <c r="B2191" s="35" t="s">
        <v>462</v>
      </c>
      <c r="C2191" s="35" t="s">
        <v>405</v>
      </c>
      <c r="D2191" s="35" t="s">
        <v>669</v>
      </c>
      <c r="E2191" s="35" t="s">
        <v>717</v>
      </c>
      <c r="F2191" s="35" t="s">
        <v>390</v>
      </c>
      <c r="G2191" s="35" t="s">
        <v>379</v>
      </c>
      <c r="H2191" s="35" t="s">
        <v>528</v>
      </c>
    </row>
    <row r="2192" spans="1:8">
      <c r="A2192" s="34">
        <v>2084028381</v>
      </c>
      <c r="B2192" s="35" t="s">
        <v>462</v>
      </c>
      <c r="C2192" s="35" t="s">
        <v>405</v>
      </c>
      <c r="D2192" s="35" t="s">
        <v>669</v>
      </c>
      <c r="E2192" s="35" t="s">
        <v>717</v>
      </c>
      <c r="F2192" s="35" t="s">
        <v>390</v>
      </c>
      <c r="G2192" s="35" t="s">
        <v>379</v>
      </c>
      <c r="H2192" s="35" t="s">
        <v>529</v>
      </c>
    </row>
    <row r="2193" spans="1:8">
      <c r="A2193" s="34">
        <v>2084058751</v>
      </c>
      <c r="B2193" s="35" t="s">
        <v>462</v>
      </c>
      <c r="C2193" s="35" t="s">
        <v>405</v>
      </c>
      <c r="D2193" s="35" t="s">
        <v>669</v>
      </c>
      <c r="E2193" s="35" t="s">
        <v>717</v>
      </c>
      <c r="F2193" s="35" t="s">
        <v>390</v>
      </c>
      <c r="G2193" s="35" t="s">
        <v>379</v>
      </c>
      <c r="H2193" s="35" t="s">
        <v>335</v>
      </c>
    </row>
    <row r="2194" spans="1:8">
      <c r="A2194" s="34">
        <v>2084028545</v>
      </c>
      <c r="B2194" s="35" t="s">
        <v>462</v>
      </c>
      <c r="C2194" s="35" t="s">
        <v>405</v>
      </c>
      <c r="D2194" s="35" t="s">
        <v>669</v>
      </c>
      <c r="E2194" s="35" t="s">
        <v>717</v>
      </c>
      <c r="F2194" s="35" t="s">
        <v>390</v>
      </c>
      <c r="G2194" s="35" t="s">
        <v>530</v>
      </c>
      <c r="H2194" s="35" t="s">
        <v>531</v>
      </c>
    </row>
    <row r="2195" spans="1:8">
      <c r="A2195" s="34">
        <v>2084028639</v>
      </c>
      <c r="B2195" s="35" t="s">
        <v>462</v>
      </c>
      <c r="C2195" s="35" t="s">
        <v>405</v>
      </c>
      <c r="D2195" s="35" t="s">
        <v>669</v>
      </c>
      <c r="E2195" s="35" t="s">
        <v>717</v>
      </c>
      <c r="F2195" s="35" t="s">
        <v>390</v>
      </c>
      <c r="G2195" s="35" t="s">
        <v>530</v>
      </c>
      <c r="H2195" s="35" t="s">
        <v>532</v>
      </c>
    </row>
    <row r="2196" spans="1:8">
      <c r="A2196" s="34">
        <v>2084058753</v>
      </c>
      <c r="B2196" s="35" t="s">
        <v>462</v>
      </c>
      <c r="C2196" s="35" t="s">
        <v>405</v>
      </c>
      <c r="D2196" s="35" t="s">
        <v>669</v>
      </c>
      <c r="E2196" s="35" t="s">
        <v>717</v>
      </c>
      <c r="F2196" s="35" t="s">
        <v>390</v>
      </c>
      <c r="G2196" s="35" t="s">
        <v>530</v>
      </c>
      <c r="H2196" s="35" t="s">
        <v>335</v>
      </c>
    </row>
    <row r="2197" spans="1:8">
      <c r="A2197" s="34">
        <v>2084030047</v>
      </c>
      <c r="B2197" s="35" t="s">
        <v>462</v>
      </c>
      <c r="C2197" s="35" t="s">
        <v>405</v>
      </c>
      <c r="D2197" s="35" t="s">
        <v>669</v>
      </c>
      <c r="E2197" s="35" t="s">
        <v>717</v>
      </c>
      <c r="F2197" s="35" t="s">
        <v>390</v>
      </c>
      <c r="G2197" s="35" t="s">
        <v>533</v>
      </c>
      <c r="H2197" s="35" t="s">
        <v>609</v>
      </c>
    </row>
    <row r="2198" spans="1:8">
      <c r="A2198" s="34">
        <v>2084030131</v>
      </c>
      <c r="B2198" s="35" t="s">
        <v>462</v>
      </c>
      <c r="C2198" s="35" t="s">
        <v>405</v>
      </c>
      <c r="D2198" s="35" t="s">
        <v>669</v>
      </c>
      <c r="E2198" s="35" t="s">
        <v>717</v>
      </c>
      <c r="F2198" s="35" t="s">
        <v>390</v>
      </c>
      <c r="G2198" s="35" t="s">
        <v>533</v>
      </c>
      <c r="H2198" s="35" t="s">
        <v>534</v>
      </c>
    </row>
    <row r="2199" spans="1:8">
      <c r="A2199" s="34">
        <v>2084030165</v>
      </c>
      <c r="B2199" s="35" t="s">
        <v>462</v>
      </c>
      <c r="C2199" s="35" t="s">
        <v>405</v>
      </c>
      <c r="D2199" s="35" t="s">
        <v>669</v>
      </c>
      <c r="E2199" s="35" t="s">
        <v>717</v>
      </c>
      <c r="F2199" s="35" t="s">
        <v>390</v>
      </c>
      <c r="G2199" s="35" t="s">
        <v>533</v>
      </c>
      <c r="H2199" s="35" t="s">
        <v>535</v>
      </c>
    </row>
    <row r="2200" spans="1:8">
      <c r="A2200" s="34">
        <v>2084027152</v>
      </c>
      <c r="B2200" s="35" t="s">
        <v>462</v>
      </c>
      <c r="C2200" s="35" t="s">
        <v>405</v>
      </c>
      <c r="D2200" s="35" t="s">
        <v>669</v>
      </c>
      <c r="E2200" s="35" t="s">
        <v>717</v>
      </c>
      <c r="F2200" s="35" t="s">
        <v>390</v>
      </c>
      <c r="G2200" s="35" t="s">
        <v>533</v>
      </c>
      <c r="H2200" s="35" t="s">
        <v>536</v>
      </c>
    </row>
    <row r="2201" spans="1:8">
      <c r="A2201" s="34">
        <v>2084058755</v>
      </c>
      <c r="B2201" s="35" t="s">
        <v>462</v>
      </c>
      <c r="C2201" s="35" t="s">
        <v>405</v>
      </c>
      <c r="D2201" s="35" t="s">
        <v>669</v>
      </c>
      <c r="E2201" s="35" t="s">
        <v>717</v>
      </c>
      <c r="F2201" s="35" t="s">
        <v>390</v>
      </c>
      <c r="G2201" s="35" t="s">
        <v>533</v>
      </c>
      <c r="H2201" s="35" t="s">
        <v>335</v>
      </c>
    </row>
    <row r="2202" spans="1:8">
      <c r="A2202" s="34">
        <v>2084051539</v>
      </c>
      <c r="B2202" s="35" t="s">
        <v>462</v>
      </c>
      <c r="C2202" s="35" t="s">
        <v>405</v>
      </c>
      <c r="D2202" s="35" t="s">
        <v>669</v>
      </c>
      <c r="E2202" s="35" t="s">
        <v>717</v>
      </c>
      <c r="F2202" s="35" t="s">
        <v>390</v>
      </c>
      <c r="G2202" s="35" t="s">
        <v>335</v>
      </c>
    </row>
    <row r="2203" spans="1:8">
      <c r="A2203" s="34">
        <v>2084030710</v>
      </c>
      <c r="B2203" s="35" t="s">
        <v>462</v>
      </c>
      <c r="C2203" s="35" t="s">
        <v>405</v>
      </c>
      <c r="D2203" s="35" t="s">
        <v>669</v>
      </c>
      <c r="E2203" s="35" t="s">
        <v>717</v>
      </c>
      <c r="F2203" s="35" t="s">
        <v>353</v>
      </c>
      <c r="G2203" s="35" t="s">
        <v>368</v>
      </c>
      <c r="H2203" s="35" t="s">
        <v>481</v>
      </c>
    </row>
    <row r="2204" spans="1:8">
      <c r="A2204" s="34">
        <v>2084051534</v>
      </c>
      <c r="B2204" s="35" t="s">
        <v>462</v>
      </c>
      <c r="C2204" s="35" t="s">
        <v>405</v>
      </c>
      <c r="D2204" s="35" t="s">
        <v>669</v>
      </c>
      <c r="E2204" s="35" t="s">
        <v>717</v>
      </c>
      <c r="F2204" s="35" t="s">
        <v>353</v>
      </c>
      <c r="G2204" s="35" t="s">
        <v>368</v>
      </c>
      <c r="H2204" s="35" t="s">
        <v>335</v>
      </c>
    </row>
    <row r="2205" spans="1:8">
      <c r="A2205" s="34">
        <v>2084031502</v>
      </c>
      <c r="B2205" s="35" t="s">
        <v>462</v>
      </c>
      <c r="C2205" s="35" t="s">
        <v>405</v>
      </c>
      <c r="D2205" s="35" t="s">
        <v>669</v>
      </c>
      <c r="E2205" s="35" t="s">
        <v>717</v>
      </c>
      <c r="F2205" s="35" t="s">
        <v>353</v>
      </c>
      <c r="G2205" s="35" t="s">
        <v>10</v>
      </c>
      <c r="H2205" s="35" t="s">
        <v>397</v>
      </c>
    </row>
    <row r="2206" spans="1:8">
      <c r="A2206" s="34">
        <v>2084030410</v>
      </c>
      <c r="B2206" s="35" t="s">
        <v>462</v>
      </c>
      <c r="C2206" s="35" t="s">
        <v>405</v>
      </c>
      <c r="D2206" s="35" t="s">
        <v>669</v>
      </c>
      <c r="E2206" s="35" t="s">
        <v>717</v>
      </c>
      <c r="F2206" s="35" t="s">
        <v>353</v>
      </c>
      <c r="G2206" s="35" t="s">
        <v>10</v>
      </c>
      <c r="H2206" s="35" t="s">
        <v>421</v>
      </c>
    </row>
    <row r="2207" spans="1:8">
      <c r="A2207" s="34">
        <v>2084031578</v>
      </c>
      <c r="B2207" s="35" t="s">
        <v>462</v>
      </c>
      <c r="C2207" s="35" t="s">
        <v>405</v>
      </c>
      <c r="D2207" s="35" t="s">
        <v>669</v>
      </c>
      <c r="E2207" s="35" t="s">
        <v>717</v>
      </c>
      <c r="F2207" s="35" t="s">
        <v>353</v>
      </c>
      <c r="G2207" s="35" t="s">
        <v>10</v>
      </c>
      <c r="H2207" s="35" t="s">
        <v>398</v>
      </c>
    </row>
    <row r="2208" spans="1:8">
      <c r="A2208" s="34">
        <v>2084030349</v>
      </c>
      <c r="B2208" s="35" t="s">
        <v>462</v>
      </c>
      <c r="C2208" s="35" t="s">
        <v>405</v>
      </c>
      <c r="D2208" s="35" t="s">
        <v>669</v>
      </c>
      <c r="E2208" s="35" t="s">
        <v>717</v>
      </c>
      <c r="F2208" s="35" t="s">
        <v>353</v>
      </c>
      <c r="G2208" s="35" t="s">
        <v>10</v>
      </c>
      <c r="H2208" s="35" t="s">
        <v>422</v>
      </c>
    </row>
    <row r="2209" spans="1:8">
      <c r="A2209" s="34">
        <v>2084031608</v>
      </c>
      <c r="B2209" s="35" t="s">
        <v>462</v>
      </c>
      <c r="C2209" s="35" t="s">
        <v>405</v>
      </c>
      <c r="D2209" s="35" t="s">
        <v>669</v>
      </c>
      <c r="E2209" s="35" t="s">
        <v>717</v>
      </c>
      <c r="F2209" s="35" t="s">
        <v>353</v>
      </c>
      <c r="G2209" s="35" t="s">
        <v>10</v>
      </c>
      <c r="H2209" s="35" t="s">
        <v>483</v>
      </c>
    </row>
    <row r="2210" spans="1:8">
      <c r="A2210" s="34">
        <v>2084051536</v>
      </c>
      <c r="B2210" s="35" t="s">
        <v>462</v>
      </c>
      <c r="C2210" s="35" t="s">
        <v>405</v>
      </c>
      <c r="D2210" s="35" t="s">
        <v>669</v>
      </c>
      <c r="E2210" s="35" t="s">
        <v>717</v>
      </c>
      <c r="F2210" s="35" t="s">
        <v>353</v>
      </c>
      <c r="G2210" s="35" t="s">
        <v>10</v>
      </c>
      <c r="H2210" s="35" t="s">
        <v>335</v>
      </c>
    </row>
    <row r="2211" spans="1:8">
      <c r="A2211" s="34">
        <v>2084051537</v>
      </c>
      <c r="B2211" s="35" t="s">
        <v>462</v>
      </c>
      <c r="C2211" s="35" t="s">
        <v>405</v>
      </c>
      <c r="D2211" s="35" t="s">
        <v>669</v>
      </c>
      <c r="E2211" s="35" t="s">
        <v>717</v>
      </c>
      <c r="F2211" s="35" t="s">
        <v>353</v>
      </c>
      <c r="G2211" s="35" t="s">
        <v>403</v>
      </c>
    </row>
    <row r="2212" spans="1:8">
      <c r="A2212" s="34">
        <v>2084051538</v>
      </c>
      <c r="B2212" s="35" t="s">
        <v>462</v>
      </c>
      <c r="C2212" s="35" t="s">
        <v>405</v>
      </c>
      <c r="D2212" s="35" t="s">
        <v>669</v>
      </c>
      <c r="E2212" s="35" t="s">
        <v>717</v>
      </c>
      <c r="F2212" s="35" t="s">
        <v>353</v>
      </c>
      <c r="G2212" s="35" t="s">
        <v>335</v>
      </c>
    </row>
    <row r="2213" spans="1:8">
      <c r="A2213" s="34">
        <v>2084283718</v>
      </c>
      <c r="B2213" s="35" t="s">
        <v>462</v>
      </c>
      <c r="C2213" s="35" t="s">
        <v>405</v>
      </c>
      <c r="D2213" s="35" t="s">
        <v>669</v>
      </c>
      <c r="E2213" s="35" t="s">
        <v>717</v>
      </c>
      <c r="F2213" s="35" t="s">
        <v>442</v>
      </c>
      <c r="G2213" s="35" t="s">
        <v>732</v>
      </c>
    </row>
    <row r="2214" spans="1:8">
      <c r="A2214" s="34">
        <v>2084031399</v>
      </c>
      <c r="B2214" s="35" t="s">
        <v>462</v>
      </c>
      <c r="C2214" s="35" t="s">
        <v>405</v>
      </c>
      <c r="D2214" s="35" t="s">
        <v>669</v>
      </c>
      <c r="E2214" s="35" t="s">
        <v>717</v>
      </c>
      <c r="F2214" s="35" t="s">
        <v>442</v>
      </c>
      <c r="G2214" s="35" t="s">
        <v>569</v>
      </c>
    </row>
    <row r="2215" spans="1:8">
      <c r="A2215" s="34">
        <v>2084025205</v>
      </c>
      <c r="B2215" s="35" t="s">
        <v>462</v>
      </c>
      <c r="C2215" s="35" t="s">
        <v>405</v>
      </c>
      <c r="D2215" s="35" t="s">
        <v>669</v>
      </c>
      <c r="E2215" s="35" t="s">
        <v>717</v>
      </c>
      <c r="F2215" s="35" t="s">
        <v>442</v>
      </c>
      <c r="G2215" s="35" t="s">
        <v>538</v>
      </c>
    </row>
    <row r="2216" spans="1:8">
      <c r="A2216" s="34">
        <v>2084025383</v>
      </c>
      <c r="B2216" s="35" t="s">
        <v>462</v>
      </c>
      <c r="C2216" s="35" t="s">
        <v>405</v>
      </c>
      <c r="D2216" s="35" t="s">
        <v>669</v>
      </c>
      <c r="E2216" s="35" t="s">
        <v>717</v>
      </c>
      <c r="F2216" s="35" t="s">
        <v>442</v>
      </c>
      <c r="G2216" s="35" t="s">
        <v>539</v>
      </c>
    </row>
    <row r="2217" spans="1:8">
      <c r="A2217" s="34">
        <v>2084051540</v>
      </c>
      <c r="B2217" s="35" t="s">
        <v>462</v>
      </c>
      <c r="C2217" s="35" t="s">
        <v>405</v>
      </c>
      <c r="D2217" s="35" t="s">
        <v>669</v>
      </c>
      <c r="E2217" s="35" t="s">
        <v>717</v>
      </c>
      <c r="F2217" s="35" t="s">
        <v>442</v>
      </c>
      <c r="G2217" s="35" t="s">
        <v>335</v>
      </c>
    </row>
    <row r="2218" spans="1:8">
      <c r="A2218" s="34">
        <v>2084048788</v>
      </c>
      <c r="B2218" s="35" t="s">
        <v>462</v>
      </c>
      <c r="C2218" s="35" t="s">
        <v>405</v>
      </c>
      <c r="D2218" s="35" t="s">
        <v>669</v>
      </c>
      <c r="E2218" s="35" t="s">
        <v>717</v>
      </c>
      <c r="F2218" s="35" t="s">
        <v>335</v>
      </c>
    </row>
    <row r="2219" spans="1:8">
      <c r="A2219" s="34">
        <v>2084050193</v>
      </c>
      <c r="B2219" s="35" t="s">
        <v>462</v>
      </c>
      <c r="C2219" s="35" t="s">
        <v>405</v>
      </c>
      <c r="D2219" s="35" t="s">
        <v>669</v>
      </c>
      <c r="E2219" s="35" t="s">
        <v>733</v>
      </c>
    </row>
    <row r="2220" spans="1:8">
      <c r="A2220" s="34">
        <v>2084308678</v>
      </c>
      <c r="B2220" s="35" t="s">
        <v>462</v>
      </c>
      <c r="C2220" s="35" t="s">
        <v>405</v>
      </c>
      <c r="D2220" s="35" t="s">
        <v>669</v>
      </c>
      <c r="E2220" s="35" t="s">
        <v>734</v>
      </c>
      <c r="F2220" s="35" t="s">
        <v>367</v>
      </c>
    </row>
    <row r="2221" spans="1:8">
      <c r="A2221" s="34">
        <v>2084308679</v>
      </c>
      <c r="B2221" s="35" t="s">
        <v>462</v>
      </c>
      <c r="C2221" s="35" t="s">
        <v>405</v>
      </c>
      <c r="D2221" s="35" t="s">
        <v>669</v>
      </c>
      <c r="E2221" s="35" t="s">
        <v>734</v>
      </c>
      <c r="F2221" s="35" t="s">
        <v>401</v>
      </c>
    </row>
    <row r="2222" spans="1:8">
      <c r="A2222" s="34">
        <v>2084308683</v>
      </c>
      <c r="B2222" s="35" t="s">
        <v>462</v>
      </c>
      <c r="C2222" s="35" t="s">
        <v>405</v>
      </c>
      <c r="D2222" s="35" t="s">
        <v>669</v>
      </c>
      <c r="E2222" s="35" t="s">
        <v>734</v>
      </c>
      <c r="F2222" s="35" t="s">
        <v>420</v>
      </c>
    </row>
    <row r="2223" spans="1:8">
      <c r="A2223" s="34">
        <v>2084308680</v>
      </c>
      <c r="B2223" s="35" t="s">
        <v>462</v>
      </c>
      <c r="C2223" s="35" t="s">
        <v>405</v>
      </c>
      <c r="D2223" s="35" t="s">
        <v>669</v>
      </c>
      <c r="E2223" s="35" t="s">
        <v>734</v>
      </c>
      <c r="F2223" s="35" t="s">
        <v>421</v>
      </c>
    </row>
    <row r="2224" spans="1:8">
      <c r="A2224" s="34">
        <v>2084308682</v>
      </c>
      <c r="B2224" s="35" t="s">
        <v>462</v>
      </c>
      <c r="C2224" s="35" t="s">
        <v>405</v>
      </c>
      <c r="D2224" s="35" t="s">
        <v>669</v>
      </c>
      <c r="E2224" s="35" t="s">
        <v>734</v>
      </c>
      <c r="F2224" s="35" t="s">
        <v>422</v>
      </c>
    </row>
    <row r="2225" spans="1:8">
      <c r="A2225" s="34">
        <v>2084308681</v>
      </c>
      <c r="B2225" s="35" t="s">
        <v>462</v>
      </c>
      <c r="C2225" s="35" t="s">
        <v>405</v>
      </c>
      <c r="D2225" s="35" t="s">
        <v>669</v>
      </c>
      <c r="E2225" s="35" t="s">
        <v>734</v>
      </c>
      <c r="F2225" s="35" t="s">
        <v>477</v>
      </c>
    </row>
    <row r="2226" spans="1:8">
      <c r="A2226" s="34">
        <v>2084308684</v>
      </c>
      <c r="B2226" s="35" t="s">
        <v>462</v>
      </c>
      <c r="C2226" s="35" t="s">
        <v>405</v>
      </c>
      <c r="D2226" s="35" t="s">
        <v>669</v>
      </c>
      <c r="E2226" s="35" t="s">
        <v>734</v>
      </c>
      <c r="F2226" s="35" t="s">
        <v>335</v>
      </c>
    </row>
    <row r="2227" spans="1:8">
      <c r="A2227" s="34">
        <v>2084056349</v>
      </c>
      <c r="B2227" s="35" t="s">
        <v>462</v>
      </c>
      <c r="C2227" s="35" t="s">
        <v>405</v>
      </c>
      <c r="D2227" s="35" t="s">
        <v>669</v>
      </c>
      <c r="E2227" s="35" t="s">
        <v>735</v>
      </c>
      <c r="F2227" s="35" t="s">
        <v>390</v>
      </c>
      <c r="G2227" s="35" t="s">
        <v>367</v>
      </c>
    </row>
    <row r="2228" spans="1:8">
      <c r="A2228" s="34">
        <v>2084056351</v>
      </c>
      <c r="B2228" s="35" t="s">
        <v>462</v>
      </c>
      <c r="C2228" s="35" t="s">
        <v>405</v>
      </c>
      <c r="D2228" s="35" t="s">
        <v>669</v>
      </c>
      <c r="E2228" s="35" t="s">
        <v>735</v>
      </c>
      <c r="F2228" s="35" t="s">
        <v>390</v>
      </c>
      <c r="G2228" s="35" t="s">
        <v>401</v>
      </c>
    </row>
    <row r="2229" spans="1:8">
      <c r="A2229" s="34">
        <v>2084056357</v>
      </c>
      <c r="B2229" s="35" t="s">
        <v>462</v>
      </c>
      <c r="C2229" s="35" t="s">
        <v>405</v>
      </c>
      <c r="D2229" s="35" t="s">
        <v>669</v>
      </c>
      <c r="E2229" s="35" t="s">
        <v>735</v>
      </c>
      <c r="F2229" s="35" t="s">
        <v>390</v>
      </c>
      <c r="G2229" s="35" t="s">
        <v>10</v>
      </c>
      <c r="H2229" s="35" t="s">
        <v>483</v>
      </c>
    </row>
    <row r="2230" spans="1:8">
      <c r="A2230" s="34">
        <v>2084056354</v>
      </c>
      <c r="B2230" s="35" t="s">
        <v>462</v>
      </c>
      <c r="C2230" s="35" t="s">
        <v>405</v>
      </c>
      <c r="D2230" s="35" t="s">
        <v>669</v>
      </c>
      <c r="E2230" s="35" t="s">
        <v>735</v>
      </c>
      <c r="F2230" s="35" t="s">
        <v>390</v>
      </c>
      <c r="G2230" s="35" t="s">
        <v>10</v>
      </c>
      <c r="H2230" s="35" t="s">
        <v>397</v>
      </c>
    </row>
    <row r="2231" spans="1:8">
      <c r="A2231" s="34">
        <v>2084056356</v>
      </c>
      <c r="B2231" s="35" t="s">
        <v>462</v>
      </c>
      <c r="C2231" s="35" t="s">
        <v>405</v>
      </c>
      <c r="D2231" s="35" t="s">
        <v>669</v>
      </c>
      <c r="E2231" s="35" t="s">
        <v>735</v>
      </c>
      <c r="F2231" s="35" t="s">
        <v>390</v>
      </c>
      <c r="G2231" s="35" t="s">
        <v>10</v>
      </c>
      <c r="H2231" s="35" t="s">
        <v>421</v>
      </c>
    </row>
    <row r="2232" spans="1:8">
      <c r="A2232" s="34">
        <v>2084056353</v>
      </c>
      <c r="B2232" s="35" t="s">
        <v>462</v>
      </c>
      <c r="C2232" s="35" t="s">
        <v>405</v>
      </c>
      <c r="D2232" s="35" t="s">
        <v>669</v>
      </c>
      <c r="E2232" s="35" t="s">
        <v>735</v>
      </c>
      <c r="F2232" s="35" t="s">
        <v>390</v>
      </c>
      <c r="G2232" s="35" t="s">
        <v>10</v>
      </c>
      <c r="H2232" s="35" t="s">
        <v>398</v>
      </c>
    </row>
    <row r="2233" spans="1:8">
      <c r="A2233" s="34">
        <v>2084056355</v>
      </c>
      <c r="B2233" s="35" t="s">
        <v>462</v>
      </c>
      <c r="C2233" s="35" t="s">
        <v>405</v>
      </c>
      <c r="D2233" s="35" t="s">
        <v>669</v>
      </c>
      <c r="E2233" s="35" t="s">
        <v>735</v>
      </c>
      <c r="F2233" s="35" t="s">
        <v>390</v>
      </c>
      <c r="G2233" s="35" t="s">
        <v>10</v>
      </c>
      <c r="H2233" s="35" t="s">
        <v>422</v>
      </c>
    </row>
    <row r="2234" spans="1:8">
      <c r="A2234" s="34">
        <v>2084056358</v>
      </c>
      <c r="B2234" s="35" t="s">
        <v>462</v>
      </c>
      <c r="C2234" s="35" t="s">
        <v>405</v>
      </c>
      <c r="D2234" s="35" t="s">
        <v>669</v>
      </c>
      <c r="E2234" s="35" t="s">
        <v>735</v>
      </c>
      <c r="F2234" s="35" t="s">
        <v>390</v>
      </c>
      <c r="G2234" s="35" t="s">
        <v>10</v>
      </c>
      <c r="H2234" s="35" t="s">
        <v>335</v>
      </c>
    </row>
    <row r="2235" spans="1:8">
      <c r="A2235" s="34">
        <v>2084056361</v>
      </c>
      <c r="B2235" s="35" t="s">
        <v>462</v>
      </c>
      <c r="C2235" s="35" t="s">
        <v>405</v>
      </c>
      <c r="D2235" s="35" t="s">
        <v>669</v>
      </c>
      <c r="E2235" s="35" t="s">
        <v>735</v>
      </c>
      <c r="F2235" s="35" t="s">
        <v>390</v>
      </c>
      <c r="G2235" s="35" t="s">
        <v>379</v>
      </c>
      <c r="H2235" s="35" t="s">
        <v>476</v>
      </c>
    </row>
    <row r="2236" spans="1:8">
      <c r="A2236" s="34">
        <v>2084056362</v>
      </c>
      <c r="B2236" s="35" t="s">
        <v>462</v>
      </c>
      <c r="C2236" s="35" t="s">
        <v>405</v>
      </c>
      <c r="D2236" s="35" t="s">
        <v>669</v>
      </c>
      <c r="E2236" s="35" t="s">
        <v>735</v>
      </c>
      <c r="F2236" s="35" t="s">
        <v>390</v>
      </c>
      <c r="G2236" s="35" t="s">
        <v>379</v>
      </c>
      <c r="H2236" s="35" t="s">
        <v>335</v>
      </c>
    </row>
    <row r="2237" spans="1:8">
      <c r="A2237" s="34">
        <v>2084056363</v>
      </c>
      <c r="B2237" s="35" t="s">
        <v>462</v>
      </c>
      <c r="C2237" s="35" t="s">
        <v>405</v>
      </c>
      <c r="D2237" s="35" t="s">
        <v>669</v>
      </c>
      <c r="E2237" s="35" t="s">
        <v>735</v>
      </c>
      <c r="F2237" s="35" t="s">
        <v>390</v>
      </c>
      <c r="G2237" s="35" t="s">
        <v>335</v>
      </c>
    </row>
    <row r="2238" spans="1:8">
      <c r="A2238" s="34">
        <v>2084056334</v>
      </c>
      <c r="B2238" s="35" t="s">
        <v>462</v>
      </c>
      <c r="C2238" s="35" t="s">
        <v>405</v>
      </c>
      <c r="D2238" s="35" t="s">
        <v>669</v>
      </c>
      <c r="E2238" s="35" t="s">
        <v>735</v>
      </c>
      <c r="F2238" s="35" t="s">
        <v>353</v>
      </c>
      <c r="G2238" s="35" t="s">
        <v>367</v>
      </c>
    </row>
    <row r="2239" spans="1:8">
      <c r="A2239" s="34">
        <v>2084056335</v>
      </c>
      <c r="B2239" s="35" t="s">
        <v>462</v>
      </c>
      <c r="C2239" s="35" t="s">
        <v>405</v>
      </c>
      <c r="D2239" s="35" t="s">
        <v>669</v>
      </c>
      <c r="E2239" s="35" t="s">
        <v>735</v>
      </c>
      <c r="F2239" s="35" t="s">
        <v>353</v>
      </c>
      <c r="G2239" s="35" t="s">
        <v>401</v>
      </c>
    </row>
    <row r="2240" spans="1:8">
      <c r="A2240" s="34">
        <v>2084056342</v>
      </c>
      <c r="B2240" s="35" t="s">
        <v>462</v>
      </c>
      <c r="C2240" s="35" t="s">
        <v>405</v>
      </c>
      <c r="D2240" s="35" t="s">
        <v>669</v>
      </c>
      <c r="E2240" s="35" t="s">
        <v>735</v>
      </c>
      <c r="F2240" s="35" t="s">
        <v>353</v>
      </c>
      <c r="G2240" s="35" t="s">
        <v>10</v>
      </c>
      <c r="H2240" s="35" t="s">
        <v>483</v>
      </c>
    </row>
    <row r="2241" spans="1:8">
      <c r="A2241" s="34">
        <v>2084056338</v>
      </c>
      <c r="B2241" s="35" t="s">
        <v>462</v>
      </c>
      <c r="C2241" s="35" t="s">
        <v>405</v>
      </c>
      <c r="D2241" s="35" t="s">
        <v>669</v>
      </c>
      <c r="E2241" s="35" t="s">
        <v>735</v>
      </c>
      <c r="F2241" s="35" t="s">
        <v>353</v>
      </c>
      <c r="G2241" s="35" t="s">
        <v>10</v>
      </c>
      <c r="H2241" s="35" t="s">
        <v>397</v>
      </c>
    </row>
    <row r="2242" spans="1:8">
      <c r="A2242" s="34">
        <v>2084056341</v>
      </c>
      <c r="B2242" s="35" t="s">
        <v>462</v>
      </c>
      <c r="C2242" s="35" t="s">
        <v>405</v>
      </c>
      <c r="D2242" s="35" t="s">
        <v>669</v>
      </c>
      <c r="E2242" s="35" t="s">
        <v>735</v>
      </c>
      <c r="F2242" s="35" t="s">
        <v>353</v>
      </c>
      <c r="G2242" s="35" t="s">
        <v>10</v>
      </c>
      <c r="H2242" s="35" t="s">
        <v>421</v>
      </c>
    </row>
    <row r="2243" spans="1:8">
      <c r="A2243" s="34">
        <v>2084056337</v>
      </c>
      <c r="B2243" s="35" t="s">
        <v>462</v>
      </c>
      <c r="C2243" s="35" t="s">
        <v>405</v>
      </c>
      <c r="D2243" s="35" t="s">
        <v>669</v>
      </c>
      <c r="E2243" s="35" t="s">
        <v>735</v>
      </c>
      <c r="F2243" s="35" t="s">
        <v>353</v>
      </c>
      <c r="G2243" s="35" t="s">
        <v>10</v>
      </c>
      <c r="H2243" s="35" t="s">
        <v>398</v>
      </c>
    </row>
    <row r="2244" spans="1:8">
      <c r="A2244" s="34">
        <v>2084056339</v>
      </c>
      <c r="B2244" s="35" t="s">
        <v>462</v>
      </c>
      <c r="C2244" s="35" t="s">
        <v>405</v>
      </c>
      <c r="D2244" s="35" t="s">
        <v>669</v>
      </c>
      <c r="E2244" s="35" t="s">
        <v>735</v>
      </c>
      <c r="F2244" s="35" t="s">
        <v>353</v>
      </c>
      <c r="G2244" s="35" t="s">
        <v>10</v>
      </c>
      <c r="H2244" s="35" t="s">
        <v>422</v>
      </c>
    </row>
    <row r="2245" spans="1:8">
      <c r="A2245" s="34">
        <v>2084056343</v>
      </c>
      <c r="B2245" s="35" t="s">
        <v>462</v>
      </c>
      <c r="C2245" s="35" t="s">
        <v>405</v>
      </c>
      <c r="D2245" s="35" t="s">
        <v>669</v>
      </c>
      <c r="E2245" s="35" t="s">
        <v>735</v>
      </c>
      <c r="F2245" s="35" t="s">
        <v>353</v>
      </c>
      <c r="G2245" s="35" t="s">
        <v>10</v>
      </c>
      <c r="H2245" s="35" t="s">
        <v>335</v>
      </c>
    </row>
    <row r="2246" spans="1:8">
      <c r="A2246" s="34">
        <v>2084056346</v>
      </c>
      <c r="B2246" s="35" t="s">
        <v>462</v>
      </c>
      <c r="C2246" s="35" t="s">
        <v>405</v>
      </c>
      <c r="D2246" s="35" t="s">
        <v>669</v>
      </c>
      <c r="E2246" s="35" t="s">
        <v>735</v>
      </c>
      <c r="F2246" s="35" t="s">
        <v>353</v>
      </c>
      <c r="G2246" s="35" t="s">
        <v>403</v>
      </c>
    </row>
    <row r="2247" spans="1:8">
      <c r="A2247" s="34">
        <v>2084056347</v>
      </c>
      <c r="B2247" s="35" t="s">
        <v>462</v>
      </c>
      <c r="C2247" s="35" t="s">
        <v>405</v>
      </c>
      <c r="D2247" s="35" t="s">
        <v>669</v>
      </c>
      <c r="E2247" s="35" t="s">
        <v>735</v>
      </c>
      <c r="F2247" s="35" t="s">
        <v>353</v>
      </c>
      <c r="G2247" s="35" t="s">
        <v>335</v>
      </c>
    </row>
    <row r="2248" spans="1:8">
      <c r="A2248" s="34">
        <v>2084056364</v>
      </c>
      <c r="B2248" s="35" t="s">
        <v>462</v>
      </c>
      <c r="C2248" s="35" t="s">
        <v>405</v>
      </c>
      <c r="D2248" s="35" t="s">
        <v>669</v>
      </c>
      <c r="E2248" s="35" t="s">
        <v>735</v>
      </c>
      <c r="F2248" s="35" t="s">
        <v>335</v>
      </c>
    </row>
    <row r="2249" spans="1:8">
      <c r="A2249" s="34">
        <v>2084244409</v>
      </c>
      <c r="B2249" s="35" t="s">
        <v>462</v>
      </c>
      <c r="C2249" s="35" t="s">
        <v>405</v>
      </c>
      <c r="D2249" s="35" t="s">
        <v>669</v>
      </c>
      <c r="E2249" s="35" t="s">
        <v>736</v>
      </c>
    </row>
    <row r="2250" spans="1:8">
      <c r="A2250" s="34">
        <v>2084050830</v>
      </c>
      <c r="B2250" s="35" t="s">
        <v>462</v>
      </c>
      <c r="C2250" s="35" t="s">
        <v>405</v>
      </c>
      <c r="D2250" s="35" t="s">
        <v>737</v>
      </c>
      <c r="E2250" s="35" t="s">
        <v>451</v>
      </c>
      <c r="F2250" s="35" t="s">
        <v>475</v>
      </c>
    </row>
    <row r="2251" spans="1:8">
      <c r="A2251" s="34">
        <v>2084050829</v>
      </c>
      <c r="B2251" s="35" t="s">
        <v>462</v>
      </c>
      <c r="C2251" s="35" t="s">
        <v>405</v>
      </c>
      <c r="D2251" s="35" t="s">
        <v>737</v>
      </c>
      <c r="E2251" s="35" t="s">
        <v>451</v>
      </c>
      <c r="F2251" s="35" t="s">
        <v>611</v>
      </c>
      <c r="G2251" s="35" t="s">
        <v>407</v>
      </c>
    </row>
    <row r="2252" spans="1:8">
      <c r="A2252" s="34">
        <v>2084050828</v>
      </c>
      <c r="B2252" s="35" t="s">
        <v>462</v>
      </c>
      <c r="C2252" s="35" t="s">
        <v>405</v>
      </c>
      <c r="D2252" s="35" t="s">
        <v>737</v>
      </c>
      <c r="E2252" s="35" t="s">
        <v>451</v>
      </c>
      <c r="F2252" s="35" t="s">
        <v>611</v>
      </c>
      <c r="G2252" s="35" t="s">
        <v>408</v>
      </c>
    </row>
    <row r="2253" spans="1:8">
      <c r="A2253" s="34">
        <v>2084048789</v>
      </c>
      <c r="B2253" s="35" t="s">
        <v>462</v>
      </c>
      <c r="C2253" s="35" t="s">
        <v>405</v>
      </c>
      <c r="D2253" s="35" t="s">
        <v>737</v>
      </c>
      <c r="E2253" s="35" t="s">
        <v>451</v>
      </c>
      <c r="F2253" s="35" t="s">
        <v>335</v>
      </c>
    </row>
    <row r="2254" spans="1:8">
      <c r="A2254" s="34">
        <v>2084246113</v>
      </c>
      <c r="B2254" s="35" t="s">
        <v>462</v>
      </c>
      <c r="C2254" s="35" t="s">
        <v>405</v>
      </c>
      <c r="D2254" s="35" t="s">
        <v>737</v>
      </c>
      <c r="E2254" s="35" t="s">
        <v>738</v>
      </c>
      <c r="F2254" s="35" t="s">
        <v>408</v>
      </c>
    </row>
    <row r="2255" spans="1:8">
      <c r="A2255" s="34">
        <v>2084048790</v>
      </c>
      <c r="B2255" s="35" t="s">
        <v>462</v>
      </c>
      <c r="C2255" s="35" t="s">
        <v>405</v>
      </c>
      <c r="D2255" s="35" t="s">
        <v>737</v>
      </c>
      <c r="E2255" s="35" t="s">
        <v>738</v>
      </c>
      <c r="F2255" s="35" t="s">
        <v>335</v>
      </c>
    </row>
    <row r="2256" spans="1:8">
      <c r="A2256" s="34">
        <v>2084050199</v>
      </c>
      <c r="B2256" s="35" t="s">
        <v>462</v>
      </c>
      <c r="C2256" s="35" t="s">
        <v>405</v>
      </c>
      <c r="D2256" s="35" t="s">
        <v>737</v>
      </c>
      <c r="E2256" s="35" t="s">
        <v>739</v>
      </c>
    </row>
    <row r="2257" spans="1:8">
      <c r="A2257" s="34">
        <v>2084055322</v>
      </c>
      <c r="B2257" s="35" t="s">
        <v>462</v>
      </c>
      <c r="C2257" s="35" t="s">
        <v>405</v>
      </c>
      <c r="D2257" s="35" t="s">
        <v>737</v>
      </c>
      <c r="E2257" s="35" t="s">
        <v>740</v>
      </c>
      <c r="F2257" s="35" t="s">
        <v>367</v>
      </c>
    </row>
    <row r="2258" spans="1:8">
      <c r="A2258" s="34">
        <v>2084055325</v>
      </c>
      <c r="B2258" s="35" t="s">
        <v>462</v>
      </c>
      <c r="C2258" s="35" t="s">
        <v>405</v>
      </c>
      <c r="D2258" s="35" t="s">
        <v>737</v>
      </c>
      <c r="E2258" s="35" t="s">
        <v>740</v>
      </c>
      <c r="F2258" s="35" t="s">
        <v>368</v>
      </c>
      <c r="G2258" s="35" t="s">
        <v>481</v>
      </c>
    </row>
    <row r="2259" spans="1:8">
      <c r="A2259" s="34">
        <v>2084055324</v>
      </c>
      <c r="B2259" s="35" t="s">
        <v>462</v>
      </c>
      <c r="C2259" s="35" t="s">
        <v>405</v>
      </c>
      <c r="D2259" s="35" t="s">
        <v>737</v>
      </c>
      <c r="E2259" s="35" t="s">
        <v>740</v>
      </c>
      <c r="F2259" s="35" t="s">
        <v>368</v>
      </c>
      <c r="G2259" s="35" t="s">
        <v>482</v>
      </c>
    </row>
    <row r="2260" spans="1:8">
      <c r="A2260" s="34">
        <v>2084055326</v>
      </c>
      <c r="B2260" s="35" t="s">
        <v>462</v>
      </c>
      <c r="C2260" s="35" t="s">
        <v>405</v>
      </c>
      <c r="D2260" s="35" t="s">
        <v>737</v>
      </c>
      <c r="E2260" s="35" t="s">
        <v>740</v>
      </c>
      <c r="F2260" s="35" t="s">
        <v>368</v>
      </c>
      <c r="G2260" s="35" t="s">
        <v>335</v>
      </c>
    </row>
    <row r="2261" spans="1:8">
      <c r="A2261" s="34">
        <v>2084055332</v>
      </c>
      <c r="B2261" s="35" t="s">
        <v>462</v>
      </c>
      <c r="C2261" s="35" t="s">
        <v>405</v>
      </c>
      <c r="D2261" s="35" t="s">
        <v>737</v>
      </c>
      <c r="E2261" s="35" t="s">
        <v>740</v>
      </c>
      <c r="F2261" s="35" t="s">
        <v>10</v>
      </c>
      <c r="G2261" s="35" t="s">
        <v>483</v>
      </c>
    </row>
    <row r="2262" spans="1:8">
      <c r="A2262" s="34">
        <v>2084055329</v>
      </c>
      <c r="B2262" s="35" t="s">
        <v>462</v>
      </c>
      <c r="C2262" s="35" t="s">
        <v>405</v>
      </c>
      <c r="D2262" s="35" t="s">
        <v>737</v>
      </c>
      <c r="E2262" s="35" t="s">
        <v>740</v>
      </c>
      <c r="F2262" s="35" t="s">
        <v>10</v>
      </c>
      <c r="G2262" s="35" t="s">
        <v>397</v>
      </c>
    </row>
    <row r="2263" spans="1:8">
      <c r="A2263" s="34">
        <v>2084055331</v>
      </c>
      <c r="B2263" s="35" t="s">
        <v>462</v>
      </c>
      <c r="C2263" s="35" t="s">
        <v>405</v>
      </c>
      <c r="D2263" s="35" t="s">
        <v>737</v>
      </c>
      <c r="E2263" s="35" t="s">
        <v>740</v>
      </c>
      <c r="F2263" s="35" t="s">
        <v>10</v>
      </c>
      <c r="G2263" s="35" t="s">
        <v>421</v>
      </c>
    </row>
    <row r="2264" spans="1:8">
      <c r="A2264" s="34">
        <v>2084055328</v>
      </c>
      <c r="B2264" s="35" t="s">
        <v>462</v>
      </c>
      <c r="C2264" s="35" t="s">
        <v>405</v>
      </c>
      <c r="D2264" s="35" t="s">
        <v>737</v>
      </c>
      <c r="E2264" s="35" t="s">
        <v>740</v>
      </c>
      <c r="F2264" s="35" t="s">
        <v>10</v>
      </c>
      <c r="G2264" s="35" t="s">
        <v>398</v>
      </c>
    </row>
    <row r="2265" spans="1:8">
      <c r="A2265" s="34">
        <v>2084055330</v>
      </c>
      <c r="B2265" s="35" t="s">
        <v>462</v>
      </c>
      <c r="C2265" s="35" t="s">
        <v>405</v>
      </c>
      <c r="D2265" s="35" t="s">
        <v>737</v>
      </c>
      <c r="E2265" s="35" t="s">
        <v>740</v>
      </c>
      <c r="F2265" s="35" t="s">
        <v>10</v>
      </c>
      <c r="G2265" s="35" t="s">
        <v>422</v>
      </c>
    </row>
    <row r="2266" spans="1:8">
      <c r="A2266" s="34">
        <v>2084055333</v>
      </c>
      <c r="B2266" s="35" t="s">
        <v>462</v>
      </c>
      <c r="C2266" s="35" t="s">
        <v>405</v>
      </c>
      <c r="D2266" s="35" t="s">
        <v>737</v>
      </c>
      <c r="E2266" s="35" t="s">
        <v>740</v>
      </c>
      <c r="F2266" s="35" t="s">
        <v>10</v>
      </c>
      <c r="G2266" s="35" t="s">
        <v>335</v>
      </c>
    </row>
    <row r="2267" spans="1:8">
      <c r="A2267" s="34">
        <v>2084055335</v>
      </c>
      <c r="B2267" s="35" t="s">
        <v>462</v>
      </c>
      <c r="C2267" s="35" t="s">
        <v>405</v>
      </c>
      <c r="D2267" s="35" t="s">
        <v>737</v>
      </c>
      <c r="E2267" s="35" t="s">
        <v>740</v>
      </c>
      <c r="F2267" s="35" t="s">
        <v>379</v>
      </c>
      <c r="G2267" s="35" t="s">
        <v>476</v>
      </c>
    </row>
    <row r="2268" spans="1:8">
      <c r="A2268" s="34">
        <v>2084055336</v>
      </c>
      <c r="B2268" s="35" t="s">
        <v>462</v>
      </c>
      <c r="C2268" s="35" t="s">
        <v>405</v>
      </c>
      <c r="D2268" s="35" t="s">
        <v>737</v>
      </c>
      <c r="E2268" s="35" t="s">
        <v>740</v>
      </c>
      <c r="F2268" s="35" t="s">
        <v>379</v>
      </c>
      <c r="G2268" s="35" t="s">
        <v>335</v>
      </c>
    </row>
    <row r="2269" spans="1:8">
      <c r="A2269" s="34">
        <v>2084061443</v>
      </c>
      <c r="B2269" s="35" t="s">
        <v>462</v>
      </c>
      <c r="C2269" s="35" t="s">
        <v>405</v>
      </c>
      <c r="D2269" s="35" t="s">
        <v>737</v>
      </c>
      <c r="E2269" s="35" t="s">
        <v>740</v>
      </c>
      <c r="F2269" s="35" t="s">
        <v>478</v>
      </c>
    </row>
    <row r="2270" spans="1:8">
      <c r="A2270" s="34">
        <v>2084055337</v>
      </c>
      <c r="B2270" s="35" t="s">
        <v>462</v>
      </c>
      <c r="C2270" s="35" t="s">
        <v>405</v>
      </c>
      <c r="D2270" s="35" t="s">
        <v>737</v>
      </c>
      <c r="E2270" s="35" t="s">
        <v>740</v>
      </c>
      <c r="F2270" s="35" t="s">
        <v>335</v>
      </c>
    </row>
    <row r="2271" spans="1:8">
      <c r="A2271" s="34">
        <v>2084028233</v>
      </c>
      <c r="B2271" s="35" t="s">
        <v>462</v>
      </c>
      <c r="C2271" s="35" t="s">
        <v>405</v>
      </c>
      <c r="D2271" s="35" t="s">
        <v>737</v>
      </c>
      <c r="E2271" s="35" t="s">
        <v>741</v>
      </c>
      <c r="F2271" s="35" t="s">
        <v>390</v>
      </c>
      <c r="G2271" s="35" t="s">
        <v>367</v>
      </c>
    </row>
    <row r="2272" spans="1:8">
      <c r="A2272" s="34">
        <v>2084028785</v>
      </c>
      <c r="B2272" s="35" t="s">
        <v>462</v>
      </c>
      <c r="C2272" s="35" t="s">
        <v>405</v>
      </c>
      <c r="D2272" s="35" t="s">
        <v>737</v>
      </c>
      <c r="E2272" s="35" t="s">
        <v>741</v>
      </c>
      <c r="F2272" s="35" t="s">
        <v>390</v>
      </c>
      <c r="G2272" s="35" t="s">
        <v>368</v>
      </c>
      <c r="H2272" s="35" t="s">
        <v>508</v>
      </c>
    </row>
    <row r="2273" spans="1:8">
      <c r="A2273" s="34">
        <v>2084029318</v>
      </c>
      <c r="B2273" s="35" t="s">
        <v>462</v>
      </c>
      <c r="C2273" s="35" t="s">
        <v>405</v>
      </c>
      <c r="D2273" s="35" t="s">
        <v>737</v>
      </c>
      <c r="E2273" s="35" t="s">
        <v>741</v>
      </c>
      <c r="F2273" s="35" t="s">
        <v>390</v>
      </c>
      <c r="G2273" s="35" t="s">
        <v>368</v>
      </c>
      <c r="H2273" s="35" t="s">
        <v>481</v>
      </c>
    </row>
    <row r="2274" spans="1:8">
      <c r="A2274" s="34">
        <v>2084029869</v>
      </c>
      <c r="B2274" s="35" t="s">
        <v>462</v>
      </c>
      <c r="C2274" s="35" t="s">
        <v>405</v>
      </c>
      <c r="D2274" s="35" t="s">
        <v>737</v>
      </c>
      <c r="E2274" s="35" t="s">
        <v>741</v>
      </c>
      <c r="F2274" s="35" t="s">
        <v>390</v>
      </c>
      <c r="G2274" s="35" t="s">
        <v>368</v>
      </c>
      <c r="H2274" s="35" t="s">
        <v>494</v>
      </c>
    </row>
    <row r="2275" spans="1:8">
      <c r="A2275" s="34">
        <v>2084058757</v>
      </c>
      <c r="B2275" s="35" t="s">
        <v>462</v>
      </c>
      <c r="C2275" s="35" t="s">
        <v>405</v>
      </c>
      <c r="D2275" s="35" t="s">
        <v>737</v>
      </c>
      <c r="E2275" s="35" t="s">
        <v>741</v>
      </c>
      <c r="F2275" s="35" t="s">
        <v>390</v>
      </c>
      <c r="G2275" s="35" t="s">
        <v>368</v>
      </c>
      <c r="H2275" s="35" t="s">
        <v>335</v>
      </c>
    </row>
    <row r="2276" spans="1:8">
      <c r="A2276" s="34">
        <v>2084027334</v>
      </c>
      <c r="B2276" s="35" t="s">
        <v>462</v>
      </c>
      <c r="C2276" s="35" t="s">
        <v>405</v>
      </c>
      <c r="D2276" s="35" t="s">
        <v>737</v>
      </c>
      <c r="E2276" s="35" t="s">
        <v>741</v>
      </c>
      <c r="F2276" s="35" t="s">
        <v>390</v>
      </c>
      <c r="G2276" s="35" t="s">
        <v>10</v>
      </c>
      <c r="H2276" s="35" t="s">
        <v>509</v>
      </c>
    </row>
    <row r="2277" spans="1:8">
      <c r="A2277" s="34">
        <v>2084027827</v>
      </c>
      <c r="B2277" s="35" t="s">
        <v>462</v>
      </c>
      <c r="C2277" s="35" t="s">
        <v>405</v>
      </c>
      <c r="D2277" s="35" t="s">
        <v>737</v>
      </c>
      <c r="E2277" s="35" t="s">
        <v>741</v>
      </c>
      <c r="F2277" s="35" t="s">
        <v>390</v>
      </c>
      <c r="G2277" s="35" t="s">
        <v>10</v>
      </c>
      <c r="H2277" s="35" t="s">
        <v>510</v>
      </c>
    </row>
    <row r="2278" spans="1:8">
      <c r="A2278" s="34">
        <v>2084027859</v>
      </c>
      <c r="B2278" s="35" t="s">
        <v>462</v>
      </c>
      <c r="C2278" s="35" t="s">
        <v>405</v>
      </c>
      <c r="D2278" s="35" t="s">
        <v>737</v>
      </c>
      <c r="E2278" s="35" t="s">
        <v>741</v>
      </c>
      <c r="F2278" s="35" t="s">
        <v>390</v>
      </c>
      <c r="G2278" s="35" t="s">
        <v>10</v>
      </c>
      <c r="H2278" s="35" t="s">
        <v>511</v>
      </c>
    </row>
    <row r="2279" spans="1:8">
      <c r="A2279" s="34">
        <v>2084027939</v>
      </c>
      <c r="B2279" s="35" t="s">
        <v>462</v>
      </c>
      <c r="C2279" s="35" t="s">
        <v>405</v>
      </c>
      <c r="D2279" s="35" t="s">
        <v>737</v>
      </c>
      <c r="E2279" s="35" t="s">
        <v>741</v>
      </c>
      <c r="F2279" s="35" t="s">
        <v>390</v>
      </c>
      <c r="G2279" s="35" t="s">
        <v>10</v>
      </c>
      <c r="H2279" s="35" t="s">
        <v>493</v>
      </c>
    </row>
    <row r="2280" spans="1:8">
      <c r="A2280" s="34">
        <v>2084027458</v>
      </c>
      <c r="B2280" s="35" t="s">
        <v>462</v>
      </c>
      <c r="C2280" s="35" t="s">
        <v>405</v>
      </c>
      <c r="D2280" s="35" t="s">
        <v>737</v>
      </c>
      <c r="E2280" s="35" t="s">
        <v>741</v>
      </c>
      <c r="F2280" s="35" t="s">
        <v>390</v>
      </c>
      <c r="G2280" s="35" t="s">
        <v>10</v>
      </c>
      <c r="H2280" s="35" t="s">
        <v>512</v>
      </c>
    </row>
    <row r="2281" spans="1:8">
      <c r="A2281" s="34">
        <v>2084027625</v>
      </c>
      <c r="B2281" s="35" t="s">
        <v>462</v>
      </c>
      <c r="C2281" s="35" t="s">
        <v>405</v>
      </c>
      <c r="D2281" s="35" t="s">
        <v>737</v>
      </c>
      <c r="E2281" s="35" t="s">
        <v>741</v>
      </c>
      <c r="F2281" s="35" t="s">
        <v>390</v>
      </c>
      <c r="G2281" s="35" t="s">
        <v>10</v>
      </c>
      <c r="H2281" s="35" t="s">
        <v>513</v>
      </c>
    </row>
    <row r="2282" spans="1:8">
      <c r="A2282" s="34">
        <v>2084027969</v>
      </c>
      <c r="B2282" s="35" t="s">
        <v>462</v>
      </c>
      <c r="C2282" s="35" t="s">
        <v>405</v>
      </c>
      <c r="D2282" s="35" t="s">
        <v>737</v>
      </c>
      <c r="E2282" s="35" t="s">
        <v>741</v>
      </c>
      <c r="F2282" s="35" t="s">
        <v>390</v>
      </c>
      <c r="G2282" s="35" t="s">
        <v>10</v>
      </c>
      <c r="H2282" s="35" t="s">
        <v>420</v>
      </c>
    </row>
    <row r="2283" spans="1:8">
      <c r="A2283" s="34">
        <v>2084027247</v>
      </c>
      <c r="B2283" s="35" t="s">
        <v>462</v>
      </c>
      <c r="C2283" s="35" t="s">
        <v>405</v>
      </c>
      <c r="D2283" s="35" t="s">
        <v>737</v>
      </c>
      <c r="E2283" s="35" t="s">
        <v>741</v>
      </c>
      <c r="F2283" s="35" t="s">
        <v>390</v>
      </c>
      <c r="G2283" s="35" t="s">
        <v>10</v>
      </c>
      <c r="H2283" s="35" t="s">
        <v>514</v>
      </c>
    </row>
    <row r="2284" spans="1:8">
      <c r="A2284" s="34">
        <v>2084027423</v>
      </c>
      <c r="B2284" s="35" t="s">
        <v>462</v>
      </c>
      <c r="C2284" s="35" t="s">
        <v>405</v>
      </c>
      <c r="D2284" s="35" t="s">
        <v>737</v>
      </c>
      <c r="E2284" s="35" t="s">
        <v>741</v>
      </c>
      <c r="F2284" s="35" t="s">
        <v>390</v>
      </c>
      <c r="G2284" s="35" t="s">
        <v>10</v>
      </c>
      <c r="H2284" s="35" t="s">
        <v>515</v>
      </c>
    </row>
    <row r="2285" spans="1:8">
      <c r="A2285" s="34">
        <v>2084027492</v>
      </c>
      <c r="B2285" s="35" t="s">
        <v>462</v>
      </c>
      <c r="C2285" s="35" t="s">
        <v>405</v>
      </c>
      <c r="D2285" s="35" t="s">
        <v>737</v>
      </c>
      <c r="E2285" s="35" t="s">
        <v>741</v>
      </c>
      <c r="F2285" s="35" t="s">
        <v>390</v>
      </c>
      <c r="G2285" s="35" t="s">
        <v>10</v>
      </c>
      <c r="H2285" s="35" t="s">
        <v>421</v>
      </c>
    </row>
    <row r="2286" spans="1:8">
      <c r="A2286" s="34">
        <v>2084027703</v>
      </c>
      <c r="B2286" s="35" t="s">
        <v>462</v>
      </c>
      <c r="C2286" s="35" t="s">
        <v>405</v>
      </c>
      <c r="D2286" s="35" t="s">
        <v>737</v>
      </c>
      <c r="E2286" s="35" t="s">
        <v>741</v>
      </c>
      <c r="F2286" s="35" t="s">
        <v>390</v>
      </c>
      <c r="G2286" s="35" t="s">
        <v>10</v>
      </c>
      <c r="H2286" s="35" t="s">
        <v>516</v>
      </c>
    </row>
    <row r="2287" spans="1:8">
      <c r="A2287" s="34">
        <v>2084027220</v>
      </c>
      <c r="B2287" s="35" t="s">
        <v>462</v>
      </c>
      <c r="C2287" s="35" t="s">
        <v>405</v>
      </c>
      <c r="D2287" s="35" t="s">
        <v>737</v>
      </c>
      <c r="E2287" s="35" t="s">
        <v>741</v>
      </c>
      <c r="F2287" s="35" t="s">
        <v>390</v>
      </c>
      <c r="G2287" s="35" t="s">
        <v>10</v>
      </c>
      <c r="H2287" s="35" t="s">
        <v>517</v>
      </c>
    </row>
    <row r="2288" spans="1:8">
      <c r="A2288" s="34">
        <v>2084027389</v>
      </c>
      <c r="B2288" s="35" t="s">
        <v>462</v>
      </c>
      <c r="C2288" s="35" t="s">
        <v>405</v>
      </c>
      <c r="D2288" s="35" t="s">
        <v>737</v>
      </c>
      <c r="E2288" s="35" t="s">
        <v>741</v>
      </c>
      <c r="F2288" s="35" t="s">
        <v>390</v>
      </c>
      <c r="G2288" s="35" t="s">
        <v>10</v>
      </c>
      <c r="H2288" s="35" t="s">
        <v>518</v>
      </c>
    </row>
    <row r="2289" spans="1:8">
      <c r="A2289" s="34">
        <v>2084027569</v>
      </c>
      <c r="B2289" s="35" t="s">
        <v>462</v>
      </c>
      <c r="C2289" s="35" t="s">
        <v>405</v>
      </c>
      <c r="D2289" s="35" t="s">
        <v>737</v>
      </c>
      <c r="E2289" s="35" t="s">
        <v>741</v>
      </c>
      <c r="F2289" s="35" t="s">
        <v>390</v>
      </c>
      <c r="G2289" s="35" t="s">
        <v>10</v>
      </c>
      <c r="H2289" s="35" t="s">
        <v>422</v>
      </c>
    </row>
    <row r="2290" spans="1:8">
      <c r="A2290" s="34">
        <v>2084027753</v>
      </c>
      <c r="B2290" s="35" t="s">
        <v>462</v>
      </c>
      <c r="C2290" s="35" t="s">
        <v>405</v>
      </c>
      <c r="D2290" s="35" t="s">
        <v>737</v>
      </c>
      <c r="E2290" s="35" t="s">
        <v>741</v>
      </c>
      <c r="F2290" s="35" t="s">
        <v>390</v>
      </c>
      <c r="G2290" s="35" t="s">
        <v>10</v>
      </c>
      <c r="H2290" s="35" t="s">
        <v>519</v>
      </c>
    </row>
    <row r="2291" spans="1:8">
      <c r="A2291" s="34">
        <v>2084058759</v>
      </c>
      <c r="B2291" s="35" t="s">
        <v>462</v>
      </c>
      <c r="C2291" s="35" t="s">
        <v>405</v>
      </c>
      <c r="D2291" s="35" t="s">
        <v>737</v>
      </c>
      <c r="E2291" s="35" t="s">
        <v>741</v>
      </c>
      <c r="F2291" s="35" t="s">
        <v>390</v>
      </c>
      <c r="G2291" s="35" t="s">
        <v>10</v>
      </c>
      <c r="H2291" s="35" t="s">
        <v>335</v>
      </c>
    </row>
    <row r="2292" spans="1:8">
      <c r="A2292" s="34">
        <v>2084028029</v>
      </c>
      <c r="B2292" s="35" t="s">
        <v>462</v>
      </c>
      <c r="C2292" s="35" t="s">
        <v>405</v>
      </c>
      <c r="D2292" s="35" t="s">
        <v>737</v>
      </c>
      <c r="E2292" s="35" t="s">
        <v>741</v>
      </c>
      <c r="F2292" s="35" t="s">
        <v>390</v>
      </c>
      <c r="G2292" s="35" t="s">
        <v>379</v>
      </c>
      <c r="H2292" s="35" t="s">
        <v>520</v>
      </c>
    </row>
    <row r="2293" spans="1:8">
      <c r="A2293" s="34">
        <v>2084028064</v>
      </c>
      <c r="B2293" s="35" t="s">
        <v>462</v>
      </c>
      <c r="C2293" s="35" t="s">
        <v>405</v>
      </c>
      <c r="D2293" s="35" t="s">
        <v>737</v>
      </c>
      <c r="E2293" s="35" t="s">
        <v>741</v>
      </c>
      <c r="F2293" s="35" t="s">
        <v>390</v>
      </c>
      <c r="G2293" s="35" t="s">
        <v>379</v>
      </c>
      <c r="H2293" s="35" t="s">
        <v>521</v>
      </c>
    </row>
    <row r="2294" spans="1:8">
      <c r="A2294" s="34">
        <v>2084028164</v>
      </c>
      <c r="B2294" s="35" t="s">
        <v>462</v>
      </c>
      <c r="C2294" s="35" t="s">
        <v>405</v>
      </c>
      <c r="D2294" s="35" t="s">
        <v>737</v>
      </c>
      <c r="E2294" s="35" t="s">
        <v>741</v>
      </c>
      <c r="F2294" s="35" t="s">
        <v>390</v>
      </c>
      <c r="G2294" s="35" t="s">
        <v>379</v>
      </c>
      <c r="H2294" s="35" t="s">
        <v>522</v>
      </c>
    </row>
    <row r="2295" spans="1:8">
      <c r="A2295" s="34">
        <v>2084028437</v>
      </c>
      <c r="B2295" s="35" t="s">
        <v>462</v>
      </c>
      <c r="C2295" s="35" t="s">
        <v>405</v>
      </c>
      <c r="D2295" s="35" t="s">
        <v>737</v>
      </c>
      <c r="E2295" s="35" t="s">
        <v>741</v>
      </c>
      <c r="F2295" s="35" t="s">
        <v>390</v>
      </c>
      <c r="G2295" s="35" t="s">
        <v>379</v>
      </c>
      <c r="H2295" s="35" t="s">
        <v>523</v>
      </c>
    </row>
    <row r="2296" spans="1:8">
      <c r="A2296" s="34">
        <v>2084028103</v>
      </c>
      <c r="B2296" s="35" t="s">
        <v>462</v>
      </c>
      <c r="C2296" s="35" t="s">
        <v>405</v>
      </c>
      <c r="D2296" s="35" t="s">
        <v>737</v>
      </c>
      <c r="E2296" s="35" t="s">
        <v>741</v>
      </c>
      <c r="F2296" s="35" t="s">
        <v>390</v>
      </c>
      <c r="G2296" s="35" t="s">
        <v>379</v>
      </c>
      <c r="H2296" s="35" t="s">
        <v>524</v>
      </c>
    </row>
    <row r="2297" spans="1:8">
      <c r="A2297" s="34">
        <v>2084028269</v>
      </c>
      <c r="B2297" s="35" t="s">
        <v>462</v>
      </c>
      <c r="C2297" s="35" t="s">
        <v>405</v>
      </c>
      <c r="D2297" s="35" t="s">
        <v>737</v>
      </c>
      <c r="E2297" s="35" t="s">
        <v>741</v>
      </c>
      <c r="F2297" s="35" t="s">
        <v>390</v>
      </c>
      <c r="G2297" s="35" t="s">
        <v>379</v>
      </c>
      <c r="H2297" s="35" t="s">
        <v>525</v>
      </c>
    </row>
    <row r="2298" spans="1:8">
      <c r="A2298" s="34">
        <v>2084028471</v>
      </c>
      <c r="B2298" s="35" t="s">
        <v>462</v>
      </c>
      <c r="C2298" s="35" t="s">
        <v>405</v>
      </c>
      <c r="D2298" s="35" t="s">
        <v>737</v>
      </c>
      <c r="E2298" s="35" t="s">
        <v>741</v>
      </c>
      <c r="F2298" s="35" t="s">
        <v>390</v>
      </c>
      <c r="G2298" s="35" t="s">
        <v>379</v>
      </c>
      <c r="H2298" s="35" t="s">
        <v>526</v>
      </c>
    </row>
    <row r="2299" spans="1:8">
      <c r="A2299" s="34">
        <v>2084028294</v>
      </c>
      <c r="B2299" s="35" t="s">
        <v>462</v>
      </c>
      <c r="C2299" s="35" t="s">
        <v>405</v>
      </c>
      <c r="D2299" s="35" t="s">
        <v>737</v>
      </c>
      <c r="E2299" s="35" t="s">
        <v>741</v>
      </c>
      <c r="F2299" s="35" t="s">
        <v>390</v>
      </c>
      <c r="G2299" s="35" t="s">
        <v>379</v>
      </c>
      <c r="H2299" s="35" t="s">
        <v>527</v>
      </c>
    </row>
    <row r="2300" spans="1:8">
      <c r="A2300" s="34">
        <v>2084028506</v>
      </c>
      <c r="B2300" s="35" t="s">
        <v>462</v>
      </c>
      <c r="C2300" s="35" t="s">
        <v>405</v>
      </c>
      <c r="D2300" s="35" t="s">
        <v>737</v>
      </c>
      <c r="E2300" s="35" t="s">
        <v>741</v>
      </c>
      <c r="F2300" s="35" t="s">
        <v>390</v>
      </c>
      <c r="G2300" s="35" t="s">
        <v>379</v>
      </c>
      <c r="H2300" s="35" t="s">
        <v>528</v>
      </c>
    </row>
    <row r="2301" spans="1:8">
      <c r="A2301" s="34">
        <v>2084028382</v>
      </c>
      <c r="B2301" s="35" t="s">
        <v>462</v>
      </c>
      <c r="C2301" s="35" t="s">
        <v>405</v>
      </c>
      <c r="D2301" s="35" t="s">
        <v>737</v>
      </c>
      <c r="E2301" s="35" t="s">
        <v>741</v>
      </c>
      <c r="F2301" s="35" t="s">
        <v>390</v>
      </c>
      <c r="G2301" s="35" t="s">
        <v>379</v>
      </c>
      <c r="H2301" s="35" t="s">
        <v>529</v>
      </c>
    </row>
    <row r="2302" spans="1:8">
      <c r="A2302" s="34">
        <v>2084058761</v>
      </c>
      <c r="B2302" s="35" t="s">
        <v>462</v>
      </c>
      <c r="C2302" s="35" t="s">
        <v>405</v>
      </c>
      <c r="D2302" s="35" t="s">
        <v>737</v>
      </c>
      <c r="E2302" s="35" t="s">
        <v>741</v>
      </c>
      <c r="F2302" s="35" t="s">
        <v>390</v>
      </c>
      <c r="G2302" s="35" t="s">
        <v>379</v>
      </c>
      <c r="H2302" s="35" t="s">
        <v>335</v>
      </c>
    </row>
    <row r="2303" spans="1:8">
      <c r="A2303" s="34">
        <v>2084028546</v>
      </c>
      <c r="B2303" s="35" t="s">
        <v>462</v>
      </c>
      <c r="C2303" s="35" t="s">
        <v>405</v>
      </c>
      <c r="D2303" s="35" t="s">
        <v>737</v>
      </c>
      <c r="E2303" s="35" t="s">
        <v>741</v>
      </c>
      <c r="F2303" s="35" t="s">
        <v>390</v>
      </c>
      <c r="G2303" s="35" t="s">
        <v>530</v>
      </c>
      <c r="H2303" s="35" t="s">
        <v>531</v>
      </c>
    </row>
    <row r="2304" spans="1:8">
      <c r="A2304" s="34">
        <v>2084028621</v>
      </c>
      <c r="B2304" s="35" t="s">
        <v>462</v>
      </c>
      <c r="C2304" s="35" t="s">
        <v>405</v>
      </c>
      <c r="D2304" s="35" t="s">
        <v>737</v>
      </c>
      <c r="E2304" s="35" t="s">
        <v>741</v>
      </c>
      <c r="F2304" s="35" t="s">
        <v>390</v>
      </c>
      <c r="G2304" s="35" t="s">
        <v>530</v>
      </c>
      <c r="H2304" s="35" t="s">
        <v>532</v>
      </c>
    </row>
    <row r="2305" spans="1:8">
      <c r="A2305" s="34">
        <v>2084058763</v>
      </c>
      <c r="B2305" s="35" t="s">
        <v>462</v>
      </c>
      <c r="C2305" s="35" t="s">
        <v>405</v>
      </c>
      <c r="D2305" s="35" t="s">
        <v>737</v>
      </c>
      <c r="E2305" s="35" t="s">
        <v>741</v>
      </c>
      <c r="F2305" s="35" t="s">
        <v>390</v>
      </c>
      <c r="G2305" s="35" t="s">
        <v>530</v>
      </c>
      <c r="H2305" s="35" t="s">
        <v>335</v>
      </c>
    </row>
    <row r="2306" spans="1:8">
      <c r="A2306" s="34">
        <v>2084030132</v>
      </c>
      <c r="B2306" s="35" t="s">
        <v>462</v>
      </c>
      <c r="C2306" s="35" t="s">
        <v>405</v>
      </c>
      <c r="D2306" s="35" t="s">
        <v>737</v>
      </c>
      <c r="E2306" s="35" t="s">
        <v>741</v>
      </c>
      <c r="F2306" s="35" t="s">
        <v>390</v>
      </c>
      <c r="G2306" s="35" t="s">
        <v>533</v>
      </c>
      <c r="H2306" s="35" t="s">
        <v>534</v>
      </c>
    </row>
    <row r="2307" spans="1:8">
      <c r="A2307" s="34">
        <v>2084027153</v>
      </c>
      <c r="B2307" s="35" t="s">
        <v>462</v>
      </c>
      <c r="C2307" s="35" t="s">
        <v>405</v>
      </c>
      <c r="D2307" s="35" t="s">
        <v>737</v>
      </c>
      <c r="E2307" s="35" t="s">
        <v>741</v>
      </c>
      <c r="F2307" s="35" t="s">
        <v>390</v>
      </c>
      <c r="G2307" s="35" t="s">
        <v>533</v>
      </c>
      <c r="H2307" s="35" t="s">
        <v>536</v>
      </c>
    </row>
    <row r="2308" spans="1:8">
      <c r="A2308" s="34">
        <v>2084058765</v>
      </c>
      <c r="B2308" s="35" t="s">
        <v>462</v>
      </c>
      <c r="C2308" s="35" t="s">
        <v>405</v>
      </c>
      <c r="D2308" s="35" t="s">
        <v>737</v>
      </c>
      <c r="E2308" s="35" t="s">
        <v>741</v>
      </c>
      <c r="F2308" s="35" t="s">
        <v>390</v>
      </c>
      <c r="G2308" s="35" t="s">
        <v>533</v>
      </c>
      <c r="H2308" s="35" t="s">
        <v>335</v>
      </c>
    </row>
    <row r="2309" spans="1:8">
      <c r="A2309" s="34">
        <v>2084058776</v>
      </c>
      <c r="B2309" s="35" t="s">
        <v>462</v>
      </c>
      <c r="C2309" s="35" t="s">
        <v>405</v>
      </c>
      <c r="D2309" s="35" t="s">
        <v>737</v>
      </c>
      <c r="E2309" s="35" t="s">
        <v>741</v>
      </c>
      <c r="F2309" s="35" t="s">
        <v>390</v>
      </c>
      <c r="G2309" s="35" t="s">
        <v>335</v>
      </c>
    </row>
    <row r="2310" spans="1:8">
      <c r="A2310" s="34">
        <v>2084048783</v>
      </c>
      <c r="B2310" s="35" t="s">
        <v>462</v>
      </c>
      <c r="C2310" s="35" t="s">
        <v>405</v>
      </c>
      <c r="D2310" s="35" t="s">
        <v>737</v>
      </c>
      <c r="E2310" s="35" t="s">
        <v>741</v>
      </c>
      <c r="F2310" s="35" t="s">
        <v>335</v>
      </c>
    </row>
    <row r="2311" spans="1:8">
      <c r="A2311" s="34">
        <v>2084289458</v>
      </c>
      <c r="B2311" s="35" t="s">
        <v>462</v>
      </c>
      <c r="C2311" s="35" t="s">
        <v>405</v>
      </c>
      <c r="D2311" s="35" t="s">
        <v>737</v>
      </c>
      <c r="E2311" s="35" t="s">
        <v>742</v>
      </c>
      <c r="F2311" s="35" t="s">
        <v>611</v>
      </c>
      <c r="G2311" s="35" t="s">
        <v>647</v>
      </c>
    </row>
    <row r="2312" spans="1:8">
      <c r="A2312" s="34">
        <v>2084289459</v>
      </c>
      <c r="B2312" s="35" t="s">
        <v>462</v>
      </c>
      <c r="C2312" s="35" t="s">
        <v>405</v>
      </c>
      <c r="D2312" s="35" t="s">
        <v>737</v>
      </c>
      <c r="E2312" s="35" t="s">
        <v>742</v>
      </c>
      <c r="F2312" s="35" t="s">
        <v>611</v>
      </c>
      <c r="G2312" s="35" t="s">
        <v>648</v>
      </c>
    </row>
    <row r="2313" spans="1:8">
      <c r="A2313" s="34">
        <v>2084289460</v>
      </c>
      <c r="B2313" s="35" t="s">
        <v>462</v>
      </c>
      <c r="C2313" s="35" t="s">
        <v>405</v>
      </c>
      <c r="D2313" s="35" t="s">
        <v>737</v>
      </c>
      <c r="E2313" s="35" t="s">
        <v>742</v>
      </c>
      <c r="F2313" s="35" t="s">
        <v>611</v>
      </c>
      <c r="G2313" s="35" t="s">
        <v>649</v>
      </c>
    </row>
    <row r="2314" spans="1:8">
      <c r="A2314" s="34">
        <v>2084289461</v>
      </c>
      <c r="B2314" s="35" t="s">
        <v>462</v>
      </c>
      <c r="C2314" s="35" t="s">
        <v>405</v>
      </c>
      <c r="D2314" s="35" t="s">
        <v>737</v>
      </c>
      <c r="E2314" s="35" t="s">
        <v>742</v>
      </c>
      <c r="F2314" s="35" t="s">
        <v>611</v>
      </c>
      <c r="G2314" s="35" t="s">
        <v>650</v>
      </c>
    </row>
    <row r="2315" spans="1:8">
      <c r="A2315" s="34">
        <v>2084289462</v>
      </c>
      <c r="B2315" s="35" t="s">
        <v>462</v>
      </c>
      <c r="C2315" s="35" t="s">
        <v>405</v>
      </c>
      <c r="D2315" s="35" t="s">
        <v>737</v>
      </c>
      <c r="E2315" s="35" t="s">
        <v>742</v>
      </c>
      <c r="F2315" s="35" t="s">
        <v>611</v>
      </c>
      <c r="G2315" s="35" t="s">
        <v>651</v>
      </c>
    </row>
    <row r="2316" spans="1:8">
      <c r="A2316" s="34">
        <v>2084289463</v>
      </c>
      <c r="B2316" s="35" t="s">
        <v>462</v>
      </c>
      <c r="C2316" s="35" t="s">
        <v>405</v>
      </c>
      <c r="D2316" s="35" t="s">
        <v>737</v>
      </c>
      <c r="E2316" s="35" t="s">
        <v>742</v>
      </c>
      <c r="F2316" s="35" t="s">
        <v>611</v>
      </c>
      <c r="G2316" s="35" t="s">
        <v>652</v>
      </c>
    </row>
    <row r="2317" spans="1:8">
      <c r="A2317" s="34">
        <v>2084289464</v>
      </c>
      <c r="B2317" s="35" t="s">
        <v>462</v>
      </c>
      <c r="C2317" s="35" t="s">
        <v>405</v>
      </c>
      <c r="D2317" s="35" t="s">
        <v>737</v>
      </c>
      <c r="E2317" s="35" t="s">
        <v>742</v>
      </c>
      <c r="F2317" s="35" t="s">
        <v>611</v>
      </c>
      <c r="G2317" s="35" t="s">
        <v>653</v>
      </c>
    </row>
    <row r="2318" spans="1:8">
      <c r="A2318" s="34">
        <v>2084289465</v>
      </c>
      <c r="B2318" s="35" t="s">
        <v>462</v>
      </c>
      <c r="C2318" s="35" t="s">
        <v>405</v>
      </c>
      <c r="D2318" s="35" t="s">
        <v>737</v>
      </c>
      <c r="E2318" s="35" t="s">
        <v>742</v>
      </c>
      <c r="F2318" s="35" t="s">
        <v>611</v>
      </c>
      <c r="G2318" s="35" t="s">
        <v>654</v>
      </c>
    </row>
    <row r="2319" spans="1:8">
      <c r="A2319" s="34">
        <v>2084289466</v>
      </c>
      <c r="B2319" s="35" t="s">
        <v>462</v>
      </c>
      <c r="C2319" s="35" t="s">
        <v>405</v>
      </c>
      <c r="D2319" s="35" t="s">
        <v>737</v>
      </c>
      <c r="E2319" s="35" t="s">
        <v>742</v>
      </c>
      <c r="F2319" s="35" t="s">
        <v>611</v>
      </c>
      <c r="G2319" s="35" t="s">
        <v>655</v>
      </c>
    </row>
    <row r="2320" spans="1:8">
      <c r="A2320" s="34">
        <v>2084289467</v>
      </c>
      <c r="B2320" s="35" t="s">
        <v>462</v>
      </c>
      <c r="C2320" s="35" t="s">
        <v>405</v>
      </c>
      <c r="D2320" s="35" t="s">
        <v>737</v>
      </c>
      <c r="E2320" s="35" t="s">
        <v>742</v>
      </c>
      <c r="F2320" s="35" t="s">
        <v>611</v>
      </c>
      <c r="G2320" s="35" t="s">
        <v>656</v>
      </c>
    </row>
    <row r="2321" spans="1:7">
      <c r="A2321" s="34">
        <v>2084289468</v>
      </c>
      <c r="B2321" s="35" t="s">
        <v>462</v>
      </c>
      <c r="C2321" s="35" t="s">
        <v>405</v>
      </c>
      <c r="D2321" s="35" t="s">
        <v>737</v>
      </c>
      <c r="E2321" s="35" t="s">
        <v>742</v>
      </c>
      <c r="F2321" s="35" t="s">
        <v>611</v>
      </c>
      <c r="G2321" s="35" t="s">
        <v>657</v>
      </c>
    </row>
    <row r="2322" spans="1:7">
      <c r="A2322" s="34">
        <v>2084061427</v>
      </c>
      <c r="B2322" s="35" t="s">
        <v>462</v>
      </c>
      <c r="C2322" s="35" t="s">
        <v>405</v>
      </c>
      <c r="D2322" s="35" t="s">
        <v>737</v>
      </c>
      <c r="E2322" s="35" t="s">
        <v>742</v>
      </c>
      <c r="F2322" s="35" t="s">
        <v>335</v>
      </c>
    </row>
    <row r="2323" spans="1:7">
      <c r="A2323" s="34">
        <v>2084064444</v>
      </c>
      <c r="B2323" s="35" t="s">
        <v>462</v>
      </c>
      <c r="C2323" s="35" t="s">
        <v>405</v>
      </c>
      <c r="D2323" s="35" t="s">
        <v>737</v>
      </c>
      <c r="E2323" s="35" t="s">
        <v>743</v>
      </c>
      <c r="F2323" s="35" t="s">
        <v>390</v>
      </c>
      <c r="G2323" s="35" t="s">
        <v>367</v>
      </c>
    </row>
    <row r="2324" spans="1:7">
      <c r="A2324" s="34">
        <v>2084064445</v>
      </c>
      <c r="B2324" s="35" t="s">
        <v>462</v>
      </c>
      <c r="C2324" s="35" t="s">
        <v>405</v>
      </c>
      <c r="D2324" s="35" t="s">
        <v>737</v>
      </c>
      <c r="E2324" s="35" t="s">
        <v>743</v>
      </c>
      <c r="F2324" s="35" t="s">
        <v>390</v>
      </c>
      <c r="G2324" s="35" t="s">
        <v>401</v>
      </c>
    </row>
    <row r="2325" spans="1:7">
      <c r="A2325" s="34">
        <v>2084064446</v>
      </c>
      <c r="B2325" s="35" t="s">
        <v>462</v>
      </c>
      <c r="C2325" s="35" t="s">
        <v>405</v>
      </c>
      <c r="D2325" s="35" t="s">
        <v>737</v>
      </c>
      <c r="E2325" s="35" t="s">
        <v>743</v>
      </c>
      <c r="F2325" s="35" t="s">
        <v>390</v>
      </c>
      <c r="G2325" s="35" t="s">
        <v>402</v>
      </c>
    </row>
    <row r="2326" spans="1:7">
      <c r="A2326" s="34">
        <v>2084064447</v>
      </c>
      <c r="B2326" s="35" t="s">
        <v>462</v>
      </c>
      <c r="C2326" s="35" t="s">
        <v>405</v>
      </c>
      <c r="D2326" s="35" t="s">
        <v>737</v>
      </c>
      <c r="E2326" s="35" t="s">
        <v>743</v>
      </c>
      <c r="F2326" s="35" t="s">
        <v>390</v>
      </c>
      <c r="G2326" s="35" t="s">
        <v>403</v>
      </c>
    </row>
    <row r="2327" spans="1:7">
      <c r="A2327" s="34">
        <v>2084064448</v>
      </c>
      <c r="B2327" s="35" t="s">
        <v>462</v>
      </c>
      <c r="C2327" s="35" t="s">
        <v>405</v>
      </c>
      <c r="D2327" s="35" t="s">
        <v>737</v>
      </c>
      <c r="E2327" s="35" t="s">
        <v>743</v>
      </c>
      <c r="F2327" s="35" t="s">
        <v>390</v>
      </c>
      <c r="G2327" s="35" t="s">
        <v>335</v>
      </c>
    </row>
    <row r="2328" spans="1:7">
      <c r="A2328" s="34">
        <v>2084246114</v>
      </c>
      <c r="B2328" s="35" t="s">
        <v>462</v>
      </c>
      <c r="C2328" s="35" t="s">
        <v>405</v>
      </c>
      <c r="D2328" s="35" t="s">
        <v>737</v>
      </c>
      <c r="E2328" s="35" t="s">
        <v>743</v>
      </c>
      <c r="F2328" s="35" t="s">
        <v>408</v>
      </c>
    </row>
    <row r="2329" spans="1:7">
      <c r="A2329" s="34">
        <v>2084064449</v>
      </c>
      <c r="B2329" s="35" t="s">
        <v>462</v>
      </c>
      <c r="C2329" s="35" t="s">
        <v>405</v>
      </c>
      <c r="D2329" s="35" t="s">
        <v>737</v>
      </c>
      <c r="E2329" s="35" t="s">
        <v>743</v>
      </c>
      <c r="F2329" s="35" t="s">
        <v>335</v>
      </c>
    </row>
    <row r="2330" spans="1:7">
      <c r="A2330" s="34">
        <v>2084303236</v>
      </c>
      <c r="B2330" s="35" t="s">
        <v>462</v>
      </c>
      <c r="C2330" s="35" t="s">
        <v>405</v>
      </c>
      <c r="D2330" s="35" t="s">
        <v>737</v>
      </c>
      <c r="E2330" s="35" t="s">
        <v>744</v>
      </c>
      <c r="F2330" s="35" t="s">
        <v>407</v>
      </c>
    </row>
    <row r="2331" spans="1:7">
      <c r="A2331" s="34">
        <v>2084303235</v>
      </c>
      <c r="B2331" s="35" t="s">
        <v>462</v>
      </c>
      <c r="C2331" s="35" t="s">
        <v>405</v>
      </c>
      <c r="D2331" s="35" t="s">
        <v>737</v>
      </c>
      <c r="E2331" s="35" t="s">
        <v>744</v>
      </c>
      <c r="F2331" s="35" t="s">
        <v>408</v>
      </c>
    </row>
    <row r="2332" spans="1:7">
      <c r="A2332" s="34">
        <v>2084055636</v>
      </c>
      <c r="B2332" s="35" t="s">
        <v>462</v>
      </c>
      <c r="C2332" s="35" t="s">
        <v>405</v>
      </c>
      <c r="D2332" s="35" t="s">
        <v>737</v>
      </c>
      <c r="E2332" s="35" t="s">
        <v>745</v>
      </c>
      <c r="F2332" s="35" t="s">
        <v>367</v>
      </c>
    </row>
    <row r="2333" spans="1:7">
      <c r="A2333" s="34">
        <v>2084055639</v>
      </c>
      <c r="B2333" s="35" t="s">
        <v>462</v>
      </c>
      <c r="C2333" s="35" t="s">
        <v>405</v>
      </c>
      <c r="D2333" s="35" t="s">
        <v>737</v>
      </c>
      <c r="E2333" s="35" t="s">
        <v>745</v>
      </c>
      <c r="F2333" s="35" t="s">
        <v>368</v>
      </c>
      <c r="G2333" s="35" t="s">
        <v>481</v>
      </c>
    </row>
    <row r="2334" spans="1:7">
      <c r="A2334" s="34">
        <v>2084055638</v>
      </c>
      <c r="B2334" s="35" t="s">
        <v>462</v>
      </c>
      <c r="C2334" s="35" t="s">
        <v>405</v>
      </c>
      <c r="D2334" s="35" t="s">
        <v>737</v>
      </c>
      <c r="E2334" s="35" t="s">
        <v>745</v>
      </c>
      <c r="F2334" s="35" t="s">
        <v>368</v>
      </c>
      <c r="G2334" s="35" t="s">
        <v>482</v>
      </c>
    </row>
    <row r="2335" spans="1:7">
      <c r="A2335" s="34">
        <v>2084055640</v>
      </c>
      <c r="B2335" s="35" t="s">
        <v>462</v>
      </c>
      <c r="C2335" s="35" t="s">
        <v>405</v>
      </c>
      <c r="D2335" s="35" t="s">
        <v>737</v>
      </c>
      <c r="E2335" s="35" t="s">
        <v>745</v>
      </c>
      <c r="F2335" s="35" t="s">
        <v>368</v>
      </c>
      <c r="G2335" s="35" t="s">
        <v>335</v>
      </c>
    </row>
    <row r="2336" spans="1:7">
      <c r="A2336" s="34">
        <v>2084055646</v>
      </c>
      <c r="B2336" s="35" t="s">
        <v>462</v>
      </c>
      <c r="C2336" s="35" t="s">
        <v>405</v>
      </c>
      <c r="D2336" s="35" t="s">
        <v>737</v>
      </c>
      <c r="E2336" s="35" t="s">
        <v>745</v>
      </c>
      <c r="F2336" s="35" t="s">
        <v>10</v>
      </c>
      <c r="G2336" s="35" t="s">
        <v>483</v>
      </c>
    </row>
    <row r="2337" spans="1:7">
      <c r="A2337" s="34">
        <v>2084055643</v>
      </c>
      <c r="B2337" s="35" t="s">
        <v>462</v>
      </c>
      <c r="C2337" s="35" t="s">
        <v>405</v>
      </c>
      <c r="D2337" s="35" t="s">
        <v>737</v>
      </c>
      <c r="E2337" s="35" t="s">
        <v>745</v>
      </c>
      <c r="F2337" s="35" t="s">
        <v>10</v>
      </c>
      <c r="G2337" s="35" t="s">
        <v>397</v>
      </c>
    </row>
    <row r="2338" spans="1:7">
      <c r="A2338" s="34">
        <v>2084055645</v>
      </c>
      <c r="B2338" s="35" t="s">
        <v>462</v>
      </c>
      <c r="C2338" s="35" t="s">
        <v>405</v>
      </c>
      <c r="D2338" s="35" t="s">
        <v>737</v>
      </c>
      <c r="E2338" s="35" t="s">
        <v>745</v>
      </c>
      <c r="F2338" s="35" t="s">
        <v>10</v>
      </c>
      <c r="G2338" s="35" t="s">
        <v>421</v>
      </c>
    </row>
    <row r="2339" spans="1:7">
      <c r="A2339" s="34">
        <v>2084055642</v>
      </c>
      <c r="B2339" s="35" t="s">
        <v>462</v>
      </c>
      <c r="C2339" s="35" t="s">
        <v>405</v>
      </c>
      <c r="D2339" s="35" t="s">
        <v>737</v>
      </c>
      <c r="E2339" s="35" t="s">
        <v>745</v>
      </c>
      <c r="F2339" s="35" t="s">
        <v>10</v>
      </c>
      <c r="G2339" s="35" t="s">
        <v>398</v>
      </c>
    </row>
    <row r="2340" spans="1:7">
      <c r="A2340" s="34">
        <v>2084055644</v>
      </c>
      <c r="B2340" s="35" t="s">
        <v>462</v>
      </c>
      <c r="C2340" s="35" t="s">
        <v>405</v>
      </c>
      <c r="D2340" s="35" t="s">
        <v>737</v>
      </c>
      <c r="E2340" s="35" t="s">
        <v>745</v>
      </c>
      <c r="F2340" s="35" t="s">
        <v>10</v>
      </c>
      <c r="G2340" s="35" t="s">
        <v>422</v>
      </c>
    </row>
    <row r="2341" spans="1:7">
      <c r="A2341" s="34">
        <v>2084055647</v>
      </c>
      <c r="B2341" s="35" t="s">
        <v>462</v>
      </c>
      <c r="C2341" s="35" t="s">
        <v>405</v>
      </c>
      <c r="D2341" s="35" t="s">
        <v>737</v>
      </c>
      <c r="E2341" s="35" t="s">
        <v>745</v>
      </c>
      <c r="F2341" s="35" t="s">
        <v>10</v>
      </c>
      <c r="G2341" s="35" t="s">
        <v>335</v>
      </c>
    </row>
    <row r="2342" spans="1:7">
      <c r="A2342" s="34">
        <v>2084055649</v>
      </c>
      <c r="B2342" s="35" t="s">
        <v>462</v>
      </c>
      <c r="C2342" s="35" t="s">
        <v>405</v>
      </c>
      <c r="D2342" s="35" t="s">
        <v>737</v>
      </c>
      <c r="E2342" s="35" t="s">
        <v>745</v>
      </c>
      <c r="F2342" s="35" t="s">
        <v>379</v>
      </c>
      <c r="G2342" s="35" t="s">
        <v>476</v>
      </c>
    </row>
    <row r="2343" spans="1:7">
      <c r="A2343" s="34">
        <v>2084055650</v>
      </c>
      <c r="B2343" s="35" t="s">
        <v>462</v>
      </c>
      <c r="C2343" s="35" t="s">
        <v>405</v>
      </c>
      <c r="D2343" s="35" t="s">
        <v>737</v>
      </c>
      <c r="E2343" s="35" t="s">
        <v>745</v>
      </c>
      <c r="F2343" s="35" t="s">
        <v>379</v>
      </c>
      <c r="G2343" s="35" t="s">
        <v>335</v>
      </c>
    </row>
    <row r="2344" spans="1:7">
      <c r="A2344" s="34">
        <v>2084061444</v>
      </c>
      <c r="B2344" s="35" t="s">
        <v>462</v>
      </c>
      <c r="C2344" s="35" t="s">
        <v>405</v>
      </c>
      <c r="D2344" s="35" t="s">
        <v>737</v>
      </c>
      <c r="E2344" s="35" t="s">
        <v>745</v>
      </c>
      <c r="F2344" s="35" t="s">
        <v>478</v>
      </c>
    </row>
    <row r="2345" spans="1:7">
      <c r="A2345" s="34">
        <v>2084055651</v>
      </c>
      <c r="B2345" s="35" t="s">
        <v>462</v>
      </c>
      <c r="C2345" s="35" t="s">
        <v>405</v>
      </c>
      <c r="D2345" s="35" t="s">
        <v>737</v>
      </c>
      <c r="E2345" s="35" t="s">
        <v>745</v>
      </c>
      <c r="F2345" s="35" t="s">
        <v>335</v>
      </c>
    </row>
    <row r="2346" spans="1:7">
      <c r="A2346" s="34">
        <v>2084210890</v>
      </c>
      <c r="B2346" s="35" t="s">
        <v>462</v>
      </c>
      <c r="C2346" s="35" t="s">
        <v>405</v>
      </c>
      <c r="D2346" s="35" t="s">
        <v>737</v>
      </c>
      <c r="E2346" s="35" t="s">
        <v>746</v>
      </c>
      <c r="F2346" s="35" t="s">
        <v>475</v>
      </c>
    </row>
    <row r="2347" spans="1:7">
      <c r="A2347" s="34">
        <v>2084210891</v>
      </c>
      <c r="B2347" s="35" t="s">
        <v>462</v>
      </c>
      <c r="C2347" s="35" t="s">
        <v>405</v>
      </c>
      <c r="D2347" s="35" t="s">
        <v>737</v>
      </c>
      <c r="E2347" s="35" t="s">
        <v>746</v>
      </c>
      <c r="F2347" s="35" t="s">
        <v>335</v>
      </c>
    </row>
    <row r="2348" spans="1:7">
      <c r="A2348" s="34">
        <v>2084298375</v>
      </c>
      <c r="B2348" s="35" t="s">
        <v>462</v>
      </c>
      <c r="C2348" s="35" t="s">
        <v>405</v>
      </c>
      <c r="D2348" s="35" t="s">
        <v>747</v>
      </c>
      <c r="E2348" s="35" t="s">
        <v>748</v>
      </c>
    </row>
    <row r="2349" spans="1:7">
      <c r="A2349" s="34">
        <v>2084238696</v>
      </c>
      <c r="B2349" s="35" t="s">
        <v>462</v>
      </c>
      <c r="C2349" s="35" t="s">
        <v>405</v>
      </c>
      <c r="D2349" s="35" t="s">
        <v>747</v>
      </c>
      <c r="E2349" s="35" t="s">
        <v>749</v>
      </c>
      <c r="F2349" s="35" t="s">
        <v>750</v>
      </c>
      <c r="G2349" s="35" t="s">
        <v>407</v>
      </c>
    </row>
    <row r="2350" spans="1:7">
      <c r="A2350" s="34">
        <v>2084238695</v>
      </c>
      <c r="B2350" s="35" t="s">
        <v>462</v>
      </c>
      <c r="C2350" s="35" t="s">
        <v>405</v>
      </c>
      <c r="D2350" s="35" t="s">
        <v>747</v>
      </c>
      <c r="E2350" s="35" t="s">
        <v>749</v>
      </c>
      <c r="F2350" s="35" t="s">
        <v>750</v>
      </c>
      <c r="G2350" s="35" t="s">
        <v>408</v>
      </c>
    </row>
    <row r="2351" spans="1:7">
      <c r="A2351" s="34">
        <v>2084238697</v>
      </c>
      <c r="B2351" s="35" t="s">
        <v>462</v>
      </c>
      <c r="C2351" s="35" t="s">
        <v>405</v>
      </c>
      <c r="D2351" s="35" t="s">
        <v>747</v>
      </c>
      <c r="E2351" s="35" t="s">
        <v>749</v>
      </c>
      <c r="F2351" s="35" t="s">
        <v>335</v>
      </c>
    </row>
    <row r="2352" spans="1:7">
      <c r="A2352" s="34">
        <v>2084062367</v>
      </c>
      <c r="B2352" s="35" t="s">
        <v>462</v>
      </c>
      <c r="C2352" s="35" t="s">
        <v>405</v>
      </c>
      <c r="D2352" s="35" t="s">
        <v>747</v>
      </c>
      <c r="E2352" s="35" t="s">
        <v>751</v>
      </c>
      <c r="F2352" s="35" t="s">
        <v>407</v>
      </c>
    </row>
    <row r="2353" spans="1:8">
      <c r="A2353" s="34">
        <v>2084062366</v>
      </c>
      <c r="B2353" s="35" t="s">
        <v>462</v>
      </c>
      <c r="C2353" s="35" t="s">
        <v>405</v>
      </c>
      <c r="D2353" s="35" t="s">
        <v>747</v>
      </c>
      <c r="E2353" s="35" t="s">
        <v>751</v>
      </c>
      <c r="F2353" s="35" t="s">
        <v>408</v>
      </c>
    </row>
    <row r="2354" spans="1:8">
      <c r="A2354" s="34">
        <v>2084062371</v>
      </c>
      <c r="B2354" s="35" t="s">
        <v>462</v>
      </c>
      <c r="C2354" s="35" t="s">
        <v>405</v>
      </c>
      <c r="D2354" s="35" t="s">
        <v>747</v>
      </c>
      <c r="E2354" s="35" t="s">
        <v>751</v>
      </c>
      <c r="F2354" s="35" t="s">
        <v>442</v>
      </c>
      <c r="G2354" s="35" t="s">
        <v>504</v>
      </c>
    </row>
    <row r="2355" spans="1:8">
      <c r="A2355" s="34">
        <v>2084062372</v>
      </c>
      <c r="B2355" s="35" t="s">
        <v>462</v>
      </c>
      <c r="C2355" s="35" t="s">
        <v>405</v>
      </c>
      <c r="D2355" s="35" t="s">
        <v>747</v>
      </c>
      <c r="E2355" s="35" t="s">
        <v>751</v>
      </c>
      <c r="F2355" s="35" t="s">
        <v>442</v>
      </c>
      <c r="G2355" s="35" t="s">
        <v>335</v>
      </c>
    </row>
    <row r="2356" spans="1:8">
      <c r="A2356" s="34">
        <v>2084062373</v>
      </c>
      <c r="B2356" s="35" t="s">
        <v>462</v>
      </c>
      <c r="C2356" s="35" t="s">
        <v>405</v>
      </c>
      <c r="D2356" s="35" t="s">
        <v>747</v>
      </c>
      <c r="E2356" s="35" t="s">
        <v>751</v>
      </c>
      <c r="F2356" s="35" t="s">
        <v>335</v>
      </c>
    </row>
    <row r="2357" spans="1:8">
      <c r="A2357" s="34">
        <v>2084255845</v>
      </c>
      <c r="B2357" s="35" t="s">
        <v>462</v>
      </c>
      <c r="C2357" s="35" t="s">
        <v>405</v>
      </c>
      <c r="D2357" s="35" t="s">
        <v>747</v>
      </c>
      <c r="E2357" s="35" t="s">
        <v>752</v>
      </c>
    </row>
    <row r="2358" spans="1:8">
      <c r="A2358" s="34">
        <v>2084050203</v>
      </c>
      <c r="B2358" s="35" t="s">
        <v>462</v>
      </c>
      <c r="C2358" s="35" t="s">
        <v>405</v>
      </c>
      <c r="D2358" s="35" t="s">
        <v>747</v>
      </c>
      <c r="E2358" s="35" t="s">
        <v>753</v>
      </c>
    </row>
    <row r="2359" spans="1:8">
      <c r="A2359" s="34">
        <v>2084315950</v>
      </c>
      <c r="B2359" s="35" t="s">
        <v>462</v>
      </c>
      <c r="C2359" s="35" t="s">
        <v>405</v>
      </c>
      <c r="D2359" s="35" t="s">
        <v>747</v>
      </c>
      <c r="E2359" s="35" t="s">
        <v>754</v>
      </c>
    </row>
    <row r="2360" spans="1:8">
      <c r="A2360" s="34">
        <v>2084298376</v>
      </c>
      <c r="B2360" s="35" t="s">
        <v>462</v>
      </c>
      <c r="C2360" s="35" t="s">
        <v>405</v>
      </c>
      <c r="D2360" s="35" t="s">
        <v>747</v>
      </c>
      <c r="E2360" s="35" t="s">
        <v>755</v>
      </c>
    </row>
    <row r="2361" spans="1:8">
      <c r="A2361" s="34">
        <v>2084056405</v>
      </c>
      <c r="B2361" s="35" t="s">
        <v>462</v>
      </c>
      <c r="C2361" s="35" t="s">
        <v>405</v>
      </c>
      <c r="D2361" s="35" t="s">
        <v>747</v>
      </c>
      <c r="E2361" s="35" t="s">
        <v>756</v>
      </c>
      <c r="F2361" s="35" t="s">
        <v>353</v>
      </c>
      <c r="G2361" s="35" t="s">
        <v>367</v>
      </c>
    </row>
    <row r="2362" spans="1:8">
      <c r="A2362" s="34">
        <v>2084056407</v>
      </c>
      <c r="B2362" s="35" t="s">
        <v>462</v>
      </c>
      <c r="C2362" s="35" t="s">
        <v>405</v>
      </c>
      <c r="D2362" s="35" t="s">
        <v>747</v>
      </c>
      <c r="E2362" s="35" t="s">
        <v>756</v>
      </c>
      <c r="F2362" s="35" t="s">
        <v>353</v>
      </c>
      <c r="G2362" s="35" t="s">
        <v>368</v>
      </c>
      <c r="H2362" s="35" t="s">
        <v>481</v>
      </c>
    </row>
    <row r="2363" spans="1:8">
      <c r="A2363" s="34">
        <v>2084056408</v>
      </c>
      <c r="B2363" s="35" t="s">
        <v>462</v>
      </c>
      <c r="C2363" s="35" t="s">
        <v>405</v>
      </c>
      <c r="D2363" s="35" t="s">
        <v>747</v>
      </c>
      <c r="E2363" s="35" t="s">
        <v>756</v>
      </c>
      <c r="F2363" s="35" t="s">
        <v>353</v>
      </c>
      <c r="G2363" s="35" t="s">
        <v>368</v>
      </c>
      <c r="H2363" s="35" t="s">
        <v>335</v>
      </c>
    </row>
    <row r="2364" spans="1:8">
      <c r="A2364" s="34">
        <v>2084056415</v>
      </c>
      <c r="B2364" s="35" t="s">
        <v>462</v>
      </c>
      <c r="C2364" s="35" t="s">
        <v>405</v>
      </c>
      <c r="D2364" s="35" t="s">
        <v>747</v>
      </c>
      <c r="E2364" s="35" t="s">
        <v>756</v>
      </c>
      <c r="F2364" s="35" t="s">
        <v>353</v>
      </c>
      <c r="G2364" s="35" t="s">
        <v>10</v>
      </c>
      <c r="H2364" s="35" t="s">
        <v>483</v>
      </c>
    </row>
    <row r="2365" spans="1:8">
      <c r="A2365" s="34">
        <v>2084056412</v>
      </c>
      <c r="B2365" s="35" t="s">
        <v>462</v>
      </c>
      <c r="C2365" s="35" t="s">
        <v>405</v>
      </c>
      <c r="D2365" s="35" t="s">
        <v>747</v>
      </c>
      <c r="E2365" s="35" t="s">
        <v>756</v>
      </c>
      <c r="F2365" s="35" t="s">
        <v>353</v>
      </c>
      <c r="G2365" s="35" t="s">
        <v>10</v>
      </c>
      <c r="H2365" s="35" t="s">
        <v>397</v>
      </c>
    </row>
    <row r="2366" spans="1:8">
      <c r="A2366" s="34">
        <v>2084056414</v>
      </c>
      <c r="B2366" s="35" t="s">
        <v>462</v>
      </c>
      <c r="C2366" s="35" t="s">
        <v>405</v>
      </c>
      <c r="D2366" s="35" t="s">
        <v>747</v>
      </c>
      <c r="E2366" s="35" t="s">
        <v>756</v>
      </c>
      <c r="F2366" s="35" t="s">
        <v>353</v>
      </c>
      <c r="G2366" s="35" t="s">
        <v>10</v>
      </c>
      <c r="H2366" s="35" t="s">
        <v>421</v>
      </c>
    </row>
    <row r="2367" spans="1:8">
      <c r="A2367" s="34">
        <v>2084056411</v>
      </c>
      <c r="B2367" s="35" t="s">
        <v>462</v>
      </c>
      <c r="C2367" s="35" t="s">
        <v>405</v>
      </c>
      <c r="D2367" s="35" t="s">
        <v>747</v>
      </c>
      <c r="E2367" s="35" t="s">
        <v>756</v>
      </c>
      <c r="F2367" s="35" t="s">
        <v>353</v>
      </c>
      <c r="G2367" s="35" t="s">
        <v>10</v>
      </c>
      <c r="H2367" s="35" t="s">
        <v>398</v>
      </c>
    </row>
    <row r="2368" spans="1:8">
      <c r="A2368" s="34">
        <v>2084056413</v>
      </c>
      <c r="B2368" s="35" t="s">
        <v>462</v>
      </c>
      <c r="C2368" s="35" t="s">
        <v>405</v>
      </c>
      <c r="D2368" s="35" t="s">
        <v>747</v>
      </c>
      <c r="E2368" s="35" t="s">
        <v>756</v>
      </c>
      <c r="F2368" s="35" t="s">
        <v>353</v>
      </c>
      <c r="G2368" s="35" t="s">
        <v>10</v>
      </c>
      <c r="H2368" s="35" t="s">
        <v>422</v>
      </c>
    </row>
    <row r="2369" spans="1:8">
      <c r="A2369" s="34">
        <v>2084056416</v>
      </c>
      <c r="B2369" s="35" t="s">
        <v>462</v>
      </c>
      <c r="C2369" s="35" t="s">
        <v>405</v>
      </c>
      <c r="D2369" s="35" t="s">
        <v>747</v>
      </c>
      <c r="E2369" s="35" t="s">
        <v>756</v>
      </c>
      <c r="F2369" s="35" t="s">
        <v>353</v>
      </c>
      <c r="G2369" s="35" t="s">
        <v>10</v>
      </c>
      <c r="H2369" s="35" t="s">
        <v>335</v>
      </c>
    </row>
    <row r="2370" spans="1:8">
      <c r="A2370" s="34">
        <v>2084056417</v>
      </c>
      <c r="B2370" s="35" t="s">
        <v>462</v>
      </c>
      <c r="C2370" s="35" t="s">
        <v>405</v>
      </c>
      <c r="D2370" s="35" t="s">
        <v>747</v>
      </c>
      <c r="E2370" s="35" t="s">
        <v>756</v>
      </c>
      <c r="F2370" s="35" t="s">
        <v>353</v>
      </c>
      <c r="G2370" s="35" t="s">
        <v>403</v>
      </c>
    </row>
    <row r="2371" spans="1:8">
      <c r="A2371" s="34">
        <v>2084056419</v>
      </c>
      <c r="B2371" s="35" t="s">
        <v>462</v>
      </c>
      <c r="C2371" s="35" t="s">
        <v>405</v>
      </c>
      <c r="D2371" s="35" t="s">
        <v>747</v>
      </c>
      <c r="E2371" s="35" t="s">
        <v>756</v>
      </c>
      <c r="F2371" s="35" t="s">
        <v>353</v>
      </c>
      <c r="G2371" s="35" t="s">
        <v>335</v>
      </c>
    </row>
    <row r="2372" spans="1:8">
      <c r="A2372" s="34">
        <v>2084056420</v>
      </c>
      <c r="B2372" s="35" t="s">
        <v>462</v>
      </c>
      <c r="C2372" s="35" t="s">
        <v>405</v>
      </c>
      <c r="D2372" s="35" t="s">
        <v>747</v>
      </c>
      <c r="E2372" s="35" t="s">
        <v>756</v>
      </c>
      <c r="F2372" s="35" t="s">
        <v>335</v>
      </c>
    </row>
    <row r="2373" spans="1:8">
      <c r="A2373" s="34">
        <v>2084028234</v>
      </c>
      <c r="B2373" s="35" t="s">
        <v>462</v>
      </c>
      <c r="C2373" s="35" t="s">
        <v>405</v>
      </c>
      <c r="D2373" s="35" t="s">
        <v>747</v>
      </c>
      <c r="E2373" s="35" t="s">
        <v>757</v>
      </c>
      <c r="F2373" s="35" t="s">
        <v>390</v>
      </c>
      <c r="G2373" s="35" t="s">
        <v>367</v>
      </c>
    </row>
    <row r="2374" spans="1:8">
      <c r="A2374" s="34">
        <v>2084028786</v>
      </c>
      <c r="B2374" s="35" t="s">
        <v>462</v>
      </c>
      <c r="C2374" s="35" t="s">
        <v>405</v>
      </c>
      <c r="D2374" s="35" t="s">
        <v>747</v>
      </c>
      <c r="E2374" s="35" t="s">
        <v>757</v>
      </c>
      <c r="F2374" s="35" t="s">
        <v>390</v>
      </c>
      <c r="G2374" s="35" t="s">
        <v>368</v>
      </c>
      <c r="H2374" s="35" t="s">
        <v>508</v>
      </c>
    </row>
    <row r="2375" spans="1:8">
      <c r="A2375" s="34">
        <v>2084029319</v>
      </c>
      <c r="B2375" s="35" t="s">
        <v>462</v>
      </c>
      <c r="C2375" s="35" t="s">
        <v>405</v>
      </c>
      <c r="D2375" s="35" t="s">
        <v>747</v>
      </c>
      <c r="E2375" s="35" t="s">
        <v>757</v>
      </c>
      <c r="F2375" s="35" t="s">
        <v>390</v>
      </c>
      <c r="G2375" s="35" t="s">
        <v>368</v>
      </c>
      <c r="H2375" s="35" t="s">
        <v>481</v>
      </c>
    </row>
    <row r="2376" spans="1:8">
      <c r="A2376" s="34">
        <v>2084029870</v>
      </c>
      <c r="B2376" s="35" t="s">
        <v>462</v>
      </c>
      <c r="C2376" s="35" t="s">
        <v>405</v>
      </c>
      <c r="D2376" s="35" t="s">
        <v>747</v>
      </c>
      <c r="E2376" s="35" t="s">
        <v>757</v>
      </c>
      <c r="F2376" s="35" t="s">
        <v>390</v>
      </c>
      <c r="G2376" s="35" t="s">
        <v>368</v>
      </c>
      <c r="H2376" s="35" t="s">
        <v>494</v>
      </c>
    </row>
    <row r="2377" spans="1:8">
      <c r="A2377" s="34">
        <v>2084058785</v>
      </c>
      <c r="B2377" s="35" t="s">
        <v>462</v>
      </c>
      <c r="C2377" s="35" t="s">
        <v>405</v>
      </c>
      <c r="D2377" s="35" t="s">
        <v>747</v>
      </c>
      <c r="E2377" s="35" t="s">
        <v>757</v>
      </c>
      <c r="F2377" s="35" t="s">
        <v>390</v>
      </c>
      <c r="G2377" s="35" t="s">
        <v>368</v>
      </c>
      <c r="H2377" s="35" t="s">
        <v>335</v>
      </c>
    </row>
    <row r="2378" spans="1:8">
      <c r="A2378" s="34">
        <v>2084027335</v>
      </c>
      <c r="B2378" s="35" t="s">
        <v>462</v>
      </c>
      <c r="C2378" s="35" t="s">
        <v>405</v>
      </c>
      <c r="D2378" s="35" t="s">
        <v>747</v>
      </c>
      <c r="E2378" s="35" t="s">
        <v>757</v>
      </c>
      <c r="F2378" s="35" t="s">
        <v>390</v>
      </c>
      <c r="G2378" s="35" t="s">
        <v>10</v>
      </c>
      <c r="H2378" s="35" t="s">
        <v>509</v>
      </c>
    </row>
    <row r="2379" spans="1:8">
      <c r="A2379" s="34">
        <v>2084027828</v>
      </c>
      <c r="B2379" s="35" t="s">
        <v>462</v>
      </c>
      <c r="C2379" s="35" t="s">
        <v>405</v>
      </c>
      <c r="D2379" s="35" t="s">
        <v>747</v>
      </c>
      <c r="E2379" s="35" t="s">
        <v>757</v>
      </c>
      <c r="F2379" s="35" t="s">
        <v>390</v>
      </c>
      <c r="G2379" s="35" t="s">
        <v>10</v>
      </c>
      <c r="H2379" s="35" t="s">
        <v>510</v>
      </c>
    </row>
    <row r="2380" spans="1:8">
      <c r="A2380" s="34">
        <v>2084027860</v>
      </c>
      <c r="B2380" s="35" t="s">
        <v>462</v>
      </c>
      <c r="C2380" s="35" t="s">
        <v>405</v>
      </c>
      <c r="D2380" s="35" t="s">
        <v>747</v>
      </c>
      <c r="E2380" s="35" t="s">
        <v>757</v>
      </c>
      <c r="F2380" s="35" t="s">
        <v>390</v>
      </c>
      <c r="G2380" s="35" t="s">
        <v>10</v>
      </c>
      <c r="H2380" s="35" t="s">
        <v>511</v>
      </c>
    </row>
    <row r="2381" spans="1:8">
      <c r="A2381" s="34">
        <v>2084027890</v>
      </c>
      <c r="B2381" s="35" t="s">
        <v>462</v>
      </c>
      <c r="C2381" s="35" t="s">
        <v>405</v>
      </c>
      <c r="D2381" s="35" t="s">
        <v>747</v>
      </c>
      <c r="E2381" s="35" t="s">
        <v>757</v>
      </c>
      <c r="F2381" s="35" t="s">
        <v>390</v>
      </c>
      <c r="G2381" s="35" t="s">
        <v>10</v>
      </c>
      <c r="H2381" s="35" t="s">
        <v>493</v>
      </c>
    </row>
    <row r="2382" spans="1:8">
      <c r="A2382" s="34">
        <v>2084027459</v>
      </c>
      <c r="B2382" s="35" t="s">
        <v>462</v>
      </c>
      <c r="C2382" s="35" t="s">
        <v>405</v>
      </c>
      <c r="D2382" s="35" t="s">
        <v>747</v>
      </c>
      <c r="E2382" s="35" t="s">
        <v>757</v>
      </c>
      <c r="F2382" s="35" t="s">
        <v>390</v>
      </c>
      <c r="G2382" s="35" t="s">
        <v>10</v>
      </c>
      <c r="H2382" s="35" t="s">
        <v>512</v>
      </c>
    </row>
    <row r="2383" spans="1:8">
      <c r="A2383" s="34">
        <v>2084027626</v>
      </c>
      <c r="B2383" s="35" t="s">
        <v>462</v>
      </c>
      <c r="C2383" s="35" t="s">
        <v>405</v>
      </c>
      <c r="D2383" s="35" t="s">
        <v>747</v>
      </c>
      <c r="E2383" s="35" t="s">
        <v>757</v>
      </c>
      <c r="F2383" s="35" t="s">
        <v>390</v>
      </c>
      <c r="G2383" s="35" t="s">
        <v>10</v>
      </c>
      <c r="H2383" s="35" t="s">
        <v>513</v>
      </c>
    </row>
    <row r="2384" spans="1:8">
      <c r="A2384" s="34">
        <v>2084027970</v>
      </c>
      <c r="B2384" s="35" t="s">
        <v>462</v>
      </c>
      <c r="C2384" s="35" t="s">
        <v>405</v>
      </c>
      <c r="D2384" s="35" t="s">
        <v>747</v>
      </c>
      <c r="E2384" s="35" t="s">
        <v>757</v>
      </c>
      <c r="F2384" s="35" t="s">
        <v>390</v>
      </c>
      <c r="G2384" s="35" t="s">
        <v>10</v>
      </c>
      <c r="H2384" s="35" t="s">
        <v>420</v>
      </c>
    </row>
    <row r="2385" spans="1:8">
      <c r="A2385" s="34">
        <v>2084027248</v>
      </c>
      <c r="B2385" s="35" t="s">
        <v>462</v>
      </c>
      <c r="C2385" s="35" t="s">
        <v>405</v>
      </c>
      <c r="D2385" s="35" t="s">
        <v>747</v>
      </c>
      <c r="E2385" s="35" t="s">
        <v>757</v>
      </c>
      <c r="F2385" s="35" t="s">
        <v>390</v>
      </c>
      <c r="G2385" s="35" t="s">
        <v>10</v>
      </c>
      <c r="H2385" s="35" t="s">
        <v>514</v>
      </c>
    </row>
    <row r="2386" spans="1:8">
      <c r="A2386" s="34">
        <v>2084027424</v>
      </c>
      <c r="B2386" s="35" t="s">
        <v>462</v>
      </c>
      <c r="C2386" s="35" t="s">
        <v>405</v>
      </c>
      <c r="D2386" s="35" t="s">
        <v>747</v>
      </c>
      <c r="E2386" s="35" t="s">
        <v>757</v>
      </c>
      <c r="F2386" s="35" t="s">
        <v>390</v>
      </c>
      <c r="G2386" s="35" t="s">
        <v>10</v>
      </c>
      <c r="H2386" s="35" t="s">
        <v>515</v>
      </c>
    </row>
    <row r="2387" spans="1:8">
      <c r="A2387" s="34">
        <v>2084027493</v>
      </c>
      <c r="B2387" s="35" t="s">
        <v>462</v>
      </c>
      <c r="C2387" s="35" t="s">
        <v>405</v>
      </c>
      <c r="D2387" s="35" t="s">
        <v>747</v>
      </c>
      <c r="E2387" s="35" t="s">
        <v>757</v>
      </c>
      <c r="F2387" s="35" t="s">
        <v>390</v>
      </c>
      <c r="G2387" s="35" t="s">
        <v>10</v>
      </c>
      <c r="H2387" s="35" t="s">
        <v>421</v>
      </c>
    </row>
    <row r="2388" spans="1:8">
      <c r="A2388" s="34">
        <v>2084027704</v>
      </c>
      <c r="B2388" s="35" t="s">
        <v>462</v>
      </c>
      <c r="C2388" s="35" t="s">
        <v>405</v>
      </c>
      <c r="D2388" s="35" t="s">
        <v>747</v>
      </c>
      <c r="E2388" s="35" t="s">
        <v>757</v>
      </c>
      <c r="F2388" s="35" t="s">
        <v>390</v>
      </c>
      <c r="G2388" s="35" t="s">
        <v>10</v>
      </c>
      <c r="H2388" s="35" t="s">
        <v>516</v>
      </c>
    </row>
    <row r="2389" spans="1:8">
      <c r="A2389" s="34">
        <v>2084027221</v>
      </c>
      <c r="B2389" s="35" t="s">
        <v>462</v>
      </c>
      <c r="C2389" s="35" t="s">
        <v>405</v>
      </c>
      <c r="D2389" s="35" t="s">
        <v>747</v>
      </c>
      <c r="E2389" s="35" t="s">
        <v>757</v>
      </c>
      <c r="F2389" s="35" t="s">
        <v>390</v>
      </c>
      <c r="G2389" s="35" t="s">
        <v>10</v>
      </c>
      <c r="H2389" s="35" t="s">
        <v>517</v>
      </c>
    </row>
    <row r="2390" spans="1:8">
      <c r="A2390" s="34">
        <v>2084027359</v>
      </c>
      <c r="B2390" s="35" t="s">
        <v>462</v>
      </c>
      <c r="C2390" s="35" t="s">
        <v>405</v>
      </c>
      <c r="D2390" s="35" t="s">
        <v>747</v>
      </c>
      <c r="E2390" s="35" t="s">
        <v>757</v>
      </c>
      <c r="F2390" s="35" t="s">
        <v>390</v>
      </c>
      <c r="G2390" s="35" t="s">
        <v>10</v>
      </c>
      <c r="H2390" s="35" t="s">
        <v>518</v>
      </c>
    </row>
    <row r="2391" spans="1:8">
      <c r="A2391" s="34">
        <v>2084027570</v>
      </c>
      <c r="B2391" s="35" t="s">
        <v>462</v>
      </c>
      <c r="C2391" s="35" t="s">
        <v>405</v>
      </c>
      <c r="D2391" s="35" t="s">
        <v>747</v>
      </c>
      <c r="E2391" s="35" t="s">
        <v>757</v>
      </c>
      <c r="F2391" s="35" t="s">
        <v>390</v>
      </c>
      <c r="G2391" s="35" t="s">
        <v>10</v>
      </c>
      <c r="H2391" s="35" t="s">
        <v>422</v>
      </c>
    </row>
    <row r="2392" spans="1:8">
      <c r="A2392" s="34">
        <v>2084027754</v>
      </c>
      <c r="B2392" s="35" t="s">
        <v>462</v>
      </c>
      <c r="C2392" s="35" t="s">
        <v>405</v>
      </c>
      <c r="D2392" s="35" t="s">
        <v>747</v>
      </c>
      <c r="E2392" s="35" t="s">
        <v>757</v>
      </c>
      <c r="F2392" s="35" t="s">
        <v>390</v>
      </c>
      <c r="G2392" s="35" t="s">
        <v>10</v>
      </c>
      <c r="H2392" s="35" t="s">
        <v>519</v>
      </c>
    </row>
    <row r="2393" spans="1:8">
      <c r="A2393" s="34">
        <v>2084058787</v>
      </c>
      <c r="B2393" s="35" t="s">
        <v>462</v>
      </c>
      <c r="C2393" s="35" t="s">
        <v>405</v>
      </c>
      <c r="D2393" s="35" t="s">
        <v>747</v>
      </c>
      <c r="E2393" s="35" t="s">
        <v>757</v>
      </c>
      <c r="F2393" s="35" t="s">
        <v>390</v>
      </c>
      <c r="G2393" s="35" t="s">
        <v>10</v>
      </c>
      <c r="H2393" s="35" t="s">
        <v>335</v>
      </c>
    </row>
    <row r="2394" spans="1:8">
      <c r="A2394" s="34">
        <v>2084028065</v>
      </c>
      <c r="B2394" s="35" t="s">
        <v>462</v>
      </c>
      <c r="C2394" s="35" t="s">
        <v>405</v>
      </c>
      <c r="D2394" s="35" t="s">
        <v>747</v>
      </c>
      <c r="E2394" s="35" t="s">
        <v>757</v>
      </c>
      <c r="F2394" s="35" t="s">
        <v>390</v>
      </c>
      <c r="G2394" s="35" t="s">
        <v>379</v>
      </c>
      <c r="H2394" s="35" t="s">
        <v>521</v>
      </c>
    </row>
    <row r="2395" spans="1:8">
      <c r="A2395" s="34">
        <v>2084028165</v>
      </c>
      <c r="B2395" s="35" t="s">
        <v>462</v>
      </c>
      <c r="C2395" s="35" t="s">
        <v>405</v>
      </c>
      <c r="D2395" s="35" t="s">
        <v>747</v>
      </c>
      <c r="E2395" s="35" t="s">
        <v>757</v>
      </c>
      <c r="F2395" s="35" t="s">
        <v>390</v>
      </c>
      <c r="G2395" s="35" t="s">
        <v>379</v>
      </c>
      <c r="H2395" s="35" t="s">
        <v>522</v>
      </c>
    </row>
    <row r="2396" spans="1:8">
      <c r="A2396" s="34">
        <v>2084028438</v>
      </c>
      <c r="B2396" s="35" t="s">
        <v>462</v>
      </c>
      <c r="C2396" s="35" t="s">
        <v>405</v>
      </c>
      <c r="D2396" s="35" t="s">
        <v>747</v>
      </c>
      <c r="E2396" s="35" t="s">
        <v>757</v>
      </c>
      <c r="F2396" s="35" t="s">
        <v>390</v>
      </c>
      <c r="G2396" s="35" t="s">
        <v>379</v>
      </c>
      <c r="H2396" s="35" t="s">
        <v>523</v>
      </c>
    </row>
    <row r="2397" spans="1:8">
      <c r="A2397" s="34">
        <v>2084028104</v>
      </c>
      <c r="B2397" s="35" t="s">
        <v>462</v>
      </c>
      <c r="C2397" s="35" t="s">
        <v>405</v>
      </c>
      <c r="D2397" s="35" t="s">
        <v>747</v>
      </c>
      <c r="E2397" s="35" t="s">
        <v>757</v>
      </c>
      <c r="F2397" s="35" t="s">
        <v>390</v>
      </c>
      <c r="G2397" s="35" t="s">
        <v>379</v>
      </c>
      <c r="H2397" s="35" t="s">
        <v>524</v>
      </c>
    </row>
    <row r="2398" spans="1:8">
      <c r="A2398" s="34">
        <v>2084028270</v>
      </c>
      <c r="B2398" s="35" t="s">
        <v>462</v>
      </c>
      <c r="C2398" s="35" t="s">
        <v>405</v>
      </c>
      <c r="D2398" s="35" t="s">
        <v>747</v>
      </c>
      <c r="E2398" s="35" t="s">
        <v>757</v>
      </c>
      <c r="F2398" s="35" t="s">
        <v>390</v>
      </c>
      <c r="G2398" s="35" t="s">
        <v>379</v>
      </c>
      <c r="H2398" s="35" t="s">
        <v>525</v>
      </c>
    </row>
    <row r="2399" spans="1:8">
      <c r="A2399" s="34">
        <v>2084028472</v>
      </c>
      <c r="B2399" s="35" t="s">
        <v>462</v>
      </c>
      <c r="C2399" s="35" t="s">
        <v>405</v>
      </c>
      <c r="D2399" s="35" t="s">
        <v>747</v>
      </c>
      <c r="E2399" s="35" t="s">
        <v>757</v>
      </c>
      <c r="F2399" s="35" t="s">
        <v>390</v>
      </c>
      <c r="G2399" s="35" t="s">
        <v>379</v>
      </c>
      <c r="H2399" s="35" t="s">
        <v>526</v>
      </c>
    </row>
    <row r="2400" spans="1:8">
      <c r="A2400" s="34">
        <v>2084028295</v>
      </c>
      <c r="B2400" s="35" t="s">
        <v>462</v>
      </c>
      <c r="C2400" s="35" t="s">
        <v>405</v>
      </c>
      <c r="D2400" s="35" t="s">
        <v>747</v>
      </c>
      <c r="E2400" s="35" t="s">
        <v>757</v>
      </c>
      <c r="F2400" s="35" t="s">
        <v>390</v>
      </c>
      <c r="G2400" s="35" t="s">
        <v>379</v>
      </c>
      <c r="H2400" s="35" t="s">
        <v>527</v>
      </c>
    </row>
    <row r="2401" spans="1:8">
      <c r="A2401" s="34">
        <v>2084028507</v>
      </c>
      <c r="B2401" s="35" t="s">
        <v>462</v>
      </c>
      <c r="C2401" s="35" t="s">
        <v>405</v>
      </c>
      <c r="D2401" s="35" t="s">
        <v>747</v>
      </c>
      <c r="E2401" s="35" t="s">
        <v>757</v>
      </c>
      <c r="F2401" s="35" t="s">
        <v>390</v>
      </c>
      <c r="G2401" s="35" t="s">
        <v>379</v>
      </c>
      <c r="H2401" s="35" t="s">
        <v>528</v>
      </c>
    </row>
    <row r="2402" spans="1:8">
      <c r="A2402" s="34">
        <v>2084028383</v>
      </c>
      <c r="B2402" s="35" t="s">
        <v>462</v>
      </c>
      <c r="C2402" s="35" t="s">
        <v>405</v>
      </c>
      <c r="D2402" s="35" t="s">
        <v>747</v>
      </c>
      <c r="E2402" s="35" t="s">
        <v>757</v>
      </c>
      <c r="F2402" s="35" t="s">
        <v>390</v>
      </c>
      <c r="G2402" s="35" t="s">
        <v>379</v>
      </c>
      <c r="H2402" s="35" t="s">
        <v>529</v>
      </c>
    </row>
    <row r="2403" spans="1:8">
      <c r="A2403" s="34">
        <v>2084058789</v>
      </c>
      <c r="B2403" s="35" t="s">
        <v>462</v>
      </c>
      <c r="C2403" s="35" t="s">
        <v>405</v>
      </c>
      <c r="D2403" s="35" t="s">
        <v>747</v>
      </c>
      <c r="E2403" s="35" t="s">
        <v>757</v>
      </c>
      <c r="F2403" s="35" t="s">
        <v>390</v>
      </c>
      <c r="G2403" s="35" t="s">
        <v>379</v>
      </c>
      <c r="H2403" s="35" t="s">
        <v>335</v>
      </c>
    </row>
    <row r="2404" spans="1:8">
      <c r="A2404" s="34">
        <v>2084028547</v>
      </c>
      <c r="B2404" s="35" t="s">
        <v>462</v>
      </c>
      <c r="C2404" s="35" t="s">
        <v>405</v>
      </c>
      <c r="D2404" s="35" t="s">
        <v>747</v>
      </c>
      <c r="E2404" s="35" t="s">
        <v>757</v>
      </c>
      <c r="F2404" s="35" t="s">
        <v>390</v>
      </c>
      <c r="G2404" s="35" t="s">
        <v>530</v>
      </c>
      <c r="H2404" s="35" t="s">
        <v>531</v>
      </c>
    </row>
    <row r="2405" spans="1:8">
      <c r="A2405" s="34">
        <v>2084028622</v>
      </c>
      <c r="B2405" s="35" t="s">
        <v>462</v>
      </c>
      <c r="C2405" s="35" t="s">
        <v>405</v>
      </c>
      <c r="D2405" s="35" t="s">
        <v>747</v>
      </c>
      <c r="E2405" s="35" t="s">
        <v>757</v>
      </c>
      <c r="F2405" s="35" t="s">
        <v>390</v>
      </c>
      <c r="G2405" s="35" t="s">
        <v>530</v>
      </c>
      <c r="H2405" s="35" t="s">
        <v>532</v>
      </c>
    </row>
    <row r="2406" spans="1:8">
      <c r="A2406" s="34">
        <v>2084058791</v>
      </c>
      <c r="B2406" s="35" t="s">
        <v>462</v>
      </c>
      <c r="C2406" s="35" t="s">
        <v>405</v>
      </c>
      <c r="D2406" s="35" t="s">
        <v>747</v>
      </c>
      <c r="E2406" s="35" t="s">
        <v>757</v>
      </c>
      <c r="F2406" s="35" t="s">
        <v>390</v>
      </c>
      <c r="G2406" s="35" t="s">
        <v>530</v>
      </c>
      <c r="H2406" s="35" t="s">
        <v>335</v>
      </c>
    </row>
    <row r="2407" spans="1:8">
      <c r="A2407" s="34">
        <v>2084027154</v>
      </c>
      <c r="B2407" s="35" t="s">
        <v>462</v>
      </c>
      <c r="C2407" s="35" t="s">
        <v>405</v>
      </c>
      <c r="D2407" s="35" t="s">
        <v>747</v>
      </c>
      <c r="E2407" s="35" t="s">
        <v>757</v>
      </c>
      <c r="F2407" s="35" t="s">
        <v>390</v>
      </c>
      <c r="G2407" s="35" t="s">
        <v>549</v>
      </c>
    </row>
    <row r="2408" spans="1:8">
      <c r="A2408" s="34">
        <v>2084058794</v>
      </c>
      <c r="B2408" s="35" t="s">
        <v>462</v>
      </c>
      <c r="C2408" s="35" t="s">
        <v>405</v>
      </c>
      <c r="D2408" s="35" t="s">
        <v>747</v>
      </c>
      <c r="E2408" s="35" t="s">
        <v>757</v>
      </c>
      <c r="F2408" s="35" t="s">
        <v>390</v>
      </c>
      <c r="G2408" s="35" t="s">
        <v>335</v>
      </c>
    </row>
    <row r="2409" spans="1:8">
      <c r="A2409" s="34">
        <v>2084048785</v>
      </c>
      <c r="B2409" s="35" t="s">
        <v>462</v>
      </c>
      <c r="C2409" s="35" t="s">
        <v>405</v>
      </c>
      <c r="D2409" s="35" t="s">
        <v>747</v>
      </c>
      <c r="E2409" s="35" t="s">
        <v>757</v>
      </c>
      <c r="F2409" s="35" t="s">
        <v>335</v>
      </c>
    </row>
    <row r="2410" spans="1:8">
      <c r="A2410" s="34">
        <v>2084241625</v>
      </c>
      <c r="B2410" s="35" t="s">
        <v>462</v>
      </c>
      <c r="C2410" s="35" t="s">
        <v>405</v>
      </c>
      <c r="D2410" s="35" t="s">
        <v>747</v>
      </c>
      <c r="E2410" s="35" t="s">
        <v>758</v>
      </c>
      <c r="F2410" s="35" t="s">
        <v>407</v>
      </c>
    </row>
    <row r="2411" spans="1:8">
      <c r="A2411" s="34">
        <v>2084241624</v>
      </c>
      <c r="B2411" s="35" t="s">
        <v>462</v>
      </c>
      <c r="C2411" s="35" t="s">
        <v>405</v>
      </c>
      <c r="D2411" s="35" t="s">
        <v>747</v>
      </c>
      <c r="E2411" s="35" t="s">
        <v>758</v>
      </c>
      <c r="F2411" s="35" t="s">
        <v>408</v>
      </c>
    </row>
    <row r="2412" spans="1:8">
      <c r="A2412" s="34">
        <v>2084241626</v>
      </c>
      <c r="B2412" s="35" t="s">
        <v>462</v>
      </c>
      <c r="C2412" s="35" t="s">
        <v>405</v>
      </c>
      <c r="D2412" s="35" t="s">
        <v>747</v>
      </c>
      <c r="E2412" s="35" t="s">
        <v>758</v>
      </c>
      <c r="F2412" s="35" t="s">
        <v>335</v>
      </c>
    </row>
    <row r="2413" spans="1:8">
      <c r="A2413" s="34">
        <v>2084261144</v>
      </c>
      <c r="B2413" s="35" t="s">
        <v>462</v>
      </c>
      <c r="C2413" s="35" t="s">
        <v>405</v>
      </c>
      <c r="D2413" s="35" t="s">
        <v>747</v>
      </c>
      <c r="E2413" s="35" t="s">
        <v>759</v>
      </c>
    </row>
    <row r="2414" spans="1:8">
      <c r="A2414" s="34">
        <v>2084283144</v>
      </c>
      <c r="B2414" s="35" t="s">
        <v>462</v>
      </c>
      <c r="C2414" s="35" t="s">
        <v>405</v>
      </c>
      <c r="D2414" s="35" t="s">
        <v>747</v>
      </c>
      <c r="E2414" s="35" t="s">
        <v>760</v>
      </c>
    </row>
    <row r="2415" spans="1:8">
      <c r="A2415" s="34">
        <v>2084052607</v>
      </c>
      <c r="B2415" s="35" t="s">
        <v>462</v>
      </c>
      <c r="C2415" s="35" t="s">
        <v>405</v>
      </c>
      <c r="D2415" s="35" t="s">
        <v>747</v>
      </c>
      <c r="E2415" s="35" t="s">
        <v>761</v>
      </c>
      <c r="F2415" s="35" t="s">
        <v>475</v>
      </c>
    </row>
    <row r="2416" spans="1:8">
      <c r="A2416" s="34">
        <v>2084052612</v>
      </c>
      <c r="B2416" s="35" t="s">
        <v>462</v>
      </c>
      <c r="C2416" s="35" t="s">
        <v>405</v>
      </c>
      <c r="D2416" s="35" t="s">
        <v>747</v>
      </c>
      <c r="E2416" s="35" t="s">
        <v>761</v>
      </c>
      <c r="F2416" s="35" t="s">
        <v>335</v>
      </c>
    </row>
    <row r="2417" spans="1:8">
      <c r="A2417" s="34">
        <v>2084052609</v>
      </c>
      <c r="B2417" s="35" t="s">
        <v>462</v>
      </c>
      <c r="C2417" s="35" t="s">
        <v>405</v>
      </c>
      <c r="D2417" s="35" t="s">
        <v>747</v>
      </c>
      <c r="E2417" s="35" t="s">
        <v>761</v>
      </c>
      <c r="F2417" s="35" t="s">
        <v>442</v>
      </c>
      <c r="G2417" s="35" t="s">
        <v>504</v>
      </c>
    </row>
    <row r="2418" spans="1:8">
      <c r="A2418" s="34">
        <v>2084052610</v>
      </c>
      <c r="B2418" s="35" t="s">
        <v>462</v>
      </c>
      <c r="C2418" s="35" t="s">
        <v>405</v>
      </c>
      <c r="D2418" s="35" t="s">
        <v>747</v>
      </c>
      <c r="E2418" s="35" t="s">
        <v>761</v>
      </c>
      <c r="F2418" s="35" t="s">
        <v>442</v>
      </c>
      <c r="G2418" s="35" t="s">
        <v>335</v>
      </c>
    </row>
    <row r="2419" spans="1:8">
      <c r="A2419" s="34">
        <v>2084050857</v>
      </c>
      <c r="B2419" s="35" t="s">
        <v>462</v>
      </c>
      <c r="C2419" s="35" t="s">
        <v>405</v>
      </c>
      <c r="D2419" s="35" t="s">
        <v>747</v>
      </c>
      <c r="E2419" s="35" t="s">
        <v>762</v>
      </c>
      <c r="F2419" s="35" t="s">
        <v>390</v>
      </c>
      <c r="G2419" s="35" t="s">
        <v>368</v>
      </c>
      <c r="H2419" s="35" t="s">
        <v>481</v>
      </c>
    </row>
    <row r="2420" spans="1:8">
      <c r="A2420" s="34">
        <v>2084050858</v>
      </c>
      <c r="B2420" s="35" t="s">
        <v>462</v>
      </c>
      <c r="C2420" s="35" t="s">
        <v>405</v>
      </c>
      <c r="D2420" s="35" t="s">
        <v>747</v>
      </c>
      <c r="E2420" s="35" t="s">
        <v>762</v>
      </c>
      <c r="F2420" s="35" t="s">
        <v>390</v>
      </c>
      <c r="G2420" s="35" t="s">
        <v>368</v>
      </c>
      <c r="H2420" s="35" t="s">
        <v>335</v>
      </c>
    </row>
    <row r="2421" spans="1:8">
      <c r="A2421" s="34">
        <v>2084050860</v>
      </c>
      <c r="B2421" s="35" t="s">
        <v>462</v>
      </c>
      <c r="C2421" s="35" t="s">
        <v>405</v>
      </c>
      <c r="D2421" s="35" t="s">
        <v>747</v>
      </c>
      <c r="E2421" s="35" t="s">
        <v>762</v>
      </c>
      <c r="F2421" s="35" t="s">
        <v>390</v>
      </c>
      <c r="G2421" s="35" t="s">
        <v>10</v>
      </c>
      <c r="H2421" s="35" t="s">
        <v>550</v>
      </c>
    </row>
    <row r="2422" spans="1:8">
      <c r="A2422" s="34">
        <v>2084050861</v>
      </c>
      <c r="B2422" s="35" t="s">
        <v>462</v>
      </c>
      <c r="C2422" s="35" t="s">
        <v>405</v>
      </c>
      <c r="D2422" s="35" t="s">
        <v>747</v>
      </c>
      <c r="E2422" s="35" t="s">
        <v>762</v>
      </c>
      <c r="F2422" s="35" t="s">
        <v>390</v>
      </c>
      <c r="G2422" s="35" t="s">
        <v>10</v>
      </c>
      <c r="H2422" s="35" t="s">
        <v>622</v>
      </c>
    </row>
    <row r="2423" spans="1:8">
      <c r="A2423" s="34">
        <v>2084050862</v>
      </c>
      <c r="B2423" s="35" t="s">
        <v>462</v>
      </c>
      <c r="C2423" s="35" t="s">
        <v>405</v>
      </c>
      <c r="D2423" s="35" t="s">
        <v>747</v>
      </c>
      <c r="E2423" s="35" t="s">
        <v>762</v>
      </c>
      <c r="F2423" s="35" t="s">
        <v>390</v>
      </c>
      <c r="G2423" s="35" t="s">
        <v>10</v>
      </c>
      <c r="H2423" s="35" t="s">
        <v>483</v>
      </c>
    </row>
    <row r="2424" spans="1:8">
      <c r="A2424" s="34">
        <v>2084050863</v>
      </c>
      <c r="B2424" s="35" t="s">
        <v>462</v>
      </c>
      <c r="C2424" s="35" t="s">
        <v>405</v>
      </c>
      <c r="D2424" s="35" t="s">
        <v>747</v>
      </c>
      <c r="E2424" s="35" t="s">
        <v>762</v>
      </c>
      <c r="F2424" s="35" t="s">
        <v>390</v>
      </c>
      <c r="G2424" s="35" t="s">
        <v>10</v>
      </c>
      <c r="H2424" s="35" t="s">
        <v>335</v>
      </c>
    </row>
    <row r="2425" spans="1:8">
      <c r="A2425" s="34">
        <v>2084050865</v>
      </c>
      <c r="B2425" s="35" t="s">
        <v>462</v>
      </c>
      <c r="C2425" s="35" t="s">
        <v>405</v>
      </c>
      <c r="D2425" s="35" t="s">
        <v>747</v>
      </c>
      <c r="E2425" s="35" t="s">
        <v>762</v>
      </c>
      <c r="F2425" s="35" t="s">
        <v>390</v>
      </c>
      <c r="G2425" s="35" t="s">
        <v>379</v>
      </c>
      <c r="H2425" s="35" t="s">
        <v>476</v>
      </c>
    </row>
    <row r="2426" spans="1:8">
      <c r="A2426" s="34">
        <v>2084050866</v>
      </c>
      <c r="B2426" s="35" t="s">
        <v>462</v>
      </c>
      <c r="C2426" s="35" t="s">
        <v>405</v>
      </c>
      <c r="D2426" s="35" t="s">
        <v>747</v>
      </c>
      <c r="E2426" s="35" t="s">
        <v>762</v>
      </c>
      <c r="F2426" s="35" t="s">
        <v>390</v>
      </c>
      <c r="G2426" s="35" t="s">
        <v>379</v>
      </c>
      <c r="H2426" s="35" t="s">
        <v>335</v>
      </c>
    </row>
    <row r="2427" spans="1:8">
      <c r="A2427" s="34">
        <v>2084050855</v>
      </c>
      <c r="B2427" s="35" t="s">
        <v>462</v>
      </c>
      <c r="C2427" s="35" t="s">
        <v>405</v>
      </c>
      <c r="D2427" s="35" t="s">
        <v>747</v>
      </c>
      <c r="E2427" s="35" t="s">
        <v>762</v>
      </c>
      <c r="F2427" s="35" t="s">
        <v>390</v>
      </c>
      <c r="G2427" s="35" t="s">
        <v>335</v>
      </c>
    </row>
    <row r="2428" spans="1:8">
      <c r="A2428" s="34">
        <v>2084030711</v>
      </c>
      <c r="B2428" s="35" t="s">
        <v>462</v>
      </c>
      <c r="C2428" s="35" t="s">
        <v>405</v>
      </c>
      <c r="D2428" s="35" t="s">
        <v>747</v>
      </c>
      <c r="E2428" s="35" t="s">
        <v>762</v>
      </c>
      <c r="F2428" s="35" t="s">
        <v>353</v>
      </c>
      <c r="G2428" s="35" t="s">
        <v>481</v>
      </c>
    </row>
    <row r="2429" spans="1:8">
      <c r="A2429" s="34">
        <v>2084031609</v>
      </c>
      <c r="B2429" s="35" t="s">
        <v>462</v>
      </c>
      <c r="C2429" s="35" t="s">
        <v>405</v>
      </c>
      <c r="D2429" s="35" t="s">
        <v>747</v>
      </c>
      <c r="E2429" s="35" t="s">
        <v>762</v>
      </c>
      <c r="F2429" s="35" t="s">
        <v>353</v>
      </c>
      <c r="G2429" s="35" t="s">
        <v>483</v>
      </c>
    </row>
    <row r="2430" spans="1:8">
      <c r="A2430" s="34">
        <v>2084031489</v>
      </c>
      <c r="B2430" s="35" t="s">
        <v>462</v>
      </c>
      <c r="C2430" s="35" t="s">
        <v>405</v>
      </c>
      <c r="D2430" s="35" t="s">
        <v>747</v>
      </c>
      <c r="E2430" s="35" t="s">
        <v>762</v>
      </c>
      <c r="F2430" s="35" t="s">
        <v>353</v>
      </c>
      <c r="G2430" s="35" t="s">
        <v>482</v>
      </c>
    </row>
    <row r="2431" spans="1:8">
      <c r="A2431" s="34">
        <v>2084030261</v>
      </c>
      <c r="B2431" s="35" t="s">
        <v>462</v>
      </c>
      <c r="C2431" s="35" t="s">
        <v>405</v>
      </c>
      <c r="D2431" s="35" t="s">
        <v>747</v>
      </c>
      <c r="E2431" s="35" t="s">
        <v>762</v>
      </c>
      <c r="F2431" s="35" t="s">
        <v>353</v>
      </c>
      <c r="G2431" s="35" t="s">
        <v>493</v>
      </c>
    </row>
    <row r="2432" spans="1:8">
      <c r="A2432" s="34">
        <v>2084037246</v>
      </c>
      <c r="B2432" s="35" t="s">
        <v>462</v>
      </c>
      <c r="C2432" s="35" t="s">
        <v>405</v>
      </c>
      <c r="D2432" s="35" t="s">
        <v>747</v>
      </c>
      <c r="E2432" s="35" t="s">
        <v>762</v>
      </c>
      <c r="F2432" s="35" t="s">
        <v>353</v>
      </c>
      <c r="G2432" s="35" t="s">
        <v>494</v>
      </c>
    </row>
    <row r="2433" spans="1:7">
      <c r="A2433" s="34">
        <v>2084050852</v>
      </c>
      <c r="B2433" s="35" t="s">
        <v>462</v>
      </c>
      <c r="C2433" s="35" t="s">
        <v>405</v>
      </c>
      <c r="D2433" s="35" t="s">
        <v>747</v>
      </c>
      <c r="E2433" s="35" t="s">
        <v>762</v>
      </c>
      <c r="F2433" s="35" t="s">
        <v>353</v>
      </c>
      <c r="G2433" s="35" t="s">
        <v>403</v>
      </c>
    </row>
    <row r="2434" spans="1:7">
      <c r="A2434" s="34">
        <v>2084031503</v>
      </c>
      <c r="B2434" s="35" t="s">
        <v>462</v>
      </c>
      <c r="C2434" s="35" t="s">
        <v>405</v>
      </c>
      <c r="D2434" s="35" t="s">
        <v>747</v>
      </c>
      <c r="E2434" s="35" t="s">
        <v>762</v>
      </c>
      <c r="F2434" s="35" t="s">
        <v>353</v>
      </c>
      <c r="G2434" s="35" t="s">
        <v>397</v>
      </c>
    </row>
    <row r="2435" spans="1:7">
      <c r="A2435" s="34">
        <v>2084030411</v>
      </c>
      <c r="B2435" s="35" t="s">
        <v>462</v>
      </c>
      <c r="C2435" s="35" t="s">
        <v>405</v>
      </c>
      <c r="D2435" s="35" t="s">
        <v>747</v>
      </c>
      <c r="E2435" s="35" t="s">
        <v>762</v>
      </c>
      <c r="F2435" s="35" t="s">
        <v>353</v>
      </c>
      <c r="G2435" s="35" t="s">
        <v>421</v>
      </c>
    </row>
    <row r="2436" spans="1:7">
      <c r="A2436" s="34">
        <v>2084031579</v>
      </c>
      <c r="B2436" s="35" t="s">
        <v>462</v>
      </c>
      <c r="C2436" s="35" t="s">
        <v>405</v>
      </c>
      <c r="D2436" s="35" t="s">
        <v>747</v>
      </c>
      <c r="E2436" s="35" t="s">
        <v>762</v>
      </c>
      <c r="F2436" s="35" t="s">
        <v>353</v>
      </c>
      <c r="G2436" s="35" t="s">
        <v>398</v>
      </c>
    </row>
    <row r="2437" spans="1:7">
      <c r="A2437" s="34">
        <v>2084030350</v>
      </c>
      <c r="B2437" s="35" t="s">
        <v>462</v>
      </c>
      <c r="C2437" s="35" t="s">
        <v>405</v>
      </c>
      <c r="D2437" s="35" t="s">
        <v>747</v>
      </c>
      <c r="E2437" s="35" t="s">
        <v>762</v>
      </c>
      <c r="F2437" s="35" t="s">
        <v>353</v>
      </c>
      <c r="G2437" s="35" t="s">
        <v>422</v>
      </c>
    </row>
    <row r="2438" spans="1:7">
      <c r="A2438" s="34">
        <v>2084050853</v>
      </c>
      <c r="B2438" s="35" t="s">
        <v>462</v>
      </c>
      <c r="C2438" s="35" t="s">
        <v>405</v>
      </c>
      <c r="D2438" s="35" t="s">
        <v>747</v>
      </c>
      <c r="E2438" s="35" t="s">
        <v>762</v>
      </c>
      <c r="F2438" s="35" t="s">
        <v>353</v>
      </c>
      <c r="G2438" s="35" t="s">
        <v>335</v>
      </c>
    </row>
    <row r="2439" spans="1:7">
      <c r="A2439" s="34">
        <v>2084033995</v>
      </c>
      <c r="B2439" s="35" t="s">
        <v>462</v>
      </c>
      <c r="C2439" s="35" t="s">
        <v>405</v>
      </c>
      <c r="D2439" s="35" t="s">
        <v>747</v>
      </c>
      <c r="E2439" s="35" t="s">
        <v>762</v>
      </c>
      <c r="F2439" s="35" t="s">
        <v>442</v>
      </c>
      <c r="G2439" s="35" t="s">
        <v>537</v>
      </c>
    </row>
    <row r="2440" spans="1:7">
      <c r="A2440" s="34">
        <v>2084031400</v>
      </c>
      <c r="B2440" s="35" t="s">
        <v>462</v>
      </c>
      <c r="C2440" s="35" t="s">
        <v>405</v>
      </c>
      <c r="D2440" s="35" t="s">
        <v>747</v>
      </c>
      <c r="E2440" s="35" t="s">
        <v>762</v>
      </c>
      <c r="F2440" s="35" t="s">
        <v>442</v>
      </c>
      <c r="G2440" s="35" t="s">
        <v>569</v>
      </c>
    </row>
    <row r="2441" spans="1:7">
      <c r="A2441" s="34">
        <v>2084050867</v>
      </c>
      <c r="B2441" s="35" t="s">
        <v>462</v>
      </c>
      <c r="C2441" s="35" t="s">
        <v>405</v>
      </c>
      <c r="D2441" s="35" t="s">
        <v>747</v>
      </c>
      <c r="E2441" s="35" t="s">
        <v>762</v>
      </c>
      <c r="F2441" s="35" t="s">
        <v>442</v>
      </c>
      <c r="G2441" s="35" t="s">
        <v>335</v>
      </c>
    </row>
    <row r="2442" spans="1:7">
      <c r="A2442" s="34">
        <v>2084048791</v>
      </c>
      <c r="B2442" s="35" t="s">
        <v>462</v>
      </c>
      <c r="C2442" s="35" t="s">
        <v>405</v>
      </c>
      <c r="D2442" s="35" t="s">
        <v>747</v>
      </c>
      <c r="E2442" s="35" t="s">
        <v>762</v>
      </c>
      <c r="F2442" s="35" t="s">
        <v>335</v>
      </c>
    </row>
    <row r="2443" spans="1:7">
      <c r="A2443" s="34">
        <v>2084199120</v>
      </c>
      <c r="B2443" s="35" t="s">
        <v>462</v>
      </c>
      <c r="C2443" s="35" t="s">
        <v>405</v>
      </c>
      <c r="D2443" s="35" t="s">
        <v>747</v>
      </c>
      <c r="E2443" s="35" t="s">
        <v>763</v>
      </c>
      <c r="F2443" s="35" t="s">
        <v>484</v>
      </c>
    </row>
    <row r="2444" spans="1:7">
      <c r="A2444" s="34">
        <v>2084199118</v>
      </c>
      <c r="B2444" s="35" t="s">
        <v>462</v>
      </c>
      <c r="C2444" s="35" t="s">
        <v>405</v>
      </c>
      <c r="D2444" s="35" t="s">
        <v>747</v>
      </c>
      <c r="E2444" s="35" t="s">
        <v>763</v>
      </c>
      <c r="F2444" s="35" t="s">
        <v>408</v>
      </c>
    </row>
    <row r="2445" spans="1:7">
      <c r="A2445" s="34">
        <v>2084199119</v>
      </c>
      <c r="B2445" s="35" t="s">
        <v>462</v>
      </c>
      <c r="C2445" s="35" t="s">
        <v>405</v>
      </c>
      <c r="D2445" s="35" t="s">
        <v>747</v>
      </c>
      <c r="E2445" s="35" t="s">
        <v>763</v>
      </c>
      <c r="F2445" s="35" t="s">
        <v>597</v>
      </c>
    </row>
    <row r="2446" spans="1:7">
      <c r="A2446" s="34">
        <v>2084199121</v>
      </c>
      <c r="B2446" s="35" t="s">
        <v>462</v>
      </c>
      <c r="C2446" s="35" t="s">
        <v>405</v>
      </c>
      <c r="D2446" s="35" t="s">
        <v>747</v>
      </c>
      <c r="E2446" s="35" t="s">
        <v>763</v>
      </c>
      <c r="F2446" s="35" t="s">
        <v>335</v>
      </c>
    </row>
    <row r="2447" spans="1:7">
      <c r="A2447" s="34">
        <v>2084054641</v>
      </c>
      <c r="B2447" s="35" t="s">
        <v>462</v>
      </c>
      <c r="C2447" s="35" t="s">
        <v>405</v>
      </c>
      <c r="D2447" s="35" t="s">
        <v>747</v>
      </c>
      <c r="E2447" s="35" t="s">
        <v>764</v>
      </c>
      <c r="F2447" s="35" t="s">
        <v>475</v>
      </c>
    </row>
    <row r="2448" spans="1:7">
      <c r="A2448" s="34">
        <v>2084054627</v>
      </c>
      <c r="B2448" s="35" t="s">
        <v>462</v>
      </c>
      <c r="C2448" s="35" t="s">
        <v>405</v>
      </c>
      <c r="D2448" s="35" t="s">
        <v>747</v>
      </c>
      <c r="E2448" s="35" t="s">
        <v>764</v>
      </c>
      <c r="F2448" s="35" t="s">
        <v>390</v>
      </c>
      <c r="G2448" s="35" t="s">
        <v>367</v>
      </c>
    </row>
    <row r="2449" spans="1:8">
      <c r="A2449" s="34">
        <v>2084054628</v>
      </c>
      <c r="B2449" s="35" t="s">
        <v>462</v>
      </c>
      <c r="C2449" s="35" t="s">
        <v>405</v>
      </c>
      <c r="D2449" s="35" t="s">
        <v>747</v>
      </c>
      <c r="E2449" s="35" t="s">
        <v>764</v>
      </c>
      <c r="F2449" s="35" t="s">
        <v>390</v>
      </c>
      <c r="G2449" s="35" t="s">
        <v>401</v>
      </c>
    </row>
    <row r="2450" spans="1:8">
      <c r="A2450" s="34">
        <v>2084054634</v>
      </c>
      <c r="B2450" s="35" t="s">
        <v>462</v>
      </c>
      <c r="C2450" s="35" t="s">
        <v>405</v>
      </c>
      <c r="D2450" s="35" t="s">
        <v>747</v>
      </c>
      <c r="E2450" s="35" t="s">
        <v>764</v>
      </c>
      <c r="F2450" s="35" t="s">
        <v>390</v>
      </c>
      <c r="G2450" s="35" t="s">
        <v>10</v>
      </c>
      <c r="H2450" s="35" t="s">
        <v>483</v>
      </c>
    </row>
    <row r="2451" spans="1:8">
      <c r="A2451" s="34">
        <v>2084054631</v>
      </c>
      <c r="B2451" s="35" t="s">
        <v>462</v>
      </c>
      <c r="C2451" s="35" t="s">
        <v>405</v>
      </c>
      <c r="D2451" s="35" t="s">
        <v>747</v>
      </c>
      <c r="E2451" s="35" t="s">
        <v>764</v>
      </c>
      <c r="F2451" s="35" t="s">
        <v>390</v>
      </c>
      <c r="G2451" s="35" t="s">
        <v>10</v>
      </c>
      <c r="H2451" s="35" t="s">
        <v>397</v>
      </c>
    </row>
    <row r="2452" spans="1:8">
      <c r="A2452" s="34">
        <v>2084054633</v>
      </c>
      <c r="B2452" s="35" t="s">
        <v>462</v>
      </c>
      <c r="C2452" s="35" t="s">
        <v>405</v>
      </c>
      <c r="D2452" s="35" t="s">
        <v>747</v>
      </c>
      <c r="E2452" s="35" t="s">
        <v>764</v>
      </c>
      <c r="F2452" s="35" t="s">
        <v>390</v>
      </c>
      <c r="G2452" s="35" t="s">
        <v>10</v>
      </c>
      <c r="H2452" s="35" t="s">
        <v>421</v>
      </c>
    </row>
    <row r="2453" spans="1:8">
      <c r="A2453" s="34">
        <v>2084054630</v>
      </c>
      <c r="B2453" s="35" t="s">
        <v>462</v>
      </c>
      <c r="C2453" s="35" t="s">
        <v>405</v>
      </c>
      <c r="D2453" s="35" t="s">
        <v>747</v>
      </c>
      <c r="E2453" s="35" t="s">
        <v>764</v>
      </c>
      <c r="F2453" s="35" t="s">
        <v>390</v>
      </c>
      <c r="G2453" s="35" t="s">
        <v>10</v>
      </c>
      <c r="H2453" s="35" t="s">
        <v>398</v>
      </c>
    </row>
    <row r="2454" spans="1:8">
      <c r="A2454" s="34">
        <v>2084054632</v>
      </c>
      <c r="B2454" s="35" t="s">
        <v>462</v>
      </c>
      <c r="C2454" s="35" t="s">
        <v>405</v>
      </c>
      <c r="D2454" s="35" t="s">
        <v>747</v>
      </c>
      <c r="E2454" s="35" t="s">
        <v>764</v>
      </c>
      <c r="F2454" s="35" t="s">
        <v>390</v>
      </c>
      <c r="G2454" s="35" t="s">
        <v>10</v>
      </c>
      <c r="H2454" s="35" t="s">
        <v>422</v>
      </c>
    </row>
    <row r="2455" spans="1:8">
      <c r="A2455" s="34">
        <v>2084054635</v>
      </c>
      <c r="B2455" s="35" t="s">
        <v>462</v>
      </c>
      <c r="C2455" s="35" t="s">
        <v>405</v>
      </c>
      <c r="D2455" s="35" t="s">
        <v>747</v>
      </c>
      <c r="E2455" s="35" t="s">
        <v>764</v>
      </c>
      <c r="F2455" s="35" t="s">
        <v>390</v>
      </c>
      <c r="G2455" s="35" t="s">
        <v>10</v>
      </c>
      <c r="H2455" s="35" t="s">
        <v>335</v>
      </c>
    </row>
    <row r="2456" spans="1:8">
      <c r="A2456" s="34">
        <v>2084054637</v>
      </c>
      <c r="B2456" s="35" t="s">
        <v>462</v>
      </c>
      <c r="C2456" s="35" t="s">
        <v>405</v>
      </c>
      <c r="D2456" s="35" t="s">
        <v>747</v>
      </c>
      <c r="E2456" s="35" t="s">
        <v>764</v>
      </c>
      <c r="F2456" s="35" t="s">
        <v>390</v>
      </c>
      <c r="G2456" s="35" t="s">
        <v>379</v>
      </c>
      <c r="H2456" s="35" t="s">
        <v>476</v>
      </c>
    </row>
    <row r="2457" spans="1:8">
      <c r="A2457" s="34">
        <v>2084054638</v>
      </c>
      <c r="B2457" s="35" t="s">
        <v>462</v>
      </c>
      <c r="C2457" s="35" t="s">
        <v>405</v>
      </c>
      <c r="D2457" s="35" t="s">
        <v>747</v>
      </c>
      <c r="E2457" s="35" t="s">
        <v>764</v>
      </c>
      <c r="F2457" s="35" t="s">
        <v>390</v>
      </c>
      <c r="G2457" s="35" t="s">
        <v>379</v>
      </c>
      <c r="H2457" s="35" t="s">
        <v>335</v>
      </c>
    </row>
    <row r="2458" spans="1:8">
      <c r="A2458" s="34">
        <v>2084054639</v>
      </c>
      <c r="B2458" s="35" t="s">
        <v>462</v>
      </c>
      <c r="C2458" s="35" t="s">
        <v>405</v>
      </c>
      <c r="D2458" s="35" t="s">
        <v>747</v>
      </c>
      <c r="E2458" s="35" t="s">
        <v>764</v>
      </c>
      <c r="F2458" s="35" t="s">
        <v>390</v>
      </c>
      <c r="G2458" s="35" t="s">
        <v>335</v>
      </c>
    </row>
    <row r="2459" spans="1:8">
      <c r="A2459" s="34">
        <v>2084054640</v>
      </c>
      <c r="B2459" s="35" t="s">
        <v>462</v>
      </c>
      <c r="C2459" s="35" t="s">
        <v>405</v>
      </c>
      <c r="D2459" s="35" t="s">
        <v>747</v>
      </c>
      <c r="E2459" s="35" t="s">
        <v>764</v>
      </c>
      <c r="F2459" s="35" t="s">
        <v>335</v>
      </c>
    </row>
    <row r="2460" spans="1:8">
      <c r="A2460" s="34">
        <v>2084298378</v>
      </c>
      <c r="B2460" s="35" t="s">
        <v>462</v>
      </c>
      <c r="C2460" s="35" t="s">
        <v>405</v>
      </c>
      <c r="D2460" s="35" t="s">
        <v>747</v>
      </c>
      <c r="E2460" s="35" t="s">
        <v>765</v>
      </c>
    </row>
    <row r="2461" spans="1:8">
      <c r="A2461" s="34">
        <v>2084050206</v>
      </c>
      <c r="B2461" s="35" t="s">
        <v>462</v>
      </c>
      <c r="C2461" s="35" t="s">
        <v>405</v>
      </c>
      <c r="D2461" s="35" t="s">
        <v>747</v>
      </c>
      <c r="E2461" s="35" t="s">
        <v>766</v>
      </c>
    </row>
    <row r="2462" spans="1:8">
      <c r="A2462" s="34">
        <v>2084227593</v>
      </c>
      <c r="B2462" s="35" t="s">
        <v>462</v>
      </c>
      <c r="C2462" s="35" t="s">
        <v>405</v>
      </c>
      <c r="D2462" s="35" t="s">
        <v>747</v>
      </c>
      <c r="E2462" s="35" t="s">
        <v>767</v>
      </c>
      <c r="F2462" s="35" t="s">
        <v>611</v>
      </c>
      <c r="G2462" s="35" t="s">
        <v>390</v>
      </c>
      <c r="H2462" s="35" t="s">
        <v>768</v>
      </c>
    </row>
    <row r="2463" spans="1:8">
      <c r="A2463" s="34">
        <v>2084227594</v>
      </c>
      <c r="B2463" s="35" t="s">
        <v>462</v>
      </c>
      <c r="C2463" s="35" t="s">
        <v>405</v>
      </c>
      <c r="D2463" s="35" t="s">
        <v>747</v>
      </c>
      <c r="E2463" s="35" t="s">
        <v>767</v>
      </c>
      <c r="F2463" s="35" t="s">
        <v>611</v>
      </c>
      <c r="G2463" s="35" t="s">
        <v>390</v>
      </c>
      <c r="H2463" s="35">
        <v>36</v>
      </c>
    </row>
    <row r="2464" spans="1:8">
      <c r="A2464" s="34">
        <v>2084227595</v>
      </c>
      <c r="B2464" s="35" t="s">
        <v>462</v>
      </c>
      <c r="C2464" s="35" t="s">
        <v>405</v>
      </c>
      <c r="D2464" s="35" t="s">
        <v>747</v>
      </c>
      <c r="E2464" s="35" t="s">
        <v>767</v>
      </c>
      <c r="F2464" s="35" t="s">
        <v>611</v>
      </c>
      <c r="G2464" s="35" t="s">
        <v>390</v>
      </c>
      <c r="H2464" s="35">
        <v>37</v>
      </c>
    </row>
    <row r="2465" spans="1:8">
      <c r="A2465" s="34">
        <v>2084227596</v>
      </c>
      <c r="B2465" s="35" t="s">
        <v>462</v>
      </c>
      <c r="C2465" s="35" t="s">
        <v>405</v>
      </c>
      <c r="D2465" s="35" t="s">
        <v>747</v>
      </c>
      <c r="E2465" s="35" t="s">
        <v>767</v>
      </c>
      <c r="F2465" s="35" t="s">
        <v>611</v>
      </c>
      <c r="G2465" s="35" t="s">
        <v>390</v>
      </c>
      <c r="H2465" s="35">
        <v>38</v>
      </c>
    </row>
    <row r="2466" spans="1:8">
      <c r="A2466" s="34">
        <v>2084227597</v>
      </c>
      <c r="B2466" s="35" t="s">
        <v>462</v>
      </c>
      <c r="C2466" s="35" t="s">
        <v>405</v>
      </c>
      <c r="D2466" s="35" t="s">
        <v>747</v>
      </c>
      <c r="E2466" s="35" t="s">
        <v>767</v>
      </c>
      <c r="F2466" s="35" t="s">
        <v>611</v>
      </c>
      <c r="G2466" s="35" t="s">
        <v>390</v>
      </c>
      <c r="H2466" s="35">
        <v>39</v>
      </c>
    </row>
    <row r="2467" spans="1:8">
      <c r="A2467" s="34">
        <v>2084227598</v>
      </c>
      <c r="B2467" s="35" t="s">
        <v>462</v>
      </c>
      <c r="C2467" s="35" t="s">
        <v>405</v>
      </c>
      <c r="D2467" s="35" t="s">
        <v>747</v>
      </c>
      <c r="E2467" s="35" t="s">
        <v>767</v>
      </c>
      <c r="F2467" s="35" t="s">
        <v>611</v>
      </c>
      <c r="G2467" s="35" t="s">
        <v>390</v>
      </c>
      <c r="H2467" s="35" t="s">
        <v>769</v>
      </c>
    </row>
    <row r="2468" spans="1:8">
      <c r="A2468" s="34">
        <v>2084227599</v>
      </c>
      <c r="B2468" s="35" t="s">
        <v>462</v>
      </c>
      <c r="C2468" s="35" t="s">
        <v>405</v>
      </c>
      <c r="D2468" s="35" t="s">
        <v>747</v>
      </c>
      <c r="E2468" s="35" t="s">
        <v>767</v>
      </c>
      <c r="F2468" s="35" t="s">
        <v>335</v>
      </c>
    </row>
    <row r="2469" spans="1:8">
      <c r="A2469" s="34">
        <v>2084050208</v>
      </c>
      <c r="B2469" s="35" t="s">
        <v>462</v>
      </c>
      <c r="C2469" s="35" t="s">
        <v>405</v>
      </c>
      <c r="D2469" s="35" t="s">
        <v>770</v>
      </c>
      <c r="E2469" s="35" t="s">
        <v>771</v>
      </c>
    </row>
    <row r="2470" spans="1:8">
      <c r="A2470" s="34">
        <v>2084215720</v>
      </c>
      <c r="B2470" s="35" t="s">
        <v>462</v>
      </c>
      <c r="C2470" s="35" t="s">
        <v>405</v>
      </c>
      <c r="D2470" s="35" t="s">
        <v>770</v>
      </c>
      <c r="E2470" s="35" t="s">
        <v>772</v>
      </c>
      <c r="F2470" s="35" t="s">
        <v>367</v>
      </c>
    </row>
    <row r="2471" spans="1:8">
      <c r="A2471" s="34">
        <v>2084215723</v>
      </c>
      <c r="B2471" s="35" t="s">
        <v>462</v>
      </c>
      <c r="C2471" s="35" t="s">
        <v>405</v>
      </c>
      <c r="D2471" s="35" t="s">
        <v>770</v>
      </c>
      <c r="E2471" s="35" t="s">
        <v>772</v>
      </c>
      <c r="F2471" s="35" t="s">
        <v>368</v>
      </c>
      <c r="G2471" s="35" t="s">
        <v>481</v>
      </c>
    </row>
    <row r="2472" spans="1:8">
      <c r="A2472" s="34">
        <v>2084215722</v>
      </c>
      <c r="B2472" s="35" t="s">
        <v>462</v>
      </c>
      <c r="C2472" s="35" t="s">
        <v>405</v>
      </c>
      <c r="D2472" s="35" t="s">
        <v>770</v>
      </c>
      <c r="E2472" s="35" t="s">
        <v>772</v>
      </c>
      <c r="F2472" s="35" t="s">
        <v>368</v>
      </c>
      <c r="G2472" s="35" t="s">
        <v>482</v>
      </c>
    </row>
    <row r="2473" spans="1:8">
      <c r="A2473" s="34">
        <v>2084215724</v>
      </c>
      <c r="B2473" s="35" t="s">
        <v>462</v>
      </c>
      <c r="C2473" s="35" t="s">
        <v>405</v>
      </c>
      <c r="D2473" s="35" t="s">
        <v>770</v>
      </c>
      <c r="E2473" s="35" t="s">
        <v>772</v>
      </c>
      <c r="F2473" s="35" t="s">
        <v>368</v>
      </c>
      <c r="G2473" s="35" t="s">
        <v>335</v>
      </c>
    </row>
    <row r="2474" spans="1:8">
      <c r="A2474" s="34">
        <v>2084215730</v>
      </c>
      <c r="B2474" s="35" t="s">
        <v>462</v>
      </c>
      <c r="C2474" s="35" t="s">
        <v>405</v>
      </c>
      <c r="D2474" s="35" t="s">
        <v>770</v>
      </c>
      <c r="E2474" s="35" t="s">
        <v>772</v>
      </c>
      <c r="F2474" s="35" t="s">
        <v>10</v>
      </c>
      <c r="G2474" s="35" t="s">
        <v>483</v>
      </c>
    </row>
    <row r="2475" spans="1:8">
      <c r="A2475" s="34">
        <v>2084215727</v>
      </c>
      <c r="B2475" s="35" t="s">
        <v>462</v>
      </c>
      <c r="C2475" s="35" t="s">
        <v>405</v>
      </c>
      <c r="D2475" s="35" t="s">
        <v>770</v>
      </c>
      <c r="E2475" s="35" t="s">
        <v>772</v>
      </c>
      <c r="F2475" s="35" t="s">
        <v>10</v>
      </c>
      <c r="G2475" s="35" t="s">
        <v>397</v>
      </c>
    </row>
    <row r="2476" spans="1:8">
      <c r="A2476" s="34">
        <v>2084215729</v>
      </c>
      <c r="B2476" s="35" t="s">
        <v>462</v>
      </c>
      <c r="C2476" s="35" t="s">
        <v>405</v>
      </c>
      <c r="D2476" s="35" t="s">
        <v>770</v>
      </c>
      <c r="E2476" s="35" t="s">
        <v>772</v>
      </c>
      <c r="F2476" s="35" t="s">
        <v>10</v>
      </c>
      <c r="G2476" s="35" t="s">
        <v>421</v>
      </c>
    </row>
    <row r="2477" spans="1:8">
      <c r="A2477" s="34">
        <v>2084215726</v>
      </c>
      <c r="B2477" s="35" t="s">
        <v>462</v>
      </c>
      <c r="C2477" s="35" t="s">
        <v>405</v>
      </c>
      <c r="D2477" s="35" t="s">
        <v>770</v>
      </c>
      <c r="E2477" s="35" t="s">
        <v>772</v>
      </c>
      <c r="F2477" s="35" t="s">
        <v>10</v>
      </c>
      <c r="G2477" s="35" t="s">
        <v>398</v>
      </c>
    </row>
    <row r="2478" spans="1:8">
      <c r="A2478" s="34">
        <v>2084215728</v>
      </c>
      <c r="B2478" s="35" t="s">
        <v>462</v>
      </c>
      <c r="C2478" s="35" t="s">
        <v>405</v>
      </c>
      <c r="D2478" s="35" t="s">
        <v>770</v>
      </c>
      <c r="E2478" s="35" t="s">
        <v>772</v>
      </c>
      <c r="F2478" s="35" t="s">
        <v>10</v>
      </c>
      <c r="G2478" s="35" t="s">
        <v>422</v>
      </c>
    </row>
    <row r="2479" spans="1:8">
      <c r="A2479" s="34">
        <v>2084215731</v>
      </c>
      <c r="B2479" s="35" t="s">
        <v>462</v>
      </c>
      <c r="C2479" s="35" t="s">
        <v>405</v>
      </c>
      <c r="D2479" s="35" t="s">
        <v>770</v>
      </c>
      <c r="E2479" s="35" t="s">
        <v>772</v>
      </c>
      <c r="F2479" s="35" t="s">
        <v>10</v>
      </c>
      <c r="G2479" s="35" t="s">
        <v>335</v>
      </c>
    </row>
    <row r="2480" spans="1:8">
      <c r="A2480" s="34">
        <v>2084215733</v>
      </c>
      <c r="B2480" s="35" t="s">
        <v>462</v>
      </c>
      <c r="C2480" s="35" t="s">
        <v>405</v>
      </c>
      <c r="D2480" s="35" t="s">
        <v>770</v>
      </c>
      <c r="E2480" s="35" t="s">
        <v>772</v>
      </c>
      <c r="F2480" s="35" t="s">
        <v>379</v>
      </c>
      <c r="G2480" s="35" t="s">
        <v>476</v>
      </c>
    </row>
    <row r="2481" spans="1:8">
      <c r="A2481" s="34">
        <v>2084215734</v>
      </c>
      <c r="B2481" s="35" t="s">
        <v>462</v>
      </c>
      <c r="C2481" s="35" t="s">
        <v>405</v>
      </c>
      <c r="D2481" s="35" t="s">
        <v>770</v>
      </c>
      <c r="E2481" s="35" t="s">
        <v>772</v>
      </c>
      <c r="F2481" s="35" t="s">
        <v>379</v>
      </c>
      <c r="G2481" s="35" t="s">
        <v>335</v>
      </c>
    </row>
    <row r="2482" spans="1:8">
      <c r="A2482" s="34">
        <v>2084215735</v>
      </c>
      <c r="B2482" s="35" t="s">
        <v>462</v>
      </c>
      <c r="C2482" s="35" t="s">
        <v>405</v>
      </c>
      <c r="D2482" s="35" t="s">
        <v>770</v>
      </c>
      <c r="E2482" s="35" t="s">
        <v>772</v>
      </c>
      <c r="F2482" s="35" t="s">
        <v>478</v>
      </c>
    </row>
    <row r="2483" spans="1:8">
      <c r="A2483" s="34">
        <v>2084215736</v>
      </c>
      <c r="B2483" s="35" t="s">
        <v>462</v>
      </c>
      <c r="C2483" s="35" t="s">
        <v>405</v>
      </c>
      <c r="D2483" s="35" t="s">
        <v>770</v>
      </c>
      <c r="E2483" s="35" t="s">
        <v>772</v>
      </c>
      <c r="F2483" s="35" t="s">
        <v>335</v>
      </c>
    </row>
    <row r="2484" spans="1:8">
      <c r="A2484" s="34">
        <v>2084024280</v>
      </c>
      <c r="B2484" s="35" t="s">
        <v>462</v>
      </c>
      <c r="C2484" s="35" t="s">
        <v>405</v>
      </c>
      <c r="D2484" s="35" t="s">
        <v>770</v>
      </c>
      <c r="E2484" s="35" t="s">
        <v>773</v>
      </c>
      <c r="F2484" s="35" t="s">
        <v>475</v>
      </c>
    </row>
    <row r="2485" spans="1:8">
      <c r="A2485" s="34">
        <v>2084025206</v>
      </c>
      <c r="B2485" s="35" t="s">
        <v>462</v>
      </c>
      <c r="C2485" s="35" t="s">
        <v>405</v>
      </c>
      <c r="D2485" s="35" t="s">
        <v>770</v>
      </c>
      <c r="E2485" s="35" t="s">
        <v>773</v>
      </c>
      <c r="F2485" s="35" t="s">
        <v>504</v>
      </c>
    </row>
    <row r="2486" spans="1:8">
      <c r="A2486" s="34">
        <v>2084048792</v>
      </c>
      <c r="B2486" s="35" t="s">
        <v>462</v>
      </c>
      <c r="C2486" s="35" t="s">
        <v>405</v>
      </c>
      <c r="D2486" s="35" t="s">
        <v>770</v>
      </c>
      <c r="E2486" s="35" t="s">
        <v>773</v>
      </c>
      <c r="F2486" s="35" t="s">
        <v>335</v>
      </c>
    </row>
    <row r="2487" spans="1:8">
      <c r="A2487" s="34">
        <v>2084243361</v>
      </c>
      <c r="B2487" s="35" t="s">
        <v>462</v>
      </c>
      <c r="C2487" s="35" t="s">
        <v>405</v>
      </c>
      <c r="D2487" s="35" t="s">
        <v>770</v>
      </c>
      <c r="E2487" s="35" t="s">
        <v>774</v>
      </c>
    </row>
    <row r="2488" spans="1:8">
      <c r="A2488" s="34">
        <v>2084301253</v>
      </c>
      <c r="B2488" s="35" t="s">
        <v>462</v>
      </c>
      <c r="C2488" s="35" t="s">
        <v>405</v>
      </c>
      <c r="D2488" s="35" t="s">
        <v>770</v>
      </c>
      <c r="E2488" s="35" t="s">
        <v>775</v>
      </c>
    </row>
    <row r="2489" spans="1:8">
      <c r="A2489" s="34">
        <v>2084050873</v>
      </c>
      <c r="B2489" s="35" t="s">
        <v>462</v>
      </c>
      <c r="C2489" s="35" t="s">
        <v>405</v>
      </c>
      <c r="D2489" s="35" t="s">
        <v>770</v>
      </c>
      <c r="E2489" s="35" t="s">
        <v>776</v>
      </c>
      <c r="F2489" s="35" t="s">
        <v>390</v>
      </c>
      <c r="G2489" s="35" t="s">
        <v>368</v>
      </c>
      <c r="H2489" s="35" t="s">
        <v>481</v>
      </c>
    </row>
    <row r="2490" spans="1:8">
      <c r="A2490" s="34">
        <v>2084050874</v>
      </c>
      <c r="B2490" s="35" t="s">
        <v>462</v>
      </c>
      <c r="C2490" s="35" t="s">
        <v>405</v>
      </c>
      <c r="D2490" s="35" t="s">
        <v>770</v>
      </c>
      <c r="E2490" s="35" t="s">
        <v>776</v>
      </c>
      <c r="F2490" s="35" t="s">
        <v>390</v>
      </c>
      <c r="G2490" s="35" t="s">
        <v>368</v>
      </c>
      <c r="H2490" s="35" t="s">
        <v>335</v>
      </c>
    </row>
    <row r="2491" spans="1:8">
      <c r="A2491" s="34">
        <v>2084050876</v>
      </c>
      <c r="B2491" s="35" t="s">
        <v>462</v>
      </c>
      <c r="C2491" s="35" t="s">
        <v>405</v>
      </c>
      <c r="D2491" s="35" t="s">
        <v>770</v>
      </c>
      <c r="E2491" s="35" t="s">
        <v>776</v>
      </c>
      <c r="F2491" s="35" t="s">
        <v>390</v>
      </c>
      <c r="G2491" s="35" t="s">
        <v>10</v>
      </c>
      <c r="H2491" s="35" t="s">
        <v>550</v>
      </c>
    </row>
    <row r="2492" spans="1:8">
      <c r="A2492" s="34">
        <v>2084050877</v>
      </c>
      <c r="B2492" s="35" t="s">
        <v>462</v>
      </c>
      <c r="C2492" s="35" t="s">
        <v>405</v>
      </c>
      <c r="D2492" s="35" t="s">
        <v>770</v>
      </c>
      <c r="E2492" s="35" t="s">
        <v>776</v>
      </c>
      <c r="F2492" s="35" t="s">
        <v>390</v>
      </c>
      <c r="G2492" s="35" t="s">
        <v>10</v>
      </c>
      <c r="H2492" s="35" t="s">
        <v>622</v>
      </c>
    </row>
    <row r="2493" spans="1:8">
      <c r="A2493" s="34">
        <v>2084050878</v>
      </c>
      <c r="B2493" s="35" t="s">
        <v>462</v>
      </c>
      <c r="C2493" s="35" t="s">
        <v>405</v>
      </c>
      <c r="D2493" s="35" t="s">
        <v>770</v>
      </c>
      <c r="E2493" s="35" t="s">
        <v>776</v>
      </c>
      <c r="F2493" s="35" t="s">
        <v>390</v>
      </c>
      <c r="G2493" s="35" t="s">
        <v>10</v>
      </c>
      <c r="H2493" s="35" t="s">
        <v>335</v>
      </c>
    </row>
    <row r="2494" spans="1:8">
      <c r="A2494" s="34">
        <v>2084050880</v>
      </c>
      <c r="B2494" s="35" t="s">
        <v>462</v>
      </c>
      <c r="C2494" s="35" t="s">
        <v>405</v>
      </c>
      <c r="D2494" s="35" t="s">
        <v>770</v>
      </c>
      <c r="E2494" s="35" t="s">
        <v>776</v>
      </c>
      <c r="F2494" s="35" t="s">
        <v>390</v>
      </c>
      <c r="G2494" s="35" t="s">
        <v>379</v>
      </c>
      <c r="H2494" s="35" t="s">
        <v>476</v>
      </c>
    </row>
    <row r="2495" spans="1:8">
      <c r="A2495" s="34">
        <v>2084050881</v>
      </c>
      <c r="B2495" s="35" t="s">
        <v>462</v>
      </c>
      <c r="C2495" s="35" t="s">
        <v>405</v>
      </c>
      <c r="D2495" s="35" t="s">
        <v>770</v>
      </c>
      <c r="E2495" s="35" t="s">
        <v>776</v>
      </c>
      <c r="F2495" s="35" t="s">
        <v>390</v>
      </c>
      <c r="G2495" s="35" t="s">
        <v>379</v>
      </c>
      <c r="H2495" s="35" t="s">
        <v>335</v>
      </c>
    </row>
    <row r="2496" spans="1:8">
      <c r="A2496" s="34">
        <v>2084050871</v>
      </c>
      <c r="B2496" s="35" t="s">
        <v>462</v>
      </c>
      <c r="C2496" s="35" t="s">
        <v>405</v>
      </c>
      <c r="D2496" s="35" t="s">
        <v>770</v>
      </c>
      <c r="E2496" s="35" t="s">
        <v>776</v>
      </c>
      <c r="F2496" s="35" t="s">
        <v>390</v>
      </c>
      <c r="G2496" s="35" t="s">
        <v>335</v>
      </c>
    </row>
    <row r="2497" spans="1:8">
      <c r="A2497" s="34">
        <v>2084030712</v>
      </c>
      <c r="B2497" s="35" t="s">
        <v>462</v>
      </c>
      <c r="C2497" s="35" t="s">
        <v>405</v>
      </c>
      <c r="D2497" s="35" t="s">
        <v>770</v>
      </c>
      <c r="E2497" s="35" t="s">
        <v>776</v>
      </c>
      <c r="F2497" s="35" t="s">
        <v>353</v>
      </c>
      <c r="G2497" s="35" t="s">
        <v>481</v>
      </c>
    </row>
    <row r="2498" spans="1:8">
      <c r="A2498" s="34">
        <v>2084031610</v>
      </c>
      <c r="B2498" s="35" t="s">
        <v>462</v>
      </c>
      <c r="C2498" s="35" t="s">
        <v>405</v>
      </c>
      <c r="D2498" s="35" t="s">
        <v>770</v>
      </c>
      <c r="E2498" s="35" t="s">
        <v>776</v>
      </c>
      <c r="F2498" s="35" t="s">
        <v>353</v>
      </c>
      <c r="G2498" s="35" t="s">
        <v>483</v>
      </c>
    </row>
    <row r="2499" spans="1:8">
      <c r="A2499" s="34">
        <v>2084031490</v>
      </c>
      <c r="B2499" s="35" t="s">
        <v>462</v>
      </c>
      <c r="C2499" s="35" t="s">
        <v>405</v>
      </c>
      <c r="D2499" s="35" t="s">
        <v>770</v>
      </c>
      <c r="E2499" s="35" t="s">
        <v>776</v>
      </c>
      <c r="F2499" s="35" t="s">
        <v>353</v>
      </c>
      <c r="G2499" s="35" t="s">
        <v>482</v>
      </c>
    </row>
    <row r="2500" spans="1:8">
      <c r="A2500" s="34">
        <v>2084030262</v>
      </c>
      <c r="B2500" s="35" t="s">
        <v>462</v>
      </c>
      <c r="C2500" s="35" t="s">
        <v>405</v>
      </c>
      <c r="D2500" s="35" t="s">
        <v>770</v>
      </c>
      <c r="E2500" s="35" t="s">
        <v>776</v>
      </c>
      <c r="F2500" s="35" t="s">
        <v>353</v>
      </c>
      <c r="G2500" s="35" t="s">
        <v>493</v>
      </c>
    </row>
    <row r="2501" spans="1:8">
      <c r="A2501" s="34">
        <v>2084031401</v>
      </c>
      <c r="B2501" s="35" t="s">
        <v>462</v>
      </c>
      <c r="C2501" s="35" t="s">
        <v>405</v>
      </c>
      <c r="D2501" s="35" t="s">
        <v>770</v>
      </c>
      <c r="E2501" s="35" t="s">
        <v>776</v>
      </c>
      <c r="F2501" s="35" t="s">
        <v>353</v>
      </c>
      <c r="G2501" s="35" t="s">
        <v>494</v>
      </c>
    </row>
    <row r="2502" spans="1:8">
      <c r="A2502" s="34">
        <v>2084050868</v>
      </c>
      <c r="B2502" s="35" t="s">
        <v>462</v>
      </c>
      <c r="C2502" s="35" t="s">
        <v>405</v>
      </c>
      <c r="D2502" s="35" t="s">
        <v>770</v>
      </c>
      <c r="E2502" s="35" t="s">
        <v>776</v>
      </c>
      <c r="F2502" s="35" t="s">
        <v>353</v>
      </c>
      <c r="G2502" s="35" t="s">
        <v>403</v>
      </c>
    </row>
    <row r="2503" spans="1:8">
      <c r="A2503" s="34">
        <v>2084031504</v>
      </c>
      <c r="B2503" s="35" t="s">
        <v>462</v>
      </c>
      <c r="C2503" s="35" t="s">
        <v>405</v>
      </c>
      <c r="D2503" s="35" t="s">
        <v>770</v>
      </c>
      <c r="E2503" s="35" t="s">
        <v>776</v>
      </c>
      <c r="F2503" s="35" t="s">
        <v>353</v>
      </c>
      <c r="G2503" s="35" t="s">
        <v>397</v>
      </c>
    </row>
    <row r="2504" spans="1:8">
      <c r="A2504" s="34">
        <v>2084030412</v>
      </c>
      <c r="B2504" s="35" t="s">
        <v>462</v>
      </c>
      <c r="C2504" s="35" t="s">
        <v>405</v>
      </c>
      <c r="D2504" s="35" t="s">
        <v>770</v>
      </c>
      <c r="E2504" s="35" t="s">
        <v>776</v>
      </c>
      <c r="F2504" s="35" t="s">
        <v>353</v>
      </c>
      <c r="G2504" s="35" t="s">
        <v>421</v>
      </c>
    </row>
    <row r="2505" spans="1:8">
      <c r="A2505" s="34">
        <v>2084031580</v>
      </c>
      <c r="B2505" s="35" t="s">
        <v>462</v>
      </c>
      <c r="C2505" s="35" t="s">
        <v>405</v>
      </c>
      <c r="D2505" s="35" t="s">
        <v>770</v>
      </c>
      <c r="E2505" s="35" t="s">
        <v>776</v>
      </c>
      <c r="F2505" s="35" t="s">
        <v>353</v>
      </c>
      <c r="G2505" s="35" t="s">
        <v>398</v>
      </c>
    </row>
    <row r="2506" spans="1:8">
      <c r="A2506" s="34">
        <v>2084030351</v>
      </c>
      <c r="B2506" s="35" t="s">
        <v>462</v>
      </c>
      <c r="C2506" s="35" t="s">
        <v>405</v>
      </c>
      <c r="D2506" s="35" t="s">
        <v>770</v>
      </c>
      <c r="E2506" s="35" t="s">
        <v>776</v>
      </c>
      <c r="F2506" s="35" t="s">
        <v>353</v>
      </c>
      <c r="G2506" s="35" t="s">
        <v>422</v>
      </c>
    </row>
    <row r="2507" spans="1:8">
      <c r="A2507" s="34">
        <v>2084050869</v>
      </c>
      <c r="B2507" s="35" t="s">
        <v>462</v>
      </c>
      <c r="C2507" s="35" t="s">
        <v>405</v>
      </c>
      <c r="D2507" s="35" t="s">
        <v>770</v>
      </c>
      <c r="E2507" s="35" t="s">
        <v>776</v>
      </c>
      <c r="F2507" s="35" t="s">
        <v>353</v>
      </c>
      <c r="G2507" s="35" t="s">
        <v>335</v>
      </c>
    </row>
    <row r="2508" spans="1:8">
      <c r="A2508" s="34">
        <v>2084048787</v>
      </c>
      <c r="B2508" s="35" t="s">
        <v>462</v>
      </c>
      <c r="C2508" s="35" t="s">
        <v>405</v>
      </c>
      <c r="D2508" s="35" t="s">
        <v>770</v>
      </c>
      <c r="E2508" s="35" t="s">
        <v>776</v>
      </c>
      <c r="F2508" s="35" t="s">
        <v>335</v>
      </c>
    </row>
    <row r="2509" spans="1:8">
      <c r="A2509" s="34">
        <v>2084205191</v>
      </c>
      <c r="B2509" s="35" t="s">
        <v>462</v>
      </c>
      <c r="C2509" s="35" t="s">
        <v>405</v>
      </c>
      <c r="D2509" s="35" t="s">
        <v>770</v>
      </c>
      <c r="E2509" s="35" t="s">
        <v>777</v>
      </c>
      <c r="F2509" s="35" t="s">
        <v>390</v>
      </c>
      <c r="G2509" s="35" t="s">
        <v>367</v>
      </c>
    </row>
    <row r="2510" spans="1:8">
      <c r="A2510" s="34">
        <v>2084205210</v>
      </c>
      <c r="B2510" s="35" t="s">
        <v>462</v>
      </c>
      <c r="C2510" s="35" t="s">
        <v>405</v>
      </c>
      <c r="D2510" s="35" t="s">
        <v>770</v>
      </c>
      <c r="E2510" s="35" t="s">
        <v>777</v>
      </c>
      <c r="F2510" s="35" t="s">
        <v>390</v>
      </c>
      <c r="G2510" s="35" t="s">
        <v>368</v>
      </c>
      <c r="H2510" s="35" t="s">
        <v>481</v>
      </c>
    </row>
    <row r="2511" spans="1:8">
      <c r="A2511" s="34">
        <v>2084205193</v>
      </c>
      <c r="B2511" s="35" t="s">
        <v>462</v>
      </c>
      <c r="C2511" s="35" t="s">
        <v>405</v>
      </c>
      <c r="D2511" s="35" t="s">
        <v>770</v>
      </c>
      <c r="E2511" s="35" t="s">
        <v>777</v>
      </c>
      <c r="F2511" s="35" t="s">
        <v>390</v>
      </c>
      <c r="G2511" s="35" t="s">
        <v>368</v>
      </c>
      <c r="H2511" s="35" t="s">
        <v>482</v>
      </c>
    </row>
    <row r="2512" spans="1:8">
      <c r="A2512" s="34">
        <v>2084205230</v>
      </c>
      <c r="B2512" s="35" t="s">
        <v>462</v>
      </c>
      <c r="C2512" s="35" t="s">
        <v>405</v>
      </c>
      <c r="D2512" s="35" t="s">
        <v>770</v>
      </c>
      <c r="E2512" s="35" t="s">
        <v>777</v>
      </c>
      <c r="F2512" s="35" t="s">
        <v>390</v>
      </c>
      <c r="G2512" s="35" t="s">
        <v>368</v>
      </c>
      <c r="H2512" s="35" t="s">
        <v>335</v>
      </c>
    </row>
    <row r="2513" spans="1:8">
      <c r="A2513" s="34">
        <v>2084205254</v>
      </c>
      <c r="B2513" s="35" t="s">
        <v>462</v>
      </c>
      <c r="C2513" s="35" t="s">
        <v>405</v>
      </c>
      <c r="D2513" s="35" t="s">
        <v>770</v>
      </c>
      <c r="E2513" s="35" t="s">
        <v>777</v>
      </c>
      <c r="F2513" s="35" t="s">
        <v>390</v>
      </c>
      <c r="G2513" s="35" t="s">
        <v>10</v>
      </c>
      <c r="H2513" s="35" t="s">
        <v>483</v>
      </c>
    </row>
    <row r="2514" spans="1:8">
      <c r="A2514" s="34">
        <v>2084205251</v>
      </c>
      <c r="B2514" s="35" t="s">
        <v>462</v>
      </c>
      <c r="C2514" s="35" t="s">
        <v>405</v>
      </c>
      <c r="D2514" s="35" t="s">
        <v>770</v>
      </c>
      <c r="E2514" s="35" t="s">
        <v>777</v>
      </c>
      <c r="F2514" s="35" t="s">
        <v>390</v>
      </c>
      <c r="G2514" s="35" t="s">
        <v>10</v>
      </c>
      <c r="H2514" s="35" t="s">
        <v>397</v>
      </c>
    </row>
    <row r="2515" spans="1:8">
      <c r="A2515" s="34">
        <v>2084205253</v>
      </c>
      <c r="B2515" s="35" t="s">
        <v>462</v>
      </c>
      <c r="C2515" s="35" t="s">
        <v>405</v>
      </c>
      <c r="D2515" s="35" t="s">
        <v>770</v>
      </c>
      <c r="E2515" s="35" t="s">
        <v>777</v>
      </c>
      <c r="F2515" s="35" t="s">
        <v>390</v>
      </c>
      <c r="G2515" s="35" t="s">
        <v>10</v>
      </c>
      <c r="H2515" s="35" t="s">
        <v>421</v>
      </c>
    </row>
    <row r="2516" spans="1:8">
      <c r="A2516" s="34">
        <v>2084205250</v>
      </c>
      <c r="B2516" s="35" t="s">
        <v>462</v>
      </c>
      <c r="C2516" s="35" t="s">
        <v>405</v>
      </c>
      <c r="D2516" s="35" t="s">
        <v>770</v>
      </c>
      <c r="E2516" s="35" t="s">
        <v>777</v>
      </c>
      <c r="F2516" s="35" t="s">
        <v>390</v>
      </c>
      <c r="G2516" s="35" t="s">
        <v>10</v>
      </c>
      <c r="H2516" s="35" t="s">
        <v>398</v>
      </c>
    </row>
    <row r="2517" spans="1:8">
      <c r="A2517" s="34">
        <v>2084205252</v>
      </c>
      <c r="B2517" s="35" t="s">
        <v>462</v>
      </c>
      <c r="C2517" s="35" t="s">
        <v>405</v>
      </c>
      <c r="D2517" s="35" t="s">
        <v>770</v>
      </c>
      <c r="E2517" s="35" t="s">
        <v>777</v>
      </c>
      <c r="F2517" s="35" t="s">
        <v>390</v>
      </c>
      <c r="G2517" s="35" t="s">
        <v>10</v>
      </c>
      <c r="H2517" s="35" t="s">
        <v>422</v>
      </c>
    </row>
    <row r="2518" spans="1:8">
      <c r="A2518" s="34">
        <v>2084205255</v>
      </c>
      <c r="B2518" s="35" t="s">
        <v>462</v>
      </c>
      <c r="C2518" s="35" t="s">
        <v>405</v>
      </c>
      <c r="D2518" s="35" t="s">
        <v>770</v>
      </c>
      <c r="E2518" s="35" t="s">
        <v>777</v>
      </c>
      <c r="F2518" s="35" t="s">
        <v>390</v>
      </c>
      <c r="G2518" s="35" t="s">
        <v>10</v>
      </c>
      <c r="H2518" s="35" t="s">
        <v>335</v>
      </c>
    </row>
    <row r="2519" spans="1:8">
      <c r="A2519" s="34">
        <v>2084205257</v>
      </c>
      <c r="B2519" s="35" t="s">
        <v>462</v>
      </c>
      <c r="C2519" s="35" t="s">
        <v>405</v>
      </c>
      <c r="D2519" s="35" t="s">
        <v>770</v>
      </c>
      <c r="E2519" s="35" t="s">
        <v>777</v>
      </c>
      <c r="F2519" s="35" t="s">
        <v>390</v>
      </c>
      <c r="G2519" s="35" t="s">
        <v>379</v>
      </c>
      <c r="H2519" s="35" t="s">
        <v>476</v>
      </c>
    </row>
    <row r="2520" spans="1:8">
      <c r="A2520" s="34">
        <v>2084205258</v>
      </c>
      <c r="B2520" s="35" t="s">
        <v>462</v>
      </c>
      <c r="C2520" s="35" t="s">
        <v>405</v>
      </c>
      <c r="D2520" s="35" t="s">
        <v>770</v>
      </c>
      <c r="E2520" s="35" t="s">
        <v>777</v>
      </c>
      <c r="F2520" s="35" t="s">
        <v>390</v>
      </c>
      <c r="G2520" s="35" t="s">
        <v>379</v>
      </c>
      <c r="H2520" s="35" t="s">
        <v>335</v>
      </c>
    </row>
    <row r="2521" spans="1:8">
      <c r="A2521" s="34">
        <v>2084205260</v>
      </c>
      <c r="B2521" s="35" t="s">
        <v>462</v>
      </c>
      <c r="C2521" s="35" t="s">
        <v>405</v>
      </c>
      <c r="D2521" s="35" t="s">
        <v>770</v>
      </c>
      <c r="E2521" s="35" t="s">
        <v>777</v>
      </c>
      <c r="F2521" s="35" t="s">
        <v>390</v>
      </c>
      <c r="G2521" s="35" t="s">
        <v>478</v>
      </c>
    </row>
    <row r="2522" spans="1:8">
      <c r="A2522" s="34">
        <v>2084205259</v>
      </c>
      <c r="B2522" s="35" t="s">
        <v>462</v>
      </c>
      <c r="C2522" s="35" t="s">
        <v>405</v>
      </c>
      <c r="D2522" s="35" t="s">
        <v>770</v>
      </c>
      <c r="E2522" s="35" t="s">
        <v>777</v>
      </c>
      <c r="F2522" s="35" t="s">
        <v>390</v>
      </c>
      <c r="G2522" s="35" t="s">
        <v>335</v>
      </c>
    </row>
    <row r="2523" spans="1:8">
      <c r="A2523" s="34">
        <v>2084205261</v>
      </c>
      <c r="B2523" s="35" t="s">
        <v>462</v>
      </c>
      <c r="C2523" s="35" t="s">
        <v>405</v>
      </c>
      <c r="D2523" s="35" t="s">
        <v>770</v>
      </c>
      <c r="E2523" s="35" t="s">
        <v>777</v>
      </c>
      <c r="F2523" s="35" t="s">
        <v>408</v>
      </c>
    </row>
    <row r="2524" spans="1:8">
      <c r="A2524" s="34">
        <v>2084205262</v>
      </c>
      <c r="B2524" s="35" t="s">
        <v>462</v>
      </c>
      <c r="C2524" s="35" t="s">
        <v>405</v>
      </c>
      <c r="D2524" s="35" t="s">
        <v>770</v>
      </c>
      <c r="E2524" s="35" t="s">
        <v>777</v>
      </c>
      <c r="F2524" s="35" t="s">
        <v>335</v>
      </c>
    </row>
    <row r="2525" spans="1:8">
      <c r="A2525" s="34">
        <v>2084222741</v>
      </c>
      <c r="B2525" s="35" t="s">
        <v>462</v>
      </c>
      <c r="C2525" s="35" t="s">
        <v>405</v>
      </c>
      <c r="D2525" s="35" t="s">
        <v>770</v>
      </c>
      <c r="E2525" s="35" t="s">
        <v>778</v>
      </c>
      <c r="F2525" s="35" t="s">
        <v>475</v>
      </c>
    </row>
    <row r="2526" spans="1:8">
      <c r="A2526" s="34">
        <v>2084222742</v>
      </c>
      <c r="B2526" s="35" t="s">
        <v>462</v>
      </c>
      <c r="C2526" s="35" t="s">
        <v>405</v>
      </c>
      <c r="D2526" s="35" t="s">
        <v>770</v>
      </c>
      <c r="E2526" s="35" t="s">
        <v>778</v>
      </c>
      <c r="F2526" s="35" t="s">
        <v>335</v>
      </c>
    </row>
    <row r="2527" spans="1:8">
      <c r="A2527" s="34">
        <v>2084228066</v>
      </c>
      <c r="B2527" s="35" t="s">
        <v>462</v>
      </c>
      <c r="C2527" s="35" t="s">
        <v>405</v>
      </c>
      <c r="D2527" s="35" t="s">
        <v>770</v>
      </c>
      <c r="E2527" s="35" t="s">
        <v>779</v>
      </c>
      <c r="F2527" s="35" t="s">
        <v>407</v>
      </c>
    </row>
    <row r="2528" spans="1:8">
      <c r="A2528" s="34">
        <v>2084228065</v>
      </c>
      <c r="B2528" s="35" t="s">
        <v>462</v>
      </c>
      <c r="C2528" s="35" t="s">
        <v>405</v>
      </c>
      <c r="D2528" s="35" t="s">
        <v>770</v>
      </c>
      <c r="E2528" s="35" t="s">
        <v>779</v>
      </c>
      <c r="F2528" s="35" t="s">
        <v>408</v>
      </c>
    </row>
    <row r="2529" spans="1:8">
      <c r="A2529" s="34">
        <v>2084228067</v>
      </c>
      <c r="B2529" s="35" t="s">
        <v>462</v>
      </c>
      <c r="C2529" s="35" t="s">
        <v>405</v>
      </c>
      <c r="D2529" s="35" t="s">
        <v>770</v>
      </c>
      <c r="E2529" s="35" t="s">
        <v>779</v>
      </c>
      <c r="F2529" s="35" t="s">
        <v>335</v>
      </c>
    </row>
    <row r="2530" spans="1:8">
      <c r="A2530" s="34">
        <v>2084194496</v>
      </c>
      <c r="B2530" s="35" t="s">
        <v>462</v>
      </c>
      <c r="C2530" s="35" t="s">
        <v>405</v>
      </c>
      <c r="D2530" s="35" t="s">
        <v>770</v>
      </c>
      <c r="E2530" s="35" t="s">
        <v>780</v>
      </c>
      <c r="F2530" s="35" t="s">
        <v>407</v>
      </c>
    </row>
    <row r="2531" spans="1:8">
      <c r="A2531" s="34">
        <v>2084194495</v>
      </c>
      <c r="B2531" s="35" t="s">
        <v>462</v>
      </c>
      <c r="C2531" s="35" t="s">
        <v>405</v>
      </c>
      <c r="D2531" s="35" t="s">
        <v>770</v>
      </c>
      <c r="E2531" s="35" t="s">
        <v>780</v>
      </c>
      <c r="F2531" s="35" t="s">
        <v>408</v>
      </c>
    </row>
    <row r="2532" spans="1:8">
      <c r="A2532" s="34">
        <v>2084194500</v>
      </c>
      <c r="B2532" s="35" t="s">
        <v>462</v>
      </c>
      <c r="C2532" s="35" t="s">
        <v>405</v>
      </c>
      <c r="D2532" s="35" t="s">
        <v>770</v>
      </c>
      <c r="E2532" s="35" t="s">
        <v>780</v>
      </c>
      <c r="F2532" s="35" t="s">
        <v>335</v>
      </c>
    </row>
    <row r="2533" spans="1:8">
      <c r="A2533" s="34">
        <v>2084050888</v>
      </c>
      <c r="B2533" s="35" t="s">
        <v>462</v>
      </c>
      <c r="C2533" s="35" t="s">
        <v>405</v>
      </c>
      <c r="D2533" s="35" t="s">
        <v>770</v>
      </c>
      <c r="E2533" s="35" t="s">
        <v>781</v>
      </c>
      <c r="F2533" s="35" t="s">
        <v>475</v>
      </c>
    </row>
    <row r="2534" spans="1:8">
      <c r="A2534" s="34">
        <v>2084028235</v>
      </c>
      <c r="B2534" s="35" t="s">
        <v>462</v>
      </c>
      <c r="C2534" s="35" t="s">
        <v>405</v>
      </c>
      <c r="D2534" s="35" t="s">
        <v>770</v>
      </c>
      <c r="E2534" s="35" t="s">
        <v>781</v>
      </c>
      <c r="F2534" s="35" t="s">
        <v>390</v>
      </c>
      <c r="G2534" s="35" t="s">
        <v>367</v>
      </c>
    </row>
    <row r="2535" spans="1:8">
      <c r="A2535" s="34">
        <v>2084028787</v>
      </c>
      <c r="B2535" s="35" t="s">
        <v>462</v>
      </c>
      <c r="C2535" s="35" t="s">
        <v>405</v>
      </c>
      <c r="D2535" s="35" t="s">
        <v>770</v>
      </c>
      <c r="E2535" s="35" t="s">
        <v>781</v>
      </c>
      <c r="F2535" s="35" t="s">
        <v>390</v>
      </c>
      <c r="G2535" s="35" t="s">
        <v>368</v>
      </c>
      <c r="H2535" s="35" t="s">
        <v>508</v>
      </c>
    </row>
    <row r="2536" spans="1:8">
      <c r="A2536" s="34">
        <v>2084029320</v>
      </c>
      <c r="B2536" s="35" t="s">
        <v>462</v>
      </c>
      <c r="C2536" s="35" t="s">
        <v>405</v>
      </c>
      <c r="D2536" s="35" t="s">
        <v>770</v>
      </c>
      <c r="E2536" s="35" t="s">
        <v>781</v>
      </c>
      <c r="F2536" s="35" t="s">
        <v>390</v>
      </c>
      <c r="G2536" s="35" t="s">
        <v>368</v>
      </c>
      <c r="H2536" s="35" t="s">
        <v>481</v>
      </c>
    </row>
    <row r="2537" spans="1:8">
      <c r="A2537" s="34">
        <v>2084029871</v>
      </c>
      <c r="B2537" s="35" t="s">
        <v>462</v>
      </c>
      <c r="C2537" s="35" t="s">
        <v>405</v>
      </c>
      <c r="D2537" s="35" t="s">
        <v>770</v>
      </c>
      <c r="E2537" s="35" t="s">
        <v>781</v>
      </c>
      <c r="F2537" s="35" t="s">
        <v>390</v>
      </c>
      <c r="G2537" s="35" t="s">
        <v>368</v>
      </c>
      <c r="H2537" s="35" t="s">
        <v>494</v>
      </c>
    </row>
    <row r="2538" spans="1:8">
      <c r="A2538" s="34">
        <v>2084058796</v>
      </c>
      <c r="B2538" s="35" t="s">
        <v>462</v>
      </c>
      <c r="C2538" s="35" t="s">
        <v>405</v>
      </c>
      <c r="D2538" s="35" t="s">
        <v>770</v>
      </c>
      <c r="E2538" s="35" t="s">
        <v>781</v>
      </c>
      <c r="F2538" s="35" t="s">
        <v>390</v>
      </c>
      <c r="G2538" s="35" t="s">
        <v>368</v>
      </c>
      <c r="H2538" s="35" t="s">
        <v>335</v>
      </c>
    </row>
    <row r="2539" spans="1:8">
      <c r="A2539" s="34">
        <v>2084027336</v>
      </c>
      <c r="B2539" s="35" t="s">
        <v>462</v>
      </c>
      <c r="C2539" s="35" t="s">
        <v>405</v>
      </c>
      <c r="D2539" s="35" t="s">
        <v>770</v>
      </c>
      <c r="E2539" s="35" t="s">
        <v>781</v>
      </c>
      <c r="F2539" s="35" t="s">
        <v>390</v>
      </c>
      <c r="G2539" s="35" t="s">
        <v>10</v>
      </c>
      <c r="H2539" s="35" t="s">
        <v>509</v>
      </c>
    </row>
    <row r="2540" spans="1:8">
      <c r="A2540" s="34">
        <v>2084027829</v>
      </c>
      <c r="B2540" s="35" t="s">
        <v>462</v>
      </c>
      <c r="C2540" s="35" t="s">
        <v>405</v>
      </c>
      <c r="D2540" s="35" t="s">
        <v>770</v>
      </c>
      <c r="E2540" s="35" t="s">
        <v>781</v>
      </c>
      <c r="F2540" s="35" t="s">
        <v>390</v>
      </c>
      <c r="G2540" s="35" t="s">
        <v>10</v>
      </c>
      <c r="H2540" s="35" t="s">
        <v>510</v>
      </c>
    </row>
    <row r="2541" spans="1:8">
      <c r="A2541" s="34">
        <v>2084027861</v>
      </c>
      <c r="B2541" s="35" t="s">
        <v>462</v>
      </c>
      <c r="C2541" s="35" t="s">
        <v>405</v>
      </c>
      <c r="D2541" s="35" t="s">
        <v>770</v>
      </c>
      <c r="E2541" s="35" t="s">
        <v>781</v>
      </c>
      <c r="F2541" s="35" t="s">
        <v>390</v>
      </c>
      <c r="G2541" s="35" t="s">
        <v>10</v>
      </c>
      <c r="H2541" s="35" t="s">
        <v>511</v>
      </c>
    </row>
    <row r="2542" spans="1:8">
      <c r="A2542" s="34">
        <v>2084027891</v>
      </c>
      <c r="B2542" s="35" t="s">
        <v>462</v>
      </c>
      <c r="C2542" s="35" t="s">
        <v>405</v>
      </c>
      <c r="D2542" s="35" t="s">
        <v>770</v>
      </c>
      <c r="E2542" s="35" t="s">
        <v>781</v>
      </c>
      <c r="F2542" s="35" t="s">
        <v>390</v>
      </c>
      <c r="G2542" s="35" t="s">
        <v>10</v>
      </c>
      <c r="H2542" s="35" t="s">
        <v>493</v>
      </c>
    </row>
    <row r="2543" spans="1:8">
      <c r="A2543" s="34">
        <v>2084027460</v>
      </c>
      <c r="B2543" s="35" t="s">
        <v>462</v>
      </c>
      <c r="C2543" s="35" t="s">
        <v>405</v>
      </c>
      <c r="D2543" s="35" t="s">
        <v>770</v>
      </c>
      <c r="E2543" s="35" t="s">
        <v>781</v>
      </c>
      <c r="F2543" s="35" t="s">
        <v>390</v>
      </c>
      <c r="G2543" s="35" t="s">
        <v>10</v>
      </c>
      <c r="H2543" s="35" t="s">
        <v>512</v>
      </c>
    </row>
    <row r="2544" spans="1:8">
      <c r="A2544" s="34">
        <v>2084027627</v>
      </c>
      <c r="B2544" s="35" t="s">
        <v>462</v>
      </c>
      <c r="C2544" s="35" t="s">
        <v>405</v>
      </c>
      <c r="D2544" s="35" t="s">
        <v>770</v>
      </c>
      <c r="E2544" s="35" t="s">
        <v>781</v>
      </c>
      <c r="F2544" s="35" t="s">
        <v>390</v>
      </c>
      <c r="G2544" s="35" t="s">
        <v>10</v>
      </c>
      <c r="H2544" s="35" t="s">
        <v>513</v>
      </c>
    </row>
    <row r="2545" spans="1:8">
      <c r="A2545" s="34">
        <v>2084027971</v>
      </c>
      <c r="B2545" s="35" t="s">
        <v>462</v>
      </c>
      <c r="C2545" s="35" t="s">
        <v>405</v>
      </c>
      <c r="D2545" s="35" t="s">
        <v>770</v>
      </c>
      <c r="E2545" s="35" t="s">
        <v>781</v>
      </c>
      <c r="F2545" s="35" t="s">
        <v>390</v>
      </c>
      <c r="G2545" s="35" t="s">
        <v>10</v>
      </c>
      <c r="H2545" s="35" t="s">
        <v>420</v>
      </c>
    </row>
    <row r="2546" spans="1:8">
      <c r="A2546" s="34">
        <v>2084027249</v>
      </c>
      <c r="B2546" s="35" t="s">
        <v>462</v>
      </c>
      <c r="C2546" s="35" t="s">
        <v>405</v>
      </c>
      <c r="D2546" s="35" t="s">
        <v>770</v>
      </c>
      <c r="E2546" s="35" t="s">
        <v>781</v>
      </c>
      <c r="F2546" s="35" t="s">
        <v>390</v>
      </c>
      <c r="G2546" s="35" t="s">
        <v>10</v>
      </c>
      <c r="H2546" s="35" t="s">
        <v>514</v>
      </c>
    </row>
    <row r="2547" spans="1:8">
      <c r="A2547" s="34">
        <v>2084027425</v>
      </c>
      <c r="B2547" s="35" t="s">
        <v>462</v>
      </c>
      <c r="C2547" s="35" t="s">
        <v>405</v>
      </c>
      <c r="D2547" s="35" t="s">
        <v>770</v>
      </c>
      <c r="E2547" s="35" t="s">
        <v>781</v>
      </c>
      <c r="F2547" s="35" t="s">
        <v>390</v>
      </c>
      <c r="G2547" s="35" t="s">
        <v>10</v>
      </c>
      <c r="H2547" s="35" t="s">
        <v>515</v>
      </c>
    </row>
    <row r="2548" spans="1:8">
      <c r="A2548" s="34">
        <v>2084027494</v>
      </c>
      <c r="B2548" s="35" t="s">
        <v>462</v>
      </c>
      <c r="C2548" s="35" t="s">
        <v>405</v>
      </c>
      <c r="D2548" s="35" t="s">
        <v>770</v>
      </c>
      <c r="E2548" s="35" t="s">
        <v>781</v>
      </c>
      <c r="F2548" s="35" t="s">
        <v>390</v>
      </c>
      <c r="G2548" s="35" t="s">
        <v>10</v>
      </c>
      <c r="H2548" s="35" t="s">
        <v>421</v>
      </c>
    </row>
    <row r="2549" spans="1:8">
      <c r="A2549" s="34">
        <v>2084027705</v>
      </c>
      <c r="B2549" s="35" t="s">
        <v>462</v>
      </c>
      <c r="C2549" s="35" t="s">
        <v>405</v>
      </c>
      <c r="D2549" s="35" t="s">
        <v>770</v>
      </c>
      <c r="E2549" s="35" t="s">
        <v>781</v>
      </c>
      <c r="F2549" s="35" t="s">
        <v>390</v>
      </c>
      <c r="G2549" s="35" t="s">
        <v>10</v>
      </c>
      <c r="H2549" s="35" t="s">
        <v>516</v>
      </c>
    </row>
    <row r="2550" spans="1:8">
      <c r="A2550" s="34">
        <v>2084027222</v>
      </c>
      <c r="B2550" s="35" t="s">
        <v>462</v>
      </c>
      <c r="C2550" s="35" t="s">
        <v>405</v>
      </c>
      <c r="D2550" s="35" t="s">
        <v>770</v>
      </c>
      <c r="E2550" s="35" t="s">
        <v>781</v>
      </c>
      <c r="F2550" s="35" t="s">
        <v>390</v>
      </c>
      <c r="G2550" s="35" t="s">
        <v>10</v>
      </c>
      <c r="H2550" s="35" t="s">
        <v>517</v>
      </c>
    </row>
    <row r="2551" spans="1:8">
      <c r="A2551" s="34">
        <v>2084027360</v>
      </c>
      <c r="B2551" s="35" t="s">
        <v>462</v>
      </c>
      <c r="C2551" s="35" t="s">
        <v>405</v>
      </c>
      <c r="D2551" s="35" t="s">
        <v>770</v>
      </c>
      <c r="E2551" s="35" t="s">
        <v>781</v>
      </c>
      <c r="F2551" s="35" t="s">
        <v>390</v>
      </c>
      <c r="G2551" s="35" t="s">
        <v>10</v>
      </c>
      <c r="H2551" s="35" t="s">
        <v>518</v>
      </c>
    </row>
    <row r="2552" spans="1:8">
      <c r="A2552" s="34">
        <v>2084027571</v>
      </c>
      <c r="B2552" s="35" t="s">
        <v>462</v>
      </c>
      <c r="C2552" s="35" t="s">
        <v>405</v>
      </c>
      <c r="D2552" s="35" t="s">
        <v>770</v>
      </c>
      <c r="E2552" s="35" t="s">
        <v>781</v>
      </c>
      <c r="F2552" s="35" t="s">
        <v>390</v>
      </c>
      <c r="G2552" s="35" t="s">
        <v>10</v>
      </c>
      <c r="H2552" s="35" t="s">
        <v>422</v>
      </c>
    </row>
    <row r="2553" spans="1:8">
      <c r="A2553" s="34">
        <v>2084027755</v>
      </c>
      <c r="B2553" s="35" t="s">
        <v>462</v>
      </c>
      <c r="C2553" s="35" t="s">
        <v>405</v>
      </c>
      <c r="D2553" s="35" t="s">
        <v>770</v>
      </c>
      <c r="E2553" s="35" t="s">
        <v>781</v>
      </c>
      <c r="F2553" s="35" t="s">
        <v>390</v>
      </c>
      <c r="G2553" s="35" t="s">
        <v>10</v>
      </c>
      <c r="H2553" s="35" t="s">
        <v>519</v>
      </c>
    </row>
    <row r="2554" spans="1:8">
      <c r="A2554" s="34">
        <v>2084058798</v>
      </c>
      <c r="B2554" s="35" t="s">
        <v>462</v>
      </c>
      <c r="C2554" s="35" t="s">
        <v>405</v>
      </c>
      <c r="D2554" s="35" t="s">
        <v>770</v>
      </c>
      <c r="E2554" s="35" t="s">
        <v>781</v>
      </c>
      <c r="F2554" s="35" t="s">
        <v>390</v>
      </c>
      <c r="G2554" s="35" t="s">
        <v>10</v>
      </c>
      <c r="H2554" s="35" t="s">
        <v>335</v>
      </c>
    </row>
    <row r="2555" spans="1:8">
      <c r="A2555" s="34">
        <v>2084028031</v>
      </c>
      <c r="B2555" s="35" t="s">
        <v>462</v>
      </c>
      <c r="C2555" s="35" t="s">
        <v>405</v>
      </c>
      <c r="D2555" s="35" t="s">
        <v>770</v>
      </c>
      <c r="E2555" s="35" t="s">
        <v>781</v>
      </c>
      <c r="F2555" s="35" t="s">
        <v>390</v>
      </c>
      <c r="G2555" s="35" t="s">
        <v>379</v>
      </c>
      <c r="H2555" s="35" t="s">
        <v>520</v>
      </c>
    </row>
    <row r="2556" spans="1:8">
      <c r="A2556" s="34">
        <v>2084028066</v>
      </c>
      <c r="B2556" s="35" t="s">
        <v>462</v>
      </c>
      <c r="C2556" s="35" t="s">
        <v>405</v>
      </c>
      <c r="D2556" s="35" t="s">
        <v>770</v>
      </c>
      <c r="E2556" s="35" t="s">
        <v>781</v>
      </c>
      <c r="F2556" s="35" t="s">
        <v>390</v>
      </c>
      <c r="G2556" s="35" t="s">
        <v>379</v>
      </c>
      <c r="H2556" s="35" t="s">
        <v>521</v>
      </c>
    </row>
    <row r="2557" spans="1:8">
      <c r="A2557" s="34">
        <v>2084028166</v>
      </c>
      <c r="B2557" s="35" t="s">
        <v>462</v>
      </c>
      <c r="C2557" s="35" t="s">
        <v>405</v>
      </c>
      <c r="D2557" s="35" t="s">
        <v>770</v>
      </c>
      <c r="E2557" s="35" t="s">
        <v>781</v>
      </c>
      <c r="F2557" s="35" t="s">
        <v>390</v>
      </c>
      <c r="G2557" s="35" t="s">
        <v>379</v>
      </c>
      <c r="H2557" s="35" t="s">
        <v>522</v>
      </c>
    </row>
    <row r="2558" spans="1:8">
      <c r="A2558" s="34">
        <v>2084028439</v>
      </c>
      <c r="B2558" s="35" t="s">
        <v>462</v>
      </c>
      <c r="C2558" s="35" t="s">
        <v>405</v>
      </c>
      <c r="D2558" s="35" t="s">
        <v>770</v>
      </c>
      <c r="E2558" s="35" t="s">
        <v>781</v>
      </c>
      <c r="F2558" s="35" t="s">
        <v>390</v>
      </c>
      <c r="G2558" s="35" t="s">
        <v>379</v>
      </c>
      <c r="H2558" s="35" t="s">
        <v>523</v>
      </c>
    </row>
    <row r="2559" spans="1:8">
      <c r="A2559" s="34">
        <v>2084028105</v>
      </c>
      <c r="B2559" s="35" t="s">
        <v>462</v>
      </c>
      <c r="C2559" s="35" t="s">
        <v>405</v>
      </c>
      <c r="D2559" s="35" t="s">
        <v>770</v>
      </c>
      <c r="E2559" s="35" t="s">
        <v>781</v>
      </c>
      <c r="F2559" s="35" t="s">
        <v>390</v>
      </c>
      <c r="G2559" s="35" t="s">
        <v>379</v>
      </c>
      <c r="H2559" s="35" t="s">
        <v>524</v>
      </c>
    </row>
    <row r="2560" spans="1:8">
      <c r="A2560" s="34">
        <v>2084028271</v>
      </c>
      <c r="B2560" s="35" t="s">
        <v>462</v>
      </c>
      <c r="C2560" s="35" t="s">
        <v>405</v>
      </c>
      <c r="D2560" s="35" t="s">
        <v>770</v>
      </c>
      <c r="E2560" s="35" t="s">
        <v>781</v>
      </c>
      <c r="F2560" s="35" t="s">
        <v>390</v>
      </c>
      <c r="G2560" s="35" t="s">
        <v>379</v>
      </c>
      <c r="H2560" s="35" t="s">
        <v>525</v>
      </c>
    </row>
    <row r="2561" spans="1:8">
      <c r="A2561" s="34">
        <v>2084028473</v>
      </c>
      <c r="B2561" s="35" t="s">
        <v>462</v>
      </c>
      <c r="C2561" s="35" t="s">
        <v>405</v>
      </c>
      <c r="D2561" s="35" t="s">
        <v>770</v>
      </c>
      <c r="E2561" s="35" t="s">
        <v>781</v>
      </c>
      <c r="F2561" s="35" t="s">
        <v>390</v>
      </c>
      <c r="G2561" s="35" t="s">
        <v>379</v>
      </c>
      <c r="H2561" s="35" t="s">
        <v>526</v>
      </c>
    </row>
    <row r="2562" spans="1:8">
      <c r="A2562" s="34">
        <v>2084028296</v>
      </c>
      <c r="B2562" s="35" t="s">
        <v>462</v>
      </c>
      <c r="C2562" s="35" t="s">
        <v>405</v>
      </c>
      <c r="D2562" s="35" t="s">
        <v>770</v>
      </c>
      <c r="E2562" s="35" t="s">
        <v>781</v>
      </c>
      <c r="F2562" s="35" t="s">
        <v>390</v>
      </c>
      <c r="G2562" s="35" t="s">
        <v>379</v>
      </c>
      <c r="H2562" s="35" t="s">
        <v>527</v>
      </c>
    </row>
    <row r="2563" spans="1:8">
      <c r="A2563" s="34">
        <v>2084028508</v>
      </c>
      <c r="B2563" s="35" t="s">
        <v>462</v>
      </c>
      <c r="C2563" s="35" t="s">
        <v>405</v>
      </c>
      <c r="D2563" s="35" t="s">
        <v>770</v>
      </c>
      <c r="E2563" s="35" t="s">
        <v>781</v>
      </c>
      <c r="F2563" s="35" t="s">
        <v>390</v>
      </c>
      <c r="G2563" s="35" t="s">
        <v>379</v>
      </c>
      <c r="H2563" s="35" t="s">
        <v>528</v>
      </c>
    </row>
    <row r="2564" spans="1:8">
      <c r="A2564" s="34">
        <v>2084028384</v>
      </c>
      <c r="B2564" s="35" t="s">
        <v>462</v>
      </c>
      <c r="C2564" s="35" t="s">
        <v>405</v>
      </c>
      <c r="D2564" s="35" t="s">
        <v>770</v>
      </c>
      <c r="E2564" s="35" t="s">
        <v>781</v>
      </c>
      <c r="F2564" s="35" t="s">
        <v>390</v>
      </c>
      <c r="G2564" s="35" t="s">
        <v>379</v>
      </c>
      <c r="H2564" s="35" t="s">
        <v>548</v>
      </c>
    </row>
    <row r="2565" spans="1:8">
      <c r="A2565" s="34">
        <v>2084058801</v>
      </c>
      <c r="B2565" s="35" t="s">
        <v>462</v>
      </c>
      <c r="C2565" s="35" t="s">
        <v>405</v>
      </c>
      <c r="D2565" s="35" t="s">
        <v>770</v>
      </c>
      <c r="E2565" s="35" t="s">
        <v>781</v>
      </c>
      <c r="F2565" s="35" t="s">
        <v>390</v>
      </c>
      <c r="G2565" s="35" t="s">
        <v>379</v>
      </c>
      <c r="H2565" s="35" t="s">
        <v>335</v>
      </c>
    </row>
    <row r="2566" spans="1:8">
      <c r="A2566" s="34">
        <v>2084028548</v>
      </c>
      <c r="B2566" s="35" t="s">
        <v>462</v>
      </c>
      <c r="C2566" s="35" t="s">
        <v>405</v>
      </c>
      <c r="D2566" s="35" t="s">
        <v>770</v>
      </c>
      <c r="E2566" s="35" t="s">
        <v>781</v>
      </c>
      <c r="F2566" s="35" t="s">
        <v>390</v>
      </c>
      <c r="G2566" s="35" t="s">
        <v>530</v>
      </c>
      <c r="H2566" s="35" t="s">
        <v>531</v>
      </c>
    </row>
    <row r="2567" spans="1:8">
      <c r="A2567" s="34">
        <v>2084028623</v>
      </c>
      <c r="B2567" s="35" t="s">
        <v>462</v>
      </c>
      <c r="C2567" s="35" t="s">
        <v>405</v>
      </c>
      <c r="D2567" s="35" t="s">
        <v>770</v>
      </c>
      <c r="E2567" s="35" t="s">
        <v>781</v>
      </c>
      <c r="F2567" s="35" t="s">
        <v>390</v>
      </c>
      <c r="G2567" s="35" t="s">
        <v>530</v>
      </c>
      <c r="H2567" s="35" t="s">
        <v>532</v>
      </c>
    </row>
    <row r="2568" spans="1:8">
      <c r="A2568" s="34">
        <v>2084058804</v>
      </c>
      <c r="B2568" s="35" t="s">
        <v>462</v>
      </c>
      <c r="C2568" s="35" t="s">
        <v>405</v>
      </c>
      <c r="D2568" s="35" t="s">
        <v>770</v>
      </c>
      <c r="E2568" s="35" t="s">
        <v>781</v>
      </c>
      <c r="F2568" s="35" t="s">
        <v>390</v>
      </c>
      <c r="G2568" s="35" t="s">
        <v>530</v>
      </c>
      <c r="H2568" s="35" t="s">
        <v>335</v>
      </c>
    </row>
    <row r="2569" spans="1:8">
      <c r="A2569" s="34">
        <v>2084050882</v>
      </c>
      <c r="B2569" s="35" t="s">
        <v>462</v>
      </c>
      <c r="C2569" s="35" t="s">
        <v>405</v>
      </c>
      <c r="D2569" s="35" t="s">
        <v>770</v>
      </c>
      <c r="E2569" s="35" t="s">
        <v>781</v>
      </c>
      <c r="F2569" s="35" t="s">
        <v>390</v>
      </c>
      <c r="G2569" s="35" t="s">
        <v>335</v>
      </c>
    </row>
    <row r="2570" spans="1:8">
      <c r="A2570" s="34">
        <v>2084030713</v>
      </c>
      <c r="B2570" s="35" t="s">
        <v>462</v>
      </c>
      <c r="C2570" s="35" t="s">
        <v>405</v>
      </c>
      <c r="D2570" s="35" t="s">
        <v>770</v>
      </c>
      <c r="E2570" s="35" t="s">
        <v>781</v>
      </c>
      <c r="F2570" s="35" t="s">
        <v>353</v>
      </c>
      <c r="G2570" s="35" t="s">
        <v>481</v>
      </c>
    </row>
    <row r="2571" spans="1:8">
      <c r="A2571" s="34">
        <v>2084031611</v>
      </c>
      <c r="B2571" s="35" t="s">
        <v>462</v>
      </c>
      <c r="C2571" s="35" t="s">
        <v>405</v>
      </c>
      <c r="D2571" s="35" t="s">
        <v>770</v>
      </c>
      <c r="E2571" s="35" t="s">
        <v>781</v>
      </c>
      <c r="F2571" s="35" t="s">
        <v>353</v>
      </c>
      <c r="G2571" s="35" t="s">
        <v>483</v>
      </c>
    </row>
    <row r="2572" spans="1:8">
      <c r="A2572" s="34">
        <v>2084031491</v>
      </c>
      <c r="B2572" s="35" t="s">
        <v>462</v>
      </c>
      <c r="C2572" s="35" t="s">
        <v>405</v>
      </c>
      <c r="D2572" s="35" t="s">
        <v>770</v>
      </c>
      <c r="E2572" s="35" t="s">
        <v>781</v>
      </c>
      <c r="F2572" s="35" t="s">
        <v>353</v>
      </c>
      <c r="G2572" s="35" t="s">
        <v>482</v>
      </c>
    </row>
    <row r="2573" spans="1:8">
      <c r="A2573" s="34">
        <v>2084030263</v>
      </c>
      <c r="B2573" s="35" t="s">
        <v>462</v>
      </c>
      <c r="C2573" s="35" t="s">
        <v>405</v>
      </c>
      <c r="D2573" s="35" t="s">
        <v>770</v>
      </c>
      <c r="E2573" s="35" t="s">
        <v>781</v>
      </c>
      <c r="F2573" s="35" t="s">
        <v>353</v>
      </c>
      <c r="G2573" s="35" t="s">
        <v>493</v>
      </c>
    </row>
    <row r="2574" spans="1:8">
      <c r="A2574" s="34">
        <v>2084031402</v>
      </c>
      <c r="B2574" s="35" t="s">
        <v>462</v>
      </c>
      <c r="C2574" s="35" t="s">
        <v>405</v>
      </c>
      <c r="D2574" s="35" t="s">
        <v>770</v>
      </c>
      <c r="E2574" s="35" t="s">
        <v>781</v>
      </c>
      <c r="F2574" s="35" t="s">
        <v>353</v>
      </c>
      <c r="G2574" s="35" t="s">
        <v>494</v>
      </c>
    </row>
    <row r="2575" spans="1:8">
      <c r="A2575" s="34">
        <v>2084050884</v>
      </c>
      <c r="B2575" s="35" t="s">
        <v>462</v>
      </c>
      <c r="C2575" s="35" t="s">
        <v>405</v>
      </c>
      <c r="D2575" s="35" t="s">
        <v>770</v>
      </c>
      <c r="E2575" s="35" t="s">
        <v>781</v>
      </c>
      <c r="F2575" s="35" t="s">
        <v>353</v>
      </c>
      <c r="G2575" s="35" t="s">
        <v>379</v>
      </c>
      <c r="H2575" s="35" t="s">
        <v>545</v>
      </c>
    </row>
    <row r="2576" spans="1:8">
      <c r="A2576" s="34">
        <v>2084050885</v>
      </c>
      <c r="B2576" s="35" t="s">
        <v>462</v>
      </c>
      <c r="C2576" s="35" t="s">
        <v>405</v>
      </c>
      <c r="D2576" s="35" t="s">
        <v>770</v>
      </c>
      <c r="E2576" s="35" t="s">
        <v>781</v>
      </c>
      <c r="F2576" s="35" t="s">
        <v>353</v>
      </c>
      <c r="G2576" s="35" t="s">
        <v>379</v>
      </c>
      <c r="H2576" s="35" t="s">
        <v>555</v>
      </c>
    </row>
    <row r="2577" spans="1:8">
      <c r="A2577" s="34">
        <v>2084050886</v>
      </c>
      <c r="B2577" s="35" t="s">
        <v>462</v>
      </c>
      <c r="C2577" s="35" t="s">
        <v>405</v>
      </c>
      <c r="D2577" s="35" t="s">
        <v>770</v>
      </c>
      <c r="E2577" s="35" t="s">
        <v>781</v>
      </c>
      <c r="F2577" s="35" t="s">
        <v>353</v>
      </c>
      <c r="G2577" s="35" t="s">
        <v>379</v>
      </c>
      <c r="H2577" s="35" t="s">
        <v>335</v>
      </c>
    </row>
    <row r="2578" spans="1:8">
      <c r="A2578" s="34">
        <v>2084031505</v>
      </c>
      <c r="B2578" s="35" t="s">
        <v>462</v>
      </c>
      <c r="C2578" s="35" t="s">
        <v>405</v>
      </c>
      <c r="D2578" s="35" t="s">
        <v>770</v>
      </c>
      <c r="E2578" s="35" t="s">
        <v>781</v>
      </c>
      <c r="F2578" s="35" t="s">
        <v>353</v>
      </c>
      <c r="G2578" s="35" t="s">
        <v>397</v>
      </c>
    </row>
    <row r="2579" spans="1:8">
      <c r="A2579" s="34">
        <v>2084030413</v>
      </c>
      <c r="B2579" s="35" t="s">
        <v>462</v>
      </c>
      <c r="C2579" s="35" t="s">
        <v>405</v>
      </c>
      <c r="D2579" s="35" t="s">
        <v>770</v>
      </c>
      <c r="E2579" s="35" t="s">
        <v>781</v>
      </c>
      <c r="F2579" s="35" t="s">
        <v>353</v>
      </c>
      <c r="G2579" s="35" t="s">
        <v>421</v>
      </c>
    </row>
    <row r="2580" spans="1:8">
      <c r="A2580" s="34">
        <v>2084031581</v>
      </c>
      <c r="B2580" s="35" t="s">
        <v>462</v>
      </c>
      <c r="C2580" s="35" t="s">
        <v>405</v>
      </c>
      <c r="D2580" s="35" t="s">
        <v>770</v>
      </c>
      <c r="E2580" s="35" t="s">
        <v>781</v>
      </c>
      <c r="F2580" s="35" t="s">
        <v>353</v>
      </c>
      <c r="G2580" s="35" t="s">
        <v>398</v>
      </c>
    </row>
    <row r="2581" spans="1:8">
      <c r="A2581" s="34">
        <v>2084030352</v>
      </c>
      <c r="B2581" s="35" t="s">
        <v>462</v>
      </c>
      <c r="C2581" s="35" t="s">
        <v>405</v>
      </c>
      <c r="D2581" s="35" t="s">
        <v>770</v>
      </c>
      <c r="E2581" s="35" t="s">
        <v>781</v>
      </c>
      <c r="F2581" s="35" t="s">
        <v>353</v>
      </c>
      <c r="G2581" s="35" t="s">
        <v>422</v>
      </c>
    </row>
    <row r="2582" spans="1:8">
      <c r="A2582" s="34">
        <v>2084050887</v>
      </c>
      <c r="B2582" s="35" t="s">
        <v>462</v>
      </c>
      <c r="C2582" s="35" t="s">
        <v>405</v>
      </c>
      <c r="D2582" s="35" t="s">
        <v>770</v>
      </c>
      <c r="E2582" s="35" t="s">
        <v>781</v>
      </c>
      <c r="F2582" s="35" t="s">
        <v>353</v>
      </c>
      <c r="G2582" s="35" t="s">
        <v>335</v>
      </c>
    </row>
    <row r="2583" spans="1:8">
      <c r="A2583" s="34">
        <v>2084048793</v>
      </c>
      <c r="B2583" s="35" t="s">
        <v>462</v>
      </c>
      <c r="C2583" s="35" t="s">
        <v>405</v>
      </c>
      <c r="D2583" s="35" t="s">
        <v>770</v>
      </c>
      <c r="E2583" s="35" t="s">
        <v>781</v>
      </c>
      <c r="F2583" s="35" t="s">
        <v>335</v>
      </c>
    </row>
    <row r="2584" spans="1:8">
      <c r="A2584" s="34">
        <v>2084242551</v>
      </c>
      <c r="B2584" s="35" t="s">
        <v>462</v>
      </c>
      <c r="C2584" s="35" t="s">
        <v>405</v>
      </c>
      <c r="D2584" s="35" t="s">
        <v>770</v>
      </c>
      <c r="E2584" s="35" t="s">
        <v>782</v>
      </c>
    </row>
    <row r="2585" spans="1:8">
      <c r="A2585" s="34">
        <v>2084283145</v>
      </c>
      <c r="B2585" s="35" t="s">
        <v>462</v>
      </c>
      <c r="C2585" s="35" t="s">
        <v>405</v>
      </c>
      <c r="D2585" s="35" t="s">
        <v>770</v>
      </c>
      <c r="E2585" s="35" t="s">
        <v>783</v>
      </c>
    </row>
    <row r="2586" spans="1:8">
      <c r="A2586" s="34">
        <v>2084229928</v>
      </c>
      <c r="B2586" s="35" t="s">
        <v>462</v>
      </c>
      <c r="C2586" s="35" t="s">
        <v>405</v>
      </c>
      <c r="D2586" s="35" t="s">
        <v>770</v>
      </c>
      <c r="E2586" s="35" t="s">
        <v>784</v>
      </c>
    </row>
    <row r="2587" spans="1:8">
      <c r="A2587" s="34">
        <v>2084301262</v>
      </c>
      <c r="B2587" s="35" t="s">
        <v>462</v>
      </c>
      <c r="C2587" s="35" t="s">
        <v>405</v>
      </c>
      <c r="D2587" s="35" t="s">
        <v>770</v>
      </c>
      <c r="E2587" s="35" t="s">
        <v>785</v>
      </c>
    </row>
    <row r="2588" spans="1:8">
      <c r="A2588" s="34">
        <v>2084309031</v>
      </c>
      <c r="B2588" s="35" t="s">
        <v>462</v>
      </c>
      <c r="C2588" s="35" t="s">
        <v>405</v>
      </c>
      <c r="D2588" s="35" t="s">
        <v>770</v>
      </c>
      <c r="E2588" s="35" t="s">
        <v>786</v>
      </c>
      <c r="F2588" s="35" t="s">
        <v>407</v>
      </c>
    </row>
    <row r="2589" spans="1:8">
      <c r="A2589" s="34">
        <v>2084309030</v>
      </c>
      <c r="B2589" s="35" t="s">
        <v>462</v>
      </c>
      <c r="C2589" s="35" t="s">
        <v>405</v>
      </c>
      <c r="D2589" s="35" t="s">
        <v>770</v>
      </c>
      <c r="E2589" s="35" t="s">
        <v>786</v>
      </c>
      <c r="F2589" s="35" t="s">
        <v>408</v>
      </c>
    </row>
    <row r="2590" spans="1:8">
      <c r="A2590" s="34">
        <v>2084309894</v>
      </c>
      <c r="B2590" s="35" t="s">
        <v>462</v>
      </c>
      <c r="C2590" s="35" t="s">
        <v>405</v>
      </c>
      <c r="D2590" s="35" t="s">
        <v>770</v>
      </c>
      <c r="E2590" s="35" t="s">
        <v>787</v>
      </c>
      <c r="F2590" s="35" t="s">
        <v>611</v>
      </c>
      <c r="G2590" s="35" t="s">
        <v>788</v>
      </c>
    </row>
    <row r="2591" spans="1:8">
      <c r="A2591" s="34">
        <v>2084309895</v>
      </c>
      <c r="B2591" s="35" t="s">
        <v>462</v>
      </c>
      <c r="C2591" s="35" t="s">
        <v>405</v>
      </c>
      <c r="D2591" s="35" t="s">
        <v>770</v>
      </c>
      <c r="E2591" s="35" t="s">
        <v>787</v>
      </c>
      <c r="F2591" s="35" t="s">
        <v>611</v>
      </c>
      <c r="G2591" s="35" t="s">
        <v>789</v>
      </c>
    </row>
    <row r="2592" spans="1:8">
      <c r="A2592" s="34">
        <v>2084309896</v>
      </c>
      <c r="B2592" s="35" t="s">
        <v>462</v>
      </c>
      <c r="C2592" s="35" t="s">
        <v>405</v>
      </c>
      <c r="D2592" s="35" t="s">
        <v>770</v>
      </c>
      <c r="E2592" s="35" t="s">
        <v>787</v>
      </c>
      <c r="F2592" s="35" t="s">
        <v>611</v>
      </c>
      <c r="G2592" s="35" t="s">
        <v>790</v>
      </c>
    </row>
    <row r="2593" spans="1:7">
      <c r="A2593" s="34">
        <v>2084309897</v>
      </c>
      <c r="B2593" s="35" t="s">
        <v>462</v>
      </c>
      <c r="C2593" s="35" t="s">
        <v>405</v>
      </c>
      <c r="D2593" s="35" t="s">
        <v>770</v>
      </c>
      <c r="E2593" s="35" t="s">
        <v>787</v>
      </c>
      <c r="F2593" s="35" t="s">
        <v>611</v>
      </c>
      <c r="G2593" s="35" t="s">
        <v>791</v>
      </c>
    </row>
    <row r="2594" spans="1:7">
      <c r="A2594" s="34">
        <v>2084309898</v>
      </c>
      <c r="B2594" s="35" t="s">
        <v>462</v>
      </c>
      <c r="C2594" s="35" t="s">
        <v>405</v>
      </c>
      <c r="D2594" s="35" t="s">
        <v>770</v>
      </c>
      <c r="E2594" s="35" t="s">
        <v>787</v>
      </c>
      <c r="F2594" s="35" t="s">
        <v>611</v>
      </c>
      <c r="G2594" s="35" t="s">
        <v>792</v>
      </c>
    </row>
    <row r="2595" spans="1:7">
      <c r="A2595" s="34">
        <v>2084309899</v>
      </c>
      <c r="B2595" s="35" t="s">
        <v>462</v>
      </c>
      <c r="C2595" s="35" t="s">
        <v>405</v>
      </c>
      <c r="D2595" s="35" t="s">
        <v>770</v>
      </c>
      <c r="E2595" s="35" t="s">
        <v>787</v>
      </c>
      <c r="F2595" s="35" t="s">
        <v>611</v>
      </c>
      <c r="G2595" s="35" t="s">
        <v>793</v>
      </c>
    </row>
    <row r="2596" spans="1:7">
      <c r="A2596" s="34">
        <v>2084309900</v>
      </c>
      <c r="B2596" s="35" t="s">
        <v>462</v>
      </c>
      <c r="C2596" s="35" t="s">
        <v>405</v>
      </c>
      <c r="D2596" s="35" t="s">
        <v>770</v>
      </c>
      <c r="E2596" s="35" t="s">
        <v>787</v>
      </c>
      <c r="F2596" s="35" t="s">
        <v>611</v>
      </c>
      <c r="G2596" s="35" t="s">
        <v>794</v>
      </c>
    </row>
    <row r="2597" spans="1:7">
      <c r="A2597" s="34">
        <v>2084061380</v>
      </c>
      <c r="B2597" s="35" t="s">
        <v>462</v>
      </c>
      <c r="C2597" s="35" t="s">
        <v>405</v>
      </c>
      <c r="D2597" s="35" t="s">
        <v>770</v>
      </c>
      <c r="E2597" s="35" t="s">
        <v>787</v>
      </c>
      <c r="F2597" s="35" t="s">
        <v>335</v>
      </c>
    </row>
    <row r="2598" spans="1:7">
      <c r="A2598" s="34">
        <v>2084054242</v>
      </c>
      <c r="B2598" s="35" t="s">
        <v>462</v>
      </c>
      <c r="C2598" s="35" t="s">
        <v>405</v>
      </c>
      <c r="D2598" s="35" t="s">
        <v>795</v>
      </c>
      <c r="E2598" s="35" t="s">
        <v>796</v>
      </c>
      <c r="F2598" s="35" t="s">
        <v>335</v>
      </c>
    </row>
    <row r="2599" spans="1:7">
      <c r="A2599" s="34">
        <v>2084054227</v>
      </c>
      <c r="B2599" s="35" t="s">
        <v>462</v>
      </c>
      <c r="C2599" s="35" t="s">
        <v>405</v>
      </c>
      <c r="D2599" s="35" t="s">
        <v>795</v>
      </c>
      <c r="E2599" s="35" t="s">
        <v>796</v>
      </c>
      <c r="F2599" s="35" t="s">
        <v>367</v>
      </c>
    </row>
    <row r="2600" spans="1:7">
      <c r="A2600" s="34">
        <v>2084054229</v>
      </c>
      <c r="B2600" s="35" t="s">
        <v>462</v>
      </c>
      <c r="C2600" s="35" t="s">
        <v>405</v>
      </c>
      <c r="D2600" s="35" t="s">
        <v>795</v>
      </c>
      <c r="E2600" s="35" t="s">
        <v>796</v>
      </c>
      <c r="F2600" s="35" t="s">
        <v>368</v>
      </c>
      <c r="G2600" s="35" t="s">
        <v>481</v>
      </c>
    </row>
    <row r="2601" spans="1:7">
      <c r="A2601" s="34">
        <v>2084054230</v>
      </c>
      <c r="B2601" s="35" t="s">
        <v>462</v>
      </c>
      <c r="C2601" s="35" t="s">
        <v>405</v>
      </c>
      <c r="D2601" s="35" t="s">
        <v>795</v>
      </c>
      <c r="E2601" s="35" t="s">
        <v>796</v>
      </c>
      <c r="F2601" s="35" t="s">
        <v>368</v>
      </c>
      <c r="G2601" s="35" t="s">
        <v>335</v>
      </c>
    </row>
    <row r="2602" spans="1:7">
      <c r="A2602" s="34">
        <v>2084054237</v>
      </c>
      <c r="B2602" s="35" t="s">
        <v>462</v>
      </c>
      <c r="C2602" s="35" t="s">
        <v>405</v>
      </c>
      <c r="D2602" s="35" t="s">
        <v>795</v>
      </c>
      <c r="E2602" s="35" t="s">
        <v>796</v>
      </c>
      <c r="F2602" s="35" t="s">
        <v>10</v>
      </c>
      <c r="G2602" s="35" t="s">
        <v>483</v>
      </c>
    </row>
    <row r="2603" spans="1:7">
      <c r="A2603" s="34">
        <v>2084054236</v>
      </c>
      <c r="B2603" s="35" t="s">
        <v>462</v>
      </c>
      <c r="C2603" s="35" t="s">
        <v>405</v>
      </c>
      <c r="D2603" s="35" t="s">
        <v>795</v>
      </c>
      <c r="E2603" s="35" t="s">
        <v>796</v>
      </c>
      <c r="F2603" s="35" t="s">
        <v>10</v>
      </c>
      <c r="G2603" s="35" t="s">
        <v>510</v>
      </c>
    </row>
    <row r="2604" spans="1:7">
      <c r="A2604" s="34">
        <v>2084054235</v>
      </c>
      <c r="B2604" s="35" t="s">
        <v>462</v>
      </c>
      <c r="C2604" s="35" t="s">
        <v>405</v>
      </c>
      <c r="D2604" s="35" t="s">
        <v>795</v>
      </c>
      <c r="E2604" s="35" t="s">
        <v>796</v>
      </c>
      <c r="F2604" s="35" t="s">
        <v>10</v>
      </c>
      <c r="G2604" s="35" t="s">
        <v>397</v>
      </c>
    </row>
    <row r="2605" spans="1:7">
      <c r="A2605" s="34">
        <v>2084054234</v>
      </c>
      <c r="B2605" s="35" t="s">
        <v>462</v>
      </c>
      <c r="C2605" s="35" t="s">
        <v>405</v>
      </c>
      <c r="D2605" s="35" t="s">
        <v>795</v>
      </c>
      <c r="E2605" s="35" t="s">
        <v>796</v>
      </c>
      <c r="F2605" s="35" t="s">
        <v>10</v>
      </c>
      <c r="G2605" s="35" t="s">
        <v>421</v>
      </c>
    </row>
    <row r="2606" spans="1:7">
      <c r="A2606" s="34">
        <v>2084054233</v>
      </c>
      <c r="B2606" s="35" t="s">
        <v>462</v>
      </c>
      <c r="C2606" s="35" t="s">
        <v>405</v>
      </c>
      <c r="D2606" s="35" t="s">
        <v>795</v>
      </c>
      <c r="E2606" s="35" t="s">
        <v>796</v>
      </c>
      <c r="F2606" s="35" t="s">
        <v>10</v>
      </c>
      <c r="G2606" s="35" t="s">
        <v>398</v>
      </c>
    </row>
    <row r="2607" spans="1:7">
      <c r="A2607" s="34">
        <v>2084054232</v>
      </c>
      <c r="B2607" s="35" t="s">
        <v>462</v>
      </c>
      <c r="C2607" s="35" t="s">
        <v>405</v>
      </c>
      <c r="D2607" s="35" t="s">
        <v>795</v>
      </c>
      <c r="E2607" s="35" t="s">
        <v>796</v>
      </c>
      <c r="F2607" s="35" t="s">
        <v>10</v>
      </c>
      <c r="G2607" s="35" t="s">
        <v>422</v>
      </c>
    </row>
    <row r="2608" spans="1:7">
      <c r="A2608" s="34">
        <v>2084054238</v>
      </c>
      <c r="B2608" s="35" t="s">
        <v>462</v>
      </c>
      <c r="C2608" s="35" t="s">
        <v>405</v>
      </c>
      <c r="D2608" s="35" t="s">
        <v>795</v>
      </c>
      <c r="E2608" s="35" t="s">
        <v>796</v>
      </c>
      <c r="F2608" s="35" t="s">
        <v>10</v>
      </c>
      <c r="G2608" s="35" t="s">
        <v>335</v>
      </c>
    </row>
    <row r="2609" spans="1:7">
      <c r="A2609" s="34">
        <v>2084054240</v>
      </c>
      <c r="B2609" s="35" t="s">
        <v>462</v>
      </c>
      <c r="C2609" s="35" t="s">
        <v>405</v>
      </c>
      <c r="D2609" s="35" t="s">
        <v>795</v>
      </c>
      <c r="E2609" s="35" t="s">
        <v>796</v>
      </c>
      <c r="F2609" s="35" t="s">
        <v>379</v>
      </c>
      <c r="G2609" s="35" t="s">
        <v>476</v>
      </c>
    </row>
    <row r="2610" spans="1:7">
      <c r="A2610" s="34">
        <v>2084054241</v>
      </c>
      <c r="B2610" s="35" t="s">
        <v>462</v>
      </c>
      <c r="C2610" s="35" t="s">
        <v>405</v>
      </c>
      <c r="D2610" s="35" t="s">
        <v>795</v>
      </c>
      <c r="E2610" s="35" t="s">
        <v>796</v>
      </c>
      <c r="F2610" s="35" t="s">
        <v>379</v>
      </c>
      <c r="G2610" s="35" t="s">
        <v>335</v>
      </c>
    </row>
    <row r="2611" spans="1:7">
      <c r="A2611" s="34">
        <v>2084061453</v>
      </c>
      <c r="B2611" s="35" t="s">
        <v>462</v>
      </c>
      <c r="C2611" s="35" t="s">
        <v>405</v>
      </c>
      <c r="D2611" s="35" t="s">
        <v>795</v>
      </c>
      <c r="E2611" s="35" t="s">
        <v>796</v>
      </c>
      <c r="F2611" s="35" t="s">
        <v>478</v>
      </c>
    </row>
    <row r="2612" spans="1:7">
      <c r="A2612" s="34">
        <v>2084050210</v>
      </c>
      <c r="B2612" s="35" t="s">
        <v>462</v>
      </c>
      <c r="C2612" s="35" t="s">
        <v>405</v>
      </c>
      <c r="D2612" s="35" t="s">
        <v>795</v>
      </c>
      <c r="E2612" s="35" t="s">
        <v>797</v>
      </c>
    </row>
    <row r="2613" spans="1:7">
      <c r="A2613" s="34">
        <v>2084061464</v>
      </c>
      <c r="B2613" s="35" t="s">
        <v>462</v>
      </c>
      <c r="C2613" s="35" t="s">
        <v>405</v>
      </c>
      <c r="D2613" s="35" t="s">
        <v>795</v>
      </c>
      <c r="E2613" s="35" t="s">
        <v>798</v>
      </c>
      <c r="F2613" s="35" t="s">
        <v>367</v>
      </c>
    </row>
    <row r="2614" spans="1:7">
      <c r="A2614" s="34">
        <v>2084061466</v>
      </c>
      <c r="B2614" s="35" t="s">
        <v>462</v>
      </c>
      <c r="C2614" s="35" t="s">
        <v>405</v>
      </c>
      <c r="D2614" s="35" t="s">
        <v>795</v>
      </c>
      <c r="E2614" s="35" t="s">
        <v>798</v>
      </c>
      <c r="F2614" s="35" t="s">
        <v>368</v>
      </c>
      <c r="G2614" s="35" t="s">
        <v>481</v>
      </c>
    </row>
    <row r="2615" spans="1:7">
      <c r="A2615" s="34">
        <v>2084061467</v>
      </c>
      <c r="B2615" s="35" t="s">
        <v>462</v>
      </c>
      <c r="C2615" s="35" t="s">
        <v>405</v>
      </c>
      <c r="D2615" s="35" t="s">
        <v>795</v>
      </c>
      <c r="E2615" s="35" t="s">
        <v>798</v>
      </c>
      <c r="F2615" s="35" t="s">
        <v>368</v>
      </c>
      <c r="G2615" s="35" t="s">
        <v>335</v>
      </c>
    </row>
    <row r="2616" spans="1:7">
      <c r="A2616" s="34">
        <v>2084061473</v>
      </c>
      <c r="B2616" s="35" t="s">
        <v>462</v>
      </c>
      <c r="C2616" s="35" t="s">
        <v>405</v>
      </c>
      <c r="D2616" s="35" t="s">
        <v>795</v>
      </c>
      <c r="E2616" s="35" t="s">
        <v>798</v>
      </c>
      <c r="F2616" s="35" t="s">
        <v>10</v>
      </c>
      <c r="G2616" s="35" t="s">
        <v>483</v>
      </c>
    </row>
    <row r="2617" spans="1:7">
      <c r="A2617" s="34">
        <v>2084061470</v>
      </c>
      <c r="B2617" s="35" t="s">
        <v>462</v>
      </c>
      <c r="C2617" s="35" t="s">
        <v>405</v>
      </c>
      <c r="D2617" s="35" t="s">
        <v>795</v>
      </c>
      <c r="E2617" s="35" t="s">
        <v>798</v>
      </c>
      <c r="F2617" s="35" t="s">
        <v>10</v>
      </c>
      <c r="G2617" s="35" t="s">
        <v>397</v>
      </c>
    </row>
    <row r="2618" spans="1:7">
      <c r="A2618" s="34">
        <v>2084061472</v>
      </c>
      <c r="B2618" s="35" t="s">
        <v>462</v>
      </c>
      <c r="C2618" s="35" t="s">
        <v>405</v>
      </c>
      <c r="D2618" s="35" t="s">
        <v>795</v>
      </c>
      <c r="E2618" s="35" t="s">
        <v>798</v>
      </c>
      <c r="F2618" s="35" t="s">
        <v>10</v>
      </c>
      <c r="G2618" s="35" t="s">
        <v>421</v>
      </c>
    </row>
    <row r="2619" spans="1:7">
      <c r="A2619" s="34">
        <v>2084061469</v>
      </c>
      <c r="B2619" s="35" t="s">
        <v>462</v>
      </c>
      <c r="C2619" s="35" t="s">
        <v>405</v>
      </c>
      <c r="D2619" s="35" t="s">
        <v>795</v>
      </c>
      <c r="E2619" s="35" t="s">
        <v>798</v>
      </c>
      <c r="F2619" s="35" t="s">
        <v>10</v>
      </c>
      <c r="G2619" s="35" t="s">
        <v>398</v>
      </c>
    </row>
    <row r="2620" spans="1:7">
      <c r="A2620" s="34">
        <v>2084061471</v>
      </c>
      <c r="B2620" s="35" t="s">
        <v>462</v>
      </c>
      <c r="C2620" s="35" t="s">
        <v>405</v>
      </c>
      <c r="D2620" s="35" t="s">
        <v>795</v>
      </c>
      <c r="E2620" s="35" t="s">
        <v>798</v>
      </c>
      <c r="F2620" s="35" t="s">
        <v>10</v>
      </c>
      <c r="G2620" s="35" t="s">
        <v>422</v>
      </c>
    </row>
    <row r="2621" spans="1:7">
      <c r="A2621" s="34">
        <v>2084061474</v>
      </c>
      <c r="B2621" s="35" t="s">
        <v>462</v>
      </c>
      <c r="C2621" s="35" t="s">
        <v>405</v>
      </c>
      <c r="D2621" s="35" t="s">
        <v>795</v>
      </c>
      <c r="E2621" s="35" t="s">
        <v>798</v>
      </c>
      <c r="F2621" s="35" t="s">
        <v>10</v>
      </c>
      <c r="G2621" s="35" t="s">
        <v>335</v>
      </c>
    </row>
    <row r="2622" spans="1:7">
      <c r="A2622" s="34">
        <v>2084061476</v>
      </c>
      <c r="B2622" s="35" t="s">
        <v>462</v>
      </c>
      <c r="C2622" s="35" t="s">
        <v>405</v>
      </c>
      <c r="D2622" s="35" t="s">
        <v>795</v>
      </c>
      <c r="E2622" s="35" t="s">
        <v>798</v>
      </c>
      <c r="F2622" s="35" t="s">
        <v>379</v>
      </c>
      <c r="G2622" s="35" t="s">
        <v>476</v>
      </c>
    </row>
    <row r="2623" spans="1:7">
      <c r="A2623" s="34">
        <v>2084061477</v>
      </c>
      <c r="B2623" s="35" t="s">
        <v>462</v>
      </c>
      <c r="C2623" s="35" t="s">
        <v>405</v>
      </c>
      <c r="D2623" s="35" t="s">
        <v>795</v>
      </c>
      <c r="E2623" s="35" t="s">
        <v>798</v>
      </c>
      <c r="F2623" s="35" t="s">
        <v>379</v>
      </c>
      <c r="G2623" s="35" t="s">
        <v>335</v>
      </c>
    </row>
    <row r="2624" spans="1:7">
      <c r="A2624" s="34">
        <v>2084061478</v>
      </c>
      <c r="B2624" s="35" t="s">
        <v>462</v>
      </c>
      <c r="C2624" s="35" t="s">
        <v>405</v>
      </c>
      <c r="D2624" s="35" t="s">
        <v>795</v>
      </c>
      <c r="E2624" s="35" t="s">
        <v>798</v>
      </c>
      <c r="F2624" s="35" t="s">
        <v>478</v>
      </c>
    </row>
    <row r="2625" spans="1:8">
      <c r="A2625" s="34">
        <v>2084061479</v>
      </c>
      <c r="B2625" s="35" t="s">
        <v>462</v>
      </c>
      <c r="C2625" s="35" t="s">
        <v>405</v>
      </c>
      <c r="D2625" s="35" t="s">
        <v>795</v>
      </c>
      <c r="E2625" s="35" t="s">
        <v>798</v>
      </c>
      <c r="F2625" s="35" t="s">
        <v>335</v>
      </c>
    </row>
    <row r="2626" spans="1:8">
      <c r="A2626" s="34">
        <v>2084243061</v>
      </c>
      <c r="B2626" s="35" t="s">
        <v>462</v>
      </c>
      <c r="C2626" s="35" t="s">
        <v>405</v>
      </c>
      <c r="D2626" s="35" t="s">
        <v>795</v>
      </c>
      <c r="E2626" s="35" t="s">
        <v>799</v>
      </c>
      <c r="F2626" s="35" t="s">
        <v>401</v>
      </c>
    </row>
    <row r="2627" spans="1:8">
      <c r="A2627" s="34">
        <v>2084243062</v>
      </c>
      <c r="B2627" s="35" t="s">
        <v>462</v>
      </c>
      <c r="C2627" s="35" t="s">
        <v>405</v>
      </c>
      <c r="D2627" s="35" t="s">
        <v>795</v>
      </c>
      <c r="E2627" s="35" t="s">
        <v>799</v>
      </c>
      <c r="F2627" s="35" t="s">
        <v>402</v>
      </c>
    </row>
    <row r="2628" spans="1:8">
      <c r="A2628" s="34">
        <v>2084243063</v>
      </c>
      <c r="B2628" s="35" t="s">
        <v>462</v>
      </c>
      <c r="C2628" s="35" t="s">
        <v>405</v>
      </c>
      <c r="D2628" s="35" t="s">
        <v>795</v>
      </c>
      <c r="E2628" s="35" t="s">
        <v>799</v>
      </c>
      <c r="F2628" s="35" t="s">
        <v>403</v>
      </c>
    </row>
    <row r="2629" spans="1:8">
      <c r="A2629" s="34">
        <v>2084243064</v>
      </c>
      <c r="B2629" s="35" t="s">
        <v>462</v>
      </c>
      <c r="C2629" s="35" t="s">
        <v>405</v>
      </c>
      <c r="D2629" s="35" t="s">
        <v>795</v>
      </c>
      <c r="E2629" s="35" t="s">
        <v>799</v>
      </c>
      <c r="F2629" s="35" t="s">
        <v>335</v>
      </c>
    </row>
    <row r="2630" spans="1:8">
      <c r="A2630" s="34">
        <v>2084024261</v>
      </c>
      <c r="B2630" s="35" t="s">
        <v>462</v>
      </c>
      <c r="C2630" s="35" t="s">
        <v>405</v>
      </c>
      <c r="D2630" s="35" t="s">
        <v>795</v>
      </c>
      <c r="E2630" s="35" t="s">
        <v>800</v>
      </c>
      <c r="F2630" s="35" t="s">
        <v>587</v>
      </c>
      <c r="G2630" s="35" t="s">
        <v>335</v>
      </c>
    </row>
    <row r="2631" spans="1:8">
      <c r="A2631" s="34">
        <v>2084024260</v>
      </c>
      <c r="B2631" s="35" t="s">
        <v>462</v>
      </c>
      <c r="C2631" s="35" t="s">
        <v>405</v>
      </c>
      <c r="D2631" s="35" t="s">
        <v>795</v>
      </c>
      <c r="E2631" s="35" t="s">
        <v>800</v>
      </c>
      <c r="F2631" s="35" t="s">
        <v>587</v>
      </c>
      <c r="G2631" s="35" t="s">
        <v>801</v>
      </c>
    </row>
    <row r="2632" spans="1:8">
      <c r="A2632" s="34">
        <v>2084024258</v>
      </c>
      <c r="B2632" s="35" t="s">
        <v>462</v>
      </c>
      <c r="C2632" s="35" t="s">
        <v>405</v>
      </c>
      <c r="D2632" s="35" t="s">
        <v>795</v>
      </c>
      <c r="E2632" s="35" t="s">
        <v>800</v>
      </c>
      <c r="F2632" s="35" t="s">
        <v>587</v>
      </c>
      <c r="G2632" s="35" t="s">
        <v>802</v>
      </c>
    </row>
    <row r="2633" spans="1:8">
      <c r="A2633" s="34">
        <v>2084024259</v>
      </c>
      <c r="B2633" s="35" t="s">
        <v>462</v>
      </c>
      <c r="C2633" s="35" t="s">
        <v>405</v>
      </c>
      <c r="D2633" s="35" t="s">
        <v>795</v>
      </c>
      <c r="E2633" s="35" t="s">
        <v>800</v>
      </c>
      <c r="F2633" s="35" t="s">
        <v>587</v>
      </c>
      <c r="G2633" s="35" t="s">
        <v>803</v>
      </c>
    </row>
    <row r="2634" spans="1:8">
      <c r="A2634" s="34">
        <v>2084215037</v>
      </c>
      <c r="B2634" s="35" t="s">
        <v>462</v>
      </c>
      <c r="C2634" s="35" t="s">
        <v>405</v>
      </c>
      <c r="D2634" s="35" t="s">
        <v>795</v>
      </c>
      <c r="E2634" s="35" t="s">
        <v>800</v>
      </c>
      <c r="F2634" s="35" t="s">
        <v>611</v>
      </c>
      <c r="G2634" s="35" t="s">
        <v>390</v>
      </c>
      <c r="H2634" s="35" t="s">
        <v>804</v>
      </c>
    </row>
    <row r="2635" spans="1:8">
      <c r="A2635" s="34">
        <v>2084215040</v>
      </c>
      <c r="B2635" s="35" t="s">
        <v>462</v>
      </c>
      <c r="C2635" s="35" t="s">
        <v>405</v>
      </c>
      <c r="D2635" s="35" t="s">
        <v>795</v>
      </c>
      <c r="E2635" s="35" t="s">
        <v>800</v>
      </c>
      <c r="F2635" s="35" t="s">
        <v>611</v>
      </c>
      <c r="G2635" s="35" t="s">
        <v>390</v>
      </c>
      <c r="H2635" s="35" t="s">
        <v>805</v>
      </c>
    </row>
    <row r="2636" spans="1:8">
      <c r="A2636" s="34">
        <v>2084215036</v>
      </c>
      <c r="B2636" s="35" t="s">
        <v>462</v>
      </c>
      <c r="C2636" s="35" t="s">
        <v>405</v>
      </c>
      <c r="D2636" s="35" t="s">
        <v>795</v>
      </c>
      <c r="E2636" s="35" t="s">
        <v>800</v>
      </c>
      <c r="F2636" s="35" t="s">
        <v>611</v>
      </c>
      <c r="G2636" s="35" t="s">
        <v>390</v>
      </c>
      <c r="H2636" s="35" t="s">
        <v>806</v>
      </c>
    </row>
    <row r="2637" spans="1:8">
      <c r="A2637" s="34">
        <v>2084215039</v>
      </c>
      <c r="B2637" s="35" t="s">
        <v>462</v>
      </c>
      <c r="C2637" s="35" t="s">
        <v>405</v>
      </c>
      <c r="D2637" s="35" t="s">
        <v>795</v>
      </c>
      <c r="E2637" s="35" t="s">
        <v>800</v>
      </c>
      <c r="F2637" s="35" t="s">
        <v>611</v>
      </c>
      <c r="G2637" s="35" t="s">
        <v>390</v>
      </c>
      <c r="H2637" s="35" t="s">
        <v>807</v>
      </c>
    </row>
    <row r="2638" spans="1:8">
      <c r="A2638" s="34">
        <v>2084215038</v>
      </c>
      <c r="B2638" s="35" t="s">
        <v>462</v>
      </c>
      <c r="C2638" s="35" t="s">
        <v>405</v>
      </c>
      <c r="D2638" s="35" t="s">
        <v>795</v>
      </c>
      <c r="E2638" s="35" t="s">
        <v>800</v>
      </c>
      <c r="F2638" s="35" t="s">
        <v>611</v>
      </c>
      <c r="G2638" s="35" t="s">
        <v>390</v>
      </c>
      <c r="H2638" s="35" t="s">
        <v>808</v>
      </c>
    </row>
    <row r="2639" spans="1:8">
      <c r="A2639" s="34">
        <v>2084215041</v>
      </c>
      <c r="B2639" s="35" t="s">
        <v>462</v>
      </c>
      <c r="C2639" s="35" t="s">
        <v>405</v>
      </c>
      <c r="D2639" s="35" t="s">
        <v>795</v>
      </c>
      <c r="E2639" s="35" t="s">
        <v>800</v>
      </c>
      <c r="F2639" s="35" t="s">
        <v>611</v>
      </c>
      <c r="G2639" s="35" t="s">
        <v>390</v>
      </c>
      <c r="H2639" s="35" t="s">
        <v>335</v>
      </c>
    </row>
    <row r="2640" spans="1:8">
      <c r="A2640" s="34">
        <v>2084051570</v>
      </c>
      <c r="B2640" s="35" t="s">
        <v>462</v>
      </c>
      <c r="C2640" s="35" t="s">
        <v>405</v>
      </c>
      <c r="D2640" s="35" t="s">
        <v>795</v>
      </c>
      <c r="E2640" s="35" t="s">
        <v>800</v>
      </c>
      <c r="F2640" s="35" t="s">
        <v>611</v>
      </c>
      <c r="G2640" s="35" t="s">
        <v>408</v>
      </c>
    </row>
    <row r="2641" spans="1:8">
      <c r="A2641" s="34">
        <v>2084028236</v>
      </c>
      <c r="B2641" s="35" t="s">
        <v>462</v>
      </c>
      <c r="C2641" s="35" t="s">
        <v>405</v>
      </c>
      <c r="D2641" s="35" t="s">
        <v>795</v>
      </c>
      <c r="E2641" s="35" t="s">
        <v>800</v>
      </c>
      <c r="F2641" s="35" t="s">
        <v>390</v>
      </c>
      <c r="G2641" s="35" t="s">
        <v>367</v>
      </c>
    </row>
    <row r="2642" spans="1:8">
      <c r="A2642" s="34">
        <v>2084028788</v>
      </c>
      <c r="B2642" s="35" t="s">
        <v>462</v>
      </c>
      <c r="C2642" s="35" t="s">
        <v>405</v>
      </c>
      <c r="D2642" s="35" t="s">
        <v>795</v>
      </c>
      <c r="E2642" s="35" t="s">
        <v>800</v>
      </c>
      <c r="F2642" s="35" t="s">
        <v>390</v>
      </c>
      <c r="G2642" s="35" t="s">
        <v>368</v>
      </c>
      <c r="H2642" s="35" t="s">
        <v>508</v>
      </c>
    </row>
    <row r="2643" spans="1:8">
      <c r="A2643" s="34">
        <v>2084029321</v>
      </c>
      <c r="B2643" s="35" t="s">
        <v>462</v>
      </c>
      <c r="C2643" s="35" t="s">
        <v>405</v>
      </c>
      <c r="D2643" s="35" t="s">
        <v>795</v>
      </c>
      <c r="E2643" s="35" t="s">
        <v>800</v>
      </c>
      <c r="F2643" s="35" t="s">
        <v>390</v>
      </c>
      <c r="G2643" s="35" t="s">
        <v>368</v>
      </c>
      <c r="H2643" s="35" t="s">
        <v>481</v>
      </c>
    </row>
    <row r="2644" spans="1:8">
      <c r="A2644" s="34">
        <v>2084029872</v>
      </c>
      <c r="B2644" s="35" t="s">
        <v>462</v>
      </c>
      <c r="C2644" s="35" t="s">
        <v>405</v>
      </c>
      <c r="D2644" s="35" t="s">
        <v>795</v>
      </c>
      <c r="E2644" s="35" t="s">
        <v>800</v>
      </c>
      <c r="F2644" s="35" t="s">
        <v>390</v>
      </c>
      <c r="G2644" s="35" t="s">
        <v>368</v>
      </c>
      <c r="H2644" s="35" t="s">
        <v>494</v>
      </c>
    </row>
    <row r="2645" spans="1:8">
      <c r="A2645" s="34">
        <v>2084058829</v>
      </c>
      <c r="B2645" s="35" t="s">
        <v>462</v>
      </c>
      <c r="C2645" s="35" t="s">
        <v>405</v>
      </c>
      <c r="D2645" s="35" t="s">
        <v>795</v>
      </c>
      <c r="E2645" s="35" t="s">
        <v>800</v>
      </c>
      <c r="F2645" s="35" t="s">
        <v>390</v>
      </c>
      <c r="G2645" s="35" t="s">
        <v>368</v>
      </c>
      <c r="H2645" s="35" t="s">
        <v>335</v>
      </c>
    </row>
    <row r="2646" spans="1:8">
      <c r="A2646" s="34">
        <v>2084027337</v>
      </c>
      <c r="B2646" s="35" t="s">
        <v>462</v>
      </c>
      <c r="C2646" s="35" t="s">
        <v>405</v>
      </c>
      <c r="D2646" s="35" t="s">
        <v>795</v>
      </c>
      <c r="E2646" s="35" t="s">
        <v>800</v>
      </c>
      <c r="F2646" s="35" t="s">
        <v>390</v>
      </c>
      <c r="G2646" s="35" t="s">
        <v>10</v>
      </c>
      <c r="H2646" s="35" t="s">
        <v>509</v>
      </c>
    </row>
    <row r="2647" spans="1:8">
      <c r="A2647" s="34">
        <v>2084027830</v>
      </c>
      <c r="B2647" s="35" t="s">
        <v>462</v>
      </c>
      <c r="C2647" s="35" t="s">
        <v>405</v>
      </c>
      <c r="D2647" s="35" t="s">
        <v>795</v>
      </c>
      <c r="E2647" s="35" t="s">
        <v>800</v>
      </c>
      <c r="F2647" s="35" t="s">
        <v>390</v>
      </c>
      <c r="G2647" s="35" t="s">
        <v>10</v>
      </c>
      <c r="H2647" s="35" t="s">
        <v>510</v>
      </c>
    </row>
    <row r="2648" spans="1:8">
      <c r="A2648" s="34">
        <v>2084027862</v>
      </c>
      <c r="B2648" s="35" t="s">
        <v>462</v>
      </c>
      <c r="C2648" s="35" t="s">
        <v>405</v>
      </c>
      <c r="D2648" s="35" t="s">
        <v>795</v>
      </c>
      <c r="E2648" s="35" t="s">
        <v>800</v>
      </c>
      <c r="F2648" s="35" t="s">
        <v>390</v>
      </c>
      <c r="G2648" s="35" t="s">
        <v>10</v>
      </c>
      <c r="H2648" s="35" t="s">
        <v>511</v>
      </c>
    </row>
    <row r="2649" spans="1:8">
      <c r="A2649" s="34">
        <v>2084027892</v>
      </c>
      <c r="B2649" s="35" t="s">
        <v>462</v>
      </c>
      <c r="C2649" s="35" t="s">
        <v>405</v>
      </c>
      <c r="D2649" s="35" t="s">
        <v>795</v>
      </c>
      <c r="E2649" s="35" t="s">
        <v>800</v>
      </c>
      <c r="F2649" s="35" t="s">
        <v>390</v>
      </c>
      <c r="G2649" s="35" t="s">
        <v>10</v>
      </c>
      <c r="H2649" s="35" t="s">
        <v>493</v>
      </c>
    </row>
    <row r="2650" spans="1:8">
      <c r="A2650" s="34">
        <v>2084027461</v>
      </c>
      <c r="B2650" s="35" t="s">
        <v>462</v>
      </c>
      <c r="C2650" s="35" t="s">
        <v>405</v>
      </c>
      <c r="D2650" s="35" t="s">
        <v>795</v>
      </c>
      <c r="E2650" s="35" t="s">
        <v>800</v>
      </c>
      <c r="F2650" s="35" t="s">
        <v>390</v>
      </c>
      <c r="G2650" s="35" t="s">
        <v>10</v>
      </c>
      <c r="H2650" s="35" t="s">
        <v>512</v>
      </c>
    </row>
    <row r="2651" spans="1:8">
      <c r="A2651" s="34">
        <v>2084027628</v>
      </c>
      <c r="B2651" s="35" t="s">
        <v>462</v>
      </c>
      <c r="C2651" s="35" t="s">
        <v>405</v>
      </c>
      <c r="D2651" s="35" t="s">
        <v>795</v>
      </c>
      <c r="E2651" s="35" t="s">
        <v>800</v>
      </c>
      <c r="F2651" s="35" t="s">
        <v>390</v>
      </c>
      <c r="G2651" s="35" t="s">
        <v>10</v>
      </c>
      <c r="H2651" s="35" t="s">
        <v>513</v>
      </c>
    </row>
    <row r="2652" spans="1:8">
      <c r="A2652" s="34">
        <v>2084027972</v>
      </c>
      <c r="B2652" s="35" t="s">
        <v>462</v>
      </c>
      <c r="C2652" s="35" t="s">
        <v>405</v>
      </c>
      <c r="D2652" s="35" t="s">
        <v>795</v>
      </c>
      <c r="E2652" s="35" t="s">
        <v>800</v>
      </c>
      <c r="F2652" s="35" t="s">
        <v>390</v>
      </c>
      <c r="G2652" s="35" t="s">
        <v>10</v>
      </c>
      <c r="H2652" s="35" t="s">
        <v>420</v>
      </c>
    </row>
    <row r="2653" spans="1:8">
      <c r="A2653" s="34">
        <v>2084027250</v>
      </c>
      <c r="B2653" s="35" t="s">
        <v>462</v>
      </c>
      <c r="C2653" s="35" t="s">
        <v>405</v>
      </c>
      <c r="D2653" s="35" t="s">
        <v>795</v>
      </c>
      <c r="E2653" s="35" t="s">
        <v>800</v>
      </c>
      <c r="F2653" s="35" t="s">
        <v>390</v>
      </c>
      <c r="G2653" s="35" t="s">
        <v>10</v>
      </c>
      <c r="H2653" s="35" t="s">
        <v>514</v>
      </c>
    </row>
    <row r="2654" spans="1:8">
      <c r="A2654" s="34">
        <v>2084027426</v>
      </c>
      <c r="B2654" s="35" t="s">
        <v>462</v>
      </c>
      <c r="C2654" s="35" t="s">
        <v>405</v>
      </c>
      <c r="D2654" s="35" t="s">
        <v>795</v>
      </c>
      <c r="E2654" s="35" t="s">
        <v>800</v>
      </c>
      <c r="F2654" s="35" t="s">
        <v>390</v>
      </c>
      <c r="G2654" s="35" t="s">
        <v>10</v>
      </c>
      <c r="H2654" s="35" t="s">
        <v>515</v>
      </c>
    </row>
    <row r="2655" spans="1:8">
      <c r="A2655" s="34">
        <v>2084027495</v>
      </c>
      <c r="B2655" s="35" t="s">
        <v>462</v>
      </c>
      <c r="C2655" s="35" t="s">
        <v>405</v>
      </c>
      <c r="D2655" s="35" t="s">
        <v>795</v>
      </c>
      <c r="E2655" s="35" t="s">
        <v>800</v>
      </c>
      <c r="F2655" s="35" t="s">
        <v>390</v>
      </c>
      <c r="G2655" s="35" t="s">
        <v>10</v>
      </c>
      <c r="H2655" s="35" t="s">
        <v>421</v>
      </c>
    </row>
    <row r="2656" spans="1:8">
      <c r="A2656" s="34">
        <v>2084027706</v>
      </c>
      <c r="B2656" s="35" t="s">
        <v>462</v>
      </c>
      <c r="C2656" s="35" t="s">
        <v>405</v>
      </c>
      <c r="D2656" s="35" t="s">
        <v>795</v>
      </c>
      <c r="E2656" s="35" t="s">
        <v>800</v>
      </c>
      <c r="F2656" s="35" t="s">
        <v>390</v>
      </c>
      <c r="G2656" s="35" t="s">
        <v>10</v>
      </c>
      <c r="H2656" s="35" t="s">
        <v>516</v>
      </c>
    </row>
    <row r="2657" spans="1:8">
      <c r="A2657" s="34">
        <v>2084027223</v>
      </c>
      <c r="B2657" s="35" t="s">
        <v>462</v>
      </c>
      <c r="C2657" s="35" t="s">
        <v>405</v>
      </c>
      <c r="D2657" s="35" t="s">
        <v>795</v>
      </c>
      <c r="E2657" s="35" t="s">
        <v>800</v>
      </c>
      <c r="F2657" s="35" t="s">
        <v>390</v>
      </c>
      <c r="G2657" s="35" t="s">
        <v>10</v>
      </c>
      <c r="H2657" s="35" t="s">
        <v>517</v>
      </c>
    </row>
    <row r="2658" spans="1:8">
      <c r="A2658" s="34">
        <v>2084027361</v>
      </c>
      <c r="B2658" s="35" t="s">
        <v>462</v>
      </c>
      <c r="C2658" s="35" t="s">
        <v>405</v>
      </c>
      <c r="D2658" s="35" t="s">
        <v>795</v>
      </c>
      <c r="E2658" s="35" t="s">
        <v>800</v>
      </c>
      <c r="F2658" s="35" t="s">
        <v>390</v>
      </c>
      <c r="G2658" s="35" t="s">
        <v>10</v>
      </c>
      <c r="H2658" s="35" t="s">
        <v>518</v>
      </c>
    </row>
    <row r="2659" spans="1:8">
      <c r="A2659" s="34">
        <v>2084027572</v>
      </c>
      <c r="B2659" s="35" t="s">
        <v>462</v>
      </c>
      <c r="C2659" s="35" t="s">
        <v>405</v>
      </c>
      <c r="D2659" s="35" t="s">
        <v>795</v>
      </c>
      <c r="E2659" s="35" t="s">
        <v>800</v>
      </c>
      <c r="F2659" s="35" t="s">
        <v>390</v>
      </c>
      <c r="G2659" s="35" t="s">
        <v>10</v>
      </c>
      <c r="H2659" s="35" t="s">
        <v>422</v>
      </c>
    </row>
    <row r="2660" spans="1:8">
      <c r="A2660" s="34">
        <v>2084027756</v>
      </c>
      <c r="B2660" s="35" t="s">
        <v>462</v>
      </c>
      <c r="C2660" s="35" t="s">
        <v>405</v>
      </c>
      <c r="D2660" s="35" t="s">
        <v>795</v>
      </c>
      <c r="E2660" s="35" t="s">
        <v>800</v>
      </c>
      <c r="F2660" s="35" t="s">
        <v>390</v>
      </c>
      <c r="G2660" s="35" t="s">
        <v>10</v>
      </c>
      <c r="H2660" s="35" t="s">
        <v>519</v>
      </c>
    </row>
    <row r="2661" spans="1:8">
      <c r="A2661" s="34">
        <v>2084058831</v>
      </c>
      <c r="B2661" s="35" t="s">
        <v>462</v>
      </c>
      <c r="C2661" s="35" t="s">
        <v>405</v>
      </c>
      <c r="D2661" s="35" t="s">
        <v>795</v>
      </c>
      <c r="E2661" s="35" t="s">
        <v>800</v>
      </c>
      <c r="F2661" s="35" t="s">
        <v>390</v>
      </c>
      <c r="G2661" s="35" t="s">
        <v>10</v>
      </c>
      <c r="H2661" s="35" t="s">
        <v>335</v>
      </c>
    </row>
    <row r="2662" spans="1:8">
      <c r="A2662" s="34">
        <v>2084028032</v>
      </c>
      <c r="B2662" s="35" t="s">
        <v>462</v>
      </c>
      <c r="C2662" s="35" t="s">
        <v>405</v>
      </c>
      <c r="D2662" s="35" t="s">
        <v>795</v>
      </c>
      <c r="E2662" s="35" t="s">
        <v>800</v>
      </c>
      <c r="F2662" s="35" t="s">
        <v>390</v>
      </c>
      <c r="G2662" s="35" t="s">
        <v>379</v>
      </c>
      <c r="H2662" s="35" t="s">
        <v>520</v>
      </c>
    </row>
    <row r="2663" spans="1:8">
      <c r="A2663" s="34">
        <v>2084028067</v>
      </c>
      <c r="B2663" s="35" t="s">
        <v>462</v>
      </c>
      <c r="C2663" s="35" t="s">
        <v>405</v>
      </c>
      <c r="D2663" s="35" t="s">
        <v>795</v>
      </c>
      <c r="E2663" s="35" t="s">
        <v>800</v>
      </c>
      <c r="F2663" s="35" t="s">
        <v>390</v>
      </c>
      <c r="G2663" s="35" t="s">
        <v>379</v>
      </c>
      <c r="H2663" s="35" t="s">
        <v>521</v>
      </c>
    </row>
    <row r="2664" spans="1:8">
      <c r="A2664" s="34">
        <v>2084028167</v>
      </c>
      <c r="B2664" s="35" t="s">
        <v>462</v>
      </c>
      <c r="C2664" s="35" t="s">
        <v>405</v>
      </c>
      <c r="D2664" s="35" t="s">
        <v>795</v>
      </c>
      <c r="E2664" s="35" t="s">
        <v>800</v>
      </c>
      <c r="F2664" s="35" t="s">
        <v>390</v>
      </c>
      <c r="G2664" s="35" t="s">
        <v>379</v>
      </c>
      <c r="H2664" s="35" t="s">
        <v>522</v>
      </c>
    </row>
    <row r="2665" spans="1:8">
      <c r="A2665" s="34">
        <v>2084028407</v>
      </c>
      <c r="B2665" s="35" t="s">
        <v>462</v>
      </c>
      <c r="C2665" s="35" t="s">
        <v>405</v>
      </c>
      <c r="D2665" s="35" t="s">
        <v>795</v>
      </c>
      <c r="E2665" s="35" t="s">
        <v>800</v>
      </c>
      <c r="F2665" s="35" t="s">
        <v>390</v>
      </c>
      <c r="G2665" s="35" t="s">
        <v>379</v>
      </c>
      <c r="H2665" s="35" t="s">
        <v>523</v>
      </c>
    </row>
    <row r="2666" spans="1:8">
      <c r="A2666" s="34">
        <v>2084028106</v>
      </c>
      <c r="B2666" s="35" t="s">
        <v>462</v>
      </c>
      <c r="C2666" s="35" t="s">
        <v>405</v>
      </c>
      <c r="D2666" s="35" t="s">
        <v>795</v>
      </c>
      <c r="E2666" s="35" t="s">
        <v>800</v>
      </c>
      <c r="F2666" s="35" t="s">
        <v>390</v>
      </c>
      <c r="G2666" s="35" t="s">
        <v>379</v>
      </c>
      <c r="H2666" s="35" t="s">
        <v>524</v>
      </c>
    </row>
    <row r="2667" spans="1:8">
      <c r="A2667" s="34">
        <v>2084028272</v>
      </c>
      <c r="B2667" s="35" t="s">
        <v>462</v>
      </c>
      <c r="C2667" s="35" t="s">
        <v>405</v>
      </c>
      <c r="D2667" s="35" t="s">
        <v>795</v>
      </c>
      <c r="E2667" s="35" t="s">
        <v>800</v>
      </c>
      <c r="F2667" s="35" t="s">
        <v>390</v>
      </c>
      <c r="G2667" s="35" t="s">
        <v>379</v>
      </c>
      <c r="H2667" s="35" t="s">
        <v>525</v>
      </c>
    </row>
    <row r="2668" spans="1:8">
      <c r="A2668" s="34">
        <v>2084028474</v>
      </c>
      <c r="B2668" s="35" t="s">
        <v>462</v>
      </c>
      <c r="C2668" s="35" t="s">
        <v>405</v>
      </c>
      <c r="D2668" s="35" t="s">
        <v>795</v>
      </c>
      <c r="E2668" s="35" t="s">
        <v>800</v>
      </c>
      <c r="F2668" s="35" t="s">
        <v>390</v>
      </c>
      <c r="G2668" s="35" t="s">
        <v>379</v>
      </c>
      <c r="H2668" s="35" t="s">
        <v>526</v>
      </c>
    </row>
    <row r="2669" spans="1:8">
      <c r="A2669" s="34">
        <v>2084028297</v>
      </c>
      <c r="B2669" s="35" t="s">
        <v>462</v>
      </c>
      <c r="C2669" s="35" t="s">
        <v>405</v>
      </c>
      <c r="D2669" s="35" t="s">
        <v>795</v>
      </c>
      <c r="E2669" s="35" t="s">
        <v>800</v>
      </c>
      <c r="F2669" s="35" t="s">
        <v>390</v>
      </c>
      <c r="G2669" s="35" t="s">
        <v>379</v>
      </c>
      <c r="H2669" s="35" t="s">
        <v>527</v>
      </c>
    </row>
    <row r="2670" spans="1:8">
      <c r="A2670" s="34">
        <v>2084028509</v>
      </c>
      <c r="B2670" s="35" t="s">
        <v>462</v>
      </c>
      <c r="C2670" s="35" t="s">
        <v>405</v>
      </c>
      <c r="D2670" s="35" t="s">
        <v>795</v>
      </c>
      <c r="E2670" s="35" t="s">
        <v>800</v>
      </c>
      <c r="F2670" s="35" t="s">
        <v>390</v>
      </c>
      <c r="G2670" s="35" t="s">
        <v>379</v>
      </c>
      <c r="H2670" s="35" t="s">
        <v>528</v>
      </c>
    </row>
    <row r="2671" spans="1:8">
      <c r="A2671" s="34">
        <v>2084028385</v>
      </c>
      <c r="B2671" s="35" t="s">
        <v>462</v>
      </c>
      <c r="C2671" s="35" t="s">
        <v>405</v>
      </c>
      <c r="D2671" s="35" t="s">
        <v>795</v>
      </c>
      <c r="E2671" s="35" t="s">
        <v>800</v>
      </c>
      <c r="F2671" s="35" t="s">
        <v>390</v>
      </c>
      <c r="G2671" s="35" t="s">
        <v>379</v>
      </c>
      <c r="H2671" s="35" t="s">
        <v>529</v>
      </c>
    </row>
    <row r="2672" spans="1:8">
      <c r="A2672" s="34">
        <v>2084058833</v>
      </c>
      <c r="B2672" s="35" t="s">
        <v>462</v>
      </c>
      <c r="C2672" s="35" t="s">
        <v>405</v>
      </c>
      <c r="D2672" s="35" t="s">
        <v>795</v>
      </c>
      <c r="E2672" s="35" t="s">
        <v>800</v>
      </c>
      <c r="F2672" s="35" t="s">
        <v>390</v>
      </c>
      <c r="G2672" s="35" t="s">
        <v>379</v>
      </c>
      <c r="H2672" s="35" t="s">
        <v>335</v>
      </c>
    </row>
    <row r="2673" spans="1:8">
      <c r="A2673" s="34">
        <v>2084028549</v>
      </c>
      <c r="B2673" s="35" t="s">
        <v>462</v>
      </c>
      <c r="C2673" s="35" t="s">
        <v>405</v>
      </c>
      <c r="D2673" s="35" t="s">
        <v>795</v>
      </c>
      <c r="E2673" s="35" t="s">
        <v>800</v>
      </c>
      <c r="F2673" s="35" t="s">
        <v>390</v>
      </c>
      <c r="G2673" s="35" t="s">
        <v>530</v>
      </c>
      <c r="H2673" s="35" t="s">
        <v>531</v>
      </c>
    </row>
    <row r="2674" spans="1:8">
      <c r="A2674" s="34">
        <v>2084028624</v>
      </c>
      <c r="B2674" s="35" t="s">
        <v>462</v>
      </c>
      <c r="C2674" s="35" t="s">
        <v>405</v>
      </c>
      <c r="D2674" s="35" t="s">
        <v>795</v>
      </c>
      <c r="E2674" s="35" t="s">
        <v>800</v>
      </c>
      <c r="F2674" s="35" t="s">
        <v>390</v>
      </c>
      <c r="G2674" s="35" t="s">
        <v>530</v>
      </c>
      <c r="H2674" s="35" t="s">
        <v>532</v>
      </c>
    </row>
    <row r="2675" spans="1:8">
      <c r="A2675" s="34">
        <v>2084058835</v>
      </c>
      <c r="B2675" s="35" t="s">
        <v>462</v>
      </c>
      <c r="C2675" s="35" t="s">
        <v>405</v>
      </c>
      <c r="D2675" s="35" t="s">
        <v>795</v>
      </c>
      <c r="E2675" s="35" t="s">
        <v>800</v>
      </c>
      <c r="F2675" s="35" t="s">
        <v>390</v>
      </c>
      <c r="G2675" s="35" t="s">
        <v>530</v>
      </c>
      <c r="H2675" s="35" t="s">
        <v>335</v>
      </c>
    </row>
    <row r="2676" spans="1:8">
      <c r="A2676" s="34">
        <v>2084030135</v>
      </c>
      <c r="B2676" s="35" t="s">
        <v>462</v>
      </c>
      <c r="C2676" s="35" t="s">
        <v>405</v>
      </c>
      <c r="D2676" s="35" t="s">
        <v>795</v>
      </c>
      <c r="E2676" s="35" t="s">
        <v>800</v>
      </c>
      <c r="F2676" s="35" t="s">
        <v>390</v>
      </c>
      <c r="G2676" s="35" t="s">
        <v>533</v>
      </c>
      <c r="H2676" s="35" t="s">
        <v>534</v>
      </c>
    </row>
    <row r="2677" spans="1:8">
      <c r="A2677" s="34">
        <v>2084030169</v>
      </c>
      <c r="B2677" s="35" t="s">
        <v>462</v>
      </c>
      <c r="C2677" s="35" t="s">
        <v>405</v>
      </c>
      <c r="D2677" s="35" t="s">
        <v>795</v>
      </c>
      <c r="E2677" s="35" t="s">
        <v>800</v>
      </c>
      <c r="F2677" s="35" t="s">
        <v>390</v>
      </c>
      <c r="G2677" s="35" t="s">
        <v>533</v>
      </c>
      <c r="H2677" s="35" t="s">
        <v>535</v>
      </c>
    </row>
    <row r="2678" spans="1:8">
      <c r="A2678" s="34">
        <v>2084027156</v>
      </c>
      <c r="B2678" s="35" t="s">
        <v>462</v>
      </c>
      <c r="C2678" s="35" t="s">
        <v>405</v>
      </c>
      <c r="D2678" s="35" t="s">
        <v>795</v>
      </c>
      <c r="E2678" s="35" t="s">
        <v>800</v>
      </c>
      <c r="F2678" s="35" t="s">
        <v>390</v>
      </c>
      <c r="G2678" s="35" t="s">
        <v>533</v>
      </c>
      <c r="H2678" s="35" t="s">
        <v>536</v>
      </c>
    </row>
    <row r="2679" spans="1:8">
      <c r="A2679" s="34">
        <v>2084058837</v>
      </c>
      <c r="B2679" s="35" t="s">
        <v>462</v>
      </c>
      <c r="C2679" s="35" t="s">
        <v>405</v>
      </c>
      <c r="D2679" s="35" t="s">
        <v>795</v>
      </c>
      <c r="E2679" s="35" t="s">
        <v>800</v>
      </c>
      <c r="F2679" s="35" t="s">
        <v>390</v>
      </c>
      <c r="G2679" s="35" t="s">
        <v>533</v>
      </c>
      <c r="H2679" s="35" t="s">
        <v>335</v>
      </c>
    </row>
    <row r="2680" spans="1:8">
      <c r="A2680" s="34">
        <v>2084051573</v>
      </c>
      <c r="B2680" s="35" t="s">
        <v>462</v>
      </c>
      <c r="C2680" s="35" t="s">
        <v>405</v>
      </c>
      <c r="D2680" s="35" t="s">
        <v>795</v>
      </c>
      <c r="E2680" s="35" t="s">
        <v>800</v>
      </c>
      <c r="F2680" s="35" t="s">
        <v>390</v>
      </c>
      <c r="G2680" s="35" t="s">
        <v>335</v>
      </c>
    </row>
    <row r="2681" spans="1:8">
      <c r="A2681" s="34">
        <v>2084052894</v>
      </c>
      <c r="B2681" s="35" t="s">
        <v>462</v>
      </c>
      <c r="C2681" s="35" t="s">
        <v>405</v>
      </c>
      <c r="D2681" s="35" t="s">
        <v>795</v>
      </c>
      <c r="E2681" s="35" t="s">
        <v>800</v>
      </c>
      <c r="F2681" s="35" t="s">
        <v>353</v>
      </c>
      <c r="G2681" s="35" t="s">
        <v>367</v>
      </c>
    </row>
    <row r="2682" spans="1:8">
      <c r="A2682" s="34">
        <v>2084030714</v>
      </c>
      <c r="B2682" s="35" t="s">
        <v>462</v>
      </c>
      <c r="C2682" s="35" t="s">
        <v>405</v>
      </c>
      <c r="D2682" s="35" t="s">
        <v>795</v>
      </c>
      <c r="E2682" s="35" t="s">
        <v>800</v>
      </c>
      <c r="F2682" s="35" t="s">
        <v>353</v>
      </c>
      <c r="G2682" s="35" t="s">
        <v>368</v>
      </c>
      <c r="H2682" s="35" t="s">
        <v>481</v>
      </c>
    </row>
    <row r="2683" spans="1:8">
      <c r="A2683" s="34">
        <v>2084031492</v>
      </c>
      <c r="B2683" s="35" t="s">
        <v>462</v>
      </c>
      <c r="C2683" s="35" t="s">
        <v>405</v>
      </c>
      <c r="D2683" s="35" t="s">
        <v>795</v>
      </c>
      <c r="E2683" s="35" t="s">
        <v>800</v>
      </c>
      <c r="F2683" s="35" t="s">
        <v>353</v>
      </c>
      <c r="G2683" s="35" t="s">
        <v>368</v>
      </c>
      <c r="H2683" s="35" t="s">
        <v>482</v>
      </c>
    </row>
    <row r="2684" spans="1:8">
      <c r="A2684" s="34">
        <v>2084051563</v>
      </c>
      <c r="B2684" s="35" t="s">
        <v>462</v>
      </c>
      <c r="C2684" s="35" t="s">
        <v>405</v>
      </c>
      <c r="D2684" s="35" t="s">
        <v>795</v>
      </c>
      <c r="E2684" s="35" t="s">
        <v>800</v>
      </c>
      <c r="F2684" s="35" t="s">
        <v>353</v>
      </c>
      <c r="G2684" s="35" t="s">
        <v>368</v>
      </c>
      <c r="H2684" s="35" t="s">
        <v>335</v>
      </c>
    </row>
    <row r="2685" spans="1:8">
      <c r="A2685" s="34">
        <v>2084031612</v>
      </c>
      <c r="B2685" s="35" t="s">
        <v>462</v>
      </c>
      <c r="C2685" s="35" t="s">
        <v>405</v>
      </c>
      <c r="D2685" s="35" t="s">
        <v>795</v>
      </c>
      <c r="E2685" s="35" t="s">
        <v>800</v>
      </c>
      <c r="F2685" s="35" t="s">
        <v>353</v>
      </c>
      <c r="G2685" s="35" t="s">
        <v>10</v>
      </c>
      <c r="H2685" s="35" t="s">
        <v>483</v>
      </c>
    </row>
    <row r="2686" spans="1:8">
      <c r="A2686" s="34">
        <v>2084030414</v>
      </c>
      <c r="B2686" s="35" t="s">
        <v>462</v>
      </c>
      <c r="C2686" s="35" t="s">
        <v>405</v>
      </c>
      <c r="D2686" s="35" t="s">
        <v>795</v>
      </c>
      <c r="E2686" s="35" t="s">
        <v>800</v>
      </c>
      <c r="F2686" s="35" t="s">
        <v>353</v>
      </c>
      <c r="G2686" s="35" t="s">
        <v>10</v>
      </c>
      <c r="H2686" s="35" t="s">
        <v>421</v>
      </c>
    </row>
    <row r="2687" spans="1:8">
      <c r="A2687" s="34">
        <v>2084030353</v>
      </c>
      <c r="B2687" s="35" t="s">
        <v>462</v>
      </c>
      <c r="C2687" s="35" t="s">
        <v>405</v>
      </c>
      <c r="D2687" s="35" t="s">
        <v>795</v>
      </c>
      <c r="E2687" s="35" t="s">
        <v>800</v>
      </c>
      <c r="F2687" s="35" t="s">
        <v>353</v>
      </c>
      <c r="G2687" s="35" t="s">
        <v>10</v>
      </c>
      <c r="H2687" s="35" t="s">
        <v>422</v>
      </c>
    </row>
    <row r="2688" spans="1:8">
      <c r="A2688" s="34">
        <v>2084051565</v>
      </c>
      <c r="B2688" s="35" t="s">
        <v>462</v>
      </c>
      <c r="C2688" s="35" t="s">
        <v>405</v>
      </c>
      <c r="D2688" s="35" t="s">
        <v>795</v>
      </c>
      <c r="E2688" s="35" t="s">
        <v>800</v>
      </c>
      <c r="F2688" s="35" t="s">
        <v>353</v>
      </c>
      <c r="G2688" s="35" t="s">
        <v>10</v>
      </c>
      <c r="H2688" s="35" t="s">
        <v>335</v>
      </c>
    </row>
    <row r="2689" spans="1:8">
      <c r="A2689" s="34">
        <v>2084051566</v>
      </c>
      <c r="B2689" s="35" t="s">
        <v>462</v>
      </c>
      <c r="C2689" s="35" t="s">
        <v>405</v>
      </c>
      <c r="D2689" s="35" t="s">
        <v>795</v>
      </c>
      <c r="E2689" s="35" t="s">
        <v>800</v>
      </c>
      <c r="F2689" s="35" t="s">
        <v>353</v>
      </c>
      <c r="G2689" s="35" t="s">
        <v>403</v>
      </c>
    </row>
    <row r="2690" spans="1:8">
      <c r="A2690" s="34">
        <v>2084051567</v>
      </c>
      <c r="B2690" s="35" t="s">
        <v>462</v>
      </c>
      <c r="C2690" s="35" t="s">
        <v>405</v>
      </c>
      <c r="D2690" s="35" t="s">
        <v>795</v>
      </c>
      <c r="E2690" s="35" t="s">
        <v>800</v>
      </c>
      <c r="F2690" s="35" t="s">
        <v>353</v>
      </c>
      <c r="G2690" s="35" t="s">
        <v>335</v>
      </c>
    </row>
    <row r="2691" spans="1:8">
      <c r="A2691" s="34">
        <v>2084025432</v>
      </c>
      <c r="B2691" s="35" t="s">
        <v>462</v>
      </c>
      <c r="C2691" s="35" t="s">
        <v>405</v>
      </c>
      <c r="D2691" s="35" t="s">
        <v>795</v>
      </c>
      <c r="E2691" s="35" t="s">
        <v>800</v>
      </c>
      <c r="F2691" s="35" t="s">
        <v>442</v>
      </c>
      <c r="G2691" s="35" t="s">
        <v>537</v>
      </c>
    </row>
    <row r="2692" spans="1:8">
      <c r="A2692" s="34">
        <v>2084031403</v>
      </c>
      <c r="B2692" s="35" t="s">
        <v>462</v>
      </c>
      <c r="C2692" s="35" t="s">
        <v>405</v>
      </c>
      <c r="D2692" s="35" t="s">
        <v>795</v>
      </c>
      <c r="E2692" s="35" t="s">
        <v>800</v>
      </c>
      <c r="F2692" s="35" t="s">
        <v>442</v>
      </c>
      <c r="G2692" s="35" t="s">
        <v>569</v>
      </c>
    </row>
    <row r="2693" spans="1:8">
      <c r="A2693" s="34">
        <v>2084062104</v>
      </c>
      <c r="B2693" s="35" t="s">
        <v>462</v>
      </c>
      <c r="C2693" s="35" t="s">
        <v>405</v>
      </c>
      <c r="D2693" s="35" t="s">
        <v>795</v>
      </c>
      <c r="E2693" s="35" t="s">
        <v>800</v>
      </c>
      <c r="F2693" s="35" t="s">
        <v>442</v>
      </c>
      <c r="G2693" s="35" t="s">
        <v>589</v>
      </c>
    </row>
    <row r="2694" spans="1:8">
      <c r="A2694" s="34">
        <v>2084025207</v>
      </c>
      <c r="B2694" s="35" t="s">
        <v>462</v>
      </c>
      <c r="C2694" s="35" t="s">
        <v>405</v>
      </c>
      <c r="D2694" s="35" t="s">
        <v>795</v>
      </c>
      <c r="E2694" s="35" t="s">
        <v>800</v>
      </c>
      <c r="F2694" s="35" t="s">
        <v>442</v>
      </c>
      <c r="G2694" s="35" t="s">
        <v>538</v>
      </c>
    </row>
    <row r="2695" spans="1:8">
      <c r="A2695" s="34">
        <v>2084025385</v>
      </c>
      <c r="B2695" s="35" t="s">
        <v>462</v>
      </c>
      <c r="C2695" s="35" t="s">
        <v>405</v>
      </c>
      <c r="D2695" s="35" t="s">
        <v>795</v>
      </c>
      <c r="E2695" s="35" t="s">
        <v>800</v>
      </c>
      <c r="F2695" s="35" t="s">
        <v>442</v>
      </c>
      <c r="G2695" s="35" t="s">
        <v>539</v>
      </c>
    </row>
    <row r="2696" spans="1:8">
      <c r="A2696" s="34">
        <v>2084051568</v>
      </c>
      <c r="B2696" s="35" t="s">
        <v>462</v>
      </c>
      <c r="C2696" s="35" t="s">
        <v>405</v>
      </c>
      <c r="D2696" s="35" t="s">
        <v>795</v>
      </c>
      <c r="E2696" s="35" t="s">
        <v>800</v>
      </c>
      <c r="F2696" s="35" t="s">
        <v>442</v>
      </c>
      <c r="G2696" s="35" t="s">
        <v>335</v>
      </c>
    </row>
    <row r="2697" spans="1:8">
      <c r="A2697" s="34">
        <v>2084048794</v>
      </c>
      <c r="B2697" s="35" t="s">
        <v>462</v>
      </c>
      <c r="C2697" s="35" t="s">
        <v>405</v>
      </c>
      <c r="D2697" s="35" t="s">
        <v>795</v>
      </c>
      <c r="E2697" s="35" t="s">
        <v>800</v>
      </c>
      <c r="F2697" s="35" t="s">
        <v>335</v>
      </c>
    </row>
    <row r="2698" spans="1:8">
      <c r="A2698" s="34">
        <v>2084055095</v>
      </c>
      <c r="B2698" s="35" t="s">
        <v>462</v>
      </c>
      <c r="C2698" s="35" t="s">
        <v>405</v>
      </c>
      <c r="D2698" s="35" t="s">
        <v>795</v>
      </c>
      <c r="E2698" s="35" t="s">
        <v>809</v>
      </c>
      <c r="F2698" s="35" t="s">
        <v>353</v>
      </c>
      <c r="G2698" s="35" t="s">
        <v>367</v>
      </c>
    </row>
    <row r="2699" spans="1:8">
      <c r="A2699" s="34">
        <v>2084055097</v>
      </c>
      <c r="B2699" s="35" t="s">
        <v>462</v>
      </c>
      <c r="C2699" s="35" t="s">
        <v>405</v>
      </c>
      <c r="D2699" s="35" t="s">
        <v>795</v>
      </c>
      <c r="E2699" s="35" t="s">
        <v>809</v>
      </c>
      <c r="F2699" s="35" t="s">
        <v>353</v>
      </c>
      <c r="G2699" s="35" t="s">
        <v>368</v>
      </c>
      <c r="H2699" s="35" t="s">
        <v>481</v>
      </c>
    </row>
    <row r="2700" spans="1:8">
      <c r="A2700" s="34">
        <v>2084055098</v>
      </c>
      <c r="B2700" s="35" t="s">
        <v>462</v>
      </c>
      <c r="C2700" s="35" t="s">
        <v>405</v>
      </c>
      <c r="D2700" s="35" t="s">
        <v>795</v>
      </c>
      <c r="E2700" s="35" t="s">
        <v>809</v>
      </c>
      <c r="F2700" s="35" t="s">
        <v>353</v>
      </c>
      <c r="G2700" s="35" t="s">
        <v>368</v>
      </c>
      <c r="H2700" s="35" t="s">
        <v>335</v>
      </c>
    </row>
    <row r="2701" spans="1:8">
      <c r="A2701" s="34">
        <v>2084055104</v>
      </c>
      <c r="B2701" s="35" t="s">
        <v>462</v>
      </c>
      <c r="C2701" s="35" t="s">
        <v>405</v>
      </c>
      <c r="D2701" s="35" t="s">
        <v>795</v>
      </c>
      <c r="E2701" s="35" t="s">
        <v>809</v>
      </c>
      <c r="F2701" s="35" t="s">
        <v>353</v>
      </c>
      <c r="G2701" s="35" t="s">
        <v>10</v>
      </c>
      <c r="H2701" s="35" t="s">
        <v>335</v>
      </c>
    </row>
    <row r="2702" spans="1:8">
      <c r="A2702" s="34">
        <v>2084055103</v>
      </c>
      <c r="B2702" s="35" t="s">
        <v>462</v>
      </c>
      <c r="C2702" s="35" t="s">
        <v>405</v>
      </c>
      <c r="D2702" s="35" t="s">
        <v>795</v>
      </c>
      <c r="E2702" s="35" t="s">
        <v>809</v>
      </c>
      <c r="F2702" s="35" t="s">
        <v>353</v>
      </c>
      <c r="G2702" s="35" t="s">
        <v>10</v>
      </c>
      <c r="H2702" s="35" t="s">
        <v>397</v>
      </c>
    </row>
    <row r="2703" spans="1:8">
      <c r="A2703" s="34">
        <v>2084055102</v>
      </c>
      <c r="B2703" s="35" t="s">
        <v>462</v>
      </c>
      <c r="C2703" s="35" t="s">
        <v>405</v>
      </c>
      <c r="D2703" s="35" t="s">
        <v>795</v>
      </c>
      <c r="E2703" s="35" t="s">
        <v>809</v>
      </c>
      <c r="F2703" s="35" t="s">
        <v>353</v>
      </c>
      <c r="G2703" s="35" t="s">
        <v>10</v>
      </c>
      <c r="H2703" s="35" t="s">
        <v>421</v>
      </c>
    </row>
    <row r="2704" spans="1:8">
      <c r="A2704" s="34">
        <v>2084055100</v>
      </c>
      <c r="B2704" s="35" t="s">
        <v>462</v>
      </c>
      <c r="C2704" s="35" t="s">
        <v>405</v>
      </c>
      <c r="D2704" s="35" t="s">
        <v>795</v>
      </c>
      <c r="E2704" s="35" t="s">
        <v>809</v>
      </c>
      <c r="F2704" s="35" t="s">
        <v>353</v>
      </c>
      <c r="G2704" s="35" t="s">
        <v>10</v>
      </c>
      <c r="H2704" s="35" t="s">
        <v>398</v>
      </c>
    </row>
    <row r="2705" spans="1:8">
      <c r="A2705" s="34">
        <v>2084055101</v>
      </c>
      <c r="B2705" s="35" t="s">
        <v>462</v>
      </c>
      <c r="C2705" s="35" t="s">
        <v>405</v>
      </c>
      <c r="D2705" s="35" t="s">
        <v>795</v>
      </c>
      <c r="E2705" s="35" t="s">
        <v>809</v>
      </c>
      <c r="F2705" s="35" t="s">
        <v>353</v>
      </c>
      <c r="G2705" s="35" t="s">
        <v>10</v>
      </c>
      <c r="H2705" s="35" t="s">
        <v>422</v>
      </c>
    </row>
    <row r="2706" spans="1:8">
      <c r="A2706" s="34">
        <v>2084055105</v>
      </c>
      <c r="B2706" s="35" t="s">
        <v>462</v>
      </c>
      <c r="C2706" s="35" t="s">
        <v>405</v>
      </c>
      <c r="D2706" s="35" t="s">
        <v>795</v>
      </c>
      <c r="E2706" s="35" t="s">
        <v>809</v>
      </c>
      <c r="F2706" s="35" t="s">
        <v>353</v>
      </c>
      <c r="G2706" s="35" t="s">
        <v>403</v>
      </c>
    </row>
    <row r="2707" spans="1:8">
      <c r="A2707" s="34">
        <v>2084055106</v>
      </c>
      <c r="B2707" s="35" t="s">
        <v>462</v>
      </c>
      <c r="C2707" s="35" t="s">
        <v>405</v>
      </c>
      <c r="D2707" s="35" t="s">
        <v>795</v>
      </c>
      <c r="E2707" s="35" t="s">
        <v>809</v>
      </c>
      <c r="F2707" s="35" t="s">
        <v>353</v>
      </c>
      <c r="G2707" s="35" t="s">
        <v>335</v>
      </c>
    </row>
    <row r="2708" spans="1:8">
      <c r="A2708" s="34">
        <v>2084055094</v>
      </c>
      <c r="B2708" s="35" t="s">
        <v>462</v>
      </c>
      <c r="C2708" s="35" t="s">
        <v>405</v>
      </c>
      <c r="D2708" s="35" t="s">
        <v>795</v>
      </c>
      <c r="E2708" s="35" t="s">
        <v>809</v>
      </c>
      <c r="F2708" s="35" t="s">
        <v>335</v>
      </c>
    </row>
    <row r="2709" spans="1:8">
      <c r="A2709" s="34">
        <v>2084028192</v>
      </c>
      <c r="B2709" s="35" t="s">
        <v>462</v>
      </c>
      <c r="C2709" s="35" t="s">
        <v>405</v>
      </c>
      <c r="D2709" s="35" t="s">
        <v>795</v>
      </c>
      <c r="E2709" s="35" t="s">
        <v>810</v>
      </c>
      <c r="F2709" s="35" t="s">
        <v>390</v>
      </c>
      <c r="G2709" s="35" t="s">
        <v>367</v>
      </c>
    </row>
    <row r="2710" spans="1:8">
      <c r="A2710" s="34">
        <v>2084029290</v>
      </c>
      <c r="B2710" s="35" t="s">
        <v>462</v>
      </c>
      <c r="C2710" s="35" t="s">
        <v>405</v>
      </c>
      <c r="D2710" s="35" t="s">
        <v>795</v>
      </c>
      <c r="E2710" s="35" t="s">
        <v>810</v>
      </c>
      <c r="F2710" s="35" t="s">
        <v>390</v>
      </c>
      <c r="G2710" s="35" t="s">
        <v>368</v>
      </c>
      <c r="H2710" s="35" t="s">
        <v>481</v>
      </c>
    </row>
    <row r="2711" spans="1:8">
      <c r="A2711" s="34">
        <v>2084028771</v>
      </c>
      <c r="B2711" s="35" t="s">
        <v>462</v>
      </c>
      <c r="C2711" s="35" t="s">
        <v>405</v>
      </c>
      <c r="D2711" s="35" t="s">
        <v>795</v>
      </c>
      <c r="E2711" s="35" t="s">
        <v>810</v>
      </c>
      <c r="F2711" s="35" t="s">
        <v>390</v>
      </c>
      <c r="G2711" s="35" t="s">
        <v>368</v>
      </c>
      <c r="H2711" s="35" t="s">
        <v>482</v>
      </c>
    </row>
    <row r="2712" spans="1:8">
      <c r="A2712" s="34">
        <v>2084029863</v>
      </c>
      <c r="B2712" s="35" t="s">
        <v>462</v>
      </c>
      <c r="C2712" s="35" t="s">
        <v>405</v>
      </c>
      <c r="D2712" s="35" t="s">
        <v>795</v>
      </c>
      <c r="E2712" s="35" t="s">
        <v>810</v>
      </c>
      <c r="F2712" s="35" t="s">
        <v>390</v>
      </c>
      <c r="G2712" s="35" t="s">
        <v>368</v>
      </c>
      <c r="H2712" s="35" t="s">
        <v>494</v>
      </c>
    </row>
    <row r="2713" spans="1:8">
      <c r="A2713" s="34">
        <v>2084246964</v>
      </c>
      <c r="B2713" s="35" t="s">
        <v>462</v>
      </c>
      <c r="C2713" s="35" t="s">
        <v>405</v>
      </c>
      <c r="D2713" s="35" t="s">
        <v>795</v>
      </c>
      <c r="E2713" s="35" t="s">
        <v>810</v>
      </c>
      <c r="F2713" s="35" t="s">
        <v>390</v>
      </c>
      <c r="G2713" s="35" t="s">
        <v>368</v>
      </c>
      <c r="H2713" s="35" t="s">
        <v>335</v>
      </c>
    </row>
    <row r="2714" spans="1:8">
      <c r="A2714" s="34">
        <v>2084027320</v>
      </c>
      <c r="B2714" s="35" t="s">
        <v>462</v>
      </c>
      <c r="C2714" s="35" t="s">
        <v>405</v>
      </c>
      <c r="D2714" s="35" t="s">
        <v>795</v>
      </c>
      <c r="E2714" s="35" t="s">
        <v>810</v>
      </c>
      <c r="F2714" s="35" t="s">
        <v>390</v>
      </c>
      <c r="G2714" s="35" t="s">
        <v>10</v>
      </c>
      <c r="H2714" s="35" t="s">
        <v>509</v>
      </c>
    </row>
    <row r="2715" spans="1:8">
      <c r="A2715" s="34">
        <v>2084027925</v>
      </c>
      <c r="B2715" s="35" t="s">
        <v>462</v>
      </c>
      <c r="C2715" s="35" t="s">
        <v>405</v>
      </c>
      <c r="D2715" s="35" t="s">
        <v>795</v>
      </c>
      <c r="E2715" s="35" t="s">
        <v>810</v>
      </c>
      <c r="F2715" s="35" t="s">
        <v>390</v>
      </c>
      <c r="G2715" s="35" t="s">
        <v>10</v>
      </c>
      <c r="H2715" s="35" t="s">
        <v>544</v>
      </c>
    </row>
    <row r="2716" spans="1:8">
      <c r="A2716" s="34">
        <v>2084027813</v>
      </c>
      <c r="B2716" s="35" t="s">
        <v>462</v>
      </c>
      <c r="C2716" s="35" t="s">
        <v>405</v>
      </c>
      <c r="D2716" s="35" t="s">
        <v>795</v>
      </c>
      <c r="E2716" s="35" t="s">
        <v>810</v>
      </c>
      <c r="F2716" s="35" t="s">
        <v>390</v>
      </c>
      <c r="G2716" s="35" t="s">
        <v>10</v>
      </c>
      <c r="H2716" s="35" t="s">
        <v>510</v>
      </c>
    </row>
    <row r="2717" spans="1:8">
      <c r="A2717" s="34">
        <v>2084027847</v>
      </c>
      <c r="B2717" s="35" t="s">
        <v>462</v>
      </c>
      <c r="C2717" s="35" t="s">
        <v>405</v>
      </c>
      <c r="D2717" s="35" t="s">
        <v>795</v>
      </c>
      <c r="E2717" s="35" t="s">
        <v>810</v>
      </c>
      <c r="F2717" s="35" t="s">
        <v>390</v>
      </c>
      <c r="G2717" s="35" t="s">
        <v>10</v>
      </c>
      <c r="H2717" s="35" t="s">
        <v>511</v>
      </c>
    </row>
    <row r="2718" spans="1:8">
      <c r="A2718" s="34">
        <v>2084027444</v>
      </c>
      <c r="B2718" s="35" t="s">
        <v>462</v>
      </c>
      <c r="C2718" s="35" t="s">
        <v>405</v>
      </c>
      <c r="D2718" s="35" t="s">
        <v>795</v>
      </c>
      <c r="E2718" s="35" t="s">
        <v>810</v>
      </c>
      <c r="F2718" s="35" t="s">
        <v>390</v>
      </c>
      <c r="G2718" s="35" t="s">
        <v>10</v>
      </c>
      <c r="H2718" s="35" t="s">
        <v>512</v>
      </c>
    </row>
    <row r="2719" spans="1:8">
      <c r="A2719" s="34">
        <v>2084027604</v>
      </c>
      <c r="B2719" s="35" t="s">
        <v>462</v>
      </c>
      <c r="C2719" s="35" t="s">
        <v>405</v>
      </c>
      <c r="D2719" s="35" t="s">
        <v>795</v>
      </c>
      <c r="E2719" s="35" t="s">
        <v>810</v>
      </c>
      <c r="F2719" s="35" t="s">
        <v>390</v>
      </c>
      <c r="G2719" s="35" t="s">
        <v>10</v>
      </c>
      <c r="H2719" s="35" t="s">
        <v>513</v>
      </c>
    </row>
    <row r="2720" spans="1:8">
      <c r="A2720" s="34">
        <v>2084027963</v>
      </c>
      <c r="B2720" s="35" t="s">
        <v>462</v>
      </c>
      <c r="C2720" s="35" t="s">
        <v>405</v>
      </c>
      <c r="D2720" s="35" t="s">
        <v>795</v>
      </c>
      <c r="E2720" s="35" t="s">
        <v>810</v>
      </c>
      <c r="F2720" s="35" t="s">
        <v>390</v>
      </c>
      <c r="G2720" s="35" t="s">
        <v>10</v>
      </c>
      <c r="H2720" s="35" t="s">
        <v>420</v>
      </c>
    </row>
    <row r="2721" spans="1:8">
      <c r="A2721" s="34">
        <v>2084027240</v>
      </c>
      <c r="B2721" s="35" t="s">
        <v>462</v>
      </c>
      <c r="C2721" s="35" t="s">
        <v>405</v>
      </c>
      <c r="D2721" s="35" t="s">
        <v>795</v>
      </c>
      <c r="E2721" s="35" t="s">
        <v>810</v>
      </c>
      <c r="F2721" s="35" t="s">
        <v>390</v>
      </c>
      <c r="G2721" s="35" t="s">
        <v>10</v>
      </c>
      <c r="H2721" s="35" t="s">
        <v>397</v>
      </c>
    </row>
    <row r="2722" spans="1:8">
      <c r="A2722" s="34">
        <v>2084027396</v>
      </c>
      <c r="B2722" s="35" t="s">
        <v>462</v>
      </c>
      <c r="C2722" s="35" t="s">
        <v>405</v>
      </c>
      <c r="D2722" s="35" t="s">
        <v>795</v>
      </c>
      <c r="E2722" s="35" t="s">
        <v>810</v>
      </c>
      <c r="F2722" s="35" t="s">
        <v>390</v>
      </c>
      <c r="G2722" s="35" t="s">
        <v>10</v>
      </c>
      <c r="H2722" s="35" t="s">
        <v>515</v>
      </c>
    </row>
    <row r="2723" spans="1:8">
      <c r="A2723" s="34">
        <v>2084027528</v>
      </c>
      <c r="B2723" s="35" t="s">
        <v>462</v>
      </c>
      <c r="C2723" s="35" t="s">
        <v>405</v>
      </c>
      <c r="D2723" s="35" t="s">
        <v>795</v>
      </c>
      <c r="E2723" s="35" t="s">
        <v>810</v>
      </c>
      <c r="F2723" s="35" t="s">
        <v>390</v>
      </c>
      <c r="G2723" s="35" t="s">
        <v>10</v>
      </c>
      <c r="H2723" s="35" t="s">
        <v>421</v>
      </c>
    </row>
    <row r="2724" spans="1:8">
      <c r="A2724" s="34">
        <v>2084027739</v>
      </c>
      <c r="B2724" s="35" t="s">
        <v>462</v>
      </c>
      <c r="C2724" s="35" t="s">
        <v>405</v>
      </c>
      <c r="D2724" s="35" t="s">
        <v>795</v>
      </c>
      <c r="E2724" s="35" t="s">
        <v>810</v>
      </c>
      <c r="F2724" s="35" t="s">
        <v>390</v>
      </c>
      <c r="G2724" s="35" t="s">
        <v>10</v>
      </c>
      <c r="H2724" s="35" t="s">
        <v>516</v>
      </c>
    </row>
    <row r="2725" spans="1:8">
      <c r="A2725" s="34">
        <v>2084027206</v>
      </c>
      <c r="B2725" s="35" t="s">
        <v>462</v>
      </c>
      <c r="C2725" s="35" t="s">
        <v>405</v>
      </c>
      <c r="D2725" s="35" t="s">
        <v>795</v>
      </c>
      <c r="E2725" s="35" t="s">
        <v>810</v>
      </c>
      <c r="F2725" s="35" t="s">
        <v>390</v>
      </c>
      <c r="G2725" s="35" t="s">
        <v>10</v>
      </c>
      <c r="H2725" s="35" t="s">
        <v>398</v>
      </c>
    </row>
    <row r="2726" spans="1:8">
      <c r="A2726" s="34">
        <v>2084027358</v>
      </c>
      <c r="B2726" s="35" t="s">
        <v>462</v>
      </c>
      <c r="C2726" s="35" t="s">
        <v>405</v>
      </c>
      <c r="D2726" s="35" t="s">
        <v>795</v>
      </c>
      <c r="E2726" s="35" t="s">
        <v>810</v>
      </c>
      <c r="F2726" s="35" t="s">
        <v>390</v>
      </c>
      <c r="G2726" s="35" t="s">
        <v>10</v>
      </c>
      <c r="H2726" s="35" t="s">
        <v>518</v>
      </c>
    </row>
    <row r="2727" spans="1:8">
      <c r="A2727" s="34">
        <v>2084027566</v>
      </c>
      <c r="B2727" s="35" t="s">
        <v>462</v>
      </c>
      <c r="C2727" s="35" t="s">
        <v>405</v>
      </c>
      <c r="D2727" s="35" t="s">
        <v>795</v>
      </c>
      <c r="E2727" s="35" t="s">
        <v>810</v>
      </c>
      <c r="F2727" s="35" t="s">
        <v>390</v>
      </c>
      <c r="G2727" s="35" t="s">
        <v>10</v>
      </c>
      <c r="H2727" s="35" t="s">
        <v>422</v>
      </c>
    </row>
    <row r="2728" spans="1:8">
      <c r="A2728" s="34">
        <v>2084027749</v>
      </c>
      <c r="B2728" s="35" t="s">
        <v>462</v>
      </c>
      <c r="C2728" s="35" t="s">
        <v>405</v>
      </c>
      <c r="D2728" s="35" t="s">
        <v>795</v>
      </c>
      <c r="E2728" s="35" t="s">
        <v>810</v>
      </c>
      <c r="F2728" s="35" t="s">
        <v>390</v>
      </c>
      <c r="G2728" s="35" t="s">
        <v>10</v>
      </c>
      <c r="H2728" s="35" t="s">
        <v>519</v>
      </c>
    </row>
    <row r="2729" spans="1:8">
      <c r="A2729" s="34">
        <v>2084246966</v>
      </c>
      <c r="B2729" s="35" t="s">
        <v>462</v>
      </c>
      <c r="C2729" s="35" t="s">
        <v>405</v>
      </c>
      <c r="D2729" s="35" t="s">
        <v>795</v>
      </c>
      <c r="E2729" s="35" t="s">
        <v>810</v>
      </c>
      <c r="F2729" s="35" t="s">
        <v>390</v>
      </c>
      <c r="G2729" s="35" t="s">
        <v>10</v>
      </c>
      <c r="H2729" s="35" t="s">
        <v>335</v>
      </c>
    </row>
    <row r="2730" spans="1:8">
      <c r="A2730" s="34">
        <v>2084028001</v>
      </c>
      <c r="B2730" s="35" t="s">
        <v>462</v>
      </c>
      <c r="C2730" s="35" t="s">
        <v>405</v>
      </c>
      <c r="D2730" s="35" t="s">
        <v>795</v>
      </c>
      <c r="E2730" s="35" t="s">
        <v>810</v>
      </c>
      <c r="F2730" s="35" t="s">
        <v>390</v>
      </c>
      <c r="G2730" s="35" t="s">
        <v>379</v>
      </c>
      <c r="H2730" s="35" t="s">
        <v>520</v>
      </c>
    </row>
    <row r="2731" spans="1:8">
      <c r="A2731" s="34">
        <v>2084028047</v>
      </c>
      <c r="B2731" s="35" t="s">
        <v>462</v>
      </c>
      <c r="C2731" s="35" t="s">
        <v>405</v>
      </c>
      <c r="D2731" s="35" t="s">
        <v>795</v>
      </c>
      <c r="E2731" s="35" t="s">
        <v>810</v>
      </c>
      <c r="F2731" s="35" t="s">
        <v>390</v>
      </c>
      <c r="G2731" s="35" t="s">
        <v>379</v>
      </c>
      <c r="H2731" s="35" t="s">
        <v>521</v>
      </c>
    </row>
    <row r="2732" spans="1:8">
      <c r="A2732" s="34">
        <v>2084028154</v>
      </c>
      <c r="B2732" s="35" t="s">
        <v>462</v>
      </c>
      <c r="C2732" s="35" t="s">
        <v>405</v>
      </c>
      <c r="D2732" s="35" t="s">
        <v>795</v>
      </c>
      <c r="E2732" s="35" t="s">
        <v>810</v>
      </c>
      <c r="F2732" s="35" t="s">
        <v>390</v>
      </c>
      <c r="G2732" s="35" t="s">
        <v>379</v>
      </c>
      <c r="H2732" s="35" t="s">
        <v>522</v>
      </c>
    </row>
    <row r="2733" spans="1:8">
      <c r="A2733" s="34">
        <v>2084028406</v>
      </c>
      <c r="B2733" s="35" t="s">
        <v>462</v>
      </c>
      <c r="C2733" s="35" t="s">
        <v>405</v>
      </c>
      <c r="D2733" s="35" t="s">
        <v>795</v>
      </c>
      <c r="E2733" s="35" t="s">
        <v>810</v>
      </c>
      <c r="F2733" s="35" t="s">
        <v>390</v>
      </c>
      <c r="G2733" s="35" t="s">
        <v>379</v>
      </c>
      <c r="H2733" s="35" t="s">
        <v>523</v>
      </c>
    </row>
    <row r="2734" spans="1:8">
      <c r="A2734" s="34">
        <v>2084028139</v>
      </c>
      <c r="B2734" s="35" t="s">
        <v>462</v>
      </c>
      <c r="C2734" s="35" t="s">
        <v>405</v>
      </c>
      <c r="D2734" s="35" t="s">
        <v>795</v>
      </c>
      <c r="E2734" s="35" t="s">
        <v>810</v>
      </c>
      <c r="F2734" s="35" t="s">
        <v>390</v>
      </c>
      <c r="G2734" s="35" t="s">
        <v>379</v>
      </c>
      <c r="H2734" s="35" t="s">
        <v>524</v>
      </c>
    </row>
    <row r="2735" spans="1:8">
      <c r="A2735" s="34">
        <v>2084028255</v>
      </c>
      <c r="B2735" s="35" t="s">
        <v>462</v>
      </c>
      <c r="C2735" s="35" t="s">
        <v>405</v>
      </c>
      <c r="D2735" s="35" t="s">
        <v>795</v>
      </c>
      <c r="E2735" s="35" t="s">
        <v>810</v>
      </c>
      <c r="F2735" s="35" t="s">
        <v>390</v>
      </c>
      <c r="G2735" s="35" t="s">
        <v>379</v>
      </c>
      <c r="H2735" s="35" t="s">
        <v>525</v>
      </c>
    </row>
    <row r="2736" spans="1:8">
      <c r="A2736" s="34">
        <v>2084028444</v>
      </c>
      <c r="B2736" s="35" t="s">
        <v>462</v>
      </c>
      <c r="C2736" s="35" t="s">
        <v>405</v>
      </c>
      <c r="D2736" s="35" t="s">
        <v>795</v>
      </c>
      <c r="E2736" s="35" t="s">
        <v>810</v>
      </c>
      <c r="F2736" s="35" t="s">
        <v>390</v>
      </c>
      <c r="G2736" s="35" t="s">
        <v>379</v>
      </c>
      <c r="H2736" s="35" t="s">
        <v>526</v>
      </c>
    </row>
    <row r="2737" spans="1:8">
      <c r="A2737" s="34">
        <v>2084028339</v>
      </c>
      <c r="B2737" s="35" t="s">
        <v>462</v>
      </c>
      <c r="C2737" s="35" t="s">
        <v>405</v>
      </c>
      <c r="D2737" s="35" t="s">
        <v>795</v>
      </c>
      <c r="E2737" s="35" t="s">
        <v>810</v>
      </c>
      <c r="F2737" s="35" t="s">
        <v>390</v>
      </c>
      <c r="G2737" s="35" t="s">
        <v>379</v>
      </c>
      <c r="H2737" s="35" t="s">
        <v>527</v>
      </c>
    </row>
    <row r="2738" spans="1:8">
      <c r="A2738" s="34">
        <v>2084028492</v>
      </c>
      <c r="B2738" s="35" t="s">
        <v>462</v>
      </c>
      <c r="C2738" s="35" t="s">
        <v>405</v>
      </c>
      <c r="D2738" s="35" t="s">
        <v>795</v>
      </c>
      <c r="E2738" s="35" t="s">
        <v>810</v>
      </c>
      <c r="F2738" s="35" t="s">
        <v>390</v>
      </c>
      <c r="G2738" s="35" t="s">
        <v>379</v>
      </c>
      <c r="H2738" s="35" t="s">
        <v>528</v>
      </c>
    </row>
    <row r="2739" spans="1:8">
      <c r="A2739" s="34">
        <v>2084028368</v>
      </c>
      <c r="B2739" s="35" t="s">
        <v>462</v>
      </c>
      <c r="C2739" s="35" t="s">
        <v>405</v>
      </c>
      <c r="D2739" s="35" t="s">
        <v>795</v>
      </c>
      <c r="E2739" s="35" t="s">
        <v>810</v>
      </c>
      <c r="F2739" s="35" t="s">
        <v>390</v>
      </c>
      <c r="G2739" s="35" t="s">
        <v>379</v>
      </c>
      <c r="H2739" s="35" t="s">
        <v>548</v>
      </c>
    </row>
    <row r="2740" spans="1:8">
      <c r="A2740" s="34">
        <v>2084246968</v>
      </c>
      <c r="B2740" s="35" t="s">
        <v>462</v>
      </c>
      <c r="C2740" s="35" t="s">
        <v>405</v>
      </c>
      <c r="D2740" s="35" t="s">
        <v>795</v>
      </c>
      <c r="E2740" s="35" t="s">
        <v>810</v>
      </c>
      <c r="F2740" s="35" t="s">
        <v>390</v>
      </c>
      <c r="G2740" s="35" t="s">
        <v>379</v>
      </c>
      <c r="H2740" s="35" t="s">
        <v>335</v>
      </c>
    </row>
    <row r="2741" spans="1:8">
      <c r="A2741" s="34">
        <v>2084246965</v>
      </c>
      <c r="B2741" s="35" t="s">
        <v>462</v>
      </c>
      <c r="C2741" s="35" t="s">
        <v>405</v>
      </c>
      <c r="D2741" s="35" t="s">
        <v>795</v>
      </c>
      <c r="E2741" s="35" t="s">
        <v>810</v>
      </c>
      <c r="F2741" s="35" t="s">
        <v>390</v>
      </c>
      <c r="G2741" s="35" t="s">
        <v>533</v>
      </c>
      <c r="H2741" s="35" t="s">
        <v>811</v>
      </c>
    </row>
    <row r="2742" spans="1:8">
      <c r="A2742" s="34">
        <v>2084030084</v>
      </c>
      <c r="B2742" s="35" t="s">
        <v>462</v>
      </c>
      <c r="C2742" s="35" t="s">
        <v>405</v>
      </c>
      <c r="D2742" s="35" t="s">
        <v>795</v>
      </c>
      <c r="E2742" s="35" t="s">
        <v>810</v>
      </c>
      <c r="F2742" s="35" t="s">
        <v>390</v>
      </c>
      <c r="G2742" s="35" t="s">
        <v>533</v>
      </c>
      <c r="H2742" s="35" t="s">
        <v>812</v>
      </c>
    </row>
    <row r="2743" spans="1:8">
      <c r="A2743" s="34">
        <v>2084027162</v>
      </c>
      <c r="B2743" s="35" t="s">
        <v>462</v>
      </c>
      <c r="C2743" s="35" t="s">
        <v>405</v>
      </c>
      <c r="D2743" s="35" t="s">
        <v>795</v>
      </c>
      <c r="E2743" s="35" t="s">
        <v>810</v>
      </c>
      <c r="F2743" s="35" t="s">
        <v>390</v>
      </c>
      <c r="G2743" s="35" t="s">
        <v>533</v>
      </c>
      <c r="H2743" s="35" t="s">
        <v>536</v>
      </c>
    </row>
    <row r="2744" spans="1:8">
      <c r="A2744" s="34">
        <v>2084030091</v>
      </c>
      <c r="B2744" s="35" t="s">
        <v>462</v>
      </c>
      <c r="C2744" s="35" t="s">
        <v>405</v>
      </c>
      <c r="D2744" s="35" t="s">
        <v>795</v>
      </c>
      <c r="E2744" s="35" t="s">
        <v>810</v>
      </c>
      <c r="F2744" s="35" t="s">
        <v>390</v>
      </c>
      <c r="G2744" s="35" t="s">
        <v>533</v>
      </c>
      <c r="H2744" s="35" t="s">
        <v>813</v>
      </c>
    </row>
    <row r="2745" spans="1:8">
      <c r="A2745" s="34">
        <v>2084030152</v>
      </c>
      <c r="B2745" s="35" t="s">
        <v>462</v>
      </c>
      <c r="C2745" s="35" t="s">
        <v>405</v>
      </c>
      <c r="D2745" s="35" t="s">
        <v>795</v>
      </c>
      <c r="E2745" s="35" t="s">
        <v>810</v>
      </c>
      <c r="F2745" s="35" t="s">
        <v>390</v>
      </c>
      <c r="G2745" s="35" t="s">
        <v>533</v>
      </c>
      <c r="H2745" s="35" t="s">
        <v>814</v>
      </c>
    </row>
    <row r="2746" spans="1:8">
      <c r="A2746" s="34">
        <v>2084246967</v>
      </c>
      <c r="B2746" s="35" t="s">
        <v>462</v>
      </c>
      <c r="C2746" s="35" t="s">
        <v>405</v>
      </c>
      <c r="D2746" s="35" t="s">
        <v>795</v>
      </c>
      <c r="E2746" s="35" t="s">
        <v>810</v>
      </c>
      <c r="F2746" s="35" t="s">
        <v>390</v>
      </c>
      <c r="G2746" s="35" t="s">
        <v>530</v>
      </c>
      <c r="H2746" s="35" t="s">
        <v>811</v>
      </c>
    </row>
    <row r="2747" spans="1:8">
      <c r="A2747" s="34">
        <v>2084028582</v>
      </c>
      <c r="B2747" s="35" t="s">
        <v>462</v>
      </c>
      <c r="C2747" s="35" t="s">
        <v>405</v>
      </c>
      <c r="D2747" s="35" t="s">
        <v>795</v>
      </c>
      <c r="E2747" s="35" t="s">
        <v>810</v>
      </c>
      <c r="F2747" s="35" t="s">
        <v>390</v>
      </c>
      <c r="G2747" s="35" t="s">
        <v>530</v>
      </c>
      <c r="H2747" s="35" t="s">
        <v>813</v>
      </c>
    </row>
    <row r="2748" spans="1:8">
      <c r="A2748" s="34">
        <v>2084028620</v>
      </c>
      <c r="B2748" s="35" t="s">
        <v>462</v>
      </c>
      <c r="C2748" s="35" t="s">
        <v>405</v>
      </c>
      <c r="D2748" s="35" t="s">
        <v>795</v>
      </c>
      <c r="E2748" s="35" t="s">
        <v>810</v>
      </c>
      <c r="F2748" s="35" t="s">
        <v>390</v>
      </c>
      <c r="G2748" s="35" t="s">
        <v>530</v>
      </c>
      <c r="H2748" s="35" t="s">
        <v>814</v>
      </c>
    </row>
    <row r="2749" spans="1:8">
      <c r="A2749" s="34">
        <v>2084048777</v>
      </c>
      <c r="B2749" s="35" t="s">
        <v>462</v>
      </c>
      <c r="C2749" s="35" t="s">
        <v>405</v>
      </c>
      <c r="D2749" s="35" t="s">
        <v>795</v>
      </c>
      <c r="E2749" s="35" t="s">
        <v>810</v>
      </c>
      <c r="F2749" s="35" t="s">
        <v>390</v>
      </c>
      <c r="G2749" s="35" t="s">
        <v>335</v>
      </c>
    </row>
    <row r="2750" spans="1:8">
      <c r="A2750" s="34">
        <v>2084229240</v>
      </c>
      <c r="B2750" s="35" t="s">
        <v>462</v>
      </c>
      <c r="C2750" s="35" t="s">
        <v>405</v>
      </c>
      <c r="D2750" s="35" t="s">
        <v>795</v>
      </c>
      <c r="E2750" s="35" t="s">
        <v>815</v>
      </c>
      <c r="F2750" s="35" t="s">
        <v>611</v>
      </c>
      <c r="G2750" s="35" t="s">
        <v>390</v>
      </c>
      <c r="H2750" s="35" t="s">
        <v>816</v>
      </c>
    </row>
    <row r="2751" spans="1:8">
      <c r="A2751" s="34">
        <v>2084229223</v>
      </c>
      <c r="B2751" s="35" t="s">
        <v>462</v>
      </c>
      <c r="C2751" s="35" t="s">
        <v>405</v>
      </c>
      <c r="D2751" s="35" t="s">
        <v>795</v>
      </c>
      <c r="E2751" s="35" t="s">
        <v>815</v>
      </c>
      <c r="F2751" s="35" t="s">
        <v>611</v>
      </c>
      <c r="G2751" s="35" t="s">
        <v>390</v>
      </c>
      <c r="H2751" s="36">
        <v>3.5</v>
      </c>
    </row>
    <row r="2752" spans="1:8">
      <c r="A2752" s="34">
        <v>2084229241</v>
      </c>
      <c r="B2752" s="35" t="s">
        <v>462</v>
      </c>
      <c r="C2752" s="35" t="s">
        <v>405</v>
      </c>
      <c r="D2752" s="35" t="s">
        <v>795</v>
      </c>
      <c r="E2752" s="35" t="s">
        <v>815</v>
      </c>
      <c r="F2752" s="35" t="s">
        <v>611</v>
      </c>
      <c r="G2752" s="35" t="s">
        <v>390</v>
      </c>
      <c r="H2752" s="35">
        <v>4</v>
      </c>
    </row>
    <row r="2753" spans="1:8">
      <c r="A2753" s="34">
        <v>2084229242</v>
      </c>
      <c r="B2753" s="35" t="s">
        <v>462</v>
      </c>
      <c r="C2753" s="35" t="s">
        <v>405</v>
      </c>
      <c r="D2753" s="35" t="s">
        <v>795</v>
      </c>
      <c r="E2753" s="35" t="s">
        <v>815</v>
      </c>
      <c r="F2753" s="35" t="s">
        <v>611</v>
      </c>
      <c r="G2753" s="35" t="s">
        <v>390</v>
      </c>
      <c r="H2753" s="36">
        <v>4.5</v>
      </c>
    </row>
    <row r="2754" spans="1:8">
      <c r="A2754" s="34">
        <v>2084229243</v>
      </c>
      <c r="B2754" s="35" t="s">
        <v>462</v>
      </c>
      <c r="C2754" s="35" t="s">
        <v>405</v>
      </c>
      <c r="D2754" s="35" t="s">
        <v>795</v>
      </c>
      <c r="E2754" s="35" t="s">
        <v>815</v>
      </c>
      <c r="F2754" s="35" t="s">
        <v>611</v>
      </c>
      <c r="G2754" s="35" t="s">
        <v>390</v>
      </c>
      <c r="H2754" s="35">
        <v>5</v>
      </c>
    </row>
    <row r="2755" spans="1:8">
      <c r="A2755" s="34">
        <v>2084229244</v>
      </c>
      <c r="B2755" s="35" t="s">
        <v>462</v>
      </c>
      <c r="C2755" s="35" t="s">
        <v>405</v>
      </c>
      <c r="D2755" s="35" t="s">
        <v>795</v>
      </c>
      <c r="E2755" s="35" t="s">
        <v>815</v>
      </c>
      <c r="F2755" s="35" t="s">
        <v>611</v>
      </c>
      <c r="G2755" s="35" t="s">
        <v>390</v>
      </c>
      <c r="H2755" s="36">
        <v>5.5</v>
      </c>
    </row>
    <row r="2756" spans="1:8">
      <c r="A2756" s="34">
        <v>2084229245</v>
      </c>
      <c r="B2756" s="35" t="s">
        <v>462</v>
      </c>
      <c r="C2756" s="35" t="s">
        <v>405</v>
      </c>
      <c r="D2756" s="35" t="s">
        <v>795</v>
      </c>
      <c r="E2756" s="35" t="s">
        <v>815</v>
      </c>
      <c r="F2756" s="35" t="s">
        <v>611</v>
      </c>
      <c r="G2756" s="35" t="s">
        <v>390</v>
      </c>
      <c r="H2756" s="35">
        <v>6</v>
      </c>
    </row>
    <row r="2757" spans="1:8">
      <c r="A2757" s="34">
        <v>2084229246</v>
      </c>
      <c r="B2757" s="35" t="s">
        <v>462</v>
      </c>
      <c r="C2757" s="35" t="s">
        <v>405</v>
      </c>
      <c r="D2757" s="35" t="s">
        <v>795</v>
      </c>
      <c r="E2757" s="35" t="s">
        <v>815</v>
      </c>
      <c r="F2757" s="35" t="s">
        <v>611</v>
      </c>
      <c r="G2757" s="35" t="s">
        <v>390</v>
      </c>
      <c r="H2757" s="35" t="s">
        <v>817</v>
      </c>
    </row>
    <row r="2758" spans="1:8">
      <c r="A2758" s="34">
        <v>2084229239</v>
      </c>
      <c r="B2758" s="35" t="s">
        <v>462</v>
      </c>
      <c r="C2758" s="35" t="s">
        <v>405</v>
      </c>
      <c r="D2758" s="35" t="s">
        <v>795</v>
      </c>
      <c r="E2758" s="35" t="s">
        <v>815</v>
      </c>
      <c r="F2758" s="35" t="s">
        <v>335</v>
      </c>
    </row>
    <row r="2759" spans="1:8">
      <c r="A2759" s="34">
        <v>2084301213</v>
      </c>
      <c r="B2759" s="35" t="s">
        <v>462</v>
      </c>
      <c r="C2759" s="35" t="s">
        <v>405</v>
      </c>
      <c r="D2759" s="35" t="s">
        <v>795</v>
      </c>
      <c r="E2759" s="35" t="s">
        <v>818</v>
      </c>
    </row>
    <row r="2760" spans="1:8">
      <c r="A2760" s="34">
        <v>2084283146</v>
      </c>
      <c r="B2760" s="35" t="s">
        <v>462</v>
      </c>
      <c r="C2760" s="35" t="s">
        <v>405</v>
      </c>
      <c r="D2760" s="35" t="s">
        <v>795</v>
      </c>
      <c r="E2760" s="35" t="s">
        <v>819</v>
      </c>
    </row>
    <row r="2761" spans="1:8">
      <c r="A2761" s="34">
        <v>2084261369</v>
      </c>
      <c r="B2761" s="35" t="s">
        <v>462</v>
      </c>
      <c r="C2761" s="35" t="s">
        <v>405</v>
      </c>
      <c r="D2761" s="35" t="s">
        <v>795</v>
      </c>
      <c r="E2761" s="35" t="s">
        <v>820</v>
      </c>
    </row>
    <row r="2762" spans="1:8">
      <c r="A2762" s="34">
        <v>2084301219</v>
      </c>
      <c r="B2762" s="35" t="s">
        <v>462</v>
      </c>
      <c r="C2762" s="35" t="s">
        <v>405</v>
      </c>
      <c r="D2762" s="35" t="s">
        <v>795</v>
      </c>
      <c r="E2762" s="35" t="s">
        <v>821</v>
      </c>
      <c r="F2762" s="35" t="s">
        <v>367</v>
      </c>
    </row>
    <row r="2763" spans="1:8">
      <c r="A2763" s="34">
        <v>2084301220</v>
      </c>
      <c r="B2763" s="35" t="s">
        <v>462</v>
      </c>
      <c r="C2763" s="35" t="s">
        <v>405</v>
      </c>
      <c r="D2763" s="35" t="s">
        <v>795</v>
      </c>
      <c r="E2763" s="35" t="s">
        <v>821</v>
      </c>
      <c r="F2763" s="35" t="s">
        <v>401</v>
      </c>
    </row>
    <row r="2764" spans="1:8">
      <c r="A2764" s="34">
        <v>2084301221</v>
      </c>
      <c r="B2764" s="35" t="s">
        <v>462</v>
      </c>
      <c r="C2764" s="35" t="s">
        <v>405</v>
      </c>
      <c r="D2764" s="35" t="s">
        <v>795</v>
      </c>
      <c r="E2764" s="35" t="s">
        <v>821</v>
      </c>
      <c r="F2764" s="35" t="s">
        <v>402</v>
      </c>
    </row>
    <row r="2765" spans="1:8">
      <c r="A2765" s="34">
        <v>2084301222</v>
      </c>
      <c r="B2765" s="35" t="s">
        <v>462</v>
      </c>
      <c r="C2765" s="35" t="s">
        <v>405</v>
      </c>
      <c r="D2765" s="35" t="s">
        <v>795</v>
      </c>
      <c r="E2765" s="35" t="s">
        <v>821</v>
      </c>
      <c r="F2765" s="35" t="s">
        <v>477</v>
      </c>
    </row>
    <row r="2766" spans="1:8">
      <c r="A2766" s="34">
        <v>2084301223</v>
      </c>
      <c r="B2766" s="35" t="s">
        <v>462</v>
      </c>
      <c r="C2766" s="35" t="s">
        <v>405</v>
      </c>
      <c r="D2766" s="35" t="s">
        <v>795</v>
      </c>
      <c r="E2766" s="35" t="s">
        <v>821</v>
      </c>
      <c r="F2766" s="35" t="s">
        <v>335</v>
      </c>
    </row>
    <row r="2767" spans="1:8">
      <c r="A2767" s="34">
        <v>2084056011</v>
      </c>
      <c r="B2767" s="35" t="s">
        <v>462</v>
      </c>
      <c r="C2767" s="35" t="s">
        <v>405</v>
      </c>
      <c r="D2767" s="35" t="s">
        <v>795</v>
      </c>
      <c r="E2767" s="35" t="s">
        <v>822</v>
      </c>
      <c r="F2767" s="35" t="s">
        <v>353</v>
      </c>
      <c r="G2767" s="35" t="s">
        <v>367</v>
      </c>
    </row>
    <row r="2768" spans="1:8">
      <c r="A2768" s="34">
        <v>2084056013</v>
      </c>
      <c r="B2768" s="35" t="s">
        <v>462</v>
      </c>
      <c r="C2768" s="35" t="s">
        <v>405</v>
      </c>
      <c r="D2768" s="35" t="s">
        <v>795</v>
      </c>
      <c r="E2768" s="35" t="s">
        <v>822</v>
      </c>
      <c r="F2768" s="35" t="s">
        <v>353</v>
      </c>
      <c r="G2768" s="35" t="s">
        <v>368</v>
      </c>
      <c r="H2768" s="35" t="s">
        <v>481</v>
      </c>
    </row>
    <row r="2769" spans="1:8">
      <c r="A2769" s="34">
        <v>2084056014</v>
      </c>
      <c r="B2769" s="35" t="s">
        <v>462</v>
      </c>
      <c r="C2769" s="35" t="s">
        <v>405</v>
      </c>
      <c r="D2769" s="35" t="s">
        <v>795</v>
      </c>
      <c r="E2769" s="35" t="s">
        <v>822</v>
      </c>
      <c r="F2769" s="35" t="s">
        <v>353</v>
      </c>
      <c r="G2769" s="35" t="s">
        <v>368</v>
      </c>
      <c r="H2769" s="35" t="s">
        <v>335</v>
      </c>
    </row>
    <row r="2770" spans="1:8">
      <c r="A2770" s="34">
        <v>2084056019</v>
      </c>
      <c r="B2770" s="35" t="s">
        <v>462</v>
      </c>
      <c r="C2770" s="35" t="s">
        <v>405</v>
      </c>
      <c r="D2770" s="35" t="s">
        <v>795</v>
      </c>
      <c r="E2770" s="35" t="s">
        <v>822</v>
      </c>
      <c r="F2770" s="35" t="s">
        <v>353</v>
      </c>
      <c r="G2770" s="35" t="s">
        <v>10</v>
      </c>
      <c r="H2770" s="35" t="s">
        <v>397</v>
      </c>
    </row>
    <row r="2771" spans="1:8">
      <c r="A2771" s="34">
        <v>2084056018</v>
      </c>
      <c r="B2771" s="35" t="s">
        <v>462</v>
      </c>
      <c r="C2771" s="35" t="s">
        <v>405</v>
      </c>
      <c r="D2771" s="35" t="s">
        <v>795</v>
      </c>
      <c r="E2771" s="35" t="s">
        <v>822</v>
      </c>
      <c r="F2771" s="35" t="s">
        <v>353</v>
      </c>
      <c r="G2771" s="35" t="s">
        <v>10</v>
      </c>
      <c r="H2771" s="35" t="s">
        <v>421</v>
      </c>
    </row>
    <row r="2772" spans="1:8">
      <c r="A2772" s="34">
        <v>2084056016</v>
      </c>
      <c r="B2772" s="35" t="s">
        <v>462</v>
      </c>
      <c r="C2772" s="35" t="s">
        <v>405</v>
      </c>
      <c r="D2772" s="35" t="s">
        <v>795</v>
      </c>
      <c r="E2772" s="35" t="s">
        <v>822</v>
      </c>
      <c r="F2772" s="35" t="s">
        <v>353</v>
      </c>
      <c r="G2772" s="35" t="s">
        <v>10</v>
      </c>
      <c r="H2772" s="35" t="s">
        <v>398</v>
      </c>
    </row>
    <row r="2773" spans="1:8">
      <c r="A2773" s="34">
        <v>2084056017</v>
      </c>
      <c r="B2773" s="35" t="s">
        <v>462</v>
      </c>
      <c r="C2773" s="35" t="s">
        <v>405</v>
      </c>
      <c r="D2773" s="35" t="s">
        <v>795</v>
      </c>
      <c r="E2773" s="35" t="s">
        <v>822</v>
      </c>
      <c r="F2773" s="35" t="s">
        <v>353</v>
      </c>
      <c r="G2773" s="35" t="s">
        <v>10</v>
      </c>
      <c r="H2773" s="35" t="s">
        <v>422</v>
      </c>
    </row>
    <row r="2774" spans="1:8">
      <c r="A2774" s="34">
        <v>2084056020</v>
      </c>
      <c r="B2774" s="35" t="s">
        <v>462</v>
      </c>
      <c r="C2774" s="35" t="s">
        <v>405</v>
      </c>
      <c r="D2774" s="35" t="s">
        <v>795</v>
      </c>
      <c r="E2774" s="35" t="s">
        <v>822</v>
      </c>
      <c r="F2774" s="35" t="s">
        <v>353</v>
      </c>
      <c r="G2774" s="35" t="s">
        <v>10</v>
      </c>
      <c r="H2774" s="35" t="s">
        <v>335</v>
      </c>
    </row>
    <row r="2775" spans="1:8">
      <c r="A2775" s="34">
        <v>2084056021</v>
      </c>
      <c r="B2775" s="35" t="s">
        <v>462</v>
      </c>
      <c r="C2775" s="35" t="s">
        <v>405</v>
      </c>
      <c r="D2775" s="35" t="s">
        <v>795</v>
      </c>
      <c r="E2775" s="35" t="s">
        <v>822</v>
      </c>
      <c r="F2775" s="35" t="s">
        <v>353</v>
      </c>
      <c r="G2775" s="35" t="s">
        <v>403</v>
      </c>
    </row>
    <row r="2776" spans="1:8">
      <c r="A2776" s="34">
        <v>2084056022</v>
      </c>
      <c r="B2776" s="35" t="s">
        <v>462</v>
      </c>
      <c r="C2776" s="35" t="s">
        <v>405</v>
      </c>
      <c r="D2776" s="35" t="s">
        <v>795</v>
      </c>
      <c r="E2776" s="35" t="s">
        <v>822</v>
      </c>
      <c r="F2776" s="35" t="s">
        <v>353</v>
      </c>
      <c r="G2776" s="35" t="s">
        <v>335</v>
      </c>
    </row>
    <row r="2777" spans="1:8">
      <c r="A2777" s="34">
        <v>2084056010</v>
      </c>
      <c r="B2777" s="35" t="s">
        <v>462</v>
      </c>
      <c r="C2777" s="35" t="s">
        <v>405</v>
      </c>
      <c r="D2777" s="35" t="s">
        <v>795</v>
      </c>
      <c r="E2777" s="35" t="s">
        <v>822</v>
      </c>
      <c r="F2777" s="35" t="s">
        <v>335</v>
      </c>
    </row>
    <row r="2778" spans="1:8">
      <c r="A2778" s="34">
        <v>2084298380</v>
      </c>
      <c r="B2778" s="35" t="s">
        <v>462</v>
      </c>
      <c r="C2778" s="35" t="s">
        <v>405</v>
      </c>
      <c r="D2778" s="35" t="s">
        <v>795</v>
      </c>
      <c r="E2778" s="35" t="s">
        <v>823</v>
      </c>
      <c r="F2778" s="35" t="s">
        <v>407</v>
      </c>
    </row>
    <row r="2779" spans="1:8">
      <c r="A2779" s="34">
        <v>2084298381</v>
      </c>
      <c r="B2779" s="35" t="s">
        <v>462</v>
      </c>
      <c r="C2779" s="35" t="s">
        <v>405</v>
      </c>
      <c r="D2779" s="35" t="s">
        <v>795</v>
      </c>
      <c r="E2779" s="35" t="s">
        <v>823</v>
      </c>
      <c r="F2779" s="35" t="s">
        <v>408</v>
      </c>
    </row>
    <row r="2780" spans="1:8">
      <c r="A2780" s="34">
        <v>2084259916</v>
      </c>
      <c r="B2780" s="35" t="s">
        <v>462</v>
      </c>
      <c r="C2780" s="35" t="s">
        <v>405</v>
      </c>
      <c r="D2780" s="35" t="s">
        <v>795</v>
      </c>
      <c r="E2780" s="35" t="s">
        <v>824</v>
      </c>
    </row>
    <row r="2781" spans="1:8">
      <c r="A2781" s="34">
        <v>2084230549</v>
      </c>
      <c r="B2781" s="35" t="s">
        <v>462</v>
      </c>
      <c r="C2781" s="35" t="s">
        <v>405</v>
      </c>
      <c r="D2781" s="35" t="s">
        <v>795</v>
      </c>
      <c r="E2781" s="35" t="s">
        <v>825</v>
      </c>
      <c r="F2781" s="35" t="s">
        <v>408</v>
      </c>
    </row>
    <row r="2782" spans="1:8">
      <c r="A2782" s="34">
        <v>2084230550</v>
      </c>
      <c r="B2782" s="35" t="s">
        <v>462</v>
      </c>
      <c r="C2782" s="35" t="s">
        <v>405</v>
      </c>
      <c r="D2782" s="35" t="s">
        <v>795</v>
      </c>
      <c r="E2782" s="35" t="s">
        <v>825</v>
      </c>
      <c r="F2782" s="35" t="s">
        <v>335</v>
      </c>
    </row>
    <row r="2783" spans="1:8">
      <c r="A2783" s="34">
        <v>2084309919</v>
      </c>
      <c r="B2783" s="35" t="s">
        <v>462</v>
      </c>
      <c r="C2783" s="35" t="s">
        <v>405</v>
      </c>
      <c r="D2783" s="35" t="s">
        <v>795</v>
      </c>
      <c r="E2783" s="35" t="s">
        <v>826</v>
      </c>
      <c r="F2783" s="35" t="s">
        <v>390</v>
      </c>
      <c r="G2783" s="35" t="s">
        <v>827</v>
      </c>
    </row>
    <row r="2784" spans="1:8">
      <c r="A2784" s="34">
        <v>2084309920</v>
      </c>
      <c r="B2784" s="35" t="s">
        <v>462</v>
      </c>
      <c r="C2784" s="35" t="s">
        <v>405</v>
      </c>
      <c r="D2784" s="35" t="s">
        <v>795</v>
      </c>
      <c r="E2784" s="35" t="s">
        <v>826</v>
      </c>
      <c r="F2784" s="35" t="s">
        <v>390</v>
      </c>
      <c r="G2784" s="35">
        <v>34.5</v>
      </c>
    </row>
    <row r="2785" spans="1:7">
      <c r="A2785" s="34">
        <v>2084309921</v>
      </c>
      <c r="B2785" s="35" t="s">
        <v>462</v>
      </c>
      <c r="C2785" s="35" t="s">
        <v>405</v>
      </c>
      <c r="D2785" s="35" t="s">
        <v>795</v>
      </c>
      <c r="E2785" s="35" t="s">
        <v>826</v>
      </c>
      <c r="F2785" s="35" t="s">
        <v>390</v>
      </c>
      <c r="G2785" s="35">
        <v>35</v>
      </c>
    </row>
    <row r="2786" spans="1:7">
      <c r="A2786" s="34">
        <v>2084309922</v>
      </c>
      <c r="B2786" s="35" t="s">
        <v>462</v>
      </c>
      <c r="C2786" s="35" t="s">
        <v>405</v>
      </c>
      <c r="D2786" s="35" t="s">
        <v>795</v>
      </c>
      <c r="E2786" s="35" t="s">
        <v>826</v>
      </c>
      <c r="F2786" s="35" t="s">
        <v>390</v>
      </c>
      <c r="G2786" s="35">
        <v>35.5</v>
      </c>
    </row>
    <row r="2787" spans="1:7">
      <c r="A2787" s="34">
        <v>2084309923</v>
      </c>
      <c r="B2787" s="35" t="s">
        <v>462</v>
      </c>
      <c r="C2787" s="35" t="s">
        <v>405</v>
      </c>
      <c r="D2787" s="35" t="s">
        <v>795</v>
      </c>
      <c r="E2787" s="35" t="s">
        <v>826</v>
      </c>
      <c r="F2787" s="35" t="s">
        <v>390</v>
      </c>
      <c r="G2787" s="35">
        <v>36</v>
      </c>
    </row>
    <row r="2788" spans="1:7">
      <c r="A2788" s="34">
        <v>2084309924</v>
      </c>
      <c r="B2788" s="35" t="s">
        <v>462</v>
      </c>
      <c r="C2788" s="35" t="s">
        <v>405</v>
      </c>
      <c r="D2788" s="35" t="s">
        <v>795</v>
      </c>
      <c r="E2788" s="35" t="s">
        <v>826</v>
      </c>
      <c r="F2788" s="35" t="s">
        <v>390</v>
      </c>
      <c r="G2788" s="35">
        <v>36.5</v>
      </c>
    </row>
    <row r="2789" spans="1:7">
      <c r="A2789" s="34">
        <v>2084309925</v>
      </c>
      <c r="B2789" s="35" t="s">
        <v>462</v>
      </c>
      <c r="C2789" s="35" t="s">
        <v>405</v>
      </c>
      <c r="D2789" s="35" t="s">
        <v>795</v>
      </c>
      <c r="E2789" s="35" t="s">
        <v>826</v>
      </c>
      <c r="F2789" s="35" t="s">
        <v>390</v>
      </c>
      <c r="G2789" s="35">
        <v>37</v>
      </c>
    </row>
    <row r="2790" spans="1:7">
      <c r="A2790" s="34">
        <v>2084309926</v>
      </c>
      <c r="B2790" s="35" t="s">
        <v>462</v>
      </c>
      <c r="C2790" s="35" t="s">
        <v>405</v>
      </c>
      <c r="D2790" s="35" t="s">
        <v>795</v>
      </c>
      <c r="E2790" s="35" t="s">
        <v>826</v>
      </c>
      <c r="F2790" s="35" t="s">
        <v>390</v>
      </c>
      <c r="G2790" s="35">
        <v>37.5</v>
      </c>
    </row>
    <row r="2791" spans="1:7">
      <c r="A2791" s="34">
        <v>2084309927</v>
      </c>
      <c r="B2791" s="35" t="s">
        <v>462</v>
      </c>
      <c r="C2791" s="35" t="s">
        <v>405</v>
      </c>
      <c r="D2791" s="35" t="s">
        <v>795</v>
      </c>
      <c r="E2791" s="35" t="s">
        <v>826</v>
      </c>
      <c r="F2791" s="35" t="s">
        <v>390</v>
      </c>
      <c r="G2791" s="35">
        <v>38</v>
      </c>
    </row>
    <row r="2792" spans="1:7">
      <c r="A2792" s="34">
        <v>2084309928</v>
      </c>
      <c r="B2792" s="35" t="s">
        <v>462</v>
      </c>
      <c r="C2792" s="35" t="s">
        <v>405</v>
      </c>
      <c r="D2792" s="35" t="s">
        <v>795</v>
      </c>
      <c r="E2792" s="35" t="s">
        <v>826</v>
      </c>
      <c r="F2792" s="35" t="s">
        <v>390</v>
      </c>
      <c r="G2792" s="35">
        <v>38.5</v>
      </c>
    </row>
    <row r="2793" spans="1:7">
      <c r="A2793" s="34">
        <v>2084309929</v>
      </c>
      <c r="B2793" s="35" t="s">
        <v>462</v>
      </c>
      <c r="C2793" s="35" t="s">
        <v>405</v>
      </c>
      <c r="D2793" s="35" t="s">
        <v>795</v>
      </c>
      <c r="E2793" s="35" t="s">
        <v>826</v>
      </c>
      <c r="F2793" s="35" t="s">
        <v>390</v>
      </c>
      <c r="G2793" s="35">
        <v>39</v>
      </c>
    </row>
    <row r="2794" spans="1:7">
      <c r="A2794" s="34">
        <v>2084309930</v>
      </c>
      <c r="B2794" s="35" t="s">
        <v>462</v>
      </c>
      <c r="C2794" s="35" t="s">
        <v>405</v>
      </c>
      <c r="D2794" s="35" t="s">
        <v>795</v>
      </c>
      <c r="E2794" s="35" t="s">
        <v>826</v>
      </c>
      <c r="F2794" s="35" t="s">
        <v>390</v>
      </c>
      <c r="G2794" s="35" t="s">
        <v>828</v>
      </c>
    </row>
    <row r="2795" spans="1:7">
      <c r="A2795" s="34">
        <v>2084309918</v>
      </c>
      <c r="B2795" s="35" t="s">
        <v>462</v>
      </c>
      <c r="C2795" s="35" t="s">
        <v>405</v>
      </c>
      <c r="D2795" s="35" t="s">
        <v>795</v>
      </c>
      <c r="E2795" s="35" t="s">
        <v>826</v>
      </c>
      <c r="F2795" s="35" t="s">
        <v>408</v>
      </c>
    </row>
    <row r="2796" spans="1:7">
      <c r="A2796" s="34">
        <v>2084062167</v>
      </c>
      <c r="B2796" s="35" t="s">
        <v>462</v>
      </c>
      <c r="C2796" s="35" t="s">
        <v>405</v>
      </c>
      <c r="D2796" s="35" t="s">
        <v>795</v>
      </c>
      <c r="E2796" s="35" t="s">
        <v>826</v>
      </c>
      <c r="F2796" s="35" t="s">
        <v>335</v>
      </c>
    </row>
    <row r="2797" spans="1:7">
      <c r="A2797" s="34">
        <v>2084259917</v>
      </c>
      <c r="B2797" s="35" t="s">
        <v>462</v>
      </c>
      <c r="C2797" s="35" t="s">
        <v>405</v>
      </c>
      <c r="D2797" s="35" t="s">
        <v>795</v>
      </c>
      <c r="E2797" s="35" t="s">
        <v>829</v>
      </c>
    </row>
    <row r="2798" spans="1:7">
      <c r="A2798" s="34">
        <v>2084050214</v>
      </c>
      <c r="B2798" s="35" t="s">
        <v>462</v>
      </c>
      <c r="C2798" s="35" t="s">
        <v>405</v>
      </c>
      <c r="D2798" s="35" t="s">
        <v>795</v>
      </c>
      <c r="E2798" s="35" t="s">
        <v>830</v>
      </c>
    </row>
    <row r="2799" spans="1:7">
      <c r="A2799" s="34">
        <v>2084241609</v>
      </c>
      <c r="B2799" s="35" t="s">
        <v>462</v>
      </c>
      <c r="C2799" s="35" t="s">
        <v>405</v>
      </c>
      <c r="D2799" s="35" t="s">
        <v>795</v>
      </c>
      <c r="E2799" s="35" t="s">
        <v>831</v>
      </c>
      <c r="F2799" s="35" t="s">
        <v>390</v>
      </c>
      <c r="G2799" s="35" t="s">
        <v>367</v>
      </c>
    </row>
    <row r="2800" spans="1:7">
      <c r="A2800" s="34">
        <v>2084241610</v>
      </c>
      <c r="B2800" s="35" t="s">
        <v>462</v>
      </c>
      <c r="C2800" s="35" t="s">
        <v>405</v>
      </c>
      <c r="D2800" s="35" t="s">
        <v>795</v>
      </c>
      <c r="E2800" s="35" t="s">
        <v>831</v>
      </c>
      <c r="F2800" s="35" t="s">
        <v>390</v>
      </c>
      <c r="G2800" s="35" t="s">
        <v>401</v>
      </c>
    </row>
    <row r="2801" spans="1:8">
      <c r="A2801" s="34">
        <v>2084241611</v>
      </c>
      <c r="B2801" s="35" t="s">
        <v>462</v>
      </c>
      <c r="C2801" s="35" t="s">
        <v>405</v>
      </c>
      <c r="D2801" s="35" t="s">
        <v>795</v>
      </c>
      <c r="E2801" s="35" t="s">
        <v>831</v>
      </c>
      <c r="F2801" s="35" t="s">
        <v>390</v>
      </c>
      <c r="G2801" s="35" t="s">
        <v>402</v>
      </c>
    </row>
    <row r="2802" spans="1:8">
      <c r="A2802" s="34">
        <v>2084241612</v>
      </c>
      <c r="B2802" s="35" t="s">
        <v>462</v>
      </c>
      <c r="C2802" s="35" t="s">
        <v>405</v>
      </c>
      <c r="D2802" s="35" t="s">
        <v>795</v>
      </c>
      <c r="E2802" s="35" t="s">
        <v>831</v>
      </c>
      <c r="F2802" s="35" t="s">
        <v>390</v>
      </c>
      <c r="G2802" s="35" t="s">
        <v>403</v>
      </c>
    </row>
    <row r="2803" spans="1:8">
      <c r="A2803" s="34">
        <v>2084241613</v>
      </c>
      <c r="B2803" s="35" t="s">
        <v>462</v>
      </c>
      <c r="C2803" s="35" t="s">
        <v>405</v>
      </c>
      <c r="D2803" s="35" t="s">
        <v>795</v>
      </c>
      <c r="E2803" s="35" t="s">
        <v>831</v>
      </c>
      <c r="F2803" s="35" t="s">
        <v>390</v>
      </c>
      <c r="G2803" s="35" t="s">
        <v>335</v>
      </c>
    </row>
    <row r="2804" spans="1:8">
      <c r="A2804" s="34">
        <v>2084241603</v>
      </c>
      <c r="B2804" s="35" t="s">
        <v>462</v>
      </c>
      <c r="C2804" s="35" t="s">
        <v>405</v>
      </c>
      <c r="D2804" s="35" t="s">
        <v>795</v>
      </c>
      <c r="E2804" s="35" t="s">
        <v>831</v>
      </c>
      <c r="F2804" s="35" t="s">
        <v>353</v>
      </c>
      <c r="G2804" s="35" t="s">
        <v>367</v>
      </c>
    </row>
    <row r="2805" spans="1:8">
      <c r="A2805" s="34">
        <v>2084241604</v>
      </c>
      <c r="B2805" s="35" t="s">
        <v>462</v>
      </c>
      <c r="C2805" s="35" t="s">
        <v>405</v>
      </c>
      <c r="D2805" s="35" t="s">
        <v>795</v>
      </c>
      <c r="E2805" s="35" t="s">
        <v>831</v>
      </c>
      <c r="F2805" s="35" t="s">
        <v>353</v>
      </c>
      <c r="G2805" s="35" t="s">
        <v>401</v>
      </c>
    </row>
    <row r="2806" spans="1:8">
      <c r="A2806" s="34">
        <v>2084241605</v>
      </c>
      <c r="B2806" s="35" t="s">
        <v>462</v>
      </c>
      <c r="C2806" s="35" t="s">
        <v>405</v>
      </c>
      <c r="D2806" s="35" t="s">
        <v>795</v>
      </c>
      <c r="E2806" s="35" t="s">
        <v>831</v>
      </c>
      <c r="F2806" s="35" t="s">
        <v>353</v>
      </c>
      <c r="G2806" s="35" t="s">
        <v>402</v>
      </c>
    </row>
    <row r="2807" spans="1:8">
      <c r="A2807" s="34">
        <v>2084241606</v>
      </c>
      <c r="B2807" s="35" t="s">
        <v>462</v>
      </c>
      <c r="C2807" s="35" t="s">
        <v>405</v>
      </c>
      <c r="D2807" s="35" t="s">
        <v>795</v>
      </c>
      <c r="E2807" s="35" t="s">
        <v>831</v>
      </c>
      <c r="F2807" s="35" t="s">
        <v>353</v>
      </c>
      <c r="G2807" s="35" t="s">
        <v>403</v>
      </c>
    </row>
    <row r="2808" spans="1:8">
      <c r="A2808" s="34">
        <v>2084241607</v>
      </c>
      <c r="B2808" s="35" t="s">
        <v>462</v>
      </c>
      <c r="C2808" s="35" t="s">
        <v>405</v>
      </c>
      <c r="D2808" s="35" t="s">
        <v>795</v>
      </c>
      <c r="E2808" s="35" t="s">
        <v>831</v>
      </c>
      <c r="F2808" s="35" t="s">
        <v>353</v>
      </c>
      <c r="G2808" s="35" t="s">
        <v>335</v>
      </c>
    </row>
    <row r="2809" spans="1:8">
      <c r="A2809" s="34">
        <v>2084241614</v>
      </c>
      <c r="B2809" s="35" t="s">
        <v>462</v>
      </c>
      <c r="C2809" s="35" t="s">
        <v>405</v>
      </c>
      <c r="D2809" s="35" t="s">
        <v>795</v>
      </c>
      <c r="E2809" s="35" t="s">
        <v>831</v>
      </c>
      <c r="F2809" s="35" t="s">
        <v>335</v>
      </c>
    </row>
    <row r="2810" spans="1:8">
      <c r="A2810" s="34">
        <v>2084024278</v>
      </c>
      <c r="B2810" s="35" t="s">
        <v>462</v>
      </c>
      <c r="C2810" s="35" t="s">
        <v>405</v>
      </c>
      <c r="D2810" s="35" t="s">
        <v>795</v>
      </c>
      <c r="E2810" s="35" t="s">
        <v>832</v>
      </c>
      <c r="F2810" s="35" t="s">
        <v>475</v>
      </c>
    </row>
    <row r="2811" spans="1:8">
      <c r="A2811" s="34">
        <v>2084028238</v>
      </c>
      <c r="B2811" s="35" t="s">
        <v>462</v>
      </c>
      <c r="C2811" s="35" t="s">
        <v>405</v>
      </c>
      <c r="D2811" s="35" t="s">
        <v>795</v>
      </c>
      <c r="E2811" s="35" t="s">
        <v>832</v>
      </c>
      <c r="F2811" s="35" t="s">
        <v>390</v>
      </c>
      <c r="G2811" s="35" t="s">
        <v>367</v>
      </c>
    </row>
    <row r="2812" spans="1:8">
      <c r="A2812" s="34">
        <v>2084028740</v>
      </c>
      <c r="B2812" s="35" t="s">
        <v>462</v>
      </c>
      <c r="C2812" s="35" t="s">
        <v>405</v>
      </c>
      <c r="D2812" s="35" t="s">
        <v>795</v>
      </c>
      <c r="E2812" s="35" t="s">
        <v>832</v>
      </c>
      <c r="F2812" s="35" t="s">
        <v>390</v>
      </c>
      <c r="G2812" s="35" t="s">
        <v>368</v>
      </c>
      <c r="H2812" s="35" t="s">
        <v>508</v>
      </c>
    </row>
    <row r="2813" spans="1:8">
      <c r="A2813" s="34">
        <v>2084029323</v>
      </c>
      <c r="B2813" s="35" t="s">
        <v>462</v>
      </c>
      <c r="C2813" s="35" t="s">
        <v>405</v>
      </c>
      <c r="D2813" s="35" t="s">
        <v>795</v>
      </c>
      <c r="E2813" s="35" t="s">
        <v>832</v>
      </c>
      <c r="F2813" s="35" t="s">
        <v>390</v>
      </c>
      <c r="G2813" s="35" t="s">
        <v>368</v>
      </c>
      <c r="H2813" s="35" t="s">
        <v>481</v>
      </c>
    </row>
    <row r="2814" spans="1:8">
      <c r="A2814" s="34">
        <v>2084029874</v>
      </c>
      <c r="B2814" s="35" t="s">
        <v>462</v>
      </c>
      <c r="C2814" s="35" t="s">
        <v>405</v>
      </c>
      <c r="D2814" s="35" t="s">
        <v>795</v>
      </c>
      <c r="E2814" s="35" t="s">
        <v>832</v>
      </c>
      <c r="F2814" s="35" t="s">
        <v>390</v>
      </c>
      <c r="G2814" s="35" t="s">
        <v>368</v>
      </c>
      <c r="H2814" s="35" t="s">
        <v>494</v>
      </c>
    </row>
    <row r="2815" spans="1:8">
      <c r="A2815" s="34">
        <v>2084058818</v>
      </c>
      <c r="B2815" s="35" t="s">
        <v>462</v>
      </c>
      <c r="C2815" s="35" t="s">
        <v>405</v>
      </c>
      <c r="D2815" s="35" t="s">
        <v>795</v>
      </c>
      <c r="E2815" s="35" t="s">
        <v>832</v>
      </c>
      <c r="F2815" s="35" t="s">
        <v>390</v>
      </c>
      <c r="G2815" s="35" t="s">
        <v>368</v>
      </c>
      <c r="H2815" s="35" t="s">
        <v>335</v>
      </c>
    </row>
    <row r="2816" spans="1:8">
      <c r="A2816" s="34">
        <v>2084027339</v>
      </c>
      <c r="B2816" s="35" t="s">
        <v>462</v>
      </c>
      <c r="C2816" s="35" t="s">
        <v>405</v>
      </c>
      <c r="D2816" s="35" t="s">
        <v>795</v>
      </c>
      <c r="E2816" s="35" t="s">
        <v>832</v>
      </c>
      <c r="F2816" s="35" t="s">
        <v>390</v>
      </c>
      <c r="G2816" s="35" t="s">
        <v>10</v>
      </c>
      <c r="H2816" s="35" t="s">
        <v>509</v>
      </c>
    </row>
    <row r="2817" spans="1:8">
      <c r="A2817" s="34">
        <v>2084027832</v>
      </c>
      <c r="B2817" s="35" t="s">
        <v>462</v>
      </c>
      <c r="C2817" s="35" t="s">
        <v>405</v>
      </c>
      <c r="D2817" s="35" t="s">
        <v>795</v>
      </c>
      <c r="E2817" s="35" t="s">
        <v>832</v>
      </c>
      <c r="F2817" s="35" t="s">
        <v>390</v>
      </c>
      <c r="G2817" s="35" t="s">
        <v>10</v>
      </c>
      <c r="H2817" s="35" t="s">
        <v>510</v>
      </c>
    </row>
    <row r="2818" spans="1:8">
      <c r="A2818" s="34">
        <v>2084027864</v>
      </c>
      <c r="B2818" s="35" t="s">
        <v>462</v>
      </c>
      <c r="C2818" s="35" t="s">
        <v>405</v>
      </c>
      <c r="D2818" s="35" t="s">
        <v>795</v>
      </c>
      <c r="E2818" s="35" t="s">
        <v>832</v>
      </c>
      <c r="F2818" s="35" t="s">
        <v>390</v>
      </c>
      <c r="G2818" s="35" t="s">
        <v>10</v>
      </c>
      <c r="H2818" s="35" t="s">
        <v>511</v>
      </c>
    </row>
    <row r="2819" spans="1:8">
      <c r="A2819" s="34">
        <v>2084027894</v>
      </c>
      <c r="B2819" s="35" t="s">
        <v>462</v>
      </c>
      <c r="C2819" s="35" t="s">
        <v>405</v>
      </c>
      <c r="D2819" s="35" t="s">
        <v>795</v>
      </c>
      <c r="E2819" s="35" t="s">
        <v>832</v>
      </c>
      <c r="F2819" s="35" t="s">
        <v>390</v>
      </c>
      <c r="G2819" s="35" t="s">
        <v>10</v>
      </c>
      <c r="H2819" s="35" t="s">
        <v>493</v>
      </c>
    </row>
    <row r="2820" spans="1:8">
      <c r="A2820" s="34">
        <v>2084027463</v>
      </c>
      <c r="B2820" s="35" t="s">
        <v>462</v>
      </c>
      <c r="C2820" s="35" t="s">
        <v>405</v>
      </c>
      <c r="D2820" s="35" t="s">
        <v>795</v>
      </c>
      <c r="E2820" s="35" t="s">
        <v>832</v>
      </c>
      <c r="F2820" s="35" t="s">
        <v>390</v>
      </c>
      <c r="G2820" s="35" t="s">
        <v>10</v>
      </c>
      <c r="H2820" s="35" t="s">
        <v>512</v>
      </c>
    </row>
    <row r="2821" spans="1:8">
      <c r="A2821" s="34">
        <v>2084027630</v>
      </c>
      <c r="B2821" s="35" t="s">
        <v>462</v>
      </c>
      <c r="C2821" s="35" t="s">
        <v>405</v>
      </c>
      <c r="D2821" s="35" t="s">
        <v>795</v>
      </c>
      <c r="E2821" s="35" t="s">
        <v>832</v>
      </c>
      <c r="F2821" s="35" t="s">
        <v>390</v>
      </c>
      <c r="G2821" s="35" t="s">
        <v>10</v>
      </c>
      <c r="H2821" s="35" t="s">
        <v>513</v>
      </c>
    </row>
    <row r="2822" spans="1:8">
      <c r="A2822" s="34">
        <v>2084027974</v>
      </c>
      <c r="B2822" s="35" t="s">
        <v>462</v>
      </c>
      <c r="C2822" s="35" t="s">
        <v>405</v>
      </c>
      <c r="D2822" s="35" t="s">
        <v>795</v>
      </c>
      <c r="E2822" s="35" t="s">
        <v>832</v>
      </c>
      <c r="F2822" s="35" t="s">
        <v>390</v>
      </c>
      <c r="G2822" s="35" t="s">
        <v>10</v>
      </c>
      <c r="H2822" s="35" t="s">
        <v>420</v>
      </c>
    </row>
    <row r="2823" spans="1:8">
      <c r="A2823" s="34">
        <v>2084027252</v>
      </c>
      <c r="B2823" s="35" t="s">
        <v>462</v>
      </c>
      <c r="C2823" s="35" t="s">
        <v>405</v>
      </c>
      <c r="D2823" s="35" t="s">
        <v>795</v>
      </c>
      <c r="E2823" s="35" t="s">
        <v>832</v>
      </c>
      <c r="F2823" s="35" t="s">
        <v>390</v>
      </c>
      <c r="G2823" s="35" t="s">
        <v>10</v>
      </c>
      <c r="H2823" s="35" t="s">
        <v>514</v>
      </c>
    </row>
    <row r="2824" spans="1:8">
      <c r="A2824" s="34">
        <v>2084027428</v>
      </c>
      <c r="B2824" s="35" t="s">
        <v>462</v>
      </c>
      <c r="C2824" s="35" t="s">
        <v>405</v>
      </c>
      <c r="D2824" s="35" t="s">
        <v>795</v>
      </c>
      <c r="E2824" s="35" t="s">
        <v>832</v>
      </c>
      <c r="F2824" s="35" t="s">
        <v>390</v>
      </c>
      <c r="G2824" s="35" t="s">
        <v>10</v>
      </c>
      <c r="H2824" s="35" t="s">
        <v>515</v>
      </c>
    </row>
    <row r="2825" spans="1:8">
      <c r="A2825" s="34">
        <v>2084027497</v>
      </c>
      <c r="B2825" s="35" t="s">
        <v>462</v>
      </c>
      <c r="C2825" s="35" t="s">
        <v>405</v>
      </c>
      <c r="D2825" s="35" t="s">
        <v>795</v>
      </c>
      <c r="E2825" s="35" t="s">
        <v>832</v>
      </c>
      <c r="F2825" s="35" t="s">
        <v>390</v>
      </c>
      <c r="G2825" s="35" t="s">
        <v>10</v>
      </c>
      <c r="H2825" s="35" t="s">
        <v>421</v>
      </c>
    </row>
    <row r="2826" spans="1:8">
      <c r="A2826" s="34">
        <v>2084027708</v>
      </c>
      <c r="B2826" s="35" t="s">
        <v>462</v>
      </c>
      <c r="C2826" s="35" t="s">
        <v>405</v>
      </c>
      <c r="D2826" s="35" t="s">
        <v>795</v>
      </c>
      <c r="E2826" s="35" t="s">
        <v>832</v>
      </c>
      <c r="F2826" s="35" t="s">
        <v>390</v>
      </c>
      <c r="G2826" s="35" t="s">
        <v>10</v>
      </c>
      <c r="H2826" s="35" t="s">
        <v>516</v>
      </c>
    </row>
    <row r="2827" spans="1:8">
      <c r="A2827" s="34">
        <v>2084027225</v>
      </c>
      <c r="B2827" s="35" t="s">
        <v>462</v>
      </c>
      <c r="C2827" s="35" t="s">
        <v>405</v>
      </c>
      <c r="D2827" s="35" t="s">
        <v>795</v>
      </c>
      <c r="E2827" s="35" t="s">
        <v>832</v>
      </c>
      <c r="F2827" s="35" t="s">
        <v>390</v>
      </c>
      <c r="G2827" s="35" t="s">
        <v>10</v>
      </c>
      <c r="H2827" s="35" t="s">
        <v>517</v>
      </c>
    </row>
    <row r="2828" spans="1:8">
      <c r="A2828" s="34">
        <v>2084027363</v>
      </c>
      <c r="B2828" s="35" t="s">
        <v>462</v>
      </c>
      <c r="C2828" s="35" t="s">
        <v>405</v>
      </c>
      <c r="D2828" s="35" t="s">
        <v>795</v>
      </c>
      <c r="E2828" s="35" t="s">
        <v>832</v>
      </c>
      <c r="F2828" s="35" t="s">
        <v>390</v>
      </c>
      <c r="G2828" s="35" t="s">
        <v>10</v>
      </c>
      <c r="H2828" s="35" t="s">
        <v>518</v>
      </c>
    </row>
    <row r="2829" spans="1:8">
      <c r="A2829" s="34">
        <v>2084027574</v>
      </c>
      <c r="B2829" s="35" t="s">
        <v>462</v>
      </c>
      <c r="C2829" s="35" t="s">
        <v>405</v>
      </c>
      <c r="D2829" s="35" t="s">
        <v>795</v>
      </c>
      <c r="E2829" s="35" t="s">
        <v>832</v>
      </c>
      <c r="F2829" s="35" t="s">
        <v>390</v>
      </c>
      <c r="G2829" s="35" t="s">
        <v>10</v>
      </c>
      <c r="H2829" s="35" t="s">
        <v>422</v>
      </c>
    </row>
    <row r="2830" spans="1:8">
      <c r="A2830" s="34">
        <v>2084027758</v>
      </c>
      <c r="B2830" s="35" t="s">
        <v>462</v>
      </c>
      <c r="C2830" s="35" t="s">
        <v>405</v>
      </c>
      <c r="D2830" s="35" t="s">
        <v>795</v>
      </c>
      <c r="E2830" s="35" t="s">
        <v>832</v>
      </c>
      <c r="F2830" s="35" t="s">
        <v>390</v>
      </c>
      <c r="G2830" s="35" t="s">
        <v>10</v>
      </c>
      <c r="H2830" s="35" t="s">
        <v>519</v>
      </c>
    </row>
    <row r="2831" spans="1:8">
      <c r="A2831" s="34">
        <v>2084058820</v>
      </c>
      <c r="B2831" s="35" t="s">
        <v>462</v>
      </c>
      <c r="C2831" s="35" t="s">
        <v>405</v>
      </c>
      <c r="D2831" s="35" t="s">
        <v>795</v>
      </c>
      <c r="E2831" s="35" t="s">
        <v>832</v>
      </c>
      <c r="F2831" s="35" t="s">
        <v>390</v>
      </c>
      <c r="G2831" s="35" t="s">
        <v>10</v>
      </c>
      <c r="H2831" s="35" t="s">
        <v>335</v>
      </c>
    </row>
    <row r="2832" spans="1:8">
      <c r="A2832" s="34">
        <v>2084028034</v>
      </c>
      <c r="B2832" s="35" t="s">
        <v>462</v>
      </c>
      <c r="C2832" s="35" t="s">
        <v>405</v>
      </c>
      <c r="D2832" s="35" t="s">
        <v>795</v>
      </c>
      <c r="E2832" s="35" t="s">
        <v>832</v>
      </c>
      <c r="F2832" s="35" t="s">
        <v>390</v>
      </c>
      <c r="G2832" s="35" t="s">
        <v>379</v>
      </c>
      <c r="H2832" s="35" t="s">
        <v>520</v>
      </c>
    </row>
    <row r="2833" spans="1:8">
      <c r="A2833" s="34">
        <v>2084028069</v>
      </c>
      <c r="B2833" s="35" t="s">
        <v>462</v>
      </c>
      <c r="C2833" s="35" t="s">
        <v>405</v>
      </c>
      <c r="D2833" s="35" t="s">
        <v>795</v>
      </c>
      <c r="E2833" s="35" t="s">
        <v>832</v>
      </c>
      <c r="F2833" s="35" t="s">
        <v>390</v>
      </c>
      <c r="G2833" s="35" t="s">
        <v>379</v>
      </c>
      <c r="H2833" s="35" t="s">
        <v>521</v>
      </c>
    </row>
    <row r="2834" spans="1:8">
      <c r="A2834" s="34">
        <v>2084028169</v>
      </c>
      <c r="B2834" s="35" t="s">
        <v>462</v>
      </c>
      <c r="C2834" s="35" t="s">
        <v>405</v>
      </c>
      <c r="D2834" s="35" t="s">
        <v>795</v>
      </c>
      <c r="E2834" s="35" t="s">
        <v>832</v>
      </c>
      <c r="F2834" s="35" t="s">
        <v>390</v>
      </c>
      <c r="G2834" s="35" t="s">
        <v>379</v>
      </c>
      <c r="H2834" s="35" t="s">
        <v>522</v>
      </c>
    </row>
    <row r="2835" spans="1:8">
      <c r="A2835" s="34">
        <v>2084028409</v>
      </c>
      <c r="B2835" s="35" t="s">
        <v>462</v>
      </c>
      <c r="C2835" s="35" t="s">
        <v>405</v>
      </c>
      <c r="D2835" s="35" t="s">
        <v>795</v>
      </c>
      <c r="E2835" s="35" t="s">
        <v>832</v>
      </c>
      <c r="F2835" s="35" t="s">
        <v>390</v>
      </c>
      <c r="G2835" s="35" t="s">
        <v>379</v>
      </c>
      <c r="H2835" s="35" t="s">
        <v>523</v>
      </c>
    </row>
    <row r="2836" spans="1:8">
      <c r="A2836" s="34">
        <v>2084028108</v>
      </c>
      <c r="B2836" s="35" t="s">
        <v>462</v>
      </c>
      <c r="C2836" s="35" t="s">
        <v>405</v>
      </c>
      <c r="D2836" s="35" t="s">
        <v>795</v>
      </c>
      <c r="E2836" s="35" t="s">
        <v>832</v>
      </c>
      <c r="F2836" s="35" t="s">
        <v>390</v>
      </c>
      <c r="G2836" s="35" t="s">
        <v>379</v>
      </c>
      <c r="H2836" s="35" t="s">
        <v>524</v>
      </c>
    </row>
    <row r="2837" spans="1:8">
      <c r="A2837" s="34">
        <v>2084028274</v>
      </c>
      <c r="B2837" s="35" t="s">
        <v>462</v>
      </c>
      <c r="C2837" s="35" t="s">
        <v>405</v>
      </c>
      <c r="D2837" s="35" t="s">
        <v>795</v>
      </c>
      <c r="E2837" s="35" t="s">
        <v>832</v>
      </c>
      <c r="F2837" s="35" t="s">
        <v>390</v>
      </c>
      <c r="G2837" s="35" t="s">
        <v>379</v>
      </c>
      <c r="H2837" s="35" t="s">
        <v>525</v>
      </c>
    </row>
    <row r="2838" spans="1:8">
      <c r="A2838" s="34">
        <v>2084028476</v>
      </c>
      <c r="B2838" s="35" t="s">
        <v>462</v>
      </c>
      <c r="C2838" s="35" t="s">
        <v>405</v>
      </c>
      <c r="D2838" s="35" t="s">
        <v>795</v>
      </c>
      <c r="E2838" s="35" t="s">
        <v>832</v>
      </c>
      <c r="F2838" s="35" t="s">
        <v>390</v>
      </c>
      <c r="G2838" s="35" t="s">
        <v>379</v>
      </c>
      <c r="H2838" s="35" t="s">
        <v>526</v>
      </c>
    </row>
    <row r="2839" spans="1:8">
      <c r="A2839" s="34">
        <v>2084028299</v>
      </c>
      <c r="B2839" s="35" t="s">
        <v>462</v>
      </c>
      <c r="C2839" s="35" t="s">
        <v>405</v>
      </c>
      <c r="D2839" s="35" t="s">
        <v>795</v>
      </c>
      <c r="E2839" s="35" t="s">
        <v>832</v>
      </c>
      <c r="F2839" s="35" t="s">
        <v>390</v>
      </c>
      <c r="G2839" s="35" t="s">
        <v>379</v>
      </c>
      <c r="H2839" s="35" t="s">
        <v>527</v>
      </c>
    </row>
    <row r="2840" spans="1:8">
      <c r="A2840" s="34">
        <v>2084028511</v>
      </c>
      <c r="B2840" s="35" t="s">
        <v>462</v>
      </c>
      <c r="C2840" s="35" t="s">
        <v>405</v>
      </c>
      <c r="D2840" s="35" t="s">
        <v>795</v>
      </c>
      <c r="E2840" s="35" t="s">
        <v>832</v>
      </c>
      <c r="F2840" s="35" t="s">
        <v>390</v>
      </c>
      <c r="G2840" s="35" t="s">
        <v>379</v>
      </c>
      <c r="H2840" s="35" t="s">
        <v>528</v>
      </c>
    </row>
    <row r="2841" spans="1:8">
      <c r="A2841" s="34">
        <v>2084028387</v>
      </c>
      <c r="B2841" s="35" t="s">
        <v>462</v>
      </c>
      <c r="C2841" s="35" t="s">
        <v>405</v>
      </c>
      <c r="D2841" s="35" t="s">
        <v>795</v>
      </c>
      <c r="E2841" s="35" t="s">
        <v>832</v>
      </c>
      <c r="F2841" s="35" t="s">
        <v>390</v>
      </c>
      <c r="G2841" s="35" t="s">
        <v>379</v>
      </c>
      <c r="H2841" s="35" t="s">
        <v>529</v>
      </c>
    </row>
    <row r="2842" spans="1:8">
      <c r="A2842" s="34">
        <v>2084058822</v>
      </c>
      <c r="B2842" s="35" t="s">
        <v>462</v>
      </c>
      <c r="C2842" s="35" t="s">
        <v>405</v>
      </c>
      <c r="D2842" s="35" t="s">
        <v>795</v>
      </c>
      <c r="E2842" s="35" t="s">
        <v>832</v>
      </c>
      <c r="F2842" s="35" t="s">
        <v>390</v>
      </c>
      <c r="G2842" s="35" t="s">
        <v>379</v>
      </c>
      <c r="H2842" s="35" t="s">
        <v>335</v>
      </c>
    </row>
    <row r="2843" spans="1:8">
      <c r="A2843" s="34">
        <v>2084028551</v>
      </c>
      <c r="B2843" s="35" t="s">
        <v>462</v>
      </c>
      <c r="C2843" s="35" t="s">
        <v>405</v>
      </c>
      <c r="D2843" s="35" t="s">
        <v>795</v>
      </c>
      <c r="E2843" s="35" t="s">
        <v>832</v>
      </c>
      <c r="F2843" s="35" t="s">
        <v>390</v>
      </c>
      <c r="G2843" s="35" t="s">
        <v>530</v>
      </c>
      <c r="H2843" s="35" t="s">
        <v>531</v>
      </c>
    </row>
    <row r="2844" spans="1:8">
      <c r="A2844" s="34">
        <v>2084028626</v>
      </c>
      <c r="B2844" s="35" t="s">
        <v>462</v>
      </c>
      <c r="C2844" s="35" t="s">
        <v>405</v>
      </c>
      <c r="D2844" s="35" t="s">
        <v>795</v>
      </c>
      <c r="E2844" s="35" t="s">
        <v>832</v>
      </c>
      <c r="F2844" s="35" t="s">
        <v>390</v>
      </c>
      <c r="G2844" s="35" t="s">
        <v>530</v>
      </c>
      <c r="H2844" s="35" t="s">
        <v>532</v>
      </c>
    </row>
    <row r="2845" spans="1:8">
      <c r="A2845" s="34">
        <v>2084058824</v>
      </c>
      <c r="B2845" s="35" t="s">
        <v>462</v>
      </c>
      <c r="C2845" s="35" t="s">
        <v>405</v>
      </c>
      <c r="D2845" s="35" t="s">
        <v>795</v>
      </c>
      <c r="E2845" s="35" t="s">
        <v>832</v>
      </c>
      <c r="F2845" s="35" t="s">
        <v>390</v>
      </c>
      <c r="G2845" s="35" t="s">
        <v>530</v>
      </c>
      <c r="H2845" s="35" t="s">
        <v>335</v>
      </c>
    </row>
    <row r="2846" spans="1:8">
      <c r="A2846" s="34">
        <v>2084030137</v>
      </c>
      <c r="B2846" s="35" t="s">
        <v>462</v>
      </c>
      <c r="C2846" s="35" t="s">
        <v>405</v>
      </c>
      <c r="D2846" s="35" t="s">
        <v>795</v>
      </c>
      <c r="E2846" s="35" t="s">
        <v>832</v>
      </c>
      <c r="F2846" s="35" t="s">
        <v>390</v>
      </c>
      <c r="G2846" s="35" t="s">
        <v>533</v>
      </c>
      <c r="H2846" s="35" t="s">
        <v>534</v>
      </c>
    </row>
    <row r="2847" spans="1:8">
      <c r="A2847" s="34">
        <v>2084030171</v>
      </c>
      <c r="B2847" s="35" t="s">
        <v>462</v>
      </c>
      <c r="C2847" s="35" t="s">
        <v>405</v>
      </c>
      <c r="D2847" s="35" t="s">
        <v>795</v>
      </c>
      <c r="E2847" s="35" t="s">
        <v>832</v>
      </c>
      <c r="F2847" s="35" t="s">
        <v>390</v>
      </c>
      <c r="G2847" s="35" t="s">
        <v>533</v>
      </c>
      <c r="H2847" s="35" t="s">
        <v>535</v>
      </c>
    </row>
    <row r="2848" spans="1:8">
      <c r="A2848" s="34">
        <v>2084027163</v>
      </c>
      <c r="B2848" s="35" t="s">
        <v>462</v>
      </c>
      <c r="C2848" s="35" t="s">
        <v>405</v>
      </c>
      <c r="D2848" s="35" t="s">
        <v>795</v>
      </c>
      <c r="E2848" s="35" t="s">
        <v>832</v>
      </c>
      <c r="F2848" s="35" t="s">
        <v>390</v>
      </c>
      <c r="G2848" s="35" t="s">
        <v>533</v>
      </c>
      <c r="H2848" s="35" t="s">
        <v>536</v>
      </c>
    </row>
    <row r="2849" spans="1:8">
      <c r="A2849" s="34">
        <v>2084058826</v>
      </c>
      <c r="B2849" s="35" t="s">
        <v>462</v>
      </c>
      <c r="C2849" s="35" t="s">
        <v>405</v>
      </c>
      <c r="D2849" s="35" t="s">
        <v>795</v>
      </c>
      <c r="E2849" s="35" t="s">
        <v>832</v>
      </c>
      <c r="F2849" s="35" t="s">
        <v>390</v>
      </c>
      <c r="G2849" s="35" t="s">
        <v>533</v>
      </c>
      <c r="H2849" s="35" t="s">
        <v>335</v>
      </c>
    </row>
    <row r="2850" spans="1:8">
      <c r="A2850" s="34">
        <v>2084058827</v>
      </c>
      <c r="B2850" s="35" t="s">
        <v>462</v>
      </c>
      <c r="C2850" s="35" t="s">
        <v>405</v>
      </c>
      <c r="D2850" s="35" t="s">
        <v>795</v>
      </c>
      <c r="E2850" s="35" t="s">
        <v>832</v>
      </c>
      <c r="F2850" s="35" t="s">
        <v>390</v>
      </c>
      <c r="G2850" s="35" t="s">
        <v>335</v>
      </c>
    </row>
    <row r="2851" spans="1:8">
      <c r="A2851" s="34">
        <v>2084025209</v>
      </c>
      <c r="B2851" s="35" t="s">
        <v>462</v>
      </c>
      <c r="C2851" s="35" t="s">
        <v>405</v>
      </c>
      <c r="D2851" s="35" t="s">
        <v>795</v>
      </c>
      <c r="E2851" s="35" t="s">
        <v>832</v>
      </c>
      <c r="F2851" s="35" t="s">
        <v>442</v>
      </c>
      <c r="G2851" s="35" t="s">
        <v>538</v>
      </c>
    </row>
    <row r="2852" spans="1:8">
      <c r="A2852" s="34">
        <v>2084048796</v>
      </c>
      <c r="B2852" s="35" t="s">
        <v>462</v>
      </c>
      <c r="C2852" s="35" t="s">
        <v>405</v>
      </c>
      <c r="D2852" s="35" t="s">
        <v>795</v>
      </c>
      <c r="E2852" s="35" t="s">
        <v>832</v>
      </c>
      <c r="F2852" s="35" t="s">
        <v>335</v>
      </c>
    </row>
    <row r="2853" spans="1:8">
      <c r="A2853" s="34">
        <v>2084054571</v>
      </c>
      <c r="B2853" s="35" t="s">
        <v>462</v>
      </c>
      <c r="C2853" s="35" t="s">
        <v>405</v>
      </c>
      <c r="D2853" s="35" t="s">
        <v>795</v>
      </c>
      <c r="E2853" s="35" t="s">
        <v>833</v>
      </c>
      <c r="F2853" s="35" t="s">
        <v>475</v>
      </c>
    </row>
    <row r="2854" spans="1:8">
      <c r="A2854" s="34">
        <v>2084054555</v>
      </c>
      <c r="B2854" s="35" t="s">
        <v>462</v>
      </c>
      <c r="C2854" s="35" t="s">
        <v>405</v>
      </c>
      <c r="D2854" s="35" t="s">
        <v>795</v>
      </c>
      <c r="E2854" s="35" t="s">
        <v>833</v>
      </c>
      <c r="F2854" s="35" t="s">
        <v>367</v>
      </c>
    </row>
    <row r="2855" spans="1:8">
      <c r="A2855" s="34">
        <v>2084054558</v>
      </c>
      <c r="B2855" s="35" t="s">
        <v>462</v>
      </c>
      <c r="C2855" s="35" t="s">
        <v>405</v>
      </c>
      <c r="D2855" s="35" t="s">
        <v>795</v>
      </c>
      <c r="E2855" s="35" t="s">
        <v>833</v>
      </c>
      <c r="F2855" s="35" t="s">
        <v>368</v>
      </c>
      <c r="G2855" s="35" t="s">
        <v>481</v>
      </c>
    </row>
    <row r="2856" spans="1:8">
      <c r="A2856" s="34">
        <v>2084054557</v>
      </c>
      <c r="B2856" s="35" t="s">
        <v>462</v>
      </c>
      <c r="C2856" s="35" t="s">
        <v>405</v>
      </c>
      <c r="D2856" s="35" t="s">
        <v>795</v>
      </c>
      <c r="E2856" s="35" t="s">
        <v>833</v>
      </c>
      <c r="F2856" s="35" t="s">
        <v>368</v>
      </c>
      <c r="G2856" s="35" t="s">
        <v>482</v>
      </c>
    </row>
    <row r="2857" spans="1:8">
      <c r="A2857" s="34">
        <v>2084054559</v>
      </c>
      <c r="B2857" s="35" t="s">
        <v>462</v>
      </c>
      <c r="C2857" s="35" t="s">
        <v>405</v>
      </c>
      <c r="D2857" s="35" t="s">
        <v>795</v>
      </c>
      <c r="E2857" s="35" t="s">
        <v>833</v>
      </c>
      <c r="F2857" s="35" t="s">
        <v>368</v>
      </c>
      <c r="G2857" s="35" t="s">
        <v>335</v>
      </c>
    </row>
    <row r="2858" spans="1:8">
      <c r="A2858" s="34">
        <v>2084054565</v>
      </c>
      <c r="B2858" s="35" t="s">
        <v>462</v>
      </c>
      <c r="C2858" s="35" t="s">
        <v>405</v>
      </c>
      <c r="D2858" s="35" t="s">
        <v>795</v>
      </c>
      <c r="E2858" s="35" t="s">
        <v>833</v>
      </c>
      <c r="F2858" s="35" t="s">
        <v>10</v>
      </c>
      <c r="G2858" s="35" t="s">
        <v>483</v>
      </c>
    </row>
    <row r="2859" spans="1:8">
      <c r="A2859" s="34">
        <v>2084054562</v>
      </c>
      <c r="B2859" s="35" t="s">
        <v>462</v>
      </c>
      <c r="C2859" s="35" t="s">
        <v>405</v>
      </c>
      <c r="D2859" s="35" t="s">
        <v>795</v>
      </c>
      <c r="E2859" s="35" t="s">
        <v>833</v>
      </c>
      <c r="F2859" s="35" t="s">
        <v>10</v>
      </c>
      <c r="G2859" s="35" t="s">
        <v>397</v>
      </c>
    </row>
    <row r="2860" spans="1:8">
      <c r="A2860" s="34">
        <v>2084054564</v>
      </c>
      <c r="B2860" s="35" t="s">
        <v>462</v>
      </c>
      <c r="C2860" s="35" t="s">
        <v>405</v>
      </c>
      <c r="D2860" s="35" t="s">
        <v>795</v>
      </c>
      <c r="E2860" s="35" t="s">
        <v>833</v>
      </c>
      <c r="F2860" s="35" t="s">
        <v>10</v>
      </c>
      <c r="G2860" s="35" t="s">
        <v>421</v>
      </c>
    </row>
    <row r="2861" spans="1:8">
      <c r="A2861" s="34">
        <v>2084054561</v>
      </c>
      <c r="B2861" s="35" t="s">
        <v>462</v>
      </c>
      <c r="C2861" s="35" t="s">
        <v>405</v>
      </c>
      <c r="D2861" s="35" t="s">
        <v>795</v>
      </c>
      <c r="E2861" s="35" t="s">
        <v>833</v>
      </c>
      <c r="F2861" s="35" t="s">
        <v>10</v>
      </c>
      <c r="G2861" s="35" t="s">
        <v>398</v>
      </c>
    </row>
    <row r="2862" spans="1:8">
      <c r="A2862" s="34">
        <v>2084054563</v>
      </c>
      <c r="B2862" s="35" t="s">
        <v>462</v>
      </c>
      <c r="C2862" s="35" t="s">
        <v>405</v>
      </c>
      <c r="D2862" s="35" t="s">
        <v>795</v>
      </c>
      <c r="E2862" s="35" t="s">
        <v>833</v>
      </c>
      <c r="F2862" s="35" t="s">
        <v>10</v>
      </c>
      <c r="G2862" s="35" t="s">
        <v>422</v>
      </c>
    </row>
    <row r="2863" spans="1:8">
      <c r="A2863" s="34">
        <v>2084054566</v>
      </c>
      <c r="B2863" s="35" t="s">
        <v>462</v>
      </c>
      <c r="C2863" s="35" t="s">
        <v>405</v>
      </c>
      <c r="D2863" s="35" t="s">
        <v>795</v>
      </c>
      <c r="E2863" s="35" t="s">
        <v>833</v>
      </c>
      <c r="F2863" s="35" t="s">
        <v>10</v>
      </c>
      <c r="G2863" s="35" t="s">
        <v>335</v>
      </c>
    </row>
    <row r="2864" spans="1:8">
      <c r="A2864" s="34">
        <v>2084054568</v>
      </c>
      <c r="B2864" s="35" t="s">
        <v>462</v>
      </c>
      <c r="C2864" s="35" t="s">
        <v>405</v>
      </c>
      <c r="D2864" s="35" t="s">
        <v>795</v>
      </c>
      <c r="E2864" s="35" t="s">
        <v>833</v>
      </c>
      <c r="F2864" s="35" t="s">
        <v>379</v>
      </c>
      <c r="G2864" s="35" t="s">
        <v>476</v>
      </c>
    </row>
    <row r="2865" spans="1:7">
      <c r="A2865" s="34">
        <v>2084054569</v>
      </c>
      <c r="B2865" s="35" t="s">
        <v>462</v>
      </c>
      <c r="C2865" s="35" t="s">
        <v>405</v>
      </c>
      <c r="D2865" s="35" t="s">
        <v>795</v>
      </c>
      <c r="E2865" s="35" t="s">
        <v>833</v>
      </c>
      <c r="F2865" s="35" t="s">
        <v>379</v>
      </c>
      <c r="G2865" s="35" t="s">
        <v>335</v>
      </c>
    </row>
    <row r="2866" spans="1:7">
      <c r="A2866" s="34">
        <v>2084061454</v>
      </c>
      <c r="B2866" s="35" t="s">
        <v>462</v>
      </c>
      <c r="C2866" s="35" t="s">
        <v>405</v>
      </c>
      <c r="D2866" s="35" t="s">
        <v>795</v>
      </c>
      <c r="E2866" s="35" t="s">
        <v>833</v>
      </c>
      <c r="F2866" s="35" t="s">
        <v>478</v>
      </c>
    </row>
    <row r="2867" spans="1:7">
      <c r="A2867" s="34">
        <v>2084054573</v>
      </c>
      <c r="B2867" s="35" t="s">
        <v>462</v>
      </c>
      <c r="C2867" s="35" t="s">
        <v>405</v>
      </c>
      <c r="D2867" s="35" t="s">
        <v>795</v>
      </c>
      <c r="E2867" s="35" t="s">
        <v>833</v>
      </c>
      <c r="F2867" s="35" t="s">
        <v>442</v>
      </c>
      <c r="G2867" s="35" t="s">
        <v>504</v>
      </c>
    </row>
    <row r="2868" spans="1:7">
      <c r="A2868" s="34">
        <v>2084054574</v>
      </c>
      <c r="B2868" s="35" t="s">
        <v>462</v>
      </c>
      <c r="C2868" s="35" t="s">
        <v>405</v>
      </c>
      <c r="D2868" s="35" t="s">
        <v>795</v>
      </c>
      <c r="E2868" s="35" t="s">
        <v>833</v>
      </c>
      <c r="F2868" s="35" t="s">
        <v>442</v>
      </c>
      <c r="G2868" s="35" t="s">
        <v>335</v>
      </c>
    </row>
    <row r="2869" spans="1:7">
      <c r="A2869" s="34">
        <v>2084054570</v>
      </c>
      <c r="B2869" s="35" t="s">
        <v>462</v>
      </c>
      <c r="C2869" s="35" t="s">
        <v>405</v>
      </c>
      <c r="D2869" s="35" t="s">
        <v>795</v>
      </c>
      <c r="E2869" s="35" t="s">
        <v>833</v>
      </c>
      <c r="F2869" s="35" t="s">
        <v>335</v>
      </c>
    </row>
    <row r="2870" spans="1:7">
      <c r="A2870" s="34">
        <v>2084308598</v>
      </c>
      <c r="B2870" s="35" t="s">
        <v>462</v>
      </c>
      <c r="C2870" s="35" t="s">
        <v>405</v>
      </c>
      <c r="D2870" s="35" t="s">
        <v>795</v>
      </c>
      <c r="E2870" s="35" t="s">
        <v>834</v>
      </c>
      <c r="F2870" s="35" t="s">
        <v>475</v>
      </c>
    </row>
    <row r="2871" spans="1:7">
      <c r="A2871" s="34">
        <v>2084308599</v>
      </c>
      <c r="B2871" s="35" t="s">
        <v>462</v>
      </c>
      <c r="C2871" s="35" t="s">
        <v>405</v>
      </c>
      <c r="D2871" s="35" t="s">
        <v>795</v>
      </c>
      <c r="E2871" s="35" t="s">
        <v>834</v>
      </c>
      <c r="F2871" s="35" t="s">
        <v>367</v>
      </c>
    </row>
    <row r="2872" spans="1:7">
      <c r="A2872" s="34">
        <v>2084308600</v>
      </c>
      <c r="B2872" s="35" t="s">
        <v>462</v>
      </c>
      <c r="C2872" s="35" t="s">
        <v>405</v>
      </c>
      <c r="D2872" s="35" t="s">
        <v>795</v>
      </c>
      <c r="E2872" s="35" t="s">
        <v>834</v>
      </c>
      <c r="F2872" s="35" t="s">
        <v>401</v>
      </c>
    </row>
    <row r="2873" spans="1:7">
      <c r="A2873" s="34">
        <v>2084308601</v>
      </c>
      <c r="B2873" s="35" t="s">
        <v>462</v>
      </c>
      <c r="C2873" s="35" t="s">
        <v>405</v>
      </c>
      <c r="D2873" s="35" t="s">
        <v>795</v>
      </c>
      <c r="E2873" s="35" t="s">
        <v>834</v>
      </c>
      <c r="F2873" s="35" t="s">
        <v>402</v>
      </c>
    </row>
    <row r="2874" spans="1:7">
      <c r="A2874" s="34">
        <v>2084308603</v>
      </c>
      <c r="B2874" s="35" t="s">
        <v>462</v>
      </c>
      <c r="C2874" s="35" t="s">
        <v>405</v>
      </c>
      <c r="D2874" s="35" t="s">
        <v>795</v>
      </c>
      <c r="E2874" s="35" t="s">
        <v>834</v>
      </c>
      <c r="F2874" s="35" t="s">
        <v>476</v>
      </c>
    </row>
    <row r="2875" spans="1:7">
      <c r="A2875" s="34">
        <v>2084308602</v>
      </c>
      <c r="B2875" s="35" t="s">
        <v>462</v>
      </c>
      <c r="C2875" s="35" t="s">
        <v>405</v>
      </c>
      <c r="D2875" s="35" t="s">
        <v>795</v>
      </c>
      <c r="E2875" s="35" t="s">
        <v>834</v>
      </c>
      <c r="F2875" s="35" t="s">
        <v>477</v>
      </c>
    </row>
    <row r="2876" spans="1:7">
      <c r="A2876" s="34">
        <v>2084308604</v>
      </c>
      <c r="B2876" s="35" t="s">
        <v>462</v>
      </c>
      <c r="C2876" s="35" t="s">
        <v>405</v>
      </c>
      <c r="D2876" s="35" t="s">
        <v>795</v>
      </c>
      <c r="E2876" s="35" t="s">
        <v>834</v>
      </c>
      <c r="F2876" s="35" t="s">
        <v>478</v>
      </c>
    </row>
    <row r="2877" spans="1:7">
      <c r="A2877" s="34">
        <v>2084308605</v>
      </c>
      <c r="B2877" s="35" t="s">
        <v>462</v>
      </c>
      <c r="C2877" s="35" t="s">
        <v>405</v>
      </c>
      <c r="D2877" s="35" t="s">
        <v>795</v>
      </c>
      <c r="E2877" s="35" t="s">
        <v>834</v>
      </c>
      <c r="F2877" s="35" t="s">
        <v>335</v>
      </c>
    </row>
    <row r="2878" spans="1:7">
      <c r="A2878" s="34">
        <v>2084062028</v>
      </c>
      <c r="B2878" s="35" t="s">
        <v>462</v>
      </c>
      <c r="C2878" s="35" t="s">
        <v>405</v>
      </c>
      <c r="D2878" s="35" t="s">
        <v>795</v>
      </c>
      <c r="E2878" s="35" t="s">
        <v>835</v>
      </c>
      <c r="F2878" s="35" t="s">
        <v>368</v>
      </c>
      <c r="G2878" s="35" t="s">
        <v>481</v>
      </c>
    </row>
    <row r="2879" spans="1:7">
      <c r="A2879" s="34">
        <v>2084062027</v>
      </c>
      <c r="B2879" s="35" t="s">
        <v>462</v>
      </c>
      <c r="C2879" s="35" t="s">
        <v>405</v>
      </c>
      <c r="D2879" s="35" t="s">
        <v>795</v>
      </c>
      <c r="E2879" s="35" t="s">
        <v>835</v>
      </c>
      <c r="F2879" s="35" t="s">
        <v>368</v>
      </c>
      <c r="G2879" s="35" t="s">
        <v>482</v>
      </c>
    </row>
    <row r="2880" spans="1:7">
      <c r="A2880" s="34">
        <v>2084062029</v>
      </c>
      <c r="B2880" s="35" t="s">
        <v>462</v>
      </c>
      <c r="C2880" s="35" t="s">
        <v>405</v>
      </c>
      <c r="D2880" s="35" t="s">
        <v>795</v>
      </c>
      <c r="E2880" s="35" t="s">
        <v>835</v>
      </c>
      <c r="F2880" s="35" t="s">
        <v>368</v>
      </c>
      <c r="G2880" s="35" t="s">
        <v>335</v>
      </c>
    </row>
    <row r="2881" spans="1:7">
      <c r="A2881" s="34">
        <v>2084062035</v>
      </c>
      <c r="B2881" s="35" t="s">
        <v>462</v>
      </c>
      <c r="C2881" s="35" t="s">
        <v>405</v>
      </c>
      <c r="D2881" s="35" t="s">
        <v>795</v>
      </c>
      <c r="E2881" s="35" t="s">
        <v>835</v>
      </c>
      <c r="F2881" s="35" t="s">
        <v>10</v>
      </c>
      <c r="G2881" s="35" t="s">
        <v>483</v>
      </c>
    </row>
    <row r="2882" spans="1:7">
      <c r="A2882" s="34">
        <v>2084062032</v>
      </c>
      <c r="B2882" s="35" t="s">
        <v>462</v>
      </c>
      <c r="C2882" s="35" t="s">
        <v>405</v>
      </c>
      <c r="D2882" s="35" t="s">
        <v>795</v>
      </c>
      <c r="E2882" s="35" t="s">
        <v>835</v>
      </c>
      <c r="F2882" s="35" t="s">
        <v>10</v>
      </c>
      <c r="G2882" s="35" t="s">
        <v>397</v>
      </c>
    </row>
    <row r="2883" spans="1:7">
      <c r="A2883" s="34">
        <v>2084062034</v>
      </c>
      <c r="B2883" s="35" t="s">
        <v>462</v>
      </c>
      <c r="C2883" s="35" t="s">
        <v>405</v>
      </c>
      <c r="D2883" s="35" t="s">
        <v>795</v>
      </c>
      <c r="E2883" s="35" t="s">
        <v>835</v>
      </c>
      <c r="F2883" s="35" t="s">
        <v>10</v>
      </c>
      <c r="G2883" s="35" t="s">
        <v>421</v>
      </c>
    </row>
    <row r="2884" spans="1:7">
      <c r="A2884" s="34">
        <v>2084062031</v>
      </c>
      <c r="B2884" s="35" t="s">
        <v>462</v>
      </c>
      <c r="C2884" s="35" t="s">
        <v>405</v>
      </c>
      <c r="D2884" s="35" t="s">
        <v>795</v>
      </c>
      <c r="E2884" s="35" t="s">
        <v>835</v>
      </c>
      <c r="F2884" s="35" t="s">
        <v>10</v>
      </c>
      <c r="G2884" s="35" t="s">
        <v>398</v>
      </c>
    </row>
    <row r="2885" spans="1:7">
      <c r="A2885" s="34">
        <v>2084062033</v>
      </c>
      <c r="B2885" s="35" t="s">
        <v>462</v>
      </c>
      <c r="C2885" s="35" t="s">
        <v>405</v>
      </c>
      <c r="D2885" s="35" t="s">
        <v>795</v>
      </c>
      <c r="E2885" s="35" t="s">
        <v>835</v>
      </c>
      <c r="F2885" s="35" t="s">
        <v>10</v>
      </c>
      <c r="G2885" s="35" t="s">
        <v>422</v>
      </c>
    </row>
    <row r="2886" spans="1:7">
      <c r="A2886" s="34">
        <v>2084062036</v>
      </c>
      <c r="B2886" s="35" t="s">
        <v>462</v>
      </c>
      <c r="C2886" s="35" t="s">
        <v>405</v>
      </c>
      <c r="D2886" s="35" t="s">
        <v>795</v>
      </c>
      <c r="E2886" s="35" t="s">
        <v>835</v>
      </c>
      <c r="F2886" s="35" t="s">
        <v>10</v>
      </c>
      <c r="G2886" s="35" t="s">
        <v>335</v>
      </c>
    </row>
    <row r="2887" spans="1:7">
      <c r="A2887" s="34">
        <v>2084062039</v>
      </c>
      <c r="B2887" s="35" t="s">
        <v>462</v>
      </c>
      <c r="C2887" s="35" t="s">
        <v>405</v>
      </c>
      <c r="D2887" s="35" t="s">
        <v>795</v>
      </c>
      <c r="E2887" s="35" t="s">
        <v>835</v>
      </c>
      <c r="F2887" s="35" t="s">
        <v>379</v>
      </c>
      <c r="G2887" s="35" t="s">
        <v>335</v>
      </c>
    </row>
    <row r="2888" spans="1:7">
      <c r="A2888" s="34">
        <v>2084062038</v>
      </c>
      <c r="B2888" s="35" t="s">
        <v>462</v>
      </c>
      <c r="C2888" s="35" t="s">
        <v>405</v>
      </c>
      <c r="D2888" s="35" t="s">
        <v>795</v>
      </c>
      <c r="E2888" s="35" t="s">
        <v>835</v>
      </c>
      <c r="F2888" s="35" t="s">
        <v>379</v>
      </c>
      <c r="G2888" s="35" t="s">
        <v>476</v>
      </c>
    </row>
    <row r="2889" spans="1:7">
      <c r="A2889" s="34">
        <v>2084062040</v>
      </c>
      <c r="B2889" s="35" t="s">
        <v>462</v>
      </c>
      <c r="C2889" s="35" t="s">
        <v>405</v>
      </c>
      <c r="D2889" s="35" t="s">
        <v>795</v>
      </c>
      <c r="E2889" s="35" t="s">
        <v>835</v>
      </c>
      <c r="F2889" s="35" t="s">
        <v>478</v>
      </c>
    </row>
    <row r="2890" spans="1:7">
      <c r="A2890" s="34">
        <v>2084230544</v>
      </c>
      <c r="B2890" s="35" t="s">
        <v>462</v>
      </c>
      <c r="C2890" s="35" t="s">
        <v>405</v>
      </c>
      <c r="D2890" s="35" t="s">
        <v>795</v>
      </c>
      <c r="E2890" s="35" t="s">
        <v>835</v>
      </c>
      <c r="F2890" s="35" t="s">
        <v>475</v>
      </c>
    </row>
    <row r="2891" spans="1:7">
      <c r="A2891" s="34">
        <v>2084315662</v>
      </c>
      <c r="B2891" s="35" t="s">
        <v>462</v>
      </c>
      <c r="C2891" s="35" t="s">
        <v>405</v>
      </c>
      <c r="D2891" s="35" t="s">
        <v>795</v>
      </c>
      <c r="E2891" s="35" t="s">
        <v>835</v>
      </c>
      <c r="F2891" s="35" t="s">
        <v>537</v>
      </c>
    </row>
    <row r="2892" spans="1:7">
      <c r="A2892" s="34">
        <v>2084315661</v>
      </c>
      <c r="B2892" s="35" t="s">
        <v>462</v>
      </c>
      <c r="C2892" s="35" t="s">
        <v>405</v>
      </c>
      <c r="D2892" s="35" t="s">
        <v>795</v>
      </c>
      <c r="E2892" s="35" t="s">
        <v>835</v>
      </c>
      <c r="F2892" s="35" t="s">
        <v>484</v>
      </c>
    </row>
    <row r="2893" spans="1:7">
      <c r="A2893" s="34">
        <v>2084315660</v>
      </c>
      <c r="B2893" s="35" t="s">
        <v>462</v>
      </c>
      <c r="C2893" s="35" t="s">
        <v>405</v>
      </c>
      <c r="D2893" s="35" t="s">
        <v>795</v>
      </c>
      <c r="E2893" s="35" t="s">
        <v>835</v>
      </c>
      <c r="F2893" s="35" t="s">
        <v>504</v>
      </c>
    </row>
    <row r="2894" spans="1:7">
      <c r="A2894" s="34">
        <v>2084062041</v>
      </c>
      <c r="B2894" s="35" t="s">
        <v>462</v>
      </c>
      <c r="C2894" s="35" t="s">
        <v>405</v>
      </c>
      <c r="D2894" s="35" t="s">
        <v>795</v>
      </c>
      <c r="E2894" s="35" t="s">
        <v>835</v>
      </c>
      <c r="F2894" s="35" t="s">
        <v>335</v>
      </c>
    </row>
    <row r="2895" spans="1:7">
      <c r="A2895" s="34">
        <v>2084289469</v>
      </c>
      <c r="B2895" s="35" t="s">
        <v>462</v>
      </c>
      <c r="C2895" s="35" t="s">
        <v>405</v>
      </c>
      <c r="D2895" s="35" t="s">
        <v>795</v>
      </c>
      <c r="E2895" s="35" t="s">
        <v>836</v>
      </c>
      <c r="F2895" s="35" t="s">
        <v>611</v>
      </c>
      <c r="G2895" s="35" t="s">
        <v>647</v>
      </c>
    </row>
    <row r="2896" spans="1:7">
      <c r="A2896" s="34">
        <v>2084289470</v>
      </c>
      <c r="B2896" s="35" t="s">
        <v>462</v>
      </c>
      <c r="C2896" s="35" t="s">
        <v>405</v>
      </c>
      <c r="D2896" s="35" t="s">
        <v>795</v>
      </c>
      <c r="E2896" s="35" t="s">
        <v>836</v>
      </c>
      <c r="F2896" s="35" t="s">
        <v>611</v>
      </c>
      <c r="G2896" s="35" t="s">
        <v>648</v>
      </c>
    </row>
    <row r="2897" spans="1:8">
      <c r="A2897" s="34">
        <v>2084289471</v>
      </c>
      <c r="B2897" s="35" t="s">
        <v>462</v>
      </c>
      <c r="C2897" s="35" t="s">
        <v>405</v>
      </c>
      <c r="D2897" s="35" t="s">
        <v>795</v>
      </c>
      <c r="E2897" s="35" t="s">
        <v>836</v>
      </c>
      <c r="F2897" s="35" t="s">
        <v>611</v>
      </c>
      <c r="G2897" s="35" t="s">
        <v>649</v>
      </c>
    </row>
    <row r="2898" spans="1:8">
      <c r="A2898" s="34">
        <v>2084289472</v>
      </c>
      <c r="B2898" s="35" t="s">
        <v>462</v>
      </c>
      <c r="C2898" s="35" t="s">
        <v>405</v>
      </c>
      <c r="D2898" s="35" t="s">
        <v>795</v>
      </c>
      <c r="E2898" s="35" t="s">
        <v>836</v>
      </c>
      <c r="F2898" s="35" t="s">
        <v>611</v>
      </c>
      <c r="G2898" s="35" t="s">
        <v>650</v>
      </c>
    </row>
    <row r="2899" spans="1:8">
      <c r="A2899" s="34">
        <v>2084289473</v>
      </c>
      <c r="B2899" s="35" t="s">
        <v>462</v>
      </c>
      <c r="C2899" s="35" t="s">
        <v>405</v>
      </c>
      <c r="D2899" s="35" t="s">
        <v>795</v>
      </c>
      <c r="E2899" s="35" t="s">
        <v>836</v>
      </c>
      <c r="F2899" s="35" t="s">
        <v>611</v>
      </c>
      <c r="G2899" s="35" t="s">
        <v>651</v>
      </c>
    </row>
    <row r="2900" spans="1:8">
      <c r="A2900" s="34">
        <v>2084289474</v>
      </c>
      <c r="B2900" s="35" t="s">
        <v>462</v>
      </c>
      <c r="C2900" s="35" t="s">
        <v>405</v>
      </c>
      <c r="D2900" s="35" t="s">
        <v>795</v>
      </c>
      <c r="E2900" s="35" t="s">
        <v>836</v>
      </c>
      <c r="F2900" s="35" t="s">
        <v>611</v>
      </c>
      <c r="G2900" s="35" t="s">
        <v>652</v>
      </c>
    </row>
    <row r="2901" spans="1:8">
      <c r="A2901" s="34">
        <v>2084289475</v>
      </c>
      <c r="B2901" s="35" t="s">
        <v>462</v>
      </c>
      <c r="C2901" s="35" t="s">
        <v>405</v>
      </c>
      <c r="D2901" s="35" t="s">
        <v>795</v>
      </c>
      <c r="E2901" s="35" t="s">
        <v>836</v>
      </c>
      <c r="F2901" s="35" t="s">
        <v>611</v>
      </c>
      <c r="G2901" s="35" t="s">
        <v>653</v>
      </c>
    </row>
    <row r="2902" spans="1:8">
      <c r="A2902" s="34">
        <v>2084289476</v>
      </c>
      <c r="B2902" s="35" t="s">
        <v>462</v>
      </c>
      <c r="C2902" s="35" t="s">
        <v>405</v>
      </c>
      <c r="D2902" s="35" t="s">
        <v>795</v>
      </c>
      <c r="E2902" s="35" t="s">
        <v>836</v>
      </c>
      <c r="F2902" s="35" t="s">
        <v>611</v>
      </c>
      <c r="G2902" s="35" t="s">
        <v>654</v>
      </c>
    </row>
    <row r="2903" spans="1:8">
      <c r="A2903" s="34">
        <v>2084289477</v>
      </c>
      <c r="B2903" s="35" t="s">
        <v>462</v>
      </c>
      <c r="C2903" s="35" t="s">
        <v>405</v>
      </c>
      <c r="D2903" s="35" t="s">
        <v>795</v>
      </c>
      <c r="E2903" s="35" t="s">
        <v>836</v>
      </c>
      <c r="F2903" s="35" t="s">
        <v>611</v>
      </c>
      <c r="G2903" s="35" t="s">
        <v>837</v>
      </c>
    </row>
    <row r="2904" spans="1:8">
      <c r="A2904" s="34">
        <v>2084062163</v>
      </c>
      <c r="B2904" s="35" t="s">
        <v>462</v>
      </c>
      <c r="C2904" s="35" t="s">
        <v>405</v>
      </c>
      <c r="D2904" s="35" t="s">
        <v>795</v>
      </c>
      <c r="E2904" s="35" t="s">
        <v>836</v>
      </c>
      <c r="F2904" s="35" t="s">
        <v>335</v>
      </c>
    </row>
    <row r="2905" spans="1:8">
      <c r="A2905" s="34">
        <v>2084232994</v>
      </c>
      <c r="B2905" s="35" t="s">
        <v>462</v>
      </c>
      <c r="C2905" s="35" t="s">
        <v>405</v>
      </c>
      <c r="D2905" s="35" t="s">
        <v>795</v>
      </c>
      <c r="E2905" s="35" t="s">
        <v>838</v>
      </c>
      <c r="F2905" s="35" t="s">
        <v>335</v>
      </c>
    </row>
    <row r="2906" spans="1:8">
      <c r="A2906" s="34">
        <v>2084233008</v>
      </c>
      <c r="B2906" s="35" t="s">
        <v>462</v>
      </c>
      <c r="C2906" s="35" t="s">
        <v>405</v>
      </c>
      <c r="D2906" s="35" t="s">
        <v>795</v>
      </c>
      <c r="E2906" s="35" t="s">
        <v>838</v>
      </c>
      <c r="F2906" s="35" t="s">
        <v>611</v>
      </c>
      <c r="G2906" s="35" t="s">
        <v>390</v>
      </c>
      <c r="H2906" s="35" t="s">
        <v>839</v>
      </c>
    </row>
    <row r="2907" spans="1:8">
      <c r="A2907" s="34">
        <v>2084233009</v>
      </c>
      <c r="B2907" s="35" t="s">
        <v>462</v>
      </c>
      <c r="C2907" s="35" t="s">
        <v>405</v>
      </c>
      <c r="D2907" s="35" t="s">
        <v>795</v>
      </c>
      <c r="E2907" s="35" t="s">
        <v>838</v>
      </c>
      <c r="F2907" s="35" t="s">
        <v>611</v>
      </c>
      <c r="G2907" s="35" t="s">
        <v>390</v>
      </c>
      <c r="H2907" s="35" t="s">
        <v>840</v>
      </c>
    </row>
    <row r="2908" spans="1:8">
      <c r="A2908" s="34">
        <v>2084233027</v>
      </c>
      <c r="B2908" s="35" t="s">
        <v>462</v>
      </c>
      <c r="C2908" s="35" t="s">
        <v>405</v>
      </c>
      <c r="D2908" s="35" t="s">
        <v>795</v>
      </c>
      <c r="E2908" s="35" t="s">
        <v>838</v>
      </c>
      <c r="F2908" s="35" t="s">
        <v>611</v>
      </c>
      <c r="G2908" s="35" t="s">
        <v>390</v>
      </c>
      <c r="H2908" s="35" t="s">
        <v>841</v>
      </c>
    </row>
    <row r="2909" spans="1:8">
      <c r="A2909" s="34">
        <v>2084233028</v>
      </c>
      <c r="B2909" s="35" t="s">
        <v>462</v>
      </c>
      <c r="C2909" s="35" t="s">
        <v>405</v>
      </c>
      <c r="D2909" s="35" t="s">
        <v>795</v>
      </c>
      <c r="E2909" s="35" t="s">
        <v>838</v>
      </c>
      <c r="F2909" s="35" t="s">
        <v>611</v>
      </c>
      <c r="G2909" s="35" t="s">
        <v>390</v>
      </c>
      <c r="H2909" s="35" t="s">
        <v>842</v>
      </c>
    </row>
    <row r="2910" spans="1:8">
      <c r="A2910" s="34">
        <v>2084233029</v>
      </c>
      <c r="B2910" s="35" t="s">
        <v>462</v>
      </c>
      <c r="C2910" s="35" t="s">
        <v>405</v>
      </c>
      <c r="D2910" s="35" t="s">
        <v>795</v>
      </c>
      <c r="E2910" s="35" t="s">
        <v>838</v>
      </c>
      <c r="F2910" s="35" t="s">
        <v>611</v>
      </c>
      <c r="G2910" s="35" t="s">
        <v>390</v>
      </c>
      <c r="H2910" s="35" t="s">
        <v>843</v>
      </c>
    </row>
    <row r="2911" spans="1:8">
      <c r="A2911" s="34">
        <v>2084233030</v>
      </c>
      <c r="B2911" s="35" t="s">
        <v>462</v>
      </c>
      <c r="C2911" s="35" t="s">
        <v>405</v>
      </c>
      <c r="D2911" s="35" t="s">
        <v>795</v>
      </c>
      <c r="E2911" s="35" t="s">
        <v>838</v>
      </c>
      <c r="F2911" s="35" t="s">
        <v>611</v>
      </c>
      <c r="G2911" s="35" t="s">
        <v>390</v>
      </c>
      <c r="H2911" s="35" t="s">
        <v>844</v>
      </c>
    </row>
    <row r="2912" spans="1:8">
      <c r="A2912" s="34">
        <v>2084233031</v>
      </c>
      <c r="B2912" s="35" t="s">
        <v>462</v>
      </c>
      <c r="C2912" s="35" t="s">
        <v>405</v>
      </c>
      <c r="D2912" s="35" t="s">
        <v>795</v>
      </c>
      <c r="E2912" s="35" t="s">
        <v>838</v>
      </c>
      <c r="F2912" s="35" t="s">
        <v>611</v>
      </c>
      <c r="G2912" s="35" t="s">
        <v>390</v>
      </c>
      <c r="H2912" s="35" t="s">
        <v>845</v>
      </c>
    </row>
    <row r="2913" spans="1:8">
      <c r="A2913" s="34">
        <v>2084233032</v>
      </c>
      <c r="B2913" s="35" t="s">
        <v>462</v>
      </c>
      <c r="C2913" s="35" t="s">
        <v>405</v>
      </c>
      <c r="D2913" s="35" t="s">
        <v>795</v>
      </c>
      <c r="E2913" s="35" t="s">
        <v>838</v>
      </c>
      <c r="F2913" s="35" t="s">
        <v>611</v>
      </c>
      <c r="G2913" s="35" t="s">
        <v>353</v>
      </c>
      <c r="H2913" s="35" t="s">
        <v>846</v>
      </c>
    </row>
    <row r="2914" spans="1:8">
      <c r="A2914" s="34">
        <v>2084233033</v>
      </c>
      <c r="B2914" s="35" t="s">
        <v>462</v>
      </c>
      <c r="C2914" s="35" t="s">
        <v>405</v>
      </c>
      <c r="D2914" s="35" t="s">
        <v>795</v>
      </c>
      <c r="E2914" s="35" t="s">
        <v>838</v>
      </c>
      <c r="F2914" s="35" t="s">
        <v>611</v>
      </c>
      <c r="G2914" s="35" t="s">
        <v>353</v>
      </c>
      <c r="H2914" s="35" t="s">
        <v>844</v>
      </c>
    </row>
    <row r="2915" spans="1:8">
      <c r="A2915" s="34">
        <v>2084233034</v>
      </c>
      <c r="B2915" s="35" t="s">
        <v>462</v>
      </c>
      <c r="C2915" s="35" t="s">
        <v>405</v>
      </c>
      <c r="D2915" s="35" t="s">
        <v>795</v>
      </c>
      <c r="E2915" s="35" t="s">
        <v>838</v>
      </c>
      <c r="F2915" s="35" t="s">
        <v>611</v>
      </c>
      <c r="G2915" s="35" t="s">
        <v>353</v>
      </c>
      <c r="H2915" s="35" t="s">
        <v>847</v>
      </c>
    </row>
    <row r="2916" spans="1:8">
      <c r="A2916" s="34">
        <v>2084233035</v>
      </c>
      <c r="B2916" s="35" t="s">
        <v>462</v>
      </c>
      <c r="C2916" s="35" t="s">
        <v>405</v>
      </c>
      <c r="D2916" s="35" t="s">
        <v>795</v>
      </c>
      <c r="E2916" s="35" t="s">
        <v>838</v>
      </c>
      <c r="F2916" s="35" t="s">
        <v>611</v>
      </c>
      <c r="G2916" s="35" t="s">
        <v>353</v>
      </c>
      <c r="H2916" s="35" t="s">
        <v>848</v>
      </c>
    </row>
    <row r="2917" spans="1:8">
      <c r="A2917" s="34">
        <v>2084233036</v>
      </c>
      <c r="B2917" s="35" t="s">
        <v>462</v>
      </c>
      <c r="C2917" s="35" t="s">
        <v>405</v>
      </c>
      <c r="D2917" s="35" t="s">
        <v>795</v>
      </c>
      <c r="E2917" s="35" t="s">
        <v>838</v>
      </c>
      <c r="F2917" s="35" t="s">
        <v>611</v>
      </c>
      <c r="G2917" s="35" t="s">
        <v>353</v>
      </c>
      <c r="H2917" s="35" t="s">
        <v>849</v>
      </c>
    </row>
    <row r="2918" spans="1:8">
      <c r="A2918" s="34">
        <v>2084233037</v>
      </c>
      <c r="B2918" s="35" t="s">
        <v>462</v>
      </c>
      <c r="C2918" s="35" t="s">
        <v>405</v>
      </c>
      <c r="D2918" s="35" t="s">
        <v>795</v>
      </c>
      <c r="E2918" s="35" t="s">
        <v>838</v>
      </c>
      <c r="F2918" s="35" t="s">
        <v>611</v>
      </c>
      <c r="G2918" s="35" t="s">
        <v>353</v>
      </c>
      <c r="H2918" s="35" t="s">
        <v>850</v>
      </c>
    </row>
    <row r="2919" spans="1:8">
      <c r="A2919" s="34">
        <v>2084233038</v>
      </c>
      <c r="B2919" s="35" t="s">
        <v>462</v>
      </c>
      <c r="C2919" s="35" t="s">
        <v>405</v>
      </c>
      <c r="D2919" s="35" t="s">
        <v>795</v>
      </c>
      <c r="E2919" s="35" t="s">
        <v>838</v>
      </c>
      <c r="F2919" s="35" t="s">
        <v>611</v>
      </c>
      <c r="G2919" s="35" t="s">
        <v>353</v>
      </c>
      <c r="H2919" s="35" t="s">
        <v>851</v>
      </c>
    </row>
    <row r="2920" spans="1:8">
      <c r="A2920" s="34">
        <v>2084237915</v>
      </c>
      <c r="B2920" s="35" t="s">
        <v>462</v>
      </c>
      <c r="C2920" s="35" t="s">
        <v>405</v>
      </c>
      <c r="D2920" s="35" t="s">
        <v>795</v>
      </c>
      <c r="E2920" s="35" t="s">
        <v>852</v>
      </c>
      <c r="F2920" s="35" t="s">
        <v>475</v>
      </c>
    </row>
    <row r="2921" spans="1:8">
      <c r="A2921" s="34">
        <v>2084237911</v>
      </c>
      <c r="B2921" s="35" t="s">
        <v>462</v>
      </c>
      <c r="C2921" s="35" t="s">
        <v>405</v>
      </c>
      <c r="D2921" s="35" t="s">
        <v>795</v>
      </c>
      <c r="E2921" s="35" t="s">
        <v>852</v>
      </c>
      <c r="F2921" s="35" t="s">
        <v>353</v>
      </c>
      <c r="G2921" s="35" t="s">
        <v>401</v>
      </c>
    </row>
    <row r="2922" spans="1:8">
      <c r="A2922" s="34">
        <v>2084237912</v>
      </c>
      <c r="B2922" s="35" t="s">
        <v>462</v>
      </c>
      <c r="C2922" s="35" t="s">
        <v>405</v>
      </c>
      <c r="D2922" s="35" t="s">
        <v>795</v>
      </c>
      <c r="E2922" s="35" t="s">
        <v>852</v>
      </c>
      <c r="F2922" s="35" t="s">
        <v>353</v>
      </c>
      <c r="G2922" s="35" t="s">
        <v>402</v>
      </c>
    </row>
    <row r="2923" spans="1:8">
      <c r="A2923" s="34">
        <v>2084237913</v>
      </c>
      <c r="B2923" s="35" t="s">
        <v>462</v>
      </c>
      <c r="C2923" s="35" t="s">
        <v>405</v>
      </c>
      <c r="D2923" s="35" t="s">
        <v>795</v>
      </c>
      <c r="E2923" s="35" t="s">
        <v>852</v>
      </c>
      <c r="F2923" s="35" t="s">
        <v>353</v>
      </c>
      <c r="G2923" s="35" t="s">
        <v>403</v>
      </c>
    </row>
    <row r="2924" spans="1:8">
      <c r="A2924" s="34">
        <v>2084237914</v>
      </c>
      <c r="B2924" s="35" t="s">
        <v>462</v>
      </c>
      <c r="C2924" s="35" t="s">
        <v>405</v>
      </c>
      <c r="D2924" s="35" t="s">
        <v>795</v>
      </c>
      <c r="E2924" s="35" t="s">
        <v>852</v>
      </c>
      <c r="F2924" s="35" t="s">
        <v>353</v>
      </c>
      <c r="G2924" s="35" t="s">
        <v>335</v>
      </c>
    </row>
    <row r="2925" spans="1:8">
      <c r="A2925" s="34">
        <v>2084052620</v>
      </c>
      <c r="B2925" s="35" t="s">
        <v>462</v>
      </c>
      <c r="C2925" s="35" t="s">
        <v>405</v>
      </c>
      <c r="D2925" s="35" t="s">
        <v>795</v>
      </c>
      <c r="E2925" s="35" t="s">
        <v>852</v>
      </c>
      <c r="F2925" s="35" t="s">
        <v>442</v>
      </c>
      <c r="G2925" s="35" t="s">
        <v>504</v>
      </c>
    </row>
    <row r="2926" spans="1:8">
      <c r="A2926" s="34">
        <v>2084052621</v>
      </c>
      <c r="B2926" s="35" t="s">
        <v>462</v>
      </c>
      <c r="C2926" s="35" t="s">
        <v>405</v>
      </c>
      <c r="D2926" s="35" t="s">
        <v>795</v>
      </c>
      <c r="E2926" s="35" t="s">
        <v>852</v>
      </c>
      <c r="F2926" s="35" t="s">
        <v>442</v>
      </c>
      <c r="G2926" s="35" t="s">
        <v>335</v>
      </c>
    </row>
    <row r="2927" spans="1:8">
      <c r="A2927" s="34">
        <v>2084052581</v>
      </c>
      <c r="B2927" s="35" t="s">
        <v>462</v>
      </c>
      <c r="C2927" s="35" t="s">
        <v>405</v>
      </c>
      <c r="D2927" s="35" t="s">
        <v>795</v>
      </c>
      <c r="E2927" s="35" t="s">
        <v>852</v>
      </c>
      <c r="F2927" s="35" t="s">
        <v>335</v>
      </c>
    </row>
    <row r="2928" spans="1:8">
      <c r="A2928" s="34">
        <v>2084283148</v>
      </c>
      <c r="B2928" s="35" t="s">
        <v>462</v>
      </c>
      <c r="C2928" s="35" t="s">
        <v>405</v>
      </c>
      <c r="D2928" s="35" t="s">
        <v>853</v>
      </c>
      <c r="E2928" s="35" t="s">
        <v>854</v>
      </c>
    </row>
    <row r="2929" spans="1:7">
      <c r="A2929" s="34">
        <v>2084229930</v>
      </c>
      <c r="B2929" s="35" t="s">
        <v>462</v>
      </c>
      <c r="C2929" s="35" t="s">
        <v>405</v>
      </c>
      <c r="D2929" s="35" t="s">
        <v>853</v>
      </c>
      <c r="E2929" s="35" t="s">
        <v>855</v>
      </c>
    </row>
    <row r="2930" spans="1:7">
      <c r="A2930" s="34">
        <v>2084308438</v>
      </c>
      <c r="B2930" s="35" t="s">
        <v>462</v>
      </c>
      <c r="C2930" s="35" t="s">
        <v>405</v>
      </c>
      <c r="D2930" s="35" t="s">
        <v>853</v>
      </c>
      <c r="E2930" s="35" t="s">
        <v>856</v>
      </c>
      <c r="F2930" s="35" t="s">
        <v>587</v>
      </c>
      <c r="G2930" s="35" t="s">
        <v>588</v>
      </c>
    </row>
    <row r="2931" spans="1:7">
      <c r="A2931" s="34">
        <v>2084308439</v>
      </c>
      <c r="B2931" s="35" t="s">
        <v>462</v>
      </c>
      <c r="C2931" s="35" t="s">
        <v>405</v>
      </c>
      <c r="D2931" s="35" t="s">
        <v>853</v>
      </c>
      <c r="E2931" s="35" t="s">
        <v>856</v>
      </c>
      <c r="F2931" s="35" t="s">
        <v>587</v>
      </c>
      <c r="G2931" s="35" t="s">
        <v>857</v>
      </c>
    </row>
    <row r="2932" spans="1:7">
      <c r="A2932" s="34">
        <v>2084308440</v>
      </c>
      <c r="B2932" s="35" t="s">
        <v>462</v>
      </c>
      <c r="C2932" s="35" t="s">
        <v>405</v>
      </c>
      <c r="D2932" s="35" t="s">
        <v>853</v>
      </c>
      <c r="E2932" s="35" t="s">
        <v>856</v>
      </c>
      <c r="F2932" s="35" t="s">
        <v>587</v>
      </c>
      <c r="G2932" s="35" t="s">
        <v>858</v>
      </c>
    </row>
    <row r="2933" spans="1:7">
      <c r="A2933" s="34">
        <v>2084308441</v>
      </c>
      <c r="B2933" s="35" t="s">
        <v>462</v>
      </c>
      <c r="C2933" s="35" t="s">
        <v>405</v>
      </c>
      <c r="D2933" s="35" t="s">
        <v>853</v>
      </c>
      <c r="E2933" s="35" t="s">
        <v>856</v>
      </c>
      <c r="F2933" s="35" t="s">
        <v>587</v>
      </c>
      <c r="G2933" s="35" t="s">
        <v>859</v>
      </c>
    </row>
    <row r="2934" spans="1:7">
      <c r="A2934" s="34">
        <v>2084308442</v>
      </c>
      <c r="B2934" s="35" t="s">
        <v>462</v>
      </c>
      <c r="C2934" s="35" t="s">
        <v>405</v>
      </c>
      <c r="D2934" s="35" t="s">
        <v>853</v>
      </c>
      <c r="E2934" s="35" t="s">
        <v>856</v>
      </c>
      <c r="F2934" s="35" t="s">
        <v>587</v>
      </c>
      <c r="G2934" s="35" t="s">
        <v>335</v>
      </c>
    </row>
    <row r="2935" spans="1:7">
      <c r="A2935" s="34">
        <v>2084062376</v>
      </c>
      <c r="B2935" s="35" t="s">
        <v>462</v>
      </c>
      <c r="C2935" s="35" t="s">
        <v>405</v>
      </c>
      <c r="D2935" s="35" t="s">
        <v>853</v>
      </c>
      <c r="E2935" s="35" t="s">
        <v>856</v>
      </c>
      <c r="F2935" s="35" t="s">
        <v>442</v>
      </c>
      <c r="G2935" s="35" t="s">
        <v>504</v>
      </c>
    </row>
    <row r="2936" spans="1:7">
      <c r="A2936" s="34">
        <v>2084062377</v>
      </c>
      <c r="B2936" s="35" t="s">
        <v>462</v>
      </c>
      <c r="C2936" s="35" t="s">
        <v>405</v>
      </c>
      <c r="D2936" s="35" t="s">
        <v>853</v>
      </c>
      <c r="E2936" s="35" t="s">
        <v>856</v>
      </c>
      <c r="F2936" s="35" t="s">
        <v>442</v>
      </c>
      <c r="G2936" s="35" t="s">
        <v>335</v>
      </c>
    </row>
    <row r="2937" spans="1:7">
      <c r="A2937" s="34">
        <v>2084062378</v>
      </c>
      <c r="B2937" s="35" t="s">
        <v>462</v>
      </c>
      <c r="C2937" s="35" t="s">
        <v>405</v>
      </c>
      <c r="D2937" s="35" t="s">
        <v>853</v>
      </c>
      <c r="E2937" s="35" t="s">
        <v>856</v>
      </c>
      <c r="F2937" s="35" t="s">
        <v>335</v>
      </c>
    </row>
    <row r="2938" spans="1:7">
      <c r="A2938" s="34">
        <v>2084050217</v>
      </c>
      <c r="B2938" s="35" t="s">
        <v>462</v>
      </c>
      <c r="C2938" s="35" t="s">
        <v>405</v>
      </c>
      <c r="D2938" s="35" t="s">
        <v>853</v>
      </c>
      <c r="E2938" s="35" t="s">
        <v>860</v>
      </c>
    </row>
    <row r="2939" spans="1:7">
      <c r="A2939" s="34">
        <v>2084259918</v>
      </c>
      <c r="B2939" s="35" t="s">
        <v>462</v>
      </c>
      <c r="C2939" s="35" t="s">
        <v>405</v>
      </c>
      <c r="D2939" s="35" t="s">
        <v>853</v>
      </c>
      <c r="E2939" s="35" t="s">
        <v>861</v>
      </c>
    </row>
    <row r="2940" spans="1:7">
      <c r="A2940" s="34">
        <v>2084238709</v>
      </c>
      <c r="B2940" s="35" t="s">
        <v>462</v>
      </c>
      <c r="C2940" s="35" t="s">
        <v>405</v>
      </c>
      <c r="D2940" s="35" t="s">
        <v>853</v>
      </c>
      <c r="E2940" s="35" t="s">
        <v>862</v>
      </c>
      <c r="F2940" s="35" t="s">
        <v>390</v>
      </c>
      <c r="G2940" s="35" t="s">
        <v>367</v>
      </c>
    </row>
    <row r="2941" spans="1:7">
      <c r="A2941" s="34">
        <v>2084238710</v>
      </c>
      <c r="B2941" s="35" t="s">
        <v>462</v>
      </c>
      <c r="C2941" s="35" t="s">
        <v>405</v>
      </c>
      <c r="D2941" s="35" t="s">
        <v>853</v>
      </c>
      <c r="E2941" s="35" t="s">
        <v>862</v>
      </c>
      <c r="F2941" s="35" t="s">
        <v>390</v>
      </c>
      <c r="G2941" s="35" t="s">
        <v>401</v>
      </c>
    </row>
    <row r="2942" spans="1:7">
      <c r="A2942" s="34">
        <v>2084238717</v>
      </c>
      <c r="B2942" s="35" t="s">
        <v>462</v>
      </c>
      <c r="C2942" s="35" t="s">
        <v>405</v>
      </c>
      <c r="D2942" s="35" t="s">
        <v>853</v>
      </c>
      <c r="E2942" s="35" t="s">
        <v>862</v>
      </c>
      <c r="F2942" s="35" t="s">
        <v>390</v>
      </c>
      <c r="G2942" s="35" t="s">
        <v>402</v>
      </c>
    </row>
    <row r="2943" spans="1:7">
      <c r="A2943" s="34">
        <v>2084238774</v>
      </c>
      <c r="B2943" s="35" t="s">
        <v>462</v>
      </c>
      <c r="C2943" s="35" t="s">
        <v>405</v>
      </c>
      <c r="D2943" s="35" t="s">
        <v>853</v>
      </c>
      <c r="E2943" s="35" t="s">
        <v>862</v>
      </c>
      <c r="F2943" s="35" t="s">
        <v>390</v>
      </c>
      <c r="G2943" s="35" t="s">
        <v>403</v>
      </c>
    </row>
    <row r="2944" spans="1:7">
      <c r="A2944" s="34">
        <v>2084238773</v>
      </c>
      <c r="B2944" s="35" t="s">
        <v>462</v>
      </c>
      <c r="C2944" s="35" t="s">
        <v>405</v>
      </c>
      <c r="D2944" s="35" t="s">
        <v>853</v>
      </c>
      <c r="E2944" s="35" t="s">
        <v>862</v>
      </c>
      <c r="F2944" s="35" t="s">
        <v>390</v>
      </c>
      <c r="G2944" s="35" t="s">
        <v>478</v>
      </c>
    </row>
    <row r="2945" spans="1:7">
      <c r="A2945" s="34">
        <v>2084238775</v>
      </c>
      <c r="B2945" s="35" t="s">
        <v>462</v>
      </c>
      <c r="C2945" s="35" t="s">
        <v>405</v>
      </c>
      <c r="D2945" s="35" t="s">
        <v>853</v>
      </c>
      <c r="E2945" s="35" t="s">
        <v>862</v>
      </c>
      <c r="F2945" s="35" t="s">
        <v>390</v>
      </c>
      <c r="G2945" s="35" t="s">
        <v>335</v>
      </c>
    </row>
    <row r="2946" spans="1:7">
      <c r="A2946" s="34">
        <v>2084238776</v>
      </c>
      <c r="B2946" s="35" t="s">
        <v>462</v>
      </c>
      <c r="C2946" s="35" t="s">
        <v>405</v>
      </c>
      <c r="D2946" s="35" t="s">
        <v>853</v>
      </c>
      <c r="E2946" s="35" t="s">
        <v>862</v>
      </c>
      <c r="F2946" s="35" t="s">
        <v>335</v>
      </c>
    </row>
    <row r="2947" spans="1:7">
      <c r="A2947" s="34">
        <v>2084215792</v>
      </c>
      <c r="B2947" s="35" t="s">
        <v>462</v>
      </c>
      <c r="C2947" s="35" t="s">
        <v>405</v>
      </c>
      <c r="D2947" s="35" t="s">
        <v>853</v>
      </c>
      <c r="E2947" s="35" t="s">
        <v>863</v>
      </c>
      <c r="F2947" s="35" t="s">
        <v>367</v>
      </c>
    </row>
    <row r="2948" spans="1:7">
      <c r="A2948" s="34">
        <v>2084215795</v>
      </c>
      <c r="B2948" s="35" t="s">
        <v>462</v>
      </c>
      <c r="C2948" s="35" t="s">
        <v>405</v>
      </c>
      <c r="D2948" s="35" t="s">
        <v>853</v>
      </c>
      <c r="E2948" s="35" t="s">
        <v>863</v>
      </c>
      <c r="F2948" s="35" t="s">
        <v>368</v>
      </c>
      <c r="G2948" s="35" t="s">
        <v>481</v>
      </c>
    </row>
    <row r="2949" spans="1:7">
      <c r="A2949" s="34">
        <v>2084215794</v>
      </c>
      <c r="B2949" s="35" t="s">
        <v>462</v>
      </c>
      <c r="C2949" s="35" t="s">
        <v>405</v>
      </c>
      <c r="D2949" s="35" t="s">
        <v>853</v>
      </c>
      <c r="E2949" s="35" t="s">
        <v>863</v>
      </c>
      <c r="F2949" s="35" t="s">
        <v>368</v>
      </c>
      <c r="G2949" s="35" t="s">
        <v>482</v>
      </c>
    </row>
    <row r="2950" spans="1:7">
      <c r="A2950" s="34">
        <v>2084215796</v>
      </c>
      <c r="B2950" s="35" t="s">
        <v>462</v>
      </c>
      <c r="C2950" s="35" t="s">
        <v>405</v>
      </c>
      <c r="D2950" s="35" t="s">
        <v>853</v>
      </c>
      <c r="E2950" s="35" t="s">
        <v>863</v>
      </c>
      <c r="F2950" s="35" t="s">
        <v>368</v>
      </c>
      <c r="G2950" s="35" t="s">
        <v>335</v>
      </c>
    </row>
    <row r="2951" spans="1:7">
      <c r="A2951" s="34">
        <v>2084215802</v>
      </c>
      <c r="B2951" s="35" t="s">
        <v>462</v>
      </c>
      <c r="C2951" s="35" t="s">
        <v>405</v>
      </c>
      <c r="D2951" s="35" t="s">
        <v>853</v>
      </c>
      <c r="E2951" s="35" t="s">
        <v>863</v>
      </c>
      <c r="F2951" s="35" t="s">
        <v>10</v>
      </c>
      <c r="G2951" s="35" t="s">
        <v>483</v>
      </c>
    </row>
    <row r="2952" spans="1:7">
      <c r="A2952" s="34">
        <v>2084215799</v>
      </c>
      <c r="B2952" s="35" t="s">
        <v>462</v>
      </c>
      <c r="C2952" s="35" t="s">
        <v>405</v>
      </c>
      <c r="D2952" s="35" t="s">
        <v>853</v>
      </c>
      <c r="E2952" s="35" t="s">
        <v>863</v>
      </c>
      <c r="F2952" s="35" t="s">
        <v>10</v>
      </c>
      <c r="G2952" s="35" t="s">
        <v>397</v>
      </c>
    </row>
    <row r="2953" spans="1:7">
      <c r="A2953" s="34">
        <v>2084215801</v>
      </c>
      <c r="B2953" s="35" t="s">
        <v>462</v>
      </c>
      <c r="C2953" s="35" t="s">
        <v>405</v>
      </c>
      <c r="D2953" s="35" t="s">
        <v>853</v>
      </c>
      <c r="E2953" s="35" t="s">
        <v>863</v>
      </c>
      <c r="F2953" s="35" t="s">
        <v>10</v>
      </c>
      <c r="G2953" s="35" t="s">
        <v>421</v>
      </c>
    </row>
    <row r="2954" spans="1:7">
      <c r="A2954" s="34">
        <v>2084215798</v>
      </c>
      <c r="B2954" s="35" t="s">
        <v>462</v>
      </c>
      <c r="C2954" s="35" t="s">
        <v>405</v>
      </c>
      <c r="D2954" s="35" t="s">
        <v>853</v>
      </c>
      <c r="E2954" s="35" t="s">
        <v>863</v>
      </c>
      <c r="F2954" s="35" t="s">
        <v>10</v>
      </c>
      <c r="G2954" s="35" t="s">
        <v>398</v>
      </c>
    </row>
    <row r="2955" spans="1:7">
      <c r="A2955" s="34">
        <v>2084215800</v>
      </c>
      <c r="B2955" s="35" t="s">
        <v>462</v>
      </c>
      <c r="C2955" s="35" t="s">
        <v>405</v>
      </c>
      <c r="D2955" s="35" t="s">
        <v>853</v>
      </c>
      <c r="E2955" s="35" t="s">
        <v>863</v>
      </c>
      <c r="F2955" s="35" t="s">
        <v>10</v>
      </c>
      <c r="G2955" s="35" t="s">
        <v>422</v>
      </c>
    </row>
    <row r="2956" spans="1:7">
      <c r="A2956" s="34">
        <v>2084215803</v>
      </c>
      <c r="B2956" s="35" t="s">
        <v>462</v>
      </c>
      <c r="C2956" s="35" t="s">
        <v>405</v>
      </c>
      <c r="D2956" s="35" t="s">
        <v>853</v>
      </c>
      <c r="E2956" s="35" t="s">
        <v>863</v>
      </c>
      <c r="F2956" s="35" t="s">
        <v>10</v>
      </c>
      <c r="G2956" s="35" t="s">
        <v>335</v>
      </c>
    </row>
    <row r="2957" spans="1:7">
      <c r="A2957" s="34">
        <v>2084215805</v>
      </c>
      <c r="B2957" s="35" t="s">
        <v>462</v>
      </c>
      <c r="C2957" s="35" t="s">
        <v>405</v>
      </c>
      <c r="D2957" s="35" t="s">
        <v>853</v>
      </c>
      <c r="E2957" s="35" t="s">
        <v>863</v>
      </c>
      <c r="F2957" s="35" t="s">
        <v>379</v>
      </c>
      <c r="G2957" s="35" t="s">
        <v>476</v>
      </c>
    </row>
    <row r="2958" spans="1:7">
      <c r="A2958" s="34">
        <v>2084215806</v>
      </c>
      <c r="B2958" s="35" t="s">
        <v>462</v>
      </c>
      <c r="C2958" s="35" t="s">
        <v>405</v>
      </c>
      <c r="D2958" s="35" t="s">
        <v>853</v>
      </c>
      <c r="E2958" s="35" t="s">
        <v>863</v>
      </c>
      <c r="F2958" s="35" t="s">
        <v>379</v>
      </c>
      <c r="G2958" s="35" t="s">
        <v>335</v>
      </c>
    </row>
    <row r="2959" spans="1:7">
      <c r="A2959" s="34">
        <v>2084215807</v>
      </c>
      <c r="B2959" s="35" t="s">
        <v>462</v>
      </c>
      <c r="C2959" s="35" t="s">
        <v>405</v>
      </c>
      <c r="D2959" s="35" t="s">
        <v>853</v>
      </c>
      <c r="E2959" s="35" t="s">
        <v>863</v>
      </c>
      <c r="F2959" s="35" t="s">
        <v>478</v>
      </c>
    </row>
    <row r="2960" spans="1:7">
      <c r="A2960" s="34">
        <v>2084215808</v>
      </c>
      <c r="B2960" s="35" t="s">
        <v>462</v>
      </c>
      <c r="C2960" s="35" t="s">
        <v>405</v>
      </c>
      <c r="D2960" s="35" t="s">
        <v>853</v>
      </c>
      <c r="E2960" s="35" t="s">
        <v>863</v>
      </c>
      <c r="F2960" s="35" t="s">
        <v>335</v>
      </c>
    </row>
    <row r="2961" spans="1:8">
      <c r="A2961" s="34">
        <v>2084222744</v>
      </c>
      <c r="B2961" s="35" t="s">
        <v>462</v>
      </c>
      <c r="C2961" s="35" t="s">
        <v>405</v>
      </c>
      <c r="D2961" s="35" t="s">
        <v>853</v>
      </c>
      <c r="E2961" s="35" t="s">
        <v>864</v>
      </c>
      <c r="F2961" s="35" t="s">
        <v>367</v>
      </c>
    </row>
    <row r="2962" spans="1:8">
      <c r="A2962" s="34">
        <v>2084222745</v>
      </c>
      <c r="B2962" s="35" t="s">
        <v>462</v>
      </c>
      <c r="C2962" s="35" t="s">
        <v>405</v>
      </c>
      <c r="D2962" s="35" t="s">
        <v>853</v>
      </c>
      <c r="E2962" s="35" t="s">
        <v>864</v>
      </c>
      <c r="F2962" s="35" t="s">
        <v>401</v>
      </c>
    </row>
    <row r="2963" spans="1:8">
      <c r="A2963" s="34">
        <v>2084222746</v>
      </c>
      <c r="B2963" s="35" t="s">
        <v>462</v>
      </c>
      <c r="C2963" s="35" t="s">
        <v>405</v>
      </c>
      <c r="D2963" s="35" t="s">
        <v>853</v>
      </c>
      <c r="E2963" s="35" t="s">
        <v>864</v>
      </c>
      <c r="F2963" s="35" t="s">
        <v>402</v>
      </c>
    </row>
    <row r="2964" spans="1:8">
      <c r="A2964" s="34">
        <v>2084222747</v>
      </c>
      <c r="B2964" s="35" t="s">
        <v>462</v>
      </c>
      <c r="C2964" s="35" t="s">
        <v>405</v>
      </c>
      <c r="D2964" s="35" t="s">
        <v>853</v>
      </c>
      <c r="E2964" s="35" t="s">
        <v>864</v>
      </c>
      <c r="F2964" s="35" t="s">
        <v>403</v>
      </c>
    </row>
    <row r="2965" spans="1:8">
      <c r="A2965" s="34">
        <v>2084222748</v>
      </c>
      <c r="B2965" s="35" t="s">
        <v>462</v>
      </c>
      <c r="C2965" s="35" t="s">
        <v>405</v>
      </c>
      <c r="D2965" s="35" t="s">
        <v>853</v>
      </c>
      <c r="E2965" s="35" t="s">
        <v>864</v>
      </c>
      <c r="F2965" s="35" t="s">
        <v>335</v>
      </c>
    </row>
    <row r="2966" spans="1:8">
      <c r="A2966" s="34">
        <v>2084050218</v>
      </c>
      <c r="B2966" s="35" t="s">
        <v>462</v>
      </c>
      <c r="C2966" s="35" t="s">
        <v>405</v>
      </c>
      <c r="D2966" s="35" t="s">
        <v>853</v>
      </c>
      <c r="E2966" s="35" t="s">
        <v>865</v>
      </c>
    </row>
    <row r="2967" spans="1:8">
      <c r="A2967" s="34">
        <v>2084050219</v>
      </c>
      <c r="B2967" s="35" t="s">
        <v>462</v>
      </c>
      <c r="C2967" s="35" t="s">
        <v>405</v>
      </c>
      <c r="D2967" s="35" t="s">
        <v>853</v>
      </c>
      <c r="E2967" s="35" t="s">
        <v>866</v>
      </c>
    </row>
    <row r="2968" spans="1:8">
      <c r="A2968" s="34">
        <v>2084258739</v>
      </c>
      <c r="B2968" s="35" t="s">
        <v>462</v>
      </c>
      <c r="C2968" s="35" t="s">
        <v>405</v>
      </c>
      <c r="D2968" s="35" t="s">
        <v>853</v>
      </c>
      <c r="E2968" s="35" t="s">
        <v>867</v>
      </c>
    </row>
    <row r="2969" spans="1:8">
      <c r="A2969" s="34">
        <v>2084283149</v>
      </c>
      <c r="B2969" s="35" t="s">
        <v>462</v>
      </c>
      <c r="C2969" s="35" t="s">
        <v>405</v>
      </c>
      <c r="D2969" s="35" t="s">
        <v>868</v>
      </c>
      <c r="E2969" s="35" t="s">
        <v>869</v>
      </c>
    </row>
    <row r="2970" spans="1:8">
      <c r="A2970" s="34">
        <v>2084028239</v>
      </c>
      <c r="B2970" s="35" t="s">
        <v>462</v>
      </c>
      <c r="C2970" s="35" t="s">
        <v>405</v>
      </c>
      <c r="D2970" s="35" t="s">
        <v>868</v>
      </c>
      <c r="E2970" s="35" t="s">
        <v>870</v>
      </c>
      <c r="F2970" s="35" t="s">
        <v>390</v>
      </c>
      <c r="G2970" s="35" t="s">
        <v>367</v>
      </c>
    </row>
    <row r="2971" spans="1:8">
      <c r="A2971" s="34">
        <v>2084028741</v>
      </c>
      <c r="B2971" s="35" t="s">
        <v>462</v>
      </c>
      <c r="C2971" s="35" t="s">
        <v>405</v>
      </c>
      <c r="D2971" s="35" t="s">
        <v>868</v>
      </c>
      <c r="E2971" s="35" t="s">
        <v>870</v>
      </c>
      <c r="F2971" s="35" t="s">
        <v>390</v>
      </c>
      <c r="G2971" s="35" t="s">
        <v>368</v>
      </c>
      <c r="H2971" s="35" t="s">
        <v>508</v>
      </c>
    </row>
    <row r="2972" spans="1:8">
      <c r="A2972" s="34">
        <v>2084029324</v>
      </c>
      <c r="B2972" s="35" t="s">
        <v>462</v>
      </c>
      <c r="C2972" s="35" t="s">
        <v>405</v>
      </c>
      <c r="D2972" s="35" t="s">
        <v>868</v>
      </c>
      <c r="E2972" s="35" t="s">
        <v>870</v>
      </c>
      <c r="F2972" s="35" t="s">
        <v>390</v>
      </c>
      <c r="G2972" s="35" t="s">
        <v>368</v>
      </c>
      <c r="H2972" s="35" t="s">
        <v>481</v>
      </c>
    </row>
    <row r="2973" spans="1:8">
      <c r="A2973" s="34">
        <v>2084029875</v>
      </c>
      <c r="B2973" s="35" t="s">
        <v>462</v>
      </c>
      <c r="C2973" s="35" t="s">
        <v>405</v>
      </c>
      <c r="D2973" s="35" t="s">
        <v>868</v>
      </c>
      <c r="E2973" s="35" t="s">
        <v>870</v>
      </c>
      <c r="F2973" s="35" t="s">
        <v>390</v>
      </c>
      <c r="G2973" s="35" t="s">
        <v>368</v>
      </c>
      <c r="H2973" s="35" t="s">
        <v>494</v>
      </c>
    </row>
    <row r="2974" spans="1:8">
      <c r="A2974" s="34">
        <v>2084058839</v>
      </c>
      <c r="B2974" s="35" t="s">
        <v>462</v>
      </c>
      <c r="C2974" s="35" t="s">
        <v>405</v>
      </c>
      <c r="D2974" s="35" t="s">
        <v>868</v>
      </c>
      <c r="E2974" s="35" t="s">
        <v>870</v>
      </c>
      <c r="F2974" s="35" t="s">
        <v>390</v>
      </c>
      <c r="G2974" s="35" t="s">
        <v>368</v>
      </c>
      <c r="H2974" s="35" t="s">
        <v>335</v>
      </c>
    </row>
    <row r="2975" spans="1:8">
      <c r="A2975" s="34">
        <v>2084027290</v>
      </c>
      <c r="B2975" s="35" t="s">
        <v>462</v>
      </c>
      <c r="C2975" s="35" t="s">
        <v>405</v>
      </c>
      <c r="D2975" s="35" t="s">
        <v>868</v>
      </c>
      <c r="E2975" s="35" t="s">
        <v>870</v>
      </c>
      <c r="F2975" s="35" t="s">
        <v>390</v>
      </c>
      <c r="G2975" s="35" t="s">
        <v>10</v>
      </c>
      <c r="H2975" s="35" t="s">
        <v>509</v>
      </c>
    </row>
    <row r="2976" spans="1:8">
      <c r="A2976" s="34">
        <v>2084027833</v>
      </c>
      <c r="B2976" s="35" t="s">
        <v>462</v>
      </c>
      <c r="C2976" s="35" t="s">
        <v>405</v>
      </c>
      <c r="D2976" s="35" t="s">
        <v>868</v>
      </c>
      <c r="E2976" s="35" t="s">
        <v>870</v>
      </c>
      <c r="F2976" s="35" t="s">
        <v>390</v>
      </c>
      <c r="G2976" s="35" t="s">
        <v>10</v>
      </c>
      <c r="H2976" s="35" t="s">
        <v>510</v>
      </c>
    </row>
    <row r="2977" spans="1:8">
      <c r="A2977" s="34">
        <v>2084027865</v>
      </c>
      <c r="B2977" s="35" t="s">
        <v>462</v>
      </c>
      <c r="C2977" s="35" t="s">
        <v>405</v>
      </c>
      <c r="D2977" s="35" t="s">
        <v>868</v>
      </c>
      <c r="E2977" s="35" t="s">
        <v>870</v>
      </c>
      <c r="F2977" s="35" t="s">
        <v>390</v>
      </c>
      <c r="G2977" s="35" t="s">
        <v>10</v>
      </c>
      <c r="H2977" s="35" t="s">
        <v>511</v>
      </c>
    </row>
    <row r="2978" spans="1:8">
      <c r="A2978" s="34">
        <v>2084027895</v>
      </c>
      <c r="B2978" s="35" t="s">
        <v>462</v>
      </c>
      <c r="C2978" s="35" t="s">
        <v>405</v>
      </c>
      <c r="D2978" s="35" t="s">
        <v>868</v>
      </c>
      <c r="E2978" s="35" t="s">
        <v>870</v>
      </c>
      <c r="F2978" s="35" t="s">
        <v>390</v>
      </c>
      <c r="G2978" s="35" t="s">
        <v>10</v>
      </c>
      <c r="H2978" s="35" t="s">
        <v>493</v>
      </c>
    </row>
    <row r="2979" spans="1:8">
      <c r="A2979" s="34">
        <v>2084027464</v>
      </c>
      <c r="B2979" s="35" t="s">
        <v>462</v>
      </c>
      <c r="C2979" s="35" t="s">
        <v>405</v>
      </c>
      <c r="D2979" s="35" t="s">
        <v>868</v>
      </c>
      <c r="E2979" s="35" t="s">
        <v>870</v>
      </c>
      <c r="F2979" s="35" t="s">
        <v>390</v>
      </c>
      <c r="G2979" s="35" t="s">
        <v>10</v>
      </c>
      <c r="H2979" s="35" t="s">
        <v>512</v>
      </c>
    </row>
    <row r="2980" spans="1:8">
      <c r="A2980" s="34">
        <v>2084027631</v>
      </c>
      <c r="B2980" s="35" t="s">
        <v>462</v>
      </c>
      <c r="C2980" s="35" t="s">
        <v>405</v>
      </c>
      <c r="D2980" s="35" t="s">
        <v>868</v>
      </c>
      <c r="E2980" s="35" t="s">
        <v>870</v>
      </c>
      <c r="F2980" s="35" t="s">
        <v>390</v>
      </c>
      <c r="G2980" s="35" t="s">
        <v>10</v>
      </c>
      <c r="H2980" s="35" t="s">
        <v>513</v>
      </c>
    </row>
    <row r="2981" spans="1:8">
      <c r="A2981" s="34">
        <v>2084027975</v>
      </c>
      <c r="B2981" s="35" t="s">
        <v>462</v>
      </c>
      <c r="C2981" s="35" t="s">
        <v>405</v>
      </c>
      <c r="D2981" s="35" t="s">
        <v>868</v>
      </c>
      <c r="E2981" s="35" t="s">
        <v>870</v>
      </c>
      <c r="F2981" s="35" t="s">
        <v>390</v>
      </c>
      <c r="G2981" s="35" t="s">
        <v>10</v>
      </c>
      <c r="H2981" s="35" t="s">
        <v>420</v>
      </c>
    </row>
    <row r="2982" spans="1:8">
      <c r="A2982" s="34">
        <v>2084027253</v>
      </c>
      <c r="B2982" s="35" t="s">
        <v>462</v>
      </c>
      <c r="C2982" s="35" t="s">
        <v>405</v>
      </c>
      <c r="D2982" s="35" t="s">
        <v>868</v>
      </c>
      <c r="E2982" s="35" t="s">
        <v>870</v>
      </c>
      <c r="F2982" s="35" t="s">
        <v>390</v>
      </c>
      <c r="G2982" s="35" t="s">
        <v>10</v>
      </c>
      <c r="H2982" s="35" t="s">
        <v>514</v>
      </c>
    </row>
    <row r="2983" spans="1:8">
      <c r="A2983" s="34">
        <v>2084027429</v>
      </c>
      <c r="B2983" s="35" t="s">
        <v>462</v>
      </c>
      <c r="C2983" s="35" t="s">
        <v>405</v>
      </c>
      <c r="D2983" s="35" t="s">
        <v>868</v>
      </c>
      <c r="E2983" s="35" t="s">
        <v>870</v>
      </c>
      <c r="F2983" s="35" t="s">
        <v>390</v>
      </c>
      <c r="G2983" s="35" t="s">
        <v>10</v>
      </c>
      <c r="H2983" s="35" t="s">
        <v>515</v>
      </c>
    </row>
    <row r="2984" spans="1:8">
      <c r="A2984" s="34">
        <v>2084027498</v>
      </c>
      <c r="B2984" s="35" t="s">
        <v>462</v>
      </c>
      <c r="C2984" s="35" t="s">
        <v>405</v>
      </c>
      <c r="D2984" s="35" t="s">
        <v>868</v>
      </c>
      <c r="E2984" s="35" t="s">
        <v>870</v>
      </c>
      <c r="F2984" s="35" t="s">
        <v>390</v>
      </c>
      <c r="G2984" s="35" t="s">
        <v>10</v>
      </c>
      <c r="H2984" s="35" t="s">
        <v>421</v>
      </c>
    </row>
    <row r="2985" spans="1:8">
      <c r="A2985" s="34">
        <v>2084027709</v>
      </c>
      <c r="B2985" s="35" t="s">
        <v>462</v>
      </c>
      <c r="C2985" s="35" t="s">
        <v>405</v>
      </c>
      <c r="D2985" s="35" t="s">
        <v>868</v>
      </c>
      <c r="E2985" s="35" t="s">
        <v>870</v>
      </c>
      <c r="F2985" s="35" t="s">
        <v>390</v>
      </c>
      <c r="G2985" s="35" t="s">
        <v>10</v>
      </c>
      <c r="H2985" s="35" t="s">
        <v>516</v>
      </c>
    </row>
    <row r="2986" spans="1:8">
      <c r="A2986" s="34">
        <v>2084027226</v>
      </c>
      <c r="B2986" s="35" t="s">
        <v>462</v>
      </c>
      <c r="C2986" s="35" t="s">
        <v>405</v>
      </c>
      <c r="D2986" s="35" t="s">
        <v>868</v>
      </c>
      <c r="E2986" s="35" t="s">
        <v>870</v>
      </c>
      <c r="F2986" s="35" t="s">
        <v>390</v>
      </c>
      <c r="G2986" s="35" t="s">
        <v>10</v>
      </c>
      <c r="H2986" s="35" t="s">
        <v>517</v>
      </c>
    </row>
    <row r="2987" spans="1:8">
      <c r="A2987" s="34">
        <v>2084027364</v>
      </c>
      <c r="B2987" s="35" t="s">
        <v>462</v>
      </c>
      <c r="C2987" s="35" t="s">
        <v>405</v>
      </c>
      <c r="D2987" s="35" t="s">
        <v>868</v>
      </c>
      <c r="E2987" s="35" t="s">
        <v>870</v>
      </c>
      <c r="F2987" s="35" t="s">
        <v>390</v>
      </c>
      <c r="G2987" s="35" t="s">
        <v>10</v>
      </c>
      <c r="H2987" s="35" t="s">
        <v>518</v>
      </c>
    </row>
    <row r="2988" spans="1:8">
      <c r="A2988" s="34">
        <v>2084027575</v>
      </c>
      <c r="B2988" s="35" t="s">
        <v>462</v>
      </c>
      <c r="C2988" s="35" t="s">
        <v>405</v>
      </c>
      <c r="D2988" s="35" t="s">
        <v>868</v>
      </c>
      <c r="E2988" s="35" t="s">
        <v>870</v>
      </c>
      <c r="F2988" s="35" t="s">
        <v>390</v>
      </c>
      <c r="G2988" s="35" t="s">
        <v>10</v>
      </c>
      <c r="H2988" s="35" t="s">
        <v>422</v>
      </c>
    </row>
    <row r="2989" spans="1:8">
      <c r="A2989" s="34">
        <v>2084027759</v>
      </c>
      <c r="B2989" s="35" t="s">
        <v>462</v>
      </c>
      <c r="C2989" s="35" t="s">
        <v>405</v>
      </c>
      <c r="D2989" s="35" t="s">
        <v>868</v>
      </c>
      <c r="E2989" s="35" t="s">
        <v>870</v>
      </c>
      <c r="F2989" s="35" t="s">
        <v>390</v>
      </c>
      <c r="G2989" s="35" t="s">
        <v>10</v>
      </c>
      <c r="H2989" s="35" t="s">
        <v>519</v>
      </c>
    </row>
    <row r="2990" spans="1:8">
      <c r="A2990" s="34">
        <v>2084058841</v>
      </c>
      <c r="B2990" s="35" t="s">
        <v>462</v>
      </c>
      <c r="C2990" s="35" t="s">
        <v>405</v>
      </c>
      <c r="D2990" s="35" t="s">
        <v>868</v>
      </c>
      <c r="E2990" s="35" t="s">
        <v>870</v>
      </c>
      <c r="F2990" s="35" t="s">
        <v>390</v>
      </c>
      <c r="G2990" s="35" t="s">
        <v>10</v>
      </c>
      <c r="H2990" s="35" t="s">
        <v>335</v>
      </c>
    </row>
    <row r="2991" spans="1:8">
      <c r="A2991" s="34">
        <v>2084028070</v>
      </c>
      <c r="B2991" s="35" t="s">
        <v>462</v>
      </c>
      <c r="C2991" s="35" t="s">
        <v>405</v>
      </c>
      <c r="D2991" s="35" t="s">
        <v>868</v>
      </c>
      <c r="E2991" s="35" t="s">
        <v>870</v>
      </c>
      <c r="F2991" s="35" t="s">
        <v>390</v>
      </c>
      <c r="G2991" s="35" t="s">
        <v>379</v>
      </c>
      <c r="H2991" s="35" t="s">
        <v>521</v>
      </c>
    </row>
    <row r="2992" spans="1:8">
      <c r="A2992" s="34">
        <v>2084028170</v>
      </c>
      <c r="B2992" s="35" t="s">
        <v>462</v>
      </c>
      <c r="C2992" s="35" t="s">
        <v>405</v>
      </c>
      <c r="D2992" s="35" t="s">
        <v>868</v>
      </c>
      <c r="E2992" s="35" t="s">
        <v>870</v>
      </c>
      <c r="F2992" s="35" t="s">
        <v>390</v>
      </c>
      <c r="G2992" s="35" t="s">
        <v>379</v>
      </c>
      <c r="H2992" s="35" t="s">
        <v>522</v>
      </c>
    </row>
    <row r="2993" spans="1:8">
      <c r="A2993" s="34">
        <v>2084028410</v>
      </c>
      <c r="B2993" s="35" t="s">
        <v>462</v>
      </c>
      <c r="C2993" s="35" t="s">
        <v>405</v>
      </c>
      <c r="D2993" s="35" t="s">
        <v>868</v>
      </c>
      <c r="E2993" s="35" t="s">
        <v>870</v>
      </c>
      <c r="F2993" s="35" t="s">
        <v>390</v>
      </c>
      <c r="G2993" s="35" t="s">
        <v>379</v>
      </c>
      <c r="H2993" s="35" t="s">
        <v>523</v>
      </c>
    </row>
    <row r="2994" spans="1:8">
      <c r="A2994" s="34">
        <v>2084028109</v>
      </c>
      <c r="B2994" s="35" t="s">
        <v>462</v>
      </c>
      <c r="C2994" s="35" t="s">
        <v>405</v>
      </c>
      <c r="D2994" s="35" t="s">
        <v>868</v>
      </c>
      <c r="E2994" s="35" t="s">
        <v>870</v>
      </c>
      <c r="F2994" s="35" t="s">
        <v>390</v>
      </c>
      <c r="G2994" s="35" t="s">
        <v>379</v>
      </c>
      <c r="H2994" s="35" t="s">
        <v>524</v>
      </c>
    </row>
    <row r="2995" spans="1:8">
      <c r="A2995" s="34">
        <v>2084028275</v>
      </c>
      <c r="B2995" s="35" t="s">
        <v>462</v>
      </c>
      <c r="C2995" s="35" t="s">
        <v>405</v>
      </c>
      <c r="D2995" s="35" t="s">
        <v>868</v>
      </c>
      <c r="E2995" s="35" t="s">
        <v>870</v>
      </c>
      <c r="F2995" s="35" t="s">
        <v>390</v>
      </c>
      <c r="G2995" s="35" t="s">
        <v>379</v>
      </c>
      <c r="H2995" s="35" t="s">
        <v>525</v>
      </c>
    </row>
    <row r="2996" spans="1:8">
      <c r="A2996" s="34">
        <v>2084028477</v>
      </c>
      <c r="B2996" s="35" t="s">
        <v>462</v>
      </c>
      <c r="C2996" s="35" t="s">
        <v>405</v>
      </c>
      <c r="D2996" s="35" t="s">
        <v>868</v>
      </c>
      <c r="E2996" s="35" t="s">
        <v>870</v>
      </c>
      <c r="F2996" s="35" t="s">
        <v>390</v>
      </c>
      <c r="G2996" s="35" t="s">
        <v>379</v>
      </c>
      <c r="H2996" s="35" t="s">
        <v>526</v>
      </c>
    </row>
    <row r="2997" spans="1:8">
      <c r="A2997" s="34">
        <v>2084028300</v>
      </c>
      <c r="B2997" s="35" t="s">
        <v>462</v>
      </c>
      <c r="C2997" s="35" t="s">
        <v>405</v>
      </c>
      <c r="D2997" s="35" t="s">
        <v>868</v>
      </c>
      <c r="E2997" s="35" t="s">
        <v>870</v>
      </c>
      <c r="F2997" s="35" t="s">
        <v>390</v>
      </c>
      <c r="G2997" s="35" t="s">
        <v>379</v>
      </c>
      <c r="H2997" s="35" t="s">
        <v>527</v>
      </c>
    </row>
    <row r="2998" spans="1:8">
      <c r="A2998" s="34">
        <v>2084028512</v>
      </c>
      <c r="B2998" s="35" t="s">
        <v>462</v>
      </c>
      <c r="C2998" s="35" t="s">
        <v>405</v>
      </c>
      <c r="D2998" s="35" t="s">
        <v>868</v>
      </c>
      <c r="E2998" s="35" t="s">
        <v>870</v>
      </c>
      <c r="F2998" s="35" t="s">
        <v>390</v>
      </c>
      <c r="G2998" s="35" t="s">
        <v>379</v>
      </c>
      <c r="H2998" s="35" t="s">
        <v>528</v>
      </c>
    </row>
    <row r="2999" spans="1:8">
      <c r="A2999" s="34">
        <v>2084028388</v>
      </c>
      <c r="B2999" s="35" t="s">
        <v>462</v>
      </c>
      <c r="C2999" s="35" t="s">
        <v>405</v>
      </c>
      <c r="D2999" s="35" t="s">
        <v>868</v>
      </c>
      <c r="E2999" s="35" t="s">
        <v>870</v>
      </c>
      <c r="F2999" s="35" t="s">
        <v>390</v>
      </c>
      <c r="G2999" s="35" t="s">
        <v>379</v>
      </c>
      <c r="H2999" s="35" t="s">
        <v>529</v>
      </c>
    </row>
    <row r="3000" spans="1:8">
      <c r="A3000" s="34">
        <v>2084058843</v>
      </c>
      <c r="B3000" s="35" t="s">
        <v>462</v>
      </c>
      <c r="C3000" s="35" t="s">
        <v>405</v>
      </c>
      <c r="D3000" s="35" t="s">
        <v>868</v>
      </c>
      <c r="E3000" s="35" t="s">
        <v>870</v>
      </c>
      <c r="F3000" s="35" t="s">
        <v>390</v>
      </c>
      <c r="G3000" s="35" t="s">
        <v>379</v>
      </c>
      <c r="H3000" s="35" t="s">
        <v>335</v>
      </c>
    </row>
    <row r="3001" spans="1:8">
      <c r="A3001" s="34">
        <v>2084028552</v>
      </c>
      <c r="B3001" s="35" t="s">
        <v>462</v>
      </c>
      <c r="C3001" s="35" t="s">
        <v>405</v>
      </c>
      <c r="D3001" s="35" t="s">
        <v>868</v>
      </c>
      <c r="E3001" s="35" t="s">
        <v>870</v>
      </c>
      <c r="F3001" s="35" t="s">
        <v>390</v>
      </c>
      <c r="G3001" s="35" t="s">
        <v>530</v>
      </c>
      <c r="H3001" s="35" t="s">
        <v>531</v>
      </c>
    </row>
    <row r="3002" spans="1:8">
      <c r="A3002" s="34">
        <v>2084028590</v>
      </c>
      <c r="B3002" s="35" t="s">
        <v>462</v>
      </c>
      <c r="C3002" s="35" t="s">
        <v>405</v>
      </c>
      <c r="D3002" s="35" t="s">
        <v>868</v>
      </c>
      <c r="E3002" s="35" t="s">
        <v>870</v>
      </c>
      <c r="F3002" s="35" t="s">
        <v>390</v>
      </c>
      <c r="G3002" s="35" t="s">
        <v>530</v>
      </c>
      <c r="H3002" s="35" t="s">
        <v>532</v>
      </c>
    </row>
    <row r="3003" spans="1:8">
      <c r="A3003" s="34">
        <v>2084058845</v>
      </c>
      <c r="B3003" s="35" t="s">
        <v>462</v>
      </c>
      <c r="C3003" s="35" t="s">
        <v>405</v>
      </c>
      <c r="D3003" s="35" t="s">
        <v>868</v>
      </c>
      <c r="E3003" s="35" t="s">
        <v>870</v>
      </c>
      <c r="F3003" s="35" t="s">
        <v>390</v>
      </c>
      <c r="G3003" s="35" t="s">
        <v>530</v>
      </c>
      <c r="H3003" s="35" t="s">
        <v>335</v>
      </c>
    </row>
    <row r="3004" spans="1:8">
      <c r="A3004" s="34">
        <v>2084058847</v>
      </c>
      <c r="B3004" s="35" t="s">
        <v>462</v>
      </c>
      <c r="C3004" s="35" t="s">
        <v>405</v>
      </c>
      <c r="D3004" s="35" t="s">
        <v>868</v>
      </c>
      <c r="E3004" s="35" t="s">
        <v>870</v>
      </c>
      <c r="F3004" s="35" t="s">
        <v>390</v>
      </c>
      <c r="G3004" s="35" t="s">
        <v>549</v>
      </c>
    </row>
    <row r="3005" spans="1:8">
      <c r="A3005" s="34">
        <v>2084058848</v>
      </c>
      <c r="B3005" s="35" t="s">
        <v>462</v>
      </c>
      <c r="C3005" s="35" t="s">
        <v>405</v>
      </c>
      <c r="D3005" s="35" t="s">
        <v>868</v>
      </c>
      <c r="E3005" s="35" t="s">
        <v>870</v>
      </c>
      <c r="F3005" s="35" t="s">
        <v>390</v>
      </c>
      <c r="G3005" s="35" t="s">
        <v>335</v>
      </c>
    </row>
    <row r="3006" spans="1:8">
      <c r="A3006" s="34">
        <v>2084048670</v>
      </c>
      <c r="B3006" s="35" t="s">
        <v>462</v>
      </c>
      <c r="C3006" s="35" t="s">
        <v>405</v>
      </c>
      <c r="D3006" s="35" t="s">
        <v>868</v>
      </c>
      <c r="E3006" s="35" t="s">
        <v>870</v>
      </c>
      <c r="F3006" s="35" t="s">
        <v>335</v>
      </c>
    </row>
    <row r="3007" spans="1:8">
      <c r="A3007" s="34">
        <v>2084205016</v>
      </c>
      <c r="B3007" s="35" t="s">
        <v>462</v>
      </c>
      <c r="C3007" s="35" t="s">
        <v>405</v>
      </c>
      <c r="D3007" s="35" t="s">
        <v>868</v>
      </c>
      <c r="E3007" s="35" t="s">
        <v>871</v>
      </c>
      <c r="F3007" s="35" t="s">
        <v>407</v>
      </c>
    </row>
    <row r="3008" spans="1:8">
      <c r="A3008" s="34">
        <v>2084205015</v>
      </c>
      <c r="B3008" s="35" t="s">
        <v>462</v>
      </c>
      <c r="C3008" s="35" t="s">
        <v>405</v>
      </c>
      <c r="D3008" s="35" t="s">
        <v>868</v>
      </c>
      <c r="E3008" s="35" t="s">
        <v>871</v>
      </c>
      <c r="F3008" s="35" t="s">
        <v>408</v>
      </c>
    </row>
    <row r="3009" spans="1:8">
      <c r="A3009" s="34">
        <v>2084205017</v>
      </c>
      <c r="B3009" s="35" t="s">
        <v>462</v>
      </c>
      <c r="C3009" s="35" t="s">
        <v>405</v>
      </c>
      <c r="D3009" s="35" t="s">
        <v>868</v>
      </c>
      <c r="E3009" s="35" t="s">
        <v>871</v>
      </c>
      <c r="F3009" s="35" t="s">
        <v>335</v>
      </c>
    </row>
    <row r="3010" spans="1:8">
      <c r="A3010" s="34">
        <v>2084205170</v>
      </c>
      <c r="B3010" s="35" t="s">
        <v>462</v>
      </c>
      <c r="C3010" s="35" t="s">
        <v>405</v>
      </c>
      <c r="D3010" s="35" t="s">
        <v>868</v>
      </c>
      <c r="E3010" s="35" t="s">
        <v>872</v>
      </c>
      <c r="F3010" s="35" t="s">
        <v>407</v>
      </c>
    </row>
    <row r="3011" spans="1:8">
      <c r="A3011" s="34">
        <v>2084205169</v>
      </c>
      <c r="B3011" s="35" t="s">
        <v>462</v>
      </c>
      <c r="C3011" s="35" t="s">
        <v>405</v>
      </c>
      <c r="D3011" s="35" t="s">
        <v>868</v>
      </c>
      <c r="E3011" s="35" t="s">
        <v>872</v>
      </c>
      <c r="F3011" s="35" t="s">
        <v>408</v>
      </c>
    </row>
    <row r="3012" spans="1:8">
      <c r="A3012" s="34">
        <v>2084205171</v>
      </c>
      <c r="B3012" s="35" t="s">
        <v>462</v>
      </c>
      <c r="C3012" s="35" t="s">
        <v>405</v>
      </c>
      <c r="D3012" s="35" t="s">
        <v>868</v>
      </c>
      <c r="E3012" s="35" t="s">
        <v>872</v>
      </c>
      <c r="F3012" s="35" t="s">
        <v>335</v>
      </c>
    </row>
    <row r="3013" spans="1:8">
      <c r="A3013" s="34">
        <v>2084309226</v>
      </c>
      <c r="B3013" s="35" t="s">
        <v>462</v>
      </c>
      <c r="C3013" s="35" t="s">
        <v>405</v>
      </c>
      <c r="D3013" s="35" t="s">
        <v>868</v>
      </c>
      <c r="E3013" s="35" t="s">
        <v>873</v>
      </c>
      <c r="F3013" s="35" t="s">
        <v>587</v>
      </c>
      <c r="G3013" s="35" t="s">
        <v>390</v>
      </c>
      <c r="H3013" s="35" t="s">
        <v>588</v>
      </c>
    </row>
    <row r="3014" spans="1:8">
      <c r="A3014" s="34">
        <v>2084228273</v>
      </c>
      <c r="B3014" s="35" t="s">
        <v>462</v>
      </c>
      <c r="C3014" s="35" t="s">
        <v>405</v>
      </c>
      <c r="D3014" s="35" t="s">
        <v>868</v>
      </c>
      <c r="E3014" s="35" t="s">
        <v>873</v>
      </c>
      <c r="F3014" s="35" t="s">
        <v>587</v>
      </c>
      <c r="G3014" s="35" t="s">
        <v>390</v>
      </c>
      <c r="H3014" s="35" t="s">
        <v>857</v>
      </c>
    </row>
    <row r="3015" spans="1:8">
      <c r="A3015" s="34">
        <v>2084228274</v>
      </c>
      <c r="B3015" s="35" t="s">
        <v>462</v>
      </c>
      <c r="C3015" s="35" t="s">
        <v>405</v>
      </c>
      <c r="D3015" s="35" t="s">
        <v>868</v>
      </c>
      <c r="E3015" s="35" t="s">
        <v>873</v>
      </c>
      <c r="F3015" s="35" t="s">
        <v>587</v>
      </c>
      <c r="G3015" s="35" t="s">
        <v>390</v>
      </c>
      <c r="H3015" s="35" t="s">
        <v>859</v>
      </c>
    </row>
    <row r="3016" spans="1:8">
      <c r="A3016" s="34">
        <v>2084309227</v>
      </c>
      <c r="B3016" s="35" t="s">
        <v>462</v>
      </c>
      <c r="C3016" s="35" t="s">
        <v>405</v>
      </c>
      <c r="D3016" s="35" t="s">
        <v>868</v>
      </c>
      <c r="E3016" s="35" t="s">
        <v>873</v>
      </c>
      <c r="F3016" s="35" t="s">
        <v>587</v>
      </c>
      <c r="G3016" s="35" t="s">
        <v>390</v>
      </c>
      <c r="H3016" s="35" t="s">
        <v>335</v>
      </c>
    </row>
    <row r="3017" spans="1:8">
      <c r="A3017" s="34">
        <v>2084309230</v>
      </c>
      <c r="B3017" s="35" t="s">
        <v>462</v>
      </c>
      <c r="C3017" s="35" t="s">
        <v>405</v>
      </c>
      <c r="D3017" s="35" t="s">
        <v>868</v>
      </c>
      <c r="E3017" s="35" t="s">
        <v>873</v>
      </c>
      <c r="F3017" s="35" t="s">
        <v>587</v>
      </c>
      <c r="G3017" s="35" t="s">
        <v>353</v>
      </c>
      <c r="H3017" s="35" t="s">
        <v>588</v>
      </c>
    </row>
    <row r="3018" spans="1:8">
      <c r="A3018" s="34">
        <v>2084309231</v>
      </c>
      <c r="B3018" s="35" t="s">
        <v>462</v>
      </c>
      <c r="C3018" s="35" t="s">
        <v>405</v>
      </c>
      <c r="D3018" s="35" t="s">
        <v>868</v>
      </c>
      <c r="E3018" s="35" t="s">
        <v>873</v>
      </c>
      <c r="F3018" s="35" t="s">
        <v>587</v>
      </c>
      <c r="G3018" s="35" t="s">
        <v>353</v>
      </c>
      <c r="H3018" s="35" t="s">
        <v>874</v>
      </c>
    </row>
    <row r="3019" spans="1:8">
      <c r="A3019" s="34">
        <v>2084309232</v>
      </c>
      <c r="B3019" s="35" t="s">
        <v>462</v>
      </c>
      <c r="C3019" s="35" t="s">
        <v>405</v>
      </c>
      <c r="D3019" s="35" t="s">
        <v>868</v>
      </c>
      <c r="E3019" s="35" t="s">
        <v>873</v>
      </c>
      <c r="F3019" s="35" t="s">
        <v>587</v>
      </c>
      <c r="G3019" s="35" t="s">
        <v>353</v>
      </c>
      <c r="H3019" s="35" t="s">
        <v>335</v>
      </c>
    </row>
    <row r="3020" spans="1:8">
      <c r="A3020" s="34">
        <v>2084286920</v>
      </c>
      <c r="B3020" s="35" t="s">
        <v>462</v>
      </c>
      <c r="C3020" s="35" t="s">
        <v>405</v>
      </c>
      <c r="D3020" s="35" t="s">
        <v>868</v>
      </c>
      <c r="E3020" s="35" t="s">
        <v>873</v>
      </c>
      <c r="F3020" s="35" t="s">
        <v>611</v>
      </c>
      <c r="G3020" s="35" t="s">
        <v>390</v>
      </c>
      <c r="H3020" s="35" t="s">
        <v>788</v>
      </c>
    </row>
    <row r="3021" spans="1:8">
      <c r="A3021" s="34">
        <v>2084286921</v>
      </c>
      <c r="B3021" s="35" t="s">
        <v>462</v>
      </c>
      <c r="C3021" s="35" t="s">
        <v>405</v>
      </c>
      <c r="D3021" s="35" t="s">
        <v>868</v>
      </c>
      <c r="E3021" s="35" t="s">
        <v>873</v>
      </c>
      <c r="F3021" s="35" t="s">
        <v>611</v>
      </c>
      <c r="G3021" s="35" t="s">
        <v>390</v>
      </c>
      <c r="H3021" s="35" t="s">
        <v>789</v>
      </c>
    </row>
    <row r="3022" spans="1:8">
      <c r="A3022" s="34">
        <v>2084286922</v>
      </c>
      <c r="B3022" s="35" t="s">
        <v>462</v>
      </c>
      <c r="C3022" s="35" t="s">
        <v>405</v>
      </c>
      <c r="D3022" s="35" t="s">
        <v>868</v>
      </c>
      <c r="E3022" s="35" t="s">
        <v>873</v>
      </c>
      <c r="F3022" s="35" t="s">
        <v>611</v>
      </c>
      <c r="G3022" s="35" t="s">
        <v>390</v>
      </c>
      <c r="H3022" s="35" t="s">
        <v>790</v>
      </c>
    </row>
    <row r="3023" spans="1:8">
      <c r="A3023" s="34">
        <v>2084286923</v>
      </c>
      <c r="B3023" s="35" t="s">
        <v>462</v>
      </c>
      <c r="C3023" s="35" t="s">
        <v>405</v>
      </c>
      <c r="D3023" s="35" t="s">
        <v>868</v>
      </c>
      <c r="E3023" s="35" t="s">
        <v>873</v>
      </c>
      <c r="F3023" s="35" t="s">
        <v>611</v>
      </c>
      <c r="G3023" s="35" t="s">
        <v>390</v>
      </c>
      <c r="H3023" s="35" t="s">
        <v>791</v>
      </c>
    </row>
    <row r="3024" spans="1:8">
      <c r="A3024" s="34">
        <v>2084286924</v>
      </c>
      <c r="B3024" s="35" t="s">
        <v>462</v>
      </c>
      <c r="C3024" s="35" t="s">
        <v>405</v>
      </c>
      <c r="D3024" s="35" t="s">
        <v>868</v>
      </c>
      <c r="E3024" s="35" t="s">
        <v>873</v>
      </c>
      <c r="F3024" s="35" t="s">
        <v>611</v>
      </c>
      <c r="G3024" s="35" t="s">
        <v>390</v>
      </c>
      <c r="H3024" s="35" t="s">
        <v>792</v>
      </c>
    </row>
    <row r="3025" spans="1:8">
      <c r="A3025" s="34">
        <v>2084286925</v>
      </c>
      <c r="B3025" s="35" t="s">
        <v>462</v>
      </c>
      <c r="C3025" s="35" t="s">
        <v>405</v>
      </c>
      <c r="D3025" s="35" t="s">
        <v>868</v>
      </c>
      <c r="E3025" s="35" t="s">
        <v>873</v>
      </c>
      <c r="F3025" s="35" t="s">
        <v>611</v>
      </c>
      <c r="G3025" s="35" t="s">
        <v>390</v>
      </c>
      <c r="H3025" s="35" t="s">
        <v>793</v>
      </c>
    </row>
    <row r="3026" spans="1:8">
      <c r="A3026" s="34">
        <v>2084286926</v>
      </c>
      <c r="B3026" s="35" t="s">
        <v>462</v>
      </c>
      <c r="C3026" s="35" t="s">
        <v>405</v>
      </c>
      <c r="D3026" s="35" t="s">
        <v>868</v>
      </c>
      <c r="E3026" s="35" t="s">
        <v>873</v>
      </c>
      <c r="F3026" s="35" t="s">
        <v>611</v>
      </c>
      <c r="G3026" s="35" t="s">
        <v>390</v>
      </c>
      <c r="H3026" s="35" t="s">
        <v>794</v>
      </c>
    </row>
    <row r="3027" spans="1:8">
      <c r="A3027" s="34">
        <v>2084286927</v>
      </c>
      <c r="B3027" s="35" t="s">
        <v>462</v>
      </c>
      <c r="C3027" s="35" t="s">
        <v>405</v>
      </c>
      <c r="D3027" s="35" t="s">
        <v>868</v>
      </c>
      <c r="E3027" s="35" t="s">
        <v>873</v>
      </c>
      <c r="F3027" s="35" t="s">
        <v>611</v>
      </c>
      <c r="G3027" s="35" t="s">
        <v>353</v>
      </c>
      <c r="H3027" s="35" t="s">
        <v>875</v>
      </c>
    </row>
    <row r="3028" spans="1:8">
      <c r="A3028" s="34">
        <v>2084286928</v>
      </c>
      <c r="B3028" s="35" t="s">
        <v>462</v>
      </c>
      <c r="C3028" s="35" t="s">
        <v>405</v>
      </c>
      <c r="D3028" s="35" t="s">
        <v>868</v>
      </c>
      <c r="E3028" s="35" t="s">
        <v>873</v>
      </c>
      <c r="F3028" s="35" t="s">
        <v>611</v>
      </c>
      <c r="G3028" s="35" t="s">
        <v>353</v>
      </c>
      <c r="H3028" s="35" t="s">
        <v>793</v>
      </c>
    </row>
    <row r="3029" spans="1:8">
      <c r="A3029" s="34">
        <v>2084286929</v>
      </c>
      <c r="B3029" s="35" t="s">
        <v>462</v>
      </c>
      <c r="C3029" s="35" t="s">
        <v>405</v>
      </c>
      <c r="D3029" s="35" t="s">
        <v>868</v>
      </c>
      <c r="E3029" s="35" t="s">
        <v>873</v>
      </c>
      <c r="F3029" s="35" t="s">
        <v>611</v>
      </c>
      <c r="G3029" s="35" t="s">
        <v>353</v>
      </c>
      <c r="H3029" s="35" t="s">
        <v>876</v>
      </c>
    </row>
    <row r="3030" spans="1:8">
      <c r="A3030" s="34">
        <v>2084286930</v>
      </c>
      <c r="B3030" s="35" t="s">
        <v>462</v>
      </c>
      <c r="C3030" s="35" t="s">
        <v>405</v>
      </c>
      <c r="D3030" s="35" t="s">
        <v>868</v>
      </c>
      <c r="E3030" s="35" t="s">
        <v>873</v>
      </c>
      <c r="F3030" s="35" t="s">
        <v>611</v>
      </c>
      <c r="G3030" s="35" t="s">
        <v>353</v>
      </c>
      <c r="H3030" s="35" t="s">
        <v>877</v>
      </c>
    </row>
    <row r="3031" spans="1:8">
      <c r="A3031" s="34">
        <v>2084286931</v>
      </c>
      <c r="B3031" s="35" t="s">
        <v>462</v>
      </c>
      <c r="C3031" s="35" t="s">
        <v>405</v>
      </c>
      <c r="D3031" s="35" t="s">
        <v>868</v>
      </c>
      <c r="E3031" s="35" t="s">
        <v>873</v>
      </c>
      <c r="F3031" s="35" t="s">
        <v>611</v>
      </c>
      <c r="G3031" s="35" t="s">
        <v>353</v>
      </c>
      <c r="H3031" s="35" t="s">
        <v>878</v>
      </c>
    </row>
    <row r="3032" spans="1:8">
      <c r="A3032" s="34">
        <v>2084286932</v>
      </c>
      <c r="B3032" s="35" t="s">
        <v>462</v>
      </c>
      <c r="C3032" s="35" t="s">
        <v>405</v>
      </c>
      <c r="D3032" s="35" t="s">
        <v>868</v>
      </c>
      <c r="E3032" s="35" t="s">
        <v>873</v>
      </c>
      <c r="F3032" s="35" t="s">
        <v>611</v>
      </c>
      <c r="G3032" s="35" t="s">
        <v>353</v>
      </c>
      <c r="H3032" s="35" t="s">
        <v>879</v>
      </c>
    </row>
    <row r="3033" spans="1:8">
      <c r="A3033" s="34">
        <v>2084286933</v>
      </c>
      <c r="B3033" s="35" t="s">
        <v>462</v>
      </c>
      <c r="C3033" s="35" t="s">
        <v>405</v>
      </c>
      <c r="D3033" s="35" t="s">
        <v>868</v>
      </c>
      <c r="E3033" s="35" t="s">
        <v>873</v>
      </c>
      <c r="F3033" s="35" t="s">
        <v>611</v>
      </c>
      <c r="G3033" s="35" t="s">
        <v>353</v>
      </c>
      <c r="H3033" s="35" t="s">
        <v>880</v>
      </c>
    </row>
    <row r="3034" spans="1:8">
      <c r="A3034" s="34">
        <v>2084286934</v>
      </c>
      <c r="B3034" s="35" t="s">
        <v>462</v>
      </c>
      <c r="C3034" s="35" t="s">
        <v>405</v>
      </c>
      <c r="D3034" s="35" t="s">
        <v>868</v>
      </c>
      <c r="E3034" s="35" t="s">
        <v>873</v>
      </c>
      <c r="F3034" s="35" t="s">
        <v>611</v>
      </c>
      <c r="G3034" s="35" t="s">
        <v>353</v>
      </c>
      <c r="H3034" s="35" t="s">
        <v>881</v>
      </c>
    </row>
    <row r="3035" spans="1:8">
      <c r="A3035" s="34">
        <v>2084286935</v>
      </c>
      <c r="B3035" s="35" t="s">
        <v>462</v>
      </c>
      <c r="C3035" s="35" t="s">
        <v>405</v>
      </c>
      <c r="D3035" s="35" t="s">
        <v>868</v>
      </c>
      <c r="E3035" s="35" t="s">
        <v>873</v>
      </c>
      <c r="F3035" s="35" t="s">
        <v>611</v>
      </c>
      <c r="G3035" s="35" t="s">
        <v>353</v>
      </c>
      <c r="H3035" s="35" t="s">
        <v>882</v>
      </c>
    </row>
    <row r="3036" spans="1:8">
      <c r="A3036" s="34">
        <v>2084286936</v>
      </c>
      <c r="B3036" s="35" t="s">
        <v>462</v>
      </c>
      <c r="C3036" s="35" t="s">
        <v>405</v>
      </c>
      <c r="D3036" s="35" t="s">
        <v>868</v>
      </c>
      <c r="E3036" s="35" t="s">
        <v>873</v>
      </c>
      <c r="F3036" s="35" t="s">
        <v>611</v>
      </c>
      <c r="G3036" s="35" t="s">
        <v>353</v>
      </c>
      <c r="H3036" s="35" t="s">
        <v>883</v>
      </c>
    </row>
    <row r="3037" spans="1:8">
      <c r="A3037" s="34">
        <v>2084286937</v>
      </c>
      <c r="B3037" s="35" t="s">
        <v>462</v>
      </c>
      <c r="C3037" s="35" t="s">
        <v>405</v>
      </c>
      <c r="D3037" s="35" t="s">
        <v>868</v>
      </c>
      <c r="E3037" s="35" t="s">
        <v>873</v>
      </c>
      <c r="F3037" s="35" t="s">
        <v>611</v>
      </c>
      <c r="G3037" s="35" t="s">
        <v>353</v>
      </c>
      <c r="H3037" s="35" t="s">
        <v>884</v>
      </c>
    </row>
    <row r="3038" spans="1:8">
      <c r="A3038" s="34">
        <v>2084061771</v>
      </c>
      <c r="B3038" s="35" t="s">
        <v>462</v>
      </c>
      <c r="C3038" s="35" t="s">
        <v>405</v>
      </c>
      <c r="D3038" s="35" t="s">
        <v>868</v>
      </c>
      <c r="E3038" s="35" t="s">
        <v>873</v>
      </c>
      <c r="F3038" s="35" t="s">
        <v>442</v>
      </c>
      <c r="G3038" s="35" t="s">
        <v>885</v>
      </c>
    </row>
    <row r="3039" spans="1:8">
      <c r="A3039" s="34">
        <v>2084033916</v>
      </c>
      <c r="B3039" s="35" t="s">
        <v>462</v>
      </c>
      <c r="C3039" s="35" t="s">
        <v>405</v>
      </c>
      <c r="D3039" s="35" t="s">
        <v>868</v>
      </c>
      <c r="E3039" s="35" t="s">
        <v>873</v>
      </c>
      <c r="F3039" s="35" t="s">
        <v>442</v>
      </c>
      <c r="G3039" s="35" t="s">
        <v>538</v>
      </c>
    </row>
    <row r="3040" spans="1:8">
      <c r="A3040" s="34">
        <v>2084033915</v>
      </c>
      <c r="B3040" s="35" t="s">
        <v>462</v>
      </c>
      <c r="C3040" s="35" t="s">
        <v>405</v>
      </c>
      <c r="D3040" s="35" t="s">
        <v>868</v>
      </c>
      <c r="E3040" s="35" t="s">
        <v>873</v>
      </c>
      <c r="F3040" s="35" t="s">
        <v>442</v>
      </c>
      <c r="G3040" s="35" t="s">
        <v>539</v>
      </c>
    </row>
    <row r="3041" spans="1:8">
      <c r="A3041" s="34">
        <v>2084050889</v>
      </c>
      <c r="B3041" s="35" t="s">
        <v>462</v>
      </c>
      <c r="C3041" s="35" t="s">
        <v>405</v>
      </c>
      <c r="D3041" s="35" t="s">
        <v>868</v>
      </c>
      <c r="E3041" s="35" t="s">
        <v>873</v>
      </c>
      <c r="F3041" s="35" t="s">
        <v>442</v>
      </c>
      <c r="G3041" s="35" t="s">
        <v>445</v>
      </c>
    </row>
    <row r="3042" spans="1:8">
      <c r="A3042" s="34">
        <v>2084050890</v>
      </c>
      <c r="B3042" s="35" t="s">
        <v>462</v>
      </c>
      <c r="C3042" s="35" t="s">
        <v>405</v>
      </c>
      <c r="D3042" s="35" t="s">
        <v>868</v>
      </c>
      <c r="E3042" s="35" t="s">
        <v>873</v>
      </c>
      <c r="F3042" s="35" t="s">
        <v>442</v>
      </c>
      <c r="G3042" s="35" t="s">
        <v>335</v>
      </c>
    </row>
    <row r="3043" spans="1:8">
      <c r="A3043" s="34">
        <v>2084048797</v>
      </c>
      <c r="B3043" s="35" t="s">
        <v>462</v>
      </c>
      <c r="C3043" s="35" t="s">
        <v>405</v>
      </c>
      <c r="D3043" s="35" t="s">
        <v>868</v>
      </c>
      <c r="E3043" s="35" t="s">
        <v>873</v>
      </c>
      <c r="F3043" s="35" t="s">
        <v>335</v>
      </c>
    </row>
    <row r="3044" spans="1:8">
      <c r="A3044" s="34">
        <v>2084028193</v>
      </c>
      <c r="B3044" s="35" t="s">
        <v>462</v>
      </c>
      <c r="C3044" s="35" t="s">
        <v>405</v>
      </c>
      <c r="D3044" s="35" t="s">
        <v>868</v>
      </c>
      <c r="E3044" s="35" t="s">
        <v>886</v>
      </c>
      <c r="F3044" s="35" t="s">
        <v>390</v>
      </c>
      <c r="G3044" s="35" t="s">
        <v>367</v>
      </c>
    </row>
    <row r="3045" spans="1:8">
      <c r="A3045" s="34">
        <v>2084028742</v>
      </c>
      <c r="B3045" s="35" t="s">
        <v>462</v>
      </c>
      <c r="C3045" s="35" t="s">
        <v>405</v>
      </c>
      <c r="D3045" s="35" t="s">
        <v>868</v>
      </c>
      <c r="E3045" s="35" t="s">
        <v>886</v>
      </c>
      <c r="F3045" s="35" t="s">
        <v>390</v>
      </c>
      <c r="G3045" s="35" t="s">
        <v>368</v>
      </c>
      <c r="H3045" s="35" t="s">
        <v>508</v>
      </c>
    </row>
    <row r="3046" spans="1:8">
      <c r="A3046" s="34">
        <v>2084029325</v>
      </c>
      <c r="B3046" s="35" t="s">
        <v>462</v>
      </c>
      <c r="C3046" s="35" t="s">
        <v>405</v>
      </c>
      <c r="D3046" s="35" t="s">
        <v>868</v>
      </c>
      <c r="E3046" s="35" t="s">
        <v>886</v>
      </c>
      <c r="F3046" s="35" t="s">
        <v>390</v>
      </c>
      <c r="G3046" s="35" t="s">
        <v>368</v>
      </c>
      <c r="H3046" s="35" t="s">
        <v>481</v>
      </c>
    </row>
    <row r="3047" spans="1:8">
      <c r="A3047" s="34">
        <v>2084029876</v>
      </c>
      <c r="B3047" s="35" t="s">
        <v>462</v>
      </c>
      <c r="C3047" s="35" t="s">
        <v>405</v>
      </c>
      <c r="D3047" s="35" t="s">
        <v>868</v>
      </c>
      <c r="E3047" s="35" t="s">
        <v>886</v>
      </c>
      <c r="F3047" s="35" t="s">
        <v>390</v>
      </c>
      <c r="G3047" s="35" t="s">
        <v>368</v>
      </c>
      <c r="H3047" s="35" t="s">
        <v>494</v>
      </c>
    </row>
    <row r="3048" spans="1:8">
      <c r="A3048" s="34">
        <v>2084058850</v>
      </c>
      <c r="B3048" s="35" t="s">
        <v>462</v>
      </c>
      <c r="C3048" s="35" t="s">
        <v>405</v>
      </c>
      <c r="D3048" s="35" t="s">
        <v>868</v>
      </c>
      <c r="E3048" s="35" t="s">
        <v>886</v>
      </c>
      <c r="F3048" s="35" t="s">
        <v>390</v>
      </c>
      <c r="G3048" s="35" t="s">
        <v>368</v>
      </c>
      <c r="H3048" s="35" t="s">
        <v>335</v>
      </c>
    </row>
    <row r="3049" spans="1:8">
      <c r="A3049" s="34">
        <v>2084027291</v>
      </c>
      <c r="B3049" s="35" t="s">
        <v>462</v>
      </c>
      <c r="C3049" s="35" t="s">
        <v>405</v>
      </c>
      <c r="D3049" s="35" t="s">
        <v>868</v>
      </c>
      <c r="E3049" s="35" t="s">
        <v>886</v>
      </c>
      <c r="F3049" s="35" t="s">
        <v>390</v>
      </c>
      <c r="G3049" s="35" t="s">
        <v>10</v>
      </c>
      <c r="H3049" s="35" t="s">
        <v>509</v>
      </c>
    </row>
    <row r="3050" spans="1:8">
      <c r="A3050" s="34">
        <v>2084027834</v>
      </c>
      <c r="B3050" s="35" t="s">
        <v>462</v>
      </c>
      <c r="C3050" s="35" t="s">
        <v>405</v>
      </c>
      <c r="D3050" s="35" t="s">
        <v>868</v>
      </c>
      <c r="E3050" s="35" t="s">
        <v>886</v>
      </c>
      <c r="F3050" s="35" t="s">
        <v>390</v>
      </c>
      <c r="G3050" s="35" t="s">
        <v>10</v>
      </c>
      <c r="H3050" s="35" t="s">
        <v>510</v>
      </c>
    </row>
    <row r="3051" spans="1:8">
      <c r="A3051" s="34">
        <v>2084027866</v>
      </c>
      <c r="B3051" s="35" t="s">
        <v>462</v>
      </c>
      <c r="C3051" s="35" t="s">
        <v>405</v>
      </c>
      <c r="D3051" s="35" t="s">
        <v>868</v>
      </c>
      <c r="E3051" s="35" t="s">
        <v>886</v>
      </c>
      <c r="F3051" s="35" t="s">
        <v>390</v>
      </c>
      <c r="G3051" s="35" t="s">
        <v>10</v>
      </c>
      <c r="H3051" s="35" t="s">
        <v>511</v>
      </c>
    </row>
    <row r="3052" spans="1:8">
      <c r="A3052" s="34">
        <v>2084027896</v>
      </c>
      <c r="B3052" s="35" t="s">
        <v>462</v>
      </c>
      <c r="C3052" s="35" t="s">
        <v>405</v>
      </c>
      <c r="D3052" s="35" t="s">
        <v>868</v>
      </c>
      <c r="E3052" s="35" t="s">
        <v>886</v>
      </c>
      <c r="F3052" s="35" t="s">
        <v>390</v>
      </c>
      <c r="G3052" s="35" t="s">
        <v>10</v>
      </c>
      <c r="H3052" s="35" t="s">
        <v>493</v>
      </c>
    </row>
    <row r="3053" spans="1:8">
      <c r="A3053" s="34">
        <v>2084027465</v>
      </c>
      <c r="B3053" s="35" t="s">
        <v>462</v>
      </c>
      <c r="C3053" s="35" t="s">
        <v>405</v>
      </c>
      <c r="D3053" s="35" t="s">
        <v>868</v>
      </c>
      <c r="E3053" s="35" t="s">
        <v>886</v>
      </c>
      <c r="F3053" s="35" t="s">
        <v>390</v>
      </c>
      <c r="G3053" s="35" t="s">
        <v>10</v>
      </c>
      <c r="H3053" s="35" t="s">
        <v>512</v>
      </c>
    </row>
    <row r="3054" spans="1:8">
      <c r="A3054" s="34">
        <v>2084027632</v>
      </c>
      <c r="B3054" s="35" t="s">
        <v>462</v>
      </c>
      <c r="C3054" s="35" t="s">
        <v>405</v>
      </c>
      <c r="D3054" s="35" t="s">
        <v>868</v>
      </c>
      <c r="E3054" s="35" t="s">
        <v>886</v>
      </c>
      <c r="F3054" s="35" t="s">
        <v>390</v>
      </c>
      <c r="G3054" s="35" t="s">
        <v>10</v>
      </c>
      <c r="H3054" s="35" t="s">
        <v>513</v>
      </c>
    </row>
    <row r="3055" spans="1:8">
      <c r="A3055" s="34">
        <v>2084027976</v>
      </c>
      <c r="B3055" s="35" t="s">
        <v>462</v>
      </c>
      <c r="C3055" s="35" t="s">
        <v>405</v>
      </c>
      <c r="D3055" s="35" t="s">
        <v>868</v>
      </c>
      <c r="E3055" s="35" t="s">
        <v>886</v>
      </c>
      <c r="F3055" s="35" t="s">
        <v>390</v>
      </c>
      <c r="G3055" s="35" t="s">
        <v>10</v>
      </c>
      <c r="H3055" s="35" t="s">
        <v>420</v>
      </c>
    </row>
    <row r="3056" spans="1:8">
      <c r="A3056" s="34">
        <v>2084027254</v>
      </c>
      <c r="B3056" s="35" t="s">
        <v>462</v>
      </c>
      <c r="C3056" s="35" t="s">
        <v>405</v>
      </c>
      <c r="D3056" s="35" t="s">
        <v>868</v>
      </c>
      <c r="E3056" s="35" t="s">
        <v>886</v>
      </c>
      <c r="F3056" s="35" t="s">
        <v>390</v>
      </c>
      <c r="G3056" s="35" t="s">
        <v>10</v>
      </c>
      <c r="H3056" s="35" t="s">
        <v>514</v>
      </c>
    </row>
    <row r="3057" spans="1:8">
      <c r="A3057" s="34">
        <v>2084027430</v>
      </c>
      <c r="B3057" s="35" t="s">
        <v>462</v>
      </c>
      <c r="C3057" s="35" t="s">
        <v>405</v>
      </c>
      <c r="D3057" s="35" t="s">
        <v>868</v>
      </c>
      <c r="E3057" s="35" t="s">
        <v>886</v>
      </c>
      <c r="F3057" s="35" t="s">
        <v>390</v>
      </c>
      <c r="G3057" s="35" t="s">
        <v>10</v>
      </c>
      <c r="H3057" s="35" t="s">
        <v>515</v>
      </c>
    </row>
    <row r="3058" spans="1:8">
      <c r="A3058" s="34">
        <v>2084027499</v>
      </c>
      <c r="B3058" s="35" t="s">
        <v>462</v>
      </c>
      <c r="C3058" s="35" t="s">
        <v>405</v>
      </c>
      <c r="D3058" s="35" t="s">
        <v>868</v>
      </c>
      <c r="E3058" s="35" t="s">
        <v>886</v>
      </c>
      <c r="F3058" s="35" t="s">
        <v>390</v>
      </c>
      <c r="G3058" s="35" t="s">
        <v>10</v>
      </c>
      <c r="H3058" s="35" t="s">
        <v>421</v>
      </c>
    </row>
    <row r="3059" spans="1:8">
      <c r="A3059" s="34">
        <v>2084027710</v>
      </c>
      <c r="B3059" s="35" t="s">
        <v>462</v>
      </c>
      <c r="C3059" s="35" t="s">
        <v>405</v>
      </c>
      <c r="D3059" s="35" t="s">
        <v>868</v>
      </c>
      <c r="E3059" s="35" t="s">
        <v>886</v>
      </c>
      <c r="F3059" s="35" t="s">
        <v>390</v>
      </c>
      <c r="G3059" s="35" t="s">
        <v>10</v>
      </c>
      <c r="H3059" s="35" t="s">
        <v>516</v>
      </c>
    </row>
    <row r="3060" spans="1:8">
      <c r="A3060" s="34">
        <v>2084027227</v>
      </c>
      <c r="B3060" s="35" t="s">
        <v>462</v>
      </c>
      <c r="C3060" s="35" t="s">
        <v>405</v>
      </c>
      <c r="D3060" s="35" t="s">
        <v>868</v>
      </c>
      <c r="E3060" s="35" t="s">
        <v>886</v>
      </c>
      <c r="F3060" s="35" t="s">
        <v>390</v>
      </c>
      <c r="G3060" s="35" t="s">
        <v>10</v>
      </c>
      <c r="H3060" s="35" t="s">
        <v>517</v>
      </c>
    </row>
    <row r="3061" spans="1:8">
      <c r="A3061" s="34">
        <v>2084027365</v>
      </c>
      <c r="B3061" s="35" t="s">
        <v>462</v>
      </c>
      <c r="C3061" s="35" t="s">
        <v>405</v>
      </c>
      <c r="D3061" s="35" t="s">
        <v>868</v>
      </c>
      <c r="E3061" s="35" t="s">
        <v>886</v>
      </c>
      <c r="F3061" s="35" t="s">
        <v>390</v>
      </c>
      <c r="G3061" s="35" t="s">
        <v>10</v>
      </c>
      <c r="H3061" s="35" t="s">
        <v>518</v>
      </c>
    </row>
    <row r="3062" spans="1:8">
      <c r="A3062" s="34">
        <v>2084027576</v>
      </c>
      <c r="B3062" s="35" t="s">
        <v>462</v>
      </c>
      <c r="C3062" s="35" t="s">
        <v>405</v>
      </c>
      <c r="D3062" s="35" t="s">
        <v>868</v>
      </c>
      <c r="E3062" s="35" t="s">
        <v>886</v>
      </c>
      <c r="F3062" s="35" t="s">
        <v>390</v>
      </c>
      <c r="G3062" s="35" t="s">
        <v>10</v>
      </c>
      <c r="H3062" s="35" t="s">
        <v>422</v>
      </c>
    </row>
    <row r="3063" spans="1:8">
      <c r="A3063" s="34">
        <v>2084027760</v>
      </c>
      <c r="B3063" s="35" t="s">
        <v>462</v>
      </c>
      <c r="C3063" s="35" t="s">
        <v>405</v>
      </c>
      <c r="D3063" s="35" t="s">
        <v>868</v>
      </c>
      <c r="E3063" s="35" t="s">
        <v>886</v>
      </c>
      <c r="F3063" s="35" t="s">
        <v>390</v>
      </c>
      <c r="G3063" s="35" t="s">
        <v>10</v>
      </c>
      <c r="H3063" s="35" t="s">
        <v>519</v>
      </c>
    </row>
    <row r="3064" spans="1:8">
      <c r="A3064" s="34">
        <v>2084058852</v>
      </c>
      <c r="B3064" s="35" t="s">
        <v>462</v>
      </c>
      <c r="C3064" s="35" t="s">
        <v>405</v>
      </c>
      <c r="D3064" s="35" t="s">
        <v>868</v>
      </c>
      <c r="E3064" s="35" t="s">
        <v>886</v>
      </c>
      <c r="F3064" s="35" t="s">
        <v>390</v>
      </c>
      <c r="G3064" s="35" t="s">
        <v>10</v>
      </c>
      <c r="H3064" s="35" t="s">
        <v>335</v>
      </c>
    </row>
    <row r="3065" spans="1:8">
      <c r="A3065" s="34">
        <v>2084028036</v>
      </c>
      <c r="B3065" s="35" t="s">
        <v>462</v>
      </c>
      <c r="C3065" s="35" t="s">
        <v>405</v>
      </c>
      <c r="D3065" s="35" t="s">
        <v>868</v>
      </c>
      <c r="E3065" s="35" t="s">
        <v>886</v>
      </c>
      <c r="F3065" s="35" t="s">
        <v>390</v>
      </c>
      <c r="G3065" s="35" t="s">
        <v>379</v>
      </c>
      <c r="H3065" s="35" t="s">
        <v>520</v>
      </c>
    </row>
    <row r="3066" spans="1:8">
      <c r="A3066" s="34">
        <v>2084028071</v>
      </c>
      <c r="B3066" s="35" t="s">
        <v>462</v>
      </c>
      <c r="C3066" s="35" t="s">
        <v>405</v>
      </c>
      <c r="D3066" s="35" t="s">
        <v>868</v>
      </c>
      <c r="E3066" s="35" t="s">
        <v>886</v>
      </c>
      <c r="F3066" s="35" t="s">
        <v>390</v>
      </c>
      <c r="G3066" s="35" t="s">
        <v>379</v>
      </c>
      <c r="H3066" s="35" t="s">
        <v>521</v>
      </c>
    </row>
    <row r="3067" spans="1:8">
      <c r="A3067" s="34">
        <v>2084028171</v>
      </c>
      <c r="B3067" s="35" t="s">
        <v>462</v>
      </c>
      <c r="C3067" s="35" t="s">
        <v>405</v>
      </c>
      <c r="D3067" s="35" t="s">
        <v>868</v>
      </c>
      <c r="E3067" s="35" t="s">
        <v>886</v>
      </c>
      <c r="F3067" s="35" t="s">
        <v>390</v>
      </c>
      <c r="G3067" s="35" t="s">
        <v>379</v>
      </c>
      <c r="H3067" s="35" t="s">
        <v>522</v>
      </c>
    </row>
    <row r="3068" spans="1:8">
      <c r="A3068" s="34">
        <v>2084028411</v>
      </c>
      <c r="B3068" s="35" t="s">
        <v>462</v>
      </c>
      <c r="C3068" s="35" t="s">
        <v>405</v>
      </c>
      <c r="D3068" s="35" t="s">
        <v>868</v>
      </c>
      <c r="E3068" s="35" t="s">
        <v>886</v>
      </c>
      <c r="F3068" s="35" t="s">
        <v>390</v>
      </c>
      <c r="G3068" s="35" t="s">
        <v>379</v>
      </c>
      <c r="H3068" s="35" t="s">
        <v>523</v>
      </c>
    </row>
    <row r="3069" spans="1:8">
      <c r="A3069" s="34">
        <v>2084028110</v>
      </c>
      <c r="B3069" s="35" t="s">
        <v>462</v>
      </c>
      <c r="C3069" s="35" t="s">
        <v>405</v>
      </c>
      <c r="D3069" s="35" t="s">
        <v>868</v>
      </c>
      <c r="E3069" s="35" t="s">
        <v>886</v>
      </c>
      <c r="F3069" s="35" t="s">
        <v>390</v>
      </c>
      <c r="G3069" s="35" t="s">
        <v>379</v>
      </c>
      <c r="H3069" s="35" t="s">
        <v>524</v>
      </c>
    </row>
    <row r="3070" spans="1:8">
      <c r="A3070" s="34">
        <v>2084028276</v>
      </c>
      <c r="B3070" s="35" t="s">
        <v>462</v>
      </c>
      <c r="C3070" s="35" t="s">
        <v>405</v>
      </c>
      <c r="D3070" s="35" t="s">
        <v>868</v>
      </c>
      <c r="E3070" s="35" t="s">
        <v>886</v>
      </c>
      <c r="F3070" s="35" t="s">
        <v>390</v>
      </c>
      <c r="G3070" s="35" t="s">
        <v>379</v>
      </c>
      <c r="H3070" s="35" t="s">
        <v>525</v>
      </c>
    </row>
    <row r="3071" spans="1:8">
      <c r="A3071" s="34">
        <v>2084028478</v>
      </c>
      <c r="B3071" s="35" t="s">
        <v>462</v>
      </c>
      <c r="C3071" s="35" t="s">
        <v>405</v>
      </c>
      <c r="D3071" s="35" t="s">
        <v>868</v>
      </c>
      <c r="E3071" s="35" t="s">
        <v>886</v>
      </c>
      <c r="F3071" s="35" t="s">
        <v>390</v>
      </c>
      <c r="G3071" s="35" t="s">
        <v>379</v>
      </c>
      <c r="H3071" s="35" t="s">
        <v>526</v>
      </c>
    </row>
    <row r="3072" spans="1:8">
      <c r="A3072" s="34">
        <v>2084028301</v>
      </c>
      <c r="B3072" s="35" t="s">
        <v>462</v>
      </c>
      <c r="C3072" s="35" t="s">
        <v>405</v>
      </c>
      <c r="D3072" s="35" t="s">
        <v>868</v>
      </c>
      <c r="E3072" s="35" t="s">
        <v>886</v>
      </c>
      <c r="F3072" s="35" t="s">
        <v>390</v>
      </c>
      <c r="G3072" s="35" t="s">
        <v>379</v>
      </c>
      <c r="H3072" s="35" t="s">
        <v>527</v>
      </c>
    </row>
    <row r="3073" spans="1:8">
      <c r="A3073" s="34">
        <v>2084028513</v>
      </c>
      <c r="B3073" s="35" t="s">
        <v>462</v>
      </c>
      <c r="C3073" s="35" t="s">
        <v>405</v>
      </c>
      <c r="D3073" s="35" t="s">
        <v>868</v>
      </c>
      <c r="E3073" s="35" t="s">
        <v>886</v>
      </c>
      <c r="F3073" s="35" t="s">
        <v>390</v>
      </c>
      <c r="G3073" s="35" t="s">
        <v>379</v>
      </c>
      <c r="H3073" s="35" t="s">
        <v>528</v>
      </c>
    </row>
    <row r="3074" spans="1:8">
      <c r="A3074" s="34">
        <v>2084028389</v>
      </c>
      <c r="B3074" s="35" t="s">
        <v>462</v>
      </c>
      <c r="C3074" s="35" t="s">
        <v>405</v>
      </c>
      <c r="D3074" s="35" t="s">
        <v>868</v>
      </c>
      <c r="E3074" s="35" t="s">
        <v>886</v>
      </c>
      <c r="F3074" s="35" t="s">
        <v>390</v>
      </c>
      <c r="G3074" s="35" t="s">
        <v>379</v>
      </c>
      <c r="H3074" s="35" t="s">
        <v>529</v>
      </c>
    </row>
    <row r="3075" spans="1:8">
      <c r="A3075" s="34">
        <v>2084058854</v>
      </c>
      <c r="B3075" s="35" t="s">
        <v>462</v>
      </c>
      <c r="C3075" s="35" t="s">
        <v>405</v>
      </c>
      <c r="D3075" s="35" t="s">
        <v>868</v>
      </c>
      <c r="E3075" s="35" t="s">
        <v>886</v>
      </c>
      <c r="F3075" s="35" t="s">
        <v>390</v>
      </c>
      <c r="G3075" s="35" t="s">
        <v>379</v>
      </c>
      <c r="H3075" s="35" t="s">
        <v>335</v>
      </c>
    </row>
    <row r="3076" spans="1:8">
      <c r="A3076" s="34">
        <v>2084028553</v>
      </c>
      <c r="B3076" s="35" t="s">
        <v>462</v>
      </c>
      <c r="C3076" s="35" t="s">
        <v>405</v>
      </c>
      <c r="D3076" s="35" t="s">
        <v>868</v>
      </c>
      <c r="E3076" s="35" t="s">
        <v>886</v>
      </c>
      <c r="F3076" s="35" t="s">
        <v>390</v>
      </c>
      <c r="G3076" s="35" t="s">
        <v>530</v>
      </c>
      <c r="H3076" s="35" t="s">
        <v>531</v>
      </c>
    </row>
    <row r="3077" spans="1:8">
      <c r="A3077" s="34">
        <v>2084028591</v>
      </c>
      <c r="B3077" s="35" t="s">
        <v>462</v>
      </c>
      <c r="C3077" s="35" t="s">
        <v>405</v>
      </c>
      <c r="D3077" s="35" t="s">
        <v>868</v>
      </c>
      <c r="E3077" s="35" t="s">
        <v>886</v>
      </c>
      <c r="F3077" s="35" t="s">
        <v>390</v>
      </c>
      <c r="G3077" s="35" t="s">
        <v>530</v>
      </c>
      <c r="H3077" s="35" t="s">
        <v>532</v>
      </c>
    </row>
    <row r="3078" spans="1:8">
      <c r="A3078" s="34">
        <v>2084058856</v>
      </c>
      <c r="B3078" s="35" t="s">
        <v>462</v>
      </c>
      <c r="C3078" s="35" t="s">
        <v>405</v>
      </c>
      <c r="D3078" s="35" t="s">
        <v>868</v>
      </c>
      <c r="E3078" s="35" t="s">
        <v>886</v>
      </c>
      <c r="F3078" s="35" t="s">
        <v>390</v>
      </c>
      <c r="G3078" s="35" t="s">
        <v>530</v>
      </c>
      <c r="H3078" s="35" t="s">
        <v>335</v>
      </c>
    </row>
    <row r="3079" spans="1:8">
      <c r="A3079" s="34">
        <v>2084030055</v>
      </c>
      <c r="B3079" s="35" t="s">
        <v>462</v>
      </c>
      <c r="C3079" s="35" t="s">
        <v>405</v>
      </c>
      <c r="D3079" s="35" t="s">
        <v>868</v>
      </c>
      <c r="E3079" s="35" t="s">
        <v>886</v>
      </c>
      <c r="F3079" s="35" t="s">
        <v>390</v>
      </c>
      <c r="G3079" s="35" t="s">
        <v>533</v>
      </c>
      <c r="H3079" s="35" t="s">
        <v>609</v>
      </c>
    </row>
    <row r="3080" spans="1:8">
      <c r="A3080" s="34">
        <v>2084030139</v>
      </c>
      <c r="B3080" s="35" t="s">
        <v>462</v>
      </c>
      <c r="C3080" s="35" t="s">
        <v>405</v>
      </c>
      <c r="D3080" s="35" t="s">
        <v>868</v>
      </c>
      <c r="E3080" s="35" t="s">
        <v>886</v>
      </c>
      <c r="F3080" s="35" t="s">
        <v>390</v>
      </c>
      <c r="G3080" s="35" t="s">
        <v>533</v>
      </c>
      <c r="H3080" s="35" t="s">
        <v>534</v>
      </c>
    </row>
    <row r="3081" spans="1:8">
      <c r="A3081" s="34">
        <v>2084030173</v>
      </c>
      <c r="B3081" s="35" t="s">
        <v>462</v>
      </c>
      <c r="C3081" s="35" t="s">
        <v>405</v>
      </c>
      <c r="D3081" s="35" t="s">
        <v>868</v>
      </c>
      <c r="E3081" s="35" t="s">
        <v>886</v>
      </c>
      <c r="F3081" s="35" t="s">
        <v>390</v>
      </c>
      <c r="G3081" s="35" t="s">
        <v>533</v>
      </c>
      <c r="H3081" s="35" t="s">
        <v>535</v>
      </c>
    </row>
    <row r="3082" spans="1:8">
      <c r="A3082" s="34">
        <v>2084027165</v>
      </c>
      <c r="B3082" s="35" t="s">
        <v>462</v>
      </c>
      <c r="C3082" s="35" t="s">
        <v>405</v>
      </c>
      <c r="D3082" s="35" t="s">
        <v>868</v>
      </c>
      <c r="E3082" s="35" t="s">
        <v>886</v>
      </c>
      <c r="F3082" s="35" t="s">
        <v>390</v>
      </c>
      <c r="G3082" s="35" t="s">
        <v>533</v>
      </c>
      <c r="H3082" s="35" t="s">
        <v>536</v>
      </c>
    </row>
    <row r="3083" spans="1:8">
      <c r="A3083" s="34">
        <v>2084058858</v>
      </c>
      <c r="B3083" s="35" t="s">
        <v>462</v>
      </c>
      <c r="C3083" s="35" t="s">
        <v>405</v>
      </c>
      <c r="D3083" s="35" t="s">
        <v>868</v>
      </c>
      <c r="E3083" s="35" t="s">
        <v>886</v>
      </c>
      <c r="F3083" s="35" t="s">
        <v>390</v>
      </c>
      <c r="G3083" s="35" t="s">
        <v>533</v>
      </c>
      <c r="H3083" s="35" t="s">
        <v>335</v>
      </c>
    </row>
    <row r="3084" spans="1:8">
      <c r="A3084" s="34">
        <v>2084050891</v>
      </c>
      <c r="B3084" s="35" t="s">
        <v>462</v>
      </c>
      <c r="C3084" s="35" t="s">
        <v>405</v>
      </c>
      <c r="D3084" s="35" t="s">
        <v>868</v>
      </c>
      <c r="E3084" s="35" t="s">
        <v>886</v>
      </c>
      <c r="F3084" s="35" t="s">
        <v>390</v>
      </c>
      <c r="G3084" s="35" t="s">
        <v>335</v>
      </c>
    </row>
    <row r="3085" spans="1:8">
      <c r="A3085" s="34">
        <v>2084052895</v>
      </c>
      <c r="B3085" s="35" t="s">
        <v>462</v>
      </c>
      <c r="C3085" s="35" t="s">
        <v>405</v>
      </c>
      <c r="D3085" s="35" t="s">
        <v>868</v>
      </c>
      <c r="E3085" s="35" t="s">
        <v>886</v>
      </c>
      <c r="F3085" s="35" t="s">
        <v>353</v>
      </c>
      <c r="G3085" s="35" t="s">
        <v>367</v>
      </c>
    </row>
    <row r="3086" spans="1:8">
      <c r="A3086" s="34">
        <v>2084030716</v>
      </c>
      <c r="B3086" s="35" t="s">
        <v>462</v>
      </c>
      <c r="C3086" s="35" t="s">
        <v>405</v>
      </c>
      <c r="D3086" s="35" t="s">
        <v>868</v>
      </c>
      <c r="E3086" s="35" t="s">
        <v>886</v>
      </c>
      <c r="F3086" s="35" t="s">
        <v>353</v>
      </c>
      <c r="G3086" s="35" t="s">
        <v>481</v>
      </c>
    </row>
    <row r="3087" spans="1:8">
      <c r="A3087" s="34">
        <v>2084031614</v>
      </c>
      <c r="B3087" s="35" t="s">
        <v>462</v>
      </c>
      <c r="C3087" s="35" t="s">
        <v>405</v>
      </c>
      <c r="D3087" s="35" t="s">
        <v>868</v>
      </c>
      <c r="E3087" s="35" t="s">
        <v>886</v>
      </c>
      <c r="F3087" s="35" t="s">
        <v>353</v>
      </c>
      <c r="G3087" s="35" t="s">
        <v>483</v>
      </c>
    </row>
    <row r="3088" spans="1:8">
      <c r="A3088" s="34">
        <v>2084031494</v>
      </c>
      <c r="B3088" s="35" t="s">
        <v>462</v>
      </c>
      <c r="C3088" s="35" t="s">
        <v>405</v>
      </c>
      <c r="D3088" s="35" t="s">
        <v>868</v>
      </c>
      <c r="E3088" s="35" t="s">
        <v>886</v>
      </c>
      <c r="F3088" s="35" t="s">
        <v>353</v>
      </c>
      <c r="G3088" s="35" t="s">
        <v>482</v>
      </c>
    </row>
    <row r="3089" spans="1:8">
      <c r="A3089" s="34">
        <v>2084030266</v>
      </c>
      <c r="B3089" s="35" t="s">
        <v>462</v>
      </c>
      <c r="C3089" s="35" t="s">
        <v>405</v>
      </c>
      <c r="D3089" s="35" t="s">
        <v>868</v>
      </c>
      <c r="E3089" s="35" t="s">
        <v>886</v>
      </c>
      <c r="F3089" s="35" t="s">
        <v>353</v>
      </c>
      <c r="G3089" s="35" t="s">
        <v>493</v>
      </c>
    </row>
    <row r="3090" spans="1:8">
      <c r="A3090" s="34">
        <v>2084031360</v>
      </c>
      <c r="B3090" s="35" t="s">
        <v>462</v>
      </c>
      <c r="C3090" s="35" t="s">
        <v>405</v>
      </c>
      <c r="D3090" s="35" t="s">
        <v>868</v>
      </c>
      <c r="E3090" s="35" t="s">
        <v>886</v>
      </c>
      <c r="F3090" s="35" t="s">
        <v>353</v>
      </c>
      <c r="G3090" s="35" t="s">
        <v>494</v>
      </c>
    </row>
    <row r="3091" spans="1:8">
      <c r="A3091" s="34">
        <v>2084050892</v>
      </c>
      <c r="B3091" s="35" t="s">
        <v>462</v>
      </c>
      <c r="C3091" s="35" t="s">
        <v>405</v>
      </c>
      <c r="D3091" s="35" t="s">
        <v>868</v>
      </c>
      <c r="E3091" s="35" t="s">
        <v>886</v>
      </c>
      <c r="F3091" s="35" t="s">
        <v>353</v>
      </c>
      <c r="G3091" s="35" t="s">
        <v>403</v>
      </c>
    </row>
    <row r="3092" spans="1:8">
      <c r="A3092" s="34">
        <v>2084031508</v>
      </c>
      <c r="B3092" s="35" t="s">
        <v>462</v>
      </c>
      <c r="C3092" s="35" t="s">
        <v>405</v>
      </c>
      <c r="D3092" s="35" t="s">
        <v>868</v>
      </c>
      <c r="E3092" s="35" t="s">
        <v>886</v>
      </c>
      <c r="F3092" s="35" t="s">
        <v>353</v>
      </c>
      <c r="G3092" s="35" t="s">
        <v>397</v>
      </c>
    </row>
    <row r="3093" spans="1:8">
      <c r="A3093" s="34">
        <v>2084221861</v>
      </c>
      <c r="B3093" s="35" t="s">
        <v>462</v>
      </c>
      <c r="C3093" s="35" t="s">
        <v>405</v>
      </c>
      <c r="D3093" s="35" t="s">
        <v>868</v>
      </c>
      <c r="E3093" s="35" t="s">
        <v>886</v>
      </c>
      <c r="F3093" s="35" t="s">
        <v>353</v>
      </c>
      <c r="G3093" s="35" t="s">
        <v>887</v>
      </c>
      <c r="H3093" s="35" t="s">
        <v>391</v>
      </c>
    </row>
    <row r="3094" spans="1:8">
      <c r="A3094" s="34">
        <v>2084221862</v>
      </c>
      <c r="B3094" s="35" t="s">
        <v>462</v>
      </c>
      <c r="C3094" s="35" t="s">
        <v>405</v>
      </c>
      <c r="D3094" s="35" t="s">
        <v>868</v>
      </c>
      <c r="E3094" s="35" t="s">
        <v>886</v>
      </c>
      <c r="F3094" s="35" t="s">
        <v>353</v>
      </c>
      <c r="G3094" s="35" t="s">
        <v>887</v>
      </c>
      <c r="H3094" s="35" t="s">
        <v>392</v>
      </c>
    </row>
    <row r="3095" spans="1:8">
      <c r="A3095" s="34">
        <v>2084221863</v>
      </c>
      <c r="B3095" s="35" t="s">
        <v>462</v>
      </c>
      <c r="C3095" s="35" t="s">
        <v>405</v>
      </c>
      <c r="D3095" s="35" t="s">
        <v>868</v>
      </c>
      <c r="E3095" s="35" t="s">
        <v>886</v>
      </c>
      <c r="F3095" s="35" t="s">
        <v>353</v>
      </c>
      <c r="G3095" s="35" t="s">
        <v>887</v>
      </c>
      <c r="H3095" s="35" t="s">
        <v>375</v>
      </c>
    </row>
    <row r="3096" spans="1:8">
      <c r="A3096" s="34">
        <v>2084221864</v>
      </c>
      <c r="B3096" s="35" t="s">
        <v>462</v>
      </c>
      <c r="C3096" s="35" t="s">
        <v>405</v>
      </c>
      <c r="D3096" s="35" t="s">
        <v>868</v>
      </c>
      <c r="E3096" s="35" t="s">
        <v>886</v>
      </c>
      <c r="F3096" s="35" t="s">
        <v>353</v>
      </c>
      <c r="G3096" s="35" t="s">
        <v>887</v>
      </c>
      <c r="H3096" s="35" t="s">
        <v>376</v>
      </c>
    </row>
    <row r="3097" spans="1:8">
      <c r="A3097" s="34">
        <v>2084221865</v>
      </c>
      <c r="B3097" s="35" t="s">
        <v>462</v>
      </c>
      <c r="C3097" s="35" t="s">
        <v>405</v>
      </c>
      <c r="D3097" s="35" t="s">
        <v>868</v>
      </c>
      <c r="E3097" s="35" t="s">
        <v>886</v>
      </c>
      <c r="F3097" s="35" t="s">
        <v>353</v>
      </c>
      <c r="G3097" s="35" t="s">
        <v>887</v>
      </c>
      <c r="H3097" s="35" t="s">
        <v>377</v>
      </c>
    </row>
    <row r="3098" spans="1:8">
      <c r="A3098" s="34">
        <v>2084031584</v>
      </c>
      <c r="B3098" s="35" t="s">
        <v>462</v>
      </c>
      <c r="C3098" s="35" t="s">
        <v>405</v>
      </c>
      <c r="D3098" s="35" t="s">
        <v>868</v>
      </c>
      <c r="E3098" s="35" t="s">
        <v>886</v>
      </c>
      <c r="F3098" s="35" t="s">
        <v>353</v>
      </c>
      <c r="G3098" s="35" t="s">
        <v>398</v>
      </c>
    </row>
    <row r="3099" spans="1:8">
      <c r="A3099" s="34">
        <v>2084030355</v>
      </c>
      <c r="B3099" s="35" t="s">
        <v>462</v>
      </c>
      <c r="C3099" s="35" t="s">
        <v>405</v>
      </c>
      <c r="D3099" s="35" t="s">
        <v>868</v>
      </c>
      <c r="E3099" s="35" t="s">
        <v>886</v>
      </c>
      <c r="F3099" s="35" t="s">
        <v>353</v>
      </c>
      <c r="G3099" s="35" t="s">
        <v>422</v>
      </c>
    </row>
    <row r="3100" spans="1:8">
      <c r="A3100" s="34">
        <v>2084053592</v>
      </c>
      <c r="B3100" s="35" t="s">
        <v>462</v>
      </c>
      <c r="C3100" s="35" t="s">
        <v>405</v>
      </c>
      <c r="D3100" s="35" t="s">
        <v>868</v>
      </c>
      <c r="E3100" s="35" t="s">
        <v>886</v>
      </c>
      <c r="F3100" s="35" t="s">
        <v>353</v>
      </c>
      <c r="G3100" s="35" t="s">
        <v>549</v>
      </c>
    </row>
    <row r="3101" spans="1:8">
      <c r="A3101" s="34">
        <v>2084050893</v>
      </c>
      <c r="B3101" s="35" t="s">
        <v>462</v>
      </c>
      <c r="C3101" s="35" t="s">
        <v>405</v>
      </c>
      <c r="D3101" s="35" t="s">
        <v>868</v>
      </c>
      <c r="E3101" s="35" t="s">
        <v>886</v>
      </c>
      <c r="F3101" s="35" t="s">
        <v>353</v>
      </c>
      <c r="G3101" s="35" t="s">
        <v>335</v>
      </c>
    </row>
    <row r="3102" spans="1:8">
      <c r="A3102" s="34">
        <v>2084050897</v>
      </c>
      <c r="B3102" s="35" t="s">
        <v>462</v>
      </c>
      <c r="C3102" s="35" t="s">
        <v>405</v>
      </c>
      <c r="D3102" s="35" t="s">
        <v>868</v>
      </c>
      <c r="E3102" s="35" t="s">
        <v>886</v>
      </c>
      <c r="F3102" s="35" t="s">
        <v>475</v>
      </c>
    </row>
    <row r="3103" spans="1:8">
      <c r="A3103" s="34">
        <v>2084050896</v>
      </c>
      <c r="B3103" s="35" t="s">
        <v>462</v>
      </c>
      <c r="C3103" s="35" t="s">
        <v>405</v>
      </c>
      <c r="D3103" s="35" t="s">
        <v>868</v>
      </c>
      <c r="E3103" s="35" t="s">
        <v>886</v>
      </c>
      <c r="F3103" s="35" t="s">
        <v>611</v>
      </c>
      <c r="G3103" s="35" t="s">
        <v>407</v>
      </c>
    </row>
    <row r="3104" spans="1:8">
      <c r="A3104" s="34">
        <v>2084050895</v>
      </c>
      <c r="B3104" s="35" t="s">
        <v>462</v>
      </c>
      <c r="C3104" s="35" t="s">
        <v>405</v>
      </c>
      <c r="D3104" s="35" t="s">
        <v>868</v>
      </c>
      <c r="E3104" s="35" t="s">
        <v>886</v>
      </c>
      <c r="F3104" s="35" t="s">
        <v>611</v>
      </c>
      <c r="G3104" s="35" t="s">
        <v>408</v>
      </c>
    </row>
    <row r="3105" spans="1:8">
      <c r="A3105" s="34">
        <v>2084050899</v>
      </c>
      <c r="B3105" s="35" t="s">
        <v>462</v>
      </c>
      <c r="C3105" s="35" t="s">
        <v>405</v>
      </c>
      <c r="D3105" s="35" t="s">
        <v>868</v>
      </c>
      <c r="E3105" s="35" t="s">
        <v>886</v>
      </c>
      <c r="F3105" s="35" t="s">
        <v>442</v>
      </c>
      <c r="G3105" s="35" t="s">
        <v>445</v>
      </c>
    </row>
    <row r="3106" spans="1:8">
      <c r="A3106" s="34">
        <v>2084050900</v>
      </c>
      <c r="B3106" s="35" t="s">
        <v>462</v>
      </c>
      <c r="C3106" s="35" t="s">
        <v>405</v>
      </c>
      <c r="D3106" s="35" t="s">
        <v>868</v>
      </c>
      <c r="E3106" s="35" t="s">
        <v>886</v>
      </c>
      <c r="F3106" s="35" t="s">
        <v>442</v>
      </c>
      <c r="G3106" s="35" t="s">
        <v>335</v>
      </c>
    </row>
    <row r="3107" spans="1:8">
      <c r="A3107" s="34">
        <v>2084048671</v>
      </c>
      <c r="B3107" s="35" t="s">
        <v>462</v>
      </c>
      <c r="C3107" s="35" t="s">
        <v>405</v>
      </c>
      <c r="D3107" s="35" t="s">
        <v>868</v>
      </c>
      <c r="E3107" s="35" t="s">
        <v>886</v>
      </c>
      <c r="F3107" s="35" t="s">
        <v>335</v>
      </c>
    </row>
    <row r="3108" spans="1:8">
      <c r="A3108" s="34">
        <v>2084226822</v>
      </c>
      <c r="B3108" s="35" t="s">
        <v>462</v>
      </c>
      <c r="C3108" s="35" t="s">
        <v>405</v>
      </c>
      <c r="D3108" s="35" t="s">
        <v>868</v>
      </c>
      <c r="E3108" s="35" t="s">
        <v>888</v>
      </c>
      <c r="F3108" s="35" t="s">
        <v>475</v>
      </c>
    </row>
    <row r="3109" spans="1:8">
      <c r="A3109" s="34">
        <v>2084050908</v>
      </c>
      <c r="B3109" s="35" t="s">
        <v>462</v>
      </c>
      <c r="C3109" s="35" t="s">
        <v>405</v>
      </c>
      <c r="D3109" s="35" t="s">
        <v>868</v>
      </c>
      <c r="E3109" s="35" t="s">
        <v>888</v>
      </c>
      <c r="F3109" s="35" t="s">
        <v>611</v>
      </c>
      <c r="G3109" s="35" t="s">
        <v>407</v>
      </c>
    </row>
    <row r="3110" spans="1:8">
      <c r="A3110" s="34">
        <v>2084050907</v>
      </c>
      <c r="B3110" s="35" t="s">
        <v>462</v>
      </c>
      <c r="C3110" s="35" t="s">
        <v>405</v>
      </c>
      <c r="D3110" s="35" t="s">
        <v>868</v>
      </c>
      <c r="E3110" s="35" t="s">
        <v>888</v>
      </c>
      <c r="F3110" s="35" t="s">
        <v>611</v>
      </c>
      <c r="G3110" s="35" t="s">
        <v>408</v>
      </c>
    </row>
    <row r="3111" spans="1:8">
      <c r="A3111" s="34">
        <v>2084028194</v>
      </c>
      <c r="B3111" s="35" t="s">
        <v>462</v>
      </c>
      <c r="C3111" s="35" t="s">
        <v>405</v>
      </c>
      <c r="D3111" s="35" t="s">
        <v>868</v>
      </c>
      <c r="E3111" s="35" t="s">
        <v>888</v>
      </c>
      <c r="F3111" s="35" t="s">
        <v>390</v>
      </c>
      <c r="G3111" s="35" t="s">
        <v>367</v>
      </c>
    </row>
    <row r="3112" spans="1:8">
      <c r="A3112" s="34">
        <v>2084028743</v>
      </c>
      <c r="B3112" s="35" t="s">
        <v>462</v>
      </c>
      <c r="C3112" s="35" t="s">
        <v>405</v>
      </c>
      <c r="D3112" s="35" t="s">
        <v>868</v>
      </c>
      <c r="E3112" s="35" t="s">
        <v>888</v>
      </c>
      <c r="F3112" s="35" t="s">
        <v>390</v>
      </c>
      <c r="G3112" s="35" t="s">
        <v>368</v>
      </c>
      <c r="H3112" s="35" t="s">
        <v>508</v>
      </c>
    </row>
    <row r="3113" spans="1:8">
      <c r="A3113" s="34">
        <v>2084029326</v>
      </c>
      <c r="B3113" s="35" t="s">
        <v>462</v>
      </c>
      <c r="C3113" s="35" t="s">
        <v>405</v>
      </c>
      <c r="D3113" s="35" t="s">
        <v>868</v>
      </c>
      <c r="E3113" s="35" t="s">
        <v>888</v>
      </c>
      <c r="F3113" s="35" t="s">
        <v>390</v>
      </c>
      <c r="G3113" s="35" t="s">
        <v>368</v>
      </c>
      <c r="H3113" s="35" t="s">
        <v>481</v>
      </c>
    </row>
    <row r="3114" spans="1:8">
      <c r="A3114" s="34">
        <v>2084029877</v>
      </c>
      <c r="B3114" s="35" t="s">
        <v>462</v>
      </c>
      <c r="C3114" s="35" t="s">
        <v>405</v>
      </c>
      <c r="D3114" s="35" t="s">
        <v>868</v>
      </c>
      <c r="E3114" s="35" t="s">
        <v>888</v>
      </c>
      <c r="F3114" s="35" t="s">
        <v>390</v>
      </c>
      <c r="G3114" s="35" t="s">
        <v>368</v>
      </c>
      <c r="H3114" s="35" t="s">
        <v>494</v>
      </c>
    </row>
    <row r="3115" spans="1:8">
      <c r="A3115" s="34">
        <v>2084058860</v>
      </c>
      <c r="B3115" s="35" t="s">
        <v>462</v>
      </c>
      <c r="C3115" s="35" t="s">
        <v>405</v>
      </c>
      <c r="D3115" s="35" t="s">
        <v>868</v>
      </c>
      <c r="E3115" s="35" t="s">
        <v>888</v>
      </c>
      <c r="F3115" s="35" t="s">
        <v>390</v>
      </c>
      <c r="G3115" s="35" t="s">
        <v>368</v>
      </c>
      <c r="H3115" s="35" t="s">
        <v>335</v>
      </c>
    </row>
    <row r="3116" spans="1:8">
      <c r="A3116" s="34">
        <v>2084027292</v>
      </c>
      <c r="B3116" s="35" t="s">
        <v>462</v>
      </c>
      <c r="C3116" s="35" t="s">
        <v>405</v>
      </c>
      <c r="D3116" s="35" t="s">
        <v>868</v>
      </c>
      <c r="E3116" s="35" t="s">
        <v>888</v>
      </c>
      <c r="F3116" s="35" t="s">
        <v>390</v>
      </c>
      <c r="G3116" s="35" t="s">
        <v>10</v>
      </c>
      <c r="H3116" s="35" t="s">
        <v>509</v>
      </c>
    </row>
    <row r="3117" spans="1:8">
      <c r="A3117" s="34">
        <v>2084027835</v>
      </c>
      <c r="B3117" s="35" t="s">
        <v>462</v>
      </c>
      <c r="C3117" s="35" t="s">
        <v>405</v>
      </c>
      <c r="D3117" s="35" t="s">
        <v>868</v>
      </c>
      <c r="E3117" s="35" t="s">
        <v>888</v>
      </c>
      <c r="F3117" s="35" t="s">
        <v>390</v>
      </c>
      <c r="G3117" s="35" t="s">
        <v>10</v>
      </c>
      <c r="H3117" s="35" t="s">
        <v>510</v>
      </c>
    </row>
    <row r="3118" spans="1:8">
      <c r="A3118" s="34">
        <v>2084027867</v>
      </c>
      <c r="B3118" s="35" t="s">
        <v>462</v>
      </c>
      <c r="C3118" s="35" t="s">
        <v>405</v>
      </c>
      <c r="D3118" s="35" t="s">
        <v>868</v>
      </c>
      <c r="E3118" s="35" t="s">
        <v>888</v>
      </c>
      <c r="F3118" s="35" t="s">
        <v>390</v>
      </c>
      <c r="G3118" s="35" t="s">
        <v>10</v>
      </c>
      <c r="H3118" s="35" t="s">
        <v>511</v>
      </c>
    </row>
    <row r="3119" spans="1:8">
      <c r="A3119" s="34">
        <v>2084027897</v>
      </c>
      <c r="B3119" s="35" t="s">
        <v>462</v>
      </c>
      <c r="C3119" s="35" t="s">
        <v>405</v>
      </c>
      <c r="D3119" s="35" t="s">
        <v>868</v>
      </c>
      <c r="E3119" s="35" t="s">
        <v>888</v>
      </c>
      <c r="F3119" s="35" t="s">
        <v>390</v>
      </c>
      <c r="G3119" s="35" t="s">
        <v>10</v>
      </c>
      <c r="H3119" s="35" t="s">
        <v>493</v>
      </c>
    </row>
    <row r="3120" spans="1:8">
      <c r="A3120" s="34">
        <v>2084027466</v>
      </c>
      <c r="B3120" s="35" t="s">
        <v>462</v>
      </c>
      <c r="C3120" s="35" t="s">
        <v>405</v>
      </c>
      <c r="D3120" s="35" t="s">
        <v>868</v>
      </c>
      <c r="E3120" s="35" t="s">
        <v>888</v>
      </c>
      <c r="F3120" s="35" t="s">
        <v>390</v>
      </c>
      <c r="G3120" s="35" t="s">
        <v>10</v>
      </c>
      <c r="H3120" s="35" t="s">
        <v>512</v>
      </c>
    </row>
    <row r="3121" spans="1:8">
      <c r="A3121" s="34">
        <v>2084027633</v>
      </c>
      <c r="B3121" s="35" t="s">
        <v>462</v>
      </c>
      <c r="C3121" s="35" t="s">
        <v>405</v>
      </c>
      <c r="D3121" s="35" t="s">
        <v>868</v>
      </c>
      <c r="E3121" s="35" t="s">
        <v>888</v>
      </c>
      <c r="F3121" s="35" t="s">
        <v>390</v>
      </c>
      <c r="G3121" s="35" t="s">
        <v>10</v>
      </c>
      <c r="H3121" s="35" t="s">
        <v>513</v>
      </c>
    </row>
    <row r="3122" spans="1:8">
      <c r="A3122" s="34">
        <v>2084027977</v>
      </c>
      <c r="B3122" s="35" t="s">
        <v>462</v>
      </c>
      <c r="C3122" s="35" t="s">
        <v>405</v>
      </c>
      <c r="D3122" s="35" t="s">
        <v>868</v>
      </c>
      <c r="E3122" s="35" t="s">
        <v>888</v>
      </c>
      <c r="F3122" s="35" t="s">
        <v>390</v>
      </c>
      <c r="G3122" s="35" t="s">
        <v>10</v>
      </c>
      <c r="H3122" s="35" t="s">
        <v>420</v>
      </c>
    </row>
    <row r="3123" spans="1:8">
      <c r="A3123" s="34">
        <v>2084027255</v>
      </c>
      <c r="B3123" s="35" t="s">
        <v>462</v>
      </c>
      <c r="C3123" s="35" t="s">
        <v>405</v>
      </c>
      <c r="D3123" s="35" t="s">
        <v>868</v>
      </c>
      <c r="E3123" s="35" t="s">
        <v>888</v>
      </c>
      <c r="F3123" s="35" t="s">
        <v>390</v>
      </c>
      <c r="G3123" s="35" t="s">
        <v>10</v>
      </c>
      <c r="H3123" s="35" t="s">
        <v>514</v>
      </c>
    </row>
    <row r="3124" spans="1:8">
      <c r="A3124" s="34">
        <v>2084027431</v>
      </c>
      <c r="B3124" s="35" t="s">
        <v>462</v>
      </c>
      <c r="C3124" s="35" t="s">
        <v>405</v>
      </c>
      <c r="D3124" s="35" t="s">
        <v>868</v>
      </c>
      <c r="E3124" s="35" t="s">
        <v>888</v>
      </c>
      <c r="F3124" s="35" t="s">
        <v>390</v>
      </c>
      <c r="G3124" s="35" t="s">
        <v>10</v>
      </c>
      <c r="H3124" s="35" t="s">
        <v>515</v>
      </c>
    </row>
    <row r="3125" spans="1:8">
      <c r="A3125" s="34">
        <v>2084027500</v>
      </c>
      <c r="B3125" s="35" t="s">
        <v>462</v>
      </c>
      <c r="C3125" s="35" t="s">
        <v>405</v>
      </c>
      <c r="D3125" s="35" t="s">
        <v>868</v>
      </c>
      <c r="E3125" s="35" t="s">
        <v>888</v>
      </c>
      <c r="F3125" s="35" t="s">
        <v>390</v>
      </c>
      <c r="G3125" s="35" t="s">
        <v>10</v>
      </c>
      <c r="H3125" s="35" t="s">
        <v>421</v>
      </c>
    </row>
    <row r="3126" spans="1:8">
      <c r="A3126" s="34">
        <v>2084027711</v>
      </c>
      <c r="B3126" s="35" t="s">
        <v>462</v>
      </c>
      <c r="C3126" s="35" t="s">
        <v>405</v>
      </c>
      <c r="D3126" s="35" t="s">
        <v>868</v>
      </c>
      <c r="E3126" s="35" t="s">
        <v>888</v>
      </c>
      <c r="F3126" s="35" t="s">
        <v>390</v>
      </c>
      <c r="G3126" s="35" t="s">
        <v>10</v>
      </c>
      <c r="H3126" s="35" t="s">
        <v>516</v>
      </c>
    </row>
    <row r="3127" spans="1:8">
      <c r="A3127" s="34">
        <v>2084027228</v>
      </c>
      <c r="B3127" s="35" t="s">
        <v>462</v>
      </c>
      <c r="C3127" s="35" t="s">
        <v>405</v>
      </c>
      <c r="D3127" s="35" t="s">
        <v>868</v>
      </c>
      <c r="E3127" s="35" t="s">
        <v>888</v>
      </c>
      <c r="F3127" s="35" t="s">
        <v>390</v>
      </c>
      <c r="G3127" s="35" t="s">
        <v>10</v>
      </c>
      <c r="H3127" s="35" t="s">
        <v>517</v>
      </c>
    </row>
    <row r="3128" spans="1:8">
      <c r="A3128" s="34">
        <v>2084027366</v>
      </c>
      <c r="B3128" s="35" t="s">
        <v>462</v>
      </c>
      <c r="C3128" s="35" t="s">
        <v>405</v>
      </c>
      <c r="D3128" s="35" t="s">
        <v>868</v>
      </c>
      <c r="E3128" s="35" t="s">
        <v>888</v>
      </c>
      <c r="F3128" s="35" t="s">
        <v>390</v>
      </c>
      <c r="G3128" s="35" t="s">
        <v>10</v>
      </c>
      <c r="H3128" s="35" t="s">
        <v>518</v>
      </c>
    </row>
    <row r="3129" spans="1:8">
      <c r="A3129" s="34">
        <v>2084027577</v>
      </c>
      <c r="B3129" s="35" t="s">
        <v>462</v>
      </c>
      <c r="C3129" s="35" t="s">
        <v>405</v>
      </c>
      <c r="D3129" s="35" t="s">
        <v>868</v>
      </c>
      <c r="E3129" s="35" t="s">
        <v>888</v>
      </c>
      <c r="F3129" s="35" t="s">
        <v>390</v>
      </c>
      <c r="G3129" s="35" t="s">
        <v>10</v>
      </c>
      <c r="H3129" s="35" t="s">
        <v>422</v>
      </c>
    </row>
    <row r="3130" spans="1:8">
      <c r="A3130" s="34">
        <v>2084027761</v>
      </c>
      <c r="B3130" s="35" t="s">
        <v>462</v>
      </c>
      <c r="C3130" s="35" t="s">
        <v>405</v>
      </c>
      <c r="D3130" s="35" t="s">
        <v>868</v>
      </c>
      <c r="E3130" s="35" t="s">
        <v>888</v>
      </c>
      <c r="F3130" s="35" t="s">
        <v>390</v>
      </c>
      <c r="G3130" s="35" t="s">
        <v>10</v>
      </c>
      <c r="H3130" s="35" t="s">
        <v>519</v>
      </c>
    </row>
    <row r="3131" spans="1:8">
      <c r="A3131" s="34">
        <v>2084058862</v>
      </c>
      <c r="B3131" s="35" t="s">
        <v>462</v>
      </c>
      <c r="C3131" s="35" t="s">
        <v>405</v>
      </c>
      <c r="D3131" s="35" t="s">
        <v>868</v>
      </c>
      <c r="E3131" s="35" t="s">
        <v>888</v>
      </c>
      <c r="F3131" s="35" t="s">
        <v>390</v>
      </c>
      <c r="G3131" s="35" t="s">
        <v>10</v>
      </c>
      <c r="H3131" s="35" t="s">
        <v>335</v>
      </c>
    </row>
    <row r="3132" spans="1:8">
      <c r="A3132" s="34">
        <v>2084028037</v>
      </c>
      <c r="B3132" s="35" t="s">
        <v>462</v>
      </c>
      <c r="C3132" s="35" t="s">
        <v>405</v>
      </c>
      <c r="D3132" s="35" t="s">
        <v>868</v>
      </c>
      <c r="E3132" s="35" t="s">
        <v>888</v>
      </c>
      <c r="F3132" s="35" t="s">
        <v>390</v>
      </c>
      <c r="G3132" s="35" t="s">
        <v>379</v>
      </c>
      <c r="H3132" s="35" t="s">
        <v>520</v>
      </c>
    </row>
    <row r="3133" spans="1:8">
      <c r="A3133" s="34">
        <v>2084028072</v>
      </c>
      <c r="B3133" s="35" t="s">
        <v>462</v>
      </c>
      <c r="C3133" s="35" t="s">
        <v>405</v>
      </c>
      <c r="D3133" s="35" t="s">
        <v>868</v>
      </c>
      <c r="E3133" s="35" t="s">
        <v>888</v>
      </c>
      <c r="F3133" s="35" t="s">
        <v>390</v>
      </c>
      <c r="G3133" s="35" t="s">
        <v>379</v>
      </c>
      <c r="H3133" s="35" t="s">
        <v>521</v>
      </c>
    </row>
    <row r="3134" spans="1:8">
      <c r="A3134" s="34">
        <v>2084028172</v>
      </c>
      <c r="B3134" s="35" t="s">
        <v>462</v>
      </c>
      <c r="C3134" s="35" t="s">
        <v>405</v>
      </c>
      <c r="D3134" s="35" t="s">
        <v>868</v>
      </c>
      <c r="E3134" s="35" t="s">
        <v>888</v>
      </c>
      <c r="F3134" s="35" t="s">
        <v>390</v>
      </c>
      <c r="G3134" s="35" t="s">
        <v>379</v>
      </c>
      <c r="H3134" s="35" t="s">
        <v>522</v>
      </c>
    </row>
    <row r="3135" spans="1:8">
      <c r="A3135" s="34">
        <v>2084028412</v>
      </c>
      <c r="B3135" s="35" t="s">
        <v>462</v>
      </c>
      <c r="C3135" s="35" t="s">
        <v>405</v>
      </c>
      <c r="D3135" s="35" t="s">
        <v>868</v>
      </c>
      <c r="E3135" s="35" t="s">
        <v>888</v>
      </c>
      <c r="F3135" s="35" t="s">
        <v>390</v>
      </c>
      <c r="G3135" s="35" t="s">
        <v>379</v>
      </c>
      <c r="H3135" s="35" t="s">
        <v>523</v>
      </c>
    </row>
    <row r="3136" spans="1:8">
      <c r="A3136" s="34">
        <v>2084028111</v>
      </c>
      <c r="B3136" s="35" t="s">
        <v>462</v>
      </c>
      <c r="C3136" s="35" t="s">
        <v>405</v>
      </c>
      <c r="D3136" s="35" t="s">
        <v>868</v>
      </c>
      <c r="E3136" s="35" t="s">
        <v>888</v>
      </c>
      <c r="F3136" s="35" t="s">
        <v>390</v>
      </c>
      <c r="G3136" s="35" t="s">
        <v>379</v>
      </c>
      <c r="H3136" s="35" t="s">
        <v>524</v>
      </c>
    </row>
    <row r="3137" spans="1:8">
      <c r="A3137" s="34">
        <v>2084028277</v>
      </c>
      <c r="B3137" s="35" t="s">
        <v>462</v>
      </c>
      <c r="C3137" s="35" t="s">
        <v>405</v>
      </c>
      <c r="D3137" s="35" t="s">
        <v>868</v>
      </c>
      <c r="E3137" s="35" t="s">
        <v>888</v>
      </c>
      <c r="F3137" s="35" t="s">
        <v>390</v>
      </c>
      <c r="G3137" s="35" t="s">
        <v>379</v>
      </c>
      <c r="H3137" s="35" t="s">
        <v>525</v>
      </c>
    </row>
    <row r="3138" spans="1:8">
      <c r="A3138" s="34">
        <v>2084028479</v>
      </c>
      <c r="B3138" s="35" t="s">
        <v>462</v>
      </c>
      <c r="C3138" s="35" t="s">
        <v>405</v>
      </c>
      <c r="D3138" s="35" t="s">
        <v>868</v>
      </c>
      <c r="E3138" s="35" t="s">
        <v>888</v>
      </c>
      <c r="F3138" s="35" t="s">
        <v>390</v>
      </c>
      <c r="G3138" s="35" t="s">
        <v>379</v>
      </c>
      <c r="H3138" s="35" t="s">
        <v>526</v>
      </c>
    </row>
    <row r="3139" spans="1:8">
      <c r="A3139" s="34">
        <v>2084028302</v>
      </c>
      <c r="B3139" s="35" t="s">
        <v>462</v>
      </c>
      <c r="C3139" s="35" t="s">
        <v>405</v>
      </c>
      <c r="D3139" s="35" t="s">
        <v>868</v>
      </c>
      <c r="E3139" s="35" t="s">
        <v>888</v>
      </c>
      <c r="F3139" s="35" t="s">
        <v>390</v>
      </c>
      <c r="G3139" s="35" t="s">
        <v>379</v>
      </c>
      <c r="H3139" s="35" t="s">
        <v>527</v>
      </c>
    </row>
    <row r="3140" spans="1:8">
      <c r="A3140" s="34">
        <v>2084028514</v>
      </c>
      <c r="B3140" s="35" t="s">
        <v>462</v>
      </c>
      <c r="C3140" s="35" t="s">
        <v>405</v>
      </c>
      <c r="D3140" s="35" t="s">
        <v>868</v>
      </c>
      <c r="E3140" s="35" t="s">
        <v>888</v>
      </c>
      <c r="F3140" s="35" t="s">
        <v>390</v>
      </c>
      <c r="G3140" s="35" t="s">
        <v>379</v>
      </c>
      <c r="H3140" s="35" t="s">
        <v>528</v>
      </c>
    </row>
    <row r="3141" spans="1:8">
      <c r="A3141" s="34">
        <v>2084028340</v>
      </c>
      <c r="B3141" s="35" t="s">
        <v>462</v>
      </c>
      <c r="C3141" s="35" t="s">
        <v>405</v>
      </c>
      <c r="D3141" s="35" t="s">
        <v>868</v>
      </c>
      <c r="E3141" s="35" t="s">
        <v>888</v>
      </c>
      <c r="F3141" s="35" t="s">
        <v>390</v>
      </c>
      <c r="G3141" s="35" t="s">
        <v>379</v>
      </c>
      <c r="H3141" s="35" t="s">
        <v>529</v>
      </c>
    </row>
    <row r="3142" spans="1:8">
      <c r="A3142" s="34">
        <v>2084058864</v>
      </c>
      <c r="B3142" s="35" t="s">
        <v>462</v>
      </c>
      <c r="C3142" s="35" t="s">
        <v>405</v>
      </c>
      <c r="D3142" s="35" t="s">
        <v>868</v>
      </c>
      <c r="E3142" s="35" t="s">
        <v>888</v>
      </c>
      <c r="F3142" s="35" t="s">
        <v>390</v>
      </c>
      <c r="G3142" s="35" t="s">
        <v>379</v>
      </c>
      <c r="H3142" s="35" t="s">
        <v>335</v>
      </c>
    </row>
    <row r="3143" spans="1:8">
      <c r="A3143" s="34">
        <v>2084028554</v>
      </c>
      <c r="B3143" s="35" t="s">
        <v>462</v>
      </c>
      <c r="C3143" s="35" t="s">
        <v>405</v>
      </c>
      <c r="D3143" s="35" t="s">
        <v>868</v>
      </c>
      <c r="E3143" s="35" t="s">
        <v>888</v>
      </c>
      <c r="F3143" s="35" t="s">
        <v>390</v>
      </c>
      <c r="G3143" s="35" t="s">
        <v>530</v>
      </c>
      <c r="H3143" s="35" t="s">
        <v>531</v>
      </c>
    </row>
    <row r="3144" spans="1:8">
      <c r="A3144" s="34">
        <v>2084028592</v>
      </c>
      <c r="B3144" s="35" t="s">
        <v>462</v>
      </c>
      <c r="C3144" s="35" t="s">
        <v>405</v>
      </c>
      <c r="D3144" s="35" t="s">
        <v>868</v>
      </c>
      <c r="E3144" s="35" t="s">
        <v>888</v>
      </c>
      <c r="F3144" s="35" t="s">
        <v>390</v>
      </c>
      <c r="G3144" s="35" t="s">
        <v>530</v>
      </c>
      <c r="H3144" s="35" t="s">
        <v>532</v>
      </c>
    </row>
    <row r="3145" spans="1:8">
      <c r="A3145" s="34">
        <v>2084058866</v>
      </c>
      <c r="B3145" s="35" t="s">
        <v>462</v>
      </c>
      <c r="C3145" s="35" t="s">
        <v>405</v>
      </c>
      <c r="D3145" s="35" t="s">
        <v>868</v>
      </c>
      <c r="E3145" s="35" t="s">
        <v>888</v>
      </c>
      <c r="F3145" s="35" t="s">
        <v>390</v>
      </c>
      <c r="G3145" s="35" t="s">
        <v>530</v>
      </c>
      <c r="H3145" s="35" t="s">
        <v>335</v>
      </c>
    </row>
    <row r="3146" spans="1:8">
      <c r="A3146" s="34">
        <v>2084030092</v>
      </c>
      <c r="B3146" s="35" t="s">
        <v>462</v>
      </c>
      <c r="C3146" s="35" t="s">
        <v>405</v>
      </c>
      <c r="D3146" s="35" t="s">
        <v>868</v>
      </c>
      <c r="E3146" s="35" t="s">
        <v>888</v>
      </c>
      <c r="F3146" s="35" t="s">
        <v>390</v>
      </c>
      <c r="G3146" s="35" t="s">
        <v>533</v>
      </c>
      <c r="H3146" s="35" t="s">
        <v>534</v>
      </c>
    </row>
    <row r="3147" spans="1:8">
      <c r="A3147" s="34">
        <v>2084030174</v>
      </c>
      <c r="B3147" s="35" t="s">
        <v>462</v>
      </c>
      <c r="C3147" s="35" t="s">
        <v>405</v>
      </c>
      <c r="D3147" s="35" t="s">
        <v>868</v>
      </c>
      <c r="E3147" s="35" t="s">
        <v>888</v>
      </c>
      <c r="F3147" s="35" t="s">
        <v>390</v>
      </c>
      <c r="G3147" s="35" t="s">
        <v>533</v>
      </c>
      <c r="H3147" s="35" t="s">
        <v>535</v>
      </c>
    </row>
    <row r="3148" spans="1:8">
      <c r="A3148" s="34">
        <v>2084027166</v>
      </c>
      <c r="B3148" s="35" t="s">
        <v>462</v>
      </c>
      <c r="C3148" s="35" t="s">
        <v>405</v>
      </c>
      <c r="D3148" s="35" t="s">
        <v>868</v>
      </c>
      <c r="E3148" s="35" t="s">
        <v>888</v>
      </c>
      <c r="F3148" s="35" t="s">
        <v>390</v>
      </c>
      <c r="G3148" s="35" t="s">
        <v>533</v>
      </c>
      <c r="H3148" s="35" t="s">
        <v>536</v>
      </c>
    </row>
    <row r="3149" spans="1:8">
      <c r="A3149" s="34">
        <v>2084058868</v>
      </c>
      <c r="B3149" s="35" t="s">
        <v>462</v>
      </c>
      <c r="C3149" s="35" t="s">
        <v>405</v>
      </c>
      <c r="D3149" s="35" t="s">
        <v>868</v>
      </c>
      <c r="E3149" s="35" t="s">
        <v>888</v>
      </c>
      <c r="F3149" s="35" t="s">
        <v>390</v>
      </c>
      <c r="G3149" s="35" t="s">
        <v>533</v>
      </c>
      <c r="H3149" s="35" t="s">
        <v>335</v>
      </c>
    </row>
    <row r="3150" spans="1:8">
      <c r="A3150" s="34">
        <v>2084050901</v>
      </c>
      <c r="B3150" s="35" t="s">
        <v>462</v>
      </c>
      <c r="C3150" s="35" t="s">
        <v>405</v>
      </c>
      <c r="D3150" s="35" t="s">
        <v>868</v>
      </c>
      <c r="E3150" s="35" t="s">
        <v>888</v>
      </c>
      <c r="F3150" s="35" t="s">
        <v>390</v>
      </c>
      <c r="G3150" s="35" t="s">
        <v>335</v>
      </c>
    </row>
    <row r="3151" spans="1:8">
      <c r="A3151" s="34">
        <v>2084050902</v>
      </c>
      <c r="B3151" s="35" t="s">
        <v>462</v>
      </c>
      <c r="C3151" s="35" t="s">
        <v>405</v>
      </c>
      <c r="D3151" s="35" t="s">
        <v>868</v>
      </c>
      <c r="E3151" s="35" t="s">
        <v>888</v>
      </c>
      <c r="F3151" s="35" t="s">
        <v>353</v>
      </c>
      <c r="G3151" s="35" t="s">
        <v>367</v>
      </c>
    </row>
    <row r="3152" spans="1:8">
      <c r="A3152" s="34">
        <v>2084030717</v>
      </c>
      <c r="B3152" s="35" t="s">
        <v>462</v>
      </c>
      <c r="C3152" s="35" t="s">
        <v>405</v>
      </c>
      <c r="D3152" s="35" t="s">
        <v>868</v>
      </c>
      <c r="E3152" s="35" t="s">
        <v>888</v>
      </c>
      <c r="F3152" s="35" t="s">
        <v>353</v>
      </c>
      <c r="G3152" s="35" t="s">
        <v>481</v>
      </c>
    </row>
    <row r="3153" spans="1:8">
      <c r="A3153" s="34">
        <v>2084031615</v>
      </c>
      <c r="B3153" s="35" t="s">
        <v>462</v>
      </c>
      <c r="C3153" s="35" t="s">
        <v>405</v>
      </c>
      <c r="D3153" s="35" t="s">
        <v>868</v>
      </c>
      <c r="E3153" s="35" t="s">
        <v>888</v>
      </c>
      <c r="F3153" s="35" t="s">
        <v>353</v>
      </c>
      <c r="G3153" s="35" t="s">
        <v>483</v>
      </c>
    </row>
    <row r="3154" spans="1:8">
      <c r="A3154" s="34">
        <v>2084031450</v>
      </c>
      <c r="B3154" s="35" t="s">
        <v>462</v>
      </c>
      <c r="C3154" s="35" t="s">
        <v>405</v>
      </c>
      <c r="D3154" s="35" t="s">
        <v>868</v>
      </c>
      <c r="E3154" s="35" t="s">
        <v>888</v>
      </c>
      <c r="F3154" s="35" t="s">
        <v>353</v>
      </c>
      <c r="G3154" s="35" t="s">
        <v>482</v>
      </c>
    </row>
    <row r="3155" spans="1:8">
      <c r="A3155" s="34">
        <v>2084030267</v>
      </c>
      <c r="B3155" s="35" t="s">
        <v>462</v>
      </c>
      <c r="C3155" s="35" t="s">
        <v>405</v>
      </c>
      <c r="D3155" s="35" t="s">
        <v>868</v>
      </c>
      <c r="E3155" s="35" t="s">
        <v>888</v>
      </c>
      <c r="F3155" s="35" t="s">
        <v>353</v>
      </c>
      <c r="G3155" s="35" t="s">
        <v>493</v>
      </c>
    </row>
    <row r="3156" spans="1:8">
      <c r="A3156" s="34">
        <v>2084037253</v>
      </c>
      <c r="B3156" s="35" t="s">
        <v>462</v>
      </c>
      <c r="C3156" s="35" t="s">
        <v>405</v>
      </c>
      <c r="D3156" s="35" t="s">
        <v>868</v>
      </c>
      <c r="E3156" s="35" t="s">
        <v>888</v>
      </c>
      <c r="F3156" s="35" t="s">
        <v>353</v>
      </c>
      <c r="G3156" s="35" t="s">
        <v>494</v>
      </c>
    </row>
    <row r="3157" spans="1:8">
      <c r="A3157" s="34">
        <v>2084050903</v>
      </c>
      <c r="B3157" s="35" t="s">
        <v>462</v>
      </c>
      <c r="C3157" s="35" t="s">
        <v>405</v>
      </c>
      <c r="D3157" s="35" t="s">
        <v>868</v>
      </c>
      <c r="E3157" s="35" t="s">
        <v>888</v>
      </c>
      <c r="F3157" s="35" t="s">
        <v>353</v>
      </c>
      <c r="G3157" s="35" t="s">
        <v>403</v>
      </c>
    </row>
    <row r="3158" spans="1:8">
      <c r="A3158" s="34">
        <v>2084031509</v>
      </c>
      <c r="B3158" s="35" t="s">
        <v>462</v>
      </c>
      <c r="C3158" s="35" t="s">
        <v>405</v>
      </c>
      <c r="D3158" s="35" t="s">
        <v>868</v>
      </c>
      <c r="E3158" s="35" t="s">
        <v>888</v>
      </c>
      <c r="F3158" s="35" t="s">
        <v>353</v>
      </c>
      <c r="G3158" s="35" t="s">
        <v>397</v>
      </c>
    </row>
    <row r="3159" spans="1:8">
      <c r="A3159" s="34">
        <v>2084221866</v>
      </c>
      <c r="B3159" s="35" t="s">
        <v>462</v>
      </c>
      <c r="C3159" s="35" t="s">
        <v>405</v>
      </c>
      <c r="D3159" s="35" t="s">
        <v>868</v>
      </c>
      <c r="E3159" s="35" t="s">
        <v>888</v>
      </c>
      <c r="F3159" s="35" t="s">
        <v>353</v>
      </c>
      <c r="G3159" s="35" t="s">
        <v>887</v>
      </c>
      <c r="H3159" s="35" t="s">
        <v>374</v>
      </c>
    </row>
    <row r="3160" spans="1:8">
      <c r="A3160" s="34">
        <v>2084221867</v>
      </c>
      <c r="B3160" s="35" t="s">
        <v>462</v>
      </c>
      <c r="C3160" s="35" t="s">
        <v>405</v>
      </c>
      <c r="D3160" s="35" t="s">
        <v>868</v>
      </c>
      <c r="E3160" s="35" t="s">
        <v>888</v>
      </c>
      <c r="F3160" s="35" t="s">
        <v>353</v>
      </c>
      <c r="G3160" s="35" t="s">
        <v>887</v>
      </c>
      <c r="H3160" s="35" t="s">
        <v>375</v>
      </c>
    </row>
    <row r="3161" spans="1:8">
      <c r="A3161" s="34">
        <v>2084221868</v>
      </c>
      <c r="B3161" s="35" t="s">
        <v>462</v>
      </c>
      <c r="C3161" s="35" t="s">
        <v>405</v>
      </c>
      <c r="D3161" s="35" t="s">
        <v>868</v>
      </c>
      <c r="E3161" s="35" t="s">
        <v>888</v>
      </c>
      <c r="F3161" s="35" t="s">
        <v>353</v>
      </c>
      <c r="G3161" s="35" t="s">
        <v>887</v>
      </c>
      <c r="H3161" s="35" t="s">
        <v>393</v>
      </c>
    </row>
    <row r="3162" spans="1:8">
      <c r="A3162" s="34">
        <v>2084224711</v>
      </c>
      <c r="B3162" s="35" t="s">
        <v>462</v>
      </c>
      <c r="C3162" s="35" t="s">
        <v>405</v>
      </c>
      <c r="D3162" s="35" t="s">
        <v>868</v>
      </c>
      <c r="E3162" s="35" t="s">
        <v>888</v>
      </c>
      <c r="F3162" s="35" t="s">
        <v>353</v>
      </c>
      <c r="G3162" s="35" t="s">
        <v>378</v>
      </c>
      <c r="H3162" s="35" t="s">
        <v>374</v>
      </c>
    </row>
    <row r="3163" spans="1:8">
      <c r="A3163" s="34">
        <v>2084224712</v>
      </c>
      <c r="B3163" s="35" t="s">
        <v>462</v>
      </c>
      <c r="C3163" s="35" t="s">
        <v>405</v>
      </c>
      <c r="D3163" s="35" t="s">
        <v>868</v>
      </c>
      <c r="E3163" s="35" t="s">
        <v>888</v>
      </c>
      <c r="F3163" s="35" t="s">
        <v>353</v>
      </c>
      <c r="G3163" s="35" t="s">
        <v>378</v>
      </c>
      <c r="H3163" s="35" t="s">
        <v>375</v>
      </c>
    </row>
    <row r="3164" spans="1:8">
      <c r="A3164" s="34">
        <v>2084224713</v>
      </c>
      <c r="B3164" s="35" t="s">
        <v>462</v>
      </c>
      <c r="C3164" s="35" t="s">
        <v>405</v>
      </c>
      <c r="D3164" s="35" t="s">
        <v>868</v>
      </c>
      <c r="E3164" s="35" t="s">
        <v>888</v>
      </c>
      <c r="F3164" s="35" t="s">
        <v>353</v>
      </c>
      <c r="G3164" s="35" t="s">
        <v>378</v>
      </c>
      <c r="H3164" s="35" t="s">
        <v>393</v>
      </c>
    </row>
    <row r="3165" spans="1:8">
      <c r="A3165" s="34">
        <v>2084030356</v>
      </c>
      <c r="B3165" s="35" t="s">
        <v>462</v>
      </c>
      <c r="C3165" s="35" t="s">
        <v>405</v>
      </c>
      <c r="D3165" s="35" t="s">
        <v>868</v>
      </c>
      <c r="E3165" s="35" t="s">
        <v>888</v>
      </c>
      <c r="F3165" s="35" t="s">
        <v>353</v>
      </c>
      <c r="G3165" s="35" t="s">
        <v>422</v>
      </c>
    </row>
    <row r="3166" spans="1:8">
      <c r="A3166" s="34">
        <v>2084053597</v>
      </c>
      <c r="B3166" s="35" t="s">
        <v>462</v>
      </c>
      <c r="C3166" s="35" t="s">
        <v>405</v>
      </c>
      <c r="D3166" s="35" t="s">
        <v>868</v>
      </c>
      <c r="E3166" s="35" t="s">
        <v>888</v>
      </c>
      <c r="F3166" s="35" t="s">
        <v>353</v>
      </c>
      <c r="G3166" s="35" t="s">
        <v>549</v>
      </c>
    </row>
    <row r="3167" spans="1:8">
      <c r="A3167" s="34">
        <v>2084050904</v>
      </c>
      <c r="B3167" s="35" t="s">
        <v>462</v>
      </c>
      <c r="C3167" s="35" t="s">
        <v>405</v>
      </c>
      <c r="D3167" s="35" t="s">
        <v>868</v>
      </c>
      <c r="E3167" s="35" t="s">
        <v>888</v>
      </c>
      <c r="F3167" s="35" t="s">
        <v>353</v>
      </c>
      <c r="G3167" s="35" t="s">
        <v>335</v>
      </c>
    </row>
    <row r="3168" spans="1:8">
      <c r="A3168" s="34">
        <v>2084031361</v>
      </c>
      <c r="B3168" s="35" t="s">
        <v>462</v>
      </c>
      <c r="C3168" s="35" t="s">
        <v>405</v>
      </c>
      <c r="D3168" s="35" t="s">
        <v>868</v>
      </c>
      <c r="E3168" s="35" t="s">
        <v>888</v>
      </c>
      <c r="F3168" s="35" t="s">
        <v>442</v>
      </c>
      <c r="G3168" s="35" t="s">
        <v>569</v>
      </c>
    </row>
    <row r="3169" spans="1:8">
      <c r="A3169" s="34">
        <v>2084243059</v>
      </c>
      <c r="B3169" s="35" t="s">
        <v>462</v>
      </c>
      <c r="C3169" s="35" t="s">
        <v>405</v>
      </c>
      <c r="D3169" s="35" t="s">
        <v>868</v>
      </c>
      <c r="E3169" s="35" t="s">
        <v>888</v>
      </c>
      <c r="F3169" s="35" t="s">
        <v>442</v>
      </c>
      <c r="G3169" s="35" t="s">
        <v>504</v>
      </c>
    </row>
    <row r="3170" spans="1:8">
      <c r="A3170" s="34">
        <v>2084050905</v>
      </c>
      <c r="B3170" s="35" t="s">
        <v>462</v>
      </c>
      <c r="C3170" s="35" t="s">
        <v>405</v>
      </c>
      <c r="D3170" s="35" t="s">
        <v>868</v>
      </c>
      <c r="E3170" s="35" t="s">
        <v>888</v>
      </c>
      <c r="F3170" s="35" t="s">
        <v>442</v>
      </c>
      <c r="G3170" s="35" t="s">
        <v>335</v>
      </c>
    </row>
    <row r="3171" spans="1:8">
      <c r="A3171" s="34">
        <v>2084048672</v>
      </c>
      <c r="B3171" s="35" t="s">
        <v>462</v>
      </c>
      <c r="C3171" s="35" t="s">
        <v>405</v>
      </c>
      <c r="D3171" s="35" t="s">
        <v>868</v>
      </c>
      <c r="E3171" s="35" t="s">
        <v>888</v>
      </c>
      <c r="F3171" s="35" t="s">
        <v>335</v>
      </c>
    </row>
    <row r="3172" spans="1:8">
      <c r="A3172" s="34">
        <v>2084283153</v>
      </c>
      <c r="B3172" s="35" t="s">
        <v>462</v>
      </c>
      <c r="C3172" s="35" t="s">
        <v>405</v>
      </c>
      <c r="D3172" s="35" t="s">
        <v>868</v>
      </c>
      <c r="E3172" s="35" t="s">
        <v>889</v>
      </c>
      <c r="F3172" s="35" t="s">
        <v>407</v>
      </c>
    </row>
    <row r="3173" spans="1:8">
      <c r="A3173" s="34">
        <v>2084283152</v>
      </c>
      <c r="B3173" s="35" t="s">
        <v>462</v>
      </c>
      <c r="C3173" s="35" t="s">
        <v>405</v>
      </c>
      <c r="D3173" s="35" t="s">
        <v>868</v>
      </c>
      <c r="E3173" s="35" t="s">
        <v>889</v>
      </c>
      <c r="F3173" s="35" t="s">
        <v>408</v>
      </c>
    </row>
    <row r="3174" spans="1:8">
      <c r="A3174" s="34">
        <v>2084244404</v>
      </c>
      <c r="B3174" s="35" t="s">
        <v>462</v>
      </c>
      <c r="C3174" s="35" t="s">
        <v>405</v>
      </c>
      <c r="D3174" s="35" t="s">
        <v>868</v>
      </c>
      <c r="E3174" s="35" t="s">
        <v>890</v>
      </c>
    </row>
    <row r="3175" spans="1:8">
      <c r="A3175" s="34">
        <v>2084308724</v>
      </c>
      <c r="B3175" s="35" t="s">
        <v>462</v>
      </c>
      <c r="C3175" s="35" t="s">
        <v>405</v>
      </c>
      <c r="D3175" s="35" t="s">
        <v>868</v>
      </c>
      <c r="E3175" s="35" t="s">
        <v>891</v>
      </c>
      <c r="F3175" s="35" t="s">
        <v>611</v>
      </c>
      <c r="G3175" s="35" t="s">
        <v>390</v>
      </c>
      <c r="H3175" s="35" t="s">
        <v>892</v>
      </c>
    </row>
    <row r="3176" spans="1:8">
      <c r="A3176" s="34">
        <v>2084308725</v>
      </c>
      <c r="B3176" s="35" t="s">
        <v>462</v>
      </c>
      <c r="C3176" s="35" t="s">
        <v>405</v>
      </c>
      <c r="D3176" s="35" t="s">
        <v>868</v>
      </c>
      <c r="E3176" s="35" t="s">
        <v>891</v>
      </c>
      <c r="F3176" s="35" t="s">
        <v>611</v>
      </c>
      <c r="G3176" s="35" t="s">
        <v>390</v>
      </c>
      <c r="H3176" s="35" t="s">
        <v>893</v>
      </c>
    </row>
    <row r="3177" spans="1:8">
      <c r="A3177" s="34">
        <v>2084308726</v>
      </c>
      <c r="B3177" s="35" t="s">
        <v>462</v>
      </c>
      <c r="C3177" s="35" t="s">
        <v>405</v>
      </c>
      <c r="D3177" s="35" t="s">
        <v>868</v>
      </c>
      <c r="E3177" s="35" t="s">
        <v>891</v>
      </c>
      <c r="F3177" s="35" t="s">
        <v>611</v>
      </c>
      <c r="G3177" s="35" t="s">
        <v>390</v>
      </c>
      <c r="H3177" s="35" t="s">
        <v>894</v>
      </c>
    </row>
    <row r="3178" spans="1:8">
      <c r="A3178" s="34">
        <v>2084308727</v>
      </c>
      <c r="B3178" s="35" t="s">
        <v>462</v>
      </c>
      <c r="C3178" s="35" t="s">
        <v>405</v>
      </c>
      <c r="D3178" s="35" t="s">
        <v>868</v>
      </c>
      <c r="E3178" s="35" t="s">
        <v>891</v>
      </c>
      <c r="F3178" s="35" t="s">
        <v>611</v>
      </c>
      <c r="G3178" s="35" t="s">
        <v>390</v>
      </c>
      <c r="H3178" s="35" t="s">
        <v>648</v>
      </c>
    </row>
    <row r="3179" spans="1:8">
      <c r="A3179" s="34">
        <v>2084308728</v>
      </c>
      <c r="B3179" s="35" t="s">
        <v>462</v>
      </c>
      <c r="C3179" s="35" t="s">
        <v>405</v>
      </c>
      <c r="D3179" s="35" t="s">
        <v>868</v>
      </c>
      <c r="E3179" s="35" t="s">
        <v>891</v>
      </c>
      <c r="F3179" s="35" t="s">
        <v>611</v>
      </c>
      <c r="G3179" s="35" t="s">
        <v>390</v>
      </c>
      <c r="H3179" s="35" t="s">
        <v>895</v>
      </c>
    </row>
    <row r="3180" spans="1:8">
      <c r="A3180" s="34">
        <v>2084308716</v>
      </c>
      <c r="B3180" s="35" t="s">
        <v>462</v>
      </c>
      <c r="C3180" s="35" t="s">
        <v>405</v>
      </c>
      <c r="D3180" s="35" t="s">
        <v>868</v>
      </c>
      <c r="E3180" s="35" t="s">
        <v>891</v>
      </c>
      <c r="F3180" s="35" t="s">
        <v>611</v>
      </c>
      <c r="G3180" s="35" t="s">
        <v>353</v>
      </c>
      <c r="H3180" s="35" t="s">
        <v>896</v>
      </c>
    </row>
    <row r="3181" spans="1:8">
      <c r="A3181" s="34">
        <v>2084308717</v>
      </c>
      <c r="B3181" s="35" t="s">
        <v>462</v>
      </c>
      <c r="C3181" s="35" t="s">
        <v>405</v>
      </c>
      <c r="D3181" s="35" t="s">
        <v>868</v>
      </c>
      <c r="E3181" s="35" t="s">
        <v>891</v>
      </c>
      <c r="F3181" s="35" t="s">
        <v>611</v>
      </c>
      <c r="G3181" s="35" t="s">
        <v>353</v>
      </c>
      <c r="H3181" s="35" t="s">
        <v>652</v>
      </c>
    </row>
    <row r="3182" spans="1:8">
      <c r="A3182" s="34">
        <v>2084308718</v>
      </c>
      <c r="B3182" s="35" t="s">
        <v>462</v>
      </c>
      <c r="C3182" s="35" t="s">
        <v>405</v>
      </c>
      <c r="D3182" s="35" t="s">
        <v>868</v>
      </c>
      <c r="E3182" s="35" t="s">
        <v>891</v>
      </c>
      <c r="F3182" s="35" t="s">
        <v>611</v>
      </c>
      <c r="G3182" s="35" t="s">
        <v>353</v>
      </c>
      <c r="H3182" s="35" t="s">
        <v>653</v>
      </c>
    </row>
    <row r="3183" spans="1:8">
      <c r="A3183" s="34">
        <v>2084308719</v>
      </c>
      <c r="B3183" s="35" t="s">
        <v>462</v>
      </c>
      <c r="C3183" s="35" t="s">
        <v>405</v>
      </c>
      <c r="D3183" s="35" t="s">
        <v>868</v>
      </c>
      <c r="E3183" s="35" t="s">
        <v>891</v>
      </c>
      <c r="F3183" s="35" t="s">
        <v>611</v>
      </c>
      <c r="G3183" s="35" t="s">
        <v>353</v>
      </c>
      <c r="H3183" s="35" t="s">
        <v>654</v>
      </c>
    </row>
    <row r="3184" spans="1:8">
      <c r="A3184" s="34">
        <v>2084308720</v>
      </c>
      <c r="B3184" s="35" t="s">
        <v>462</v>
      </c>
      <c r="C3184" s="35" t="s">
        <v>405</v>
      </c>
      <c r="D3184" s="35" t="s">
        <v>868</v>
      </c>
      <c r="E3184" s="35" t="s">
        <v>891</v>
      </c>
      <c r="F3184" s="35" t="s">
        <v>611</v>
      </c>
      <c r="G3184" s="35" t="s">
        <v>353</v>
      </c>
      <c r="H3184" s="35" t="s">
        <v>655</v>
      </c>
    </row>
    <row r="3185" spans="1:8">
      <c r="A3185" s="34">
        <v>2084308721</v>
      </c>
      <c r="B3185" s="35" t="s">
        <v>462</v>
      </c>
      <c r="C3185" s="35" t="s">
        <v>405</v>
      </c>
      <c r="D3185" s="35" t="s">
        <v>868</v>
      </c>
      <c r="E3185" s="35" t="s">
        <v>891</v>
      </c>
      <c r="F3185" s="35" t="s">
        <v>611</v>
      </c>
      <c r="G3185" s="35" t="s">
        <v>353</v>
      </c>
      <c r="H3185" s="35" t="s">
        <v>656</v>
      </c>
    </row>
    <row r="3186" spans="1:8">
      <c r="A3186" s="34">
        <v>2084308722</v>
      </c>
      <c r="B3186" s="35" t="s">
        <v>462</v>
      </c>
      <c r="C3186" s="35" t="s">
        <v>405</v>
      </c>
      <c r="D3186" s="35" t="s">
        <v>868</v>
      </c>
      <c r="E3186" s="35" t="s">
        <v>891</v>
      </c>
      <c r="F3186" s="35" t="s">
        <v>611</v>
      </c>
      <c r="G3186" s="35" t="s">
        <v>353</v>
      </c>
      <c r="H3186" s="35" t="s">
        <v>657</v>
      </c>
    </row>
    <row r="3187" spans="1:8">
      <c r="A3187" s="34">
        <v>2084061431</v>
      </c>
      <c r="B3187" s="35" t="s">
        <v>462</v>
      </c>
      <c r="C3187" s="35" t="s">
        <v>405</v>
      </c>
      <c r="D3187" s="35" t="s">
        <v>868</v>
      </c>
      <c r="E3187" s="35" t="s">
        <v>891</v>
      </c>
      <c r="F3187" s="35" t="s">
        <v>335</v>
      </c>
    </row>
    <row r="3188" spans="1:8">
      <c r="A3188" s="34">
        <v>2084050221</v>
      </c>
      <c r="B3188" s="35" t="s">
        <v>462</v>
      </c>
      <c r="C3188" s="35" t="s">
        <v>405</v>
      </c>
      <c r="D3188" s="35" t="s">
        <v>868</v>
      </c>
      <c r="E3188" s="35" t="s">
        <v>897</v>
      </c>
    </row>
    <row r="3189" spans="1:8">
      <c r="A3189" s="34">
        <v>2084243058</v>
      </c>
      <c r="B3189" s="35" t="s">
        <v>462</v>
      </c>
      <c r="C3189" s="35" t="s">
        <v>405</v>
      </c>
      <c r="D3189" s="35" t="s">
        <v>868</v>
      </c>
      <c r="E3189" s="35" t="s">
        <v>898</v>
      </c>
      <c r="F3189" s="35" t="s">
        <v>504</v>
      </c>
    </row>
    <row r="3190" spans="1:8">
      <c r="A3190" s="34">
        <v>2084056431</v>
      </c>
      <c r="B3190" s="35" t="s">
        <v>462</v>
      </c>
      <c r="C3190" s="35" t="s">
        <v>405</v>
      </c>
      <c r="D3190" s="35" t="s">
        <v>868</v>
      </c>
      <c r="E3190" s="35" t="s">
        <v>898</v>
      </c>
      <c r="F3190" s="35" t="s">
        <v>335</v>
      </c>
    </row>
    <row r="3191" spans="1:8">
      <c r="A3191" s="34">
        <v>2084258854</v>
      </c>
      <c r="B3191" s="35" t="s">
        <v>462</v>
      </c>
      <c r="C3191" s="35" t="s">
        <v>405</v>
      </c>
      <c r="D3191" s="35" t="s">
        <v>899</v>
      </c>
      <c r="E3191" s="35" t="s">
        <v>900</v>
      </c>
    </row>
    <row r="3192" spans="1:8">
      <c r="A3192" s="34">
        <v>2084241740</v>
      </c>
      <c r="B3192" s="35" t="s">
        <v>462</v>
      </c>
      <c r="C3192" s="35" t="s">
        <v>405</v>
      </c>
      <c r="D3192" s="35" t="s">
        <v>899</v>
      </c>
      <c r="E3192" s="35" t="s">
        <v>901</v>
      </c>
      <c r="F3192" s="35" t="s">
        <v>407</v>
      </c>
    </row>
    <row r="3193" spans="1:8">
      <c r="A3193" s="34">
        <v>2084241739</v>
      </c>
      <c r="B3193" s="35" t="s">
        <v>462</v>
      </c>
      <c r="C3193" s="35" t="s">
        <v>405</v>
      </c>
      <c r="D3193" s="35" t="s">
        <v>899</v>
      </c>
      <c r="E3193" s="35" t="s">
        <v>901</v>
      </c>
      <c r="F3193" s="35" t="s">
        <v>408</v>
      </c>
    </row>
    <row r="3194" spans="1:8">
      <c r="A3194" s="34">
        <v>2084241741</v>
      </c>
      <c r="B3194" s="35" t="s">
        <v>462</v>
      </c>
      <c r="C3194" s="35" t="s">
        <v>405</v>
      </c>
      <c r="D3194" s="35" t="s">
        <v>899</v>
      </c>
      <c r="E3194" s="35" t="s">
        <v>901</v>
      </c>
      <c r="F3194" s="35" t="s">
        <v>335</v>
      </c>
    </row>
    <row r="3195" spans="1:8">
      <c r="A3195" s="34">
        <v>2084055108</v>
      </c>
      <c r="B3195" s="35" t="s">
        <v>462</v>
      </c>
      <c r="C3195" s="35" t="s">
        <v>405</v>
      </c>
      <c r="D3195" s="35" t="s">
        <v>899</v>
      </c>
      <c r="E3195" s="35" t="s">
        <v>902</v>
      </c>
      <c r="F3195" s="35" t="s">
        <v>335</v>
      </c>
    </row>
    <row r="3196" spans="1:8">
      <c r="A3196" s="34">
        <v>2084062012</v>
      </c>
      <c r="B3196" s="35" t="s">
        <v>462</v>
      </c>
      <c r="C3196" s="35" t="s">
        <v>405</v>
      </c>
      <c r="D3196" s="35" t="s">
        <v>899</v>
      </c>
      <c r="E3196" s="35" t="s">
        <v>902</v>
      </c>
      <c r="F3196" s="35" t="s">
        <v>390</v>
      </c>
      <c r="G3196" s="35" t="s">
        <v>368</v>
      </c>
      <c r="H3196" s="35" t="s">
        <v>481</v>
      </c>
    </row>
    <row r="3197" spans="1:8">
      <c r="A3197" s="34">
        <v>2084062013</v>
      </c>
      <c r="B3197" s="35" t="s">
        <v>462</v>
      </c>
      <c r="C3197" s="35" t="s">
        <v>405</v>
      </c>
      <c r="D3197" s="35" t="s">
        <v>899</v>
      </c>
      <c r="E3197" s="35" t="s">
        <v>902</v>
      </c>
      <c r="F3197" s="35" t="s">
        <v>390</v>
      </c>
      <c r="G3197" s="35" t="s">
        <v>368</v>
      </c>
      <c r="H3197" s="35" t="s">
        <v>335</v>
      </c>
    </row>
    <row r="3198" spans="1:8">
      <c r="A3198" s="34">
        <v>2084062019</v>
      </c>
      <c r="B3198" s="35" t="s">
        <v>462</v>
      </c>
      <c r="C3198" s="35" t="s">
        <v>405</v>
      </c>
      <c r="D3198" s="35" t="s">
        <v>899</v>
      </c>
      <c r="E3198" s="35" t="s">
        <v>902</v>
      </c>
      <c r="F3198" s="35" t="s">
        <v>390</v>
      </c>
      <c r="G3198" s="35" t="s">
        <v>10</v>
      </c>
      <c r="H3198" s="35" t="s">
        <v>483</v>
      </c>
    </row>
    <row r="3199" spans="1:8">
      <c r="A3199" s="34">
        <v>2084062016</v>
      </c>
      <c r="B3199" s="35" t="s">
        <v>462</v>
      </c>
      <c r="C3199" s="35" t="s">
        <v>405</v>
      </c>
      <c r="D3199" s="35" t="s">
        <v>899</v>
      </c>
      <c r="E3199" s="35" t="s">
        <v>902</v>
      </c>
      <c r="F3199" s="35" t="s">
        <v>390</v>
      </c>
      <c r="G3199" s="35" t="s">
        <v>10</v>
      </c>
      <c r="H3199" s="35" t="s">
        <v>397</v>
      </c>
    </row>
    <row r="3200" spans="1:8">
      <c r="A3200" s="34">
        <v>2084062018</v>
      </c>
      <c r="B3200" s="35" t="s">
        <v>462</v>
      </c>
      <c r="C3200" s="35" t="s">
        <v>405</v>
      </c>
      <c r="D3200" s="35" t="s">
        <v>899</v>
      </c>
      <c r="E3200" s="35" t="s">
        <v>902</v>
      </c>
      <c r="F3200" s="35" t="s">
        <v>390</v>
      </c>
      <c r="G3200" s="35" t="s">
        <v>10</v>
      </c>
      <c r="H3200" s="35" t="s">
        <v>421</v>
      </c>
    </row>
    <row r="3201" spans="1:8">
      <c r="A3201" s="34">
        <v>2084062015</v>
      </c>
      <c r="B3201" s="35" t="s">
        <v>462</v>
      </c>
      <c r="C3201" s="35" t="s">
        <v>405</v>
      </c>
      <c r="D3201" s="35" t="s">
        <v>899</v>
      </c>
      <c r="E3201" s="35" t="s">
        <v>902</v>
      </c>
      <c r="F3201" s="35" t="s">
        <v>390</v>
      </c>
      <c r="G3201" s="35" t="s">
        <v>10</v>
      </c>
      <c r="H3201" s="35" t="s">
        <v>398</v>
      </c>
    </row>
    <row r="3202" spans="1:8">
      <c r="A3202" s="34">
        <v>2084062017</v>
      </c>
      <c r="B3202" s="35" t="s">
        <v>462</v>
      </c>
      <c r="C3202" s="35" t="s">
        <v>405</v>
      </c>
      <c r="D3202" s="35" t="s">
        <v>899</v>
      </c>
      <c r="E3202" s="35" t="s">
        <v>902</v>
      </c>
      <c r="F3202" s="35" t="s">
        <v>390</v>
      </c>
      <c r="G3202" s="35" t="s">
        <v>10</v>
      </c>
      <c r="H3202" s="35" t="s">
        <v>422</v>
      </c>
    </row>
    <row r="3203" spans="1:8">
      <c r="A3203" s="34">
        <v>2084062020</v>
      </c>
      <c r="B3203" s="35" t="s">
        <v>462</v>
      </c>
      <c r="C3203" s="35" t="s">
        <v>405</v>
      </c>
      <c r="D3203" s="35" t="s">
        <v>899</v>
      </c>
      <c r="E3203" s="35" t="s">
        <v>902</v>
      </c>
      <c r="F3203" s="35" t="s">
        <v>390</v>
      </c>
      <c r="G3203" s="35" t="s">
        <v>10</v>
      </c>
      <c r="H3203" s="35" t="s">
        <v>335</v>
      </c>
    </row>
    <row r="3204" spans="1:8">
      <c r="A3204" s="34">
        <v>2084062022</v>
      </c>
      <c r="B3204" s="35" t="s">
        <v>462</v>
      </c>
      <c r="C3204" s="35" t="s">
        <v>405</v>
      </c>
      <c r="D3204" s="35" t="s">
        <v>899</v>
      </c>
      <c r="E3204" s="35" t="s">
        <v>902</v>
      </c>
      <c r="F3204" s="35" t="s">
        <v>390</v>
      </c>
      <c r="G3204" s="35" t="s">
        <v>379</v>
      </c>
      <c r="H3204" s="35" t="s">
        <v>476</v>
      </c>
    </row>
    <row r="3205" spans="1:8">
      <c r="A3205" s="34">
        <v>2084062023</v>
      </c>
      <c r="B3205" s="35" t="s">
        <v>462</v>
      </c>
      <c r="C3205" s="35" t="s">
        <v>405</v>
      </c>
      <c r="D3205" s="35" t="s">
        <v>899</v>
      </c>
      <c r="E3205" s="35" t="s">
        <v>902</v>
      </c>
      <c r="F3205" s="35" t="s">
        <v>390</v>
      </c>
      <c r="G3205" s="35" t="s">
        <v>379</v>
      </c>
      <c r="H3205" s="35" t="s">
        <v>335</v>
      </c>
    </row>
    <row r="3206" spans="1:8">
      <c r="A3206" s="34">
        <v>2084062024</v>
      </c>
      <c r="B3206" s="35" t="s">
        <v>462</v>
      </c>
      <c r="C3206" s="35" t="s">
        <v>405</v>
      </c>
      <c r="D3206" s="35" t="s">
        <v>899</v>
      </c>
      <c r="E3206" s="35" t="s">
        <v>902</v>
      </c>
      <c r="F3206" s="35" t="s">
        <v>390</v>
      </c>
      <c r="G3206" s="35" t="s">
        <v>335</v>
      </c>
    </row>
    <row r="3207" spans="1:8">
      <c r="A3207" s="34">
        <v>2084055110</v>
      </c>
      <c r="B3207" s="35" t="s">
        <v>462</v>
      </c>
      <c r="C3207" s="35" t="s">
        <v>405</v>
      </c>
      <c r="D3207" s="35" t="s">
        <v>899</v>
      </c>
      <c r="E3207" s="35" t="s">
        <v>902</v>
      </c>
      <c r="F3207" s="35" t="s">
        <v>353</v>
      </c>
      <c r="G3207" s="35" t="s">
        <v>368</v>
      </c>
      <c r="H3207" s="35" t="s">
        <v>481</v>
      </c>
    </row>
    <row r="3208" spans="1:8">
      <c r="A3208" s="34">
        <v>2084055111</v>
      </c>
      <c r="B3208" s="35" t="s">
        <v>462</v>
      </c>
      <c r="C3208" s="35" t="s">
        <v>405</v>
      </c>
      <c r="D3208" s="35" t="s">
        <v>899</v>
      </c>
      <c r="E3208" s="35" t="s">
        <v>902</v>
      </c>
      <c r="F3208" s="35" t="s">
        <v>353</v>
      </c>
      <c r="G3208" s="35" t="s">
        <v>368</v>
      </c>
      <c r="H3208" s="35" t="s">
        <v>335</v>
      </c>
    </row>
    <row r="3209" spans="1:8">
      <c r="A3209" s="34">
        <v>2084055116</v>
      </c>
      <c r="B3209" s="35" t="s">
        <v>462</v>
      </c>
      <c r="C3209" s="35" t="s">
        <v>405</v>
      </c>
      <c r="D3209" s="35" t="s">
        <v>899</v>
      </c>
      <c r="E3209" s="35" t="s">
        <v>902</v>
      </c>
      <c r="F3209" s="35" t="s">
        <v>353</v>
      </c>
      <c r="G3209" s="35" t="s">
        <v>10</v>
      </c>
      <c r="H3209" s="35" t="s">
        <v>397</v>
      </c>
    </row>
    <row r="3210" spans="1:8">
      <c r="A3210" s="34">
        <v>2084055115</v>
      </c>
      <c r="B3210" s="35" t="s">
        <v>462</v>
      </c>
      <c r="C3210" s="35" t="s">
        <v>405</v>
      </c>
      <c r="D3210" s="35" t="s">
        <v>899</v>
      </c>
      <c r="E3210" s="35" t="s">
        <v>902</v>
      </c>
      <c r="F3210" s="35" t="s">
        <v>353</v>
      </c>
      <c r="G3210" s="35" t="s">
        <v>10</v>
      </c>
      <c r="H3210" s="35" t="s">
        <v>421</v>
      </c>
    </row>
    <row r="3211" spans="1:8">
      <c r="A3211" s="34">
        <v>2084055113</v>
      </c>
      <c r="B3211" s="35" t="s">
        <v>462</v>
      </c>
      <c r="C3211" s="35" t="s">
        <v>405</v>
      </c>
      <c r="D3211" s="35" t="s">
        <v>899</v>
      </c>
      <c r="E3211" s="35" t="s">
        <v>902</v>
      </c>
      <c r="F3211" s="35" t="s">
        <v>353</v>
      </c>
      <c r="G3211" s="35" t="s">
        <v>10</v>
      </c>
      <c r="H3211" s="35" t="s">
        <v>398</v>
      </c>
    </row>
    <row r="3212" spans="1:8">
      <c r="A3212" s="34">
        <v>2084055114</v>
      </c>
      <c r="B3212" s="35" t="s">
        <v>462</v>
      </c>
      <c r="C3212" s="35" t="s">
        <v>405</v>
      </c>
      <c r="D3212" s="35" t="s">
        <v>899</v>
      </c>
      <c r="E3212" s="35" t="s">
        <v>902</v>
      </c>
      <c r="F3212" s="35" t="s">
        <v>353</v>
      </c>
      <c r="G3212" s="35" t="s">
        <v>10</v>
      </c>
      <c r="H3212" s="35" t="s">
        <v>422</v>
      </c>
    </row>
    <row r="3213" spans="1:8">
      <c r="A3213" s="34">
        <v>2084055117</v>
      </c>
      <c r="B3213" s="35" t="s">
        <v>462</v>
      </c>
      <c r="C3213" s="35" t="s">
        <v>405</v>
      </c>
      <c r="D3213" s="35" t="s">
        <v>899</v>
      </c>
      <c r="E3213" s="35" t="s">
        <v>902</v>
      </c>
      <c r="F3213" s="35" t="s">
        <v>353</v>
      </c>
      <c r="G3213" s="35" t="s">
        <v>10</v>
      </c>
      <c r="H3213" s="35" t="s">
        <v>335</v>
      </c>
    </row>
    <row r="3214" spans="1:8">
      <c r="A3214" s="34">
        <v>2084055118</v>
      </c>
      <c r="B3214" s="35" t="s">
        <v>462</v>
      </c>
      <c r="C3214" s="35" t="s">
        <v>405</v>
      </c>
      <c r="D3214" s="35" t="s">
        <v>899</v>
      </c>
      <c r="E3214" s="35" t="s">
        <v>902</v>
      </c>
      <c r="F3214" s="35" t="s">
        <v>353</v>
      </c>
      <c r="G3214" s="35" t="s">
        <v>403</v>
      </c>
    </row>
    <row r="3215" spans="1:8">
      <c r="A3215" s="34">
        <v>2084055119</v>
      </c>
      <c r="B3215" s="35" t="s">
        <v>462</v>
      </c>
      <c r="C3215" s="35" t="s">
        <v>405</v>
      </c>
      <c r="D3215" s="35" t="s">
        <v>899</v>
      </c>
      <c r="E3215" s="35" t="s">
        <v>902</v>
      </c>
      <c r="F3215" s="35" t="s">
        <v>353</v>
      </c>
      <c r="G3215" s="35" t="s">
        <v>335</v>
      </c>
    </row>
    <row r="3216" spans="1:8">
      <c r="A3216" s="34">
        <v>2084258810</v>
      </c>
      <c r="B3216" s="35" t="s">
        <v>462</v>
      </c>
      <c r="C3216" s="35" t="s">
        <v>405</v>
      </c>
      <c r="D3216" s="35" t="s">
        <v>899</v>
      </c>
      <c r="E3216" s="35" t="s">
        <v>903</v>
      </c>
      <c r="F3216" s="35" t="s">
        <v>407</v>
      </c>
    </row>
    <row r="3217" spans="1:7">
      <c r="A3217" s="34">
        <v>2084258809</v>
      </c>
      <c r="B3217" s="35" t="s">
        <v>462</v>
      </c>
      <c r="C3217" s="35" t="s">
        <v>405</v>
      </c>
      <c r="D3217" s="35" t="s">
        <v>899</v>
      </c>
      <c r="E3217" s="35" t="s">
        <v>903</v>
      </c>
      <c r="F3217" s="35" t="s">
        <v>408</v>
      </c>
    </row>
    <row r="3218" spans="1:7">
      <c r="A3218" s="34">
        <v>2084024287</v>
      </c>
      <c r="B3218" s="35" t="s">
        <v>462</v>
      </c>
      <c r="C3218" s="35" t="s">
        <v>405</v>
      </c>
      <c r="D3218" s="35" t="s">
        <v>899</v>
      </c>
      <c r="E3218" s="35" t="s">
        <v>904</v>
      </c>
      <c r="F3218" s="35" t="s">
        <v>475</v>
      </c>
    </row>
    <row r="3219" spans="1:7">
      <c r="A3219" s="34">
        <v>2084025211</v>
      </c>
      <c r="B3219" s="35" t="s">
        <v>462</v>
      </c>
      <c r="C3219" s="35" t="s">
        <v>405</v>
      </c>
      <c r="D3219" s="35" t="s">
        <v>899</v>
      </c>
      <c r="E3219" s="35" t="s">
        <v>904</v>
      </c>
      <c r="F3219" s="35" t="s">
        <v>442</v>
      </c>
      <c r="G3219" s="35" t="s">
        <v>538</v>
      </c>
    </row>
    <row r="3220" spans="1:7">
      <c r="A3220" s="34">
        <v>2084025389</v>
      </c>
      <c r="B3220" s="35" t="s">
        <v>462</v>
      </c>
      <c r="C3220" s="35" t="s">
        <v>405</v>
      </c>
      <c r="D3220" s="35" t="s">
        <v>899</v>
      </c>
      <c r="E3220" s="35" t="s">
        <v>904</v>
      </c>
      <c r="F3220" s="35" t="s">
        <v>442</v>
      </c>
      <c r="G3220" s="35" t="s">
        <v>539</v>
      </c>
    </row>
    <row r="3221" spans="1:7">
      <c r="A3221" s="34">
        <v>2084048673</v>
      </c>
      <c r="B3221" s="35" t="s">
        <v>462</v>
      </c>
      <c r="C3221" s="35" t="s">
        <v>405</v>
      </c>
      <c r="D3221" s="35" t="s">
        <v>899</v>
      </c>
      <c r="E3221" s="35" t="s">
        <v>904</v>
      </c>
      <c r="F3221" s="35" t="s">
        <v>335</v>
      </c>
    </row>
    <row r="3222" spans="1:7">
      <c r="A3222" s="34">
        <v>2084229932</v>
      </c>
      <c r="B3222" s="35" t="s">
        <v>462</v>
      </c>
      <c r="C3222" s="35" t="s">
        <v>405</v>
      </c>
      <c r="D3222" s="35" t="s">
        <v>899</v>
      </c>
      <c r="E3222" s="35" t="s">
        <v>905</v>
      </c>
    </row>
    <row r="3223" spans="1:7">
      <c r="A3223" s="34">
        <v>2084056685</v>
      </c>
      <c r="B3223" s="35" t="s">
        <v>462</v>
      </c>
      <c r="C3223" s="35" t="s">
        <v>405</v>
      </c>
      <c r="D3223" s="35" t="s">
        <v>899</v>
      </c>
      <c r="E3223" s="35" t="s">
        <v>906</v>
      </c>
      <c r="F3223" s="35" t="s">
        <v>587</v>
      </c>
      <c r="G3223" s="35" t="s">
        <v>907</v>
      </c>
    </row>
    <row r="3224" spans="1:7">
      <c r="A3224" s="34">
        <v>2084056684</v>
      </c>
      <c r="B3224" s="35" t="s">
        <v>462</v>
      </c>
      <c r="C3224" s="35" t="s">
        <v>405</v>
      </c>
      <c r="D3224" s="35" t="s">
        <v>899</v>
      </c>
      <c r="E3224" s="35" t="s">
        <v>906</v>
      </c>
      <c r="F3224" s="35" t="s">
        <v>587</v>
      </c>
      <c r="G3224" s="35" t="s">
        <v>588</v>
      </c>
    </row>
    <row r="3225" spans="1:7">
      <c r="A3225" s="34">
        <v>2084056686</v>
      </c>
      <c r="B3225" s="35" t="s">
        <v>462</v>
      </c>
      <c r="C3225" s="35" t="s">
        <v>405</v>
      </c>
      <c r="D3225" s="35" t="s">
        <v>899</v>
      </c>
      <c r="E3225" s="35" t="s">
        <v>906</v>
      </c>
      <c r="F3225" s="35" t="s">
        <v>587</v>
      </c>
      <c r="G3225" s="35" t="s">
        <v>857</v>
      </c>
    </row>
    <row r="3226" spans="1:7">
      <c r="A3226" s="34">
        <v>2084056687</v>
      </c>
      <c r="B3226" s="35" t="s">
        <v>462</v>
      </c>
      <c r="C3226" s="35" t="s">
        <v>405</v>
      </c>
      <c r="D3226" s="35" t="s">
        <v>899</v>
      </c>
      <c r="E3226" s="35" t="s">
        <v>906</v>
      </c>
      <c r="F3226" s="35" t="s">
        <v>587</v>
      </c>
      <c r="G3226" s="35" t="s">
        <v>335</v>
      </c>
    </row>
    <row r="3227" spans="1:7">
      <c r="A3227" s="34">
        <v>2084298993</v>
      </c>
      <c r="B3227" s="35" t="s">
        <v>462</v>
      </c>
      <c r="C3227" s="35" t="s">
        <v>405</v>
      </c>
      <c r="D3227" s="35" t="s">
        <v>899</v>
      </c>
      <c r="E3227" s="35" t="s">
        <v>908</v>
      </c>
      <c r="F3227" s="35" t="s">
        <v>367</v>
      </c>
    </row>
    <row r="3228" spans="1:7">
      <c r="A3228" s="34">
        <v>2084298994</v>
      </c>
      <c r="B3228" s="35" t="s">
        <v>462</v>
      </c>
      <c r="C3228" s="35" t="s">
        <v>405</v>
      </c>
      <c r="D3228" s="35" t="s">
        <v>899</v>
      </c>
      <c r="E3228" s="35" t="s">
        <v>908</v>
      </c>
      <c r="F3228" s="35" t="s">
        <v>401</v>
      </c>
    </row>
    <row r="3229" spans="1:7">
      <c r="A3229" s="34">
        <v>2084303682</v>
      </c>
      <c r="B3229" s="35" t="s">
        <v>462</v>
      </c>
      <c r="C3229" s="35" t="s">
        <v>405</v>
      </c>
      <c r="D3229" s="35" t="s">
        <v>899</v>
      </c>
      <c r="E3229" s="35" t="s">
        <v>908</v>
      </c>
      <c r="F3229" s="35" t="s">
        <v>10</v>
      </c>
      <c r="G3229" s="35" t="s">
        <v>509</v>
      </c>
    </row>
    <row r="3230" spans="1:7">
      <c r="A3230" s="34">
        <v>2084303683</v>
      </c>
      <c r="B3230" s="35" t="s">
        <v>462</v>
      </c>
      <c r="C3230" s="35" t="s">
        <v>405</v>
      </c>
      <c r="D3230" s="35" t="s">
        <v>899</v>
      </c>
      <c r="E3230" s="35" t="s">
        <v>908</v>
      </c>
      <c r="F3230" s="35" t="s">
        <v>10</v>
      </c>
      <c r="G3230" s="35" t="s">
        <v>397</v>
      </c>
    </row>
    <row r="3231" spans="1:7">
      <c r="A3231" s="34">
        <v>2084303684</v>
      </c>
      <c r="B3231" s="35" t="s">
        <v>462</v>
      </c>
      <c r="C3231" s="35" t="s">
        <v>405</v>
      </c>
      <c r="D3231" s="35" t="s">
        <v>899</v>
      </c>
      <c r="E3231" s="35" t="s">
        <v>908</v>
      </c>
      <c r="F3231" s="35" t="s">
        <v>10</v>
      </c>
      <c r="G3231" s="35" t="s">
        <v>421</v>
      </c>
    </row>
    <row r="3232" spans="1:7">
      <c r="A3232" s="34">
        <v>2084303685</v>
      </c>
      <c r="B3232" s="35" t="s">
        <v>462</v>
      </c>
      <c r="C3232" s="35" t="s">
        <v>405</v>
      </c>
      <c r="D3232" s="35" t="s">
        <v>899</v>
      </c>
      <c r="E3232" s="35" t="s">
        <v>908</v>
      </c>
      <c r="F3232" s="35" t="s">
        <v>10</v>
      </c>
      <c r="G3232" s="35" t="s">
        <v>398</v>
      </c>
    </row>
    <row r="3233" spans="1:7">
      <c r="A3233" s="34">
        <v>2084303686</v>
      </c>
      <c r="B3233" s="35" t="s">
        <v>462</v>
      </c>
      <c r="C3233" s="35" t="s">
        <v>405</v>
      </c>
      <c r="D3233" s="35" t="s">
        <v>899</v>
      </c>
      <c r="E3233" s="35" t="s">
        <v>908</v>
      </c>
      <c r="F3233" s="35" t="s">
        <v>10</v>
      </c>
      <c r="G3233" s="35" t="s">
        <v>422</v>
      </c>
    </row>
    <row r="3234" spans="1:7">
      <c r="A3234" s="34">
        <v>2084303687</v>
      </c>
      <c r="B3234" s="35" t="s">
        <v>462</v>
      </c>
      <c r="C3234" s="35" t="s">
        <v>405</v>
      </c>
      <c r="D3234" s="35" t="s">
        <v>899</v>
      </c>
      <c r="E3234" s="35" t="s">
        <v>908</v>
      </c>
      <c r="F3234" s="35" t="s">
        <v>10</v>
      </c>
      <c r="G3234" s="35" t="s">
        <v>335</v>
      </c>
    </row>
    <row r="3235" spans="1:7">
      <c r="A3235" s="34">
        <v>2084298997</v>
      </c>
      <c r="B3235" s="35" t="s">
        <v>462</v>
      </c>
      <c r="C3235" s="35" t="s">
        <v>405</v>
      </c>
      <c r="D3235" s="35" t="s">
        <v>899</v>
      </c>
      <c r="E3235" s="35" t="s">
        <v>908</v>
      </c>
      <c r="F3235" s="35" t="s">
        <v>476</v>
      </c>
    </row>
    <row r="3236" spans="1:7">
      <c r="A3236" s="34">
        <v>2084298996</v>
      </c>
      <c r="B3236" s="35" t="s">
        <v>462</v>
      </c>
      <c r="C3236" s="35" t="s">
        <v>405</v>
      </c>
      <c r="D3236" s="35" t="s">
        <v>899</v>
      </c>
      <c r="E3236" s="35" t="s">
        <v>908</v>
      </c>
      <c r="F3236" s="35" t="s">
        <v>477</v>
      </c>
    </row>
    <row r="3237" spans="1:7">
      <c r="A3237" s="34">
        <v>2084298998</v>
      </c>
      <c r="B3237" s="35" t="s">
        <v>462</v>
      </c>
      <c r="C3237" s="35" t="s">
        <v>405</v>
      </c>
      <c r="D3237" s="35" t="s">
        <v>899</v>
      </c>
      <c r="E3237" s="35" t="s">
        <v>908</v>
      </c>
      <c r="F3237" s="35" t="s">
        <v>478</v>
      </c>
    </row>
    <row r="3238" spans="1:7">
      <c r="A3238" s="34">
        <v>2084298999</v>
      </c>
      <c r="B3238" s="35" t="s">
        <v>462</v>
      </c>
      <c r="C3238" s="35" t="s">
        <v>405</v>
      </c>
      <c r="D3238" s="35" t="s">
        <v>899</v>
      </c>
      <c r="E3238" s="35" t="s">
        <v>908</v>
      </c>
      <c r="F3238" s="35" t="s">
        <v>335</v>
      </c>
    </row>
    <row r="3239" spans="1:7">
      <c r="A3239" s="34">
        <v>2084062430</v>
      </c>
      <c r="B3239" s="35" t="s">
        <v>462</v>
      </c>
      <c r="C3239" s="35" t="s">
        <v>405</v>
      </c>
      <c r="D3239" s="35" t="s">
        <v>899</v>
      </c>
      <c r="E3239" s="35" t="s">
        <v>909</v>
      </c>
      <c r="F3239" s="35" t="s">
        <v>587</v>
      </c>
      <c r="G3239" s="35" t="s">
        <v>907</v>
      </c>
    </row>
    <row r="3240" spans="1:7">
      <c r="A3240" s="34">
        <v>2084062431</v>
      </c>
      <c r="B3240" s="35" t="s">
        <v>462</v>
      </c>
      <c r="C3240" s="35" t="s">
        <v>405</v>
      </c>
      <c r="D3240" s="35" t="s">
        <v>899</v>
      </c>
      <c r="E3240" s="35" t="s">
        <v>909</v>
      </c>
      <c r="F3240" s="35" t="s">
        <v>587</v>
      </c>
      <c r="G3240" s="35" t="s">
        <v>588</v>
      </c>
    </row>
    <row r="3241" spans="1:7">
      <c r="A3241" s="34">
        <v>2084062432</v>
      </c>
      <c r="B3241" s="35" t="s">
        <v>462</v>
      </c>
      <c r="C3241" s="35" t="s">
        <v>405</v>
      </c>
      <c r="D3241" s="35" t="s">
        <v>899</v>
      </c>
      <c r="E3241" s="35" t="s">
        <v>909</v>
      </c>
      <c r="F3241" s="35" t="s">
        <v>587</v>
      </c>
      <c r="G3241" s="35" t="s">
        <v>857</v>
      </c>
    </row>
    <row r="3242" spans="1:7">
      <c r="A3242" s="34">
        <v>2084062433</v>
      </c>
      <c r="B3242" s="35" t="s">
        <v>462</v>
      </c>
      <c r="C3242" s="35" t="s">
        <v>405</v>
      </c>
      <c r="D3242" s="35" t="s">
        <v>899</v>
      </c>
      <c r="E3242" s="35" t="s">
        <v>909</v>
      </c>
      <c r="F3242" s="35" t="s">
        <v>587</v>
      </c>
      <c r="G3242" s="35" t="s">
        <v>910</v>
      </c>
    </row>
    <row r="3243" spans="1:7">
      <c r="A3243" s="34">
        <v>2084062434</v>
      </c>
      <c r="B3243" s="35" t="s">
        <v>462</v>
      </c>
      <c r="C3243" s="35" t="s">
        <v>405</v>
      </c>
      <c r="D3243" s="35" t="s">
        <v>899</v>
      </c>
      <c r="E3243" s="35" t="s">
        <v>909</v>
      </c>
      <c r="F3243" s="35" t="s">
        <v>587</v>
      </c>
      <c r="G3243" s="35" t="s">
        <v>911</v>
      </c>
    </row>
    <row r="3244" spans="1:7">
      <c r="A3244" s="34">
        <v>2084062435</v>
      </c>
      <c r="B3244" s="35" t="s">
        <v>462</v>
      </c>
      <c r="C3244" s="35" t="s">
        <v>405</v>
      </c>
      <c r="D3244" s="35" t="s">
        <v>899</v>
      </c>
      <c r="E3244" s="35" t="s">
        <v>909</v>
      </c>
      <c r="F3244" s="35" t="s">
        <v>587</v>
      </c>
      <c r="G3244" s="35" t="s">
        <v>859</v>
      </c>
    </row>
    <row r="3245" spans="1:7">
      <c r="A3245" s="34">
        <v>2084062436</v>
      </c>
      <c r="B3245" s="35" t="s">
        <v>462</v>
      </c>
      <c r="C3245" s="35" t="s">
        <v>405</v>
      </c>
      <c r="D3245" s="35" t="s">
        <v>899</v>
      </c>
      <c r="E3245" s="35" t="s">
        <v>909</v>
      </c>
      <c r="F3245" s="35" t="s">
        <v>587</v>
      </c>
      <c r="G3245" s="35" t="s">
        <v>335</v>
      </c>
    </row>
    <row r="3246" spans="1:7">
      <c r="A3246" s="34">
        <v>2084261616</v>
      </c>
      <c r="B3246" s="35" t="s">
        <v>462</v>
      </c>
      <c r="C3246" s="35" t="s">
        <v>405</v>
      </c>
      <c r="D3246" s="35" t="s">
        <v>899</v>
      </c>
      <c r="E3246" s="35" t="s">
        <v>909</v>
      </c>
      <c r="F3246" s="35" t="s">
        <v>504</v>
      </c>
    </row>
    <row r="3247" spans="1:7">
      <c r="A3247" s="34">
        <v>2084054444</v>
      </c>
      <c r="B3247" s="35" t="s">
        <v>462</v>
      </c>
      <c r="C3247" s="35" t="s">
        <v>405</v>
      </c>
      <c r="D3247" s="35" t="s">
        <v>899</v>
      </c>
      <c r="E3247" s="35" t="s">
        <v>909</v>
      </c>
      <c r="F3247" s="35" t="s">
        <v>335</v>
      </c>
    </row>
    <row r="3248" spans="1:7">
      <c r="A3248" s="34">
        <v>2084062347</v>
      </c>
      <c r="B3248" s="35" t="s">
        <v>462</v>
      </c>
      <c r="C3248" s="35" t="s">
        <v>405</v>
      </c>
      <c r="D3248" s="35" t="s">
        <v>899</v>
      </c>
      <c r="E3248" s="35" t="s">
        <v>912</v>
      </c>
      <c r="F3248" s="35" t="s">
        <v>475</v>
      </c>
    </row>
    <row r="3249" spans="1:8">
      <c r="A3249" s="34">
        <v>2084199156</v>
      </c>
      <c r="B3249" s="35" t="s">
        <v>462</v>
      </c>
      <c r="C3249" s="35" t="s">
        <v>405</v>
      </c>
      <c r="D3249" s="35" t="s">
        <v>899</v>
      </c>
      <c r="E3249" s="35" t="s">
        <v>912</v>
      </c>
      <c r="F3249" s="35" t="s">
        <v>335</v>
      </c>
    </row>
    <row r="3250" spans="1:8">
      <c r="A3250" s="34">
        <v>2084215030</v>
      </c>
      <c r="B3250" s="35" t="s">
        <v>462</v>
      </c>
      <c r="C3250" s="35" t="s">
        <v>405</v>
      </c>
      <c r="D3250" s="35" t="s">
        <v>899</v>
      </c>
      <c r="E3250" s="35" t="s">
        <v>913</v>
      </c>
      <c r="F3250" s="35" t="s">
        <v>611</v>
      </c>
      <c r="G3250" s="35" t="s">
        <v>390</v>
      </c>
      <c r="H3250" s="35" t="s">
        <v>914</v>
      </c>
    </row>
    <row r="3251" spans="1:8">
      <c r="A3251" s="34">
        <v>2084215343</v>
      </c>
      <c r="B3251" s="35" t="s">
        <v>462</v>
      </c>
      <c r="C3251" s="35" t="s">
        <v>405</v>
      </c>
      <c r="D3251" s="35" t="s">
        <v>899</v>
      </c>
      <c r="E3251" s="35" t="s">
        <v>913</v>
      </c>
      <c r="F3251" s="35" t="s">
        <v>611</v>
      </c>
      <c r="G3251" s="35" t="s">
        <v>390</v>
      </c>
      <c r="H3251" s="35" t="s">
        <v>915</v>
      </c>
    </row>
    <row r="3252" spans="1:8">
      <c r="A3252" s="34">
        <v>2084215032</v>
      </c>
      <c r="B3252" s="35" t="s">
        <v>462</v>
      </c>
      <c r="C3252" s="35" t="s">
        <v>405</v>
      </c>
      <c r="D3252" s="35" t="s">
        <v>899</v>
      </c>
      <c r="E3252" s="35" t="s">
        <v>913</v>
      </c>
      <c r="F3252" s="35" t="s">
        <v>611</v>
      </c>
      <c r="G3252" s="35" t="s">
        <v>390</v>
      </c>
      <c r="H3252" s="35">
        <v>6</v>
      </c>
    </row>
    <row r="3253" spans="1:8">
      <c r="A3253" s="34">
        <v>2084215344</v>
      </c>
      <c r="B3253" s="35" t="s">
        <v>462</v>
      </c>
      <c r="C3253" s="35" t="s">
        <v>405</v>
      </c>
      <c r="D3253" s="35" t="s">
        <v>899</v>
      </c>
      <c r="E3253" s="35" t="s">
        <v>913</v>
      </c>
      <c r="F3253" s="35" t="s">
        <v>611</v>
      </c>
      <c r="G3253" s="35" t="s">
        <v>390</v>
      </c>
      <c r="H3253" s="35" t="s">
        <v>916</v>
      </c>
    </row>
    <row r="3254" spans="1:8">
      <c r="A3254" s="34">
        <v>2084215034</v>
      </c>
      <c r="B3254" s="35" t="s">
        <v>462</v>
      </c>
      <c r="C3254" s="35" t="s">
        <v>405</v>
      </c>
      <c r="D3254" s="35" t="s">
        <v>899</v>
      </c>
      <c r="E3254" s="35" t="s">
        <v>913</v>
      </c>
      <c r="F3254" s="35" t="s">
        <v>611</v>
      </c>
      <c r="G3254" s="35" t="s">
        <v>390</v>
      </c>
      <c r="H3254" s="35">
        <v>7</v>
      </c>
    </row>
    <row r="3255" spans="1:8">
      <c r="A3255" s="34">
        <v>2084215345</v>
      </c>
      <c r="B3255" s="35" t="s">
        <v>462</v>
      </c>
      <c r="C3255" s="35" t="s">
        <v>405</v>
      </c>
      <c r="D3255" s="35" t="s">
        <v>899</v>
      </c>
      <c r="E3255" s="35" t="s">
        <v>913</v>
      </c>
      <c r="F3255" s="35" t="s">
        <v>611</v>
      </c>
      <c r="G3255" s="35" t="s">
        <v>390</v>
      </c>
      <c r="H3255" s="35" t="s">
        <v>917</v>
      </c>
    </row>
    <row r="3256" spans="1:8">
      <c r="A3256" s="34">
        <v>2084050935</v>
      </c>
      <c r="B3256" s="35" t="s">
        <v>462</v>
      </c>
      <c r="C3256" s="35" t="s">
        <v>405</v>
      </c>
      <c r="D3256" s="35" t="s">
        <v>899</v>
      </c>
      <c r="E3256" s="35" t="s">
        <v>913</v>
      </c>
      <c r="F3256" s="35" t="s">
        <v>611</v>
      </c>
      <c r="G3256" s="35" t="s">
        <v>408</v>
      </c>
    </row>
    <row r="3257" spans="1:8">
      <c r="A3257" s="34">
        <v>2084246800</v>
      </c>
      <c r="B3257" s="35" t="s">
        <v>462</v>
      </c>
      <c r="C3257" s="35" t="s">
        <v>405</v>
      </c>
      <c r="D3257" s="35" t="s">
        <v>899</v>
      </c>
      <c r="E3257" s="35" t="s">
        <v>913</v>
      </c>
      <c r="F3257" s="35" t="s">
        <v>353</v>
      </c>
      <c r="G3257" s="35" t="s">
        <v>335</v>
      </c>
    </row>
    <row r="3258" spans="1:8">
      <c r="A3258" s="34">
        <v>2084031588</v>
      </c>
      <c r="B3258" s="35" t="s">
        <v>462</v>
      </c>
      <c r="C3258" s="35" t="s">
        <v>405</v>
      </c>
      <c r="D3258" s="35" t="s">
        <v>899</v>
      </c>
      <c r="E3258" s="35" t="s">
        <v>913</v>
      </c>
      <c r="F3258" s="35" t="s">
        <v>353</v>
      </c>
      <c r="G3258" s="35" t="s">
        <v>483</v>
      </c>
    </row>
    <row r="3259" spans="1:8">
      <c r="A3259" s="34">
        <v>2084025218</v>
      </c>
      <c r="B3259" s="35" t="s">
        <v>462</v>
      </c>
      <c r="C3259" s="35" t="s">
        <v>405</v>
      </c>
      <c r="D3259" s="35" t="s">
        <v>899</v>
      </c>
      <c r="E3259" s="35" t="s">
        <v>913</v>
      </c>
      <c r="F3259" s="35" t="s">
        <v>442</v>
      </c>
      <c r="G3259" s="35" t="s">
        <v>538</v>
      </c>
    </row>
    <row r="3260" spans="1:8">
      <c r="A3260" s="34">
        <v>2084025396</v>
      </c>
      <c r="B3260" s="35" t="s">
        <v>462</v>
      </c>
      <c r="C3260" s="35" t="s">
        <v>405</v>
      </c>
      <c r="D3260" s="35" t="s">
        <v>899</v>
      </c>
      <c r="E3260" s="35" t="s">
        <v>913</v>
      </c>
      <c r="F3260" s="35" t="s">
        <v>442</v>
      </c>
      <c r="G3260" s="35" t="s">
        <v>539</v>
      </c>
    </row>
    <row r="3261" spans="1:8">
      <c r="A3261" s="34">
        <v>2084036145</v>
      </c>
      <c r="B3261" s="35" t="s">
        <v>462</v>
      </c>
      <c r="C3261" s="35" t="s">
        <v>405</v>
      </c>
      <c r="D3261" s="35" t="s">
        <v>899</v>
      </c>
      <c r="E3261" s="35" t="s">
        <v>913</v>
      </c>
      <c r="F3261" s="35" t="s">
        <v>442</v>
      </c>
      <c r="G3261" s="35" t="s">
        <v>569</v>
      </c>
    </row>
    <row r="3262" spans="1:8">
      <c r="A3262" s="34">
        <v>2084050937</v>
      </c>
      <c r="B3262" s="35" t="s">
        <v>462</v>
      </c>
      <c r="C3262" s="35" t="s">
        <v>405</v>
      </c>
      <c r="D3262" s="35" t="s">
        <v>899</v>
      </c>
      <c r="E3262" s="35" t="s">
        <v>913</v>
      </c>
      <c r="F3262" s="35" t="s">
        <v>442</v>
      </c>
      <c r="G3262" s="35" t="s">
        <v>335</v>
      </c>
    </row>
    <row r="3263" spans="1:8">
      <c r="A3263" s="34">
        <v>2084048761</v>
      </c>
      <c r="B3263" s="35" t="s">
        <v>462</v>
      </c>
      <c r="C3263" s="35" t="s">
        <v>405</v>
      </c>
      <c r="D3263" s="35" t="s">
        <v>899</v>
      </c>
      <c r="E3263" s="35" t="s">
        <v>913</v>
      </c>
      <c r="F3263" s="35" t="s">
        <v>335</v>
      </c>
    </row>
    <row r="3264" spans="1:8">
      <c r="A3264" s="34">
        <v>2084024205</v>
      </c>
      <c r="B3264" s="35" t="s">
        <v>462</v>
      </c>
      <c r="C3264" s="35" t="s">
        <v>405</v>
      </c>
      <c r="D3264" s="35" t="s">
        <v>899</v>
      </c>
      <c r="E3264" s="35" t="s">
        <v>913</v>
      </c>
      <c r="F3264" s="35" t="s">
        <v>475</v>
      </c>
    </row>
    <row r="3265" spans="1:9">
      <c r="A3265" s="34">
        <v>2084056137</v>
      </c>
      <c r="B3265" s="35" t="s">
        <v>462</v>
      </c>
      <c r="C3265" s="35" t="s">
        <v>405</v>
      </c>
      <c r="D3265" s="35" t="s">
        <v>899</v>
      </c>
      <c r="E3265" s="35" t="s">
        <v>918</v>
      </c>
      <c r="F3265" s="35" t="s">
        <v>353</v>
      </c>
      <c r="G3265" s="35" t="s">
        <v>368</v>
      </c>
      <c r="H3265" s="35" t="s">
        <v>645</v>
      </c>
    </row>
    <row r="3266" spans="1:9">
      <c r="A3266" s="34">
        <v>2084227467</v>
      </c>
      <c r="B3266" s="35" t="s">
        <v>462</v>
      </c>
      <c r="C3266" s="35" t="s">
        <v>405</v>
      </c>
      <c r="D3266" s="35" t="s">
        <v>899</v>
      </c>
      <c r="E3266" s="35" t="s">
        <v>918</v>
      </c>
      <c r="F3266" s="35" t="s">
        <v>353</v>
      </c>
      <c r="G3266" s="35" t="s">
        <v>368</v>
      </c>
      <c r="H3266" s="35" t="s">
        <v>572</v>
      </c>
      <c r="I3266" s="35" t="s">
        <v>573</v>
      </c>
    </row>
    <row r="3267" spans="1:9">
      <c r="A3267" s="34">
        <v>2084227468</v>
      </c>
      <c r="B3267" s="35" t="s">
        <v>462</v>
      </c>
      <c r="C3267" s="35" t="s">
        <v>405</v>
      </c>
      <c r="D3267" s="35" t="s">
        <v>899</v>
      </c>
      <c r="E3267" s="35" t="s">
        <v>918</v>
      </c>
      <c r="F3267" s="35" t="s">
        <v>353</v>
      </c>
      <c r="G3267" s="35" t="s">
        <v>368</v>
      </c>
      <c r="H3267" s="35" t="s">
        <v>572</v>
      </c>
      <c r="I3267" s="35" t="s">
        <v>574</v>
      </c>
    </row>
    <row r="3268" spans="1:9">
      <c r="A3268" s="34">
        <v>2084227469</v>
      </c>
      <c r="B3268" s="35" t="s">
        <v>462</v>
      </c>
      <c r="C3268" s="35" t="s">
        <v>405</v>
      </c>
      <c r="D3268" s="35" t="s">
        <v>899</v>
      </c>
      <c r="E3268" s="35" t="s">
        <v>918</v>
      </c>
      <c r="F3268" s="35" t="s">
        <v>353</v>
      </c>
      <c r="G3268" s="35" t="s">
        <v>368</v>
      </c>
      <c r="H3268" s="35" t="s">
        <v>572</v>
      </c>
      <c r="I3268" s="35" t="s">
        <v>575</v>
      </c>
    </row>
    <row r="3269" spans="1:9">
      <c r="A3269" s="34">
        <v>2084227470</v>
      </c>
      <c r="B3269" s="35" t="s">
        <v>462</v>
      </c>
      <c r="C3269" s="35" t="s">
        <v>405</v>
      </c>
      <c r="D3269" s="35" t="s">
        <v>899</v>
      </c>
      <c r="E3269" s="35" t="s">
        <v>918</v>
      </c>
      <c r="F3269" s="35" t="s">
        <v>353</v>
      </c>
      <c r="G3269" s="35" t="s">
        <v>368</v>
      </c>
      <c r="H3269" s="35" t="s">
        <v>572</v>
      </c>
      <c r="I3269" s="35" t="s">
        <v>576</v>
      </c>
    </row>
    <row r="3270" spans="1:9">
      <c r="A3270" s="34">
        <v>2084227471</v>
      </c>
      <c r="B3270" s="35" t="s">
        <v>462</v>
      </c>
      <c r="C3270" s="35" t="s">
        <v>405</v>
      </c>
      <c r="D3270" s="35" t="s">
        <v>899</v>
      </c>
      <c r="E3270" s="35" t="s">
        <v>918</v>
      </c>
      <c r="F3270" s="35" t="s">
        <v>353</v>
      </c>
      <c r="G3270" s="35" t="s">
        <v>368</v>
      </c>
      <c r="H3270" s="35" t="s">
        <v>572</v>
      </c>
      <c r="I3270" s="35" t="s">
        <v>577</v>
      </c>
    </row>
    <row r="3271" spans="1:9">
      <c r="A3271" s="34">
        <v>2084227472</v>
      </c>
      <c r="B3271" s="35" t="s">
        <v>462</v>
      </c>
      <c r="C3271" s="35" t="s">
        <v>405</v>
      </c>
      <c r="D3271" s="35" t="s">
        <v>899</v>
      </c>
      <c r="E3271" s="35" t="s">
        <v>918</v>
      </c>
      <c r="F3271" s="35" t="s">
        <v>353</v>
      </c>
      <c r="G3271" s="35" t="s">
        <v>368</v>
      </c>
      <c r="H3271" s="35" t="s">
        <v>572</v>
      </c>
      <c r="I3271" s="35" t="s">
        <v>391</v>
      </c>
    </row>
    <row r="3272" spans="1:9">
      <c r="A3272" s="34">
        <v>2084227473</v>
      </c>
      <c r="B3272" s="35" t="s">
        <v>462</v>
      </c>
      <c r="C3272" s="35" t="s">
        <v>405</v>
      </c>
      <c r="D3272" s="35" t="s">
        <v>899</v>
      </c>
      <c r="E3272" s="35" t="s">
        <v>918</v>
      </c>
      <c r="F3272" s="35" t="s">
        <v>353</v>
      </c>
      <c r="G3272" s="35" t="s">
        <v>368</v>
      </c>
      <c r="H3272" s="35" t="s">
        <v>572</v>
      </c>
      <c r="I3272" s="35" t="s">
        <v>392</v>
      </c>
    </row>
    <row r="3273" spans="1:9">
      <c r="A3273" s="34">
        <v>2084227474</v>
      </c>
      <c r="B3273" s="35" t="s">
        <v>462</v>
      </c>
      <c r="C3273" s="35" t="s">
        <v>405</v>
      </c>
      <c r="D3273" s="35" t="s">
        <v>899</v>
      </c>
      <c r="E3273" s="35" t="s">
        <v>918</v>
      </c>
      <c r="F3273" s="35" t="s">
        <v>353</v>
      </c>
      <c r="G3273" s="35" t="s">
        <v>368</v>
      </c>
      <c r="H3273" s="35" t="s">
        <v>572</v>
      </c>
      <c r="I3273" s="35" t="s">
        <v>375</v>
      </c>
    </row>
    <row r="3274" spans="1:9">
      <c r="A3274" s="34">
        <v>2084227475</v>
      </c>
      <c r="B3274" s="35" t="s">
        <v>462</v>
      </c>
      <c r="C3274" s="35" t="s">
        <v>405</v>
      </c>
      <c r="D3274" s="35" t="s">
        <v>899</v>
      </c>
      <c r="E3274" s="35" t="s">
        <v>918</v>
      </c>
      <c r="F3274" s="35" t="s">
        <v>353</v>
      </c>
      <c r="G3274" s="35" t="s">
        <v>368</v>
      </c>
      <c r="H3274" s="35" t="s">
        <v>572</v>
      </c>
      <c r="I3274" s="35" t="s">
        <v>376</v>
      </c>
    </row>
    <row r="3275" spans="1:9">
      <c r="A3275" s="34">
        <v>2084227476</v>
      </c>
      <c r="B3275" s="35" t="s">
        <v>462</v>
      </c>
      <c r="C3275" s="35" t="s">
        <v>405</v>
      </c>
      <c r="D3275" s="35" t="s">
        <v>899</v>
      </c>
      <c r="E3275" s="35" t="s">
        <v>918</v>
      </c>
      <c r="F3275" s="35" t="s">
        <v>353</v>
      </c>
      <c r="G3275" s="35" t="s">
        <v>368</v>
      </c>
      <c r="H3275" s="35" t="s">
        <v>572</v>
      </c>
      <c r="I3275" s="35" t="s">
        <v>377</v>
      </c>
    </row>
    <row r="3276" spans="1:9">
      <c r="A3276" s="34">
        <v>2084056124</v>
      </c>
      <c r="B3276" s="35" t="s">
        <v>462</v>
      </c>
      <c r="C3276" s="35" t="s">
        <v>405</v>
      </c>
      <c r="D3276" s="35" t="s">
        <v>899</v>
      </c>
      <c r="E3276" s="35" t="s">
        <v>918</v>
      </c>
      <c r="F3276" s="35" t="s">
        <v>353</v>
      </c>
      <c r="G3276" s="35" t="s">
        <v>368</v>
      </c>
      <c r="H3276" s="35" t="s">
        <v>919</v>
      </c>
    </row>
    <row r="3277" spans="1:9">
      <c r="A3277" s="34">
        <v>2084056125</v>
      </c>
      <c r="B3277" s="35" t="s">
        <v>462</v>
      </c>
      <c r="C3277" s="35" t="s">
        <v>405</v>
      </c>
      <c r="D3277" s="35" t="s">
        <v>899</v>
      </c>
      <c r="E3277" s="35" t="s">
        <v>918</v>
      </c>
      <c r="F3277" s="35" t="s">
        <v>353</v>
      </c>
      <c r="G3277" s="35" t="s">
        <v>368</v>
      </c>
      <c r="H3277" s="35" t="s">
        <v>335</v>
      </c>
    </row>
    <row r="3278" spans="1:9">
      <c r="A3278" s="34">
        <v>2084056131</v>
      </c>
      <c r="B3278" s="35" t="s">
        <v>462</v>
      </c>
      <c r="C3278" s="35" t="s">
        <v>405</v>
      </c>
      <c r="D3278" s="35" t="s">
        <v>899</v>
      </c>
      <c r="E3278" s="35" t="s">
        <v>918</v>
      </c>
      <c r="F3278" s="35" t="s">
        <v>353</v>
      </c>
      <c r="G3278" s="35" t="s">
        <v>10</v>
      </c>
      <c r="H3278" s="35" t="s">
        <v>544</v>
      </c>
    </row>
    <row r="3279" spans="1:9">
      <c r="A3279" s="34">
        <v>2084056130</v>
      </c>
      <c r="B3279" s="35" t="s">
        <v>462</v>
      </c>
      <c r="C3279" s="35" t="s">
        <v>405</v>
      </c>
      <c r="D3279" s="35" t="s">
        <v>899</v>
      </c>
      <c r="E3279" s="35" t="s">
        <v>918</v>
      </c>
      <c r="F3279" s="35" t="s">
        <v>353</v>
      </c>
      <c r="G3279" s="35" t="s">
        <v>10</v>
      </c>
      <c r="H3279" s="35" t="s">
        <v>397</v>
      </c>
    </row>
    <row r="3280" spans="1:9">
      <c r="A3280" s="34">
        <v>2084056129</v>
      </c>
      <c r="B3280" s="35" t="s">
        <v>462</v>
      </c>
      <c r="C3280" s="35" t="s">
        <v>405</v>
      </c>
      <c r="D3280" s="35" t="s">
        <v>899</v>
      </c>
      <c r="E3280" s="35" t="s">
        <v>918</v>
      </c>
      <c r="F3280" s="35" t="s">
        <v>353</v>
      </c>
      <c r="G3280" s="35" t="s">
        <v>10</v>
      </c>
      <c r="H3280" s="35" t="s">
        <v>421</v>
      </c>
    </row>
    <row r="3281" spans="1:8">
      <c r="A3281" s="34">
        <v>2084056127</v>
      </c>
      <c r="B3281" s="35" t="s">
        <v>462</v>
      </c>
      <c r="C3281" s="35" t="s">
        <v>405</v>
      </c>
      <c r="D3281" s="35" t="s">
        <v>899</v>
      </c>
      <c r="E3281" s="35" t="s">
        <v>918</v>
      </c>
      <c r="F3281" s="35" t="s">
        <v>353</v>
      </c>
      <c r="G3281" s="35" t="s">
        <v>10</v>
      </c>
      <c r="H3281" s="35" t="s">
        <v>398</v>
      </c>
    </row>
    <row r="3282" spans="1:8">
      <c r="A3282" s="34">
        <v>2084056128</v>
      </c>
      <c r="B3282" s="35" t="s">
        <v>462</v>
      </c>
      <c r="C3282" s="35" t="s">
        <v>405</v>
      </c>
      <c r="D3282" s="35" t="s">
        <v>899</v>
      </c>
      <c r="E3282" s="35" t="s">
        <v>918</v>
      </c>
      <c r="F3282" s="35" t="s">
        <v>353</v>
      </c>
      <c r="G3282" s="35" t="s">
        <v>10</v>
      </c>
      <c r="H3282" s="35" t="s">
        <v>422</v>
      </c>
    </row>
    <row r="3283" spans="1:8">
      <c r="A3283" s="34">
        <v>2084056132</v>
      </c>
      <c r="B3283" s="35" t="s">
        <v>462</v>
      </c>
      <c r="C3283" s="35" t="s">
        <v>405</v>
      </c>
      <c r="D3283" s="35" t="s">
        <v>899</v>
      </c>
      <c r="E3283" s="35" t="s">
        <v>918</v>
      </c>
      <c r="F3283" s="35" t="s">
        <v>353</v>
      </c>
      <c r="G3283" s="35" t="s">
        <v>10</v>
      </c>
      <c r="H3283" s="35" t="s">
        <v>335</v>
      </c>
    </row>
    <row r="3284" spans="1:8">
      <c r="A3284" s="34">
        <v>2084056134</v>
      </c>
      <c r="B3284" s="35" t="s">
        <v>462</v>
      </c>
      <c r="C3284" s="35" t="s">
        <v>405</v>
      </c>
      <c r="D3284" s="35" t="s">
        <v>899</v>
      </c>
      <c r="E3284" s="35" t="s">
        <v>918</v>
      </c>
      <c r="F3284" s="35" t="s">
        <v>353</v>
      </c>
      <c r="G3284" s="35" t="s">
        <v>379</v>
      </c>
      <c r="H3284" s="35" t="s">
        <v>545</v>
      </c>
    </row>
    <row r="3285" spans="1:8">
      <c r="A3285" s="34">
        <v>2084056135</v>
      </c>
      <c r="B3285" s="35" t="s">
        <v>462</v>
      </c>
      <c r="C3285" s="35" t="s">
        <v>405</v>
      </c>
      <c r="D3285" s="35" t="s">
        <v>899</v>
      </c>
      <c r="E3285" s="35" t="s">
        <v>918</v>
      </c>
      <c r="F3285" s="35" t="s">
        <v>353</v>
      </c>
      <c r="G3285" s="35" t="s">
        <v>379</v>
      </c>
      <c r="H3285" s="35" t="s">
        <v>335</v>
      </c>
    </row>
    <row r="3286" spans="1:8">
      <c r="A3286" s="34">
        <v>2084056136</v>
      </c>
      <c r="B3286" s="35" t="s">
        <v>462</v>
      </c>
      <c r="C3286" s="35" t="s">
        <v>405</v>
      </c>
      <c r="D3286" s="35" t="s">
        <v>899</v>
      </c>
      <c r="E3286" s="35" t="s">
        <v>918</v>
      </c>
      <c r="F3286" s="35" t="s">
        <v>353</v>
      </c>
      <c r="G3286" s="35" t="s">
        <v>335</v>
      </c>
    </row>
    <row r="3287" spans="1:8">
      <c r="A3287" s="34">
        <v>2084056121</v>
      </c>
      <c r="B3287" s="35" t="s">
        <v>462</v>
      </c>
      <c r="C3287" s="35" t="s">
        <v>405</v>
      </c>
      <c r="D3287" s="35" t="s">
        <v>899</v>
      </c>
      <c r="E3287" s="35" t="s">
        <v>918</v>
      </c>
      <c r="F3287" s="35" t="s">
        <v>335</v>
      </c>
    </row>
    <row r="3288" spans="1:8">
      <c r="A3288" s="34">
        <v>2084206737</v>
      </c>
      <c r="B3288" s="35" t="s">
        <v>462</v>
      </c>
      <c r="C3288" s="35" t="s">
        <v>405</v>
      </c>
      <c r="D3288" s="35" t="s">
        <v>899</v>
      </c>
      <c r="E3288" s="35" t="s">
        <v>920</v>
      </c>
      <c r="F3288" s="35" t="s">
        <v>390</v>
      </c>
      <c r="G3288" s="35" t="s">
        <v>367</v>
      </c>
    </row>
    <row r="3289" spans="1:8">
      <c r="A3289" s="34">
        <v>2084206740</v>
      </c>
      <c r="B3289" s="35" t="s">
        <v>462</v>
      </c>
      <c r="C3289" s="35" t="s">
        <v>405</v>
      </c>
      <c r="D3289" s="35" t="s">
        <v>899</v>
      </c>
      <c r="E3289" s="35" t="s">
        <v>920</v>
      </c>
      <c r="F3289" s="35" t="s">
        <v>390</v>
      </c>
      <c r="G3289" s="35" t="s">
        <v>368</v>
      </c>
      <c r="H3289" s="35" t="s">
        <v>481</v>
      </c>
    </row>
    <row r="3290" spans="1:8">
      <c r="A3290" s="34">
        <v>2084206739</v>
      </c>
      <c r="B3290" s="35" t="s">
        <v>462</v>
      </c>
      <c r="C3290" s="35" t="s">
        <v>405</v>
      </c>
      <c r="D3290" s="35" t="s">
        <v>899</v>
      </c>
      <c r="E3290" s="35" t="s">
        <v>920</v>
      </c>
      <c r="F3290" s="35" t="s">
        <v>390</v>
      </c>
      <c r="G3290" s="35" t="s">
        <v>368</v>
      </c>
      <c r="H3290" s="35" t="s">
        <v>482</v>
      </c>
    </row>
    <row r="3291" spans="1:8">
      <c r="A3291" s="34">
        <v>2084206741</v>
      </c>
      <c r="B3291" s="35" t="s">
        <v>462</v>
      </c>
      <c r="C3291" s="35" t="s">
        <v>405</v>
      </c>
      <c r="D3291" s="35" t="s">
        <v>899</v>
      </c>
      <c r="E3291" s="35" t="s">
        <v>920</v>
      </c>
      <c r="F3291" s="35" t="s">
        <v>390</v>
      </c>
      <c r="G3291" s="35" t="s">
        <v>368</v>
      </c>
      <c r="H3291" s="35" t="s">
        <v>335</v>
      </c>
    </row>
    <row r="3292" spans="1:8">
      <c r="A3292" s="34">
        <v>2084206747</v>
      </c>
      <c r="B3292" s="35" t="s">
        <v>462</v>
      </c>
      <c r="C3292" s="35" t="s">
        <v>405</v>
      </c>
      <c r="D3292" s="35" t="s">
        <v>899</v>
      </c>
      <c r="E3292" s="35" t="s">
        <v>920</v>
      </c>
      <c r="F3292" s="35" t="s">
        <v>390</v>
      </c>
      <c r="G3292" s="35" t="s">
        <v>10</v>
      </c>
      <c r="H3292" s="35" t="s">
        <v>483</v>
      </c>
    </row>
    <row r="3293" spans="1:8">
      <c r="A3293" s="34">
        <v>2084206744</v>
      </c>
      <c r="B3293" s="35" t="s">
        <v>462</v>
      </c>
      <c r="C3293" s="35" t="s">
        <v>405</v>
      </c>
      <c r="D3293" s="35" t="s">
        <v>899</v>
      </c>
      <c r="E3293" s="35" t="s">
        <v>920</v>
      </c>
      <c r="F3293" s="35" t="s">
        <v>390</v>
      </c>
      <c r="G3293" s="35" t="s">
        <v>10</v>
      </c>
      <c r="H3293" s="35" t="s">
        <v>397</v>
      </c>
    </row>
    <row r="3294" spans="1:8">
      <c r="A3294" s="34">
        <v>2084206746</v>
      </c>
      <c r="B3294" s="35" t="s">
        <v>462</v>
      </c>
      <c r="C3294" s="35" t="s">
        <v>405</v>
      </c>
      <c r="D3294" s="35" t="s">
        <v>899</v>
      </c>
      <c r="E3294" s="35" t="s">
        <v>920</v>
      </c>
      <c r="F3294" s="35" t="s">
        <v>390</v>
      </c>
      <c r="G3294" s="35" t="s">
        <v>10</v>
      </c>
      <c r="H3294" s="35" t="s">
        <v>421</v>
      </c>
    </row>
    <row r="3295" spans="1:8">
      <c r="A3295" s="34">
        <v>2084206743</v>
      </c>
      <c r="B3295" s="35" t="s">
        <v>462</v>
      </c>
      <c r="C3295" s="35" t="s">
        <v>405</v>
      </c>
      <c r="D3295" s="35" t="s">
        <v>899</v>
      </c>
      <c r="E3295" s="35" t="s">
        <v>920</v>
      </c>
      <c r="F3295" s="35" t="s">
        <v>390</v>
      </c>
      <c r="G3295" s="35" t="s">
        <v>10</v>
      </c>
      <c r="H3295" s="35" t="s">
        <v>398</v>
      </c>
    </row>
    <row r="3296" spans="1:8">
      <c r="A3296" s="34">
        <v>2084206745</v>
      </c>
      <c r="B3296" s="35" t="s">
        <v>462</v>
      </c>
      <c r="C3296" s="35" t="s">
        <v>405</v>
      </c>
      <c r="D3296" s="35" t="s">
        <v>899</v>
      </c>
      <c r="E3296" s="35" t="s">
        <v>920</v>
      </c>
      <c r="F3296" s="35" t="s">
        <v>390</v>
      </c>
      <c r="G3296" s="35" t="s">
        <v>10</v>
      </c>
      <c r="H3296" s="35" t="s">
        <v>422</v>
      </c>
    </row>
    <row r="3297" spans="1:8">
      <c r="A3297" s="34">
        <v>2084206748</v>
      </c>
      <c r="B3297" s="35" t="s">
        <v>462</v>
      </c>
      <c r="C3297" s="35" t="s">
        <v>405</v>
      </c>
      <c r="D3297" s="35" t="s">
        <v>899</v>
      </c>
      <c r="E3297" s="35" t="s">
        <v>920</v>
      </c>
      <c r="F3297" s="35" t="s">
        <v>390</v>
      </c>
      <c r="G3297" s="35" t="s">
        <v>10</v>
      </c>
      <c r="H3297" s="35" t="s">
        <v>335</v>
      </c>
    </row>
    <row r="3298" spans="1:8">
      <c r="A3298" s="34">
        <v>2084206750</v>
      </c>
      <c r="B3298" s="35" t="s">
        <v>462</v>
      </c>
      <c r="C3298" s="35" t="s">
        <v>405</v>
      </c>
      <c r="D3298" s="35" t="s">
        <v>899</v>
      </c>
      <c r="E3298" s="35" t="s">
        <v>920</v>
      </c>
      <c r="F3298" s="35" t="s">
        <v>390</v>
      </c>
      <c r="G3298" s="35" t="s">
        <v>379</v>
      </c>
      <c r="H3298" s="35" t="s">
        <v>476</v>
      </c>
    </row>
    <row r="3299" spans="1:8">
      <c r="A3299" s="34">
        <v>2084206751</v>
      </c>
      <c r="B3299" s="35" t="s">
        <v>462</v>
      </c>
      <c r="C3299" s="35" t="s">
        <v>405</v>
      </c>
      <c r="D3299" s="35" t="s">
        <v>899</v>
      </c>
      <c r="E3299" s="35" t="s">
        <v>920</v>
      </c>
      <c r="F3299" s="35" t="s">
        <v>390</v>
      </c>
      <c r="G3299" s="35" t="s">
        <v>379</v>
      </c>
      <c r="H3299" s="35" t="s">
        <v>335</v>
      </c>
    </row>
    <row r="3300" spans="1:8">
      <c r="A3300" s="34">
        <v>2084206752</v>
      </c>
      <c r="B3300" s="35" t="s">
        <v>462</v>
      </c>
      <c r="C3300" s="35" t="s">
        <v>405</v>
      </c>
      <c r="D3300" s="35" t="s">
        <v>899</v>
      </c>
      <c r="E3300" s="35" t="s">
        <v>920</v>
      </c>
      <c r="F3300" s="35" t="s">
        <v>390</v>
      </c>
      <c r="G3300" s="35" t="s">
        <v>478</v>
      </c>
    </row>
    <row r="3301" spans="1:8">
      <c r="A3301" s="34">
        <v>2084206753</v>
      </c>
      <c r="B3301" s="35" t="s">
        <v>462</v>
      </c>
      <c r="C3301" s="35" t="s">
        <v>405</v>
      </c>
      <c r="D3301" s="35" t="s">
        <v>899</v>
      </c>
      <c r="E3301" s="35" t="s">
        <v>920</v>
      </c>
      <c r="F3301" s="35" t="s">
        <v>390</v>
      </c>
      <c r="G3301" s="35" t="s">
        <v>335</v>
      </c>
    </row>
    <row r="3302" spans="1:8">
      <c r="A3302" s="34">
        <v>2084206733</v>
      </c>
      <c r="B3302" s="35" t="s">
        <v>462</v>
      </c>
      <c r="C3302" s="35" t="s">
        <v>405</v>
      </c>
      <c r="D3302" s="35" t="s">
        <v>899</v>
      </c>
      <c r="E3302" s="35" t="s">
        <v>920</v>
      </c>
      <c r="F3302" s="35" t="s">
        <v>408</v>
      </c>
    </row>
    <row r="3303" spans="1:8">
      <c r="A3303" s="34">
        <v>2084206754</v>
      </c>
      <c r="B3303" s="35" t="s">
        <v>462</v>
      </c>
      <c r="C3303" s="35" t="s">
        <v>405</v>
      </c>
      <c r="D3303" s="35" t="s">
        <v>899</v>
      </c>
      <c r="E3303" s="35" t="s">
        <v>920</v>
      </c>
      <c r="F3303" s="35" t="s">
        <v>335</v>
      </c>
    </row>
    <row r="3304" spans="1:8">
      <c r="A3304" s="34">
        <v>2084207798</v>
      </c>
      <c r="B3304" s="35" t="s">
        <v>462</v>
      </c>
      <c r="C3304" s="35" t="s">
        <v>405</v>
      </c>
      <c r="D3304" s="35" t="s">
        <v>899</v>
      </c>
      <c r="E3304" s="35" t="s">
        <v>921</v>
      </c>
      <c r="F3304" s="35" t="s">
        <v>407</v>
      </c>
    </row>
    <row r="3305" spans="1:8">
      <c r="A3305" s="34">
        <v>2084207784</v>
      </c>
      <c r="B3305" s="35" t="s">
        <v>462</v>
      </c>
      <c r="C3305" s="35" t="s">
        <v>405</v>
      </c>
      <c r="D3305" s="35" t="s">
        <v>899</v>
      </c>
      <c r="E3305" s="35" t="s">
        <v>921</v>
      </c>
      <c r="F3305" s="35" t="s">
        <v>353</v>
      </c>
      <c r="G3305" s="35" t="s">
        <v>367</v>
      </c>
    </row>
    <row r="3306" spans="1:8">
      <c r="A3306" s="34">
        <v>2084207787</v>
      </c>
      <c r="B3306" s="35" t="s">
        <v>462</v>
      </c>
      <c r="C3306" s="35" t="s">
        <v>405</v>
      </c>
      <c r="D3306" s="35" t="s">
        <v>899</v>
      </c>
      <c r="E3306" s="35" t="s">
        <v>921</v>
      </c>
      <c r="F3306" s="35" t="s">
        <v>353</v>
      </c>
      <c r="G3306" s="35" t="s">
        <v>368</v>
      </c>
      <c r="H3306" s="35" t="s">
        <v>481</v>
      </c>
    </row>
    <row r="3307" spans="1:8">
      <c r="A3307" s="34">
        <v>2084207786</v>
      </c>
      <c r="B3307" s="35" t="s">
        <v>462</v>
      </c>
      <c r="C3307" s="35" t="s">
        <v>405</v>
      </c>
      <c r="D3307" s="35" t="s">
        <v>899</v>
      </c>
      <c r="E3307" s="35" t="s">
        <v>921</v>
      </c>
      <c r="F3307" s="35" t="s">
        <v>353</v>
      </c>
      <c r="G3307" s="35" t="s">
        <v>368</v>
      </c>
      <c r="H3307" s="35" t="s">
        <v>482</v>
      </c>
    </row>
    <row r="3308" spans="1:8">
      <c r="A3308" s="34">
        <v>2084207788</v>
      </c>
      <c r="B3308" s="35" t="s">
        <v>462</v>
      </c>
      <c r="C3308" s="35" t="s">
        <v>405</v>
      </c>
      <c r="D3308" s="35" t="s">
        <v>899</v>
      </c>
      <c r="E3308" s="35" t="s">
        <v>921</v>
      </c>
      <c r="F3308" s="35" t="s">
        <v>353</v>
      </c>
      <c r="G3308" s="35" t="s">
        <v>368</v>
      </c>
      <c r="H3308" s="35" t="s">
        <v>335</v>
      </c>
    </row>
    <row r="3309" spans="1:8">
      <c r="A3309" s="34">
        <v>2084207794</v>
      </c>
      <c r="B3309" s="35" t="s">
        <v>462</v>
      </c>
      <c r="C3309" s="35" t="s">
        <v>405</v>
      </c>
      <c r="D3309" s="35" t="s">
        <v>899</v>
      </c>
      <c r="E3309" s="35" t="s">
        <v>921</v>
      </c>
      <c r="F3309" s="35" t="s">
        <v>353</v>
      </c>
      <c r="G3309" s="35" t="s">
        <v>10</v>
      </c>
      <c r="H3309" s="35" t="s">
        <v>483</v>
      </c>
    </row>
    <row r="3310" spans="1:8">
      <c r="A3310" s="34">
        <v>2084207791</v>
      </c>
      <c r="B3310" s="35" t="s">
        <v>462</v>
      </c>
      <c r="C3310" s="35" t="s">
        <v>405</v>
      </c>
      <c r="D3310" s="35" t="s">
        <v>899</v>
      </c>
      <c r="E3310" s="35" t="s">
        <v>921</v>
      </c>
      <c r="F3310" s="35" t="s">
        <v>353</v>
      </c>
      <c r="G3310" s="35" t="s">
        <v>10</v>
      </c>
      <c r="H3310" s="35" t="s">
        <v>397</v>
      </c>
    </row>
    <row r="3311" spans="1:8">
      <c r="A3311" s="34">
        <v>2084207793</v>
      </c>
      <c r="B3311" s="35" t="s">
        <v>462</v>
      </c>
      <c r="C3311" s="35" t="s">
        <v>405</v>
      </c>
      <c r="D3311" s="35" t="s">
        <v>899</v>
      </c>
      <c r="E3311" s="35" t="s">
        <v>921</v>
      </c>
      <c r="F3311" s="35" t="s">
        <v>353</v>
      </c>
      <c r="G3311" s="35" t="s">
        <v>10</v>
      </c>
      <c r="H3311" s="35" t="s">
        <v>421</v>
      </c>
    </row>
    <row r="3312" spans="1:8">
      <c r="A3312" s="34">
        <v>2084207790</v>
      </c>
      <c r="B3312" s="35" t="s">
        <v>462</v>
      </c>
      <c r="C3312" s="35" t="s">
        <v>405</v>
      </c>
      <c r="D3312" s="35" t="s">
        <v>899</v>
      </c>
      <c r="E3312" s="35" t="s">
        <v>921</v>
      </c>
      <c r="F3312" s="35" t="s">
        <v>353</v>
      </c>
      <c r="G3312" s="35" t="s">
        <v>10</v>
      </c>
      <c r="H3312" s="35" t="s">
        <v>398</v>
      </c>
    </row>
    <row r="3313" spans="1:8">
      <c r="A3313" s="34">
        <v>2084207792</v>
      </c>
      <c r="B3313" s="35" t="s">
        <v>462</v>
      </c>
      <c r="C3313" s="35" t="s">
        <v>405</v>
      </c>
      <c r="D3313" s="35" t="s">
        <v>899</v>
      </c>
      <c r="E3313" s="35" t="s">
        <v>921</v>
      </c>
      <c r="F3313" s="35" t="s">
        <v>353</v>
      </c>
      <c r="G3313" s="35" t="s">
        <v>10</v>
      </c>
      <c r="H3313" s="35" t="s">
        <v>422</v>
      </c>
    </row>
    <row r="3314" spans="1:8">
      <c r="A3314" s="34">
        <v>2084207795</v>
      </c>
      <c r="B3314" s="35" t="s">
        <v>462</v>
      </c>
      <c r="C3314" s="35" t="s">
        <v>405</v>
      </c>
      <c r="D3314" s="35" t="s">
        <v>899</v>
      </c>
      <c r="E3314" s="35" t="s">
        <v>921</v>
      </c>
      <c r="F3314" s="35" t="s">
        <v>353</v>
      </c>
      <c r="G3314" s="35" t="s">
        <v>10</v>
      </c>
      <c r="H3314" s="35" t="s">
        <v>335</v>
      </c>
    </row>
    <row r="3315" spans="1:8">
      <c r="A3315" s="34">
        <v>2084207796</v>
      </c>
      <c r="B3315" s="35" t="s">
        <v>462</v>
      </c>
      <c r="C3315" s="35" t="s">
        <v>405</v>
      </c>
      <c r="D3315" s="35" t="s">
        <v>899</v>
      </c>
      <c r="E3315" s="35" t="s">
        <v>921</v>
      </c>
      <c r="F3315" s="35" t="s">
        <v>353</v>
      </c>
      <c r="G3315" s="35" t="s">
        <v>403</v>
      </c>
    </row>
    <row r="3316" spans="1:8">
      <c r="A3316" s="34">
        <v>2084207797</v>
      </c>
      <c r="B3316" s="35" t="s">
        <v>462</v>
      </c>
      <c r="C3316" s="35" t="s">
        <v>405</v>
      </c>
      <c r="D3316" s="35" t="s">
        <v>899</v>
      </c>
      <c r="E3316" s="35" t="s">
        <v>921</v>
      </c>
      <c r="F3316" s="35" t="s">
        <v>353</v>
      </c>
      <c r="G3316" s="35" t="s">
        <v>335</v>
      </c>
    </row>
    <row r="3317" spans="1:8">
      <c r="A3317" s="34">
        <v>2084207799</v>
      </c>
      <c r="B3317" s="35" t="s">
        <v>462</v>
      </c>
      <c r="C3317" s="35" t="s">
        <v>405</v>
      </c>
      <c r="D3317" s="35" t="s">
        <v>899</v>
      </c>
      <c r="E3317" s="35" t="s">
        <v>921</v>
      </c>
      <c r="F3317" s="35" t="s">
        <v>335</v>
      </c>
    </row>
    <row r="3318" spans="1:8">
      <c r="A3318" s="34">
        <v>2084229935</v>
      </c>
      <c r="B3318" s="35" t="s">
        <v>462</v>
      </c>
      <c r="C3318" s="35" t="s">
        <v>405</v>
      </c>
      <c r="D3318" s="35" t="s">
        <v>922</v>
      </c>
      <c r="E3318" s="35" t="s">
        <v>923</v>
      </c>
      <c r="F3318" s="35" t="s">
        <v>407</v>
      </c>
    </row>
    <row r="3319" spans="1:8">
      <c r="A3319" s="34">
        <v>2084229934</v>
      </c>
      <c r="B3319" s="35" t="s">
        <v>462</v>
      </c>
      <c r="C3319" s="35" t="s">
        <v>405</v>
      </c>
      <c r="D3319" s="35" t="s">
        <v>922</v>
      </c>
      <c r="E3319" s="35" t="s">
        <v>923</v>
      </c>
      <c r="F3319" s="35" t="s">
        <v>408</v>
      </c>
    </row>
    <row r="3320" spans="1:8">
      <c r="A3320" s="34">
        <v>2084229936</v>
      </c>
      <c r="B3320" s="35" t="s">
        <v>462</v>
      </c>
      <c r="C3320" s="35" t="s">
        <v>405</v>
      </c>
      <c r="D3320" s="35" t="s">
        <v>922</v>
      </c>
      <c r="E3320" s="35" t="s">
        <v>923</v>
      </c>
      <c r="F3320" s="35" t="s">
        <v>335</v>
      </c>
    </row>
    <row r="3321" spans="1:8">
      <c r="A3321" s="34">
        <v>2084299001</v>
      </c>
      <c r="B3321" s="35" t="s">
        <v>462</v>
      </c>
      <c r="C3321" s="35" t="s">
        <v>405</v>
      </c>
      <c r="D3321" s="35" t="s">
        <v>922</v>
      </c>
      <c r="E3321" s="35" t="s">
        <v>924</v>
      </c>
      <c r="F3321" s="35" t="s">
        <v>407</v>
      </c>
    </row>
    <row r="3322" spans="1:8">
      <c r="A3322" s="34">
        <v>2084299000</v>
      </c>
      <c r="B3322" s="35" t="s">
        <v>462</v>
      </c>
      <c r="C3322" s="35" t="s">
        <v>405</v>
      </c>
      <c r="D3322" s="35" t="s">
        <v>922</v>
      </c>
      <c r="E3322" s="35" t="s">
        <v>924</v>
      </c>
      <c r="F3322" s="35" t="s">
        <v>408</v>
      </c>
    </row>
    <row r="3323" spans="1:8">
      <c r="A3323" s="34">
        <v>2084298988</v>
      </c>
      <c r="B3323" s="35" t="s">
        <v>462</v>
      </c>
      <c r="C3323" s="35" t="s">
        <v>405</v>
      </c>
      <c r="D3323" s="35" t="s">
        <v>922</v>
      </c>
      <c r="E3323" s="35" t="s">
        <v>925</v>
      </c>
      <c r="F3323" s="35" t="s">
        <v>367</v>
      </c>
    </row>
    <row r="3324" spans="1:8">
      <c r="A3324" s="34">
        <v>2084298989</v>
      </c>
      <c r="B3324" s="35" t="s">
        <v>462</v>
      </c>
      <c r="C3324" s="35" t="s">
        <v>405</v>
      </c>
      <c r="D3324" s="35" t="s">
        <v>922</v>
      </c>
      <c r="E3324" s="35" t="s">
        <v>925</v>
      </c>
      <c r="F3324" s="35" t="s">
        <v>401</v>
      </c>
    </row>
    <row r="3325" spans="1:8">
      <c r="A3325" s="34">
        <v>2084298990</v>
      </c>
      <c r="B3325" s="35" t="s">
        <v>462</v>
      </c>
      <c r="C3325" s="35" t="s">
        <v>405</v>
      </c>
      <c r="D3325" s="35" t="s">
        <v>922</v>
      </c>
      <c r="E3325" s="35" t="s">
        <v>925</v>
      </c>
      <c r="F3325" s="35" t="s">
        <v>402</v>
      </c>
    </row>
    <row r="3326" spans="1:8">
      <c r="A3326" s="34">
        <v>2084298991</v>
      </c>
      <c r="B3326" s="35" t="s">
        <v>462</v>
      </c>
      <c r="C3326" s="35" t="s">
        <v>405</v>
      </c>
      <c r="D3326" s="35" t="s">
        <v>922</v>
      </c>
      <c r="E3326" s="35" t="s">
        <v>925</v>
      </c>
      <c r="F3326" s="35" t="s">
        <v>477</v>
      </c>
    </row>
    <row r="3327" spans="1:8">
      <c r="A3327" s="34">
        <v>2084298992</v>
      </c>
      <c r="B3327" s="35" t="s">
        <v>462</v>
      </c>
      <c r="C3327" s="35" t="s">
        <v>405</v>
      </c>
      <c r="D3327" s="35" t="s">
        <v>922</v>
      </c>
      <c r="E3327" s="35" t="s">
        <v>925</v>
      </c>
      <c r="F3327" s="35" t="s">
        <v>335</v>
      </c>
    </row>
    <row r="3328" spans="1:8">
      <c r="A3328" s="34">
        <v>2084238671</v>
      </c>
      <c r="B3328" s="35" t="s">
        <v>462</v>
      </c>
      <c r="C3328" s="35" t="s">
        <v>405</v>
      </c>
      <c r="D3328" s="35" t="s">
        <v>922</v>
      </c>
      <c r="E3328" s="35" t="s">
        <v>926</v>
      </c>
      <c r="F3328" s="35" t="s">
        <v>390</v>
      </c>
      <c r="G3328" s="35" t="s">
        <v>367</v>
      </c>
    </row>
    <row r="3329" spans="1:7">
      <c r="A3329" s="34">
        <v>2084238672</v>
      </c>
      <c r="B3329" s="35" t="s">
        <v>462</v>
      </c>
      <c r="C3329" s="35" t="s">
        <v>405</v>
      </c>
      <c r="D3329" s="35" t="s">
        <v>922</v>
      </c>
      <c r="E3329" s="35" t="s">
        <v>926</v>
      </c>
      <c r="F3329" s="35" t="s">
        <v>390</v>
      </c>
      <c r="G3329" s="35" t="s">
        <v>401</v>
      </c>
    </row>
    <row r="3330" spans="1:7">
      <c r="A3330" s="34">
        <v>2084238673</v>
      </c>
      <c r="B3330" s="35" t="s">
        <v>462</v>
      </c>
      <c r="C3330" s="35" t="s">
        <v>405</v>
      </c>
      <c r="D3330" s="35" t="s">
        <v>922</v>
      </c>
      <c r="E3330" s="35" t="s">
        <v>926</v>
      </c>
      <c r="F3330" s="35" t="s">
        <v>390</v>
      </c>
      <c r="G3330" s="35" t="s">
        <v>402</v>
      </c>
    </row>
    <row r="3331" spans="1:7">
      <c r="A3331" s="34">
        <v>2084238675</v>
      </c>
      <c r="B3331" s="35" t="s">
        <v>462</v>
      </c>
      <c r="C3331" s="35" t="s">
        <v>405</v>
      </c>
      <c r="D3331" s="35" t="s">
        <v>922</v>
      </c>
      <c r="E3331" s="35" t="s">
        <v>926</v>
      </c>
      <c r="F3331" s="35" t="s">
        <v>390</v>
      </c>
      <c r="G3331" s="35" t="s">
        <v>403</v>
      </c>
    </row>
    <row r="3332" spans="1:7">
      <c r="A3332" s="34">
        <v>2084238674</v>
      </c>
      <c r="B3332" s="35" t="s">
        <v>462</v>
      </c>
      <c r="C3332" s="35" t="s">
        <v>405</v>
      </c>
      <c r="D3332" s="35" t="s">
        <v>922</v>
      </c>
      <c r="E3332" s="35" t="s">
        <v>926</v>
      </c>
      <c r="F3332" s="35" t="s">
        <v>390</v>
      </c>
      <c r="G3332" s="35" t="s">
        <v>478</v>
      </c>
    </row>
    <row r="3333" spans="1:7">
      <c r="A3333" s="34">
        <v>2084238676</v>
      </c>
      <c r="B3333" s="35" t="s">
        <v>462</v>
      </c>
      <c r="C3333" s="35" t="s">
        <v>405</v>
      </c>
      <c r="D3333" s="35" t="s">
        <v>922</v>
      </c>
      <c r="E3333" s="35" t="s">
        <v>926</v>
      </c>
      <c r="F3333" s="35" t="s">
        <v>390</v>
      </c>
      <c r="G3333" s="35" t="s">
        <v>335</v>
      </c>
    </row>
    <row r="3334" spans="1:7">
      <c r="A3334" s="34">
        <v>2084238677</v>
      </c>
      <c r="B3334" s="35" t="s">
        <v>462</v>
      </c>
      <c r="C3334" s="35" t="s">
        <v>405</v>
      </c>
      <c r="D3334" s="35" t="s">
        <v>922</v>
      </c>
      <c r="E3334" s="35" t="s">
        <v>926</v>
      </c>
      <c r="F3334" s="35" t="s">
        <v>335</v>
      </c>
    </row>
    <row r="3335" spans="1:7">
      <c r="A3335" s="34">
        <v>2084050233</v>
      </c>
      <c r="B3335" s="35" t="s">
        <v>462</v>
      </c>
      <c r="C3335" s="35" t="s">
        <v>405</v>
      </c>
      <c r="D3335" s="35" t="s">
        <v>922</v>
      </c>
      <c r="E3335" s="35" t="s">
        <v>927</v>
      </c>
    </row>
    <row r="3336" spans="1:7">
      <c r="A3336" s="34">
        <v>2084261351</v>
      </c>
      <c r="B3336" s="35" t="s">
        <v>462</v>
      </c>
      <c r="C3336" s="35" t="s">
        <v>405</v>
      </c>
      <c r="D3336" s="35" t="s">
        <v>922</v>
      </c>
      <c r="E3336" s="35" t="s">
        <v>928</v>
      </c>
    </row>
    <row r="3337" spans="1:7">
      <c r="A3337" s="34">
        <v>2084050229</v>
      </c>
      <c r="B3337" s="35" t="s">
        <v>462</v>
      </c>
      <c r="C3337" s="35" t="s">
        <v>405</v>
      </c>
      <c r="D3337" s="35" t="s">
        <v>922</v>
      </c>
      <c r="E3337" s="35" t="s">
        <v>929</v>
      </c>
    </row>
    <row r="3338" spans="1:7">
      <c r="A3338" s="34">
        <v>2084238612</v>
      </c>
      <c r="B3338" s="35" t="s">
        <v>462</v>
      </c>
      <c r="C3338" s="35" t="s">
        <v>405</v>
      </c>
      <c r="D3338" s="35" t="s">
        <v>922</v>
      </c>
      <c r="E3338" s="35" t="s">
        <v>930</v>
      </c>
      <c r="F3338" s="35" t="s">
        <v>335</v>
      </c>
    </row>
    <row r="3339" spans="1:7">
      <c r="A3339" s="34">
        <v>2084064468</v>
      </c>
      <c r="B3339" s="35" t="s">
        <v>462</v>
      </c>
      <c r="C3339" s="35" t="s">
        <v>405</v>
      </c>
      <c r="D3339" s="35" t="s">
        <v>922</v>
      </c>
      <c r="E3339" s="35" t="s">
        <v>931</v>
      </c>
      <c r="F3339" s="35" t="s">
        <v>367</v>
      </c>
    </row>
    <row r="3340" spans="1:7">
      <c r="A3340" s="34">
        <v>2084064470</v>
      </c>
      <c r="B3340" s="35" t="s">
        <v>462</v>
      </c>
      <c r="C3340" s="35" t="s">
        <v>405</v>
      </c>
      <c r="D3340" s="35" t="s">
        <v>922</v>
      </c>
      <c r="E3340" s="35" t="s">
        <v>931</v>
      </c>
      <c r="F3340" s="35" t="s">
        <v>368</v>
      </c>
      <c r="G3340" s="35" t="s">
        <v>481</v>
      </c>
    </row>
    <row r="3341" spans="1:7">
      <c r="A3341" s="34">
        <v>2084064471</v>
      </c>
      <c r="B3341" s="35" t="s">
        <v>462</v>
      </c>
      <c r="C3341" s="35" t="s">
        <v>405</v>
      </c>
      <c r="D3341" s="35" t="s">
        <v>922</v>
      </c>
      <c r="E3341" s="35" t="s">
        <v>931</v>
      </c>
      <c r="F3341" s="35" t="s">
        <v>368</v>
      </c>
      <c r="G3341" s="35" t="s">
        <v>335</v>
      </c>
    </row>
    <row r="3342" spans="1:7">
      <c r="A3342" s="34">
        <v>2084064477</v>
      </c>
      <c r="B3342" s="35" t="s">
        <v>462</v>
      </c>
      <c r="C3342" s="35" t="s">
        <v>405</v>
      </c>
      <c r="D3342" s="35" t="s">
        <v>922</v>
      </c>
      <c r="E3342" s="35" t="s">
        <v>931</v>
      </c>
      <c r="F3342" s="35" t="s">
        <v>10</v>
      </c>
      <c r="G3342" s="35" t="s">
        <v>483</v>
      </c>
    </row>
    <row r="3343" spans="1:7">
      <c r="A3343" s="34">
        <v>2084064474</v>
      </c>
      <c r="B3343" s="35" t="s">
        <v>462</v>
      </c>
      <c r="C3343" s="35" t="s">
        <v>405</v>
      </c>
      <c r="D3343" s="35" t="s">
        <v>922</v>
      </c>
      <c r="E3343" s="35" t="s">
        <v>931</v>
      </c>
      <c r="F3343" s="35" t="s">
        <v>10</v>
      </c>
      <c r="G3343" s="35" t="s">
        <v>397</v>
      </c>
    </row>
    <row r="3344" spans="1:7">
      <c r="A3344" s="34">
        <v>2084064476</v>
      </c>
      <c r="B3344" s="35" t="s">
        <v>462</v>
      </c>
      <c r="C3344" s="35" t="s">
        <v>405</v>
      </c>
      <c r="D3344" s="35" t="s">
        <v>922</v>
      </c>
      <c r="E3344" s="35" t="s">
        <v>931</v>
      </c>
      <c r="F3344" s="35" t="s">
        <v>10</v>
      </c>
      <c r="G3344" s="35" t="s">
        <v>421</v>
      </c>
    </row>
    <row r="3345" spans="1:7">
      <c r="A3345" s="34">
        <v>2084064473</v>
      </c>
      <c r="B3345" s="35" t="s">
        <v>462</v>
      </c>
      <c r="C3345" s="35" t="s">
        <v>405</v>
      </c>
      <c r="D3345" s="35" t="s">
        <v>922</v>
      </c>
      <c r="E3345" s="35" t="s">
        <v>931</v>
      </c>
      <c r="F3345" s="35" t="s">
        <v>10</v>
      </c>
      <c r="G3345" s="35" t="s">
        <v>398</v>
      </c>
    </row>
    <row r="3346" spans="1:7">
      <c r="A3346" s="34">
        <v>2084064475</v>
      </c>
      <c r="B3346" s="35" t="s">
        <v>462</v>
      </c>
      <c r="C3346" s="35" t="s">
        <v>405</v>
      </c>
      <c r="D3346" s="35" t="s">
        <v>922</v>
      </c>
      <c r="E3346" s="35" t="s">
        <v>931</v>
      </c>
      <c r="F3346" s="35" t="s">
        <v>10</v>
      </c>
      <c r="G3346" s="35" t="s">
        <v>422</v>
      </c>
    </row>
    <row r="3347" spans="1:7">
      <c r="A3347" s="34">
        <v>2084064478</v>
      </c>
      <c r="B3347" s="35" t="s">
        <v>462</v>
      </c>
      <c r="C3347" s="35" t="s">
        <v>405</v>
      </c>
      <c r="D3347" s="35" t="s">
        <v>922</v>
      </c>
      <c r="E3347" s="35" t="s">
        <v>931</v>
      </c>
      <c r="F3347" s="35" t="s">
        <v>10</v>
      </c>
      <c r="G3347" s="35" t="s">
        <v>335</v>
      </c>
    </row>
    <row r="3348" spans="1:7">
      <c r="A3348" s="34">
        <v>2084064479</v>
      </c>
      <c r="B3348" s="35" t="s">
        <v>462</v>
      </c>
      <c r="C3348" s="35" t="s">
        <v>405</v>
      </c>
      <c r="D3348" s="35" t="s">
        <v>922</v>
      </c>
      <c r="E3348" s="35" t="s">
        <v>931</v>
      </c>
      <c r="F3348" s="35" t="s">
        <v>403</v>
      </c>
    </row>
    <row r="3349" spans="1:7">
      <c r="A3349" s="34">
        <v>2084064480</v>
      </c>
      <c r="B3349" s="35" t="s">
        <v>462</v>
      </c>
      <c r="C3349" s="35" t="s">
        <v>405</v>
      </c>
      <c r="D3349" s="35" t="s">
        <v>922</v>
      </c>
      <c r="E3349" s="35" t="s">
        <v>931</v>
      </c>
      <c r="F3349" s="35" t="s">
        <v>335</v>
      </c>
    </row>
    <row r="3350" spans="1:7">
      <c r="A3350" s="34">
        <v>2084244312</v>
      </c>
      <c r="B3350" s="35" t="s">
        <v>462</v>
      </c>
      <c r="C3350" s="35" t="s">
        <v>405</v>
      </c>
      <c r="D3350" s="35" t="s">
        <v>922</v>
      </c>
      <c r="E3350" s="35" t="s">
        <v>932</v>
      </c>
    </row>
    <row r="3351" spans="1:7">
      <c r="A3351" s="34">
        <v>2084298383</v>
      </c>
      <c r="B3351" s="35" t="s">
        <v>462</v>
      </c>
      <c r="C3351" s="35" t="s">
        <v>405</v>
      </c>
      <c r="D3351" s="35" t="s">
        <v>922</v>
      </c>
      <c r="E3351" s="35" t="s">
        <v>933</v>
      </c>
      <c r="F3351" s="35" t="s">
        <v>407</v>
      </c>
    </row>
    <row r="3352" spans="1:7">
      <c r="A3352" s="34">
        <v>2084298384</v>
      </c>
      <c r="B3352" s="35" t="s">
        <v>462</v>
      </c>
      <c r="C3352" s="35" t="s">
        <v>405</v>
      </c>
      <c r="D3352" s="35" t="s">
        <v>922</v>
      </c>
      <c r="E3352" s="35" t="s">
        <v>933</v>
      </c>
      <c r="F3352" s="35" t="s">
        <v>408</v>
      </c>
    </row>
    <row r="3353" spans="1:7">
      <c r="A3353" s="34">
        <v>2084055887</v>
      </c>
      <c r="B3353" s="35" t="s">
        <v>462</v>
      </c>
      <c r="C3353" s="35" t="s">
        <v>405</v>
      </c>
      <c r="D3353" s="35" t="s">
        <v>922</v>
      </c>
      <c r="E3353" s="35" t="s">
        <v>934</v>
      </c>
      <c r="F3353" s="35" t="s">
        <v>367</v>
      </c>
    </row>
    <row r="3354" spans="1:7">
      <c r="A3354" s="34">
        <v>2084055888</v>
      </c>
      <c r="B3354" s="35" t="s">
        <v>462</v>
      </c>
      <c r="C3354" s="35" t="s">
        <v>405</v>
      </c>
      <c r="D3354" s="35" t="s">
        <v>922</v>
      </c>
      <c r="E3354" s="35" t="s">
        <v>934</v>
      </c>
      <c r="F3354" s="35" t="s">
        <v>401</v>
      </c>
    </row>
    <row r="3355" spans="1:7">
      <c r="A3355" s="34">
        <v>2084055890</v>
      </c>
      <c r="B3355" s="35" t="s">
        <v>462</v>
      </c>
      <c r="C3355" s="35" t="s">
        <v>405</v>
      </c>
      <c r="D3355" s="35" t="s">
        <v>922</v>
      </c>
      <c r="E3355" s="35" t="s">
        <v>934</v>
      </c>
      <c r="F3355" s="35" t="s">
        <v>10</v>
      </c>
      <c r="G3355" s="35" t="s">
        <v>483</v>
      </c>
    </row>
    <row r="3356" spans="1:7">
      <c r="A3356" s="34">
        <v>2084055892</v>
      </c>
      <c r="B3356" s="35" t="s">
        <v>462</v>
      </c>
      <c r="C3356" s="35" t="s">
        <v>405</v>
      </c>
      <c r="D3356" s="35" t="s">
        <v>922</v>
      </c>
      <c r="E3356" s="35" t="s">
        <v>934</v>
      </c>
      <c r="F3356" s="35" t="s">
        <v>10</v>
      </c>
      <c r="G3356" s="35" t="s">
        <v>397</v>
      </c>
    </row>
    <row r="3357" spans="1:7">
      <c r="A3357" s="34">
        <v>2084055891</v>
      </c>
      <c r="B3357" s="35" t="s">
        <v>462</v>
      </c>
      <c r="C3357" s="35" t="s">
        <v>405</v>
      </c>
      <c r="D3357" s="35" t="s">
        <v>922</v>
      </c>
      <c r="E3357" s="35" t="s">
        <v>934</v>
      </c>
      <c r="F3357" s="35" t="s">
        <v>10</v>
      </c>
      <c r="G3357" s="35" t="s">
        <v>421</v>
      </c>
    </row>
    <row r="3358" spans="1:7">
      <c r="A3358" s="34">
        <v>2084055894</v>
      </c>
      <c r="B3358" s="35" t="s">
        <v>462</v>
      </c>
      <c r="C3358" s="35" t="s">
        <v>405</v>
      </c>
      <c r="D3358" s="35" t="s">
        <v>922</v>
      </c>
      <c r="E3358" s="35" t="s">
        <v>934</v>
      </c>
      <c r="F3358" s="35" t="s">
        <v>10</v>
      </c>
      <c r="G3358" s="35" t="s">
        <v>398</v>
      </c>
    </row>
    <row r="3359" spans="1:7">
      <c r="A3359" s="34">
        <v>2084055893</v>
      </c>
      <c r="B3359" s="35" t="s">
        <v>462</v>
      </c>
      <c r="C3359" s="35" t="s">
        <v>405</v>
      </c>
      <c r="D3359" s="35" t="s">
        <v>922</v>
      </c>
      <c r="E3359" s="35" t="s">
        <v>934</v>
      </c>
      <c r="F3359" s="35" t="s">
        <v>10</v>
      </c>
      <c r="G3359" s="35" t="s">
        <v>422</v>
      </c>
    </row>
    <row r="3360" spans="1:7">
      <c r="A3360" s="34">
        <v>2084055895</v>
      </c>
      <c r="B3360" s="35" t="s">
        <v>462</v>
      </c>
      <c r="C3360" s="35" t="s">
        <v>405</v>
      </c>
      <c r="D3360" s="35" t="s">
        <v>922</v>
      </c>
      <c r="E3360" s="35" t="s">
        <v>934</v>
      </c>
      <c r="F3360" s="35" t="s">
        <v>10</v>
      </c>
      <c r="G3360" s="35" t="s">
        <v>335</v>
      </c>
    </row>
    <row r="3361" spans="1:8">
      <c r="A3361" s="34">
        <v>2084055897</v>
      </c>
      <c r="B3361" s="35" t="s">
        <v>462</v>
      </c>
      <c r="C3361" s="35" t="s">
        <v>405</v>
      </c>
      <c r="D3361" s="35" t="s">
        <v>922</v>
      </c>
      <c r="E3361" s="35" t="s">
        <v>934</v>
      </c>
      <c r="F3361" s="35" t="s">
        <v>379</v>
      </c>
      <c r="G3361" s="35" t="s">
        <v>476</v>
      </c>
    </row>
    <row r="3362" spans="1:8">
      <c r="A3362" s="34">
        <v>2084055898</v>
      </c>
      <c r="B3362" s="35" t="s">
        <v>462</v>
      </c>
      <c r="C3362" s="35" t="s">
        <v>405</v>
      </c>
      <c r="D3362" s="35" t="s">
        <v>922</v>
      </c>
      <c r="E3362" s="35" t="s">
        <v>934</v>
      </c>
      <c r="F3362" s="35" t="s">
        <v>379</v>
      </c>
      <c r="G3362" s="35" t="s">
        <v>335</v>
      </c>
    </row>
    <row r="3363" spans="1:8">
      <c r="A3363" s="34">
        <v>2084061456</v>
      </c>
      <c r="B3363" s="35" t="s">
        <v>462</v>
      </c>
      <c r="C3363" s="35" t="s">
        <v>405</v>
      </c>
      <c r="D3363" s="35" t="s">
        <v>922</v>
      </c>
      <c r="E3363" s="35" t="s">
        <v>934</v>
      </c>
      <c r="F3363" s="35" t="s">
        <v>478</v>
      </c>
    </row>
    <row r="3364" spans="1:8">
      <c r="A3364" s="34">
        <v>2084055899</v>
      </c>
      <c r="B3364" s="35" t="s">
        <v>462</v>
      </c>
      <c r="C3364" s="35" t="s">
        <v>405</v>
      </c>
      <c r="D3364" s="35" t="s">
        <v>922</v>
      </c>
      <c r="E3364" s="35" t="s">
        <v>934</v>
      </c>
      <c r="F3364" s="35" t="s">
        <v>335</v>
      </c>
    </row>
    <row r="3365" spans="1:8">
      <c r="A3365" s="34">
        <v>2084028195</v>
      </c>
      <c r="B3365" s="35" t="s">
        <v>462</v>
      </c>
      <c r="C3365" s="35" t="s">
        <v>405</v>
      </c>
      <c r="D3365" s="35" t="s">
        <v>922</v>
      </c>
      <c r="E3365" s="35" t="s">
        <v>935</v>
      </c>
      <c r="F3365" s="35" t="s">
        <v>390</v>
      </c>
      <c r="G3365" s="35" t="s">
        <v>367</v>
      </c>
    </row>
    <row r="3366" spans="1:8">
      <c r="A3366" s="34">
        <v>2084028744</v>
      </c>
      <c r="B3366" s="35" t="s">
        <v>462</v>
      </c>
      <c r="C3366" s="35" t="s">
        <v>405</v>
      </c>
      <c r="D3366" s="35" t="s">
        <v>922</v>
      </c>
      <c r="E3366" s="35" t="s">
        <v>935</v>
      </c>
      <c r="F3366" s="35" t="s">
        <v>390</v>
      </c>
      <c r="G3366" s="35" t="s">
        <v>368</v>
      </c>
      <c r="H3366" s="35" t="s">
        <v>508</v>
      </c>
    </row>
    <row r="3367" spans="1:8">
      <c r="A3367" s="34">
        <v>2084029327</v>
      </c>
      <c r="B3367" s="35" t="s">
        <v>462</v>
      </c>
      <c r="C3367" s="35" t="s">
        <v>405</v>
      </c>
      <c r="D3367" s="35" t="s">
        <v>922</v>
      </c>
      <c r="E3367" s="35" t="s">
        <v>935</v>
      </c>
      <c r="F3367" s="35" t="s">
        <v>390</v>
      </c>
      <c r="G3367" s="35" t="s">
        <v>368</v>
      </c>
      <c r="H3367" s="35" t="s">
        <v>481</v>
      </c>
    </row>
    <row r="3368" spans="1:8">
      <c r="A3368" s="34">
        <v>2084029878</v>
      </c>
      <c r="B3368" s="35" t="s">
        <v>462</v>
      </c>
      <c r="C3368" s="35" t="s">
        <v>405</v>
      </c>
      <c r="D3368" s="35" t="s">
        <v>922</v>
      </c>
      <c r="E3368" s="35" t="s">
        <v>935</v>
      </c>
      <c r="F3368" s="35" t="s">
        <v>390</v>
      </c>
      <c r="G3368" s="35" t="s">
        <v>368</v>
      </c>
      <c r="H3368" s="35" t="s">
        <v>494</v>
      </c>
    </row>
    <row r="3369" spans="1:8">
      <c r="A3369" s="34">
        <v>2084058517</v>
      </c>
      <c r="B3369" s="35" t="s">
        <v>462</v>
      </c>
      <c r="C3369" s="35" t="s">
        <v>405</v>
      </c>
      <c r="D3369" s="35" t="s">
        <v>922</v>
      </c>
      <c r="E3369" s="35" t="s">
        <v>935</v>
      </c>
      <c r="F3369" s="35" t="s">
        <v>390</v>
      </c>
      <c r="G3369" s="35" t="s">
        <v>368</v>
      </c>
      <c r="H3369" s="35" t="s">
        <v>335</v>
      </c>
    </row>
    <row r="3370" spans="1:8">
      <c r="A3370" s="34">
        <v>2084027293</v>
      </c>
      <c r="B3370" s="35" t="s">
        <v>462</v>
      </c>
      <c r="C3370" s="35" t="s">
        <v>405</v>
      </c>
      <c r="D3370" s="35" t="s">
        <v>922</v>
      </c>
      <c r="E3370" s="35" t="s">
        <v>935</v>
      </c>
      <c r="F3370" s="35" t="s">
        <v>390</v>
      </c>
      <c r="G3370" s="35" t="s">
        <v>10</v>
      </c>
      <c r="H3370" s="35" t="s">
        <v>509</v>
      </c>
    </row>
    <row r="3371" spans="1:8">
      <c r="A3371" s="34">
        <v>2084027836</v>
      </c>
      <c r="B3371" s="35" t="s">
        <v>462</v>
      </c>
      <c r="C3371" s="35" t="s">
        <v>405</v>
      </c>
      <c r="D3371" s="35" t="s">
        <v>922</v>
      </c>
      <c r="E3371" s="35" t="s">
        <v>935</v>
      </c>
      <c r="F3371" s="35" t="s">
        <v>390</v>
      </c>
      <c r="G3371" s="35" t="s">
        <v>10</v>
      </c>
      <c r="H3371" s="35" t="s">
        <v>510</v>
      </c>
    </row>
    <row r="3372" spans="1:8">
      <c r="A3372" s="34">
        <v>2084027868</v>
      </c>
      <c r="B3372" s="35" t="s">
        <v>462</v>
      </c>
      <c r="C3372" s="35" t="s">
        <v>405</v>
      </c>
      <c r="D3372" s="35" t="s">
        <v>922</v>
      </c>
      <c r="E3372" s="35" t="s">
        <v>935</v>
      </c>
      <c r="F3372" s="35" t="s">
        <v>390</v>
      </c>
      <c r="G3372" s="35" t="s">
        <v>10</v>
      </c>
      <c r="H3372" s="35" t="s">
        <v>511</v>
      </c>
    </row>
    <row r="3373" spans="1:8">
      <c r="A3373" s="34">
        <v>2084027898</v>
      </c>
      <c r="B3373" s="35" t="s">
        <v>462</v>
      </c>
      <c r="C3373" s="35" t="s">
        <v>405</v>
      </c>
      <c r="D3373" s="35" t="s">
        <v>922</v>
      </c>
      <c r="E3373" s="35" t="s">
        <v>935</v>
      </c>
      <c r="F3373" s="35" t="s">
        <v>390</v>
      </c>
      <c r="G3373" s="35" t="s">
        <v>10</v>
      </c>
      <c r="H3373" s="35" t="s">
        <v>493</v>
      </c>
    </row>
    <row r="3374" spans="1:8">
      <c r="A3374" s="34">
        <v>2084027467</v>
      </c>
      <c r="B3374" s="35" t="s">
        <v>462</v>
      </c>
      <c r="C3374" s="35" t="s">
        <v>405</v>
      </c>
      <c r="D3374" s="35" t="s">
        <v>922</v>
      </c>
      <c r="E3374" s="35" t="s">
        <v>935</v>
      </c>
      <c r="F3374" s="35" t="s">
        <v>390</v>
      </c>
      <c r="G3374" s="35" t="s">
        <v>10</v>
      </c>
      <c r="H3374" s="35" t="s">
        <v>512</v>
      </c>
    </row>
    <row r="3375" spans="1:8">
      <c r="A3375" s="34">
        <v>2084027634</v>
      </c>
      <c r="B3375" s="35" t="s">
        <v>462</v>
      </c>
      <c r="C3375" s="35" t="s">
        <v>405</v>
      </c>
      <c r="D3375" s="35" t="s">
        <v>922</v>
      </c>
      <c r="E3375" s="35" t="s">
        <v>935</v>
      </c>
      <c r="F3375" s="35" t="s">
        <v>390</v>
      </c>
      <c r="G3375" s="35" t="s">
        <v>10</v>
      </c>
      <c r="H3375" s="35" t="s">
        <v>513</v>
      </c>
    </row>
    <row r="3376" spans="1:8">
      <c r="A3376" s="34">
        <v>2084027978</v>
      </c>
      <c r="B3376" s="35" t="s">
        <v>462</v>
      </c>
      <c r="C3376" s="35" t="s">
        <v>405</v>
      </c>
      <c r="D3376" s="35" t="s">
        <v>922</v>
      </c>
      <c r="E3376" s="35" t="s">
        <v>935</v>
      </c>
      <c r="F3376" s="35" t="s">
        <v>390</v>
      </c>
      <c r="G3376" s="35" t="s">
        <v>10</v>
      </c>
      <c r="H3376" s="35" t="s">
        <v>420</v>
      </c>
    </row>
    <row r="3377" spans="1:8">
      <c r="A3377" s="34">
        <v>2084027256</v>
      </c>
      <c r="B3377" s="35" t="s">
        <v>462</v>
      </c>
      <c r="C3377" s="35" t="s">
        <v>405</v>
      </c>
      <c r="D3377" s="35" t="s">
        <v>922</v>
      </c>
      <c r="E3377" s="35" t="s">
        <v>935</v>
      </c>
      <c r="F3377" s="35" t="s">
        <v>390</v>
      </c>
      <c r="G3377" s="35" t="s">
        <v>10</v>
      </c>
      <c r="H3377" s="35" t="s">
        <v>514</v>
      </c>
    </row>
    <row r="3378" spans="1:8">
      <c r="A3378" s="34">
        <v>2084027432</v>
      </c>
      <c r="B3378" s="35" t="s">
        <v>462</v>
      </c>
      <c r="C3378" s="35" t="s">
        <v>405</v>
      </c>
      <c r="D3378" s="35" t="s">
        <v>922</v>
      </c>
      <c r="E3378" s="35" t="s">
        <v>935</v>
      </c>
      <c r="F3378" s="35" t="s">
        <v>390</v>
      </c>
      <c r="G3378" s="35" t="s">
        <v>10</v>
      </c>
      <c r="H3378" s="35" t="s">
        <v>515</v>
      </c>
    </row>
    <row r="3379" spans="1:8">
      <c r="A3379" s="34">
        <v>2084027501</v>
      </c>
      <c r="B3379" s="35" t="s">
        <v>462</v>
      </c>
      <c r="C3379" s="35" t="s">
        <v>405</v>
      </c>
      <c r="D3379" s="35" t="s">
        <v>922</v>
      </c>
      <c r="E3379" s="35" t="s">
        <v>935</v>
      </c>
      <c r="F3379" s="35" t="s">
        <v>390</v>
      </c>
      <c r="G3379" s="35" t="s">
        <v>10</v>
      </c>
      <c r="H3379" s="35" t="s">
        <v>421</v>
      </c>
    </row>
    <row r="3380" spans="1:8">
      <c r="A3380" s="34">
        <v>2084027712</v>
      </c>
      <c r="B3380" s="35" t="s">
        <v>462</v>
      </c>
      <c r="C3380" s="35" t="s">
        <v>405</v>
      </c>
      <c r="D3380" s="35" t="s">
        <v>922</v>
      </c>
      <c r="E3380" s="35" t="s">
        <v>935</v>
      </c>
      <c r="F3380" s="35" t="s">
        <v>390</v>
      </c>
      <c r="G3380" s="35" t="s">
        <v>10</v>
      </c>
      <c r="H3380" s="35" t="s">
        <v>516</v>
      </c>
    </row>
    <row r="3381" spans="1:8">
      <c r="A3381" s="34">
        <v>2084027229</v>
      </c>
      <c r="B3381" s="35" t="s">
        <v>462</v>
      </c>
      <c r="C3381" s="35" t="s">
        <v>405</v>
      </c>
      <c r="D3381" s="35" t="s">
        <v>922</v>
      </c>
      <c r="E3381" s="35" t="s">
        <v>935</v>
      </c>
      <c r="F3381" s="35" t="s">
        <v>390</v>
      </c>
      <c r="G3381" s="35" t="s">
        <v>10</v>
      </c>
      <c r="H3381" s="35" t="s">
        <v>517</v>
      </c>
    </row>
    <row r="3382" spans="1:8">
      <c r="A3382" s="34">
        <v>2084027367</v>
      </c>
      <c r="B3382" s="35" t="s">
        <v>462</v>
      </c>
      <c r="C3382" s="35" t="s">
        <v>405</v>
      </c>
      <c r="D3382" s="35" t="s">
        <v>922</v>
      </c>
      <c r="E3382" s="35" t="s">
        <v>935</v>
      </c>
      <c r="F3382" s="35" t="s">
        <v>390</v>
      </c>
      <c r="G3382" s="35" t="s">
        <v>10</v>
      </c>
      <c r="H3382" s="35" t="s">
        <v>518</v>
      </c>
    </row>
    <row r="3383" spans="1:8">
      <c r="A3383" s="34">
        <v>2084027578</v>
      </c>
      <c r="B3383" s="35" t="s">
        <v>462</v>
      </c>
      <c r="C3383" s="35" t="s">
        <v>405</v>
      </c>
      <c r="D3383" s="35" t="s">
        <v>922</v>
      </c>
      <c r="E3383" s="35" t="s">
        <v>935</v>
      </c>
      <c r="F3383" s="35" t="s">
        <v>390</v>
      </c>
      <c r="G3383" s="35" t="s">
        <v>10</v>
      </c>
      <c r="H3383" s="35" t="s">
        <v>422</v>
      </c>
    </row>
    <row r="3384" spans="1:8">
      <c r="A3384" s="34">
        <v>2084027762</v>
      </c>
      <c r="B3384" s="35" t="s">
        <v>462</v>
      </c>
      <c r="C3384" s="35" t="s">
        <v>405</v>
      </c>
      <c r="D3384" s="35" t="s">
        <v>922</v>
      </c>
      <c r="E3384" s="35" t="s">
        <v>935</v>
      </c>
      <c r="F3384" s="35" t="s">
        <v>390</v>
      </c>
      <c r="G3384" s="35" t="s">
        <v>10</v>
      </c>
      <c r="H3384" s="35" t="s">
        <v>519</v>
      </c>
    </row>
    <row r="3385" spans="1:8">
      <c r="A3385" s="34">
        <v>2084028038</v>
      </c>
      <c r="B3385" s="35" t="s">
        <v>462</v>
      </c>
      <c r="C3385" s="35" t="s">
        <v>405</v>
      </c>
      <c r="D3385" s="35" t="s">
        <v>922</v>
      </c>
      <c r="E3385" s="35" t="s">
        <v>935</v>
      </c>
      <c r="F3385" s="35" t="s">
        <v>390</v>
      </c>
      <c r="G3385" s="35" t="s">
        <v>379</v>
      </c>
      <c r="H3385" s="35" t="s">
        <v>520</v>
      </c>
    </row>
    <row r="3386" spans="1:8">
      <c r="A3386" s="34">
        <v>2084028073</v>
      </c>
      <c r="B3386" s="35" t="s">
        <v>462</v>
      </c>
      <c r="C3386" s="35" t="s">
        <v>405</v>
      </c>
      <c r="D3386" s="35" t="s">
        <v>922</v>
      </c>
      <c r="E3386" s="35" t="s">
        <v>935</v>
      </c>
      <c r="F3386" s="35" t="s">
        <v>390</v>
      </c>
      <c r="G3386" s="35" t="s">
        <v>379</v>
      </c>
      <c r="H3386" s="35" t="s">
        <v>521</v>
      </c>
    </row>
    <row r="3387" spans="1:8">
      <c r="A3387" s="34">
        <v>2084028173</v>
      </c>
      <c r="B3387" s="35" t="s">
        <v>462</v>
      </c>
      <c r="C3387" s="35" t="s">
        <v>405</v>
      </c>
      <c r="D3387" s="35" t="s">
        <v>922</v>
      </c>
      <c r="E3387" s="35" t="s">
        <v>935</v>
      </c>
      <c r="F3387" s="35" t="s">
        <v>390</v>
      </c>
      <c r="G3387" s="35" t="s">
        <v>379</v>
      </c>
      <c r="H3387" s="35" t="s">
        <v>522</v>
      </c>
    </row>
    <row r="3388" spans="1:8">
      <c r="A3388" s="34">
        <v>2084028413</v>
      </c>
      <c r="B3388" s="35" t="s">
        <v>462</v>
      </c>
      <c r="C3388" s="35" t="s">
        <v>405</v>
      </c>
      <c r="D3388" s="35" t="s">
        <v>922</v>
      </c>
      <c r="E3388" s="35" t="s">
        <v>935</v>
      </c>
      <c r="F3388" s="35" t="s">
        <v>390</v>
      </c>
      <c r="G3388" s="35" t="s">
        <v>379</v>
      </c>
      <c r="H3388" s="35" t="s">
        <v>523</v>
      </c>
    </row>
    <row r="3389" spans="1:8">
      <c r="A3389" s="34">
        <v>2084028112</v>
      </c>
      <c r="B3389" s="35" t="s">
        <v>462</v>
      </c>
      <c r="C3389" s="35" t="s">
        <v>405</v>
      </c>
      <c r="D3389" s="35" t="s">
        <v>922</v>
      </c>
      <c r="E3389" s="35" t="s">
        <v>935</v>
      </c>
      <c r="F3389" s="35" t="s">
        <v>390</v>
      </c>
      <c r="G3389" s="35" t="s">
        <v>379</v>
      </c>
      <c r="H3389" s="35" t="s">
        <v>524</v>
      </c>
    </row>
    <row r="3390" spans="1:8">
      <c r="A3390" s="34">
        <v>2084028278</v>
      </c>
      <c r="B3390" s="35" t="s">
        <v>462</v>
      </c>
      <c r="C3390" s="35" t="s">
        <v>405</v>
      </c>
      <c r="D3390" s="35" t="s">
        <v>922</v>
      </c>
      <c r="E3390" s="35" t="s">
        <v>935</v>
      </c>
      <c r="F3390" s="35" t="s">
        <v>390</v>
      </c>
      <c r="G3390" s="35" t="s">
        <v>379</v>
      </c>
      <c r="H3390" s="35" t="s">
        <v>525</v>
      </c>
    </row>
    <row r="3391" spans="1:8">
      <c r="A3391" s="34">
        <v>2084028480</v>
      </c>
      <c r="B3391" s="35" t="s">
        <v>462</v>
      </c>
      <c r="C3391" s="35" t="s">
        <v>405</v>
      </c>
      <c r="D3391" s="35" t="s">
        <v>922</v>
      </c>
      <c r="E3391" s="35" t="s">
        <v>935</v>
      </c>
      <c r="F3391" s="35" t="s">
        <v>390</v>
      </c>
      <c r="G3391" s="35" t="s">
        <v>379</v>
      </c>
      <c r="H3391" s="35" t="s">
        <v>526</v>
      </c>
    </row>
    <row r="3392" spans="1:8">
      <c r="A3392" s="34">
        <v>2084028303</v>
      </c>
      <c r="B3392" s="35" t="s">
        <v>462</v>
      </c>
      <c r="C3392" s="35" t="s">
        <v>405</v>
      </c>
      <c r="D3392" s="35" t="s">
        <v>922</v>
      </c>
      <c r="E3392" s="35" t="s">
        <v>935</v>
      </c>
      <c r="F3392" s="35" t="s">
        <v>390</v>
      </c>
      <c r="G3392" s="35" t="s">
        <v>379</v>
      </c>
      <c r="H3392" s="35" t="s">
        <v>527</v>
      </c>
    </row>
    <row r="3393" spans="1:8">
      <c r="A3393" s="34">
        <v>2084028515</v>
      </c>
      <c r="B3393" s="35" t="s">
        <v>462</v>
      </c>
      <c r="C3393" s="35" t="s">
        <v>405</v>
      </c>
      <c r="D3393" s="35" t="s">
        <v>922</v>
      </c>
      <c r="E3393" s="35" t="s">
        <v>935</v>
      </c>
      <c r="F3393" s="35" t="s">
        <v>390</v>
      </c>
      <c r="G3393" s="35" t="s">
        <v>379</v>
      </c>
      <c r="H3393" s="35" t="s">
        <v>528</v>
      </c>
    </row>
    <row r="3394" spans="1:8">
      <c r="A3394" s="34">
        <v>2084028341</v>
      </c>
      <c r="B3394" s="35" t="s">
        <v>462</v>
      </c>
      <c r="C3394" s="35" t="s">
        <v>405</v>
      </c>
      <c r="D3394" s="35" t="s">
        <v>922</v>
      </c>
      <c r="E3394" s="35" t="s">
        <v>935</v>
      </c>
      <c r="F3394" s="35" t="s">
        <v>390</v>
      </c>
      <c r="G3394" s="35" t="s">
        <v>379</v>
      </c>
      <c r="H3394" s="35" t="s">
        <v>548</v>
      </c>
    </row>
    <row r="3395" spans="1:8">
      <c r="A3395" s="34">
        <v>2084058518</v>
      </c>
      <c r="B3395" s="35" t="s">
        <v>462</v>
      </c>
      <c r="C3395" s="35" t="s">
        <v>405</v>
      </c>
      <c r="D3395" s="35" t="s">
        <v>922</v>
      </c>
      <c r="E3395" s="35" t="s">
        <v>935</v>
      </c>
      <c r="F3395" s="35" t="s">
        <v>390</v>
      </c>
      <c r="G3395" s="35" t="s">
        <v>379</v>
      </c>
      <c r="H3395" s="35" t="s">
        <v>335</v>
      </c>
    </row>
    <row r="3396" spans="1:8">
      <c r="A3396" s="34">
        <v>2084028555</v>
      </c>
      <c r="B3396" s="35" t="s">
        <v>462</v>
      </c>
      <c r="C3396" s="35" t="s">
        <v>405</v>
      </c>
      <c r="D3396" s="35" t="s">
        <v>922</v>
      </c>
      <c r="E3396" s="35" t="s">
        <v>935</v>
      </c>
      <c r="F3396" s="35" t="s">
        <v>390</v>
      </c>
      <c r="G3396" s="35" t="s">
        <v>530</v>
      </c>
      <c r="H3396" s="35" t="s">
        <v>531</v>
      </c>
    </row>
    <row r="3397" spans="1:8">
      <c r="A3397" s="34">
        <v>2084028593</v>
      </c>
      <c r="B3397" s="35" t="s">
        <v>462</v>
      </c>
      <c r="C3397" s="35" t="s">
        <v>405</v>
      </c>
      <c r="D3397" s="35" t="s">
        <v>922</v>
      </c>
      <c r="E3397" s="35" t="s">
        <v>935</v>
      </c>
      <c r="F3397" s="35" t="s">
        <v>390</v>
      </c>
      <c r="G3397" s="35" t="s">
        <v>530</v>
      </c>
      <c r="H3397" s="35" t="s">
        <v>532</v>
      </c>
    </row>
    <row r="3398" spans="1:8">
      <c r="A3398" s="34">
        <v>2084030093</v>
      </c>
      <c r="B3398" s="35" t="s">
        <v>462</v>
      </c>
      <c r="C3398" s="35" t="s">
        <v>405</v>
      </c>
      <c r="D3398" s="35" t="s">
        <v>922</v>
      </c>
      <c r="E3398" s="35" t="s">
        <v>935</v>
      </c>
      <c r="F3398" s="35" t="s">
        <v>390</v>
      </c>
      <c r="G3398" s="35" t="s">
        <v>533</v>
      </c>
      <c r="H3398" s="35" t="s">
        <v>534</v>
      </c>
    </row>
    <row r="3399" spans="1:8">
      <c r="A3399" s="34">
        <v>2084030175</v>
      </c>
      <c r="B3399" s="35" t="s">
        <v>462</v>
      </c>
      <c r="C3399" s="35" t="s">
        <v>405</v>
      </c>
      <c r="D3399" s="35" t="s">
        <v>922</v>
      </c>
      <c r="E3399" s="35" t="s">
        <v>935</v>
      </c>
      <c r="F3399" s="35" t="s">
        <v>390</v>
      </c>
      <c r="G3399" s="35" t="s">
        <v>533</v>
      </c>
      <c r="H3399" s="35" t="s">
        <v>535</v>
      </c>
    </row>
    <row r="3400" spans="1:8">
      <c r="A3400" s="34">
        <v>2084027167</v>
      </c>
      <c r="B3400" s="35" t="s">
        <v>462</v>
      </c>
      <c r="C3400" s="35" t="s">
        <v>405</v>
      </c>
      <c r="D3400" s="35" t="s">
        <v>922</v>
      </c>
      <c r="E3400" s="35" t="s">
        <v>935</v>
      </c>
      <c r="F3400" s="35" t="s">
        <v>390</v>
      </c>
      <c r="G3400" s="35" t="s">
        <v>533</v>
      </c>
      <c r="H3400" s="35" t="s">
        <v>536</v>
      </c>
    </row>
    <row r="3401" spans="1:8">
      <c r="A3401" s="34">
        <v>2084050940</v>
      </c>
      <c r="B3401" s="35" t="s">
        <v>462</v>
      </c>
      <c r="C3401" s="35" t="s">
        <v>405</v>
      </c>
      <c r="D3401" s="35" t="s">
        <v>922</v>
      </c>
      <c r="E3401" s="35" t="s">
        <v>935</v>
      </c>
      <c r="F3401" s="35" t="s">
        <v>390</v>
      </c>
      <c r="G3401" s="35" t="s">
        <v>335</v>
      </c>
    </row>
    <row r="3402" spans="1:8">
      <c r="A3402" s="34">
        <v>2084030718</v>
      </c>
      <c r="B3402" s="35" t="s">
        <v>462</v>
      </c>
      <c r="C3402" s="35" t="s">
        <v>405</v>
      </c>
      <c r="D3402" s="35" t="s">
        <v>922</v>
      </c>
      <c r="E3402" s="35" t="s">
        <v>935</v>
      </c>
      <c r="F3402" s="35" t="s">
        <v>353</v>
      </c>
      <c r="G3402" s="35" t="s">
        <v>481</v>
      </c>
    </row>
    <row r="3403" spans="1:8">
      <c r="A3403" s="34">
        <v>2084031616</v>
      </c>
      <c r="B3403" s="35" t="s">
        <v>462</v>
      </c>
      <c r="C3403" s="35" t="s">
        <v>405</v>
      </c>
      <c r="D3403" s="35" t="s">
        <v>922</v>
      </c>
      <c r="E3403" s="35" t="s">
        <v>935</v>
      </c>
      <c r="F3403" s="35" t="s">
        <v>353</v>
      </c>
      <c r="G3403" s="35" t="s">
        <v>483</v>
      </c>
    </row>
    <row r="3404" spans="1:8">
      <c r="A3404" s="34">
        <v>2084031451</v>
      </c>
      <c r="B3404" s="35" t="s">
        <v>462</v>
      </c>
      <c r="C3404" s="35" t="s">
        <v>405</v>
      </c>
      <c r="D3404" s="35" t="s">
        <v>922</v>
      </c>
      <c r="E3404" s="35" t="s">
        <v>935</v>
      </c>
      <c r="F3404" s="35" t="s">
        <v>353</v>
      </c>
      <c r="G3404" s="35" t="s">
        <v>482</v>
      </c>
    </row>
    <row r="3405" spans="1:8">
      <c r="A3405" s="34">
        <v>2084030268</v>
      </c>
      <c r="B3405" s="35" t="s">
        <v>462</v>
      </c>
      <c r="C3405" s="35" t="s">
        <v>405</v>
      </c>
      <c r="D3405" s="35" t="s">
        <v>922</v>
      </c>
      <c r="E3405" s="35" t="s">
        <v>935</v>
      </c>
      <c r="F3405" s="35" t="s">
        <v>353</v>
      </c>
      <c r="G3405" s="35" t="s">
        <v>493</v>
      </c>
    </row>
    <row r="3406" spans="1:8">
      <c r="A3406" s="34">
        <v>2084031362</v>
      </c>
      <c r="B3406" s="35" t="s">
        <v>462</v>
      </c>
      <c r="C3406" s="35" t="s">
        <v>405</v>
      </c>
      <c r="D3406" s="35" t="s">
        <v>922</v>
      </c>
      <c r="E3406" s="35" t="s">
        <v>935</v>
      </c>
      <c r="F3406" s="35" t="s">
        <v>353</v>
      </c>
      <c r="G3406" s="35" t="s">
        <v>494</v>
      </c>
    </row>
    <row r="3407" spans="1:8">
      <c r="A3407" s="34">
        <v>2084050938</v>
      </c>
      <c r="B3407" s="35" t="s">
        <v>462</v>
      </c>
      <c r="C3407" s="35" t="s">
        <v>405</v>
      </c>
      <c r="D3407" s="35" t="s">
        <v>922</v>
      </c>
      <c r="E3407" s="35" t="s">
        <v>935</v>
      </c>
      <c r="F3407" s="35" t="s">
        <v>353</v>
      </c>
      <c r="G3407" s="35" t="s">
        <v>403</v>
      </c>
    </row>
    <row r="3408" spans="1:8">
      <c r="A3408" s="34">
        <v>2084031510</v>
      </c>
      <c r="B3408" s="35" t="s">
        <v>462</v>
      </c>
      <c r="C3408" s="35" t="s">
        <v>405</v>
      </c>
      <c r="D3408" s="35" t="s">
        <v>922</v>
      </c>
      <c r="E3408" s="35" t="s">
        <v>935</v>
      </c>
      <c r="F3408" s="35" t="s">
        <v>353</v>
      </c>
      <c r="G3408" s="35" t="s">
        <v>397</v>
      </c>
    </row>
    <row r="3409" spans="1:7">
      <c r="A3409" s="34">
        <v>2084030373</v>
      </c>
      <c r="B3409" s="35" t="s">
        <v>462</v>
      </c>
      <c r="C3409" s="35" t="s">
        <v>405</v>
      </c>
      <c r="D3409" s="35" t="s">
        <v>922</v>
      </c>
      <c r="E3409" s="35" t="s">
        <v>935</v>
      </c>
      <c r="F3409" s="35" t="s">
        <v>353</v>
      </c>
      <c r="G3409" s="35" t="s">
        <v>421</v>
      </c>
    </row>
    <row r="3410" spans="1:7">
      <c r="A3410" s="34">
        <v>2084031565</v>
      </c>
      <c r="B3410" s="35" t="s">
        <v>462</v>
      </c>
      <c r="C3410" s="35" t="s">
        <v>405</v>
      </c>
      <c r="D3410" s="35" t="s">
        <v>922</v>
      </c>
      <c r="E3410" s="35" t="s">
        <v>935</v>
      </c>
      <c r="F3410" s="35" t="s">
        <v>353</v>
      </c>
      <c r="G3410" s="35" t="s">
        <v>398</v>
      </c>
    </row>
    <row r="3411" spans="1:7">
      <c r="A3411" s="34">
        <v>2084030357</v>
      </c>
      <c r="B3411" s="35" t="s">
        <v>462</v>
      </c>
      <c r="C3411" s="35" t="s">
        <v>405</v>
      </c>
      <c r="D3411" s="35" t="s">
        <v>922</v>
      </c>
      <c r="E3411" s="35" t="s">
        <v>935</v>
      </c>
      <c r="F3411" s="35" t="s">
        <v>353</v>
      </c>
      <c r="G3411" s="35" t="s">
        <v>422</v>
      </c>
    </row>
    <row r="3412" spans="1:7">
      <c r="A3412" s="34">
        <v>2084053605</v>
      </c>
      <c r="B3412" s="35" t="s">
        <v>462</v>
      </c>
      <c r="C3412" s="35" t="s">
        <v>405</v>
      </c>
      <c r="D3412" s="35" t="s">
        <v>922</v>
      </c>
      <c r="E3412" s="35" t="s">
        <v>935</v>
      </c>
      <c r="F3412" s="35" t="s">
        <v>353</v>
      </c>
      <c r="G3412" s="35" t="s">
        <v>549</v>
      </c>
    </row>
    <row r="3413" spans="1:7">
      <c r="A3413" s="34">
        <v>2084050939</v>
      </c>
      <c r="B3413" s="35" t="s">
        <v>462</v>
      </c>
      <c r="C3413" s="35" t="s">
        <v>405</v>
      </c>
      <c r="D3413" s="35" t="s">
        <v>922</v>
      </c>
      <c r="E3413" s="35" t="s">
        <v>935</v>
      </c>
      <c r="F3413" s="35" t="s">
        <v>353</v>
      </c>
      <c r="G3413" s="35" t="s">
        <v>335</v>
      </c>
    </row>
    <row r="3414" spans="1:7">
      <c r="A3414" s="34">
        <v>2084048676</v>
      </c>
      <c r="B3414" s="35" t="s">
        <v>462</v>
      </c>
      <c r="C3414" s="35" t="s">
        <v>405</v>
      </c>
      <c r="D3414" s="35" t="s">
        <v>922</v>
      </c>
      <c r="E3414" s="35" t="s">
        <v>935</v>
      </c>
      <c r="F3414" s="35" t="s">
        <v>335</v>
      </c>
    </row>
    <row r="3415" spans="1:7">
      <c r="A3415" s="34">
        <v>2084283159</v>
      </c>
      <c r="B3415" s="35" t="s">
        <v>462</v>
      </c>
      <c r="C3415" s="35" t="s">
        <v>405</v>
      </c>
      <c r="D3415" s="35" t="s">
        <v>922</v>
      </c>
      <c r="E3415" s="35" t="s">
        <v>936</v>
      </c>
    </row>
    <row r="3416" spans="1:7">
      <c r="A3416" s="34">
        <v>2084238142</v>
      </c>
      <c r="B3416" s="35" t="s">
        <v>462</v>
      </c>
      <c r="C3416" s="35" t="s">
        <v>405</v>
      </c>
      <c r="D3416" s="35" t="s">
        <v>922</v>
      </c>
      <c r="E3416" s="35" t="s">
        <v>937</v>
      </c>
      <c r="F3416" s="35" t="s">
        <v>407</v>
      </c>
    </row>
    <row r="3417" spans="1:7">
      <c r="A3417" s="34">
        <v>2084238137</v>
      </c>
      <c r="B3417" s="35" t="s">
        <v>462</v>
      </c>
      <c r="C3417" s="35" t="s">
        <v>405</v>
      </c>
      <c r="D3417" s="35" t="s">
        <v>922</v>
      </c>
      <c r="E3417" s="35" t="s">
        <v>937</v>
      </c>
      <c r="F3417" s="35" t="s">
        <v>353</v>
      </c>
      <c r="G3417" s="35" t="s">
        <v>401</v>
      </c>
    </row>
    <row r="3418" spans="1:7">
      <c r="A3418" s="34">
        <v>2084238138</v>
      </c>
      <c r="B3418" s="35" t="s">
        <v>462</v>
      </c>
      <c r="C3418" s="35" t="s">
        <v>405</v>
      </c>
      <c r="D3418" s="35" t="s">
        <v>922</v>
      </c>
      <c r="E3418" s="35" t="s">
        <v>937</v>
      </c>
      <c r="F3418" s="35" t="s">
        <v>353</v>
      </c>
      <c r="G3418" s="35" t="s">
        <v>402</v>
      </c>
    </row>
    <row r="3419" spans="1:7">
      <c r="A3419" s="34">
        <v>2084238139</v>
      </c>
      <c r="B3419" s="35" t="s">
        <v>462</v>
      </c>
      <c r="C3419" s="35" t="s">
        <v>405</v>
      </c>
      <c r="D3419" s="35" t="s">
        <v>922</v>
      </c>
      <c r="E3419" s="35" t="s">
        <v>937</v>
      </c>
      <c r="F3419" s="35" t="s">
        <v>353</v>
      </c>
      <c r="G3419" s="35" t="s">
        <v>403</v>
      </c>
    </row>
    <row r="3420" spans="1:7">
      <c r="A3420" s="34">
        <v>2084238140</v>
      </c>
      <c r="B3420" s="35" t="s">
        <v>462</v>
      </c>
      <c r="C3420" s="35" t="s">
        <v>405</v>
      </c>
      <c r="D3420" s="35" t="s">
        <v>922</v>
      </c>
      <c r="E3420" s="35" t="s">
        <v>937</v>
      </c>
      <c r="F3420" s="35" t="s">
        <v>353</v>
      </c>
      <c r="G3420" s="35" t="s">
        <v>335</v>
      </c>
    </row>
    <row r="3421" spans="1:7">
      <c r="A3421" s="34">
        <v>2084238141</v>
      </c>
      <c r="B3421" s="35" t="s">
        <v>462</v>
      </c>
      <c r="C3421" s="35" t="s">
        <v>405</v>
      </c>
      <c r="D3421" s="35" t="s">
        <v>922</v>
      </c>
      <c r="E3421" s="35" t="s">
        <v>937</v>
      </c>
      <c r="F3421" s="35" t="s">
        <v>335</v>
      </c>
    </row>
    <row r="3422" spans="1:7">
      <c r="A3422" s="34">
        <v>2084308685</v>
      </c>
      <c r="B3422" s="35" t="s">
        <v>462</v>
      </c>
      <c r="C3422" s="35" t="s">
        <v>405</v>
      </c>
      <c r="D3422" s="35" t="s">
        <v>922</v>
      </c>
      <c r="E3422" s="35" t="s">
        <v>938</v>
      </c>
      <c r="F3422" s="35" t="s">
        <v>475</v>
      </c>
    </row>
    <row r="3423" spans="1:7">
      <c r="A3423" s="34">
        <v>2084308686</v>
      </c>
      <c r="B3423" s="35" t="s">
        <v>462</v>
      </c>
      <c r="C3423" s="35" t="s">
        <v>405</v>
      </c>
      <c r="D3423" s="35" t="s">
        <v>922</v>
      </c>
      <c r="E3423" s="35" t="s">
        <v>938</v>
      </c>
      <c r="F3423" s="35" t="s">
        <v>367</v>
      </c>
    </row>
    <row r="3424" spans="1:7">
      <c r="A3424" s="34">
        <v>2084308687</v>
      </c>
      <c r="B3424" s="35" t="s">
        <v>462</v>
      </c>
      <c r="C3424" s="35" t="s">
        <v>405</v>
      </c>
      <c r="D3424" s="35" t="s">
        <v>922</v>
      </c>
      <c r="E3424" s="35" t="s">
        <v>938</v>
      </c>
      <c r="F3424" s="35" t="s">
        <v>401</v>
      </c>
    </row>
    <row r="3425" spans="1:6">
      <c r="A3425" s="34">
        <v>2084308688</v>
      </c>
      <c r="B3425" s="35" t="s">
        <v>462</v>
      </c>
      <c r="C3425" s="35" t="s">
        <v>405</v>
      </c>
      <c r="D3425" s="35" t="s">
        <v>922</v>
      </c>
      <c r="E3425" s="35" t="s">
        <v>938</v>
      </c>
      <c r="F3425" s="35" t="s">
        <v>402</v>
      </c>
    </row>
    <row r="3426" spans="1:6">
      <c r="A3426" s="34">
        <v>2084308690</v>
      </c>
      <c r="B3426" s="35" t="s">
        <v>462</v>
      </c>
      <c r="C3426" s="35" t="s">
        <v>405</v>
      </c>
      <c r="D3426" s="35" t="s">
        <v>922</v>
      </c>
      <c r="E3426" s="35" t="s">
        <v>938</v>
      </c>
      <c r="F3426" s="35" t="s">
        <v>476</v>
      </c>
    </row>
    <row r="3427" spans="1:6">
      <c r="A3427" s="34">
        <v>2084308689</v>
      </c>
      <c r="B3427" s="35" t="s">
        <v>462</v>
      </c>
      <c r="C3427" s="35" t="s">
        <v>405</v>
      </c>
      <c r="D3427" s="35" t="s">
        <v>922</v>
      </c>
      <c r="E3427" s="35" t="s">
        <v>938</v>
      </c>
      <c r="F3427" s="35" t="s">
        <v>477</v>
      </c>
    </row>
    <row r="3428" spans="1:6">
      <c r="A3428" s="34">
        <v>2084308691</v>
      </c>
      <c r="B3428" s="35" t="s">
        <v>462</v>
      </c>
      <c r="C3428" s="35" t="s">
        <v>405</v>
      </c>
      <c r="D3428" s="35" t="s">
        <v>922</v>
      </c>
      <c r="E3428" s="35" t="s">
        <v>938</v>
      </c>
      <c r="F3428" s="35" t="s">
        <v>478</v>
      </c>
    </row>
    <row r="3429" spans="1:6">
      <c r="A3429" s="34">
        <v>2084308693</v>
      </c>
      <c r="B3429" s="35" t="s">
        <v>462</v>
      </c>
      <c r="C3429" s="35" t="s">
        <v>405</v>
      </c>
      <c r="D3429" s="35" t="s">
        <v>922</v>
      </c>
      <c r="E3429" s="35" t="s">
        <v>938</v>
      </c>
      <c r="F3429" s="35" t="s">
        <v>484</v>
      </c>
    </row>
    <row r="3430" spans="1:6">
      <c r="A3430" s="34">
        <v>2084308692</v>
      </c>
      <c r="B3430" s="35" t="s">
        <v>462</v>
      </c>
      <c r="C3430" s="35" t="s">
        <v>405</v>
      </c>
      <c r="D3430" s="35" t="s">
        <v>922</v>
      </c>
      <c r="E3430" s="35" t="s">
        <v>938</v>
      </c>
      <c r="F3430" s="35" t="s">
        <v>335</v>
      </c>
    </row>
    <row r="3431" spans="1:6">
      <c r="A3431" s="34">
        <v>2084308622</v>
      </c>
      <c r="B3431" s="35" t="s">
        <v>462</v>
      </c>
      <c r="C3431" s="35" t="s">
        <v>405</v>
      </c>
      <c r="D3431" s="35" t="s">
        <v>922</v>
      </c>
      <c r="E3431" s="35" t="s">
        <v>939</v>
      </c>
      <c r="F3431" s="35" t="s">
        <v>475</v>
      </c>
    </row>
    <row r="3432" spans="1:6">
      <c r="A3432" s="34">
        <v>2084308631</v>
      </c>
      <c r="B3432" s="35" t="s">
        <v>462</v>
      </c>
      <c r="C3432" s="35" t="s">
        <v>405</v>
      </c>
      <c r="D3432" s="35" t="s">
        <v>922</v>
      </c>
      <c r="E3432" s="35" t="s">
        <v>939</v>
      </c>
      <c r="F3432" s="35" t="s">
        <v>504</v>
      </c>
    </row>
    <row r="3433" spans="1:6">
      <c r="A3433" s="34">
        <v>2084308623</v>
      </c>
      <c r="B3433" s="35" t="s">
        <v>462</v>
      </c>
      <c r="C3433" s="35" t="s">
        <v>405</v>
      </c>
      <c r="D3433" s="35" t="s">
        <v>922</v>
      </c>
      <c r="E3433" s="35" t="s">
        <v>939</v>
      </c>
      <c r="F3433" s="35" t="s">
        <v>367</v>
      </c>
    </row>
    <row r="3434" spans="1:6">
      <c r="A3434" s="34">
        <v>2084308624</v>
      </c>
      <c r="B3434" s="35" t="s">
        <v>462</v>
      </c>
      <c r="C3434" s="35" t="s">
        <v>405</v>
      </c>
      <c r="D3434" s="35" t="s">
        <v>922</v>
      </c>
      <c r="E3434" s="35" t="s">
        <v>939</v>
      </c>
      <c r="F3434" s="35" t="s">
        <v>401</v>
      </c>
    </row>
    <row r="3435" spans="1:6">
      <c r="A3435" s="34">
        <v>2084308625</v>
      </c>
      <c r="B3435" s="35" t="s">
        <v>462</v>
      </c>
      <c r="C3435" s="35" t="s">
        <v>405</v>
      </c>
      <c r="D3435" s="35" t="s">
        <v>922</v>
      </c>
      <c r="E3435" s="35" t="s">
        <v>939</v>
      </c>
      <c r="F3435" s="35" t="s">
        <v>402</v>
      </c>
    </row>
    <row r="3436" spans="1:6">
      <c r="A3436" s="34">
        <v>2084308627</v>
      </c>
      <c r="B3436" s="35" t="s">
        <v>462</v>
      </c>
      <c r="C3436" s="35" t="s">
        <v>405</v>
      </c>
      <c r="D3436" s="35" t="s">
        <v>922</v>
      </c>
      <c r="E3436" s="35" t="s">
        <v>939</v>
      </c>
      <c r="F3436" s="35" t="s">
        <v>476</v>
      </c>
    </row>
    <row r="3437" spans="1:6">
      <c r="A3437" s="34">
        <v>2084308626</v>
      </c>
      <c r="B3437" s="35" t="s">
        <v>462</v>
      </c>
      <c r="C3437" s="35" t="s">
        <v>405</v>
      </c>
      <c r="D3437" s="35" t="s">
        <v>922</v>
      </c>
      <c r="E3437" s="35" t="s">
        <v>939</v>
      </c>
      <c r="F3437" s="35" t="s">
        <v>477</v>
      </c>
    </row>
    <row r="3438" spans="1:6">
      <c r="A3438" s="34">
        <v>2084308628</v>
      </c>
      <c r="B3438" s="35" t="s">
        <v>462</v>
      </c>
      <c r="C3438" s="35" t="s">
        <v>405</v>
      </c>
      <c r="D3438" s="35" t="s">
        <v>922</v>
      </c>
      <c r="E3438" s="35" t="s">
        <v>939</v>
      </c>
      <c r="F3438" s="35" t="s">
        <v>478</v>
      </c>
    </row>
    <row r="3439" spans="1:6">
      <c r="A3439" s="34">
        <v>2084308630</v>
      </c>
      <c r="B3439" s="35" t="s">
        <v>462</v>
      </c>
      <c r="C3439" s="35" t="s">
        <v>405</v>
      </c>
      <c r="D3439" s="35" t="s">
        <v>922</v>
      </c>
      <c r="E3439" s="35" t="s">
        <v>939</v>
      </c>
      <c r="F3439" s="35" t="s">
        <v>484</v>
      </c>
    </row>
    <row r="3440" spans="1:6">
      <c r="A3440" s="34">
        <v>2084308629</v>
      </c>
      <c r="B3440" s="35" t="s">
        <v>462</v>
      </c>
      <c r="C3440" s="35" t="s">
        <v>405</v>
      </c>
      <c r="D3440" s="35" t="s">
        <v>922</v>
      </c>
      <c r="E3440" s="35" t="s">
        <v>939</v>
      </c>
      <c r="F3440" s="35" t="s">
        <v>335</v>
      </c>
    </row>
    <row r="3441" spans="1:7">
      <c r="A3441" s="34">
        <v>2084056171</v>
      </c>
      <c r="B3441" s="35" t="s">
        <v>462</v>
      </c>
      <c r="C3441" s="35" t="s">
        <v>405</v>
      </c>
      <c r="D3441" s="35" t="s">
        <v>922</v>
      </c>
      <c r="E3441" s="35" t="s">
        <v>940</v>
      </c>
      <c r="F3441" s="35" t="s">
        <v>367</v>
      </c>
    </row>
    <row r="3442" spans="1:7">
      <c r="A3442" s="34">
        <v>2084056174</v>
      </c>
      <c r="B3442" s="35" t="s">
        <v>462</v>
      </c>
      <c r="C3442" s="35" t="s">
        <v>405</v>
      </c>
      <c r="D3442" s="35" t="s">
        <v>922</v>
      </c>
      <c r="E3442" s="35" t="s">
        <v>940</v>
      </c>
      <c r="F3442" s="35" t="s">
        <v>368</v>
      </c>
      <c r="G3442" s="35" t="s">
        <v>481</v>
      </c>
    </row>
    <row r="3443" spans="1:7">
      <c r="A3443" s="34">
        <v>2084056173</v>
      </c>
      <c r="B3443" s="35" t="s">
        <v>462</v>
      </c>
      <c r="C3443" s="35" t="s">
        <v>405</v>
      </c>
      <c r="D3443" s="35" t="s">
        <v>922</v>
      </c>
      <c r="E3443" s="35" t="s">
        <v>940</v>
      </c>
      <c r="F3443" s="35" t="s">
        <v>368</v>
      </c>
      <c r="G3443" s="35" t="s">
        <v>482</v>
      </c>
    </row>
    <row r="3444" spans="1:7">
      <c r="A3444" s="34">
        <v>2084056175</v>
      </c>
      <c r="B3444" s="35" t="s">
        <v>462</v>
      </c>
      <c r="C3444" s="35" t="s">
        <v>405</v>
      </c>
      <c r="D3444" s="35" t="s">
        <v>922</v>
      </c>
      <c r="E3444" s="35" t="s">
        <v>940</v>
      </c>
      <c r="F3444" s="35" t="s">
        <v>368</v>
      </c>
      <c r="G3444" s="35" t="s">
        <v>335</v>
      </c>
    </row>
    <row r="3445" spans="1:7">
      <c r="A3445" s="34">
        <v>2084056181</v>
      </c>
      <c r="B3445" s="35" t="s">
        <v>462</v>
      </c>
      <c r="C3445" s="35" t="s">
        <v>405</v>
      </c>
      <c r="D3445" s="35" t="s">
        <v>922</v>
      </c>
      <c r="E3445" s="35" t="s">
        <v>940</v>
      </c>
      <c r="F3445" s="35" t="s">
        <v>10</v>
      </c>
      <c r="G3445" s="35" t="s">
        <v>483</v>
      </c>
    </row>
    <row r="3446" spans="1:7">
      <c r="A3446" s="34">
        <v>2084056178</v>
      </c>
      <c r="B3446" s="35" t="s">
        <v>462</v>
      </c>
      <c r="C3446" s="35" t="s">
        <v>405</v>
      </c>
      <c r="D3446" s="35" t="s">
        <v>922</v>
      </c>
      <c r="E3446" s="35" t="s">
        <v>940</v>
      </c>
      <c r="F3446" s="35" t="s">
        <v>10</v>
      </c>
      <c r="G3446" s="35" t="s">
        <v>397</v>
      </c>
    </row>
    <row r="3447" spans="1:7">
      <c r="A3447" s="34">
        <v>2084056180</v>
      </c>
      <c r="B3447" s="35" t="s">
        <v>462</v>
      </c>
      <c r="C3447" s="35" t="s">
        <v>405</v>
      </c>
      <c r="D3447" s="35" t="s">
        <v>922</v>
      </c>
      <c r="E3447" s="35" t="s">
        <v>940</v>
      </c>
      <c r="F3447" s="35" t="s">
        <v>10</v>
      </c>
      <c r="G3447" s="35" t="s">
        <v>421</v>
      </c>
    </row>
    <row r="3448" spans="1:7">
      <c r="A3448" s="34">
        <v>2084056177</v>
      </c>
      <c r="B3448" s="35" t="s">
        <v>462</v>
      </c>
      <c r="C3448" s="35" t="s">
        <v>405</v>
      </c>
      <c r="D3448" s="35" t="s">
        <v>922</v>
      </c>
      <c r="E3448" s="35" t="s">
        <v>940</v>
      </c>
      <c r="F3448" s="35" t="s">
        <v>10</v>
      </c>
      <c r="G3448" s="35" t="s">
        <v>398</v>
      </c>
    </row>
    <row r="3449" spans="1:7">
      <c r="A3449" s="34">
        <v>2084056179</v>
      </c>
      <c r="B3449" s="35" t="s">
        <v>462</v>
      </c>
      <c r="C3449" s="35" t="s">
        <v>405</v>
      </c>
      <c r="D3449" s="35" t="s">
        <v>922</v>
      </c>
      <c r="E3449" s="35" t="s">
        <v>940</v>
      </c>
      <c r="F3449" s="35" t="s">
        <v>10</v>
      </c>
      <c r="G3449" s="35" t="s">
        <v>422</v>
      </c>
    </row>
    <row r="3450" spans="1:7">
      <c r="A3450" s="34">
        <v>2084056182</v>
      </c>
      <c r="B3450" s="35" t="s">
        <v>462</v>
      </c>
      <c r="C3450" s="35" t="s">
        <v>405</v>
      </c>
      <c r="D3450" s="35" t="s">
        <v>922</v>
      </c>
      <c r="E3450" s="35" t="s">
        <v>940</v>
      </c>
      <c r="F3450" s="35" t="s">
        <v>10</v>
      </c>
      <c r="G3450" s="35" t="s">
        <v>335</v>
      </c>
    </row>
    <row r="3451" spans="1:7">
      <c r="A3451" s="34">
        <v>2084056184</v>
      </c>
      <c r="B3451" s="35" t="s">
        <v>462</v>
      </c>
      <c r="C3451" s="35" t="s">
        <v>405</v>
      </c>
      <c r="D3451" s="35" t="s">
        <v>922</v>
      </c>
      <c r="E3451" s="35" t="s">
        <v>940</v>
      </c>
      <c r="F3451" s="35" t="s">
        <v>379</v>
      </c>
      <c r="G3451" s="35" t="s">
        <v>476</v>
      </c>
    </row>
    <row r="3452" spans="1:7">
      <c r="A3452" s="34">
        <v>2084056185</v>
      </c>
      <c r="B3452" s="35" t="s">
        <v>462</v>
      </c>
      <c r="C3452" s="35" t="s">
        <v>405</v>
      </c>
      <c r="D3452" s="35" t="s">
        <v>922</v>
      </c>
      <c r="E3452" s="35" t="s">
        <v>940</v>
      </c>
      <c r="F3452" s="35" t="s">
        <v>379</v>
      </c>
      <c r="G3452" s="35" t="s">
        <v>335</v>
      </c>
    </row>
    <row r="3453" spans="1:7">
      <c r="A3453" s="34">
        <v>2084061455</v>
      </c>
      <c r="B3453" s="35" t="s">
        <v>462</v>
      </c>
      <c r="C3453" s="35" t="s">
        <v>405</v>
      </c>
      <c r="D3453" s="35" t="s">
        <v>922</v>
      </c>
      <c r="E3453" s="35" t="s">
        <v>940</v>
      </c>
      <c r="F3453" s="35" t="s">
        <v>478</v>
      </c>
    </row>
    <row r="3454" spans="1:7">
      <c r="A3454" s="34">
        <v>2084056186</v>
      </c>
      <c r="B3454" s="35" t="s">
        <v>462</v>
      </c>
      <c r="C3454" s="35" t="s">
        <v>405</v>
      </c>
      <c r="D3454" s="35" t="s">
        <v>922</v>
      </c>
      <c r="E3454" s="35" t="s">
        <v>940</v>
      </c>
      <c r="F3454" s="35" t="s">
        <v>335</v>
      </c>
    </row>
    <row r="3455" spans="1:7">
      <c r="A3455" s="34">
        <v>2084289443</v>
      </c>
      <c r="B3455" s="35" t="s">
        <v>462</v>
      </c>
      <c r="C3455" s="35" t="s">
        <v>405</v>
      </c>
      <c r="D3455" s="35" t="s">
        <v>922</v>
      </c>
      <c r="E3455" s="35" t="s">
        <v>941</v>
      </c>
      <c r="F3455" s="35" t="s">
        <v>407</v>
      </c>
    </row>
    <row r="3456" spans="1:7">
      <c r="A3456" s="34">
        <v>2084289442</v>
      </c>
      <c r="B3456" s="35" t="s">
        <v>462</v>
      </c>
      <c r="C3456" s="35" t="s">
        <v>405</v>
      </c>
      <c r="D3456" s="35" t="s">
        <v>922</v>
      </c>
      <c r="E3456" s="35" t="s">
        <v>941</v>
      </c>
      <c r="F3456" s="35" t="s">
        <v>408</v>
      </c>
    </row>
    <row r="3457" spans="1:7">
      <c r="A3457" s="34">
        <v>2084301233</v>
      </c>
      <c r="B3457" s="35" t="s">
        <v>462</v>
      </c>
      <c r="C3457" s="35" t="s">
        <v>405</v>
      </c>
      <c r="D3457" s="35" t="s">
        <v>922</v>
      </c>
      <c r="E3457" s="35" t="s">
        <v>942</v>
      </c>
      <c r="F3457" s="35" t="s">
        <v>335</v>
      </c>
    </row>
    <row r="3458" spans="1:7">
      <c r="A3458" s="34">
        <v>2084205584</v>
      </c>
      <c r="B3458" s="35" t="s">
        <v>462</v>
      </c>
      <c r="C3458" s="35" t="s">
        <v>405</v>
      </c>
      <c r="D3458" s="35" t="s">
        <v>922</v>
      </c>
      <c r="E3458" s="35" t="s">
        <v>943</v>
      </c>
    </row>
    <row r="3459" spans="1:7">
      <c r="A3459" s="34">
        <v>2084212670</v>
      </c>
      <c r="B3459" s="35" t="s">
        <v>462</v>
      </c>
      <c r="C3459" s="35" t="s">
        <v>405</v>
      </c>
      <c r="D3459" s="35" t="s">
        <v>922</v>
      </c>
      <c r="E3459" s="35" t="s">
        <v>944</v>
      </c>
      <c r="F3459" s="35" t="s">
        <v>484</v>
      </c>
    </row>
    <row r="3460" spans="1:7">
      <c r="A3460" s="34">
        <v>2084212671</v>
      </c>
      <c r="B3460" s="35" t="s">
        <v>462</v>
      </c>
      <c r="C3460" s="35" t="s">
        <v>405</v>
      </c>
      <c r="D3460" s="35" t="s">
        <v>922</v>
      </c>
      <c r="E3460" s="35" t="s">
        <v>944</v>
      </c>
      <c r="F3460" s="35" t="s">
        <v>335</v>
      </c>
    </row>
    <row r="3461" spans="1:7">
      <c r="A3461" s="34">
        <v>2084050237</v>
      </c>
      <c r="B3461" s="35" t="s">
        <v>462</v>
      </c>
      <c r="C3461" s="35" t="s">
        <v>405</v>
      </c>
      <c r="D3461" s="35" t="s">
        <v>922</v>
      </c>
      <c r="E3461" s="35" t="s">
        <v>945</v>
      </c>
    </row>
    <row r="3462" spans="1:7">
      <c r="A3462" s="34">
        <v>2084315872</v>
      </c>
      <c r="B3462" s="35" t="s">
        <v>462</v>
      </c>
      <c r="C3462" s="35" t="s">
        <v>405</v>
      </c>
      <c r="D3462" s="35" t="s">
        <v>922</v>
      </c>
      <c r="E3462" s="35" t="s">
        <v>946</v>
      </c>
      <c r="F3462" s="35" t="s">
        <v>407</v>
      </c>
    </row>
    <row r="3463" spans="1:7">
      <c r="A3463" s="34">
        <v>2084315873</v>
      </c>
      <c r="B3463" s="35" t="s">
        <v>462</v>
      </c>
      <c r="C3463" s="35" t="s">
        <v>405</v>
      </c>
      <c r="D3463" s="35" t="s">
        <v>922</v>
      </c>
      <c r="E3463" s="35" t="s">
        <v>946</v>
      </c>
      <c r="F3463" s="35" t="s">
        <v>408</v>
      </c>
    </row>
    <row r="3464" spans="1:7">
      <c r="A3464" s="34">
        <v>2084303232</v>
      </c>
      <c r="B3464" s="35" t="s">
        <v>462</v>
      </c>
      <c r="C3464" s="35" t="s">
        <v>405</v>
      </c>
      <c r="D3464" s="35" t="s">
        <v>922</v>
      </c>
      <c r="E3464" s="35" t="s">
        <v>947</v>
      </c>
    </row>
    <row r="3465" spans="1:7">
      <c r="A3465" s="34">
        <v>2084048675</v>
      </c>
      <c r="B3465" s="35" t="s">
        <v>462</v>
      </c>
      <c r="C3465" s="35" t="s">
        <v>405</v>
      </c>
      <c r="D3465" s="35" t="s">
        <v>922</v>
      </c>
      <c r="E3465" s="35" t="s">
        <v>948</v>
      </c>
      <c r="F3465" s="35" t="s">
        <v>335</v>
      </c>
    </row>
    <row r="3466" spans="1:7">
      <c r="A3466" s="34">
        <v>2084036310</v>
      </c>
      <c r="B3466" s="35" t="s">
        <v>462</v>
      </c>
      <c r="C3466" s="35" t="s">
        <v>405</v>
      </c>
      <c r="D3466" s="35" t="s">
        <v>922</v>
      </c>
      <c r="E3466" s="35" t="s">
        <v>949</v>
      </c>
      <c r="F3466" s="35" t="s">
        <v>587</v>
      </c>
      <c r="G3466" s="35" t="s">
        <v>907</v>
      </c>
    </row>
    <row r="3467" spans="1:7">
      <c r="A3467" s="34">
        <v>2084036311</v>
      </c>
      <c r="B3467" s="35" t="s">
        <v>462</v>
      </c>
      <c r="C3467" s="35" t="s">
        <v>405</v>
      </c>
      <c r="D3467" s="35" t="s">
        <v>922</v>
      </c>
      <c r="E3467" s="35" t="s">
        <v>949</v>
      </c>
      <c r="F3467" s="35" t="s">
        <v>587</v>
      </c>
      <c r="G3467" s="35" t="s">
        <v>950</v>
      </c>
    </row>
    <row r="3468" spans="1:7">
      <c r="A3468" s="34">
        <v>2084036312</v>
      </c>
      <c r="B3468" s="35" t="s">
        <v>462</v>
      </c>
      <c r="C3468" s="35" t="s">
        <v>405</v>
      </c>
      <c r="D3468" s="35" t="s">
        <v>922</v>
      </c>
      <c r="E3468" s="35" t="s">
        <v>949</v>
      </c>
      <c r="F3468" s="35" t="s">
        <v>587</v>
      </c>
      <c r="G3468" s="35" t="s">
        <v>951</v>
      </c>
    </row>
    <row r="3469" spans="1:7">
      <c r="A3469" s="34">
        <v>2084036314</v>
      </c>
      <c r="B3469" s="35" t="s">
        <v>462</v>
      </c>
      <c r="C3469" s="35" t="s">
        <v>405</v>
      </c>
      <c r="D3469" s="35" t="s">
        <v>922</v>
      </c>
      <c r="E3469" s="35" t="s">
        <v>949</v>
      </c>
      <c r="F3469" s="35" t="s">
        <v>587</v>
      </c>
      <c r="G3469" s="35" t="s">
        <v>857</v>
      </c>
    </row>
    <row r="3470" spans="1:7">
      <c r="A3470" s="34">
        <v>2084036315</v>
      </c>
      <c r="B3470" s="35" t="s">
        <v>462</v>
      </c>
      <c r="C3470" s="35" t="s">
        <v>405</v>
      </c>
      <c r="D3470" s="35" t="s">
        <v>922</v>
      </c>
      <c r="E3470" s="35" t="s">
        <v>949</v>
      </c>
      <c r="F3470" s="35" t="s">
        <v>587</v>
      </c>
      <c r="G3470" s="35" t="s">
        <v>910</v>
      </c>
    </row>
    <row r="3471" spans="1:7">
      <c r="A3471" s="34">
        <v>2084036316</v>
      </c>
      <c r="B3471" s="35" t="s">
        <v>462</v>
      </c>
      <c r="C3471" s="35" t="s">
        <v>405</v>
      </c>
      <c r="D3471" s="35" t="s">
        <v>922</v>
      </c>
      <c r="E3471" s="35" t="s">
        <v>949</v>
      </c>
      <c r="F3471" s="35" t="s">
        <v>587</v>
      </c>
      <c r="G3471" s="35" t="s">
        <v>911</v>
      </c>
    </row>
    <row r="3472" spans="1:7">
      <c r="A3472" s="34">
        <v>2084036317</v>
      </c>
      <c r="B3472" s="35" t="s">
        <v>462</v>
      </c>
      <c r="C3472" s="35" t="s">
        <v>405</v>
      </c>
      <c r="D3472" s="35" t="s">
        <v>922</v>
      </c>
      <c r="E3472" s="35" t="s">
        <v>949</v>
      </c>
      <c r="F3472" s="35" t="s">
        <v>587</v>
      </c>
      <c r="G3472" s="35" t="s">
        <v>859</v>
      </c>
    </row>
    <row r="3473" spans="1:8">
      <c r="A3473" s="34">
        <v>2084036318</v>
      </c>
      <c r="B3473" s="35" t="s">
        <v>462</v>
      </c>
      <c r="C3473" s="35" t="s">
        <v>405</v>
      </c>
      <c r="D3473" s="35" t="s">
        <v>922</v>
      </c>
      <c r="E3473" s="35" t="s">
        <v>949</v>
      </c>
      <c r="F3473" s="35" t="s">
        <v>587</v>
      </c>
      <c r="G3473" s="35" t="s">
        <v>952</v>
      </c>
    </row>
    <row r="3474" spans="1:8">
      <c r="A3474" s="34">
        <v>2084036313</v>
      </c>
      <c r="B3474" s="35" t="s">
        <v>462</v>
      </c>
      <c r="C3474" s="35" t="s">
        <v>405</v>
      </c>
      <c r="D3474" s="35" t="s">
        <v>922</v>
      </c>
      <c r="E3474" s="35" t="s">
        <v>949</v>
      </c>
      <c r="F3474" s="35" t="s">
        <v>587</v>
      </c>
      <c r="G3474" s="35" t="s">
        <v>953</v>
      </c>
    </row>
    <row r="3475" spans="1:8">
      <c r="A3475" s="34">
        <v>2084036319</v>
      </c>
      <c r="B3475" s="35" t="s">
        <v>462</v>
      </c>
      <c r="C3475" s="35" t="s">
        <v>405</v>
      </c>
      <c r="D3475" s="35" t="s">
        <v>922</v>
      </c>
      <c r="E3475" s="35" t="s">
        <v>949</v>
      </c>
      <c r="F3475" s="35" t="s">
        <v>587</v>
      </c>
      <c r="G3475" s="35" t="s">
        <v>335</v>
      </c>
    </row>
    <row r="3476" spans="1:8">
      <c r="A3476" s="34">
        <v>2084286939</v>
      </c>
      <c r="B3476" s="35" t="s">
        <v>462</v>
      </c>
      <c r="C3476" s="35" t="s">
        <v>405</v>
      </c>
      <c r="D3476" s="35" t="s">
        <v>922</v>
      </c>
      <c r="E3476" s="35" t="s">
        <v>949</v>
      </c>
      <c r="F3476" s="35" t="s">
        <v>611</v>
      </c>
      <c r="G3476" s="35" t="s">
        <v>390</v>
      </c>
      <c r="H3476" s="35" t="s">
        <v>788</v>
      </c>
    </row>
    <row r="3477" spans="1:8">
      <c r="A3477" s="34">
        <v>2084286940</v>
      </c>
      <c r="B3477" s="35" t="s">
        <v>462</v>
      </c>
      <c r="C3477" s="35" t="s">
        <v>405</v>
      </c>
      <c r="D3477" s="35" t="s">
        <v>922</v>
      </c>
      <c r="E3477" s="35" t="s">
        <v>949</v>
      </c>
      <c r="F3477" s="35" t="s">
        <v>611</v>
      </c>
      <c r="G3477" s="35" t="s">
        <v>390</v>
      </c>
      <c r="H3477" s="35" t="s">
        <v>789</v>
      </c>
    </row>
    <row r="3478" spans="1:8">
      <c r="A3478" s="34">
        <v>2084286941</v>
      </c>
      <c r="B3478" s="35" t="s">
        <v>462</v>
      </c>
      <c r="C3478" s="35" t="s">
        <v>405</v>
      </c>
      <c r="D3478" s="35" t="s">
        <v>922</v>
      </c>
      <c r="E3478" s="35" t="s">
        <v>949</v>
      </c>
      <c r="F3478" s="35" t="s">
        <v>611</v>
      </c>
      <c r="G3478" s="35" t="s">
        <v>390</v>
      </c>
      <c r="H3478" s="35" t="s">
        <v>790</v>
      </c>
    </row>
    <row r="3479" spans="1:8">
      <c r="A3479" s="34">
        <v>2084286942</v>
      </c>
      <c r="B3479" s="35" t="s">
        <v>462</v>
      </c>
      <c r="C3479" s="35" t="s">
        <v>405</v>
      </c>
      <c r="D3479" s="35" t="s">
        <v>922</v>
      </c>
      <c r="E3479" s="35" t="s">
        <v>949</v>
      </c>
      <c r="F3479" s="35" t="s">
        <v>611</v>
      </c>
      <c r="G3479" s="35" t="s">
        <v>390</v>
      </c>
      <c r="H3479" s="35" t="s">
        <v>791</v>
      </c>
    </row>
    <row r="3480" spans="1:8">
      <c r="A3480" s="34">
        <v>2084286943</v>
      </c>
      <c r="B3480" s="35" t="s">
        <v>462</v>
      </c>
      <c r="C3480" s="35" t="s">
        <v>405</v>
      </c>
      <c r="D3480" s="35" t="s">
        <v>922</v>
      </c>
      <c r="E3480" s="35" t="s">
        <v>949</v>
      </c>
      <c r="F3480" s="35" t="s">
        <v>611</v>
      </c>
      <c r="G3480" s="35" t="s">
        <v>390</v>
      </c>
      <c r="H3480" s="35" t="s">
        <v>792</v>
      </c>
    </row>
    <row r="3481" spans="1:8">
      <c r="A3481" s="34">
        <v>2084286944</v>
      </c>
      <c r="B3481" s="35" t="s">
        <v>462</v>
      </c>
      <c r="C3481" s="35" t="s">
        <v>405</v>
      </c>
      <c r="D3481" s="35" t="s">
        <v>922</v>
      </c>
      <c r="E3481" s="35" t="s">
        <v>949</v>
      </c>
      <c r="F3481" s="35" t="s">
        <v>611</v>
      </c>
      <c r="G3481" s="35" t="s">
        <v>390</v>
      </c>
      <c r="H3481" s="35" t="s">
        <v>793</v>
      </c>
    </row>
    <row r="3482" spans="1:8">
      <c r="A3482" s="34">
        <v>2084286945</v>
      </c>
      <c r="B3482" s="35" t="s">
        <v>462</v>
      </c>
      <c r="C3482" s="35" t="s">
        <v>405</v>
      </c>
      <c r="D3482" s="35" t="s">
        <v>922</v>
      </c>
      <c r="E3482" s="35" t="s">
        <v>949</v>
      </c>
      <c r="F3482" s="35" t="s">
        <v>611</v>
      </c>
      <c r="G3482" s="35" t="s">
        <v>390</v>
      </c>
      <c r="H3482" s="35" t="s">
        <v>794</v>
      </c>
    </row>
    <row r="3483" spans="1:8">
      <c r="A3483" s="34">
        <v>2084286938</v>
      </c>
      <c r="B3483" s="35" t="s">
        <v>462</v>
      </c>
      <c r="C3483" s="35" t="s">
        <v>405</v>
      </c>
      <c r="D3483" s="35" t="s">
        <v>922</v>
      </c>
      <c r="E3483" s="35" t="s">
        <v>949</v>
      </c>
      <c r="F3483" s="35" t="s">
        <v>611</v>
      </c>
      <c r="G3483" s="35" t="s">
        <v>408</v>
      </c>
    </row>
    <row r="3484" spans="1:8">
      <c r="A3484" s="34">
        <v>2084217266</v>
      </c>
      <c r="B3484" s="35" t="s">
        <v>462</v>
      </c>
      <c r="C3484" s="35" t="s">
        <v>405</v>
      </c>
      <c r="D3484" s="35" t="s">
        <v>922</v>
      </c>
      <c r="E3484" s="35" t="s">
        <v>949</v>
      </c>
      <c r="F3484" s="35" t="s">
        <v>390</v>
      </c>
      <c r="G3484" s="35" t="s">
        <v>954</v>
      </c>
      <c r="H3484" s="35" t="s">
        <v>827</v>
      </c>
    </row>
    <row r="3485" spans="1:8">
      <c r="A3485" s="34">
        <v>2084217267</v>
      </c>
      <c r="B3485" s="35" t="s">
        <v>462</v>
      </c>
      <c r="C3485" s="35" t="s">
        <v>405</v>
      </c>
      <c r="D3485" s="35" t="s">
        <v>922</v>
      </c>
      <c r="E3485" s="35" t="s">
        <v>949</v>
      </c>
      <c r="F3485" s="35" t="s">
        <v>390</v>
      </c>
      <c r="G3485" s="35" t="s">
        <v>954</v>
      </c>
      <c r="H3485" s="35">
        <v>36</v>
      </c>
    </row>
    <row r="3486" spans="1:8">
      <c r="A3486" s="34">
        <v>2084217268</v>
      </c>
      <c r="B3486" s="35" t="s">
        <v>462</v>
      </c>
      <c r="C3486" s="35" t="s">
        <v>405</v>
      </c>
      <c r="D3486" s="35" t="s">
        <v>922</v>
      </c>
      <c r="E3486" s="35" t="s">
        <v>949</v>
      </c>
      <c r="F3486" s="35" t="s">
        <v>390</v>
      </c>
      <c r="G3486" s="35" t="s">
        <v>954</v>
      </c>
      <c r="H3486" s="35">
        <v>38</v>
      </c>
    </row>
    <row r="3487" spans="1:8">
      <c r="A3487" s="34">
        <v>2084217269</v>
      </c>
      <c r="B3487" s="35" t="s">
        <v>462</v>
      </c>
      <c r="C3487" s="35" t="s">
        <v>405</v>
      </c>
      <c r="D3487" s="35" t="s">
        <v>922</v>
      </c>
      <c r="E3487" s="35" t="s">
        <v>949</v>
      </c>
      <c r="F3487" s="35" t="s">
        <v>390</v>
      </c>
      <c r="G3487" s="35" t="s">
        <v>954</v>
      </c>
      <c r="H3487" s="35">
        <v>40</v>
      </c>
    </row>
    <row r="3488" spans="1:8">
      <c r="A3488" s="34">
        <v>2084217270</v>
      </c>
      <c r="B3488" s="35" t="s">
        <v>462</v>
      </c>
      <c r="C3488" s="35" t="s">
        <v>405</v>
      </c>
      <c r="D3488" s="35" t="s">
        <v>922</v>
      </c>
      <c r="E3488" s="35" t="s">
        <v>949</v>
      </c>
      <c r="F3488" s="35" t="s">
        <v>390</v>
      </c>
      <c r="G3488" s="35" t="s">
        <v>954</v>
      </c>
      <c r="H3488" s="35" t="s">
        <v>955</v>
      </c>
    </row>
    <row r="3489" spans="1:9">
      <c r="A3489" s="34">
        <v>2084214930</v>
      </c>
      <c r="B3489" s="35" t="s">
        <v>462</v>
      </c>
      <c r="C3489" s="35" t="s">
        <v>405</v>
      </c>
      <c r="D3489" s="35" t="s">
        <v>922</v>
      </c>
      <c r="E3489" s="35" t="s">
        <v>949</v>
      </c>
      <c r="F3489" s="35" t="s">
        <v>390</v>
      </c>
      <c r="G3489" s="35" t="s">
        <v>368</v>
      </c>
      <c r="H3489" s="35" t="s">
        <v>956</v>
      </c>
      <c r="I3489" s="35" t="s">
        <v>827</v>
      </c>
    </row>
    <row r="3490" spans="1:9">
      <c r="A3490" s="34">
        <v>2084214931</v>
      </c>
      <c r="B3490" s="35" t="s">
        <v>462</v>
      </c>
      <c r="C3490" s="35" t="s">
        <v>405</v>
      </c>
      <c r="D3490" s="35" t="s">
        <v>922</v>
      </c>
      <c r="E3490" s="35" t="s">
        <v>949</v>
      </c>
      <c r="F3490" s="35" t="s">
        <v>390</v>
      </c>
      <c r="G3490" s="35" t="s">
        <v>368</v>
      </c>
      <c r="H3490" s="35" t="s">
        <v>956</v>
      </c>
      <c r="I3490" s="35">
        <v>36</v>
      </c>
    </row>
    <row r="3491" spans="1:9">
      <c r="A3491" s="34">
        <v>2084214932</v>
      </c>
      <c r="B3491" s="35" t="s">
        <v>462</v>
      </c>
      <c r="C3491" s="35" t="s">
        <v>405</v>
      </c>
      <c r="D3491" s="35" t="s">
        <v>922</v>
      </c>
      <c r="E3491" s="35" t="s">
        <v>949</v>
      </c>
      <c r="F3491" s="35" t="s">
        <v>390</v>
      </c>
      <c r="G3491" s="35" t="s">
        <v>368</v>
      </c>
      <c r="H3491" s="35" t="s">
        <v>956</v>
      </c>
      <c r="I3491" s="35">
        <v>38</v>
      </c>
    </row>
    <row r="3492" spans="1:9">
      <c r="A3492" s="34">
        <v>2084214933</v>
      </c>
      <c r="B3492" s="35" t="s">
        <v>462</v>
      </c>
      <c r="C3492" s="35" t="s">
        <v>405</v>
      </c>
      <c r="D3492" s="35" t="s">
        <v>922</v>
      </c>
      <c r="E3492" s="35" t="s">
        <v>949</v>
      </c>
      <c r="F3492" s="35" t="s">
        <v>390</v>
      </c>
      <c r="G3492" s="35" t="s">
        <v>368</v>
      </c>
      <c r="H3492" s="35" t="s">
        <v>956</v>
      </c>
      <c r="I3492" s="35">
        <v>40</v>
      </c>
    </row>
    <row r="3493" spans="1:9">
      <c r="A3493" s="34">
        <v>2084214934</v>
      </c>
      <c r="B3493" s="35" t="s">
        <v>462</v>
      </c>
      <c r="C3493" s="35" t="s">
        <v>405</v>
      </c>
      <c r="D3493" s="35" t="s">
        <v>922</v>
      </c>
      <c r="E3493" s="35" t="s">
        <v>949</v>
      </c>
      <c r="F3493" s="35" t="s">
        <v>390</v>
      </c>
      <c r="G3493" s="35" t="s">
        <v>368</v>
      </c>
      <c r="H3493" s="35" t="s">
        <v>956</v>
      </c>
      <c r="I3493" s="35" t="s">
        <v>955</v>
      </c>
    </row>
    <row r="3494" spans="1:9">
      <c r="A3494" s="34">
        <v>2084029328</v>
      </c>
      <c r="B3494" s="35" t="s">
        <v>462</v>
      </c>
      <c r="C3494" s="35" t="s">
        <v>405</v>
      </c>
      <c r="D3494" s="35" t="s">
        <v>922</v>
      </c>
      <c r="E3494" s="35" t="s">
        <v>949</v>
      </c>
      <c r="F3494" s="35" t="s">
        <v>390</v>
      </c>
      <c r="G3494" s="35" t="s">
        <v>368</v>
      </c>
      <c r="H3494" s="35" t="s">
        <v>481</v>
      </c>
    </row>
    <row r="3495" spans="1:9">
      <c r="A3495" s="34">
        <v>2084029879</v>
      </c>
      <c r="B3495" s="35" t="s">
        <v>462</v>
      </c>
      <c r="C3495" s="35" t="s">
        <v>405</v>
      </c>
      <c r="D3495" s="35" t="s">
        <v>922</v>
      </c>
      <c r="E3495" s="35" t="s">
        <v>949</v>
      </c>
      <c r="F3495" s="35" t="s">
        <v>390</v>
      </c>
      <c r="G3495" s="35" t="s">
        <v>368</v>
      </c>
      <c r="H3495" s="35" t="s">
        <v>494</v>
      </c>
    </row>
    <row r="3496" spans="1:9">
      <c r="A3496" s="34">
        <v>2084058536</v>
      </c>
      <c r="B3496" s="35" t="s">
        <v>462</v>
      </c>
      <c r="C3496" s="35" t="s">
        <v>405</v>
      </c>
      <c r="D3496" s="35" t="s">
        <v>922</v>
      </c>
      <c r="E3496" s="35" t="s">
        <v>949</v>
      </c>
      <c r="F3496" s="35" t="s">
        <v>390</v>
      </c>
      <c r="G3496" s="35" t="s">
        <v>368</v>
      </c>
      <c r="H3496" s="35" t="s">
        <v>335</v>
      </c>
    </row>
    <row r="3497" spans="1:9">
      <c r="A3497" s="34">
        <v>2084027294</v>
      </c>
      <c r="B3497" s="35" t="s">
        <v>462</v>
      </c>
      <c r="C3497" s="35" t="s">
        <v>405</v>
      </c>
      <c r="D3497" s="35" t="s">
        <v>922</v>
      </c>
      <c r="E3497" s="35" t="s">
        <v>949</v>
      </c>
      <c r="F3497" s="35" t="s">
        <v>390</v>
      </c>
      <c r="G3497" s="35" t="s">
        <v>10</v>
      </c>
      <c r="H3497" s="35" t="s">
        <v>509</v>
      </c>
    </row>
    <row r="3498" spans="1:9">
      <c r="A3498" s="34">
        <v>2084027837</v>
      </c>
      <c r="B3498" s="35" t="s">
        <v>462</v>
      </c>
      <c r="C3498" s="35" t="s">
        <v>405</v>
      </c>
      <c r="D3498" s="35" t="s">
        <v>922</v>
      </c>
      <c r="E3498" s="35" t="s">
        <v>949</v>
      </c>
      <c r="F3498" s="35" t="s">
        <v>390</v>
      </c>
      <c r="G3498" s="35" t="s">
        <v>10</v>
      </c>
      <c r="H3498" s="35" t="s">
        <v>510</v>
      </c>
    </row>
    <row r="3499" spans="1:9">
      <c r="A3499" s="34">
        <v>2084027869</v>
      </c>
      <c r="B3499" s="35" t="s">
        <v>462</v>
      </c>
      <c r="C3499" s="35" t="s">
        <v>405</v>
      </c>
      <c r="D3499" s="35" t="s">
        <v>922</v>
      </c>
      <c r="E3499" s="35" t="s">
        <v>949</v>
      </c>
      <c r="F3499" s="35" t="s">
        <v>390</v>
      </c>
      <c r="G3499" s="35" t="s">
        <v>10</v>
      </c>
      <c r="H3499" s="35" t="s">
        <v>511</v>
      </c>
    </row>
    <row r="3500" spans="1:9">
      <c r="A3500" s="34">
        <v>2084027899</v>
      </c>
      <c r="B3500" s="35" t="s">
        <v>462</v>
      </c>
      <c r="C3500" s="35" t="s">
        <v>405</v>
      </c>
      <c r="D3500" s="35" t="s">
        <v>922</v>
      </c>
      <c r="E3500" s="35" t="s">
        <v>949</v>
      </c>
      <c r="F3500" s="35" t="s">
        <v>390</v>
      </c>
      <c r="G3500" s="35" t="s">
        <v>10</v>
      </c>
      <c r="H3500" s="35" t="s">
        <v>493</v>
      </c>
    </row>
    <row r="3501" spans="1:9">
      <c r="A3501" s="34">
        <v>2084027468</v>
      </c>
      <c r="B3501" s="35" t="s">
        <v>462</v>
      </c>
      <c r="C3501" s="35" t="s">
        <v>405</v>
      </c>
      <c r="D3501" s="35" t="s">
        <v>922</v>
      </c>
      <c r="E3501" s="35" t="s">
        <v>949</v>
      </c>
      <c r="F3501" s="35" t="s">
        <v>390</v>
      </c>
      <c r="G3501" s="35" t="s">
        <v>10</v>
      </c>
      <c r="H3501" s="35" t="s">
        <v>512</v>
      </c>
    </row>
    <row r="3502" spans="1:9">
      <c r="A3502" s="34">
        <v>2084027635</v>
      </c>
      <c r="B3502" s="35" t="s">
        <v>462</v>
      </c>
      <c r="C3502" s="35" t="s">
        <v>405</v>
      </c>
      <c r="D3502" s="35" t="s">
        <v>922</v>
      </c>
      <c r="E3502" s="35" t="s">
        <v>949</v>
      </c>
      <c r="F3502" s="35" t="s">
        <v>390</v>
      </c>
      <c r="G3502" s="35" t="s">
        <v>10</v>
      </c>
      <c r="H3502" s="35" t="s">
        <v>513</v>
      </c>
    </row>
    <row r="3503" spans="1:9">
      <c r="A3503" s="34">
        <v>2084027979</v>
      </c>
      <c r="B3503" s="35" t="s">
        <v>462</v>
      </c>
      <c r="C3503" s="35" t="s">
        <v>405</v>
      </c>
      <c r="D3503" s="35" t="s">
        <v>922</v>
      </c>
      <c r="E3503" s="35" t="s">
        <v>949</v>
      </c>
      <c r="F3503" s="35" t="s">
        <v>390</v>
      </c>
      <c r="G3503" s="35" t="s">
        <v>10</v>
      </c>
      <c r="H3503" s="35" t="s">
        <v>420</v>
      </c>
    </row>
    <row r="3504" spans="1:9">
      <c r="A3504" s="34">
        <v>2084027257</v>
      </c>
      <c r="B3504" s="35" t="s">
        <v>462</v>
      </c>
      <c r="C3504" s="35" t="s">
        <v>405</v>
      </c>
      <c r="D3504" s="35" t="s">
        <v>922</v>
      </c>
      <c r="E3504" s="35" t="s">
        <v>949</v>
      </c>
      <c r="F3504" s="35" t="s">
        <v>390</v>
      </c>
      <c r="G3504" s="35" t="s">
        <v>10</v>
      </c>
      <c r="H3504" s="35" t="s">
        <v>514</v>
      </c>
    </row>
    <row r="3505" spans="1:8">
      <c r="A3505" s="34">
        <v>2084027433</v>
      </c>
      <c r="B3505" s="35" t="s">
        <v>462</v>
      </c>
      <c r="C3505" s="35" t="s">
        <v>405</v>
      </c>
      <c r="D3505" s="35" t="s">
        <v>922</v>
      </c>
      <c r="E3505" s="35" t="s">
        <v>949</v>
      </c>
      <c r="F3505" s="35" t="s">
        <v>390</v>
      </c>
      <c r="G3505" s="35" t="s">
        <v>10</v>
      </c>
      <c r="H3505" s="35" t="s">
        <v>515</v>
      </c>
    </row>
    <row r="3506" spans="1:8">
      <c r="A3506" s="34">
        <v>2084027502</v>
      </c>
      <c r="B3506" s="35" t="s">
        <v>462</v>
      </c>
      <c r="C3506" s="35" t="s">
        <v>405</v>
      </c>
      <c r="D3506" s="35" t="s">
        <v>922</v>
      </c>
      <c r="E3506" s="35" t="s">
        <v>949</v>
      </c>
      <c r="F3506" s="35" t="s">
        <v>390</v>
      </c>
      <c r="G3506" s="35" t="s">
        <v>10</v>
      </c>
      <c r="H3506" s="35" t="s">
        <v>421</v>
      </c>
    </row>
    <row r="3507" spans="1:8">
      <c r="A3507" s="34">
        <v>2084027713</v>
      </c>
      <c r="B3507" s="35" t="s">
        <v>462</v>
      </c>
      <c r="C3507" s="35" t="s">
        <v>405</v>
      </c>
      <c r="D3507" s="35" t="s">
        <v>922</v>
      </c>
      <c r="E3507" s="35" t="s">
        <v>949</v>
      </c>
      <c r="F3507" s="35" t="s">
        <v>390</v>
      </c>
      <c r="G3507" s="35" t="s">
        <v>10</v>
      </c>
      <c r="H3507" s="35" t="s">
        <v>516</v>
      </c>
    </row>
    <row r="3508" spans="1:8">
      <c r="A3508" s="34">
        <v>2084027230</v>
      </c>
      <c r="B3508" s="35" t="s">
        <v>462</v>
      </c>
      <c r="C3508" s="35" t="s">
        <v>405</v>
      </c>
      <c r="D3508" s="35" t="s">
        <v>922</v>
      </c>
      <c r="E3508" s="35" t="s">
        <v>949</v>
      </c>
      <c r="F3508" s="35" t="s">
        <v>390</v>
      </c>
      <c r="G3508" s="35" t="s">
        <v>10</v>
      </c>
      <c r="H3508" s="35" t="s">
        <v>517</v>
      </c>
    </row>
    <row r="3509" spans="1:8">
      <c r="A3509" s="34">
        <v>2084027368</v>
      </c>
      <c r="B3509" s="35" t="s">
        <v>462</v>
      </c>
      <c r="C3509" s="35" t="s">
        <v>405</v>
      </c>
      <c r="D3509" s="35" t="s">
        <v>922</v>
      </c>
      <c r="E3509" s="35" t="s">
        <v>949</v>
      </c>
      <c r="F3509" s="35" t="s">
        <v>390</v>
      </c>
      <c r="G3509" s="35" t="s">
        <v>10</v>
      </c>
      <c r="H3509" s="35" t="s">
        <v>518</v>
      </c>
    </row>
    <row r="3510" spans="1:8">
      <c r="A3510" s="34">
        <v>2084027540</v>
      </c>
      <c r="B3510" s="35" t="s">
        <v>462</v>
      </c>
      <c r="C3510" s="35" t="s">
        <v>405</v>
      </c>
      <c r="D3510" s="35" t="s">
        <v>922</v>
      </c>
      <c r="E3510" s="35" t="s">
        <v>949</v>
      </c>
      <c r="F3510" s="35" t="s">
        <v>390</v>
      </c>
      <c r="G3510" s="35" t="s">
        <v>10</v>
      </c>
      <c r="H3510" s="35" t="s">
        <v>422</v>
      </c>
    </row>
    <row r="3511" spans="1:8">
      <c r="A3511" s="34">
        <v>2084027763</v>
      </c>
      <c r="B3511" s="35" t="s">
        <v>462</v>
      </c>
      <c r="C3511" s="35" t="s">
        <v>405</v>
      </c>
      <c r="D3511" s="35" t="s">
        <v>922</v>
      </c>
      <c r="E3511" s="35" t="s">
        <v>949</v>
      </c>
      <c r="F3511" s="35" t="s">
        <v>390</v>
      </c>
      <c r="G3511" s="35" t="s">
        <v>10</v>
      </c>
      <c r="H3511" s="35" t="s">
        <v>519</v>
      </c>
    </row>
    <row r="3512" spans="1:8">
      <c r="A3512" s="34">
        <v>2084028039</v>
      </c>
      <c r="B3512" s="35" t="s">
        <v>462</v>
      </c>
      <c r="C3512" s="35" t="s">
        <v>405</v>
      </c>
      <c r="D3512" s="35" t="s">
        <v>922</v>
      </c>
      <c r="E3512" s="35" t="s">
        <v>949</v>
      </c>
      <c r="F3512" s="35" t="s">
        <v>390</v>
      </c>
      <c r="G3512" s="35" t="s">
        <v>379</v>
      </c>
      <c r="H3512" s="35" t="s">
        <v>520</v>
      </c>
    </row>
    <row r="3513" spans="1:8">
      <c r="A3513" s="34">
        <v>2084028074</v>
      </c>
      <c r="B3513" s="35" t="s">
        <v>462</v>
      </c>
      <c r="C3513" s="35" t="s">
        <v>405</v>
      </c>
      <c r="D3513" s="35" t="s">
        <v>922</v>
      </c>
      <c r="E3513" s="35" t="s">
        <v>949</v>
      </c>
      <c r="F3513" s="35" t="s">
        <v>390</v>
      </c>
      <c r="G3513" s="35" t="s">
        <v>379</v>
      </c>
      <c r="H3513" s="35" t="s">
        <v>521</v>
      </c>
    </row>
    <row r="3514" spans="1:8">
      <c r="A3514" s="34">
        <v>2084028174</v>
      </c>
      <c r="B3514" s="35" t="s">
        <v>462</v>
      </c>
      <c r="C3514" s="35" t="s">
        <v>405</v>
      </c>
      <c r="D3514" s="35" t="s">
        <v>922</v>
      </c>
      <c r="E3514" s="35" t="s">
        <v>949</v>
      </c>
      <c r="F3514" s="35" t="s">
        <v>390</v>
      </c>
      <c r="G3514" s="35" t="s">
        <v>379</v>
      </c>
      <c r="H3514" s="35" t="s">
        <v>522</v>
      </c>
    </row>
    <row r="3515" spans="1:8">
      <c r="A3515" s="34">
        <v>2084028414</v>
      </c>
      <c r="B3515" s="35" t="s">
        <v>462</v>
      </c>
      <c r="C3515" s="35" t="s">
        <v>405</v>
      </c>
      <c r="D3515" s="35" t="s">
        <v>922</v>
      </c>
      <c r="E3515" s="35" t="s">
        <v>949</v>
      </c>
      <c r="F3515" s="35" t="s">
        <v>390</v>
      </c>
      <c r="G3515" s="35" t="s">
        <v>379</v>
      </c>
      <c r="H3515" s="35" t="s">
        <v>523</v>
      </c>
    </row>
    <row r="3516" spans="1:8">
      <c r="A3516" s="34">
        <v>2084028113</v>
      </c>
      <c r="B3516" s="35" t="s">
        <v>462</v>
      </c>
      <c r="C3516" s="35" t="s">
        <v>405</v>
      </c>
      <c r="D3516" s="35" t="s">
        <v>922</v>
      </c>
      <c r="E3516" s="35" t="s">
        <v>949</v>
      </c>
      <c r="F3516" s="35" t="s">
        <v>390</v>
      </c>
      <c r="G3516" s="35" t="s">
        <v>379</v>
      </c>
      <c r="H3516" s="35" t="s">
        <v>524</v>
      </c>
    </row>
    <row r="3517" spans="1:8">
      <c r="A3517" s="34">
        <v>2084028279</v>
      </c>
      <c r="B3517" s="35" t="s">
        <v>462</v>
      </c>
      <c r="C3517" s="35" t="s">
        <v>405</v>
      </c>
      <c r="D3517" s="35" t="s">
        <v>922</v>
      </c>
      <c r="E3517" s="35" t="s">
        <v>949</v>
      </c>
      <c r="F3517" s="35" t="s">
        <v>390</v>
      </c>
      <c r="G3517" s="35" t="s">
        <v>379</v>
      </c>
      <c r="H3517" s="35" t="s">
        <v>525</v>
      </c>
    </row>
    <row r="3518" spans="1:8">
      <c r="A3518" s="34">
        <v>2084028481</v>
      </c>
      <c r="B3518" s="35" t="s">
        <v>462</v>
      </c>
      <c r="C3518" s="35" t="s">
        <v>405</v>
      </c>
      <c r="D3518" s="35" t="s">
        <v>922</v>
      </c>
      <c r="E3518" s="35" t="s">
        <v>949</v>
      </c>
      <c r="F3518" s="35" t="s">
        <v>390</v>
      </c>
      <c r="G3518" s="35" t="s">
        <v>379</v>
      </c>
      <c r="H3518" s="35" t="s">
        <v>526</v>
      </c>
    </row>
    <row r="3519" spans="1:8">
      <c r="A3519" s="34">
        <v>2084028304</v>
      </c>
      <c r="B3519" s="35" t="s">
        <v>462</v>
      </c>
      <c r="C3519" s="35" t="s">
        <v>405</v>
      </c>
      <c r="D3519" s="35" t="s">
        <v>922</v>
      </c>
      <c r="E3519" s="35" t="s">
        <v>949</v>
      </c>
      <c r="F3519" s="35" t="s">
        <v>390</v>
      </c>
      <c r="G3519" s="35" t="s">
        <v>379</v>
      </c>
      <c r="H3519" s="35" t="s">
        <v>527</v>
      </c>
    </row>
    <row r="3520" spans="1:8">
      <c r="A3520" s="34">
        <v>2084028516</v>
      </c>
      <c r="B3520" s="35" t="s">
        <v>462</v>
      </c>
      <c r="C3520" s="35" t="s">
        <v>405</v>
      </c>
      <c r="D3520" s="35" t="s">
        <v>922</v>
      </c>
      <c r="E3520" s="35" t="s">
        <v>949</v>
      </c>
      <c r="F3520" s="35" t="s">
        <v>390</v>
      </c>
      <c r="G3520" s="35" t="s">
        <v>379</v>
      </c>
      <c r="H3520" s="35" t="s">
        <v>528</v>
      </c>
    </row>
    <row r="3521" spans="1:8">
      <c r="A3521" s="34">
        <v>2084028342</v>
      </c>
      <c r="B3521" s="35" t="s">
        <v>462</v>
      </c>
      <c r="C3521" s="35" t="s">
        <v>405</v>
      </c>
      <c r="D3521" s="35" t="s">
        <v>922</v>
      </c>
      <c r="E3521" s="35" t="s">
        <v>949</v>
      </c>
      <c r="F3521" s="35" t="s">
        <v>390</v>
      </c>
      <c r="G3521" s="35" t="s">
        <v>379</v>
      </c>
      <c r="H3521" s="35" t="s">
        <v>529</v>
      </c>
    </row>
    <row r="3522" spans="1:8">
      <c r="A3522" s="34">
        <v>2084058537</v>
      </c>
      <c r="B3522" s="35" t="s">
        <v>462</v>
      </c>
      <c r="C3522" s="35" t="s">
        <v>405</v>
      </c>
      <c r="D3522" s="35" t="s">
        <v>922</v>
      </c>
      <c r="E3522" s="35" t="s">
        <v>949</v>
      </c>
      <c r="F3522" s="35" t="s">
        <v>390</v>
      </c>
      <c r="G3522" s="35" t="s">
        <v>379</v>
      </c>
      <c r="H3522" s="35" t="s">
        <v>335</v>
      </c>
    </row>
    <row r="3523" spans="1:8">
      <c r="A3523" s="34">
        <v>2084028556</v>
      </c>
      <c r="B3523" s="35" t="s">
        <v>462</v>
      </c>
      <c r="C3523" s="35" t="s">
        <v>405</v>
      </c>
      <c r="D3523" s="35" t="s">
        <v>922</v>
      </c>
      <c r="E3523" s="35" t="s">
        <v>949</v>
      </c>
      <c r="F3523" s="35" t="s">
        <v>390</v>
      </c>
      <c r="G3523" s="35" t="s">
        <v>530</v>
      </c>
      <c r="H3523" s="35" t="s">
        <v>531</v>
      </c>
    </row>
    <row r="3524" spans="1:8">
      <c r="A3524" s="34">
        <v>2084028594</v>
      </c>
      <c r="B3524" s="35" t="s">
        <v>462</v>
      </c>
      <c r="C3524" s="35" t="s">
        <v>405</v>
      </c>
      <c r="D3524" s="35" t="s">
        <v>922</v>
      </c>
      <c r="E3524" s="35" t="s">
        <v>949</v>
      </c>
      <c r="F3524" s="35" t="s">
        <v>390</v>
      </c>
      <c r="G3524" s="35" t="s">
        <v>530</v>
      </c>
      <c r="H3524" s="35" t="s">
        <v>532</v>
      </c>
    </row>
    <row r="3525" spans="1:8">
      <c r="A3525" s="34">
        <v>2084030058</v>
      </c>
      <c r="B3525" s="35" t="s">
        <v>462</v>
      </c>
      <c r="C3525" s="35" t="s">
        <v>405</v>
      </c>
      <c r="D3525" s="35" t="s">
        <v>922</v>
      </c>
      <c r="E3525" s="35" t="s">
        <v>949</v>
      </c>
      <c r="F3525" s="35" t="s">
        <v>390</v>
      </c>
      <c r="G3525" s="35" t="s">
        <v>533</v>
      </c>
      <c r="H3525" s="35" t="s">
        <v>609</v>
      </c>
    </row>
    <row r="3526" spans="1:8">
      <c r="A3526" s="34">
        <v>2084030094</v>
      </c>
      <c r="B3526" s="35" t="s">
        <v>462</v>
      </c>
      <c r="C3526" s="35" t="s">
        <v>405</v>
      </c>
      <c r="D3526" s="35" t="s">
        <v>922</v>
      </c>
      <c r="E3526" s="35" t="s">
        <v>949</v>
      </c>
      <c r="F3526" s="35" t="s">
        <v>390</v>
      </c>
      <c r="G3526" s="35" t="s">
        <v>533</v>
      </c>
      <c r="H3526" s="35" t="s">
        <v>534</v>
      </c>
    </row>
    <row r="3527" spans="1:8">
      <c r="A3527" s="34">
        <v>2084030176</v>
      </c>
      <c r="B3527" s="35" t="s">
        <v>462</v>
      </c>
      <c r="C3527" s="35" t="s">
        <v>405</v>
      </c>
      <c r="D3527" s="35" t="s">
        <v>922</v>
      </c>
      <c r="E3527" s="35" t="s">
        <v>949</v>
      </c>
      <c r="F3527" s="35" t="s">
        <v>390</v>
      </c>
      <c r="G3527" s="35" t="s">
        <v>533</v>
      </c>
      <c r="H3527" s="35" t="s">
        <v>535</v>
      </c>
    </row>
    <row r="3528" spans="1:8">
      <c r="A3528" s="34">
        <v>2084027168</v>
      </c>
      <c r="B3528" s="35" t="s">
        <v>462</v>
      </c>
      <c r="C3528" s="35" t="s">
        <v>405</v>
      </c>
      <c r="D3528" s="35" t="s">
        <v>922</v>
      </c>
      <c r="E3528" s="35" t="s">
        <v>949</v>
      </c>
      <c r="F3528" s="35" t="s">
        <v>390</v>
      </c>
      <c r="G3528" s="35" t="s">
        <v>533</v>
      </c>
      <c r="H3528" s="35" t="s">
        <v>536</v>
      </c>
    </row>
    <row r="3529" spans="1:8">
      <c r="A3529" s="34">
        <v>2084058528</v>
      </c>
      <c r="B3529" s="35" t="s">
        <v>462</v>
      </c>
      <c r="C3529" s="35" t="s">
        <v>405</v>
      </c>
      <c r="D3529" s="35" t="s">
        <v>922</v>
      </c>
      <c r="E3529" s="35" t="s">
        <v>949</v>
      </c>
      <c r="F3529" s="35" t="s">
        <v>390</v>
      </c>
      <c r="G3529" s="35" t="s">
        <v>335</v>
      </c>
    </row>
    <row r="3530" spans="1:8">
      <c r="A3530" s="34">
        <v>2084025437</v>
      </c>
      <c r="B3530" s="35" t="s">
        <v>462</v>
      </c>
      <c r="C3530" s="35" t="s">
        <v>405</v>
      </c>
      <c r="D3530" s="35" t="s">
        <v>922</v>
      </c>
      <c r="E3530" s="35" t="s">
        <v>949</v>
      </c>
      <c r="F3530" s="35" t="s">
        <v>442</v>
      </c>
      <c r="G3530" s="35" t="s">
        <v>537</v>
      </c>
    </row>
    <row r="3531" spans="1:8">
      <c r="A3531" s="34">
        <v>2084025212</v>
      </c>
      <c r="B3531" s="35" t="s">
        <v>462</v>
      </c>
      <c r="C3531" s="35" t="s">
        <v>405</v>
      </c>
      <c r="D3531" s="35" t="s">
        <v>922</v>
      </c>
      <c r="E3531" s="35" t="s">
        <v>949</v>
      </c>
      <c r="F3531" s="35" t="s">
        <v>442</v>
      </c>
      <c r="G3531" s="35" t="s">
        <v>538</v>
      </c>
    </row>
    <row r="3532" spans="1:8">
      <c r="A3532" s="34">
        <v>2084025390</v>
      </c>
      <c r="B3532" s="35" t="s">
        <v>462</v>
      </c>
      <c r="C3532" s="35" t="s">
        <v>405</v>
      </c>
      <c r="D3532" s="35" t="s">
        <v>922</v>
      </c>
      <c r="E3532" s="35" t="s">
        <v>949</v>
      </c>
      <c r="F3532" s="35" t="s">
        <v>442</v>
      </c>
      <c r="G3532" s="35" t="s">
        <v>539</v>
      </c>
    </row>
    <row r="3533" spans="1:8">
      <c r="A3533" s="34">
        <v>2084058524</v>
      </c>
      <c r="B3533" s="35" t="s">
        <v>462</v>
      </c>
      <c r="C3533" s="35" t="s">
        <v>405</v>
      </c>
      <c r="D3533" s="35" t="s">
        <v>922</v>
      </c>
      <c r="E3533" s="35" t="s">
        <v>949</v>
      </c>
      <c r="F3533" s="35" t="s">
        <v>442</v>
      </c>
      <c r="G3533" s="35" t="s">
        <v>335</v>
      </c>
    </row>
    <row r="3534" spans="1:8">
      <c r="A3534" s="34">
        <v>2084048677</v>
      </c>
      <c r="B3534" s="35" t="s">
        <v>462</v>
      </c>
      <c r="C3534" s="35" t="s">
        <v>405</v>
      </c>
      <c r="D3534" s="35" t="s">
        <v>922</v>
      </c>
      <c r="E3534" s="35" t="s">
        <v>949</v>
      </c>
      <c r="F3534" s="35" t="s">
        <v>335</v>
      </c>
    </row>
    <row r="3535" spans="1:8">
      <c r="A3535" s="34">
        <v>2084061417</v>
      </c>
      <c r="B3535" s="35" t="s">
        <v>462</v>
      </c>
      <c r="C3535" s="35" t="s">
        <v>405</v>
      </c>
      <c r="D3535" s="35" t="s">
        <v>922</v>
      </c>
      <c r="E3535" s="35" t="s">
        <v>957</v>
      </c>
      <c r="F3535" s="35" t="s">
        <v>484</v>
      </c>
    </row>
    <row r="3536" spans="1:8">
      <c r="A3536" s="34">
        <v>2084061418</v>
      </c>
      <c r="B3536" s="35" t="s">
        <v>462</v>
      </c>
      <c r="C3536" s="35" t="s">
        <v>405</v>
      </c>
      <c r="D3536" s="35" t="s">
        <v>922</v>
      </c>
      <c r="E3536" s="35" t="s">
        <v>957</v>
      </c>
      <c r="F3536" s="35" t="s">
        <v>335</v>
      </c>
    </row>
    <row r="3537" spans="1:9">
      <c r="A3537" s="34">
        <v>2084056704</v>
      </c>
      <c r="B3537" s="35" t="s">
        <v>462</v>
      </c>
      <c r="C3537" s="35" t="s">
        <v>405</v>
      </c>
      <c r="D3537" s="35" t="s">
        <v>922</v>
      </c>
      <c r="E3537" s="35" t="s">
        <v>958</v>
      </c>
      <c r="F3537" s="35" t="s">
        <v>401</v>
      </c>
    </row>
    <row r="3538" spans="1:9">
      <c r="A3538" s="34">
        <v>2084056709</v>
      </c>
      <c r="B3538" s="35" t="s">
        <v>462</v>
      </c>
      <c r="C3538" s="35" t="s">
        <v>405</v>
      </c>
      <c r="D3538" s="35" t="s">
        <v>922</v>
      </c>
      <c r="E3538" s="35" t="s">
        <v>958</v>
      </c>
      <c r="F3538" s="35" t="s">
        <v>10</v>
      </c>
      <c r="G3538" s="35" t="s">
        <v>397</v>
      </c>
    </row>
    <row r="3539" spans="1:9">
      <c r="A3539" s="34">
        <v>2084056708</v>
      </c>
      <c r="B3539" s="35" t="s">
        <v>462</v>
      </c>
      <c r="C3539" s="35" t="s">
        <v>405</v>
      </c>
      <c r="D3539" s="35" t="s">
        <v>922</v>
      </c>
      <c r="E3539" s="35" t="s">
        <v>958</v>
      </c>
      <c r="F3539" s="35" t="s">
        <v>10</v>
      </c>
      <c r="G3539" s="35" t="s">
        <v>421</v>
      </c>
    </row>
    <row r="3540" spans="1:9">
      <c r="A3540" s="34">
        <v>2084056706</v>
      </c>
      <c r="B3540" s="35" t="s">
        <v>462</v>
      </c>
      <c r="C3540" s="35" t="s">
        <v>405</v>
      </c>
      <c r="D3540" s="35" t="s">
        <v>922</v>
      </c>
      <c r="E3540" s="35" t="s">
        <v>958</v>
      </c>
      <c r="F3540" s="35" t="s">
        <v>10</v>
      </c>
      <c r="G3540" s="35" t="s">
        <v>398</v>
      </c>
    </row>
    <row r="3541" spans="1:9">
      <c r="A3541" s="34">
        <v>2084056707</v>
      </c>
      <c r="B3541" s="35" t="s">
        <v>462</v>
      </c>
      <c r="C3541" s="35" t="s">
        <v>405</v>
      </c>
      <c r="D3541" s="35" t="s">
        <v>922</v>
      </c>
      <c r="E3541" s="35" t="s">
        <v>958</v>
      </c>
      <c r="F3541" s="35" t="s">
        <v>10</v>
      </c>
      <c r="G3541" s="35" t="s">
        <v>422</v>
      </c>
    </row>
    <row r="3542" spans="1:9">
      <c r="A3542" s="34">
        <v>2084056710</v>
      </c>
      <c r="B3542" s="35" t="s">
        <v>462</v>
      </c>
      <c r="C3542" s="35" t="s">
        <v>405</v>
      </c>
      <c r="D3542" s="35" t="s">
        <v>922</v>
      </c>
      <c r="E3542" s="35" t="s">
        <v>958</v>
      </c>
      <c r="F3542" s="35" t="s">
        <v>10</v>
      </c>
      <c r="G3542" s="35" t="s">
        <v>335</v>
      </c>
    </row>
    <row r="3543" spans="1:9">
      <c r="A3543" s="34">
        <v>2084056712</v>
      </c>
      <c r="B3543" s="35" t="s">
        <v>462</v>
      </c>
      <c r="C3543" s="35" t="s">
        <v>405</v>
      </c>
      <c r="D3543" s="35" t="s">
        <v>922</v>
      </c>
      <c r="E3543" s="35" t="s">
        <v>958</v>
      </c>
      <c r="F3543" s="35" t="s">
        <v>379</v>
      </c>
      <c r="G3543" s="35" t="s">
        <v>476</v>
      </c>
    </row>
    <row r="3544" spans="1:9">
      <c r="A3544" s="34">
        <v>2084056713</v>
      </c>
      <c r="B3544" s="35" t="s">
        <v>462</v>
      </c>
      <c r="C3544" s="35" t="s">
        <v>405</v>
      </c>
      <c r="D3544" s="35" t="s">
        <v>922</v>
      </c>
      <c r="E3544" s="35" t="s">
        <v>958</v>
      </c>
      <c r="F3544" s="35" t="s">
        <v>379</v>
      </c>
      <c r="G3544" s="35" t="s">
        <v>335</v>
      </c>
    </row>
    <row r="3545" spans="1:9">
      <c r="A3545" s="34">
        <v>2084056714</v>
      </c>
      <c r="B3545" s="35" t="s">
        <v>462</v>
      </c>
      <c r="C3545" s="35" t="s">
        <v>405</v>
      </c>
      <c r="D3545" s="35" t="s">
        <v>922</v>
      </c>
      <c r="E3545" s="35" t="s">
        <v>958</v>
      </c>
      <c r="F3545" s="35" t="s">
        <v>335</v>
      </c>
    </row>
    <row r="3546" spans="1:9">
      <c r="A3546" s="34">
        <v>2084050644</v>
      </c>
      <c r="B3546" s="35" t="s">
        <v>462</v>
      </c>
      <c r="C3546" s="35" t="s">
        <v>405</v>
      </c>
      <c r="D3546" s="35" t="s">
        <v>922</v>
      </c>
      <c r="E3546" s="35" t="s">
        <v>959</v>
      </c>
      <c r="F3546" s="35" t="s">
        <v>475</v>
      </c>
    </row>
    <row r="3547" spans="1:9">
      <c r="A3547" s="34">
        <v>2084050631</v>
      </c>
      <c r="B3547" s="35" t="s">
        <v>462</v>
      </c>
      <c r="C3547" s="35" t="s">
        <v>405</v>
      </c>
      <c r="D3547" s="35" t="s">
        <v>922</v>
      </c>
      <c r="E3547" s="35" t="s">
        <v>959</v>
      </c>
      <c r="F3547" s="35" t="s">
        <v>353</v>
      </c>
      <c r="G3547" s="35" t="s">
        <v>368</v>
      </c>
      <c r="H3547" s="35" t="s">
        <v>481</v>
      </c>
    </row>
    <row r="3548" spans="1:9">
      <c r="A3548" s="34">
        <v>2084050632</v>
      </c>
      <c r="B3548" s="35" t="s">
        <v>462</v>
      </c>
      <c r="C3548" s="35" t="s">
        <v>405</v>
      </c>
      <c r="D3548" s="35" t="s">
        <v>922</v>
      </c>
      <c r="E3548" s="35" t="s">
        <v>959</v>
      </c>
      <c r="F3548" s="35" t="s">
        <v>353</v>
      </c>
      <c r="G3548" s="35" t="s">
        <v>368</v>
      </c>
      <c r="H3548" s="35" t="s">
        <v>335</v>
      </c>
    </row>
    <row r="3549" spans="1:9">
      <c r="A3549" s="34">
        <v>2084050635</v>
      </c>
      <c r="B3549" s="35" t="s">
        <v>462</v>
      </c>
      <c r="C3549" s="35" t="s">
        <v>405</v>
      </c>
      <c r="D3549" s="35" t="s">
        <v>922</v>
      </c>
      <c r="E3549" s="35" t="s">
        <v>959</v>
      </c>
      <c r="F3549" s="35" t="s">
        <v>353</v>
      </c>
      <c r="G3549" s="35" t="s">
        <v>10</v>
      </c>
      <c r="H3549" s="35" t="s">
        <v>494</v>
      </c>
    </row>
    <row r="3550" spans="1:9">
      <c r="A3550" s="34">
        <v>2084060571</v>
      </c>
      <c r="B3550" s="35" t="s">
        <v>462</v>
      </c>
      <c r="C3550" s="35" t="s">
        <v>405</v>
      </c>
      <c r="D3550" s="35" t="s">
        <v>922</v>
      </c>
      <c r="E3550" s="35" t="s">
        <v>959</v>
      </c>
      <c r="F3550" s="35" t="s">
        <v>353</v>
      </c>
      <c r="G3550" s="35" t="s">
        <v>10</v>
      </c>
      <c r="H3550" s="35" t="s">
        <v>397</v>
      </c>
    </row>
    <row r="3551" spans="1:9">
      <c r="A3551" s="34">
        <v>2084060567</v>
      </c>
      <c r="B3551" s="35" t="s">
        <v>462</v>
      </c>
      <c r="C3551" s="35" t="s">
        <v>405</v>
      </c>
      <c r="D3551" s="35" t="s">
        <v>922</v>
      </c>
      <c r="E3551" s="35" t="s">
        <v>959</v>
      </c>
      <c r="F3551" s="35" t="s">
        <v>353</v>
      </c>
      <c r="G3551" s="35" t="s">
        <v>10</v>
      </c>
      <c r="H3551" s="35" t="s">
        <v>378</v>
      </c>
      <c r="I3551" s="35" t="s">
        <v>374</v>
      </c>
    </row>
    <row r="3552" spans="1:9">
      <c r="A3552" s="34">
        <v>2084060568</v>
      </c>
      <c r="B3552" s="35" t="s">
        <v>462</v>
      </c>
      <c r="C3552" s="35" t="s">
        <v>405</v>
      </c>
      <c r="D3552" s="35" t="s">
        <v>922</v>
      </c>
      <c r="E3552" s="35" t="s">
        <v>959</v>
      </c>
      <c r="F3552" s="35" t="s">
        <v>353</v>
      </c>
      <c r="G3552" s="35" t="s">
        <v>10</v>
      </c>
      <c r="H3552" s="35" t="s">
        <v>378</v>
      </c>
      <c r="I3552" s="35" t="s">
        <v>375</v>
      </c>
    </row>
    <row r="3553" spans="1:9">
      <c r="A3553" s="34">
        <v>2084060569</v>
      </c>
      <c r="B3553" s="35" t="s">
        <v>462</v>
      </c>
      <c r="C3553" s="35" t="s">
        <v>405</v>
      </c>
      <c r="D3553" s="35" t="s">
        <v>922</v>
      </c>
      <c r="E3553" s="35" t="s">
        <v>959</v>
      </c>
      <c r="F3553" s="35" t="s">
        <v>353</v>
      </c>
      <c r="G3553" s="35" t="s">
        <v>10</v>
      </c>
      <c r="H3553" s="35" t="s">
        <v>378</v>
      </c>
      <c r="I3553" s="35" t="s">
        <v>376</v>
      </c>
    </row>
    <row r="3554" spans="1:9">
      <c r="A3554" s="34">
        <v>2084060570</v>
      </c>
      <c r="B3554" s="35" t="s">
        <v>462</v>
      </c>
      <c r="C3554" s="35" t="s">
        <v>405</v>
      </c>
      <c r="D3554" s="35" t="s">
        <v>922</v>
      </c>
      <c r="E3554" s="35" t="s">
        <v>959</v>
      </c>
      <c r="F3554" s="35" t="s">
        <v>353</v>
      </c>
      <c r="G3554" s="35" t="s">
        <v>10</v>
      </c>
      <c r="H3554" s="35" t="s">
        <v>378</v>
      </c>
      <c r="I3554" s="35" t="s">
        <v>377</v>
      </c>
    </row>
    <row r="3555" spans="1:9">
      <c r="A3555" s="34">
        <v>2084050636</v>
      </c>
      <c r="B3555" s="35" t="s">
        <v>462</v>
      </c>
      <c r="C3555" s="35" t="s">
        <v>405</v>
      </c>
      <c r="D3555" s="35" t="s">
        <v>922</v>
      </c>
      <c r="E3555" s="35" t="s">
        <v>959</v>
      </c>
      <c r="F3555" s="35" t="s">
        <v>353</v>
      </c>
      <c r="G3555" s="35" t="s">
        <v>10</v>
      </c>
      <c r="H3555" s="35" t="s">
        <v>335</v>
      </c>
    </row>
    <row r="3556" spans="1:9">
      <c r="A3556" s="34">
        <v>2084050638</v>
      </c>
      <c r="B3556" s="35" t="s">
        <v>462</v>
      </c>
      <c r="C3556" s="35" t="s">
        <v>405</v>
      </c>
      <c r="D3556" s="35" t="s">
        <v>922</v>
      </c>
      <c r="E3556" s="35" t="s">
        <v>959</v>
      </c>
      <c r="F3556" s="35" t="s">
        <v>353</v>
      </c>
      <c r="G3556" s="35" t="s">
        <v>379</v>
      </c>
      <c r="H3556" s="35" t="s">
        <v>555</v>
      </c>
    </row>
    <row r="3557" spans="1:9">
      <c r="A3557" s="34">
        <v>2084050639</v>
      </c>
      <c r="B3557" s="35" t="s">
        <v>462</v>
      </c>
      <c r="C3557" s="35" t="s">
        <v>405</v>
      </c>
      <c r="D3557" s="35" t="s">
        <v>922</v>
      </c>
      <c r="E3557" s="35" t="s">
        <v>959</v>
      </c>
      <c r="F3557" s="35" t="s">
        <v>353</v>
      </c>
      <c r="G3557" s="35" t="s">
        <v>379</v>
      </c>
      <c r="H3557" s="35" t="s">
        <v>335</v>
      </c>
    </row>
    <row r="3558" spans="1:9">
      <c r="A3558" s="34">
        <v>2084050640</v>
      </c>
      <c r="B3558" s="35" t="s">
        <v>462</v>
      </c>
      <c r="C3558" s="35" t="s">
        <v>405</v>
      </c>
      <c r="D3558" s="35" t="s">
        <v>922</v>
      </c>
      <c r="E3558" s="35" t="s">
        <v>959</v>
      </c>
      <c r="F3558" s="35" t="s">
        <v>353</v>
      </c>
      <c r="G3558" s="35" t="s">
        <v>335</v>
      </c>
    </row>
    <row r="3559" spans="1:9">
      <c r="A3559" s="34">
        <v>2084050642</v>
      </c>
      <c r="B3559" s="35" t="s">
        <v>462</v>
      </c>
      <c r="C3559" s="35" t="s">
        <v>405</v>
      </c>
      <c r="D3559" s="35" t="s">
        <v>922</v>
      </c>
      <c r="E3559" s="35" t="s">
        <v>959</v>
      </c>
      <c r="F3559" s="35" t="s">
        <v>442</v>
      </c>
      <c r="G3559" s="35" t="s">
        <v>445</v>
      </c>
    </row>
    <row r="3560" spans="1:9">
      <c r="A3560" s="34">
        <v>2084050643</v>
      </c>
      <c r="B3560" s="35" t="s">
        <v>462</v>
      </c>
      <c r="C3560" s="35" t="s">
        <v>405</v>
      </c>
      <c r="D3560" s="35" t="s">
        <v>922</v>
      </c>
      <c r="E3560" s="35" t="s">
        <v>959</v>
      </c>
      <c r="F3560" s="35" t="s">
        <v>442</v>
      </c>
      <c r="G3560" s="35" t="s">
        <v>335</v>
      </c>
    </row>
    <row r="3561" spans="1:9">
      <c r="A3561" s="34">
        <v>2084050645</v>
      </c>
      <c r="B3561" s="35" t="s">
        <v>462</v>
      </c>
      <c r="C3561" s="35" t="s">
        <v>405</v>
      </c>
      <c r="D3561" s="35" t="s">
        <v>922</v>
      </c>
      <c r="E3561" s="35" t="s">
        <v>959</v>
      </c>
      <c r="F3561" s="35" t="s">
        <v>335</v>
      </c>
    </row>
    <row r="3562" spans="1:9">
      <c r="A3562" s="34">
        <v>2084301212</v>
      </c>
      <c r="B3562" s="35" t="s">
        <v>462</v>
      </c>
      <c r="C3562" s="35" t="s">
        <v>405</v>
      </c>
      <c r="D3562" s="35" t="s">
        <v>922</v>
      </c>
      <c r="E3562" s="35" t="s">
        <v>960</v>
      </c>
    </row>
    <row r="3563" spans="1:9">
      <c r="A3563" s="34">
        <v>2084228194</v>
      </c>
      <c r="B3563" s="35" t="s">
        <v>462</v>
      </c>
      <c r="C3563" s="35" t="s">
        <v>405</v>
      </c>
      <c r="D3563" s="35" t="s">
        <v>922</v>
      </c>
      <c r="E3563" s="35" t="s">
        <v>961</v>
      </c>
      <c r="F3563" s="35" t="s">
        <v>353</v>
      </c>
      <c r="G3563" s="35" t="s">
        <v>368</v>
      </c>
      <c r="H3563" s="35" t="s">
        <v>919</v>
      </c>
    </row>
    <row r="3564" spans="1:9">
      <c r="A3564" s="34">
        <v>2084228195</v>
      </c>
      <c r="B3564" s="35" t="s">
        <v>462</v>
      </c>
      <c r="C3564" s="35" t="s">
        <v>405</v>
      </c>
      <c r="D3564" s="35" t="s">
        <v>922</v>
      </c>
      <c r="E3564" s="35" t="s">
        <v>961</v>
      </c>
      <c r="F3564" s="35" t="s">
        <v>353</v>
      </c>
      <c r="G3564" s="35" t="s">
        <v>368</v>
      </c>
      <c r="H3564" s="35" t="s">
        <v>335</v>
      </c>
    </row>
    <row r="3565" spans="1:9">
      <c r="A3565" s="34">
        <v>2084228196</v>
      </c>
      <c r="B3565" s="35" t="s">
        <v>462</v>
      </c>
      <c r="C3565" s="35" t="s">
        <v>405</v>
      </c>
      <c r="D3565" s="35" t="s">
        <v>922</v>
      </c>
      <c r="E3565" s="35" t="s">
        <v>961</v>
      </c>
      <c r="F3565" s="35" t="s">
        <v>353</v>
      </c>
      <c r="G3565" s="35" t="s">
        <v>402</v>
      </c>
    </row>
    <row r="3566" spans="1:9">
      <c r="A3566" s="34">
        <v>2084228197</v>
      </c>
      <c r="B3566" s="35" t="s">
        <v>462</v>
      </c>
      <c r="C3566" s="35" t="s">
        <v>405</v>
      </c>
      <c r="D3566" s="35" t="s">
        <v>922</v>
      </c>
      <c r="E3566" s="35" t="s">
        <v>961</v>
      </c>
      <c r="F3566" s="35" t="s">
        <v>353</v>
      </c>
      <c r="G3566" s="35" t="s">
        <v>403</v>
      </c>
    </row>
    <row r="3567" spans="1:9">
      <c r="A3567" s="34">
        <v>2084228198</v>
      </c>
      <c r="B3567" s="35" t="s">
        <v>462</v>
      </c>
      <c r="C3567" s="35" t="s">
        <v>405</v>
      </c>
      <c r="D3567" s="35" t="s">
        <v>922</v>
      </c>
      <c r="E3567" s="35" t="s">
        <v>961</v>
      </c>
      <c r="F3567" s="35" t="s">
        <v>353</v>
      </c>
      <c r="G3567" s="35" t="s">
        <v>335</v>
      </c>
    </row>
    <row r="3568" spans="1:9">
      <c r="A3568" s="34">
        <v>2084228199</v>
      </c>
      <c r="B3568" s="35" t="s">
        <v>462</v>
      </c>
      <c r="C3568" s="35" t="s">
        <v>405</v>
      </c>
      <c r="D3568" s="35" t="s">
        <v>922</v>
      </c>
      <c r="E3568" s="35" t="s">
        <v>961</v>
      </c>
      <c r="F3568" s="35" t="s">
        <v>335</v>
      </c>
    </row>
    <row r="3569" spans="1:8">
      <c r="A3569" s="34">
        <v>2084055136</v>
      </c>
      <c r="B3569" s="35" t="s">
        <v>462</v>
      </c>
      <c r="C3569" s="35" t="s">
        <v>405</v>
      </c>
      <c r="D3569" s="35" t="s">
        <v>922</v>
      </c>
      <c r="E3569" s="35" t="s">
        <v>962</v>
      </c>
      <c r="F3569" s="35" t="s">
        <v>390</v>
      </c>
      <c r="G3569" s="35" t="s">
        <v>368</v>
      </c>
      <c r="H3569" s="35" t="s">
        <v>481</v>
      </c>
    </row>
    <row r="3570" spans="1:8">
      <c r="A3570" s="34">
        <v>2084055137</v>
      </c>
      <c r="B3570" s="35" t="s">
        <v>462</v>
      </c>
      <c r="C3570" s="35" t="s">
        <v>405</v>
      </c>
      <c r="D3570" s="35" t="s">
        <v>922</v>
      </c>
      <c r="E3570" s="35" t="s">
        <v>962</v>
      </c>
      <c r="F3570" s="35" t="s">
        <v>390</v>
      </c>
      <c r="G3570" s="35" t="s">
        <v>368</v>
      </c>
      <c r="H3570" s="35" t="s">
        <v>335</v>
      </c>
    </row>
    <row r="3571" spans="1:8">
      <c r="A3571" s="34">
        <v>2084055140</v>
      </c>
      <c r="B3571" s="35" t="s">
        <v>462</v>
      </c>
      <c r="C3571" s="35" t="s">
        <v>405</v>
      </c>
      <c r="D3571" s="35" t="s">
        <v>922</v>
      </c>
      <c r="E3571" s="35" t="s">
        <v>962</v>
      </c>
      <c r="F3571" s="35" t="s">
        <v>390</v>
      </c>
      <c r="G3571" s="35" t="s">
        <v>10</v>
      </c>
      <c r="H3571" s="35" t="s">
        <v>397</v>
      </c>
    </row>
    <row r="3572" spans="1:8">
      <c r="A3572" s="34">
        <v>2084055139</v>
      </c>
      <c r="B3572" s="35" t="s">
        <v>462</v>
      </c>
      <c r="C3572" s="35" t="s">
        <v>405</v>
      </c>
      <c r="D3572" s="35" t="s">
        <v>922</v>
      </c>
      <c r="E3572" s="35" t="s">
        <v>962</v>
      </c>
      <c r="F3572" s="35" t="s">
        <v>390</v>
      </c>
      <c r="G3572" s="35" t="s">
        <v>10</v>
      </c>
      <c r="H3572" s="35" t="s">
        <v>421</v>
      </c>
    </row>
    <row r="3573" spans="1:8">
      <c r="A3573" s="34">
        <v>2084055141</v>
      </c>
      <c r="B3573" s="35" t="s">
        <v>462</v>
      </c>
      <c r="C3573" s="35" t="s">
        <v>405</v>
      </c>
      <c r="D3573" s="35" t="s">
        <v>922</v>
      </c>
      <c r="E3573" s="35" t="s">
        <v>962</v>
      </c>
      <c r="F3573" s="35" t="s">
        <v>390</v>
      </c>
      <c r="G3573" s="35" t="s">
        <v>10</v>
      </c>
      <c r="H3573" s="35" t="s">
        <v>398</v>
      </c>
    </row>
    <row r="3574" spans="1:8">
      <c r="A3574" s="34">
        <v>2084055142</v>
      </c>
      <c r="B3574" s="35" t="s">
        <v>462</v>
      </c>
      <c r="C3574" s="35" t="s">
        <v>405</v>
      </c>
      <c r="D3574" s="35" t="s">
        <v>922</v>
      </c>
      <c r="E3574" s="35" t="s">
        <v>962</v>
      </c>
      <c r="F3574" s="35" t="s">
        <v>390</v>
      </c>
      <c r="G3574" s="35" t="s">
        <v>10</v>
      </c>
      <c r="H3574" s="35" t="s">
        <v>422</v>
      </c>
    </row>
    <row r="3575" spans="1:8">
      <c r="A3575" s="34">
        <v>2084055143</v>
      </c>
      <c r="B3575" s="35" t="s">
        <v>462</v>
      </c>
      <c r="C3575" s="35" t="s">
        <v>405</v>
      </c>
      <c r="D3575" s="35" t="s">
        <v>922</v>
      </c>
      <c r="E3575" s="35" t="s">
        <v>962</v>
      </c>
      <c r="F3575" s="35" t="s">
        <v>390</v>
      </c>
      <c r="G3575" s="35" t="s">
        <v>10</v>
      </c>
      <c r="H3575" s="35" t="s">
        <v>335</v>
      </c>
    </row>
    <row r="3576" spans="1:8">
      <c r="A3576" s="34">
        <v>2084055146</v>
      </c>
      <c r="B3576" s="35" t="s">
        <v>462</v>
      </c>
      <c r="C3576" s="35" t="s">
        <v>405</v>
      </c>
      <c r="D3576" s="35" t="s">
        <v>922</v>
      </c>
      <c r="E3576" s="35" t="s">
        <v>962</v>
      </c>
      <c r="F3576" s="35" t="s">
        <v>390</v>
      </c>
      <c r="G3576" s="35" t="s">
        <v>379</v>
      </c>
      <c r="H3576" s="35" t="s">
        <v>335</v>
      </c>
    </row>
    <row r="3577" spans="1:8">
      <c r="A3577" s="34">
        <v>2084055145</v>
      </c>
      <c r="B3577" s="35" t="s">
        <v>462</v>
      </c>
      <c r="C3577" s="35" t="s">
        <v>405</v>
      </c>
      <c r="D3577" s="35" t="s">
        <v>922</v>
      </c>
      <c r="E3577" s="35" t="s">
        <v>962</v>
      </c>
      <c r="F3577" s="35" t="s">
        <v>390</v>
      </c>
      <c r="G3577" s="35" t="s">
        <v>379</v>
      </c>
      <c r="H3577" s="35" t="s">
        <v>476</v>
      </c>
    </row>
    <row r="3578" spans="1:8">
      <c r="A3578" s="34">
        <v>2084061457</v>
      </c>
      <c r="B3578" s="35" t="s">
        <v>462</v>
      </c>
      <c r="C3578" s="35" t="s">
        <v>405</v>
      </c>
      <c r="D3578" s="35" t="s">
        <v>922</v>
      </c>
      <c r="E3578" s="35" t="s">
        <v>962</v>
      </c>
      <c r="F3578" s="35" t="s">
        <v>390</v>
      </c>
      <c r="G3578" s="35" t="s">
        <v>478</v>
      </c>
    </row>
    <row r="3579" spans="1:8">
      <c r="A3579" s="34">
        <v>2084055134</v>
      </c>
      <c r="B3579" s="35" t="s">
        <v>462</v>
      </c>
      <c r="C3579" s="35" t="s">
        <v>405</v>
      </c>
      <c r="D3579" s="35" t="s">
        <v>922</v>
      </c>
      <c r="E3579" s="35" t="s">
        <v>962</v>
      </c>
      <c r="F3579" s="35" t="s">
        <v>390</v>
      </c>
      <c r="G3579" s="35" t="s">
        <v>335</v>
      </c>
    </row>
    <row r="3580" spans="1:8">
      <c r="A3580" s="34">
        <v>2084055126</v>
      </c>
      <c r="B3580" s="35" t="s">
        <v>462</v>
      </c>
      <c r="C3580" s="35" t="s">
        <v>405</v>
      </c>
      <c r="D3580" s="35" t="s">
        <v>922</v>
      </c>
      <c r="E3580" s="35" t="s">
        <v>962</v>
      </c>
      <c r="F3580" s="35" t="s">
        <v>353</v>
      </c>
      <c r="G3580" s="35" t="s">
        <v>335</v>
      </c>
    </row>
    <row r="3581" spans="1:8">
      <c r="A3581" s="34">
        <v>2084055127</v>
      </c>
      <c r="B3581" s="35" t="s">
        <v>462</v>
      </c>
      <c r="C3581" s="35" t="s">
        <v>405</v>
      </c>
      <c r="D3581" s="35" t="s">
        <v>922</v>
      </c>
      <c r="E3581" s="35" t="s">
        <v>962</v>
      </c>
      <c r="F3581" s="35" t="s">
        <v>353</v>
      </c>
      <c r="G3581" s="35" t="s">
        <v>368</v>
      </c>
      <c r="H3581" s="35" t="s">
        <v>481</v>
      </c>
    </row>
    <row r="3582" spans="1:8">
      <c r="A3582" s="34">
        <v>2084055128</v>
      </c>
      <c r="B3582" s="35" t="s">
        <v>462</v>
      </c>
      <c r="C3582" s="35" t="s">
        <v>405</v>
      </c>
      <c r="D3582" s="35" t="s">
        <v>922</v>
      </c>
      <c r="E3582" s="35" t="s">
        <v>962</v>
      </c>
      <c r="F3582" s="35" t="s">
        <v>353</v>
      </c>
      <c r="G3582" s="35" t="s">
        <v>368</v>
      </c>
      <c r="H3582" s="35" t="s">
        <v>335</v>
      </c>
    </row>
    <row r="3583" spans="1:8">
      <c r="A3583" s="34">
        <v>2084055130</v>
      </c>
      <c r="B3583" s="35" t="s">
        <v>462</v>
      </c>
      <c r="C3583" s="35" t="s">
        <v>405</v>
      </c>
      <c r="D3583" s="35" t="s">
        <v>922</v>
      </c>
      <c r="E3583" s="35" t="s">
        <v>962</v>
      </c>
      <c r="F3583" s="35" t="s">
        <v>353</v>
      </c>
      <c r="G3583" s="35" t="s">
        <v>10</v>
      </c>
      <c r="H3583" s="35" t="s">
        <v>397</v>
      </c>
    </row>
    <row r="3584" spans="1:8">
      <c r="A3584" s="34">
        <v>2084055129</v>
      </c>
      <c r="B3584" s="35" t="s">
        <v>462</v>
      </c>
      <c r="C3584" s="35" t="s">
        <v>405</v>
      </c>
      <c r="D3584" s="35" t="s">
        <v>922</v>
      </c>
      <c r="E3584" s="35" t="s">
        <v>962</v>
      </c>
      <c r="F3584" s="35" t="s">
        <v>353</v>
      </c>
      <c r="G3584" s="35" t="s">
        <v>10</v>
      </c>
      <c r="H3584" s="35" t="s">
        <v>421</v>
      </c>
    </row>
    <row r="3585" spans="1:8">
      <c r="A3585" s="34">
        <v>2084055131</v>
      </c>
      <c r="B3585" s="35" t="s">
        <v>462</v>
      </c>
      <c r="C3585" s="35" t="s">
        <v>405</v>
      </c>
      <c r="D3585" s="35" t="s">
        <v>922</v>
      </c>
      <c r="E3585" s="35" t="s">
        <v>962</v>
      </c>
      <c r="F3585" s="35" t="s">
        <v>353</v>
      </c>
      <c r="G3585" s="35" t="s">
        <v>10</v>
      </c>
      <c r="H3585" s="35" t="s">
        <v>398</v>
      </c>
    </row>
    <row r="3586" spans="1:8">
      <c r="A3586" s="34">
        <v>2084055132</v>
      </c>
      <c r="B3586" s="35" t="s">
        <v>462</v>
      </c>
      <c r="C3586" s="35" t="s">
        <v>405</v>
      </c>
      <c r="D3586" s="35" t="s">
        <v>922</v>
      </c>
      <c r="E3586" s="35" t="s">
        <v>962</v>
      </c>
      <c r="F3586" s="35" t="s">
        <v>353</v>
      </c>
      <c r="G3586" s="35" t="s">
        <v>10</v>
      </c>
      <c r="H3586" s="35" t="s">
        <v>422</v>
      </c>
    </row>
    <row r="3587" spans="1:8">
      <c r="A3587" s="34">
        <v>2084055133</v>
      </c>
      <c r="B3587" s="35" t="s">
        <v>462</v>
      </c>
      <c r="C3587" s="35" t="s">
        <v>405</v>
      </c>
      <c r="D3587" s="35" t="s">
        <v>922</v>
      </c>
      <c r="E3587" s="35" t="s">
        <v>962</v>
      </c>
      <c r="F3587" s="35" t="s">
        <v>353</v>
      </c>
      <c r="G3587" s="35" t="s">
        <v>10</v>
      </c>
      <c r="H3587" s="35" t="s">
        <v>335</v>
      </c>
    </row>
    <row r="3588" spans="1:8">
      <c r="A3588" s="34">
        <v>2084055125</v>
      </c>
      <c r="B3588" s="35" t="s">
        <v>462</v>
      </c>
      <c r="C3588" s="35" t="s">
        <v>405</v>
      </c>
      <c r="D3588" s="35" t="s">
        <v>922</v>
      </c>
      <c r="E3588" s="35" t="s">
        <v>962</v>
      </c>
      <c r="F3588" s="35" t="s">
        <v>353</v>
      </c>
      <c r="G3588" s="35" t="s">
        <v>403</v>
      </c>
    </row>
    <row r="3589" spans="1:8">
      <c r="A3589" s="34">
        <v>2084055122</v>
      </c>
      <c r="B3589" s="35" t="s">
        <v>462</v>
      </c>
      <c r="C3589" s="35" t="s">
        <v>405</v>
      </c>
      <c r="D3589" s="35" t="s">
        <v>922</v>
      </c>
      <c r="E3589" s="35" t="s">
        <v>962</v>
      </c>
      <c r="F3589" s="35" t="s">
        <v>335</v>
      </c>
    </row>
    <row r="3590" spans="1:8">
      <c r="A3590" s="34">
        <v>2084056690</v>
      </c>
      <c r="B3590" s="35" t="s">
        <v>462</v>
      </c>
      <c r="C3590" s="35" t="s">
        <v>405</v>
      </c>
      <c r="D3590" s="35" t="s">
        <v>922</v>
      </c>
      <c r="E3590" s="35" t="s">
        <v>963</v>
      </c>
      <c r="F3590" s="35" t="s">
        <v>367</v>
      </c>
    </row>
    <row r="3591" spans="1:8">
      <c r="A3591" s="34">
        <v>2084056691</v>
      </c>
      <c r="B3591" s="35" t="s">
        <v>462</v>
      </c>
      <c r="C3591" s="35" t="s">
        <v>405</v>
      </c>
      <c r="D3591" s="35" t="s">
        <v>922</v>
      </c>
      <c r="E3591" s="35" t="s">
        <v>963</v>
      </c>
      <c r="F3591" s="35" t="s">
        <v>401</v>
      </c>
    </row>
    <row r="3592" spans="1:8">
      <c r="A3592" s="34">
        <v>2084056693</v>
      </c>
      <c r="B3592" s="35" t="s">
        <v>462</v>
      </c>
      <c r="C3592" s="35" t="s">
        <v>405</v>
      </c>
      <c r="D3592" s="35" t="s">
        <v>922</v>
      </c>
      <c r="E3592" s="35" t="s">
        <v>963</v>
      </c>
      <c r="F3592" s="35" t="s">
        <v>10</v>
      </c>
      <c r="G3592" s="35" t="s">
        <v>483</v>
      </c>
    </row>
    <row r="3593" spans="1:8">
      <c r="A3593" s="34">
        <v>2084056695</v>
      </c>
      <c r="B3593" s="35" t="s">
        <v>462</v>
      </c>
      <c r="C3593" s="35" t="s">
        <v>405</v>
      </c>
      <c r="D3593" s="35" t="s">
        <v>922</v>
      </c>
      <c r="E3593" s="35" t="s">
        <v>963</v>
      </c>
      <c r="F3593" s="35" t="s">
        <v>10</v>
      </c>
      <c r="G3593" s="35" t="s">
        <v>397</v>
      </c>
    </row>
    <row r="3594" spans="1:8">
      <c r="A3594" s="34">
        <v>2084056694</v>
      </c>
      <c r="B3594" s="35" t="s">
        <v>462</v>
      </c>
      <c r="C3594" s="35" t="s">
        <v>405</v>
      </c>
      <c r="D3594" s="35" t="s">
        <v>922</v>
      </c>
      <c r="E3594" s="35" t="s">
        <v>963</v>
      </c>
      <c r="F3594" s="35" t="s">
        <v>10</v>
      </c>
      <c r="G3594" s="35" t="s">
        <v>421</v>
      </c>
    </row>
    <row r="3595" spans="1:8">
      <c r="A3595" s="34">
        <v>2084056697</v>
      </c>
      <c r="B3595" s="35" t="s">
        <v>462</v>
      </c>
      <c r="C3595" s="35" t="s">
        <v>405</v>
      </c>
      <c r="D3595" s="35" t="s">
        <v>922</v>
      </c>
      <c r="E3595" s="35" t="s">
        <v>963</v>
      </c>
      <c r="F3595" s="35" t="s">
        <v>10</v>
      </c>
      <c r="G3595" s="35" t="s">
        <v>398</v>
      </c>
    </row>
    <row r="3596" spans="1:8">
      <c r="A3596" s="34">
        <v>2084056696</v>
      </c>
      <c r="B3596" s="35" t="s">
        <v>462</v>
      </c>
      <c r="C3596" s="35" t="s">
        <v>405</v>
      </c>
      <c r="D3596" s="35" t="s">
        <v>922</v>
      </c>
      <c r="E3596" s="35" t="s">
        <v>963</v>
      </c>
      <c r="F3596" s="35" t="s">
        <v>10</v>
      </c>
      <c r="G3596" s="35" t="s">
        <v>422</v>
      </c>
    </row>
    <row r="3597" spans="1:8">
      <c r="A3597" s="34">
        <v>2084056698</v>
      </c>
      <c r="B3597" s="35" t="s">
        <v>462</v>
      </c>
      <c r="C3597" s="35" t="s">
        <v>405</v>
      </c>
      <c r="D3597" s="35" t="s">
        <v>922</v>
      </c>
      <c r="E3597" s="35" t="s">
        <v>963</v>
      </c>
      <c r="F3597" s="35" t="s">
        <v>10</v>
      </c>
      <c r="G3597" s="35" t="s">
        <v>335</v>
      </c>
    </row>
    <row r="3598" spans="1:8">
      <c r="A3598" s="34">
        <v>2084056700</v>
      </c>
      <c r="B3598" s="35" t="s">
        <v>462</v>
      </c>
      <c r="C3598" s="35" t="s">
        <v>405</v>
      </c>
      <c r="D3598" s="35" t="s">
        <v>922</v>
      </c>
      <c r="E3598" s="35" t="s">
        <v>963</v>
      </c>
      <c r="F3598" s="35" t="s">
        <v>379</v>
      </c>
      <c r="G3598" s="35" t="s">
        <v>476</v>
      </c>
    </row>
    <row r="3599" spans="1:8">
      <c r="A3599" s="34">
        <v>2084056701</v>
      </c>
      <c r="B3599" s="35" t="s">
        <v>462</v>
      </c>
      <c r="C3599" s="35" t="s">
        <v>405</v>
      </c>
      <c r="D3599" s="35" t="s">
        <v>922</v>
      </c>
      <c r="E3599" s="35" t="s">
        <v>963</v>
      </c>
      <c r="F3599" s="35" t="s">
        <v>379</v>
      </c>
      <c r="G3599" s="35" t="s">
        <v>335</v>
      </c>
    </row>
    <row r="3600" spans="1:8">
      <c r="A3600" s="34">
        <v>2084061458</v>
      </c>
      <c r="B3600" s="35" t="s">
        <v>462</v>
      </c>
      <c r="C3600" s="35" t="s">
        <v>405</v>
      </c>
      <c r="D3600" s="35" t="s">
        <v>922</v>
      </c>
      <c r="E3600" s="35" t="s">
        <v>963</v>
      </c>
      <c r="F3600" s="35" t="s">
        <v>478</v>
      </c>
    </row>
    <row r="3601" spans="1:8">
      <c r="A3601" s="34">
        <v>2084056702</v>
      </c>
      <c r="B3601" s="35" t="s">
        <v>462</v>
      </c>
      <c r="C3601" s="35" t="s">
        <v>405</v>
      </c>
      <c r="D3601" s="35" t="s">
        <v>922</v>
      </c>
      <c r="E3601" s="35" t="s">
        <v>963</v>
      </c>
      <c r="F3601" s="35" t="s">
        <v>335</v>
      </c>
    </row>
    <row r="3602" spans="1:8">
      <c r="A3602" s="34">
        <v>2084283160</v>
      </c>
      <c r="B3602" s="35" t="s">
        <v>462</v>
      </c>
      <c r="C3602" s="35" t="s">
        <v>405</v>
      </c>
      <c r="D3602" s="35" t="s">
        <v>922</v>
      </c>
      <c r="E3602" s="35" t="s">
        <v>964</v>
      </c>
    </row>
    <row r="3603" spans="1:8">
      <c r="A3603" s="34">
        <v>2084050240</v>
      </c>
      <c r="B3603" s="35" t="s">
        <v>462</v>
      </c>
      <c r="C3603" s="35" t="s">
        <v>405</v>
      </c>
      <c r="D3603" s="35" t="s">
        <v>922</v>
      </c>
      <c r="E3603" s="35" t="s">
        <v>965</v>
      </c>
    </row>
    <row r="3604" spans="1:8">
      <c r="A3604" s="34">
        <v>2084301248</v>
      </c>
      <c r="B3604" s="35" t="s">
        <v>462</v>
      </c>
      <c r="C3604" s="35" t="s">
        <v>405</v>
      </c>
      <c r="D3604" s="35" t="s">
        <v>922</v>
      </c>
      <c r="E3604" s="35" t="s">
        <v>966</v>
      </c>
      <c r="F3604" s="35" t="s">
        <v>407</v>
      </c>
    </row>
    <row r="3605" spans="1:8">
      <c r="A3605" s="34">
        <v>2084301247</v>
      </c>
      <c r="B3605" s="35" t="s">
        <v>462</v>
      </c>
      <c r="C3605" s="35" t="s">
        <v>405</v>
      </c>
      <c r="D3605" s="35" t="s">
        <v>922</v>
      </c>
      <c r="E3605" s="35" t="s">
        <v>966</v>
      </c>
      <c r="F3605" s="35" t="s">
        <v>408</v>
      </c>
    </row>
    <row r="3606" spans="1:8">
      <c r="A3606" s="34">
        <v>2084050242</v>
      </c>
      <c r="B3606" s="35" t="s">
        <v>462</v>
      </c>
      <c r="C3606" s="35" t="s">
        <v>405</v>
      </c>
      <c r="D3606" s="35" t="s">
        <v>922</v>
      </c>
      <c r="E3606" s="35" t="s">
        <v>967</v>
      </c>
    </row>
    <row r="3607" spans="1:8">
      <c r="A3607" s="34">
        <v>2084050941</v>
      </c>
      <c r="B3607" s="35" t="s">
        <v>462</v>
      </c>
      <c r="C3607" s="35" t="s">
        <v>405</v>
      </c>
      <c r="D3607" s="35" t="s">
        <v>922</v>
      </c>
      <c r="E3607" s="35" t="s">
        <v>968</v>
      </c>
      <c r="F3607" s="35" t="s">
        <v>475</v>
      </c>
    </row>
    <row r="3608" spans="1:8">
      <c r="A3608" s="34">
        <v>2084048678</v>
      </c>
      <c r="B3608" s="35" t="s">
        <v>462</v>
      </c>
      <c r="C3608" s="35" t="s">
        <v>405</v>
      </c>
      <c r="D3608" s="35" t="s">
        <v>922</v>
      </c>
      <c r="E3608" s="35" t="s">
        <v>968</v>
      </c>
      <c r="F3608" s="35" t="s">
        <v>335</v>
      </c>
    </row>
    <row r="3609" spans="1:8">
      <c r="A3609" s="34">
        <v>2084033993</v>
      </c>
      <c r="B3609" s="35" t="s">
        <v>462</v>
      </c>
      <c r="C3609" s="35" t="s">
        <v>405</v>
      </c>
      <c r="D3609" s="35" t="s">
        <v>922</v>
      </c>
      <c r="E3609" s="35" t="s">
        <v>968</v>
      </c>
      <c r="F3609" s="35" t="s">
        <v>537</v>
      </c>
    </row>
    <row r="3610" spans="1:8">
      <c r="A3610" s="34">
        <v>2084050945</v>
      </c>
      <c r="B3610" s="35" t="s">
        <v>462</v>
      </c>
      <c r="C3610" s="35" t="s">
        <v>405</v>
      </c>
      <c r="D3610" s="35" t="s">
        <v>922</v>
      </c>
      <c r="E3610" s="35" t="s">
        <v>968</v>
      </c>
      <c r="F3610" s="35" t="s">
        <v>390</v>
      </c>
      <c r="G3610" s="35" t="s">
        <v>368</v>
      </c>
      <c r="H3610" s="35" t="s">
        <v>481</v>
      </c>
    </row>
    <row r="3611" spans="1:8">
      <c r="A3611" s="34">
        <v>2084050946</v>
      </c>
      <c r="B3611" s="35" t="s">
        <v>462</v>
      </c>
      <c r="C3611" s="35" t="s">
        <v>405</v>
      </c>
      <c r="D3611" s="35" t="s">
        <v>922</v>
      </c>
      <c r="E3611" s="35" t="s">
        <v>968</v>
      </c>
      <c r="F3611" s="35" t="s">
        <v>390</v>
      </c>
      <c r="G3611" s="35" t="s">
        <v>368</v>
      </c>
      <c r="H3611" s="35" t="s">
        <v>335</v>
      </c>
    </row>
    <row r="3612" spans="1:8">
      <c r="A3612" s="34">
        <v>2084050950</v>
      </c>
      <c r="B3612" s="35" t="s">
        <v>462</v>
      </c>
      <c r="C3612" s="35" t="s">
        <v>405</v>
      </c>
      <c r="D3612" s="35" t="s">
        <v>922</v>
      </c>
      <c r="E3612" s="35" t="s">
        <v>968</v>
      </c>
      <c r="F3612" s="35" t="s">
        <v>390</v>
      </c>
      <c r="G3612" s="35" t="s">
        <v>10</v>
      </c>
      <c r="H3612" s="35" t="s">
        <v>622</v>
      </c>
    </row>
    <row r="3613" spans="1:8">
      <c r="A3613" s="34">
        <v>2084050949</v>
      </c>
      <c r="B3613" s="35" t="s">
        <v>462</v>
      </c>
      <c r="C3613" s="35" t="s">
        <v>405</v>
      </c>
      <c r="D3613" s="35" t="s">
        <v>922</v>
      </c>
      <c r="E3613" s="35" t="s">
        <v>968</v>
      </c>
      <c r="F3613" s="35" t="s">
        <v>390</v>
      </c>
      <c r="G3613" s="35" t="s">
        <v>10</v>
      </c>
      <c r="H3613" s="35" t="s">
        <v>397</v>
      </c>
    </row>
    <row r="3614" spans="1:8">
      <c r="A3614" s="34">
        <v>2084050948</v>
      </c>
      <c r="B3614" s="35" t="s">
        <v>462</v>
      </c>
      <c r="C3614" s="35" t="s">
        <v>405</v>
      </c>
      <c r="D3614" s="35" t="s">
        <v>922</v>
      </c>
      <c r="E3614" s="35" t="s">
        <v>968</v>
      </c>
      <c r="F3614" s="35" t="s">
        <v>390</v>
      </c>
      <c r="G3614" s="35" t="s">
        <v>10</v>
      </c>
      <c r="H3614" s="35" t="s">
        <v>398</v>
      </c>
    </row>
    <row r="3615" spans="1:8">
      <c r="A3615" s="34">
        <v>2084050951</v>
      </c>
      <c r="B3615" s="35" t="s">
        <v>462</v>
      </c>
      <c r="C3615" s="35" t="s">
        <v>405</v>
      </c>
      <c r="D3615" s="35" t="s">
        <v>922</v>
      </c>
      <c r="E3615" s="35" t="s">
        <v>968</v>
      </c>
      <c r="F3615" s="35" t="s">
        <v>390</v>
      </c>
      <c r="G3615" s="35" t="s">
        <v>10</v>
      </c>
      <c r="H3615" s="35" t="s">
        <v>335</v>
      </c>
    </row>
    <row r="3616" spans="1:8">
      <c r="A3616" s="34">
        <v>2084050953</v>
      </c>
      <c r="B3616" s="35" t="s">
        <v>462</v>
      </c>
      <c r="C3616" s="35" t="s">
        <v>405</v>
      </c>
      <c r="D3616" s="35" t="s">
        <v>922</v>
      </c>
      <c r="E3616" s="35" t="s">
        <v>968</v>
      </c>
      <c r="F3616" s="35" t="s">
        <v>390</v>
      </c>
      <c r="G3616" s="35" t="s">
        <v>379</v>
      </c>
      <c r="H3616" s="35" t="s">
        <v>476</v>
      </c>
    </row>
    <row r="3617" spans="1:8">
      <c r="A3617" s="34">
        <v>2084050954</v>
      </c>
      <c r="B3617" s="35" t="s">
        <v>462</v>
      </c>
      <c r="C3617" s="35" t="s">
        <v>405</v>
      </c>
      <c r="D3617" s="35" t="s">
        <v>922</v>
      </c>
      <c r="E3617" s="35" t="s">
        <v>968</v>
      </c>
      <c r="F3617" s="35" t="s">
        <v>390</v>
      </c>
      <c r="G3617" s="35" t="s">
        <v>379</v>
      </c>
      <c r="H3617" s="35" t="s">
        <v>335</v>
      </c>
    </row>
    <row r="3618" spans="1:8">
      <c r="A3618" s="34">
        <v>2084061459</v>
      </c>
      <c r="B3618" s="35" t="s">
        <v>462</v>
      </c>
      <c r="C3618" s="35" t="s">
        <v>405</v>
      </c>
      <c r="D3618" s="35" t="s">
        <v>922</v>
      </c>
      <c r="E3618" s="35" t="s">
        <v>968</v>
      </c>
      <c r="F3618" s="35" t="s">
        <v>390</v>
      </c>
      <c r="G3618" s="35" t="s">
        <v>478</v>
      </c>
    </row>
    <row r="3619" spans="1:8">
      <c r="A3619" s="34">
        <v>2084050943</v>
      </c>
      <c r="B3619" s="35" t="s">
        <v>462</v>
      </c>
      <c r="C3619" s="35" t="s">
        <v>405</v>
      </c>
      <c r="D3619" s="35" t="s">
        <v>922</v>
      </c>
      <c r="E3619" s="35" t="s">
        <v>968</v>
      </c>
      <c r="F3619" s="35" t="s">
        <v>390</v>
      </c>
      <c r="G3619" s="35" t="s">
        <v>335</v>
      </c>
    </row>
    <row r="3620" spans="1:8">
      <c r="A3620" s="34">
        <v>2084246115</v>
      </c>
      <c r="B3620" s="35" t="s">
        <v>462</v>
      </c>
      <c r="C3620" s="35" t="s">
        <v>405</v>
      </c>
      <c r="D3620" s="35" t="s">
        <v>922</v>
      </c>
      <c r="E3620" s="35" t="s">
        <v>968</v>
      </c>
      <c r="F3620" s="35" t="s">
        <v>408</v>
      </c>
    </row>
    <row r="3621" spans="1:8">
      <c r="A3621" s="34">
        <v>2084061460</v>
      </c>
      <c r="B3621" s="35" t="s">
        <v>462</v>
      </c>
      <c r="C3621" s="35" t="s">
        <v>405</v>
      </c>
      <c r="D3621" s="35" t="s">
        <v>922</v>
      </c>
      <c r="E3621" s="35" t="s">
        <v>969</v>
      </c>
      <c r="F3621" s="35" t="s">
        <v>475</v>
      </c>
    </row>
    <row r="3622" spans="1:8">
      <c r="A3622" s="34">
        <v>2084055256</v>
      </c>
      <c r="B3622" s="35" t="s">
        <v>462</v>
      </c>
      <c r="C3622" s="35" t="s">
        <v>405</v>
      </c>
      <c r="D3622" s="35" t="s">
        <v>922</v>
      </c>
      <c r="E3622" s="35" t="s">
        <v>969</v>
      </c>
      <c r="F3622" s="35" t="s">
        <v>367</v>
      </c>
    </row>
    <row r="3623" spans="1:8">
      <c r="A3623" s="34">
        <v>2084055258</v>
      </c>
      <c r="B3623" s="35" t="s">
        <v>462</v>
      </c>
      <c r="C3623" s="35" t="s">
        <v>405</v>
      </c>
      <c r="D3623" s="35" t="s">
        <v>922</v>
      </c>
      <c r="E3623" s="35" t="s">
        <v>969</v>
      </c>
      <c r="F3623" s="35" t="s">
        <v>368</v>
      </c>
      <c r="G3623" s="35" t="s">
        <v>481</v>
      </c>
    </row>
    <row r="3624" spans="1:8">
      <c r="A3624" s="34">
        <v>2084055259</v>
      </c>
      <c r="B3624" s="35" t="s">
        <v>462</v>
      </c>
      <c r="C3624" s="35" t="s">
        <v>405</v>
      </c>
      <c r="D3624" s="35" t="s">
        <v>922</v>
      </c>
      <c r="E3624" s="35" t="s">
        <v>969</v>
      </c>
      <c r="F3624" s="35" t="s">
        <v>368</v>
      </c>
      <c r="G3624" s="35" t="s">
        <v>335</v>
      </c>
    </row>
    <row r="3625" spans="1:8">
      <c r="A3625" s="34">
        <v>2084055265</v>
      </c>
      <c r="B3625" s="35" t="s">
        <v>462</v>
      </c>
      <c r="C3625" s="35" t="s">
        <v>405</v>
      </c>
      <c r="D3625" s="35" t="s">
        <v>922</v>
      </c>
      <c r="E3625" s="35" t="s">
        <v>969</v>
      </c>
      <c r="F3625" s="35" t="s">
        <v>10</v>
      </c>
      <c r="G3625" s="35" t="s">
        <v>483</v>
      </c>
    </row>
    <row r="3626" spans="1:8">
      <c r="A3626" s="34">
        <v>2084055262</v>
      </c>
      <c r="B3626" s="35" t="s">
        <v>462</v>
      </c>
      <c r="C3626" s="35" t="s">
        <v>405</v>
      </c>
      <c r="D3626" s="35" t="s">
        <v>922</v>
      </c>
      <c r="E3626" s="35" t="s">
        <v>969</v>
      </c>
      <c r="F3626" s="35" t="s">
        <v>10</v>
      </c>
      <c r="G3626" s="35" t="s">
        <v>397</v>
      </c>
    </row>
    <row r="3627" spans="1:8">
      <c r="A3627" s="34">
        <v>2084055264</v>
      </c>
      <c r="B3627" s="35" t="s">
        <v>462</v>
      </c>
      <c r="C3627" s="35" t="s">
        <v>405</v>
      </c>
      <c r="D3627" s="35" t="s">
        <v>922</v>
      </c>
      <c r="E3627" s="35" t="s">
        <v>969</v>
      </c>
      <c r="F3627" s="35" t="s">
        <v>10</v>
      </c>
      <c r="G3627" s="35" t="s">
        <v>421</v>
      </c>
    </row>
    <row r="3628" spans="1:8">
      <c r="A3628" s="34">
        <v>2084055261</v>
      </c>
      <c r="B3628" s="35" t="s">
        <v>462</v>
      </c>
      <c r="C3628" s="35" t="s">
        <v>405</v>
      </c>
      <c r="D3628" s="35" t="s">
        <v>922</v>
      </c>
      <c r="E3628" s="35" t="s">
        <v>969</v>
      </c>
      <c r="F3628" s="35" t="s">
        <v>10</v>
      </c>
      <c r="G3628" s="35" t="s">
        <v>398</v>
      </c>
    </row>
    <row r="3629" spans="1:8">
      <c r="A3629" s="34">
        <v>2084055263</v>
      </c>
      <c r="B3629" s="35" t="s">
        <v>462</v>
      </c>
      <c r="C3629" s="35" t="s">
        <v>405</v>
      </c>
      <c r="D3629" s="35" t="s">
        <v>922</v>
      </c>
      <c r="E3629" s="35" t="s">
        <v>969</v>
      </c>
      <c r="F3629" s="35" t="s">
        <v>10</v>
      </c>
      <c r="G3629" s="35" t="s">
        <v>422</v>
      </c>
    </row>
    <row r="3630" spans="1:8">
      <c r="A3630" s="34">
        <v>2084055266</v>
      </c>
      <c r="B3630" s="35" t="s">
        <v>462</v>
      </c>
      <c r="C3630" s="35" t="s">
        <v>405</v>
      </c>
      <c r="D3630" s="35" t="s">
        <v>922</v>
      </c>
      <c r="E3630" s="35" t="s">
        <v>969</v>
      </c>
      <c r="F3630" s="35" t="s">
        <v>10</v>
      </c>
      <c r="G3630" s="35" t="s">
        <v>335</v>
      </c>
    </row>
    <row r="3631" spans="1:8">
      <c r="A3631" s="34">
        <v>2084055268</v>
      </c>
      <c r="B3631" s="35" t="s">
        <v>462</v>
      </c>
      <c r="C3631" s="35" t="s">
        <v>405</v>
      </c>
      <c r="D3631" s="35" t="s">
        <v>922</v>
      </c>
      <c r="E3631" s="35" t="s">
        <v>969</v>
      </c>
      <c r="F3631" s="35" t="s">
        <v>379</v>
      </c>
      <c r="G3631" s="35" t="s">
        <v>476</v>
      </c>
    </row>
    <row r="3632" spans="1:8">
      <c r="A3632" s="34">
        <v>2084055269</v>
      </c>
      <c r="B3632" s="35" t="s">
        <v>462</v>
      </c>
      <c r="C3632" s="35" t="s">
        <v>405</v>
      </c>
      <c r="D3632" s="35" t="s">
        <v>922</v>
      </c>
      <c r="E3632" s="35" t="s">
        <v>969</v>
      </c>
      <c r="F3632" s="35" t="s">
        <v>379</v>
      </c>
      <c r="G3632" s="35" t="s">
        <v>335</v>
      </c>
    </row>
    <row r="3633" spans="1:8">
      <c r="A3633" s="34">
        <v>2084055270</v>
      </c>
      <c r="B3633" s="35" t="s">
        <v>462</v>
      </c>
      <c r="C3633" s="35" t="s">
        <v>405</v>
      </c>
      <c r="D3633" s="35" t="s">
        <v>922</v>
      </c>
      <c r="E3633" s="35" t="s">
        <v>969</v>
      </c>
      <c r="F3633" s="35" t="s">
        <v>335</v>
      </c>
    </row>
    <row r="3634" spans="1:8">
      <c r="A3634" s="34">
        <v>2084255841</v>
      </c>
      <c r="B3634" s="35" t="s">
        <v>462</v>
      </c>
      <c r="C3634" s="35" t="s">
        <v>405</v>
      </c>
      <c r="D3634" s="35" t="s">
        <v>922</v>
      </c>
      <c r="E3634" s="35" t="s">
        <v>970</v>
      </c>
    </row>
    <row r="3635" spans="1:8">
      <c r="A3635" s="34">
        <v>2084054823</v>
      </c>
      <c r="B3635" s="35" t="s">
        <v>462</v>
      </c>
      <c r="C3635" s="35" t="s">
        <v>405</v>
      </c>
      <c r="D3635" s="35" t="s">
        <v>922</v>
      </c>
      <c r="E3635" s="35" t="s">
        <v>971</v>
      </c>
      <c r="F3635" s="35" t="s">
        <v>390</v>
      </c>
      <c r="G3635" s="35" t="s">
        <v>367</v>
      </c>
    </row>
    <row r="3636" spans="1:8">
      <c r="A3636" s="34">
        <v>2084054824</v>
      </c>
      <c r="B3636" s="35" t="s">
        <v>462</v>
      </c>
      <c r="C3636" s="35" t="s">
        <v>405</v>
      </c>
      <c r="D3636" s="35" t="s">
        <v>922</v>
      </c>
      <c r="E3636" s="35" t="s">
        <v>971</v>
      </c>
      <c r="F3636" s="35" t="s">
        <v>390</v>
      </c>
      <c r="G3636" s="35" t="s">
        <v>401</v>
      </c>
    </row>
    <row r="3637" spans="1:8">
      <c r="A3637" s="34">
        <v>2084054830</v>
      </c>
      <c r="B3637" s="35" t="s">
        <v>462</v>
      </c>
      <c r="C3637" s="35" t="s">
        <v>405</v>
      </c>
      <c r="D3637" s="35" t="s">
        <v>922</v>
      </c>
      <c r="E3637" s="35" t="s">
        <v>971</v>
      </c>
      <c r="F3637" s="35" t="s">
        <v>390</v>
      </c>
      <c r="G3637" s="35" t="s">
        <v>10</v>
      </c>
      <c r="H3637" s="35" t="s">
        <v>483</v>
      </c>
    </row>
    <row r="3638" spans="1:8">
      <c r="A3638" s="34">
        <v>2084054827</v>
      </c>
      <c r="B3638" s="35" t="s">
        <v>462</v>
      </c>
      <c r="C3638" s="35" t="s">
        <v>405</v>
      </c>
      <c r="D3638" s="35" t="s">
        <v>922</v>
      </c>
      <c r="E3638" s="35" t="s">
        <v>971</v>
      </c>
      <c r="F3638" s="35" t="s">
        <v>390</v>
      </c>
      <c r="G3638" s="35" t="s">
        <v>10</v>
      </c>
      <c r="H3638" s="35" t="s">
        <v>397</v>
      </c>
    </row>
    <row r="3639" spans="1:8">
      <c r="A3639" s="34">
        <v>2084054829</v>
      </c>
      <c r="B3639" s="35" t="s">
        <v>462</v>
      </c>
      <c r="C3639" s="35" t="s">
        <v>405</v>
      </c>
      <c r="D3639" s="35" t="s">
        <v>922</v>
      </c>
      <c r="E3639" s="35" t="s">
        <v>971</v>
      </c>
      <c r="F3639" s="35" t="s">
        <v>390</v>
      </c>
      <c r="G3639" s="35" t="s">
        <v>10</v>
      </c>
      <c r="H3639" s="35" t="s">
        <v>421</v>
      </c>
    </row>
    <row r="3640" spans="1:8">
      <c r="A3640" s="34">
        <v>2084054826</v>
      </c>
      <c r="B3640" s="35" t="s">
        <v>462</v>
      </c>
      <c r="C3640" s="35" t="s">
        <v>405</v>
      </c>
      <c r="D3640" s="35" t="s">
        <v>922</v>
      </c>
      <c r="E3640" s="35" t="s">
        <v>971</v>
      </c>
      <c r="F3640" s="35" t="s">
        <v>390</v>
      </c>
      <c r="G3640" s="35" t="s">
        <v>10</v>
      </c>
      <c r="H3640" s="35" t="s">
        <v>398</v>
      </c>
    </row>
    <row r="3641" spans="1:8">
      <c r="A3641" s="34">
        <v>2084054828</v>
      </c>
      <c r="B3641" s="35" t="s">
        <v>462</v>
      </c>
      <c r="C3641" s="35" t="s">
        <v>405</v>
      </c>
      <c r="D3641" s="35" t="s">
        <v>922</v>
      </c>
      <c r="E3641" s="35" t="s">
        <v>971</v>
      </c>
      <c r="F3641" s="35" t="s">
        <v>390</v>
      </c>
      <c r="G3641" s="35" t="s">
        <v>10</v>
      </c>
      <c r="H3641" s="35" t="s">
        <v>422</v>
      </c>
    </row>
    <row r="3642" spans="1:8">
      <c r="A3642" s="34">
        <v>2084054831</v>
      </c>
      <c r="B3642" s="35" t="s">
        <v>462</v>
      </c>
      <c r="C3642" s="35" t="s">
        <v>405</v>
      </c>
      <c r="D3642" s="35" t="s">
        <v>922</v>
      </c>
      <c r="E3642" s="35" t="s">
        <v>971</v>
      </c>
      <c r="F3642" s="35" t="s">
        <v>390</v>
      </c>
      <c r="G3642" s="35" t="s">
        <v>10</v>
      </c>
      <c r="H3642" s="35" t="s">
        <v>335</v>
      </c>
    </row>
    <row r="3643" spans="1:8">
      <c r="A3643" s="34">
        <v>2084054833</v>
      </c>
      <c r="B3643" s="35" t="s">
        <v>462</v>
      </c>
      <c r="C3643" s="35" t="s">
        <v>405</v>
      </c>
      <c r="D3643" s="35" t="s">
        <v>922</v>
      </c>
      <c r="E3643" s="35" t="s">
        <v>971</v>
      </c>
      <c r="F3643" s="35" t="s">
        <v>390</v>
      </c>
      <c r="G3643" s="35" t="s">
        <v>379</v>
      </c>
      <c r="H3643" s="35" t="s">
        <v>476</v>
      </c>
    </row>
    <row r="3644" spans="1:8">
      <c r="A3644" s="34">
        <v>2084054834</v>
      </c>
      <c r="B3644" s="35" t="s">
        <v>462</v>
      </c>
      <c r="C3644" s="35" t="s">
        <v>405</v>
      </c>
      <c r="D3644" s="35" t="s">
        <v>922</v>
      </c>
      <c r="E3644" s="35" t="s">
        <v>971</v>
      </c>
      <c r="F3644" s="35" t="s">
        <v>390</v>
      </c>
      <c r="G3644" s="35" t="s">
        <v>379</v>
      </c>
      <c r="H3644" s="35" t="s">
        <v>335</v>
      </c>
    </row>
    <row r="3645" spans="1:8">
      <c r="A3645" s="34">
        <v>2084054835</v>
      </c>
      <c r="B3645" s="35" t="s">
        <v>462</v>
      </c>
      <c r="C3645" s="35" t="s">
        <v>405</v>
      </c>
      <c r="D3645" s="35" t="s">
        <v>922</v>
      </c>
      <c r="E3645" s="35" t="s">
        <v>971</v>
      </c>
      <c r="F3645" s="35" t="s">
        <v>390</v>
      </c>
      <c r="G3645" s="35" t="s">
        <v>335</v>
      </c>
    </row>
    <row r="3646" spans="1:8">
      <c r="A3646" s="34">
        <v>2084054836</v>
      </c>
      <c r="B3646" s="35" t="s">
        <v>462</v>
      </c>
      <c r="C3646" s="35" t="s">
        <v>405</v>
      </c>
      <c r="D3646" s="35" t="s">
        <v>922</v>
      </c>
      <c r="E3646" s="35" t="s">
        <v>971</v>
      </c>
      <c r="F3646" s="35" t="s">
        <v>335</v>
      </c>
    </row>
    <row r="3647" spans="1:8">
      <c r="A3647" s="34">
        <v>2084212746</v>
      </c>
      <c r="B3647" s="35" t="s">
        <v>462</v>
      </c>
      <c r="C3647" s="35" t="s">
        <v>405</v>
      </c>
      <c r="D3647" s="35" t="s">
        <v>922</v>
      </c>
      <c r="E3647" s="35" t="s">
        <v>972</v>
      </c>
      <c r="F3647" s="35" t="s">
        <v>367</v>
      </c>
    </row>
    <row r="3648" spans="1:8">
      <c r="A3648" s="34">
        <v>2084212749</v>
      </c>
      <c r="B3648" s="35" t="s">
        <v>462</v>
      </c>
      <c r="C3648" s="35" t="s">
        <v>405</v>
      </c>
      <c r="D3648" s="35" t="s">
        <v>922</v>
      </c>
      <c r="E3648" s="35" t="s">
        <v>972</v>
      </c>
      <c r="F3648" s="35" t="s">
        <v>368</v>
      </c>
      <c r="G3648" s="35" t="s">
        <v>481</v>
      </c>
    </row>
    <row r="3649" spans="1:7">
      <c r="A3649" s="34">
        <v>2084212748</v>
      </c>
      <c r="B3649" s="35" t="s">
        <v>462</v>
      </c>
      <c r="C3649" s="35" t="s">
        <v>405</v>
      </c>
      <c r="D3649" s="35" t="s">
        <v>922</v>
      </c>
      <c r="E3649" s="35" t="s">
        <v>972</v>
      </c>
      <c r="F3649" s="35" t="s">
        <v>368</v>
      </c>
      <c r="G3649" s="35" t="s">
        <v>482</v>
      </c>
    </row>
    <row r="3650" spans="1:7">
      <c r="A3650" s="34">
        <v>2084212750</v>
      </c>
      <c r="B3650" s="35" t="s">
        <v>462</v>
      </c>
      <c r="C3650" s="35" t="s">
        <v>405</v>
      </c>
      <c r="D3650" s="35" t="s">
        <v>922</v>
      </c>
      <c r="E3650" s="35" t="s">
        <v>972</v>
      </c>
      <c r="F3650" s="35" t="s">
        <v>368</v>
      </c>
      <c r="G3650" s="35" t="s">
        <v>335</v>
      </c>
    </row>
    <row r="3651" spans="1:7">
      <c r="A3651" s="34">
        <v>2084212756</v>
      </c>
      <c r="B3651" s="35" t="s">
        <v>462</v>
      </c>
      <c r="C3651" s="35" t="s">
        <v>405</v>
      </c>
      <c r="D3651" s="35" t="s">
        <v>922</v>
      </c>
      <c r="E3651" s="35" t="s">
        <v>972</v>
      </c>
      <c r="F3651" s="35" t="s">
        <v>10</v>
      </c>
      <c r="G3651" s="35" t="s">
        <v>483</v>
      </c>
    </row>
    <row r="3652" spans="1:7">
      <c r="A3652" s="34">
        <v>2084212753</v>
      </c>
      <c r="B3652" s="35" t="s">
        <v>462</v>
      </c>
      <c r="C3652" s="35" t="s">
        <v>405</v>
      </c>
      <c r="D3652" s="35" t="s">
        <v>922</v>
      </c>
      <c r="E3652" s="35" t="s">
        <v>972</v>
      </c>
      <c r="F3652" s="35" t="s">
        <v>10</v>
      </c>
      <c r="G3652" s="35" t="s">
        <v>397</v>
      </c>
    </row>
    <row r="3653" spans="1:7">
      <c r="A3653" s="34">
        <v>2084212755</v>
      </c>
      <c r="B3653" s="35" t="s">
        <v>462</v>
      </c>
      <c r="C3653" s="35" t="s">
        <v>405</v>
      </c>
      <c r="D3653" s="35" t="s">
        <v>922</v>
      </c>
      <c r="E3653" s="35" t="s">
        <v>972</v>
      </c>
      <c r="F3653" s="35" t="s">
        <v>10</v>
      </c>
      <c r="G3653" s="35" t="s">
        <v>421</v>
      </c>
    </row>
    <row r="3654" spans="1:7">
      <c r="A3654" s="34">
        <v>2084212752</v>
      </c>
      <c r="B3654" s="35" t="s">
        <v>462</v>
      </c>
      <c r="C3654" s="35" t="s">
        <v>405</v>
      </c>
      <c r="D3654" s="35" t="s">
        <v>922</v>
      </c>
      <c r="E3654" s="35" t="s">
        <v>972</v>
      </c>
      <c r="F3654" s="35" t="s">
        <v>10</v>
      </c>
      <c r="G3654" s="35" t="s">
        <v>398</v>
      </c>
    </row>
    <row r="3655" spans="1:7">
      <c r="A3655" s="34">
        <v>2084212754</v>
      </c>
      <c r="B3655" s="35" t="s">
        <v>462</v>
      </c>
      <c r="C3655" s="35" t="s">
        <v>405</v>
      </c>
      <c r="D3655" s="35" t="s">
        <v>922</v>
      </c>
      <c r="E3655" s="35" t="s">
        <v>972</v>
      </c>
      <c r="F3655" s="35" t="s">
        <v>10</v>
      </c>
      <c r="G3655" s="35" t="s">
        <v>422</v>
      </c>
    </row>
    <row r="3656" spans="1:7">
      <c r="A3656" s="34">
        <v>2084212757</v>
      </c>
      <c r="B3656" s="35" t="s">
        <v>462</v>
      </c>
      <c r="C3656" s="35" t="s">
        <v>405</v>
      </c>
      <c r="D3656" s="35" t="s">
        <v>922</v>
      </c>
      <c r="E3656" s="35" t="s">
        <v>972</v>
      </c>
      <c r="F3656" s="35" t="s">
        <v>10</v>
      </c>
      <c r="G3656" s="35" t="s">
        <v>335</v>
      </c>
    </row>
    <row r="3657" spans="1:7">
      <c r="A3657" s="34">
        <v>2084212759</v>
      </c>
      <c r="B3657" s="35" t="s">
        <v>462</v>
      </c>
      <c r="C3657" s="35" t="s">
        <v>405</v>
      </c>
      <c r="D3657" s="35" t="s">
        <v>922</v>
      </c>
      <c r="E3657" s="35" t="s">
        <v>972</v>
      </c>
      <c r="F3657" s="35" t="s">
        <v>379</v>
      </c>
      <c r="G3657" s="35" t="s">
        <v>476</v>
      </c>
    </row>
    <row r="3658" spans="1:7">
      <c r="A3658" s="34">
        <v>2084212760</v>
      </c>
      <c r="B3658" s="35" t="s">
        <v>462</v>
      </c>
      <c r="C3658" s="35" t="s">
        <v>405</v>
      </c>
      <c r="D3658" s="35" t="s">
        <v>922</v>
      </c>
      <c r="E3658" s="35" t="s">
        <v>972</v>
      </c>
      <c r="F3658" s="35" t="s">
        <v>379</v>
      </c>
      <c r="G3658" s="35" t="s">
        <v>335</v>
      </c>
    </row>
    <row r="3659" spans="1:7">
      <c r="A3659" s="34">
        <v>2084212761</v>
      </c>
      <c r="B3659" s="35" t="s">
        <v>462</v>
      </c>
      <c r="C3659" s="35" t="s">
        <v>405</v>
      </c>
      <c r="D3659" s="35" t="s">
        <v>922</v>
      </c>
      <c r="E3659" s="35" t="s">
        <v>972</v>
      </c>
      <c r="F3659" s="35" t="s">
        <v>478</v>
      </c>
    </row>
    <row r="3660" spans="1:7">
      <c r="A3660" s="34">
        <v>2084212762</v>
      </c>
      <c r="B3660" s="35" t="s">
        <v>462</v>
      </c>
      <c r="C3660" s="35" t="s">
        <v>405</v>
      </c>
      <c r="D3660" s="35" t="s">
        <v>922</v>
      </c>
      <c r="E3660" s="35" t="s">
        <v>972</v>
      </c>
      <c r="F3660" s="35" t="s">
        <v>335</v>
      </c>
    </row>
    <row r="3661" spans="1:7">
      <c r="A3661" s="34">
        <v>2084301276</v>
      </c>
      <c r="B3661" s="35" t="s">
        <v>462</v>
      </c>
      <c r="C3661" s="35" t="s">
        <v>405</v>
      </c>
      <c r="D3661" s="35" t="s">
        <v>922</v>
      </c>
      <c r="E3661" s="35" t="s">
        <v>973</v>
      </c>
      <c r="F3661" s="35" t="s">
        <v>407</v>
      </c>
    </row>
    <row r="3662" spans="1:7">
      <c r="A3662" s="34">
        <v>2084301275</v>
      </c>
      <c r="B3662" s="35" t="s">
        <v>462</v>
      </c>
      <c r="C3662" s="35" t="s">
        <v>405</v>
      </c>
      <c r="D3662" s="35" t="s">
        <v>922</v>
      </c>
      <c r="E3662" s="35" t="s">
        <v>973</v>
      </c>
      <c r="F3662" s="35" t="s">
        <v>408</v>
      </c>
    </row>
    <row r="3663" spans="1:7">
      <c r="A3663" s="34">
        <v>2084283164</v>
      </c>
      <c r="B3663" s="35" t="s">
        <v>462</v>
      </c>
      <c r="C3663" s="35" t="s">
        <v>405</v>
      </c>
      <c r="D3663" s="35" t="s">
        <v>922</v>
      </c>
      <c r="E3663" s="35" t="s">
        <v>974</v>
      </c>
      <c r="F3663" s="35" t="s">
        <v>407</v>
      </c>
    </row>
    <row r="3664" spans="1:7">
      <c r="A3664" s="34">
        <v>2084283163</v>
      </c>
      <c r="B3664" s="35" t="s">
        <v>462</v>
      </c>
      <c r="C3664" s="35" t="s">
        <v>405</v>
      </c>
      <c r="D3664" s="35" t="s">
        <v>922</v>
      </c>
      <c r="E3664" s="35" t="s">
        <v>974</v>
      </c>
      <c r="F3664" s="35" t="s">
        <v>408</v>
      </c>
    </row>
    <row r="3665" spans="1:7">
      <c r="A3665" s="34">
        <v>2084056477</v>
      </c>
      <c r="B3665" s="35" t="s">
        <v>462</v>
      </c>
      <c r="C3665" s="35" t="s">
        <v>405</v>
      </c>
      <c r="D3665" s="35" t="s">
        <v>922</v>
      </c>
      <c r="E3665" s="35" t="s">
        <v>975</v>
      </c>
      <c r="F3665" s="35" t="s">
        <v>390</v>
      </c>
      <c r="G3665" s="35" t="s">
        <v>335</v>
      </c>
    </row>
    <row r="3666" spans="1:7">
      <c r="A3666" s="34">
        <v>2084056475</v>
      </c>
      <c r="B3666" s="35" t="s">
        <v>462</v>
      </c>
      <c r="C3666" s="35" t="s">
        <v>405</v>
      </c>
      <c r="D3666" s="35" t="s">
        <v>922</v>
      </c>
      <c r="E3666" s="35" t="s">
        <v>975</v>
      </c>
      <c r="F3666" s="35" t="s">
        <v>390</v>
      </c>
      <c r="G3666" s="35" t="s">
        <v>509</v>
      </c>
    </row>
    <row r="3667" spans="1:7">
      <c r="A3667" s="34">
        <v>2084056474</v>
      </c>
      <c r="B3667" s="35" t="s">
        <v>462</v>
      </c>
      <c r="C3667" s="35" t="s">
        <v>405</v>
      </c>
      <c r="D3667" s="35" t="s">
        <v>922</v>
      </c>
      <c r="E3667" s="35" t="s">
        <v>975</v>
      </c>
      <c r="F3667" s="35" t="s">
        <v>390</v>
      </c>
      <c r="G3667" s="35" t="s">
        <v>483</v>
      </c>
    </row>
    <row r="3668" spans="1:7">
      <c r="A3668" s="34">
        <v>2084056476</v>
      </c>
      <c r="B3668" s="35" t="s">
        <v>462</v>
      </c>
      <c r="C3668" s="35" t="s">
        <v>405</v>
      </c>
      <c r="D3668" s="35" t="s">
        <v>922</v>
      </c>
      <c r="E3668" s="35" t="s">
        <v>975</v>
      </c>
      <c r="F3668" s="35" t="s">
        <v>390</v>
      </c>
      <c r="G3668" s="35" t="s">
        <v>420</v>
      </c>
    </row>
    <row r="3669" spans="1:7">
      <c r="A3669" s="34">
        <v>2084056472</v>
      </c>
      <c r="B3669" s="35" t="s">
        <v>462</v>
      </c>
      <c r="C3669" s="35" t="s">
        <v>405</v>
      </c>
      <c r="D3669" s="35" t="s">
        <v>922</v>
      </c>
      <c r="E3669" s="35" t="s">
        <v>975</v>
      </c>
      <c r="F3669" s="35" t="s">
        <v>353</v>
      </c>
      <c r="G3669" s="35" t="s">
        <v>509</v>
      </c>
    </row>
    <row r="3670" spans="1:7">
      <c r="A3670" s="34">
        <v>2084056470</v>
      </c>
      <c r="B3670" s="35" t="s">
        <v>462</v>
      </c>
      <c r="C3670" s="35" t="s">
        <v>405</v>
      </c>
      <c r="D3670" s="35" t="s">
        <v>922</v>
      </c>
      <c r="E3670" s="35" t="s">
        <v>975</v>
      </c>
      <c r="F3670" s="35" t="s">
        <v>353</v>
      </c>
      <c r="G3670" s="35" t="s">
        <v>483</v>
      </c>
    </row>
    <row r="3671" spans="1:7">
      <c r="A3671" s="34">
        <v>2084056471</v>
      </c>
      <c r="B3671" s="35" t="s">
        <v>462</v>
      </c>
      <c r="C3671" s="35" t="s">
        <v>405</v>
      </c>
      <c r="D3671" s="35" t="s">
        <v>922</v>
      </c>
      <c r="E3671" s="35" t="s">
        <v>975</v>
      </c>
      <c r="F3671" s="35" t="s">
        <v>353</v>
      </c>
      <c r="G3671" s="35" t="s">
        <v>420</v>
      </c>
    </row>
    <row r="3672" spans="1:7">
      <c r="A3672" s="34">
        <v>2084056473</v>
      </c>
      <c r="B3672" s="35" t="s">
        <v>462</v>
      </c>
      <c r="C3672" s="35" t="s">
        <v>405</v>
      </c>
      <c r="D3672" s="35" t="s">
        <v>922</v>
      </c>
      <c r="E3672" s="35" t="s">
        <v>975</v>
      </c>
      <c r="F3672" s="35" t="s">
        <v>353</v>
      </c>
      <c r="G3672" s="35" t="s">
        <v>335</v>
      </c>
    </row>
    <row r="3673" spans="1:7">
      <c r="A3673" s="34">
        <v>2084062153</v>
      </c>
      <c r="B3673" s="35" t="s">
        <v>462</v>
      </c>
      <c r="C3673" s="35" t="s">
        <v>405</v>
      </c>
      <c r="D3673" s="35" t="s">
        <v>922</v>
      </c>
      <c r="E3673" s="35" t="s">
        <v>976</v>
      </c>
      <c r="F3673" s="35" t="s">
        <v>484</v>
      </c>
    </row>
    <row r="3674" spans="1:7">
      <c r="A3674" s="34">
        <v>2084062154</v>
      </c>
      <c r="B3674" s="35" t="s">
        <v>462</v>
      </c>
      <c r="C3674" s="35" t="s">
        <v>405</v>
      </c>
      <c r="D3674" s="35" t="s">
        <v>922</v>
      </c>
      <c r="E3674" s="35" t="s">
        <v>976</v>
      </c>
      <c r="F3674" s="35" t="s">
        <v>335</v>
      </c>
    </row>
    <row r="3675" spans="1:7">
      <c r="A3675" s="34">
        <v>2084199113</v>
      </c>
      <c r="B3675" s="35" t="s">
        <v>462</v>
      </c>
      <c r="C3675" s="35" t="s">
        <v>405</v>
      </c>
      <c r="D3675" s="35" t="s">
        <v>922</v>
      </c>
      <c r="E3675" s="35" t="s">
        <v>977</v>
      </c>
      <c r="F3675" s="35" t="s">
        <v>407</v>
      </c>
    </row>
    <row r="3676" spans="1:7">
      <c r="A3676" s="34">
        <v>2084199108</v>
      </c>
      <c r="B3676" s="35" t="s">
        <v>462</v>
      </c>
      <c r="C3676" s="35" t="s">
        <v>405</v>
      </c>
      <c r="D3676" s="35" t="s">
        <v>922</v>
      </c>
      <c r="E3676" s="35" t="s">
        <v>977</v>
      </c>
      <c r="F3676" s="35" t="s">
        <v>353</v>
      </c>
      <c r="G3676" s="35" t="s">
        <v>367</v>
      </c>
    </row>
    <row r="3677" spans="1:7">
      <c r="A3677" s="34">
        <v>2084199109</v>
      </c>
      <c r="B3677" s="35" t="s">
        <v>462</v>
      </c>
      <c r="C3677" s="35" t="s">
        <v>405</v>
      </c>
      <c r="D3677" s="35" t="s">
        <v>922</v>
      </c>
      <c r="E3677" s="35" t="s">
        <v>977</v>
      </c>
      <c r="F3677" s="35" t="s">
        <v>353</v>
      </c>
      <c r="G3677" s="35" t="s">
        <v>401</v>
      </c>
    </row>
    <row r="3678" spans="1:7">
      <c r="A3678" s="34">
        <v>2084199110</v>
      </c>
      <c r="B3678" s="35" t="s">
        <v>462</v>
      </c>
      <c r="C3678" s="35" t="s">
        <v>405</v>
      </c>
      <c r="D3678" s="35" t="s">
        <v>922</v>
      </c>
      <c r="E3678" s="35" t="s">
        <v>977</v>
      </c>
      <c r="F3678" s="35" t="s">
        <v>353</v>
      </c>
      <c r="G3678" s="35" t="s">
        <v>402</v>
      </c>
    </row>
    <row r="3679" spans="1:7">
      <c r="A3679" s="34">
        <v>2084199111</v>
      </c>
      <c r="B3679" s="35" t="s">
        <v>462</v>
      </c>
      <c r="C3679" s="35" t="s">
        <v>405</v>
      </c>
      <c r="D3679" s="35" t="s">
        <v>922</v>
      </c>
      <c r="E3679" s="35" t="s">
        <v>977</v>
      </c>
      <c r="F3679" s="35" t="s">
        <v>353</v>
      </c>
      <c r="G3679" s="35" t="s">
        <v>403</v>
      </c>
    </row>
    <row r="3680" spans="1:7">
      <c r="A3680" s="34">
        <v>2084199112</v>
      </c>
      <c r="B3680" s="35" t="s">
        <v>462</v>
      </c>
      <c r="C3680" s="35" t="s">
        <v>405</v>
      </c>
      <c r="D3680" s="35" t="s">
        <v>922</v>
      </c>
      <c r="E3680" s="35" t="s">
        <v>977</v>
      </c>
      <c r="F3680" s="35" t="s">
        <v>353</v>
      </c>
      <c r="G3680" s="35" t="s">
        <v>335</v>
      </c>
    </row>
    <row r="3681" spans="1:8">
      <c r="A3681" s="34">
        <v>2084199114</v>
      </c>
      <c r="B3681" s="35" t="s">
        <v>462</v>
      </c>
      <c r="C3681" s="35" t="s">
        <v>405</v>
      </c>
      <c r="D3681" s="35" t="s">
        <v>922</v>
      </c>
      <c r="E3681" s="35" t="s">
        <v>977</v>
      </c>
      <c r="F3681" s="35" t="s">
        <v>597</v>
      </c>
    </row>
    <row r="3682" spans="1:8">
      <c r="A3682" s="34">
        <v>2084199115</v>
      </c>
      <c r="B3682" s="35" t="s">
        <v>462</v>
      </c>
      <c r="C3682" s="35" t="s">
        <v>405</v>
      </c>
      <c r="D3682" s="35" t="s">
        <v>922</v>
      </c>
      <c r="E3682" s="35" t="s">
        <v>977</v>
      </c>
      <c r="F3682" s="35" t="s">
        <v>335</v>
      </c>
    </row>
    <row r="3683" spans="1:8">
      <c r="A3683" s="34">
        <v>2084058259</v>
      </c>
      <c r="B3683" s="35" t="s">
        <v>462</v>
      </c>
      <c r="C3683" s="35" t="s">
        <v>405</v>
      </c>
      <c r="D3683" s="35" t="s">
        <v>922</v>
      </c>
      <c r="E3683" s="35" t="s">
        <v>978</v>
      </c>
      <c r="F3683" s="35" t="s">
        <v>353</v>
      </c>
      <c r="G3683" s="35" t="s">
        <v>368</v>
      </c>
      <c r="H3683" s="35" t="s">
        <v>645</v>
      </c>
    </row>
    <row r="3684" spans="1:8">
      <c r="A3684" s="34">
        <v>2084058261</v>
      </c>
      <c r="B3684" s="35" t="s">
        <v>462</v>
      </c>
      <c r="C3684" s="35" t="s">
        <v>405</v>
      </c>
      <c r="D3684" s="35" t="s">
        <v>922</v>
      </c>
      <c r="E3684" s="35" t="s">
        <v>978</v>
      </c>
      <c r="F3684" s="35" t="s">
        <v>353</v>
      </c>
      <c r="G3684" s="35" t="s">
        <v>368</v>
      </c>
      <c r="H3684" s="35" t="s">
        <v>335</v>
      </c>
    </row>
    <row r="3685" spans="1:8">
      <c r="A3685" s="34">
        <v>2084058233</v>
      </c>
      <c r="B3685" s="35" t="s">
        <v>462</v>
      </c>
      <c r="C3685" s="35" t="s">
        <v>405</v>
      </c>
      <c r="D3685" s="35" t="s">
        <v>922</v>
      </c>
      <c r="E3685" s="35" t="s">
        <v>978</v>
      </c>
      <c r="F3685" s="35" t="s">
        <v>353</v>
      </c>
      <c r="G3685" s="35" t="s">
        <v>10</v>
      </c>
      <c r="H3685" s="35" t="s">
        <v>397</v>
      </c>
    </row>
    <row r="3686" spans="1:8">
      <c r="A3686" s="34">
        <v>2084058232</v>
      </c>
      <c r="B3686" s="35" t="s">
        <v>462</v>
      </c>
      <c r="C3686" s="35" t="s">
        <v>405</v>
      </c>
      <c r="D3686" s="35" t="s">
        <v>922</v>
      </c>
      <c r="E3686" s="35" t="s">
        <v>978</v>
      </c>
      <c r="F3686" s="35" t="s">
        <v>353</v>
      </c>
      <c r="G3686" s="35" t="s">
        <v>10</v>
      </c>
      <c r="H3686" s="35" t="s">
        <v>421</v>
      </c>
    </row>
    <row r="3687" spans="1:8">
      <c r="A3687" s="34">
        <v>2084058230</v>
      </c>
      <c r="B3687" s="35" t="s">
        <v>462</v>
      </c>
      <c r="C3687" s="35" t="s">
        <v>405</v>
      </c>
      <c r="D3687" s="35" t="s">
        <v>922</v>
      </c>
      <c r="E3687" s="35" t="s">
        <v>978</v>
      </c>
      <c r="F3687" s="35" t="s">
        <v>353</v>
      </c>
      <c r="G3687" s="35" t="s">
        <v>10</v>
      </c>
      <c r="H3687" s="35" t="s">
        <v>398</v>
      </c>
    </row>
    <row r="3688" spans="1:8">
      <c r="A3688" s="34">
        <v>2084058231</v>
      </c>
      <c r="B3688" s="35" t="s">
        <v>462</v>
      </c>
      <c r="C3688" s="35" t="s">
        <v>405</v>
      </c>
      <c r="D3688" s="35" t="s">
        <v>922</v>
      </c>
      <c r="E3688" s="35" t="s">
        <v>978</v>
      </c>
      <c r="F3688" s="35" t="s">
        <v>353</v>
      </c>
      <c r="G3688" s="35" t="s">
        <v>10</v>
      </c>
      <c r="H3688" s="35" t="s">
        <v>422</v>
      </c>
    </row>
    <row r="3689" spans="1:8">
      <c r="A3689" s="34">
        <v>2084058235</v>
      </c>
      <c r="B3689" s="35" t="s">
        <v>462</v>
      </c>
      <c r="C3689" s="35" t="s">
        <v>405</v>
      </c>
      <c r="D3689" s="35" t="s">
        <v>922</v>
      </c>
      <c r="E3689" s="35" t="s">
        <v>978</v>
      </c>
      <c r="F3689" s="35" t="s">
        <v>353</v>
      </c>
      <c r="G3689" s="35" t="s">
        <v>10</v>
      </c>
      <c r="H3689" s="35" t="s">
        <v>335</v>
      </c>
    </row>
    <row r="3690" spans="1:8">
      <c r="A3690" s="34">
        <v>2084058238</v>
      </c>
      <c r="B3690" s="35" t="s">
        <v>462</v>
      </c>
      <c r="C3690" s="35" t="s">
        <v>405</v>
      </c>
      <c r="D3690" s="35" t="s">
        <v>922</v>
      </c>
      <c r="E3690" s="35" t="s">
        <v>978</v>
      </c>
      <c r="F3690" s="35" t="s">
        <v>353</v>
      </c>
      <c r="G3690" s="35" t="s">
        <v>379</v>
      </c>
      <c r="H3690" s="35" t="s">
        <v>545</v>
      </c>
    </row>
    <row r="3691" spans="1:8">
      <c r="A3691" s="34">
        <v>2084058239</v>
      </c>
      <c r="B3691" s="35" t="s">
        <v>462</v>
      </c>
      <c r="C3691" s="35" t="s">
        <v>405</v>
      </c>
      <c r="D3691" s="35" t="s">
        <v>922</v>
      </c>
      <c r="E3691" s="35" t="s">
        <v>978</v>
      </c>
      <c r="F3691" s="35" t="s">
        <v>353</v>
      </c>
      <c r="G3691" s="35" t="s">
        <v>379</v>
      </c>
      <c r="H3691" s="35" t="s">
        <v>335</v>
      </c>
    </row>
    <row r="3692" spans="1:8">
      <c r="A3692" s="34">
        <v>2084058241</v>
      </c>
      <c r="B3692" s="35" t="s">
        <v>462</v>
      </c>
      <c r="C3692" s="35" t="s">
        <v>405</v>
      </c>
      <c r="D3692" s="35" t="s">
        <v>922</v>
      </c>
      <c r="E3692" s="35" t="s">
        <v>978</v>
      </c>
      <c r="F3692" s="35" t="s">
        <v>353</v>
      </c>
      <c r="G3692" s="35" t="s">
        <v>335</v>
      </c>
    </row>
    <row r="3693" spans="1:8">
      <c r="A3693" s="34">
        <v>2084058243</v>
      </c>
      <c r="B3693" s="35" t="s">
        <v>462</v>
      </c>
      <c r="C3693" s="35" t="s">
        <v>405</v>
      </c>
      <c r="D3693" s="35" t="s">
        <v>922</v>
      </c>
      <c r="E3693" s="35" t="s">
        <v>978</v>
      </c>
      <c r="F3693" s="35" t="s">
        <v>335</v>
      </c>
    </row>
    <row r="3694" spans="1:8">
      <c r="A3694" s="34">
        <v>2084283161</v>
      </c>
      <c r="B3694" s="35" t="s">
        <v>462</v>
      </c>
      <c r="C3694" s="35" t="s">
        <v>405</v>
      </c>
      <c r="D3694" s="35" t="s">
        <v>922</v>
      </c>
      <c r="E3694" s="35" t="s">
        <v>979</v>
      </c>
    </row>
    <row r="3695" spans="1:8">
      <c r="A3695" s="34">
        <v>2084199162</v>
      </c>
      <c r="B3695" s="35" t="s">
        <v>462</v>
      </c>
      <c r="C3695" s="35" t="s">
        <v>405</v>
      </c>
      <c r="D3695" s="35" t="s">
        <v>922</v>
      </c>
      <c r="E3695" s="35" t="s">
        <v>980</v>
      </c>
      <c r="F3695" s="35" t="s">
        <v>484</v>
      </c>
    </row>
    <row r="3696" spans="1:8">
      <c r="A3696" s="34">
        <v>2084199163</v>
      </c>
      <c r="B3696" s="35" t="s">
        <v>462</v>
      </c>
      <c r="C3696" s="35" t="s">
        <v>405</v>
      </c>
      <c r="D3696" s="35" t="s">
        <v>922</v>
      </c>
      <c r="E3696" s="35" t="s">
        <v>980</v>
      </c>
      <c r="F3696" s="35" t="s">
        <v>335</v>
      </c>
    </row>
    <row r="3697" spans="1:8">
      <c r="A3697" s="34">
        <v>2084056278</v>
      </c>
      <c r="B3697" s="35" t="s">
        <v>462</v>
      </c>
      <c r="C3697" s="35" t="s">
        <v>405</v>
      </c>
      <c r="D3697" s="35" t="s">
        <v>922</v>
      </c>
      <c r="E3697" s="35" t="s">
        <v>981</v>
      </c>
      <c r="F3697" s="35" t="s">
        <v>390</v>
      </c>
      <c r="G3697" s="35" t="s">
        <v>367</v>
      </c>
    </row>
    <row r="3698" spans="1:8">
      <c r="A3698" s="34">
        <v>2084056279</v>
      </c>
      <c r="B3698" s="35" t="s">
        <v>462</v>
      </c>
      <c r="C3698" s="35" t="s">
        <v>405</v>
      </c>
      <c r="D3698" s="35" t="s">
        <v>922</v>
      </c>
      <c r="E3698" s="35" t="s">
        <v>981</v>
      </c>
      <c r="F3698" s="35" t="s">
        <v>390</v>
      </c>
      <c r="G3698" s="35" t="s">
        <v>401</v>
      </c>
    </row>
    <row r="3699" spans="1:8">
      <c r="A3699" s="34">
        <v>2084056285</v>
      </c>
      <c r="B3699" s="35" t="s">
        <v>462</v>
      </c>
      <c r="C3699" s="35" t="s">
        <v>405</v>
      </c>
      <c r="D3699" s="35" t="s">
        <v>922</v>
      </c>
      <c r="E3699" s="35" t="s">
        <v>981</v>
      </c>
      <c r="F3699" s="35" t="s">
        <v>390</v>
      </c>
      <c r="G3699" s="35" t="s">
        <v>10</v>
      </c>
      <c r="H3699" s="35" t="s">
        <v>483</v>
      </c>
    </row>
    <row r="3700" spans="1:8">
      <c r="A3700" s="34">
        <v>2084056282</v>
      </c>
      <c r="B3700" s="35" t="s">
        <v>462</v>
      </c>
      <c r="C3700" s="35" t="s">
        <v>405</v>
      </c>
      <c r="D3700" s="35" t="s">
        <v>922</v>
      </c>
      <c r="E3700" s="35" t="s">
        <v>981</v>
      </c>
      <c r="F3700" s="35" t="s">
        <v>390</v>
      </c>
      <c r="G3700" s="35" t="s">
        <v>10</v>
      </c>
      <c r="H3700" s="35" t="s">
        <v>397</v>
      </c>
    </row>
    <row r="3701" spans="1:8">
      <c r="A3701" s="34">
        <v>2084056284</v>
      </c>
      <c r="B3701" s="35" t="s">
        <v>462</v>
      </c>
      <c r="C3701" s="35" t="s">
        <v>405</v>
      </c>
      <c r="D3701" s="35" t="s">
        <v>922</v>
      </c>
      <c r="E3701" s="35" t="s">
        <v>981</v>
      </c>
      <c r="F3701" s="35" t="s">
        <v>390</v>
      </c>
      <c r="G3701" s="35" t="s">
        <v>10</v>
      </c>
      <c r="H3701" s="35" t="s">
        <v>421</v>
      </c>
    </row>
    <row r="3702" spans="1:8">
      <c r="A3702" s="34">
        <v>2084056281</v>
      </c>
      <c r="B3702" s="35" t="s">
        <v>462</v>
      </c>
      <c r="C3702" s="35" t="s">
        <v>405</v>
      </c>
      <c r="D3702" s="35" t="s">
        <v>922</v>
      </c>
      <c r="E3702" s="35" t="s">
        <v>981</v>
      </c>
      <c r="F3702" s="35" t="s">
        <v>390</v>
      </c>
      <c r="G3702" s="35" t="s">
        <v>10</v>
      </c>
      <c r="H3702" s="35" t="s">
        <v>398</v>
      </c>
    </row>
    <row r="3703" spans="1:8">
      <c r="A3703" s="34">
        <v>2084056283</v>
      </c>
      <c r="B3703" s="35" t="s">
        <v>462</v>
      </c>
      <c r="C3703" s="35" t="s">
        <v>405</v>
      </c>
      <c r="D3703" s="35" t="s">
        <v>922</v>
      </c>
      <c r="E3703" s="35" t="s">
        <v>981</v>
      </c>
      <c r="F3703" s="35" t="s">
        <v>390</v>
      </c>
      <c r="G3703" s="35" t="s">
        <v>10</v>
      </c>
      <c r="H3703" s="35" t="s">
        <v>422</v>
      </c>
    </row>
    <row r="3704" spans="1:8">
      <c r="A3704" s="34">
        <v>2084056286</v>
      </c>
      <c r="B3704" s="35" t="s">
        <v>462</v>
      </c>
      <c r="C3704" s="35" t="s">
        <v>405</v>
      </c>
      <c r="D3704" s="35" t="s">
        <v>922</v>
      </c>
      <c r="E3704" s="35" t="s">
        <v>981</v>
      </c>
      <c r="F3704" s="35" t="s">
        <v>390</v>
      </c>
      <c r="G3704" s="35" t="s">
        <v>10</v>
      </c>
      <c r="H3704" s="35" t="s">
        <v>335</v>
      </c>
    </row>
    <row r="3705" spans="1:8">
      <c r="A3705" s="34">
        <v>2084056288</v>
      </c>
      <c r="B3705" s="35" t="s">
        <v>462</v>
      </c>
      <c r="C3705" s="35" t="s">
        <v>405</v>
      </c>
      <c r="D3705" s="35" t="s">
        <v>922</v>
      </c>
      <c r="E3705" s="35" t="s">
        <v>981</v>
      </c>
      <c r="F3705" s="35" t="s">
        <v>390</v>
      </c>
      <c r="G3705" s="35" t="s">
        <v>379</v>
      </c>
      <c r="H3705" s="35" t="s">
        <v>476</v>
      </c>
    </row>
    <row r="3706" spans="1:8">
      <c r="A3706" s="34">
        <v>2084056289</v>
      </c>
      <c r="B3706" s="35" t="s">
        <v>462</v>
      </c>
      <c r="C3706" s="35" t="s">
        <v>405</v>
      </c>
      <c r="D3706" s="35" t="s">
        <v>922</v>
      </c>
      <c r="E3706" s="35" t="s">
        <v>981</v>
      </c>
      <c r="F3706" s="35" t="s">
        <v>390</v>
      </c>
      <c r="G3706" s="35" t="s">
        <v>379</v>
      </c>
      <c r="H3706" s="35" t="s">
        <v>335</v>
      </c>
    </row>
    <row r="3707" spans="1:8">
      <c r="A3707" s="34">
        <v>2084056290</v>
      </c>
      <c r="B3707" s="35" t="s">
        <v>462</v>
      </c>
      <c r="C3707" s="35" t="s">
        <v>405</v>
      </c>
      <c r="D3707" s="35" t="s">
        <v>922</v>
      </c>
      <c r="E3707" s="35" t="s">
        <v>981</v>
      </c>
      <c r="F3707" s="35" t="s">
        <v>390</v>
      </c>
      <c r="G3707" s="35" t="s">
        <v>335</v>
      </c>
    </row>
    <row r="3708" spans="1:8">
      <c r="A3708" s="34">
        <v>2084056230</v>
      </c>
      <c r="B3708" s="35" t="s">
        <v>462</v>
      </c>
      <c r="C3708" s="35" t="s">
        <v>405</v>
      </c>
      <c r="D3708" s="35" t="s">
        <v>922</v>
      </c>
      <c r="E3708" s="35" t="s">
        <v>981</v>
      </c>
      <c r="F3708" s="35" t="s">
        <v>353</v>
      </c>
      <c r="G3708" s="35" t="s">
        <v>367</v>
      </c>
    </row>
    <row r="3709" spans="1:8">
      <c r="A3709" s="34">
        <v>2084056232</v>
      </c>
      <c r="B3709" s="35" t="s">
        <v>462</v>
      </c>
      <c r="C3709" s="35" t="s">
        <v>405</v>
      </c>
      <c r="D3709" s="35" t="s">
        <v>922</v>
      </c>
      <c r="E3709" s="35" t="s">
        <v>981</v>
      </c>
      <c r="F3709" s="35" t="s">
        <v>353</v>
      </c>
      <c r="G3709" s="35" t="s">
        <v>401</v>
      </c>
    </row>
    <row r="3710" spans="1:8">
      <c r="A3710" s="34">
        <v>2084056241</v>
      </c>
      <c r="B3710" s="35" t="s">
        <v>462</v>
      </c>
      <c r="C3710" s="35" t="s">
        <v>405</v>
      </c>
      <c r="D3710" s="35" t="s">
        <v>922</v>
      </c>
      <c r="E3710" s="35" t="s">
        <v>981</v>
      </c>
      <c r="F3710" s="35" t="s">
        <v>353</v>
      </c>
      <c r="G3710" s="35" t="s">
        <v>10</v>
      </c>
      <c r="H3710" s="35" t="s">
        <v>483</v>
      </c>
    </row>
    <row r="3711" spans="1:8">
      <c r="A3711" s="34">
        <v>2084056236</v>
      </c>
      <c r="B3711" s="35" t="s">
        <v>462</v>
      </c>
      <c r="C3711" s="35" t="s">
        <v>405</v>
      </c>
      <c r="D3711" s="35" t="s">
        <v>922</v>
      </c>
      <c r="E3711" s="35" t="s">
        <v>981</v>
      </c>
      <c r="F3711" s="35" t="s">
        <v>353</v>
      </c>
      <c r="G3711" s="35" t="s">
        <v>10</v>
      </c>
      <c r="H3711" s="35" t="s">
        <v>397</v>
      </c>
    </row>
    <row r="3712" spans="1:8">
      <c r="A3712" s="34">
        <v>2084056239</v>
      </c>
      <c r="B3712" s="35" t="s">
        <v>462</v>
      </c>
      <c r="C3712" s="35" t="s">
        <v>405</v>
      </c>
      <c r="D3712" s="35" t="s">
        <v>922</v>
      </c>
      <c r="E3712" s="35" t="s">
        <v>981</v>
      </c>
      <c r="F3712" s="35" t="s">
        <v>353</v>
      </c>
      <c r="G3712" s="35" t="s">
        <v>10</v>
      </c>
      <c r="H3712" s="35" t="s">
        <v>421</v>
      </c>
    </row>
    <row r="3713" spans="1:8">
      <c r="A3713" s="34">
        <v>2084056235</v>
      </c>
      <c r="B3713" s="35" t="s">
        <v>462</v>
      </c>
      <c r="C3713" s="35" t="s">
        <v>405</v>
      </c>
      <c r="D3713" s="35" t="s">
        <v>922</v>
      </c>
      <c r="E3713" s="35" t="s">
        <v>981</v>
      </c>
      <c r="F3713" s="35" t="s">
        <v>353</v>
      </c>
      <c r="G3713" s="35" t="s">
        <v>10</v>
      </c>
      <c r="H3713" s="35" t="s">
        <v>398</v>
      </c>
    </row>
    <row r="3714" spans="1:8">
      <c r="A3714" s="34">
        <v>2084056237</v>
      </c>
      <c r="B3714" s="35" t="s">
        <v>462</v>
      </c>
      <c r="C3714" s="35" t="s">
        <v>405</v>
      </c>
      <c r="D3714" s="35" t="s">
        <v>922</v>
      </c>
      <c r="E3714" s="35" t="s">
        <v>981</v>
      </c>
      <c r="F3714" s="35" t="s">
        <v>353</v>
      </c>
      <c r="G3714" s="35" t="s">
        <v>10</v>
      </c>
      <c r="H3714" s="35" t="s">
        <v>422</v>
      </c>
    </row>
    <row r="3715" spans="1:8">
      <c r="A3715" s="34">
        <v>2084056243</v>
      </c>
      <c r="B3715" s="35" t="s">
        <v>462</v>
      </c>
      <c r="C3715" s="35" t="s">
        <v>405</v>
      </c>
      <c r="D3715" s="35" t="s">
        <v>922</v>
      </c>
      <c r="E3715" s="35" t="s">
        <v>981</v>
      </c>
      <c r="F3715" s="35" t="s">
        <v>353</v>
      </c>
      <c r="G3715" s="35" t="s">
        <v>10</v>
      </c>
      <c r="H3715" s="35" t="s">
        <v>335</v>
      </c>
    </row>
    <row r="3716" spans="1:8">
      <c r="A3716" s="34">
        <v>2084056244</v>
      </c>
      <c r="B3716" s="35" t="s">
        <v>462</v>
      </c>
      <c r="C3716" s="35" t="s">
        <v>405</v>
      </c>
      <c r="D3716" s="35" t="s">
        <v>922</v>
      </c>
      <c r="E3716" s="35" t="s">
        <v>981</v>
      </c>
      <c r="F3716" s="35" t="s">
        <v>353</v>
      </c>
      <c r="G3716" s="35" t="s">
        <v>403</v>
      </c>
    </row>
    <row r="3717" spans="1:8">
      <c r="A3717" s="34">
        <v>2084056246</v>
      </c>
      <c r="B3717" s="35" t="s">
        <v>462</v>
      </c>
      <c r="C3717" s="35" t="s">
        <v>405</v>
      </c>
      <c r="D3717" s="35" t="s">
        <v>922</v>
      </c>
      <c r="E3717" s="35" t="s">
        <v>981</v>
      </c>
      <c r="F3717" s="35" t="s">
        <v>353</v>
      </c>
      <c r="G3717" s="35" t="s">
        <v>335</v>
      </c>
    </row>
    <row r="3718" spans="1:8">
      <c r="A3718" s="34">
        <v>2084056291</v>
      </c>
      <c r="B3718" s="35" t="s">
        <v>462</v>
      </c>
      <c r="C3718" s="35" t="s">
        <v>405</v>
      </c>
      <c r="D3718" s="35" t="s">
        <v>922</v>
      </c>
      <c r="E3718" s="35" t="s">
        <v>981</v>
      </c>
      <c r="F3718" s="35" t="s">
        <v>335</v>
      </c>
    </row>
    <row r="3719" spans="1:8">
      <c r="A3719" s="34">
        <v>2084028197</v>
      </c>
      <c r="B3719" s="35" t="s">
        <v>462</v>
      </c>
      <c r="C3719" s="35" t="s">
        <v>405</v>
      </c>
      <c r="D3719" s="35" t="s">
        <v>922</v>
      </c>
      <c r="E3719" s="35" t="s">
        <v>982</v>
      </c>
      <c r="F3719" s="35" t="s">
        <v>367</v>
      </c>
    </row>
    <row r="3720" spans="1:8">
      <c r="A3720" s="34">
        <v>2084028746</v>
      </c>
      <c r="B3720" s="35" t="s">
        <v>462</v>
      </c>
      <c r="C3720" s="35" t="s">
        <v>405</v>
      </c>
      <c r="D3720" s="35" t="s">
        <v>922</v>
      </c>
      <c r="E3720" s="35" t="s">
        <v>982</v>
      </c>
      <c r="F3720" s="35" t="s">
        <v>368</v>
      </c>
      <c r="G3720" s="35" t="s">
        <v>508</v>
      </c>
    </row>
    <row r="3721" spans="1:8">
      <c r="A3721" s="34">
        <v>2084029329</v>
      </c>
      <c r="B3721" s="35" t="s">
        <v>462</v>
      </c>
      <c r="C3721" s="35" t="s">
        <v>405</v>
      </c>
      <c r="D3721" s="35" t="s">
        <v>922</v>
      </c>
      <c r="E3721" s="35" t="s">
        <v>982</v>
      </c>
      <c r="F3721" s="35" t="s">
        <v>368</v>
      </c>
      <c r="G3721" s="35" t="s">
        <v>481</v>
      </c>
    </row>
    <row r="3722" spans="1:8">
      <c r="A3722" s="34">
        <v>2084029880</v>
      </c>
      <c r="B3722" s="35" t="s">
        <v>462</v>
      </c>
      <c r="C3722" s="35" t="s">
        <v>405</v>
      </c>
      <c r="D3722" s="35" t="s">
        <v>922</v>
      </c>
      <c r="E3722" s="35" t="s">
        <v>982</v>
      </c>
      <c r="F3722" s="35" t="s">
        <v>368</v>
      </c>
      <c r="G3722" s="35" t="s">
        <v>494</v>
      </c>
    </row>
    <row r="3723" spans="1:8">
      <c r="A3723" s="34">
        <v>2084058534</v>
      </c>
      <c r="B3723" s="35" t="s">
        <v>462</v>
      </c>
      <c r="C3723" s="35" t="s">
        <v>405</v>
      </c>
      <c r="D3723" s="35" t="s">
        <v>922</v>
      </c>
      <c r="E3723" s="35" t="s">
        <v>982</v>
      </c>
      <c r="F3723" s="35" t="s">
        <v>368</v>
      </c>
      <c r="G3723" s="35" t="s">
        <v>335</v>
      </c>
    </row>
    <row r="3724" spans="1:8">
      <c r="A3724" s="34">
        <v>2084027295</v>
      </c>
      <c r="B3724" s="35" t="s">
        <v>462</v>
      </c>
      <c r="C3724" s="35" t="s">
        <v>405</v>
      </c>
      <c r="D3724" s="35" t="s">
        <v>922</v>
      </c>
      <c r="E3724" s="35" t="s">
        <v>982</v>
      </c>
      <c r="F3724" s="35" t="s">
        <v>10</v>
      </c>
      <c r="G3724" s="35" t="s">
        <v>509</v>
      </c>
    </row>
    <row r="3725" spans="1:8">
      <c r="A3725" s="34">
        <v>2084027838</v>
      </c>
      <c r="B3725" s="35" t="s">
        <v>462</v>
      </c>
      <c r="C3725" s="35" t="s">
        <v>405</v>
      </c>
      <c r="D3725" s="35" t="s">
        <v>922</v>
      </c>
      <c r="E3725" s="35" t="s">
        <v>982</v>
      </c>
      <c r="F3725" s="35" t="s">
        <v>10</v>
      </c>
      <c r="G3725" s="35" t="s">
        <v>510</v>
      </c>
    </row>
    <row r="3726" spans="1:8">
      <c r="A3726" s="34">
        <v>2084027870</v>
      </c>
      <c r="B3726" s="35" t="s">
        <v>462</v>
      </c>
      <c r="C3726" s="35" t="s">
        <v>405</v>
      </c>
      <c r="D3726" s="35" t="s">
        <v>922</v>
      </c>
      <c r="E3726" s="35" t="s">
        <v>982</v>
      </c>
      <c r="F3726" s="35" t="s">
        <v>10</v>
      </c>
      <c r="G3726" s="35" t="s">
        <v>511</v>
      </c>
    </row>
    <row r="3727" spans="1:8">
      <c r="A3727" s="34">
        <v>2084027900</v>
      </c>
      <c r="B3727" s="35" t="s">
        <v>462</v>
      </c>
      <c r="C3727" s="35" t="s">
        <v>405</v>
      </c>
      <c r="D3727" s="35" t="s">
        <v>922</v>
      </c>
      <c r="E3727" s="35" t="s">
        <v>982</v>
      </c>
      <c r="F3727" s="35" t="s">
        <v>10</v>
      </c>
      <c r="G3727" s="35" t="s">
        <v>493</v>
      </c>
    </row>
    <row r="3728" spans="1:8">
      <c r="A3728" s="34">
        <v>2084027469</v>
      </c>
      <c r="B3728" s="35" t="s">
        <v>462</v>
      </c>
      <c r="C3728" s="35" t="s">
        <v>405</v>
      </c>
      <c r="D3728" s="35" t="s">
        <v>922</v>
      </c>
      <c r="E3728" s="35" t="s">
        <v>982</v>
      </c>
      <c r="F3728" s="35" t="s">
        <v>10</v>
      </c>
      <c r="G3728" s="35" t="s">
        <v>512</v>
      </c>
    </row>
    <row r="3729" spans="1:7">
      <c r="A3729" s="34">
        <v>2084027636</v>
      </c>
      <c r="B3729" s="35" t="s">
        <v>462</v>
      </c>
      <c r="C3729" s="35" t="s">
        <v>405</v>
      </c>
      <c r="D3729" s="35" t="s">
        <v>922</v>
      </c>
      <c r="E3729" s="35" t="s">
        <v>982</v>
      </c>
      <c r="F3729" s="35" t="s">
        <v>10</v>
      </c>
      <c r="G3729" s="35" t="s">
        <v>513</v>
      </c>
    </row>
    <row r="3730" spans="1:7">
      <c r="A3730" s="34">
        <v>2084027980</v>
      </c>
      <c r="B3730" s="35" t="s">
        <v>462</v>
      </c>
      <c r="C3730" s="35" t="s">
        <v>405</v>
      </c>
      <c r="D3730" s="35" t="s">
        <v>922</v>
      </c>
      <c r="E3730" s="35" t="s">
        <v>982</v>
      </c>
      <c r="F3730" s="35" t="s">
        <v>10</v>
      </c>
      <c r="G3730" s="35" t="s">
        <v>420</v>
      </c>
    </row>
    <row r="3731" spans="1:7">
      <c r="A3731" s="34">
        <v>2084027258</v>
      </c>
      <c r="B3731" s="35" t="s">
        <v>462</v>
      </c>
      <c r="C3731" s="35" t="s">
        <v>405</v>
      </c>
      <c r="D3731" s="35" t="s">
        <v>922</v>
      </c>
      <c r="E3731" s="35" t="s">
        <v>982</v>
      </c>
      <c r="F3731" s="35" t="s">
        <v>10</v>
      </c>
      <c r="G3731" s="35" t="s">
        <v>514</v>
      </c>
    </row>
    <row r="3732" spans="1:7">
      <c r="A3732" s="34">
        <v>2084027434</v>
      </c>
      <c r="B3732" s="35" t="s">
        <v>462</v>
      </c>
      <c r="C3732" s="35" t="s">
        <v>405</v>
      </c>
      <c r="D3732" s="35" t="s">
        <v>922</v>
      </c>
      <c r="E3732" s="35" t="s">
        <v>982</v>
      </c>
      <c r="F3732" s="35" t="s">
        <v>10</v>
      </c>
      <c r="G3732" s="35" t="s">
        <v>515</v>
      </c>
    </row>
    <row r="3733" spans="1:7">
      <c r="A3733" s="34">
        <v>2084027503</v>
      </c>
      <c r="B3733" s="35" t="s">
        <v>462</v>
      </c>
      <c r="C3733" s="35" t="s">
        <v>405</v>
      </c>
      <c r="D3733" s="35" t="s">
        <v>922</v>
      </c>
      <c r="E3733" s="35" t="s">
        <v>982</v>
      </c>
      <c r="F3733" s="35" t="s">
        <v>10</v>
      </c>
      <c r="G3733" s="35" t="s">
        <v>421</v>
      </c>
    </row>
    <row r="3734" spans="1:7">
      <c r="A3734" s="34">
        <v>2084027714</v>
      </c>
      <c r="B3734" s="35" t="s">
        <v>462</v>
      </c>
      <c r="C3734" s="35" t="s">
        <v>405</v>
      </c>
      <c r="D3734" s="35" t="s">
        <v>922</v>
      </c>
      <c r="E3734" s="35" t="s">
        <v>982</v>
      </c>
      <c r="F3734" s="35" t="s">
        <v>10</v>
      </c>
      <c r="G3734" s="35" t="s">
        <v>516</v>
      </c>
    </row>
    <row r="3735" spans="1:7">
      <c r="A3735" s="34">
        <v>2084027231</v>
      </c>
      <c r="B3735" s="35" t="s">
        <v>462</v>
      </c>
      <c r="C3735" s="35" t="s">
        <v>405</v>
      </c>
      <c r="D3735" s="35" t="s">
        <v>922</v>
      </c>
      <c r="E3735" s="35" t="s">
        <v>982</v>
      </c>
      <c r="F3735" s="35" t="s">
        <v>10</v>
      </c>
      <c r="G3735" s="35" t="s">
        <v>517</v>
      </c>
    </row>
    <row r="3736" spans="1:7">
      <c r="A3736" s="34">
        <v>2084027369</v>
      </c>
      <c r="B3736" s="35" t="s">
        <v>462</v>
      </c>
      <c r="C3736" s="35" t="s">
        <v>405</v>
      </c>
      <c r="D3736" s="35" t="s">
        <v>922</v>
      </c>
      <c r="E3736" s="35" t="s">
        <v>982</v>
      </c>
      <c r="F3736" s="35" t="s">
        <v>10</v>
      </c>
      <c r="G3736" s="35" t="s">
        <v>518</v>
      </c>
    </row>
    <row r="3737" spans="1:7">
      <c r="A3737" s="34">
        <v>2084027541</v>
      </c>
      <c r="B3737" s="35" t="s">
        <v>462</v>
      </c>
      <c r="C3737" s="35" t="s">
        <v>405</v>
      </c>
      <c r="D3737" s="35" t="s">
        <v>922</v>
      </c>
      <c r="E3737" s="35" t="s">
        <v>982</v>
      </c>
      <c r="F3737" s="35" t="s">
        <v>10</v>
      </c>
      <c r="G3737" s="35" t="s">
        <v>422</v>
      </c>
    </row>
    <row r="3738" spans="1:7">
      <c r="A3738" s="34">
        <v>2084027764</v>
      </c>
      <c r="B3738" s="35" t="s">
        <v>462</v>
      </c>
      <c r="C3738" s="35" t="s">
        <v>405</v>
      </c>
      <c r="D3738" s="35" t="s">
        <v>922</v>
      </c>
      <c r="E3738" s="35" t="s">
        <v>982</v>
      </c>
      <c r="F3738" s="35" t="s">
        <v>10</v>
      </c>
      <c r="G3738" s="35" t="s">
        <v>519</v>
      </c>
    </row>
    <row r="3739" spans="1:7">
      <c r="A3739" s="34">
        <v>2084028075</v>
      </c>
      <c r="B3739" s="35" t="s">
        <v>462</v>
      </c>
      <c r="C3739" s="35" t="s">
        <v>405</v>
      </c>
      <c r="D3739" s="35" t="s">
        <v>922</v>
      </c>
      <c r="E3739" s="35" t="s">
        <v>982</v>
      </c>
      <c r="F3739" s="35" t="s">
        <v>379</v>
      </c>
      <c r="G3739" s="35" t="s">
        <v>521</v>
      </c>
    </row>
    <row r="3740" spans="1:7">
      <c r="A3740" s="34">
        <v>2084028175</v>
      </c>
      <c r="B3740" s="35" t="s">
        <v>462</v>
      </c>
      <c r="C3740" s="35" t="s">
        <v>405</v>
      </c>
      <c r="D3740" s="35" t="s">
        <v>922</v>
      </c>
      <c r="E3740" s="35" t="s">
        <v>982</v>
      </c>
      <c r="F3740" s="35" t="s">
        <v>379</v>
      </c>
      <c r="G3740" s="35" t="s">
        <v>522</v>
      </c>
    </row>
    <row r="3741" spans="1:7">
      <c r="A3741" s="34">
        <v>2084028415</v>
      </c>
      <c r="B3741" s="35" t="s">
        <v>462</v>
      </c>
      <c r="C3741" s="35" t="s">
        <v>405</v>
      </c>
      <c r="D3741" s="35" t="s">
        <v>922</v>
      </c>
      <c r="E3741" s="35" t="s">
        <v>982</v>
      </c>
      <c r="F3741" s="35" t="s">
        <v>379</v>
      </c>
      <c r="G3741" s="35" t="s">
        <v>523</v>
      </c>
    </row>
    <row r="3742" spans="1:7">
      <c r="A3742" s="34">
        <v>2084028114</v>
      </c>
      <c r="B3742" s="35" t="s">
        <v>462</v>
      </c>
      <c r="C3742" s="35" t="s">
        <v>405</v>
      </c>
      <c r="D3742" s="35" t="s">
        <v>922</v>
      </c>
      <c r="E3742" s="35" t="s">
        <v>982</v>
      </c>
      <c r="F3742" s="35" t="s">
        <v>379</v>
      </c>
      <c r="G3742" s="35" t="s">
        <v>524</v>
      </c>
    </row>
    <row r="3743" spans="1:7">
      <c r="A3743" s="34">
        <v>2084028280</v>
      </c>
      <c r="B3743" s="35" t="s">
        <v>462</v>
      </c>
      <c r="C3743" s="35" t="s">
        <v>405</v>
      </c>
      <c r="D3743" s="35" t="s">
        <v>922</v>
      </c>
      <c r="E3743" s="35" t="s">
        <v>982</v>
      </c>
      <c r="F3743" s="35" t="s">
        <v>379</v>
      </c>
      <c r="G3743" s="35" t="s">
        <v>525</v>
      </c>
    </row>
    <row r="3744" spans="1:7">
      <c r="A3744" s="34">
        <v>2084028482</v>
      </c>
      <c r="B3744" s="35" t="s">
        <v>462</v>
      </c>
      <c r="C3744" s="35" t="s">
        <v>405</v>
      </c>
      <c r="D3744" s="35" t="s">
        <v>922</v>
      </c>
      <c r="E3744" s="35" t="s">
        <v>982</v>
      </c>
      <c r="F3744" s="35" t="s">
        <v>379</v>
      </c>
      <c r="G3744" s="35" t="s">
        <v>526</v>
      </c>
    </row>
    <row r="3745" spans="1:7">
      <c r="A3745" s="34">
        <v>2084028305</v>
      </c>
      <c r="B3745" s="35" t="s">
        <v>462</v>
      </c>
      <c r="C3745" s="35" t="s">
        <v>405</v>
      </c>
      <c r="D3745" s="35" t="s">
        <v>922</v>
      </c>
      <c r="E3745" s="35" t="s">
        <v>982</v>
      </c>
      <c r="F3745" s="35" t="s">
        <v>379</v>
      </c>
      <c r="G3745" s="35" t="s">
        <v>527</v>
      </c>
    </row>
    <row r="3746" spans="1:7">
      <c r="A3746" s="34">
        <v>2084028517</v>
      </c>
      <c r="B3746" s="35" t="s">
        <v>462</v>
      </c>
      <c r="C3746" s="35" t="s">
        <v>405</v>
      </c>
      <c r="D3746" s="35" t="s">
        <v>922</v>
      </c>
      <c r="E3746" s="35" t="s">
        <v>982</v>
      </c>
      <c r="F3746" s="35" t="s">
        <v>379</v>
      </c>
      <c r="G3746" s="35" t="s">
        <v>528</v>
      </c>
    </row>
    <row r="3747" spans="1:7">
      <c r="A3747" s="34">
        <v>2084028343</v>
      </c>
      <c r="B3747" s="35" t="s">
        <v>462</v>
      </c>
      <c r="C3747" s="35" t="s">
        <v>405</v>
      </c>
      <c r="D3747" s="35" t="s">
        <v>922</v>
      </c>
      <c r="E3747" s="35" t="s">
        <v>982</v>
      </c>
      <c r="F3747" s="35" t="s">
        <v>379</v>
      </c>
      <c r="G3747" s="35" t="s">
        <v>548</v>
      </c>
    </row>
    <row r="3748" spans="1:7">
      <c r="A3748" s="34">
        <v>2084058535</v>
      </c>
      <c r="B3748" s="35" t="s">
        <v>462</v>
      </c>
      <c r="C3748" s="35" t="s">
        <v>405</v>
      </c>
      <c r="D3748" s="35" t="s">
        <v>922</v>
      </c>
      <c r="E3748" s="35" t="s">
        <v>982</v>
      </c>
      <c r="F3748" s="35" t="s">
        <v>379</v>
      </c>
      <c r="G3748" s="35" t="s">
        <v>335</v>
      </c>
    </row>
    <row r="3749" spans="1:7">
      <c r="A3749" s="34">
        <v>2084028557</v>
      </c>
      <c r="B3749" s="35" t="s">
        <v>462</v>
      </c>
      <c r="C3749" s="35" t="s">
        <v>405</v>
      </c>
      <c r="D3749" s="35" t="s">
        <v>922</v>
      </c>
      <c r="E3749" s="35" t="s">
        <v>982</v>
      </c>
      <c r="F3749" s="35" t="s">
        <v>530</v>
      </c>
      <c r="G3749" s="35" t="s">
        <v>531</v>
      </c>
    </row>
    <row r="3750" spans="1:7">
      <c r="A3750" s="34">
        <v>2084028595</v>
      </c>
      <c r="B3750" s="35" t="s">
        <v>462</v>
      </c>
      <c r="C3750" s="35" t="s">
        <v>405</v>
      </c>
      <c r="D3750" s="35" t="s">
        <v>922</v>
      </c>
      <c r="E3750" s="35" t="s">
        <v>982</v>
      </c>
      <c r="F3750" s="35" t="s">
        <v>530</v>
      </c>
      <c r="G3750" s="35" t="s">
        <v>532</v>
      </c>
    </row>
    <row r="3751" spans="1:7">
      <c r="A3751" s="34">
        <v>2084030095</v>
      </c>
      <c r="B3751" s="35" t="s">
        <v>462</v>
      </c>
      <c r="C3751" s="35" t="s">
        <v>405</v>
      </c>
      <c r="D3751" s="35" t="s">
        <v>922</v>
      </c>
      <c r="E3751" s="35" t="s">
        <v>982</v>
      </c>
      <c r="F3751" s="35" t="s">
        <v>533</v>
      </c>
      <c r="G3751" s="35" t="s">
        <v>534</v>
      </c>
    </row>
    <row r="3752" spans="1:7">
      <c r="A3752" s="34">
        <v>2084030177</v>
      </c>
      <c r="B3752" s="35" t="s">
        <v>462</v>
      </c>
      <c r="C3752" s="35" t="s">
        <v>405</v>
      </c>
      <c r="D3752" s="35" t="s">
        <v>922</v>
      </c>
      <c r="E3752" s="35" t="s">
        <v>982</v>
      </c>
      <c r="F3752" s="35" t="s">
        <v>533</v>
      </c>
      <c r="G3752" s="35" t="s">
        <v>535</v>
      </c>
    </row>
    <row r="3753" spans="1:7">
      <c r="A3753" s="34">
        <v>2084027169</v>
      </c>
      <c r="B3753" s="35" t="s">
        <v>462</v>
      </c>
      <c r="C3753" s="35" t="s">
        <v>405</v>
      </c>
      <c r="D3753" s="35" t="s">
        <v>922</v>
      </c>
      <c r="E3753" s="35" t="s">
        <v>982</v>
      </c>
      <c r="F3753" s="35" t="s">
        <v>533</v>
      </c>
      <c r="G3753" s="35" t="s">
        <v>536</v>
      </c>
    </row>
    <row r="3754" spans="1:7">
      <c r="A3754" s="34">
        <v>2084048680</v>
      </c>
      <c r="B3754" s="35" t="s">
        <v>462</v>
      </c>
      <c r="C3754" s="35" t="s">
        <v>405</v>
      </c>
      <c r="D3754" s="35" t="s">
        <v>922</v>
      </c>
      <c r="E3754" s="35" t="s">
        <v>982</v>
      </c>
      <c r="F3754" s="35" t="s">
        <v>335</v>
      </c>
    </row>
    <row r="3755" spans="1:7">
      <c r="A3755" s="34">
        <v>2084050248</v>
      </c>
      <c r="B3755" s="35" t="s">
        <v>462</v>
      </c>
      <c r="C3755" s="35" t="s">
        <v>405</v>
      </c>
      <c r="D3755" s="35" t="s">
        <v>922</v>
      </c>
      <c r="E3755" s="35" t="s">
        <v>983</v>
      </c>
    </row>
    <row r="3756" spans="1:7">
      <c r="A3756" s="34">
        <v>2084289098</v>
      </c>
      <c r="B3756" s="35" t="s">
        <v>462</v>
      </c>
      <c r="C3756" s="35" t="s">
        <v>405</v>
      </c>
      <c r="D3756" s="35" t="s">
        <v>984</v>
      </c>
      <c r="E3756" s="35" t="s">
        <v>985</v>
      </c>
      <c r="F3756" s="35" t="s">
        <v>401</v>
      </c>
    </row>
    <row r="3757" spans="1:7">
      <c r="A3757" s="34">
        <v>2084289100</v>
      </c>
      <c r="B3757" s="35" t="s">
        <v>462</v>
      </c>
      <c r="C3757" s="35" t="s">
        <v>405</v>
      </c>
      <c r="D3757" s="35" t="s">
        <v>984</v>
      </c>
      <c r="E3757" s="35" t="s">
        <v>985</v>
      </c>
      <c r="F3757" s="35" t="s">
        <v>402</v>
      </c>
    </row>
    <row r="3758" spans="1:7">
      <c r="A3758" s="34">
        <v>2084289099</v>
      </c>
      <c r="B3758" s="35" t="s">
        <v>462</v>
      </c>
      <c r="C3758" s="35" t="s">
        <v>405</v>
      </c>
      <c r="D3758" s="35" t="s">
        <v>984</v>
      </c>
      <c r="E3758" s="35" t="s">
        <v>985</v>
      </c>
      <c r="F3758" s="35" t="s">
        <v>403</v>
      </c>
    </row>
    <row r="3759" spans="1:7">
      <c r="A3759" s="34">
        <v>2084289101</v>
      </c>
      <c r="B3759" s="35" t="s">
        <v>462</v>
      </c>
      <c r="C3759" s="35" t="s">
        <v>405</v>
      </c>
      <c r="D3759" s="35" t="s">
        <v>984</v>
      </c>
      <c r="E3759" s="35" t="s">
        <v>985</v>
      </c>
      <c r="F3759" s="35" t="s">
        <v>335</v>
      </c>
    </row>
    <row r="3760" spans="1:7">
      <c r="A3760" s="34">
        <v>2084283233</v>
      </c>
      <c r="B3760" s="35" t="s">
        <v>462</v>
      </c>
      <c r="C3760" s="35" t="s">
        <v>405</v>
      </c>
      <c r="D3760" s="35" t="s">
        <v>984</v>
      </c>
      <c r="E3760" s="35" t="s">
        <v>986</v>
      </c>
    </row>
    <row r="3761" spans="1:8">
      <c r="A3761" s="34">
        <v>2084028198</v>
      </c>
      <c r="B3761" s="35" t="s">
        <v>462</v>
      </c>
      <c r="C3761" s="35" t="s">
        <v>405</v>
      </c>
      <c r="D3761" s="35" t="s">
        <v>984</v>
      </c>
      <c r="E3761" s="35" t="s">
        <v>987</v>
      </c>
      <c r="F3761" s="35" t="s">
        <v>390</v>
      </c>
      <c r="G3761" s="35" t="s">
        <v>367</v>
      </c>
    </row>
    <row r="3762" spans="1:8">
      <c r="A3762" s="34">
        <v>2084028747</v>
      </c>
      <c r="B3762" s="35" t="s">
        <v>462</v>
      </c>
      <c r="C3762" s="35" t="s">
        <v>405</v>
      </c>
      <c r="D3762" s="35" t="s">
        <v>984</v>
      </c>
      <c r="E3762" s="35" t="s">
        <v>987</v>
      </c>
      <c r="F3762" s="35" t="s">
        <v>390</v>
      </c>
      <c r="G3762" s="35" t="s">
        <v>368</v>
      </c>
      <c r="H3762" s="35" t="s">
        <v>508</v>
      </c>
    </row>
    <row r="3763" spans="1:8">
      <c r="A3763" s="34">
        <v>2084029330</v>
      </c>
      <c r="B3763" s="35" t="s">
        <v>462</v>
      </c>
      <c r="C3763" s="35" t="s">
        <v>405</v>
      </c>
      <c r="D3763" s="35" t="s">
        <v>984</v>
      </c>
      <c r="E3763" s="35" t="s">
        <v>987</v>
      </c>
      <c r="F3763" s="35" t="s">
        <v>390</v>
      </c>
      <c r="G3763" s="35" t="s">
        <v>368</v>
      </c>
      <c r="H3763" s="35" t="s">
        <v>481</v>
      </c>
    </row>
    <row r="3764" spans="1:8">
      <c r="A3764" s="34">
        <v>2084029881</v>
      </c>
      <c r="B3764" s="35" t="s">
        <v>462</v>
      </c>
      <c r="C3764" s="35" t="s">
        <v>405</v>
      </c>
      <c r="D3764" s="35" t="s">
        <v>984</v>
      </c>
      <c r="E3764" s="35" t="s">
        <v>987</v>
      </c>
      <c r="F3764" s="35" t="s">
        <v>390</v>
      </c>
      <c r="G3764" s="35" t="s">
        <v>368</v>
      </c>
      <c r="H3764" s="35" t="s">
        <v>494</v>
      </c>
    </row>
    <row r="3765" spans="1:8">
      <c r="A3765" s="34">
        <v>2084058543</v>
      </c>
      <c r="B3765" s="35" t="s">
        <v>462</v>
      </c>
      <c r="C3765" s="35" t="s">
        <v>405</v>
      </c>
      <c r="D3765" s="35" t="s">
        <v>984</v>
      </c>
      <c r="E3765" s="35" t="s">
        <v>987</v>
      </c>
      <c r="F3765" s="35" t="s">
        <v>390</v>
      </c>
      <c r="G3765" s="35" t="s">
        <v>368</v>
      </c>
      <c r="H3765" s="35" t="s">
        <v>335</v>
      </c>
    </row>
    <row r="3766" spans="1:8">
      <c r="A3766" s="34">
        <v>2084027296</v>
      </c>
      <c r="B3766" s="35" t="s">
        <v>462</v>
      </c>
      <c r="C3766" s="35" t="s">
        <v>405</v>
      </c>
      <c r="D3766" s="35" t="s">
        <v>984</v>
      </c>
      <c r="E3766" s="35" t="s">
        <v>987</v>
      </c>
      <c r="F3766" s="35" t="s">
        <v>390</v>
      </c>
      <c r="G3766" s="35" t="s">
        <v>10</v>
      </c>
      <c r="H3766" s="35" t="s">
        <v>509</v>
      </c>
    </row>
    <row r="3767" spans="1:8">
      <c r="A3767" s="34">
        <v>2084027839</v>
      </c>
      <c r="B3767" s="35" t="s">
        <v>462</v>
      </c>
      <c r="C3767" s="35" t="s">
        <v>405</v>
      </c>
      <c r="D3767" s="35" t="s">
        <v>984</v>
      </c>
      <c r="E3767" s="35" t="s">
        <v>987</v>
      </c>
      <c r="F3767" s="35" t="s">
        <v>390</v>
      </c>
      <c r="G3767" s="35" t="s">
        <v>10</v>
      </c>
      <c r="H3767" s="35" t="s">
        <v>510</v>
      </c>
    </row>
    <row r="3768" spans="1:8">
      <c r="A3768" s="34">
        <v>2084027871</v>
      </c>
      <c r="B3768" s="35" t="s">
        <v>462</v>
      </c>
      <c r="C3768" s="35" t="s">
        <v>405</v>
      </c>
      <c r="D3768" s="35" t="s">
        <v>984</v>
      </c>
      <c r="E3768" s="35" t="s">
        <v>987</v>
      </c>
      <c r="F3768" s="35" t="s">
        <v>390</v>
      </c>
      <c r="G3768" s="35" t="s">
        <v>10</v>
      </c>
      <c r="H3768" s="35" t="s">
        <v>511</v>
      </c>
    </row>
    <row r="3769" spans="1:8">
      <c r="A3769" s="34">
        <v>2084027901</v>
      </c>
      <c r="B3769" s="35" t="s">
        <v>462</v>
      </c>
      <c r="C3769" s="35" t="s">
        <v>405</v>
      </c>
      <c r="D3769" s="35" t="s">
        <v>984</v>
      </c>
      <c r="E3769" s="35" t="s">
        <v>987</v>
      </c>
      <c r="F3769" s="35" t="s">
        <v>390</v>
      </c>
      <c r="G3769" s="35" t="s">
        <v>10</v>
      </c>
      <c r="H3769" s="35" t="s">
        <v>493</v>
      </c>
    </row>
    <row r="3770" spans="1:8">
      <c r="A3770" s="34">
        <v>2084027470</v>
      </c>
      <c r="B3770" s="35" t="s">
        <v>462</v>
      </c>
      <c r="C3770" s="35" t="s">
        <v>405</v>
      </c>
      <c r="D3770" s="35" t="s">
        <v>984</v>
      </c>
      <c r="E3770" s="35" t="s">
        <v>987</v>
      </c>
      <c r="F3770" s="35" t="s">
        <v>390</v>
      </c>
      <c r="G3770" s="35" t="s">
        <v>10</v>
      </c>
      <c r="H3770" s="35" t="s">
        <v>512</v>
      </c>
    </row>
    <row r="3771" spans="1:8">
      <c r="A3771" s="34">
        <v>2084027637</v>
      </c>
      <c r="B3771" s="35" t="s">
        <v>462</v>
      </c>
      <c r="C3771" s="35" t="s">
        <v>405</v>
      </c>
      <c r="D3771" s="35" t="s">
        <v>984</v>
      </c>
      <c r="E3771" s="35" t="s">
        <v>987</v>
      </c>
      <c r="F3771" s="35" t="s">
        <v>390</v>
      </c>
      <c r="G3771" s="35" t="s">
        <v>10</v>
      </c>
      <c r="H3771" s="35" t="s">
        <v>513</v>
      </c>
    </row>
    <row r="3772" spans="1:8">
      <c r="A3772" s="34">
        <v>2084027981</v>
      </c>
      <c r="B3772" s="35" t="s">
        <v>462</v>
      </c>
      <c r="C3772" s="35" t="s">
        <v>405</v>
      </c>
      <c r="D3772" s="35" t="s">
        <v>984</v>
      </c>
      <c r="E3772" s="35" t="s">
        <v>987</v>
      </c>
      <c r="F3772" s="35" t="s">
        <v>390</v>
      </c>
      <c r="G3772" s="35" t="s">
        <v>10</v>
      </c>
      <c r="H3772" s="35" t="s">
        <v>420</v>
      </c>
    </row>
    <row r="3773" spans="1:8">
      <c r="A3773" s="34">
        <v>2084027259</v>
      </c>
      <c r="B3773" s="35" t="s">
        <v>462</v>
      </c>
      <c r="C3773" s="35" t="s">
        <v>405</v>
      </c>
      <c r="D3773" s="35" t="s">
        <v>984</v>
      </c>
      <c r="E3773" s="35" t="s">
        <v>987</v>
      </c>
      <c r="F3773" s="35" t="s">
        <v>390</v>
      </c>
      <c r="G3773" s="35" t="s">
        <v>10</v>
      </c>
      <c r="H3773" s="35" t="s">
        <v>514</v>
      </c>
    </row>
    <row r="3774" spans="1:8">
      <c r="A3774" s="34">
        <v>2084027435</v>
      </c>
      <c r="B3774" s="35" t="s">
        <v>462</v>
      </c>
      <c r="C3774" s="35" t="s">
        <v>405</v>
      </c>
      <c r="D3774" s="35" t="s">
        <v>984</v>
      </c>
      <c r="E3774" s="35" t="s">
        <v>987</v>
      </c>
      <c r="F3774" s="35" t="s">
        <v>390</v>
      </c>
      <c r="G3774" s="35" t="s">
        <v>10</v>
      </c>
      <c r="H3774" s="35" t="s">
        <v>515</v>
      </c>
    </row>
    <row r="3775" spans="1:8">
      <c r="A3775" s="34">
        <v>2084027504</v>
      </c>
      <c r="B3775" s="35" t="s">
        <v>462</v>
      </c>
      <c r="C3775" s="35" t="s">
        <v>405</v>
      </c>
      <c r="D3775" s="35" t="s">
        <v>984</v>
      </c>
      <c r="E3775" s="35" t="s">
        <v>987</v>
      </c>
      <c r="F3775" s="35" t="s">
        <v>390</v>
      </c>
      <c r="G3775" s="35" t="s">
        <v>10</v>
      </c>
      <c r="H3775" s="35" t="s">
        <v>421</v>
      </c>
    </row>
    <row r="3776" spans="1:8">
      <c r="A3776" s="34">
        <v>2084027715</v>
      </c>
      <c r="B3776" s="35" t="s">
        <v>462</v>
      </c>
      <c r="C3776" s="35" t="s">
        <v>405</v>
      </c>
      <c r="D3776" s="35" t="s">
        <v>984</v>
      </c>
      <c r="E3776" s="35" t="s">
        <v>987</v>
      </c>
      <c r="F3776" s="35" t="s">
        <v>390</v>
      </c>
      <c r="G3776" s="35" t="s">
        <v>10</v>
      </c>
      <c r="H3776" s="35" t="s">
        <v>516</v>
      </c>
    </row>
    <row r="3777" spans="1:8">
      <c r="A3777" s="34">
        <v>2084027232</v>
      </c>
      <c r="B3777" s="35" t="s">
        <v>462</v>
      </c>
      <c r="C3777" s="35" t="s">
        <v>405</v>
      </c>
      <c r="D3777" s="35" t="s">
        <v>984</v>
      </c>
      <c r="E3777" s="35" t="s">
        <v>987</v>
      </c>
      <c r="F3777" s="35" t="s">
        <v>390</v>
      </c>
      <c r="G3777" s="35" t="s">
        <v>10</v>
      </c>
      <c r="H3777" s="35" t="s">
        <v>517</v>
      </c>
    </row>
    <row r="3778" spans="1:8">
      <c r="A3778" s="34">
        <v>2084027370</v>
      </c>
      <c r="B3778" s="35" t="s">
        <v>462</v>
      </c>
      <c r="C3778" s="35" t="s">
        <v>405</v>
      </c>
      <c r="D3778" s="35" t="s">
        <v>984</v>
      </c>
      <c r="E3778" s="35" t="s">
        <v>987</v>
      </c>
      <c r="F3778" s="35" t="s">
        <v>390</v>
      </c>
      <c r="G3778" s="35" t="s">
        <v>10</v>
      </c>
      <c r="H3778" s="35" t="s">
        <v>518</v>
      </c>
    </row>
    <row r="3779" spans="1:8">
      <c r="A3779" s="34">
        <v>2084027542</v>
      </c>
      <c r="B3779" s="35" t="s">
        <v>462</v>
      </c>
      <c r="C3779" s="35" t="s">
        <v>405</v>
      </c>
      <c r="D3779" s="35" t="s">
        <v>984</v>
      </c>
      <c r="E3779" s="35" t="s">
        <v>987</v>
      </c>
      <c r="F3779" s="35" t="s">
        <v>390</v>
      </c>
      <c r="G3779" s="35" t="s">
        <v>10</v>
      </c>
      <c r="H3779" s="35" t="s">
        <v>422</v>
      </c>
    </row>
    <row r="3780" spans="1:8">
      <c r="A3780" s="34">
        <v>2084027765</v>
      </c>
      <c r="B3780" s="35" t="s">
        <v>462</v>
      </c>
      <c r="C3780" s="35" t="s">
        <v>405</v>
      </c>
      <c r="D3780" s="35" t="s">
        <v>984</v>
      </c>
      <c r="E3780" s="35" t="s">
        <v>987</v>
      </c>
      <c r="F3780" s="35" t="s">
        <v>390</v>
      </c>
      <c r="G3780" s="35" t="s">
        <v>10</v>
      </c>
      <c r="H3780" s="35" t="s">
        <v>519</v>
      </c>
    </row>
    <row r="3781" spans="1:8">
      <c r="A3781" s="34">
        <v>2084028003</v>
      </c>
      <c r="B3781" s="35" t="s">
        <v>462</v>
      </c>
      <c r="C3781" s="35" t="s">
        <v>405</v>
      </c>
      <c r="D3781" s="35" t="s">
        <v>984</v>
      </c>
      <c r="E3781" s="35" t="s">
        <v>987</v>
      </c>
      <c r="F3781" s="35" t="s">
        <v>390</v>
      </c>
      <c r="G3781" s="35" t="s">
        <v>379</v>
      </c>
      <c r="H3781" s="35" t="s">
        <v>520</v>
      </c>
    </row>
    <row r="3782" spans="1:8">
      <c r="A3782" s="34">
        <v>2084028076</v>
      </c>
      <c r="B3782" s="35" t="s">
        <v>462</v>
      </c>
      <c r="C3782" s="35" t="s">
        <v>405</v>
      </c>
      <c r="D3782" s="35" t="s">
        <v>984</v>
      </c>
      <c r="E3782" s="35" t="s">
        <v>987</v>
      </c>
      <c r="F3782" s="35" t="s">
        <v>390</v>
      </c>
      <c r="G3782" s="35" t="s">
        <v>379</v>
      </c>
      <c r="H3782" s="35" t="s">
        <v>521</v>
      </c>
    </row>
    <row r="3783" spans="1:8">
      <c r="A3783" s="34">
        <v>2084028176</v>
      </c>
      <c r="B3783" s="35" t="s">
        <v>462</v>
      </c>
      <c r="C3783" s="35" t="s">
        <v>405</v>
      </c>
      <c r="D3783" s="35" t="s">
        <v>984</v>
      </c>
      <c r="E3783" s="35" t="s">
        <v>987</v>
      </c>
      <c r="F3783" s="35" t="s">
        <v>390</v>
      </c>
      <c r="G3783" s="35" t="s">
        <v>379</v>
      </c>
      <c r="H3783" s="35" t="s">
        <v>522</v>
      </c>
    </row>
    <row r="3784" spans="1:8">
      <c r="A3784" s="34">
        <v>2084028416</v>
      </c>
      <c r="B3784" s="35" t="s">
        <v>462</v>
      </c>
      <c r="C3784" s="35" t="s">
        <v>405</v>
      </c>
      <c r="D3784" s="35" t="s">
        <v>984</v>
      </c>
      <c r="E3784" s="35" t="s">
        <v>987</v>
      </c>
      <c r="F3784" s="35" t="s">
        <v>390</v>
      </c>
      <c r="G3784" s="35" t="s">
        <v>379</v>
      </c>
      <c r="H3784" s="35" t="s">
        <v>523</v>
      </c>
    </row>
    <row r="3785" spans="1:8">
      <c r="A3785" s="34">
        <v>2084028115</v>
      </c>
      <c r="B3785" s="35" t="s">
        <v>462</v>
      </c>
      <c r="C3785" s="35" t="s">
        <v>405</v>
      </c>
      <c r="D3785" s="35" t="s">
        <v>984</v>
      </c>
      <c r="E3785" s="35" t="s">
        <v>987</v>
      </c>
      <c r="F3785" s="35" t="s">
        <v>390</v>
      </c>
      <c r="G3785" s="35" t="s">
        <v>379</v>
      </c>
      <c r="H3785" s="35" t="s">
        <v>524</v>
      </c>
    </row>
    <row r="3786" spans="1:8">
      <c r="A3786" s="34">
        <v>2084028281</v>
      </c>
      <c r="B3786" s="35" t="s">
        <v>462</v>
      </c>
      <c r="C3786" s="35" t="s">
        <v>405</v>
      </c>
      <c r="D3786" s="35" t="s">
        <v>984</v>
      </c>
      <c r="E3786" s="35" t="s">
        <v>987</v>
      </c>
      <c r="F3786" s="35" t="s">
        <v>390</v>
      </c>
      <c r="G3786" s="35" t="s">
        <v>379</v>
      </c>
      <c r="H3786" s="35" t="s">
        <v>525</v>
      </c>
    </row>
    <row r="3787" spans="1:8">
      <c r="A3787" s="34">
        <v>2084028483</v>
      </c>
      <c r="B3787" s="35" t="s">
        <v>462</v>
      </c>
      <c r="C3787" s="35" t="s">
        <v>405</v>
      </c>
      <c r="D3787" s="35" t="s">
        <v>984</v>
      </c>
      <c r="E3787" s="35" t="s">
        <v>987</v>
      </c>
      <c r="F3787" s="35" t="s">
        <v>390</v>
      </c>
      <c r="G3787" s="35" t="s">
        <v>379</v>
      </c>
      <c r="H3787" s="35" t="s">
        <v>526</v>
      </c>
    </row>
    <row r="3788" spans="1:8">
      <c r="A3788" s="34">
        <v>2084028306</v>
      </c>
      <c r="B3788" s="35" t="s">
        <v>462</v>
      </c>
      <c r="C3788" s="35" t="s">
        <v>405</v>
      </c>
      <c r="D3788" s="35" t="s">
        <v>984</v>
      </c>
      <c r="E3788" s="35" t="s">
        <v>987</v>
      </c>
      <c r="F3788" s="35" t="s">
        <v>390</v>
      </c>
      <c r="G3788" s="35" t="s">
        <v>379</v>
      </c>
      <c r="H3788" s="35" t="s">
        <v>527</v>
      </c>
    </row>
    <row r="3789" spans="1:8">
      <c r="A3789" s="34">
        <v>2084028518</v>
      </c>
      <c r="B3789" s="35" t="s">
        <v>462</v>
      </c>
      <c r="C3789" s="35" t="s">
        <v>405</v>
      </c>
      <c r="D3789" s="35" t="s">
        <v>984</v>
      </c>
      <c r="E3789" s="35" t="s">
        <v>987</v>
      </c>
      <c r="F3789" s="35" t="s">
        <v>390</v>
      </c>
      <c r="G3789" s="35" t="s">
        <v>379</v>
      </c>
      <c r="H3789" s="35" t="s">
        <v>528</v>
      </c>
    </row>
    <row r="3790" spans="1:8">
      <c r="A3790" s="34">
        <v>2084028344</v>
      </c>
      <c r="B3790" s="35" t="s">
        <v>462</v>
      </c>
      <c r="C3790" s="35" t="s">
        <v>405</v>
      </c>
      <c r="D3790" s="35" t="s">
        <v>984</v>
      </c>
      <c r="E3790" s="35" t="s">
        <v>987</v>
      </c>
      <c r="F3790" s="35" t="s">
        <v>390</v>
      </c>
      <c r="G3790" s="35" t="s">
        <v>379</v>
      </c>
      <c r="H3790" s="35" t="s">
        <v>548</v>
      </c>
    </row>
    <row r="3791" spans="1:8">
      <c r="A3791" s="34">
        <v>2084058544</v>
      </c>
      <c r="B3791" s="35" t="s">
        <v>462</v>
      </c>
      <c r="C3791" s="35" t="s">
        <v>405</v>
      </c>
      <c r="D3791" s="35" t="s">
        <v>984</v>
      </c>
      <c r="E3791" s="35" t="s">
        <v>987</v>
      </c>
      <c r="F3791" s="35" t="s">
        <v>390</v>
      </c>
      <c r="G3791" s="35" t="s">
        <v>379</v>
      </c>
      <c r="H3791" s="35" t="s">
        <v>335</v>
      </c>
    </row>
    <row r="3792" spans="1:8">
      <c r="A3792" s="34">
        <v>2084028558</v>
      </c>
      <c r="B3792" s="35" t="s">
        <v>462</v>
      </c>
      <c r="C3792" s="35" t="s">
        <v>405</v>
      </c>
      <c r="D3792" s="35" t="s">
        <v>984</v>
      </c>
      <c r="E3792" s="35" t="s">
        <v>987</v>
      </c>
      <c r="F3792" s="35" t="s">
        <v>390</v>
      </c>
      <c r="G3792" s="35" t="s">
        <v>530</v>
      </c>
      <c r="H3792" s="35" t="s">
        <v>531</v>
      </c>
    </row>
    <row r="3793" spans="1:8">
      <c r="A3793" s="34">
        <v>2084028596</v>
      </c>
      <c r="B3793" s="35" t="s">
        <v>462</v>
      </c>
      <c r="C3793" s="35" t="s">
        <v>405</v>
      </c>
      <c r="D3793" s="35" t="s">
        <v>984</v>
      </c>
      <c r="E3793" s="35" t="s">
        <v>987</v>
      </c>
      <c r="F3793" s="35" t="s">
        <v>390</v>
      </c>
      <c r="G3793" s="35" t="s">
        <v>530</v>
      </c>
      <c r="H3793" s="35" t="s">
        <v>532</v>
      </c>
    </row>
    <row r="3794" spans="1:8">
      <c r="A3794" s="34">
        <v>2084030096</v>
      </c>
      <c r="B3794" s="35" t="s">
        <v>462</v>
      </c>
      <c r="C3794" s="35" t="s">
        <v>405</v>
      </c>
      <c r="D3794" s="35" t="s">
        <v>984</v>
      </c>
      <c r="E3794" s="35" t="s">
        <v>987</v>
      </c>
      <c r="F3794" s="35" t="s">
        <v>390</v>
      </c>
      <c r="G3794" s="35" t="s">
        <v>533</v>
      </c>
      <c r="H3794" s="35" t="s">
        <v>988</v>
      </c>
    </row>
    <row r="3795" spans="1:8">
      <c r="A3795" s="34">
        <v>2084027170</v>
      </c>
      <c r="B3795" s="35" t="s">
        <v>462</v>
      </c>
      <c r="C3795" s="35" t="s">
        <v>405</v>
      </c>
      <c r="D3795" s="35" t="s">
        <v>984</v>
      </c>
      <c r="E3795" s="35" t="s">
        <v>987</v>
      </c>
      <c r="F3795" s="35" t="s">
        <v>390</v>
      </c>
      <c r="G3795" s="35" t="s">
        <v>533</v>
      </c>
      <c r="H3795" s="35" t="s">
        <v>536</v>
      </c>
    </row>
    <row r="3796" spans="1:8">
      <c r="A3796" s="34">
        <v>2084058545</v>
      </c>
      <c r="B3796" s="35" t="s">
        <v>462</v>
      </c>
      <c r="C3796" s="35" t="s">
        <v>405</v>
      </c>
      <c r="D3796" s="35" t="s">
        <v>984</v>
      </c>
      <c r="E3796" s="35" t="s">
        <v>987</v>
      </c>
      <c r="F3796" s="35" t="s">
        <v>390</v>
      </c>
      <c r="G3796" s="35" t="s">
        <v>335</v>
      </c>
    </row>
    <row r="3797" spans="1:8">
      <c r="A3797" s="34">
        <v>2084061638</v>
      </c>
      <c r="B3797" s="35" t="s">
        <v>462</v>
      </c>
      <c r="C3797" s="35" t="s">
        <v>405</v>
      </c>
      <c r="D3797" s="35" t="s">
        <v>984</v>
      </c>
      <c r="E3797" s="35" t="s">
        <v>987</v>
      </c>
      <c r="F3797" s="35" t="s">
        <v>353</v>
      </c>
      <c r="G3797" s="35" t="s">
        <v>367</v>
      </c>
    </row>
    <row r="3798" spans="1:8">
      <c r="A3798" s="34">
        <v>2084061641</v>
      </c>
      <c r="B3798" s="35" t="s">
        <v>462</v>
      </c>
      <c r="C3798" s="35" t="s">
        <v>405</v>
      </c>
      <c r="D3798" s="35" t="s">
        <v>984</v>
      </c>
      <c r="E3798" s="35" t="s">
        <v>987</v>
      </c>
      <c r="F3798" s="35" t="s">
        <v>353</v>
      </c>
      <c r="G3798" s="35" t="s">
        <v>368</v>
      </c>
      <c r="H3798" s="35" t="s">
        <v>481</v>
      </c>
    </row>
    <row r="3799" spans="1:8">
      <c r="A3799" s="34">
        <v>2084061640</v>
      </c>
      <c r="B3799" s="35" t="s">
        <v>462</v>
      </c>
      <c r="C3799" s="35" t="s">
        <v>405</v>
      </c>
      <c r="D3799" s="35" t="s">
        <v>984</v>
      </c>
      <c r="E3799" s="35" t="s">
        <v>987</v>
      </c>
      <c r="F3799" s="35" t="s">
        <v>353</v>
      </c>
      <c r="G3799" s="35" t="s">
        <v>368</v>
      </c>
      <c r="H3799" s="35" t="s">
        <v>482</v>
      </c>
    </row>
    <row r="3800" spans="1:8">
      <c r="A3800" s="34">
        <v>2084061642</v>
      </c>
      <c r="B3800" s="35" t="s">
        <v>462</v>
      </c>
      <c r="C3800" s="35" t="s">
        <v>405</v>
      </c>
      <c r="D3800" s="35" t="s">
        <v>984</v>
      </c>
      <c r="E3800" s="35" t="s">
        <v>987</v>
      </c>
      <c r="F3800" s="35" t="s">
        <v>353</v>
      </c>
      <c r="G3800" s="35" t="s">
        <v>368</v>
      </c>
      <c r="H3800" s="35" t="s">
        <v>335</v>
      </c>
    </row>
    <row r="3801" spans="1:8">
      <c r="A3801" s="34">
        <v>2084061649</v>
      </c>
      <c r="B3801" s="35" t="s">
        <v>462</v>
      </c>
      <c r="C3801" s="35" t="s">
        <v>405</v>
      </c>
      <c r="D3801" s="35" t="s">
        <v>984</v>
      </c>
      <c r="E3801" s="35" t="s">
        <v>987</v>
      </c>
      <c r="F3801" s="35" t="s">
        <v>353</v>
      </c>
      <c r="G3801" s="35" t="s">
        <v>10</v>
      </c>
      <c r="H3801" s="35" t="s">
        <v>335</v>
      </c>
    </row>
    <row r="3802" spans="1:8">
      <c r="A3802" s="34">
        <v>2084061648</v>
      </c>
      <c r="B3802" s="35" t="s">
        <v>462</v>
      </c>
      <c r="C3802" s="35" t="s">
        <v>405</v>
      </c>
      <c r="D3802" s="35" t="s">
        <v>984</v>
      </c>
      <c r="E3802" s="35" t="s">
        <v>987</v>
      </c>
      <c r="F3802" s="35" t="s">
        <v>353</v>
      </c>
      <c r="G3802" s="35" t="s">
        <v>10</v>
      </c>
      <c r="H3802" s="35" t="s">
        <v>483</v>
      </c>
    </row>
    <row r="3803" spans="1:8">
      <c r="A3803" s="34">
        <v>2084061645</v>
      </c>
      <c r="B3803" s="35" t="s">
        <v>462</v>
      </c>
      <c r="C3803" s="35" t="s">
        <v>405</v>
      </c>
      <c r="D3803" s="35" t="s">
        <v>984</v>
      </c>
      <c r="E3803" s="35" t="s">
        <v>987</v>
      </c>
      <c r="F3803" s="35" t="s">
        <v>353</v>
      </c>
      <c r="G3803" s="35" t="s">
        <v>10</v>
      </c>
      <c r="H3803" s="35" t="s">
        <v>397</v>
      </c>
    </row>
    <row r="3804" spans="1:8">
      <c r="A3804" s="34">
        <v>2084061647</v>
      </c>
      <c r="B3804" s="35" t="s">
        <v>462</v>
      </c>
      <c r="C3804" s="35" t="s">
        <v>405</v>
      </c>
      <c r="D3804" s="35" t="s">
        <v>984</v>
      </c>
      <c r="E3804" s="35" t="s">
        <v>987</v>
      </c>
      <c r="F3804" s="35" t="s">
        <v>353</v>
      </c>
      <c r="G3804" s="35" t="s">
        <v>10</v>
      </c>
      <c r="H3804" s="35" t="s">
        <v>421</v>
      </c>
    </row>
    <row r="3805" spans="1:8">
      <c r="A3805" s="34">
        <v>2084061644</v>
      </c>
      <c r="B3805" s="35" t="s">
        <v>462</v>
      </c>
      <c r="C3805" s="35" t="s">
        <v>405</v>
      </c>
      <c r="D3805" s="35" t="s">
        <v>984</v>
      </c>
      <c r="E3805" s="35" t="s">
        <v>987</v>
      </c>
      <c r="F3805" s="35" t="s">
        <v>353</v>
      </c>
      <c r="G3805" s="35" t="s">
        <v>10</v>
      </c>
      <c r="H3805" s="35" t="s">
        <v>398</v>
      </c>
    </row>
    <row r="3806" spans="1:8">
      <c r="A3806" s="34">
        <v>2084061646</v>
      </c>
      <c r="B3806" s="35" t="s">
        <v>462</v>
      </c>
      <c r="C3806" s="35" t="s">
        <v>405</v>
      </c>
      <c r="D3806" s="35" t="s">
        <v>984</v>
      </c>
      <c r="E3806" s="35" t="s">
        <v>987</v>
      </c>
      <c r="F3806" s="35" t="s">
        <v>353</v>
      </c>
      <c r="G3806" s="35" t="s">
        <v>10</v>
      </c>
      <c r="H3806" s="35" t="s">
        <v>422</v>
      </c>
    </row>
    <row r="3807" spans="1:8">
      <c r="A3807" s="34">
        <v>2084061650</v>
      </c>
      <c r="B3807" s="35" t="s">
        <v>462</v>
      </c>
      <c r="C3807" s="35" t="s">
        <v>405</v>
      </c>
      <c r="D3807" s="35" t="s">
        <v>984</v>
      </c>
      <c r="E3807" s="35" t="s">
        <v>987</v>
      </c>
      <c r="F3807" s="35" t="s">
        <v>353</v>
      </c>
      <c r="G3807" s="35" t="s">
        <v>403</v>
      </c>
    </row>
    <row r="3808" spans="1:8">
      <c r="A3808" s="34">
        <v>2084061651</v>
      </c>
      <c r="B3808" s="35" t="s">
        <v>462</v>
      </c>
      <c r="C3808" s="35" t="s">
        <v>405</v>
      </c>
      <c r="D3808" s="35" t="s">
        <v>984</v>
      </c>
      <c r="E3808" s="35" t="s">
        <v>987</v>
      </c>
      <c r="F3808" s="35" t="s">
        <v>353</v>
      </c>
      <c r="G3808" s="35" t="s">
        <v>335</v>
      </c>
    </row>
    <row r="3809" spans="1:8">
      <c r="A3809" s="34">
        <v>2084048683</v>
      </c>
      <c r="B3809" s="35" t="s">
        <v>462</v>
      </c>
      <c r="C3809" s="35" t="s">
        <v>405</v>
      </c>
      <c r="D3809" s="35" t="s">
        <v>984</v>
      </c>
      <c r="E3809" s="35" t="s">
        <v>987</v>
      </c>
      <c r="F3809" s="35" t="s">
        <v>335</v>
      </c>
    </row>
    <row r="3810" spans="1:8">
      <c r="A3810" s="34">
        <v>2084301242</v>
      </c>
      <c r="B3810" s="35" t="s">
        <v>462</v>
      </c>
      <c r="C3810" s="35" t="s">
        <v>405</v>
      </c>
      <c r="D3810" s="35" t="s">
        <v>984</v>
      </c>
      <c r="E3810" s="35" t="s">
        <v>989</v>
      </c>
    </row>
    <row r="3811" spans="1:8">
      <c r="A3811" s="34">
        <v>2084259939</v>
      </c>
      <c r="B3811" s="35" t="s">
        <v>462</v>
      </c>
      <c r="C3811" s="35" t="s">
        <v>405</v>
      </c>
      <c r="D3811" s="35" t="s">
        <v>984</v>
      </c>
      <c r="E3811" s="35" t="s">
        <v>990</v>
      </c>
    </row>
    <row r="3812" spans="1:8">
      <c r="A3812" s="34">
        <v>2084050955</v>
      </c>
      <c r="B3812" s="35" t="s">
        <v>462</v>
      </c>
      <c r="C3812" s="35" t="s">
        <v>405</v>
      </c>
      <c r="D3812" s="35" t="s">
        <v>984</v>
      </c>
      <c r="E3812" s="35" t="s">
        <v>991</v>
      </c>
      <c r="F3812" s="35" t="s">
        <v>475</v>
      </c>
    </row>
    <row r="3813" spans="1:8">
      <c r="A3813" s="34">
        <v>2084041614</v>
      </c>
      <c r="B3813" s="35" t="s">
        <v>462</v>
      </c>
      <c r="C3813" s="35" t="s">
        <v>405</v>
      </c>
      <c r="D3813" s="35" t="s">
        <v>984</v>
      </c>
      <c r="E3813" s="35" t="s">
        <v>991</v>
      </c>
      <c r="F3813" s="35" t="s">
        <v>390</v>
      </c>
      <c r="G3813" s="35" t="s">
        <v>397</v>
      </c>
    </row>
    <row r="3814" spans="1:8">
      <c r="A3814" s="34">
        <v>2084041615</v>
      </c>
      <c r="B3814" s="35" t="s">
        <v>462</v>
      </c>
      <c r="C3814" s="35" t="s">
        <v>405</v>
      </c>
      <c r="D3814" s="35" t="s">
        <v>984</v>
      </c>
      <c r="E3814" s="35" t="s">
        <v>991</v>
      </c>
      <c r="F3814" s="35" t="s">
        <v>390</v>
      </c>
      <c r="G3814" s="35" t="s">
        <v>398</v>
      </c>
    </row>
    <row r="3815" spans="1:8">
      <c r="A3815" s="34">
        <v>2084246979</v>
      </c>
      <c r="B3815" s="35" t="s">
        <v>462</v>
      </c>
      <c r="C3815" s="35" t="s">
        <v>405</v>
      </c>
      <c r="D3815" s="35" t="s">
        <v>984</v>
      </c>
      <c r="E3815" s="35" t="s">
        <v>991</v>
      </c>
      <c r="F3815" s="35" t="s">
        <v>390</v>
      </c>
      <c r="G3815" s="35" t="s">
        <v>335</v>
      </c>
    </row>
    <row r="3816" spans="1:8">
      <c r="A3816" s="34">
        <v>2084039895</v>
      </c>
      <c r="B3816" s="35" t="s">
        <v>462</v>
      </c>
      <c r="C3816" s="35" t="s">
        <v>405</v>
      </c>
      <c r="D3816" s="35" t="s">
        <v>984</v>
      </c>
      <c r="E3816" s="35" t="s">
        <v>991</v>
      </c>
      <c r="F3816" s="35" t="s">
        <v>353</v>
      </c>
      <c r="G3816" s="35" t="s">
        <v>481</v>
      </c>
    </row>
    <row r="3817" spans="1:8">
      <c r="A3817" s="34">
        <v>2084042323</v>
      </c>
      <c r="B3817" s="35" t="s">
        <v>462</v>
      </c>
      <c r="C3817" s="35" t="s">
        <v>405</v>
      </c>
      <c r="D3817" s="35" t="s">
        <v>984</v>
      </c>
      <c r="E3817" s="35" t="s">
        <v>991</v>
      </c>
      <c r="F3817" s="35" t="s">
        <v>353</v>
      </c>
      <c r="G3817" s="35" t="s">
        <v>493</v>
      </c>
    </row>
    <row r="3818" spans="1:8">
      <c r="A3818" s="34">
        <v>2084039896</v>
      </c>
      <c r="B3818" s="35" t="s">
        <v>462</v>
      </c>
      <c r="C3818" s="35" t="s">
        <v>405</v>
      </c>
      <c r="D3818" s="35" t="s">
        <v>984</v>
      </c>
      <c r="E3818" s="35" t="s">
        <v>991</v>
      </c>
      <c r="F3818" s="35" t="s">
        <v>353</v>
      </c>
      <c r="G3818" s="35" t="s">
        <v>494</v>
      </c>
    </row>
    <row r="3819" spans="1:8">
      <c r="A3819" s="34">
        <v>2084042316</v>
      </c>
      <c r="B3819" s="35" t="s">
        <v>462</v>
      </c>
      <c r="C3819" s="35" t="s">
        <v>405</v>
      </c>
      <c r="D3819" s="35" t="s">
        <v>984</v>
      </c>
      <c r="E3819" s="35" t="s">
        <v>991</v>
      </c>
      <c r="F3819" s="35" t="s">
        <v>353</v>
      </c>
      <c r="G3819" s="35" t="s">
        <v>397</v>
      </c>
    </row>
    <row r="3820" spans="1:8">
      <c r="A3820" s="34">
        <v>2084040520</v>
      </c>
      <c r="B3820" s="35" t="s">
        <v>462</v>
      </c>
      <c r="C3820" s="35" t="s">
        <v>405</v>
      </c>
      <c r="D3820" s="35" t="s">
        <v>984</v>
      </c>
      <c r="E3820" s="35" t="s">
        <v>991</v>
      </c>
      <c r="F3820" s="35" t="s">
        <v>353</v>
      </c>
      <c r="G3820" s="35" t="s">
        <v>421</v>
      </c>
    </row>
    <row r="3821" spans="1:8">
      <c r="A3821" s="34">
        <v>2084259205</v>
      </c>
      <c r="B3821" s="35" t="s">
        <v>462</v>
      </c>
      <c r="C3821" s="35" t="s">
        <v>405</v>
      </c>
      <c r="D3821" s="35" t="s">
        <v>984</v>
      </c>
      <c r="E3821" s="35" t="s">
        <v>991</v>
      </c>
      <c r="F3821" s="35" t="s">
        <v>353</v>
      </c>
      <c r="G3821" s="35" t="s">
        <v>378</v>
      </c>
      <c r="H3821" s="35" t="s">
        <v>391</v>
      </c>
    </row>
    <row r="3822" spans="1:8">
      <c r="A3822" s="34">
        <v>2084259206</v>
      </c>
      <c r="B3822" s="35" t="s">
        <v>462</v>
      </c>
      <c r="C3822" s="35" t="s">
        <v>405</v>
      </c>
      <c r="D3822" s="35" t="s">
        <v>984</v>
      </c>
      <c r="E3822" s="35" t="s">
        <v>991</v>
      </c>
      <c r="F3822" s="35" t="s">
        <v>353</v>
      </c>
      <c r="G3822" s="35" t="s">
        <v>378</v>
      </c>
      <c r="H3822" s="35" t="s">
        <v>392</v>
      </c>
    </row>
    <row r="3823" spans="1:8">
      <c r="A3823" s="34">
        <v>2084259207</v>
      </c>
      <c r="B3823" s="35" t="s">
        <v>462</v>
      </c>
      <c r="C3823" s="35" t="s">
        <v>405</v>
      </c>
      <c r="D3823" s="35" t="s">
        <v>984</v>
      </c>
      <c r="E3823" s="35" t="s">
        <v>991</v>
      </c>
      <c r="F3823" s="35" t="s">
        <v>353</v>
      </c>
      <c r="G3823" s="35" t="s">
        <v>378</v>
      </c>
      <c r="H3823" s="35" t="s">
        <v>375</v>
      </c>
    </row>
    <row r="3824" spans="1:8">
      <c r="A3824" s="34">
        <v>2084259208</v>
      </c>
      <c r="B3824" s="35" t="s">
        <v>462</v>
      </c>
      <c r="C3824" s="35" t="s">
        <v>405</v>
      </c>
      <c r="D3824" s="35" t="s">
        <v>984</v>
      </c>
      <c r="E3824" s="35" t="s">
        <v>991</v>
      </c>
      <c r="F3824" s="35" t="s">
        <v>353</v>
      </c>
      <c r="G3824" s="35" t="s">
        <v>378</v>
      </c>
      <c r="H3824" s="35" t="s">
        <v>376</v>
      </c>
    </row>
    <row r="3825" spans="1:8">
      <c r="A3825" s="34">
        <v>2084259209</v>
      </c>
      <c r="B3825" s="35" t="s">
        <v>462</v>
      </c>
      <c r="C3825" s="35" t="s">
        <v>405</v>
      </c>
      <c r="D3825" s="35" t="s">
        <v>984</v>
      </c>
      <c r="E3825" s="35" t="s">
        <v>991</v>
      </c>
      <c r="F3825" s="35" t="s">
        <v>353</v>
      </c>
      <c r="G3825" s="35" t="s">
        <v>378</v>
      </c>
      <c r="H3825" s="35" t="s">
        <v>377</v>
      </c>
    </row>
    <row r="3826" spans="1:8">
      <c r="A3826" s="34">
        <v>2084050957</v>
      </c>
      <c r="B3826" s="35" t="s">
        <v>462</v>
      </c>
      <c r="C3826" s="35" t="s">
        <v>405</v>
      </c>
      <c r="D3826" s="35" t="s">
        <v>984</v>
      </c>
      <c r="E3826" s="35" t="s">
        <v>991</v>
      </c>
      <c r="F3826" s="35" t="s">
        <v>353</v>
      </c>
      <c r="G3826" s="35" t="s">
        <v>422</v>
      </c>
    </row>
    <row r="3827" spans="1:8">
      <c r="A3827" s="34">
        <v>2084050959</v>
      </c>
      <c r="B3827" s="35" t="s">
        <v>462</v>
      </c>
      <c r="C3827" s="35" t="s">
        <v>405</v>
      </c>
      <c r="D3827" s="35" t="s">
        <v>984</v>
      </c>
      <c r="E3827" s="35" t="s">
        <v>991</v>
      </c>
      <c r="F3827" s="35" t="s">
        <v>353</v>
      </c>
      <c r="G3827" s="35" t="s">
        <v>379</v>
      </c>
      <c r="H3827" s="35" t="s">
        <v>495</v>
      </c>
    </row>
    <row r="3828" spans="1:8">
      <c r="A3828" s="34">
        <v>2084050960</v>
      </c>
      <c r="B3828" s="35" t="s">
        <v>462</v>
      </c>
      <c r="C3828" s="35" t="s">
        <v>405</v>
      </c>
      <c r="D3828" s="35" t="s">
        <v>984</v>
      </c>
      <c r="E3828" s="35" t="s">
        <v>991</v>
      </c>
      <c r="F3828" s="35" t="s">
        <v>353</v>
      </c>
      <c r="G3828" s="35" t="s">
        <v>379</v>
      </c>
      <c r="H3828" s="35" t="s">
        <v>335</v>
      </c>
    </row>
    <row r="3829" spans="1:8">
      <c r="A3829" s="34">
        <v>2084033988</v>
      </c>
      <c r="B3829" s="35" t="s">
        <v>462</v>
      </c>
      <c r="C3829" s="35" t="s">
        <v>405</v>
      </c>
      <c r="D3829" s="35" t="s">
        <v>984</v>
      </c>
      <c r="E3829" s="35" t="s">
        <v>991</v>
      </c>
      <c r="F3829" s="35" t="s">
        <v>442</v>
      </c>
      <c r="G3829" s="35" t="s">
        <v>537</v>
      </c>
    </row>
    <row r="3830" spans="1:8">
      <c r="A3830" s="34">
        <v>2084050961</v>
      </c>
      <c r="B3830" s="35" t="s">
        <v>462</v>
      </c>
      <c r="C3830" s="35" t="s">
        <v>405</v>
      </c>
      <c r="D3830" s="35" t="s">
        <v>984</v>
      </c>
      <c r="E3830" s="35" t="s">
        <v>991</v>
      </c>
      <c r="F3830" s="35" t="s">
        <v>442</v>
      </c>
      <c r="G3830" s="35" t="s">
        <v>445</v>
      </c>
    </row>
    <row r="3831" spans="1:8">
      <c r="A3831" s="34">
        <v>2084050962</v>
      </c>
      <c r="B3831" s="35" t="s">
        <v>462</v>
      </c>
      <c r="C3831" s="35" t="s">
        <v>405</v>
      </c>
      <c r="D3831" s="35" t="s">
        <v>984</v>
      </c>
      <c r="E3831" s="35" t="s">
        <v>991</v>
      </c>
      <c r="F3831" s="35" t="s">
        <v>442</v>
      </c>
      <c r="G3831" s="35" t="s">
        <v>335</v>
      </c>
    </row>
    <row r="3832" spans="1:8">
      <c r="A3832" s="34">
        <v>2084048681</v>
      </c>
      <c r="B3832" s="35" t="s">
        <v>462</v>
      </c>
      <c r="C3832" s="35" t="s">
        <v>405</v>
      </c>
      <c r="D3832" s="35" t="s">
        <v>984</v>
      </c>
      <c r="E3832" s="35" t="s">
        <v>991</v>
      </c>
      <c r="F3832" s="35" t="s">
        <v>335</v>
      </c>
    </row>
    <row r="3833" spans="1:8">
      <c r="A3833" s="34">
        <v>2084258117</v>
      </c>
      <c r="B3833" s="35" t="s">
        <v>462</v>
      </c>
      <c r="C3833" s="35" t="s">
        <v>405</v>
      </c>
      <c r="D3833" s="35" t="s">
        <v>984</v>
      </c>
      <c r="E3833" s="35" t="s">
        <v>992</v>
      </c>
    </row>
    <row r="3834" spans="1:8">
      <c r="A3834" s="34">
        <v>2084261379</v>
      </c>
      <c r="B3834" s="35" t="s">
        <v>462</v>
      </c>
      <c r="C3834" s="35" t="s">
        <v>405</v>
      </c>
      <c r="D3834" s="35" t="s">
        <v>984</v>
      </c>
      <c r="E3834" s="35" t="s">
        <v>993</v>
      </c>
    </row>
    <row r="3835" spans="1:8">
      <c r="A3835" s="34">
        <v>2084255843</v>
      </c>
      <c r="B3835" s="35" t="s">
        <v>462</v>
      </c>
      <c r="C3835" s="35" t="s">
        <v>405</v>
      </c>
      <c r="D3835" s="35" t="s">
        <v>984</v>
      </c>
      <c r="E3835" s="35" t="s">
        <v>994</v>
      </c>
    </row>
    <row r="3836" spans="1:8">
      <c r="A3836" s="34">
        <v>2084283232</v>
      </c>
      <c r="B3836" s="35" t="s">
        <v>462</v>
      </c>
      <c r="C3836" s="35" t="s">
        <v>405</v>
      </c>
      <c r="D3836" s="35" t="s">
        <v>984</v>
      </c>
      <c r="E3836" s="35" t="s">
        <v>995</v>
      </c>
    </row>
    <row r="3837" spans="1:8">
      <c r="A3837" s="34">
        <v>2084299004</v>
      </c>
      <c r="B3837" s="35" t="s">
        <v>462</v>
      </c>
      <c r="C3837" s="35" t="s">
        <v>405</v>
      </c>
      <c r="D3837" s="35" t="s">
        <v>984</v>
      </c>
      <c r="E3837" s="35" t="s">
        <v>996</v>
      </c>
      <c r="F3837" s="35" t="s">
        <v>367</v>
      </c>
    </row>
    <row r="3838" spans="1:8">
      <c r="A3838" s="34">
        <v>2084299005</v>
      </c>
      <c r="B3838" s="35" t="s">
        <v>462</v>
      </c>
      <c r="C3838" s="35" t="s">
        <v>405</v>
      </c>
      <c r="D3838" s="35" t="s">
        <v>984</v>
      </c>
      <c r="E3838" s="35" t="s">
        <v>996</v>
      </c>
      <c r="F3838" s="35" t="s">
        <v>401</v>
      </c>
    </row>
    <row r="3839" spans="1:8">
      <c r="A3839" s="34">
        <v>2084303688</v>
      </c>
      <c r="B3839" s="35" t="s">
        <v>462</v>
      </c>
      <c r="C3839" s="35" t="s">
        <v>405</v>
      </c>
      <c r="D3839" s="35" t="s">
        <v>984</v>
      </c>
      <c r="E3839" s="35" t="s">
        <v>996</v>
      </c>
      <c r="F3839" s="35" t="s">
        <v>10</v>
      </c>
      <c r="G3839" s="35" t="s">
        <v>509</v>
      </c>
    </row>
    <row r="3840" spans="1:8">
      <c r="A3840" s="34">
        <v>2084303689</v>
      </c>
      <c r="B3840" s="35" t="s">
        <v>462</v>
      </c>
      <c r="C3840" s="35" t="s">
        <v>405</v>
      </c>
      <c r="D3840" s="35" t="s">
        <v>984</v>
      </c>
      <c r="E3840" s="35" t="s">
        <v>996</v>
      </c>
      <c r="F3840" s="35" t="s">
        <v>10</v>
      </c>
      <c r="G3840" s="35" t="s">
        <v>397</v>
      </c>
    </row>
    <row r="3841" spans="1:8">
      <c r="A3841" s="34">
        <v>2084303690</v>
      </c>
      <c r="B3841" s="35" t="s">
        <v>462</v>
      </c>
      <c r="C3841" s="35" t="s">
        <v>405</v>
      </c>
      <c r="D3841" s="35" t="s">
        <v>984</v>
      </c>
      <c r="E3841" s="35" t="s">
        <v>996</v>
      </c>
      <c r="F3841" s="35" t="s">
        <v>10</v>
      </c>
      <c r="G3841" s="35" t="s">
        <v>421</v>
      </c>
    </row>
    <row r="3842" spans="1:8">
      <c r="A3842" s="34">
        <v>2084303691</v>
      </c>
      <c r="B3842" s="35" t="s">
        <v>462</v>
      </c>
      <c r="C3842" s="35" t="s">
        <v>405</v>
      </c>
      <c r="D3842" s="35" t="s">
        <v>984</v>
      </c>
      <c r="E3842" s="35" t="s">
        <v>996</v>
      </c>
      <c r="F3842" s="35" t="s">
        <v>10</v>
      </c>
      <c r="G3842" s="35" t="s">
        <v>398</v>
      </c>
    </row>
    <row r="3843" spans="1:8">
      <c r="A3843" s="34">
        <v>2084303692</v>
      </c>
      <c r="B3843" s="35" t="s">
        <v>462</v>
      </c>
      <c r="C3843" s="35" t="s">
        <v>405</v>
      </c>
      <c r="D3843" s="35" t="s">
        <v>984</v>
      </c>
      <c r="E3843" s="35" t="s">
        <v>996</v>
      </c>
      <c r="F3843" s="35" t="s">
        <v>10</v>
      </c>
      <c r="G3843" s="35" t="s">
        <v>422</v>
      </c>
    </row>
    <row r="3844" spans="1:8">
      <c r="A3844" s="34">
        <v>2084303693</v>
      </c>
      <c r="B3844" s="35" t="s">
        <v>462</v>
      </c>
      <c r="C3844" s="35" t="s">
        <v>405</v>
      </c>
      <c r="D3844" s="35" t="s">
        <v>984</v>
      </c>
      <c r="E3844" s="35" t="s">
        <v>996</v>
      </c>
      <c r="F3844" s="35" t="s">
        <v>10</v>
      </c>
      <c r="G3844" s="35" t="s">
        <v>335</v>
      </c>
    </row>
    <row r="3845" spans="1:8">
      <c r="A3845" s="34">
        <v>2084299008</v>
      </c>
      <c r="B3845" s="35" t="s">
        <v>462</v>
      </c>
      <c r="C3845" s="35" t="s">
        <v>405</v>
      </c>
      <c r="D3845" s="35" t="s">
        <v>984</v>
      </c>
      <c r="E3845" s="35" t="s">
        <v>996</v>
      </c>
      <c r="F3845" s="35" t="s">
        <v>476</v>
      </c>
    </row>
    <row r="3846" spans="1:8">
      <c r="A3846" s="34">
        <v>2084299007</v>
      </c>
      <c r="B3846" s="35" t="s">
        <v>462</v>
      </c>
      <c r="C3846" s="35" t="s">
        <v>405</v>
      </c>
      <c r="D3846" s="35" t="s">
        <v>984</v>
      </c>
      <c r="E3846" s="35" t="s">
        <v>996</v>
      </c>
      <c r="F3846" s="35" t="s">
        <v>477</v>
      </c>
    </row>
    <row r="3847" spans="1:8">
      <c r="A3847" s="34">
        <v>2084299009</v>
      </c>
      <c r="B3847" s="35" t="s">
        <v>462</v>
      </c>
      <c r="C3847" s="35" t="s">
        <v>405</v>
      </c>
      <c r="D3847" s="35" t="s">
        <v>984</v>
      </c>
      <c r="E3847" s="35" t="s">
        <v>996</v>
      </c>
      <c r="F3847" s="35" t="s">
        <v>478</v>
      </c>
    </row>
    <row r="3848" spans="1:8">
      <c r="A3848" s="34">
        <v>2084299010</v>
      </c>
      <c r="B3848" s="35" t="s">
        <v>462</v>
      </c>
      <c r="C3848" s="35" t="s">
        <v>405</v>
      </c>
      <c r="D3848" s="35" t="s">
        <v>984</v>
      </c>
      <c r="E3848" s="35" t="s">
        <v>996</v>
      </c>
      <c r="F3848" s="35" t="s">
        <v>335</v>
      </c>
    </row>
    <row r="3849" spans="1:8">
      <c r="A3849" s="34">
        <v>2084230551</v>
      </c>
      <c r="B3849" s="35" t="s">
        <v>462</v>
      </c>
      <c r="C3849" s="35" t="s">
        <v>405</v>
      </c>
      <c r="D3849" s="35" t="s">
        <v>984</v>
      </c>
      <c r="E3849" s="35" t="s">
        <v>997</v>
      </c>
    </row>
    <row r="3850" spans="1:8">
      <c r="A3850" s="34">
        <v>2084050249</v>
      </c>
      <c r="B3850" s="35" t="s">
        <v>462</v>
      </c>
      <c r="C3850" s="35" t="s">
        <v>405</v>
      </c>
      <c r="D3850" s="35" t="s">
        <v>984</v>
      </c>
      <c r="E3850" s="35" t="s">
        <v>998</v>
      </c>
    </row>
    <row r="3851" spans="1:8">
      <c r="A3851" s="34">
        <v>2084054258</v>
      </c>
      <c r="B3851" s="35" t="s">
        <v>462</v>
      </c>
      <c r="C3851" s="35" t="s">
        <v>405</v>
      </c>
      <c r="D3851" s="35" t="s">
        <v>984</v>
      </c>
      <c r="E3851" s="35" t="s">
        <v>999</v>
      </c>
      <c r="F3851" s="35" t="s">
        <v>390</v>
      </c>
      <c r="G3851" s="35" t="s">
        <v>368</v>
      </c>
      <c r="H3851" s="35" t="s">
        <v>481</v>
      </c>
    </row>
    <row r="3852" spans="1:8">
      <c r="A3852" s="34">
        <v>2084054259</v>
      </c>
      <c r="B3852" s="35" t="s">
        <v>462</v>
      </c>
      <c r="C3852" s="35" t="s">
        <v>405</v>
      </c>
      <c r="D3852" s="35" t="s">
        <v>984</v>
      </c>
      <c r="E3852" s="35" t="s">
        <v>999</v>
      </c>
      <c r="F3852" s="35" t="s">
        <v>390</v>
      </c>
      <c r="G3852" s="35" t="s">
        <v>368</v>
      </c>
      <c r="H3852" s="35" t="s">
        <v>335</v>
      </c>
    </row>
    <row r="3853" spans="1:8">
      <c r="A3853" s="34">
        <v>2084054265</v>
      </c>
      <c r="B3853" s="35" t="s">
        <v>462</v>
      </c>
      <c r="C3853" s="35" t="s">
        <v>405</v>
      </c>
      <c r="D3853" s="35" t="s">
        <v>984</v>
      </c>
      <c r="E3853" s="35" t="s">
        <v>999</v>
      </c>
      <c r="F3853" s="35" t="s">
        <v>390</v>
      </c>
      <c r="G3853" s="35" t="s">
        <v>10</v>
      </c>
      <c r="H3853" s="35" t="s">
        <v>483</v>
      </c>
    </row>
    <row r="3854" spans="1:8">
      <c r="A3854" s="34">
        <v>2084054264</v>
      </c>
      <c r="B3854" s="35" t="s">
        <v>462</v>
      </c>
      <c r="C3854" s="35" t="s">
        <v>405</v>
      </c>
      <c r="D3854" s="35" t="s">
        <v>984</v>
      </c>
      <c r="E3854" s="35" t="s">
        <v>999</v>
      </c>
      <c r="F3854" s="35" t="s">
        <v>390</v>
      </c>
      <c r="G3854" s="35" t="s">
        <v>10</v>
      </c>
      <c r="H3854" s="35" t="s">
        <v>397</v>
      </c>
    </row>
    <row r="3855" spans="1:8">
      <c r="A3855" s="34">
        <v>2084054263</v>
      </c>
      <c r="B3855" s="35" t="s">
        <v>462</v>
      </c>
      <c r="C3855" s="35" t="s">
        <v>405</v>
      </c>
      <c r="D3855" s="35" t="s">
        <v>984</v>
      </c>
      <c r="E3855" s="35" t="s">
        <v>999</v>
      </c>
      <c r="F3855" s="35" t="s">
        <v>390</v>
      </c>
      <c r="G3855" s="35" t="s">
        <v>10</v>
      </c>
      <c r="H3855" s="35" t="s">
        <v>421</v>
      </c>
    </row>
    <row r="3856" spans="1:8">
      <c r="A3856" s="34">
        <v>2084054261</v>
      </c>
      <c r="B3856" s="35" t="s">
        <v>462</v>
      </c>
      <c r="C3856" s="35" t="s">
        <v>405</v>
      </c>
      <c r="D3856" s="35" t="s">
        <v>984</v>
      </c>
      <c r="E3856" s="35" t="s">
        <v>999</v>
      </c>
      <c r="F3856" s="35" t="s">
        <v>390</v>
      </c>
      <c r="G3856" s="35" t="s">
        <v>10</v>
      </c>
      <c r="H3856" s="35" t="s">
        <v>398</v>
      </c>
    </row>
    <row r="3857" spans="1:8">
      <c r="A3857" s="34">
        <v>2084054262</v>
      </c>
      <c r="B3857" s="35" t="s">
        <v>462</v>
      </c>
      <c r="C3857" s="35" t="s">
        <v>405</v>
      </c>
      <c r="D3857" s="35" t="s">
        <v>984</v>
      </c>
      <c r="E3857" s="35" t="s">
        <v>999</v>
      </c>
      <c r="F3857" s="35" t="s">
        <v>390</v>
      </c>
      <c r="G3857" s="35" t="s">
        <v>10</v>
      </c>
      <c r="H3857" s="35" t="s">
        <v>422</v>
      </c>
    </row>
    <row r="3858" spans="1:8">
      <c r="A3858" s="34">
        <v>2084054266</v>
      </c>
      <c r="B3858" s="35" t="s">
        <v>462</v>
      </c>
      <c r="C3858" s="35" t="s">
        <v>405</v>
      </c>
      <c r="D3858" s="35" t="s">
        <v>984</v>
      </c>
      <c r="E3858" s="35" t="s">
        <v>999</v>
      </c>
      <c r="F3858" s="35" t="s">
        <v>390</v>
      </c>
      <c r="G3858" s="35" t="s">
        <v>10</v>
      </c>
      <c r="H3858" s="35" t="s">
        <v>335</v>
      </c>
    </row>
    <row r="3859" spans="1:8">
      <c r="A3859" s="34">
        <v>2084054268</v>
      </c>
      <c r="B3859" s="35" t="s">
        <v>462</v>
      </c>
      <c r="C3859" s="35" t="s">
        <v>405</v>
      </c>
      <c r="D3859" s="35" t="s">
        <v>984</v>
      </c>
      <c r="E3859" s="35" t="s">
        <v>999</v>
      </c>
      <c r="F3859" s="35" t="s">
        <v>390</v>
      </c>
      <c r="G3859" s="35" t="s">
        <v>379</v>
      </c>
      <c r="H3859" s="35" t="s">
        <v>476</v>
      </c>
    </row>
    <row r="3860" spans="1:8">
      <c r="A3860" s="34">
        <v>2084054269</v>
      </c>
      <c r="B3860" s="35" t="s">
        <v>462</v>
      </c>
      <c r="C3860" s="35" t="s">
        <v>405</v>
      </c>
      <c r="D3860" s="35" t="s">
        <v>984</v>
      </c>
      <c r="E3860" s="35" t="s">
        <v>999</v>
      </c>
      <c r="F3860" s="35" t="s">
        <v>390</v>
      </c>
      <c r="G3860" s="35" t="s">
        <v>379</v>
      </c>
      <c r="H3860" s="35" t="s">
        <v>335</v>
      </c>
    </row>
    <row r="3861" spans="1:8">
      <c r="A3861" s="34">
        <v>2084054322</v>
      </c>
      <c r="B3861" s="35" t="s">
        <v>462</v>
      </c>
      <c r="C3861" s="35" t="s">
        <v>405</v>
      </c>
      <c r="D3861" s="35" t="s">
        <v>984</v>
      </c>
      <c r="E3861" s="35" t="s">
        <v>999</v>
      </c>
      <c r="F3861" s="35" t="s">
        <v>390</v>
      </c>
      <c r="G3861" s="35" t="s">
        <v>335</v>
      </c>
    </row>
    <row r="3862" spans="1:8">
      <c r="A3862" s="34">
        <v>2084054270</v>
      </c>
      <c r="B3862" s="35" t="s">
        <v>462</v>
      </c>
      <c r="C3862" s="35" t="s">
        <v>405</v>
      </c>
      <c r="D3862" s="35" t="s">
        <v>984</v>
      </c>
      <c r="E3862" s="35" t="s">
        <v>999</v>
      </c>
      <c r="F3862" s="35" t="s">
        <v>335</v>
      </c>
    </row>
    <row r="3863" spans="1:8">
      <c r="A3863" s="34">
        <v>2084255905</v>
      </c>
      <c r="B3863" s="35" t="s">
        <v>462</v>
      </c>
      <c r="C3863" s="35" t="s">
        <v>405</v>
      </c>
      <c r="D3863" s="35" t="s">
        <v>984</v>
      </c>
      <c r="E3863" s="35" t="s">
        <v>1000</v>
      </c>
    </row>
    <row r="3864" spans="1:8">
      <c r="A3864" s="34">
        <v>2084056138</v>
      </c>
      <c r="B3864" s="35" t="s">
        <v>462</v>
      </c>
      <c r="C3864" s="35" t="s">
        <v>405</v>
      </c>
      <c r="D3864" s="35" t="s">
        <v>984</v>
      </c>
      <c r="E3864" s="35" t="s">
        <v>1001</v>
      </c>
      <c r="F3864" s="35" t="s">
        <v>367</v>
      </c>
    </row>
    <row r="3865" spans="1:8">
      <c r="A3865" s="34">
        <v>2084056141</v>
      </c>
      <c r="B3865" s="35" t="s">
        <v>462</v>
      </c>
      <c r="C3865" s="35" t="s">
        <v>405</v>
      </c>
      <c r="D3865" s="35" t="s">
        <v>984</v>
      </c>
      <c r="E3865" s="35" t="s">
        <v>1001</v>
      </c>
      <c r="F3865" s="35" t="s">
        <v>368</v>
      </c>
      <c r="G3865" s="35" t="s">
        <v>481</v>
      </c>
    </row>
    <row r="3866" spans="1:8">
      <c r="A3866" s="34">
        <v>2084056140</v>
      </c>
      <c r="B3866" s="35" t="s">
        <v>462</v>
      </c>
      <c r="C3866" s="35" t="s">
        <v>405</v>
      </c>
      <c r="D3866" s="35" t="s">
        <v>984</v>
      </c>
      <c r="E3866" s="35" t="s">
        <v>1001</v>
      </c>
      <c r="F3866" s="35" t="s">
        <v>368</v>
      </c>
      <c r="G3866" s="35" t="s">
        <v>482</v>
      </c>
    </row>
    <row r="3867" spans="1:8">
      <c r="A3867" s="34">
        <v>2084056142</v>
      </c>
      <c r="B3867" s="35" t="s">
        <v>462</v>
      </c>
      <c r="C3867" s="35" t="s">
        <v>405</v>
      </c>
      <c r="D3867" s="35" t="s">
        <v>984</v>
      </c>
      <c r="E3867" s="35" t="s">
        <v>1001</v>
      </c>
      <c r="F3867" s="35" t="s">
        <v>368</v>
      </c>
      <c r="G3867" s="35" t="s">
        <v>335</v>
      </c>
    </row>
    <row r="3868" spans="1:8">
      <c r="A3868" s="34">
        <v>2084056148</v>
      </c>
      <c r="B3868" s="35" t="s">
        <v>462</v>
      </c>
      <c r="C3868" s="35" t="s">
        <v>405</v>
      </c>
      <c r="D3868" s="35" t="s">
        <v>984</v>
      </c>
      <c r="E3868" s="35" t="s">
        <v>1001</v>
      </c>
      <c r="F3868" s="35" t="s">
        <v>10</v>
      </c>
      <c r="G3868" s="35" t="s">
        <v>483</v>
      </c>
    </row>
    <row r="3869" spans="1:8">
      <c r="A3869" s="34">
        <v>2084056145</v>
      </c>
      <c r="B3869" s="35" t="s">
        <v>462</v>
      </c>
      <c r="C3869" s="35" t="s">
        <v>405</v>
      </c>
      <c r="D3869" s="35" t="s">
        <v>984</v>
      </c>
      <c r="E3869" s="35" t="s">
        <v>1001</v>
      </c>
      <c r="F3869" s="35" t="s">
        <v>10</v>
      </c>
      <c r="G3869" s="35" t="s">
        <v>397</v>
      </c>
    </row>
    <row r="3870" spans="1:8">
      <c r="A3870" s="34">
        <v>2084056147</v>
      </c>
      <c r="B3870" s="35" t="s">
        <v>462</v>
      </c>
      <c r="C3870" s="35" t="s">
        <v>405</v>
      </c>
      <c r="D3870" s="35" t="s">
        <v>984</v>
      </c>
      <c r="E3870" s="35" t="s">
        <v>1001</v>
      </c>
      <c r="F3870" s="35" t="s">
        <v>10</v>
      </c>
      <c r="G3870" s="35" t="s">
        <v>421</v>
      </c>
    </row>
    <row r="3871" spans="1:8">
      <c r="A3871" s="34">
        <v>2084056144</v>
      </c>
      <c r="B3871" s="35" t="s">
        <v>462</v>
      </c>
      <c r="C3871" s="35" t="s">
        <v>405</v>
      </c>
      <c r="D3871" s="35" t="s">
        <v>984</v>
      </c>
      <c r="E3871" s="35" t="s">
        <v>1001</v>
      </c>
      <c r="F3871" s="35" t="s">
        <v>10</v>
      </c>
      <c r="G3871" s="35" t="s">
        <v>398</v>
      </c>
    </row>
    <row r="3872" spans="1:8">
      <c r="A3872" s="34">
        <v>2084056146</v>
      </c>
      <c r="B3872" s="35" t="s">
        <v>462</v>
      </c>
      <c r="C3872" s="35" t="s">
        <v>405</v>
      </c>
      <c r="D3872" s="35" t="s">
        <v>984</v>
      </c>
      <c r="E3872" s="35" t="s">
        <v>1001</v>
      </c>
      <c r="F3872" s="35" t="s">
        <v>10</v>
      </c>
      <c r="G3872" s="35" t="s">
        <v>422</v>
      </c>
    </row>
    <row r="3873" spans="1:7">
      <c r="A3873" s="34">
        <v>2084056149</v>
      </c>
      <c r="B3873" s="35" t="s">
        <v>462</v>
      </c>
      <c r="C3873" s="35" t="s">
        <v>405</v>
      </c>
      <c r="D3873" s="35" t="s">
        <v>984</v>
      </c>
      <c r="E3873" s="35" t="s">
        <v>1001</v>
      </c>
      <c r="F3873" s="35" t="s">
        <v>10</v>
      </c>
      <c r="G3873" s="35" t="s">
        <v>335</v>
      </c>
    </row>
    <row r="3874" spans="1:7">
      <c r="A3874" s="34">
        <v>2084056151</v>
      </c>
      <c r="B3874" s="35" t="s">
        <v>462</v>
      </c>
      <c r="C3874" s="35" t="s">
        <v>405</v>
      </c>
      <c r="D3874" s="35" t="s">
        <v>984</v>
      </c>
      <c r="E3874" s="35" t="s">
        <v>1001</v>
      </c>
      <c r="F3874" s="35" t="s">
        <v>379</v>
      </c>
      <c r="G3874" s="35" t="s">
        <v>476</v>
      </c>
    </row>
    <row r="3875" spans="1:7">
      <c r="A3875" s="34">
        <v>2084056152</v>
      </c>
      <c r="B3875" s="35" t="s">
        <v>462</v>
      </c>
      <c r="C3875" s="35" t="s">
        <v>405</v>
      </c>
      <c r="D3875" s="35" t="s">
        <v>984</v>
      </c>
      <c r="E3875" s="35" t="s">
        <v>1001</v>
      </c>
      <c r="F3875" s="35" t="s">
        <v>379</v>
      </c>
      <c r="G3875" s="35" t="s">
        <v>335</v>
      </c>
    </row>
    <row r="3876" spans="1:7">
      <c r="A3876" s="34">
        <v>2084061461</v>
      </c>
      <c r="B3876" s="35" t="s">
        <v>462</v>
      </c>
      <c r="C3876" s="35" t="s">
        <v>405</v>
      </c>
      <c r="D3876" s="35" t="s">
        <v>984</v>
      </c>
      <c r="E3876" s="35" t="s">
        <v>1001</v>
      </c>
      <c r="F3876" s="35" t="s">
        <v>478</v>
      </c>
    </row>
    <row r="3877" spans="1:7">
      <c r="A3877" s="34">
        <v>2084056153</v>
      </c>
      <c r="B3877" s="35" t="s">
        <v>462</v>
      </c>
      <c r="C3877" s="35" t="s">
        <v>405</v>
      </c>
      <c r="D3877" s="35" t="s">
        <v>984</v>
      </c>
      <c r="E3877" s="35" t="s">
        <v>1001</v>
      </c>
      <c r="F3877" s="35" t="s">
        <v>335</v>
      </c>
    </row>
    <row r="3878" spans="1:7">
      <c r="A3878" s="34">
        <v>2084050253</v>
      </c>
      <c r="B3878" s="35" t="s">
        <v>462</v>
      </c>
      <c r="C3878" s="35" t="s">
        <v>405</v>
      </c>
      <c r="D3878" s="35" t="s">
        <v>984</v>
      </c>
      <c r="E3878" s="35" t="s">
        <v>1002</v>
      </c>
    </row>
    <row r="3879" spans="1:7">
      <c r="A3879" s="34">
        <v>2084283235</v>
      </c>
      <c r="B3879" s="35" t="s">
        <v>462</v>
      </c>
      <c r="C3879" s="35" t="s">
        <v>405</v>
      </c>
      <c r="D3879" s="35" t="s">
        <v>984</v>
      </c>
      <c r="E3879" s="35" t="s">
        <v>1003</v>
      </c>
    </row>
    <row r="3880" spans="1:7">
      <c r="A3880" s="34">
        <v>2084298385</v>
      </c>
      <c r="B3880" s="35" t="s">
        <v>462</v>
      </c>
      <c r="C3880" s="35" t="s">
        <v>405</v>
      </c>
      <c r="D3880" s="35" t="s">
        <v>984</v>
      </c>
      <c r="E3880" s="35" t="s">
        <v>1004</v>
      </c>
    </row>
    <row r="3881" spans="1:7">
      <c r="A3881" s="34">
        <v>2084298386</v>
      </c>
      <c r="B3881" s="35" t="s">
        <v>462</v>
      </c>
      <c r="C3881" s="35" t="s">
        <v>405</v>
      </c>
      <c r="D3881" s="35" t="s">
        <v>984</v>
      </c>
      <c r="E3881" s="35" t="s">
        <v>1005</v>
      </c>
    </row>
    <row r="3882" spans="1:7">
      <c r="A3882" s="34">
        <v>2084061955</v>
      </c>
      <c r="B3882" s="35" t="s">
        <v>462</v>
      </c>
      <c r="C3882" s="35" t="s">
        <v>405</v>
      </c>
      <c r="D3882" s="35" t="s">
        <v>984</v>
      </c>
      <c r="E3882" s="35" t="s">
        <v>1006</v>
      </c>
      <c r="F3882" s="35" t="s">
        <v>368</v>
      </c>
      <c r="G3882" s="35" t="s">
        <v>335</v>
      </c>
    </row>
    <row r="3883" spans="1:7">
      <c r="A3883" s="34">
        <v>2084061954</v>
      </c>
      <c r="B3883" s="35" t="s">
        <v>462</v>
      </c>
      <c r="C3883" s="35" t="s">
        <v>405</v>
      </c>
      <c r="D3883" s="35" t="s">
        <v>984</v>
      </c>
      <c r="E3883" s="35" t="s">
        <v>1006</v>
      </c>
      <c r="F3883" s="35" t="s">
        <v>368</v>
      </c>
      <c r="G3883" s="35" t="s">
        <v>481</v>
      </c>
    </row>
    <row r="3884" spans="1:7">
      <c r="A3884" s="34">
        <v>2084061962</v>
      </c>
      <c r="B3884" s="35" t="s">
        <v>462</v>
      </c>
      <c r="C3884" s="35" t="s">
        <v>405</v>
      </c>
      <c r="D3884" s="35" t="s">
        <v>984</v>
      </c>
      <c r="E3884" s="35" t="s">
        <v>1006</v>
      </c>
      <c r="F3884" s="35" t="s">
        <v>10</v>
      </c>
      <c r="G3884" s="35" t="s">
        <v>483</v>
      </c>
    </row>
    <row r="3885" spans="1:7">
      <c r="A3885" s="34">
        <v>2084061957</v>
      </c>
      <c r="B3885" s="35" t="s">
        <v>462</v>
      </c>
      <c r="C3885" s="35" t="s">
        <v>405</v>
      </c>
      <c r="D3885" s="35" t="s">
        <v>984</v>
      </c>
      <c r="E3885" s="35" t="s">
        <v>1006</v>
      </c>
      <c r="F3885" s="35" t="s">
        <v>10</v>
      </c>
      <c r="G3885" s="35" t="s">
        <v>510</v>
      </c>
    </row>
    <row r="3886" spans="1:7">
      <c r="A3886" s="34">
        <v>2084061959</v>
      </c>
      <c r="B3886" s="35" t="s">
        <v>462</v>
      </c>
      <c r="C3886" s="35" t="s">
        <v>405</v>
      </c>
      <c r="D3886" s="35" t="s">
        <v>984</v>
      </c>
      <c r="E3886" s="35" t="s">
        <v>1006</v>
      </c>
      <c r="F3886" s="35" t="s">
        <v>10</v>
      </c>
      <c r="G3886" s="35" t="s">
        <v>397</v>
      </c>
    </row>
    <row r="3887" spans="1:7">
      <c r="A3887" s="34">
        <v>2084061961</v>
      </c>
      <c r="B3887" s="35" t="s">
        <v>462</v>
      </c>
      <c r="C3887" s="35" t="s">
        <v>405</v>
      </c>
      <c r="D3887" s="35" t="s">
        <v>984</v>
      </c>
      <c r="E3887" s="35" t="s">
        <v>1006</v>
      </c>
      <c r="F3887" s="35" t="s">
        <v>10</v>
      </c>
      <c r="G3887" s="35" t="s">
        <v>421</v>
      </c>
    </row>
    <row r="3888" spans="1:7">
      <c r="A3888" s="34">
        <v>2084061958</v>
      </c>
      <c r="B3888" s="35" t="s">
        <v>462</v>
      </c>
      <c r="C3888" s="35" t="s">
        <v>405</v>
      </c>
      <c r="D3888" s="35" t="s">
        <v>984</v>
      </c>
      <c r="E3888" s="35" t="s">
        <v>1006</v>
      </c>
      <c r="F3888" s="35" t="s">
        <v>10</v>
      </c>
      <c r="G3888" s="35" t="s">
        <v>398</v>
      </c>
    </row>
    <row r="3889" spans="1:9">
      <c r="A3889" s="34">
        <v>2084061960</v>
      </c>
      <c r="B3889" s="35" t="s">
        <v>462</v>
      </c>
      <c r="C3889" s="35" t="s">
        <v>405</v>
      </c>
      <c r="D3889" s="35" t="s">
        <v>984</v>
      </c>
      <c r="E3889" s="35" t="s">
        <v>1006</v>
      </c>
      <c r="F3889" s="35" t="s">
        <v>10</v>
      </c>
      <c r="G3889" s="35" t="s">
        <v>422</v>
      </c>
    </row>
    <row r="3890" spans="1:9">
      <c r="A3890" s="34">
        <v>2084061963</v>
      </c>
      <c r="B3890" s="35" t="s">
        <v>462</v>
      </c>
      <c r="C3890" s="35" t="s">
        <v>405</v>
      </c>
      <c r="D3890" s="35" t="s">
        <v>984</v>
      </c>
      <c r="E3890" s="35" t="s">
        <v>1006</v>
      </c>
      <c r="F3890" s="35" t="s">
        <v>10</v>
      </c>
      <c r="G3890" s="35" t="s">
        <v>335</v>
      </c>
    </row>
    <row r="3891" spans="1:9">
      <c r="A3891" s="34">
        <v>2084061965</v>
      </c>
      <c r="B3891" s="35" t="s">
        <v>462</v>
      </c>
      <c r="C3891" s="35" t="s">
        <v>405</v>
      </c>
      <c r="D3891" s="35" t="s">
        <v>984</v>
      </c>
      <c r="E3891" s="35" t="s">
        <v>1006</v>
      </c>
      <c r="F3891" s="35" t="s">
        <v>379</v>
      </c>
      <c r="G3891" s="35" t="s">
        <v>476</v>
      </c>
    </row>
    <row r="3892" spans="1:9">
      <c r="A3892" s="34">
        <v>2084061966</v>
      </c>
      <c r="B3892" s="35" t="s">
        <v>462</v>
      </c>
      <c r="C3892" s="35" t="s">
        <v>405</v>
      </c>
      <c r="D3892" s="35" t="s">
        <v>984</v>
      </c>
      <c r="E3892" s="35" t="s">
        <v>1006</v>
      </c>
      <c r="F3892" s="35" t="s">
        <v>379</v>
      </c>
      <c r="G3892" s="35" t="s">
        <v>335</v>
      </c>
    </row>
    <row r="3893" spans="1:9">
      <c r="A3893" s="34">
        <v>2084061967</v>
      </c>
      <c r="B3893" s="35" t="s">
        <v>462</v>
      </c>
      <c r="C3893" s="35" t="s">
        <v>405</v>
      </c>
      <c r="D3893" s="35" t="s">
        <v>984</v>
      </c>
      <c r="E3893" s="35" t="s">
        <v>1006</v>
      </c>
      <c r="F3893" s="35" t="s">
        <v>478</v>
      </c>
    </row>
    <row r="3894" spans="1:9">
      <c r="A3894" s="34">
        <v>2084061968</v>
      </c>
      <c r="B3894" s="35" t="s">
        <v>462</v>
      </c>
      <c r="C3894" s="35" t="s">
        <v>405</v>
      </c>
      <c r="D3894" s="35" t="s">
        <v>984</v>
      </c>
      <c r="E3894" s="35" t="s">
        <v>1006</v>
      </c>
      <c r="F3894" s="35" t="s">
        <v>335</v>
      </c>
    </row>
    <row r="3895" spans="1:9">
      <c r="A3895" s="34">
        <v>2084050255</v>
      </c>
      <c r="B3895" s="35" t="s">
        <v>462</v>
      </c>
      <c r="C3895" s="35" t="s">
        <v>405</v>
      </c>
      <c r="D3895" s="35" t="s">
        <v>984</v>
      </c>
      <c r="E3895" s="35" t="s">
        <v>1007</v>
      </c>
    </row>
    <row r="3896" spans="1:9">
      <c r="A3896" s="34">
        <v>2084055932</v>
      </c>
      <c r="B3896" s="35" t="s">
        <v>462</v>
      </c>
      <c r="C3896" s="35" t="s">
        <v>405</v>
      </c>
      <c r="D3896" s="35" t="s">
        <v>984</v>
      </c>
      <c r="E3896" s="35" t="s">
        <v>1008</v>
      </c>
      <c r="F3896" s="35" t="s">
        <v>353</v>
      </c>
      <c r="G3896" s="35" t="s">
        <v>368</v>
      </c>
      <c r="H3896" s="35" t="s">
        <v>481</v>
      </c>
    </row>
    <row r="3897" spans="1:9">
      <c r="A3897" s="34">
        <v>2084055933</v>
      </c>
      <c r="B3897" s="35" t="s">
        <v>462</v>
      </c>
      <c r="C3897" s="35" t="s">
        <v>405</v>
      </c>
      <c r="D3897" s="35" t="s">
        <v>984</v>
      </c>
      <c r="E3897" s="35" t="s">
        <v>1008</v>
      </c>
      <c r="F3897" s="35" t="s">
        <v>353</v>
      </c>
      <c r="G3897" s="35" t="s">
        <v>368</v>
      </c>
      <c r="H3897" s="35" t="s">
        <v>335</v>
      </c>
    </row>
    <row r="3898" spans="1:9">
      <c r="A3898" s="34">
        <v>2084055940</v>
      </c>
      <c r="B3898" s="35" t="s">
        <v>462</v>
      </c>
      <c r="C3898" s="35" t="s">
        <v>405</v>
      </c>
      <c r="D3898" s="35" t="s">
        <v>984</v>
      </c>
      <c r="E3898" s="35" t="s">
        <v>1008</v>
      </c>
      <c r="F3898" s="35" t="s">
        <v>353</v>
      </c>
      <c r="G3898" s="35" t="s">
        <v>10</v>
      </c>
      <c r="H3898" s="35" t="s">
        <v>544</v>
      </c>
    </row>
    <row r="3899" spans="1:9">
      <c r="A3899" s="34">
        <v>2084055938</v>
      </c>
      <c r="B3899" s="35" t="s">
        <v>462</v>
      </c>
      <c r="C3899" s="35" t="s">
        <v>405</v>
      </c>
      <c r="D3899" s="35" t="s">
        <v>984</v>
      </c>
      <c r="E3899" s="35" t="s">
        <v>1008</v>
      </c>
      <c r="F3899" s="35" t="s">
        <v>353</v>
      </c>
      <c r="G3899" s="35" t="s">
        <v>10</v>
      </c>
      <c r="H3899" s="35" t="s">
        <v>397</v>
      </c>
    </row>
    <row r="3900" spans="1:9">
      <c r="A3900" s="34">
        <v>2084055937</v>
      </c>
      <c r="B3900" s="35" t="s">
        <v>462</v>
      </c>
      <c r="C3900" s="35" t="s">
        <v>405</v>
      </c>
      <c r="D3900" s="35" t="s">
        <v>984</v>
      </c>
      <c r="E3900" s="35" t="s">
        <v>1008</v>
      </c>
      <c r="F3900" s="35" t="s">
        <v>353</v>
      </c>
      <c r="G3900" s="35" t="s">
        <v>10</v>
      </c>
      <c r="H3900" s="35" t="s">
        <v>421</v>
      </c>
    </row>
    <row r="3901" spans="1:9">
      <c r="A3901" s="34">
        <v>2084224718</v>
      </c>
      <c r="B3901" s="35" t="s">
        <v>462</v>
      </c>
      <c r="C3901" s="35" t="s">
        <v>405</v>
      </c>
      <c r="D3901" s="35" t="s">
        <v>984</v>
      </c>
      <c r="E3901" s="35" t="s">
        <v>1008</v>
      </c>
      <c r="F3901" s="35" t="s">
        <v>353</v>
      </c>
      <c r="G3901" s="35" t="s">
        <v>10</v>
      </c>
      <c r="H3901" s="35" t="s">
        <v>378</v>
      </c>
      <c r="I3901" s="35" t="s">
        <v>374</v>
      </c>
    </row>
    <row r="3902" spans="1:9">
      <c r="A3902" s="34">
        <v>2084224719</v>
      </c>
      <c r="B3902" s="35" t="s">
        <v>462</v>
      </c>
      <c r="C3902" s="35" t="s">
        <v>405</v>
      </c>
      <c r="D3902" s="35" t="s">
        <v>984</v>
      </c>
      <c r="E3902" s="35" t="s">
        <v>1008</v>
      </c>
      <c r="F3902" s="35" t="s">
        <v>353</v>
      </c>
      <c r="G3902" s="35" t="s">
        <v>10</v>
      </c>
      <c r="H3902" s="35" t="s">
        <v>378</v>
      </c>
      <c r="I3902" s="35" t="s">
        <v>375</v>
      </c>
    </row>
    <row r="3903" spans="1:9">
      <c r="A3903" s="34">
        <v>2084224720</v>
      </c>
      <c r="B3903" s="35" t="s">
        <v>462</v>
      </c>
      <c r="C3903" s="35" t="s">
        <v>405</v>
      </c>
      <c r="D3903" s="35" t="s">
        <v>984</v>
      </c>
      <c r="E3903" s="35" t="s">
        <v>1008</v>
      </c>
      <c r="F3903" s="35" t="s">
        <v>353</v>
      </c>
      <c r="G3903" s="35" t="s">
        <v>10</v>
      </c>
      <c r="H3903" s="35" t="s">
        <v>378</v>
      </c>
      <c r="I3903" s="35" t="s">
        <v>376</v>
      </c>
    </row>
    <row r="3904" spans="1:9">
      <c r="A3904" s="34">
        <v>2084224721</v>
      </c>
      <c r="B3904" s="35" t="s">
        <v>462</v>
      </c>
      <c r="C3904" s="35" t="s">
        <v>405</v>
      </c>
      <c r="D3904" s="35" t="s">
        <v>984</v>
      </c>
      <c r="E3904" s="35" t="s">
        <v>1008</v>
      </c>
      <c r="F3904" s="35" t="s">
        <v>353</v>
      </c>
      <c r="G3904" s="35" t="s">
        <v>10</v>
      </c>
      <c r="H3904" s="35" t="s">
        <v>378</v>
      </c>
      <c r="I3904" s="35" t="s">
        <v>377</v>
      </c>
    </row>
    <row r="3905" spans="1:8">
      <c r="A3905" s="34">
        <v>2084055936</v>
      </c>
      <c r="B3905" s="35" t="s">
        <v>462</v>
      </c>
      <c r="C3905" s="35" t="s">
        <v>405</v>
      </c>
      <c r="D3905" s="35" t="s">
        <v>984</v>
      </c>
      <c r="E3905" s="35" t="s">
        <v>1008</v>
      </c>
      <c r="F3905" s="35" t="s">
        <v>353</v>
      </c>
      <c r="G3905" s="35" t="s">
        <v>10</v>
      </c>
      <c r="H3905" s="35" t="s">
        <v>422</v>
      </c>
    </row>
    <row r="3906" spans="1:8">
      <c r="A3906" s="34">
        <v>2084055939</v>
      </c>
      <c r="B3906" s="35" t="s">
        <v>462</v>
      </c>
      <c r="C3906" s="35" t="s">
        <v>405</v>
      </c>
      <c r="D3906" s="35" t="s">
        <v>984</v>
      </c>
      <c r="E3906" s="35" t="s">
        <v>1008</v>
      </c>
      <c r="F3906" s="35" t="s">
        <v>353</v>
      </c>
      <c r="G3906" s="35" t="s">
        <v>10</v>
      </c>
      <c r="H3906" s="35" t="s">
        <v>335</v>
      </c>
    </row>
    <row r="3907" spans="1:8">
      <c r="A3907" s="34">
        <v>2084055941</v>
      </c>
      <c r="B3907" s="35" t="s">
        <v>462</v>
      </c>
      <c r="C3907" s="35" t="s">
        <v>405</v>
      </c>
      <c r="D3907" s="35" t="s">
        <v>984</v>
      </c>
      <c r="E3907" s="35" t="s">
        <v>1008</v>
      </c>
      <c r="F3907" s="35" t="s">
        <v>353</v>
      </c>
      <c r="G3907" s="35" t="s">
        <v>403</v>
      </c>
    </row>
    <row r="3908" spans="1:8">
      <c r="A3908" s="34">
        <v>2084055942</v>
      </c>
      <c r="B3908" s="35" t="s">
        <v>462</v>
      </c>
      <c r="C3908" s="35" t="s">
        <v>405</v>
      </c>
      <c r="D3908" s="35" t="s">
        <v>984</v>
      </c>
      <c r="E3908" s="35" t="s">
        <v>1008</v>
      </c>
      <c r="F3908" s="35" t="s">
        <v>353</v>
      </c>
      <c r="G3908" s="35" t="s">
        <v>335</v>
      </c>
    </row>
    <row r="3909" spans="1:8">
      <c r="A3909" s="34">
        <v>2084055944</v>
      </c>
      <c r="B3909" s="35" t="s">
        <v>462</v>
      </c>
      <c r="C3909" s="35" t="s">
        <v>405</v>
      </c>
      <c r="D3909" s="35" t="s">
        <v>984</v>
      </c>
      <c r="E3909" s="35" t="s">
        <v>1008</v>
      </c>
      <c r="F3909" s="35" t="s">
        <v>335</v>
      </c>
    </row>
    <row r="3910" spans="1:8">
      <c r="A3910" s="34">
        <v>2084054125</v>
      </c>
      <c r="B3910" s="35" t="s">
        <v>462</v>
      </c>
      <c r="C3910" s="35" t="s">
        <v>405</v>
      </c>
      <c r="D3910" s="35" t="s">
        <v>1009</v>
      </c>
      <c r="E3910" s="35" t="s">
        <v>1010</v>
      </c>
      <c r="F3910" s="35" t="s">
        <v>475</v>
      </c>
    </row>
    <row r="3911" spans="1:8">
      <c r="A3911" s="34">
        <v>2084217271</v>
      </c>
      <c r="B3911" s="35" t="s">
        <v>462</v>
      </c>
      <c r="C3911" s="35" t="s">
        <v>405</v>
      </c>
      <c r="D3911" s="35" t="s">
        <v>1009</v>
      </c>
      <c r="E3911" s="35" t="s">
        <v>1010</v>
      </c>
      <c r="F3911" s="35" t="s">
        <v>390</v>
      </c>
      <c r="G3911" s="35" t="s">
        <v>954</v>
      </c>
      <c r="H3911" s="35" t="s">
        <v>391</v>
      </c>
    </row>
    <row r="3912" spans="1:8">
      <c r="A3912" s="34">
        <v>2084217272</v>
      </c>
      <c r="B3912" s="35" t="s">
        <v>462</v>
      </c>
      <c r="C3912" s="35" t="s">
        <v>405</v>
      </c>
      <c r="D3912" s="35" t="s">
        <v>1009</v>
      </c>
      <c r="E3912" s="35" t="s">
        <v>1010</v>
      </c>
      <c r="F3912" s="35" t="s">
        <v>390</v>
      </c>
      <c r="G3912" s="35" t="s">
        <v>954</v>
      </c>
      <c r="H3912" s="35" t="s">
        <v>392</v>
      </c>
    </row>
    <row r="3913" spans="1:8">
      <c r="A3913" s="34">
        <v>2084217273</v>
      </c>
      <c r="B3913" s="35" t="s">
        <v>462</v>
      </c>
      <c r="C3913" s="35" t="s">
        <v>405</v>
      </c>
      <c r="D3913" s="35" t="s">
        <v>1009</v>
      </c>
      <c r="E3913" s="35" t="s">
        <v>1010</v>
      </c>
      <c r="F3913" s="35" t="s">
        <v>390</v>
      </c>
      <c r="G3913" s="35" t="s">
        <v>954</v>
      </c>
      <c r="H3913" s="35" t="s">
        <v>375</v>
      </c>
    </row>
    <row r="3914" spans="1:8">
      <c r="A3914" s="34">
        <v>2084217274</v>
      </c>
      <c r="B3914" s="35" t="s">
        <v>462</v>
      </c>
      <c r="C3914" s="35" t="s">
        <v>405</v>
      </c>
      <c r="D3914" s="35" t="s">
        <v>1009</v>
      </c>
      <c r="E3914" s="35" t="s">
        <v>1010</v>
      </c>
      <c r="F3914" s="35" t="s">
        <v>390</v>
      </c>
      <c r="G3914" s="35" t="s">
        <v>954</v>
      </c>
      <c r="H3914" s="35" t="s">
        <v>376</v>
      </c>
    </row>
    <row r="3915" spans="1:8">
      <c r="A3915" s="34">
        <v>2084217275</v>
      </c>
      <c r="B3915" s="35" t="s">
        <v>462</v>
      </c>
      <c r="C3915" s="35" t="s">
        <v>405</v>
      </c>
      <c r="D3915" s="35" t="s">
        <v>1009</v>
      </c>
      <c r="E3915" s="35" t="s">
        <v>1010</v>
      </c>
      <c r="F3915" s="35" t="s">
        <v>390</v>
      </c>
      <c r="G3915" s="35" t="s">
        <v>954</v>
      </c>
      <c r="H3915" s="35" t="s">
        <v>377</v>
      </c>
    </row>
    <row r="3916" spans="1:8">
      <c r="A3916" s="34">
        <v>2084054111</v>
      </c>
      <c r="B3916" s="35" t="s">
        <v>462</v>
      </c>
      <c r="C3916" s="35" t="s">
        <v>405</v>
      </c>
      <c r="D3916" s="35" t="s">
        <v>1009</v>
      </c>
      <c r="E3916" s="35" t="s">
        <v>1010</v>
      </c>
      <c r="F3916" s="35" t="s">
        <v>390</v>
      </c>
      <c r="G3916" s="35" t="s">
        <v>368</v>
      </c>
      <c r="H3916" s="35" t="s">
        <v>481</v>
      </c>
    </row>
    <row r="3917" spans="1:8">
      <c r="A3917" s="34">
        <v>2084054110</v>
      </c>
      <c r="B3917" s="35" t="s">
        <v>462</v>
      </c>
      <c r="C3917" s="35" t="s">
        <v>405</v>
      </c>
      <c r="D3917" s="35" t="s">
        <v>1009</v>
      </c>
      <c r="E3917" s="35" t="s">
        <v>1010</v>
      </c>
      <c r="F3917" s="35" t="s">
        <v>390</v>
      </c>
      <c r="G3917" s="35" t="s">
        <v>368</v>
      </c>
      <c r="H3917" s="35" t="s">
        <v>482</v>
      </c>
    </row>
    <row r="3918" spans="1:8">
      <c r="A3918" s="34">
        <v>2084054112</v>
      </c>
      <c r="B3918" s="35" t="s">
        <v>462</v>
      </c>
      <c r="C3918" s="35" t="s">
        <v>405</v>
      </c>
      <c r="D3918" s="35" t="s">
        <v>1009</v>
      </c>
      <c r="E3918" s="35" t="s">
        <v>1010</v>
      </c>
      <c r="F3918" s="35" t="s">
        <v>390</v>
      </c>
      <c r="G3918" s="35" t="s">
        <v>368</v>
      </c>
      <c r="H3918" s="35" t="s">
        <v>335</v>
      </c>
    </row>
    <row r="3919" spans="1:8">
      <c r="A3919" s="34">
        <v>2084054118</v>
      </c>
      <c r="B3919" s="35" t="s">
        <v>462</v>
      </c>
      <c r="C3919" s="35" t="s">
        <v>405</v>
      </c>
      <c r="D3919" s="35" t="s">
        <v>1009</v>
      </c>
      <c r="E3919" s="35" t="s">
        <v>1010</v>
      </c>
      <c r="F3919" s="35" t="s">
        <v>390</v>
      </c>
      <c r="G3919" s="35" t="s">
        <v>10</v>
      </c>
      <c r="H3919" s="35" t="s">
        <v>483</v>
      </c>
    </row>
    <row r="3920" spans="1:8">
      <c r="A3920" s="34">
        <v>2084054115</v>
      </c>
      <c r="B3920" s="35" t="s">
        <v>462</v>
      </c>
      <c r="C3920" s="35" t="s">
        <v>405</v>
      </c>
      <c r="D3920" s="35" t="s">
        <v>1009</v>
      </c>
      <c r="E3920" s="35" t="s">
        <v>1010</v>
      </c>
      <c r="F3920" s="35" t="s">
        <v>390</v>
      </c>
      <c r="G3920" s="35" t="s">
        <v>10</v>
      </c>
      <c r="H3920" s="35" t="s">
        <v>397</v>
      </c>
    </row>
    <row r="3921" spans="1:8">
      <c r="A3921" s="34">
        <v>2084054117</v>
      </c>
      <c r="B3921" s="35" t="s">
        <v>462</v>
      </c>
      <c r="C3921" s="35" t="s">
        <v>405</v>
      </c>
      <c r="D3921" s="35" t="s">
        <v>1009</v>
      </c>
      <c r="E3921" s="35" t="s">
        <v>1010</v>
      </c>
      <c r="F3921" s="35" t="s">
        <v>390</v>
      </c>
      <c r="G3921" s="35" t="s">
        <v>10</v>
      </c>
      <c r="H3921" s="35" t="s">
        <v>421</v>
      </c>
    </row>
    <row r="3922" spans="1:8">
      <c r="A3922" s="34">
        <v>2084054114</v>
      </c>
      <c r="B3922" s="35" t="s">
        <v>462</v>
      </c>
      <c r="C3922" s="35" t="s">
        <v>405</v>
      </c>
      <c r="D3922" s="35" t="s">
        <v>1009</v>
      </c>
      <c r="E3922" s="35" t="s">
        <v>1010</v>
      </c>
      <c r="F3922" s="35" t="s">
        <v>390</v>
      </c>
      <c r="G3922" s="35" t="s">
        <v>10</v>
      </c>
      <c r="H3922" s="35" t="s">
        <v>398</v>
      </c>
    </row>
    <row r="3923" spans="1:8">
      <c r="A3923" s="34">
        <v>2084054116</v>
      </c>
      <c r="B3923" s="35" t="s">
        <v>462</v>
      </c>
      <c r="C3923" s="35" t="s">
        <v>405</v>
      </c>
      <c r="D3923" s="35" t="s">
        <v>1009</v>
      </c>
      <c r="E3923" s="35" t="s">
        <v>1010</v>
      </c>
      <c r="F3923" s="35" t="s">
        <v>390</v>
      </c>
      <c r="G3923" s="35" t="s">
        <v>10</v>
      </c>
      <c r="H3923" s="35" t="s">
        <v>422</v>
      </c>
    </row>
    <row r="3924" spans="1:8">
      <c r="A3924" s="34">
        <v>2084054119</v>
      </c>
      <c r="B3924" s="35" t="s">
        <v>462</v>
      </c>
      <c r="C3924" s="35" t="s">
        <v>405</v>
      </c>
      <c r="D3924" s="35" t="s">
        <v>1009</v>
      </c>
      <c r="E3924" s="35" t="s">
        <v>1010</v>
      </c>
      <c r="F3924" s="35" t="s">
        <v>390</v>
      </c>
      <c r="G3924" s="35" t="s">
        <v>10</v>
      </c>
      <c r="H3924" s="35" t="s">
        <v>335</v>
      </c>
    </row>
    <row r="3925" spans="1:8">
      <c r="A3925" s="34">
        <v>2084054121</v>
      </c>
      <c r="B3925" s="35" t="s">
        <v>462</v>
      </c>
      <c r="C3925" s="35" t="s">
        <v>405</v>
      </c>
      <c r="D3925" s="35" t="s">
        <v>1009</v>
      </c>
      <c r="E3925" s="35" t="s">
        <v>1010</v>
      </c>
      <c r="F3925" s="35" t="s">
        <v>390</v>
      </c>
      <c r="G3925" s="35" t="s">
        <v>379</v>
      </c>
      <c r="H3925" s="35" t="s">
        <v>476</v>
      </c>
    </row>
    <row r="3926" spans="1:8">
      <c r="A3926" s="34">
        <v>2084054122</v>
      </c>
      <c r="B3926" s="35" t="s">
        <v>462</v>
      </c>
      <c r="C3926" s="35" t="s">
        <v>405</v>
      </c>
      <c r="D3926" s="35" t="s">
        <v>1009</v>
      </c>
      <c r="E3926" s="35" t="s">
        <v>1010</v>
      </c>
      <c r="F3926" s="35" t="s">
        <v>390</v>
      </c>
      <c r="G3926" s="35" t="s">
        <v>379</v>
      </c>
      <c r="H3926" s="35" t="s">
        <v>335</v>
      </c>
    </row>
    <row r="3927" spans="1:8">
      <c r="A3927" s="34">
        <v>2084061462</v>
      </c>
      <c r="B3927" s="35" t="s">
        <v>462</v>
      </c>
      <c r="C3927" s="35" t="s">
        <v>405</v>
      </c>
      <c r="D3927" s="35" t="s">
        <v>1009</v>
      </c>
      <c r="E3927" s="35" t="s">
        <v>1010</v>
      </c>
      <c r="F3927" s="35" t="s">
        <v>390</v>
      </c>
      <c r="G3927" s="35" t="s">
        <v>478</v>
      </c>
    </row>
    <row r="3928" spans="1:8">
      <c r="A3928" s="34">
        <v>2084054123</v>
      </c>
      <c r="B3928" s="35" t="s">
        <v>462</v>
      </c>
      <c r="C3928" s="35" t="s">
        <v>405</v>
      </c>
      <c r="D3928" s="35" t="s">
        <v>1009</v>
      </c>
      <c r="E3928" s="35" t="s">
        <v>1010</v>
      </c>
      <c r="F3928" s="35" t="s">
        <v>390</v>
      </c>
      <c r="G3928" s="35" t="s">
        <v>335</v>
      </c>
    </row>
    <row r="3929" spans="1:8">
      <c r="A3929" s="34">
        <v>2084054124</v>
      </c>
      <c r="B3929" s="35" t="s">
        <v>462</v>
      </c>
      <c r="C3929" s="35" t="s">
        <v>405</v>
      </c>
      <c r="D3929" s="35" t="s">
        <v>1009</v>
      </c>
      <c r="E3929" s="35" t="s">
        <v>1010</v>
      </c>
      <c r="F3929" s="35" t="s">
        <v>335</v>
      </c>
    </row>
    <row r="3930" spans="1:8">
      <c r="A3930" s="34">
        <v>2084050963</v>
      </c>
      <c r="B3930" s="35" t="s">
        <v>462</v>
      </c>
      <c r="C3930" s="35" t="s">
        <v>405</v>
      </c>
      <c r="D3930" s="35" t="s">
        <v>1009</v>
      </c>
      <c r="E3930" s="35" t="s">
        <v>1011</v>
      </c>
      <c r="F3930" s="35" t="s">
        <v>475</v>
      </c>
    </row>
    <row r="3931" spans="1:8">
      <c r="A3931" s="34">
        <v>2084028199</v>
      </c>
      <c r="B3931" s="35" t="s">
        <v>462</v>
      </c>
      <c r="C3931" s="35" t="s">
        <v>405</v>
      </c>
      <c r="D3931" s="35" t="s">
        <v>1009</v>
      </c>
      <c r="E3931" s="35" t="s">
        <v>1011</v>
      </c>
      <c r="F3931" s="35" t="s">
        <v>390</v>
      </c>
      <c r="G3931" s="35" t="s">
        <v>367</v>
      </c>
    </row>
    <row r="3932" spans="1:8">
      <c r="A3932" s="34">
        <v>2084028748</v>
      </c>
      <c r="B3932" s="35" t="s">
        <v>462</v>
      </c>
      <c r="C3932" s="35" t="s">
        <v>405</v>
      </c>
      <c r="D3932" s="35" t="s">
        <v>1009</v>
      </c>
      <c r="E3932" s="35" t="s">
        <v>1011</v>
      </c>
      <c r="F3932" s="35" t="s">
        <v>390</v>
      </c>
      <c r="G3932" s="35" t="s">
        <v>368</v>
      </c>
      <c r="H3932" s="35" t="s">
        <v>508</v>
      </c>
    </row>
    <row r="3933" spans="1:8">
      <c r="A3933" s="34">
        <v>2084029331</v>
      </c>
      <c r="B3933" s="35" t="s">
        <v>462</v>
      </c>
      <c r="C3933" s="35" t="s">
        <v>405</v>
      </c>
      <c r="D3933" s="35" t="s">
        <v>1009</v>
      </c>
      <c r="E3933" s="35" t="s">
        <v>1011</v>
      </c>
      <c r="F3933" s="35" t="s">
        <v>390</v>
      </c>
      <c r="G3933" s="35" t="s">
        <v>368</v>
      </c>
      <c r="H3933" s="35" t="s">
        <v>481</v>
      </c>
    </row>
    <row r="3934" spans="1:8">
      <c r="A3934" s="34">
        <v>2084029840</v>
      </c>
      <c r="B3934" s="35" t="s">
        <v>462</v>
      </c>
      <c r="C3934" s="35" t="s">
        <v>405</v>
      </c>
      <c r="D3934" s="35" t="s">
        <v>1009</v>
      </c>
      <c r="E3934" s="35" t="s">
        <v>1011</v>
      </c>
      <c r="F3934" s="35" t="s">
        <v>390</v>
      </c>
      <c r="G3934" s="35" t="s">
        <v>368</v>
      </c>
      <c r="H3934" s="35" t="s">
        <v>494</v>
      </c>
    </row>
    <row r="3935" spans="1:8">
      <c r="A3935" s="34">
        <v>2084058553</v>
      </c>
      <c r="B3935" s="35" t="s">
        <v>462</v>
      </c>
      <c r="C3935" s="35" t="s">
        <v>405</v>
      </c>
      <c r="D3935" s="35" t="s">
        <v>1009</v>
      </c>
      <c r="E3935" s="35" t="s">
        <v>1011</v>
      </c>
      <c r="F3935" s="35" t="s">
        <v>390</v>
      </c>
      <c r="G3935" s="35" t="s">
        <v>368</v>
      </c>
      <c r="H3935" s="35" t="s">
        <v>335</v>
      </c>
    </row>
    <row r="3936" spans="1:8">
      <c r="A3936" s="34">
        <v>2084027297</v>
      </c>
      <c r="B3936" s="35" t="s">
        <v>462</v>
      </c>
      <c r="C3936" s="35" t="s">
        <v>405</v>
      </c>
      <c r="D3936" s="35" t="s">
        <v>1009</v>
      </c>
      <c r="E3936" s="35" t="s">
        <v>1011</v>
      </c>
      <c r="F3936" s="35" t="s">
        <v>390</v>
      </c>
      <c r="G3936" s="35" t="s">
        <v>10</v>
      </c>
      <c r="H3936" s="35" t="s">
        <v>509</v>
      </c>
    </row>
    <row r="3937" spans="1:8">
      <c r="A3937" s="34">
        <v>2084027790</v>
      </c>
      <c r="B3937" s="35" t="s">
        <v>462</v>
      </c>
      <c r="C3937" s="35" t="s">
        <v>405</v>
      </c>
      <c r="D3937" s="35" t="s">
        <v>1009</v>
      </c>
      <c r="E3937" s="35" t="s">
        <v>1011</v>
      </c>
      <c r="F3937" s="35" t="s">
        <v>390</v>
      </c>
      <c r="G3937" s="35" t="s">
        <v>10</v>
      </c>
      <c r="H3937" s="35" t="s">
        <v>510</v>
      </c>
    </row>
    <row r="3938" spans="1:8">
      <c r="A3938" s="34">
        <v>2084027872</v>
      </c>
      <c r="B3938" s="35" t="s">
        <v>462</v>
      </c>
      <c r="C3938" s="35" t="s">
        <v>405</v>
      </c>
      <c r="D3938" s="35" t="s">
        <v>1009</v>
      </c>
      <c r="E3938" s="35" t="s">
        <v>1011</v>
      </c>
      <c r="F3938" s="35" t="s">
        <v>390</v>
      </c>
      <c r="G3938" s="35" t="s">
        <v>10</v>
      </c>
      <c r="H3938" s="35" t="s">
        <v>511</v>
      </c>
    </row>
    <row r="3939" spans="1:8">
      <c r="A3939" s="34">
        <v>2084027902</v>
      </c>
      <c r="B3939" s="35" t="s">
        <v>462</v>
      </c>
      <c r="C3939" s="35" t="s">
        <v>405</v>
      </c>
      <c r="D3939" s="35" t="s">
        <v>1009</v>
      </c>
      <c r="E3939" s="35" t="s">
        <v>1011</v>
      </c>
      <c r="F3939" s="35" t="s">
        <v>390</v>
      </c>
      <c r="G3939" s="35" t="s">
        <v>10</v>
      </c>
      <c r="H3939" s="35" t="s">
        <v>493</v>
      </c>
    </row>
    <row r="3940" spans="1:8">
      <c r="A3940" s="34">
        <v>2084027471</v>
      </c>
      <c r="B3940" s="35" t="s">
        <v>462</v>
      </c>
      <c r="C3940" s="35" t="s">
        <v>405</v>
      </c>
      <c r="D3940" s="35" t="s">
        <v>1009</v>
      </c>
      <c r="E3940" s="35" t="s">
        <v>1011</v>
      </c>
      <c r="F3940" s="35" t="s">
        <v>390</v>
      </c>
      <c r="G3940" s="35" t="s">
        <v>10</v>
      </c>
      <c r="H3940" s="35" t="s">
        <v>512</v>
      </c>
    </row>
    <row r="3941" spans="1:8">
      <c r="A3941" s="34">
        <v>2084027638</v>
      </c>
      <c r="B3941" s="35" t="s">
        <v>462</v>
      </c>
      <c r="C3941" s="35" t="s">
        <v>405</v>
      </c>
      <c r="D3941" s="35" t="s">
        <v>1009</v>
      </c>
      <c r="E3941" s="35" t="s">
        <v>1011</v>
      </c>
      <c r="F3941" s="35" t="s">
        <v>390</v>
      </c>
      <c r="G3941" s="35" t="s">
        <v>10</v>
      </c>
      <c r="H3941" s="35" t="s">
        <v>513</v>
      </c>
    </row>
    <row r="3942" spans="1:8">
      <c r="A3942" s="34">
        <v>2084027940</v>
      </c>
      <c r="B3942" s="35" t="s">
        <v>462</v>
      </c>
      <c r="C3942" s="35" t="s">
        <v>405</v>
      </c>
      <c r="D3942" s="35" t="s">
        <v>1009</v>
      </c>
      <c r="E3942" s="35" t="s">
        <v>1011</v>
      </c>
      <c r="F3942" s="35" t="s">
        <v>390</v>
      </c>
      <c r="G3942" s="35" t="s">
        <v>10</v>
      </c>
      <c r="H3942" s="35" t="s">
        <v>420</v>
      </c>
    </row>
    <row r="3943" spans="1:8">
      <c r="A3943" s="34">
        <v>2084027260</v>
      </c>
      <c r="B3943" s="35" t="s">
        <v>462</v>
      </c>
      <c r="C3943" s="35" t="s">
        <v>405</v>
      </c>
      <c r="D3943" s="35" t="s">
        <v>1009</v>
      </c>
      <c r="E3943" s="35" t="s">
        <v>1011</v>
      </c>
      <c r="F3943" s="35" t="s">
        <v>390</v>
      </c>
      <c r="G3943" s="35" t="s">
        <v>10</v>
      </c>
      <c r="H3943" s="35" t="s">
        <v>514</v>
      </c>
    </row>
    <row r="3944" spans="1:8">
      <c r="A3944" s="34">
        <v>2084027436</v>
      </c>
      <c r="B3944" s="35" t="s">
        <v>462</v>
      </c>
      <c r="C3944" s="35" t="s">
        <v>405</v>
      </c>
      <c r="D3944" s="35" t="s">
        <v>1009</v>
      </c>
      <c r="E3944" s="35" t="s">
        <v>1011</v>
      </c>
      <c r="F3944" s="35" t="s">
        <v>390</v>
      </c>
      <c r="G3944" s="35" t="s">
        <v>10</v>
      </c>
      <c r="H3944" s="35" t="s">
        <v>515</v>
      </c>
    </row>
    <row r="3945" spans="1:8">
      <c r="A3945" s="34">
        <v>2084027505</v>
      </c>
      <c r="B3945" s="35" t="s">
        <v>462</v>
      </c>
      <c r="C3945" s="35" t="s">
        <v>405</v>
      </c>
      <c r="D3945" s="35" t="s">
        <v>1009</v>
      </c>
      <c r="E3945" s="35" t="s">
        <v>1011</v>
      </c>
      <c r="F3945" s="35" t="s">
        <v>390</v>
      </c>
      <c r="G3945" s="35" t="s">
        <v>10</v>
      </c>
      <c r="H3945" s="35" t="s">
        <v>421</v>
      </c>
    </row>
    <row r="3946" spans="1:8">
      <c r="A3946" s="34">
        <v>2084027716</v>
      </c>
      <c r="B3946" s="35" t="s">
        <v>462</v>
      </c>
      <c r="C3946" s="35" t="s">
        <v>405</v>
      </c>
      <c r="D3946" s="35" t="s">
        <v>1009</v>
      </c>
      <c r="E3946" s="35" t="s">
        <v>1011</v>
      </c>
      <c r="F3946" s="35" t="s">
        <v>390</v>
      </c>
      <c r="G3946" s="35" t="s">
        <v>10</v>
      </c>
      <c r="H3946" s="35" t="s">
        <v>516</v>
      </c>
    </row>
    <row r="3947" spans="1:8">
      <c r="A3947" s="34">
        <v>2084027233</v>
      </c>
      <c r="B3947" s="35" t="s">
        <v>462</v>
      </c>
      <c r="C3947" s="35" t="s">
        <v>405</v>
      </c>
      <c r="D3947" s="35" t="s">
        <v>1009</v>
      </c>
      <c r="E3947" s="35" t="s">
        <v>1011</v>
      </c>
      <c r="F3947" s="35" t="s">
        <v>390</v>
      </c>
      <c r="G3947" s="35" t="s">
        <v>10</v>
      </c>
      <c r="H3947" s="35" t="s">
        <v>517</v>
      </c>
    </row>
    <row r="3948" spans="1:8">
      <c r="A3948" s="34">
        <v>2084027371</v>
      </c>
      <c r="B3948" s="35" t="s">
        <v>462</v>
      </c>
      <c r="C3948" s="35" t="s">
        <v>405</v>
      </c>
      <c r="D3948" s="35" t="s">
        <v>1009</v>
      </c>
      <c r="E3948" s="35" t="s">
        <v>1011</v>
      </c>
      <c r="F3948" s="35" t="s">
        <v>390</v>
      </c>
      <c r="G3948" s="35" t="s">
        <v>10</v>
      </c>
      <c r="H3948" s="35" t="s">
        <v>518</v>
      </c>
    </row>
    <row r="3949" spans="1:8">
      <c r="A3949" s="34">
        <v>2084027543</v>
      </c>
      <c r="B3949" s="35" t="s">
        <v>462</v>
      </c>
      <c r="C3949" s="35" t="s">
        <v>405</v>
      </c>
      <c r="D3949" s="35" t="s">
        <v>1009</v>
      </c>
      <c r="E3949" s="35" t="s">
        <v>1011</v>
      </c>
      <c r="F3949" s="35" t="s">
        <v>390</v>
      </c>
      <c r="G3949" s="35" t="s">
        <v>10</v>
      </c>
      <c r="H3949" s="35" t="s">
        <v>422</v>
      </c>
    </row>
    <row r="3950" spans="1:8">
      <c r="A3950" s="34">
        <v>2084027766</v>
      </c>
      <c r="B3950" s="35" t="s">
        <v>462</v>
      </c>
      <c r="C3950" s="35" t="s">
        <v>405</v>
      </c>
      <c r="D3950" s="35" t="s">
        <v>1009</v>
      </c>
      <c r="E3950" s="35" t="s">
        <v>1011</v>
      </c>
      <c r="F3950" s="35" t="s">
        <v>390</v>
      </c>
      <c r="G3950" s="35" t="s">
        <v>10</v>
      </c>
      <c r="H3950" s="35" t="s">
        <v>519</v>
      </c>
    </row>
    <row r="3951" spans="1:8">
      <c r="A3951" s="34">
        <v>2084028004</v>
      </c>
      <c r="B3951" s="35" t="s">
        <v>462</v>
      </c>
      <c r="C3951" s="35" t="s">
        <v>405</v>
      </c>
      <c r="D3951" s="35" t="s">
        <v>1009</v>
      </c>
      <c r="E3951" s="35" t="s">
        <v>1011</v>
      </c>
      <c r="F3951" s="35" t="s">
        <v>390</v>
      </c>
      <c r="G3951" s="35" t="s">
        <v>379</v>
      </c>
      <c r="H3951" s="35" t="s">
        <v>520</v>
      </c>
    </row>
    <row r="3952" spans="1:8">
      <c r="A3952" s="34">
        <v>2084028077</v>
      </c>
      <c r="B3952" s="35" t="s">
        <v>462</v>
      </c>
      <c r="C3952" s="35" t="s">
        <v>405</v>
      </c>
      <c r="D3952" s="35" t="s">
        <v>1009</v>
      </c>
      <c r="E3952" s="35" t="s">
        <v>1011</v>
      </c>
      <c r="F3952" s="35" t="s">
        <v>390</v>
      </c>
      <c r="G3952" s="35" t="s">
        <v>379</v>
      </c>
      <c r="H3952" s="35" t="s">
        <v>521</v>
      </c>
    </row>
    <row r="3953" spans="1:8">
      <c r="A3953" s="34">
        <v>2084028177</v>
      </c>
      <c r="B3953" s="35" t="s">
        <v>462</v>
      </c>
      <c r="C3953" s="35" t="s">
        <v>405</v>
      </c>
      <c r="D3953" s="35" t="s">
        <v>1009</v>
      </c>
      <c r="E3953" s="35" t="s">
        <v>1011</v>
      </c>
      <c r="F3953" s="35" t="s">
        <v>390</v>
      </c>
      <c r="G3953" s="35" t="s">
        <v>379</v>
      </c>
      <c r="H3953" s="35" t="s">
        <v>522</v>
      </c>
    </row>
    <row r="3954" spans="1:8">
      <c r="A3954" s="34">
        <v>2084028417</v>
      </c>
      <c r="B3954" s="35" t="s">
        <v>462</v>
      </c>
      <c r="C3954" s="35" t="s">
        <v>405</v>
      </c>
      <c r="D3954" s="35" t="s">
        <v>1009</v>
      </c>
      <c r="E3954" s="35" t="s">
        <v>1011</v>
      </c>
      <c r="F3954" s="35" t="s">
        <v>390</v>
      </c>
      <c r="G3954" s="35" t="s">
        <v>379</v>
      </c>
      <c r="H3954" s="35" t="s">
        <v>523</v>
      </c>
    </row>
    <row r="3955" spans="1:8">
      <c r="A3955" s="34">
        <v>2084028116</v>
      </c>
      <c r="B3955" s="35" t="s">
        <v>462</v>
      </c>
      <c r="C3955" s="35" t="s">
        <v>405</v>
      </c>
      <c r="D3955" s="35" t="s">
        <v>1009</v>
      </c>
      <c r="E3955" s="35" t="s">
        <v>1011</v>
      </c>
      <c r="F3955" s="35" t="s">
        <v>390</v>
      </c>
      <c r="G3955" s="35" t="s">
        <v>379</v>
      </c>
      <c r="H3955" s="35" t="s">
        <v>524</v>
      </c>
    </row>
    <row r="3956" spans="1:8">
      <c r="A3956" s="34">
        <v>2084028282</v>
      </c>
      <c r="B3956" s="35" t="s">
        <v>462</v>
      </c>
      <c r="C3956" s="35" t="s">
        <v>405</v>
      </c>
      <c r="D3956" s="35" t="s">
        <v>1009</v>
      </c>
      <c r="E3956" s="35" t="s">
        <v>1011</v>
      </c>
      <c r="F3956" s="35" t="s">
        <v>390</v>
      </c>
      <c r="G3956" s="35" t="s">
        <v>379</v>
      </c>
      <c r="H3956" s="35" t="s">
        <v>525</v>
      </c>
    </row>
    <row r="3957" spans="1:8">
      <c r="A3957" s="34">
        <v>2084028484</v>
      </c>
      <c r="B3957" s="35" t="s">
        <v>462</v>
      </c>
      <c r="C3957" s="35" t="s">
        <v>405</v>
      </c>
      <c r="D3957" s="35" t="s">
        <v>1009</v>
      </c>
      <c r="E3957" s="35" t="s">
        <v>1011</v>
      </c>
      <c r="F3957" s="35" t="s">
        <v>390</v>
      </c>
      <c r="G3957" s="35" t="s">
        <v>379</v>
      </c>
      <c r="H3957" s="35" t="s">
        <v>526</v>
      </c>
    </row>
    <row r="3958" spans="1:8">
      <c r="A3958" s="34">
        <v>2084028307</v>
      </c>
      <c r="B3958" s="35" t="s">
        <v>462</v>
      </c>
      <c r="C3958" s="35" t="s">
        <v>405</v>
      </c>
      <c r="D3958" s="35" t="s">
        <v>1009</v>
      </c>
      <c r="E3958" s="35" t="s">
        <v>1011</v>
      </c>
      <c r="F3958" s="35" t="s">
        <v>390</v>
      </c>
      <c r="G3958" s="35" t="s">
        <v>379</v>
      </c>
      <c r="H3958" s="35" t="s">
        <v>527</v>
      </c>
    </row>
    <row r="3959" spans="1:8">
      <c r="A3959" s="34">
        <v>2084028519</v>
      </c>
      <c r="B3959" s="35" t="s">
        <v>462</v>
      </c>
      <c r="C3959" s="35" t="s">
        <v>405</v>
      </c>
      <c r="D3959" s="35" t="s">
        <v>1009</v>
      </c>
      <c r="E3959" s="35" t="s">
        <v>1011</v>
      </c>
      <c r="F3959" s="35" t="s">
        <v>390</v>
      </c>
      <c r="G3959" s="35" t="s">
        <v>379</v>
      </c>
      <c r="H3959" s="35" t="s">
        <v>528</v>
      </c>
    </row>
    <row r="3960" spans="1:8">
      <c r="A3960" s="34">
        <v>2084028345</v>
      </c>
      <c r="B3960" s="35" t="s">
        <v>462</v>
      </c>
      <c r="C3960" s="35" t="s">
        <v>405</v>
      </c>
      <c r="D3960" s="35" t="s">
        <v>1009</v>
      </c>
      <c r="E3960" s="35" t="s">
        <v>1011</v>
      </c>
      <c r="F3960" s="35" t="s">
        <v>390</v>
      </c>
      <c r="G3960" s="35" t="s">
        <v>379</v>
      </c>
      <c r="H3960" s="35" t="s">
        <v>529</v>
      </c>
    </row>
    <row r="3961" spans="1:8">
      <c r="A3961" s="34">
        <v>2084058556</v>
      </c>
      <c r="B3961" s="35" t="s">
        <v>462</v>
      </c>
      <c r="C3961" s="35" t="s">
        <v>405</v>
      </c>
      <c r="D3961" s="35" t="s">
        <v>1009</v>
      </c>
      <c r="E3961" s="35" t="s">
        <v>1011</v>
      </c>
      <c r="F3961" s="35" t="s">
        <v>390</v>
      </c>
      <c r="G3961" s="35" t="s">
        <v>379</v>
      </c>
      <c r="H3961" s="35" t="s">
        <v>335</v>
      </c>
    </row>
    <row r="3962" spans="1:8">
      <c r="A3962" s="34">
        <v>2084028559</v>
      </c>
      <c r="B3962" s="35" t="s">
        <v>462</v>
      </c>
      <c r="C3962" s="35" t="s">
        <v>405</v>
      </c>
      <c r="D3962" s="35" t="s">
        <v>1009</v>
      </c>
      <c r="E3962" s="35" t="s">
        <v>1011</v>
      </c>
      <c r="F3962" s="35" t="s">
        <v>390</v>
      </c>
      <c r="G3962" s="35" t="s">
        <v>530</v>
      </c>
      <c r="H3962" s="35" t="s">
        <v>531</v>
      </c>
    </row>
    <row r="3963" spans="1:8">
      <c r="A3963" s="34">
        <v>2084028597</v>
      </c>
      <c r="B3963" s="35" t="s">
        <v>462</v>
      </c>
      <c r="C3963" s="35" t="s">
        <v>405</v>
      </c>
      <c r="D3963" s="35" t="s">
        <v>1009</v>
      </c>
      <c r="E3963" s="35" t="s">
        <v>1011</v>
      </c>
      <c r="F3963" s="35" t="s">
        <v>390</v>
      </c>
      <c r="G3963" s="35" t="s">
        <v>530</v>
      </c>
      <c r="H3963" s="35" t="s">
        <v>532</v>
      </c>
    </row>
    <row r="3964" spans="1:8">
      <c r="A3964" s="34">
        <v>2084030061</v>
      </c>
      <c r="B3964" s="35" t="s">
        <v>462</v>
      </c>
      <c r="C3964" s="35" t="s">
        <v>405</v>
      </c>
      <c r="D3964" s="35" t="s">
        <v>1009</v>
      </c>
      <c r="E3964" s="35" t="s">
        <v>1011</v>
      </c>
      <c r="F3964" s="35" t="s">
        <v>390</v>
      </c>
      <c r="G3964" s="35" t="s">
        <v>533</v>
      </c>
      <c r="H3964" s="35" t="s">
        <v>609</v>
      </c>
    </row>
    <row r="3965" spans="1:8">
      <c r="A3965" s="34">
        <v>2084030097</v>
      </c>
      <c r="B3965" s="35" t="s">
        <v>462</v>
      </c>
      <c r="C3965" s="35" t="s">
        <v>405</v>
      </c>
      <c r="D3965" s="35" t="s">
        <v>1009</v>
      </c>
      <c r="E3965" s="35" t="s">
        <v>1011</v>
      </c>
      <c r="F3965" s="35" t="s">
        <v>390</v>
      </c>
      <c r="G3965" s="35" t="s">
        <v>533</v>
      </c>
      <c r="H3965" s="35" t="s">
        <v>534</v>
      </c>
    </row>
    <row r="3966" spans="1:8">
      <c r="A3966" s="34">
        <v>2084030179</v>
      </c>
      <c r="B3966" s="35" t="s">
        <v>462</v>
      </c>
      <c r="C3966" s="35" t="s">
        <v>405</v>
      </c>
      <c r="D3966" s="35" t="s">
        <v>1009</v>
      </c>
      <c r="E3966" s="35" t="s">
        <v>1011</v>
      </c>
      <c r="F3966" s="35" t="s">
        <v>390</v>
      </c>
      <c r="G3966" s="35" t="s">
        <v>533</v>
      </c>
      <c r="H3966" s="35" t="s">
        <v>535</v>
      </c>
    </row>
    <row r="3967" spans="1:8">
      <c r="A3967" s="34">
        <v>2084027171</v>
      </c>
      <c r="B3967" s="35" t="s">
        <v>462</v>
      </c>
      <c r="C3967" s="35" t="s">
        <v>405</v>
      </c>
      <c r="D3967" s="35" t="s">
        <v>1009</v>
      </c>
      <c r="E3967" s="35" t="s">
        <v>1011</v>
      </c>
      <c r="F3967" s="35" t="s">
        <v>390</v>
      </c>
      <c r="G3967" s="35" t="s">
        <v>533</v>
      </c>
      <c r="H3967" s="35" t="s">
        <v>536</v>
      </c>
    </row>
    <row r="3968" spans="1:8">
      <c r="A3968" s="34">
        <v>2084048685</v>
      </c>
      <c r="B3968" s="35" t="s">
        <v>462</v>
      </c>
      <c r="C3968" s="35" t="s">
        <v>405</v>
      </c>
      <c r="D3968" s="35" t="s">
        <v>1009</v>
      </c>
      <c r="E3968" s="35" t="s">
        <v>1011</v>
      </c>
      <c r="F3968" s="35" t="s">
        <v>335</v>
      </c>
    </row>
    <row r="3969" spans="1:8">
      <c r="A3969" s="34">
        <v>2084283236</v>
      </c>
      <c r="B3969" s="35" t="s">
        <v>462</v>
      </c>
      <c r="C3969" s="35" t="s">
        <v>405</v>
      </c>
      <c r="D3969" s="35" t="s">
        <v>1009</v>
      </c>
      <c r="E3969" s="35" t="s">
        <v>1012</v>
      </c>
    </row>
    <row r="3970" spans="1:8">
      <c r="A3970" s="34">
        <v>2084194512</v>
      </c>
      <c r="B3970" s="35" t="s">
        <v>462</v>
      </c>
      <c r="C3970" s="35" t="s">
        <v>405</v>
      </c>
      <c r="D3970" s="35" t="s">
        <v>1009</v>
      </c>
      <c r="E3970" s="35" t="s">
        <v>1013</v>
      </c>
      <c r="F3970" s="35" t="s">
        <v>557</v>
      </c>
      <c r="G3970" s="35" t="s">
        <v>407</v>
      </c>
    </row>
    <row r="3971" spans="1:8">
      <c r="A3971" s="34">
        <v>2084194513</v>
      </c>
      <c r="B3971" s="35" t="s">
        <v>462</v>
      </c>
      <c r="C3971" s="35" t="s">
        <v>405</v>
      </c>
      <c r="D3971" s="35" t="s">
        <v>1009</v>
      </c>
      <c r="E3971" s="35" t="s">
        <v>1013</v>
      </c>
      <c r="F3971" s="35" t="s">
        <v>557</v>
      </c>
      <c r="G3971" s="35" t="s">
        <v>408</v>
      </c>
    </row>
    <row r="3972" spans="1:8">
      <c r="A3972" s="34">
        <v>2084194514</v>
      </c>
      <c r="B3972" s="35" t="s">
        <v>462</v>
      </c>
      <c r="C3972" s="35" t="s">
        <v>405</v>
      </c>
      <c r="D3972" s="35" t="s">
        <v>1009</v>
      </c>
      <c r="E3972" s="35" t="s">
        <v>1013</v>
      </c>
      <c r="F3972" s="35" t="s">
        <v>335</v>
      </c>
    </row>
    <row r="3973" spans="1:8">
      <c r="A3973" s="34">
        <v>2084062437</v>
      </c>
      <c r="B3973" s="35" t="s">
        <v>462</v>
      </c>
      <c r="C3973" s="35" t="s">
        <v>405</v>
      </c>
      <c r="D3973" s="35" t="s">
        <v>1009</v>
      </c>
      <c r="E3973" s="35" t="s">
        <v>1014</v>
      </c>
      <c r="F3973" s="35" t="s">
        <v>587</v>
      </c>
      <c r="G3973" s="35" t="s">
        <v>907</v>
      </c>
    </row>
    <row r="3974" spans="1:8">
      <c r="A3974" s="34">
        <v>2084062438</v>
      </c>
      <c r="B3974" s="35" t="s">
        <v>462</v>
      </c>
      <c r="C3974" s="35" t="s">
        <v>405</v>
      </c>
      <c r="D3974" s="35" t="s">
        <v>1009</v>
      </c>
      <c r="E3974" s="35" t="s">
        <v>1014</v>
      </c>
      <c r="F3974" s="35" t="s">
        <v>587</v>
      </c>
      <c r="G3974" s="35" t="s">
        <v>588</v>
      </c>
    </row>
    <row r="3975" spans="1:8">
      <c r="A3975" s="34">
        <v>2084062439</v>
      </c>
      <c r="B3975" s="35" t="s">
        <v>462</v>
      </c>
      <c r="C3975" s="35" t="s">
        <v>405</v>
      </c>
      <c r="D3975" s="35" t="s">
        <v>1009</v>
      </c>
      <c r="E3975" s="35" t="s">
        <v>1014</v>
      </c>
      <c r="F3975" s="35" t="s">
        <v>587</v>
      </c>
      <c r="G3975" s="35" t="s">
        <v>857</v>
      </c>
    </row>
    <row r="3976" spans="1:8">
      <c r="A3976" s="34">
        <v>2084062440</v>
      </c>
      <c r="B3976" s="35" t="s">
        <v>462</v>
      </c>
      <c r="C3976" s="35" t="s">
        <v>405</v>
      </c>
      <c r="D3976" s="35" t="s">
        <v>1009</v>
      </c>
      <c r="E3976" s="35" t="s">
        <v>1014</v>
      </c>
      <c r="F3976" s="35" t="s">
        <v>587</v>
      </c>
      <c r="G3976" s="35" t="s">
        <v>910</v>
      </c>
    </row>
    <row r="3977" spans="1:8">
      <c r="A3977" s="34">
        <v>2084062441</v>
      </c>
      <c r="B3977" s="35" t="s">
        <v>462</v>
      </c>
      <c r="C3977" s="35" t="s">
        <v>405</v>
      </c>
      <c r="D3977" s="35" t="s">
        <v>1009</v>
      </c>
      <c r="E3977" s="35" t="s">
        <v>1014</v>
      </c>
      <c r="F3977" s="35" t="s">
        <v>587</v>
      </c>
      <c r="G3977" s="35" t="s">
        <v>911</v>
      </c>
    </row>
    <row r="3978" spans="1:8">
      <c r="A3978" s="34">
        <v>2084062442</v>
      </c>
      <c r="B3978" s="35" t="s">
        <v>462</v>
      </c>
      <c r="C3978" s="35" t="s">
        <v>405</v>
      </c>
      <c r="D3978" s="35" t="s">
        <v>1009</v>
      </c>
      <c r="E3978" s="35" t="s">
        <v>1014</v>
      </c>
      <c r="F3978" s="35" t="s">
        <v>587</v>
      </c>
      <c r="G3978" s="35" t="s">
        <v>859</v>
      </c>
    </row>
    <row r="3979" spans="1:8">
      <c r="A3979" s="34">
        <v>2084062443</v>
      </c>
      <c r="B3979" s="35" t="s">
        <v>462</v>
      </c>
      <c r="C3979" s="35" t="s">
        <v>405</v>
      </c>
      <c r="D3979" s="35" t="s">
        <v>1009</v>
      </c>
      <c r="E3979" s="35" t="s">
        <v>1014</v>
      </c>
      <c r="F3979" s="35" t="s">
        <v>587</v>
      </c>
      <c r="G3979" s="35" t="s">
        <v>952</v>
      </c>
    </row>
    <row r="3980" spans="1:8">
      <c r="A3980" s="34">
        <v>2084062444</v>
      </c>
      <c r="B3980" s="35" t="s">
        <v>462</v>
      </c>
      <c r="C3980" s="35" t="s">
        <v>405</v>
      </c>
      <c r="D3980" s="35" t="s">
        <v>1009</v>
      </c>
      <c r="E3980" s="35" t="s">
        <v>1014</v>
      </c>
      <c r="F3980" s="35" t="s">
        <v>587</v>
      </c>
      <c r="G3980" s="35" t="s">
        <v>953</v>
      </c>
    </row>
    <row r="3981" spans="1:8">
      <c r="A3981" s="34">
        <v>2084062445</v>
      </c>
      <c r="B3981" s="35" t="s">
        <v>462</v>
      </c>
      <c r="C3981" s="35" t="s">
        <v>405</v>
      </c>
      <c r="D3981" s="35" t="s">
        <v>1009</v>
      </c>
      <c r="E3981" s="35" t="s">
        <v>1014</v>
      </c>
      <c r="F3981" s="35" t="s">
        <v>587</v>
      </c>
      <c r="G3981" s="35" t="s">
        <v>335</v>
      </c>
    </row>
    <row r="3982" spans="1:8">
      <c r="A3982" s="34">
        <v>2084050968</v>
      </c>
      <c r="B3982" s="35" t="s">
        <v>462</v>
      </c>
      <c r="C3982" s="35" t="s">
        <v>405</v>
      </c>
      <c r="D3982" s="35" t="s">
        <v>1009</v>
      </c>
      <c r="E3982" s="35" t="s">
        <v>1014</v>
      </c>
      <c r="F3982" s="35" t="s">
        <v>390</v>
      </c>
      <c r="G3982" s="35" t="s">
        <v>368</v>
      </c>
      <c r="H3982" s="35" t="s">
        <v>481</v>
      </c>
    </row>
    <row r="3983" spans="1:8">
      <c r="A3983" s="34">
        <v>2084050969</v>
      </c>
      <c r="B3983" s="35" t="s">
        <v>462</v>
      </c>
      <c r="C3983" s="35" t="s">
        <v>405</v>
      </c>
      <c r="D3983" s="35" t="s">
        <v>1009</v>
      </c>
      <c r="E3983" s="35" t="s">
        <v>1014</v>
      </c>
      <c r="F3983" s="35" t="s">
        <v>390</v>
      </c>
      <c r="G3983" s="35" t="s">
        <v>368</v>
      </c>
      <c r="H3983" s="35" t="s">
        <v>335</v>
      </c>
    </row>
    <row r="3984" spans="1:8">
      <c r="A3984" s="34">
        <v>2084050972</v>
      </c>
      <c r="B3984" s="35" t="s">
        <v>462</v>
      </c>
      <c r="C3984" s="35" t="s">
        <v>405</v>
      </c>
      <c r="D3984" s="35" t="s">
        <v>1009</v>
      </c>
      <c r="E3984" s="35" t="s">
        <v>1014</v>
      </c>
      <c r="F3984" s="35" t="s">
        <v>390</v>
      </c>
      <c r="G3984" s="35" t="s">
        <v>10</v>
      </c>
      <c r="H3984" s="35" t="s">
        <v>397</v>
      </c>
    </row>
    <row r="3985" spans="1:8">
      <c r="A3985" s="34">
        <v>2084050971</v>
      </c>
      <c r="B3985" s="35" t="s">
        <v>462</v>
      </c>
      <c r="C3985" s="35" t="s">
        <v>405</v>
      </c>
      <c r="D3985" s="35" t="s">
        <v>1009</v>
      </c>
      <c r="E3985" s="35" t="s">
        <v>1014</v>
      </c>
      <c r="F3985" s="35" t="s">
        <v>390</v>
      </c>
      <c r="G3985" s="35" t="s">
        <v>10</v>
      </c>
      <c r="H3985" s="35" t="s">
        <v>398</v>
      </c>
    </row>
    <row r="3986" spans="1:8">
      <c r="A3986" s="34">
        <v>2084050973</v>
      </c>
      <c r="B3986" s="35" t="s">
        <v>462</v>
      </c>
      <c r="C3986" s="35" t="s">
        <v>405</v>
      </c>
      <c r="D3986" s="35" t="s">
        <v>1009</v>
      </c>
      <c r="E3986" s="35" t="s">
        <v>1014</v>
      </c>
      <c r="F3986" s="35" t="s">
        <v>390</v>
      </c>
      <c r="G3986" s="35" t="s">
        <v>10</v>
      </c>
      <c r="H3986" s="35" t="s">
        <v>335</v>
      </c>
    </row>
    <row r="3987" spans="1:8">
      <c r="A3987" s="34">
        <v>2084050975</v>
      </c>
      <c r="B3987" s="35" t="s">
        <v>462</v>
      </c>
      <c r="C3987" s="35" t="s">
        <v>405</v>
      </c>
      <c r="D3987" s="35" t="s">
        <v>1009</v>
      </c>
      <c r="E3987" s="35" t="s">
        <v>1014</v>
      </c>
      <c r="F3987" s="35" t="s">
        <v>390</v>
      </c>
      <c r="G3987" s="35" t="s">
        <v>379</v>
      </c>
      <c r="H3987" s="35" t="s">
        <v>476</v>
      </c>
    </row>
    <row r="3988" spans="1:8">
      <c r="A3988" s="34">
        <v>2084050976</v>
      </c>
      <c r="B3988" s="35" t="s">
        <v>462</v>
      </c>
      <c r="C3988" s="35" t="s">
        <v>405</v>
      </c>
      <c r="D3988" s="35" t="s">
        <v>1009</v>
      </c>
      <c r="E3988" s="35" t="s">
        <v>1014</v>
      </c>
      <c r="F3988" s="35" t="s">
        <v>390</v>
      </c>
      <c r="G3988" s="35" t="s">
        <v>379</v>
      </c>
      <c r="H3988" s="35" t="s">
        <v>335</v>
      </c>
    </row>
    <row r="3989" spans="1:8">
      <c r="A3989" s="34">
        <v>2084050966</v>
      </c>
      <c r="B3989" s="35" t="s">
        <v>462</v>
      </c>
      <c r="C3989" s="35" t="s">
        <v>405</v>
      </c>
      <c r="D3989" s="35" t="s">
        <v>1009</v>
      </c>
      <c r="E3989" s="35" t="s">
        <v>1014</v>
      </c>
      <c r="F3989" s="35" t="s">
        <v>390</v>
      </c>
      <c r="G3989" s="35" t="s">
        <v>335</v>
      </c>
    </row>
    <row r="3990" spans="1:8">
      <c r="A3990" s="34">
        <v>2084036144</v>
      </c>
      <c r="B3990" s="35" t="s">
        <v>462</v>
      </c>
      <c r="C3990" s="35" t="s">
        <v>405</v>
      </c>
      <c r="D3990" s="35" t="s">
        <v>1009</v>
      </c>
      <c r="E3990" s="35" t="s">
        <v>1014</v>
      </c>
      <c r="F3990" s="35" t="s">
        <v>442</v>
      </c>
      <c r="G3990" s="35" t="s">
        <v>569</v>
      </c>
    </row>
    <row r="3991" spans="1:8">
      <c r="A3991" s="34">
        <v>2084025213</v>
      </c>
      <c r="B3991" s="35" t="s">
        <v>462</v>
      </c>
      <c r="C3991" s="35" t="s">
        <v>405</v>
      </c>
      <c r="D3991" s="35" t="s">
        <v>1009</v>
      </c>
      <c r="E3991" s="35" t="s">
        <v>1014</v>
      </c>
      <c r="F3991" s="35" t="s">
        <v>442</v>
      </c>
      <c r="G3991" s="35" t="s">
        <v>538</v>
      </c>
    </row>
    <row r="3992" spans="1:8">
      <c r="A3992" s="34">
        <v>2084025391</v>
      </c>
      <c r="B3992" s="35" t="s">
        <v>462</v>
      </c>
      <c r="C3992" s="35" t="s">
        <v>405</v>
      </c>
      <c r="D3992" s="35" t="s">
        <v>1009</v>
      </c>
      <c r="E3992" s="35" t="s">
        <v>1014</v>
      </c>
      <c r="F3992" s="35" t="s">
        <v>442</v>
      </c>
      <c r="G3992" s="35" t="s">
        <v>539</v>
      </c>
    </row>
    <row r="3993" spans="1:8">
      <c r="A3993" s="34">
        <v>2084050964</v>
      </c>
      <c r="B3993" s="35" t="s">
        <v>462</v>
      </c>
      <c r="C3993" s="35" t="s">
        <v>405</v>
      </c>
      <c r="D3993" s="35" t="s">
        <v>1009</v>
      </c>
      <c r="E3993" s="35" t="s">
        <v>1014</v>
      </c>
      <c r="F3993" s="35" t="s">
        <v>442</v>
      </c>
      <c r="G3993" s="35" t="s">
        <v>335</v>
      </c>
    </row>
    <row r="3994" spans="1:8">
      <c r="A3994" s="34">
        <v>2084048686</v>
      </c>
      <c r="B3994" s="35" t="s">
        <v>462</v>
      </c>
      <c r="C3994" s="35" t="s">
        <v>405</v>
      </c>
      <c r="D3994" s="35" t="s">
        <v>1009</v>
      </c>
      <c r="E3994" s="35" t="s">
        <v>1014</v>
      </c>
      <c r="F3994" s="35" t="s">
        <v>335</v>
      </c>
    </row>
    <row r="3995" spans="1:8">
      <c r="A3995" s="34">
        <v>2084061927</v>
      </c>
      <c r="B3995" s="35" t="s">
        <v>462</v>
      </c>
      <c r="C3995" s="35" t="s">
        <v>405</v>
      </c>
      <c r="D3995" s="35" t="s">
        <v>1009</v>
      </c>
      <c r="E3995" s="35" t="s">
        <v>1015</v>
      </c>
      <c r="F3995" s="35" t="s">
        <v>611</v>
      </c>
      <c r="G3995" s="35" t="s">
        <v>407</v>
      </c>
    </row>
    <row r="3996" spans="1:8">
      <c r="A3996" s="34">
        <v>2084061926</v>
      </c>
      <c r="B3996" s="35" t="s">
        <v>462</v>
      </c>
      <c r="C3996" s="35" t="s">
        <v>405</v>
      </c>
      <c r="D3996" s="35" t="s">
        <v>1009</v>
      </c>
      <c r="E3996" s="35" t="s">
        <v>1015</v>
      </c>
      <c r="F3996" s="35" t="s">
        <v>611</v>
      </c>
      <c r="G3996" s="35" t="s">
        <v>408</v>
      </c>
    </row>
    <row r="3997" spans="1:8">
      <c r="A3997" s="34">
        <v>2084061928</v>
      </c>
      <c r="B3997" s="35" t="s">
        <v>462</v>
      </c>
      <c r="C3997" s="35" t="s">
        <v>405</v>
      </c>
      <c r="D3997" s="35" t="s">
        <v>1009</v>
      </c>
      <c r="E3997" s="35" t="s">
        <v>1015</v>
      </c>
      <c r="F3997" s="35" t="s">
        <v>611</v>
      </c>
      <c r="G3997" s="35" t="s">
        <v>335</v>
      </c>
    </row>
    <row r="3998" spans="1:8">
      <c r="A3998" s="34">
        <v>2084062335</v>
      </c>
      <c r="B3998" s="35" t="s">
        <v>462</v>
      </c>
      <c r="C3998" s="35" t="s">
        <v>405</v>
      </c>
      <c r="D3998" s="35" t="s">
        <v>1009</v>
      </c>
      <c r="E3998" s="35" t="s">
        <v>1016</v>
      </c>
      <c r="F3998" s="35" t="s">
        <v>475</v>
      </c>
    </row>
    <row r="3999" spans="1:8">
      <c r="A3999" s="34">
        <v>2084050256</v>
      </c>
      <c r="B3999" s="35" t="s">
        <v>462</v>
      </c>
      <c r="C3999" s="35" t="s">
        <v>405</v>
      </c>
      <c r="D3999" s="35" t="s">
        <v>1009</v>
      </c>
      <c r="E3999" s="35" t="s">
        <v>1017</v>
      </c>
    </row>
    <row r="4000" spans="1:8">
      <c r="A4000" s="34">
        <v>2084205181</v>
      </c>
      <c r="B4000" s="35" t="s">
        <v>462</v>
      </c>
      <c r="C4000" s="35" t="s">
        <v>405</v>
      </c>
      <c r="D4000" s="35" t="s">
        <v>1009</v>
      </c>
      <c r="E4000" s="35" t="s">
        <v>1018</v>
      </c>
    </row>
    <row r="4001" spans="1:7">
      <c r="A4001" s="34">
        <v>2084061938</v>
      </c>
      <c r="B4001" s="35" t="s">
        <v>462</v>
      </c>
      <c r="C4001" s="35" t="s">
        <v>405</v>
      </c>
      <c r="D4001" s="35" t="s">
        <v>1009</v>
      </c>
      <c r="E4001" s="35" t="s">
        <v>1019</v>
      </c>
      <c r="F4001" s="35" t="s">
        <v>368</v>
      </c>
      <c r="G4001" s="35" t="s">
        <v>335</v>
      </c>
    </row>
    <row r="4002" spans="1:7">
      <c r="A4002" s="34">
        <v>2084061937</v>
      </c>
      <c r="B4002" s="35" t="s">
        <v>462</v>
      </c>
      <c r="C4002" s="35" t="s">
        <v>405</v>
      </c>
      <c r="D4002" s="35" t="s">
        <v>1009</v>
      </c>
      <c r="E4002" s="35" t="s">
        <v>1019</v>
      </c>
      <c r="F4002" s="35" t="s">
        <v>368</v>
      </c>
      <c r="G4002" s="35" t="s">
        <v>481</v>
      </c>
    </row>
    <row r="4003" spans="1:7">
      <c r="A4003" s="34">
        <v>2084061945</v>
      </c>
      <c r="B4003" s="35" t="s">
        <v>462</v>
      </c>
      <c r="C4003" s="35" t="s">
        <v>405</v>
      </c>
      <c r="D4003" s="35" t="s">
        <v>1009</v>
      </c>
      <c r="E4003" s="35" t="s">
        <v>1019</v>
      </c>
      <c r="F4003" s="35" t="s">
        <v>10</v>
      </c>
      <c r="G4003" s="35" t="s">
        <v>483</v>
      </c>
    </row>
    <row r="4004" spans="1:7">
      <c r="A4004" s="34">
        <v>2084061940</v>
      </c>
      <c r="B4004" s="35" t="s">
        <v>462</v>
      </c>
      <c r="C4004" s="35" t="s">
        <v>405</v>
      </c>
      <c r="D4004" s="35" t="s">
        <v>1009</v>
      </c>
      <c r="E4004" s="35" t="s">
        <v>1019</v>
      </c>
      <c r="F4004" s="35" t="s">
        <v>10</v>
      </c>
      <c r="G4004" s="35" t="s">
        <v>510</v>
      </c>
    </row>
    <row r="4005" spans="1:7">
      <c r="A4005" s="34">
        <v>2084061942</v>
      </c>
      <c r="B4005" s="35" t="s">
        <v>462</v>
      </c>
      <c r="C4005" s="35" t="s">
        <v>405</v>
      </c>
      <c r="D4005" s="35" t="s">
        <v>1009</v>
      </c>
      <c r="E4005" s="35" t="s">
        <v>1019</v>
      </c>
      <c r="F4005" s="35" t="s">
        <v>10</v>
      </c>
      <c r="G4005" s="35" t="s">
        <v>397</v>
      </c>
    </row>
    <row r="4006" spans="1:7">
      <c r="A4006" s="34">
        <v>2084061944</v>
      </c>
      <c r="B4006" s="35" t="s">
        <v>462</v>
      </c>
      <c r="C4006" s="35" t="s">
        <v>405</v>
      </c>
      <c r="D4006" s="35" t="s">
        <v>1009</v>
      </c>
      <c r="E4006" s="35" t="s">
        <v>1019</v>
      </c>
      <c r="F4006" s="35" t="s">
        <v>10</v>
      </c>
      <c r="G4006" s="35" t="s">
        <v>421</v>
      </c>
    </row>
    <row r="4007" spans="1:7">
      <c r="A4007" s="34">
        <v>2084061941</v>
      </c>
      <c r="B4007" s="35" t="s">
        <v>462</v>
      </c>
      <c r="C4007" s="35" t="s">
        <v>405</v>
      </c>
      <c r="D4007" s="35" t="s">
        <v>1009</v>
      </c>
      <c r="E4007" s="35" t="s">
        <v>1019</v>
      </c>
      <c r="F4007" s="35" t="s">
        <v>10</v>
      </c>
      <c r="G4007" s="35" t="s">
        <v>398</v>
      </c>
    </row>
    <row r="4008" spans="1:7">
      <c r="A4008" s="34">
        <v>2084061943</v>
      </c>
      <c r="B4008" s="35" t="s">
        <v>462</v>
      </c>
      <c r="C4008" s="35" t="s">
        <v>405</v>
      </c>
      <c r="D4008" s="35" t="s">
        <v>1009</v>
      </c>
      <c r="E4008" s="35" t="s">
        <v>1019</v>
      </c>
      <c r="F4008" s="35" t="s">
        <v>10</v>
      </c>
      <c r="G4008" s="35" t="s">
        <v>422</v>
      </c>
    </row>
    <row r="4009" spans="1:7">
      <c r="A4009" s="34">
        <v>2084061946</v>
      </c>
      <c r="B4009" s="35" t="s">
        <v>462</v>
      </c>
      <c r="C4009" s="35" t="s">
        <v>405</v>
      </c>
      <c r="D4009" s="35" t="s">
        <v>1009</v>
      </c>
      <c r="E4009" s="35" t="s">
        <v>1019</v>
      </c>
      <c r="F4009" s="35" t="s">
        <v>10</v>
      </c>
      <c r="G4009" s="35" t="s">
        <v>335</v>
      </c>
    </row>
    <row r="4010" spans="1:7">
      <c r="A4010" s="34">
        <v>2084061949</v>
      </c>
      <c r="B4010" s="35" t="s">
        <v>462</v>
      </c>
      <c r="C4010" s="35" t="s">
        <v>405</v>
      </c>
      <c r="D4010" s="35" t="s">
        <v>1009</v>
      </c>
      <c r="E4010" s="35" t="s">
        <v>1019</v>
      </c>
      <c r="F4010" s="35" t="s">
        <v>379</v>
      </c>
      <c r="G4010" s="35" t="s">
        <v>335</v>
      </c>
    </row>
    <row r="4011" spans="1:7">
      <c r="A4011" s="34">
        <v>2084061948</v>
      </c>
      <c r="B4011" s="35" t="s">
        <v>462</v>
      </c>
      <c r="C4011" s="35" t="s">
        <v>405</v>
      </c>
      <c r="D4011" s="35" t="s">
        <v>1009</v>
      </c>
      <c r="E4011" s="35" t="s">
        <v>1019</v>
      </c>
      <c r="F4011" s="35" t="s">
        <v>379</v>
      </c>
      <c r="G4011" s="35" t="s">
        <v>476</v>
      </c>
    </row>
    <row r="4012" spans="1:7">
      <c r="A4012" s="34">
        <v>2084061950</v>
      </c>
      <c r="B4012" s="35" t="s">
        <v>462</v>
      </c>
      <c r="C4012" s="35" t="s">
        <v>405</v>
      </c>
      <c r="D4012" s="35" t="s">
        <v>1009</v>
      </c>
      <c r="E4012" s="35" t="s">
        <v>1019</v>
      </c>
      <c r="F4012" s="35" t="s">
        <v>478</v>
      </c>
    </row>
    <row r="4013" spans="1:7">
      <c r="A4013" s="34">
        <v>2084061951</v>
      </c>
      <c r="B4013" s="35" t="s">
        <v>462</v>
      </c>
      <c r="C4013" s="35" t="s">
        <v>405</v>
      </c>
      <c r="D4013" s="35" t="s">
        <v>1009</v>
      </c>
      <c r="E4013" s="35" t="s">
        <v>1019</v>
      </c>
      <c r="F4013" s="35" t="s">
        <v>335</v>
      </c>
    </row>
    <row r="4014" spans="1:7">
      <c r="A4014" s="34">
        <v>2084050257</v>
      </c>
      <c r="B4014" s="35" t="s">
        <v>462</v>
      </c>
      <c r="C4014" s="35" t="s">
        <v>405</v>
      </c>
      <c r="D4014" s="35" t="s">
        <v>1009</v>
      </c>
      <c r="E4014" s="35" t="s">
        <v>1020</v>
      </c>
    </row>
    <row r="4015" spans="1:7">
      <c r="A4015" s="34">
        <v>2084057986</v>
      </c>
      <c r="B4015" s="35" t="s">
        <v>462</v>
      </c>
      <c r="C4015" s="35" t="s">
        <v>405</v>
      </c>
      <c r="D4015" s="35" t="s">
        <v>1009</v>
      </c>
      <c r="E4015" s="35" t="s">
        <v>1021</v>
      </c>
      <c r="F4015" s="35" t="s">
        <v>353</v>
      </c>
      <c r="G4015" s="35" t="s">
        <v>367</v>
      </c>
    </row>
    <row r="4016" spans="1:7">
      <c r="A4016" s="34">
        <v>2084057987</v>
      </c>
      <c r="B4016" s="35" t="s">
        <v>462</v>
      </c>
      <c r="C4016" s="35" t="s">
        <v>405</v>
      </c>
      <c r="D4016" s="35" t="s">
        <v>1009</v>
      </c>
      <c r="E4016" s="35" t="s">
        <v>1021</v>
      </c>
      <c r="F4016" s="35" t="s">
        <v>353</v>
      </c>
      <c r="G4016" s="35" t="s">
        <v>401</v>
      </c>
    </row>
    <row r="4017" spans="1:8">
      <c r="A4017" s="34">
        <v>2084057992</v>
      </c>
      <c r="B4017" s="35" t="s">
        <v>462</v>
      </c>
      <c r="C4017" s="35" t="s">
        <v>405</v>
      </c>
      <c r="D4017" s="35" t="s">
        <v>1009</v>
      </c>
      <c r="E4017" s="35" t="s">
        <v>1021</v>
      </c>
      <c r="F4017" s="35" t="s">
        <v>353</v>
      </c>
      <c r="G4017" s="35" t="s">
        <v>10</v>
      </c>
      <c r="H4017" s="35" t="s">
        <v>397</v>
      </c>
    </row>
    <row r="4018" spans="1:8">
      <c r="A4018" s="34">
        <v>2084057990</v>
      </c>
      <c r="B4018" s="35" t="s">
        <v>462</v>
      </c>
      <c r="C4018" s="35" t="s">
        <v>405</v>
      </c>
      <c r="D4018" s="35" t="s">
        <v>1009</v>
      </c>
      <c r="E4018" s="35" t="s">
        <v>1021</v>
      </c>
      <c r="F4018" s="35" t="s">
        <v>353</v>
      </c>
      <c r="G4018" s="35" t="s">
        <v>10</v>
      </c>
      <c r="H4018" s="35" t="s">
        <v>421</v>
      </c>
    </row>
    <row r="4019" spans="1:8">
      <c r="A4019" s="34">
        <v>2084057991</v>
      </c>
      <c r="B4019" s="35" t="s">
        <v>462</v>
      </c>
      <c r="C4019" s="35" t="s">
        <v>405</v>
      </c>
      <c r="D4019" s="35" t="s">
        <v>1009</v>
      </c>
      <c r="E4019" s="35" t="s">
        <v>1021</v>
      </c>
      <c r="F4019" s="35" t="s">
        <v>353</v>
      </c>
      <c r="G4019" s="35" t="s">
        <v>10</v>
      </c>
      <c r="H4019" s="35" t="s">
        <v>398</v>
      </c>
    </row>
    <row r="4020" spans="1:8">
      <c r="A4020" s="34">
        <v>2084057989</v>
      </c>
      <c r="B4020" s="35" t="s">
        <v>462</v>
      </c>
      <c r="C4020" s="35" t="s">
        <v>405</v>
      </c>
      <c r="D4020" s="35" t="s">
        <v>1009</v>
      </c>
      <c r="E4020" s="35" t="s">
        <v>1021</v>
      </c>
      <c r="F4020" s="35" t="s">
        <v>353</v>
      </c>
      <c r="G4020" s="35" t="s">
        <v>10</v>
      </c>
      <c r="H4020" s="35" t="s">
        <v>422</v>
      </c>
    </row>
    <row r="4021" spans="1:8">
      <c r="A4021" s="34">
        <v>2084057993</v>
      </c>
      <c r="B4021" s="35" t="s">
        <v>462</v>
      </c>
      <c r="C4021" s="35" t="s">
        <v>405</v>
      </c>
      <c r="D4021" s="35" t="s">
        <v>1009</v>
      </c>
      <c r="E4021" s="35" t="s">
        <v>1021</v>
      </c>
      <c r="F4021" s="35" t="s">
        <v>353</v>
      </c>
      <c r="G4021" s="35" t="s">
        <v>10</v>
      </c>
      <c r="H4021" s="35" t="s">
        <v>335</v>
      </c>
    </row>
    <row r="4022" spans="1:8">
      <c r="A4022" s="34">
        <v>2084057994</v>
      </c>
      <c r="B4022" s="35" t="s">
        <v>462</v>
      </c>
      <c r="C4022" s="35" t="s">
        <v>405</v>
      </c>
      <c r="D4022" s="35" t="s">
        <v>1009</v>
      </c>
      <c r="E4022" s="35" t="s">
        <v>1021</v>
      </c>
      <c r="F4022" s="35" t="s">
        <v>353</v>
      </c>
      <c r="G4022" s="35" t="s">
        <v>403</v>
      </c>
    </row>
    <row r="4023" spans="1:8">
      <c r="A4023" s="34">
        <v>2084057995</v>
      </c>
      <c r="B4023" s="35" t="s">
        <v>462</v>
      </c>
      <c r="C4023" s="35" t="s">
        <v>405</v>
      </c>
      <c r="D4023" s="35" t="s">
        <v>1009</v>
      </c>
      <c r="E4023" s="35" t="s">
        <v>1021</v>
      </c>
      <c r="F4023" s="35" t="s">
        <v>353</v>
      </c>
      <c r="G4023" s="35" t="s">
        <v>335</v>
      </c>
    </row>
    <row r="4024" spans="1:8">
      <c r="A4024" s="34">
        <v>2084057996</v>
      </c>
      <c r="B4024" s="35" t="s">
        <v>462</v>
      </c>
      <c r="C4024" s="35" t="s">
        <v>405</v>
      </c>
      <c r="D4024" s="35" t="s">
        <v>1009</v>
      </c>
      <c r="E4024" s="35" t="s">
        <v>1021</v>
      </c>
      <c r="F4024" s="35" t="s">
        <v>335</v>
      </c>
    </row>
    <row r="4025" spans="1:8">
      <c r="A4025" s="34">
        <v>2084309023</v>
      </c>
      <c r="B4025" s="35" t="s">
        <v>462</v>
      </c>
      <c r="C4025" s="35" t="s">
        <v>405</v>
      </c>
      <c r="D4025" s="35" t="s">
        <v>1022</v>
      </c>
      <c r="E4025" s="35" t="s">
        <v>1023</v>
      </c>
      <c r="F4025" s="35" t="s">
        <v>611</v>
      </c>
      <c r="G4025" s="35" t="s">
        <v>1024</v>
      </c>
    </row>
    <row r="4026" spans="1:8">
      <c r="A4026" s="34">
        <v>2084309024</v>
      </c>
      <c r="B4026" s="35" t="s">
        <v>462</v>
      </c>
      <c r="C4026" s="35" t="s">
        <v>405</v>
      </c>
      <c r="D4026" s="35" t="s">
        <v>1022</v>
      </c>
      <c r="E4026" s="35" t="s">
        <v>1023</v>
      </c>
      <c r="F4026" s="35" t="s">
        <v>611</v>
      </c>
      <c r="G4026" s="35" t="s">
        <v>789</v>
      </c>
    </row>
    <row r="4027" spans="1:8">
      <c r="A4027" s="34">
        <v>2084309025</v>
      </c>
      <c r="B4027" s="35" t="s">
        <v>462</v>
      </c>
      <c r="C4027" s="35" t="s">
        <v>405</v>
      </c>
      <c r="D4027" s="35" t="s">
        <v>1022</v>
      </c>
      <c r="E4027" s="35" t="s">
        <v>1023</v>
      </c>
      <c r="F4027" s="35" t="s">
        <v>611</v>
      </c>
      <c r="G4027" s="35" t="s">
        <v>841</v>
      </c>
    </row>
    <row r="4028" spans="1:8">
      <c r="A4028" s="34">
        <v>2084309026</v>
      </c>
      <c r="B4028" s="35" t="s">
        <v>462</v>
      </c>
      <c r="C4028" s="35" t="s">
        <v>405</v>
      </c>
      <c r="D4028" s="35" t="s">
        <v>1022</v>
      </c>
      <c r="E4028" s="35" t="s">
        <v>1023</v>
      </c>
      <c r="F4028" s="35" t="s">
        <v>611</v>
      </c>
      <c r="G4028" s="35" t="s">
        <v>791</v>
      </c>
    </row>
    <row r="4029" spans="1:8">
      <c r="A4029" s="34">
        <v>2084309027</v>
      </c>
      <c r="B4029" s="35" t="s">
        <v>462</v>
      </c>
      <c r="C4029" s="35" t="s">
        <v>405</v>
      </c>
      <c r="D4029" s="35" t="s">
        <v>1022</v>
      </c>
      <c r="E4029" s="35" t="s">
        <v>1023</v>
      </c>
      <c r="F4029" s="35" t="s">
        <v>611</v>
      </c>
      <c r="G4029" s="35" t="s">
        <v>842</v>
      </c>
    </row>
    <row r="4030" spans="1:8">
      <c r="A4030" s="34">
        <v>2084309028</v>
      </c>
      <c r="B4030" s="35" t="s">
        <v>462</v>
      </c>
      <c r="C4030" s="35" t="s">
        <v>405</v>
      </c>
      <c r="D4030" s="35" t="s">
        <v>1022</v>
      </c>
      <c r="E4030" s="35" t="s">
        <v>1023</v>
      </c>
      <c r="F4030" s="35" t="s">
        <v>611</v>
      </c>
      <c r="G4030" s="35" t="s">
        <v>1025</v>
      </c>
    </row>
    <row r="4031" spans="1:8">
      <c r="A4031" s="34">
        <v>2084061377</v>
      </c>
      <c r="B4031" s="35" t="s">
        <v>462</v>
      </c>
      <c r="C4031" s="35" t="s">
        <v>405</v>
      </c>
      <c r="D4031" s="35" t="s">
        <v>1022</v>
      </c>
      <c r="E4031" s="35" t="s">
        <v>1023</v>
      </c>
      <c r="F4031" s="35" t="s">
        <v>335</v>
      </c>
    </row>
    <row r="4032" spans="1:8">
      <c r="A4032" s="34">
        <v>2084308606</v>
      </c>
      <c r="B4032" s="35" t="s">
        <v>462</v>
      </c>
      <c r="C4032" s="35" t="s">
        <v>405</v>
      </c>
      <c r="D4032" s="35" t="s">
        <v>1022</v>
      </c>
      <c r="E4032" s="35" t="s">
        <v>1026</v>
      </c>
      <c r="F4032" s="35" t="s">
        <v>475</v>
      </c>
    </row>
    <row r="4033" spans="1:8">
      <c r="A4033" s="34">
        <v>2084308607</v>
      </c>
      <c r="B4033" s="35" t="s">
        <v>462</v>
      </c>
      <c r="C4033" s="35" t="s">
        <v>405</v>
      </c>
      <c r="D4033" s="35" t="s">
        <v>1022</v>
      </c>
      <c r="E4033" s="35" t="s">
        <v>1026</v>
      </c>
      <c r="F4033" s="35" t="s">
        <v>367</v>
      </c>
    </row>
    <row r="4034" spans="1:8">
      <c r="A4034" s="34">
        <v>2084308608</v>
      </c>
      <c r="B4034" s="35" t="s">
        <v>462</v>
      </c>
      <c r="C4034" s="35" t="s">
        <v>405</v>
      </c>
      <c r="D4034" s="35" t="s">
        <v>1022</v>
      </c>
      <c r="E4034" s="35" t="s">
        <v>1026</v>
      </c>
      <c r="F4034" s="35" t="s">
        <v>401</v>
      </c>
    </row>
    <row r="4035" spans="1:8">
      <c r="A4035" s="34">
        <v>2084308609</v>
      </c>
      <c r="B4035" s="35" t="s">
        <v>462</v>
      </c>
      <c r="C4035" s="35" t="s">
        <v>405</v>
      </c>
      <c r="D4035" s="35" t="s">
        <v>1022</v>
      </c>
      <c r="E4035" s="35" t="s">
        <v>1026</v>
      </c>
      <c r="F4035" s="35" t="s">
        <v>402</v>
      </c>
    </row>
    <row r="4036" spans="1:8">
      <c r="A4036" s="34">
        <v>2084308611</v>
      </c>
      <c r="B4036" s="35" t="s">
        <v>462</v>
      </c>
      <c r="C4036" s="35" t="s">
        <v>405</v>
      </c>
      <c r="D4036" s="35" t="s">
        <v>1022</v>
      </c>
      <c r="E4036" s="35" t="s">
        <v>1026</v>
      </c>
      <c r="F4036" s="35" t="s">
        <v>476</v>
      </c>
    </row>
    <row r="4037" spans="1:8">
      <c r="A4037" s="34">
        <v>2084308610</v>
      </c>
      <c r="B4037" s="35" t="s">
        <v>462</v>
      </c>
      <c r="C4037" s="35" t="s">
        <v>405</v>
      </c>
      <c r="D4037" s="35" t="s">
        <v>1022</v>
      </c>
      <c r="E4037" s="35" t="s">
        <v>1026</v>
      </c>
      <c r="F4037" s="35" t="s">
        <v>477</v>
      </c>
    </row>
    <row r="4038" spans="1:8">
      <c r="A4038" s="34">
        <v>2084308612</v>
      </c>
      <c r="B4038" s="35" t="s">
        <v>462</v>
      </c>
      <c r="C4038" s="35" t="s">
        <v>405</v>
      </c>
      <c r="D4038" s="35" t="s">
        <v>1022</v>
      </c>
      <c r="E4038" s="35" t="s">
        <v>1026</v>
      </c>
      <c r="F4038" s="35" t="s">
        <v>478</v>
      </c>
    </row>
    <row r="4039" spans="1:8">
      <c r="A4039" s="34">
        <v>2084308613</v>
      </c>
      <c r="B4039" s="35" t="s">
        <v>462</v>
      </c>
      <c r="C4039" s="35" t="s">
        <v>405</v>
      </c>
      <c r="D4039" s="35" t="s">
        <v>1022</v>
      </c>
      <c r="E4039" s="35" t="s">
        <v>1026</v>
      </c>
      <c r="F4039" s="35" t="s">
        <v>335</v>
      </c>
    </row>
    <row r="4040" spans="1:8">
      <c r="A4040" s="34">
        <v>2084052896</v>
      </c>
      <c r="B4040" s="35" t="s">
        <v>462</v>
      </c>
      <c r="C4040" s="35" t="s">
        <v>405</v>
      </c>
      <c r="D4040" s="35" t="s">
        <v>1022</v>
      </c>
      <c r="E4040" s="35" t="s">
        <v>1027</v>
      </c>
      <c r="F4040" s="35" t="s">
        <v>353</v>
      </c>
      <c r="G4040" s="35" t="s">
        <v>367</v>
      </c>
    </row>
    <row r="4041" spans="1:8">
      <c r="A4041" s="34">
        <v>2084030719</v>
      </c>
      <c r="B4041" s="35" t="s">
        <v>462</v>
      </c>
      <c r="C4041" s="35" t="s">
        <v>405</v>
      </c>
      <c r="D4041" s="35" t="s">
        <v>1022</v>
      </c>
      <c r="E4041" s="35" t="s">
        <v>1027</v>
      </c>
      <c r="F4041" s="35" t="s">
        <v>353</v>
      </c>
      <c r="G4041" s="35" t="s">
        <v>481</v>
      </c>
    </row>
    <row r="4042" spans="1:8">
      <c r="A4042" s="34">
        <v>2084031452</v>
      </c>
      <c r="B4042" s="35" t="s">
        <v>462</v>
      </c>
      <c r="C4042" s="35" t="s">
        <v>405</v>
      </c>
      <c r="D4042" s="35" t="s">
        <v>1022</v>
      </c>
      <c r="E4042" s="35" t="s">
        <v>1027</v>
      </c>
      <c r="F4042" s="35" t="s">
        <v>353</v>
      </c>
      <c r="G4042" s="35" t="s">
        <v>482</v>
      </c>
    </row>
    <row r="4043" spans="1:8">
      <c r="A4043" s="34">
        <v>2084261437</v>
      </c>
      <c r="B4043" s="35" t="s">
        <v>462</v>
      </c>
      <c r="C4043" s="35" t="s">
        <v>405</v>
      </c>
      <c r="D4043" s="35" t="s">
        <v>1022</v>
      </c>
      <c r="E4043" s="35" t="s">
        <v>1027</v>
      </c>
      <c r="F4043" s="35" t="s">
        <v>353</v>
      </c>
      <c r="G4043" s="35" t="s">
        <v>549</v>
      </c>
    </row>
    <row r="4044" spans="1:8">
      <c r="A4044" s="34">
        <v>2084031617</v>
      </c>
      <c r="B4044" s="35" t="s">
        <v>462</v>
      </c>
      <c r="C4044" s="35" t="s">
        <v>405</v>
      </c>
      <c r="D4044" s="35" t="s">
        <v>1022</v>
      </c>
      <c r="E4044" s="35" t="s">
        <v>1027</v>
      </c>
      <c r="F4044" s="35" t="s">
        <v>353</v>
      </c>
      <c r="G4044" s="35" t="s">
        <v>483</v>
      </c>
    </row>
    <row r="4045" spans="1:8">
      <c r="A4045" s="34">
        <v>2084030269</v>
      </c>
      <c r="B4045" s="35" t="s">
        <v>462</v>
      </c>
      <c r="C4045" s="35" t="s">
        <v>405</v>
      </c>
      <c r="D4045" s="35" t="s">
        <v>1022</v>
      </c>
      <c r="E4045" s="35" t="s">
        <v>1027</v>
      </c>
      <c r="F4045" s="35" t="s">
        <v>353</v>
      </c>
      <c r="G4045" s="35" t="s">
        <v>493</v>
      </c>
    </row>
    <row r="4046" spans="1:8">
      <c r="A4046" s="34">
        <v>2084031363</v>
      </c>
      <c r="B4046" s="35" t="s">
        <v>462</v>
      </c>
      <c r="C4046" s="35" t="s">
        <v>405</v>
      </c>
      <c r="D4046" s="35" t="s">
        <v>1022</v>
      </c>
      <c r="E4046" s="35" t="s">
        <v>1027</v>
      </c>
      <c r="F4046" s="35" t="s">
        <v>353</v>
      </c>
      <c r="G4046" s="35" t="s">
        <v>494</v>
      </c>
    </row>
    <row r="4047" spans="1:8">
      <c r="A4047" s="34">
        <v>2084031511</v>
      </c>
      <c r="B4047" s="35" t="s">
        <v>462</v>
      </c>
      <c r="C4047" s="35" t="s">
        <v>405</v>
      </c>
      <c r="D4047" s="35" t="s">
        <v>1022</v>
      </c>
      <c r="E4047" s="35" t="s">
        <v>1027</v>
      </c>
      <c r="F4047" s="35" t="s">
        <v>353</v>
      </c>
      <c r="G4047" s="35" t="s">
        <v>397</v>
      </c>
    </row>
    <row r="4048" spans="1:8">
      <c r="A4048" s="34">
        <v>2084221869</v>
      </c>
      <c r="B4048" s="35" t="s">
        <v>462</v>
      </c>
      <c r="C4048" s="35" t="s">
        <v>405</v>
      </c>
      <c r="D4048" s="35" t="s">
        <v>1022</v>
      </c>
      <c r="E4048" s="35" t="s">
        <v>1027</v>
      </c>
      <c r="F4048" s="35" t="s">
        <v>353</v>
      </c>
      <c r="G4048" s="35" t="s">
        <v>887</v>
      </c>
      <c r="H4048" s="35" t="s">
        <v>391</v>
      </c>
    </row>
    <row r="4049" spans="1:8">
      <c r="A4049" s="34">
        <v>2084221870</v>
      </c>
      <c r="B4049" s="35" t="s">
        <v>462</v>
      </c>
      <c r="C4049" s="35" t="s">
        <v>405</v>
      </c>
      <c r="D4049" s="35" t="s">
        <v>1022</v>
      </c>
      <c r="E4049" s="35" t="s">
        <v>1027</v>
      </c>
      <c r="F4049" s="35" t="s">
        <v>353</v>
      </c>
      <c r="G4049" s="35" t="s">
        <v>887</v>
      </c>
      <c r="H4049" s="35" t="s">
        <v>392</v>
      </c>
    </row>
    <row r="4050" spans="1:8">
      <c r="A4050" s="34">
        <v>2084221871</v>
      </c>
      <c r="B4050" s="35" t="s">
        <v>462</v>
      </c>
      <c r="C4050" s="35" t="s">
        <v>405</v>
      </c>
      <c r="D4050" s="35" t="s">
        <v>1022</v>
      </c>
      <c r="E4050" s="35" t="s">
        <v>1027</v>
      </c>
      <c r="F4050" s="35" t="s">
        <v>353</v>
      </c>
      <c r="G4050" s="35" t="s">
        <v>887</v>
      </c>
      <c r="H4050" s="35" t="s">
        <v>375</v>
      </c>
    </row>
    <row r="4051" spans="1:8">
      <c r="A4051" s="34">
        <v>2084221872</v>
      </c>
      <c r="B4051" s="35" t="s">
        <v>462</v>
      </c>
      <c r="C4051" s="35" t="s">
        <v>405</v>
      </c>
      <c r="D4051" s="35" t="s">
        <v>1022</v>
      </c>
      <c r="E4051" s="35" t="s">
        <v>1027</v>
      </c>
      <c r="F4051" s="35" t="s">
        <v>353</v>
      </c>
      <c r="G4051" s="35" t="s">
        <v>887</v>
      </c>
      <c r="H4051" s="35" t="s">
        <v>376</v>
      </c>
    </row>
    <row r="4052" spans="1:8">
      <c r="A4052" s="34">
        <v>2084221873</v>
      </c>
      <c r="B4052" s="35" t="s">
        <v>462</v>
      </c>
      <c r="C4052" s="35" t="s">
        <v>405</v>
      </c>
      <c r="D4052" s="35" t="s">
        <v>1022</v>
      </c>
      <c r="E4052" s="35" t="s">
        <v>1027</v>
      </c>
      <c r="F4052" s="35" t="s">
        <v>353</v>
      </c>
      <c r="G4052" s="35" t="s">
        <v>887</v>
      </c>
      <c r="H4052" s="35" t="s">
        <v>377</v>
      </c>
    </row>
    <row r="4053" spans="1:8">
      <c r="A4053" s="34">
        <v>2084224722</v>
      </c>
      <c r="B4053" s="35" t="s">
        <v>462</v>
      </c>
      <c r="C4053" s="35" t="s">
        <v>405</v>
      </c>
      <c r="D4053" s="35" t="s">
        <v>1022</v>
      </c>
      <c r="E4053" s="35" t="s">
        <v>1027</v>
      </c>
      <c r="F4053" s="35" t="s">
        <v>353</v>
      </c>
      <c r="G4053" s="35" t="s">
        <v>378</v>
      </c>
      <c r="H4053" s="35" t="s">
        <v>1028</v>
      </c>
    </row>
    <row r="4054" spans="1:8">
      <c r="A4054" s="34">
        <v>2084224723</v>
      </c>
      <c r="B4054" s="35" t="s">
        <v>462</v>
      </c>
      <c r="C4054" s="35" t="s">
        <v>405</v>
      </c>
      <c r="D4054" s="35" t="s">
        <v>1022</v>
      </c>
      <c r="E4054" s="35" t="s">
        <v>1027</v>
      </c>
      <c r="F4054" s="35" t="s">
        <v>353</v>
      </c>
      <c r="G4054" s="35" t="s">
        <v>378</v>
      </c>
      <c r="H4054" s="35" t="s">
        <v>1029</v>
      </c>
    </row>
    <row r="4055" spans="1:8">
      <c r="A4055" s="34">
        <v>2084224724</v>
      </c>
      <c r="B4055" s="35" t="s">
        <v>462</v>
      </c>
      <c r="C4055" s="35" t="s">
        <v>405</v>
      </c>
      <c r="D4055" s="35" t="s">
        <v>1022</v>
      </c>
      <c r="E4055" s="35" t="s">
        <v>1027</v>
      </c>
      <c r="F4055" s="35" t="s">
        <v>353</v>
      </c>
      <c r="G4055" s="35" t="s">
        <v>378</v>
      </c>
      <c r="H4055" s="35" t="s">
        <v>1030</v>
      </c>
    </row>
    <row r="4056" spans="1:8">
      <c r="A4056" s="34">
        <v>2084224725</v>
      </c>
      <c r="B4056" s="35" t="s">
        <v>462</v>
      </c>
      <c r="C4056" s="35" t="s">
        <v>405</v>
      </c>
      <c r="D4056" s="35" t="s">
        <v>1022</v>
      </c>
      <c r="E4056" s="35" t="s">
        <v>1027</v>
      </c>
      <c r="F4056" s="35" t="s">
        <v>353</v>
      </c>
      <c r="G4056" s="35" t="s">
        <v>378</v>
      </c>
      <c r="H4056" s="35" t="s">
        <v>1031</v>
      </c>
    </row>
    <row r="4057" spans="1:8">
      <c r="A4057" s="34">
        <v>2084030358</v>
      </c>
      <c r="B4057" s="35" t="s">
        <v>462</v>
      </c>
      <c r="C4057" s="35" t="s">
        <v>405</v>
      </c>
      <c r="D4057" s="35" t="s">
        <v>1022</v>
      </c>
      <c r="E4057" s="35" t="s">
        <v>1027</v>
      </c>
      <c r="F4057" s="35" t="s">
        <v>353</v>
      </c>
      <c r="G4057" s="35" t="s">
        <v>422</v>
      </c>
    </row>
    <row r="4058" spans="1:8">
      <c r="A4058" s="34">
        <v>2084051031</v>
      </c>
      <c r="B4058" s="35" t="s">
        <v>462</v>
      </c>
      <c r="C4058" s="35" t="s">
        <v>405</v>
      </c>
      <c r="D4058" s="35" t="s">
        <v>1022</v>
      </c>
      <c r="E4058" s="35" t="s">
        <v>1027</v>
      </c>
      <c r="F4058" s="35" t="s">
        <v>353</v>
      </c>
      <c r="G4058" s="35" t="s">
        <v>403</v>
      </c>
    </row>
    <row r="4059" spans="1:8">
      <c r="A4059" s="34">
        <v>2084048688</v>
      </c>
      <c r="B4059" s="35" t="s">
        <v>462</v>
      </c>
      <c r="C4059" s="35" t="s">
        <v>405</v>
      </c>
      <c r="D4059" s="35" t="s">
        <v>1022</v>
      </c>
      <c r="E4059" s="35" t="s">
        <v>1027</v>
      </c>
      <c r="F4059" s="35" t="s">
        <v>335</v>
      </c>
    </row>
    <row r="4060" spans="1:8">
      <c r="A4060" s="34">
        <v>2084252946</v>
      </c>
      <c r="B4060" s="35" t="s">
        <v>462</v>
      </c>
      <c r="C4060" s="35" t="s">
        <v>405</v>
      </c>
      <c r="D4060" s="35" t="s">
        <v>1022</v>
      </c>
      <c r="E4060" s="35" t="s">
        <v>1032</v>
      </c>
    </row>
    <row r="4061" spans="1:8">
      <c r="A4061" s="34">
        <v>2084208345</v>
      </c>
      <c r="B4061" s="35" t="s">
        <v>462</v>
      </c>
      <c r="C4061" s="35" t="s">
        <v>405</v>
      </c>
      <c r="D4061" s="35" t="s">
        <v>1022</v>
      </c>
      <c r="E4061" s="35" t="s">
        <v>1033</v>
      </c>
      <c r="F4061" s="35" t="s">
        <v>390</v>
      </c>
      <c r="G4061" s="35" t="s">
        <v>367</v>
      </c>
    </row>
    <row r="4062" spans="1:8">
      <c r="A4062" s="34">
        <v>2084208348</v>
      </c>
      <c r="B4062" s="35" t="s">
        <v>462</v>
      </c>
      <c r="C4062" s="35" t="s">
        <v>405</v>
      </c>
      <c r="D4062" s="35" t="s">
        <v>1022</v>
      </c>
      <c r="E4062" s="35" t="s">
        <v>1033</v>
      </c>
      <c r="F4062" s="35" t="s">
        <v>390</v>
      </c>
      <c r="G4062" s="35" t="s">
        <v>368</v>
      </c>
      <c r="H4062" s="35" t="s">
        <v>481</v>
      </c>
    </row>
    <row r="4063" spans="1:8">
      <c r="A4063" s="34">
        <v>2084208347</v>
      </c>
      <c r="B4063" s="35" t="s">
        <v>462</v>
      </c>
      <c r="C4063" s="35" t="s">
        <v>405</v>
      </c>
      <c r="D4063" s="35" t="s">
        <v>1022</v>
      </c>
      <c r="E4063" s="35" t="s">
        <v>1033</v>
      </c>
      <c r="F4063" s="35" t="s">
        <v>390</v>
      </c>
      <c r="G4063" s="35" t="s">
        <v>368</v>
      </c>
      <c r="H4063" s="35" t="s">
        <v>482</v>
      </c>
    </row>
    <row r="4064" spans="1:8">
      <c r="A4064" s="34">
        <v>2084208349</v>
      </c>
      <c r="B4064" s="35" t="s">
        <v>462</v>
      </c>
      <c r="C4064" s="35" t="s">
        <v>405</v>
      </c>
      <c r="D4064" s="35" t="s">
        <v>1022</v>
      </c>
      <c r="E4064" s="35" t="s">
        <v>1033</v>
      </c>
      <c r="F4064" s="35" t="s">
        <v>390</v>
      </c>
      <c r="G4064" s="35" t="s">
        <v>368</v>
      </c>
      <c r="H4064" s="35" t="s">
        <v>335</v>
      </c>
    </row>
    <row r="4065" spans="1:8">
      <c r="A4065" s="34">
        <v>2084208355</v>
      </c>
      <c r="B4065" s="35" t="s">
        <v>462</v>
      </c>
      <c r="C4065" s="35" t="s">
        <v>405</v>
      </c>
      <c r="D4065" s="35" t="s">
        <v>1022</v>
      </c>
      <c r="E4065" s="35" t="s">
        <v>1033</v>
      </c>
      <c r="F4065" s="35" t="s">
        <v>390</v>
      </c>
      <c r="G4065" s="35" t="s">
        <v>10</v>
      </c>
      <c r="H4065" s="35" t="s">
        <v>483</v>
      </c>
    </row>
    <row r="4066" spans="1:8">
      <c r="A4066" s="34">
        <v>2084208352</v>
      </c>
      <c r="B4066" s="35" t="s">
        <v>462</v>
      </c>
      <c r="C4066" s="35" t="s">
        <v>405</v>
      </c>
      <c r="D4066" s="35" t="s">
        <v>1022</v>
      </c>
      <c r="E4066" s="35" t="s">
        <v>1033</v>
      </c>
      <c r="F4066" s="35" t="s">
        <v>390</v>
      </c>
      <c r="G4066" s="35" t="s">
        <v>10</v>
      </c>
      <c r="H4066" s="35" t="s">
        <v>397</v>
      </c>
    </row>
    <row r="4067" spans="1:8">
      <c r="A4067" s="34">
        <v>2084208354</v>
      </c>
      <c r="B4067" s="35" t="s">
        <v>462</v>
      </c>
      <c r="C4067" s="35" t="s">
        <v>405</v>
      </c>
      <c r="D4067" s="35" t="s">
        <v>1022</v>
      </c>
      <c r="E4067" s="35" t="s">
        <v>1033</v>
      </c>
      <c r="F4067" s="35" t="s">
        <v>390</v>
      </c>
      <c r="G4067" s="35" t="s">
        <v>10</v>
      </c>
      <c r="H4067" s="35" t="s">
        <v>421</v>
      </c>
    </row>
    <row r="4068" spans="1:8">
      <c r="A4068" s="34">
        <v>2084208351</v>
      </c>
      <c r="B4068" s="35" t="s">
        <v>462</v>
      </c>
      <c r="C4068" s="35" t="s">
        <v>405</v>
      </c>
      <c r="D4068" s="35" t="s">
        <v>1022</v>
      </c>
      <c r="E4068" s="35" t="s">
        <v>1033</v>
      </c>
      <c r="F4068" s="35" t="s">
        <v>390</v>
      </c>
      <c r="G4068" s="35" t="s">
        <v>10</v>
      </c>
      <c r="H4068" s="35" t="s">
        <v>398</v>
      </c>
    </row>
    <row r="4069" spans="1:8">
      <c r="A4069" s="34">
        <v>2084208353</v>
      </c>
      <c r="B4069" s="35" t="s">
        <v>462</v>
      </c>
      <c r="C4069" s="35" t="s">
        <v>405</v>
      </c>
      <c r="D4069" s="35" t="s">
        <v>1022</v>
      </c>
      <c r="E4069" s="35" t="s">
        <v>1033</v>
      </c>
      <c r="F4069" s="35" t="s">
        <v>390</v>
      </c>
      <c r="G4069" s="35" t="s">
        <v>10</v>
      </c>
      <c r="H4069" s="35" t="s">
        <v>422</v>
      </c>
    </row>
    <row r="4070" spans="1:8">
      <c r="A4070" s="34">
        <v>2084208356</v>
      </c>
      <c r="B4070" s="35" t="s">
        <v>462</v>
      </c>
      <c r="C4070" s="35" t="s">
        <v>405</v>
      </c>
      <c r="D4070" s="35" t="s">
        <v>1022</v>
      </c>
      <c r="E4070" s="35" t="s">
        <v>1033</v>
      </c>
      <c r="F4070" s="35" t="s">
        <v>390</v>
      </c>
      <c r="G4070" s="35" t="s">
        <v>10</v>
      </c>
      <c r="H4070" s="35" t="s">
        <v>335</v>
      </c>
    </row>
    <row r="4071" spans="1:8">
      <c r="A4071" s="34">
        <v>2084208358</v>
      </c>
      <c r="B4071" s="35" t="s">
        <v>462</v>
      </c>
      <c r="C4071" s="35" t="s">
        <v>405</v>
      </c>
      <c r="D4071" s="35" t="s">
        <v>1022</v>
      </c>
      <c r="E4071" s="35" t="s">
        <v>1033</v>
      </c>
      <c r="F4071" s="35" t="s">
        <v>390</v>
      </c>
      <c r="G4071" s="35" t="s">
        <v>379</v>
      </c>
      <c r="H4071" s="35" t="s">
        <v>476</v>
      </c>
    </row>
    <row r="4072" spans="1:8">
      <c r="A4072" s="34">
        <v>2084208359</v>
      </c>
      <c r="B4072" s="35" t="s">
        <v>462</v>
      </c>
      <c r="C4072" s="35" t="s">
        <v>405</v>
      </c>
      <c r="D4072" s="35" t="s">
        <v>1022</v>
      </c>
      <c r="E4072" s="35" t="s">
        <v>1033</v>
      </c>
      <c r="F4072" s="35" t="s">
        <v>390</v>
      </c>
      <c r="G4072" s="35" t="s">
        <v>379</v>
      </c>
      <c r="H4072" s="35" t="s">
        <v>335</v>
      </c>
    </row>
    <row r="4073" spans="1:8">
      <c r="A4073" s="34">
        <v>2084208360</v>
      </c>
      <c r="B4073" s="35" t="s">
        <v>462</v>
      </c>
      <c r="C4073" s="35" t="s">
        <v>405</v>
      </c>
      <c r="D4073" s="35" t="s">
        <v>1022</v>
      </c>
      <c r="E4073" s="35" t="s">
        <v>1033</v>
      </c>
      <c r="F4073" s="35" t="s">
        <v>390</v>
      </c>
      <c r="G4073" s="35" t="s">
        <v>335</v>
      </c>
    </row>
    <row r="4074" spans="1:8">
      <c r="A4074" s="34">
        <v>2084208362</v>
      </c>
      <c r="B4074" s="35" t="s">
        <v>462</v>
      </c>
      <c r="C4074" s="35" t="s">
        <v>405</v>
      </c>
      <c r="D4074" s="35" t="s">
        <v>1022</v>
      </c>
      <c r="E4074" s="35" t="s">
        <v>1033</v>
      </c>
      <c r="F4074" s="35" t="s">
        <v>353</v>
      </c>
      <c r="G4074" s="35" t="s">
        <v>367</v>
      </c>
    </row>
    <row r="4075" spans="1:8">
      <c r="A4075" s="34">
        <v>2084208365</v>
      </c>
      <c r="B4075" s="35" t="s">
        <v>462</v>
      </c>
      <c r="C4075" s="35" t="s">
        <v>405</v>
      </c>
      <c r="D4075" s="35" t="s">
        <v>1022</v>
      </c>
      <c r="E4075" s="35" t="s">
        <v>1033</v>
      </c>
      <c r="F4075" s="35" t="s">
        <v>353</v>
      </c>
      <c r="G4075" s="35" t="s">
        <v>368</v>
      </c>
      <c r="H4075" s="35" t="s">
        <v>481</v>
      </c>
    </row>
    <row r="4076" spans="1:8">
      <c r="A4076" s="34">
        <v>2084208364</v>
      </c>
      <c r="B4076" s="35" t="s">
        <v>462</v>
      </c>
      <c r="C4076" s="35" t="s">
        <v>405</v>
      </c>
      <c r="D4076" s="35" t="s">
        <v>1022</v>
      </c>
      <c r="E4076" s="35" t="s">
        <v>1033</v>
      </c>
      <c r="F4076" s="35" t="s">
        <v>353</v>
      </c>
      <c r="G4076" s="35" t="s">
        <v>368</v>
      </c>
      <c r="H4076" s="35" t="s">
        <v>482</v>
      </c>
    </row>
    <row r="4077" spans="1:8">
      <c r="A4077" s="34">
        <v>2084208366</v>
      </c>
      <c r="B4077" s="35" t="s">
        <v>462</v>
      </c>
      <c r="C4077" s="35" t="s">
        <v>405</v>
      </c>
      <c r="D4077" s="35" t="s">
        <v>1022</v>
      </c>
      <c r="E4077" s="35" t="s">
        <v>1033</v>
      </c>
      <c r="F4077" s="35" t="s">
        <v>353</v>
      </c>
      <c r="G4077" s="35" t="s">
        <v>368</v>
      </c>
      <c r="H4077" s="35" t="s">
        <v>335</v>
      </c>
    </row>
    <row r="4078" spans="1:8">
      <c r="A4078" s="34">
        <v>2084208372</v>
      </c>
      <c r="B4078" s="35" t="s">
        <v>462</v>
      </c>
      <c r="C4078" s="35" t="s">
        <v>405</v>
      </c>
      <c r="D4078" s="35" t="s">
        <v>1022</v>
      </c>
      <c r="E4078" s="35" t="s">
        <v>1033</v>
      </c>
      <c r="F4078" s="35" t="s">
        <v>353</v>
      </c>
      <c r="G4078" s="35" t="s">
        <v>10</v>
      </c>
      <c r="H4078" s="35" t="s">
        <v>483</v>
      </c>
    </row>
    <row r="4079" spans="1:8">
      <c r="A4079" s="34">
        <v>2084208369</v>
      </c>
      <c r="B4079" s="35" t="s">
        <v>462</v>
      </c>
      <c r="C4079" s="35" t="s">
        <v>405</v>
      </c>
      <c r="D4079" s="35" t="s">
        <v>1022</v>
      </c>
      <c r="E4079" s="35" t="s">
        <v>1033</v>
      </c>
      <c r="F4079" s="35" t="s">
        <v>353</v>
      </c>
      <c r="G4079" s="35" t="s">
        <v>10</v>
      </c>
      <c r="H4079" s="35" t="s">
        <v>397</v>
      </c>
    </row>
    <row r="4080" spans="1:8">
      <c r="A4080" s="34">
        <v>2084208371</v>
      </c>
      <c r="B4080" s="35" t="s">
        <v>462</v>
      </c>
      <c r="C4080" s="35" t="s">
        <v>405</v>
      </c>
      <c r="D4080" s="35" t="s">
        <v>1022</v>
      </c>
      <c r="E4080" s="35" t="s">
        <v>1033</v>
      </c>
      <c r="F4080" s="35" t="s">
        <v>353</v>
      </c>
      <c r="G4080" s="35" t="s">
        <v>10</v>
      </c>
      <c r="H4080" s="35" t="s">
        <v>421</v>
      </c>
    </row>
    <row r="4081" spans="1:8">
      <c r="A4081" s="34">
        <v>2084208368</v>
      </c>
      <c r="B4081" s="35" t="s">
        <v>462</v>
      </c>
      <c r="C4081" s="35" t="s">
        <v>405</v>
      </c>
      <c r="D4081" s="35" t="s">
        <v>1022</v>
      </c>
      <c r="E4081" s="35" t="s">
        <v>1033</v>
      </c>
      <c r="F4081" s="35" t="s">
        <v>353</v>
      </c>
      <c r="G4081" s="35" t="s">
        <v>10</v>
      </c>
      <c r="H4081" s="35" t="s">
        <v>398</v>
      </c>
    </row>
    <row r="4082" spans="1:8">
      <c r="A4082" s="34">
        <v>2084208370</v>
      </c>
      <c r="B4082" s="35" t="s">
        <v>462</v>
      </c>
      <c r="C4082" s="35" t="s">
        <v>405</v>
      </c>
      <c r="D4082" s="35" t="s">
        <v>1022</v>
      </c>
      <c r="E4082" s="35" t="s">
        <v>1033</v>
      </c>
      <c r="F4082" s="35" t="s">
        <v>353</v>
      </c>
      <c r="G4082" s="35" t="s">
        <v>10</v>
      </c>
      <c r="H4082" s="35" t="s">
        <v>422</v>
      </c>
    </row>
    <row r="4083" spans="1:8">
      <c r="A4083" s="34">
        <v>2084208373</v>
      </c>
      <c r="B4083" s="35" t="s">
        <v>462</v>
      </c>
      <c r="C4083" s="35" t="s">
        <v>405</v>
      </c>
      <c r="D4083" s="35" t="s">
        <v>1022</v>
      </c>
      <c r="E4083" s="35" t="s">
        <v>1033</v>
      </c>
      <c r="F4083" s="35" t="s">
        <v>353</v>
      </c>
      <c r="G4083" s="35" t="s">
        <v>10</v>
      </c>
      <c r="H4083" s="35" t="s">
        <v>335</v>
      </c>
    </row>
    <row r="4084" spans="1:8">
      <c r="A4084" s="34">
        <v>2084208374</v>
      </c>
      <c r="B4084" s="35" t="s">
        <v>462</v>
      </c>
      <c r="C4084" s="35" t="s">
        <v>405</v>
      </c>
      <c r="D4084" s="35" t="s">
        <v>1022</v>
      </c>
      <c r="E4084" s="35" t="s">
        <v>1033</v>
      </c>
      <c r="F4084" s="35" t="s">
        <v>353</v>
      </c>
      <c r="G4084" s="35" t="s">
        <v>403</v>
      </c>
    </row>
    <row r="4085" spans="1:8">
      <c r="A4085" s="34">
        <v>2084208375</v>
      </c>
      <c r="B4085" s="35" t="s">
        <v>462</v>
      </c>
      <c r="C4085" s="35" t="s">
        <v>405</v>
      </c>
      <c r="D4085" s="35" t="s">
        <v>1022</v>
      </c>
      <c r="E4085" s="35" t="s">
        <v>1033</v>
      </c>
      <c r="F4085" s="35" t="s">
        <v>353</v>
      </c>
      <c r="G4085" s="35" t="s">
        <v>335</v>
      </c>
    </row>
    <row r="4086" spans="1:8">
      <c r="A4086" s="34">
        <v>2084208376</v>
      </c>
      <c r="B4086" s="35" t="s">
        <v>462</v>
      </c>
      <c r="C4086" s="35" t="s">
        <v>405</v>
      </c>
      <c r="D4086" s="35" t="s">
        <v>1022</v>
      </c>
      <c r="E4086" s="35" t="s">
        <v>1033</v>
      </c>
      <c r="F4086" s="35" t="s">
        <v>335</v>
      </c>
    </row>
    <row r="4087" spans="1:8">
      <c r="A4087" s="34">
        <v>2084028200</v>
      </c>
      <c r="B4087" s="35" t="s">
        <v>462</v>
      </c>
      <c r="C4087" s="35" t="s">
        <v>405</v>
      </c>
      <c r="D4087" s="35" t="s">
        <v>1022</v>
      </c>
      <c r="E4087" s="35" t="s">
        <v>1034</v>
      </c>
      <c r="F4087" s="35" t="s">
        <v>390</v>
      </c>
      <c r="G4087" s="35" t="s">
        <v>367</v>
      </c>
    </row>
    <row r="4088" spans="1:8">
      <c r="A4088" s="34">
        <v>2084028749</v>
      </c>
      <c r="B4088" s="35" t="s">
        <v>462</v>
      </c>
      <c r="C4088" s="35" t="s">
        <v>405</v>
      </c>
      <c r="D4088" s="35" t="s">
        <v>1022</v>
      </c>
      <c r="E4088" s="35" t="s">
        <v>1034</v>
      </c>
      <c r="F4088" s="35" t="s">
        <v>390</v>
      </c>
      <c r="G4088" s="35" t="s">
        <v>368</v>
      </c>
      <c r="H4088" s="35" t="s">
        <v>508</v>
      </c>
    </row>
    <row r="4089" spans="1:8">
      <c r="A4089" s="34">
        <v>2084029332</v>
      </c>
      <c r="B4089" s="35" t="s">
        <v>462</v>
      </c>
      <c r="C4089" s="35" t="s">
        <v>405</v>
      </c>
      <c r="D4089" s="35" t="s">
        <v>1022</v>
      </c>
      <c r="E4089" s="35" t="s">
        <v>1034</v>
      </c>
      <c r="F4089" s="35" t="s">
        <v>390</v>
      </c>
      <c r="G4089" s="35" t="s">
        <v>368</v>
      </c>
      <c r="H4089" s="35" t="s">
        <v>481</v>
      </c>
    </row>
    <row r="4090" spans="1:8">
      <c r="A4090" s="34">
        <v>2084029841</v>
      </c>
      <c r="B4090" s="35" t="s">
        <v>462</v>
      </c>
      <c r="C4090" s="35" t="s">
        <v>405</v>
      </c>
      <c r="D4090" s="35" t="s">
        <v>1022</v>
      </c>
      <c r="E4090" s="35" t="s">
        <v>1034</v>
      </c>
      <c r="F4090" s="35" t="s">
        <v>390</v>
      </c>
      <c r="G4090" s="35" t="s">
        <v>368</v>
      </c>
      <c r="H4090" s="35" t="s">
        <v>494</v>
      </c>
    </row>
    <row r="4091" spans="1:8">
      <c r="A4091" s="34">
        <v>2084058560</v>
      </c>
      <c r="B4091" s="35" t="s">
        <v>462</v>
      </c>
      <c r="C4091" s="35" t="s">
        <v>405</v>
      </c>
      <c r="D4091" s="35" t="s">
        <v>1022</v>
      </c>
      <c r="E4091" s="35" t="s">
        <v>1034</v>
      </c>
      <c r="F4091" s="35" t="s">
        <v>390</v>
      </c>
      <c r="G4091" s="35" t="s">
        <v>368</v>
      </c>
      <c r="H4091" s="35" t="s">
        <v>335</v>
      </c>
    </row>
    <row r="4092" spans="1:8">
      <c r="A4092" s="34">
        <v>2084027298</v>
      </c>
      <c r="B4092" s="35" t="s">
        <v>462</v>
      </c>
      <c r="C4092" s="35" t="s">
        <v>405</v>
      </c>
      <c r="D4092" s="35" t="s">
        <v>1022</v>
      </c>
      <c r="E4092" s="35" t="s">
        <v>1034</v>
      </c>
      <c r="F4092" s="35" t="s">
        <v>390</v>
      </c>
      <c r="G4092" s="35" t="s">
        <v>10</v>
      </c>
      <c r="H4092" s="35" t="s">
        <v>509</v>
      </c>
    </row>
    <row r="4093" spans="1:8">
      <c r="A4093" s="34">
        <v>2084027791</v>
      </c>
      <c r="B4093" s="35" t="s">
        <v>462</v>
      </c>
      <c r="C4093" s="35" t="s">
        <v>405</v>
      </c>
      <c r="D4093" s="35" t="s">
        <v>1022</v>
      </c>
      <c r="E4093" s="35" t="s">
        <v>1034</v>
      </c>
      <c r="F4093" s="35" t="s">
        <v>390</v>
      </c>
      <c r="G4093" s="35" t="s">
        <v>10</v>
      </c>
      <c r="H4093" s="35" t="s">
        <v>510</v>
      </c>
    </row>
    <row r="4094" spans="1:8">
      <c r="A4094" s="34">
        <v>2084027873</v>
      </c>
      <c r="B4094" s="35" t="s">
        <v>462</v>
      </c>
      <c r="C4094" s="35" t="s">
        <v>405</v>
      </c>
      <c r="D4094" s="35" t="s">
        <v>1022</v>
      </c>
      <c r="E4094" s="35" t="s">
        <v>1034</v>
      </c>
      <c r="F4094" s="35" t="s">
        <v>390</v>
      </c>
      <c r="G4094" s="35" t="s">
        <v>10</v>
      </c>
      <c r="H4094" s="35" t="s">
        <v>511</v>
      </c>
    </row>
    <row r="4095" spans="1:8">
      <c r="A4095" s="34">
        <v>2084027903</v>
      </c>
      <c r="B4095" s="35" t="s">
        <v>462</v>
      </c>
      <c r="C4095" s="35" t="s">
        <v>405</v>
      </c>
      <c r="D4095" s="35" t="s">
        <v>1022</v>
      </c>
      <c r="E4095" s="35" t="s">
        <v>1034</v>
      </c>
      <c r="F4095" s="35" t="s">
        <v>390</v>
      </c>
      <c r="G4095" s="35" t="s">
        <v>10</v>
      </c>
      <c r="H4095" s="35" t="s">
        <v>493</v>
      </c>
    </row>
    <row r="4096" spans="1:8">
      <c r="A4096" s="34">
        <v>2084027472</v>
      </c>
      <c r="B4096" s="35" t="s">
        <v>462</v>
      </c>
      <c r="C4096" s="35" t="s">
        <v>405</v>
      </c>
      <c r="D4096" s="35" t="s">
        <v>1022</v>
      </c>
      <c r="E4096" s="35" t="s">
        <v>1034</v>
      </c>
      <c r="F4096" s="35" t="s">
        <v>390</v>
      </c>
      <c r="G4096" s="35" t="s">
        <v>10</v>
      </c>
      <c r="H4096" s="35" t="s">
        <v>512</v>
      </c>
    </row>
    <row r="4097" spans="1:8">
      <c r="A4097" s="34">
        <v>2084027639</v>
      </c>
      <c r="B4097" s="35" t="s">
        <v>462</v>
      </c>
      <c r="C4097" s="35" t="s">
        <v>405</v>
      </c>
      <c r="D4097" s="35" t="s">
        <v>1022</v>
      </c>
      <c r="E4097" s="35" t="s">
        <v>1034</v>
      </c>
      <c r="F4097" s="35" t="s">
        <v>390</v>
      </c>
      <c r="G4097" s="35" t="s">
        <v>10</v>
      </c>
      <c r="H4097" s="35" t="s">
        <v>513</v>
      </c>
    </row>
    <row r="4098" spans="1:8">
      <c r="A4098" s="34">
        <v>2084027941</v>
      </c>
      <c r="B4098" s="35" t="s">
        <v>462</v>
      </c>
      <c r="C4098" s="35" t="s">
        <v>405</v>
      </c>
      <c r="D4098" s="35" t="s">
        <v>1022</v>
      </c>
      <c r="E4098" s="35" t="s">
        <v>1034</v>
      </c>
      <c r="F4098" s="35" t="s">
        <v>390</v>
      </c>
      <c r="G4098" s="35" t="s">
        <v>10</v>
      </c>
      <c r="H4098" s="35" t="s">
        <v>420</v>
      </c>
    </row>
    <row r="4099" spans="1:8">
      <c r="A4099" s="34">
        <v>2084027261</v>
      </c>
      <c r="B4099" s="35" t="s">
        <v>462</v>
      </c>
      <c r="C4099" s="35" t="s">
        <v>405</v>
      </c>
      <c r="D4099" s="35" t="s">
        <v>1022</v>
      </c>
      <c r="E4099" s="35" t="s">
        <v>1034</v>
      </c>
      <c r="F4099" s="35" t="s">
        <v>390</v>
      </c>
      <c r="G4099" s="35" t="s">
        <v>10</v>
      </c>
      <c r="H4099" s="35" t="s">
        <v>514</v>
      </c>
    </row>
    <row r="4100" spans="1:8">
      <c r="A4100" s="34">
        <v>2084027437</v>
      </c>
      <c r="B4100" s="35" t="s">
        <v>462</v>
      </c>
      <c r="C4100" s="35" t="s">
        <v>405</v>
      </c>
      <c r="D4100" s="35" t="s">
        <v>1022</v>
      </c>
      <c r="E4100" s="35" t="s">
        <v>1034</v>
      </c>
      <c r="F4100" s="35" t="s">
        <v>390</v>
      </c>
      <c r="G4100" s="35" t="s">
        <v>10</v>
      </c>
      <c r="H4100" s="35" t="s">
        <v>515</v>
      </c>
    </row>
    <row r="4101" spans="1:8">
      <c r="A4101" s="34">
        <v>2084027506</v>
      </c>
      <c r="B4101" s="35" t="s">
        <v>462</v>
      </c>
      <c r="C4101" s="35" t="s">
        <v>405</v>
      </c>
      <c r="D4101" s="35" t="s">
        <v>1022</v>
      </c>
      <c r="E4101" s="35" t="s">
        <v>1034</v>
      </c>
      <c r="F4101" s="35" t="s">
        <v>390</v>
      </c>
      <c r="G4101" s="35" t="s">
        <v>10</v>
      </c>
      <c r="H4101" s="35" t="s">
        <v>421</v>
      </c>
    </row>
    <row r="4102" spans="1:8">
      <c r="A4102" s="34">
        <v>2084027717</v>
      </c>
      <c r="B4102" s="35" t="s">
        <v>462</v>
      </c>
      <c r="C4102" s="35" t="s">
        <v>405</v>
      </c>
      <c r="D4102" s="35" t="s">
        <v>1022</v>
      </c>
      <c r="E4102" s="35" t="s">
        <v>1034</v>
      </c>
      <c r="F4102" s="35" t="s">
        <v>390</v>
      </c>
      <c r="G4102" s="35" t="s">
        <v>10</v>
      </c>
      <c r="H4102" s="35" t="s">
        <v>516</v>
      </c>
    </row>
    <row r="4103" spans="1:8">
      <c r="A4103" s="34">
        <v>2084027234</v>
      </c>
      <c r="B4103" s="35" t="s">
        <v>462</v>
      </c>
      <c r="C4103" s="35" t="s">
        <v>405</v>
      </c>
      <c r="D4103" s="35" t="s">
        <v>1022</v>
      </c>
      <c r="E4103" s="35" t="s">
        <v>1034</v>
      </c>
      <c r="F4103" s="35" t="s">
        <v>390</v>
      </c>
      <c r="G4103" s="35" t="s">
        <v>10</v>
      </c>
      <c r="H4103" s="35" t="s">
        <v>517</v>
      </c>
    </row>
    <row r="4104" spans="1:8">
      <c r="A4104" s="34">
        <v>2084027372</v>
      </c>
      <c r="B4104" s="35" t="s">
        <v>462</v>
      </c>
      <c r="C4104" s="35" t="s">
        <v>405</v>
      </c>
      <c r="D4104" s="35" t="s">
        <v>1022</v>
      </c>
      <c r="E4104" s="35" t="s">
        <v>1034</v>
      </c>
      <c r="F4104" s="35" t="s">
        <v>390</v>
      </c>
      <c r="G4104" s="35" t="s">
        <v>10</v>
      </c>
      <c r="H4104" s="35" t="s">
        <v>518</v>
      </c>
    </row>
    <row r="4105" spans="1:8">
      <c r="A4105" s="34">
        <v>2084027544</v>
      </c>
      <c r="B4105" s="35" t="s">
        <v>462</v>
      </c>
      <c r="C4105" s="35" t="s">
        <v>405</v>
      </c>
      <c r="D4105" s="35" t="s">
        <v>1022</v>
      </c>
      <c r="E4105" s="35" t="s">
        <v>1034</v>
      </c>
      <c r="F4105" s="35" t="s">
        <v>390</v>
      </c>
      <c r="G4105" s="35" t="s">
        <v>10</v>
      </c>
      <c r="H4105" s="35" t="s">
        <v>422</v>
      </c>
    </row>
    <row r="4106" spans="1:8">
      <c r="A4106" s="34">
        <v>2084027767</v>
      </c>
      <c r="B4106" s="35" t="s">
        <v>462</v>
      </c>
      <c r="C4106" s="35" t="s">
        <v>405</v>
      </c>
      <c r="D4106" s="35" t="s">
        <v>1022</v>
      </c>
      <c r="E4106" s="35" t="s">
        <v>1034</v>
      </c>
      <c r="F4106" s="35" t="s">
        <v>390</v>
      </c>
      <c r="G4106" s="35" t="s">
        <v>10</v>
      </c>
      <c r="H4106" s="35" t="s">
        <v>519</v>
      </c>
    </row>
    <row r="4107" spans="1:8">
      <c r="A4107" s="34">
        <v>2084028005</v>
      </c>
      <c r="B4107" s="35" t="s">
        <v>462</v>
      </c>
      <c r="C4107" s="35" t="s">
        <v>405</v>
      </c>
      <c r="D4107" s="35" t="s">
        <v>1022</v>
      </c>
      <c r="E4107" s="35" t="s">
        <v>1034</v>
      </c>
      <c r="F4107" s="35" t="s">
        <v>390</v>
      </c>
      <c r="G4107" s="35" t="s">
        <v>379</v>
      </c>
      <c r="H4107" s="35" t="s">
        <v>520</v>
      </c>
    </row>
    <row r="4108" spans="1:8">
      <c r="A4108" s="34">
        <v>2084028078</v>
      </c>
      <c r="B4108" s="35" t="s">
        <v>462</v>
      </c>
      <c r="C4108" s="35" t="s">
        <v>405</v>
      </c>
      <c r="D4108" s="35" t="s">
        <v>1022</v>
      </c>
      <c r="E4108" s="35" t="s">
        <v>1034</v>
      </c>
      <c r="F4108" s="35" t="s">
        <v>390</v>
      </c>
      <c r="G4108" s="35" t="s">
        <v>379</v>
      </c>
      <c r="H4108" s="35" t="s">
        <v>521</v>
      </c>
    </row>
    <row r="4109" spans="1:8">
      <c r="A4109" s="34">
        <v>2084028178</v>
      </c>
      <c r="B4109" s="35" t="s">
        <v>462</v>
      </c>
      <c r="C4109" s="35" t="s">
        <v>405</v>
      </c>
      <c r="D4109" s="35" t="s">
        <v>1022</v>
      </c>
      <c r="E4109" s="35" t="s">
        <v>1034</v>
      </c>
      <c r="F4109" s="35" t="s">
        <v>390</v>
      </c>
      <c r="G4109" s="35" t="s">
        <v>379</v>
      </c>
      <c r="H4109" s="35" t="s">
        <v>522</v>
      </c>
    </row>
    <row r="4110" spans="1:8">
      <c r="A4110" s="34">
        <v>2084028418</v>
      </c>
      <c r="B4110" s="35" t="s">
        <v>462</v>
      </c>
      <c r="C4110" s="35" t="s">
        <v>405</v>
      </c>
      <c r="D4110" s="35" t="s">
        <v>1022</v>
      </c>
      <c r="E4110" s="35" t="s">
        <v>1034</v>
      </c>
      <c r="F4110" s="35" t="s">
        <v>390</v>
      </c>
      <c r="G4110" s="35" t="s">
        <v>379</v>
      </c>
      <c r="H4110" s="35" t="s">
        <v>523</v>
      </c>
    </row>
    <row r="4111" spans="1:8">
      <c r="A4111" s="34">
        <v>2084028117</v>
      </c>
      <c r="B4111" s="35" t="s">
        <v>462</v>
      </c>
      <c r="C4111" s="35" t="s">
        <v>405</v>
      </c>
      <c r="D4111" s="35" t="s">
        <v>1022</v>
      </c>
      <c r="E4111" s="35" t="s">
        <v>1034</v>
      </c>
      <c r="F4111" s="35" t="s">
        <v>390</v>
      </c>
      <c r="G4111" s="35" t="s">
        <v>379</v>
      </c>
      <c r="H4111" s="35" t="s">
        <v>524</v>
      </c>
    </row>
    <row r="4112" spans="1:8">
      <c r="A4112" s="34">
        <v>2084028283</v>
      </c>
      <c r="B4112" s="35" t="s">
        <v>462</v>
      </c>
      <c r="C4112" s="35" t="s">
        <v>405</v>
      </c>
      <c r="D4112" s="35" t="s">
        <v>1022</v>
      </c>
      <c r="E4112" s="35" t="s">
        <v>1034</v>
      </c>
      <c r="F4112" s="35" t="s">
        <v>390</v>
      </c>
      <c r="G4112" s="35" t="s">
        <v>379</v>
      </c>
      <c r="H4112" s="35" t="s">
        <v>525</v>
      </c>
    </row>
    <row r="4113" spans="1:8">
      <c r="A4113" s="34">
        <v>2084028485</v>
      </c>
      <c r="B4113" s="35" t="s">
        <v>462</v>
      </c>
      <c r="C4113" s="35" t="s">
        <v>405</v>
      </c>
      <c r="D4113" s="35" t="s">
        <v>1022</v>
      </c>
      <c r="E4113" s="35" t="s">
        <v>1034</v>
      </c>
      <c r="F4113" s="35" t="s">
        <v>390</v>
      </c>
      <c r="G4113" s="35" t="s">
        <v>379</v>
      </c>
      <c r="H4113" s="35" t="s">
        <v>526</v>
      </c>
    </row>
    <row r="4114" spans="1:8">
      <c r="A4114" s="34">
        <v>2084028308</v>
      </c>
      <c r="B4114" s="35" t="s">
        <v>462</v>
      </c>
      <c r="C4114" s="35" t="s">
        <v>405</v>
      </c>
      <c r="D4114" s="35" t="s">
        <v>1022</v>
      </c>
      <c r="E4114" s="35" t="s">
        <v>1034</v>
      </c>
      <c r="F4114" s="35" t="s">
        <v>390</v>
      </c>
      <c r="G4114" s="35" t="s">
        <v>379</v>
      </c>
      <c r="H4114" s="35" t="s">
        <v>527</v>
      </c>
    </row>
    <row r="4115" spans="1:8">
      <c r="A4115" s="34">
        <v>2084028520</v>
      </c>
      <c r="B4115" s="35" t="s">
        <v>462</v>
      </c>
      <c r="C4115" s="35" t="s">
        <v>405</v>
      </c>
      <c r="D4115" s="35" t="s">
        <v>1022</v>
      </c>
      <c r="E4115" s="35" t="s">
        <v>1034</v>
      </c>
      <c r="F4115" s="35" t="s">
        <v>390</v>
      </c>
      <c r="G4115" s="35" t="s">
        <v>379</v>
      </c>
      <c r="H4115" s="35" t="s">
        <v>528</v>
      </c>
    </row>
    <row r="4116" spans="1:8">
      <c r="A4116" s="34">
        <v>2084028346</v>
      </c>
      <c r="B4116" s="35" t="s">
        <v>462</v>
      </c>
      <c r="C4116" s="35" t="s">
        <v>405</v>
      </c>
      <c r="D4116" s="35" t="s">
        <v>1022</v>
      </c>
      <c r="E4116" s="35" t="s">
        <v>1034</v>
      </c>
      <c r="F4116" s="35" t="s">
        <v>390</v>
      </c>
      <c r="G4116" s="35" t="s">
        <v>379</v>
      </c>
      <c r="H4116" s="35" t="s">
        <v>529</v>
      </c>
    </row>
    <row r="4117" spans="1:8">
      <c r="A4117" s="34">
        <v>2084058563</v>
      </c>
      <c r="B4117" s="35" t="s">
        <v>462</v>
      </c>
      <c r="C4117" s="35" t="s">
        <v>405</v>
      </c>
      <c r="D4117" s="35" t="s">
        <v>1022</v>
      </c>
      <c r="E4117" s="35" t="s">
        <v>1034</v>
      </c>
      <c r="F4117" s="35" t="s">
        <v>390</v>
      </c>
      <c r="G4117" s="35" t="s">
        <v>379</v>
      </c>
      <c r="H4117" s="35" t="s">
        <v>335</v>
      </c>
    </row>
    <row r="4118" spans="1:8">
      <c r="A4118" s="34">
        <v>2084028560</v>
      </c>
      <c r="B4118" s="35" t="s">
        <v>462</v>
      </c>
      <c r="C4118" s="35" t="s">
        <v>405</v>
      </c>
      <c r="D4118" s="35" t="s">
        <v>1022</v>
      </c>
      <c r="E4118" s="35" t="s">
        <v>1034</v>
      </c>
      <c r="F4118" s="35" t="s">
        <v>390</v>
      </c>
      <c r="G4118" s="35" t="s">
        <v>530</v>
      </c>
      <c r="H4118" s="35" t="s">
        <v>531</v>
      </c>
    </row>
    <row r="4119" spans="1:8">
      <c r="A4119" s="34">
        <v>2084028598</v>
      </c>
      <c r="B4119" s="35" t="s">
        <v>462</v>
      </c>
      <c r="C4119" s="35" t="s">
        <v>405</v>
      </c>
      <c r="D4119" s="35" t="s">
        <v>1022</v>
      </c>
      <c r="E4119" s="35" t="s">
        <v>1034</v>
      </c>
      <c r="F4119" s="35" t="s">
        <v>390</v>
      </c>
      <c r="G4119" s="35" t="s">
        <v>530</v>
      </c>
      <c r="H4119" s="35" t="s">
        <v>532</v>
      </c>
    </row>
    <row r="4120" spans="1:8">
      <c r="A4120" s="34">
        <v>2084030098</v>
      </c>
      <c r="B4120" s="35" t="s">
        <v>462</v>
      </c>
      <c r="C4120" s="35" t="s">
        <v>405</v>
      </c>
      <c r="D4120" s="35" t="s">
        <v>1022</v>
      </c>
      <c r="E4120" s="35" t="s">
        <v>1034</v>
      </c>
      <c r="F4120" s="35" t="s">
        <v>390</v>
      </c>
      <c r="G4120" s="35" t="s">
        <v>533</v>
      </c>
      <c r="H4120" s="35" t="s">
        <v>534</v>
      </c>
    </row>
    <row r="4121" spans="1:8">
      <c r="A4121" s="34">
        <v>2084030180</v>
      </c>
      <c r="B4121" s="35" t="s">
        <v>462</v>
      </c>
      <c r="C4121" s="35" t="s">
        <v>405</v>
      </c>
      <c r="D4121" s="35" t="s">
        <v>1022</v>
      </c>
      <c r="E4121" s="35" t="s">
        <v>1034</v>
      </c>
      <c r="F4121" s="35" t="s">
        <v>390</v>
      </c>
      <c r="G4121" s="35" t="s">
        <v>533</v>
      </c>
      <c r="H4121" s="35" t="s">
        <v>535</v>
      </c>
    </row>
    <row r="4122" spans="1:8">
      <c r="A4122" s="34">
        <v>2084027172</v>
      </c>
      <c r="B4122" s="35" t="s">
        <v>462</v>
      </c>
      <c r="C4122" s="35" t="s">
        <v>405</v>
      </c>
      <c r="D4122" s="35" t="s">
        <v>1022</v>
      </c>
      <c r="E4122" s="35" t="s">
        <v>1034</v>
      </c>
      <c r="F4122" s="35" t="s">
        <v>390</v>
      </c>
      <c r="G4122" s="35" t="s">
        <v>533</v>
      </c>
      <c r="H4122" s="35" t="s">
        <v>536</v>
      </c>
    </row>
    <row r="4123" spans="1:8">
      <c r="A4123" s="34">
        <v>2084051032</v>
      </c>
      <c r="B4123" s="35" t="s">
        <v>462</v>
      </c>
      <c r="C4123" s="35" t="s">
        <v>405</v>
      </c>
      <c r="D4123" s="35" t="s">
        <v>1022</v>
      </c>
      <c r="E4123" s="35" t="s">
        <v>1034</v>
      </c>
      <c r="F4123" s="35" t="s">
        <v>390</v>
      </c>
      <c r="G4123" s="35" t="s">
        <v>335</v>
      </c>
    </row>
    <row r="4124" spans="1:8">
      <c r="A4124" s="34">
        <v>2084030720</v>
      </c>
      <c r="B4124" s="35" t="s">
        <v>462</v>
      </c>
      <c r="C4124" s="35" t="s">
        <v>405</v>
      </c>
      <c r="D4124" s="35" t="s">
        <v>1022</v>
      </c>
      <c r="E4124" s="35" t="s">
        <v>1034</v>
      </c>
      <c r="F4124" s="35" t="s">
        <v>353</v>
      </c>
      <c r="G4124" s="35" t="s">
        <v>481</v>
      </c>
    </row>
    <row r="4125" spans="1:8">
      <c r="A4125" s="34">
        <v>2084031618</v>
      </c>
      <c r="B4125" s="35" t="s">
        <v>462</v>
      </c>
      <c r="C4125" s="35" t="s">
        <v>405</v>
      </c>
      <c r="D4125" s="35" t="s">
        <v>1022</v>
      </c>
      <c r="E4125" s="35" t="s">
        <v>1034</v>
      </c>
      <c r="F4125" s="35" t="s">
        <v>353</v>
      </c>
      <c r="G4125" s="35" t="s">
        <v>483</v>
      </c>
    </row>
    <row r="4126" spans="1:8">
      <c r="A4126" s="34">
        <v>2084031453</v>
      </c>
      <c r="B4126" s="35" t="s">
        <v>462</v>
      </c>
      <c r="C4126" s="35" t="s">
        <v>405</v>
      </c>
      <c r="D4126" s="35" t="s">
        <v>1022</v>
      </c>
      <c r="E4126" s="35" t="s">
        <v>1034</v>
      </c>
      <c r="F4126" s="35" t="s">
        <v>353</v>
      </c>
      <c r="G4126" s="35" t="s">
        <v>482</v>
      </c>
    </row>
    <row r="4127" spans="1:8">
      <c r="A4127" s="34">
        <v>2084030270</v>
      </c>
      <c r="B4127" s="35" t="s">
        <v>462</v>
      </c>
      <c r="C4127" s="35" t="s">
        <v>405</v>
      </c>
      <c r="D4127" s="35" t="s">
        <v>1022</v>
      </c>
      <c r="E4127" s="35" t="s">
        <v>1034</v>
      </c>
      <c r="F4127" s="35" t="s">
        <v>353</v>
      </c>
      <c r="G4127" s="35" t="s">
        <v>493</v>
      </c>
    </row>
    <row r="4128" spans="1:8">
      <c r="A4128" s="34">
        <v>2084037260</v>
      </c>
      <c r="B4128" s="35" t="s">
        <v>462</v>
      </c>
      <c r="C4128" s="35" t="s">
        <v>405</v>
      </c>
      <c r="D4128" s="35" t="s">
        <v>1022</v>
      </c>
      <c r="E4128" s="35" t="s">
        <v>1034</v>
      </c>
      <c r="F4128" s="35" t="s">
        <v>353</v>
      </c>
      <c r="G4128" s="35" t="s">
        <v>494</v>
      </c>
    </row>
    <row r="4129" spans="1:7">
      <c r="A4129" s="34">
        <v>2084051033</v>
      </c>
      <c r="B4129" s="35" t="s">
        <v>462</v>
      </c>
      <c r="C4129" s="35" t="s">
        <v>405</v>
      </c>
      <c r="D4129" s="35" t="s">
        <v>1022</v>
      </c>
      <c r="E4129" s="35" t="s">
        <v>1034</v>
      </c>
      <c r="F4129" s="35" t="s">
        <v>353</v>
      </c>
      <c r="G4129" s="35" t="s">
        <v>403</v>
      </c>
    </row>
    <row r="4130" spans="1:7">
      <c r="A4130" s="34">
        <v>2084031512</v>
      </c>
      <c r="B4130" s="35" t="s">
        <v>462</v>
      </c>
      <c r="C4130" s="35" t="s">
        <v>405</v>
      </c>
      <c r="D4130" s="35" t="s">
        <v>1022</v>
      </c>
      <c r="E4130" s="35" t="s">
        <v>1034</v>
      </c>
      <c r="F4130" s="35" t="s">
        <v>353</v>
      </c>
      <c r="G4130" s="35" t="s">
        <v>397</v>
      </c>
    </row>
    <row r="4131" spans="1:7">
      <c r="A4131" s="34">
        <v>2084030375</v>
      </c>
      <c r="B4131" s="35" t="s">
        <v>462</v>
      </c>
      <c r="C4131" s="35" t="s">
        <v>405</v>
      </c>
      <c r="D4131" s="35" t="s">
        <v>1022</v>
      </c>
      <c r="E4131" s="35" t="s">
        <v>1034</v>
      </c>
      <c r="F4131" s="35" t="s">
        <v>353</v>
      </c>
      <c r="G4131" s="35" t="s">
        <v>421</v>
      </c>
    </row>
    <row r="4132" spans="1:7">
      <c r="A4132" s="34">
        <v>2084031540</v>
      </c>
      <c r="B4132" s="35" t="s">
        <v>462</v>
      </c>
      <c r="C4132" s="35" t="s">
        <v>405</v>
      </c>
      <c r="D4132" s="35" t="s">
        <v>1022</v>
      </c>
      <c r="E4132" s="35" t="s">
        <v>1034</v>
      </c>
      <c r="F4132" s="35" t="s">
        <v>353</v>
      </c>
      <c r="G4132" s="35" t="s">
        <v>398</v>
      </c>
    </row>
    <row r="4133" spans="1:7">
      <c r="A4133" s="34">
        <v>2084030359</v>
      </c>
      <c r="B4133" s="35" t="s">
        <v>462</v>
      </c>
      <c r="C4133" s="35" t="s">
        <v>405</v>
      </c>
      <c r="D4133" s="35" t="s">
        <v>1022</v>
      </c>
      <c r="E4133" s="35" t="s">
        <v>1034</v>
      </c>
      <c r="F4133" s="35" t="s">
        <v>353</v>
      </c>
      <c r="G4133" s="35" t="s">
        <v>422</v>
      </c>
    </row>
    <row r="4134" spans="1:7">
      <c r="A4134" s="34">
        <v>2084051034</v>
      </c>
      <c r="B4134" s="35" t="s">
        <v>462</v>
      </c>
      <c r="C4134" s="35" t="s">
        <v>405</v>
      </c>
      <c r="D4134" s="35" t="s">
        <v>1022</v>
      </c>
      <c r="E4134" s="35" t="s">
        <v>1034</v>
      </c>
      <c r="F4134" s="35" t="s">
        <v>353</v>
      </c>
      <c r="G4134" s="35" t="s">
        <v>335</v>
      </c>
    </row>
    <row r="4135" spans="1:7">
      <c r="A4135" s="34">
        <v>2084031364</v>
      </c>
      <c r="B4135" s="35" t="s">
        <v>462</v>
      </c>
      <c r="C4135" s="35" t="s">
        <v>405</v>
      </c>
      <c r="D4135" s="35" t="s">
        <v>1022</v>
      </c>
      <c r="E4135" s="35" t="s">
        <v>1034</v>
      </c>
      <c r="F4135" s="35" t="s">
        <v>442</v>
      </c>
      <c r="G4135" s="35" t="s">
        <v>569</v>
      </c>
    </row>
    <row r="4136" spans="1:7">
      <c r="A4136" s="34">
        <v>2084051035</v>
      </c>
      <c r="B4136" s="35" t="s">
        <v>462</v>
      </c>
      <c r="C4136" s="35" t="s">
        <v>405</v>
      </c>
      <c r="D4136" s="35" t="s">
        <v>1022</v>
      </c>
      <c r="E4136" s="35" t="s">
        <v>1034</v>
      </c>
      <c r="F4136" s="35" t="s">
        <v>442</v>
      </c>
      <c r="G4136" s="35" t="s">
        <v>335</v>
      </c>
    </row>
    <row r="4137" spans="1:7">
      <c r="A4137" s="34">
        <v>2084048703</v>
      </c>
      <c r="B4137" s="35" t="s">
        <v>462</v>
      </c>
      <c r="C4137" s="35" t="s">
        <v>405</v>
      </c>
      <c r="D4137" s="35" t="s">
        <v>1022</v>
      </c>
      <c r="E4137" s="35" t="s">
        <v>1034</v>
      </c>
      <c r="F4137" s="35" t="s">
        <v>335</v>
      </c>
    </row>
    <row r="4138" spans="1:7">
      <c r="A4138" s="34">
        <v>2084283239</v>
      </c>
      <c r="B4138" s="35" t="s">
        <v>462</v>
      </c>
      <c r="C4138" s="35" t="s">
        <v>405</v>
      </c>
      <c r="D4138" s="35" t="s">
        <v>1022</v>
      </c>
      <c r="E4138" s="35" t="s">
        <v>1035</v>
      </c>
    </row>
    <row r="4139" spans="1:7">
      <c r="A4139" s="34">
        <v>2084283238</v>
      </c>
      <c r="B4139" s="35" t="s">
        <v>462</v>
      </c>
      <c r="C4139" s="35" t="s">
        <v>405</v>
      </c>
      <c r="D4139" s="35" t="s">
        <v>1022</v>
      </c>
      <c r="E4139" s="35" t="s">
        <v>1036</v>
      </c>
    </row>
    <row r="4140" spans="1:7">
      <c r="A4140" s="34">
        <v>2084227618</v>
      </c>
      <c r="B4140" s="35" t="s">
        <v>462</v>
      </c>
      <c r="C4140" s="35" t="s">
        <v>405</v>
      </c>
      <c r="D4140" s="35" t="s">
        <v>1022</v>
      </c>
      <c r="E4140" s="35" t="s">
        <v>1037</v>
      </c>
    </row>
    <row r="4141" spans="1:7">
      <c r="A4141" s="34">
        <v>2084227432</v>
      </c>
      <c r="B4141" s="35" t="s">
        <v>462</v>
      </c>
      <c r="C4141" s="35" t="s">
        <v>405</v>
      </c>
      <c r="D4141" s="35" t="s">
        <v>1022</v>
      </c>
      <c r="E4141" s="35" t="s">
        <v>1038</v>
      </c>
      <c r="F4141" s="35" t="s">
        <v>353</v>
      </c>
      <c r="G4141" s="35" t="s">
        <v>367</v>
      </c>
    </row>
    <row r="4142" spans="1:7">
      <c r="A4142" s="34">
        <v>2084227433</v>
      </c>
      <c r="B4142" s="35" t="s">
        <v>462</v>
      </c>
      <c r="C4142" s="35" t="s">
        <v>405</v>
      </c>
      <c r="D4142" s="35" t="s">
        <v>1022</v>
      </c>
      <c r="E4142" s="35" t="s">
        <v>1038</v>
      </c>
      <c r="F4142" s="35" t="s">
        <v>353</v>
      </c>
      <c r="G4142" s="35" t="s">
        <v>401</v>
      </c>
    </row>
    <row r="4143" spans="1:7">
      <c r="A4143" s="34">
        <v>2084227434</v>
      </c>
      <c r="B4143" s="35" t="s">
        <v>462</v>
      </c>
      <c r="C4143" s="35" t="s">
        <v>405</v>
      </c>
      <c r="D4143" s="35" t="s">
        <v>1022</v>
      </c>
      <c r="E4143" s="35" t="s">
        <v>1038</v>
      </c>
      <c r="F4143" s="35" t="s">
        <v>353</v>
      </c>
      <c r="G4143" s="35" t="s">
        <v>402</v>
      </c>
    </row>
    <row r="4144" spans="1:7">
      <c r="A4144" s="34">
        <v>2084227435</v>
      </c>
      <c r="B4144" s="35" t="s">
        <v>462</v>
      </c>
      <c r="C4144" s="35" t="s">
        <v>405</v>
      </c>
      <c r="D4144" s="35" t="s">
        <v>1022</v>
      </c>
      <c r="E4144" s="35" t="s">
        <v>1038</v>
      </c>
      <c r="F4144" s="35" t="s">
        <v>353</v>
      </c>
      <c r="G4144" s="35" t="s">
        <v>403</v>
      </c>
    </row>
    <row r="4145" spans="1:7">
      <c r="A4145" s="34">
        <v>2084227436</v>
      </c>
      <c r="B4145" s="35" t="s">
        <v>462</v>
      </c>
      <c r="C4145" s="35" t="s">
        <v>405</v>
      </c>
      <c r="D4145" s="35" t="s">
        <v>1022</v>
      </c>
      <c r="E4145" s="35" t="s">
        <v>1038</v>
      </c>
      <c r="F4145" s="35" t="s">
        <v>353</v>
      </c>
      <c r="G4145" s="35" t="s">
        <v>335</v>
      </c>
    </row>
    <row r="4146" spans="1:7">
      <c r="A4146" s="34">
        <v>2084227431</v>
      </c>
      <c r="B4146" s="35" t="s">
        <v>462</v>
      </c>
      <c r="C4146" s="35" t="s">
        <v>405</v>
      </c>
      <c r="D4146" s="35" t="s">
        <v>1022</v>
      </c>
      <c r="E4146" s="35" t="s">
        <v>1038</v>
      </c>
      <c r="F4146" s="35" t="s">
        <v>335</v>
      </c>
    </row>
    <row r="4147" spans="1:7">
      <c r="A4147" s="34">
        <v>2084200682</v>
      </c>
      <c r="B4147" s="35" t="s">
        <v>462</v>
      </c>
      <c r="C4147" s="35" t="s">
        <v>405</v>
      </c>
      <c r="D4147" s="35" t="s">
        <v>1022</v>
      </c>
      <c r="E4147" s="35" t="s">
        <v>1039</v>
      </c>
      <c r="F4147" s="35" t="s">
        <v>367</v>
      </c>
    </row>
    <row r="4148" spans="1:7">
      <c r="A4148" s="34">
        <v>2084200684</v>
      </c>
      <c r="B4148" s="35" t="s">
        <v>462</v>
      </c>
      <c r="C4148" s="35" t="s">
        <v>405</v>
      </c>
      <c r="D4148" s="35" t="s">
        <v>1022</v>
      </c>
      <c r="E4148" s="35" t="s">
        <v>1039</v>
      </c>
      <c r="F4148" s="35" t="s">
        <v>368</v>
      </c>
      <c r="G4148" s="35" t="s">
        <v>481</v>
      </c>
    </row>
    <row r="4149" spans="1:7">
      <c r="A4149" s="34">
        <v>2084200685</v>
      </c>
      <c r="B4149" s="35" t="s">
        <v>462</v>
      </c>
      <c r="C4149" s="35" t="s">
        <v>405</v>
      </c>
      <c r="D4149" s="35" t="s">
        <v>1022</v>
      </c>
      <c r="E4149" s="35" t="s">
        <v>1039</v>
      </c>
      <c r="F4149" s="35" t="s">
        <v>368</v>
      </c>
      <c r="G4149" s="35" t="s">
        <v>335</v>
      </c>
    </row>
    <row r="4150" spans="1:7">
      <c r="A4150" s="34">
        <v>2084200691</v>
      </c>
      <c r="B4150" s="35" t="s">
        <v>462</v>
      </c>
      <c r="C4150" s="35" t="s">
        <v>405</v>
      </c>
      <c r="D4150" s="35" t="s">
        <v>1022</v>
      </c>
      <c r="E4150" s="35" t="s">
        <v>1039</v>
      </c>
      <c r="F4150" s="35" t="s">
        <v>10</v>
      </c>
      <c r="G4150" s="35" t="s">
        <v>483</v>
      </c>
    </row>
    <row r="4151" spans="1:7">
      <c r="A4151" s="34">
        <v>2084200688</v>
      </c>
      <c r="B4151" s="35" t="s">
        <v>462</v>
      </c>
      <c r="C4151" s="35" t="s">
        <v>405</v>
      </c>
      <c r="D4151" s="35" t="s">
        <v>1022</v>
      </c>
      <c r="E4151" s="35" t="s">
        <v>1039</v>
      </c>
      <c r="F4151" s="35" t="s">
        <v>10</v>
      </c>
      <c r="G4151" s="35" t="s">
        <v>397</v>
      </c>
    </row>
    <row r="4152" spans="1:7">
      <c r="A4152" s="34">
        <v>2084200690</v>
      </c>
      <c r="B4152" s="35" t="s">
        <v>462</v>
      </c>
      <c r="C4152" s="35" t="s">
        <v>405</v>
      </c>
      <c r="D4152" s="35" t="s">
        <v>1022</v>
      </c>
      <c r="E4152" s="35" t="s">
        <v>1039</v>
      </c>
      <c r="F4152" s="35" t="s">
        <v>10</v>
      </c>
      <c r="G4152" s="35" t="s">
        <v>421</v>
      </c>
    </row>
    <row r="4153" spans="1:7">
      <c r="A4153" s="34">
        <v>2084200687</v>
      </c>
      <c r="B4153" s="35" t="s">
        <v>462</v>
      </c>
      <c r="C4153" s="35" t="s">
        <v>405</v>
      </c>
      <c r="D4153" s="35" t="s">
        <v>1022</v>
      </c>
      <c r="E4153" s="35" t="s">
        <v>1039</v>
      </c>
      <c r="F4153" s="35" t="s">
        <v>10</v>
      </c>
      <c r="G4153" s="35" t="s">
        <v>398</v>
      </c>
    </row>
    <row r="4154" spans="1:7">
      <c r="A4154" s="34">
        <v>2084200689</v>
      </c>
      <c r="B4154" s="35" t="s">
        <v>462</v>
      </c>
      <c r="C4154" s="35" t="s">
        <v>405</v>
      </c>
      <c r="D4154" s="35" t="s">
        <v>1022</v>
      </c>
      <c r="E4154" s="35" t="s">
        <v>1039</v>
      </c>
      <c r="F4154" s="35" t="s">
        <v>10</v>
      </c>
      <c r="G4154" s="35" t="s">
        <v>422</v>
      </c>
    </row>
    <row r="4155" spans="1:7">
      <c r="A4155" s="34">
        <v>2084200692</v>
      </c>
      <c r="B4155" s="35" t="s">
        <v>462</v>
      </c>
      <c r="C4155" s="35" t="s">
        <v>405</v>
      </c>
      <c r="D4155" s="35" t="s">
        <v>1022</v>
      </c>
      <c r="E4155" s="35" t="s">
        <v>1039</v>
      </c>
      <c r="F4155" s="35" t="s">
        <v>10</v>
      </c>
      <c r="G4155" s="35" t="s">
        <v>335</v>
      </c>
    </row>
    <row r="4156" spans="1:7">
      <c r="A4156" s="34">
        <v>2084200694</v>
      </c>
      <c r="B4156" s="35" t="s">
        <v>462</v>
      </c>
      <c r="C4156" s="35" t="s">
        <v>405</v>
      </c>
      <c r="D4156" s="35" t="s">
        <v>1022</v>
      </c>
      <c r="E4156" s="35" t="s">
        <v>1039</v>
      </c>
      <c r="F4156" s="35" t="s">
        <v>379</v>
      </c>
      <c r="G4156" s="35" t="s">
        <v>545</v>
      </c>
    </row>
    <row r="4157" spans="1:7">
      <c r="A4157" s="34">
        <v>2084200695</v>
      </c>
      <c r="B4157" s="35" t="s">
        <v>462</v>
      </c>
      <c r="C4157" s="35" t="s">
        <v>405</v>
      </c>
      <c r="D4157" s="35" t="s">
        <v>1022</v>
      </c>
      <c r="E4157" s="35" t="s">
        <v>1039</v>
      </c>
      <c r="F4157" s="35" t="s">
        <v>379</v>
      </c>
      <c r="G4157" s="35" t="s">
        <v>335</v>
      </c>
    </row>
    <row r="4158" spans="1:7">
      <c r="A4158" s="34">
        <v>2084200696</v>
      </c>
      <c r="B4158" s="35" t="s">
        <v>462</v>
      </c>
      <c r="C4158" s="35" t="s">
        <v>405</v>
      </c>
      <c r="D4158" s="35" t="s">
        <v>1022</v>
      </c>
      <c r="E4158" s="35" t="s">
        <v>1039</v>
      </c>
      <c r="F4158" s="35" t="s">
        <v>335</v>
      </c>
    </row>
    <row r="4159" spans="1:7">
      <c r="A4159" s="34">
        <v>2084301255</v>
      </c>
      <c r="B4159" s="35" t="s">
        <v>462</v>
      </c>
      <c r="C4159" s="35" t="s">
        <v>405</v>
      </c>
      <c r="D4159" s="35" t="s">
        <v>1022</v>
      </c>
      <c r="E4159" s="35" t="s">
        <v>1040</v>
      </c>
      <c r="F4159" s="35" t="s">
        <v>367</v>
      </c>
    </row>
    <row r="4160" spans="1:7">
      <c r="A4160" s="34">
        <v>2084301256</v>
      </c>
      <c r="B4160" s="35" t="s">
        <v>462</v>
      </c>
      <c r="C4160" s="35" t="s">
        <v>405</v>
      </c>
      <c r="D4160" s="35" t="s">
        <v>1022</v>
      </c>
      <c r="E4160" s="35" t="s">
        <v>1040</v>
      </c>
      <c r="F4160" s="35" t="s">
        <v>401</v>
      </c>
    </row>
    <row r="4161" spans="1:7">
      <c r="A4161" s="34">
        <v>2084301259</v>
      </c>
      <c r="B4161" s="35" t="s">
        <v>462</v>
      </c>
      <c r="C4161" s="35" t="s">
        <v>405</v>
      </c>
      <c r="D4161" s="35" t="s">
        <v>1022</v>
      </c>
      <c r="E4161" s="35" t="s">
        <v>1040</v>
      </c>
      <c r="F4161" s="35" t="s">
        <v>476</v>
      </c>
    </row>
    <row r="4162" spans="1:7">
      <c r="A4162" s="34">
        <v>2084301257</v>
      </c>
      <c r="B4162" s="35" t="s">
        <v>462</v>
      </c>
      <c r="C4162" s="35" t="s">
        <v>405</v>
      </c>
      <c r="D4162" s="35" t="s">
        <v>1022</v>
      </c>
      <c r="E4162" s="35" t="s">
        <v>1040</v>
      </c>
      <c r="F4162" s="35" t="s">
        <v>402</v>
      </c>
    </row>
    <row r="4163" spans="1:7">
      <c r="A4163" s="34">
        <v>2084301258</v>
      </c>
      <c r="B4163" s="35" t="s">
        <v>462</v>
      </c>
      <c r="C4163" s="35" t="s">
        <v>405</v>
      </c>
      <c r="D4163" s="35" t="s">
        <v>1022</v>
      </c>
      <c r="E4163" s="35" t="s">
        <v>1040</v>
      </c>
      <c r="F4163" s="35" t="s">
        <v>477</v>
      </c>
    </row>
    <row r="4164" spans="1:7">
      <c r="A4164" s="34">
        <v>2084301260</v>
      </c>
      <c r="B4164" s="35" t="s">
        <v>462</v>
      </c>
      <c r="C4164" s="35" t="s">
        <v>405</v>
      </c>
      <c r="D4164" s="35" t="s">
        <v>1022</v>
      </c>
      <c r="E4164" s="35" t="s">
        <v>1040</v>
      </c>
      <c r="F4164" s="35" t="s">
        <v>478</v>
      </c>
    </row>
    <row r="4165" spans="1:7">
      <c r="A4165" s="34">
        <v>2084301261</v>
      </c>
      <c r="B4165" s="35" t="s">
        <v>462</v>
      </c>
      <c r="C4165" s="35" t="s">
        <v>405</v>
      </c>
      <c r="D4165" s="35" t="s">
        <v>1022</v>
      </c>
      <c r="E4165" s="35" t="s">
        <v>1040</v>
      </c>
      <c r="F4165" s="35" t="s">
        <v>335</v>
      </c>
    </row>
    <row r="4166" spans="1:7">
      <c r="A4166" s="34">
        <v>2084298428</v>
      </c>
      <c r="B4166" s="35" t="s">
        <v>462</v>
      </c>
      <c r="C4166" s="35" t="s">
        <v>405</v>
      </c>
      <c r="D4166" s="35" t="s">
        <v>1022</v>
      </c>
      <c r="E4166" s="35" t="s">
        <v>1041</v>
      </c>
      <c r="F4166" s="35" t="s">
        <v>407</v>
      </c>
    </row>
    <row r="4167" spans="1:7">
      <c r="A4167" s="34">
        <v>2084298429</v>
      </c>
      <c r="B4167" s="35" t="s">
        <v>462</v>
      </c>
      <c r="C4167" s="35" t="s">
        <v>405</v>
      </c>
      <c r="D4167" s="35" t="s">
        <v>1022</v>
      </c>
      <c r="E4167" s="35" t="s">
        <v>1041</v>
      </c>
      <c r="F4167" s="35" t="s">
        <v>408</v>
      </c>
    </row>
    <row r="4168" spans="1:7">
      <c r="A4168" s="34">
        <v>2084056024</v>
      </c>
      <c r="B4168" s="35" t="s">
        <v>462</v>
      </c>
      <c r="C4168" s="35" t="s">
        <v>405</v>
      </c>
      <c r="D4168" s="35" t="s">
        <v>1022</v>
      </c>
      <c r="E4168" s="35" t="s">
        <v>1042</v>
      </c>
      <c r="F4168" s="35" t="s">
        <v>368</v>
      </c>
      <c r="G4168" s="35" t="s">
        <v>481</v>
      </c>
    </row>
    <row r="4169" spans="1:7">
      <c r="A4169" s="34">
        <v>2084056025</v>
      </c>
      <c r="B4169" s="35" t="s">
        <v>462</v>
      </c>
      <c r="C4169" s="35" t="s">
        <v>405</v>
      </c>
      <c r="D4169" s="35" t="s">
        <v>1022</v>
      </c>
      <c r="E4169" s="35" t="s">
        <v>1042</v>
      </c>
      <c r="F4169" s="35" t="s">
        <v>368</v>
      </c>
      <c r="G4169" s="35" t="s">
        <v>335</v>
      </c>
    </row>
    <row r="4170" spans="1:7">
      <c r="A4170" s="34">
        <v>2084056029</v>
      </c>
      <c r="B4170" s="35" t="s">
        <v>462</v>
      </c>
      <c r="C4170" s="35" t="s">
        <v>405</v>
      </c>
      <c r="D4170" s="35" t="s">
        <v>1022</v>
      </c>
      <c r="E4170" s="35" t="s">
        <v>1042</v>
      </c>
      <c r="F4170" s="35" t="s">
        <v>10</v>
      </c>
      <c r="G4170" s="35" t="s">
        <v>397</v>
      </c>
    </row>
    <row r="4171" spans="1:7">
      <c r="A4171" s="34">
        <v>2084056030</v>
      </c>
      <c r="B4171" s="35" t="s">
        <v>462</v>
      </c>
      <c r="C4171" s="35" t="s">
        <v>405</v>
      </c>
      <c r="D4171" s="35" t="s">
        <v>1022</v>
      </c>
      <c r="E4171" s="35" t="s">
        <v>1042</v>
      </c>
      <c r="F4171" s="35" t="s">
        <v>10</v>
      </c>
      <c r="G4171" s="35" t="s">
        <v>421</v>
      </c>
    </row>
    <row r="4172" spans="1:7">
      <c r="A4172" s="34">
        <v>2084056028</v>
      </c>
      <c r="B4172" s="35" t="s">
        <v>462</v>
      </c>
      <c r="C4172" s="35" t="s">
        <v>405</v>
      </c>
      <c r="D4172" s="35" t="s">
        <v>1022</v>
      </c>
      <c r="E4172" s="35" t="s">
        <v>1042</v>
      </c>
      <c r="F4172" s="35" t="s">
        <v>10</v>
      </c>
      <c r="G4172" s="35" t="s">
        <v>398</v>
      </c>
    </row>
    <row r="4173" spans="1:7">
      <c r="A4173" s="34">
        <v>2084056027</v>
      </c>
      <c r="B4173" s="35" t="s">
        <v>462</v>
      </c>
      <c r="C4173" s="35" t="s">
        <v>405</v>
      </c>
      <c r="D4173" s="35" t="s">
        <v>1022</v>
      </c>
      <c r="E4173" s="35" t="s">
        <v>1042</v>
      </c>
      <c r="F4173" s="35" t="s">
        <v>10</v>
      </c>
      <c r="G4173" s="35" t="s">
        <v>422</v>
      </c>
    </row>
    <row r="4174" spans="1:7">
      <c r="A4174" s="34">
        <v>2084056031</v>
      </c>
      <c r="B4174" s="35" t="s">
        <v>462</v>
      </c>
      <c r="C4174" s="35" t="s">
        <v>405</v>
      </c>
      <c r="D4174" s="35" t="s">
        <v>1022</v>
      </c>
      <c r="E4174" s="35" t="s">
        <v>1042</v>
      </c>
      <c r="F4174" s="35" t="s">
        <v>10</v>
      </c>
      <c r="G4174" s="35" t="s">
        <v>335</v>
      </c>
    </row>
    <row r="4175" spans="1:7">
      <c r="A4175" s="34">
        <v>2084056032</v>
      </c>
      <c r="B4175" s="35" t="s">
        <v>462</v>
      </c>
      <c r="C4175" s="35" t="s">
        <v>405</v>
      </c>
      <c r="D4175" s="35" t="s">
        <v>1022</v>
      </c>
      <c r="E4175" s="35" t="s">
        <v>1042</v>
      </c>
      <c r="F4175" s="35" t="s">
        <v>403</v>
      </c>
    </row>
    <row r="4176" spans="1:7">
      <c r="A4176" s="34">
        <v>2084056033</v>
      </c>
      <c r="B4176" s="35" t="s">
        <v>462</v>
      </c>
      <c r="C4176" s="35" t="s">
        <v>405</v>
      </c>
      <c r="D4176" s="35" t="s">
        <v>1022</v>
      </c>
      <c r="E4176" s="35" t="s">
        <v>1042</v>
      </c>
      <c r="F4176" s="35" t="s">
        <v>335</v>
      </c>
    </row>
    <row r="4177" spans="1:7">
      <c r="A4177" s="34">
        <v>2084259940</v>
      </c>
      <c r="B4177" s="35" t="s">
        <v>462</v>
      </c>
      <c r="C4177" s="35" t="s">
        <v>405</v>
      </c>
      <c r="D4177" s="35" t="s">
        <v>1022</v>
      </c>
      <c r="E4177" s="35" t="s">
        <v>1043</v>
      </c>
    </row>
    <row r="4178" spans="1:7">
      <c r="A4178" s="34">
        <v>2084244060</v>
      </c>
      <c r="B4178" s="35" t="s">
        <v>462</v>
      </c>
      <c r="C4178" s="35" t="s">
        <v>405</v>
      </c>
      <c r="D4178" s="35" t="s">
        <v>1022</v>
      </c>
      <c r="E4178" s="35" t="s">
        <v>1044</v>
      </c>
      <c r="F4178" s="35" t="s">
        <v>353</v>
      </c>
      <c r="G4178" s="35" t="s">
        <v>367</v>
      </c>
    </row>
    <row r="4179" spans="1:7">
      <c r="A4179" s="34">
        <v>2084244061</v>
      </c>
      <c r="B4179" s="35" t="s">
        <v>462</v>
      </c>
      <c r="C4179" s="35" t="s">
        <v>405</v>
      </c>
      <c r="D4179" s="35" t="s">
        <v>1022</v>
      </c>
      <c r="E4179" s="35" t="s">
        <v>1044</v>
      </c>
      <c r="F4179" s="35" t="s">
        <v>353</v>
      </c>
      <c r="G4179" s="35" t="s">
        <v>401</v>
      </c>
    </row>
    <row r="4180" spans="1:7">
      <c r="A4180" s="34">
        <v>2084244062</v>
      </c>
      <c r="B4180" s="35" t="s">
        <v>462</v>
      </c>
      <c r="C4180" s="35" t="s">
        <v>405</v>
      </c>
      <c r="D4180" s="35" t="s">
        <v>1022</v>
      </c>
      <c r="E4180" s="35" t="s">
        <v>1044</v>
      </c>
      <c r="F4180" s="35" t="s">
        <v>353</v>
      </c>
      <c r="G4180" s="35" t="s">
        <v>402</v>
      </c>
    </row>
    <row r="4181" spans="1:7">
      <c r="A4181" s="34">
        <v>2084244063</v>
      </c>
      <c r="B4181" s="35" t="s">
        <v>462</v>
      </c>
      <c r="C4181" s="35" t="s">
        <v>405</v>
      </c>
      <c r="D4181" s="35" t="s">
        <v>1022</v>
      </c>
      <c r="E4181" s="35" t="s">
        <v>1044</v>
      </c>
      <c r="F4181" s="35" t="s">
        <v>353</v>
      </c>
      <c r="G4181" s="35" t="s">
        <v>403</v>
      </c>
    </row>
    <row r="4182" spans="1:7">
      <c r="A4182" s="34">
        <v>2084051036</v>
      </c>
      <c r="B4182" s="35" t="s">
        <v>462</v>
      </c>
      <c r="C4182" s="35" t="s">
        <v>405</v>
      </c>
      <c r="D4182" s="35" t="s">
        <v>1022</v>
      </c>
      <c r="E4182" s="35" t="s">
        <v>1044</v>
      </c>
      <c r="F4182" s="35" t="s">
        <v>475</v>
      </c>
    </row>
    <row r="4183" spans="1:7">
      <c r="A4183" s="34">
        <v>2084036138</v>
      </c>
      <c r="B4183" s="35" t="s">
        <v>462</v>
      </c>
      <c r="C4183" s="35" t="s">
        <v>405</v>
      </c>
      <c r="D4183" s="35" t="s">
        <v>1022</v>
      </c>
      <c r="E4183" s="35" t="s">
        <v>1044</v>
      </c>
      <c r="F4183" s="35" t="s">
        <v>569</v>
      </c>
    </row>
    <row r="4184" spans="1:7">
      <c r="A4184" s="34">
        <v>2084244058</v>
      </c>
      <c r="B4184" s="35" t="s">
        <v>462</v>
      </c>
      <c r="C4184" s="35" t="s">
        <v>405</v>
      </c>
      <c r="D4184" s="35" t="s">
        <v>1022</v>
      </c>
      <c r="E4184" s="35" t="s">
        <v>1044</v>
      </c>
      <c r="F4184" s="35" t="s">
        <v>589</v>
      </c>
    </row>
    <row r="4185" spans="1:7">
      <c r="A4185" s="34">
        <v>2084244057</v>
      </c>
      <c r="B4185" s="35" t="s">
        <v>462</v>
      </c>
      <c r="C4185" s="35" t="s">
        <v>405</v>
      </c>
      <c r="D4185" s="35" t="s">
        <v>1022</v>
      </c>
      <c r="E4185" s="35" t="s">
        <v>1044</v>
      </c>
      <c r="F4185" s="35" t="s">
        <v>504</v>
      </c>
    </row>
    <row r="4186" spans="1:7">
      <c r="A4186" s="34">
        <v>2084048704</v>
      </c>
      <c r="B4186" s="35" t="s">
        <v>462</v>
      </c>
      <c r="C4186" s="35" t="s">
        <v>405</v>
      </c>
      <c r="D4186" s="35" t="s">
        <v>1022</v>
      </c>
      <c r="E4186" s="35" t="s">
        <v>1044</v>
      </c>
      <c r="F4186" s="35" t="s">
        <v>335</v>
      </c>
    </row>
    <row r="4187" spans="1:7">
      <c r="A4187" s="34">
        <v>2084215765</v>
      </c>
      <c r="B4187" s="35" t="s">
        <v>462</v>
      </c>
      <c r="C4187" s="35" t="s">
        <v>405</v>
      </c>
      <c r="D4187" s="35" t="s">
        <v>1022</v>
      </c>
      <c r="E4187" s="35" t="s">
        <v>1045</v>
      </c>
      <c r="F4187" s="35" t="s">
        <v>367</v>
      </c>
    </row>
    <row r="4188" spans="1:7">
      <c r="A4188" s="34">
        <v>2084215768</v>
      </c>
      <c r="B4188" s="35" t="s">
        <v>462</v>
      </c>
      <c r="C4188" s="35" t="s">
        <v>405</v>
      </c>
      <c r="D4188" s="35" t="s">
        <v>1022</v>
      </c>
      <c r="E4188" s="35" t="s">
        <v>1045</v>
      </c>
      <c r="F4188" s="35" t="s">
        <v>368</v>
      </c>
      <c r="G4188" s="35" t="s">
        <v>481</v>
      </c>
    </row>
    <row r="4189" spans="1:7">
      <c r="A4189" s="34">
        <v>2084215767</v>
      </c>
      <c r="B4189" s="35" t="s">
        <v>462</v>
      </c>
      <c r="C4189" s="35" t="s">
        <v>405</v>
      </c>
      <c r="D4189" s="35" t="s">
        <v>1022</v>
      </c>
      <c r="E4189" s="35" t="s">
        <v>1045</v>
      </c>
      <c r="F4189" s="35" t="s">
        <v>368</v>
      </c>
      <c r="G4189" s="35" t="s">
        <v>482</v>
      </c>
    </row>
    <row r="4190" spans="1:7">
      <c r="A4190" s="34">
        <v>2084215769</v>
      </c>
      <c r="B4190" s="35" t="s">
        <v>462</v>
      </c>
      <c r="C4190" s="35" t="s">
        <v>405</v>
      </c>
      <c r="D4190" s="35" t="s">
        <v>1022</v>
      </c>
      <c r="E4190" s="35" t="s">
        <v>1045</v>
      </c>
      <c r="F4190" s="35" t="s">
        <v>368</v>
      </c>
      <c r="G4190" s="35" t="s">
        <v>335</v>
      </c>
    </row>
    <row r="4191" spans="1:7">
      <c r="A4191" s="34">
        <v>2084215775</v>
      </c>
      <c r="B4191" s="35" t="s">
        <v>462</v>
      </c>
      <c r="C4191" s="35" t="s">
        <v>405</v>
      </c>
      <c r="D4191" s="35" t="s">
        <v>1022</v>
      </c>
      <c r="E4191" s="35" t="s">
        <v>1045</v>
      </c>
      <c r="F4191" s="35" t="s">
        <v>10</v>
      </c>
      <c r="G4191" s="35" t="s">
        <v>483</v>
      </c>
    </row>
    <row r="4192" spans="1:7">
      <c r="A4192" s="34">
        <v>2084215772</v>
      </c>
      <c r="B4192" s="35" t="s">
        <v>462</v>
      </c>
      <c r="C4192" s="35" t="s">
        <v>405</v>
      </c>
      <c r="D4192" s="35" t="s">
        <v>1022</v>
      </c>
      <c r="E4192" s="35" t="s">
        <v>1045</v>
      </c>
      <c r="F4192" s="35" t="s">
        <v>10</v>
      </c>
      <c r="G4192" s="35" t="s">
        <v>397</v>
      </c>
    </row>
    <row r="4193" spans="1:7">
      <c r="A4193" s="34">
        <v>2084215774</v>
      </c>
      <c r="B4193" s="35" t="s">
        <v>462</v>
      </c>
      <c r="C4193" s="35" t="s">
        <v>405</v>
      </c>
      <c r="D4193" s="35" t="s">
        <v>1022</v>
      </c>
      <c r="E4193" s="35" t="s">
        <v>1045</v>
      </c>
      <c r="F4193" s="35" t="s">
        <v>10</v>
      </c>
      <c r="G4193" s="35" t="s">
        <v>421</v>
      </c>
    </row>
    <row r="4194" spans="1:7">
      <c r="A4194" s="34">
        <v>2084215771</v>
      </c>
      <c r="B4194" s="35" t="s">
        <v>462</v>
      </c>
      <c r="C4194" s="35" t="s">
        <v>405</v>
      </c>
      <c r="D4194" s="35" t="s">
        <v>1022</v>
      </c>
      <c r="E4194" s="35" t="s">
        <v>1045</v>
      </c>
      <c r="F4194" s="35" t="s">
        <v>10</v>
      </c>
      <c r="G4194" s="35" t="s">
        <v>398</v>
      </c>
    </row>
    <row r="4195" spans="1:7">
      <c r="A4195" s="34">
        <v>2084215773</v>
      </c>
      <c r="B4195" s="35" t="s">
        <v>462</v>
      </c>
      <c r="C4195" s="35" t="s">
        <v>405</v>
      </c>
      <c r="D4195" s="35" t="s">
        <v>1022</v>
      </c>
      <c r="E4195" s="35" t="s">
        <v>1045</v>
      </c>
      <c r="F4195" s="35" t="s">
        <v>10</v>
      </c>
      <c r="G4195" s="35" t="s">
        <v>422</v>
      </c>
    </row>
    <row r="4196" spans="1:7">
      <c r="A4196" s="34">
        <v>2084215776</v>
      </c>
      <c r="B4196" s="35" t="s">
        <v>462</v>
      </c>
      <c r="C4196" s="35" t="s">
        <v>405</v>
      </c>
      <c r="D4196" s="35" t="s">
        <v>1022</v>
      </c>
      <c r="E4196" s="35" t="s">
        <v>1045</v>
      </c>
      <c r="F4196" s="35" t="s">
        <v>10</v>
      </c>
      <c r="G4196" s="35" t="s">
        <v>335</v>
      </c>
    </row>
    <row r="4197" spans="1:7">
      <c r="A4197" s="34">
        <v>2084215778</v>
      </c>
      <c r="B4197" s="35" t="s">
        <v>462</v>
      </c>
      <c r="C4197" s="35" t="s">
        <v>405</v>
      </c>
      <c r="D4197" s="35" t="s">
        <v>1022</v>
      </c>
      <c r="E4197" s="35" t="s">
        <v>1045</v>
      </c>
      <c r="F4197" s="35" t="s">
        <v>379</v>
      </c>
      <c r="G4197" s="35" t="s">
        <v>476</v>
      </c>
    </row>
    <row r="4198" spans="1:7">
      <c r="A4198" s="34">
        <v>2084215779</v>
      </c>
      <c r="B4198" s="35" t="s">
        <v>462</v>
      </c>
      <c r="C4198" s="35" t="s">
        <v>405</v>
      </c>
      <c r="D4198" s="35" t="s">
        <v>1022</v>
      </c>
      <c r="E4198" s="35" t="s">
        <v>1045</v>
      </c>
      <c r="F4198" s="35" t="s">
        <v>379</v>
      </c>
      <c r="G4198" s="35" t="s">
        <v>335</v>
      </c>
    </row>
    <row r="4199" spans="1:7">
      <c r="A4199" s="34">
        <v>2084215780</v>
      </c>
      <c r="B4199" s="35" t="s">
        <v>462</v>
      </c>
      <c r="C4199" s="35" t="s">
        <v>405</v>
      </c>
      <c r="D4199" s="35" t="s">
        <v>1022</v>
      </c>
      <c r="E4199" s="35" t="s">
        <v>1045</v>
      </c>
      <c r="F4199" s="35" t="s">
        <v>478</v>
      </c>
    </row>
    <row r="4200" spans="1:7">
      <c r="A4200" s="34">
        <v>2084215781</v>
      </c>
      <c r="B4200" s="35" t="s">
        <v>462</v>
      </c>
      <c r="C4200" s="35" t="s">
        <v>405</v>
      </c>
      <c r="D4200" s="35" t="s">
        <v>1022</v>
      </c>
      <c r="E4200" s="35" t="s">
        <v>1045</v>
      </c>
      <c r="F4200" s="35" t="s">
        <v>335</v>
      </c>
    </row>
    <row r="4201" spans="1:7">
      <c r="A4201" s="34">
        <v>2084301245</v>
      </c>
      <c r="B4201" s="35" t="s">
        <v>462</v>
      </c>
      <c r="C4201" s="35" t="s">
        <v>405</v>
      </c>
      <c r="D4201" s="35" t="s">
        <v>1022</v>
      </c>
      <c r="E4201" s="35" t="s">
        <v>1046</v>
      </c>
      <c r="F4201" s="35" t="s">
        <v>407</v>
      </c>
    </row>
    <row r="4202" spans="1:7">
      <c r="A4202" s="34">
        <v>2084301244</v>
      </c>
      <c r="B4202" s="35" t="s">
        <v>462</v>
      </c>
      <c r="C4202" s="35" t="s">
        <v>405</v>
      </c>
      <c r="D4202" s="35" t="s">
        <v>1022</v>
      </c>
      <c r="E4202" s="35" t="s">
        <v>1046</v>
      </c>
      <c r="F4202" s="35" t="s">
        <v>408</v>
      </c>
    </row>
    <row r="4203" spans="1:7">
      <c r="A4203" s="34">
        <v>2084061422</v>
      </c>
      <c r="B4203" s="35" t="s">
        <v>462</v>
      </c>
      <c r="C4203" s="35" t="s">
        <v>405</v>
      </c>
      <c r="D4203" s="35" t="s">
        <v>1022</v>
      </c>
      <c r="E4203" s="35" t="s">
        <v>1047</v>
      </c>
      <c r="F4203" s="35" t="s">
        <v>484</v>
      </c>
    </row>
    <row r="4204" spans="1:7">
      <c r="A4204" s="34">
        <v>2084061423</v>
      </c>
      <c r="B4204" s="35" t="s">
        <v>462</v>
      </c>
      <c r="C4204" s="35" t="s">
        <v>405</v>
      </c>
      <c r="D4204" s="35" t="s">
        <v>1022</v>
      </c>
      <c r="E4204" s="35" t="s">
        <v>1047</v>
      </c>
      <c r="F4204" s="35" t="s">
        <v>335</v>
      </c>
    </row>
    <row r="4205" spans="1:7">
      <c r="A4205" s="34">
        <v>2084050260</v>
      </c>
      <c r="B4205" s="35" t="s">
        <v>462</v>
      </c>
      <c r="C4205" s="35" t="s">
        <v>405</v>
      </c>
      <c r="D4205" s="35" t="s">
        <v>1022</v>
      </c>
      <c r="E4205" s="35" t="s">
        <v>1048</v>
      </c>
    </row>
    <row r="4206" spans="1:7">
      <c r="A4206" s="34">
        <v>2084229995</v>
      </c>
      <c r="B4206" s="35" t="s">
        <v>462</v>
      </c>
      <c r="C4206" s="35" t="s">
        <v>405</v>
      </c>
      <c r="D4206" s="35" t="s">
        <v>1022</v>
      </c>
      <c r="E4206" s="35" t="s">
        <v>1049</v>
      </c>
      <c r="F4206" s="35" t="s">
        <v>407</v>
      </c>
    </row>
    <row r="4207" spans="1:7">
      <c r="A4207" s="34">
        <v>2084229994</v>
      </c>
      <c r="B4207" s="35" t="s">
        <v>462</v>
      </c>
      <c r="C4207" s="35" t="s">
        <v>405</v>
      </c>
      <c r="D4207" s="35" t="s">
        <v>1022</v>
      </c>
      <c r="E4207" s="35" t="s">
        <v>1049</v>
      </c>
      <c r="F4207" s="35" t="s">
        <v>408</v>
      </c>
    </row>
    <row r="4208" spans="1:7">
      <c r="A4208" s="34">
        <v>2084229996</v>
      </c>
      <c r="B4208" s="35" t="s">
        <v>462</v>
      </c>
      <c r="C4208" s="35" t="s">
        <v>405</v>
      </c>
      <c r="D4208" s="35" t="s">
        <v>1022</v>
      </c>
      <c r="E4208" s="35" t="s">
        <v>1049</v>
      </c>
      <c r="F4208" s="35" t="s">
        <v>335</v>
      </c>
    </row>
    <row r="4209" spans="1:7">
      <c r="A4209" s="34">
        <v>2084050261</v>
      </c>
      <c r="B4209" s="35" t="s">
        <v>462</v>
      </c>
      <c r="C4209" s="35" t="s">
        <v>405</v>
      </c>
      <c r="D4209" s="35" t="s">
        <v>1022</v>
      </c>
      <c r="E4209" s="35" t="s">
        <v>1050</v>
      </c>
    </row>
    <row r="4210" spans="1:7">
      <c r="A4210" s="34">
        <v>2084255937</v>
      </c>
      <c r="B4210" s="35" t="s">
        <v>462</v>
      </c>
      <c r="C4210" s="35" t="s">
        <v>405</v>
      </c>
      <c r="D4210" s="35" t="s">
        <v>1022</v>
      </c>
      <c r="E4210" s="35" t="s">
        <v>1051</v>
      </c>
      <c r="F4210" s="35" t="s">
        <v>407</v>
      </c>
    </row>
    <row r="4211" spans="1:7">
      <c r="A4211" s="34">
        <v>2084255938</v>
      </c>
      <c r="B4211" s="35" t="s">
        <v>462</v>
      </c>
      <c r="C4211" s="35" t="s">
        <v>405</v>
      </c>
      <c r="D4211" s="35" t="s">
        <v>1022</v>
      </c>
      <c r="E4211" s="35" t="s">
        <v>1051</v>
      </c>
      <c r="F4211" s="35" t="s">
        <v>353</v>
      </c>
      <c r="G4211" s="35" t="s">
        <v>1052</v>
      </c>
    </row>
    <row r="4212" spans="1:7">
      <c r="A4212" s="34">
        <v>2084255939</v>
      </c>
      <c r="B4212" s="35" t="s">
        <v>462</v>
      </c>
      <c r="C4212" s="35" t="s">
        <v>405</v>
      </c>
      <c r="D4212" s="35" t="s">
        <v>1022</v>
      </c>
      <c r="E4212" s="35" t="s">
        <v>1051</v>
      </c>
      <c r="F4212" s="35" t="s">
        <v>353</v>
      </c>
      <c r="G4212" s="35" t="s">
        <v>494</v>
      </c>
    </row>
    <row r="4213" spans="1:7">
      <c r="A4213" s="34">
        <v>2084255941</v>
      </c>
      <c r="B4213" s="35" t="s">
        <v>462</v>
      </c>
      <c r="C4213" s="35" t="s">
        <v>405</v>
      </c>
      <c r="D4213" s="35" t="s">
        <v>1022</v>
      </c>
      <c r="E4213" s="35" t="s">
        <v>1051</v>
      </c>
      <c r="F4213" s="35" t="s">
        <v>353</v>
      </c>
      <c r="G4213" s="35" t="s">
        <v>398</v>
      </c>
    </row>
    <row r="4214" spans="1:7">
      <c r="A4214" s="34">
        <v>2084255940</v>
      </c>
      <c r="B4214" s="35" t="s">
        <v>462</v>
      </c>
      <c r="C4214" s="35" t="s">
        <v>405</v>
      </c>
      <c r="D4214" s="35" t="s">
        <v>1022</v>
      </c>
      <c r="E4214" s="35" t="s">
        <v>1051</v>
      </c>
      <c r="F4214" s="35" t="s">
        <v>353</v>
      </c>
      <c r="G4214" s="35" t="s">
        <v>397</v>
      </c>
    </row>
    <row r="4215" spans="1:7">
      <c r="A4215" s="34">
        <v>2084255943</v>
      </c>
      <c r="B4215" s="35" t="s">
        <v>462</v>
      </c>
      <c r="C4215" s="35" t="s">
        <v>405</v>
      </c>
      <c r="D4215" s="35" t="s">
        <v>1022</v>
      </c>
      <c r="E4215" s="35" t="s">
        <v>1051</v>
      </c>
      <c r="F4215" s="35" t="s">
        <v>353</v>
      </c>
      <c r="G4215" s="35" t="s">
        <v>521</v>
      </c>
    </row>
    <row r="4216" spans="1:7">
      <c r="A4216" s="34">
        <v>2084255944</v>
      </c>
      <c r="B4216" s="35" t="s">
        <v>462</v>
      </c>
      <c r="C4216" s="35" t="s">
        <v>405</v>
      </c>
      <c r="D4216" s="35" t="s">
        <v>1022</v>
      </c>
      <c r="E4216" s="35" t="s">
        <v>1051</v>
      </c>
      <c r="F4216" s="35" t="s">
        <v>353</v>
      </c>
      <c r="G4216" s="35" t="s">
        <v>524</v>
      </c>
    </row>
    <row r="4217" spans="1:7">
      <c r="A4217" s="34">
        <v>2084255942</v>
      </c>
      <c r="B4217" s="35" t="s">
        <v>462</v>
      </c>
      <c r="C4217" s="35" t="s">
        <v>405</v>
      </c>
      <c r="D4217" s="35" t="s">
        <v>1022</v>
      </c>
      <c r="E4217" s="35" t="s">
        <v>1051</v>
      </c>
      <c r="F4217" s="35" t="s">
        <v>353</v>
      </c>
      <c r="G4217" s="35" t="s">
        <v>335</v>
      </c>
    </row>
    <row r="4218" spans="1:7">
      <c r="A4218" s="34">
        <v>2084028201</v>
      </c>
      <c r="B4218" s="35" t="s">
        <v>462</v>
      </c>
      <c r="C4218" s="35" t="s">
        <v>405</v>
      </c>
      <c r="D4218" s="35" t="s">
        <v>1022</v>
      </c>
      <c r="E4218" s="35" t="s">
        <v>1053</v>
      </c>
      <c r="F4218" s="35" t="s">
        <v>367</v>
      </c>
    </row>
    <row r="4219" spans="1:7">
      <c r="A4219" s="34">
        <v>2084028750</v>
      </c>
      <c r="B4219" s="35" t="s">
        <v>462</v>
      </c>
      <c r="C4219" s="35" t="s">
        <v>405</v>
      </c>
      <c r="D4219" s="35" t="s">
        <v>1022</v>
      </c>
      <c r="E4219" s="35" t="s">
        <v>1053</v>
      </c>
      <c r="F4219" s="35" t="s">
        <v>368</v>
      </c>
      <c r="G4219" s="35" t="s">
        <v>508</v>
      </c>
    </row>
    <row r="4220" spans="1:7">
      <c r="A4220" s="34">
        <v>2084029333</v>
      </c>
      <c r="B4220" s="35" t="s">
        <v>462</v>
      </c>
      <c r="C4220" s="35" t="s">
        <v>405</v>
      </c>
      <c r="D4220" s="35" t="s">
        <v>1022</v>
      </c>
      <c r="E4220" s="35" t="s">
        <v>1053</v>
      </c>
      <c r="F4220" s="35" t="s">
        <v>368</v>
      </c>
      <c r="G4220" s="35" t="s">
        <v>481</v>
      </c>
    </row>
    <row r="4221" spans="1:7">
      <c r="A4221" s="34">
        <v>2084029842</v>
      </c>
      <c r="B4221" s="35" t="s">
        <v>462</v>
      </c>
      <c r="C4221" s="35" t="s">
        <v>405</v>
      </c>
      <c r="D4221" s="35" t="s">
        <v>1022</v>
      </c>
      <c r="E4221" s="35" t="s">
        <v>1053</v>
      </c>
      <c r="F4221" s="35" t="s">
        <v>368</v>
      </c>
      <c r="G4221" s="35" t="s">
        <v>494</v>
      </c>
    </row>
    <row r="4222" spans="1:7">
      <c r="A4222" s="34">
        <v>2084058567</v>
      </c>
      <c r="B4222" s="35" t="s">
        <v>462</v>
      </c>
      <c r="C4222" s="35" t="s">
        <v>405</v>
      </c>
      <c r="D4222" s="35" t="s">
        <v>1022</v>
      </c>
      <c r="E4222" s="35" t="s">
        <v>1053</v>
      </c>
      <c r="F4222" s="35" t="s">
        <v>368</v>
      </c>
      <c r="G4222" s="35" t="s">
        <v>335</v>
      </c>
    </row>
    <row r="4223" spans="1:7">
      <c r="A4223" s="34">
        <v>2084027299</v>
      </c>
      <c r="B4223" s="35" t="s">
        <v>462</v>
      </c>
      <c r="C4223" s="35" t="s">
        <v>405</v>
      </c>
      <c r="D4223" s="35" t="s">
        <v>1022</v>
      </c>
      <c r="E4223" s="35" t="s">
        <v>1053</v>
      </c>
      <c r="F4223" s="35" t="s">
        <v>10</v>
      </c>
      <c r="G4223" s="35" t="s">
        <v>509</v>
      </c>
    </row>
    <row r="4224" spans="1:7">
      <c r="A4224" s="34">
        <v>2084027792</v>
      </c>
      <c r="B4224" s="35" t="s">
        <v>462</v>
      </c>
      <c r="C4224" s="35" t="s">
        <v>405</v>
      </c>
      <c r="D4224" s="35" t="s">
        <v>1022</v>
      </c>
      <c r="E4224" s="35" t="s">
        <v>1053</v>
      </c>
      <c r="F4224" s="35" t="s">
        <v>10</v>
      </c>
      <c r="G4224" s="35" t="s">
        <v>510</v>
      </c>
    </row>
    <row r="4225" spans="1:7">
      <c r="A4225" s="34">
        <v>2084027874</v>
      </c>
      <c r="B4225" s="35" t="s">
        <v>462</v>
      </c>
      <c r="C4225" s="35" t="s">
        <v>405</v>
      </c>
      <c r="D4225" s="35" t="s">
        <v>1022</v>
      </c>
      <c r="E4225" s="35" t="s">
        <v>1053</v>
      </c>
      <c r="F4225" s="35" t="s">
        <v>10</v>
      </c>
      <c r="G4225" s="35" t="s">
        <v>511</v>
      </c>
    </row>
    <row r="4226" spans="1:7">
      <c r="A4226" s="34">
        <v>2084027904</v>
      </c>
      <c r="B4226" s="35" t="s">
        <v>462</v>
      </c>
      <c r="C4226" s="35" t="s">
        <v>405</v>
      </c>
      <c r="D4226" s="35" t="s">
        <v>1022</v>
      </c>
      <c r="E4226" s="35" t="s">
        <v>1053</v>
      </c>
      <c r="F4226" s="35" t="s">
        <v>10</v>
      </c>
      <c r="G4226" s="35" t="s">
        <v>493</v>
      </c>
    </row>
    <row r="4227" spans="1:7">
      <c r="A4227" s="34">
        <v>2084027473</v>
      </c>
      <c r="B4227" s="35" t="s">
        <v>462</v>
      </c>
      <c r="C4227" s="35" t="s">
        <v>405</v>
      </c>
      <c r="D4227" s="35" t="s">
        <v>1022</v>
      </c>
      <c r="E4227" s="35" t="s">
        <v>1053</v>
      </c>
      <c r="F4227" s="35" t="s">
        <v>10</v>
      </c>
      <c r="G4227" s="35" t="s">
        <v>512</v>
      </c>
    </row>
    <row r="4228" spans="1:7">
      <c r="A4228" s="34">
        <v>2084027605</v>
      </c>
      <c r="B4228" s="35" t="s">
        <v>462</v>
      </c>
      <c r="C4228" s="35" t="s">
        <v>405</v>
      </c>
      <c r="D4228" s="35" t="s">
        <v>1022</v>
      </c>
      <c r="E4228" s="35" t="s">
        <v>1053</v>
      </c>
      <c r="F4228" s="35" t="s">
        <v>10</v>
      </c>
      <c r="G4228" s="35" t="s">
        <v>513</v>
      </c>
    </row>
    <row r="4229" spans="1:7">
      <c r="A4229" s="34">
        <v>2084027942</v>
      </c>
      <c r="B4229" s="35" t="s">
        <v>462</v>
      </c>
      <c r="C4229" s="35" t="s">
        <v>405</v>
      </c>
      <c r="D4229" s="35" t="s">
        <v>1022</v>
      </c>
      <c r="E4229" s="35" t="s">
        <v>1053</v>
      </c>
      <c r="F4229" s="35" t="s">
        <v>10</v>
      </c>
      <c r="G4229" s="35" t="s">
        <v>420</v>
      </c>
    </row>
    <row r="4230" spans="1:7">
      <c r="A4230" s="34">
        <v>2084027262</v>
      </c>
      <c r="B4230" s="35" t="s">
        <v>462</v>
      </c>
      <c r="C4230" s="35" t="s">
        <v>405</v>
      </c>
      <c r="D4230" s="35" t="s">
        <v>1022</v>
      </c>
      <c r="E4230" s="35" t="s">
        <v>1053</v>
      </c>
      <c r="F4230" s="35" t="s">
        <v>10</v>
      </c>
      <c r="G4230" s="35" t="s">
        <v>514</v>
      </c>
    </row>
    <row r="4231" spans="1:7">
      <c r="A4231" s="34">
        <v>2084027438</v>
      </c>
      <c r="B4231" s="35" t="s">
        <v>462</v>
      </c>
      <c r="C4231" s="35" t="s">
        <v>405</v>
      </c>
      <c r="D4231" s="35" t="s">
        <v>1022</v>
      </c>
      <c r="E4231" s="35" t="s">
        <v>1053</v>
      </c>
      <c r="F4231" s="35" t="s">
        <v>10</v>
      </c>
      <c r="G4231" s="35" t="s">
        <v>515</v>
      </c>
    </row>
    <row r="4232" spans="1:7">
      <c r="A4232" s="34">
        <v>2084027507</v>
      </c>
      <c r="B4232" s="35" t="s">
        <v>462</v>
      </c>
      <c r="C4232" s="35" t="s">
        <v>405</v>
      </c>
      <c r="D4232" s="35" t="s">
        <v>1022</v>
      </c>
      <c r="E4232" s="35" t="s">
        <v>1053</v>
      </c>
      <c r="F4232" s="35" t="s">
        <v>10</v>
      </c>
      <c r="G4232" s="35" t="s">
        <v>421</v>
      </c>
    </row>
    <row r="4233" spans="1:7">
      <c r="A4233" s="34">
        <v>2084027718</v>
      </c>
      <c r="B4233" s="35" t="s">
        <v>462</v>
      </c>
      <c r="C4233" s="35" t="s">
        <v>405</v>
      </c>
      <c r="D4233" s="35" t="s">
        <v>1022</v>
      </c>
      <c r="E4233" s="35" t="s">
        <v>1053</v>
      </c>
      <c r="F4233" s="35" t="s">
        <v>10</v>
      </c>
      <c r="G4233" s="35" t="s">
        <v>516</v>
      </c>
    </row>
    <row r="4234" spans="1:7">
      <c r="A4234" s="34">
        <v>2084027235</v>
      </c>
      <c r="B4234" s="35" t="s">
        <v>462</v>
      </c>
      <c r="C4234" s="35" t="s">
        <v>405</v>
      </c>
      <c r="D4234" s="35" t="s">
        <v>1022</v>
      </c>
      <c r="E4234" s="35" t="s">
        <v>1053</v>
      </c>
      <c r="F4234" s="35" t="s">
        <v>10</v>
      </c>
      <c r="G4234" s="35" t="s">
        <v>517</v>
      </c>
    </row>
    <row r="4235" spans="1:7">
      <c r="A4235" s="34">
        <v>2084027373</v>
      </c>
      <c r="B4235" s="35" t="s">
        <v>462</v>
      </c>
      <c r="C4235" s="35" t="s">
        <v>405</v>
      </c>
      <c r="D4235" s="35" t="s">
        <v>1022</v>
      </c>
      <c r="E4235" s="35" t="s">
        <v>1053</v>
      </c>
      <c r="F4235" s="35" t="s">
        <v>10</v>
      </c>
      <c r="G4235" s="35" t="s">
        <v>518</v>
      </c>
    </row>
    <row r="4236" spans="1:7">
      <c r="A4236" s="34">
        <v>2084027545</v>
      </c>
      <c r="B4236" s="35" t="s">
        <v>462</v>
      </c>
      <c r="C4236" s="35" t="s">
        <v>405</v>
      </c>
      <c r="D4236" s="35" t="s">
        <v>1022</v>
      </c>
      <c r="E4236" s="35" t="s">
        <v>1053</v>
      </c>
      <c r="F4236" s="35" t="s">
        <v>10</v>
      </c>
      <c r="G4236" s="35" t="s">
        <v>422</v>
      </c>
    </row>
    <row r="4237" spans="1:7">
      <c r="A4237" s="34">
        <v>2084027768</v>
      </c>
      <c r="B4237" s="35" t="s">
        <v>462</v>
      </c>
      <c r="C4237" s="35" t="s">
        <v>405</v>
      </c>
      <c r="D4237" s="35" t="s">
        <v>1022</v>
      </c>
      <c r="E4237" s="35" t="s">
        <v>1053</v>
      </c>
      <c r="F4237" s="35" t="s">
        <v>10</v>
      </c>
      <c r="G4237" s="35" t="s">
        <v>519</v>
      </c>
    </row>
    <row r="4238" spans="1:7">
      <c r="A4238" s="34">
        <v>2084028006</v>
      </c>
      <c r="B4238" s="35" t="s">
        <v>462</v>
      </c>
      <c r="C4238" s="35" t="s">
        <v>405</v>
      </c>
      <c r="D4238" s="35" t="s">
        <v>1022</v>
      </c>
      <c r="E4238" s="35" t="s">
        <v>1053</v>
      </c>
      <c r="F4238" s="35" t="s">
        <v>379</v>
      </c>
      <c r="G4238" s="35" t="s">
        <v>520</v>
      </c>
    </row>
    <row r="4239" spans="1:7">
      <c r="A4239" s="34">
        <v>2084028079</v>
      </c>
      <c r="B4239" s="35" t="s">
        <v>462</v>
      </c>
      <c r="C4239" s="35" t="s">
        <v>405</v>
      </c>
      <c r="D4239" s="35" t="s">
        <v>1022</v>
      </c>
      <c r="E4239" s="35" t="s">
        <v>1053</v>
      </c>
      <c r="F4239" s="35" t="s">
        <v>379</v>
      </c>
      <c r="G4239" s="35" t="s">
        <v>521</v>
      </c>
    </row>
    <row r="4240" spans="1:7">
      <c r="A4240" s="34">
        <v>2084028179</v>
      </c>
      <c r="B4240" s="35" t="s">
        <v>462</v>
      </c>
      <c r="C4240" s="35" t="s">
        <v>405</v>
      </c>
      <c r="D4240" s="35" t="s">
        <v>1022</v>
      </c>
      <c r="E4240" s="35" t="s">
        <v>1053</v>
      </c>
      <c r="F4240" s="35" t="s">
        <v>379</v>
      </c>
      <c r="G4240" s="35" t="s">
        <v>522</v>
      </c>
    </row>
    <row r="4241" spans="1:7">
      <c r="A4241" s="34">
        <v>2084028419</v>
      </c>
      <c r="B4241" s="35" t="s">
        <v>462</v>
      </c>
      <c r="C4241" s="35" t="s">
        <v>405</v>
      </c>
      <c r="D4241" s="35" t="s">
        <v>1022</v>
      </c>
      <c r="E4241" s="35" t="s">
        <v>1053</v>
      </c>
      <c r="F4241" s="35" t="s">
        <v>379</v>
      </c>
      <c r="G4241" s="35" t="s">
        <v>523</v>
      </c>
    </row>
    <row r="4242" spans="1:7">
      <c r="A4242" s="34">
        <v>2084028118</v>
      </c>
      <c r="B4242" s="35" t="s">
        <v>462</v>
      </c>
      <c r="C4242" s="35" t="s">
        <v>405</v>
      </c>
      <c r="D4242" s="35" t="s">
        <v>1022</v>
      </c>
      <c r="E4242" s="35" t="s">
        <v>1053</v>
      </c>
      <c r="F4242" s="35" t="s">
        <v>379</v>
      </c>
      <c r="G4242" s="35" t="s">
        <v>524</v>
      </c>
    </row>
    <row r="4243" spans="1:7">
      <c r="A4243" s="34">
        <v>2084028284</v>
      </c>
      <c r="B4243" s="35" t="s">
        <v>462</v>
      </c>
      <c r="C4243" s="35" t="s">
        <v>405</v>
      </c>
      <c r="D4243" s="35" t="s">
        <v>1022</v>
      </c>
      <c r="E4243" s="35" t="s">
        <v>1053</v>
      </c>
      <c r="F4243" s="35" t="s">
        <v>379</v>
      </c>
      <c r="G4243" s="35" t="s">
        <v>525</v>
      </c>
    </row>
    <row r="4244" spans="1:7">
      <c r="A4244" s="34">
        <v>2084028486</v>
      </c>
      <c r="B4244" s="35" t="s">
        <v>462</v>
      </c>
      <c r="C4244" s="35" t="s">
        <v>405</v>
      </c>
      <c r="D4244" s="35" t="s">
        <v>1022</v>
      </c>
      <c r="E4244" s="35" t="s">
        <v>1053</v>
      </c>
      <c r="F4244" s="35" t="s">
        <v>379</v>
      </c>
      <c r="G4244" s="35" t="s">
        <v>526</v>
      </c>
    </row>
    <row r="4245" spans="1:7">
      <c r="A4245" s="34">
        <v>2084028309</v>
      </c>
      <c r="B4245" s="35" t="s">
        <v>462</v>
      </c>
      <c r="C4245" s="35" t="s">
        <v>405</v>
      </c>
      <c r="D4245" s="35" t="s">
        <v>1022</v>
      </c>
      <c r="E4245" s="35" t="s">
        <v>1053</v>
      </c>
      <c r="F4245" s="35" t="s">
        <v>379</v>
      </c>
      <c r="G4245" s="35" t="s">
        <v>527</v>
      </c>
    </row>
    <row r="4246" spans="1:7">
      <c r="A4246" s="34">
        <v>2084028521</v>
      </c>
      <c r="B4246" s="35" t="s">
        <v>462</v>
      </c>
      <c r="C4246" s="35" t="s">
        <v>405</v>
      </c>
      <c r="D4246" s="35" t="s">
        <v>1022</v>
      </c>
      <c r="E4246" s="35" t="s">
        <v>1053</v>
      </c>
      <c r="F4246" s="35" t="s">
        <v>379</v>
      </c>
      <c r="G4246" s="35" t="s">
        <v>528</v>
      </c>
    </row>
    <row r="4247" spans="1:7">
      <c r="A4247" s="34">
        <v>2084028347</v>
      </c>
      <c r="B4247" s="35" t="s">
        <v>462</v>
      </c>
      <c r="C4247" s="35" t="s">
        <v>405</v>
      </c>
      <c r="D4247" s="35" t="s">
        <v>1022</v>
      </c>
      <c r="E4247" s="35" t="s">
        <v>1053</v>
      </c>
      <c r="F4247" s="35" t="s">
        <v>379</v>
      </c>
      <c r="G4247" s="35" t="s">
        <v>529</v>
      </c>
    </row>
    <row r="4248" spans="1:7">
      <c r="A4248" s="34">
        <v>2084058570</v>
      </c>
      <c r="B4248" s="35" t="s">
        <v>462</v>
      </c>
      <c r="C4248" s="35" t="s">
        <v>405</v>
      </c>
      <c r="D4248" s="35" t="s">
        <v>1022</v>
      </c>
      <c r="E4248" s="35" t="s">
        <v>1053</v>
      </c>
      <c r="F4248" s="35" t="s">
        <v>379</v>
      </c>
      <c r="G4248" s="35" t="s">
        <v>335</v>
      </c>
    </row>
    <row r="4249" spans="1:7">
      <c r="A4249" s="34">
        <v>2084028561</v>
      </c>
      <c r="B4249" s="35" t="s">
        <v>462</v>
      </c>
      <c r="C4249" s="35" t="s">
        <v>405</v>
      </c>
      <c r="D4249" s="35" t="s">
        <v>1022</v>
      </c>
      <c r="E4249" s="35" t="s">
        <v>1053</v>
      </c>
      <c r="F4249" s="35" t="s">
        <v>530</v>
      </c>
      <c r="G4249" s="35" t="s">
        <v>531</v>
      </c>
    </row>
    <row r="4250" spans="1:7">
      <c r="A4250" s="34">
        <v>2084028599</v>
      </c>
      <c r="B4250" s="35" t="s">
        <v>462</v>
      </c>
      <c r="C4250" s="35" t="s">
        <v>405</v>
      </c>
      <c r="D4250" s="35" t="s">
        <v>1022</v>
      </c>
      <c r="E4250" s="35" t="s">
        <v>1053</v>
      </c>
      <c r="F4250" s="35" t="s">
        <v>530</v>
      </c>
      <c r="G4250" s="35" t="s">
        <v>532</v>
      </c>
    </row>
    <row r="4251" spans="1:7">
      <c r="A4251" s="34">
        <v>2084030099</v>
      </c>
      <c r="B4251" s="35" t="s">
        <v>462</v>
      </c>
      <c r="C4251" s="35" t="s">
        <v>405</v>
      </c>
      <c r="D4251" s="35" t="s">
        <v>1022</v>
      </c>
      <c r="E4251" s="35" t="s">
        <v>1053</v>
      </c>
      <c r="F4251" s="35" t="s">
        <v>533</v>
      </c>
      <c r="G4251" s="35" t="s">
        <v>534</v>
      </c>
    </row>
    <row r="4252" spans="1:7">
      <c r="A4252" s="34">
        <v>2084030181</v>
      </c>
      <c r="B4252" s="35" t="s">
        <v>462</v>
      </c>
      <c r="C4252" s="35" t="s">
        <v>405</v>
      </c>
      <c r="D4252" s="35" t="s">
        <v>1022</v>
      </c>
      <c r="E4252" s="35" t="s">
        <v>1053</v>
      </c>
      <c r="F4252" s="35" t="s">
        <v>533</v>
      </c>
      <c r="G4252" s="35" t="s">
        <v>535</v>
      </c>
    </row>
    <row r="4253" spans="1:7">
      <c r="A4253" s="34">
        <v>2084027173</v>
      </c>
      <c r="B4253" s="35" t="s">
        <v>462</v>
      </c>
      <c r="C4253" s="35" t="s">
        <v>405</v>
      </c>
      <c r="D4253" s="35" t="s">
        <v>1022</v>
      </c>
      <c r="E4253" s="35" t="s">
        <v>1053</v>
      </c>
      <c r="F4253" s="35" t="s">
        <v>533</v>
      </c>
      <c r="G4253" s="35" t="s">
        <v>536</v>
      </c>
    </row>
    <row r="4254" spans="1:7">
      <c r="A4254" s="34">
        <v>2084058574</v>
      </c>
      <c r="B4254" s="35" t="s">
        <v>462</v>
      </c>
      <c r="C4254" s="35" t="s">
        <v>405</v>
      </c>
      <c r="D4254" s="35" t="s">
        <v>1022</v>
      </c>
      <c r="E4254" s="35" t="s">
        <v>1053</v>
      </c>
      <c r="F4254" s="35" t="s">
        <v>484</v>
      </c>
    </row>
    <row r="4255" spans="1:7">
      <c r="A4255" s="34">
        <v>2084048708</v>
      </c>
      <c r="B4255" s="35" t="s">
        <v>462</v>
      </c>
      <c r="C4255" s="35" t="s">
        <v>405</v>
      </c>
      <c r="D4255" s="35" t="s">
        <v>1022</v>
      </c>
      <c r="E4255" s="35" t="s">
        <v>1053</v>
      </c>
      <c r="F4255" s="35" t="s">
        <v>335</v>
      </c>
    </row>
    <row r="4256" spans="1:7">
      <c r="A4256" s="34">
        <v>2084056811</v>
      </c>
      <c r="B4256" s="35" t="s">
        <v>462</v>
      </c>
      <c r="C4256" s="35" t="s">
        <v>405</v>
      </c>
      <c r="D4256" s="35" t="s">
        <v>1054</v>
      </c>
      <c r="E4256" s="35" t="s">
        <v>1055</v>
      </c>
      <c r="F4256" s="35" t="s">
        <v>390</v>
      </c>
      <c r="G4256" s="35" t="s">
        <v>367</v>
      </c>
    </row>
    <row r="4257" spans="1:8">
      <c r="A4257" s="34">
        <v>2084056812</v>
      </c>
      <c r="B4257" s="35" t="s">
        <v>462</v>
      </c>
      <c r="C4257" s="35" t="s">
        <v>405</v>
      </c>
      <c r="D4257" s="35" t="s">
        <v>1054</v>
      </c>
      <c r="E4257" s="35" t="s">
        <v>1055</v>
      </c>
      <c r="F4257" s="35" t="s">
        <v>390</v>
      </c>
      <c r="G4257" s="35" t="s">
        <v>401</v>
      </c>
    </row>
    <row r="4258" spans="1:8">
      <c r="A4258" s="34">
        <v>2084056818</v>
      </c>
      <c r="B4258" s="35" t="s">
        <v>462</v>
      </c>
      <c r="C4258" s="35" t="s">
        <v>405</v>
      </c>
      <c r="D4258" s="35" t="s">
        <v>1054</v>
      </c>
      <c r="E4258" s="35" t="s">
        <v>1055</v>
      </c>
      <c r="F4258" s="35" t="s">
        <v>390</v>
      </c>
      <c r="G4258" s="35" t="s">
        <v>10</v>
      </c>
      <c r="H4258" s="35" t="s">
        <v>483</v>
      </c>
    </row>
    <row r="4259" spans="1:8">
      <c r="A4259" s="34">
        <v>2084056815</v>
      </c>
      <c r="B4259" s="35" t="s">
        <v>462</v>
      </c>
      <c r="C4259" s="35" t="s">
        <v>405</v>
      </c>
      <c r="D4259" s="35" t="s">
        <v>1054</v>
      </c>
      <c r="E4259" s="35" t="s">
        <v>1055</v>
      </c>
      <c r="F4259" s="35" t="s">
        <v>390</v>
      </c>
      <c r="G4259" s="35" t="s">
        <v>10</v>
      </c>
      <c r="H4259" s="35" t="s">
        <v>397</v>
      </c>
    </row>
    <row r="4260" spans="1:8">
      <c r="A4260" s="34">
        <v>2084056817</v>
      </c>
      <c r="B4260" s="35" t="s">
        <v>462</v>
      </c>
      <c r="C4260" s="35" t="s">
        <v>405</v>
      </c>
      <c r="D4260" s="35" t="s">
        <v>1054</v>
      </c>
      <c r="E4260" s="35" t="s">
        <v>1055</v>
      </c>
      <c r="F4260" s="35" t="s">
        <v>390</v>
      </c>
      <c r="G4260" s="35" t="s">
        <v>10</v>
      </c>
      <c r="H4260" s="35" t="s">
        <v>421</v>
      </c>
    </row>
    <row r="4261" spans="1:8">
      <c r="A4261" s="34">
        <v>2084056814</v>
      </c>
      <c r="B4261" s="35" t="s">
        <v>462</v>
      </c>
      <c r="C4261" s="35" t="s">
        <v>405</v>
      </c>
      <c r="D4261" s="35" t="s">
        <v>1054</v>
      </c>
      <c r="E4261" s="35" t="s">
        <v>1055</v>
      </c>
      <c r="F4261" s="35" t="s">
        <v>390</v>
      </c>
      <c r="G4261" s="35" t="s">
        <v>10</v>
      </c>
      <c r="H4261" s="35" t="s">
        <v>398</v>
      </c>
    </row>
    <row r="4262" spans="1:8">
      <c r="A4262" s="34">
        <v>2084056816</v>
      </c>
      <c r="B4262" s="35" t="s">
        <v>462</v>
      </c>
      <c r="C4262" s="35" t="s">
        <v>405</v>
      </c>
      <c r="D4262" s="35" t="s">
        <v>1054</v>
      </c>
      <c r="E4262" s="35" t="s">
        <v>1055</v>
      </c>
      <c r="F4262" s="35" t="s">
        <v>390</v>
      </c>
      <c r="G4262" s="35" t="s">
        <v>10</v>
      </c>
      <c r="H4262" s="35" t="s">
        <v>422</v>
      </c>
    </row>
    <row r="4263" spans="1:8">
      <c r="A4263" s="34">
        <v>2084056819</v>
      </c>
      <c r="B4263" s="35" t="s">
        <v>462</v>
      </c>
      <c r="C4263" s="35" t="s">
        <v>405</v>
      </c>
      <c r="D4263" s="35" t="s">
        <v>1054</v>
      </c>
      <c r="E4263" s="35" t="s">
        <v>1055</v>
      </c>
      <c r="F4263" s="35" t="s">
        <v>390</v>
      </c>
      <c r="G4263" s="35" t="s">
        <v>10</v>
      </c>
      <c r="H4263" s="35" t="s">
        <v>335</v>
      </c>
    </row>
    <row r="4264" spans="1:8">
      <c r="A4264" s="34">
        <v>2084056822</v>
      </c>
      <c r="B4264" s="35" t="s">
        <v>462</v>
      </c>
      <c r="C4264" s="35" t="s">
        <v>405</v>
      </c>
      <c r="D4264" s="35" t="s">
        <v>1054</v>
      </c>
      <c r="E4264" s="35" t="s">
        <v>1055</v>
      </c>
      <c r="F4264" s="35" t="s">
        <v>390</v>
      </c>
      <c r="G4264" s="35" t="s">
        <v>379</v>
      </c>
      <c r="H4264" s="35" t="s">
        <v>545</v>
      </c>
    </row>
    <row r="4265" spans="1:8">
      <c r="A4265" s="34">
        <v>2084056821</v>
      </c>
      <c r="B4265" s="35" t="s">
        <v>462</v>
      </c>
      <c r="C4265" s="35" t="s">
        <v>405</v>
      </c>
      <c r="D4265" s="35" t="s">
        <v>1054</v>
      </c>
      <c r="E4265" s="35" t="s">
        <v>1055</v>
      </c>
      <c r="F4265" s="35" t="s">
        <v>390</v>
      </c>
      <c r="G4265" s="35" t="s">
        <v>379</v>
      </c>
      <c r="H4265" s="35" t="s">
        <v>476</v>
      </c>
    </row>
    <row r="4266" spans="1:8">
      <c r="A4266" s="34">
        <v>2084056823</v>
      </c>
      <c r="B4266" s="35" t="s">
        <v>462</v>
      </c>
      <c r="C4266" s="35" t="s">
        <v>405</v>
      </c>
      <c r="D4266" s="35" t="s">
        <v>1054</v>
      </c>
      <c r="E4266" s="35" t="s">
        <v>1055</v>
      </c>
      <c r="F4266" s="35" t="s">
        <v>390</v>
      </c>
      <c r="G4266" s="35" t="s">
        <v>379</v>
      </c>
      <c r="H4266" s="35" t="s">
        <v>335</v>
      </c>
    </row>
    <row r="4267" spans="1:8">
      <c r="A4267" s="34">
        <v>2084061669</v>
      </c>
      <c r="B4267" s="35" t="s">
        <v>462</v>
      </c>
      <c r="C4267" s="35" t="s">
        <v>405</v>
      </c>
      <c r="D4267" s="35" t="s">
        <v>1054</v>
      </c>
      <c r="E4267" s="35" t="s">
        <v>1055</v>
      </c>
      <c r="F4267" s="35" t="s">
        <v>390</v>
      </c>
      <c r="G4267" s="35" t="s">
        <v>478</v>
      </c>
    </row>
    <row r="4268" spans="1:8">
      <c r="A4268" s="34">
        <v>2084056824</v>
      </c>
      <c r="B4268" s="35" t="s">
        <v>462</v>
      </c>
      <c r="C4268" s="35" t="s">
        <v>405</v>
      </c>
      <c r="D4268" s="35" t="s">
        <v>1054</v>
      </c>
      <c r="E4268" s="35" t="s">
        <v>1055</v>
      </c>
      <c r="F4268" s="35" t="s">
        <v>390</v>
      </c>
      <c r="G4268" s="35" t="s">
        <v>335</v>
      </c>
    </row>
    <row r="4269" spans="1:8">
      <c r="A4269" s="34">
        <v>2084056794</v>
      </c>
      <c r="B4269" s="35" t="s">
        <v>462</v>
      </c>
      <c r="C4269" s="35" t="s">
        <v>405</v>
      </c>
      <c r="D4269" s="35" t="s">
        <v>1054</v>
      </c>
      <c r="E4269" s="35" t="s">
        <v>1055</v>
      </c>
      <c r="F4269" s="35" t="s">
        <v>353</v>
      </c>
      <c r="G4269" s="35" t="s">
        <v>367</v>
      </c>
    </row>
    <row r="4270" spans="1:8">
      <c r="A4270" s="34">
        <v>2084056797</v>
      </c>
      <c r="B4270" s="35" t="s">
        <v>462</v>
      </c>
      <c r="C4270" s="35" t="s">
        <v>405</v>
      </c>
      <c r="D4270" s="35" t="s">
        <v>1054</v>
      </c>
      <c r="E4270" s="35" t="s">
        <v>1055</v>
      </c>
      <c r="F4270" s="35" t="s">
        <v>353</v>
      </c>
      <c r="G4270" s="35" t="s">
        <v>368</v>
      </c>
      <c r="H4270" s="35" t="s">
        <v>481</v>
      </c>
    </row>
    <row r="4271" spans="1:8">
      <c r="A4271" s="34">
        <v>2084056796</v>
      </c>
      <c r="B4271" s="35" t="s">
        <v>462</v>
      </c>
      <c r="C4271" s="35" t="s">
        <v>405</v>
      </c>
      <c r="D4271" s="35" t="s">
        <v>1054</v>
      </c>
      <c r="E4271" s="35" t="s">
        <v>1055</v>
      </c>
      <c r="F4271" s="35" t="s">
        <v>353</v>
      </c>
      <c r="G4271" s="35" t="s">
        <v>368</v>
      </c>
      <c r="H4271" s="35" t="s">
        <v>482</v>
      </c>
    </row>
    <row r="4272" spans="1:8">
      <c r="A4272" s="34">
        <v>2084056798</v>
      </c>
      <c r="B4272" s="35" t="s">
        <v>462</v>
      </c>
      <c r="C4272" s="35" t="s">
        <v>405</v>
      </c>
      <c r="D4272" s="35" t="s">
        <v>1054</v>
      </c>
      <c r="E4272" s="35" t="s">
        <v>1055</v>
      </c>
      <c r="F4272" s="35" t="s">
        <v>353</v>
      </c>
      <c r="G4272" s="35" t="s">
        <v>368</v>
      </c>
      <c r="H4272" s="35" t="s">
        <v>335</v>
      </c>
    </row>
    <row r="4273" spans="1:8">
      <c r="A4273" s="34">
        <v>2084056804</v>
      </c>
      <c r="B4273" s="35" t="s">
        <v>462</v>
      </c>
      <c r="C4273" s="35" t="s">
        <v>405</v>
      </c>
      <c r="D4273" s="35" t="s">
        <v>1054</v>
      </c>
      <c r="E4273" s="35" t="s">
        <v>1055</v>
      </c>
      <c r="F4273" s="35" t="s">
        <v>353</v>
      </c>
      <c r="G4273" s="35" t="s">
        <v>10</v>
      </c>
      <c r="H4273" s="35" t="s">
        <v>483</v>
      </c>
    </row>
    <row r="4274" spans="1:8">
      <c r="A4274" s="34">
        <v>2084056801</v>
      </c>
      <c r="B4274" s="35" t="s">
        <v>462</v>
      </c>
      <c r="C4274" s="35" t="s">
        <v>405</v>
      </c>
      <c r="D4274" s="35" t="s">
        <v>1054</v>
      </c>
      <c r="E4274" s="35" t="s">
        <v>1055</v>
      </c>
      <c r="F4274" s="35" t="s">
        <v>353</v>
      </c>
      <c r="G4274" s="35" t="s">
        <v>10</v>
      </c>
      <c r="H4274" s="35" t="s">
        <v>397</v>
      </c>
    </row>
    <row r="4275" spans="1:8">
      <c r="A4275" s="34">
        <v>2084056803</v>
      </c>
      <c r="B4275" s="35" t="s">
        <v>462</v>
      </c>
      <c r="C4275" s="35" t="s">
        <v>405</v>
      </c>
      <c r="D4275" s="35" t="s">
        <v>1054</v>
      </c>
      <c r="E4275" s="35" t="s">
        <v>1055</v>
      </c>
      <c r="F4275" s="35" t="s">
        <v>353</v>
      </c>
      <c r="G4275" s="35" t="s">
        <v>10</v>
      </c>
      <c r="H4275" s="35" t="s">
        <v>421</v>
      </c>
    </row>
    <row r="4276" spans="1:8">
      <c r="A4276" s="34">
        <v>2084056800</v>
      </c>
      <c r="B4276" s="35" t="s">
        <v>462</v>
      </c>
      <c r="C4276" s="35" t="s">
        <v>405</v>
      </c>
      <c r="D4276" s="35" t="s">
        <v>1054</v>
      </c>
      <c r="E4276" s="35" t="s">
        <v>1055</v>
      </c>
      <c r="F4276" s="35" t="s">
        <v>353</v>
      </c>
      <c r="G4276" s="35" t="s">
        <v>10</v>
      </c>
      <c r="H4276" s="35" t="s">
        <v>398</v>
      </c>
    </row>
    <row r="4277" spans="1:8">
      <c r="A4277" s="34">
        <v>2084056802</v>
      </c>
      <c r="B4277" s="35" t="s">
        <v>462</v>
      </c>
      <c r="C4277" s="35" t="s">
        <v>405</v>
      </c>
      <c r="D4277" s="35" t="s">
        <v>1054</v>
      </c>
      <c r="E4277" s="35" t="s">
        <v>1055</v>
      </c>
      <c r="F4277" s="35" t="s">
        <v>353</v>
      </c>
      <c r="G4277" s="35" t="s">
        <v>10</v>
      </c>
      <c r="H4277" s="35" t="s">
        <v>422</v>
      </c>
    </row>
    <row r="4278" spans="1:8">
      <c r="A4278" s="34">
        <v>2084056805</v>
      </c>
      <c r="B4278" s="35" t="s">
        <v>462</v>
      </c>
      <c r="C4278" s="35" t="s">
        <v>405</v>
      </c>
      <c r="D4278" s="35" t="s">
        <v>1054</v>
      </c>
      <c r="E4278" s="35" t="s">
        <v>1055</v>
      </c>
      <c r="F4278" s="35" t="s">
        <v>353</v>
      </c>
      <c r="G4278" s="35" t="s">
        <v>10</v>
      </c>
      <c r="H4278" s="35" t="s">
        <v>335</v>
      </c>
    </row>
    <row r="4279" spans="1:8">
      <c r="A4279" s="34">
        <v>2084056807</v>
      </c>
      <c r="B4279" s="35" t="s">
        <v>462</v>
      </c>
      <c r="C4279" s="35" t="s">
        <v>405</v>
      </c>
      <c r="D4279" s="35" t="s">
        <v>1054</v>
      </c>
      <c r="E4279" s="35" t="s">
        <v>1055</v>
      </c>
      <c r="F4279" s="35" t="s">
        <v>353</v>
      </c>
      <c r="G4279" s="35" t="s">
        <v>379</v>
      </c>
      <c r="H4279" s="35" t="s">
        <v>545</v>
      </c>
    </row>
    <row r="4280" spans="1:8">
      <c r="A4280" s="34">
        <v>2084056808</v>
      </c>
      <c r="B4280" s="35" t="s">
        <v>462</v>
      </c>
      <c r="C4280" s="35" t="s">
        <v>405</v>
      </c>
      <c r="D4280" s="35" t="s">
        <v>1054</v>
      </c>
      <c r="E4280" s="35" t="s">
        <v>1055</v>
      </c>
      <c r="F4280" s="35" t="s">
        <v>353</v>
      </c>
      <c r="G4280" s="35" t="s">
        <v>379</v>
      </c>
      <c r="H4280" s="35" t="s">
        <v>335</v>
      </c>
    </row>
    <row r="4281" spans="1:8">
      <c r="A4281" s="34">
        <v>2084056809</v>
      </c>
      <c r="B4281" s="35" t="s">
        <v>462</v>
      </c>
      <c r="C4281" s="35" t="s">
        <v>405</v>
      </c>
      <c r="D4281" s="35" t="s">
        <v>1054</v>
      </c>
      <c r="E4281" s="35" t="s">
        <v>1055</v>
      </c>
      <c r="F4281" s="35" t="s">
        <v>353</v>
      </c>
      <c r="G4281" s="35" t="s">
        <v>335</v>
      </c>
    </row>
    <row r="4282" spans="1:8">
      <c r="A4282" s="34">
        <v>2084056825</v>
      </c>
      <c r="B4282" s="35" t="s">
        <v>462</v>
      </c>
      <c r="C4282" s="35" t="s">
        <v>405</v>
      </c>
      <c r="D4282" s="35" t="s">
        <v>1054</v>
      </c>
      <c r="E4282" s="35" t="s">
        <v>1055</v>
      </c>
      <c r="F4282" s="35" t="s">
        <v>335</v>
      </c>
    </row>
    <row r="4283" spans="1:8">
      <c r="A4283" s="34">
        <v>2084054293</v>
      </c>
      <c r="B4283" s="35" t="s">
        <v>462</v>
      </c>
      <c r="C4283" s="35" t="s">
        <v>405</v>
      </c>
      <c r="D4283" s="35" t="s">
        <v>1054</v>
      </c>
      <c r="E4283" s="35" t="s">
        <v>1056</v>
      </c>
      <c r="F4283" s="35" t="s">
        <v>353</v>
      </c>
      <c r="G4283" s="35" t="s">
        <v>368</v>
      </c>
      <c r="H4283" s="35" t="s">
        <v>481</v>
      </c>
    </row>
    <row r="4284" spans="1:8">
      <c r="A4284" s="34">
        <v>2084054294</v>
      </c>
      <c r="B4284" s="35" t="s">
        <v>462</v>
      </c>
      <c r="C4284" s="35" t="s">
        <v>405</v>
      </c>
      <c r="D4284" s="35" t="s">
        <v>1054</v>
      </c>
      <c r="E4284" s="35" t="s">
        <v>1056</v>
      </c>
      <c r="F4284" s="35" t="s">
        <v>353</v>
      </c>
      <c r="G4284" s="35" t="s">
        <v>368</v>
      </c>
      <c r="H4284" s="35" t="s">
        <v>335</v>
      </c>
    </row>
    <row r="4285" spans="1:8">
      <c r="A4285" s="34">
        <v>2084054299</v>
      </c>
      <c r="B4285" s="35" t="s">
        <v>462</v>
      </c>
      <c r="C4285" s="35" t="s">
        <v>405</v>
      </c>
      <c r="D4285" s="35" t="s">
        <v>1054</v>
      </c>
      <c r="E4285" s="35" t="s">
        <v>1056</v>
      </c>
      <c r="F4285" s="35" t="s">
        <v>353</v>
      </c>
      <c r="G4285" s="35" t="s">
        <v>10</v>
      </c>
      <c r="H4285" s="35" t="s">
        <v>397</v>
      </c>
    </row>
    <row r="4286" spans="1:8">
      <c r="A4286" s="34">
        <v>2084054298</v>
      </c>
      <c r="B4286" s="35" t="s">
        <v>462</v>
      </c>
      <c r="C4286" s="35" t="s">
        <v>405</v>
      </c>
      <c r="D4286" s="35" t="s">
        <v>1054</v>
      </c>
      <c r="E4286" s="35" t="s">
        <v>1056</v>
      </c>
      <c r="F4286" s="35" t="s">
        <v>353</v>
      </c>
      <c r="G4286" s="35" t="s">
        <v>10</v>
      </c>
      <c r="H4286" s="35" t="s">
        <v>421</v>
      </c>
    </row>
    <row r="4287" spans="1:8">
      <c r="A4287" s="34">
        <v>2084054296</v>
      </c>
      <c r="B4287" s="35" t="s">
        <v>462</v>
      </c>
      <c r="C4287" s="35" t="s">
        <v>405</v>
      </c>
      <c r="D4287" s="35" t="s">
        <v>1054</v>
      </c>
      <c r="E4287" s="35" t="s">
        <v>1056</v>
      </c>
      <c r="F4287" s="35" t="s">
        <v>353</v>
      </c>
      <c r="G4287" s="35" t="s">
        <v>10</v>
      </c>
      <c r="H4287" s="35" t="s">
        <v>398</v>
      </c>
    </row>
    <row r="4288" spans="1:8">
      <c r="A4288" s="34">
        <v>2084054297</v>
      </c>
      <c r="B4288" s="35" t="s">
        <v>462</v>
      </c>
      <c r="C4288" s="35" t="s">
        <v>405</v>
      </c>
      <c r="D4288" s="35" t="s">
        <v>1054</v>
      </c>
      <c r="E4288" s="35" t="s">
        <v>1056</v>
      </c>
      <c r="F4288" s="35" t="s">
        <v>353</v>
      </c>
      <c r="G4288" s="35" t="s">
        <v>10</v>
      </c>
      <c r="H4288" s="35" t="s">
        <v>422</v>
      </c>
    </row>
    <row r="4289" spans="1:8">
      <c r="A4289" s="34">
        <v>2084054300</v>
      </c>
      <c r="B4289" s="35" t="s">
        <v>462</v>
      </c>
      <c r="C4289" s="35" t="s">
        <v>405</v>
      </c>
      <c r="D4289" s="35" t="s">
        <v>1054</v>
      </c>
      <c r="E4289" s="35" t="s">
        <v>1056</v>
      </c>
      <c r="F4289" s="35" t="s">
        <v>353</v>
      </c>
      <c r="G4289" s="35" t="s">
        <v>10</v>
      </c>
      <c r="H4289" s="35" t="s">
        <v>335</v>
      </c>
    </row>
    <row r="4290" spans="1:8">
      <c r="A4290" s="34">
        <v>2084054302</v>
      </c>
      <c r="B4290" s="35" t="s">
        <v>462</v>
      </c>
      <c r="C4290" s="35" t="s">
        <v>405</v>
      </c>
      <c r="D4290" s="35" t="s">
        <v>1054</v>
      </c>
      <c r="E4290" s="35" t="s">
        <v>1056</v>
      </c>
      <c r="F4290" s="35" t="s">
        <v>353</v>
      </c>
      <c r="G4290" s="35" t="s">
        <v>379</v>
      </c>
      <c r="H4290" s="35" t="s">
        <v>545</v>
      </c>
    </row>
    <row r="4291" spans="1:8">
      <c r="A4291" s="34">
        <v>2084054303</v>
      </c>
      <c r="B4291" s="35" t="s">
        <v>462</v>
      </c>
      <c r="C4291" s="35" t="s">
        <v>405</v>
      </c>
      <c r="D4291" s="35" t="s">
        <v>1054</v>
      </c>
      <c r="E4291" s="35" t="s">
        <v>1056</v>
      </c>
      <c r="F4291" s="35" t="s">
        <v>353</v>
      </c>
      <c r="G4291" s="35" t="s">
        <v>379</v>
      </c>
      <c r="H4291" s="35" t="s">
        <v>335</v>
      </c>
    </row>
    <row r="4292" spans="1:8">
      <c r="A4292" s="34">
        <v>2084054304</v>
      </c>
      <c r="B4292" s="35" t="s">
        <v>462</v>
      </c>
      <c r="C4292" s="35" t="s">
        <v>405</v>
      </c>
      <c r="D4292" s="35" t="s">
        <v>1054</v>
      </c>
      <c r="E4292" s="35" t="s">
        <v>1056</v>
      </c>
      <c r="F4292" s="35" t="s">
        <v>353</v>
      </c>
      <c r="G4292" s="35" t="s">
        <v>335</v>
      </c>
    </row>
    <row r="4293" spans="1:8">
      <c r="A4293" s="34">
        <v>2084054305</v>
      </c>
      <c r="B4293" s="35" t="s">
        <v>462</v>
      </c>
      <c r="C4293" s="35" t="s">
        <v>405</v>
      </c>
      <c r="D4293" s="35" t="s">
        <v>1054</v>
      </c>
      <c r="E4293" s="35" t="s">
        <v>1056</v>
      </c>
      <c r="F4293" s="35" t="s">
        <v>335</v>
      </c>
    </row>
    <row r="4294" spans="1:8">
      <c r="A4294" s="34">
        <v>2084229997</v>
      </c>
      <c r="B4294" s="35" t="s">
        <v>462</v>
      </c>
      <c r="C4294" s="35" t="s">
        <v>405</v>
      </c>
      <c r="D4294" s="35" t="s">
        <v>1054</v>
      </c>
      <c r="E4294" s="35" t="s">
        <v>1057</v>
      </c>
    </row>
    <row r="4295" spans="1:8">
      <c r="A4295" s="34">
        <v>2084055901</v>
      </c>
      <c r="B4295" s="35" t="s">
        <v>462</v>
      </c>
      <c r="C4295" s="35" t="s">
        <v>405</v>
      </c>
      <c r="D4295" s="35" t="s">
        <v>1054</v>
      </c>
      <c r="E4295" s="35" t="s">
        <v>1058</v>
      </c>
      <c r="F4295" s="35" t="s">
        <v>367</v>
      </c>
    </row>
    <row r="4296" spans="1:8">
      <c r="A4296" s="34">
        <v>2084055902</v>
      </c>
      <c r="B4296" s="35" t="s">
        <v>462</v>
      </c>
      <c r="C4296" s="35" t="s">
        <v>405</v>
      </c>
      <c r="D4296" s="35" t="s">
        <v>1054</v>
      </c>
      <c r="E4296" s="35" t="s">
        <v>1058</v>
      </c>
      <c r="F4296" s="35" t="s">
        <v>401</v>
      </c>
    </row>
    <row r="4297" spans="1:8">
      <c r="A4297" s="34">
        <v>2084055904</v>
      </c>
      <c r="B4297" s="35" t="s">
        <v>462</v>
      </c>
      <c r="C4297" s="35" t="s">
        <v>405</v>
      </c>
      <c r="D4297" s="35" t="s">
        <v>1054</v>
      </c>
      <c r="E4297" s="35" t="s">
        <v>1058</v>
      </c>
      <c r="F4297" s="35" t="s">
        <v>10</v>
      </c>
      <c r="G4297" s="35" t="s">
        <v>483</v>
      </c>
    </row>
    <row r="4298" spans="1:8">
      <c r="A4298" s="34">
        <v>2084055906</v>
      </c>
      <c r="B4298" s="35" t="s">
        <v>462</v>
      </c>
      <c r="C4298" s="35" t="s">
        <v>405</v>
      </c>
      <c r="D4298" s="35" t="s">
        <v>1054</v>
      </c>
      <c r="E4298" s="35" t="s">
        <v>1058</v>
      </c>
      <c r="F4298" s="35" t="s">
        <v>10</v>
      </c>
      <c r="G4298" s="35" t="s">
        <v>397</v>
      </c>
    </row>
    <row r="4299" spans="1:8">
      <c r="A4299" s="34">
        <v>2084055905</v>
      </c>
      <c r="B4299" s="35" t="s">
        <v>462</v>
      </c>
      <c r="C4299" s="35" t="s">
        <v>405</v>
      </c>
      <c r="D4299" s="35" t="s">
        <v>1054</v>
      </c>
      <c r="E4299" s="35" t="s">
        <v>1058</v>
      </c>
      <c r="F4299" s="35" t="s">
        <v>10</v>
      </c>
      <c r="G4299" s="35" t="s">
        <v>421</v>
      </c>
    </row>
    <row r="4300" spans="1:8">
      <c r="A4300" s="34">
        <v>2084055908</v>
      </c>
      <c r="B4300" s="35" t="s">
        <v>462</v>
      </c>
      <c r="C4300" s="35" t="s">
        <v>405</v>
      </c>
      <c r="D4300" s="35" t="s">
        <v>1054</v>
      </c>
      <c r="E4300" s="35" t="s">
        <v>1058</v>
      </c>
      <c r="F4300" s="35" t="s">
        <v>10</v>
      </c>
      <c r="G4300" s="35" t="s">
        <v>398</v>
      </c>
    </row>
    <row r="4301" spans="1:8">
      <c r="A4301" s="34">
        <v>2084055907</v>
      </c>
      <c r="B4301" s="35" t="s">
        <v>462</v>
      </c>
      <c r="C4301" s="35" t="s">
        <v>405</v>
      </c>
      <c r="D4301" s="35" t="s">
        <v>1054</v>
      </c>
      <c r="E4301" s="35" t="s">
        <v>1058</v>
      </c>
      <c r="F4301" s="35" t="s">
        <v>10</v>
      </c>
      <c r="G4301" s="35" t="s">
        <v>422</v>
      </c>
    </row>
    <row r="4302" spans="1:8">
      <c r="A4302" s="34">
        <v>2084055909</v>
      </c>
      <c r="B4302" s="35" t="s">
        <v>462</v>
      </c>
      <c r="C4302" s="35" t="s">
        <v>405</v>
      </c>
      <c r="D4302" s="35" t="s">
        <v>1054</v>
      </c>
      <c r="E4302" s="35" t="s">
        <v>1058</v>
      </c>
      <c r="F4302" s="35" t="s">
        <v>10</v>
      </c>
      <c r="G4302" s="35" t="s">
        <v>335</v>
      </c>
    </row>
    <row r="4303" spans="1:8">
      <c r="A4303" s="34">
        <v>2084055911</v>
      </c>
      <c r="B4303" s="35" t="s">
        <v>462</v>
      </c>
      <c r="C4303" s="35" t="s">
        <v>405</v>
      </c>
      <c r="D4303" s="35" t="s">
        <v>1054</v>
      </c>
      <c r="E4303" s="35" t="s">
        <v>1058</v>
      </c>
      <c r="F4303" s="35" t="s">
        <v>379</v>
      </c>
      <c r="G4303" s="35" t="s">
        <v>476</v>
      </c>
    </row>
    <row r="4304" spans="1:8">
      <c r="A4304" s="34">
        <v>2084055912</v>
      </c>
      <c r="B4304" s="35" t="s">
        <v>462</v>
      </c>
      <c r="C4304" s="35" t="s">
        <v>405</v>
      </c>
      <c r="D4304" s="35" t="s">
        <v>1054</v>
      </c>
      <c r="E4304" s="35" t="s">
        <v>1058</v>
      </c>
      <c r="F4304" s="35" t="s">
        <v>379</v>
      </c>
      <c r="G4304" s="35" t="s">
        <v>335</v>
      </c>
    </row>
    <row r="4305" spans="1:8">
      <c r="A4305" s="34">
        <v>2084055913</v>
      </c>
      <c r="B4305" s="35" t="s">
        <v>462</v>
      </c>
      <c r="C4305" s="35" t="s">
        <v>405</v>
      </c>
      <c r="D4305" s="35" t="s">
        <v>1054</v>
      </c>
      <c r="E4305" s="35" t="s">
        <v>1058</v>
      </c>
      <c r="F4305" s="35" t="s">
        <v>335</v>
      </c>
    </row>
    <row r="4306" spans="1:8">
      <c r="A4306" s="34">
        <v>2084286898</v>
      </c>
      <c r="B4306" s="35" t="s">
        <v>462</v>
      </c>
      <c r="C4306" s="35" t="s">
        <v>405</v>
      </c>
      <c r="D4306" s="35" t="s">
        <v>1054</v>
      </c>
      <c r="E4306" s="35" t="s">
        <v>1059</v>
      </c>
      <c r="F4306" s="35" t="s">
        <v>587</v>
      </c>
      <c r="G4306" s="35" t="s">
        <v>1060</v>
      </c>
    </row>
    <row r="4307" spans="1:8">
      <c r="A4307" s="34">
        <v>2084286897</v>
      </c>
      <c r="B4307" s="35" t="s">
        <v>462</v>
      </c>
      <c r="C4307" s="35" t="s">
        <v>405</v>
      </c>
      <c r="D4307" s="35" t="s">
        <v>1054</v>
      </c>
      <c r="E4307" s="35" t="s">
        <v>1059</v>
      </c>
      <c r="F4307" s="35" t="s">
        <v>587</v>
      </c>
      <c r="G4307" s="35" t="s">
        <v>1061</v>
      </c>
    </row>
    <row r="4308" spans="1:8">
      <c r="A4308" s="34">
        <v>2084286899</v>
      </c>
      <c r="B4308" s="35" t="s">
        <v>462</v>
      </c>
      <c r="C4308" s="35" t="s">
        <v>405</v>
      </c>
      <c r="D4308" s="35" t="s">
        <v>1054</v>
      </c>
      <c r="E4308" s="35" t="s">
        <v>1059</v>
      </c>
      <c r="F4308" s="35" t="s">
        <v>587</v>
      </c>
      <c r="G4308" s="35" t="s">
        <v>335</v>
      </c>
    </row>
    <row r="4309" spans="1:8">
      <c r="A4309" s="34">
        <v>2084286911</v>
      </c>
      <c r="B4309" s="35" t="s">
        <v>462</v>
      </c>
      <c r="C4309" s="35" t="s">
        <v>405</v>
      </c>
      <c r="D4309" s="35" t="s">
        <v>1054</v>
      </c>
      <c r="E4309" s="35" t="s">
        <v>1059</v>
      </c>
      <c r="F4309" s="35" t="s">
        <v>611</v>
      </c>
      <c r="G4309" s="35" t="s">
        <v>390</v>
      </c>
      <c r="H4309" s="35" t="s">
        <v>788</v>
      </c>
    </row>
    <row r="4310" spans="1:8">
      <c r="A4310" s="34">
        <v>2084286912</v>
      </c>
      <c r="B4310" s="35" t="s">
        <v>462</v>
      </c>
      <c r="C4310" s="35" t="s">
        <v>405</v>
      </c>
      <c r="D4310" s="35" t="s">
        <v>1054</v>
      </c>
      <c r="E4310" s="35" t="s">
        <v>1059</v>
      </c>
      <c r="F4310" s="35" t="s">
        <v>611</v>
      </c>
      <c r="G4310" s="35" t="s">
        <v>390</v>
      </c>
      <c r="H4310" s="35" t="s">
        <v>789</v>
      </c>
    </row>
    <row r="4311" spans="1:8">
      <c r="A4311" s="34">
        <v>2084286913</v>
      </c>
      <c r="B4311" s="35" t="s">
        <v>462</v>
      </c>
      <c r="C4311" s="35" t="s">
        <v>405</v>
      </c>
      <c r="D4311" s="35" t="s">
        <v>1054</v>
      </c>
      <c r="E4311" s="35" t="s">
        <v>1059</v>
      </c>
      <c r="F4311" s="35" t="s">
        <v>611</v>
      </c>
      <c r="G4311" s="35" t="s">
        <v>390</v>
      </c>
      <c r="H4311" s="35" t="s">
        <v>790</v>
      </c>
    </row>
    <row r="4312" spans="1:8">
      <c r="A4312" s="34">
        <v>2084286914</v>
      </c>
      <c r="B4312" s="35" t="s">
        <v>462</v>
      </c>
      <c r="C4312" s="35" t="s">
        <v>405</v>
      </c>
      <c r="D4312" s="35" t="s">
        <v>1054</v>
      </c>
      <c r="E4312" s="35" t="s">
        <v>1059</v>
      </c>
      <c r="F4312" s="35" t="s">
        <v>611</v>
      </c>
      <c r="G4312" s="35" t="s">
        <v>390</v>
      </c>
      <c r="H4312" s="35" t="s">
        <v>791</v>
      </c>
    </row>
    <row r="4313" spans="1:8">
      <c r="A4313" s="34">
        <v>2084286915</v>
      </c>
      <c r="B4313" s="35" t="s">
        <v>462</v>
      </c>
      <c r="C4313" s="35" t="s">
        <v>405</v>
      </c>
      <c r="D4313" s="35" t="s">
        <v>1054</v>
      </c>
      <c r="E4313" s="35" t="s">
        <v>1059</v>
      </c>
      <c r="F4313" s="35" t="s">
        <v>611</v>
      </c>
      <c r="G4313" s="35" t="s">
        <v>390</v>
      </c>
      <c r="H4313" s="35" t="s">
        <v>792</v>
      </c>
    </row>
    <row r="4314" spans="1:8">
      <c r="A4314" s="34">
        <v>2084286916</v>
      </c>
      <c r="B4314" s="35" t="s">
        <v>462</v>
      </c>
      <c r="C4314" s="35" t="s">
        <v>405</v>
      </c>
      <c r="D4314" s="35" t="s">
        <v>1054</v>
      </c>
      <c r="E4314" s="35" t="s">
        <v>1059</v>
      </c>
      <c r="F4314" s="35" t="s">
        <v>611</v>
      </c>
      <c r="G4314" s="35" t="s">
        <v>390</v>
      </c>
      <c r="H4314" s="35" t="s">
        <v>793</v>
      </c>
    </row>
    <row r="4315" spans="1:8">
      <c r="A4315" s="34">
        <v>2084286917</v>
      </c>
      <c r="B4315" s="35" t="s">
        <v>462</v>
      </c>
      <c r="C4315" s="35" t="s">
        <v>405</v>
      </c>
      <c r="D4315" s="35" t="s">
        <v>1054</v>
      </c>
      <c r="E4315" s="35" t="s">
        <v>1059</v>
      </c>
      <c r="F4315" s="35" t="s">
        <v>611</v>
      </c>
      <c r="G4315" s="35" t="s">
        <v>390</v>
      </c>
      <c r="H4315" s="35" t="s">
        <v>794</v>
      </c>
    </row>
    <row r="4316" spans="1:8">
      <c r="A4316" s="34">
        <v>2084286900</v>
      </c>
      <c r="B4316" s="35" t="s">
        <v>462</v>
      </c>
      <c r="C4316" s="35" t="s">
        <v>405</v>
      </c>
      <c r="D4316" s="35" t="s">
        <v>1054</v>
      </c>
      <c r="E4316" s="35" t="s">
        <v>1059</v>
      </c>
      <c r="F4316" s="35" t="s">
        <v>611</v>
      </c>
      <c r="G4316" s="35" t="s">
        <v>353</v>
      </c>
      <c r="H4316" s="35" t="s">
        <v>875</v>
      </c>
    </row>
    <row r="4317" spans="1:8">
      <c r="A4317" s="34">
        <v>2084286901</v>
      </c>
      <c r="B4317" s="35" t="s">
        <v>462</v>
      </c>
      <c r="C4317" s="35" t="s">
        <v>405</v>
      </c>
      <c r="D4317" s="35" t="s">
        <v>1054</v>
      </c>
      <c r="E4317" s="35" t="s">
        <v>1059</v>
      </c>
      <c r="F4317" s="35" t="s">
        <v>611</v>
      </c>
      <c r="G4317" s="35" t="s">
        <v>353</v>
      </c>
      <c r="H4317" s="35" t="s">
        <v>793</v>
      </c>
    </row>
    <row r="4318" spans="1:8">
      <c r="A4318" s="34">
        <v>2084286902</v>
      </c>
      <c r="B4318" s="35" t="s">
        <v>462</v>
      </c>
      <c r="C4318" s="35" t="s">
        <v>405</v>
      </c>
      <c r="D4318" s="35" t="s">
        <v>1054</v>
      </c>
      <c r="E4318" s="35" t="s">
        <v>1059</v>
      </c>
      <c r="F4318" s="35" t="s">
        <v>611</v>
      </c>
      <c r="G4318" s="35" t="s">
        <v>353</v>
      </c>
      <c r="H4318" s="35" t="s">
        <v>876</v>
      </c>
    </row>
    <row r="4319" spans="1:8">
      <c r="A4319" s="34">
        <v>2084286903</v>
      </c>
      <c r="B4319" s="35" t="s">
        <v>462</v>
      </c>
      <c r="C4319" s="35" t="s">
        <v>405</v>
      </c>
      <c r="D4319" s="35" t="s">
        <v>1054</v>
      </c>
      <c r="E4319" s="35" t="s">
        <v>1059</v>
      </c>
      <c r="F4319" s="35" t="s">
        <v>611</v>
      </c>
      <c r="G4319" s="35" t="s">
        <v>353</v>
      </c>
      <c r="H4319" s="35" t="s">
        <v>877</v>
      </c>
    </row>
    <row r="4320" spans="1:8">
      <c r="A4320" s="34">
        <v>2084286904</v>
      </c>
      <c r="B4320" s="35" t="s">
        <v>462</v>
      </c>
      <c r="C4320" s="35" t="s">
        <v>405</v>
      </c>
      <c r="D4320" s="35" t="s">
        <v>1054</v>
      </c>
      <c r="E4320" s="35" t="s">
        <v>1059</v>
      </c>
      <c r="F4320" s="35" t="s">
        <v>611</v>
      </c>
      <c r="G4320" s="35" t="s">
        <v>353</v>
      </c>
      <c r="H4320" s="35" t="s">
        <v>878</v>
      </c>
    </row>
    <row r="4321" spans="1:8">
      <c r="A4321" s="34">
        <v>2084286905</v>
      </c>
      <c r="B4321" s="35" t="s">
        <v>462</v>
      </c>
      <c r="C4321" s="35" t="s">
        <v>405</v>
      </c>
      <c r="D4321" s="35" t="s">
        <v>1054</v>
      </c>
      <c r="E4321" s="35" t="s">
        <v>1059</v>
      </c>
      <c r="F4321" s="35" t="s">
        <v>611</v>
      </c>
      <c r="G4321" s="35" t="s">
        <v>353</v>
      </c>
      <c r="H4321" s="35" t="s">
        <v>879</v>
      </c>
    </row>
    <row r="4322" spans="1:8">
      <c r="A4322" s="34">
        <v>2084286906</v>
      </c>
      <c r="B4322" s="35" t="s">
        <v>462</v>
      </c>
      <c r="C4322" s="35" t="s">
        <v>405</v>
      </c>
      <c r="D4322" s="35" t="s">
        <v>1054</v>
      </c>
      <c r="E4322" s="35" t="s">
        <v>1059</v>
      </c>
      <c r="F4322" s="35" t="s">
        <v>611</v>
      </c>
      <c r="G4322" s="35" t="s">
        <v>353</v>
      </c>
      <c r="H4322" s="35" t="s">
        <v>880</v>
      </c>
    </row>
    <row r="4323" spans="1:8">
      <c r="A4323" s="34">
        <v>2084286907</v>
      </c>
      <c r="B4323" s="35" t="s">
        <v>462</v>
      </c>
      <c r="C4323" s="35" t="s">
        <v>405</v>
      </c>
      <c r="D4323" s="35" t="s">
        <v>1054</v>
      </c>
      <c r="E4323" s="35" t="s">
        <v>1059</v>
      </c>
      <c r="F4323" s="35" t="s">
        <v>611</v>
      </c>
      <c r="G4323" s="35" t="s">
        <v>353</v>
      </c>
      <c r="H4323" s="35" t="s">
        <v>881</v>
      </c>
    </row>
    <row r="4324" spans="1:8">
      <c r="A4324" s="34">
        <v>2084286908</v>
      </c>
      <c r="B4324" s="35" t="s">
        <v>462</v>
      </c>
      <c r="C4324" s="35" t="s">
        <v>405</v>
      </c>
      <c r="D4324" s="35" t="s">
        <v>1054</v>
      </c>
      <c r="E4324" s="35" t="s">
        <v>1059</v>
      </c>
      <c r="F4324" s="35" t="s">
        <v>611</v>
      </c>
      <c r="G4324" s="35" t="s">
        <v>353</v>
      </c>
      <c r="H4324" s="35" t="s">
        <v>882</v>
      </c>
    </row>
    <row r="4325" spans="1:8">
      <c r="A4325" s="34">
        <v>2084286909</v>
      </c>
      <c r="B4325" s="35" t="s">
        <v>462</v>
      </c>
      <c r="C4325" s="35" t="s">
        <v>405</v>
      </c>
      <c r="D4325" s="35" t="s">
        <v>1054</v>
      </c>
      <c r="E4325" s="35" t="s">
        <v>1059</v>
      </c>
      <c r="F4325" s="35" t="s">
        <v>611</v>
      </c>
      <c r="G4325" s="35" t="s">
        <v>353</v>
      </c>
      <c r="H4325" s="35" t="s">
        <v>883</v>
      </c>
    </row>
    <row r="4326" spans="1:8">
      <c r="A4326" s="34">
        <v>2084286910</v>
      </c>
      <c r="B4326" s="35" t="s">
        <v>462</v>
      </c>
      <c r="C4326" s="35" t="s">
        <v>405</v>
      </c>
      <c r="D4326" s="35" t="s">
        <v>1054</v>
      </c>
      <c r="E4326" s="35" t="s">
        <v>1059</v>
      </c>
      <c r="F4326" s="35" t="s">
        <v>611</v>
      </c>
      <c r="G4326" s="35" t="s">
        <v>353</v>
      </c>
      <c r="H4326" s="35" t="s">
        <v>884</v>
      </c>
    </row>
    <row r="4327" spans="1:8">
      <c r="A4327" s="34">
        <v>2084028237</v>
      </c>
      <c r="B4327" s="35" t="s">
        <v>462</v>
      </c>
      <c r="C4327" s="35" t="s">
        <v>405</v>
      </c>
      <c r="D4327" s="35" t="s">
        <v>1054</v>
      </c>
      <c r="E4327" s="35" t="s">
        <v>1059</v>
      </c>
      <c r="F4327" s="35" t="s">
        <v>390</v>
      </c>
      <c r="G4327" s="35" t="s">
        <v>367</v>
      </c>
    </row>
    <row r="4328" spans="1:8">
      <c r="A4328" s="34">
        <v>2084028789</v>
      </c>
      <c r="B4328" s="35" t="s">
        <v>462</v>
      </c>
      <c r="C4328" s="35" t="s">
        <v>405</v>
      </c>
      <c r="D4328" s="35" t="s">
        <v>1054</v>
      </c>
      <c r="E4328" s="35" t="s">
        <v>1059</v>
      </c>
      <c r="F4328" s="35" t="s">
        <v>390</v>
      </c>
      <c r="G4328" s="35" t="s">
        <v>368</v>
      </c>
      <c r="H4328" s="35" t="s">
        <v>508</v>
      </c>
    </row>
    <row r="4329" spans="1:8">
      <c r="A4329" s="34">
        <v>2084029322</v>
      </c>
      <c r="B4329" s="35" t="s">
        <v>462</v>
      </c>
      <c r="C4329" s="35" t="s">
        <v>405</v>
      </c>
      <c r="D4329" s="35" t="s">
        <v>1054</v>
      </c>
      <c r="E4329" s="35" t="s">
        <v>1059</v>
      </c>
      <c r="F4329" s="35" t="s">
        <v>390</v>
      </c>
      <c r="G4329" s="35" t="s">
        <v>368</v>
      </c>
      <c r="H4329" s="35" t="s">
        <v>481</v>
      </c>
    </row>
    <row r="4330" spans="1:8">
      <c r="A4330" s="34">
        <v>2084029873</v>
      </c>
      <c r="B4330" s="35" t="s">
        <v>462</v>
      </c>
      <c r="C4330" s="35" t="s">
        <v>405</v>
      </c>
      <c r="D4330" s="35" t="s">
        <v>1054</v>
      </c>
      <c r="E4330" s="35" t="s">
        <v>1059</v>
      </c>
      <c r="F4330" s="35" t="s">
        <v>390</v>
      </c>
      <c r="G4330" s="35" t="s">
        <v>368</v>
      </c>
      <c r="H4330" s="35" t="s">
        <v>494</v>
      </c>
    </row>
    <row r="4331" spans="1:8">
      <c r="A4331" s="34">
        <v>2084058808</v>
      </c>
      <c r="B4331" s="35" t="s">
        <v>462</v>
      </c>
      <c r="C4331" s="35" t="s">
        <v>405</v>
      </c>
      <c r="D4331" s="35" t="s">
        <v>1054</v>
      </c>
      <c r="E4331" s="35" t="s">
        <v>1059</v>
      </c>
      <c r="F4331" s="35" t="s">
        <v>390</v>
      </c>
      <c r="G4331" s="35" t="s">
        <v>368</v>
      </c>
      <c r="H4331" s="35" t="s">
        <v>335</v>
      </c>
    </row>
    <row r="4332" spans="1:8">
      <c r="A4332" s="34">
        <v>2084027338</v>
      </c>
      <c r="B4332" s="35" t="s">
        <v>462</v>
      </c>
      <c r="C4332" s="35" t="s">
        <v>405</v>
      </c>
      <c r="D4332" s="35" t="s">
        <v>1054</v>
      </c>
      <c r="E4332" s="35" t="s">
        <v>1059</v>
      </c>
      <c r="F4332" s="35" t="s">
        <v>390</v>
      </c>
      <c r="G4332" s="35" t="s">
        <v>10</v>
      </c>
      <c r="H4332" s="35" t="s">
        <v>509</v>
      </c>
    </row>
    <row r="4333" spans="1:8">
      <c r="A4333" s="34">
        <v>2084027831</v>
      </c>
      <c r="B4333" s="35" t="s">
        <v>462</v>
      </c>
      <c r="C4333" s="35" t="s">
        <v>405</v>
      </c>
      <c r="D4333" s="35" t="s">
        <v>1054</v>
      </c>
      <c r="E4333" s="35" t="s">
        <v>1059</v>
      </c>
      <c r="F4333" s="35" t="s">
        <v>390</v>
      </c>
      <c r="G4333" s="35" t="s">
        <v>10</v>
      </c>
      <c r="H4333" s="35" t="s">
        <v>510</v>
      </c>
    </row>
    <row r="4334" spans="1:8">
      <c r="A4334" s="34">
        <v>2084027863</v>
      </c>
      <c r="B4334" s="35" t="s">
        <v>462</v>
      </c>
      <c r="C4334" s="35" t="s">
        <v>405</v>
      </c>
      <c r="D4334" s="35" t="s">
        <v>1054</v>
      </c>
      <c r="E4334" s="35" t="s">
        <v>1059</v>
      </c>
      <c r="F4334" s="35" t="s">
        <v>390</v>
      </c>
      <c r="G4334" s="35" t="s">
        <v>10</v>
      </c>
      <c r="H4334" s="35" t="s">
        <v>511</v>
      </c>
    </row>
    <row r="4335" spans="1:8">
      <c r="A4335" s="34">
        <v>2084027893</v>
      </c>
      <c r="B4335" s="35" t="s">
        <v>462</v>
      </c>
      <c r="C4335" s="35" t="s">
        <v>405</v>
      </c>
      <c r="D4335" s="35" t="s">
        <v>1054</v>
      </c>
      <c r="E4335" s="35" t="s">
        <v>1059</v>
      </c>
      <c r="F4335" s="35" t="s">
        <v>390</v>
      </c>
      <c r="G4335" s="35" t="s">
        <v>10</v>
      </c>
      <c r="H4335" s="35" t="s">
        <v>493</v>
      </c>
    </row>
    <row r="4336" spans="1:8">
      <c r="A4336" s="34">
        <v>2084027462</v>
      </c>
      <c r="B4336" s="35" t="s">
        <v>462</v>
      </c>
      <c r="C4336" s="35" t="s">
        <v>405</v>
      </c>
      <c r="D4336" s="35" t="s">
        <v>1054</v>
      </c>
      <c r="E4336" s="35" t="s">
        <v>1059</v>
      </c>
      <c r="F4336" s="35" t="s">
        <v>390</v>
      </c>
      <c r="G4336" s="35" t="s">
        <v>10</v>
      </c>
      <c r="H4336" s="35" t="s">
        <v>512</v>
      </c>
    </row>
    <row r="4337" spans="1:8">
      <c r="A4337" s="34">
        <v>2084027629</v>
      </c>
      <c r="B4337" s="35" t="s">
        <v>462</v>
      </c>
      <c r="C4337" s="35" t="s">
        <v>405</v>
      </c>
      <c r="D4337" s="35" t="s">
        <v>1054</v>
      </c>
      <c r="E4337" s="35" t="s">
        <v>1059</v>
      </c>
      <c r="F4337" s="35" t="s">
        <v>390</v>
      </c>
      <c r="G4337" s="35" t="s">
        <v>10</v>
      </c>
      <c r="H4337" s="35" t="s">
        <v>513</v>
      </c>
    </row>
    <row r="4338" spans="1:8">
      <c r="A4338" s="34">
        <v>2084027973</v>
      </c>
      <c r="B4338" s="35" t="s">
        <v>462</v>
      </c>
      <c r="C4338" s="35" t="s">
        <v>405</v>
      </c>
      <c r="D4338" s="35" t="s">
        <v>1054</v>
      </c>
      <c r="E4338" s="35" t="s">
        <v>1059</v>
      </c>
      <c r="F4338" s="35" t="s">
        <v>390</v>
      </c>
      <c r="G4338" s="35" t="s">
        <v>10</v>
      </c>
      <c r="H4338" s="35" t="s">
        <v>420</v>
      </c>
    </row>
    <row r="4339" spans="1:8">
      <c r="A4339" s="34">
        <v>2084027251</v>
      </c>
      <c r="B4339" s="35" t="s">
        <v>462</v>
      </c>
      <c r="C4339" s="35" t="s">
        <v>405</v>
      </c>
      <c r="D4339" s="35" t="s">
        <v>1054</v>
      </c>
      <c r="E4339" s="35" t="s">
        <v>1059</v>
      </c>
      <c r="F4339" s="35" t="s">
        <v>390</v>
      </c>
      <c r="G4339" s="35" t="s">
        <v>10</v>
      </c>
      <c r="H4339" s="35" t="s">
        <v>514</v>
      </c>
    </row>
    <row r="4340" spans="1:8">
      <c r="A4340" s="34">
        <v>2084027427</v>
      </c>
      <c r="B4340" s="35" t="s">
        <v>462</v>
      </c>
      <c r="C4340" s="35" t="s">
        <v>405</v>
      </c>
      <c r="D4340" s="35" t="s">
        <v>1054</v>
      </c>
      <c r="E4340" s="35" t="s">
        <v>1059</v>
      </c>
      <c r="F4340" s="35" t="s">
        <v>390</v>
      </c>
      <c r="G4340" s="35" t="s">
        <v>10</v>
      </c>
      <c r="H4340" s="35" t="s">
        <v>515</v>
      </c>
    </row>
    <row r="4341" spans="1:8">
      <c r="A4341" s="34">
        <v>2084027496</v>
      </c>
      <c r="B4341" s="35" t="s">
        <v>462</v>
      </c>
      <c r="C4341" s="35" t="s">
        <v>405</v>
      </c>
      <c r="D4341" s="35" t="s">
        <v>1054</v>
      </c>
      <c r="E4341" s="35" t="s">
        <v>1059</v>
      </c>
      <c r="F4341" s="35" t="s">
        <v>390</v>
      </c>
      <c r="G4341" s="35" t="s">
        <v>10</v>
      </c>
      <c r="H4341" s="35" t="s">
        <v>421</v>
      </c>
    </row>
    <row r="4342" spans="1:8">
      <c r="A4342" s="34">
        <v>2084027707</v>
      </c>
      <c r="B4342" s="35" t="s">
        <v>462</v>
      </c>
      <c r="C4342" s="35" t="s">
        <v>405</v>
      </c>
      <c r="D4342" s="35" t="s">
        <v>1054</v>
      </c>
      <c r="E4342" s="35" t="s">
        <v>1059</v>
      </c>
      <c r="F4342" s="35" t="s">
        <v>390</v>
      </c>
      <c r="G4342" s="35" t="s">
        <v>10</v>
      </c>
      <c r="H4342" s="35" t="s">
        <v>516</v>
      </c>
    </row>
    <row r="4343" spans="1:8">
      <c r="A4343" s="34">
        <v>2084027224</v>
      </c>
      <c r="B4343" s="35" t="s">
        <v>462</v>
      </c>
      <c r="C4343" s="35" t="s">
        <v>405</v>
      </c>
      <c r="D4343" s="35" t="s">
        <v>1054</v>
      </c>
      <c r="E4343" s="35" t="s">
        <v>1059</v>
      </c>
      <c r="F4343" s="35" t="s">
        <v>390</v>
      </c>
      <c r="G4343" s="35" t="s">
        <v>10</v>
      </c>
      <c r="H4343" s="35" t="s">
        <v>517</v>
      </c>
    </row>
    <row r="4344" spans="1:8">
      <c r="A4344" s="34">
        <v>2084027362</v>
      </c>
      <c r="B4344" s="35" t="s">
        <v>462</v>
      </c>
      <c r="C4344" s="35" t="s">
        <v>405</v>
      </c>
      <c r="D4344" s="35" t="s">
        <v>1054</v>
      </c>
      <c r="E4344" s="35" t="s">
        <v>1059</v>
      </c>
      <c r="F4344" s="35" t="s">
        <v>390</v>
      </c>
      <c r="G4344" s="35" t="s">
        <v>10</v>
      </c>
      <c r="H4344" s="35" t="s">
        <v>518</v>
      </c>
    </row>
    <row r="4345" spans="1:8">
      <c r="A4345" s="34">
        <v>2084027573</v>
      </c>
      <c r="B4345" s="35" t="s">
        <v>462</v>
      </c>
      <c r="C4345" s="35" t="s">
        <v>405</v>
      </c>
      <c r="D4345" s="35" t="s">
        <v>1054</v>
      </c>
      <c r="E4345" s="35" t="s">
        <v>1059</v>
      </c>
      <c r="F4345" s="35" t="s">
        <v>390</v>
      </c>
      <c r="G4345" s="35" t="s">
        <v>10</v>
      </c>
      <c r="H4345" s="35" t="s">
        <v>422</v>
      </c>
    </row>
    <row r="4346" spans="1:8">
      <c r="A4346" s="34">
        <v>2084027757</v>
      </c>
      <c r="B4346" s="35" t="s">
        <v>462</v>
      </c>
      <c r="C4346" s="35" t="s">
        <v>405</v>
      </c>
      <c r="D4346" s="35" t="s">
        <v>1054</v>
      </c>
      <c r="E4346" s="35" t="s">
        <v>1059</v>
      </c>
      <c r="F4346" s="35" t="s">
        <v>390</v>
      </c>
      <c r="G4346" s="35" t="s">
        <v>10</v>
      </c>
      <c r="H4346" s="35" t="s">
        <v>519</v>
      </c>
    </row>
    <row r="4347" spans="1:8">
      <c r="A4347" s="34">
        <v>2084058810</v>
      </c>
      <c r="B4347" s="35" t="s">
        <v>462</v>
      </c>
      <c r="C4347" s="35" t="s">
        <v>405</v>
      </c>
      <c r="D4347" s="35" t="s">
        <v>1054</v>
      </c>
      <c r="E4347" s="35" t="s">
        <v>1059</v>
      </c>
      <c r="F4347" s="35" t="s">
        <v>390</v>
      </c>
      <c r="G4347" s="35" t="s">
        <v>10</v>
      </c>
      <c r="H4347" s="35" t="s">
        <v>335</v>
      </c>
    </row>
    <row r="4348" spans="1:8">
      <c r="A4348" s="34">
        <v>2084028033</v>
      </c>
      <c r="B4348" s="35" t="s">
        <v>462</v>
      </c>
      <c r="C4348" s="35" t="s">
        <v>405</v>
      </c>
      <c r="D4348" s="35" t="s">
        <v>1054</v>
      </c>
      <c r="E4348" s="35" t="s">
        <v>1059</v>
      </c>
      <c r="F4348" s="35" t="s">
        <v>390</v>
      </c>
      <c r="G4348" s="35" t="s">
        <v>379</v>
      </c>
      <c r="H4348" s="35" t="s">
        <v>520</v>
      </c>
    </row>
    <row r="4349" spans="1:8">
      <c r="A4349" s="34">
        <v>2084028068</v>
      </c>
      <c r="B4349" s="35" t="s">
        <v>462</v>
      </c>
      <c r="C4349" s="35" t="s">
        <v>405</v>
      </c>
      <c r="D4349" s="35" t="s">
        <v>1054</v>
      </c>
      <c r="E4349" s="35" t="s">
        <v>1059</v>
      </c>
      <c r="F4349" s="35" t="s">
        <v>390</v>
      </c>
      <c r="G4349" s="35" t="s">
        <v>379</v>
      </c>
      <c r="H4349" s="35" t="s">
        <v>521</v>
      </c>
    </row>
    <row r="4350" spans="1:8">
      <c r="A4350" s="34">
        <v>2084028168</v>
      </c>
      <c r="B4350" s="35" t="s">
        <v>462</v>
      </c>
      <c r="C4350" s="35" t="s">
        <v>405</v>
      </c>
      <c r="D4350" s="35" t="s">
        <v>1054</v>
      </c>
      <c r="E4350" s="35" t="s">
        <v>1059</v>
      </c>
      <c r="F4350" s="35" t="s">
        <v>390</v>
      </c>
      <c r="G4350" s="35" t="s">
        <v>379</v>
      </c>
      <c r="H4350" s="35" t="s">
        <v>522</v>
      </c>
    </row>
    <row r="4351" spans="1:8">
      <c r="A4351" s="34">
        <v>2084028408</v>
      </c>
      <c r="B4351" s="35" t="s">
        <v>462</v>
      </c>
      <c r="C4351" s="35" t="s">
        <v>405</v>
      </c>
      <c r="D4351" s="35" t="s">
        <v>1054</v>
      </c>
      <c r="E4351" s="35" t="s">
        <v>1059</v>
      </c>
      <c r="F4351" s="35" t="s">
        <v>390</v>
      </c>
      <c r="G4351" s="35" t="s">
        <v>379</v>
      </c>
      <c r="H4351" s="35" t="s">
        <v>523</v>
      </c>
    </row>
    <row r="4352" spans="1:8">
      <c r="A4352" s="34">
        <v>2084028107</v>
      </c>
      <c r="B4352" s="35" t="s">
        <v>462</v>
      </c>
      <c r="C4352" s="35" t="s">
        <v>405</v>
      </c>
      <c r="D4352" s="35" t="s">
        <v>1054</v>
      </c>
      <c r="E4352" s="35" t="s">
        <v>1059</v>
      </c>
      <c r="F4352" s="35" t="s">
        <v>390</v>
      </c>
      <c r="G4352" s="35" t="s">
        <v>379</v>
      </c>
      <c r="H4352" s="35" t="s">
        <v>524</v>
      </c>
    </row>
    <row r="4353" spans="1:8">
      <c r="A4353" s="34">
        <v>2084028273</v>
      </c>
      <c r="B4353" s="35" t="s">
        <v>462</v>
      </c>
      <c r="C4353" s="35" t="s">
        <v>405</v>
      </c>
      <c r="D4353" s="35" t="s">
        <v>1054</v>
      </c>
      <c r="E4353" s="35" t="s">
        <v>1059</v>
      </c>
      <c r="F4353" s="35" t="s">
        <v>390</v>
      </c>
      <c r="G4353" s="35" t="s">
        <v>379</v>
      </c>
      <c r="H4353" s="35" t="s">
        <v>525</v>
      </c>
    </row>
    <row r="4354" spans="1:8">
      <c r="A4354" s="34">
        <v>2084028475</v>
      </c>
      <c r="B4354" s="35" t="s">
        <v>462</v>
      </c>
      <c r="C4354" s="35" t="s">
        <v>405</v>
      </c>
      <c r="D4354" s="35" t="s">
        <v>1054</v>
      </c>
      <c r="E4354" s="35" t="s">
        <v>1059</v>
      </c>
      <c r="F4354" s="35" t="s">
        <v>390</v>
      </c>
      <c r="G4354" s="35" t="s">
        <v>379</v>
      </c>
      <c r="H4354" s="35" t="s">
        <v>526</v>
      </c>
    </row>
    <row r="4355" spans="1:8">
      <c r="A4355" s="34">
        <v>2084028298</v>
      </c>
      <c r="B4355" s="35" t="s">
        <v>462</v>
      </c>
      <c r="C4355" s="35" t="s">
        <v>405</v>
      </c>
      <c r="D4355" s="35" t="s">
        <v>1054</v>
      </c>
      <c r="E4355" s="35" t="s">
        <v>1059</v>
      </c>
      <c r="F4355" s="35" t="s">
        <v>390</v>
      </c>
      <c r="G4355" s="35" t="s">
        <v>379</v>
      </c>
      <c r="H4355" s="35" t="s">
        <v>527</v>
      </c>
    </row>
    <row r="4356" spans="1:8">
      <c r="A4356" s="34">
        <v>2084028510</v>
      </c>
      <c r="B4356" s="35" t="s">
        <v>462</v>
      </c>
      <c r="C4356" s="35" t="s">
        <v>405</v>
      </c>
      <c r="D4356" s="35" t="s">
        <v>1054</v>
      </c>
      <c r="E4356" s="35" t="s">
        <v>1059</v>
      </c>
      <c r="F4356" s="35" t="s">
        <v>390</v>
      </c>
      <c r="G4356" s="35" t="s">
        <v>379</v>
      </c>
      <c r="H4356" s="35" t="s">
        <v>528</v>
      </c>
    </row>
    <row r="4357" spans="1:8">
      <c r="A4357" s="34">
        <v>2084028386</v>
      </c>
      <c r="B4357" s="35" t="s">
        <v>462</v>
      </c>
      <c r="C4357" s="35" t="s">
        <v>405</v>
      </c>
      <c r="D4357" s="35" t="s">
        <v>1054</v>
      </c>
      <c r="E4357" s="35" t="s">
        <v>1059</v>
      </c>
      <c r="F4357" s="35" t="s">
        <v>390</v>
      </c>
      <c r="G4357" s="35" t="s">
        <v>379</v>
      </c>
      <c r="H4357" s="35" t="s">
        <v>529</v>
      </c>
    </row>
    <row r="4358" spans="1:8">
      <c r="A4358" s="34">
        <v>2084058812</v>
      </c>
      <c r="B4358" s="35" t="s">
        <v>462</v>
      </c>
      <c r="C4358" s="35" t="s">
        <v>405</v>
      </c>
      <c r="D4358" s="35" t="s">
        <v>1054</v>
      </c>
      <c r="E4358" s="35" t="s">
        <v>1059</v>
      </c>
      <c r="F4358" s="35" t="s">
        <v>390</v>
      </c>
      <c r="G4358" s="35" t="s">
        <v>379</v>
      </c>
      <c r="H4358" s="35" t="s">
        <v>335</v>
      </c>
    </row>
    <row r="4359" spans="1:8">
      <c r="A4359" s="34">
        <v>2084028550</v>
      </c>
      <c r="B4359" s="35" t="s">
        <v>462</v>
      </c>
      <c r="C4359" s="35" t="s">
        <v>405</v>
      </c>
      <c r="D4359" s="35" t="s">
        <v>1054</v>
      </c>
      <c r="E4359" s="35" t="s">
        <v>1059</v>
      </c>
      <c r="F4359" s="35" t="s">
        <v>390</v>
      </c>
      <c r="G4359" s="35" t="s">
        <v>530</v>
      </c>
      <c r="H4359" s="35" t="s">
        <v>531</v>
      </c>
    </row>
    <row r="4360" spans="1:8">
      <c r="A4360" s="34">
        <v>2084028625</v>
      </c>
      <c r="B4360" s="35" t="s">
        <v>462</v>
      </c>
      <c r="C4360" s="35" t="s">
        <v>405</v>
      </c>
      <c r="D4360" s="35" t="s">
        <v>1054</v>
      </c>
      <c r="E4360" s="35" t="s">
        <v>1059</v>
      </c>
      <c r="F4360" s="35" t="s">
        <v>390</v>
      </c>
      <c r="G4360" s="35" t="s">
        <v>530</v>
      </c>
      <c r="H4360" s="35" t="s">
        <v>532</v>
      </c>
    </row>
    <row r="4361" spans="1:8">
      <c r="A4361" s="34">
        <v>2084058814</v>
      </c>
      <c r="B4361" s="35" t="s">
        <v>462</v>
      </c>
      <c r="C4361" s="35" t="s">
        <v>405</v>
      </c>
      <c r="D4361" s="35" t="s">
        <v>1054</v>
      </c>
      <c r="E4361" s="35" t="s">
        <v>1059</v>
      </c>
      <c r="F4361" s="35" t="s">
        <v>390</v>
      </c>
      <c r="G4361" s="35" t="s">
        <v>530</v>
      </c>
      <c r="H4361" s="35" t="s">
        <v>335</v>
      </c>
    </row>
    <row r="4362" spans="1:8">
      <c r="A4362" s="34">
        <v>2084030136</v>
      </c>
      <c r="B4362" s="35" t="s">
        <v>462</v>
      </c>
      <c r="C4362" s="35" t="s">
        <v>405</v>
      </c>
      <c r="D4362" s="35" t="s">
        <v>1054</v>
      </c>
      <c r="E4362" s="35" t="s">
        <v>1059</v>
      </c>
      <c r="F4362" s="35" t="s">
        <v>390</v>
      </c>
      <c r="G4362" s="35" t="s">
        <v>533</v>
      </c>
      <c r="H4362" s="35" t="s">
        <v>534</v>
      </c>
    </row>
    <row r="4363" spans="1:8">
      <c r="A4363" s="34">
        <v>2084030170</v>
      </c>
      <c r="B4363" s="35" t="s">
        <v>462</v>
      </c>
      <c r="C4363" s="35" t="s">
        <v>405</v>
      </c>
      <c r="D4363" s="35" t="s">
        <v>1054</v>
      </c>
      <c r="E4363" s="35" t="s">
        <v>1059</v>
      </c>
      <c r="F4363" s="35" t="s">
        <v>390</v>
      </c>
      <c r="G4363" s="35" t="s">
        <v>533</v>
      </c>
      <c r="H4363" s="35" t="s">
        <v>535</v>
      </c>
    </row>
    <row r="4364" spans="1:8">
      <c r="A4364" s="34">
        <v>2084027157</v>
      </c>
      <c r="B4364" s="35" t="s">
        <v>462</v>
      </c>
      <c r="C4364" s="35" t="s">
        <v>405</v>
      </c>
      <c r="D4364" s="35" t="s">
        <v>1054</v>
      </c>
      <c r="E4364" s="35" t="s">
        <v>1059</v>
      </c>
      <c r="F4364" s="35" t="s">
        <v>390</v>
      </c>
      <c r="G4364" s="35" t="s">
        <v>533</v>
      </c>
      <c r="H4364" s="35" t="s">
        <v>536</v>
      </c>
    </row>
    <row r="4365" spans="1:8">
      <c r="A4365" s="34">
        <v>2084058816</v>
      </c>
      <c r="B4365" s="35" t="s">
        <v>462</v>
      </c>
      <c r="C4365" s="35" t="s">
        <v>405</v>
      </c>
      <c r="D4365" s="35" t="s">
        <v>1054</v>
      </c>
      <c r="E4365" s="35" t="s">
        <v>1059</v>
      </c>
      <c r="F4365" s="35" t="s">
        <v>390</v>
      </c>
      <c r="G4365" s="35" t="s">
        <v>533</v>
      </c>
      <c r="H4365" s="35" t="s">
        <v>335</v>
      </c>
    </row>
    <row r="4366" spans="1:8">
      <c r="A4366" s="34">
        <v>2084051498</v>
      </c>
      <c r="B4366" s="35" t="s">
        <v>462</v>
      </c>
      <c r="C4366" s="35" t="s">
        <v>405</v>
      </c>
      <c r="D4366" s="35" t="s">
        <v>1054</v>
      </c>
      <c r="E4366" s="35" t="s">
        <v>1059</v>
      </c>
      <c r="F4366" s="35" t="s">
        <v>390</v>
      </c>
      <c r="G4366" s="35" t="s">
        <v>335</v>
      </c>
    </row>
    <row r="4367" spans="1:8">
      <c r="A4367" s="34">
        <v>2084030715</v>
      </c>
      <c r="B4367" s="35" t="s">
        <v>462</v>
      </c>
      <c r="C4367" s="35" t="s">
        <v>405</v>
      </c>
      <c r="D4367" s="35" t="s">
        <v>1054</v>
      </c>
      <c r="E4367" s="35" t="s">
        <v>1059</v>
      </c>
      <c r="F4367" s="35" t="s">
        <v>353</v>
      </c>
      <c r="G4367" s="35" t="s">
        <v>368</v>
      </c>
      <c r="H4367" s="35" t="s">
        <v>481</v>
      </c>
    </row>
    <row r="4368" spans="1:8">
      <c r="A4368" s="34">
        <v>2084031493</v>
      </c>
      <c r="B4368" s="35" t="s">
        <v>462</v>
      </c>
      <c r="C4368" s="35" t="s">
        <v>405</v>
      </c>
      <c r="D4368" s="35" t="s">
        <v>1054</v>
      </c>
      <c r="E4368" s="35" t="s">
        <v>1059</v>
      </c>
      <c r="F4368" s="35" t="s">
        <v>353</v>
      </c>
      <c r="G4368" s="35" t="s">
        <v>368</v>
      </c>
      <c r="H4368" s="35" t="s">
        <v>482</v>
      </c>
    </row>
    <row r="4369" spans="1:9">
      <c r="A4369" s="34">
        <v>2084051501</v>
      </c>
      <c r="B4369" s="35" t="s">
        <v>462</v>
      </c>
      <c r="C4369" s="35" t="s">
        <v>405</v>
      </c>
      <c r="D4369" s="35" t="s">
        <v>1054</v>
      </c>
      <c r="E4369" s="35" t="s">
        <v>1059</v>
      </c>
      <c r="F4369" s="35" t="s">
        <v>353</v>
      </c>
      <c r="G4369" s="35" t="s">
        <v>368</v>
      </c>
      <c r="H4369" s="35" t="s">
        <v>335</v>
      </c>
    </row>
    <row r="4370" spans="1:9">
      <c r="A4370" s="34">
        <v>2084031613</v>
      </c>
      <c r="B4370" s="35" t="s">
        <v>462</v>
      </c>
      <c r="C4370" s="35" t="s">
        <v>405</v>
      </c>
      <c r="D4370" s="35" t="s">
        <v>1054</v>
      </c>
      <c r="E4370" s="35" t="s">
        <v>1059</v>
      </c>
      <c r="F4370" s="35" t="s">
        <v>353</v>
      </c>
      <c r="G4370" s="35" t="s">
        <v>10</v>
      </c>
      <c r="H4370" s="35" t="s">
        <v>483</v>
      </c>
    </row>
    <row r="4371" spans="1:9">
      <c r="A4371" s="34">
        <v>2084031507</v>
      </c>
      <c r="B4371" s="35" t="s">
        <v>462</v>
      </c>
      <c r="C4371" s="35" t="s">
        <v>405</v>
      </c>
      <c r="D4371" s="35" t="s">
        <v>1054</v>
      </c>
      <c r="E4371" s="35" t="s">
        <v>1059</v>
      </c>
      <c r="F4371" s="35" t="s">
        <v>353</v>
      </c>
      <c r="G4371" s="35" t="s">
        <v>10</v>
      </c>
      <c r="H4371" s="35" t="s">
        <v>397</v>
      </c>
    </row>
    <row r="4372" spans="1:9">
      <c r="A4372" s="34">
        <v>2084030370</v>
      </c>
      <c r="B4372" s="35" t="s">
        <v>462</v>
      </c>
      <c r="C4372" s="35" t="s">
        <v>405</v>
      </c>
      <c r="D4372" s="35" t="s">
        <v>1054</v>
      </c>
      <c r="E4372" s="35" t="s">
        <v>1059</v>
      </c>
      <c r="F4372" s="35" t="s">
        <v>353</v>
      </c>
      <c r="G4372" s="35" t="s">
        <v>10</v>
      </c>
      <c r="H4372" s="35" t="s">
        <v>421</v>
      </c>
    </row>
    <row r="4373" spans="1:9">
      <c r="A4373" s="34">
        <v>2084224714</v>
      </c>
      <c r="B4373" s="35" t="s">
        <v>462</v>
      </c>
      <c r="C4373" s="35" t="s">
        <v>405</v>
      </c>
      <c r="D4373" s="35" t="s">
        <v>1054</v>
      </c>
      <c r="E4373" s="35" t="s">
        <v>1059</v>
      </c>
      <c r="F4373" s="35" t="s">
        <v>353</v>
      </c>
      <c r="G4373" s="35" t="s">
        <v>10</v>
      </c>
      <c r="H4373" s="35" t="s">
        <v>378</v>
      </c>
      <c r="I4373" s="35" t="s">
        <v>391</v>
      </c>
    </row>
    <row r="4374" spans="1:9">
      <c r="A4374" s="34">
        <v>2084224715</v>
      </c>
      <c r="B4374" s="35" t="s">
        <v>462</v>
      </c>
      <c r="C4374" s="35" t="s">
        <v>405</v>
      </c>
      <c r="D4374" s="35" t="s">
        <v>1054</v>
      </c>
      <c r="E4374" s="35" t="s">
        <v>1059</v>
      </c>
      <c r="F4374" s="35" t="s">
        <v>353</v>
      </c>
      <c r="G4374" s="35" t="s">
        <v>10</v>
      </c>
      <c r="H4374" s="35" t="s">
        <v>378</v>
      </c>
      <c r="I4374" s="35" t="s">
        <v>392</v>
      </c>
    </row>
    <row r="4375" spans="1:9">
      <c r="A4375" s="34">
        <v>2084224716</v>
      </c>
      <c r="B4375" s="35" t="s">
        <v>462</v>
      </c>
      <c r="C4375" s="35" t="s">
        <v>405</v>
      </c>
      <c r="D4375" s="35" t="s">
        <v>1054</v>
      </c>
      <c r="E4375" s="35" t="s">
        <v>1059</v>
      </c>
      <c r="F4375" s="35" t="s">
        <v>353</v>
      </c>
      <c r="G4375" s="35" t="s">
        <v>10</v>
      </c>
      <c r="H4375" s="35" t="s">
        <v>378</v>
      </c>
      <c r="I4375" s="35" t="s">
        <v>375</v>
      </c>
    </row>
    <row r="4376" spans="1:9">
      <c r="A4376" s="34">
        <v>2084224717</v>
      </c>
      <c r="B4376" s="35" t="s">
        <v>462</v>
      </c>
      <c r="C4376" s="35" t="s">
        <v>405</v>
      </c>
      <c r="D4376" s="35" t="s">
        <v>1054</v>
      </c>
      <c r="E4376" s="35" t="s">
        <v>1059</v>
      </c>
      <c r="F4376" s="35" t="s">
        <v>353</v>
      </c>
      <c r="G4376" s="35" t="s">
        <v>10</v>
      </c>
      <c r="H4376" s="35" t="s">
        <v>378</v>
      </c>
      <c r="I4376" s="35" t="s">
        <v>393</v>
      </c>
    </row>
    <row r="4377" spans="1:9">
      <c r="A4377" s="34">
        <v>2084030354</v>
      </c>
      <c r="B4377" s="35" t="s">
        <v>462</v>
      </c>
      <c r="C4377" s="35" t="s">
        <v>405</v>
      </c>
      <c r="D4377" s="35" t="s">
        <v>1054</v>
      </c>
      <c r="E4377" s="35" t="s">
        <v>1059</v>
      </c>
      <c r="F4377" s="35" t="s">
        <v>353</v>
      </c>
      <c r="G4377" s="35" t="s">
        <v>10</v>
      </c>
      <c r="H4377" s="35" t="s">
        <v>422</v>
      </c>
    </row>
    <row r="4378" spans="1:9">
      <c r="A4378" s="34">
        <v>2084051503</v>
      </c>
      <c r="B4378" s="35" t="s">
        <v>462</v>
      </c>
      <c r="C4378" s="35" t="s">
        <v>405</v>
      </c>
      <c r="D4378" s="35" t="s">
        <v>1054</v>
      </c>
      <c r="E4378" s="35" t="s">
        <v>1059</v>
      </c>
      <c r="F4378" s="35" t="s">
        <v>353</v>
      </c>
      <c r="G4378" s="35" t="s">
        <v>10</v>
      </c>
      <c r="H4378" s="35" t="s">
        <v>335</v>
      </c>
    </row>
    <row r="4379" spans="1:9">
      <c r="A4379" s="34">
        <v>2084213289</v>
      </c>
      <c r="B4379" s="35" t="s">
        <v>462</v>
      </c>
      <c r="C4379" s="35" t="s">
        <v>405</v>
      </c>
      <c r="D4379" s="35" t="s">
        <v>1054</v>
      </c>
      <c r="E4379" s="35" t="s">
        <v>1059</v>
      </c>
      <c r="F4379" s="35" t="s">
        <v>353</v>
      </c>
      <c r="G4379" s="35" t="s">
        <v>379</v>
      </c>
      <c r="H4379" s="35" t="s">
        <v>557</v>
      </c>
      <c r="I4379" s="35" t="s">
        <v>558</v>
      </c>
    </row>
    <row r="4380" spans="1:9">
      <c r="A4380" s="34">
        <v>2084213290</v>
      </c>
      <c r="B4380" s="35" t="s">
        <v>462</v>
      </c>
      <c r="C4380" s="35" t="s">
        <v>405</v>
      </c>
      <c r="D4380" s="35" t="s">
        <v>1054</v>
      </c>
      <c r="E4380" s="35" t="s">
        <v>1059</v>
      </c>
      <c r="F4380" s="35" t="s">
        <v>353</v>
      </c>
      <c r="G4380" s="35" t="s">
        <v>379</v>
      </c>
      <c r="H4380" s="35" t="s">
        <v>557</v>
      </c>
      <c r="I4380" s="35" t="s">
        <v>559</v>
      </c>
    </row>
    <row r="4381" spans="1:9">
      <c r="A4381" s="34">
        <v>2084213292</v>
      </c>
      <c r="B4381" s="35" t="s">
        <v>462</v>
      </c>
      <c r="C4381" s="35" t="s">
        <v>405</v>
      </c>
      <c r="D4381" s="35" t="s">
        <v>1054</v>
      </c>
      <c r="E4381" s="35" t="s">
        <v>1059</v>
      </c>
      <c r="F4381" s="35" t="s">
        <v>353</v>
      </c>
      <c r="G4381" s="35" t="s">
        <v>379</v>
      </c>
      <c r="H4381" s="35" t="s">
        <v>557</v>
      </c>
      <c r="I4381" s="35" t="s">
        <v>560</v>
      </c>
    </row>
    <row r="4382" spans="1:9">
      <c r="A4382" s="34">
        <v>2084213293</v>
      </c>
      <c r="B4382" s="35" t="s">
        <v>462</v>
      </c>
      <c r="C4382" s="35" t="s">
        <v>405</v>
      </c>
      <c r="D4382" s="35" t="s">
        <v>1054</v>
      </c>
      <c r="E4382" s="35" t="s">
        <v>1059</v>
      </c>
      <c r="F4382" s="35" t="s">
        <v>353</v>
      </c>
      <c r="G4382" s="35" t="s">
        <v>379</v>
      </c>
      <c r="H4382" s="35" t="s">
        <v>557</v>
      </c>
      <c r="I4382" s="35" t="s">
        <v>561</v>
      </c>
    </row>
    <row r="4383" spans="1:9">
      <c r="A4383" s="34">
        <v>2084213294</v>
      </c>
      <c r="B4383" s="35" t="s">
        <v>462</v>
      </c>
      <c r="C4383" s="35" t="s">
        <v>405</v>
      </c>
      <c r="D4383" s="35" t="s">
        <v>1054</v>
      </c>
      <c r="E4383" s="35" t="s">
        <v>1059</v>
      </c>
      <c r="F4383" s="35" t="s">
        <v>353</v>
      </c>
      <c r="G4383" s="35" t="s">
        <v>379</v>
      </c>
      <c r="H4383" s="35" t="s">
        <v>557</v>
      </c>
      <c r="I4383" s="35" t="s">
        <v>562</v>
      </c>
    </row>
    <row r="4384" spans="1:9">
      <c r="A4384" s="34">
        <v>2084213296</v>
      </c>
      <c r="B4384" s="35" t="s">
        <v>462</v>
      </c>
      <c r="C4384" s="35" t="s">
        <v>405</v>
      </c>
      <c r="D4384" s="35" t="s">
        <v>1054</v>
      </c>
      <c r="E4384" s="35" t="s">
        <v>1059</v>
      </c>
      <c r="F4384" s="35" t="s">
        <v>353</v>
      </c>
      <c r="G4384" s="35" t="s">
        <v>379</v>
      </c>
      <c r="H4384" s="35" t="s">
        <v>557</v>
      </c>
      <c r="I4384" s="35" t="s">
        <v>1062</v>
      </c>
    </row>
    <row r="4385" spans="1:8">
      <c r="A4385" s="34">
        <v>2084051506</v>
      </c>
      <c r="B4385" s="35" t="s">
        <v>462</v>
      </c>
      <c r="C4385" s="35" t="s">
        <v>405</v>
      </c>
      <c r="D4385" s="35" t="s">
        <v>1054</v>
      </c>
      <c r="E4385" s="35" t="s">
        <v>1059</v>
      </c>
      <c r="F4385" s="35" t="s">
        <v>353</v>
      </c>
      <c r="G4385" s="35" t="s">
        <v>379</v>
      </c>
      <c r="H4385" s="35" t="s">
        <v>335</v>
      </c>
    </row>
    <row r="4386" spans="1:8">
      <c r="A4386" s="34">
        <v>2084051507</v>
      </c>
      <c r="B4386" s="35" t="s">
        <v>462</v>
      </c>
      <c r="C4386" s="35" t="s">
        <v>405</v>
      </c>
      <c r="D4386" s="35" t="s">
        <v>1054</v>
      </c>
      <c r="E4386" s="35" t="s">
        <v>1059</v>
      </c>
      <c r="F4386" s="35" t="s">
        <v>353</v>
      </c>
      <c r="G4386" s="35" t="s">
        <v>335</v>
      </c>
    </row>
    <row r="4387" spans="1:8">
      <c r="A4387" s="34">
        <v>2084025433</v>
      </c>
      <c r="B4387" s="35" t="s">
        <v>462</v>
      </c>
      <c r="C4387" s="35" t="s">
        <v>405</v>
      </c>
      <c r="D4387" s="35" t="s">
        <v>1054</v>
      </c>
      <c r="E4387" s="35" t="s">
        <v>1059</v>
      </c>
      <c r="F4387" s="35" t="s">
        <v>442</v>
      </c>
      <c r="G4387" s="35" t="s">
        <v>537</v>
      </c>
    </row>
    <row r="4388" spans="1:8">
      <c r="A4388" s="34">
        <v>2084031404</v>
      </c>
      <c r="B4388" s="35" t="s">
        <v>462</v>
      </c>
      <c r="C4388" s="35" t="s">
        <v>405</v>
      </c>
      <c r="D4388" s="35" t="s">
        <v>1054</v>
      </c>
      <c r="E4388" s="35" t="s">
        <v>1059</v>
      </c>
      <c r="F4388" s="35" t="s">
        <v>442</v>
      </c>
      <c r="G4388" s="35" t="s">
        <v>569</v>
      </c>
    </row>
    <row r="4389" spans="1:8">
      <c r="A4389" s="34">
        <v>2084025208</v>
      </c>
      <c r="B4389" s="35" t="s">
        <v>462</v>
      </c>
      <c r="C4389" s="35" t="s">
        <v>405</v>
      </c>
      <c r="D4389" s="35" t="s">
        <v>1054</v>
      </c>
      <c r="E4389" s="35" t="s">
        <v>1059</v>
      </c>
      <c r="F4389" s="35" t="s">
        <v>442</v>
      </c>
      <c r="G4389" s="35" t="s">
        <v>538</v>
      </c>
    </row>
    <row r="4390" spans="1:8">
      <c r="A4390" s="34">
        <v>2084025386</v>
      </c>
      <c r="B4390" s="35" t="s">
        <v>462</v>
      </c>
      <c r="C4390" s="35" t="s">
        <v>405</v>
      </c>
      <c r="D4390" s="35" t="s">
        <v>1054</v>
      </c>
      <c r="E4390" s="35" t="s">
        <v>1059</v>
      </c>
      <c r="F4390" s="35" t="s">
        <v>442</v>
      </c>
      <c r="G4390" s="35" t="s">
        <v>539</v>
      </c>
    </row>
    <row r="4391" spans="1:8">
      <c r="A4391" s="34">
        <v>2084051499</v>
      </c>
      <c r="B4391" s="35" t="s">
        <v>462</v>
      </c>
      <c r="C4391" s="35" t="s">
        <v>405</v>
      </c>
      <c r="D4391" s="35" t="s">
        <v>1054</v>
      </c>
      <c r="E4391" s="35" t="s">
        <v>1059</v>
      </c>
      <c r="F4391" s="35" t="s">
        <v>442</v>
      </c>
      <c r="G4391" s="35" t="s">
        <v>335</v>
      </c>
    </row>
    <row r="4392" spans="1:8">
      <c r="A4392" s="34">
        <v>2084048795</v>
      </c>
      <c r="B4392" s="35" t="s">
        <v>462</v>
      </c>
      <c r="C4392" s="35" t="s">
        <v>405</v>
      </c>
      <c r="D4392" s="35" t="s">
        <v>1054</v>
      </c>
      <c r="E4392" s="35" t="s">
        <v>1059</v>
      </c>
      <c r="F4392" s="35" t="s">
        <v>335</v>
      </c>
    </row>
    <row r="4393" spans="1:8">
      <c r="A4393" s="34">
        <v>2084283240</v>
      </c>
      <c r="B4393" s="35" t="s">
        <v>462</v>
      </c>
      <c r="C4393" s="35" t="s">
        <v>405</v>
      </c>
      <c r="D4393" s="35" t="s">
        <v>1054</v>
      </c>
      <c r="E4393" s="35" t="s">
        <v>1063</v>
      </c>
    </row>
    <row r="4394" spans="1:8">
      <c r="A4394" s="34">
        <v>2084051074</v>
      </c>
      <c r="B4394" s="35" t="s">
        <v>462</v>
      </c>
      <c r="C4394" s="35" t="s">
        <v>405</v>
      </c>
      <c r="D4394" s="35" t="s">
        <v>1054</v>
      </c>
      <c r="E4394" s="35" t="s">
        <v>1064</v>
      </c>
      <c r="F4394" s="35" t="s">
        <v>335</v>
      </c>
    </row>
    <row r="4395" spans="1:8">
      <c r="A4395" s="34">
        <v>2084051063</v>
      </c>
      <c r="B4395" s="35" t="s">
        <v>462</v>
      </c>
      <c r="C4395" s="35" t="s">
        <v>405</v>
      </c>
      <c r="D4395" s="35" t="s">
        <v>1054</v>
      </c>
      <c r="E4395" s="35" t="s">
        <v>1064</v>
      </c>
      <c r="F4395" s="35" t="s">
        <v>390</v>
      </c>
      <c r="G4395" s="35" t="s">
        <v>368</v>
      </c>
      <c r="H4395" s="35" t="s">
        <v>481</v>
      </c>
    </row>
    <row r="4396" spans="1:8">
      <c r="A4396" s="34">
        <v>2084051064</v>
      </c>
      <c r="B4396" s="35" t="s">
        <v>462</v>
      </c>
      <c r="C4396" s="35" t="s">
        <v>405</v>
      </c>
      <c r="D4396" s="35" t="s">
        <v>1054</v>
      </c>
      <c r="E4396" s="35" t="s">
        <v>1064</v>
      </c>
      <c r="F4396" s="35" t="s">
        <v>390</v>
      </c>
      <c r="G4396" s="35" t="s">
        <v>368</v>
      </c>
      <c r="H4396" s="35" t="s">
        <v>335</v>
      </c>
    </row>
    <row r="4397" spans="1:8">
      <c r="A4397" s="34">
        <v>2084051067</v>
      </c>
      <c r="B4397" s="35" t="s">
        <v>462</v>
      </c>
      <c r="C4397" s="35" t="s">
        <v>405</v>
      </c>
      <c r="D4397" s="35" t="s">
        <v>1054</v>
      </c>
      <c r="E4397" s="35" t="s">
        <v>1064</v>
      </c>
      <c r="F4397" s="35" t="s">
        <v>390</v>
      </c>
      <c r="G4397" s="35" t="s">
        <v>10</v>
      </c>
      <c r="H4397" s="35" t="s">
        <v>397</v>
      </c>
    </row>
    <row r="4398" spans="1:8">
      <c r="A4398" s="34">
        <v>2084051066</v>
      </c>
      <c r="B4398" s="35" t="s">
        <v>462</v>
      </c>
      <c r="C4398" s="35" t="s">
        <v>405</v>
      </c>
      <c r="D4398" s="35" t="s">
        <v>1054</v>
      </c>
      <c r="E4398" s="35" t="s">
        <v>1064</v>
      </c>
      <c r="F4398" s="35" t="s">
        <v>390</v>
      </c>
      <c r="G4398" s="35" t="s">
        <v>10</v>
      </c>
      <c r="H4398" s="35" t="s">
        <v>398</v>
      </c>
    </row>
    <row r="4399" spans="1:8">
      <c r="A4399" s="34">
        <v>2084051068</v>
      </c>
      <c r="B4399" s="35" t="s">
        <v>462</v>
      </c>
      <c r="C4399" s="35" t="s">
        <v>405</v>
      </c>
      <c r="D4399" s="35" t="s">
        <v>1054</v>
      </c>
      <c r="E4399" s="35" t="s">
        <v>1064</v>
      </c>
      <c r="F4399" s="35" t="s">
        <v>390</v>
      </c>
      <c r="G4399" s="35" t="s">
        <v>10</v>
      </c>
      <c r="H4399" s="35" t="s">
        <v>335</v>
      </c>
    </row>
    <row r="4400" spans="1:8">
      <c r="A4400" s="34">
        <v>2084051070</v>
      </c>
      <c r="B4400" s="35" t="s">
        <v>462</v>
      </c>
      <c r="C4400" s="35" t="s">
        <v>405</v>
      </c>
      <c r="D4400" s="35" t="s">
        <v>1054</v>
      </c>
      <c r="E4400" s="35" t="s">
        <v>1064</v>
      </c>
      <c r="F4400" s="35" t="s">
        <v>390</v>
      </c>
      <c r="G4400" s="35" t="s">
        <v>379</v>
      </c>
      <c r="H4400" s="35" t="s">
        <v>545</v>
      </c>
    </row>
    <row r="4401" spans="1:9">
      <c r="A4401" s="34">
        <v>2084051071</v>
      </c>
      <c r="B4401" s="35" t="s">
        <v>462</v>
      </c>
      <c r="C4401" s="35" t="s">
        <v>405</v>
      </c>
      <c r="D4401" s="35" t="s">
        <v>1054</v>
      </c>
      <c r="E4401" s="35" t="s">
        <v>1064</v>
      </c>
      <c r="F4401" s="35" t="s">
        <v>390</v>
      </c>
      <c r="G4401" s="35" t="s">
        <v>379</v>
      </c>
      <c r="H4401" s="35" t="s">
        <v>476</v>
      </c>
    </row>
    <row r="4402" spans="1:9">
      <c r="A4402" s="34">
        <v>2084051072</v>
      </c>
      <c r="B4402" s="35" t="s">
        <v>462</v>
      </c>
      <c r="C4402" s="35" t="s">
        <v>405</v>
      </c>
      <c r="D4402" s="35" t="s">
        <v>1054</v>
      </c>
      <c r="E4402" s="35" t="s">
        <v>1064</v>
      </c>
      <c r="F4402" s="35" t="s">
        <v>390</v>
      </c>
      <c r="G4402" s="35" t="s">
        <v>379</v>
      </c>
      <c r="H4402" s="35" t="s">
        <v>335</v>
      </c>
    </row>
    <row r="4403" spans="1:9">
      <c r="A4403" s="34">
        <v>2084051073</v>
      </c>
      <c r="B4403" s="35" t="s">
        <v>462</v>
      </c>
      <c r="C4403" s="35" t="s">
        <v>405</v>
      </c>
      <c r="D4403" s="35" t="s">
        <v>1054</v>
      </c>
      <c r="E4403" s="35" t="s">
        <v>1064</v>
      </c>
      <c r="F4403" s="35" t="s">
        <v>390</v>
      </c>
      <c r="G4403" s="35" t="s">
        <v>335</v>
      </c>
    </row>
    <row r="4404" spans="1:9">
      <c r="A4404" s="34">
        <v>2084051051</v>
      </c>
      <c r="B4404" s="35" t="s">
        <v>462</v>
      </c>
      <c r="C4404" s="35" t="s">
        <v>405</v>
      </c>
      <c r="D4404" s="35" t="s">
        <v>1054</v>
      </c>
      <c r="E4404" s="35" t="s">
        <v>1064</v>
      </c>
      <c r="F4404" s="35" t="s">
        <v>353</v>
      </c>
      <c r="G4404" s="35" t="s">
        <v>368</v>
      </c>
      <c r="H4404" s="35" t="s">
        <v>481</v>
      </c>
    </row>
    <row r="4405" spans="1:9">
      <c r="A4405" s="34">
        <v>2084051052</v>
      </c>
      <c r="B4405" s="35" t="s">
        <v>462</v>
      </c>
      <c r="C4405" s="35" t="s">
        <v>405</v>
      </c>
      <c r="D4405" s="35" t="s">
        <v>1054</v>
      </c>
      <c r="E4405" s="35" t="s">
        <v>1064</v>
      </c>
      <c r="F4405" s="35" t="s">
        <v>353</v>
      </c>
      <c r="G4405" s="35" t="s">
        <v>368</v>
      </c>
      <c r="H4405" s="35" t="s">
        <v>335</v>
      </c>
    </row>
    <row r="4406" spans="1:9">
      <c r="A4406" s="34">
        <v>2084051055</v>
      </c>
      <c r="B4406" s="35" t="s">
        <v>462</v>
      </c>
      <c r="C4406" s="35" t="s">
        <v>405</v>
      </c>
      <c r="D4406" s="35" t="s">
        <v>1054</v>
      </c>
      <c r="E4406" s="35" t="s">
        <v>1064</v>
      </c>
      <c r="F4406" s="35" t="s">
        <v>353</v>
      </c>
      <c r="G4406" s="35" t="s">
        <v>10</v>
      </c>
      <c r="H4406" s="35" t="s">
        <v>397</v>
      </c>
    </row>
    <row r="4407" spans="1:9">
      <c r="A4407" s="34">
        <v>2084224726</v>
      </c>
      <c r="B4407" s="35" t="s">
        <v>462</v>
      </c>
      <c r="C4407" s="35" t="s">
        <v>405</v>
      </c>
      <c r="D4407" s="35" t="s">
        <v>1054</v>
      </c>
      <c r="E4407" s="35" t="s">
        <v>1064</v>
      </c>
      <c r="F4407" s="35" t="s">
        <v>353</v>
      </c>
      <c r="G4407" s="35" t="s">
        <v>10</v>
      </c>
      <c r="H4407" s="35" t="s">
        <v>378</v>
      </c>
      <c r="I4407" s="35" t="s">
        <v>374</v>
      </c>
    </row>
    <row r="4408" spans="1:9">
      <c r="A4408" s="34">
        <v>2084224727</v>
      </c>
      <c r="B4408" s="35" t="s">
        <v>462</v>
      </c>
      <c r="C4408" s="35" t="s">
        <v>405</v>
      </c>
      <c r="D4408" s="35" t="s">
        <v>1054</v>
      </c>
      <c r="E4408" s="35" t="s">
        <v>1064</v>
      </c>
      <c r="F4408" s="35" t="s">
        <v>353</v>
      </c>
      <c r="G4408" s="35" t="s">
        <v>10</v>
      </c>
      <c r="H4408" s="35" t="s">
        <v>378</v>
      </c>
      <c r="I4408" s="35" t="s">
        <v>375</v>
      </c>
    </row>
    <row r="4409" spans="1:9">
      <c r="A4409" s="34">
        <v>2084224728</v>
      </c>
      <c r="B4409" s="35" t="s">
        <v>462</v>
      </c>
      <c r="C4409" s="35" t="s">
        <v>405</v>
      </c>
      <c r="D4409" s="35" t="s">
        <v>1054</v>
      </c>
      <c r="E4409" s="35" t="s">
        <v>1064</v>
      </c>
      <c r="F4409" s="35" t="s">
        <v>353</v>
      </c>
      <c r="G4409" s="35" t="s">
        <v>10</v>
      </c>
      <c r="H4409" s="35" t="s">
        <v>378</v>
      </c>
      <c r="I4409" s="35" t="s">
        <v>376</v>
      </c>
    </row>
    <row r="4410" spans="1:9">
      <c r="A4410" s="34">
        <v>2084224729</v>
      </c>
      <c r="B4410" s="35" t="s">
        <v>462</v>
      </c>
      <c r="C4410" s="35" t="s">
        <v>405</v>
      </c>
      <c r="D4410" s="35" t="s">
        <v>1054</v>
      </c>
      <c r="E4410" s="35" t="s">
        <v>1064</v>
      </c>
      <c r="F4410" s="35" t="s">
        <v>353</v>
      </c>
      <c r="G4410" s="35" t="s">
        <v>10</v>
      </c>
      <c r="H4410" s="35" t="s">
        <v>378</v>
      </c>
      <c r="I4410" s="35" t="s">
        <v>377</v>
      </c>
    </row>
    <row r="4411" spans="1:9">
      <c r="A4411" s="34">
        <v>2084051056</v>
      </c>
      <c r="B4411" s="35" t="s">
        <v>462</v>
      </c>
      <c r="C4411" s="35" t="s">
        <v>405</v>
      </c>
      <c r="D4411" s="35" t="s">
        <v>1054</v>
      </c>
      <c r="E4411" s="35" t="s">
        <v>1064</v>
      </c>
      <c r="F4411" s="35" t="s">
        <v>353</v>
      </c>
      <c r="G4411" s="35" t="s">
        <v>10</v>
      </c>
      <c r="H4411" s="35" t="s">
        <v>335</v>
      </c>
    </row>
    <row r="4412" spans="1:9">
      <c r="A4412" s="34">
        <v>2084051058</v>
      </c>
      <c r="B4412" s="35" t="s">
        <v>462</v>
      </c>
      <c r="C4412" s="35" t="s">
        <v>405</v>
      </c>
      <c r="D4412" s="35" t="s">
        <v>1054</v>
      </c>
      <c r="E4412" s="35" t="s">
        <v>1064</v>
      </c>
      <c r="F4412" s="35" t="s">
        <v>353</v>
      </c>
      <c r="G4412" s="35" t="s">
        <v>379</v>
      </c>
      <c r="H4412" s="35" t="s">
        <v>545</v>
      </c>
    </row>
    <row r="4413" spans="1:9">
      <c r="A4413" s="34">
        <v>2084051059</v>
      </c>
      <c r="B4413" s="35" t="s">
        <v>462</v>
      </c>
      <c r="C4413" s="35" t="s">
        <v>405</v>
      </c>
      <c r="D4413" s="35" t="s">
        <v>1054</v>
      </c>
      <c r="E4413" s="35" t="s">
        <v>1064</v>
      </c>
      <c r="F4413" s="35" t="s">
        <v>353</v>
      </c>
      <c r="G4413" s="35" t="s">
        <v>379</v>
      </c>
      <c r="H4413" s="35" t="s">
        <v>335</v>
      </c>
    </row>
    <row r="4414" spans="1:9">
      <c r="A4414" s="34">
        <v>2084051060</v>
      </c>
      <c r="B4414" s="35" t="s">
        <v>462</v>
      </c>
      <c r="C4414" s="35" t="s">
        <v>405</v>
      </c>
      <c r="D4414" s="35" t="s">
        <v>1054</v>
      </c>
      <c r="E4414" s="35" t="s">
        <v>1064</v>
      </c>
      <c r="F4414" s="35" t="s">
        <v>353</v>
      </c>
      <c r="G4414" s="35" t="s">
        <v>335</v>
      </c>
    </row>
    <row r="4415" spans="1:9">
      <c r="A4415" s="34">
        <v>2084055223</v>
      </c>
      <c r="B4415" s="35" t="s">
        <v>462</v>
      </c>
      <c r="C4415" s="35" t="s">
        <v>405</v>
      </c>
      <c r="D4415" s="35" t="s">
        <v>1054</v>
      </c>
      <c r="E4415" s="35" t="s">
        <v>1065</v>
      </c>
      <c r="F4415" s="35" t="s">
        <v>475</v>
      </c>
    </row>
    <row r="4416" spans="1:9">
      <c r="A4416" s="34">
        <v>2084055207</v>
      </c>
      <c r="B4416" s="35" t="s">
        <v>462</v>
      </c>
      <c r="C4416" s="35" t="s">
        <v>405</v>
      </c>
      <c r="D4416" s="35" t="s">
        <v>1054</v>
      </c>
      <c r="E4416" s="35" t="s">
        <v>1065</v>
      </c>
      <c r="F4416" s="35" t="s">
        <v>390</v>
      </c>
      <c r="G4416" s="35" t="s">
        <v>367</v>
      </c>
    </row>
    <row r="4417" spans="1:8">
      <c r="A4417" s="34">
        <v>2084055209</v>
      </c>
      <c r="B4417" s="35" t="s">
        <v>462</v>
      </c>
      <c r="C4417" s="35" t="s">
        <v>405</v>
      </c>
      <c r="D4417" s="35" t="s">
        <v>1054</v>
      </c>
      <c r="E4417" s="35" t="s">
        <v>1065</v>
      </c>
      <c r="F4417" s="35" t="s">
        <v>390</v>
      </c>
      <c r="G4417" s="35" t="s">
        <v>368</v>
      </c>
      <c r="H4417" s="35" t="s">
        <v>481</v>
      </c>
    </row>
    <row r="4418" spans="1:8">
      <c r="A4418" s="34">
        <v>2084055210</v>
      </c>
      <c r="B4418" s="35" t="s">
        <v>462</v>
      </c>
      <c r="C4418" s="35" t="s">
        <v>405</v>
      </c>
      <c r="D4418" s="35" t="s">
        <v>1054</v>
      </c>
      <c r="E4418" s="35" t="s">
        <v>1065</v>
      </c>
      <c r="F4418" s="35" t="s">
        <v>390</v>
      </c>
      <c r="G4418" s="35" t="s">
        <v>368</v>
      </c>
      <c r="H4418" s="35" t="s">
        <v>335</v>
      </c>
    </row>
    <row r="4419" spans="1:8">
      <c r="A4419" s="34">
        <v>2084055216</v>
      </c>
      <c r="B4419" s="35" t="s">
        <v>462</v>
      </c>
      <c r="C4419" s="35" t="s">
        <v>405</v>
      </c>
      <c r="D4419" s="35" t="s">
        <v>1054</v>
      </c>
      <c r="E4419" s="35" t="s">
        <v>1065</v>
      </c>
      <c r="F4419" s="35" t="s">
        <v>390</v>
      </c>
      <c r="G4419" s="35" t="s">
        <v>10</v>
      </c>
      <c r="H4419" s="35" t="s">
        <v>483</v>
      </c>
    </row>
    <row r="4420" spans="1:8">
      <c r="A4420" s="34">
        <v>2084055213</v>
      </c>
      <c r="B4420" s="35" t="s">
        <v>462</v>
      </c>
      <c r="C4420" s="35" t="s">
        <v>405</v>
      </c>
      <c r="D4420" s="35" t="s">
        <v>1054</v>
      </c>
      <c r="E4420" s="35" t="s">
        <v>1065</v>
      </c>
      <c r="F4420" s="35" t="s">
        <v>390</v>
      </c>
      <c r="G4420" s="35" t="s">
        <v>10</v>
      </c>
      <c r="H4420" s="35" t="s">
        <v>397</v>
      </c>
    </row>
    <row r="4421" spans="1:8">
      <c r="A4421" s="34">
        <v>2084055215</v>
      </c>
      <c r="B4421" s="35" t="s">
        <v>462</v>
      </c>
      <c r="C4421" s="35" t="s">
        <v>405</v>
      </c>
      <c r="D4421" s="35" t="s">
        <v>1054</v>
      </c>
      <c r="E4421" s="35" t="s">
        <v>1065</v>
      </c>
      <c r="F4421" s="35" t="s">
        <v>390</v>
      </c>
      <c r="G4421" s="35" t="s">
        <v>10</v>
      </c>
      <c r="H4421" s="35" t="s">
        <v>421</v>
      </c>
    </row>
    <row r="4422" spans="1:8">
      <c r="A4422" s="34">
        <v>2084055212</v>
      </c>
      <c r="B4422" s="35" t="s">
        <v>462</v>
      </c>
      <c r="C4422" s="35" t="s">
        <v>405</v>
      </c>
      <c r="D4422" s="35" t="s">
        <v>1054</v>
      </c>
      <c r="E4422" s="35" t="s">
        <v>1065</v>
      </c>
      <c r="F4422" s="35" t="s">
        <v>390</v>
      </c>
      <c r="G4422" s="35" t="s">
        <v>10</v>
      </c>
      <c r="H4422" s="35" t="s">
        <v>398</v>
      </c>
    </row>
    <row r="4423" spans="1:8">
      <c r="A4423" s="34">
        <v>2084055214</v>
      </c>
      <c r="B4423" s="35" t="s">
        <v>462</v>
      </c>
      <c r="C4423" s="35" t="s">
        <v>405</v>
      </c>
      <c r="D4423" s="35" t="s">
        <v>1054</v>
      </c>
      <c r="E4423" s="35" t="s">
        <v>1065</v>
      </c>
      <c r="F4423" s="35" t="s">
        <v>390</v>
      </c>
      <c r="G4423" s="35" t="s">
        <v>10</v>
      </c>
      <c r="H4423" s="35" t="s">
        <v>422</v>
      </c>
    </row>
    <row r="4424" spans="1:8">
      <c r="A4424" s="34">
        <v>2084055217</v>
      </c>
      <c r="B4424" s="35" t="s">
        <v>462</v>
      </c>
      <c r="C4424" s="35" t="s">
        <v>405</v>
      </c>
      <c r="D4424" s="35" t="s">
        <v>1054</v>
      </c>
      <c r="E4424" s="35" t="s">
        <v>1065</v>
      </c>
      <c r="F4424" s="35" t="s">
        <v>390</v>
      </c>
      <c r="G4424" s="35" t="s">
        <v>10</v>
      </c>
      <c r="H4424" s="35" t="s">
        <v>335</v>
      </c>
    </row>
    <row r="4425" spans="1:8">
      <c r="A4425" s="34">
        <v>2084055220</v>
      </c>
      <c r="B4425" s="35" t="s">
        <v>462</v>
      </c>
      <c r="C4425" s="35" t="s">
        <v>405</v>
      </c>
      <c r="D4425" s="35" t="s">
        <v>1054</v>
      </c>
      <c r="E4425" s="35" t="s">
        <v>1065</v>
      </c>
      <c r="F4425" s="35" t="s">
        <v>390</v>
      </c>
      <c r="G4425" s="35" t="s">
        <v>379</v>
      </c>
      <c r="H4425" s="35" t="s">
        <v>545</v>
      </c>
    </row>
    <row r="4426" spans="1:8">
      <c r="A4426" s="34">
        <v>2084055219</v>
      </c>
      <c r="B4426" s="35" t="s">
        <v>462</v>
      </c>
      <c r="C4426" s="35" t="s">
        <v>405</v>
      </c>
      <c r="D4426" s="35" t="s">
        <v>1054</v>
      </c>
      <c r="E4426" s="35" t="s">
        <v>1065</v>
      </c>
      <c r="F4426" s="35" t="s">
        <v>390</v>
      </c>
      <c r="G4426" s="35" t="s">
        <v>379</v>
      </c>
      <c r="H4426" s="35" t="s">
        <v>476</v>
      </c>
    </row>
    <row r="4427" spans="1:8">
      <c r="A4427" s="34">
        <v>2084055221</v>
      </c>
      <c r="B4427" s="35" t="s">
        <v>462</v>
      </c>
      <c r="C4427" s="35" t="s">
        <v>405</v>
      </c>
      <c r="D4427" s="35" t="s">
        <v>1054</v>
      </c>
      <c r="E4427" s="35" t="s">
        <v>1065</v>
      </c>
      <c r="F4427" s="35" t="s">
        <v>390</v>
      </c>
      <c r="G4427" s="35" t="s">
        <v>379</v>
      </c>
      <c r="H4427" s="35" t="s">
        <v>335</v>
      </c>
    </row>
    <row r="4428" spans="1:8">
      <c r="A4428" s="34">
        <v>2084061670</v>
      </c>
      <c r="B4428" s="35" t="s">
        <v>462</v>
      </c>
      <c r="C4428" s="35" t="s">
        <v>405</v>
      </c>
      <c r="D4428" s="35" t="s">
        <v>1054</v>
      </c>
      <c r="E4428" s="35" t="s">
        <v>1065</v>
      </c>
      <c r="F4428" s="35" t="s">
        <v>390</v>
      </c>
      <c r="G4428" s="35" t="s">
        <v>478</v>
      </c>
    </row>
    <row r="4429" spans="1:8">
      <c r="A4429" s="34">
        <v>2084055222</v>
      </c>
      <c r="B4429" s="35" t="s">
        <v>462</v>
      </c>
      <c r="C4429" s="35" t="s">
        <v>405</v>
      </c>
      <c r="D4429" s="35" t="s">
        <v>1054</v>
      </c>
      <c r="E4429" s="35" t="s">
        <v>1065</v>
      </c>
      <c r="F4429" s="35" t="s">
        <v>390</v>
      </c>
      <c r="G4429" s="35" t="s">
        <v>335</v>
      </c>
    </row>
    <row r="4430" spans="1:8">
      <c r="A4430" s="34">
        <v>2084055191</v>
      </c>
      <c r="B4430" s="35" t="s">
        <v>462</v>
      </c>
      <c r="C4430" s="35" t="s">
        <v>405</v>
      </c>
      <c r="D4430" s="35" t="s">
        <v>1054</v>
      </c>
      <c r="E4430" s="35" t="s">
        <v>1065</v>
      </c>
      <c r="F4430" s="35" t="s">
        <v>353</v>
      </c>
      <c r="G4430" s="35" t="s">
        <v>367</v>
      </c>
    </row>
    <row r="4431" spans="1:8">
      <c r="A4431" s="34">
        <v>2084055193</v>
      </c>
      <c r="B4431" s="35" t="s">
        <v>462</v>
      </c>
      <c r="C4431" s="35" t="s">
        <v>405</v>
      </c>
      <c r="D4431" s="35" t="s">
        <v>1054</v>
      </c>
      <c r="E4431" s="35" t="s">
        <v>1065</v>
      </c>
      <c r="F4431" s="35" t="s">
        <v>353</v>
      </c>
      <c r="G4431" s="35" t="s">
        <v>368</v>
      </c>
      <c r="H4431" s="35" t="s">
        <v>481</v>
      </c>
    </row>
    <row r="4432" spans="1:8">
      <c r="A4432" s="34">
        <v>2084055194</v>
      </c>
      <c r="B4432" s="35" t="s">
        <v>462</v>
      </c>
      <c r="C4432" s="35" t="s">
        <v>405</v>
      </c>
      <c r="D4432" s="35" t="s">
        <v>1054</v>
      </c>
      <c r="E4432" s="35" t="s">
        <v>1065</v>
      </c>
      <c r="F4432" s="35" t="s">
        <v>353</v>
      </c>
      <c r="G4432" s="35" t="s">
        <v>368</v>
      </c>
      <c r="H4432" s="35" t="s">
        <v>335</v>
      </c>
    </row>
    <row r="4433" spans="1:9">
      <c r="A4433" s="34">
        <v>2084055200</v>
      </c>
      <c r="B4433" s="35" t="s">
        <v>462</v>
      </c>
      <c r="C4433" s="35" t="s">
        <v>405</v>
      </c>
      <c r="D4433" s="35" t="s">
        <v>1054</v>
      </c>
      <c r="E4433" s="35" t="s">
        <v>1065</v>
      </c>
      <c r="F4433" s="35" t="s">
        <v>353</v>
      </c>
      <c r="G4433" s="35" t="s">
        <v>10</v>
      </c>
      <c r="H4433" s="35" t="s">
        <v>483</v>
      </c>
    </row>
    <row r="4434" spans="1:9">
      <c r="A4434" s="34">
        <v>2084055197</v>
      </c>
      <c r="B4434" s="35" t="s">
        <v>462</v>
      </c>
      <c r="C4434" s="35" t="s">
        <v>405</v>
      </c>
      <c r="D4434" s="35" t="s">
        <v>1054</v>
      </c>
      <c r="E4434" s="35" t="s">
        <v>1065</v>
      </c>
      <c r="F4434" s="35" t="s">
        <v>353</v>
      </c>
      <c r="G4434" s="35" t="s">
        <v>10</v>
      </c>
      <c r="H4434" s="35" t="s">
        <v>397</v>
      </c>
    </row>
    <row r="4435" spans="1:9">
      <c r="A4435" s="34">
        <v>2084055199</v>
      </c>
      <c r="B4435" s="35" t="s">
        <v>462</v>
      </c>
      <c r="C4435" s="35" t="s">
        <v>405</v>
      </c>
      <c r="D4435" s="35" t="s">
        <v>1054</v>
      </c>
      <c r="E4435" s="35" t="s">
        <v>1065</v>
      </c>
      <c r="F4435" s="35" t="s">
        <v>353</v>
      </c>
      <c r="G4435" s="35" t="s">
        <v>10</v>
      </c>
      <c r="H4435" s="35" t="s">
        <v>421</v>
      </c>
    </row>
    <row r="4436" spans="1:9">
      <c r="A4436" s="34">
        <v>2084224730</v>
      </c>
      <c r="B4436" s="35" t="s">
        <v>462</v>
      </c>
      <c r="C4436" s="35" t="s">
        <v>405</v>
      </c>
      <c r="D4436" s="35" t="s">
        <v>1054</v>
      </c>
      <c r="E4436" s="35" t="s">
        <v>1065</v>
      </c>
      <c r="F4436" s="35" t="s">
        <v>353</v>
      </c>
      <c r="G4436" s="35" t="s">
        <v>10</v>
      </c>
      <c r="H4436" s="35" t="s">
        <v>378</v>
      </c>
      <c r="I4436" s="35" t="s">
        <v>374</v>
      </c>
    </row>
    <row r="4437" spans="1:9">
      <c r="A4437" s="34">
        <v>2084224731</v>
      </c>
      <c r="B4437" s="35" t="s">
        <v>462</v>
      </c>
      <c r="C4437" s="35" t="s">
        <v>405</v>
      </c>
      <c r="D4437" s="35" t="s">
        <v>1054</v>
      </c>
      <c r="E4437" s="35" t="s">
        <v>1065</v>
      </c>
      <c r="F4437" s="35" t="s">
        <v>353</v>
      </c>
      <c r="G4437" s="35" t="s">
        <v>10</v>
      </c>
      <c r="H4437" s="35" t="s">
        <v>378</v>
      </c>
      <c r="I4437" s="35" t="s">
        <v>375</v>
      </c>
    </row>
    <row r="4438" spans="1:9">
      <c r="A4438" s="34">
        <v>2084224732</v>
      </c>
      <c r="B4438" s="35" t="s">
        <v>462</v>
      </c>
      <c r="C4438" s="35" t="s">
        <v>405</v>
      </c>
      <c r="D4438" s="35" t="s">
        <v>1054</v>
      </c>
      <c r="E4438" s="35" t="s">
        <v>1065</v>
      </c>
      <c r="F4438" s="35" t="s">
        <v>353</v>
      </c>
      <c r="G4438" s="35" t="s">
        <v>10</v>
      </c>
      <c r="H4438" s="35" t="s">
        <v>378</v>
      </c>
      <c r="I4438" s="35" t="s">
        <v>376</v>
      </c>
    </row>
    <row r="4439" spans="1:9">
      <c r="A4439" s="34">
        <v>2084224733</v>
      </c>
      <c r="B4439" s="35" t="s">
        <v>462</v>
      </c>
      <c r="C4439" s="35" t="s">
        <v>405</v>
      </c>
      <c r="D4439" s="35" t="s">
        <v>1054</v>
      </c>
      <c r="E4439" s="35" t="s">
        <v>1065</v>
      </c>
      <c r="F4439" s="35" t="s">
        <v>353</v>
      </c>
      <c r="G4439" s="35" t="s">
        <v>10</v>
      </c>
      <c r="H4439" s="35" t="s">
        <v>378</v>
      </c>
      <c r="I4439" s="35" t="s">
        <v>377</v>
      </c>
    </row>
    <row r="4440" spans="1:9">
      <c r="A4440" s="34">
        <v>2084055198</v>
      </c>
      <c r="B4440" s="35" t="s">
        <v>462</v>
      </c>
      <c r="C4440" s="35" t="s">
        <v>405</v>
      </c>
      <c r="D4440" s="35" t="s">
        <v>1054</v>
      </c>
      <c r="E4440" s="35" t="s">
        <v>1065</v>
      </c>
      <c r="F4440" s="35" t="s">
        <v>353</v>
      </c>
      <c r="G4440" s="35" t="s">
        <v>10</v>
      </c>
      <c r="H4440" s="35" t="s">
        <v>422</v>
      </c>
    </row>
    <row r="4441" spans="1:9">
      <c r="A4441" s="34">
        <v>2084055201</v>
      </c>
      <c r="B4441" s="35" t="s">
        <v>462</v>
      </c>
      <c r="C4441" s="35" t="s">
        <v>405</v>
      </c>
      <c r="D4441" s="35" t="s">
        <v>1054</v>
      </c>
      <c r="E4441" s="35" t="s">
        <v>1065</v>
      </c>
      <c r="F4441" s="35" t="s">
        <v>353</v>
      </c>
      <c r="G4441" s="35" t="s">
        <v>10</v>
      </c>
      <c r="H4441" s="35" t="s">
        <v>335</v>
      </c>
    </row>
    <row r="4442" spans="1:9">
      <c r="A4442" s="34">
        <v>2084213270</v>
      </c>
      <c r="B4442" s="35" t="s">
        <v>462</v>
      </c>
      <c r="C4442" s="35" t="s">
        <v>405</v>
      </c>
      <c r="D4442" s="35" t="s">
        <v>1054</v>
      </c>
      <c r="E4442" s="35" t="s">
        <v>1065</v>
      </c>
      <c r="F4442" s="35" t="s">
        <v>353</v>
      </c>
      <c r="G4442" s="35" t="s">
        <v>379</v>
      </c>
      <c r="H4442" s="35" t="s">
        <v>557</v>
      </c>
      <c r="I4442" s="35" t="s">
        <v>558</v>
      </c>
    </row>
    <row r="4443" spans="1:9">
      <c r="A4443" s="34">
        <v>2084213271</v>
      </c>
      <c r="B4443" s="35" t="s">
        <v>462</v>
      </c>
      <c r="C4443" s="35" t="s">
        <v>405</v>
      </c>
      <c r="D4443" s="35" t="s">
        <v>1054</v>
      </c>
      <c r="E4443" s="35" t="s">
        <v>1065</v>
      </c>
      <c r="F4443" s="35" t="s">
        <v>353</v>
      </c>
      <c r="G4443" s="35" t="s">
        <v>379</v>
      </c>
      <c r="H4443" s="35" t="s">
        <v>557</v>
      </c>
      <c r="I4443" s="35" t="s">
        <v>559</v>
      </c>
    </row>
    <row r="4444" spans="1:9">
      <c r="A4444" s="34">
        <v>2084213272</v>
      </c>
      <c r="B4444" s="35" t="s">
        <v>462</v>
      </c>
      <c r="C4444" s="35" t="s">
        <v>405</v>
      </c>
      <c r="D4444" s="35" t="s">
        <v>1054</v>
      </c>
      <c r="E4444" s="35" t="s">
        <v>1065</v>
      </c>
      <c r="F4444" s="35" t="s">
        <v>353</v>
      </c>
      <c r="G4444" s="35" t="s">
        <v>379</v>
      </c>
      <c r="H4444" s="35" t="s">
        <v>557</v>
      </c>
      <c r="I4444" s="35" t="s">
        <v>560</v>
      </c>
    </row>
    <row r="4445" spans="1:9">
      <c r="A4445" s="34">
        <v>2084213273</v>
      </c>
      <c r="B4445" s="35" t="s">
        <v>462</v>
      </c>
      <c r="C4445" s="35" t="s">
        <v>405</v>
      </c>
      <c r="D4445" s="35" t="s">
        <v>1054</v>
      </c>
      <c r="E4445" s="35" t="s">
        <v>1065</v>
      </c>
      <c r="F4445" s="35" t="s">
        <v>353</v>
      </c>
      <c r="G4445" s="35" t="s">
        <v>379</v>
      </c>
      <c r="H4445" s="35" t="s">
        <v>557</v>
      </c>
      <c r="I4445" s="35" t="s">
        <v>561</v>
      </c>
    </row>
    <row r="4446" spans="1:9">
      <c r="A4446" s="34">
        <v>2084213274</v>
      </c>
      <c r="B4446" s="35" t="s">
        <v>462</v>
      </c>
      <c r="C4446" s="35" t="s">
        <v>405</v>
      </c>
      <c r="D4446" s="35" t="s">
        <v>1054</v>
      </c>
      <c r="E4446" s="35" t="s">
        <v>1065</v>
      </c>
      <c r="F4446" s="35" t="s">
        <v>353</v>
      </c>
      <c r="G4446" s="35" t="s">
        <v>379</v>
      </c>
      <c r="H4446" s="35" t="s">
        <v>557</v>
      </c>
      <c r="I4446" s="35" t="s">
        <v>562</v>
      </c>
    </row>
    <row r="4447" spans="1:9">
      <c r="A4447" s="34">
        <v>2084213275</v>
      </c>
      <c r="B4447" s="35" t="s">
        <v>462</v>
      </c>
      <c r="C4447" s="35" t="s">
        <v>405</v>
      </c>
      <c r="D4447" s="35" t="s">
        <v>1054</v>
      </c>
      <c r="E4447" s="35" t="s">
        <v>1065</v>
      </c>
      <c r="F4447" s="35" t="s">
        <v>353</v>
      </c>
      <c r="G4447" s="35" t="s">
        <v>379</v>
      </c>
      <c r="H4447" s="35" t="s">
        <v>557</v>
      </c>
      <c r="I4447" s="35" t="s">
        <v>563</v>
      </c>
    </row>
    <row r="4448" spans="1:9">
      <c r="A4448" s="34">
        <v>2084213276</v>
      </c>
      <c r="B4448" s="35" t="s">
        <v>462</v>
      </c>
      <c r="C4448" s="35" t="s">
        <v>405</v>
      </c>
      <c r="D4448" s="35" t="s">
        <v>1054</v>
      </c>
      <c r="E4448" s="35" t="s">
        <v>1065</v>
      </c>
      <c r="F4448" s="35" t="s">
        <v>353</v>
      </c>
      <c r="G4448" s="35" t="s">
        <v>379</v>
      </c>
      <c r="H4448" s="35" t="s">
        <v>557</v>
      </c>
      <c r="I4448" s="35" t="s">
        <v>1066</v>
      </c>
    </row>
    <row r="4449" spans="1:8">
      <c r="A4449" s="34">
        <v>2084055204</v>
      </c>
      <c r="B4449" s="35" t="s">
        <v>462</v>
      </c>
      <c r="C4449" s="35" t="s">
        <v>405</v>
      </c>
      <c r="D4449" s="35" t="s">
        <v>1054</v>
      </c>
      <c r="E4449" s="35" t="s">
        <v>1065</v>
      </c>
      <c r="F4449" s="35" t="s">
        <v>353</v>
      </c>
      <c r="G4449" s="35" t="s">
        <v>379</v>
      </c>
      <c r="H4449" s="35" t="s">
        <v>335</v>
      </c>
    </row>
    <row r="4450" spans="1:8">
      <c r="A4450" s="34">
        <v>2084055205</v>
      </c>
      <c r="B4450" s="35" t="s">
        <v>462</v>
      </c>
      <c r="C4450" s="35" t="s">
        <v>405</v>
      </c>
      <c r="D4450" s="35" t="s">
        <v>1054</v>
      </c>
      <c r="E4450" s="35" t="s">
        <v>1065</v>
      </c>
      <c r="F4450" s="35" t="s">
        <v>353</v>
      </c>
      <c r="G4450" s="35" t="s">
        <v>335</v>
      </c>
    </row>
    <row r="4451" spans="1:8">
      <c r="A4451" s="34">
        <v>2084055224</v>
      </c>
      <c r="B4451" s="35" t="s">
        <v>462</v>
      </c>
      <c r="C4451" s="35" t="s">
        <v>405</v>
      </c>
      <c r="D4451" s="35" t="s">
        <v>1054</v>
      </c>
      <c r="E4451" s="35" t="s">
        <v>1065</v>
      </c>
      <c r="F4451" s="35" t="s">
        <v>335</v>
      </c>
    </row>
    <row r="4452" spans="1:8">
      <c r="A4452" s="34">
        <v>2084258268</v>
      </c>
      <c r="B4452" s="35" t="s">
        <v>462</v>
      </c>
      <c r="C4452" s="35" t="s">
        <v>405</v>
      </c>
      <c r="D4452" s="35" t="s">
        <v>1054</v>
      </c>
      <c r="E4452" s="35" t="s">
        <v>1067</v>
      </c>
      <c r="F4452" s="35" t="s">
        <v>367</v>
      </c>
    </row>
    <row r="4453" spans="1:8">
      <c r="A4453" s="34">
        <v>2084258269</v>
      </c>
      <c r="B4453" s="35" t="s">
        <v>462</v>
      </c>
      <c r="C4453" s="35" t="s">
        <v>405</v>
      </c>
      <c r="D4453" s="35" t="s">
        <v>1054</v>
      </c>
      <c r="E4453" s="35" t="s">
        <v>1067</v>
      </c>
      <c r="F4453" s="35" t="s">
        <v>401</v>
      </c>
    </row>
    <row r="4454" spans="1:8">
      <c r="A4454" s="34">
        <v>2084258270</v>
      </c>
      <c r="B4454" s="35" t="s">
        <v>462</v>
      </c>
      <c r="C4454" s="35" t="s">
        <v>405</v>
      </c>
      <c r="D4454" s="35" t="s">
        <v>1054</v>
      </c>
      <c r="E4454" s="35" t="s">
        <v>1067</v>
      </c>
      <c r="F4454" s="35" t="s">
        <v>402</v>
      </c>
    </row>
    <row r="4455" spans="1:8">
      <c r="A4455" s="34">
        <v>2084258272</v>
      </c>
      <c r="B4455" s="35" t="s">
        <v>462</v>
      </c>
      <c r="C4455" s="35" t="s">
        <v>405</v>
      </c>
      <c r="D4455" s="35" t="s">
        <v>1054</v>
      </c>
      <c r="E4455" s="35" t="s">
        <v>1067</v>
      </c>
      <c r="F4455" s="35" t="s">
        <v>403</v>
      </c>
    </row>
    <row r="4456" spans="1:8">
      <c r="A4456" s="34">
        <v>2084258271</v>
      </c>
      <c r="B4456" s="35" t="s">
        <v>462</v>
      </c>
      <c r="C4456" s="35" t="s">
        <v>405</v>
      </c>
      <c r="D4456" s="35" t="s">
        <v>1054</v>
      </c>
      <c r="E4456" s="35" t="s">
        <v>1067</v>
      </c>
      <c r="F4456" s="35" t="s">
        <v>478</v>
      </c>
    </row>
    <row r="4457" spans="1:8">
      <c r="A4457" s="34">
        <v>2084258273</v>
      </c>
      <c r="B4457" s="35" t="s">
        <v>462</v>
      </c>
      <c r="C4457" s="35" t="s">
        <v>405</v>
      </c>
      <c r="D4457" s="35" t="s">
        <v>1054</v>
      </c>
      <c r="E4457" s="35" t="s">
        <v>1067</v>
      </c>
      <c r="F4457" s="35" t="s">
        <v>335</v>
      </c>
    </row>
    <row r="4458" spans="1:8">
      <c r="A4458" s="34">
        <v>2084056383</v>
      </c>
      <c r="B4458" s="35" t="s">
        <v>462</v>
      </c>
      <c r="C4458" s="35" t="s">
        <v>405</v>
      </c>
      <c r="D4458" s="35" t="s">
        <v>1054</v>
      </c>
      <c r="E4458" s="35" t="s">
        <v>1068</v>
      </c>
      <c r="F4458" s="35" t="s">
        <v>367</v>
      </c>
    </row>
    <row r="4459" spans="1:8">
      <c r="A4459" s="34">
        <v>2084056385</v>
      </c>
      <c r="B4459" s="35" t="s">
        <v>462</v>
      </c>
      <c r="C4459" s="35" t="s">
        <v>405</v>
      </c>
      <c r="D4459" s="35" t="s">
        <v>1054</v>
      </c>
      <c r="E4459" s="35" t="s">
        <v>1068</v>
      </c>
      <c r="F4459" s="35" t="s">
        <v>368</v>
      </c>
      <c r="G4459" s="35" t="s">
        <v>481</v>
      </c>
    </row>
    <row r="4460" spans="1:8">
      <c r="A4460" s="34">
        <v>2084056386</v>
      </c>
      <c r="B4460" s="35" t="s">
        <v>462</v>
      </c>
      <c r="C4460" s="35" t="s">
        <v>405</v>
      </c>
      <c r="D4460" s="35" t="s">
        <v>1054</v>
      </c>
      <c r="E4460" s="35" t="s">
        <v>1068</v>
      </c>
      <c r="F4460" s="35" t="s">
        <v>368</v>
      </c>
      <c r="G4460" s="35" t="s">
        <v>335</v>
      </c>
    </row>
    <row r="4461" spans="1:8">
      <c r="A4461" s="34">
        <v>2084056395</v>
      </c>
      <c r="B4461" s="35" t="s">
        <v>462</v>
      </c>
      <c r="C4461" s="35" t="s">
        <v>405</v>
      </c>
      <c r="D4461" s="35" t="s">
        <v>1054</v>
      </c>
      <c r="E4461" s="35" t="s">
        <v>1068</v>
      </c>
      <c r="F4461" s="35" t="s">
        <v>10</v>
      </c>
      <c r="G4461" s="35" t="s">
        <v>483</v>
      </c>
    </row>
    <row r="4462" spans="1:8">
      <c r="A4462" s="34">
        <v>2084056392</v>
      </c>
      <c r="B4462" s="35" t="s">
        <v>462</v>
      </c>
      <c r="C4462" s="35" t="s">
        <v>405</v>
      </c>
      <c r="D4462" s="35" t="s">
        <v>1054</v>
      </c>
      <c r="E4462" s="35" t="s">
        <v>1068</v>
      </c>
      <c r="F4462" s="35" t="s">
        <v>10</v>
      </c>
      <c r="G4462" s="35" t="s">
        <v>397</v>
      </c>
    </row>
    <row r="4463" spans="1:8">
      <c r="A4463" s="34">
        <v>2084056394</v>
      </c>
      <c r="B4463" s="35" t="s">
        <v>462</v>
      </c>
      <c r="C4463" s="35" t="s">
        <v>405</v>
      </c>
      <c r="D4463" s="35" t="s">
        <v>1054</v>
      </c>
      <c r="E4463" s="35" t="s">
        <v>1068</v>
      </c>
      <c r="F4463" s="35" t="s">
        <v>10</v>
      </c>
      <c r="G4463" s="35" t="s">
        <v>421</v>
      </c>
    </row>
    <row r="4464" spans="1:8">
      <c r="A4464" s="34">
        <v>2084056391</v>
      </c>
      <c r="B4464" s="35" t="s">
        <v>462</v>
      </c>
      <c r="C4464" s="35" t="s">
        <v>405</v>
      </c>
      <c r="D4464" s="35" t="s">
        <v>1054</v>
      </c>
      <c r="E4464" s="35" t="s">
        <v>1068</v>
      </c>
      <c r="F4464" s="35" t="s">
        <v>10</v>
      </c>
      <c r="G4464" s="35" t="s">
        <v>398</v>
      </c>
    </row>
    <row r="4465" spans="1:8">
      <c r="A4465" s="34">
        <v>2084056393</v>
      </c>
      <c r="B4465" s="35" t="s">
        <v>462</v>
      </c>
      <c r="C4465" s="35" t="s">
        <v>405</v>
      </c>
      <c r="D4465" s="35" t="s">
        <v>1054</v>
      </c>
      <c r="E4465" s="35" t="s">
        <v>1068</v>
      </c>
      <c r="F4465" s="35" t="s">
        <v>10</v>
      </c>
      <c r="G4465" s="35" t="s">
        <v>422</v>
      </c>
    </row>
    <row r="4466" spans="1:8">
      <c r="A4466" s="34">
        <v>2084056396</v>
      </c>
      <c r="B4466" s="35" t="s">
        <v>462</v>
      </c>
      <c r="C4466" s="35" t="s">
        <v>405</v>
      </c>
      <c r="D4466" s="35" t="s">
        <v>1054</v>
      </c>
      <c r="E4466" s="35" t="s">
        <v>1068</v>
      </c>
      <c r="F4466" s="35" t="s">
        <v>10</v>
      </c>
      <c r="G4466" s="35" t="s">
        <v>335</v>
      </c>
    </row>
    <row r="4467" spans="1:8">
      <c r="A4467" s="34">
        <v>2084056399</v>
      </c>
      <c r="B4467" s="35" t="s">
        <v>462</v>
      </c>
      <c r="C4467" s="35" t="s">
        <v>405</v>
      </c>
      <c r="D4467" s="35" t="s">
        <v>1054</v>
      </c>
      <c r="E4467" s="35" t="s">
        <v>1068</v>
      </c>
      <c r="F4467" s="35" t="s">
        <v>379</v>
      </c>
      <c r="G4467" s="35" t="s">
        <v>1069</v>
      </c>
    </row>
    <row r="4468" spans="1:8">
      <c r="A4468" s="34">
        <v>2084056400</v>
      </c>
      <c r="B4468" s="35" t="s">
        <v>462</v>
      </c>
      <c r="C4468" s="35" t="s">
        <v>405</v>
      </c>
      <c r="D4468" s="35" t="s">
        <v>1054</v>
      </c>
      <c r="E4468" s="35" t="s">
        <v>1068</v>
      </c>
      <c r="F4468" s="35" t="s">
        <v>379</v>
      </c>
      <c r="G4468" s="35" t="s">
        <v>555</v>
      </c>
    </row>
    <row r="4469" spans="1:8">
      <c r="A4469" s="34">
        <v>2084056401</v>
      </c>
      <c r="B4469" s="35" t="s">
        <v>462</v>
      </c>
      <c r="C4469" s="35" t="s">
        <v>405</v>
      </c>
      <c r="D4469" s="35" t="s">
        <v>1054</v>
      </c>
      <c r="E4469" s="35" t="s">
        <v>1068</v>
      </c>
      <c r="F4469" s="35" t="s">
        <v>379</v>
      </c>
      <c r="G4469" s="35" t="s">
        <v>335</v>
      </c>
    </row>
    <row r="4470" spans="1:8">
      <c r="A4470" s="34">
        <v>2084056403</v>
      </c>
      <c r="B4470" s="35" t="s">
        <v>462</v>
      </c>
      <c r="C4470" s="35" t="s">
        <v>405</v>
      </c>
      <c r="D4470" s="35" t="s">
        <v>1054</v>
      </c>
      <c r="E4470" s="35" t="s">
        <v>1068</v>
      </c>
      <c r="F4470" s="35" t="s">
        <v>335</v>
      </c>
    </row>
    <row r="4471" spans="1:8">
      <c r="A4471" s="34">
        <v>2084024282</v>
      </c>
      <c r="B4471" s="35" t="s">
        <v>462</v>
      </c>
      <c r="C4471" s="35" t="s">
        <v>405</v>
      </c>
      <c r="D4471" s="35" t="s">
        <v>1054</v>
      </c>
      <c r="E4471" s="35" t="s">
        <v>1070</v>
      </c>
      <c r="F4471" s="35" t="s">
        <v>475</v>
      </c>
    </row>
    <row r="4472" spans="1:8">
      <c r="A4472" s="34">
        <v>2084025214</v>
      </c>
      <c r="B4472" s="35" t="s">
        <v>462</v>
      </c>
      <c r="C4472" s="35" t="s">
        <v>405</v>
      </c>
      <c r="D4472" s="35" t="s">
        <v>1054</v>
      </c>
      <c r="E4472" s="35" t="s">
        <v>1070</v>
      </c>
      <c r="F4472" s="35" t="s">
        <v>442</v>
      </c>
      <c r="G4472" s="35" t="s">
        <v>538</v>
      </c>
    </row>
    <row r="4473" spans="1:8">
      <c r="A4473" s="34">
        <v>2084048714</v>
      </c>
      <c r="B4473" s="35" t="s">
        <v>462</v>
      </c>
      <c r="C4473" s="35" t="s">
        <v>405</v>
      </c>
      <c r="D4473" s="35" t="s">
        <v>1054</v>
      </c>
      <c r="E4473" s="35" t="s">
        <v>1070</v>
      </c>
      <c r="F4473" s="35" t="s">
        <v>335</v>
      </c>
    </row>
    <row r="4474" spans="1:8">
      <c r="A4474" s="34">
        <v>2084246969</v>
      </c>
      <c r="B4474" s="35" t="s">
        <v>462</v>
      </c>
      <c r="C4474" s="35" t="s">
        <v>405</v>
      </c>
      <c r="D4474" s="35" t="s">
        <v>1054</v>
      </c>
      <c r="E4474" s="35" t="s">
        <v>1071</v>
      </c>
    </row>
    <row r="4475" spans="1:8">
      <c r="A4475" s="34">
        <v>2084051096</v>
      </c>
      <c r="B4475" s="35" t="s">
        <v>462</v>
      </c>
      <c r="C4475" s="35" t="s">
        <v>405</v>
      </c>
      <c r="D4475" s="35" t="s">
        <v>1054</v>
      </c>
      <c r="E4475" s="35" t="s">
        <v>1072</v>
      </c>
      <c r="F4475" s="35" t="s">
        <v>611</v>
      </c>
      <c r="G4475" s="35" t="s">
        <v>407</v>
      </c>
    </row>
    <row r="4476" spans="1:8">
      <c r="A4476" s="34">
        <v>2084051094</v>
      </c>
      <c r="B4476" s="35" t="s">
        <v>462</v>
      </c>
      <c r="C4476" s="35" t="s">
        <v>405</v>
      </c>
      <c r="D4476" s="35" t="s">
        <v>1054</v>
      </c>
      <c r="E4476" s="35" t="s">
        <v>1072</v>
      </c>
      <c r="F4476" s="35" t="s">
        <v>611</v>
      </c>
      <c r="G4476" s="35" t="s">
        <v>353</v>
      </c>
      <c r="H4476" s="35" t="s">
        <v>335</v>
      </c>
    </row>
    <row r="4477" spans="1:8">
      <c r="A4477" s="34">
        <v>2084030721</v>
      </c>
      <c r="B4477" s="35" t="s">
        <v>462</v>
      </c>
      <c r="C4477" s="35" t="s">
        <v>405</v>
      </c>
      <c r="D4477" s="35" t="s">
        <v>1054</v>
      </c>
      <c r="E4477" s="35" t="s">
        <v>1072</v>
      </c>
      <c r="F4477" s="35" t="s">
        <v>353</v>
      </c>
      <c r="G4477" s="35" t="s">
        <v>481</v>
      </c>
    </row>
    <row r="4478" spans="1:8">
      <c r="A4478" s="34">
        <v>2084031619</v>
      </c>
      <c r="B4478" s="35" t="s">
        <v>462</v>
      </c>
      <c r="C4478" s="35" t="s">
        <v>405</v>
      </c>
      <c r="D4478" s="35" t="s">
        <v>1054</v>
      </c>
      <c r="E4478" s="35" t="s">
        <v>1072</v>
      </c>
      <c r="F4478" s="35" t="s">
        <v>353</v>
      </c>
      <c r="G4478" s="35" t="s">
        <v>483</v>
      </c>
    </row>
    <row r="4479" spans="1:8">
      <c r="A4479" s="34">
        <v>2084030271</v>
      </c>
      <c r="B4479" s="35" t="s">
        <v>462</v>
      </c>
      <c r="C4479" s="35" t="s">
        <v>405</v>
      </c>
      <c r="D4479" s="35" t="s">
        <v>1054</v>
      </c>
      <c r="E4479" s="35" t="s">
        <v>1072</v>
      </c>
      <c r="F4479" s="35" t="s">
        <v>353</v>
      </c>
      <c r="G4479" s="35" t="s">
        <v>493</v>
      </c>
    </row>
    <row r="4480" spans="1:8">
      <c r="A4480" s="34">
        <v>2084031365</v>
      </c>
      <c r="B4480" s="35" t="s">
        <v>462</v>
      </c>
      <c r="C4480" s="35" t="s">
        <v>405</v>
      </c>
      <c r="D4480" s="35" t="s">
        <v>1054</v>
      </c>
      <c r="E4480" s="35" t="s">
        <v>1072</v>
      </c>
      <c r="F4480" s="35" t="s">
        <v>353</v>
      </c>
      <c r="G4480" s="35" t="s">
        <v>494</v>
      </c>
    </row>
    <row r="4481" spans="1:8">
      <c r="A4481" s="34">
        <v>2084051090</v>
      </c>
      <c r="B4481" s="35" t="s">
        <v>462</v>
      </c>
      <c r="C4481" s="35" t="s">
        <v>405</v>
      </c>
      <c r="D4481" s="35" t="s">
        <v>1054</v>
      </c>
      <c r="E4481" s="35" t="s">
        <v>1072</v>
      </c>
      <c r="F4481" s="35" t="s">
        <v>353</v>
      </c>
      <c r="G4481" s="35" t="s">
        <v>379</v>
      </c>
      <c r="H4481" s="35" t="s">
        <v>495</v>
      </c>
    </row>
    <row r="4482" spans="1:8">
      <c r="A4482" s="34">
        <v>2084051091</v>
      </c>
      <c r="B4482" s="35" t="s">
        <v>462</v>
      </c>
      <c r="C4482" s="35" t="s">
        <v>405</v>
      </c>
      <c r="D4482" s="35" t="s">
        <v>1054</v>
      </c>
      <c r="E4482" s="35" t="s">
        <v>1072</v>
      </c>
      <c r="F4482" s="35" t="s">
        <v>353</v>
      </c>
      <c r="G4482" s="35" t="s">
        <v>379</v>
      </c>
      <c r="H4482" s="35" t="s">
        <v>335</v>
      </c>
    </row>
    <row r="4483" spans="1:8">
      <c r="A4483" s="34">
        <v>2084031513</v>
      </c>
      <c r="B4483" s="35" t="s">
        <v>462</v>
      </c>
      <c r="C4483" s="35" t="s">
        <v>405</v>
      </c>
      <c r="D4483" s="35" t="s">
        <v>1054</v>
      </c>
      <c r="E4483" s="35" t="s">
        <v>1072</v>
      </c>
      <c r="F4483" s="35" t="s">
        <v>353</v>
      </c>
      <c r="G4483" s="35" t="s">
        <v>397</v>
      </c>
    </row>
    <row r="4484" spans="1:8">
      <c r="A4484" s="34">
        <v>2084030376</v>
      </c>
      <c r="B4484" s="35" t="s">
        <v>462</v>
      </c>
      <c r="C4484" s="35" t="s">
        <v>405</v>
      </c>
      <c r="D4484" s="35" t="s">
        <v>1054</v>
      </c>
      <c r="E4484" s="35" t="s">
        <v>1072</v>
      </c>
      <c r="F4484" s="35" t="s">
        <v>353</v>
      </c>
      <c r="G4484" s="35" t="s">
        <v>421</v>
      </c>
    </row>
    <row r="4485" spans="1:8">
      <c r="A4485" s="34">
        <v>2084031541</v>
      </c>
      <c r="B4485" s="35" t="s">
        <v>462</v>
      </c>
      <c r="C4485" s="35" t="s">
        <v>405</v>
      </c>
      <c r="D4485" s="35" t="s">
        <v>1054</v>
      </c>
      <c r="E4485" s="35" t="s">
        <v>1072</v>
      </c>
      <c r="F4485" s="35" t="s">
        <v>353</v>
      </c>
      <c r="G4485" s="35" t="s">
        <v>398</v>
      </c>
    </row>
    <row r="4486" spans="1:8">
      <c r="A4486" s="34">
        <v>2084030360</v>
      </c>
      <c r="B4486" s="35" t="s">
        <v>462</v>
      </c>
      <c r="C4486" s="35" t="s">
        <v>405</v>
      </c>
      <c r="D4486" s="35" t="s">
        <v>1054</v>
      </c>
      <c r="E4486" s="35" t="s">
        <v>1072</v>
      </c>
      <c r="F4486" s="35" t="s">
        <v>353</v>
      </c>
      <c r="G4486" s="35" t="s">
        <v>422</v>
      </c>
    </row>
    <row r="4487" spans="1:8">
      <c r="A4487" s="34">
        <v>2084048713</v>
      </c>
      <c r="B4487" s="35" t="s">
        <v>462</v>
      </c>
      <c r="C4487" s="35" t="s">
        <v>405</v>
      </c>
      <c r="D4487" s="35" t="s">
        <v>1054</v>
      </c>
      <c r="E4487" s="35" t="s">
        <v>1072</v>
      </c>
      <c r="F4487" s="35" t="s">
        <v>335</v>
      </c>
    </row>
    <row r="4488" spans="1:8">
      <c r="A4488" s="34">
        <v>2084298387</v>
      </c>
      <c r="B4488" s="35" t="s">
        <v>462</v>
      </c>
      <c r="C4488" s="35" t="s">
        <v>405</v>
      </c>
      <c r="D4488" s="35" t="s">
        <v>1054</v>
      </c>
      <c r="E4488" s="35" t="s">
        <v>1073</v>
      </c>
    </row>
    <row r="4489" spans="1:8">
      <c r="A4489" s="34">
        <v>2084238572</v>
      </c>
      <c r="B4489" s="35" t="s">
        <v>462</v>
      </c>
      <c r="C4489" s="35" t="s">
        <v>405</v>
      </c>
      <c r="D4489" s="35" t="s">
        <v>1054</v>
      </c>
      <c r="E4489" s="35" t="s">
        <v>1074</v>
      </c>
      <c r="F4489" s="35" t="s">
        <v>335</v>
      </c>
    </row>
    <row r="4490" spans="1:8">
      <c r="A4490" s="34">
        <v>2084261143</v>
      </c>
      <c r="B4490" s="35" t="s">
        <v>462</v>
      </c>
      <c r="C4490" s="35" t="s">
        <v>405</v>
      </c>
      <c r="D4490" s="35" t="s">
        <v>1054</v>
      </c>
      <c r="E4490" s="35" t="s">
        <v>1075</v>
      </c>
    </row>
    <row r="4491" spans="1:8">
      <c r="A4491" s="34">
        <v>2084283241</v>
      </c>
      <c r="B4491" s="35" t="s">
        <v>462</v>
      </c>
      <c r="C4491" s="35" t="s">
        <v>405</v>
      </c>
      <c r="D4491" s="35" t="s">
        <v>1054</v>
      </c>
      <c r="E4491" s="35" t="s">
        <v>1076</v>
      </c>
    </row>
    <row r="4492" spans="1:8">
      <c r="A4492" s="34">
        <v>2084227425</v>
      </c>
      <c r="B4492" s="35" t="s">
        <v>462</v>
      </c>
      <c r="C4492" s="35" t="s">
        <v>405</v>
      </c>
      <c r="D4492" s="35" t="s">
        <v>1054</v>
      </c>
      <c r="E4492" s="35" t="s">
        <v>1077</v>
      </c>
      <c r="F4492" s="35" t="s">
        <v>390</v>
      </c>
      <c r="G4492" s="35" t="s">
        <v>543</v>
      </c>
    </row>
    <row r="4493" spans="1:8">
      <c r="A4493" s="34">
        <v>2084227426</v>
      </c>
      <c r="B4493" s="35" t="s">
        <v>462</v>
      </c>
      <c r="C4493" s="35" t="s">
        <v>405</v>
      </c>
      <c r="D4493" s="35" t="s">
        <v>1054</v>
      </c>
      <c r="E4493" s="35" t="s">
        <v>1077</v>
      </c>
      <c r="F4493" s="35" t="s">
        <v>390</v>
      </c>
      <c r="G4493" s="35" t="s">
        <v>335</v>
      </c>
    </row>
    <row r="4494" spans="1:8">
      <c r="A4494" s="34">
        <v>2084227422</v>
      </c>
      <c r="B4494" s="35" t="s">
        <v>462</v>
      </c>
      <c r="C4494" s="35" t="s">
        <v>405</v>
      </c>
      <c r="D4494" s="35" t="s">
        <v>1054</v>
      </c>
      <c r="E4494" s="35" t="s">
        <v>1077</v>
      </c>
      <c r="F4494" s="35" t="s">
        <v>353</v>
      </c>
      <c r="G4494" s="35" t="s">
        <v>543</v>
      </c>
    </row>
    <row r="4495" spans="1:8">
      <c r="A4495" s="34">
        <v>2084227423</v>
      </c>
      <c r="B4495" s="35" t="s">
        <v>462</v>
      </c>
      <c r="C4495" s="35" t="s">
        <v>405</v>
      </c>
      <c r="D4495" s="35" t="s">
        <v>1054</v>
      </c>
      <c r="E4495" s="35" t="s">
        <v>1077</v>
      </c>
      <c r="F4495" s="35" t="s">
        <v>353</v>
      </c>
      <c r="G4495" s="35" t="s">
        <v>335</v>
      </c>
    </row>
    <row r="4496" spans="1:8">
      <c r="A4496" s="34">
        <v>2084050264</v>
      </c>
      <c r="B4496" s="35" t="s">
        <v>462</v>
      </c>
      <c r="C4496" s="35" t="s">
        <v>405</v>
      </c>
      <c r="D4496" s="35" t="s">
        <v>1054</v>
      </c>
      <c r="E4496" s="35" t="s">
        <v>1078</v>
      </c>
    </row>
    <row r="4497" spans="1:8">
      <c r="A4497" s="34">
        <v>2084226933</v>
      </c>
      <c r="B4497" s="35" t="s">
        <v>462</v>
      </c>
      <c r="C4497" s="35" t="s">
        <v>405</v>
      </c>
      <c r="D4497" s="35" t="s">
        <v>1054</v>
      </c>
      <c r="E4497" s="35" t="s">
        <v>1079</v>
      </c>
      <c r="F4497" s="35" t="s">
        <v>353</v>
      </c>
      <c r="G4497" s="35" t="s">
        <v>367</v>
      </c>
    </row>
    <row r="4498" spans="1:8">
      <c r="A4498" s="34">
        <v>2084226934</v>
      </c>
      <c r="B4498" s="35" t="s">
        <v>462</v>
      </c>
      <c r="C4498" s="35" t="s">
        <v>405</v>
      </c>
      <c r="D4498" s="35" t="s">
        <v>1054</v>
      </c>
      <c r="E4498" s="35" t="s">
        <v>1079</v>
      </c>
      <c r="F4498" s="35" t="s">
        <v>353</v>
      </c>
      <c r="G4498" s="35" t="s">
        <v>401</v>
      </c>
    </row>
    <row r="4499" spans="1:8">
      <c r="A4499" s="34">
        <v>2084299018</v>
      </c>
      <c r="B4499" s="35" t="s">
        <v>462</v>
      </c>
      <c r="C4499" s="35" t="s">
        <v>405</v>
      </c>
      <c r="D4499" s="35" t="s">
        <v>1054</v>
      </c>
      <c r="E4499" s="35" t="s">
        <v>1079</v>
      </c>
      <c r="F4499" s="35" t="s">
        <v>353</v>
      </c>
      <c r="G4499" s="35" t="s">
        <v>10</v>
      </c>
      <c r="H4499" s="35" t="s">
        <v>397</v>
      </c>
    </row>
    <row r="4500" spans="1:8">
      <c r="A4500" s="34">
        <v>2084299020</v>
      </c>
      <c r="B4500" s="35" t="s">
        <v>462</v>
      </c>
      <c r="C4500" s="35" t="s">
        <v>405</v>
      </c>
      <c r="D4500" s="35" t="s">
        <v>1054</v>
      </c>
      <c r="E4500" s="35" t="s">
        <v>1079</v>
      </c>
      <c r="F4500" s="35" t="s">
        <v>353</v>
      </c>
      <c r="G4500" s="35" t="s">
        <v>10</v>
      </c>
      <c r="H4500" s="35" t="s">
        <v>398</v>
      </c>
    </row>
    <row r="4501" spans="1:8">
      <c r="A4501" s="34">
        <v>2084299019</v>
      </c>
      <c r="B4501" s="35" t="s">
        <v>462</v>
      </c>
      <c r="C4501" s="35" t="s">
        <v>405</v>
      </c>
      <c r="D4501" s="35" t="s">
        <v>1054</v>
      </c>
      <c r="E4501" s="35" t="s">
        <v>1079</v>
      </c>
      <c r="F4501" s="35" t="s">
        <v>353</v>
      </c>
      <c r="G4501" s="35" t="s">
        <v>10</v>
      </c>
      <c r="H4501" s="35" t="s">
        <v>421</v>
      </c>
    </row>
    <row r="4502" spans="1:8">
      <c r="A4502" s="34">
        <v>2084299021</v>
      </c>
      <c r="B4502" s="35" t="s">
        <v>462</v>
      </c>
      <c r="C4502" s="35" t="s">
        <v>405</v>
      </c>
      <c r="D4502" s="35" t="s">
        <v>1054</v>
      </c>
      <c r="E4502" s="35" t="s">
        <v>1079</v>
      </c>
      <c r="F4502" s="35" t="s">
        <v>353</v>
      </c>
      <c r="G4502" s="35" t="s">
        <v>10</v>
      </c>
      <c r="H4502" s="35" t="s">
        <v>422</v>
      </c>
    </row>
    <row r="4503" spans="1:8">
      <c r="A4503" s="34">
        <v>2084299022</v>
      </c>
      <c r="B4503" s="35" t="s">
        <v>462</v>
      </c>
      <c r="C4503" s="35" t="s">
        <v>405</v>
      </c>
      <c r="D4503" s="35" t="s">
        <v>1054</v>
      </c>
      <c r="E4503" s="35" t="s">
        <v>1079</v>
      </c>
      <c r="F4503" s="35" t="s">
        <v>353</v>
      </c>
      <c r="G4503" s="35" t="s">
        <v>10</v>
      </c>
      <c r="H4503" s="35" t="s">
        <v>335</v>
      </c>
    </row>
    <row r="4504" spans="1:8">
      <c r="A4504" s="34">
        <v>2084226936</v>
      </c>
      <c r="B4504" s="35" t="s">
        <v>462</v>
      </c>
      <c r="C4504" s="35" t="s">
        <v>405</v>
      </c>
      <c r="D4504" s="35" t="s">
        <v>1054</v>
      </c>
      <c r="E4504" s="35" t="s">
        <v>1079</v>
      </c>
      <c r="F4504" s="35" t="s">
        <v>353</v>
      </c>
      <c r="G4504" s="35" t="s">
        <v>403</v>
      </c>
    </row>
    <row r="4505" spans="1:8">
      <c r="A4505" s="34">
        <v>2084226937</v>
      </c>
      <c r="B4505" s="35" t="s">
        <v>462</v>
      </c>
      <c r="C4505" s="35" t="s">
        <v>405</v>
      </c>
      <c r="D4505" s="35" t="s">
        <v>1054</v>
      </c>
      <c r="E4505" s="35" t="s">
        <v>1079</v>
      </c>
      <c r="F4505" s="35" t="s">
        <v>353</v>
      </c>
      <c r="G4505" s="35" t="s">
        <v>335</v>
      </c>
    </row>
    <row r="4506" spans="1:8">
      <c r="A4506" s="34">
        <v>2084226932</v>
      </c>
      <c r="B4506" s="35" t="s">
        <v>462</v>
      </c>
      <c r="C4506" s="35" t="s">
        <v>405</v>
      </c>
      <c r="D4506" s="35" t="s">
        <v>1054</v>
      </c>
      <c r="E4506" s="35" t="s">
        <v>1079</v>
      </c>
      <c r="F4506" s="35" t="s">
        <v>335</v>
      </c>
    </row>
    <row r="4507" spans="1:8">
      <c r="A4507" s="34">
        <v>2084283578</v>
      </c>
      <c r="B4507" s="35" t="s">
        <v>462</v>
      </c>
      <c r="C4507" s="35" t="s">
        <v>405</v>
      </c>
      <c r="D4507" s="35" t="s">
        <v>1080</v>
      </c>
      <c r="E4507" s="35" t="s">
        <v>1081</v>
      </c>
    </row>
    <row r="4508" spans="1:8">
      <c r="A4508" s="34">
        <v>2084062342</v>
      </c>
      <c r="B4508" s="35" t="s">
        <v>462</v>
      </c>
      <c r="C4508" s="35" t="s">
        <v>405</v>
      </c>
      <c r="D4508" s="35" t="s">
        <v>1080</v>
      </c>
      <c r="E4508" s="35" t="s">
        <v>1082</v>
      </c>
      <c r="F4508" s="35" t="s">
        <v>587</v>
      </c>
      <c r="G4508" s="35" t="s">
        <v>910</v>
      </c>
    </row>
    <row r="4509" spans="1:8">
      <c r="A4509" s="34">
        <v>2084062343</v>
      </c>
      <c r="B4509" s="35" t="s">
        <v>462</v>
      </c>
      <c r="C4509" s="35" t="s">
        <v>405</v>
      </c>
      <c r="D4509" s="35" t="s">
        <v>1080</v>
      </c>
      <c r="E4509" s="35" t="s">
        <v>1082</v>
      </c>
      <c r="F4509" s="35" t="s">
        <v>587</v>
      </c>
      <c r="G4509" s="35" t="s">
        <v>911</v>
      </c>
    </row>
    <row r="4510" spans="1:8">
      <c r="A4510" s="34">
        <v>2084062344</v>
      </c>
      <c r="B4510" s="35" t="s">
        <v>462</v>
      </c>
      <c r="C4510" s="35" t="s">
        <v>405</v>
      </c>
      <c r="D4510" s="35" t="s">
        <v>1080</v>
      </c>
      <c r="E4510" s="35" t="s">
        <v>1082</v>
      </c>
      <c r="F4510" s="35" t="s">
        <v>587</v>
      </c>
      <c r="G4510" s="35" t="s">
        <v>335</v>
      </c>
    </row>
    <row r="4511" spans="1:8">
      <c r="A4511" s="34">
        <v>2084055431</v>
      </c>
      <c r="B4511" s="35" t="s">
        <v>462</v>
      </c>
      <c r="C4511" s="35" t="s">
        <v>405</v>
      </c>
      <c r="D4511" s="35" t="s">
        <v>1080</v>
      </c>
      <c r="E4511" s="35" t="s">
        <v>1083</v>
      </c>
      <c r="F4511" s="35" t="s">
        <v>390</v>
      </c>
      <c r="G4511" s="35" t="s">
        <v>367</v>
      </c>
    </row>
    <row r="4512" spans="1:8">
      <c r="A4512" s="34">
        <v>2084055427</v>
      </c>
      <c r="B4512" s="35" t="s">
        <v>462</v>
      </c>
      <c r="C4512" s="35" t="s">
        <v>405</v>
      </c>
      <c r="D4512" s="35" t="s">
        <v>1080</v>
      </c>
      <c r="E4512" s="35" t="s">
        <v>1083</v>
      </c>
      <c r="F4512" s="35" t="s">
        <v>390</v>
      </c>
      <c r="G4512" s="35" t="s">
        <v>368</v>
      </c>
      <c r="H4512" s="35" t="s">
        <v>481</v>
      </c>
    </row>
    <row r="4513" spans="1:8">
      <c r="A4513" s="34">
        <v>2084055428</v>
      </c>
      <c r="B4513" s="35" t="s">
        <v>462</v>
      </c>
      <c r="C4513" s="35" t="s">
        <v>405</v>
      </c>
      <c r="D4513" s="35" t="s">
        <v>1080</v>
      </c>
      <c r="E4513" s="35" t="s">
        <v>1083</v>
      </c>
      <c r="F4513" s="35" t="s">
        <v>390</v>
      </c>
      <c r="G4513" s="35" t="s">
        <v>368</v>
      </c>
      <c r="H4513" s="35" t="s">
        <v>335</v>
      </c>
    </row>
    <row r="4514" spans="1:8">
      <c r="A4514" s="34">
        <v>2084055423</v>
      </c>
      <c r="B4514" s="35" t="s">
        <v>462</v>
      </c>
      <c r="C4514" s="35" t="s">
        <v>405</v>
      </c>
      <c r="D4514" s="35" t="s">
        <v>1080</v>
      </c>
      <c r="E4514" s="35" t="s">
        <v>1083</v>
      </c>
      <c r="F4514" s="35" t="s">
        <v>390</v>
      </c>
      <c r="G4514" s="35" t="s">
        <v>10</v>
      </c>
      <c r="H4514" s="35" t="s">
        <v>397</v>
      </c>
    </row>
    <row r="4515" spans="1:8">
      <c r="A4515" s="34">
        <v>2084055422</v>
      </c>
      <c r="B4515" s="35" t="s">
        <v>462</v>
      </c>
      <c r="C4515" s="35" t="s">
        <v>405</v>
      </c>
      <c r="D4515" s="35" t="s">
        <v>1080</v>
      </c>
      <c r="E4515" s="35" t="s">
        <v>1083</v>
      </c>
      <c r="F4515" s="35" t="s">
        <v>390</v>
      </c>
      <c r="G4515" s="35" t="s">
        <v>10</v>
      </c>
      <c r="H4515" s="35" t="s">
        <v>421</v>
      </c>
    </row>
    <row r="4516" spans="1:8">
      <c r="A4516" s="34">
        <v>2084055425</v>
      </c>
      <c r="B4516" s="35" t="s">
        <v>462</v>
      </c>
      <c r="C4516" s="35" t="s">
        <v>405</v>
      </c>
      <c r="D4516" s="35" t="s">
        <v>1080</v>
      </c>
      <c r="E4516" s="35" t="s">
        <v>1083</v>
      </c>
      <c r="F4516" s="35" t="s">
        <v>390</v>
      </c>
      <c r="G4516" s="35" t="s">
        <v>10</v>
      </c>
      <c r="H4516" s="35" t="s">
        <v>398</v>
      </c>
    </row>
    <row r="4517" spans="1:8">
      <c r="A4517" s="34">
        <v>2084055424</v>
      </c>
      <c r="B4517" s="35" t="s">
        <v>462</v>
      </c>
      <c r="C4517" s="35" t="s">
        <v>405</v>
      </c>
      <c r="D4517" s="35" t="s">
        <v>1080</v>
      </c>
      <c r="E4517" s="35" t="s">
        <v>1083</v>
      </c>
      <c r="F4517" s="35" t="s">
        <v>390</v>
      </c>
      <c r="G4517" s="35" t="s">
        <v>10</v>
      </c>
      <c r="H4517" s="35" t="s">
        <v>422</v>
      </c>
    </row>
    <row r="4518" spans="1:8">
      <c r="A4518" s="34">
        <v>2084055426</v>
      </c>
      <c r="B4518" s="35" t="s">
        <v>462</v>
      </c>
      <c r="C4518" s="35" t="s">
        <v>405</v>
      </c>
      <c r="D4518" s="35" t="s">
        <v>1080</v>
      </c>
      <c r="E4518" s="35" t="s">
        <v>1083</v>
      </c>
      <c r="F4518" s="35" t="s">
        <v>390</v>
      </c>
      <c r="G4518" s="35" t="s">
        <v>10</v>
      </c>
      <c r="H4518" s="35" t="s">
        <v>335</v>
      </c>
    </row>
    <row r="4519" spans="1:8">
      <c r="A4519" s="34">
        <v>2084055420</v>
      </c>
      <c r="B4519" s="35" t="s">
        <v>462</v>
      </c>
      <c r="C4519" s="35" t="s">
        <v>405</v>
      </c>
      <c r="D4519" s="35" t="s">
        <v>1080</v>
      </c>
      <c r="E4519" s="35" t="s">
        <v>1083</v>
      </c>
      <c r="F4519" s="35" t="s">
        <v>390</v>
      </c>
      <c r="G4519" s="35" t="s">
        <v>379</v>
      </c>
      <c r="H4519" s="35" t="s">
        <v>476</v>
      </c>
    </row>
    <row r="4520" spans="1:8">
      <c r="A4520" s="34">
        <v>2084055421</v>
      </c>
      <c r="B4520" s="35" t="s">
        <v>462</v>
      </c>
      <c r="C4520" s="35" t="s">
        <v>405</v>
      </c>
      <c r="D4520" s="35" t="s">
        <v>1080</v>
      </c>
      <c r="E4520" s="35" t="s">
        <v>1083</v>
      </c>
      <c r="F4520" s="35" t="s">
        <v>390</v>
      </c>
      <c r="G4520" s="35" t="s">
        <v>379</v>
      </c>
      <c r="H4520" s="35" t="s">
        <v>335</v>
      </c>
    </row>
    <row r="4521" spans="1:8">
      <c r="A4521" s="34">
        <v>2084238148</v>
      </c>
      <c r="B4521" s="35" t="s">
        <v>462</v>
      </c>
      <c r="C4521" s="35" t="s">
        <v>405</v>
      </c>
      <c r="D4521" s="35" t="s">
        <v>1080</v>
      </c>
      <c r="E4521" s="35" t="s">
        <v>1083</v>
      </c>
      <c r="F4521" s="35" t="s">
        <v>390</v>
      </c>
      <c r="G4521" s="35" t="s">
        <v>478</v>
      </c>
    </row>
    <row r="4522" spans="1:8">
      <c r="A4522" s="34">
        <v>2084055429</v>
      </c>
      <c r="B4522" s="35" t="s">
        <v>462</v>
      </c>
      <c r="C4522" s="35" t="s">
        <v>405</v>
      </c>
      <c r="D4522" s="35" t="s">
        <v>1080</v>
      </c>
      <c r="E4522" s="35" t="s">
        <v>1083</v>
      </c>
      <c r="F4522" s="35" t="s">
        <v>390</v>
      </c>
      <c r="G4522" s="35" t="s">
        <v>335</v>
      </c>
    </row>
    <row r="4523" spans="1:8">
      <c r="A4523" s="34">
        <v>2084055430</v>
      </c>
      <c r="B4523" s="35" t="s">
        <v>462</v>
      </c>
      <c r="C4523" s="35" t="s">
        <v>405</v>
      </c>
      <c r="D4523" s="35" t="s">
        <v>1080</v>
      </c>
      <c r="E4523" s="35" t="s">
        <v>1083</v>
      </c>
      <c r="F4523" s="35" t="s">
        <v>353</v>
      </c>
      <c r="G4523" s="35" t="s">
        <v>367</v>
      </c>
    </row>
    <row r="4524" spans="1:8">
      <c r="A4524" s="34">
        <v>2084055410</v>
      </c>
      <c r="B4524" s="35" t="s">
        <v>462</v>
      </c>
      <c r="C4524" s="35" t="s">
        <v>405</v>
      </c>
      <c r="D4524" s="35" t="s">
        <v>1080</v>
      </c>
      <c r="E4524" s="35" t="s">
        <v>1083</v>
      </c>
      <c r="F4524" s="35" t="s">
        <v>353</v>
      </c>
      <c r="G4524" s="35" t="s">
        <v>368</v>
      </c>
      <c r="H4524" s="35" t="s">
        <v>335</v>
      </c>
    </row>
    <row r="4525" spans="1:8">
      <c r="A4525" s="34">
        <v>2084055409</v>
      </c>
      <c r="B4525" s="35" t="s">
        <v>462</v>
      </c>
      <c r="C4525" s="35" t="s">
        <v>405</v>
      </c>
      <c r="D4525" s="35" t="s">
        <v>1080</v>
      </c>
      <c r="E4525" s="35" t="s">
        <v>1083</v>
      </c>
      <c r="F4525" s="35" t="s">
        <v>353</v>
      </c>
      <c r="G4525" s="35" t="s">
        <v>368</v>
      </c>
      <c r="H4525" s="35" t="s">
        <v>481</v>
      </c>
    </row>
    <row r="4526" spans="1:8">
      <c r="A4526" s="34">
        <v>2084238146</v>
      </c>
      <c r="B4526" s="35" t="s">
        <v>462</v>
      </c>
      <c r="C4526" s="35" t="s">
        <v>405</v>
      </c>
      <c r="D4526" s="35" t="s">
        <v>1080</v>
      </c>
      <c r="E4526" s="35" t="s">
        <v>1083</v>
      </c>
      <c r="F4526" s="35" t="s">
        <v>353</v>
      </c>
      <c r="G4526" s="35" t="s">
        <v>549</v>
      </c>
    </row>
    <row r="4527" spans="1:8">
      <c r="A4527" s="34">
        <v>2084055415</v>
      </c>
      <c r="B4527" s="35" t="s">
        <v>462</v>
      </c>
      <c r="C4527" s="35" t="s">
        <v>405</v>
      </c>
      <c r="D4527" s="35" t="s">
        <v>1080</v>
      </c>
      <c r="E4527" s="35" t="s">
        <v>1083</v>
      </c>
      <c r="F4527" s="35" t="s">
        <v>353</v>
      </c>
      <c r="G4527" s="35" t="s">
        <v>10</v>
      </c>
      <c r="H4527" s="35" t="s">
        <v>335</v>
      </c>
    </row>
    <row r="4528" spans="1:8">
      <c r="A4528" s="34">
        <v>2084055412</v>
      </c>
      <c r="B4528" s="35" t="s">
        <v>462</v>
      </c>
      <c r="C4528" s="35" t="s">
        <v>405</v>
      </c>
      <c r="D4528" s="35" t="s">
        <v>1080</v>
      </c>
      <c r="E4528" s="35" t="s">
        <v>1083</v>
      </c>
      <c r="F4528" s="35" t="s">
        <v>353</v>
      </c>
      <c r="G4528" s="35" t="s">
        <v>10</v>
      </c>
      <c r="H4528" s="35" t="s">
        <v>397</v>
      </c>
    </row>
    <row r="4529" spans="1:9">
      <c r="A4529" s="34">
        <v>2084055411</v>
      </c>
      <c r="B4529" s="35" t="s">
        <v>462</v>
      </c>
      <c r="C4529" s="35" t="s">
        <v>405</v>
      </c>
      <c r="D4529" s="35" t="s">
        <v>1080</v>
      </c>
      <c r="E4529" s="35" t="s">
        <v>1083</v>
      </c>
      <c r="F4529" s="35" t="s">
        <v>353</v>
      </c>
      <c r="G4529" s="35" t="s">
        <v>10</v>
      </c>
      <c r="H4529" s="35" t="s">
        <v>421</v>
      </c>
    </row>
    <row r="4530" spans="1:9">
      <c r="A4530" s="34">
        <v>2084055414</v>
      </c>
      <c r="B4530" s="35" t="s">
        <v>462</v>
      </c>
      <c r="C4530" s="35" t="s">
        <v>405</v>
      </c>
      <c r="D4530" s="35" t="s">
        <v>1080</v>
      </c>
      <c r="E4530" s="35" t="s">
        <v>1083</v>
      </c>
      <c r="F4530" s="35" t="s">
        <v>353</v>
      </c>
      <c r="G4530" s="35" t="s">
        <v>10</v>
      </c>
      <c r="H4530" s="35" t="s">
        <v>398</v>
      </c>
    </row>
    <row r="4531" spans="1:9">
      <c r="A4531" s="34">
        <v>2084055413</v>
      </c>
      <c r="B4531" s="35" t="s">
        <v>462</v>
      </c>
      <c r="C4531" s="35" t="s">
        <v>405</v>
      </c>
      <c r="D4531" s="35" t="s">
        <v>1080</v>
      </c>
      <c r="E4531" s="35" t="s">
        <v>1083</v>
      </c>
      <c r="F4531" s="35" t="s">
        <v>353</v>
      </c>
      <c r="G4531" s="35" t="s">
        <v>10</v>
      </c>
      <c r="H4531" s="35" t="s">
        <v>422</v>
      </c>
    </row>
    <row r="4532" spans="1:9">
      <c r="A4532" s="34">
        <v>2084055408</v>
      </c>
      <c r="B4532" s="35" t="s">
        <v>462</v>
      </c>
      <c r="C4532" s="35" t="s">
        <v>405</v>
      </c>
      <c r="D4532" s="35" t="s">
        <v>1080</v>
      </c>
      <c r="E4532" s="35" t="s">
        <v>1083</v>
      </c>
      <c r="F4532" s="35" t="s">
        <v>353</v>
      </c>
      <c r="G4532" s="35" t="s">
        <v>403</v>
      </c>
    </row>
    <row r="4533" spans="1:9">
      <c r="A4533" s="34">
        <v>2084055416</v>
      </c>
      <c r="B4533" s="35" t="s">
        <v>462</v>
      </c>
      <c r="C4533" s="35" t="s">
        <v>405</v>
      </c>
      <c r="D4533" s="35" t="s">
        <v>1080</v>
      </c>
      <c r="E4533" s="35" t="s">
        <v>1083</v>
      </c>
      <c r="F4533" s="35" t="s">
        <v>353</v>
      </c>
      <c r="G4533" s="35" t="s">
        <v>335</v>
      </c>
    </row>
    <row r="4534" spans="1:9">
      <c r="A4534" s="34">
        <v>2084055405</v>
      </c>
      <c r="B4534" s="35" t="s">
        <v>462</v>
      </c>
      <c r="C4534" s="35" t="s">
        <v>405</v>
      </c>
      <c r="D4534" s="35" t="s">
        <v>1080</v>
      </c>
      <c r="E4534" s="35" t="s">
        <v>1083</v>
      </c>
      <c r="F4534" s="35" t="s">
        <v>335</v>
      </c>
    </row>
    <row r="4535" spans="1:9">
      <c r="A4535" s="34">
        <v>2084261353</v>
      </c>
      <c r="B4535" s="35" t="s">
        <v>462</v>
      </c>
      <c r="C4535" s="35" t="s">
        <v>405</v>
      </c>
      <c r="D4535" s="35" t="s">
        <v>1080</v>
      </c>
      <c r="E4535" s="35" t="s">
        <v>1084</v>
      </c>
    </row>
    <row r="4536" spans="1:9">
      <c r="A4536" s="34">
        <v>2084194527</v>
      </c>
      <c r="B4536" s="35" t="s">
        <v>462</v>
      </c>
      <c r="C4536" s="35" t="s">
        <v>405</v>
      </c>
      <c r="D4536" s="35" t="s">
        <v>1080</v>
      </c>
      <c r="E4536" s="35" t="s">
        <v>1085</v>
      </c>
      <c r="F4536" s="35" t="s">
        <v>390</v>
      </c>
      <c r="G4536" s="35" t="s">
        <v>401</v>
      </c>
    </row>
    <row r="4537" spans="1:9">
      <c r="A4537" s="34">
        <v>2084194529</v>
      </c>
      <c r="B4537" s="35" t="s">
        <v>462</v>
      </c>
      <c r="C4537" s="35" t="s">
        <v>405</v>
      </c>
      <c r="D4537" s="35" t="s">
        <v>1080</v>
      </c>
      <c r="E4537" s="35" t="s">
        <v>1085</v>
      </c>
      <c r="F4537" s="35" t="s">
        <v>390</v>
      </c>
      <c r="G4537" s="35" t="s">
        <v>379</v>
      </c>
      <c r="H4537" s="35" t="s">
        <v>545</v>
      </c>
    </row>
    <row r="4538" spans="1:9">
      <c r="A4538" s="34">
        <v>2084194530</v>
      </c>
      <c r="B4538" s="35" t="s">
        <v>462</v>
      </c>
      <c r="C4538" s="35" t="s">
        <v>405</v>
      </c>
      <c r="D4538" s="35" t="s">
        <v>1080</v>
      </c>
      <c r="E4538" s="35" t="s">
        <v>1085</v>
      </c>
      <c r="F4538" s="35" t="s">
        <v>390</v>
      </c>
      <c r="G4538" s="35" t="s">
        <v>379</v>
      </c>
      <c r="H4538" s="35" t="s">
        <v>335</v>
      </c>
    </row>
    <row r="4539" spans="1:9">
      <c r="A4539" s="34">
        <v>2084194532</v>
      </c>
      <c r="B4539" s="35" t="s">
        <v>462</v>
      </c>
      <c r="C4539" s="35" t="s">
        <v>405</v>
      </c>
      <c r="D4539" s="35" t="s">
        <v>1080</v>
      </c>
      <c r="E4539" s="35" t="s">
        <v>1085</v>
      </c>
      <c r="F4539" s="35" t="s">
        <v>390</v>
      </c>
      <c r="G4539" s="35" t="s">
        <v>335</v>
      </c>
    </row>
    <row r="4540" spans="1:9">
      <c r="A4540" s="34">
        <v>2084194520</v>
      </c>
      <c r="B4540" s="35" t="s">
        <v>462</v>
      </c>
      <c r="C4540" s="35" t="s">
        <v>405</v>
      </c>
      <c r="D4540" s="35" t="s">
        <v>1080</v>
      </c>
      <c r="E4540" s="35" t="s">
        <v>1085</v>
      </c>
      <c r="F4540" s="35" t="s">
        <v>353</v>
      </c>
      <c r="G4540" s="35" t="s">
        <v>401</v>
      </c>
    </row>
    <row r="4541" spans="1:9">
      <c r="A4541" s="34">
        <v>2084213263</v>
      </c>
      <c r="B4541" s="35" t="s">
        <v>462</v>
      </c>
      <c r="C4541" s="35" t="s">
        <v>405</v>
      </c>
      <c r="D4541" s="35" t="s">
        <v>1080</v>
      </c>
      <c r="E4541" s="35" t="s">
        <v>1085</v>
      </c>
      <c r="F4541" s="35" t="s">
        <v>353</v>
      </c>
      <c r="G4541" s="35" t="s">
        <v>379</v>
      </c>
      <c r="H4541" s="35" t="s">
        <v>557</v>
      </c>
      <c r="I4541" s="35" t="s">
        <v>558</v>
      </c>
    </row>
    <row r="4542" spans="1:9">
      <c r="A4542" s="34">
        <v>2084213264</v>
      </c>
      <c r="B4542" s="35" t="s">
        <v>462</v>
      </c>
      <c r="C4542" s="35" t="s">
        <v>405</v>
      </c>
      <c r="D4542" s="35" t="s">
        <v>1080</v>
      </c>
      <c r="E4542" s="35" t="s">
        <v>1085</v>
      </c>
      <c r="F4542" s="35" t="s">
        <v>353</v>
      </c>
      <c r="G4542" s="35" t="s">
        <v>379</v>
      </c>
      <c r="H4542" s="35" t="s">
        <v>557</v>
      </c>
      <c r="I4542" s="35" t="s">
        <v>559</v>
      </c>
    </row>
    <row r="4543" spans="1:9">
      <c r="A4543" s="34">
        <v>2084213265</v>
      </c>
      <c r="B4543" s="35" t="s">
        <v>462</v>
      </c>
      <c r="C4543" s="35" t="s">
        <v>405</v>
      </c>
      <c r="D4543" s="35" t="s">
        <v>1080</v>
      </c>
      <c r="E4543" s="35" t="s">
        <v>1085</v>
      </c>
      <c r="F4543" s="35" t="s">
        <v>353</v>
      </c>
      <c r="G4543" s="35" t="s">
        <v>379</v>
      </c>
      <c r="H4543" s="35" t="s">
        <v>557</v>
      </c>
      <c r="I4543" s="35" t="s">
        <v>560</v>
      </c>
    </row>
    <row r="4544" spans="1:9">
      <c r="A4544" s="34">
        <v>2084213266</v>
      </c>
      <c r="B4544" s="35" t="s">
        <v>462</v>
      </c>
      <c r="C4544" s="35" t="s">
        <v>405</v>
      </c>
      <c r="D4544" s="35" t="s">
        <v>1080</v>
      </c>
      <c r="E4544" s="35" t="s">
        <v>1085</v>
      </c>
      <c r="F4544" s="35" t="s">
        <v>353</v>
      </c>
      <c r="G4544" s="35" t="s">
        <v>379</v>
      </c>
      <c r="H4544" s="35" t="s">
        <v>557</v>
      </c>
      <c r="I4544" s="35" t="s">
        <v>561</v>
      </c>
    </row>
    <row r="4545" spans="1:9">
      <c r="A4545" s="34">
        <v>2084213267</v>
      </c>
      <c r="B4545" s="35" t="s">
        <v>462</v>
      </c>
      <c r="C4545" s="35" t="s">
        <v>405</v>
      </c>
      <c r="D4545" s="35" t="s">
        <v>1080</v>
      </c>
      <c r="E4545" s="35" t="s">
        <v>1085</v>
      </c>
      <c r="F4545" s="35" t="s">
        <v>353</v>
      </c>
      <c r="G4545" s="35" t="s">
        <v>379</v>
      </c>
      <c r="H4545" s="35" t="s">
        <v>557</v>
      </c>
      <c r="I4545" s="35" t="s">
        <v>562</v>
      </c>
    </row>
    <row r="4546" spans="1:9">
      <c r="A4546" s="34">
        <v>2084213268</v>
      </c>
      <c r="B4546" s="35" t="s">
        <v>462</v>
      </c>
      <c r="C4546" s="35" t="s">
        <v>405</v>
      </c>
      <c r="D4546" s="35" t="s">
        <v>1080</v>
      </c>
      <c r="E4546" s="35" t="s">
        <v>1085</v>
      </c>
      <c r="F4546" s="35" t="s">
        <v>353</v>
      </c>
      <c r="G4546" s="35" t="s">
        <v>379</v>
      </c>
      <c r="H4546" s="35" t="s">
        <v>557</v>
      </c>
      <c r="I4546" s="35" t="s">
        <v>563</v>
      </c>
    </row>
    <row r="4547" spans="1:9">
      <c r="A4547" s="34">
        <v>2084213269</v>
      </c>
      <c r="B4547" s="35" t="s">
        <v>462</v>
      </c>
      <c r="C4547" s="35" t="s">
        <v>405</v>
      </c>
      <c r="D4547" s="35" t="s">
        <v>1080</v>
      </c>
      <c r="E4547" s="35" t="s">
        <v>1085</v>
      </c>
      <c r="F4547" s="35" t="s">
        <v>353</v>
      </c>
      <c r="G4547" s="35" t="s">
        <v>379</v>
      </c>
      <c r="H4547" s="35" t="s">
        <v>557</v>
      </c>
      <c r="I4547" s="35" t="s">
        <v>1066</v>
      </c>
    </row>
    <row r="4548" spans="1:9">
      <c r="A4548" s="34">
        <v>2084194523</v>
      </c>
      <c r="B4548" s="35" t="s">
        <v>462</v>
      </c>
      <c r="C4548" s="35" t="s">
        <v>405</v>
      </c>
      <c r="D4548" s="35" t="s">
        <v>1080</v>
      </c>
      <c r="E4548" s="35" t="s">
        <v>1085</v>
      </c>
      <c r="F4548" s="35" t="s">
        <v>353</v>
      </c>
      <c r="G4548" s="35" t="s">
        <v>379</v>
      </c>
      <c r="H4548" s="35" t="s">
        <v>335</v>
      </c>
    </row>
    <row r="4549" spans="1:9">
      <c r="A4549" s="34">
        <v>2084194524</v>
      </c>
      <c r="B4549" s="35" t="s">
        <v>462</v>
      </c>
      <c r="C4549" s="35" t="s">
        <v>405</v>
      </c>
      <c r="D4549" s="35" t="s">
        <v>1080</v>
      </c>
      <c r="E4549" s="35" t="s">
        <v>1085</v>
      </c>
      <c r="F4549" s="35" t="s">
        <v>353</v>
      </c>
      <c r="G4549" s="35" t="s">
        <v>335</v>
      </c>
    </row>
    <row r="4550" spans="1:9">
      <c r="A4550" s="34">
        <v>2084194533</v>
      </c>
      <c r="B4550" s="35" t="s">
        <v>462</v>
      </c>
      <c r="C4550" s="35" t="s">
        <v>405</v>
      </c>
      <c r="D4550" s="35" t="s">
        <v>1080</v>
      </c>
      <c r="E4550" s="35" t="s">
        <v>1085</v>
      </c>
      <c r="F4550" s="35" t="s">
        <v>335</v>
      </c>
    </row>
    <row r="4551" spans="1:9">
      <c r="A4551" s="34">
        <v>2084242543</v>
      </c>
      <c r="B4551" s="35" t="s">
        <v>462</v>
      </c>
      <c r="C4551" s="35" t="s">
        <v>405</v>
      </c>
      <c r="D4551" s="35" t="s">
        <v>1080</v>
      </c>
      <c r="E4551" s="35" t="s">
        <v>1086</v>
      </c>
      <c r="F4551" s="35" t="s">
        <v>367</v>
      </c>
    </row>
    <row r="4552" spans="1:9">
      <c r="A4552" s="34">
        <v>2084242544</v>
      </c>
      <c r="B4552" s="35" t="s">
        <v>462</v>
      </c>
      <c r="C4552" s="35" t="s">
        <v>405</v>
      </c>
      <c r="D4552" s="35" t="s">
        <v>1080</v>
      </c>
      <c r="E4552" s="35" t="s">
        <v>1086</v>
      </c>
      <c r="F4552" s="35" t="s">
        <v>401</v>
      </c>
    </row>
    <row r="4553" spans="1:9">
      <c r="A4553" s="34">
        <v>2084242545</v>
      </c>
      <c r="B4553" s="35" t="s">
        <v>462</v>
      </c>
      <c r="C4553" s="35" t="s">
        <v>405</v>
      </c>
      <c r="D4553" s="35" t="s">
        <v>1080</v>
      </c>
      <c r="E4553" s="35" t="s">
        <v>1086</v>
      </c>
      <c r="F4553" s="35" t="s">
        <v>402</v>
      </c>
    </row>
    <row r="4554" spans="1:9">
      <c r="A4554" s="34">
        <v>2084242546</v>
      </c>
      <c r="B4554" s="35" t="s">
        <v>462</v>
      </c>
      <c r="C4554" s="35" t="s">
        <v>405</v>
      </c>
      <c r="D4554" s="35" t="s">
        <v>1080</v>
      </c>
      <c r="E4554" s="35" t="s">
        <v>1086</v>
      </c>
      <c r="F4554" s="35" t="s">
        <v>403</v>
      </c>
    </row>
    <row r="4555" spans="1:9">
      <c r="A4555" s="34">
        <v>2084242547</v>
      </c>
      <c r="B4555" s="35" t="s">
        <v>462</v>
      </c>
      <c r="C4555" s="35" t="s">
        <v>405</v>
      </c>
      <c r="D4555" s="35" t="s">
        <v>1080</v>
      </c>
      <c r="E4555" s="35" t="s">
        <v>1086</v>
      </c>
      <c r="F4555" s="35" t="s">
        <v>478</v>
      </c>
    </row>
    <row r="4556" spans="1:9">
      <c r="A4556" s="34">
        <v>2084242548</v>
      </c>
      <c r="B4556" s="35" t="s">
        <v>462</v>
      </c>
      <c r="C4556" s="35" t="s">
        <v>405</v>
      </c>
      <c r="D4556" s="35" t="s">
        <v>1080</v>
      </c>
      <c r="E4556" s="35" t="s">
        <v>1086</v>
      </c>
      <c r="F4556" s="35" t="s">
        <v>335</v>
      </c>
    </row>
    <row r="4557" spans="1:9">
      <c r="A4557" s="34">
        <v>2084056830</v>
      </c>
      <c r="B4557" s="35" t="s">
        <v>462</v>
      </c>
      <c r="C4557" s="35" t="s">
        <v>405</v>
      </c>
      <c r="D4557" s="35" t="s">
        <v>1080</v>
      </c>
      <c r="E4557" s="35" t="s">
        <v>1087</v>
      </c>
      <c r="F4557" s="35" t="s">
        <v>353</v>
      </c>
      <c r="G4557" s="35" t="s">
        <v>368</v>
      </c>
      <c r="H4557" s="35" t="s">
        <v>645</v>
      </c>
    </row>
    <row r="4558" spans="1:9">
      <c r="A4558" s="34">
        <v>2084056831</v>
      </c>
      <c r="B4558" s="35" t="s">
        <v>462</v>
      </c>
      <c r="C4558" s="35" t="s">
        <v>405</v>
      </c>
      <c r="D4558" s="35" t="s">
        <v>1080</v>
      </c>
      <c r="E4558" s="35" t="s">
        <v>1087</v>
      </c>
      <c r="F4558" s="35" t="s">
        <v>353</v>
      </c>
      <c r="G4558" s="35" t="s">
        <v>368</v>
      </c>
      <c r="H4558" s="35" t="s">
        <v>335</v>
      </c>
    </row>
    <row r="4559" spans="1:9">
      <c r="A4559" s="34">
        <v>2084056834</v>
      </c>
      <c r="B4559" s="35" t="s">
        <v>462</v>
      </c>
      <c r="C4559" s="35" t="s">
        <v>405</v>
      </c>
      <c r="D4559" s="35" t="s">
        <v>1080</v>
      </c>
      <c r="E4559" s="35" t="s">
        <v>1087</v>
      </c>
      <c r="F4559" s="35" t="s">
        <v>353</v>
      </c>
      <c r="G4559" s="35" t="s">
        <v>10</v>
      </c>
      <c r="H4559" s="35" t="s">
        <v>397</v>
      </c>
    </row>
    <row r="4560" spans="1:9">
      <c r="A4560" s="34">
        <v>2084056833</v>
      </c>
      <c r="B4560" s="35" t="s">
        <v>462</v>
      </c>
      <c r="C4560" s="35" t="s">
        <v>405</v>
      </c>
      <c r="D4560" s="35" t="s">
        <v>1080</v>
      </c>
      <c r="E4560" s="35" t="s">
        <v>1087</v>
      </c>
      <c r="F4560" s="35" t="s">
        <v>353</v>
      </c>
      <c r="G4560" s="35" t="s">
        <v>10</v>
      </c>
      <c r="H4560" s="35" t="s">
        <v>421</v>
      </c>
    </row>
    <row r="4561" spans="1:8">
      <c r="A4561" s="34">
        <v>2084056837</v>
      </c>
      <c r="B4561" s="35" t="s">
        <v>462</v>
      </c>
      <c r="C4561" s="35" t="s">
        <v>405</v>
      </c>
      <c r="D4561" s="35" t="s">
        <v>1080</v>
      </c>
      <c r="E4561" s="35" t="s">
        <v>1087</v>
      </c>
      <c r="F4561" s="35" t="s">
        <v>353</v>
      </c>
      <c r="G4561" s="35" t="s">
        <v>10</v>
      </c>
      <c r="H4561" s="35" t="s">
        <v>398</v>
      </c>
    </row>
    <row r="4562" spans="1:8">
      <c r="A4562" s="34">
        <v>2084056835</v>
      </c>
      <c r="B4562" s="35" t="s">
        <v>462</v>
      </c>
      <c r="C4562" s="35" t="s">
        <v>405</v>
      </c>
      <c r="D4562" s="35" t="s">
        <v>1080</v>
      </c>
      <c r="E4562" s="35" t="s">
        <v>1087</v>
      </c>
      <c r="F4562" s="35" t="s">
        <v>353</v>
      </c>
      <c r="G4562" s="35" t="s">
        <v>10</v>
      </c>
      <c r="H4562" s="35" t="s">
        <v>422</v>
      </c>
    </row>
    <row r="4563" spans="1:8">
      <c r="A4563" s="34">
        <v>2084056838</v>
      </c>
      <c r="B4563" s="35" t="s">
        <v>462</v>
      </c>
      <c r="C4563" s="35" t="s">
        <v>405</v>
      </c>
      <c r="D4563" s="35" t="s">
        <v>1080</v>
      </c>
      <c r="E4563" s="35" t="s">
        <v>1087</v>
      </c>
      <c r="F4563" s="35" t="s">
        <v>353</v>
      </c>
      <c r="G4563" s="35" t="s">
        <v>10</v>
      </c>
      <c r="H4563" s="35" t="s">
        <v>335</v>
      </c>
    </row>
    <row r="4564" spans="1:8">
      <c r="A4564" s="34">
        <v>2084056840</v>
      </c>
      <c r="B4564" s="35" t="s">
        <v>462</v>
      </c>
      <c r="C4564" s="35" t="s">
        <v>405</v>
      </c>
      <c r="D4564" s="35" t="s">
        <v>1080</v>
      </c>
      <c r="E4564" s="35" t="s">
        <v>1087</v>
      </c>
      <c r="F4564" s="35" t="s">
        <v>353</v>
      </c>
      <c r="G4564" s="35" t="s">
        <v>379</v>
      </c>
      <c r="H4564" s="35" t="s">
        <v>545</v>
      </c>
    </row>
    <row r="4565" spans="1:8">
      <c r="A4565" s="34">
        <v>2084056841</v>
      </c>
      <c r="B4565" s="35" t="s">
        <v>462</v>
      </c>
      <c r="C4565" s="35" t="s">
        <v>405</v>
      </c>
      <c r="D4565" s="35" t="s">
        <v>1080</v>
      </c>
      <c r="E4565" s="35" t="s">
        <v>1087</v>
      </c>
      <c r="F4565" s="35" t="s">
        <v>353</v>
      </c>
      <c r="G4565" s="35" t="s">
        <v>379</v>
      </c>
      <c r="H4565" s="35" t="s">
        <v>335</v>
      </c>
    </row>
    <row r="4566" spans="1:8">
      <c r="A4566" s="34">
        <v>2084056842</v>
      </c>
      <c r="B4566" s="35" t="s">
        <v>462</v>
      </c>
      <c r="C4566" s="35" t="s">
        <v>405</v>
      </c>
      <c r="D4566" s="35" t="s">
        <v>1080</v>
      </c>
      <c r="E4566" s="35" t="s">
        <v>1087</v>
      </c>
      <c r="F4566" s="35" t="s">
        <v>353</v>
      </c>
      <c r="G4566" s="35" t="s">
        <v>335</v>
      </c>
    </row>
    <row r="4567" spans="1:8">
      <c r="A4567" s="34">
        <v>2084056843</v>
      </c>
      <c r="B4567" s="35" t="s">
        <v>462</v>
      </c>
      <c r="C4567" s="35" t="s">
        <v>405</v>
      </c>
      <c r="D4567" s="35" t="s">
        <v>1080</v>
      </c>
      <c r="E4567" s="35" t="s">
        <v>1087</v>
      </c>
      <c r="F4567" s="35" t="s">
        <v>335</v>
      </c>
    </row>
    <row r="4568" spans="1:8">
      <c r="A4568" s="34">
        <v>2084054644</v>
      </c>
      <c r="B4568" s="35" t="s">
        <v>462</v>
      </c>
      <c r="C4568" s="35" t="s">
        <v>405</v>
      </c>
      <c r="D4568" s="35" t="s">
        <v>1080</v>
      </c>
      <c r="E4568" s="35" t="s">
        <v>1088</v>
      </c>
      <c r="F4568" s="35" t="s">
        <v>390</v>
      </c>
      <c r="G4568" s="35" t="s">
        <v>367</v>
      </c>
    </row>
    <row r="4569" spans="1:8">
      <c r="A4569" s="34">
        <v>2084054647</v>
      </c>
      <c r="B4569" s="35" t="s">
        <v>462</v>
      </c>
      <c r="C4569" s="35" t="s">
        <v>405</v>
      </c>
      <c r="D4569" s="35" t="s">
        <v>1080</v>
      </c>
      <c r="E4569" s="35" t="s">
        <v>1088</v>
      </c>
      <c r="F4569" s="35" t="s">
        <v>390</v>
      </c>
      <c r="G4569" s="35" t="s">
        <v>368</v>
      </c>
      <c r="H4569" s="35" t="s">
        <v>481</v>
      </c>
    </row>
    <row r="4570" spans="1:8">
      <c r="A4570" s="34">
        <v>2084054646</v>
      </c>
      <c r="B4570" s="35" t="s">
        <v>462</v>
      </c>
      <c r="C4570" s="35" t="s">
        <v>405</v>
      </c>
      <c r="D4570" s="35" t="s">
        <v>1080</v>
      </c>
      <c r="E4570" s="35" t="s">
        <v>1088</v>
      </c>
      <c r="F4570" s="35" t="s">
        <v>390</v>
      </c>
      <c r="G4570" s="35" t="s">
        <v>368</v>
      </c>
      <c r="H4570" s="35" t="s">
        <v>482</v>
      </c>
    </row>
    <row r="4571" spans="1:8">
      <c r="A4571" s="34">
        <v>2084054648</v>
      </c>
      <c r="B4571" s="35" t="s">
        <v>462</v>
      </c>
      <c r="C4571" s="35" t="s">
        <v>405</v>
      </c>
      <c r="D4571" s="35" t="s">
        <v>1080</v>
      </c>
      <c r="E4571" s="35" t="s">
        <v>1088</v>
      </c>
      <c r="F4571" s="35" t="s">
        <v>390</v>
      </c>
      <c r="G4571" s="35" t="s">
        <v>368</v>
      </c>
      <c r="H4571" s="35" t="s">
        <v>335</v>
      </c>
    </row>
    <row r="4572" spans="1:8">
      <c r="A4572" s="34">
        <v>2084054654</v>
      </c>
      <c r="B4572" s="35" t="s">
        <v>462</v>
      </c>
      <c r="C4572" s="35" t="s">
        <v>405</v>
      </c>
      <c r="D4572" s="35" t="s">
        <v>1080</v>
      </c>
      <c r="E4572" s="35" t="s">
        <v>1088</v>
      </c>
      <c r="F4572" s="35" t="s">
        <v>390</v>
      </c>
      <c r="G4572" s="35" t="s">
        <v>10</v>
      </c>
      <c r="H4572" s="35" t="s">
        <v>483</v>
      </c>
    </row>
    <row r="4573" spans="1:8">
      <c r="A4573" s="34">
        <v>2084054651</v>
      </c>
      <c r="B4573" s="35" t="s">
        <v>462</v>
      </c>
      <c r="C4573" s="35" t="s">
        <v>405</v>
      </c>
      <c r="D4573" s="35" t="s">
        <v>1080</v>
      </c>
      <c r="E4573" s="35" t="s">
        <v>1088</v>
      </c>
      <c r="F4573" s="35" t="s">
        <v>390</v>
      </c>
      <c r="G4573" s="35" t="s">
        <v>10</v>
      </c>
      <c r="H4573" s="35" t="s">
        <v>397</v>
      </c>
    </row>
    <row r="4574" spans="1:8">
      <c r="A4574" s="34">
        <v>2084054653</v>
      </c>
      <c r="B4574" s="35" t="s">
        <v>462</v>
      </c>
      <c r="C4574" s="35" t="s">
        <v>405</v>
      </c>
      <c r="D4574" s="35" t="s">
        <v>1080</v>
      </c>
      <c r="E4574" s="35" t="s">
        <v>1088</v>
      </c>
      <c r="F4574" s="35" t="s">
        <v>390</v>
      </c>
      <c r="G4574" s="35" t="s">
        <v>10</v>
      </c>
      <c r="H4574" s="35" t="s">
        <v>421</v>
      </c>
    </row>
    <row r="4575" spans="1:8">
      <c r="A4575" s="34">
        <v>2084054650</v>
      </c>
      <c r="B4575" s="35" t="s">
        <v>462</v>
      </c>
      <c r="C4575" s="35" t="s">
        <v>405</v>
      </c>
      <c r="D4575" s="35" t="s">
        <v>1080</v>
      </c>
      <c r="E4575" s="35" t="s">
        <v>1088</v>
      </c>
      <c r="F4575" s="35" t="s">
        <v>390</v>
      </c>
      <c r="G4575" s="35" t="s">
        <v>10</v>
      </c>
      <c r="H4575" s="35" t="s">
        <v>398</v>
      </c>
    </row>
    <row r="4576" spans="1:8">
      <c r="A4576" s="34">
        <v>2084054652</v>
      </c>
      <c r="B4576" s="35" t="s">
        <v>462</v>
      </c>
      <c r="C4576" s="35" t="s">
        <v>405</v>
      </c>
      <c r="D4576" s="35" t="s">
        <v>1080</v>
      </c>
      <c r="E4576" s="35" t="s">
        <v>1088</v>
      </c>
      <c r="F4576" s="35" t="s">
        <v>390</v>
      </c>
      <c r="G4576" s="35" t="s">
        <v>10</v>
      </c>
      <c r="H4576" s="35" t="s">
        <v>422</v>
      </c>
    </row>
    <row r="4577" spans="1:9">
      <c r="A4577" s="34">
        <v>2084054655</v>
      </c>
      <c r="B4577" s="35" t="s">
        <v>462</v>
      </c>
      <c r="C4577" s="35" t="s">
        <v>405</v>
      </c>
      <c r="D4577" s="35" t="s">
        <v>1080</v>
      </c>
      <c r="E4577" s="35" t="s">
        <v>1088</v>
      </c>
      <c r="F4577" s="35" t="s">
        <v>390</v>
      </c>
      <c r="G4577" s="35" t="s">
        <v>10</v>
      </c>
      <c r="H4577" s="35" t="s">
        <v>335</v>
      </c>
    </row>
    <row r="4578" spans="1:9">
      <c r="A4578" s="34">
        <v>2084054657</v>
      </c>
      <c r="B4578" s="35" t="s">
        <v>462</v>
      </c>
      <c r="C4578" s="35" t="s">
        <v>405</v>
      </c>
      <c r="D4578" s="35" t="s">
        <v>1080</v>
      </c>
      <c r="E4578" s="35" t="s">
        <v>1088</v>
      </c>
      <c r="F4578" s="35" t="s">
        <v>390</v>
      </c>
      <c r="G4578" s="35" t="s">
        <v>379</v>
      </c>
      <c r="H4578" s="35" t="s">
        <v>476</v>
      </c>
    </row>
    <row r="4579" spans="1:9">
      <c r="A4579" s="34">
        <v>2084054658</v>
      </c>
      <c r="B4579" s="35" t="s">
        <v>462</v>
      </c>
      <c r="C4579" s="35" t="s">
        <v>405</v>
      </c>
      <c r="D4579" s="35" t="s">
        <v>1080</v>
      </c>
      <c r="E4579" s="35" t="s">
        <v>1088</v>
      </c>
      <c r="F4579" s="35" t="s">
        <v>390</v>
      </c>
      <c r="G4579" s="35" t="s">
        <v>379</v>
      </c>
      <c r="H4579" s="35" t="s">
        <v>335</v>
      </c>
    </row>
    <row r="4580" spans="1:9">
      <c r="A4580" s="34">
        <v>2084054659</v>
      </c>
      <c r="B4580" s="35" t="s">
        <v>462</v>
      </c>
      <c r="C4580" s="35" t="s">
        <v>405</v>
      </c>
      <c r="D4580" s="35" t="s">
        <v>1080</v>
      </c>
      <c r="E4580" s="35" t="s">
        <v>1088</v>
      </c>
      <c r="F4580" s="35" t="s">
        <v>390</v>
      </c>
      <c r="G4580" s="35" t="s">
        <v>335</v>
      </c>
    </row>
    <row r="4581" spans="1:9">
      <c r="A4581" s="34">
        <v>2084054677</v>
      </c>
      <c r="B4581" s="35" t="s">
        <v>462</v>
      </c>
      <c r="C4581" s="35" t="s">
        <v>405</v>
      </c>
      <c r="D4581" s="35" t="s">
        <v>1080</v>
      </c>
      <c r="E4581" s="35" t="s">
        <v>1088</v>
      </c>
      <c r="F4581" s="35" t="s">
        <v>335</v>
      </c>
    </row>
    <row r="4582" spans="1:9">
      <c r="A4582" s="34">
        <v>2084238700</v>
      </c>
      <c r="B4582" s="35" t="s">
        <v>462</v>
      </c>
      <c r="C4582" s="35" t="s">
        <v>405</v>
      </c>
      <c r="D4582" s="35" t="s">
        <v>1080</v>
      </c>
      <c r="E4582" s="35" t="s">
        <v>1089</v>
      </c>
      <c r="F4582" s="35" t="s">
        <v>390</v>
      </c>
      <c r="G4582" s="35" t="s">
        <v>367</v>
      </c>
    </row>
    <row r="4583" spans="1:9">
      <c r="A4583" s="34">
        <v>2084238701</v>
      </c>
      <c r="B4583" s="35" t="s">
        <v>462</v>
      </c>
      <c r="C4583" s="35" t="s">
        <v>405</v>
      </c>
      <c r="D4583" s="35" t="s">
        <v>1080</v>
      </c>
      <c r="E4583" s="35" t="s">
        <v>1089</v>
      </c>
      <c r="F4583" s="35" t="s">
        <v>390</v>
      </c>
      <c r="G4583" s="35" t="s">
        <v>401</v>
      </c>
    </row>
    <row r="4584" spans="1:9">
      <c r="A4584" s="34">
        <v>2084238702</v>
      </c>
      <c r="B4584" s="35" t="s">
        <v>462</v>
      </c>
      <c r="C4584" s="35" t="s">
        <v>405</v>
      </c>
      <c r="D4584" s="35" t="s">
        <v>1080</v>
      </c>
      <c r="E4584" s="35" t="s">
        <v>1089</v>
      </c>
      <c r="F4584" s="35" t="s">
        <v>390</v>
      </c>
      <c r="G4584" s="35" t="s">
        <v>402</v>
      </c>
    </row>
    <row r="4585" spans="1:9">
      <c r="A4585" s="34">
        <v>2084238704</v>
      </c>
      <c r="B4585" s="35" t="s">
        <v>462</v>
      </c>
      <c r="C4585" s="35" t="s">
        <v>405</v>
      </c>
      <c r="D4585" s="35" t="s">
        <v>1080</v>
      </c>
      <c r="E4585" s="35" t="s">
        <v>1089</v>
      </c>
      <c r="F4585" s="35" t="s">
        <v>390</v>
      </c>
      <c r="G4585" s="35" t="s">
        <v>403</v>
      </c>
    </row>
    <row r="4586" spans="1:9">
      <c r="A4586" s="34">
        <v>2084238703</v>
      </c>
      <c r="B4586" s="35" t="s">
        <v>462</v>
      </c>
      <c r="C4586" s="35" t="s">
        <v>405</v>
      </c>
      <c r="D4586" s="35" t="s">
        <v>1080</v>
      </c>
      <c r="E4586" s="35" t="s">
        <v>1089</v>
      </c>
      <c r="F4586" s="35" t="s">
        <v>390</v>
      </c>
      <c r="G4586" s="35" t="s">
        <v>478</v>
      </c>
    </row>
    <row r="4587" spans="1:9">
      <c r="A4587" s="34">
        <v>2084238705</v>
      </c>
      <c r="B4587" s="35" t="s">
        <v>462</v>
      </c>
      <c r="C4587" s="35" t="s">
        <v>405</v>
      </c>
      <c r="D4587" s="35" t="s">
        <v>1080</v>
      </c>
      <c r="E4587" s="35" t="s">
        <v>1089</v>
      </c>
      <c r="F4587" s="35" t="s">
        <v>390</v>
      </c>
      <c r="G4587" s="35" t="s">
        <v>335</v>
      </c>
    </row>
    <row r="4588" spans="1:9">
      <c r="A4588" s="34">
        <v>2084238706</v>
      </c>
      <c r="B4588" s="35" t="s">
        <v>462</v>
      </c>
      <c r="C4588" s="35" t="s">
        <v>405</v>
      </c>
      <c r="D4588" s="35" t="s">
        <v>1080</v>
      </c>
      <c r="E4588" s="35" t="s">
        <v>1089</v>
      </c>
      <c r="F4588" s="35" t="s">
        <v>335</v>
      </c>
    </row>
    <row r="4589" spans="1:9">
      <c r="A4589" s="34">
        <v>2084056640</v>
      </c>
      <c r="B4589" s="35" t="s">
        <v>462</v>
      </c>
      <c r="C4589" s="35" t="s">
        <v>405</v>
      </c>
      <c r="D4589" s="35" t="s">
        <v>1080</v>
      </c>
      <c r="E4589" s="35" t="s">
        <v>1090</v>
      </c>
      <c r="F4589" s="35" t="s">
        <v>353</v>
      </c>
      <c r="G4589" s="35" t="s">
        <v>368</v>
      </c>
      <c r="H4589" s="35" t="s">
        <v>335</v>
      </c>
    </row>
    <row r="4590" spans="1:9">
      <c r="A4590" s="34">
        <v>2084227477</v>
      </c>
      <c r="B4590" s="35" t="s">
        <v>462</v>
      </c>
      <c r="C4590" s="35" t="s">
        <v>405</v>
      </c>
      <c r="D4590" s="35" t="s">
        <v>1080</v>
      </c>
      <c r="E4590" s="35" t="s">
        <v>1090</v>
      </c>
      <c r="F4590" s="35" t="s">
        <v>353</v>
      </c>
      <c r="G4590" s="35" t="s">
        <v>368</v>
      </c>
      <c r="H4590" s="35" t="s">
        <v>1091</v>
      </c>
      <c r="I4590" s="35" t="s">
        <v>391</v>
      </c>
    </row>
    <row r="4591" spans="1:9">
      <c r="A4591" s="34">
        <v>2084227478</v>
      </c>
      <c r="B4591" s="35" t="s">
        <v>462</v>
      </c>
      <c r="C4591" s="35" t="s">
        <v>405</v>
      </c>
      <c r="D4591" s="35" t="s">
        <v>1080</v>
      </c>
      <c r="E4591" s="35" t="s">
        <v>1090</v>
      </c>
      <c r="F4591" s="35" t="s">
        <v>353</v>
      </c>
      <c r="G4591" s="35" t="s">
        <v>368</v>
      </c>
      <c r="H4591" s="35" t="s">
        <v>1091</v>
      </c>
      <c r="I4591" s="35" t="s">
        <v>392</v>
      </c>
    </row>
    <row r="4592" spans="1:9">
      <c r="A4592" s="34">
        <v>2084227479</v>
      </c>
      <c r="B4592" s="35" t="s">
        <v>462</v>
      </c>
      <c r="C4592" s="35" t="s">
        <v>405</v>
      </c>
      <c r="D4592" s="35" t="s">
        <v>1080</v>
      </c>
      <c r="E4592" s="35" t="s">
        <v>1090</v>
      </c>
      <c r="F4592" s="35" t="s">
        <v>353</v>
      </c>
      <c r="G4592" s="35" t="s">
        <v>368</v>
      </c>
      <c r="H4592" s="35" t="s">
        <v>1091</v>
      </c>
      <c r="I4592" s="35" t="s">
        <v>375</v>
      </c>
    </row>
    <row r="4593" spans="1:9">
      <c r="A4593" s="34">
        <v>2084227480</v>
      </c>
      <c r="B4593" s="35" t="s">
        <v>462</v>
      </c>
      <c r="C4593" s="35" t="s">
        <v>405</v>
      </c>
      <c r="D4593" s="35" t="s">
        <v>1080</v>
      </c>
      <c r="E4593" s="35" t="s">
        <v>1090</v>
      </c>
      <c r="F4593" s="35" t="s">
        <v>353</v>
      </c>
      <c r="G4593" s="35" t="s">
        <v>368</v>
      </c>
      <c r="H4593" s="35" t="s">
        <v>1091</v>
      </c>
      <c r="I4593" s="35" t="s">
        <v>376</v>
      </c>
    </row>
    <row r="4594" spans="1:9">
      <c r="A4594" s="34">
        <v>2084227481</v>
      </c>
      <c r="B4594" s="35" t="s">
        <v>462</v>
      </c>
      <c r="C4594" s="35" t="s">
        <v>405</v>
      </c>
      <c r="D4594" s="35" t="s">
        <v>1080</v>
      </c>
      <c r="E4594" s="35" t="s">
        <v>1090</v>
      </c>
      <c r="F4594" s="35" t="s">
        <v>353</v>
      </c>
      <c r="G4594" s="35" t="s">
        <v>368</v>
      </c>
      <c r="H4594" s="35" t="s">
        <v>1091</v>
      </c>
      <c r="I4594" s="35" t="s">
        <v>377</v>
      </c>
    </row>
    <row r="4595" spans="1:9">
      <c r="A4595" s="34">
        <v>2084227482</v>
      </c>
      <c r="B4595" s="35" t="s">
        <v>462</v>
      </c>
      <c r="C4595" s="35" t="s">
        <v>405</v>
      </c>
      <c r="D4595" s="35" t="s">
        <v>1080</v>
      </c>
      <c r="E4595" s="35" t="s">
        <v>1090</v>
      </c>
      <c r="F4595" s="35" t="s">
        <v>353</v>
      </c>
      <c r="G4595" s="35" t="s">
        <v>368</v>
      </c>
      <c r="H4595" s="35" t="s">
        <v>572</v>
      </c>
      <c r="I4595" s="35" t="s">
        <v>573</v>
      </c>
    </row>
    <row r="4596" spans="1:9">
      <c r="A4596" s="34">
        <v>2084227483</v>
      </c>
      <c r="B4596" s="35" t="s">
        <v>462</v>
      </c>
      <c r="C4596" s="35" t="s">
        <v>405</v>
      </c>
      <c r="D4596" s="35" t="s">
        <v>1080</v>
      </c>
      <c r="E4596" s="35" t="s">
        <v>1090</v>
      </c>
      <c r="F4596" s="35" t="s">
        <v>353</v>
      </c>
      <c r="G4596" s="35" t="s">
        <v>368</v>
      </c>
      <c r="H4596" s="35" t="s">
        <v>572</v>
      </c>
      <c r="I4596" s="35" t="s">
        <v>574</v>
      </c>
    </row>
    <row r="4597" spans="1:9">
      <c r="A4597" s="34">
        <v>2084227484</v>
      </c>
      <c r="B4597" s="35" t="s">
        <v>462</v>
      </c>
      <c r="C4597" s="35" t="s">
        <v>405</v>
      </c>
      <c r="D4597" s="35" t="s">
        <v>1080</v>
      </c>
      <c r="E4597" s="35" t="s">
        <v>1090</v>
      </c>
      <c r="F4597" s="35" t="s">
        <v>353</v>
      </c>
      <c r="G4597" s="35" t="s">
        <v>368</v>
      </c>
      <c r="H4597" s="35" t="s">
        <v>572</v>
      </c>
      <c r="I4597" s="35" t="s">
        <v>575</v>
      </c>
    </row>
    <row r="4598" spans="1:9">
      <c r="A4598" s="34">
        <v>2084227485</v>
      </c>
      <c r="B4598" s="35" t="s">
        <v>462</v>
      </c>
      <c r="C4598" s="35" t="s">
        <v>405</v>
      </c>
      <c r="D4598" s="35" t="s">
        <v>1080</v>
      </c>
      <c r="E4598" s="35" t="s">
        <v>1090</v>
      </c>
      <c r="F4598" s="35" t="s">
        <v>353</v>
      </c>
      <c r="G4598" s="35" t="s">
        <v>368</v>
      </c>
      <c r="H4598" s="35" t="s">
        <v>572</v>
      </c>
      <c r="I4598" s="35" t="s">
        <v>576</v>
      </c>
    </row>
    <row r="4599" spans="1:9">
      <c r="A4599" s="34">
        <v>2084227486</v>
      </c>
      <c r="B4599" s="35" t="s">
        <v>462</v>
      </c>
      <c r="C4599" s="35" t="s">
        <v>405</v>
      </c>
      <c r="D4599" s="35" t="s">
        <v>1080</v>
      </c>
      <c r="E4599" s="35" t="s">
        <v>1090</v>
      </c>
      <c r="F4599" s="35" t="s">
        <v>353</v>
      </c>
      <c r="G4599" s="35" t="s">
        <v>368</v>
      </c>
      <c r="H4599" s="35" t="s">
        <v>572</v>
      </c>
      <c r="I4599" s="35" t="s">
        <v>577</v>
      </c>
    </row>
    <row r="4600" spans="1:9">
      <c r="A4600" s="34">
        <v>2084227487</v>
      </c>
      <c r="B4600" s="35" t="s">
        <v>462</v>
      </c>
      <c r="C4600" s="35" t="s">
        <v>405</v>
      </c>
      <c r="D4600" s="35" t="s">
        <v>1080</v>
      </c>
      <c r="E4600" s="35" t="s">
        <v>1090</v>
      </c>
      <c r="F4600" s="35" t="s">
        <v>353</v>
      </c>
      <c r="G4600" s="35" t="s">
        <v>368</v>
      </c>
      <c r="H4600" s="35" t="s">
        <v>572</v>
      </c>
      <c r="I4600" s="35" t="s">
        <v>391</v>
      </c>
    </row>
    <row r="4601" spans="1:9">
      <c r="A4601" s="34">
        <v>2084227488</v>
      </c>
      <c r="B4601" s="35" t="s">
        <v>462</v>
      </c>
      <c r="C4601" s="35" t="s">
        <v>405</v>
      </c>
      <c r="D4601" s="35" t="s">
        <v>1080</v>
      </c>
      <c r="E4601" s="35" t="s">
        <v>1090</v>
      </c>
      <c r="F4601" s="35" t="s">
        <v>353</v>
      </c>
      <c r="G4601" s="35" t="s">
        <v>368</v>
      </c>
      <c r="H4601" s="35" t="s">
        <v>572</v>
      </c>
      <c r="I4601" s="35" t="s">
        <v>392</v>
      </c>
    </row>
    <row r="4602" spans="1:9">
      <c r="A4602" s="34">
        <v>2084227489</v>
      </c>
      <c r="B4602" s="35" t="s">
        <v>462</v>
      </c>
      <c r="C4602" s="35" t="s">
        <v>405</v>
      </c>
      <c r="D4602" s="35" t="s">
        <v>1080</v>
      </c>
      <c r="E4602" s="35" t="s">
        <v>1090</v>
      </c>
      <c r="F4602" s="35" t="s">
        <v>353</v>
      </c>
      <c r="G4602" s="35" t="s">
        <v>368</v>
      </c>
      <c r="H4602" s="35" t="s">
        <v>572</v>
      </c>
      <c r="I4602" s="35" t="s">
        <v>375</v>
      </c>
    </row>
    <row r="4603" spans="1:9">
      <c r="A4603" s="34">
        <v>2084227490</v>
      </c>
      <c r="B4603" s="35" t="s">
        <v>462</v>
      </c>
      <c r="C4603" s="35" t="s">
        <v>405</v>
      </c>
      <c r="D4603" s="35" t="s">
        <v>1080</v>
      </c>
      <c r="E4603" s="35" t="s">
        <v>1090</v>
      </c>
      <c r="F4603" s="35" t="s">
        <v>353</v>
      </c>
      <c r="G4603" s="35" t="s">
        <v>368</v>
      </c>
      <c r="H4603" s="35" t="s">
        <v>572</v>
      </c>
      <c r="I4603" s="35" t="s">
        <v>376</v>
      </c>
    </row>
    <row r="4604" spans="1:9">
      <c r="A4604" s="34">
        <v>2084227491</v>
      </c>
      <c r="B4604" s="35" t="s">
        <v>462</v>
      </c>
      <c r="C4604" s="35" t="s">
        <v>405</v>
      </c>
      <c r="D4604" s="35" t="s">
        <v>1080</v>
      </c>
      <c r="E4604" s="35" t="s">
        <v>1090</v>
      </c>
      <c r="F4604" s="35" t="s">
        <v>353</v>
      </c>
      <c r="G4604" s="35" t="s">
        <v>368</v>
      </c>
      <c r="H4604" s="35" t="s">
        <v>572</v>
      </c>
      <c r="I4604" s="35" t="s">
        <v>377</v>
      </c>
    </row>
    <row r="4605" spans="1:9">
      <c r="A4605" s="34">
        <v>2084056646</v>
      </c>
      <c r="B4605" s="35" t="s">
        <v>462</v>
      </c>
      <c r="C4605" s="35" t="s">
        <v>405</v>
      </c>
      <c r="D4605" s="35" t="s">
        <v>1080</v>
      </c>
      <c r="E4605" s="35" t="s">
        <v>1090</v>
      </c>
      <c r="F4605" s="35" t="s">
        <v>353</v>
      </c>
      <c r="G4605" s="35" t="s">
        <v>10</v>
      </c>
      <c r="H4605" s="35" t="s">
        <v>544</v>
      </c>
    </row>
    <row r="4606" spans="1:9">
      <c r="A4606" s="34">
        <v>2084221851</v>
      </c>
      <c r="B4606" s="35" t="s">
        <v>462</v>
      </c>
      <c r="C4606" s="35" t="s">
        <v>405</v>
      </c>
      <c r="D4606" s="35" t="s">
        <v>1080</v>
      </c>
      <c r="E4606" s="35" t="s">
        <v>1090</v>
      </c>
      <c r="F4606" s="35" t="s">
        <v>353</v>
      </c>
      <c r="G4606" s="35" t="s">
        <v>10</v>
      </c>
      <c r="H4606" s="35" t="s">
        <v>373</v>
      </c>
      <c r="I4606" s="35" t="s">
        <v>374</v>
      </c>
    </row>
    <row r="4607" spans="1:9">
      <c r="A4607" s="34">
        <v>2084221852</v>
      </c>
      <c r="B4607" s="35" t="s">
        <v>462</v>
      </c>
      <c r="C4607" s="35" t="s">
        <v>405</v>
      </c>
      <c r="D4607" s="35" t="s">
        <v>1080</v>
      </c>
      <c r="E4607" s="35" t="s">
        <v>1090</v>
      </c>
      <c r="F4607" s="35" t="s">
        <v>353</v>
      </c>
      <c r="G4607" s="35" t="s">
        <v>10</v>
      </c>
      <c r="H4607" s="35" t="s">
        <v>373</v>
      </c>
      <c r="I4607" s="35" t="s">
        <v>375</v>
      </c>
    </row>
    <row r="4608" spans="1:9">
      <c r="A4608" s="34">
        <v>2084221853</v>
      </c>
      <c r="B4608" s="35" t="s">
        <v>462</v>
      </c>
      <c r="C4608" s="35" t="s">
        <v>405</v>
      </c>
      <c r="D4608" s="35" t="s">
        <v>1080</v>
      </c>
      <c r="E4608" s="35" t="s">
        <v>1090</v>
      </c>
      <c r="F4608" s="35" t="s">
        <v>353</v>
      </c>
      <c r="G4608" s="35" t="s">
        <v>10</v>
      </c>
      <c r="H4608" s="35" t="s">
        <v>373</v>
      </c>
      <c r="I4608" s="35" t="s">
        <v>393</v>
      </c>
    </row>
    <row r="4609" spans="1:9">
      <c r="A4609" s="34">
        <v>2084056644</v>
      </c>
      <c r="B4609" s="35" t="s">
        <v>462</v>
      </c>
      <c r="C4609" s="35" t="s">
        <v>405</v>
      </c>
      <c r="D4609" s="35" t="s">
        <v>1080</v>
      </c>
      <c r="E4609" s="35" t="s">
        <v>1090</v>
      </c>
      <c r="F4609" s="35" t="s">
        <v>353</v>
      </c>
      <c r="G4609" s="35" t="s">
        <v>10</v>
      </c>
      <c r="H4609" s="35" t="s">
        <v>421</v>
      </c>
    </row>
    <row r="4610" spans="1:9">
      <c r="A4610" s="34">
        <v>2084224739</v>
      </c>
      <c r="B4610" s="35" t="s">
        <v>462</v>
      </c>
      <c r="C4610" s="35" t="s">
        <v>405</v>
      </c>
      <c r="D4610" s="35" t="s">
        <v>1080</v>
      </c>
      <c r="E4610" s="35" t="s">
        <v>1090</v>
      </c>
      <c r="F4610" s="35" t="s">
        <v>353</v>
      </c>
      <c r="G4610" s="35" t="s">
        <v>10</v>
      </c>
      <c r="H4610" s="35" t="s">
        <v>378</v>
      </c>
      <c r="I4610" s="35" t="s">
        <v>374</v>
      </c>
    </row>
    <row r="4611" spans="1:9">
      <c r="A4611" s="34">
        <v>2084224740</v>
      </c>
      <c r="B4611" s="35" t="s">
        <v>462</v>
      </c>
      <c r="C4611" s="35" t="s">
        <v>405</v>
      </c>
      <c r="D4611" s="35" t="s">
        <v>1080</v>
      </c>
      <c r="E4611" s="35" t="s">
        <v>1090</v>
      </c>
      <c r="F4611" s="35" t="s">
        <v>353</v>
      </c>
      <c r="G4611" s="35" t="s">
        <v>10</v>
      </c>
      <c r="H4611" s="35" t="s">
        <v>378</v>
      </c>
      <c r="I4611" s="35" t="s">
        <v>375</v>
      </c>
    </row>
    <row r="4612" spans="1:9">
      <c r="A4612" s="34">
        <v>2084224741</v>
      </c>
      <c r="B4612" s="35" t="s">
        <v>462</v>
      </c>
      <c r="C4612" s="35" t="s">
        <v>405</v>
      </c>
      <c r="D4612" s="35" t="s">
        <v>1080</v>
      </c>
      <c r="E4612" s="35" t="s">
        <v>1090</v>
      </c>
      <c r="F4612" s="35" t="s">
        <v>353</v>
      </c>
      <c r="G4612" s="35" t="s">
        <v>10</v>
      </c>
      <c r="H4612" s="35" t="s">
        <v>378</v>
      </c>
      <c r="I4612" s="35" t="s">
        <v>393</v>
      </c>
    </row>
    <row r="4613" spans="1:9">
      <c r="A4613" s="34">
        <v>2084221917</v>
      </c>
      <c r="B4613" s="35" t="s">
        <v>462</v>
      </c>
      <c r="C4613" s="35" t="s">
        <v>405</v>
      </c>
      <c r="D4613" s="35" t="s">
        <v>1080</v>
      </c>
      <c r="E4613" s="35" t="s">
        <v>1090</v>
      </c>
      <c r="F4613" s="35" t="s">
        <v>353</v>
      </c>
      <c r="G4613" s="35" t="s">
        <v>10</v>
      </c>
      <c r="H4613" s="35" t="s">
        <v>1092</v>
      </c>
      <c r="I4613" s="35" t="s">
        <v>391</v>
      </c>
    </row>
    <row r="4614" spans="1:9">
      <c r="A4614" s="34">
        <v>2084221918</v>
      </c>
      <c r="B4614" s="35" t="s">
        <v>462</v>
      </c>
      <c r="C4614" s="35" t="s">
        <v>405</v>
      </c>
      <c r="D4614" s="35" t="s">
        <v>1080</v>
      </c>
      <c r="E4614" s="35" t="s">
        <v>1090</v>
      </c>
      <c r="F4614" s="35" t="s">
        <v>353</v>
      </c>
      <c r="G4614" s="35" t="s">
        <v>10</v>
      </c>
      <c r="H4614" s="35" t="s">
        <v>1092</v>
      </c>
      <c r="I4614" s="35" t="s">
        <v>392</v>
      </c>
    </row>
    <row r="4615" spans="1:9">
      <c r="A4615" s="34">
        <v>2084221919</v>
      </c>
      <c r="B4615" s="35" t="s">
        <v>462</v>
      </c>
      <c r="C4615" s="35" t="s">
        <v>405</v>
      </c>
      <c r="D4615" s="35" t="s">
        <v>1080</v>
      </c>
      <c r="E4615" s="35" t="s">
        <v>1090</v>
      </c>
      <c r="F4615" s="35" t="s">
        <v>353</v>
      </c>
      <c r="G4615" s="35" t="s">
        <v>10</v>
      </c>
      <c r="H4615" s="35" t="s">
        <v>1092</v>
      </c>
      <c r="I4615" s="35" t="s">
        <v>375</v>
      </c>
    </row>
    <row r="4616" spans="1:9">
      <c r="A4616" s="34">
        <v>2084221920</v>
      </c>
      <c r="B4616" s="35" t="s">
        <v>462</v>
      </c>
      <c r="C4616" s="35" t="s">
        <v>405</v>
      </c>
      <c r="D4616" s="35" t="s">
        <v>1080</v>
      </c>
      <c r="E4616" s="35" t="s">
        <v>1090</v>
      </c>
      <c r="F4616" s="35" t="s">
        <v>353</v>
      </c>
      <c r="G4616" s="35" t="s">
        <v>10</v>
      </c>
      <c r="H4616" s="35" t="s">
        <v>1092</v>
      </c>
      <c r="I4616" s="35" t="s">
        <v>376</v>
      </c>
    </row>
    <row r="4617" spans="1:9">
      <c r="A4617" s="34">
        <v>2084221921</v>
      </c>
      <c r="B4617" s="35" t="s">
        <v>462</v>
      </c>
      <c r="C4617" s="35" t="s">
        <v>405</v>
      </c>
      <c r="D4617" s="35" t="s">
        <v>1080</v>
      </c>
      <c r="E4617" s="35" t="s">
        <v>1090</v>
      </c>
      <c r="F4617" s="35" t="s">
        <v>353</v>
      </c>
      <c r="G4617" s="35" t="s">
        <v>10</v>
      </c>
      <c r="H4617" s="35" t="s">
        <v>1092</v>
      </c>
      <c r="I4617" s="35" t="s">
        <v>377</v>
      </c>
    </row>
    <row r="4618" spans="1:9">
      <c r="A4618" s="34">
        <v>2084056665</v>
      </c>
      <c r="B4618" s="35" t="s">
        <v>462</v>
      </c>
      <c r="C4618" s="35" t="s">
        <v>405</v>
      </c>
      <c r="D4618" s="35" t="s">
        <v>1080</v>
      </c>
      <c r="E4618" s="35" t="s">
        <v>1090</v>
      </c>
      <c r="F4618" s="35" t="s">
        <v>353</v>
      </c>
      <c r="G4618" s="35" t="s">
        <v>10</v>
      </c>
      <c r="H4618" s="35" t="s">
        <v>335</v>
      </c>
    </row>
    <row r="4619" spans="1:9">
      <c r="A4619" s="34">
        <v>2084056648</v>
      </c>
      <c r="B4619" s="35" t="s">
        <v>462</v>
      </c>
      <c r="C4619" s="35" t="s">
        <v>405</v>
      </c>
      <c r="D4619" s="35" t="s">
        <v>1080</v>
      </c>
      <c r="E4619" s="35" t="s">
        <v>1090</v>
      </c>
      <c r="F4619" s="35" t="s">
        <v>353</v>
      </c>
      <c r="G4619" s="35" t="s">
        <v>379</v>
      </c>
      <c r="H4619" s="35" t="s">
        <v>545</v>
      </c>
    </row>
    <row r="4620" spans="1:9">
      <c r="A4620" s="34">
        <v>2084056649</v>
      </c>
      <c r="B4620" s="35" t="s">
        <v>462</v>
      </c>
      <c r="C4620" s="35" t="s">
        <v>405</v>
      </c>
      <c r="D4620" s="35" t="s">
        <v>1080</v>
      </c>
      <c r="E4620" s="35" t="s">
        <v>1090</v>
      </c>
      <c r="F4620" s="35" t="s">
        <v>353</v>
      </c>
      <c r="G4620" s="35" t="s">
        <v>379</v>
      </c>
      <c r="H4620" s="35" t="s">
        <v>335</v>
      </c>
    </row>
    <row r="4621" spans="1:9">
      <c r="A4621" s="34">
        <v>2084056650</v>
      </c>
      <c r="B4621" s="35" t="s">
        <v>462</v>
      </c>
      <c r="C4621" s="35" t="s">
        <v>405</v>
      </c>
      <c r="D4621" s="35" t="s">
        <v>1080</v>
      </c>
      <c r="E4621" s="35" t="s">
        <v>1090</v>
      </c>
      <c r="F4621" s="35" t="s">
        <v>353</v>
      </c>
      <c r="G4621" s="35" t="s">
        <v>335</v>
      </c>
    </row>
    <row r="4622" spans="1:9">
      <c r="A4622" s="34">
        <v>2084056636</v>
      </c>
      <c r="B4622" s="35" t="s">
        <v>462</v>
      </c>
      <c r="C4622" s="35" t="s">
        <v>405</v>
      </c>
      <c r="D4622" s="35" t="s">
        <v>1080</v>
      </c>
      <c r="E4622" s="35" t="s">
        <v>1090</v>
      </c>
      <c r="F4622" s="35" t="s">
        <v>335</v>
      </c>
    </row>
    <row r="4623" spans="1:9">
      <c r="A4623" s="34">
        <v>2084244378</v>
      </c>
      <c r="B4623" s="35" t="s">
        <v>462</v>
      </c>
      <c r="C4623" s="35" t="s">
        <v>405</v>
      </c>
      <c r="D4623" s="35" t="s">
        <v>1080</v>
      </c>
      <c r="E4623" s="35" t="s">
        <v>1093</v>
      </c>
    </row>
    <row r="4624" spans="1:9">
      <c r="A4624" s="34">
        <v>2084255844</v>
      </c>
      <c r="B4624" s="35" t="s">
        <v>462</v>
      </c>
      <c r="C4624" s="35" t="s">
        <v>405</v>
      </c>
      <c r="D4624" s="35" t="s">
        <v>1080</v>
      </c>
      <c r="E4624" s="35" t="s">
        <v>1094</v>
      </c>
    </row>
    <row r="4625" spans="1:8">
      <c r="A4625" s="34">
        <v>2084064450</v>
      </c>
      <c r="B4625" s="35" t="s">
        <v>462</v>
      </c>
      <c r="C4625" s="35" t="s">
        <v>405</v>
      </c>
      <c r="D4625" s="35" t="s">
        <v>1080</v>
      </c>
      <c r="E4625" s="35" t="s">
        <v>1095</v>
      </c>
      <c r="F4625" s="35" t="s">
        <v>475</v>
      </c>
    </row>
    <row r="4626" spans="1:8">
      <c r="A4626" s="34">
        <v>2084064458</v>
      </c>
      <c r="B4626" s="35" t="s">
        <v>462</v>
      </c>
      <c r="C4626" s="35" t="s">
        <v>405</v>
      </c>
      <c r="D4626" s="35" t="s">
        <v>1080</v>
      </c>
      <c r="E4626" s="35" t="s">
        <v>1095</v>
      </c>
      <c r="F4626" s="35" t="s">
        <v>611</v>
      </c>
      <c r="G4626" s="35" t="s">
        <v>407</v>
      </c>
    </row>
    <row r="4627" spans="1:8">
      <c r="A4627" s="34">
        <v>2084064457</v>
      </c>
      <c r="B4627" s="35" t="s">
        <v>462</v>
      </c>
      <c r="C4627" s="35" t="s">
        <v>405</v>
      </c>
      <c r="D4627" s="35" t="s">
        <v>1080</v>
      </c>
      <c r="E4627" s="35" t="s">
        <v>1095</v>
      </c>
      <c r="F4627" s="35" t="s">
        <v>611</v>
      </c>
      <c r="G4627" s="35" t="s">
        <v>408</v>
      </c>
    </row>
    <row r="4628" spans="1:8">
      <c r="A4628" s="34">
        <v>2084064453</v>
      </c>
      <c r="B4628" s="35" t="s">
        <v>462</v>
      </c>
      <c r="C4628" s="35" t="s">
        <v>405</v>
      </c>
      <c r="D4628" s="35" t="s">
        <v>1080</v>
      </c>
      <c r="E4628" s="35" t="s">
        <v>1095</v>
      </c>
      <c r="F4628" s="35" t="s">
        <v>442</v>
      </c>
      <c r="G4628" s="35" t="s">
        <v>504</v>
      </c>
    </row>
    <row r="4629" spans="1:8">
      <c r="A4629" s="34">
        <v>2084064454</v>
      </c>
      <c r="B4629" s="35" t="s">
        <v>462</v>
      </c>
      <c r="C4629" s="35" t="s">
        <v>405</v>
      </c>
      <c r="D4629" s="35" t="s">
        <v>1080</v>
      </c>
      <c r="E4629" s="35" t="s">
        <v>1095</v>
      </c>
      <c r="F4629" s="35" t="s">
        <v>442</v>
      </c>
      <c r="G4629" s="35" t="s">
        <v>335</v>
      </c>
    </row>
    <row r="4630" spans="1:8">
      <c r="A4630" s="34">
        <v>2084064455</v>
      </c>
      <c r="B4630" s="35" t="s">
        <v>462</v>
      </c>
      <c r="C4630" s="35" t="s">
        <v>405</v>
      </c>
      <c r="D4630" s="35" t="s">
        <v>1080</v>
      </c>
      <c r="E4630" s="35" t="s">
        <v>1095</v>
      </c>
      <c r="F4630" s="35" t="s">
        <v>335</v>
      </c>
    </row>
    <row r="4631" spans="1:8">
      <c r="A4631" s="34">
        <v>2084244377</v>
      </c>
      <c r="B4631" s="35" t="s">
        <v>462</v>
      </c>
      <c r="C4631" s="35" t="s">
        <v>405</v>
      </c>
      <c r="D4631" s="35" t="s">
        <v>1080</v>
      </c>
      <c r="E4631" s="35" t="s">
        <v>1096</v>
      </c>
      <c r="F4631" s="35" t="s">
        <v>407</v>
      </c>
    </row>
    <row r="4632" spans="1:8">
      <c r="A4632" s="34">
        <v>2084244376</v>
      </c>
      <c r="B4632" s="35" t="s">
        <v>462</v>
      </c>
      <c r="C4632" s="35" t="s">
        <v>405</v>
      </c>
      <c r="D4632" s="35" t="s">
        <v>1080</v>
      </c>
      <c r="E4632" s="35" t="s">
        <v>1096</v>
      </c>
      <c r="F4632" s="35" t="s">
        <v>408</v>
      </c>
    </row>
    <row r="4633" spans="1:8">
      <c r="A4633" s="34">
        <v>2084246118</v>
      </c>
      <c r="B4633" s="35" t="s">
        <v>462</v>
      </c>
      <c r="C4633" s="35" t="s">
        <v>405</v>
      </c>
      <c r="D4633" s="35" t="s">
        <v>1080</v>
      </c>
      <c r="E4633" s="35" t="s">
        <v>1097</v>
      </c>
    </row>
    <row r="4634" spans="1:8">
      <c r="A4634" s="34">
        <v>2084055240</v>
      </c>
      <c r="B4634" s="35" t="s">
        <v>462</v>
      </c>
      <c r="C4634" s="35" t="s">
        <v>405</v>
      </c>
      <c r="D4634" s="35" t="s">
        <v>1080</v>
      </c>
      <c r="E4634" s="35" t="s">
        <v>1098</v>
      </c>
      <c r="F4634" s="35" t="s">
        <v>390</v>
      </c>
      <c r="G4634" s="35" t="s">
        <v>367</v>
      </c>
    </row>
    <row r="4635" spans="1:8">
      <c r="A4635" s="34">
        <v>2084055242</v>
      </c>
      <c r="B4635" s="35" t="s">
        <v>462</v>
      </c>
      <c r="C4635" s="35" t="s">
        <v>405</v>
      </c>
      <c r="D4635" s="35" t="s">
        <v>1080</v>
      </c>
      <c r="E4635" s="35" t="s">
        <v>1098</v>
      </c>
      <c r="F4635" s="35" t="s">
        <v>390</v>
      </c>
      <c r="G4635" s="35" t="s">
        <v>368</v>
      </c>
      <c r="H4635" s="35" t="s">
        <v>481</v>
      </c>
    </row>
    <row r="4636" spans="1:8">
      <c r="A4636" s="34">
        <v>2084055243</v>
      </c>
      <c r="B4636" s="35" t="s">
        <v>462</v>
      </c>
      <c r="C4636" s="35" t="s">
        <v>405</v>
      </c>
      <c r="D4636" s="35" t="s">
        <v>1080</v>
      </c>
      <c r="E4636" s="35" t="s">
        <v>1098</v>
      </c>
      <c r="F4636" s="35" t="s">
        <v>390</v>
      </c>
      <c r="G4636" s="35" t="s">
        <v>368</v>
      </c>
      <c r="H4636" s="35" t="s">
        <v>335</v>
      </c>
    </row>
    <row r="4637" spans="1:8">
      <c r="A4637" s="34">
        <v>2084055249</v>
      </c>
      <c r="B4637" s="35" t="s">
        <v>462</v>
      </c>
      <c r="C4637" s="35" t="s">
        <v>405</v>
      </c>
      <c r="D4637" s="35" t="s">
        <v>1080</v>
      </c>
      <c r="E4637" s="35" t="s">
        <v>1098</v>
      </c>
      <c r="F4637" s="35" t="s">
        <v>390</v>
      </c>
      <c r="G4637" s="35" t="s">
        <v>10</v>
      </c>
      <c r="H4637" s="35" t="s">
        <v>483</v>
      </c>
    </row>
    <row r="4638" spans="1:8">
      <c r="A4638" s="34">
        <v>2084055246</v>
      </c>
      <c r="B4638" s="35" t="s">
        <v>462</v>
      </c>
      <c r="C4638" s="35" t="s">
        <v>405</v>
      </c>
      <c r="D4638" s="35" t="s">
        <v>1080</v>
      </c>
      <c r="E4638" s="35" t="s">
        <v>1098</v>
      </c>
      <c r="F4638" s="35" t="s">
        <v>390</v>
      </c>
      <c r="G4638" s="35" t="s">
        <v>10</v>
      </c>
      <c r="H4638" s="35" t="s">
        <v>397</v>
      </c>
    </row>
    <row r="4639" spans="1:8">
      <c r="A4639" s="34">
        <v>2084055248</v>
      </c>
      <c r="B4639" s="35" t="s">
        <v>462</v>
      </c>
      <c r="C4639" s="35" t="s">
        <v>405</v>
      </c>
      <c r="D4639" s="35" t="s">
        <v>1080</v>
      </c>
      <c r="E4639" s="35" t="s">
        <v>1098</v>
      </c>
      <c r="F4639" s="35" t="s">
        <v>390</v>
      </c>
      <c r="G4639" s="35" t="s">
        <v>10</v>
      </c>
      <c r="H4639" s="35" t="s">
        <v>421</v>
      </c>
    </row>
    <row r="4640" spans="1:8">
      <c r="A4640" s="34">
        <v>2084055245</v>
      </c>
      <c r="B4640" s="35" t="s">
        <v>462</v>
      </c>
      <c r="C4640" s="35" t="s">
        <v>405</v>
      </c>
      <c r="D4640" s="35" t="s">
        <v>1080</v>
      </c>
      <c r="E4640" s="35" t="s">
        <v>1098</v>
      </c>
      <c r="F4640" s="35" t="s">
        <v>390</v>
      </c>
      <c r="G4640" s="35" t="s">
        <v>10</v>
      </c>
      <c r="H4640" s="35" t="s">
        <v>398</v>
      </c>
    </row>
    <row r="4641" spans="1:9">
      <c r="A4641" s="34">
        <v>2084055247</v>
      </c>
      <c r="B4641" s="35" t="s">
        <v>462</v>
      </c>
      <c r="C4641" s="35" t="s">
        <v>405</v>
      </c>
      <c r="D4641" s="35" t="s">
        <v>1080</v>
      </c>
      <c r="E4641" s="35" t="s">
        <v>1098</v>
      </c>
      <c r="F4641" s="35" t="s">
        <v>390</v>
      </c>
      <c r="G4641" s="35" t="s">
        <v>10</v>
      </c>
      <c r="H4641" s="35" t="s">
        <v>422</v>
      </c>
    </row>
    <row r="4642" spans="1:9">
      <c r="A4642" s="34">
        <v>2084055250</v>
      </c>
      <c r="B4642" s="35" t="s">
        <v>462</v>
      </c>
      <c r="C4642" s="35" t="s">
        <v>405</v>
      </c>
      <c r="D4642" s="35" t="s">
        <v>1080</v>
      </c>
      <c r="E4642" s="35" t="s">
        <v>1098</v>
      </c>
      <c r="F4642" s="35" t="s">
        <v>390</v>
      </c>
      <c r="G4642" s="35" t="s">
        <v>10</v>
      </c>
      <c r="H4642" s="35" t="s">
        <v>335</v>
      </c>
    </row>
    <row r="4643" spans="1:9">
      <c r="A4643" s="34">
        <v>2084055252</v>
      </c>
      <c r="B4643" s="35" t="s">
        <v>462</v>
      </c>
      <c r="C4643" s="35" t="s">
        <v>405</v>
      </c>
      <c r="D4643" s="35" t="s">
        <v>1080</v>
      </c>
      <c r="E4643" s="35" t="s">
        <v>1098</v>
      </c>
      <c r="F4643" s="35" t="s">
        <v>390</v>
      </c>
      <c r="G4643" s="35" t="s">
        <v>379</v>
      </c>
      <c r="H4643" s="35" t="s">
        <v>476</v>
      </c>
    </row>
    <row r="4644" spans="1:9">
      <c r="A4644" s="34">
        <v>2084055253</v>
      </c>
      <c r="B4644" s="35" t="s">
        <v>462</v>
      </c>
      <c r="C4644" s="35" t="s">
        <v>405</v>
      </c>
      <c r="D4644" s="35" t="s">
        <v>1080</v>
      </c>
      <c r="E4644" s="35" t="s">
        <v>1098</v>
      </c>
      <c r="F4644" s="35" t="s">
        <v>390</v>
      </c>
      <c r="G4644" s="35" t="s">
        <v>379</v>
      </c>
      <c r="H4644" s="35" t="s">
        <v>335</v>
      </c>
    </row>
    <row r="4645" spans="1:9">
      <c r="A4645" s="34">
        <v>2084055254</v>
      </c>
      <c r="B4645" s="35" t="s">
        <v>462</v>
      </c>
      <c r="C4645" s="35" t="s">
        <v>405</v>
      </c>
      <c r="D4645" s="35" t="s">
        <v>1080</v>
      </c>
      <c r="E4645" s="35" t="s">
        <v>1098</v>
      </c>
      <c r="F4645" s="35" t="s">
        <v>390</v>
      </c>
      <c r="G4645" s="35" t="s">
        <v>335</v>
      </c>
    </row>
    <row r="4646" spans="1:9">
      <c r="A4646" s="34">
        <v>2084055226</v>
      </c>
      <c r="B4646" s="35" t="s">
        <v>462</v>
      </c>
      <c r="C4646" s="35" t="s">
        <v>405</v>
      </c>
      <c r="D4646" s="35" t="s">
        <v>1080</v>
      </c>
      <c r="E4646" s="35" t="s">
        <v>1098</v>
      </c>
      <c r="F4646" s="35" t="s">
        <v>353</v>
      </c>
      <c r="G4646" s="35" t="s">
        <v>367</v>
      </c>
    </row>
    <row r="4647" spans="1:9">
      <c r="A4647" s="34">
        <v>2084055228</v>
      </c>
      <c r="B4647" s="35" t="s">
        <v>462</v>
      </c>
      <c r="C4647" s="35" t="s">
        <v>405</v>
      </c>
      <c r="D4647" s="35" t="s">
        <v>1080</v>
      </c>
      <c r="E4647" s="35" t="s">
        <v>1098</v>
      </c>
      <c r="F4647" s="35" t="s">
        <v>353</v>
      </c>
      <c r="G4647" s="35" t="s">
        <v>368</v>
      </c>
      <c r="H4647" s="35" t="s">
        <v>481</v>
      </c>
    </row>
    <row r="4648" spans="1:9">
      <c r="A4648" s="34">
        <v>2084055229</v>
      </c>
      <c r="B4648" s="35" t="s">
        <v>462</v>
      </c>
      <c r="C4648" s="35" t="s">
        <v>405</v>
      </c>
      <c r="D4648" s="35" t="s">
        <v>1080</v>
      </c>
      <c r="E4648" s="35" t="s">
        <v>1098</v>
      </c>
      <c r="F4648" s="35" t="s">
        <v>353</v>
      </c>
      <c r="G4648" s="35" t="s">
        <v>368</v>
      </c>
      <c r="H4648" s="35" t="s">
        <v>335</v>
      </c>
    </row>
    <row r="4649" spans="1:9">
      <c r="A4649" s="34">
        <v>2084055235</v>
      </c>
      <c r="B4649" s="35" t="s">
        <v>462</v>
      </c>
      <c r="C4649" s="35" t="s">
        <v>405</v>
      </c>
      <c r="D4649" s="35" t="s">
        <v>1080</v>
      </c>
      <c r="E4649" s="35" t="s">
        <v>1098</v>
      </c>
      <c r="F4649" s="35" t="s">
        <v>353</v>
      </c>
      <c r="G4649" s="35" t="s">
        <v>10</v>
      </c>
      <c r="H4649" s="35" t="s">
        <v>483</v>
      </c>
    </row>
    <row r="4650" spans="1:9">
      <c r="A4650" s="34">
        <v>2084055232</v>
      </c>
      <c r="B4650" s="35" t="s">
        <v>462</v>
      </c>
      <c r="C4650" s="35" t="s">
        <v>405</v>
      </c>
      <c r="D4650" s="35" t="s">
        <v>1080</v>
      </c>
      <c r="E4650" s="35" t="s">
        <v>1098</v>
      </c>
      <c r="F4650" s="35" t="s">
        <v>353</v>
      </c>
      <c r="G4650" s="35" t="s">
        <v>10</v>
      </c>
      <c r="H4650" s="35" t="s">
        <v>397</v>
      </c>
    </row>
    <row r="4651" spans="1:9">
      <c r="A4651" s="34">
        <v>2084221874</v>
      </c>
      <c r="B4651" s="35" t="s">
        <v>462</v>
      </c>
      <c r="C4651" s="35" t="s">
        <v>405</v>
      </c>
      <c r="D4651" s="35" t="s">
        <v>1080</v>
      </c>
      <c r="E4651" s="35" t="s">
        <v>1098</v>
      </c>
      <c r="F4651" s="35" t="s">
        <v>353</v>
      </c>
      <c r="G4651" s="35" t="s">
        <v>10</v>
      </c>
      <c r="H4651" s="35" t="s">
        <v>887</v>
      </c>
      <c r="I4651" s="35" t="s">
        <v>391</v>
      </c>
    </row>
    <row r="4652" spans="1:9">
      <c r="A4652" s="34">
        <v>2084221875</v>
      </c>
      <c r="B4652" s="35" t="s">
        <v>462</v>
      </c>
      <c r="C4652" s="35" t="s">
        <v>405</v>
      </c>
      <c r="D4652" s="35" t="s">
        <v>1080</v>
      </c>
      <c r="E4652" s="35" t="s">
        <v>1098</v>
      </c>
      <c r="F4652" s="35" t="s">
        <v>353</v>
      </c>
      <c r="G4652" s="35" t="s">
        <v>10</v>
      </c>
      <c r="H4652" s="35" t="s">
        <v>887</v>
      </c>
      <c r="I4652" s="35" t="s">
        <v>392</v>
      </c>
    </row>
    <row r="4653" spans="1:9">
      <c r="A4653" s="34">
        <v>2084221876</v>
      </c>
      <c r="B4653" s="35" t="s">
        <v>462</v>
      </c>
      <c r="C4653" s="35" t="s">
        <v>405</v>
      </c>
      <c r="D4653" s="35" t="s">
        <v>1080</v>
      </c>
      <c r="E4653" s="35" t="s">
        <v>1098</v>
      </c>
      <c r="F4653" s="35" t="s">
        <v>353</v>
      </c>
      <c r="G4653" s="35" t="s">
        <v>10</v>
      </c>
      <c r="H4653" s="35" t="s">
        <v>887</v>
      </c>
      <c r="I4653" s="35" t="s">
        <v>375</v>
      </c>
    </row>
    <row r="4654" spans="1:9">
      <c r="A4654" s="34">
        <v>2084221877</v>
      </c>
      <c r="B4654" s="35" t="s">
        <v>462</v>
      </c>
      <c r="C4654" s="35" t="s">
        <v>405</v>
      </c>
      <c r="D4654" s="35" t="s">
        <v>1080</v>
      </c>
      <c r="E4654" s="35" t="s">
        <v>1098</v>
      </c>
      <c r="F4654" s="35" t="s">
        <v>353</v>
      </c>
      <c r="G4654" s="35" t="s">
        <v>10</v>
      </c>
      <c r="H4654" s="35" t="s">
        <v>887</v>
      </c>
      <c r="I4654" s="35" t="s">
        <v>376</v>
      </c>
    </row>
    <row r="4655" spans="1:9">
      <c r="A4655" s="34">
        <v>2084221878</v>
      </c>
      <c r="B4655" s="35" t="s">
        <v>462</v>
      </c>
      <c r="C4655" s="35" t="s">
        <v>405</v>
      </c>
      <c r="D4655" s="35" t="s">
        <v>1080</v>
      </c>
      <c r="E4655" s="35" t="s">
        <v>1098</v>
      </c>
      <c r="F4655" s="35" t="s">
        <v>353</v>
      </c>
      <c r="G4655" s="35" t="s">
        <v>10</v>
      </c>
      <c r="H4655" s="35" t="s">
        <v>887</v>
      </c>
      <c r="I4655" s="35" t="s">
        <v>377</v>
      </c>
    </row>
    <row r="4656" spans="1:9">
      <c r="A4656" s="34">
        <v>2084055231</v>
      </c>
      <c r="B4656" s="35" t="s">
        <v>462</v>
      </c>
      <c r="C4656" s="35" t="s">
        <v>405</v>
      </c>
      <c r="D4656" s="35" t="s">
        <v>1080</v>
      </c>
      <c r="E4656" s="35" t="s">
        <v>1098</v>
      </c>
      <c r="F4656" s="35" t="s">
        <v>353</v>
      </c>
      <c r="G4656" s="35" t="s">
        <v>10</v>
      </c>
      <c r="H4656" s="35" t="s">
        <v>398</v>
      </c>
    </row>
    <row r="4657" spans="1:8">
      <c r="A4657" s="34">
        <v>2084055233</v>
      </c>
      <c r="B4657" s="35" t="s">
        <v>462</v>
      </c>
      <c r="C4657" s="35" t="s">
        <v>405</v>
      </c>
      <c r="D4657" s="35" t="s">
        <v>1080</v>
      </c>
      <c r="E4657" s="35" t="s">
        <v>1098</v>
      </c>
      <c r="F4657" s="35" t="s">
        <v>353</v>
      </c>
      <c r="G4657" s="35" t="s">
        <v>10</v>
      </c>
      <c r="H4657" s="35" t="s">
        <v>422</v>
      </c>
    </row>
    <row r="4658" spans="1:8">
      <c r="A4658" s="34">
        <v>2084055236</v>
      </c>
      <c r="B4658" s="35" t="s">
        <v>462</v>
      </c>
      <c r="C4658" s="35" t="s">
        <v>405</v>
      </c>
      <c r="D4658" s="35" t="s">
        <v>1080</v>
      </c>
      <c r="E4658" s="35" t="s">
        <v>1098</v>
      </c>
      <c r="F4658" s="35" t="s">
        <v>353</v>
      </c>
      <c r="G4658" s="35" t="s">
        <v>10</v>
      </c>
      <c r="H4658" s="35" t="s">
        <v>335</v>
      </c>
    </row>
    <row r="4659" spans="1:8">
      <c r="A4659" s="34">
        <v>2084055237</v>
      </c>
      <c r="B4659" s="35" t="s">
        <v>462</v>
      </c>
      <c r="C4659" s="35" t="s">
        <v>405</v>
      </c>
      <c r="D4659" s="35" t="s">
        <v>1080</v>
      </c>
      <c r="E4659" s="35" t="s">
        <v>1098</v>
      </c>
      <c r="F4659" s="35" t="s">
        <v>353</v>
      </c>
      <c r="G4659" s="35" t="s">
        <v>403</v>
      </c>
    </row>
    <row r="4660" spans="1:8">
      <c r="A4660" s="34">
        <v>2084055238</v>
      </c>
      <c r="B4660" s="35" t="s">
        <v>462</v>
      </c>
      <c r="C4660" s="35" t="s">
        <v>405</v>
      </c>
      <c r="D4660" s="35" t="s">
        <v>1080</v>
      </c>
      <c r="E4660" s="35" t="s">
        <v>1098</v>
      </c>
      <c r="F4660" s="35" t="s">
        <v>353</v>
      </c>
      <c r="G4660" s="35" t="s">
        <v>335</v>
      </c>
    </row>
    <row r="4661" spans="1:8">
      <c r="A4661" s="34">
        <v>2084055255</v>
      </c>
      <c r="B4661" s="35" t="s">
        <v>462</v>
      </c>
      <c r="C4661" s="35" t="s">
        <v>405</v>
      </c>
      <c r="D4661" s="35" t="s">
        <v>1080</v>
      </c>
      <c r="E4661" s="35" t="s">
        <v>1098</v>
      </c>
      <c r="F4661" s="35" t="s">
        <v>335</v>
      </c>
    </row>
    <row r="4662" spans="1:8">
      <c r="A4662" s="34">
        <v>2084298388</v>
      </c>
      <c r="B4662" s="35" t="s">
        <v>462</v>
      </c>
      <c r="C4662" s="35" t="s">
        <v>405</v>
      </c>
      <c r="D4662" s="35" t="s">
        <v>1080</v>
      </c>
      <c r="E4662" s="35" t="s">
        <v>1099</v>
      </c>
    </row>
    <row r="4663" spans="1:8">
      <c r="A4663" s="34">
        <v>2084298389</v>
      </c>
      <c r="B4663" s="35" t="s">
        <v>462</v>
      </c>
      <c r="C4663" s="35" t="s">
        <v>405</v>
      </c>
      <c r="D4663" s="35" t="s">
        <v>1080</v>
      </c>
      <c r="E4663" s="35" t="s">
        <v>1100</v>
      </c>
    </row>
    <row r="4664" spans="1:8">
      <c r="A4664" s="34">
        <v>2084036140</v>
      </c>
      <c r="B4664" s="35" t="s">
        <v>462</v>
      </c>
      <c r="C4664" s="35" t="s">
        <v>405</v>
      </c>
      <c r="D4664" s="35" t="s">
        <v>1080</v>
      </c>
      <c r="E4664" s="35" t="s">
        <v>1101</v>
      </c>
      <c r="F4664" s="35" t="s">
        <v>569</v>
      </c>
    </row>
    <row r="4665" spans="1:8">
      <c r="A4665" s="34">
        <v>2084048717</v>
      </c>
      <c r="B4665" s="35" t="s">
        <v>462</v>
      </c>
      <c r="C4665" s="35" t="s">
        <v>405</v>
      </c>
      <c r="D4665" s="35" t="s">
        <v>1080</v>
      </c>
      <c r="E4665" s="35" t="s">
        <v>1101</v>
      </c>
      <c r="F4665" s="35" t="s">
        <v>335</v>
      </c>
    </row>
    <row r="4666" spans="1:8">
      <c r="A4666" s="34">
        <v>2084051102</v>
      </c>
      <c r="B4666" s="35" t="s">
        <v>462</v>
      </c>
      <c r="C4666" s="35" t="s">
        <v>405</v>
      </c>
      <c r="D4666" s="35" t="s">
        <v>1080</v>
      </c>
      <c r="E4666" s="35" t="s">
        <v>1102</v>
      </c>
      <c r="F4666" s="35" t="s">
        <v>390</v>
      </c>
      <c r="G4666" s="35" t="s">
        <v>368</v>
      </c>
      <c r="H4666" s="35" t="s">
        <v>481</v>
      </c>
    </row>
    <row r="4667" spans="1:8">
      <c r="A4667" s="34">
        <v>2084051103</v>
      </c>
      <c r="B4667" s="35" t="s">
        <v>462</v>
      </c>
      <c r="C4667" s="35" t="s">
        <v>405</v>
      </c>
      <c r="D4667" s="35" t="s">
        <v>1080</v>
      </c>
      <c r="E4667" s="35" t="s">
        <v>1102</v>
      </c>
      <c r="F4667" s="35" t="s">
        <v>390</v>
      </c>
      <c r="G4667" s="35" t="s">
        <v>368</v>
      </c>
      <c r="H4667" s="35" t="s">
        <v>335</v>
      </c>
    </row>
    <row r="4668" spans="1:8">
      <c r="A4668" s="34">
        <v>2084051107</v>
      </c>
      <c r="B4668" s="35" t="s">
        <v>462</v>
      </c>
      <c r="C4668" s="35" t="s">
        <v>405</v>
      </c>
      <c r="D4668" s="35" t="s">
        <v>1080</v>
      </c>
      <c r="E4668" s="35" t="s">
        <v>1102</v>
      </c>
      <c r="F4668" s="35" t="s">
        <v>390</v>
      </c>
      <c r="G4668" s="35" t="s">
        <v>10</v>
      </c>
      <c r="H4668" s="35" t="s">
        <v>622</v>
      </c>
    </row>
    <row r="4669" spans="1:8">
      <c r="A4669" s="34">
        <v>2084051106</v>
      </c>
      <c r="B4669" s="35" t="s">
        <v>462</v>
      </c>
      <c r="C4669" s="35" t="s">
        <v>405</v>
      </c>
      <c r="D4669" s="35" t="s">
        <v>1080</v>
      </c>
      <c r="E4669" s="35" t="s">
        <v>1102</v>
      </c>
      <c r="F4669" s="35" t="s">
        <v>390</v>
      </c>
      <c r="G4669" s="35" t="s">
        <v>10</v>
      </c>
      <c r="H4669" s="35" t="s">
        <v>397</v>
      </c>
    </row>
    <row r="4670" spans="1:8">
      <c r="A4670" s="34">
        <v>2084051105</v>
      </c>
      <c r="B4670" s="35" t="s">
        <v>462</v>
      </c>
      <c r="C4670" s="35" t="s">
        <v>405</v>
      </c>
      <c r="D4670" s="35" t="s">
        <v>1080</v>
      </c>
      <c r="E4670" s="35" t="s">
        <v>1102</v>
      </c>
      <c r="F4670" s="35" t="s">
        <v>390</v>
      </c>
      <c r="G4670" s="35" t="s">
        <v>10</v>
      </c>
      <c r="H4670" s="35" t="s">
        <v>398</v>
      </c>
    </row>
    <row r="4671" spans="1:8">
      <c r="A4671" s="34">
        <v>2084051108</v>
      </c>
      <c r="B4671" s="35" t="s">
        <v>462</v>
      </c>
      <c r="C4671" s="35" t="s">
        <v>405</v>
      </c>
      <c r="D4671" s="35" t="s">
        <v>1080</v>
      </c>
      <c r="E4671" s="35" t="s">
        <v>1102</v>
      </c>
      <c r="F4671" s="35" t="s">
        <v>390</v>
      </c>
      <c r="G4671" s="35" t="s">
        <v>10</v>
      </c>
      <c r="H4671" s="35" t="s">
        <v>335</v>
      </c>
    </row>
    <row r="4672" spans="1:8">
      <c r="A4672" s="34">
        <v>2084051110</v>
      </c>
      <c r="B4672" s="35" t="s">
        <v>462</v>
      </c>
      <c r="C4672" s="35" t="s">
        <v>405</v>
      </c>
      <c r="D4672" s="35" t="s">
        <v>1080</v>
      </c>
      <c r="E4672" s="35" t="s">
        <v>1102</v>
      </c>
      <c r="F4672" s="35" t="s">
        <v>390</v>
      </c>
      <c r="G4672" s="35" t="s">
        <v>379</v>
      </c>
      <c r="H4672" s="35" t="s">
        <v>476</v>
      </c>
    </row>
    <row r="4673" spans="1:8">
      <c r="A4673" s="34">
        <v>2084051111</v>
      </c>
      <c r="B4673" s="35" t="s">
        <v>462</v>
      </c>
      <c r="C4673" s="35" t="s">
        <v>405</v>
      </c>
      <c r="D4673" s="35" t="s">
        <v>1080</v>
      </c>
      <c r="E4673" s="35" t="s">
        <v>1102</v>
      </c>
      <c r="F4673" s="35" t="s">
        <v>390</v>
      </c>
      <c r="G4673" s="35" t="s">
        <v>379</v>
      </c>
      <c r="H4673" s="35" t="s">
        <v>335</v>
      </c>
    </row>
    <row r="4674" spans="1:8">
      <c r="A4674" s="34">
        <v>2084051100</v>
      </c>
      <c r="B4674" s="35" t="s">
        <v>462</v>
      </c>
      <c r="C4674" s="35" t="s">
        <v>405</v>
      </c>
      <c r="D4674" s="35" t="s">
        <v>1080</v>
      </c>
      <c r="E4674" s="35" t="s">
        <v>1102</v>
      </c>
      <c r="F4674" s="35" t="s">
        <v>390</v>
      </c>
      <c r="G4674" s="35" t="s">
        <v>335</v>
      </c>
    </row>
    <row r="4675" spans="1:8">
      <c r="A4675" s="34">
        <v>2084030722</v>
      </c>
      <c r="B4675" s="35" t="s">
        <v>462</v>
      </c>
      <c r="C4675" s="35" t="s">
        <v>405</v>
      </c>
      <c r="D4675" s="35" t="s">
        <v>1080</v>
      </c>
      <c r="E4675" s="35" t="s">
        <v>1102</v>
      </c>
      <c r="F4675" s="35" t="s">
        <v>353</v>
      </c>
      <c r="G4675" s="35" t="s">
        <v>481</v>
      </c>
    </row>
    <row r="4676" spans="1:8">
      <c r="A4676" s="34">
        <v>2084031620</v>
      </c>
      <c r="B4676" s="35" t="s">
        <v>462</v>
      </c>
      <c r="C4676" s="35" t="s">
        <v>405</v>
      </c>
      <c r="D4676" s="35" t="s">
        <v>1080</v>
      </c>
      <c r="E4676" s="35" t="s">
        <v>1102</v>
      </c>
      <c r="F4676" s="35" t="s">
        <v>353</v>
      </c>
      <c r="G4676" s="35" t="s">
        <v>483</v>
      </c>
    </row>
    <row r="4677" spans="1:8">
      <c r="A4677" s="34">
        <v>2084031455</v>
      </c>
      <c r="B4677" s="35" t="s">
        <v>462</v>
      </c>
      <c r="C4677" s="35" t="s">
        <v>405</v>
      </c>
      <c r="D4677" s="35" t="s">
        <v>1080</v>
      </c>
      <c r="E4677" s="35" t="s">
        <v>1102</v>
      </c>
      <c r="F4677" s="35" t="s">
        <v>353</v>
      </c>
      <c r="G4677" s="35" t="s">
        <v>482</v>
      </c>
    </row>
    <row r="4678" spans="1:8">
      <c r="A4678" s="34">
        <v>2084030272</v>
      </c>
      <c r="B4678" s="35" t="s">
        <v>462</v>
      </c>
      <c r="C4678" s="35" t="s">
        <v>405</v>
      </c>
      <c r="D4678" s="35" t="s">
        <v>1080</v>
      </c>
      <c r="E4678" s="35" t="s">
        <v>1102</v>
      </c>
      <c r="F4678" s="35" t="s">
        <v>353</v>
      </c>
      <c r="G4678" s="35" t="s">
        <v>493</v>
      </c>
    </row>
    <row r="4679" spans="1:8">
      <c r="A4679" s="34">
        <v>2084031366</v>
      </c>
      <c r="B4679" s="35" t="s">
        <v>462</v>
      </c>
      <c r="C4679" s="35" t="s">
        <v>405</v>
      </c>
      <c r="D4679" s="35" t="s">
        <v>1080</v>
      </c>
      <c r="E4679" s="35" t="s">
        <v>1102</v>
      </c>
      <c r="F4679" s="35" t="s">
        <v>353</v>
      </c>
      <c r="G4679" s="35" t="s">
        <v>494</v>
      </c>
    </row>
    <row r="4680" spans="1:8">
      <c r="A4680" s="34">
        <v>2084051097</v>
      </c>
      <c r="B4680" s="35" t="s">
        <v>462</v>
      </c>
      <c r="C4680" s="35" t="s">
        <v>405</v>
      </c>
      <c r="D4680" s="35" t="s">
        <v>1080</v>
      </c>
      <c r="E4680" s="35" t="s">
        <v>1102</v>
      </c>
      <c r="F4680" s="35" t="s">
        <v>353</v>
      </c>
      <c r="G4680" s="35" t="s">
        <v>403</v>
      </c>
    </row>
    <row r="4681" spans="1:8">
      <c r="A4681" s="34">
        <v>2084031514</v>
      </c>
      <c r="B4681" s="35" t="s">
        <v>462</v>
      </c>
      <c r="C4681" s="35" t="s">
        <v>405</v>
      </c>
      <c r="D4681" s="35" t="s">
        <v>1080</v>
      </c>
      <c r="E4681" s="35" t="s">
        <v>1102</v>
      </c>
      <c r="F4681" s="35" t="s">
        <v>353</v>
      </c>
      <c r="G4681" s="35" t="s">
        <v>397</v>
      </c>
    </row>
    <row r="4682" spans="1:8">
      <c r="A4682" s="34">
        <v>2084030377</v>
      </c>
      <c r="B4682" s="35" t="s">
        <v>462</v>
      </c>
      <c r="C4682" s="35" t="s">
        <v>405</v>
      </c>
      <c r="D4682" s="35" t="s">
        <v>1080</v>
      </c>
      <c r="E4682" s="35" t="s">
        <v>1102</v>
      </c>
      <c r="F4682" s="35" t="s">
        <v>353</v>
      </c>
      <c r="G4682" s="35" t="s">
        <v>421</v>
      </c>
    </row>
    <row r="4683" spans="1:8">
      <c r="A4683" s="34">
        <v>2084031542</v>
      </c>
      <c r="B4683" s="35" t="s">
        <v>462</v>
      </c>
      <c r="C4683" s="35" t="s">
        <v>405</v>
      </c>
      <c r="D4683" s="35" t="s">
        <v>1080</v>
      </c>
      <c r="E4683" s="35" t="s">
        <v>1102</v>
      </c>
      <c r="F4683" s="35" t="s">
        <v>353</v>
      </c>
      <c r="G4683" s="35" t="s">
        <v>398</v>
      </c>
    </row>
    <row r="4684" spans="1:8">
      <c r="A4684" s="34">
        <v>2084030361</v>
      </c>
      <c r="B4684" s="35" t="s">
        <v>462</v>
      </c>
      <c r="C4684" s="35" t="s">
        <v>405</v>
      </c>
      <c r="D4684" s="35" t="s">
        <v>1080</v>
      </c>
      <c r="E4684" s="35" t="s">
        <v>1102</v>
      </c>
      <c r="F4684" s="35" t="s">
        <v>353</v>
      </c>
      <c r="G4684" s="35" t="s">
        <v>422</v>
      </c>
    </row>
    <row r="4685" spans="1:8">
      <c r="A4685" s="34">
        <v>2084051098</v>
      </c>
      <c r="B4685" s="35" t="s">
        <v>462</v>
      </c>
      <c r="C4685" s="35" t="s">
        <v>405</v>
      </c>
      <c r="D4685" s="35" t="s">
        <v>1080</v>
      </c>
      <c r="E4685" s="35" t="s">
        <v>1102</v>
      </c>
      <c r="F4685" s="35" t="s">
        <v>353</v>
      </c>
      <c r="G4685" s="35" t="s">
        <v>335</v>
      </c>
    </row>
    <row r="4686" spans="1:8">
      <c r="A4686" s="34">
        <v>2084048719</v>
      </c>
      <c r="B4686" s="35" t="s">
        <v>462</v>
      </c>
      <c r="C4686" s="35" t="s">
        <v>405</v>
      </c>
      <c r="D4686" s="35" t="s">
        <v>1080</v>
      </c>
      <c r="E4686" s="35" t="s">
        <v>1102</v>
      </c>
      <c r="F4686" s="35" t="s">
        <v>335</v>
      </c>
    </row>
    <row r="4687" spans="1:8">
      <c r="A4687" s="34">
        <v>2084243894</v>
      </c>
      <c r="B4687" s="35" t="s">
        <v>462</v>
      </c>
      <c r="C4687" s="35" t="s">
        <v>405</v>
      </c>
      <c r="D4687" s="35" t="s">
        <v>1080</v>
      </c>
      <c r="E4687" s="35" t="s">
        <v>1103</v>
      </c>
      <c r="F4687" s="35" t="s">
        <v>475</v>
      </c>
    </row>
    <row r="4688" spans="1:8">
      <c r="A4688" s="34">
        <v>2084243895</v>
      </c>
      <c r="B4688" s="35" t="s">
        <v>462</v>
      </c>
      <c r="C4688" s="35" t="s">
        <v>405</v>
      </c>
      <c r="D4688" s="35" t="s">
        <v>1080</v>
      </c>
      <c r="E4688" s="35" t="s">
        <v>1103</v>
      </c>
      <c r="F4688" s="35" t="s">
        <v>484</v>
      </c>
    </row>
    <row r="4689" spans="1:8">
      <c r="A4689" s="34">
        <v>2084243896</v>
      </c>
      <c r="B4689" s="35" t="s">
        <v>462</v>
      </c>
      <c r="C4689" s="35" t="s">
        <v>405</v>
      </c>
      <c r="D4689" s="35" t="s">
        <v>1080</v>
      </c>
      <c r="E4689" s="35" t="s">
        <v>1103</v>
      </c>
      <c r="F4689" s="35" t="s">
        <v>335</v>
      </c>
    </row>
    <row r="4690" spans="1:8">
      <c r="A4690" s="34">
        <v>2084309876</v>
      </c>
      <c r="B4690" s="35" t="s">
        <v>462</v>
      </c>
      <c r="C4690" s="35" t="s">
        <v>405</v>
      </c>
      <c r="D4690" s="35" t="s">
        <v>1080</v>
      </c>
      <c r="E4690" s="35" t="s">
        <v>1104</v>
      </c>
      <c r="F4690" s="35" t="s">
        <v>1105</v>
      </c>
    </row>
    <row r="4691" spans="1:8">
      <c r="A4691" s="34">
        <v>2084309877</v>
      </c>
      <c r="B4691" s="35" t="s">
        <v>462</v>
      </c>
      <c r="C4691" s="35" t="s">
        <v>405</v>
      </c>
      <c r="D4691" s="35" t="s">
        <v>1080</v>
      </c>
      <c r="E4691" s="35" t="s">
        <v>1104</v>
      </c>
      <c r="F4691" s="35" t="s">
        <v>1106</v>
      </c>
    </row>
    <row r="4692" spans="1:8">
      <c r="A4692" s="34">
        <v>2084309878</v>
      </c>
      <c r="B4692" s="35" t="s">
        <v>462</v>
      </c>
      <c r="C4692" s="35" t="s">
        <v>405</v>
      </c>
      <c r="D4692" s="35" t="s">
        <v>1080</v>
      </c>
      <c r="E4692" s="35" t="s">
        <v>1104</v>
      </c>
      <c r="F4692" s="35" t="s">
        <v>1107</v>
      </c>
    </row>
    <row r="4693" spans="1:8">
      <c r="A4693" s="34">
        <v>2084309879</v>
      </c>
      <c r="B4693" s="35" t="s">
        <v>462</v>
      </c>
      <c r="C4693" s="35" t="s">
        <v>405</v>
      </c>
      <c r="D4693" s="35" t="s">
        <v>1080</v>
      </c>
      <c r="E4693" s="35" t="s">
        <v>1104</v>
      </c>
      <c r="F4693" s="35" t="s">
        <v>1108</v>
      </c>
    </row>
    <row r="4694" spans="1:8">
      <c r="A4694" s="34">
        <v>2084309880</v>
      </c>
      <c r="B4694" s="35" t="s">
        <v>462</v>
      </c>
      <c r="C4694" s="35" t="s">
        <v>405</v>
      </c>
      <c r="D4694" s="35" t="s">
        <v>1080</v>
      </c>
      <c r="E4694" s="35" t="s">
        <v>1104</v>
      </c>
      <c r="F4694" s="35" t="s">
        <v>1109</v>
      </c>
    </row>
    <row r="4695" spans="1:8">
      <c r="A4695" s="34">
        <v>2084309881</v>
      </c>
      <c r="B4695" s="35" t="s">
        <v>462</v>
      </c>
      <c r="C4695" s="35" t="s">
        <v>405</v>
      </c>
      <c r="D4695" s="35" t="s">
        <v>1080</v>
      </c>
      <c r="E4695" s="35" t="s">
        <v>1104</v>
      </c>
      <c r="F4695" s="35" t="s">
        <v>1110</v>
      </c>
    </row>
    <row r="4696" spans="1:8">
      <c r="A4696" s="34">
        <v>2084309882</v>
      </c>
      <c r="B4696" s="35" t="s">
        <v>462</v>
      </c>
      <c r="C4696" s="35" t="s">
        <v>405</v>
      </c>
      <c r="D4696" s="35" t="s">
        <v>1080</v>
      </c>
      <c r="E4696" s="35" t="s">
        <v>1104</v>
      </c>
      <c r="F4696" s="35" t="s">
        <v>1111</v>
      </c>
    </row>
    <row r="4697" spans="1:8">
      <c r="A4697" s="34">
        <v>2084309883</v>
      </c>
      <c r="B4697" s="35" t="s">
        <v>462</v>
      </c>
      <c r="C4697" s="35" t="s">
        <v>405</v>
      </c>
      <c r="D4697" s="35" t="s">
        <v>1080</v>
      </c>
      <c r="E4697" s="35" t="s">
        <v>1104</v>
      </c>
      <c r="F4697" s="35" t="s">
        <v>1112</v>
      </c>
    </row>
    <row r="4698" spans="1:8">
      <c r="A4698" s="34">
        <v>2084309884</v>
      </c>
      <c r="B4698" s="35" t="s">
        <v>462</v>
      </c>
      <c r="C4698" s="35" t="s">
        <v>405</v>
      </c>
      <c r="D4698" s="35" t="s">
        <v>1080</v>
      </c>
      <c r="E4698" s="35" t="s">
        <v>1104</v>
      </c>
      <c r="F4698" s="35" t="s">
        <v>1113</v>
      </c>
    </row>
    <row r="4699" spans="1:8">
      <c r="A4699" s="34">
        <v>2084061923</v>
      </c>
      <c r="B4699" s="35" t="s">
        <v>462</v>
      </c>
      <c r="C4699" s="35" t="s">
        <v>405</v>
      </c>
      <c r="D4699" s="35" t="s">
        <v>1080</v>
      </c>
      <c r="E4699" s="35" t="s">
        <v>1104</v>
      </c>
      <c r="F4699" s="35" t="s">
        <v>335</v>
      </c>
    </row>
    <row r="4700" spans="1:8">
      <c r="A4700" s="34">
        <v>2084050270</v>
      </c>
      <c r="B4700" s="35" t="s">
        <v>462</v>
      </c>
      <c r="C4700" s="35" t="s">
        <v>405</v>
      </c>
      <c r="D4700" s="35" t="s">
        <v>1080</v>
      </c>
      <c r="E4700" s="35" t="s">
        <v>1114</v>
      </c>
    </row>
    <row r="4701" spans="1:8">
      <c r="A4701" s="34">
        <v>2084258861</v>
      </c>
      <c r="B4701" s="35" t="s">
        <v>462</v>
      </c>
      <c r="C4701" s="35" t="s">
        <v>405</v>
      </c>
      <c r="D4701" s="35" t="s">
        <v>1080</v>
      </c>
      <c r="E4701" s="35" t="s">
        <v>1115</v>
      </c>
      <c r="F4701" s="35" t="s">
        <v>407</v>
      </c>
    </row>
    <row r="4702" spans="1:8">
      <c r="A4702" s="34">
        <v>2084052997</v>
      </c>
      <c r="B4702" s="35" t="s">
        <v>462</v>
      </c>
      <c r="C4702" s="35" t="s">
        <v>405</v>
      </c>
      <c r="D4702" s="35" t="s">
        <v>1080</v>
      </c>
      <c r="E4702" s="35" t="s">
        <v>1115</v>
      </c>
      <c r="F4702" s="35" t="s">
        <v>353</v>
      </c>
      <c r="G4702" s="35" t="s">
        <v>367</v>
      </c>
    </row>
    <row r="4703" spans="1:8">
      <c r="A4703" s="34">
        <v>2084052999</v>
      </c>
      <c r="B4703" s="35" t="s">
        <v>462</v>
      </c>
      <c r="C4703" s="35" t="s">
        <v>405</v>
      </c>
      <c r="D4703" s="35" t="s">
        <v>1080</v>
      </c>
      <c r="E4703" s="35" t="s">
        <v>1115</v>
      </c>
      <c r="F4703" s="35" t="s">
        <v>353</v>
      </c>
      <c r="G4703" s="35" t="s">
        <v>368</v>
      </c>
      <c r="H4703" s="35" t="s">
        <v>481</v>
      </c>
    </row>
    <row r="4704" spans="1:8">
      <c r="A4704" s="34">
        <v>2084053000</v>
      </c>
      <c r="B4704" s="35" t="s">
        <v>462</v>
      </c>
      <c r="C4704" s="35" t="s">
        <v>405</v>
      </c>
      <c r="D4704" s="35" t="s">
        <v>1080</v>
      </c>
      <c r="E4704" s="35" t="s">
        <v>1115</v>
      </c>
      <c r="F4704" s="35" t="s">
        <v>353</v>
      </c>
      <c r="G4704" s="35" t="s">
        <v>368</v>
      </c>
      <c r="H4704" s="35" t="s">
        <v>482</v>
      </c>
    </row>
    <row r="4705" spans="1:9">
      <c r="A4705" s="34">
        <v>2084053001</v>
      </c>
      <c r="B4705" s="35" t="s">
        <v>462</v>
      </c>
      <c r="C4705" s="35" t="s">
        <v>405</v>
      </c>
      <c r="D4705" s="35" t="s">
        <v>1080</v>
      </c>
      <c r="E4705" s="35" t="s">
        <v>1115</v>
      </c>
      <c r="F4705" s="35" t="s">
        <v>353</v>
      </c>
      <c r="G4705" s="35" t="s">
        <v>368</v>
      </c>
      <c r="H4705" s="35" t="s">
        <v>335</v>
      </c>
    </row>
    <row r="4706" spans="1:9">
      <c r="A4706" s="34">
        <v>2084053007</v>
      </c>
      <c r="B4706" s="35" t="s">
        <v>462</v>
      </c>
      <c r="C4706" s="35" t="s">
        <v>405</v>
      </c>
      <c r="D4706" s="35" t="s">
        <v>1080</v>
      </c>
      <c r="E4706" s="35" t="s">
        <v>1115</v>
      </c>
      <c r="F4706" s="35" t="s">
        <v>353</v>
      </c>
      <c r="G4706" s="35" t="s">
        <v>10</v>
      </c>
      <c r="H4706" s="35" t="s">
        <v>483</v>
      </c>
    </row>
    <row r="4707" spans="1:9">
      <c r="A4707" s="34">
        <v>2084053004</v>
      </c>
      <c r="B4707" s="35" t="s">
        <v>462</v>
      </c>
      <c r="C4707" s="35" t="s">
        <v>405</v>
      </c>
      <c r="D4707" s="35" t="s">
        <v>1080</v>
      </c>
      <c r="E4707" s="35" t="s">
        <v>1115</v>
      </c>
      <c r="F4707" s="35" t="s">
        <v>353</v>
      </c>
      <c r="G4707" s="35" t="s">
        <v>10</v>
      </c>
      <c r="H4707" s="35" t="s">
        <v>397</v>
      </c>
    </row>
    <row r="4708" spans="1:9">
      <c r="A4708" s="34">
        <v>2084221879</v>
      </c>
      <c r="B4708" s="35" t="s">
        <v>462</v>
      </c>
      <c r="C4708" s="35" t="s">
        <v>405</v>
      </c>
      <c r="D4708" s="35" t="s">
        <v>1080</v>
      </c>
      <c r="E4708" s="35" t="s">
        <v>1115</v>
      </c>
      <c r="F4708" s="35" t="s">
        <v>353</v>
      </c>
      <c r="G4708" s="35" t="s">
        <v>10</v>
      </c>
      <c r="H4708" s="35" t="s">
        <v>887</v>
      </c>
      <c r="I4708" s="35" t="s">
        <v>374</v>
      </c>
    </row>
    <row r="4709" spans="1:9">
      <c r="A4709" s="34">
        <v>2084221880</v>
      </c>
      <c r="B4709" s="35" t="s">
        <v>462</v>
      </c>
      <c r="C4709" s="35" t="s">
        <v>405</v>
      </c>
      <c r="D4709" s="35" t="s">
        <v>1080</v>
      </c>
      <c r="E4709" s="35" t="s">
        <v>1115</v>
      </c>
      <c r="F4709" s="35" t="s">
        <v>353</v>
      </c>
      <c r="G4709" s="35" t="s">
        <v>10</v>
      </c>
      <c r="H4709" s="35" t="s">
        <v>887</v>
      </c>
      <c r="I4709" s="35" t="s">
        <v>375</v>
      </c>
    </row>
    <row r="4710" spans="1:9">
      <c r="A4710" s="34">
        <v>2084221881</v>
      </c>
      <c r="B4710" s="35" t="s">
        <v>462</v>
      </c>
      <c r="C4710" s="35" t="s">
        <v>405</v>
      </c>
      <c r="D4710" s="35" t="s">
        <v>1080</v>
      </c>
      <c r="E4710" s="35" t="s">
        <v>1115</v>
      </c>
      <c r="F4710" s="35" t="s">
        <v>353</v>
      </c>
      <c r="G4710" s="35" t="s">
        <v>10</v>
      </c>
      <c r="H4710" s="35" t="s">
        <v>887</v>
      </c>
      <c r="I4710" s="35" t="s">
        <v>393</v>
      </c>
    </row>
    <row r="4711" spans="1:9">
      <c r="A4711" s="34">
        <v>2084053003</v>
      </c>
      <c r="B4711" s="35" t="s">
        <v>462</v>
      </c>
      <c r="C4711" s="35" t="s">
        <v>405</v>
      </c>
      <c r="D4711" s="35" t="s">
        <v>1080</v>
      </c>
      <c r="E4711" s="35" t="s">
        <v>1115</v>
      </c>
      <c r="F4711" s="35" t="s">
        <v>353</v>
      </c>
      <c r="G4711" s="35" t="s">
        <v>10</v>
      </c>
      <c r="H4711" s="35" t="s">
        <v>398</v>
      </c>
    </row>
    <row r="4712" spans="1:9">
      <c r="A4712" s="34">
        <v>2084053005</v>
      </c>
      <c r="B4712" s="35" t="s">
        <v>462</v>
      </c>
      <c r="C4712" s="35" t="s">
        <v>405</v>
      </c>
      <c r="D4712" s="35" t="s">
        <v>1080</v>
      </c>
      <c r="E4712" s="35" t="s">
        <v>1115</v>
      </c>
      <c r="F4712" s="35" t="s">
        <v>353</v>
      </c>
      <c r="G4712" s="35" t="s">
        <v>10</v>
      </c>
      <c r="H4712" s="35" t="s">
        <v>422</v>
      </c>
    </row>
    <row r="4713" spans="1:9">
      <c r="A4713" s="34">
        <v>2084053008</v>
      </c>
      <c r="B4713" s="35" t="s">
        <v>462</v>
      </c>
      <c r="C4713" s="35" t="s">
        <v>405</v>
      </c>
      <c r="D4713" s="35" t="s">
        <v>1080</v>
      </c>
      <c r="E4713" s="35" t="s">
        <v>1115</v>
      </c>
      <c r="F4713" s="35" t="s">
        <v>353</v>
      </c>
      <c r="G4713" s="35" t="s">
        <v>10</v>
      </c>
      <c r="H4713" s="35" t="s">
        <v>335</v>
      </c>
    </row>
    <row r="4714" spans="1:9">
      <c r="A4714" s="34">
        <v>2084053010</v>
      </c>
      <c r="B4714" s="35" t="s">
        <v>462</v>
      </c>
      <c r="C4714" s="35" t="s">
        <v>405</v>
      </c>
      <c r="D4714" s="35" t="s">
        <v>1080</v>
      </c>
      <c r="E4714" s="35" t="s">
        <v>1115</v>
      </c>
      <c r="F4714" s="35" t="s">
        <v>353</v>
      </c>
      <c r="G4714" s="35" t="s">
        <v>379</v>
      </c>
      <c r="H4714" s="35" t="s">
        <v>545</v>
      </c>
    </row>
    <row r="4715" spans="1:9">
      <c r="A4715" s="34">
        <v>2084053011</v>
      </c>
      <c r="B4715" s="35" t="s">
        <v>462</v>
      </c>
      <c r="C4715" s="35" t="s">
        <v>405</v>
      </c>
      <c r="D4715" s="35" t="s">
        <v>1080</v>
      </c>
      <c r="E4715" s="35" t="s">
        <v>1115</v>
      </c>
      <c r="F4715" s="35" t="s">
        <v>353</v>
      </c>
      <c r="G4715" s="35" t="s">
        <v>379</v>
      </c>
      <c r="H4715" s="35" t="s">
        <v>335</v>
      </c>
    </row>
    <row r="4716" spans="1:9">
      <c r="A4716" s="34">
        <v>2084053012</v>
      </c>
      <c r="B4716" s="35" t="s">
        <v>462</v>
      </c>
      <c r="C4716" s="35" t="s">
        <v>405</v>
      </c>
      <c r="D4716" s="35" t="s">
        <v>1080</v>
      </c>
      <c r="E4716" s="35" t="s">
        <v>1115</v>
      </c>
      <c r="F4716" s="35" t="s">
        <v>353</v>
      </c>
      <c r="G4716" s="35" t="s">
        <v>335</v>
      </c>
    </row>
    <row r="4717" spans="1:9">
      <c r="A4717" s="34">
        <v>2084301252</v>
      </c>
      <c r="B4717" s="35" t="s">
        <v>462</v>
      </c>
      <c r="C4717" s="35" t="s">
        <v>405</v>
      </c>
      <c r="D4717" s="35" t="s">
        <v>1080</v>
      </c>
      <c r="E4717" s="35" t="s">
        <v>1116</v>
      </c>
      <c r="F4717" s="35" t="s">
        <v>407</v>
      </c>
    </row>
    <row r="4718" spans="1:9">
      <c r="A4718" s="34">
        <v>2084301251</v>
      </c>
      <c r="B4718" s="35" t="s">
        <v>462</v>
      </c>
      <c r="C4718" s="35" t="s">
        <v>405</v>
      </c>
      <c r="D4718" s="35" t="s">
        <v>1080</v>
      </c>
      <c r="E4718" s="35" t="s">
        <v>1116</v>
      </c>
      <c r="F4718" s="35" t="s">
        <v>408</v>
      </c>
    </row>
    <row r="4719" spans="1:9">
      <c r="A4719" s="34">
        <v>2084030723</v>
      </c>
      <c r="B4719" s="35" t="s">
        <v>462</v>
      </c>
      <c r="C4719" s="35" t="s">
        <v>405</v>
      </c>
      <c r="D4719" s="35" t="s">
        <v>1080</v>
      </c>
      <c r="E4719" s="35" t="s">
        <v>1117</v>
      </c>
      <c r="F4719" s="35" t="s">
        <v>353</v>
      </c>
      <c r="G4719" s="35" t="s">
        <v>481</v>
      </c>
    </row>
    <row r="4720" spans="1:9">
      <c r="A4720" s="34">
        <v>2084031621</v>
      </c>
      <c r="B4720" s="35" t="s">
        <v>462</v>
      </c>
      <c r="C4720" s="35" t="s">
        <v>405</v>
      </c>
      <c r="D4720" s="35" t="s">
        <v>1080</v>
      </c>
      <c r="E4720" s="35" t="s">
        <v>1117</v>
      </c>
      <c r="F4720" s="35" t="s">
        <v>353</v>
      </c>
      <c r="G4720" s="35" t="s">
        <v>483</v>
      </c>
    </row>
    <row r="4721" spans="1:8">
      <c r="A4721" s="34">
        <v>2084031456</v>
      </c>
      <c r="B4721" s="35" t="s">
        <v>462</v>
      </c>
      <c r="C4721" s="35" t="s">
        <v>405</v>
      </c>
      <c r="D4721" s="35" t="s">
        <v>1080</v>
      </c>
      <c r="E4721" s="35" t="s">
        <v>1117</v>
      </c>
      <c r="F4721" s="35" t="s">
        <v>353</v>
      </c>
      <c r="G4721" s="35" t="s">
        <v>482</v>
      </c>
    </row>
    <row r="4722" spans="1:8">
      <c r="A4722" s="34">
        <v>2084030273</v>
      </c>
      <c r="B4722" s="35" t="s">
        <v>462</v>
      </c>
      <c r="C4722" s="35" t="s">
        <v>405</v>
      </c>
      <c r="D4722" s="35" t="s">
        <v>1080</v>
      </c>
      <c r="E4722" s="35" t="s">
        <v>1117</v>
      </c>
      <c r="F4722" s="35" t="s">
        <v>353</v>
      </c>
      <c r="G4722" s="35" t="s">
        <v>493</v>
      </c>
    </row>
    <row r="4723" spans="1:8">
      <c r="A4723" s="34">
        <v>2084031367</v>
      </c>
      <c r="B4723" s="35" t="s">
        <v>462</v>
      </c>
      <c r="C4723" s="35" t="s">
        <v>405</v>
      </c>
      <c r="D4723" s="35" t="s">
        <v>1080</v>
      </c>
      <c r="E4723" s="35" t="s">
        <v>1117</v>
      </c>
      <c r="F4723" s="35" t="s">
        <v>353</v>
      </c>
      <c r="G4723" s="35" t="s">
        <v>494</v>
      </c>
    </row>
    <row r="4724" spans="1:8">
      <c r="A4724" s="34">
        <v>2084051112</v>
      </c>
      <c r="B4724" s="35" t="s">
        <v>462</v>
      </c>
      <c r="C4724" s="35" t="s">
        <v>405</v>
      </c>
      <c r="D4724" s="35" t="s">
        <v>1080</v>
      </c>
      <c r="E4724" s="35" t="s">
        <v>1117</v>
      </c>
      <c r="F4724" s="35" t="s">
        <v>353</v>
      </c>
      <c r="G4724" s="35" t="s">
        <v>403</v>
      </c>
    </row>
    <row r="4725" spans="1:8">
      <c r="A4725" s="34">
        <v>2084031515</v>
      </c>
      <c r="B4725" s="35" t="s">
        <v>462</v>
      </c>
      <c r="C4725" s="35" t="s">
        <v>405</v>
      </c>
      <c r="D4725" s="35" t="s">
        <v>1080</v>
      </c>
      <c r="E4725" s="35" t="s">
        <v>1117</v>
      </c>
      <c r="F4725" s="35" t="s">
        <v>353</v>
      </c>
      <c r="G4725" s="35" t="s">
        <v>397</v>
      </c>
    </row>
    <row r="4726" spans="1:8">
      <c r="A4726" s="34">
        <v>2084030378</v>
      </c>
      <c r="B4726" s="35" t="s">
        <v>462</v>
      </c>
      <c r="C4726" s="35" t="s">
        <v>405</v>
      </c>
      <c r="D4726" s="35" t="s">
        <v>1080</v>
      </c>
      <c r="E4726" s="35" t="s">
        <v>1117</v>
      </c>
      <c r="F4726" s="35" t="s">
        <v>353</v>
      </c>
      <c r="G4726" s="35" t="s">
        <v>421</v>
      </c>
    </row>
    <row r="4727" spans="1:8">
      <c r="A4727" s="34">
        <v>2084031543</v>
      </c>
      <c r="B4727" s="35" t="s">
        <v>462</v>
      </c>
      <c r="C4727" s="35" t="s">
        <v>405</v>
      </c>
      <c r="D4727" s="35" t="s">
        <v>1080</v>
      </c>
      <c r="E4727" s="35" t="s">
        <v>1117</v>
      </c>
      <c r="F4727" s="35" t="s">
        <v>353</v>
      </c>
      <c r="G4727" s="35" t="s">
        <v>398</v>
      </c>
    </row>
    <row r="4728" spans="1:8">
      <c r="A4728" s="34">
        <v>2084030362</v>
      </c>
      <c r="B4728" s="35" t="s">
        <v>462</v>
      </c>
      <c r="C4728" s="35" t="s">
        <v>405</v>
      </c>
      <c r="D4728" s="35" t="s">
        <v>1080</v>
      </c>
      <c r="E4728" s="35" t="s">
        <v>1117</v>
      </c>
      <c r="F4728" s="35" t="s">
        <v>353</v>
      </c>
      <c r="G4728" s="35" t="s">
        <v>422</v>
      </c>
    </row>
    <row r="4729" spans="1:8">
      <c r="A4729" s="34">
        <v>2084051113</v>
      </c>
      <c r="B4729" s="35" t="s">
        <v>462</v>
      </c>
      <c r="C4729" s="35" t="s">
        <v>405</v>
      </c>
      <c r="D4729" s="35" t="s">
        <v>1080</v>
      </c>
      <c r="E4729" s="35" t="s">
        <v>1117</v>
      </c>
      <c r="F4729" s="35" t="s">
        <v>353</v>
      </c>
      <c r="G4729" s="35" t="s">
        <v>335</v>
      </c>
    </row>
    <row r="4730" spans="1:8">
      <c r="A4730" s="34">
        <v>2084048721</v>
      </c>
      <c r="B4730" s="35" t="s">
        <v>462</v>
      </c>
      <c r="C4730" s="35" t="s">
        <v>405</v>
      </c>
      <c r="D4730" s="35" t="s">
        <v>1080</v>
      </c>
      <c r="E4730" s="35" t="s">
        <v>1117</v>
      </c>
      <c r="F4730" s="35" t="s">
        <v>335</v>
      </c>
    </row>
    <row r="4731" spans="1:8">
      <c r="A4731" s="34">
        <v>2084050578</v>
      </c>
      <c r="B4731" s="35" t="s">
        <v>462</v>
      </c>
      <c r="C4731" s="35" t="s">
        <v>405</v>
      </c>
      <c r="D4731" s="35" t="s">
        <v>1080</v>
      </c>
      <c r="E4731" s="35" t="s">
        <v>1118</v>
      </c>
      <c r="F4731" s="35" t="s">
        <v>475</v>
      </c>
    </row>
    <row r="4732" spans="1:8">
      <c r="A4732" s="34">
        <v>2084062083</v>
      </c>
      <c r="B4732" s="35" t="s">
        <v>462</v>
      </c>
      <c r="C4732" s="35" t="s">
        <v>405</v>
      </c>
      <c r="D4732" s="35" t="s">
        <v>1080</v>
      </c>
      <c r="E4732" s="35" t="s">
        <v>1118</v>
      </c>
      <c r="F4732" s="35" t="s">
        <v>611</v>
      </c>
      <c r="G4732" s="35" t="s">
        <v>407</v>
      </c>
    </row>
    <row r="4733" spans="1:8">
      <c r="A4733" s="34">
        <v>2084283745</v>
      </c>
      <c r="B4733" s="35" t="s">
        <v>462</v>
      </c>
      <c r="C4733" s="35" t="s">
        <v>405</v>
      </c>
      <c r="D4733" s="35" t="s">
        <v>1080</v>
      </c>
      <c r="E4733" s="35" t="s">
        <v>1118</v>
      </c>
      <c r="F4733" s="35" t="s">
        <v>611</v>
      </c>
      <c r="G4733" s="35" t="s">
        <v>353</v>
      </c>
      <c r="H4733" s="35" t="s">
        <v>875</v>
      </c>
    </row>
    <row r="4734" spans="1:8">
      <c r="A4734" s="34">
        <v>2084283746</v>
      </c>
      <c r="B4734" s="35" t="s">
        <v>462</v>
      </c>
      <c r="C4734" s="35" t="s">
        <v>405</v>
      </c>
      <c r="D4734" s="35" t="s">
        <v>1080</v>
      </c>
      <c r="E4734" s="35" t="s">
        <v>1118</v>
      </c>
      <c r="F4734" s="35" t="s">
        <v>611</v>
      </c>
      <c r="G4734" s="35" t="s">
        <v>353</v>
      </c>
      <c r="H4734" s="35" t="s">
        <v>793</v>
      </c>
    </row>
    <row r="4735" spans="1:8">
      <c r="A4735" s="34">
        <v>2084283747</v>
      </c>
      <c r="B4735" s="35" t="s">
        <v>462</v>
      </c>
      <c r="C4735" s="35" t="s">
        <v>405</v>
      </c>
      <c r="D4735" s="35" t="s">
        <v>1080</v>
      </c>
      <c r="E4735" s="35" t="s">
        <v>1118</v>
      </c>
      <c r="F4735" s="35" t="s">
        <v>611</v>
      </c>
      <c r="G4735" s="35" t="s">
        <v>353</v>
      </c>
      <c r="H4735" s="35" t="s">
        <v>876</v>
      </c>
    </row>
    <row r="4736" spans="1:8">
      <c r="A4736" s="34">
        <v>2084283748</v>
      </c>
      <c r="B4736" s="35" t="s">
        <v>462</v>
      </c>
      <c r="C4736" s="35" t="s">
        <v>405</v>
      </c>
      <c r="D4736" s="35" t="s">
        <v>1080</v>
      </c>
      <c r="E4736" s="35" t="s">
        <v>1118</v>
      </c>
      <c r="F4736" s="35" t="s">
        <v>611</v>
      </c>
      <c r="G4736" s="35" t="s">
        <v>353</v>
      </c>
      <c r="H4736" s="35" t="s">
        <v>877</v>
      </c>
    </row>
    <row r="4737" spans="1:9">
      <c r="A4737" s="34">
        <v>2084283749</v>
      </c>
      <c r="B4737" s="35" t="s">
        <v>462</v>
      </c>
      <c r="C4737" s="35" t="s">
        <v>405</v>
      </c>
      <c r="D4737" s="35" t="s">
        <v>1080</v>
      </c>
      <c r="E4737" s="35" t="s">
        <v>1118</v>
      </c>
      <c r="F4737" s="35" t="s">
        <v>611</v>
      </c>
      <c r="G4737" s="35" t="s">
        <v>353</v>
      </c>
      <c r="H4737" s="35" t="s">
        <v>878</v>
      </c>
    </row>
    <row r="4738" spans="1:9">
      <c r="A4738" s="34">
        <v>2084283750</v>
      </c>
      <c r="B4738" s="35" t="s">
        <v>462</v>
      </c>
      <c r="C4738" s="35" t="s">
        <v>405</v>
      </c>
      <c r="D4738" s="35" t="s">
        <v>1080</v>
      </c>
      <c r="E4738" s="35" t="s">
        <v>1118</v>
      </c>
      <c r="F4738" s="35" t="s">
        <v>611</v>
      </c>
      <c r="G4738" s="35" t="s">
        <v>353</v>
      </c>
      <c r="H4738" s="35" t="s">
        <v>879</v>
      </c>
    </row>
    <row r="4739" spans="1:9">
      <c r="A4739" s="34">
        <v>2084283751</v>
      </c>
      <c r="B4739" s="35" t="s">
        <v>462</v>
      </c>
      <c r="C4739" s="35" t="s">
        <v>405</v>
      </c>
      <c r="D4739" s="35" t="s">
        <v>1080</v>
      </c>
      <c r="E4739" s="35" t="s">
        <v>1118</v>
      </c>
      <c r="F4739" s="35" t="s">
        <v>611</v>
      </c>
      <c r="G4739" s="35" t="s">
        <v>353</v>
      </c>
      <c r="H4739" s="35" t="s">
        <v>880</v>
      </c>
    </row>
    <row r="4740" spans="1:9">
      <c r="A4740" s="34">
        <v>2084283752</v>
      </c>
      <c r="B4740" s="35" t="s">
        <v>462</v>
      </c>
      <c r="C4740" s="35" t="s">
        <v>405</v>
      </c>
      <c r="D4740" s="35" t="s">
        <v>1080</v>
      </c>
      <c r="E4740" s="35" t="s">
        <v>1118</v>
      </c>
      <c r="F4740" s="35" t="s">
        <v>611</v>
      </c>
      <c r="G4740" s="35" t="s">
        <v>353</v>
      </c>
      <c r="H4740" s="35" t="s">
        <v>881</v>
      </c>
    </row>
    <row r="4741" spans="1:9">
      <c r="A4741" s="34">
        <v>2084283753</v>
      </c>
      <c r="B4741" s="35" t="s">
        <v>462</v>
      </c>
      <c r="C4741" s="35" t="s">
        <v>405</v>
      </c>
      <c r="D4741" s="35" t="s">
        <v>1080</v>
      </c>
      <c r="E4741" s="35" t="s">
        <v>1118</v>
      </c>
      <c r="F4741" s="35" t="s">
        <v>611</v>
      </c>
      <c r="G4741" s="35" t="s">
        <v>353</v>
      </c>
      <c r="H4741" s="35" t="s">
        <v>882</v>
      </c>
    </row>
    <row r="4742" spans="1:9">
      <c r="A4742" s="34">
        <v>2084283754</v>
      </c>
      <c r="B4742" s="35" t="s">
        <v>462</v>
      </c>
      <c r="C4742" s="35" t="s">
        <v>405</v>
      </c>
      <c r="D4742" s="35" t="s">
        <v>1080</v>
      </c>
      <c r="E4742" s="35" t="s">
        <v>1118</v>
      </c>
      <c r="F4742" s="35" t="s">
        <v>611</v>
      </c>
      <c r="G4742" s="35" t="s">
        <v>353</v>
      </c>
      <c r="H4742" s="35" t="s">
        <v>883</v>
      </c>
    </row>
    <row r="4743" spans="1:9">
      <c r="A4743" s="34">
        <v>2084283755</v>
      </c>
      <c r="B4743" s="35" t="s">
        <v>462</v>
      </c>
      <c r="C4743" s="35" t="s">
        <v>405</v>
      </c>
      <c r="D4743" s="35" t="s">
        <v>1080</v>
      </c>
      <c r="E4743" s="35" t="s">
        <v>1118</v>
      </c>
      <c r="F4743" s="35" t="s">
        <v>611</v>
      </c>
      <c r="G4743" s="35" t="s">
        <v>353</v>
      </c>
      <c r="H4743" s="35" t="s">
        <v>884</v>
      </c>
    </row>
    <row r="4744" spans="1:9">
      <c r="A4744" s="34">
        <v>2084061672</v>
      </c>
      <c r="B4744" s="35" t="s">
        <v>462</v>
      </c>
      <c r="C4744" s="35" t="s">
        <v>405</v>
      </c>
      <c r="D4744" s="35" t="s">
        <v>1080</v>
      </c>
      <c r="E4744" s="35" t="s">
        <v>1118</v>
      </c>
      <c r="F4744" s="35" t="s">
        <v>390</v>
      </c>
      <c r="G4744" s="35" t="s">
        <v>367</v>
      </c>
    </row>
    <row r="4745" spans="1:9">
      <c r="A4745" s="34">
        <v>2084050567</v>
      </c>
      <c r="B4745" s="35" t="s">
        <v>462</v>
      </c>
      <c r="C4745" s="35" t="s">
        <v>405</v>
      </c>
      <c r="D4745" s="35" t="s">
        <v>1080</v>
      </c>
      <c r="E4745" s="35" t="s">
        <v>1118</v>
      </c>
      <c r="F4745" s="35" t="s">
        <v>390</v>
      </c>
      <c r="G4745" s="35" t="s">
        <v>368</v>
      </c>
      <c r="H4745" s="35" t="s">
        <v>481</v>
      </c>
    </row>
    <row r="4746" spans="1:9">
      <c r="A4746" s="34">
        <v>2084050568</v>
      </c>
      <c r="B4746" s="35" t="s">
        <v>462</v>
      </c>
      <c r="C4746" s="35" t="s">
        <v>405</v>
      </c>
      <c r="D4746" s="35" t="s">
        <v>1080</v>
      </c>
      <c r="E4746" s="35" t="s">
        <v>1118</v>
      </c>
      <c r="F4746" s="35" t="s">
        <v>390</v>
      </c>
      <c r="G4746" s="35" t="s">
        <v>368</v>
      </c>
      <c r="H4746" s="35" t="s">
        <v>335</v>
      </c>
    </row>
    <row r="4747" spans="1:9">
      <c r="A4747" s="34">
        <v>2084060573</v>
      </c>
      <c r="B4747" s="35" t="s">
        <v>462</v>
      </c>
      <c r="C4747" s="35" t="s">
        <v>405</v>
      </c>
      <c r="D4747" s="35" t="s">
        <v>1080</v>
      </c>
      <c r="E4747" s="35" t="s">
        <v>1118</v>
      </c>
      <c r="F4747" s="35" t="s">
        <v>390</v>
      </c>
      <c r="G4747" s="35" t="s">
        <v>10</v>
      </c>
      <c r="H4747" s="35" t="s">
        <v>1119</v>
      </c>
      <c r="I4747" s="35" t="s">
        <v>1120</v>
      </c>
    </row>
    <row r="4748" spans="1:9">
      <c r="A4748" s="34">
        <v>2084060572</v>
      </c>
      <c r="B4748" s="35" t="s">
        <v>462</v>
      </c>
      <c r="C4748" s="35" t="s">
        <v>405</v>
      </c>
      <c r="D4748" s="35" t="s">
        <v>1080</v>
      </c>
      <c r="E4748" s="35" t="s">
        <v>1118</v>
      </c>
      <c r="F4748" s="35" t="s">
        <v>390</v>
      </c>
      <c r="G4748" s="35" t="s">
        <v>10</v>
      </c>
      <c r="H4748" s="35" t="s">
        <v>1119</v>
      </c>
      <c r="I4748" s="35" t="s">
        <v>1121</v>
      </c>
    </row>
    <row r="4749" spans="1:9">
      <c r="A4749" s="34">
        <v>2084050571</v>
      </c>
      <c r="B4749" s="35" t="s">
        <v>462</v>
      </c>
      <c r="C4749" s="35" t="s">
        <v>405</v>
      </c>
      <c r="D4749" s="35" t="s">
        <v>1080</v>
      </c>
      <c r="E4749" s="35" t="s">
        <v>1118</v>
      </c>
      <c r="F4749" s="35" t="s">
        <v>390</v>
      </c>
      <c r="G4749" s="35" t="s">
        <v>10</v>
      </c>
      <c r="H4749" s="35" t="s">
        <v>510</v>
      </c>
    </row>
    <row r="4750" spans="1:9">
      <c r="A4750" s="34">
        <v>2084050572</v>
      </c>
      <c r="B4750" s="35" t="s">
        <v>462</v>
      </c>
      <c r="C4750" s="35" t="s">
        <v>405</v>
      </c>
      <c r="D4750" s="35" t="s">
        <v>1080</v>
      </c>
      <c r="E4750" s="35" t="s">
        <v>1118</v>
      </c>
      <c r="F4750" s="35" t="s">
        <v>390</v>
      </c>
      <c r="G4750" s="35" t="s">
        <v>10</v>
      </c>
      <c r="H4750" s="35" t="s">
        <v>335</v>
      </c>
    </row>
    <row r="4751" spans="1:9">
      <c r="A4751" s="34">
        <v>2084050575</v>
      </c>
      <c r="B4751" s="35" t="s">
        <v>462</v>
      </c>
      <c r="C4751" s="35" t="s">
        <v>405</v>
      </c>
      <c r="D4751" s="35" t="s">
        <v>1080</v>
      </c>
      <c r="E4751" s="35" t="s">
        <v>1118</v>
      </c>
      <c r="F4751" s="35" t="s">
        <v>390</v>
      </c>
      <c r="G4751" s="35" t="s">
        <v>379</v>
      </c>
      <c r="H4751" s="35" t="s">
        <v>545</v>
      </c>
    </row>
    <row r="4752" spans="1:9">
      <c r="A4752" s="34">
        <v>2084050574</v>
      </c>
      <c r="B4752" s="35" t="s">
        <v>462</v>
      </c>
      <c r="C4752" s="35" t="s">
        <v>405</v>
      </c>
      <c r="D4752" s="35" t="s">
        <v>1080</v>
      </c>
      <c r="E4752" s="35" t="s">
        <v>1118</v>
      </c>
      <c r="F4752" s="35" t="s">
        <v>390</v>
      </c>
      <c r="G4752" s="35" t="s">
        <v>379</v>
      </c>
      <c r="H4752" s="35" t="s">
        <v>476</v>
      </c>
    </row>
    <row r="4753" spans="1:9">
      <c r="A4753" s="34">
        <v>2084050576</v>
      </c>
      <c r="B4753" s="35" t="s">
        <v>462</v>
      </c>
      <c r="C4753" s="35" t="s">
        <v>405</v>
      </c>
      <c r="D4753" s="35" t="s">
        <v>1080</v>
      </c>
      <c r="E4753" s="35" t="s">
        <v>1118</v>
      </c>
      <c r="F4753" s="35" t="s">
        <v>390</v>
      </c>
      <c r="G4753" s="35" t="s">
        <v>379</v>
      </c>
      <c r="H4753" s="35" t="s">
        <v>335</v>
      </c>
    </row>
    <row r="4754" spans="1:9">
      <c r="A4754" s="34">
        <v>2084061671</v>
      </c>
      <c r="B4754" s="35" t="s">
        <v>462</v>
      </c>
      <c r="C4754" s="35" t="s">
        <v>405</v>
      </c>
      <c r="D4754" s="35" t="s">
        <v>1080</v>
      </c>
      <c r="E4754" s="35" t="s">
        <v>1118</v>
      </c>
      <c r="F4754" s="35" t="s">
        <v>390</v>
      </c>
      <c r="G4754" s="35" t="s">
        <v>478</v>
      </c>
    </row>
    <row r="4755" spans="1:9">
      <c r="A4755" s="34">
        <v>2084050577</v>
      </c>
      <c r="B4755" s="35" t="s">
        <v>462</v>
      </c>
      <c r="C4755" s="35" t="s">
        <v>405</v>
      </c>
      <c r="D4755" s="35" t="s">
        <v>1080</v>
      </c>
      <c r="E4755" s="35" t="s">
        <v>1118</v>
      </c>
      <c r="F4755" s="35" t="s">
        <v>390</v>
      </c>
      <c r="G4755" s="35" t="s">
        <v>335</v>
      </c>
    </row>
    <row r="4756" spans="1:9">
      <c r="A4756" s="34">
        <v>2084052897</v>
      </c>
      <c r="B4756" s="35" t="s">
        <v>462</v>
      </c>
      <c r="C4756" s="35" t="s">
        <v>405</v>
      </c>
      <c r="D4756" s="35" t="s">
        <v>1080</v>
      </c>
      <c r="E4756" s="35" t="s">
        <v>1118</v>
      </c>
      <c r="F4756" s="35" t="s">
        <v>353</v>
      </c>
      <c r="G4756" s="35" t="s">
        <v>367</v>
      </c>
    </row>
    <row r="4757" spans="1:9">
      <c r="A4757" s="34">
        <v>2084214925</v>
      </c>
      <c r="B4757" s="35" t="s">
        <v>462</v>
      </c>
      <c r="C4757" s="35" t="s">
        <v>405</v>
      </c>
      <c r="D4757" s="35" t="s">
        <v>1080</v>
      </c>
      <c r="E4757" s="35" t="s">
        <v>1118</v>
      </c>
      <c r="F4757" s="35" t="s">
        <v>353</v>
      </c>
      <c r="G4757" s="35" t="s">
        <v>368</v>
      </c>
      <c r="H4757" s="35" t="s">
        <v>552</v>
      </c>
      <c r="I4757" s="35" t="s">
        <v>1122</v>
      </c>
    </row>
    <row r="4758" spans="1:9">
      <c r="A4758" s="34">
        <v>2084214926</v>
      </c>
      <c r="B4758" s="35" t="s">
        <v>462</v>
      </c>
      <c r="C4758" s="35" t="s">
        <v>405</v>
      </c>
      <c r="D4758" s="35" t="s">
        <v>1080</v>
      </c>
      <c r="E4758" s="35" t="s">
        <v>1118</v>
      </c>
      <c r="F4758" s="35" t="s">
        <v>353</v>
      </c>
      <c r="G4758" s="35" t="s">
        <v>368</v>
      </c>
      <c r="H4758" s="35" t="s">
        <v>552</v>
      </c>
      <c r="I4758" s="35">
        <v>46</v>
      </c>
    </row>
    <row r="4759" spans="1:9">
      <c r="A4759" s="34">
        <v>2084214927</v>
      </c>
      <c r="B4759" s="35" t="s">
        <v>462</v>
      </c>
      <c r="C4759" s="35" t="s">
        <v>405</v>
      </c>
      <c r="D4759" s="35" t="s">
        <v>1080</v>
      </c>
      <c r="E4759" s="35" t="s">
        <v>1118</v>
      </c>
      <c r="F4759" s="35" t="s">
        <v>353</v>
      </c>
      <c r="G4759" s="35" t="s">
        <v>368</v>
      </c>
      <c r="H4759" s="35" t="s">
        <v>552</v>
      </c>
      <c r="I4759" s="35">
        <v>48</v>
      </c>
    </row>
    <row r="4760" spans="1:9">
      <c r="A4760" s="34">
        <v>2084214928</v>
      </c>
      <c r="B4760" s="35" t="s">
        <v>462</v>
      </c>
      <c r="C4760" s="35" t="s">
        <v>405</v>
      </c>
      <c r="D4760" s="35" t="s">
        <v>1080</v>
      </c>
      <c r="E4760" s="35" t="s">
        <v>1118</v>
      </c>
      <c r="F4760" s="35" t="s">
        <v>353</v>
      </c>
      <c r="G4760" s="35" t="s">
        <v>368</v>
      </c>
      <c r="H4760" s="35" t="s">
        <v>552</v>
      </c>
      <c r="I4760" s="35">
        <v>50</v>
      </c>
    </row>
    <row r="4761" spans="1:9">
      <c r="A4761" s="34">
        <v>2084214929</v>
      </c>
      <c r="B4761" s="35" t="s">
        <v>462</v>
      </c>
      <c r="C4761" s="35" t="s">
        <v>405</v>
      </c>
      <c r="D4761" s="35" t="s">
        <v>1080</v>
      </c>
      <c r="E4761" s="35" t="s">
        <v>1118</v>
      </c>
      <c r="F4761" s="35" t="s">
        <v>353</v>
      </c>
      <c r="G4761" s="35" t="s">
        <v>368</v>
      </c>
      <c r="H4761" s="35" t="s">
        <v>552</v>
      </c>
      <c r="I4761" s="35" t="s">
        <v>1123</v>
      </c>
    </row>
    <row r="4762" spans="1:9">
      <c r="A4762" s="34">
        <v>2084031457</v>
      </c>
      <c r="B4762" s="35" t="s">
        <v>462</v>
      </c>
      <c r="C4762" s="35" t="s">
        <v>405</v>
      </c>
      <c r="D4762" s="35" t="s">
        <v>1080</v>
      </c>
      <c r="E4762" s="35" t="s">
        <v>1118</v>
      </c>
      <c r="F4762" s="35" t="s">
        <v>353</v>
      </c>
      <c r="G4762" s="35" t="s">
        <v>368</v>
      </c>
      <c r="H4762" s="35" t="s">
        <v>482</v>
      </c>
    </row>
    <row r="4763" spans="1:9">
      <c r="A4763" s="34">
        <v>2084031368</v>
      </c>
      <c r="B4763" s="35" t="s">
        <v>462</v>
      </c>
      <c r="C4763" s="35" t="s">
        <v>405</v>
      </c>
      <c r="D4763" s="35" t="s">
        <v>1080</v>
      </c>
      <c r="E4763" s="35" t="s">
        <v>1118</v>
      </c>
      <c r="F4763" s="35" t="s">
        <v>353</v>
      </c>
      <c r="G4763" s="35" t="s">
        <v>368</v>
      </c>
      <c r="H4763" s="35" t="s">
        <v>494</v>
      </c>
    </row>
    <row r="4764" spans="1:9">
      <c r="A4764" s="34">
        <v>2084061850</v>
      </c>
      <c r="B4764" s="35" t="s">
        <v>462</v>
      </c>
      <c r="C4764" s="35" t="s">
        <v>405</v>
      </c>
      <c r="D4764" s="35" t="s">
        <v>1080</v>
      </c>
      <c r="E4764" s="35" t="s">
        <v>1118</v>
      </c>
      <c r="F4764" s="35" t="s">
        <v>353</v>
      </c>
      <c r="G4764" s="35" t="s">
        <v>368</v>
      </c>
      <c r="H4764" s="35" t="s">
        <v>335</v>
      </c>
    </row>
    <row r="4765" spans="1:9">
      <c r="A4765" s="34">
        <v>2084031622</v>
      </c>
      <c r="B4765" s="35" t="s">
        <v>462</v>
      </c>
      <c r="C4765" s="35" t="s">
        <v>405</v>
      </c>
      <c r="D4765" s="35" t="s">
        <v>1080</v>
      </c>
      <c r="E4765" s="35" t="s">
        <v>1118</v>
      </c>
      <c r="F4765" s="35" t="s">
        <v>353</v>
      </c>
      <c r="G4765" s="35" t="s">
        <v>10</v>
      </c>
      <c r="H4765" s="35" t="s">
        <v>483</v>
      </c>
    </row>
    <row r="4766" spans="1:9">
      <c r="A4766" s="34">
        <v>2084030274</v>
      </c>
      <c r="B4766" s="35" t="s">
        <v>462</v>
      </c>
      <c r="C4766" s="35" t="s">
        <v>405</v>
      </c>
      <c r="D4766" s="35" t="s">
        <v>1080</v>
      </c>
      <c r="E4766" s="35" t="s">
        <v>1118</v>
      </c>
      <c r="F4766" s="35" t="s">
        <v>353</v>
      </c>
      <c r="G4766" s="35" t="s">
        <v>10</v>
      </c>
      <c r="H4766" s="35" t="s">
        <v>493</v>
      </c>
    </row>
    <row r="4767" spans="1:9">
      <c r="A4767" s="34">
        <v>2084061852</v>
      </c>
      <c r="B4767" s="35" t="s">
        <v>462</v>
      </c>
      <c r="C4767" s="35" t="s">
        <v>405</v>
      </c>
      <c r="D4767" s="35" t="s">
        <v>1080</v>
      </c>
      <c r="E4767" s="35" t="s">
        <v>1118</v>
      </c>
      <c r="F4767" s="35" t="s">
        <v>353</v>
      </c>
      <c r="G4767" s="35" t="s">
        <v>10</v>
      </c>
      <c r="H4767" s="35" t="s">
        <v>580</v>
      </c>
    </row>
    <row r="4768" spans="1:9">
      <c r="A4768" s="34">
        <v>2084221846</v>
      </c>
      <c r="B4768" s="35" t="s">
        <v>462</v>
      </c>
      <c r="C4768" s="35" t="s">
        <v>405</v>
      </c>
      <c r="D4768" s="35" t="s">
        <v>1080</v>
      </c>
      <c r="E4768" s="35" t="s">
        <v>1118</v>
      </c>
      <c r="F4768" s="35" t="s">
        <v>353</v>
      </c>
      <c r="G4768" s="35" t="s">
        <v>10</v>
      </c>
      <c r="H4768" s="35" t="s">
        <v>373</v>
      </c>
      <c r="I4768" s="35" t="s">
        <v>1122</v>
      </c>
    </row>
    <row r="4769" spans="1:9">
      <c r="A4769" s="34">
        <v>2084221847</v>
      </c>
      <c r="B4769" s="35" t="s">
        <v>462</v>
      </c>
      <c r="C4769" s="35" t="s">
        <v>405</v>
      </c>
      <c r="D4769" s="35" t="s">
        <v>1080</v>
      </c>
      <c r="E4769" s="35" t="s">
        <v>1118</v>
      </c>
      <c r="F4769" s="35" t="s">
        <v>353</v>
      </c>
      <c r="G4769" s="35" t="s">
        <v>10</v>
      </c>
      <c r="H4769" s="35" t="s">
        <v>373</v>
      </c>
      <c r="I4769" s="35">
        <v>46</v>
      </c>
    </row>
    <row r="4770" spans="1:9">
      <c r="A4770" s="34">
        <v>2084221848</v>
      </c>
      <c r="B4770" s="35" t="s">
        <v>462</v>
      </c>
      <c r="C4770" s="35" t="s">
        <v>405</v>
      </c>
      <c r="D4770" s="35" t="s">
        <v>1080</v>
      </c>
      <c r="E4770" s="35" t="s">
        <v>1118</v>
      </c>
      <c r="F4770" s="35" t="s">
        <v>353</v>
      </c>
      <c r="G4770" s="35" t="s">
        <v>10</v>
      </c>
      <c r="H4770" s="35" t="s">
        <v>373</v>
      </c>
      <c r="I4770" s="35">
        <v>48</v>
      </c>
    </row>
    <row r="4771" spans="1:9">
      <c r="A4771" s="34">
        <v>2084221849</v>
      </c>
      <c r="B4771" s="35" t="s">
        <v>462</v>
      </c>
      <c r="C4771" s="35" t="s">
        <v>405</v>
      </c>
      <c r="D4771" s="35" t="s">
        <v>1080</v>
      </c>
      <c r="E4771" s="35" t="s">
        <v>1118</v>
      </c>
      <c r="F4771" s="35" t="s">
        <v>353</v>
      </c>
      <c r="G4771" s="35" t="s">
        <v>10</v>
      </c>
      <c r="H4771" s="35" t="s">
        <v>373</v>
      </c>
      <c r="I4771" s="35">
        <v>50</v>
      </c>
    </row>
    <row r="4772" spans="1:9">
      <c r="A4772" s="34">
        <v>2084221850</v>
      </c>
      <c r="B4772" s="35" t="s">
        <v>462</v>
      </c>
      <c r="C4772" s="35" t="s">
        <v>405</v>
      </c>
      <c r="D4772" s="35" t="s">
        <v>1080</v>
      </c>
      <c r="E4772" s="35" t="s">
        <v>1118</v>
      </c>
      <c r="F4772" s="35" t="s">
        <v>353</v>
      </c>
      <c r="G4772" s="35" t="s">
        <v>10</v>
      </c>
      <c r="H4772" s="35" t="s">
        <v>373</v>
      </c>
      <c r="I4772" s="35" t="s">
        <v>1123</v>
      </c>
    </row>
    <row r="4773" spans="1:9">
      <c r="A4773" s="34">
        <v>2084221882</v>
      </c>
      <c r="B4773" s="35" t="s">
        <v>462</v>
      </c>
      <c r="C4773" s="35" t="s">
        <v>405</v>
      </c>
      <c r="D4773" s="35" t="s">
        <v>1080</v>
      </c>
      <c r="E4773" s="35" t="s">
        <v>1118</v>
      </c>
      <c r="F4773" s="35" t="s">
        <v>353</v>
      </c>
      <c r="G4773" s="35" t="s">
        <v>10</v>
      </c>
      <c r="H4773" s="35" t="s">
        <v>887</v>
      </c>
      <c r="I4773" s="35" t="s">
        <v>1124</v>
      </c>
    </row>
    <row r="4774" spans="1:9">
      <c r="A4774" s="34">
        <v>2084221883</v>
      </c>
      <c r="B4774" s="35" t="s">
        <v>462</v>
      </c>
      <c r="C4774" s="35" t="s">
        <v>405</v>
      </c>
      <c r="D4774" s="35" t="s">
        <v>1080</v>
      </c>
      <c r="E4774" s="35" t="s">
        <v>1118</v>
      </c>
      <c r="F4774" s="35" t="s">
        <v>353</v>
      </c>
      <c r="G4774" s="35" t="s">
        <v>10</v>
      </c>
      <c r="H4774" s="35" t="s">
        <v>887</v>
      </c>
      <c r="I4774" s="35">
        <v>38</v>
      </c>
    </row>
    <row r="4775" spans="1:9">
      <c r="A4775" s="34">
        <v>2084221884</v>
      </c>
      <c r="B4775" s="35" t="s">
        <v>462</v>
      </c>
      <c r="C4775" s="35" t="s">
        <v>405</v>
      </c>
      <c r="D4775" s="35" t="s">
        <v>1080</v>
      </c>
      <c r="E4775" s="35" t="s">
        <v>1118</v>
      </c>
      <c r="F4775" s="35" t="s">
        <v>353</v>
      </c>
      <c r="G4775" s="35" t="s">
        <v>10</v>
      </c>
      <c r="H4775" s="35" t="s">
        <v>887</v>
      </c>
      <c r="I4775" s="35">
        <v>39</v>
      </c>
    </row>
    <row r="4776" spans="1:9">
      <c r="A4776" s="34">
        <v>2084221885</v>
      </c>
      <c r="B4776" s="35" t="s">
        <v>462</v>
      </c>
      <c r="C4776" s="35" t="s">
        <v>405</v>
      </c>
      <c r="D4776" s="35" t="s">
        <v>1080</v>
      </c>
      <c r="E4776" s="35" t="s">
        <v>1118</v>
      </c>
      <c r="F4776" s="35" t="s">
        <v>353</v>
      </c>
      <c r="G4776" s="35" t="s">
        <v>10</v>
      </c>
      <c r="H4776" s="35" t="s">
        <v>887</v>
      </c>
      <c r="I4776" s="35">
        <v>40</v>
      </c>
    </row>
    <row r="4777" spans="1:9">
      <c r="A4777" s="34">
        <v>2084221886</v>
      </c>
      <c r="B4777" s="35" t="s">
        <v>462</v>
      </c>
      <c r="C4777" s="35" t="s">
        <v>405</v>
      </c>
      <c r="D4777" s="35" t="s">
        <v>1080</v>
      </c>
      <c r="E4777" s="35" t="s">
        <v>1118</v>
      </c>
      <c r="F4777" s="35" t="s">
        <v>353</v>
      </c>
      <c r="G4777" s="35" t="s">
        <v>10</v>
      </c>
      <c r="H4777" s="35" t="s">
        <v>887</v>
      </c>
      <c r="I4777" s="35">
        <v>41</v>
      </c>
    </row>
    <row r="4778" spans="1:9">
      <c r="A4778" s="34">
        <v>2084221887</v>
      </c>
      <c r="B4778" s="35" t="s">
        <v>462</v>
      </c>
      <c r="C4778" s="35" t="s">
        <v>405</v>
      </c>
      <c r="D4778" s="35" t="s">
        <v>1080</v>
      </c>
      <c r="E4778" s="35" t="s">
        <v>1118</v>
      </c>
      <c r="F4778" s="35" t="s">
        <v>353</v>
      </c>
      <c r="G4778" s="35" t="s">
        <v>10</v>
      </c>
      <c r="H4778" s="35" t="s">
        <v>887</v>
      </c>
      <c r="I4778" s="35">
        <v>42</v>
      </c>
    </row>
    <row r="4779" spans="1:9">
      <c r="A4779" s="34">
        <v>2084221888</v>
      </c>
      <c r="B4779" s="35" t="s">
        <v>462</v>
      </c>
      <c r="C4779" s="35" t="s">
        <v>405</v>
      </c>
      <c r="D4779" s="35" t="s">
        <v>1080</v>
      </c>
      <c r="E4779" s="35" t="s">
        <v>1118</v>
      </c>
      <c r="F4779" s="35" t="s">
        <v>353</v>
      </c>
      <c r="G4779" s="35" t="s">
        <v>10</v>
      </c>
      <c r="H4779" s="35" t="s">
        <v>887</v>
      </c>
      <c r="I4779" s="35" t="s">
        <v>1125</v>
      </c>
    </row>
    <row r="4780" spans="1:9">
      <c r="A4780" s="34">
        <v>2084224734</v>
      </c>
      <c r="B4780" s="35" t="s">
        <v>462</v>
      </c>
      <c r="C4780" s="35" t="s">
        <v>405</v>
      </c>
      <c r="D4780" s="35" t="s">
        <v>1080</v>
      </c>
      <c r="E4780" s="35" t="s">
        <v>1118</v>
      </c>
      <c r="F4780" s="35" t="s">
        <v>353</v>
      </c>
      <c r="G4780" s="35" t="s">
        <v>10</v>
      </c>
      <c r="H4780" s="35" t="s">
        <v>378</v>
      </c>
      <c r="I4780" s="35" t="s">
        <v>1122</v>
      </c>
    </row>
    <row r="4781" spans="1:9">
      <c r="A4781" s="34">
        <v>2084224735</v>
      </c>
      <c r="B4781" s="35" t="s">
        <v>462</v>
      </c>
      <c r="C4781" s="35" t="s">
        <v>405</v>
      </c>
      <c r="D4781" s="35" t="s">
        <v>1080</v>
      </c>
      <c r="E4781" s="35" t="s">
        <v>1118</v>
      </c>
      <c r="F4781" s="35" t="s">
        <v>353</v>
      </c>
      <c r="G4781" s="35" t="s">
        <v>10</v>
      </c>
      <c r="H4781" s="35" t="s">
        <v>378</v>
      </c>
      <c r="I4781" s="35">
        <v>46</v>
      </c>
    </row>
    <row r="4782" spans="1:9">
      <c r="A4782" s="34">
        <v>2084224736</v>
      </c>
      <c r="B4782" s="35" t="s">
        <v>462</v>
      </c>
      <c r="C4782" s="35" t="s">
        <v>405</v>
      </c>
      <c r="D4782" s="35" t="s">
        <v>1080</v>
      </c>
      <c r="E4782" s="35" t="s">
        <v>1118</v>
      </c>
      <c r="F4782" s="35" t="s">
        <v>353</v>
      </c>
      <c r="G4782" s="35" t="s">
        <v>10</v>
      </c>
      <c r="H4782" s="35" t="s">
        <v>378</v>
      </c>
      <c r="I4782" s="35">
        <v>48</v>
      </c>
    </row>
    <row r="4783" spans="1:9">
      <c r="A4783" s="34">
        <v>2084224737</v>
      </c>
      <c r="B4783" s="35" t="s">
        <v>462</v>
      </c>
      <c r="C4783" s="35" t="s">
        <v>405</v>
      </c>
      <c r="D4783" s="35" t="s">
        <v>1080</v>
      </c>
      <c r="E4783" s="35" t="s">
        <v>1118</v>
      </c>
      <c r="F4783" s="35" t="s">
        <v>353</v>
      </c>
      <c r="G4783" s="35" t="s">
        <v>10</v>
      </c>
      <c r="H4783" s="35" t="s">
        <v>378</v>
      </c>
      <c r="I4783" s="35">
        <v>50</v>
      </c>
    </row>
    <row r="4784" spans="1:9">
      <c r="A4784" s="34">
        <v>2084224738</v>
      </c>
      <c r="B4784" s="35" t="s">
        <v>462</v>
      </c>
      <c r="C4784" s="35" t="s">
        <v>405</v>
      </c>
      <c r="D4784" s="35" t="s">
        <v>1080</v>
      </c>
      <c r="E4784" s="35" t="s">
        <v>1118</v>
      </c>
      <c r="F4784" s="35" t="s">
        <v>353</v>
      </c>
      <c r="G4784" s="35" t="s">
        <v>10</v>
      </c>
      <c r="H4784" s="35" t="s">
        <v>378</v>
      </c>
      <c r="I4784" s="35" t="s">
        <v>1123</v>
      </c>
    </row>
    <row r="4785" spans="1:9">
      <c r="A4785" s="34">
        <v>2084030363</v>
      </c>
      <c r="B4785" s="35" t="s">
        <v>462</v>
      </c>
      <c r="C4785" s="35" t="s">
        <v>405</v>
      </c>
      <c r="D4785" s="35" t="s">
        <v>1080</v>
      </c>
      <c r="E4785" s="35" t="s">
        <v>1118</v>
      </c>
      <c r="F4785" s="35" t="s">
        <v>353</v>
      </c>
      <c r="G4785" s="35" t="s">
        <v>10</v>
      </c>
      <c r="H4785" s="35" t="s">
        <v>422</v>
      </c>
    </row>
    <row r="4786" spans="1:9">
      <c r="A4786" s="34">
        <v>2084061853</v>
      </c>
      <c r="B4786" s="35" t="s">
        <v>462</v>
      </c>
      <c r="C4786" s="35" t="s">
        <v>405</v>
      </c>
      <c r="D4786" s="35" t="s">
        <v>1080</v>
      </c>
      <c r="E4786" s="35" t="s">
        <v>1118</v>
      </c>
      <c r="F4786" s="35" t="s">
        <v>353</v>
      </c>
      <c r="G4786" s="35" t="s">
        <v>10</v>
      </c>
      <c r="H4786" s="35" t="s">
        <v>335</v>
      </c>
    </row>
    <row r="4787" spans="1:9">
      <c r="A4787" s="34">
        <v>2084213258</v>
      </c>
      <c r="B4787" s="35" t="s">
        <v>462</v>
      </c>
      <c r="C4787" s="35" t="s">
        <v>405</v>
      </c>
      <c r="D4787" s="35" t="s">
        <v>1080</v>
      </c>
      <c r="E4787" s="35" t="s">
        <v>1118</v>
      </c>
      <c r="F4787" s="35" t="s">
        <v>353</v>
      </c>
      <c r="G4787" s="35" t="s">
        <v>379</v>
      </c>
      <c r="H4787" s="35" t="s">
        <v>557</v>
      </c>
      <c r="I4787" s="35" t="s">
        <v>1122</v>
      </c>
    </row>
    <row r="4788" spans="1:9">
      <c r="A4788" s="34">
        <v>2084213259</v>
      </c>
      <c r="B4788" s="35" t="s">
        <v>462</v>
      </c>
      <c r="C4788" s="35" t="s">
        <v>405</v>
      </c>
      <c r="D4788" s="35" t="s">
        <v>1080</v>
      </c>
      <c r="E4788" s="35" t="s">
        <v>1118</v>
      </c>
      <c r="F4788" s="35" t="s">
        <v>353</v>
      </c>
      <c r="G4788" s="35" t="s">
        <v>379</v>
      </c>
      <c r="H4788" s="35" t="s">
        <v>557</v>
      </c>
      <c r="I4788" s="35">
        <v>46</v>
      </c>
    </row>
    <row r="4789" spans="1:9">
      <c r="A4789" s="34">
        <v>2084213260</v>
      </c>
      <c r="B4789" s="35" t="s">
        <v>462</v>
      </c>
      <c r="C4789" s="35" t="s">
        <v>405</v>
      </c>
      <c r="D4789" s="35" t="s">
        <v>1080</v>
      </c>
      <c r="E4789" s="35" t="s">
        <v>1118</v>
      </c>
      <c r="F4789" s="35" t="s">
        <v>353</v>
      </c>
      <c r="G4789" s="35" t="s">
        <v>379</v>
      </c>
      <c r="H4789" s="35" t="s">
        <v>557</v>
      </c>
      <c r="I4789" s="35">
        <v>48</v>
      </c>
    </row>
    <row r="4790" spans="1:9">
      <c r="A4790" s="34">
        <v>2084213261</v>
      </c>
      <c r="B4790" s="35" t="s">
        <v>462</v>
      </c>
      <c r="C4790" s="35" t="s">
        <v>405</v>
      </c>
      <c r="D4790" s="35" t="s">
        <v>1080</v>
      </c>
      <c r="E4790" s="35" t="s">
        <v>1118</v>
      </c>
      <c r="F4790" s="35" t="s">
        <v>353</v>
      </c>
      <c r="G4790" s="35" t="s">
        <v>379</v>
      </c>
      <c r="H4790" s="35" t="s">
        <v>557</v>
      </c>
      <c r="I4790" s="35">
        <v>50</v>
      </c>
    </row>
    <row r="4791" spans="1:9">
      <c r="A4791" s="34">
        <v>2084213262</v>
      </c>
      <c r="B4791" s="35" t="s">
        <v>462</v>
      </c>
      <c r="C4791" s="35" t="s">
        <v>405</v>
      </c>
      <c r="D4791" s="35" t="s">
        <v>1080</v>
      </c>
      <c r="E4791" s="35" t="s">
        <v>1118</v>
      </c>
      <c r="F4791" s="35" t="s">
        <v>353</v>
      </c>
      <c r="G4791" s="35" t="s">
        <v>379</v>
      </c>
      <c r="H4791" s="35" t="s">
        <v>557</v>
      </c>
      <c r="I4791" s="35" t="s">
        <v>1123</v>
      </c>
    </row>
    <row r="4792" spans="1:9">
      <c r="A4792" s="34">
        <v>2084050563</v>
      </c>
      <c r="B4792" s="35" t="s">
        <v>462</v>
      </c>
      <c r="C4792" s="35" t="s">
        <v>405</v>
      </c>
      <c r="D4792" s="35" t="s">
        <v>1080</v>
      </c>
      <c r="E4792" s="35" t="s">
        <v>1118</v>
      </c>
      <c r="F4792" s="35" t="s">
        <v>353</v>
      </c>
      <c r="G4792" s="35" t="s">
        <v>379</v>
      </c>
      <c r="H4792" s="35" t="s">
        <v>335</v>
      </c>
    </row>
    <row r="4793" spans="1:9">
      <c r="A4793" s="34">
        <v>2084053595</v>
      </c>
      <c r="B4793" s="35" t="s">
        <v>462</v>
      </c>
      <c r="C4793" s="35" t="s">
        <v>405</v>
      </c>
      <c r="D4793" s="35" t="s">
        <v>1080</v>
      </c>
      <c r="E4793" s="35" t="s">
        <v>1118</v>
      </c>
      <c r="F4793" s="35" t="s">
        <v>353</v>
      </c>
      <c r="G4793" s="35" t="s">
        <v>549</v>
      </c>
    </row>
    <row r="4794" spans="1:9">
      <c r="A4794" s="34">
        <v>2084050564</v>
      </c>
      <c r="B4794" s="35" t="s">
        <v>462</v>
      </c>
      <c r="C4794" s="35" t="s">
        <v>405</v>
      </c>
      <c r="D4794" s="35" t="s">
        <v>1080</v>
      </c>
      <c r="E4794" s="35" t="s">
        <v>1118</v>
      </c>
      <c r="F4794" s="35" t="s">
        <v>353</v>
      </c>
      <c r="G4794" s="35" t="s">
        <v>335</v>
      </c>
    </row>
    <row r="4795" spans="1:9">
      <c r="A4795" s="34">
        <v>2084050581</v>
      </c>
      <c r="B4795" s="35" t="s">
        <v>462</v>
      </c>
      <c r="C4795" s="35" t="s">
        <v>405</v>
      </c>
      <c r="D4795" s="35" t="s">
        <v>1080</v>
      </c>
      <c r="E4795" s="35" t="s">
        <v>1118</v>
      </c>
      <c r="F4795" s="35" t="s">
        <v>442</v>
      </c>
      <c r="G4795" s="35" t="s">
        <v>537</v>
      </c>
    </row>
    <row r="4796" spans="1:9">
      <c r="A4796" s="34">
        <v>2084061855</v>
      </c>
      <c r="B4796" s="35" t="s">
        <v>462</v>
      </c>
      <c r="C4796" s="35" t="s">
        <v>405</v>
      </c>
      <c r="D4796" s="35" t="s">
        <v>1080</v>
      </c>
      <c r="E4796" s="35" t="s">
        <v>1118</v>
      </c>
      <c r="F4796" s="35" t="s">
        <v>442</v>
      </c>
      <c r="G4796" s="35" t="s">
        <v>569</v>
      </c>
    </row>
    <row r="4797" spans="1:9">
      <c r="A4797" s="34">
        <v>2084050580</v>
      </c>
      <c r="B4797" s="35" t="s">
        <v>462</v>
      </c>
      <c r="C4797" s="35" t="s">
        <v>405</v>
      </c>
      <c r="D4797" s="35" t="s">
        <v>1080</v>
      </c>
      <c r="E4797" s="35" t="s">
        <v>1118</v>
      </c>
      <c r="F4797" s="35" t="s">
        <v>442</v>
      </c>
      <c r="G4797" s="35" t="s">
        <v>589</v>
      </c>
    </row>
    <row r="4798" spans="1:9">
      <c r="A4798" s="34">
        <v>2084061854</v>
      </c>
      <c r="B4798" s="35" t="s">
        <v>462</v>
      </c>
      <c r="C4798" s="35" t="s">
        <v>405</v>
      </c>
      <c r="D4798" s="35" t="s">
        <v>1080</v>
      </c>
      <c r="E4798" s="35" t="s">
        <v>1118</v>
      </c>
      <c r="F4798" s="35" t="s">
        <v>442</v>
      </c>
      <c r="G4798" s="35" t="s">
        <v>504</v>
      </c>
    </row>
    <row r="4799" spans="1:9">
      <c r="A4799" s="34">
        <v>2084050582</v>
      </c>
      <c r="B4799" s="35" t="s">
        <v>462</v>
      </c>
      <c r="C4799" s="35" t="s">
        <v>405</v>
      </c>
      <c r="D4799" s="35" t="s">
        <v>1080</v>
      </c>
      <c r="E4799" s="35" t="s">
        <v>1118</v>
      </c>
      <c r="F4799" s="35" t="s">
        <v>442</v>
      </c>
      <c r="G4799" s="35" t="s">
        <v>335</v>
      </c>
    </row>
    <row r="4800" spans="1:9">
      <c r="A4800" s="34">
        <v>2084048723</v>
      </c>
      <c r="B4800" s="35" t="s">
        <v>462</v>
      </c>
      <c r="C4800" s="35" t="s">
        <v>405</v>
      </c>
      <c r="D4800" s="35" t="s">
        <v>1080</v>
      </c>
      <c r="E4800" s="35" t="s">
        <v>1118</v>
      </c>
      <c r="F4800" s="35" t="s">
        <v>335</v>
      </c>
    </row>
    <row r="4801" spans="1:7">
      <c r="A4801" s="34">
        <v>2084200679</v>
      </c>
      <c r="B4801" s="35" t="s">
        <v>462</v>
      </c>
      <c r="C4801" s="35" t="s">
        <v>405</v>
      </c>
      <c r="D4801" s="35" t="s">
        <v>1080</v>
      </c>
      <c r="E4801" s="35" t="s">
        <v>1126</v>
      </c>
      <c r="F4801" s="35" t="s">
        <v>407</v>
      </c>
    </row>
    <row r="4802" spans="1:7">
      <c r="A4802" s="34">
        <v>2084200678</v>
      </c>
      <c r="B4802" s="35" t="s">
        <v>462</v>
      </c>
      <c r="C4802" s="35" t="s">
        <v>405</v>
      </c>
      <c r="D4802" s="35" t="s">
        <v>1080</v>
      </c>
      <c r="E4802" s="35" t="s">
        <v>1126</v>
      </c>
      <c r="F4802" s="35" t="s">
        <v>408</v>
      </c>
    </row>
    <row r="4803" spans="1:7">
      <c r="A4803" s="34">
        <v>2084200680</v>
      </c>
      <c r="B4803" s="35" t="s">
        <v>462</v>
      </c>
      <c r="C4803" s="35" t="s">
        <v>405</v>
      </c>
      <c r="D4803" s="35" t="s">
        <v>1080</v>
      </c>
      <c r="E4803" s="35" t="s">
        <v>1126</v>
      </c>
      <c r="F4803" s="35" t="s">
        <v>335</v>
      </c>
    </row>
    <row r="4804" spans="1:7">
      <c r="A4804" s="34">
        <v>2084226826</v>
      </c>
      <c r="B4804" s="35" t="s">
        <v>462</v>
      </c>
      <c r="C4804" s="35" t="s">
        <v>405</v>
      </c>
      <c r="D4804" s="35" t="s">
        <v>1080</v>
      </c>
      <c r="E4804" s="35" t="s">
        <v>1127</v>
      </c>
      <c r="F4804" s="35" t="s">
        <v>390</v>
      </c>
      <c r="G4804" s="35" t="s">
        <v>367</v>
      </c>
    </row>
    <row r="4805" spans="1:7">
      <c r="A4805" s="34">
        <v>2084226827</v>
      </c>
      <c r="B4805" s="35" t="s">
        <v>462</v>
      </c>
      <c r="C4805" s="35" t="s">
        <v>405</v>
      </c>
      <c r="D4805" s="35" t="s">
        <v>1080</v>
      </c>
      <c r="E4805" s="35" t="s">
        <v>1127</v>
      </c>
      <c r="F4805" s="35" t="s">
        <v>390</v>
      </c>
      <c r="G4805" s="35" t="s">
        <v>401</v>
      </c>
    </row>
    <row r="4806" spans="1:7">
      <c r="A4806" s="34">
        <v>2084226828</v>
      </c>
      <c r="B4806" s="35" t="s">
        <v>462</v>
      </c>
      <c r="C4806" s="35" t="s">
        <v>405</v>
      </c>
      <c r="D4806" s="35" t="s">
        <v>1080</v>
      </c>
      <c r="E4806" s="35" t="s">
        <v>1127</v>
      </c>
      <c r="F4806" s="35" t="s">
        <v>390</v>
      </c>
      <c r="G4806" s="35" t="s">
        <v>402</v>
      </c>
    </row>
    <row r="4807" spans="1:7">
      <c r="A4807" s="34">
        <v>2084226830</v>
      </c>
      <c r="B4807" s="35" t="s">
        <v>462</v>
      </c>
      <c r="C4807" s="35" t="s">
        <v>405</v>
      </c>
      <c r="D4807" s="35" t="s">
        <v>1080</v>
      </c>
      <c r="E4807" s="35" t="s">
        <v>1127</v>
      </c>
      <c r="F4807" s="35" t="s">
        <v>390</v>
      </c>
      <c r="G4807" s="35" t="s">
        <v>403</v>
      </c>
    </row>
    <row r="4808" spans="1:7">
      <c r="A4808" s="34">
        <v>2084226829</v>
      </c>
      <c r="B4808" s="35" t="s">
        <v>462</v>
      </c>
      <c r="C4808" s="35" t="s">
        <v>405</v>
      </c>
      <c r="D4808" s="35" t="s">
        <v>1080</v>
      </c>
      <c r="E4808" s="35" t="s">
        <v>1127</v>
      </c>
      <c r="F4808" s="35" t="s">
        <v>390</v>
      </c>
      <c r="G4808" s="35" t="s">
        <v>478</v>
      </c>
    </row>
    <row r="4809" spans="1:7">
      <c r="A4809" s="34">
        <v>2084226831</v>
      </c>
      <c r="B4809" s="35" t="s">
        <v>462</v>
      </c>
      <c r="C4809" s="35" t="s">
        <v>405</v>
      </c>
      <c r="D4809" s="35" t="s">
        <v>1080</v>
      </c>
      <c r="E4809" s="35" t="s">
        <v>1127</v>
      </c>
      <c r="F4809" s="35" t="s">
        <v>390</v>
      </c>
      <c r="G4809" s="35" t="s">
        <v>335</v>
      </c>
    </row>
    <row r="4810" spans="1:7">
      <c r="A4810" s="34">
        <v>2084226824</v>
      </c>
      <c r="B4810" s="35" t="s">
        <v>462</v>
      </c>
      <c r="C4810" s="35" t="s">
        <v>405</v>
      </c>
      <c r="D4810" s="35" t="s">
        <v>1080</v>
      </c>
      <c r="E4810" s="35" t="s">
        <v>1127</v>
      </c>
      <c r="F4810" s="35" t="s">
        <v>408</v>
      </c>
    </row>
    <row r="4811" spans="1:7">
      <c r="A4811" s="34">
        <v>2084226832</v>
      </c>
      <c r="B4811" s="35" t="s">
        <v>462</v>
      </c>
      <c r="C4811" s="35" t="s">
        <v>405</v>
      </c>
      <c r="D4811" s="35" t="s">
        <v>1080</v>
      </c>
      <c r="E4811" s="35" t="s">
        <v>1127</v>
      </c>
      <c r="F4811" s="35" t="s">
        <v>335</v>
      </c>
    </row>
    <row r="4812" spans="1:7">
      <c r="A4812" s="34">
        <v>2084283580</v>
      </c>
      <c r="B4812" s="35" t="s">
        <v>462</v>
      </c>
      <c r="C4812" s="35" t="s">
        <v>405</v>
      </c>
      <c r="D4812" s="35" t="s">
        <v>1128</v>
      </c>
      <c r="E4812" s="35" t="s">
        <v>1129</v>
      </c>
    </row>
    <row r="4813" spans="1:7">
      <c r="A4813" s="34">
        <v>2084229902</v>
      </c>
      <c r="B4813" s="35" t="s">
        <v>462</v>
      </c>
      <c r="C4813" s="35" t="s">
        <v>405</v>
      </c>
      <c r="D4813" s="35" t="s">
        <v>1128</v>
      </c>
      <c r="E4813" s="35" t="s">
        <v>1130</v>
      </c>
      <c r="F4813" s="35" t="s">
        <v>407</v>
      </c>
    </row>
    <row r="4814" spans="1:7">
      <c r="A4814" s="34">
        <v>2084229901</v>
      </c>
      <c r="B4814" s="35" t="s">
        <v>462</v>
      </c>
      <c r="C4814" s="35" t="s">
        <v>405</v>
      </c>
      <c r="D4814" s="35" t="s">
        <v>1128</v>
      </c>
      <c r="E4814" s="35" t="s">
        <v>1130</v>
      </c>
      <c r="F4814" s="35" t="s">
        <v>408</v>
      </c>
    </row>
    <row r="4815" spans="1:7">
      <c r="A4815" s="34">
        <v>2084229903</v>
      </c>
      <c r="B4815" s="35" t="s">
        <v>462</v>
      </c>
      <c r="C4815" s="35" t="s">
        <v>405</v>
      </c>
      <c r="D4815" s="35" t="s">
        <v>1128</v>
      </c>
      <c r="E4815" s="35" t="s">
        <v>1130</v>
      </c>
      <c r="F4815" s="35" t="s">
        <v>335</v>
      </c>
    </row>
    <row r="4816" spans="1:7">
      <c r="A4816" s="34">
        <v>2084259941</v>
      </c>
      <c r="B4816" s="35" t="s">
        <v>462</v>
      </c>
      <c r="C4816" s="35" t="s">
        <v>405</v>
      </c>
      <c r="D4816" s="35" t="s">
        <v>1128</v>
      </c>
      <c r="E4816" s="35" t="s">
        <v>1131</v>
      </c>
    </row>
    <row r="4817" spans="1:8">
      <c r="A4817" s="34">
        <v>2084292284</v>
      </c>
      <c r="B4817" s="35" t="s">
        <v>462</v>
      </c>
      <c r="C4817" s="35" t="s">
        <v>405</v>
      </c>
      <c r="D4817" s="35" t="s">
        <v>1128</v>
      </c>
      <c r="E4817" s="35" t="s">
        <v>1132</v>
      </c>
      <c r="F4817" s="35" t="s">
        <v>390</v>
      </c>
      <c r="G4817" s="35" t="s">
        <v>401</v>
      </c>
    </row>
    <row r="4818" spans="1:8">
      <c r="A4818" s="34">
        <v>2084292285</v>
      </c>
      <c r="B4818" s="35" t="s">
        <v>462</v>
      </c>
      <c r="C4818" s="35" t="s">
        <v>405</v>
      </c>
      <c r="D4818" s="35" t="s">
        <v>1128</v>
      </c>
      <c r="E4818" s="35" t="s">
        <v>1132</v>
      </c>
      <c r="F4818" s="35" t="s">
        <v>390</v>
      </c>
      <c r="G4818" s="35" t="s">
        <v>402</v>
      </c>
    </row>
    <row r="4819" spans="1:8">
      <c r="A4819" s="34">
        <v>2084292286</v>
      </c>
      <c r="B4819" s="35" t="s">
        <v>462</v>
      </c>
      <c r="C4819" s="35" t="s">
        <v>405</v>
      </c>
      <c r="D4819" s="35" t="s">
        <v>1128</v>
      </c>
      <c r="E4819" s="35" t="s">
        <v>1132</v>
      </c>
      <c r="F4819" s="35" t="s">
        <v>390</v>
      </c>
      <c r="G4819" s="35" t="s">
        <v>477</v>
      </c>
    </row>
    <row r="4820" spans="1:8">
      <c r="A4820" s="34">
        <v>2084292287</v>
      </c>
      <c r="B4820" s="35" t="s">
        <v>462</v>
      </c>
      <c r="C4820" s="35" t="s">
        <v>405</v>
      </c>
      <c r="D4820" s="35" t="s">
        <v>1128</v>
      </c>
      <c r="E4820" s="35" t="s">
        <v>1132</v>
      </c>
      <c r="F4820" s="35" t="s">
        <v>390</v>
      </c>
      <c r="G4820" s="35" t="s">
        <v>335</v>
      </c>
    </row>
    <row r="4821" spans="1:8">
      <c r="A4821" s="34">
        <v>2084030725</v>
      </c>
      <c r="B4821" s="35" t="s">
        <v>462</v>
      </c>
      <c r="C4821" s="35" t="s">
        <v>405</v>
      </c>
      <c r="D4821" s="35" t="s">
        <v>1128</v>
      </c>
      <c r="E4821" s="35" t="s">
        <v>1132</v>
      </c>
      <c r="F4821" s="35" t="s">
        <v>353</v>
      </c>
      <c r="G4821" s="35" t="s">
        <v>481</v>
      </c>
    </row>
    <row r="4822" spans="1:8">
      <c r="A4822" s="34">
        <v>2084031369</v>
      </c>
      <c r="B4822" s="35" t="s">
        <v>462</v>
      </c>
      <c r="C4822" s="35" t="s">
        <v>405</v>
      </c>
      <c r="D4822" s="35" t="s">
        <v>1128</v>
      </c>
      <c r="E4822" s="35" t="s">
        <v>1132</v>
      </c>
      <c r="F4822" s="35" t="s">
        <v>353</v>
      </c>
      <c r="G4822" s="35" t="s">
        <v>494</v>
      </c>
    </row>
    <row r="4823" spans="1:8">
      <c r="A4823" s="34">
        <v>2084030275</v>
      </c>
      <c r="B4823" s="35" t="s">
        <v>462</v>
      </c>
      <c r="C4823" s="35" t="s">
        <v>405</v>
      </c>
      <c r="D4823" s="35" t="s">
        <v>1128</v>
      </c>
      <c r="E4823" s="35" t="s">
        <v>1132</v>
      </c>
      <c r="F4823" s="35" t="s">
        <v>353</v>
      </c>
      <c r="G4823" s="35" t="s">
        <v>493</v>
      </c>
    </row>
    <row r="4824" spans="1:8">
      <c r="A4824" s="34">
        <v>2084031517</v>
      </c>
      <c r="B4824" s="35" t="s">
        <v>462</v>
      </c>
      <c r="C4824" s="35" t="s">
        <v>405</v>
      </c>
      <c r="D4824" s="35" t="s">
        <v>1128</v>
      </c>
      <c r="E4824" s="35" t="s">
        <v>1132</v>
      </c>
      <c r="F4824" s="35" t="s">
        <v>353</v>
      </c>
      <c r="G4824" s="35" t="s">
        <v>397</v>
      </c>
    </row>
    <row r="4825" spans="1:8">
      <c r="A4825" s="34">
        <v>2084224742</v>
      </c>
      <c r="B4825" s="35" t="s">
        <v>462</v>
      </c>
      <c r="C4825" s="35" t="s">
        <v>405</v>
      </c>
      <c r="D4825" s="35" t="s">
        <v>1128</v>
      </c>
      <c r="E4825" s="35" t="s">
        <v>1132</v>
      </c>
      <c r="F4825" s="35" t="s">
        <v>353</v>
      </c>
      <c r="G4825" s="35" t="s">
        <v>378</v>
      </c>
      <c r="H4825" s="35" t="s">
        <v>374</v>
      </c>
    </row>
    <row r="4826" spans="1:8">
      <c r="A4826" s="34">
        <v>2084224743</v>
      </c>
      <c r="B4826" s="35" t="s">
        <v>462</v>
      </c>
      <c r="C4826" s="35" t="s">
        <v>405</v>
      </c>
      <c r="D4826" s="35" t="s">
        <v>1128</v>
      </c>
      <c r="E4826" s="35" t="s">
        <v>1132</v>
      </c>
      <c r="F4826" s="35" t="s">
        <v>353</v>
      </c>
      <c r="G4826" s="35" t="s">
        <v>378</v>
      </c>
      <c r="H4826" s="35" t="s">
        <v>375</v>
      </c>
    </row>
    <row r="4827" spans="1:8">
      <c r="A4827" s="34">
        <v>2084224744</v>
      </c>
      <c r="B4827" s="35" t="s">
        <v>462</v>
      </c>
      <c r="C4827" s="35" t="s">
        <v>405</v>
      </c>
      <c r="D4827" s="35" t="s">
        <v>1128</v>
      </c>
      <c r="E4827" s="35" t="s">
        <v>1132</v>
      </c>
      <c r="F4827" s="35" t="s">
        <v>353</v>
      </c>
      <c r="G4827" s="35" t="s">
        <v>378</v>
      </c>
      <c r="H4827" s="35" t="s">
        <v>376</v>
      </c>
    </row>
    <row r="4828" spans="1:8">
      <c r="A4828" s="34">
        <v>2084224745</v>
      </c>
      <c r="B4828" s="35" t="s">
        <v>462</v>
      </c>
      <c r="C4828" s="35" t="s">
        <v>405</v>
      </c>
      <c r="D4828" s="35" t="s">
        <v>1128</v>
      </c>
      <c r="E4828" s="35" t="s">
        <v>1132</v>
      </c>
      <c r="F4828" s="35" t="s">
        <v>353</v>
      </c>
      <c r="G4828" s="35" t="s">
        <v>378</v>
      </c>
      <c r="H4828" s="35" t="s">
        <v>377</v>
      </c>
    </row>
    <row r="4829" spans="1:8">
      <c r="A4829" s="34">
        <v>2084051149</v>
      </c>
      <c r="B4829" s="35" t="s">
        <v>462</v>
      </c>
      <c r="C4829" s="35" t="s">
        <v>405</v>
      </c>
      <c r="D4829" s="35" t="s">
        <v>1128</v>
      </c>
      <c r="E4829" s="35" t="s">
        <v>1132</v>
      </c>
      <c r="F4829" s="35" t="s">
        <v>353</v>
      </c>
      <c r="G4829" s="35" t="s">
        <v>379</v>
      </c>
      <c r="H4829" s="35" t="s">
        <v>495</v>
      </c>
    </row>
    <row r="4830" spans="1:8">
      <c r="A4830" s="34">
        <v>2084051150</v>
      </c>
      <c r="B4830" s="35" t="s">
        <v>462</v>
      </c>
      <c r="C4830" s="35" t="s">
        <v>405</v>
      </c>
      <c r="D4830" s="35" t="s">
        <v>1128</v>
      </c>
      <c r="E4830" s="35" t="s">
        <v>1132</v>
      </c>
      <c r="F4830" s="35" t="s">
        <v>353</v>
      </c>
      <c r="G4830" s="35" t="s">
        <v>379</v>
      </c>
      <c r="H4830" s="35" t="s">
        <v>335</v>
      </c>
    </row>
    <row r="4831" spans="1:8">
      <c r="A4831" s="34">
        <v>2084048728</v>
      </c>
      <c r="B4831" s="35" t="s">
        <v>462</v>
      </c>
      <c r="C4831" s="35" t="s">
        <v>405</v>
      </c>
      <c r="D4831" s="35" t="s">
        <v>1128</v>
      </c>
      <c r="E4831" s="35" t="s">
        <v>1132</v>
      </c>
      <c r="F4831" s="35" t="s">
        <v>335</v>
      </c>
    </row>
    <row r="4832" spans="1:8">
      <c r="A4832" s="34">
        <v>2084028202</v>
      </c>
      <c r="B4832" s="35" t="s">
        <v>462</v>
      </c>
      <c r="C4832" s="35" t="s">
        <v>405</v>
      </c>
      <c r="D4832" s="35" t="s">
        <v>1128</v>
      </c>
      <c r="E4832" s="35" t="s">
        <v>1133</v>
      </c>
      <c r="F4832" s="35" t="s">
        <v>367</v>
      </c>
    </row>
    <row r="4833" spans="1:7">
      <c r="A4833" s="34">
        <v>2084028751</v>
      </c>
      <c r="B4833" s="35" t="s">
        <v>462</v>
      </c>
      <c r="C4833" s="35" t="s">
        <v>405</v>
      </c>
      <c r="D4833" s="35" t="s">
        <v>1128</v>
      </c>
      <c r="E4833" s="35" t="s">
        <v>1133</v>
      </c>
      <c r="F4833" s="35" t="s">
        <v>368</v>
      </c>
      <c r="G4833" s="35" t="s">
        <v>508</v>
      </c>
    </row>
    <row r="4834" spans="1:7">
      <c r="A4834" s="34">
        <v>2084029334</v>
      </c>
      <c r="B4834" s="35" t="s">
        <v>462</v>
      </c>
      <c r="C4834" s="35" t="s">
        <v>405</v>
      </c>
      <c r="D4834" s="35" t="s">
        <v>1128</v>
      </c>
      <c r="E4834" s="35" t="s">
        <v>1133</v>
      </c>
      <c r="F4834" s="35" t="s">
        <v>368</v>
      </c>
      <c r="G4834" s="35" t="s">
        <v>481</v>
      </c>
    </row>
    <row r="4835" spans="1:7">
      <c r="A4835" s="34">
        <v>2084029843</v>
      </c>
      <c r="B4835" s="35" t="s">
        <v>462</v>
      </c>
      <c r="C4835" s="35" t="s">
        <v>405</v>
      </c>
      <c r="D4835" s="35" t="s">
        <v>1128</v>
      </c>
      <c r="E4835" s="35" t="s">
        <v>1133</v>
      </c>
      <c r="F4835" s="35" t="s">
        <v>368</v>
      </c>
      <c r="G4835" s="35" t="s">
        <v>494</v>
      </c>
    </row>
    <row r="4836" spans="1:7">
      <c r="A4836" s="34">
        <v>2084058577</v>
      </c>
      <c r="B4836" s="35" t="s">
        <v>462</v>
      </c>
      <c r="C4836" s="35" t="s">
        <v>405</v>
      </c>
      <c r="D4836" s="35" t="s">
        <v>1128</v>
      </c>
      <c r="E4836" s="35" t="s">
        <v>1133</v>
      </c>
      <c r="F4836" s="35" t="s">
        <v>368</v>
      </c>
      <c r="G4836" s="35" t="s">
        <v>335</v>
      </c>
    </row>
    <row r="4837" spans="1:7">
      <c r="A4837" s="34">
        <v>2084027300</v>
      </c>
      <c r="B4837" s="35" t="s">
        <v>462</v>
      </c>
      <c r="C4837" s="35" t="s">
        <v>405</v>
      </c>
      <c r="D4837" s="35" t="s">
        <v>1128</v>
      </c>
      <c r="E4837" s="35" t="s">
        <v>1133</v>
      </c>
      <c r="F4837" s="35" t="s">
        <v>10</v>
      </c>
      <c r="G4837" s="35" t="s">
        <v>509</v>
      </c>
    </row>
    <row r="4838" spans="1:7">
      <c r="A4838" s="34">
        <v>2084027793</v>
      </c>
      <c r="B4838" s="35" t="s">
        <v>462</v>
      </c>
      <c r="C4838" s="35" t="s">
        <v>405</v>
      </c>
      <c r="D4838" s="35" t="s">
        <v>1128</v>
      </c>
      <c r="E4838" s="35" t="s">
        <v>1133</v>
      </c>
      <c r="F4838" s="35" t="s">
        <v>10</v>
      </c>
      <c r="G4838" s="35" t="s">
        <v>510</v>
      </c>
    </row>
    <row r="4839" spans="1:7">
      <c r="A4839" s="34">
        <v>2084027875</v>
      </c>
      <c r="B4839" s="35" t="s">
        <v>462</v>
      </c>
      <c r="C4839" s="35" t="s">
        <v>405</v>
      </c>
      <c r="D4839" s="35" t="s">
        <v>1128</v>
      </c>
      <c r="E4839" s="35" t="s">
        <v>1133</v>
      </c>
      <c r="F4839" s="35" t="s">
        <v>10</v>
      </c>
      <c r="G4839" s="35" t="s">
        <v>511</v>
      </c>
    </row>
    <row r="4840" spans="1:7">
      <c r="A4840" s="34">
        <v>2084027905</v>
      </c>
      <c r="B4840" s="35" t="s">
        <v>462</v>
      </c>
      <c r="C4840" s="35" t="s">
        <v>405</v>
      </c>
      <c r="D4840" s="35" t="s">
        <v>1128</v>
      </c>
      <c r="E4840" s="35" t="s">
        <v>1133</v>
      </c>
      <c r="F4840" s="35" t="s">
        <v>10</v>
      </c>
      <c r="G4840" s="35" t="s">
        <v>493</v>
      </c>
    </row>
    <row r="4841" spans="1:7">
      <c r="A4841" s="34">
        <v>2084027474</v>
      </c>
      <c r="B4841" s="35" t="s">
        <v>462</v>
      </c>
      <c r="C4841" s="35" t="s">
        <v>405</v>
      </c>
      <c r="D4841" s="35" t="s">
        <v>1128</v>
      </c>
      <c r="E4841" s="35" t="s">
        <v>1133</v>
      </c>
      <c r="F4841" s="35" t="s">
        <v>10</v>
      </c>
      <c r="G4841" s="35" t="s">
        <v>512</v>
      </c>
    </row>
    <row r="4842" spans="1:7">
      <c r="A4842" s="34">
        <v>2084027606</v>
      </c>
      <c r="B4842" s="35" t="s">
        <v>462</v>
      </c>
      <c r="C4842" s="35" t="s">
        <v>405</v>
      </c>
      <c r="D4842" s="35" t="s">
        <v>1128</v>
      </c>
      <c r="E4842" s="35" t="s">
        <v>1133</v>
      </c>
      <c r="F4842" s="35" t="s">
        <v>10</v>
      </c>
      <c r="G4842" s="35" t="s">
        <v>513</v>
      </c>
    </row>
    <row r="4843" spans="1:7">
      <c r="A4843" s="34">
        <v>2084027943</v>
      </c>
      <c r="B4843" s="35" t="s">
        <v>462</v>
      </c>
      <c r="C4843" s="35" t="s">
        <v>405</v>
      </c>
      <c r="D4843" s="35" t="s">
        <v>1128</v>
      </c>
      <c r="E4843" s="35" t="s">
        <v>1133</v>
      </c>
      <c r="F4843" s="35" t="s">
        <v>10</v>
      </c>
      <c r="G4843" s="35" t="s">
        <v>420</v>
      </c>
    </row>
    <row r="4844" spans="1:7">
      <c r="A4844" s="34">
        <v>2084027263</v>
      </c>
      <c r="B4844" s="35" t="s">
        <v>462</v>
      </c>
      <c r="C4844" s="35" t="s">
        <v>405</v>
      </c>
      <c r="D4844" s="35" t="s">
        <v>1128</v>
      </c>
      <c r="E4844" s="35" t="s">
        <v>1133</v>
      </c>
      <c r="F4844" s="35" t="s">
        <v>10</v>
      </c>
      <c r="G4844" s="35" t="s">
        <v>514</v>
      </c>
    </row>
    <row r="4845" spans="1:7">
      <c r="A4845" s="34">
        <v>2084027439</v>
      </c>
      <c r="B4845" s="35" t="s">
        <v>462</v>
      </c>
      <c r="C4845" s="35" t="s">
        <v>405</v>
      </c>
      <c r="D4845" s="35" t="s">
        <v>1128</v>
      </c>
      <c r="E4845" s="35" t="s">
        <v>1133</v>
      </c>
      <c r="F4845" s="35" t="s">
        <v>10</v>
      </c>
      <c r="G4845" s="35" t="s">
        <v>515</v>
      </c>
    </row>
    <row r="4846" spans="1:7">
      <c r="A4846" s="34">
        <v>2084027508</v>
      </c>
      <c r="B4846" s="35" t="s">
        <v>462</v>
      </c>
      <c r="C4846" s="35" t="s">
        <v>405</v>
      </c>
      <c r="D4846" s="35" t="s">
        <v>1128</v>
      </c>
      <c r="E4846" s="35" t="s">
        <v>1133</v>
      </c>
      <c r="F4846" s="35" t="s">
        <v>10</v>
      </c>
      <c r="G4846" s="35" t="s">
        <v>421</v>
      </c>
    </row>
    <row r="4847" spans="1:7">
      <c r="A4847" s="34">
        <v>2084027719</v>
      </c>
      <c r="B4847" s="35" t="s">
        <v>462</v>
      </c>
      <c r="C4847" s="35" t="s">
        <v>405</v>
      </c>
      <c r="D4847" s="35" t="s">
        <v>1128</v>
      </c>
      <c r="E4847" s="35" t="s">
        <v>1133</v>
      </c>
      <c r="F4847" s="35" t="s">
        <v>10</v>
      </c>
      <c r="G4847" s="35" t="s">
        <v>516</v>
      </c>
    </row>
    <row r="4848" spans="1:7">
      <c r="A4848" s="34">
        <v>2084027236</v>
      </c>
      <c r="B4848" s="35" t="s">
        <v>462</v>
      </c>
      <c r="C4848" s="35" t="s">
        <v>405</v>
      </c>
      <c r="D4848" s="35" t="s">
        <v>1128</v>
      </c>
      <c r="E4848" s="35" t="s">
        <v>1133</v>
      </c>
      <c r="F4848" s="35" t="s">
        <v>10</v>
      </c>
      <c r="G4848" s="35" t="s">
        <v>517</v>
      </c>
    </row>
    <row r="4849" spans="1:7">
      <c r="A4849" s="34">
        <v>2084027374</v>
      </c>
      <c r="B4849" s="35" t="s">
        <v>462</v>
      </c>
      <c r="C4849" s="35" t="s">
        <v>405</v>
      </c>
      <c r="D4849" s="35" t="s">
        <v>1128</v>
      </c>
      <c r="E4849" s="35" t="s">
        <v>1133</v>
      </c>
      <c r="F4849" s="35" t="s">
        <v>10</v>
      </c>
      <c r="G4849" s="35" t="s">
        <v>518</v>
      </c>
    </row>
    <row r="4850" spans="1:7">
      <c r="A4850" s="34">
        <v>2084027546</v>
      </c>
      <c r="B4850" s="35" t="s">
        <v>462</v>
      </c>
      <c r="C4850" s="35" t="s">
        <v>405</v>
      </c>
      <c r="D4850" s="35" t="s">
        <v>1128</v>
      </c>
      <c r="E4850" s="35" t="s">
        <v>1133</v>
      </c>
      <c r="F4850" s="35" t="s">
        <v>10</v>
      </c>
      <c r="G4850" s="35" t="s">
        <v>422</v>
      </c>
    </row>
    <row r="4851" spans="1:7">
      <c r="A4851" s="34">
        <v>2084027769</v>
      </c>
      <c r="B4851" s="35" t="s">
        <v>462</v>
      </c>
      <c r="C4851" s="35" t="s">
        <v>405</v>
      </c>
      <c r="D4851" s="35" t="s">
        <v>1128</v>
      </c>
      <c r="E4851" s="35" t="s">
        <v>1133</v>
      </c>
      <c r="F4851" s="35" t="s">
        <v>10</v>
      </c>
      <c r="G4851" s="35" t="s">
        <v>519</v>
      </c>
    </row>
    <row r="4852" spans="1:7">
      <c r="A4852" s="34">
        <v>2084028007</v>
      </c>
      <c r="B4852" s="35" t="s">
        <v>462</v>
      </c>
      <c r="C4852" s="35" t="s">
        <v>405</v>
      </c>
      <c r="D4852" s="35" t="s">
        <v>1128</v>
      </c>
      <c r="E4852" s="35" t="s">
        <v>1133</v>
      </c>
      <c r="F4852" s="35" t="s">
        <v>379</v>
      </c>
      <c r="G4852" s="35" t="s">
        <v>520</v>
      </c>
    </row>
    <row r="4853" spans="1:7">
      <c r="A4853" s="34">
        <v>2084028080</v>
      </c>
      <c r="B4853" s="35" t="s">
        <v>462</v>
      </c>
      <c r="C4853" s="35" t="s">
        <v>405</v>
      </c>
      <c r="D4853" s="35" t="s">
        <v>1128</v>
      </c>
      <c r="E4853" s="35" t="s">
        <v>1133</v>
      </c>
      <c r="F4853" s="35" t="s">
        <v>379</v>
      </c>
      <c r="G4853" s="35" t="s">
        <v>521</v>
      </c>
    </row>
    <row r="4854" spans="1:7">
      <c r="A4854" s="34">
        <v>2084028180</v>
      </c>
      <c r="B4854" s="35" t="s">
        <v>462</v>
      </c>
      <c r="C4854" s="35" t="s">
        <v>405</v>
      </c>
      <c r="D4854" s="35" t="s">
        <v>1128</v>
      </c>
      <c r="E4854" s="35" t="s">
        <v>1133</v>
      </c>
      <c r="F4854" s="35" t="s">
        <v>379</v>
      </c>
      <c r="G4854" s="35" t="s">
        <v>522</v>
      </c>
    </row>
    <row r="4855" spans="1:7">
      <c r="A4855" s="34">
        <v>2084028420</v>
      </c>
      <c r="B4855" s="35" t="s">
        <v>462</v>
      </c>
      <c r="C4855" s="35" t="s">
        <v>405</v>
      </c>
      <c r="D4855" s="35" t="s">
        <v>1128</v>
      </c>
      <c r="E4855" s="35" t="s">
        <v>1133</v>
      </c>
      <c r="F4855" s="35" t="s">
        <v>379</v>
      </c>
      <c r="G4855" s="35" t="s">
        <v>523</v>
      </c>
    </row>
    <row r="4856" spans="1:7">
      <c r="A4856" s="34">
        <v>2084028119</v>
      </c>
      <c r="B4856" s="35" t="s">
        <v>462</v>
      </c>
      <c r="C4856" s="35" t="s">
        <v>405</v>
      </c>
      <c r="D4856" s="35" t="s">
        <v>1128</v>
      </c>
      <c r="E4856" s="35" t="s">
        <v>1133</v>
      </c>
      <c r="F4856" s="35" t="s">
        <v>379</v>
      </c>
      <c r="G4856" s="35" t="s">
        <v>524</v>
      </c>
    </row>
    <row r="4857" spans="1:7">
      <c r="A4857" s="34">
        <v>2084028285</v>
      </c>
      <c r="B4857" s="35" t="s">
        <v>462</v>
      </c>
      <c r="C4857" s="35" t="s">
        <v>405</v>
      </c>
      <c r="D4857" s="35" t="s">
        <v>1128</v>
      </c>
      <c r="E4857" s="35" t="s">
        <v>1133</v>
      </c>
      <c r="F4857" s="35" t="s">
        <v>379</v>
      </c>
      <c r="G4857" s="35" t="s">
        <v>525</v>
      </c>
    </row>
    <row r="4858" spans="1:7">
      <c r="A4858" s="34">
        <v>2084028487</v>
      </c>
      <c r="B4858" s="35" t="s">
        <v>462</v>
      </c>
      <c r="C4858" s="35" t="s">
        <v>405</v>
      </c>
      <c r="D4858" s="35" t="s">
        <v>1128</v>
      </c>
      <c r="E4858" s="35" t="s">
        <v>1133</v>
      </c>
      <c r="F4858" s="35" t="s">
        <v>379</v>
      </c>
      <c r="G4858" s="35" t="s">
        <v>526</v>
      </c>
    </row>
    <row r="4859" spans="1:7">
      <c r="A4859" s="34">
        <v>2084028310</v>
      </c>
      <c r="B4859" s="35" t="s">
        <v>462</v>
      </c>
      <c r="C4859" s="35" t="s">
        <v>405</v>
      </c>
      <c r="D4859" s="35" t="s">
        <v>1128</v>
      </c>
      <c r="E4859" s="35" t="s">
        <v>1133</v>
      </c>
      <c r="F4859" s="35" t="s">
        <v>379</v>
      </c>
      <c r="G4859" s="35" t="s">
        <v>527</v>
      </c>
    </row>
    <row r="4860" spans="1:7">
      <c r="A4860" s="34">
        <v>2084028522</v>
      </c>
      <c r="B4860" s="35" t="s">
        <v>462</v>
      </c>
      <c r="C4860" s="35" t="s">
        <v>405</v>
      </c>
      <c r="D4860" s="35" t="s">
        <v>1128</v>
      </c>
      <c r="E4860" s="35" t="s">
        <v>1133</v>
      </c>
      <c r="F4860" s="35" t="s">
        <v>379</v>
      </c>
      <c r="G4860" s="35" t="s">
        <v>528</v>
      </c>
    </row>
    <row r="4861" spans="1:7">
      <c r="A4861" s="34">
        <v>2084028348</v>
      </c>
      <c r="B4861" s="35" t="s">
        <v>462</v>
      </c>
      <c r="C4861" s="35" t="s">
        <v>405</v>
      </c>
      <c r="D4861" s="35" t="s">
        <v>1128</v>
      </c>
      <c r="E4861" s="35" t="s">
        <v>1133</v>
      </c>
      <c r="F4861" s="35" t="s">
        <v>379</v>
      </c>
      <c r="G4861" s="35" t="s">
        <v>529</v>
      </c>
    </row>
    <row r="4862" spans="1:7">
      <c r="A4862" s="34">
        <v>2084058580</v>
      </c>
      <c r="B4862" s="35" t="s">
        <v>462</v>
      </c>
      <c r="C4862" s="35" t="s">
        <v>405</v>
      </c>
      <c r="D4862" s="35" t="s">
        <v>1128</v>
      </c>
      <c r="E4862" s="35" t="s">
        <v>1133</v>
      </c>
      <c r="F4862" s="35" t="s">
        <v>379</v>
      </c>
      <c r="G4862" s="35" t="s">
        <v>335</v>
      </c>
    </row>
    <row r="4863" spans="1:7">
      <c r="A4863" s="34">
        <v>2084028562</v>
      </c>
      <c r="B4863" s="35" t="s">
        <v>462</v>
      </c>
      <c r="C4863" s="35" t="s">
        <v>405</v>
      </c>
      <c r="D4863" s="35" t="s">
        <v>1128</v>
      </c>
      <c r="E4863" s="35" t="s">
        <v>1133</v>
      </c>
      <c r="F4863" s="35" t="s">
        <v>530</v>
      </c>
      <c r="G4863" s="35" t="s">
        <v>531</v>
      </c>
    </row>
    <row r="4864" spans="1:7">
      <c r="A4864" s="34">
        <v>2084028600</v>
      </c>
      <c r="B4864" s="35" t="s">
        <v>462</v>
      </c>
      <c r="C4864" s="35" t="s">
        <v>405</v>
      </c>
      <c r="D4864" s="35" t="s">
        <v>1128</v>
      </c>
      <c r="E4864" s="35" t="s">
        <v>1133</v>
      </c>
      <c r="F4864" s="35" t="s">
        <v>530</v>
      </c>
      <c r="G4864" s="35" t="s">
        <v>532</v>
      </c>
    </row>
    <row r="4865" spans="1:7">
      <c r="A4865" s="34">
        <v>2084030100</v>
      </c>
      <c r="B4865" s="35" t="s">
        <v>462</v>
      </c>
      <c r="C4865" s="35" t="s">
        <v>405</v>
      </c>
      <c r="D4865" s="35" t="s">
        <v>1128</v>
      </c>
      <c r="E4865" s="35" t="s">
        <v>1133</v>
      </c>
      <c r="F4865" s="35" t="s">
        <v>533</v>
      </c>
      <c r="G4865" s="35" t="s">
        <v>534</v>
      </c>
    </row>
    <row r="4866" spans="1:7">
      <c r="A4866" s="34">
        <v>2084030182</v>
      </c>
      <c r="B4866" s="35" t="s">
        <v>462</v>
      </c>
      <c r="C4866" s="35" t="s">
        <v>405</v>
      </c>
      <c r="D4866" s="35" t="s">
        <v>1128</v>
      </c>
      <c r="E4866" s="35" t="s">
        <v>1133</v>
      </c>
      <c r="F4866" s="35" t="s">
        <v>533</v>
      </c>
      <c r="G4866" s="35" t="s">
        <v>535</v>
      </c>
    </row>
    <row r="4867" spans="1:7">
      <c r="A4867" s="34">
        <v>2084048732</v>
      </c>
      <c r="B4867" s="35" t="s">
        <v>462</v>
      </c>
      <c r="C4867" s="35" t="s">
        <v>405</v>
      </c>
      <c r="D4867" s="35" t="s">
        <v>1128</v>
      </c>
      <c r="E4867" s="35" t="s">
        <v>1133</v>
      </c>
      <c r="F4867" s="35" t="s">
        <v>335</v>
      </c>
    </row>
    <row r="4868" spans="1:7">
      <c r="A4868" s="34">
        <v>2084301207</v>
      </c>
      <c r="B4868" s="35" t="s">
        <v>462</v>
      </c>
      <c r="C4868" s="35" t="s">
        <v>405</v>
      </c>
      <c r="D4868" s="35" t="s">
        <v>1128</v>
      </c>
      <c r="E4868" s="35" t="s">
        <v>1134</v>
      </c>
    </row>
    <row r="4869" spans="1:7">
      <c r="A4869" s="34">
        <v>2084252945</v>
      </c>
      <c r="B4869" s="35" t="s">
        <v>462</v>
      </c>
      <c r="C4869" s="35" t="s">
        <v>405</v>
      </c>
      <c r="D4869" s="35" t="s">
        <v>1128</v>
      </c>
      <c r="E4869" s="35" t="s">
        <v>1135</v>
      </c>
      <c r="F4869" s="35" t="s">
        <v>475</v>
      </c>
    </row>
    <row r="4870" spans="1:7">
      <c r="A4870" s="34">
        <v>2084309901</v>
      </c>
      <c r="B4870" s="35" t="s">
        <v>462</v>
      </c>
      <c r="C4870" s="35" t="s">
        <v>405</v>
      </c>
      <c r="D4870" s="35" t="s">
        <v>1128</v>
      </c>
      <c r="E4870" s="35" t="s">
        <v>1135</v>
      </c>
      <c r="F4870" s="35" t="s">
        <v>611</v>
      </c>
      <c r="G4870" s="35" t="s">
        <v>914</v>
      </c>
    </row>
    <row r="4871" spans="1:7">
      <c r="A4871" s="34">
        <v>2084309902</v>
      </c>
      <c r="B4871" s="35" t="s">
        <v>462</v>
      </c>
      <c r="C4871" s="35" t="s">
        <v>405</v>
      </c>
      <c r="D4871" s="35" t="s">
        <v>1128</v>
      </c>
      <c r="E4871" s="35" t="s">
        <v>1135</v>
      </c>
      <c r="F4871" s="35" t="s">
        <v>611</v>
      </c>
      <c r="G4871" s="35">
        <v>5.5</v>
      </c>
    </row>
    <row r="4872" spans="1:7">
      <c r="A4872" s="34">
        <v>2084309903</v>
      </c>
      <c r="B4872" s="35" t="s">
        <v>462</v>
      </c>
      <c r="C4872" s="35" t="s">
        <v>405</v>
      </c>
      <c r="D4872" s="35" t="s">
        <v>1128</v>
      </c>
      <c r="E4872" s="35" t="s">
        <v>1135</v>
      </c>
      <c r="F4872" s="35" t="s">
        <v>611</v>
      </c>
      <c r="G4872" s="35">
        <v>6</v>
      </c>
    </row>
    <row r="4873" spans="1:7">
      <c r="A4873" s="34">
        <v>2084309904</v>
      </c>
      <c r="B4873" s="35" t="s">
        <v>462</v>
      </c>
      <c r="C4873" s="35" t="s">
        <v>405</v>
      </c>
      <c r="D4873" s="35" t="s">
        <v>1128</v>
      </c>
      <c r="E4873" s="35" t="s">
        <v>1135</v>
      </c>
      <c r="F4873" s="35" t="s">
        <v>611</v>
      </c>
      <c r="G4873" s="35">
        <v>6.5</v>
      </c>
    </row>
    <row r="4874" spans="1:7">
      <c r="A4874" s="34">
        <v>2084309905</v>
      </c>
      <c r="B4874" s="35" t="s">
        <v>462</v>
      </c>
      <c r="C4874" s="35" t="s">
        <v>405</v>
      </c>
      <c r="D4874" s="35" t="s">
        <v>1128</v>
      </c>
      <c r="E4874" s="35" t="s">
        <v>1135</v>
      </c>
      <c r="F4874" s="35" t="s">
        <v>611</v>
      </c>
      <c r="G4874" s="35">
        <v>7</v>
      </c>
    </row>
    <row r="4875" spans="1:7">
      <c r="A4875" s="34">
        <v>2084309906</v>
      </c>
      <c r="B4875" s="35" t="s">
        <v>462</v>
      </c>
      <c r="C4875" s="35" t="s">
        <v>405</v>
      </c>
      <c r="D4875" s="35" t="s">
        <v>1128</v>
      </c>
      <c r="E4875" s="35" t="s">
        <v>1135</v>
      </c>
      <c r="F4875" s="35" t="s">
        <v>611</v>
      </c>
      <c r="G4875" s="35">
        <v>7.5</v>
      </c>
    </row>
    <row r="4876" spans="1:7">
      <c r="A4876" s="34">
        <v>2084309907</v>
      </c>
      <c r="B4876" s="35" t="s">
        <v>462</v>
      </c>
      <c r="C4876" s="35" t="s">
        <v>405</v>
      </c>
      <c r="D4876" s="35" t="s">
        <v>1128</v>
      </c>
      <c r="E4876" s="35" t="s">
        <v>1135</v>
      </c>
      <c r="F4876" s="35" t="s">
        <v>611</v>
      </c>
      <c r="G4876" s="35">
        <v>8</v>
      </c>
    </row>
    <row r="4877" spans="1:7">
      <c r="A4877" s="34">
        <v>2084309908</v>
      </c>
      <c r="B4877" s="35" t="s">
        <v>462</v>
      </c>
      <c r="C4877" s="35" t="s">
        <v>405</v>
      </c>
      <c r="D4877" s="35" t="s">
        <v>1128</v>
      </c>
      <c r="E4877" s="35" t="s">
        <v>1135</v>
      </c>
      <c r="F4877" s="35" t="s">
        <v>611</v>
      </c>
      <c r="G4877" s="35">
        <v>8.5</v>
      </c>
    </row>
    <row r="4878" spans="1:7">
      <c r="A4878" s="34">
        <v>2084309909</v>
      </c>
      <c r="B4878" s="35" t="s">
        <v>462</v>
      </c>
      <c r="C4878" s="35" t="s">
        <v>405</v>
      </c>
      <c r="D4878" s="35" t="s">
        <v>1128</v>
      </c>
      <c r="E4878" s="35" t="s">
        <v>1135</v>
      </c>
      <c r="F4878" s="35" t="s">
        <v>611</v>
      </c>
      <c r="G4878" s="35" t="s">
        <v>1136</v>
      </c>
    </row>
    <row r="4879" spans="1:7">
      <c r="A4879" s="34">
        <v>2084054767</v>
      </c>
      <c r="B4879" s="35" t="s">
        <v>462</v>
      </c>
      <c r="C4879" s="35" t="s">
        <v>405</v>
      </c>
      <c r="D4879" s="35" t="s">
        <v>1128</v>
      </c>
      <c r="E4879" s="35" t="s">
        <v>1137</v>
      </c>
      <c r="F4879" s="35" t="s">
        <v>390</v>
      </c>
      <c r="G4879" s="35" t="s">
        <v>367</v>
      </c>
    </row>
    <row r="4880" spans="1:7">
      <c r="A4880" s="34">
        <v>2084054768</v>
      </c>
      <c r="B4880" s="35" t="s">
        <v>462</v>
      </c>
      <c r="C4880" s="35" t="s">
        <v>405</v>
      </c>
      <c r="D4880" s="35" t="s">
        <v>1128</v>
      </c>
      <c r="E4880" s="35" t="s">
        <v>1137</v>
      </c>
      <c r="F4880" s="35" t="s">
        <v>390</v>
      </c>
      <c r="G4880" s="35" t="s">
        <v>401</v>
      </c>
    </row>
    <row r="4881" spans="1:8">
      <c r="A4881" s="34">
        <v>2084054774</v>
      </c>
      <c r="B4881" s="35" t="s">
        <v>462</v>
      </c>
      <c r="C4881" s="35" t="s">
        <v>405</v>
      </c>
      <c r="D4881" s="35" t="s">
        <v>1128</v>
      </c>
      <c r="E4881" s="35" t="s">
        <v>1137</v>
      </c>
      <c r="F4881" s="35" t="s">
        <v>390</v>
      </c>
      <c r="G4881" s="35" t="s">
        <v>10</v>
      </c>
      <c r="H4881" s="35" t="s">
        <v>483</v>
      </c>
    </row>
    <row r="4882" spans="1:8">
      <c r="A4882" s="34">
        <v>2084054771</v>
      </c>
      <c r="B4882" s="35" t="s">
        <v>462</v>
      </c>
      <c r="C4882" s="35" t="s">
        <v>405</v>
      </c>
      <c r="D4882" s="35" t="s">
        <v>1128</v>
      </c>
      <c r="E4882" s="35" t="s">
        <v>1137</v>
      </c>
      <c r="F4882" s="35" t="s">
        <v>390</v>
      </c>
      <c r="G4882" s="35" t="s">
        <v>10</v>
      </c>
      <c r="H4882" s="35" t="s">
        <v>397</v>
      </c>
    </row>
    <row r="4883" spans="1:8">
      <c r="A4883" s="34">
        <v>2084054773</v>
      </c>
      <c r="B4883" s="35" t="s">
        <v>462</v>
      </c>
      <c r="C4883" s="35" t="s">
        <v>405</v>
      </c>
      <c r="D4883" s="35" t="s">
        <v>1128</v>
      </c>
      <c r="E4883" s="35" t="s">
        <v>1137</v>
      </c>
      <c r="F4883" s="35" t="s">
        <v>390</v>
      </c>
      <c r="G4883" s="35" t="s">
        <v>10</v>
      </c>
      <c r="H4883" s="35" t="s">
        <v>421</v>
      </c>
    </row>
    <row r="4884" spans="1:8">
      <c r="A4884" s="34">
        <v>2084054770</v>
      </c>
      <c r="B4884" s="35" t="s">
        <v>462</v>
      </c>
      <c r="C4884" s="35" t="s">
        <v>405</v>
      </c>
      <c r="D4884" s="35" t="s">
        <v>1128</v>
      </c>
      <c r="E4884" s="35" t="s">
        <v>1137</v>
      </c>
      <c r="F4884" s="35" t="s">
        <v>390</v>
      </c>
      <c r="G4884" s="35" t="s">
        <v>10</v>
      </c>
      <c r="H4884" s="35" t="s">
        <v>398</v>
      </c>
    </row>
    <row r="4885" spans="1:8">
      <c r="A4885" s="34">
        <v>2084054772</v>
      </c>
      <c r="B4885" s="35" t="s">
        <v>462</v>
      </c>
      <c r="C4885" s="35" t="s">
        <v>405</v>
      </c>
      <c r="D4885" s="35" t="s">
        <v>1128</v>
      </c>
      <c r="E4885" s="35" t="s">
        <v>1137</v>
      </c>
      <c r="F4885" s="35" t="s">
        <v>390</v>
      </c>
      <c r="G4885" s="35" t="s">
        <v>10</v>
      </c>
      <c r="H4885" s="35" t="s">
        <v>422</v>
      </c>
    </row>
    <row r="4886" spans="1:8">
      <c r="A4886" s="34">
        <v>2084054775</v>
      </c>
      <c r="B4886" s="35" t="s">
        <v>462</v>
      </c>
      <c r="C4886" s="35" t="s">
        <v>405</v>
      </c>
      <c r="D4886" s="35" t="s">
        <v>1128</v>
      </c>
      <c r="E4886" s="35" t="s">
        <v>1137</v>
      </c>
      <c r="F4886" s="35" t="s">
        <v>390</v>
      </c>
      <c r="G4886" s="35" t="s">
        <v>10</v>
      </c>
      <c r="H4886" s="35" t="s">
        <v>335</v>
      </c>
    </row>
    <row r="4887" spans="1:8">
      <c r="A4887" s="34">
        <v>2084054777</v>
      </c>
      <c r="B4887" s="35" t="s">
        <v>462</v>
      </c>
      <c r="C4887" s="35" t="s">
        <v>405</v>
      </c>
      <c r="D4887" s="35" t="s">
        <v>1128</v>
      </c>
      <c r="E4887" s="35" t="s">
        <v>1137</v>
      </c>
      <c r="F4887" s="35" t="s">
        <v>390</v>
      </c>
      <c r="G4887" s="35" t="s">
        <v>379</v>
      </c>
      <c r="H4887" s="35" t="s">
        <v>476</v>
      </c>
    </row>
    <row r="4888" spans="1:8">
      <c r="A4888" s="34">
        <v>2084054778</v>
      </c>
      <c r="B4888" s="35" t="s">
        <v>462</v>
      </c>
      <c r="C4888" s="35" t="s">
        <v>405</v>
      </c>
      <c r="D4888" s="35" t="s">
        <v>1128</v>
      </c>
      <c r="E4888" s="35" t="s">
        <v>1137</v>
      </c>
      <c r="F4888" s="35" t="s">
        <v>390</v>
      </c>
      <c r="G4888" s="35" t="s">
        <v>379</v>
      </c>
      <c r="H4888" s="35" t="s">
        <v>335</v>
      </c>
    </row>
    <row r="4889" spans="1:8">
      <c r="A4889" s="34">
        <v>2084054779</v>
      </c>
      <c r="B4889" s="35" t="s">
        <v>462</v>
      </c>
      <c r="C4889" s="35" t="s">
        <v>405</v>
      </c>
      <c r="D4889" s="35" t="s">
        <v>1128</v>
      </c>
      <c r="E4889" s="35" t="s">
        <v>1137</v>
      </c>
      <c r="F4889" s="35" t="s">
        <v>390</v>
      </c>
      <c r="G4889" s="35" t="s">
        <v>335</v>
      </c>
    </row>
    <row r="4890" spans="1:8">
      <c r="A4890" s="34">
        <v>2084054780</v>
      </c>
      <c r="B4890" s="35" t="s">
        <v>462</v>
      </c>
      <c r="C4890" s="35" t="s">
        <v>405</v>
      </c>
      <c r="D4890" s="35" t="s">
        <v>1128</v>
      </c>
      <c r="E4890" s="35" t="s">
        <v>1137</v>
      </c>
      <c r="F4890" s="35" t="s">
        <v>335</v>
      </c>
    </row>
    <row r="4891" spans="1:8">
      <c r="A4891" s="34">
        <v>2084056188</v>
      </c>
      <c r="B4891" s="35" t="s">
        <v>462</v>
      </c>
      <c r="C4891" s="35" t="s">
        <v>405</v>
      </c>
      <c r="D4891" s="35" t="s">
        <v>1128</v>
      </c>
      <c r="E4891" s="35" t="s">
        <v>1138</v>
      </c>
      <c r="F4891" s="35" t="s">
        <v>367</v>
      </c>
    </row>
    <row r="4892" spans="1:8">
      <c r="A4892" s="34">
        <v>2084056191</v>
      </c>
      <c r="B4892" s="35" t="s">
        <v>462</v>
      </c>
      <c r="C4892" s="35" t="s">
        <v>405</v>
      </c>
      <c r="D4892" s="35" t="s">
        <v>1128</v>
      </c>
      <c r="E4892" s="35" t="s">
        <v>1138</v>
      </c>
      <c r="F4892" s="35" t="s">
        <v>368</v>
      </c>
      <c r="G4892" s="35" t="s">
        <v>481</v>
      </c>
    </row>
    <row r="4893" spans="1:8">
      <c r="A4893" s="34">
        <v>2084056190</v>
      </c>
      <c r="B4893" s="35" t="s">
        <v>462</v>
      </c>
      <c r="C4893" s="35" t="s">
        <v>405</v>
      </c>
      <c r="D4893" s="35" t="s">
        <v>1128</v>
      </c>
      <c r="E4893" s="35" t="s">
        <v>1138</v>
      </c>
      <c r="F4893" s="35" t="s">
        <v>368</v>
      </c>
      <c r="G4893" s="35" t="s">
        <v>482</v>
      </c>
    </row>
    <row r="4894" spans="1:8">
      <c r="A4894" s="34">
        <v>2084056192</v>
      </c>
      <c r="B4894" s="35" t="s">
        <v>462</v>
      </c>
      <c r="C4894" s="35" t="s">
        <v>405</v>
      </c>
      <c r="D4894" s="35" t="s">
        <v>1128</v>
      </c>
      <c r="E4894" s="35" t="s">
        <v>1138</v>
      </c>
      <c r="F4894" s="35" t="s">
        <v>368</v>
      </c>
      <c r="G4894" s="35" t="s">
        <v>335</v>
      </c>
    </row>
    <row r="4895" spans="1:8">
      <c r="A4895" s="34">
        <v>2084056200</v>
      </c>
      <c r="B4895" s="35" t="s">
        <v>462</v>
      </c>
      <c r="C4895" s="35" t="s">
        <v>405</v>
      </c>
      <c r="D4895" s="35" t="s">
        <v>1128</v>
      </c>
      <c r="E4895" s="35" t="s">
        <v>1138</v>
      </c>
      <c r="F4895" s="35" t="s">
        <v>10</v>
      </c>
      <c r="G4895" s="35" t="s">
        <v>483</v>
      </c>
    </row>
    <row r="4896" spans="1:8">
      <c r="A4896" s="34">
        <v>2084056196</v>
      </c>
      <c r="B4896" s="35" t="s">
        <v>462</v>
      </c>
      <c r="C4896" s="35" t="s">
        <v>405</v>
      </c>
      <c r="D4896" s="35" t="s">
        <v>1128</v>
      </c>
      <c r="E4896" s="35" t="s">
        <v>1138</v>
      </c>
      <c r="F4896" s="35" t="s">
        <v>10</v>
      </c>
      <c r="G4896" s="35" t="s">
        <v>397</v>
      </c>
    </row>
    <row r="4897" spans="1:7">
      <c r="A4897" s="34">
        <v>2084056199</v>
      </c>
      <c r="B4897" s="35" t="s">
        <v>462</v>
      </c>
      <c r="C4897" s="35" t="s">
        <v>405</v>
      </c>
      <c r="D4897" s="35" t="s">
        <v>1128</v>
      </c>
      <c r="E4897" s="35" t="s">
        <v>1138</v>
      </c>
      <c r="F4897" s="35" t="s">
        <v>10</v>
      </c>
      <c r="G4897" s="35" t="s">
        <v>421</v>
      </c>
    </row>
    <row r="4898" spans="1:7">
      <c r="A4898" s="34">
        <v>2084056194</v>
      </c>
      <c r="B4898" s="35" t="s">
        <v>462</v>
      </c>
      <c r="C4898" s="35" t="s">
        <v>405</v>
      </c>
      <c r="D4898" s="35" t="s">
        <v>1128</v>
      </c>
      <c r="E4898" s="35" t="s">
        <v>1138</v>
      </c>
      <c r="F4898" s="35" t="s">
        <v>10</v>
      </c>
      <c r="G4898" s="35" t="s">
        <v>398</v>
      </c>
    </row>
    <row r="4899" spans="1:7">
      <c r="A4899" s="34">
        <v>2084056197</v>
      </c>
      <c r="B4899" s="35" t="s">
        <v>462</v>
      </c>
      <c r="C4899" s="35" t="s">
        <v>405</v>
      </c>
      <c r="D4899" s="35" t="s">
        <v>1128</v>
      </c>
      <c r="E4899" s="35" t="s">
        <v>1138</v>
      </c>
      <c r="F4899" s="35" t="s">
        <v>10</v>
      </c>
      <c r="G4899" s="35" t="s">
        <v>422</v>
      </c>
    </row>
    <row r="4900" spans="1:7">
      <c r="A4900" s="34">
        <v>2084056201</v>
      </c>
      <c r="B4900" s="35" t="s">
        <v>462</v>
      </c>
      <c r="C4900" s="35" t="s">
        <v>405</v>
      </c>
      <c r="D4900" s="35" t="s">
        <v>1128</v>
      </c>
      <c r="E4900" s="35" t="s">
        <v>1138</v>
      </c>
      <c r="F4900" s="35" t="s">
        <v>10</v>
      </c>
      <c r="G4900" s="35" t="s">
        <v>335</v>
      </c>
    </row>
    <row r="4901" spans="1:7">
      <c r="A4901" s="34">
        <v>2084056205</v>
      </c>
      <c r="B4901" s="35" t="s">
        <v>462</v>
      </c>
      <c r="C4901" s="35" t="s">
        <v>405</v>
      </c>
      <c r="D4901" s="35" t="s">
        <v>1128</v>
      </c>
      <c r="E4901" s="35" t="s">
        <v>1138</v>
      </c>
      <c r="F4901" s="35" t="s">
        <v>379</v>
      </c>
      <c r="G4901" s="35" t="s">
        <v>476</v>
      </c>
    </row>
    <row r="4902" spans="1:7">
      <c r="A4902" s="34">
        <v>2084056206</v>
      </c>
      <c r="B4902" s="35" t="s">
        <v>462</v>
      </c>
      <c r="C4902" s="35" t="s">
        <v>405</v>
      </c>
      <c r="D4902" s="35" t="s">
        <v>1128</v>
      </c>
      <c r="E4902" s="35" t="s">
        <v>1138</v>
      </c>
      <c r="F4902" s="35" t="s">
        <v>379</v>
      </c>
      <c r="G4902" s="35" t="s">
        <v>335</v>
      </c>
    </row>
    <row r="4903" spans="1:7">
      <c r="A4903" s="34">
        <v>2084061675</v>
      </c>
      <c r="B4903" s="35" t="s">
        <v>462</v>
      </c>
      <c r="C4903" s="35" t="s">
        <v>405</v>
      </c>
      <c r="D4903" s="35" t="s">
        <v>1128</v>
      </c>
      <c r="E4903" s="35" t="s">
        <v>1138</v>
      </c>
      <c r="F4903" s="35" t="s">
        <v>478</v>
      </c>
    </row>
    <row r="4904" spans="1:7">
      <c r="A4904" s="34">
        <v>2084056207</v>
      </c>
      <c r="B4904" s="35" t="s">
        <v>462</v>
      </c>
      <c r="C4904" s="35" t="s">
        <v>405</v>
      </c>
      <c r="D4904" s="35" t="s">
        <v>1128</v>
      </c>
      <c r="E4904" s="35" t="s">
        <v>1138</v>
      </c>
      <c r="F4904" s="35" t="s">
        <v>335</v>
      </c>
    </row>
    <row r="4905" spans="1:7">
      <c r="A4905" s="34">
        <v>2084308694</v>
      </c>
      <c r="B4905" s="35" t="s">
        <v>462</v>
      </c>
      <c r="C4905" s="35" t="s">
        <v>405</v>
      </c>
      <c r="D4905" s="35" t="s">
        <v>1128</v>
      </c>
      <c r="E4905" s="35" t="s">
        <v>1139</v>
      </c>
      <c r="F4905" s="35" t="s">
        <v>475</v>
      </c>
    </row>
    <row r="4906" spans="1:7">
      <c r="A4906" s="34">
        <v>2084308695</v>
      </c>
      <c r="B4906" s="35" t="s">
        <v>462</v>
      </c>
      <c r="C4906" s="35" t="s">
        <v>405</v>
      </c>
      <c r="D4906" s="35" t="s">
        <v>1128</v>
      </c>
      <c r="E4906" s="35" t="s">
        <v>1139</v>
      </c>
      <c r="F4906" s="35" t="s">
        <v>367</v>
      </c>
    </row>
    <row r="4907" spans="1:7">
      <c r="A4907" s="34">
        <v>2084308696</v>
      </c>
      <c r="B4907" s="35" t="s">
        <v>462</v>
      </c>
      <c r="C4907" s="35" t="s">
        <v>405</v>
      </c>
      <c r="D4907" s="35" t="s">
        <v>1128</v>
      </c>
      <c r="E4907" s="35" t="s">
        <v>1139</v>
      </c>
      <c r="F4907" s="35" t="s">
        <v>401</v>
      </c>
    </row>
    <row r="4908" spans="1:7">
      <c r="A4908" s="34">
        <v>2084308697</v>
      </c>
      <c r="B4908" s="35" t="s">
        <v>462</v>
      </c>
      <c r="C4908" s="35" t="s">
        <v>405</v>
      </c>
      <c r="D4908" s="35" t="s">
        <v>1128</v>
      </c>
      <c r="E4908" s="35" t="s">
        <v>1139</v>
      </c>
      <c r="F4908" s="35" t="s">
        <v>402</v>
      </c>
    </row>
    <row r="4909" spans="1:7">
      <c r="A4909" s="34">
        <v>2084308699</v>
      </c>
      <c r="B4909" s="35" t="s">
        <v>462</v>
      </c>
      <c r="C4909" s="35" t="s">
        <v>405</v>
      </c>
      <c r="D4909" s="35" t="s">
        <v>1128</v>
      </c>
      <c r="E4909" s="35" t="s">
        <v>1139</v>
      </c>
      <c r="F4909" s="35" t="s">
        <v>476</v>
      </c>
    </row>
    <row r="4910" spans="1:7">
      <c r="A4910" s="34">
        <v>2084308698</v>
      </c>
      <c r="B4910" s="35" t="s">
        <v>462</v>
      </c>
      <c r="C4910" s="35" t="s">
        <v>405</v>
      </c>
      <c r="D4910" s="35" t="s">
        <v>1128</v>
      </c>
      <c r="E4910" s="35" t="s">
        <v>1139</v>
      </c>
      <c r="F4910" s="35" t="s">
        <v>477</v>
      </c>
    </row>
    <row r="4911" spans="1:7">
      <c r="A4911" s="34">
        <v>2084308702</v>
      </c>
      <c r="B4911" s="35" t="s">
        <v>462</v>
      </c>
      <c r="C4911" s="35" t="s">
        <v>405</v>
      </c>
      <c r="D4911" s="35" t="s">
        <v>1128</v>
      </c>
      <c r="E4911" s="35" t="s">
        <v>1139</v>
      </c>
      <c r="F4911" s="35" t="s">
        <v>478</v>
      </c>
    </row>
    <row r="4912" spans="1:7">
      <c r="A4912" s="34">
        <v>2084308701</v>
      </c>
      <c r="B4912" s="35" t="s">
        <v>462</v>
      </c>
      <c r="C4912" s="35" t="s">
        <v>405</v>
      </c>
      <c r="D4912" s="35" t="s">
        <v>1128</v>
      </c>
      <c r="E4912" s="35" t="s">
        <v>1139</v>
      </c>
      <c r="F4912" s="35" t="s">
        <v>484</v>
      </c>
    </row>
    <row r="4913" spans="1:8">
      <c r="A4913" s="34">
        <v>2084308700</v>
      </c>
      <c r="B4913" s="35" t="s">
        <v>462</v>
      </c>
      <c r="C4913" s="35" t="s">
        <v>405</v>
      </c>
      <c r="D4913" s="35" t="s">
        <v>1128</v>
      </c>
      <c r="E4913" s="35" t="s">
        <v>1139</v>
      </c>
      <c r="F4913" s="35" t="s">
        <v>335</v>
      </c>
    </row>
    <row r="4914" spans="1:8">
      <c r="A4914" s="34">
        <v>2084259948</v>
      </c>
      <c r="B4914" s="35" t="s">
        <v>462</v>
      </c>
      <c r="C4914" s="35" t="s">
        <v>405</v>
      </c>
      <c r="D4914" s="35" t="s">
        <v>1128</v>
      </c>
      <c r="E4914" s="35" t="s">
        <v>1140</v>
      </c>
    </row>
    <row r="4915" spans="1:8">
      <c r="A4915" s="34">
        <v>2084230006</v>
      </c>
      <c r="B4915" s="35" t="s">
        <v>462</v>
      </c>
      <c r="C4915" s="35" t="s">
        <v>405</v>
      </c>
      <c r="D4915" s="35" t="s">
        <v>1128</v>
      </c>
      <c r="E4915" s="35" t="s">
        <v>1141</v>
      </c>
      <c r="F4915" s="35" t="s">
        <v>335</v>
      </c>
    </row>
    <row r="4916" spans="1:8">
      <c r="A4916" s="34">
        <v>2084230005</v>
      </c>
      <c r="B4916" s="35" t="s">
        <v>462</v>
      </c>
      <c r="C4916" s="35" t="s">
        <v>405</v>
      </c>
      <c r="D4916" s="35" t="s">
        <v>1128</v>
      </c>
      <c r="E4916" s="35" t="s">
        <v>1141</v>
      </c>
      <c r="F4916" s="35" t="s">
        <v>407</v>
      </c>
    </row>
    <row r="4917" spans="1:8">
      <c r="A4917" s="34">
        <v>2084289444</v>
      </c>
      <c r="B4917" s="35" t="s">
        <v>462</v>
      </c>
      <c r="C4917" s="35" t="s">
        <v>405</v>
      </c>
      <c r="D4917" s="35" t="s">
        <v>1128</v>
      </c>
      <c r="E4917" s="35" t="s">
        <v>1141</v>
      </c>
      <c r="F4917" s="35" t="s">
        <v>353</v>
      </c>
      <c r="G4917" s="35" t="s">
        <v>367</v>
      </c>
    </row>
    <row r="4918" spans="1:8">
      <c r="A4918" s="34">
        <v>2084289445</v>
      </c>
      <c r="B4918" s="35" t="s">
        <v>462</v>
      </c>
      <c r="C4918" s="35" t="s">
        <v>405</v>
      </c>
      <c r="D4918" s="35" t="s">
        <v>1128</v>
      </c>
      <c r="E4918" s="35" t="s">
        <v>1141</v>
      </c>
      <c r="F4918" s="35" t="s">
        <v>353</v>
      </c>
      <c r="G4918" s="35" t="s">
        <v>401</v>
      </c>
    </row>
    <row r="4919" spans="1:8">
      <c r="A4919" s="34">
        <v>2084289446</v>
      </c>
      <c r="B4919" s="35" t="s">
        <v>462</v>
      </c>
      <c r="C4919" s="35" t="s">
        <v>405</v>
      </c>
      <c r="D4919" s="35" t="s">
        <v>1128</v>
      </c>
      <c r="E4919" s="35" t="s">
        <v>1141</v>
      </c>
      <c r="F4919" s="35" t="s">
        <v>353</v>
      </c>
      <c r="G4919" s="35" t="s">
        <v>402</v>
      </c>
    </row>
    <row r="4920" spans="1:8">
      <c r="A4920" s="34">
        <v>2084289447</v>
      </c>
      <c r="B4920" s="35" t="s">
        <v>462</v>
      </c>
      <c r="C4920" s="35" t="s">
        <v>405</v>
      </c>
      <c r="D4920" s="35" t="s">
        <v>1128</v>
      </c>
      <c r="E4920" s="35" t="s">
        <v>1141</v>
      </c>
      <c r="F4920" s="35" t="s">
        <v>353</v>
      </c>
      <c r="G4920" s="35" t="s">
        <v>403</v>
      </c>
    </row>
    <row r="4921" spans="1:8">
      <c r="A4921" s="34">
        <v>2084289448</v>
      </c>
      <c r="B4921" s="35" t="s">
        <v>462</v>
      </c>
      <c r="C4921" s="35" t="s">
        <v>405</v>
      </c>
      <c r="D4921" s="35" t="s">
        <v>1128</v>
      </c>
      <c r="E4921" s="35" t="s">
        <v>1141</v>
      </c>
      <c r="F4921" s="35" t="s">
        <v>353</v>
      </c>
      <c r="G4921" s="35" t="s">
        <v>335</v>
      </c>
    </row>
    <row r="4922" spans="1:8">
      <c r="A4922" s="34">
        <v>2084050272</v>
      </c>
      <c r="B4922" s="35" t="s">
        <v>462</v>
      </c>
      <c r="C4922" s="35" t="s">
        <v>405</v>
      </c>
      <c r="D4922" s="35" t="s">
        <v>1128</v>
      </c>
      <c r="E4922" s="35" t="s">
        <v>1142</v>
      </c>
    </row>
    <row r="4923" spans="1:8">
      <c r="A4923" s="34">
        <v>2084055188</v>
      </c>
      <c r="B4923" s="35" t="s">
        <v>462</v>
      </c>
      <c r="C4923" s="35" t="s">
        <v>405</v>
      </c>
      <c r="D4923" s="35" t="s">
        <v>1128</v>
      </c>
      <c r="E4923" s="35" t="s">
        <v>1143</v>
      </c>
      <c r="F4923" s="35" t="s">
        <v>484</v>
      </c>
    </row>
    <row r="4924" spans="1:8">
      <c r="A4924" s="34">
        <v>2084055174</v>
      </c>
      <c r="B4924" s="35" t="s">
        <v>462</v>
      </c>
      <c r="C4924" s="35" t="s">
        <v>405</v>
      </c>
      <c r="D4924" s="35" t="s">
        <v>1128</v>
      </c>
      <c r="E4924" s="35" t="s">
        <v>1143</v>
      </c>
      <c r="F4924" s="35" t="s">
        <v>353</v>
      </c>
      <c r="G4924" s="35" t="s">
        <v>367</v>
      </c>
    </row>
    <row r="4925" spans="1:8">
      <c r="A4925" s="34">
        <v>2084055177</v>
      </c>
      <c r="B4925" s="35" t="s">
        <v>462</v>
      </c>
      <c r="C4925" s="35" t="s">
        <v>405</v>
      </c>
      <c r="D4925" s="35" t="s">
        <v>1128</v>
      </c>
      <c r="E4925" s="35" t="s">
        <v>1143</v>
      </c>
      <c r="F4925" s="35" t="s">
        <v>353</v>
      </c>
      <c r="G4925" s="35" t="s">
        <v>368</v>
      </c>
      <c r="H4925" s="35" t="s">
        <v>481</v>
      </c>
    </row>
    <row r="4926" spans="1:8">
      <c r="A4926" s="34">
        <v>2084055176</v>
      </c>
      <c r="B4926" s="35" t="s">
        <v>462</v>
      </c>
      <c r="C4926" s="35" t="s">
        <v>405</v>
      </c>
      <c r="D4926" s="35" t="s">
        <v>1128</v>
      </c>
      <c r="E4926" s="35" t="s">
        <v>1143</v>
      </c>
      <c r="F4926" s="35" t="s">
        <v>353</v>
      </c>
      <c r="G4926" s="35" t="s">
        <v>368</v>
      </c>
      <c r="H4926" s="35" t="s">
        <v>482</v>
      </c>
    </row>
    <row r="4927" spans="1:8">
      <c r="A4927" s="34">
        <v>2084055178</v>
      </c>
      <c r="B4927" s="35" t="s">
        <v>462</v>
      </c>
      <c r="C4927" s="35" t="s">
        <v>405</v>
      </c>
      <c r="D4927" s="35" t="s">
        <v>1128</v>
      </c>
      <c r="E4927" s="35" t="s">
        <v>1143</v>
      </c>
      <c r="F4927" s="35" t="s">
        <v>353</v>
      </c>
      <c r="G4927" s="35" t="s">
        <v>368</v>
      </c>
      <c r="H4927" s="35" t="s">
        <v>335</v>
      </c>
    </row>
    <row r="4928" spans="1:8">
      <c r="A4928" s="34">
        <v>2084055184</v>
      </c>
      <c r="B4928" s="35" t="s">
        <v>462</v>
      </c>
      <c r="C4928" s="35" t="s">
        <v>405</v>
      </c>
      <c r="D4928" s="35" t="s">
        <v>1128</v>
      </c>
      <c r="E4928" s="35" t="s">
        <v>1143</v>
      </c>
      <c r="F4928" s="35" t="s">
        <v>353</v>
      </c>
      <c r="G4928" s="35" t="s">
        <v>10</v>
      </c>
      <c r="H4928" s="35" t="s">
        <v>483</v>
      </c>
    </row>
    <row r="4929" spans="1:9">
      <c r="A4929" s="34">
        <v>2084055181</v>
      </c>
      <c r="B4929" s="35" t="s">
        <v>462</v>
      </c>
      <c r="C4929" s="35" t="s">
        <v>405</v>
      </c>
      <c r="D4929" s="35" t="s">
        <v>1128</v>
      </c>
      <c r="E4929" s="35" t="s">
        <v>1143</v>
      </c>
      <c r="F4929" s="35" t="s">
        <v>353</v>
      </c>
      <c r="G4929" s="35" t="s">
        <v>10</v>
      </c>
      <c r="H4929" s="35" t="s">
        <v>397</v>
      </c>
    </row>
    <row r="4930" spans="1:9">
      <c r="A4930" s="34">
        <v>2084055183</v>
      </c>
      <c r="B4930" s="35" t="s">
        <v>462</v>
      </c>
      <c r="C4930" s="35" t="s">
        <v>405</v>
      </c>
      <c r="D4930" s="35" t="s">
        <v>1128</v>
      </c>
      <c r="E4930" s="35" t="s">
        <v>1143</v>
      </c>
      <c r="F4930" s="35" t="s">
        <v>353</v>
      </c>
      <c r="G4930" s="35" t="s">
        <v>10</v>
      </c>
      <c r="H4930" s="35" t="s">
        <v>421</v>
      </c>
    </row>
    <row r="4931" spans="1:9">
      <c r="A4931" s="34">
        <v>2084224746</v>
      </c>
      <c r="B4931" s="35" t="s">
        <v>462</v>
      </c>
      <c r="C4931" s="35" t="s">
        <v>405</v>
      </c>
      <c r="D4931" s="35" t="s">
        <v>1128</v>
      </c>
      <c r="E4931" s="35" t="s">
        <v>1143</v>
      </c>
      <c r="F4931" s="35" t="s">
        <v>353</v>
      </c>
      <c r="G4931" s="35" t="s">
        <v>10</v>
      </c>
      <c r="H4931" s="35" t="s">
        <v>378</v>
      </c>
      <c r="I4931" s="35" t="s">
        <v>1028</v>
      </c>
    </row>
    <row r="4932" spans="1:9">
      <c r="A4932" s="34">
        <v>2084224747</v>
      </c>
      <c r="B4932" s="35" t="s">
        <v>462</v>
      </c>
      <c r="C4932" s="35" t="s">
        <v>405</v>
      </c>
      <c r="D4932" s="35" t="s">
        <v>1128</v>
      </c>
      <c r="E4932" s="35" t="s">
        <v>1143</v>
      </c>
      <c r="F4932" s="35" t="s">
        <v>353</v>
      </c>
      <c r="G4932" s="35" t="s">
        <v>10</v>
      </c>
      <c r="H4932" s="35" t="s">
        <v>378</v>
      </c>
      <c r="I4932" s="35" t="s">
        <v>1029</v>
      </c>
    </row>
    <row r="4933" spans="1:9">
      <c r="A4933" s="34">
        <v>2084224748</v>
      </c>
      <c r="B4933" s="35" t="s">
        <v>462</v>
      </c>
      <c r="C4933" s="35" t="s">
        <v>405</v>
      </c>
      <c r="D4933" s="35" t="s">
        <v>1128</v>
      </c>
      <c r="E4933" s="35" t="s">
        <v>1143</v>
      </c>
      <c r="F4933" s="35" t="s">
        <v>353</v>
      </c>
      <c r="G4933" s="35" t="s">
        <v>10</v>
      </c>
      <c r="H4933" s="35" t="s">
        <v>378</v>
      </c>
      <c r="I4933" s="35" t="s">
        <v>1030</v>
      </c>
    </row>
    <row r="4934" spans="1:9">
      <c r="A4934" s="34">
        <v>2084224749</v>
      </c>
      <c r="B4934" s="35" t="s">
        <v>462</v>
      </c>
      <c r="C4934" s="35" t="s">
        <v>405</v>
      </c>
      <c r="D4934" s="35" t="s">
        <v>1128</v>
      </c>
      <c r="E4934" s="35" t="s">
        <v>1143</v>
      </c>
      <c r="F4934" s="35" t="s">
        <v>353</v>
      </c>
      <c r="G4934" s="35" t="s">
        <v>10</v>
      </c>
      <c r="H4934" s="35" t="s">
        <v>378</v>
      </c>
      <c r="I4934" s="35" t="s">
        <v>1031</v>
      </c>
    </row>
    <row r="4935" spans="1:9">
      <c r="A4935" s="34">
        <v>2084055182</v>
      </c>
      <c r="B4935" s="35" t="s">
        <v>462</v>
      </c>
      <c r="C4935" s="35" t="s">
        <v>405</v>
      </c>
      <c r="D4935" s="35" t="s">
        <v>1128</v>
      </c>
      <c r="E4935" s="35" t="s">
        <v>1143</v>
      </c>
      <c r="F4935" s="35" t="s">
        <v>353</v>
      </c>
      <c r="G4935" s="35" t="s">
        <v>10</v>
      </c>
      <c r="H4935" s="35" t="s">
        <v>422</v>
      </c>
    </row>
    <row r="4936" spans="1:9">
      <c r="A4936" s="34">
        <v>2084055185</v>
      </c>
      <c r="B4936" s="35" t="s">
        <v>462</v>
      </c>
      <c r="C4936" s="35" t="s">
        <v>405</v>
      </c>
      <c r="D4936" s="35" t="s">
        <v>1128</v>
      </c>
      <c r="E4936" s="35" t="s">
        <v>1143</v>
      </c>
      <c r="F4936" s="35" t="s">
        <v>353</v>
      </c>
      <c r="G4936" s="35" t="s">
        <v>10</v>
      </c>
      <c r="H4936" s="35" t="s">
        <v>335</v>
      </c>
    </row>
    <row r="4937" spans="1:9">
      <c r="A4937" s="34">
        <v>2084055186</v>
      </c>
      <c r="B4937" s="35" t="s">
        <v>462</v>
      </c>
      <c r="C4937" s="35" t="s">
        <v>405</v>
      </c>
      <c r="D4937" s="35" t="s">
        <v>1128</v>
      </c>
      <c r="E4937" s="35" t="s">
        <v>1143</v>
      </c>
      <c r="F4937" s="35" t="s">
        <v>353</v>
      </c>
      <c r="G4937" s="35" t="s">
        <v>403</v>
      </c>
    </row>
    <row r="4938" spans="1:9">
      <c r="A4938" s="34">
        <v>2084055187</v>
      </c>
      <c r="B4938" s="35" t="s">
        <v>462</v>
      </c>
      <c r="C4938" s="35" t="s">
        <v>405</v>
      </c>
      <c r="D4938" s="35" t="s">
        <v>1128</v>
      </c>
      <c r="E4938" s="35" t="s">
        <v>1143</v>
      </c>
      <c r="F4938" s="35" t="s">
        <v>353</v>
      </c>
      <c r="G4938" s="35" t="s">
        <v>335</v>
      </c>
    </row>
    <row r="4939" spans="1:9">
      <c r="A4939" s="34">
        <v>2084055189</v>
      </c>
      <c r="B4939" s="35" t="s">
        <v>462</v>
      </c>
      <c r="C4939" s="35" t="s">
        <v>405</v>
      </c>
      <c r="D4939" s="35" t="s">
        <v>1128</v>
      </c>
      <c r="E4939" s="35" t="s">
        <v>1143</v>
      </c>
      <c r="F4939" s="35" t="s">
        <v>335</v>
      </c>
    </row>
    <row r="4940" spans="1:9">
      <c r="A4940" s="34">
        <v>2084036137</v>
      </c>
      <c r="B4940" s="35" t="s">
        <v>462</v>
      </c>
      <c r="C4940" s="35" t="s">
        <v>405</v>
      </c>
      <c r="D4940" s="35" t="s">
        <v>1128</v>
      </c>
      <c r="E4940" s="35" t="s">
        <v>1144</v>
      </c>
      <c r="F4940" s="35" t="s">
        <v>569</v>
      </c>
    </row>
    <row r="4941" spans="1:9">
      <c r="A4941" s="34">
        <v>2084061674</v>
      </c>
      <c r="B4941" s="35" t="s">
        <v>462</v>
      </c>
      <c r="C4941" s="35" t="s">
        <v>405</v>
      </c>
      <c r="D4941" s="35" t="s">
        <v>1128</v>
      </c>
      <c r="E4941" s="35" t="s">
        <v>1144</v>
      </c>
      <c r="F4941" s="35" t="s">
        <v>390</v>
      </c>
      <c r="G4941" s="35" t="s">
        <v>367</v>
      </c>
    </row>
    <row r="4942" spans="1:9">
      <c r="A4942" s="34">
        <v>2084051138</v>
      </c>
      <c r="B4942" s="35" t="s">
        <v>462</v>
      </c>
      <c r="C4942" s="35" t="s">
        <v>405</v>
      </c>
      <c r="D4942" s="35" t="s">
        <v>1128</v>
      </c>
      <c r="E4942" s="35" t="s">
        <v>1144</v>
      </c>
      <c r="F4942" s="35" t="s">
        <v>390</v>
      </c>
      <c r="G4942" s="35" t="s">
        <v>368</v>
      </c>
      <c r="H4942" s="35" t="s">
        <v>481</v>
      </c>
    </row>
    <row r="4943" spans="1:9">
      <c r="A4943" s="34">
        <v>2084051139</v>
      </c>
      <c r="B4943" s="35" t="s">
        <v>462</v>
      </c>
      <c r="C4943" s="35" t="s">
        <v>405</v>
      </c>
      <c r="D4943" s="35" t="s">
        <v>1128</v>
      </c>
      <c r="E4943" s="35" t="s">
        <v>1144</v>
      </c>
      <c r="F4943" s="35" t="s">
        <v>390</v>
      </c>
      <c r="G4943" s="35" t="s">
        <v>368</v>
      </c>
      <c r="H4943" s="35" t="s">
        <v>335</v>
      </c>
    </row>
    <row r="4944" spans="1:9">
      <c r="A4944" s="34">
        <v>2084051143</v>
      </c>
      <c r="B4944" s="35" t="s">
        <v>462</v>
      </c>
      <c r="C4944" s="35" t="s">
        <v>405</v>
      </c>
      <c r="D4944" s="35" t="s">
        <v>1128</v>
      </c>
      <c r="E4944" s="35" t="s">
        <v>1144</v>
      </c>
      <c r="F4944" s="35" t="s">
        <v>390</v>
      </c>
      <c r="G4944" s="35" t="s">
        <v>10</v>
      </c>
      <c r="H4944" s="35" t="s">
        <v>622</v>
      </c>
    </row>
    <row r="4945" spans="1:8">
      <c r="A4945" s="34">
        <v>2084051142</v>
      </c>
      <c r="B4945" s="35" t="s">
        <v>462</v>
      </c>
      <c r="C4945" s="35" t="s">
        <v>405</v>
      </c>
      <c r="D4945" s="35" t="s">
        <v>1128</v>
      </c>
      <c r="E4945" s="35" t="s">
        <v>1144</v>
      </c>
      <c r="F4945" s="35" t="s">
        <v>390</v>
      </c>
      <c r="G4945" s="35" t="s">
        <v>10</v>
      </c>
      <c r="H4945" s="35" t="s">
        <v>397</v>
      </c>
    </row>
    <row r="4946" spans="1:8">
      <c r="A4946" s="34">
        <v>2084051141</v>
      </c>
      <c r="B4946" s="35" t="s">
        <v>462</v>
      </c>
      <c r="C4946" s="35" t="s">
        <v>405</v>
      </c>
      <c r="D4946" s="35" t="s">
        <v>1128</v>
      </c>
      <c r="E4946" s="35" t="s">
        <v>1144</v>
      </c>
      <c r="F4946" s="35" t="s">
        <v>390</v>
      </c>
      <c r="G4946" s="35" t="s">
        <v>10</v>
      </c>
      <c r="H4946" s="35" t="s">
        <v>398</v>
      </c>
    </row>
    <row r="4947" spans="1:8">
      <c r="A4947" s="34">
        <v>2084051144</v>
      </c>
      <c r="B4947" s="35" t="s">
        <v>462</v>
      </c>
      <c r="C4947" s="35" t="s">
        <v>405</v>
      </c>
      <c r="D4947" s="35" t="s">
        <v>1128</v>
      </c>
      <c r="E4947" s="35" t="s">
        <v>1144</v>
      </c>
      <c r="F4947" s="35" t="s">
        <v>390</v>
      </c>
      <c r="G4947" s="35" t="s">
        <v>10</v>
      </c>
      <c r="H4947" s="35" t="s">
        <v>335</v>
      </c>
    </row>
    <row r="4948" spans="1:8">
      <c r="A4948" s="34">
        <v>2084051146</v>
      </c>
      <c r="B4948" s="35" t="s">
        <v>462</v>
      </c>
      <c r="C4948" s="35" t="s">
        <v>405</v>
      </c>
      <c r="D4948" s="35" t="s">
        <v>1128</v>
      </c>
      <c r="E4948" s="35" t="s">
        <v>1144</v>
      </c>
      <c r="F4948" s="35" t="s">
        <v>390</v>
      </c>
      <c r="G4948" s="35" t="s">
        <v>379</v>
      </c>
      <c r="H4948" s="35" t="s">
        <v>476</v>
      </c>
    </row>
    <row r="4949" spans="1:8">
      <c r="A4949" s="34">
        <v>2084051147</v>
      </c>
      <c r="B4949" s="35" t="s">
        <v>462</v>
      </c>
      <c r="C4949" s="35" t="s">
        <v>405</v>
      </c>
      <c r="D4949" s="35" t="s">
        <v>1128</v>
      </c>
      <c r="E4949" s="35" t="s">
        <v>1144</v>
      </c>
      <c r="F4949" s="35" t="s">
        <v>390</v>
      </c>
      <c r="G4949" s="35" t="s">
        <v>379</v>
      </c>
      <c r="H4949" s="35" t="s">
        <v>335</v>
      </c>
    </row>
    <row r="4950" spans="1:8">
      <c r="A4950" s="34">
        <v>2084061673</v>
      </c>
      <c r="B4950" s="35" t="s">
        <v>462</v>
      </c>
      <c r="C4950" s="35" t="s">
        <v>405</v>
      </c>
      <c r="D4950" s="35" t="s">
        <v>1128</v>
      </c>
      <c r="E4950" s="35" t="s">
        <v>1144</v>
      </c>
      <c r="F4950" s="35" t="s">
        <v>390</v>
      </c>
      <c r="G4950" s="35" t="s">
        <v>478</v>
      </c>
    </row>
    <row r="4951" spans="1:8">
      <c r="A4951" s="34">
        <v>2084051136</v>
      </c>
      <c r="B4951" s="35" t="s">
        <v>462</v>
      </c>
      <c r="C4951" s="35" t="s">
        <v>405</v>
      </c>
      <c r="D4951" s="35" t="s">
        <v>1128</v>
      </c>
      <c r="E4951" s="35" t="s">
        <v>1144</v>
      </c>
      <c r="F4951" s="35" t="s">
        <v>390</v>
      </c>
      <c r="G4951" s="35" t="s">
        <v>335</v>
      </c>
    </row>
    <row r="4952" spans="1:8">
      <c r="A4952" s="34">
        <v>2084244056</v>
      </c>
      <c r="B4952" s="35" t="s">
        <v>462</v>
      </c>
      <c r="C4952" s="35" t="s">
        <v>405</v>
      </c>
      <c r="D4952" s="35" t="s">
        <v>1128</v>
      </c>
      <c r="E4952" s="35" t="s">
        <v>1144</v>
      </c>
      <c r="F4952" s="35" t="s">
        <v>408</v>
      </c>
    </row>
    <row r="4953" spans="1:8">
      <c r="A4953" s="34">
        <v>2084048641</v>
      </c>
      <c r="B4953" s="35" t="s">
        <v>462</v>
      </c>
      <c r="C4953" s="35" t="s">
        <v>405</v>
      </c>
      <c r="D4953" s="35" t="s">
        <v>1128</v>
      </c>
      <c r="E4953" s="35" t="s">
        <v>1144</v>
      </c>
      <c r="F4953" s="35" t="s">
        <v>335</v>
      </c>
    </row>
    <row r="4954" spans="1:8">
      <c r="A4954" s="34">
        <v>2084259949</v>
      </c>
      <c r="B4954" s="35" t="s">
        <v>462</v>
      </c>
      <c r="C4954" s="35" t="s">
        <v>405</v>
      </c>
      <c r="D4954" s="35" t="s">
        <v>1128</v>
      </c>
      <c r="E4954" s="35" t="s">
        <v>1145</v>
      </c>
    </row>
    <row r="4955" spans="1:8">
      <c r="A4955" s="34">
        <v>2084050274</v>
      </c>
      <c r="B4955" s="35" t="s">
        <v>462</v>
      </c>
      <c r="C4955" s="35" t="s">
        <v>405</v>
      </c>
      <c r="D4955" s="35" t="s">
        <v>1128</v>
      </c>
      <c r="E4955" s="35" t="s">
        <v>1146</v>
      </c>
    </row>
    <row r="4956" spans="1:8">
      <c r="A4956" s="34">
        <v>2084199153</v>
      </c>
      <c r="B4956" s="35" t="s">
        <v>462</v>
      </c>
      <c r="C4956" s="35" t="s">
        <v>405</v>
      </c>
      <c r="D4956" s="35" t="s">
        <v>1128</v>
      </c>
      <c r="E4956" s="35" t="s">
        <v>1147</v>
      </c>
      <c r="F4956" s="35" t="s">
        <v>407</v>
      </c>
    </row>
    <row r="4957" spans="1:8">
      <c r="A4957" s="34">
        <v>2084199137</v>
      </c>
      <c r="B4957" s="35" t="s">
        <v>462</v>
      </c>
      <c r="C4957" s="35" t="s">
        <v>405</v>
      </c>
      <c r="D4957" s="35" t="s">
        <v>1128</v>
      </c>
      <c r="E4957" s="35" t="s">
        <v>1147</v>
      </c>
      <c r="F4957" s="35" t="s">
        <v>353</v>
      </c>
      <c r="G4957" s="35" t="s">
        <v>367</v>
      </c>
    </row>
    <row r="4958" spans="1:8">
      <c r="A4958" s="34">
        <v>2084199139</v>
      </c>
      <c r="B4958" s="35" t="s">
        <v>462</v>
      </c>
      <c r="C4958" s="35" t="s">
        <v>405</v>
      </c>
      <c r="D4958" s="35" t="s">
        <v>1128</v>
      </c>
      <c r="E4958" s="35" t="s">
        <v>1147</v>
      </c>
      <c r="F4958" s="35" t="s">
        <v>353</v>
      </c>
      <c r="G4958" s="35" t="s">
        <v>368</v>
      </c>
      <c r="H4958" s="35" t="s">
        <v>481</v>
      </c>
    </row>
    <row r="4959" spans="1:8">
      <c r="A4959" s="34">
        <v>2084199142</v>
      </c>
      <c r="B4959" s="35" t="s">
        <v>462</v>
      </c>
      <c r="C4959" s="35" t="s">
        <v>405</v>
      </c>
      <c r="D4959" s="35" t="s">
        <v>1128</v>
      </c>
      <c r="E4959" s="35" t="s">
        <v>1147</v>
      </c>
      <c r="F4959" s="35" t="s">
        <v>353</v>
      </c>
      <c r="G4959" s="35" t="s">
        <v>368</v>
      </c>
      <c r="H4959" s="35" t="s">
        <v>482</v>
      </c>
    </row>
    <row r="4960" spans="1:8">
      <c r="A4960" s="34">
        <v>2084199143</v>
      </c>
      <c r="B4960" s="35" t="s">
        <v>462</v>
      </c>
      <c r="C4960" s="35" t="s">
        <v>405</v>
      </c>
      <c r="D4960" s="35" t="s">
        <v>1128</v>
      </c>
      <c r="E4960" s="35" t="s">
        <v>1147</v>
      </c>
      <c r="F4960" s="35" t="s">
        <v>353</v>
      </c>
      <c r="G4960" s="35" t="s">
        <v>368</v>
      </c>
      <c r="H4960" s="35" t="s">
        <v>335</v>
      </c>
    </row>
    <row r="4961" spans="1:8">
      <c r="A4961" s="34">
        <v>2084199149</v>
      </c>
      <c r="B4961" s="35" t="s">
        <v>462</v>
      </c>
      <c r="C4961" s="35" t="s">
        <v>405</v>
      </c>
      <c r="D4961" s="35" t="s">
        <v>1128</v>
      </c>
      <c r="E4961" s="35" t="s">
        <v>1147</v>
      </c>
      <c r="F4961" s="35" t="s">
        <v>353</v>
      </c>
      <c r="G4961" s="35" t="s">
        <v>10</v>
      </c>
      <c r="H4961" s="35" t="s">
        <v>483</v>
      </c>
    </row>
    <row r="4962" spans="1:8">
      <c r="A4962" s="34">
        <v>2084199146</v>
      </c>
      <c r="B4962" s="35" t="s">
        <v>462</v>
      </c>
      <c r="C4962" s="35" t="s">
        <v>405</v>
      </c>
      <c r="D4962" s="35" t="s">
        <v>1128</v>
      </c>
      <c r="E4962" s="35" t="s">
        <v>1147</v>
      </c>
      <c r="F4962" s="35" t="s">
        <v>353</v>
      </c>
      <c r="G4962" s="35" t="s">
        <v>10</v>
      </c>
      <c r="H4962" s="35" t="s">
        <v>397</v>
      </c>
    </row>
    <row r="4963" spans="1:8">
      <c r="A4963" s="34">
        <v>2084199148</v>
      </c>
      <c r="B4963" s="35" t="s">
        <v>462</v>
      </c>
      <c r="C4963" s="35" t="s">
        <v>405</v>
      </c>
      <c r="D4963" s="35" t="s">
        <v>1128</v>
      </c>
      <c r="E4963" s="35" t="s">
        <v>1147</v>
      </c>
      <c r="F4963" s="35" t="s">
        <v>353</v>
      </c>
      <c r="G4963" s="35" t="s">
        <v>10</v>
      </c>
      <c r="H4963" s="35" t="s">
        <v>421</v>
      </c>
    </row>
    <row r="4964" spans="1:8">
      <c r="A4964" s="34">
        <v>2084199145</v>
      </c>
      <c r="B4964" s="35" t="s">
        <v>462</v>
      </c>
      <c r="C4964" s="35" t="s">
        <v>405</v>
      </c>
      <c r="D4964" s="35" t="s">
        <v>1128</v>
      </c>
      <c r="E4964" s="35" t="s">
        <v>1147</v>
      </c>
      <c r="F4964" s="35" t="s">
        <v>353</v>
      </c>
      <c r="G4964" s="35" t="s">
        <v>10</v>
      </c>
      <c r="H4964" s="35" t="s">
        <v>398</v>
      </c>
    </row>
    <row r="4965" spans="1:8">
      <c r="A4965" s="34">
        <v>2084199147</v>
      </c>
      <c r="B4965" s="35" t="s">
        <v>462</v>
      </c>
      <c r="C4965" s="35" t="s">
        <v>405</v>
      </c>
      <c r="D4965" s="35" t="s">
        <v>1128</v>
      </c>
      <c r="E4965" s="35" t="s">
        <v>1147</v>
      </c>
      <c r="F4965" s="35" t="s">
        <v>353</v>
      </c>
      <c r="G4965" s="35" t="s">
        <v>10</v>
      </c>
      <c r="H4965" s="35" t="s">
        <v>422</v>
      </c>
    </row>
    <row r="4966" spans="1:8">
      <c r="A4966" s="34">
        <v>2084199150</v>
      </c>
      <c r="B4966" s="35" t="s">
        <v>462</v>
      </c>
      <c r="C4966" s="35" t="s">
        <v>405</v>
      </c>
      <c r="D4966" s="35" t="s">
        <v>1128</v>
      </c>
      <c r="E4966" s="35" t="s">
        <v>1147</v>
      </c>
      <c r="F4966" s="35" t="s">
        <v>353</v>
      </c>
      <c r="G4966" s="35" t="s">
        <v>10</v>
      </c>
      <c r="H4966" s="35" t="s">
        <v>335</v>
      </c>
    </row>
    <row r="4967" spans="1:8">
      <c r="A4967" s="34">
        <v>2084199151</v>
      </c>
      <c r="B4967" s="35" t="s">
        <v>462</v>
      </c>
      <c r="C4967" s="35" t="s">
        <v>405</v>
      </c>
      <c r="D4967" s="35" t="s">
        <v>1128</v>
      </c>
      <c r="E4967" s="35" t="s">
        <v>1147</v>
      </c>
      <c r="F4967" s="35" t="s">
        <v>353</v>
      </c>
      <c r="G4967" s="35" t="s">
        <v>403</v>
      </c>
    </row>
    <row r="4968" spans="1:8">
      <c r="A4968" s="34">
        <v>2084199152</v>
      </c>
      <c r="B4968" s="35" t="s">
        <v>462</v>
      </c>
      <c r="C4968" s="35" t="s">
        <v>405</v>
      </c>
      <c r="D4968" s="35" t="s">
        <v>1128</v>
      </c>
      <c r="E4968" s="35" t="s">
        <v>1147</v>
      </c>
      <c r="F4968" s="35" t="s">
        <v>353</v>
      </c>
      <c r="G4968" s="35" t="s">
        <v>335</v>
      </c>
    </row>
    <row r="4969" spans="1:8">
      <c r="A4969" s="34">
        <v>2084199154</v>
      </c>
      <c r="B4969" s="35" t="s">
        <v>462</v>
      </c>
      <c r="C4969" s="35" t="s">
        <v>405</v>
      </c>
      <c r="D4969" s="35" t="s">
        <v>1128</v>
      </c>
      <c r="E4969" s="35" t="s">
        <v>1147</v>
      </c>
      <c r="F4969" s="35" t="s">
        <v>335</v>
      </c>
    </row>
    <row r="4970" spans="1:8">
      <c r="A4970" s="34">
        <v>2084259950</v>
      </c>
      <c r="B4970" s="35" t="s">
        <v>462</v>
      </c>
      <c r="C4970" s="35" t="s">
        <v>405</v>
      </c>
      <c r="D4970" s="35" t="s">
        <v>1128</v>
      </c>
      <c r="E4970" s="35" t="s">
        <v>1148</v>
      </c>
    </row>
    <row r="4971" spans="1:8">
      <c r="A4971" s="34">
        <v>2084054953</v>
      </c>
      <c r="B4971" s="35" t="s">
        <v>462</v>
      </c>
      <c r="C4971" s="35" t="s">
        <v>405</v>
      </c>
      <c r="D4971" s="35" t="s">
        <v>1128</v>
      </c>
      <c r="E4971" s="35" t="s">
        <v>1149</v>
      </c>
      <c r="F4971" s="35" t="s">
        <v>390</v>
      </c>
      <c r="G4971" s="35" t="s">
        <v>367</v>
      </c>
    </row>
    <row r="4972" spans="1:8">
      <c r="A4972" s="34">
        <v>2084054956</v>
      </c>
      <c r="B4972" s="35" t="s">
        <v>462</v>
      </c>
      <c r="C4972" s="35" t="s">
        <v>405</v>
      </c>
      <c r="D4972" s="35" t="s">
        <v>1128</v>
      </c>
      <c r="E4972" s="35" t="s">
        <v>1149</v>
      </c>
      <c r="F4972" s="35" t="s">
        <v>390</v>
      </c>
      <c r="G4972" s="35" t="s">
        <v>368</v>
      </c>
      <c r="H4972" s="35" t="s">
        <v>481</v>
      </c>
    </row>
    <row r="4973" spans="1:8">
      <c r="A4973" s="34">
        <v>2084054955</v>
      </c>
      <c r="B4973" s="35" t="s">
        <v>462</v>
      </c>
      <c r="C4973" s="35" t="s">
        <v>405</v>
      </c>
      <c r="D4973" s="35" t="s">
        <v>1128</v>
      </c>
      <c r="E4973" s="35" t="s">
        <v>1149</v>
      </c>
      <c r="F4973" s="35" t="s">
        <v>390</v>
      </c>
      <c r="G4973" s="35" t="s">
        <v>368</v>
      </c>
      <c r="H4973" s="35" t="s">
        <v>482</v>
      </c>
    </row>
    <row r="4974" spans="1:8">
      <c r="A4974" s="34">
        <v>2084054957</v>
      </c>
      <c r="B4974" s="35" t="s">
        <v>462</v>
      </c>
      <c r="C4974" s="35" t="s">
        <v>405</v>
      </c>
      <c r="D4974" s="35" t="s">
        <v>1128</v>
      </c>
      <c r="E4974" s="35" t="s">
        <v>1149</v>
      </c>
      <c r="F4974" s="35" t="s">
        <v>390</v>
      </c>
      <c r="G4974" s="35" t="s">
        <v>368</v>
      </c>
      <c r="H4974" s="35" t="s">
        <v>335</v>
      </c>
    </row>
    <row r="4975" spans="1:8">
      <c r="A4975" s="34">
        <v>2084054963</v>
      </c>
      <c r="B4975" s="35" t="s">
        <v>462</v>
      </c>
      <c r="C4975" s="35" t="s">
        <v>405</v>
      </c>
      <c r="D4975" s="35" t="s">
        <v>1128</v>
      </c>
      <c r="E4975" s="35" t="s">
        <v>1149</v>
      </c>
      <c r="F4975" s="35" t="s">
        <v>390</v>
      </c>
      <c r="G4975" s="35" t="s">
        <v>10</v>
      </c>
      <c r="H4975" s="35" t="s">
        <v>483</v>
      </c>
    </row>
    <row r="4976" spans="1:8">
      <c r="A4976" s="34">
        <v>2084054960</v>
      </c>
      <c r="B4976" s="35" t="s">
        <v>462</v>
      </c>
      <c r="C4976" s="35" t="s">
        <v>405</v>
      </c>
      <c r="D4976" s="35" t="s">
        <v>1128</v>
      </c>
      <c r="E4976" s="35" t="s">
        <v>1149</v>
      </c>
      <c r="F4976" s="35" t="s">
        <v>390</v>
      </c>
      <c r="G4976" s="35" t="s">
        <v>10</v>
      </c>
      <c r="H4976" s="35" t="s">
        <v>397</v>
      </c>
    </row>
    <row r="4977" spans="1:8">
      <c r="A4977" s="34">
        <v>2084054962</v>
      </c>
      <c r="B4977" s="35" t="s">
        <v>462</v>
      </c>
      <c r="C4977" s="35" t="s">
        <v>405</v>
      </c>
      <c r="D4977" s="35" t="s">
        <v>1128</v>
      </c>
      <c r="E4977" s="35" t="s">
        <v>1149</v>
      </c>
      <c r="F4977" s="35" t="s">
        <v>390</v>
      </c>
      <c r="G4977" s="35" t="s">
        <v>10</v>
      </c>
      <c r="H4977" s="35" t="s">
        <v>421</v>
      </c>
    </row>
    <row r="4978" spans="1:8">
      <c r="A4978" s="34">
        <v>2084054959</v>
      </c>
      <c r="B4978" s="35" t="s">
        <v>462</v>
      </c>
      <c r="C4978" s="35" t="s">
        <v>405</v>
      </c>
      <c r="D4978" s="35" t="s">
        <v>1128</v>
      </c>
      <c r="E4978" s="35" t="s">
        <v>1149</v>
      </c>
      <c r="F4978" s="35" t="s">
        <v>390</v>
      </c>
      <c r="G4978" s="35" t="s">
        <v>10</v>
      </c>
      <c r="H4978" s="35" t="s">
        <v>398</v>
      </c>
    </row>
    <row r="4979" spans="1:8">
      <c r="A4979" s="34">
        <v>2084054961</v>
      </c>
      <c r="B4979" s="35" t="s">
        <v>462</v>
      </c>
      <c r="C4979" s="35" t="s">
        <v>405</v>
      </c>
      <c r="D4979" s="35" t="s">
        <v>1128</v>
      </c>
      <c r="E4979" s="35" t="s">
        <v>1149</v>
      </c>
      <c r="F4979" s="35" t="s">
        <v>390</v>
      </c>
      <c r="G4979" s="35" t="s">
        <v>10</v>
      </c>
      <c r="H4979" s="35" t="s">
        <v>422</v>
      </c>
    </row>
    <row r="4980" spans="1:8">
      <c r="A4980" s="34">
        <v>2084054964</v>
      </c>
      <c r="B4980" s="35" t="s">
        <v>462</v>
      </c>
      <c r="C4980" s="35" t="s">
        <v>405</v>
      </c>
      <c r="D4980" s="35" t="s">
        <v>1128</v>
      </c>
      <c r="E4980" s="35" t="s">
        <v>1149</v>
      </c>
      <c r="F4980" s="35" t="s">
        <v>390</v>
      </c>
      <c r="G4980" s="35" t="s">
        <v>10</v>
      </c>
      <c r="H4980" s="35" t="s">
        <v>335</v>
      </c>
    </row>
    <row r="4981" spans="1:8">
      <c r="A4981" s="34">
        <v>2084054966</v>
      </c>
      <c r="B4981" s="35" t="s">
        <v>462</v>
      </c>
      <c r="C4981" s="35" t="s">
        <v>405</v>
      </c>
      <c r="D4981" s="35" t="s">
        <v>1128</v>
      </c>
      <c r="E4981" s="35" t="s">
        <v>1149</v>
      </c>
      <c r="F4981" s="35" t="s">
        <v>390</v>
      </c>
      <c r="G4981" s="35" t="s">
        <v>379</v>
      </c>
      <c r="H4981" s="35" t="s">
        <v>476</v>
      </c>
    </row>
    <row r="4982" spans="1:8">
      <c r="A4982" s="34">
        <v>2084054967</v>
      </c>
      <c r="B4982" s="35" t="s">
        <v>462</v>
      </c>
      <c r="C4982" s="35" t="s">
        <v>405</v>
      </c>
      <c r="D4982" s="35" t="s">
        <v>1128</v>
      </c>
      <c r="E4982" s="35" t="s">
        <v>1149</v>
      </c>
      <c r="F4982" s="35" t="s">
        <v>390</v>
      </c>
      <c r="G4982" s="35" t="s">
        <v>379</v>
      </c>
      <c r="H4982" s="35" t="s">
        <v>335</v>
      </c>
    </row>
    <row r="4983" spans="1:8">
      <c r="A4983" s="34">
        <v>2084054968</v>
      </c>
      <c r="B4983" s="35" t="s">
        <v>462</v>
      </c>
      <c r="C4983" s="35" t="s">
        <v>405</v>
      </c>
      <c r="D4983" s="35" t="s">
        <v>1128</v>
      </c>
      <c r="E4983" s="35" t="s">
        <v>1149</v>
      </c>
      <c r="F4983" s="35" t="s">
        <v>390</v>
      </c>
      <c r="G4983" s="35" t="s">
        <v>335</v>
      </c>
    </row>
    <row r="4984" spans="1:8">
      <c r="A4984" s="34">
        <v>2084054937</v>
      </c>
      <c r="B4984" s="35" t="s">
        <v>462</v>
      </c>
      <c r="C4984" s="35" t="s">
        <v>405</v>
      </c>
      <c r="D4984" s="35" t="s">
        <v>1128</v>
      </c>
      <c r="E4984" s="35" t="s">
        <v>1149</v>
      </c>
      <c r="F4984" s="35" t="s">
        <v>353</v>
      </c>
      <c r="G4984" s="35" t="s">
        <v>367</v>
      </c>
    </row>
    <row r="4985" spans="1:8">
      <c r="A4985" s="34">
        <v>2084054940</v>
      </c>
      <c r="B4985" s="35" t="s">
        <v>462</v>
      </c>
      <c r="C4985" s="35" t="s">
        <v>405</v>
      </c>
      <c r="D4985" s="35" t="s">
        <v>1128</v>
      </c>
      <c r="E4985" s="35" t="s">
        <v>1149</v>
      </c>
      <c r="F4985" s="35" t="s">
        <v>353</v>
      </c>
      <c r="G4985" s="35" t="s">
        <v>368</v>
      </c>
      <c r="H4985" s="35" t="s">
        <v>481</v>
      </c>
    </row>
    <row r="4986" spans="1:8">
      <c r="A4986" s="34">
        <v>2084054939</v>
      </c>
      <c r="B4986" s="35" t="s">
        <v>462</v>
      </c>
      <c r="C4986" s="35" t="s">
        <v>405</v>
      </c>
      <c r="D4986" s="35" t="s">
        <v>1128</v>
      </c>
      <c r="E4986" s="35" t="s">
        <v>1149</v>
      </c>
      <c r="F4986" s="35" t="s">
        <v>353</v>
      </c>
      <c r="G4986" s="35" t="s">
        <v>368</v>
      </c>
      <c r="H4986" s="35" t="s">
        <v>482</v>
      </c>
    </row>
    <row r="4987" spans="1:8">
      <c r="A4987" s="34">
        <v>2084054942</v>
      </c>
      <c r="B4987" s="35" t="s">
        <v>462</v>
      </c>
      <c r="C4987" s="35" t="s">
        <v>405</v>
      </c>
      <c r="D4987" s="35" t="s">
        <v>1128</v>
      </c>
      <c r="E4987" s="35" t="s">
        <v>1149</v>
      </c>
      <c r="F4987" s="35" t="s">
        <v>353</v>
      </c>
      <c r="G4987" s="35" t="s">
        <v>368</v>
      </c>
      <c r="H4987" s="35" t="s">
        <v>335</v>
      </c>
    </row>
    <row r="4988" spans="1:8">
      <c r="A4988" s="34">
        <v>2084054948</v>
      </c>
      <c r="B4988" s="35" t="s">
        <v>462</v>
      </c>
      <c r="C4988" s="35" t="s">
        <v>405</v>
      </c>
      <c r="D4988" s="35" t="s">
        <v>1128</v>
      </c>
      <c r="E4988" s="35" t="s">
        <v>1149</v>
      </c>
      <c r="F4988" s="35" t="s">
        <v>353</v>
      </c>
      <c r="G4988" s="35" t="s">
        <v>10</v>
      </c>
      <c r="H4988" s="35" t="s">
        <v>483</v>
      </c>
    </row>
    <row r="4989" spans="1:8">
      <c r="A4989" s="34">
        <v>2084054945</v>
      </c>
      <c r="B4989" s="35" t="s">
        <v>462</v>
      </c>
      <c r="C4989" s="35" t="s">
        <v>405</v>
      </c>
      <c r="D4989" s="35" t="s">
        <v>1128</v>
      </c>
      <c r="E4989" s="35" t="s">
        <v>1149</v>
      </c>
      <c r="F4989" s="35" t="s">
        <v>353</v>
      </c>
      <c r="G4989" s="35" t="s">
        <v>10</v>
      </c>
      <c r="H4989" s="35" t="s">
        <v>397</v>
      </c>
    </row>
    <row r="4990" spans="1:8">
      <c r="A4990" s="34">
        <v>2084054947</v>
      </c>
      <c r="B4990" s="35" t="s">
        <v>462</v>
      </c>
      <c r="C4990" s="35" t="s">
        <v>405</v>
      </c>
      <c r="D4990" s="35" t="s">
        <v>1128</v>
      </c>
      <c r="E4990" s="35" t="s">
        <v>1149</v>
      </c>
      <c r="F4990" s="35" t="s">
        <v>353</v>
      </c>
      <c r="G4990" s="35" t="s">
        <v>10</v>
      </c>
      <c r="H4990" s="35" t="s">
        <v>421</v>
      </c>
    </row>
    <row r="4991" spans="1:8">
      <c r="A4991" s="34">
        <v>2084054944</v>
      </c>
      <c r="B4991" s="35" t="s">
        <v>462</v>
      </c>
      <c r="C4991" s="35" t="s">
        <v>405</v>
      </c>
      <c r="D4991" s="35" t="s">
        <v>1128</v>
      </c>
      <c r="E4991" s="35" t="s">
        <v>1149</v>
      </c>
      <c r="F4991" s="35" t="s">
        <v>353</v>
      </c>
      <c r="G4991" s="35" t="s">
        <v>10</v>
      </c>
      <c r="H4991" s="35" t="s">
        <v>398</v>
      </c>
    </row>
    <row r="4992" spans="1:8">
      <c r="A4992" s="34">
        <v>2084054946</v>
      </c>
      <c r="B4992" s="35" t="s">
        <v>462</v>
      </c>
      <c r="C4992" s="35" t="s">
        <v>405</v>
      </c>
      <c r="D4992" s="35" t="s">
        <v>1128</v>
      </c>
      <c r="E4992" s="35" t="s">
        <v>1149</v>
      </c>
      <c r="F4992" s="35" t="s">
        <v>353</v>
      </c>
      <c r="G4992" s="35" t="s">
        <v>10</v>
      </c>
      <c r="H4992" s="35" t="s">
        <v>422</v>
      </c>
    </row>
    <row r="4993" spans="1:8">
      <c r="A4993" s="34">
        <v>2084054949</v>
      </c>
      <c r="B4993" s="35" t="s">
        <v>462</v>
      </c>
      <c r="C4993" s="35" t="s">
        <v>405</v>
      </c>
      <c r="D4993" s="35" t="s">
        <v>1128</v>
      </c>
      <c r="E4993" s="35" t="s">
        <v>1149</v>
      </c>
      <c r="F4993" s="35" t="s">
        <v>353</v>
      </c>
      <c r="G4993" s="35" t="s">
        <v>10</v>
      </c>
      <c r="H4993" s="35" t="s">
        <v>335</v>
      </c>
    </row>
    <row r="4994" spans="1:8">
      <c r="A4994" s="34">
        <v>2084054950</v>
      </c>
      <c r="B4994" s="35" t="s">
        <v>462</v>
      </c>
      <c r="C4994" s="35" t="s">
        <v>405</v>
      </c>
      <c r="D4994" s="35" t="s">
        <v>1128</v>
      </c>
      <c r="E4994" s="35" t="s">
        <v>1149</v>
      </c>
      <c r="F4994" s="35" t="s">
        <v>353</v>
      </c>
      <c r="G4994" s="35" t="s">
        <v>403</v>
      </c>
    </row>
    <row r="4995" spans="1:8">
      <c r="A4995" s="34">
        <v>2084054951</v>
      </c>
      <c r="B4995" s="35" t="s">
        <v>462</v>
      </c>
      <c r="C4995" s="35" t="s">
        <v>405</v>
      </c>
      <c r="D4995" s="35" t="s">
        <v>1128</v>
      </c>
      <c r="E4995" s="35" t="s">
        <v>1149</v>
      </c>
      <c r="F4995" s="35" t="s">
        <v>353</v>
      </c>
      <c r="G4995" s="35" t="s">
        <v>335</v>
      </c>
    </row>
    <row r="4996" spans="1:8">
      <c r="A4996" s="34">
        <v>2084054969</v>
      </c>
      <c r="B4996" s="35" t="s">
        <v>462</v>
      </c>
      <c r="C4996" s="35" t="s">
        <v>405</v>
      </c>
      <c r="D4996" s="35" t="s">
        <v>1128</v>
      </c>
      <c r="E4996" s="35" t="s">
        <v>1149</v>
      </c>
      <c r="F4996" s="35" t="s">
        <v>335</v>
      </c>
    </row>
    <row r="4997" spans="1:8">
      <c r="A4997" s="34">
        <v>2084259951</v>
      </c>
      <c r="B4997" s="35" t="s">
        <v>462</v>
      </c>
      <c r="C4997" s="35" t="s">
        <v>405</v>
      </c>
      <c r="D4997" s="35" t="s">
        <v>1128</v>
      </c>
      <c r="E4997" s="35" t="s">
        <v>1150</v>
      </c>
    </row>
    <row r="4998" spans="1:8">
      <c r="A4998" s="34">
        <v>2084242554</v>
      </c>
      <c r="B4998" s="35" t="s">
        <v>462</v>
      </c>
      <c r="C4998" s="35" t="s">
        <v>405</v>
      </c>
      <c r="D4998" s="35" t="s">
        <v>1128</v>
      </c>
      <c r="E4998" s="35" t="s">
        <v>1151</v>
      </c>
    </row>
    <row r="4999" spans="1:8">
      <c r="A4999" s="34">
        <v>2084259954</v>
      </c>
      <c r="B4999" s="35" t="s">
        <v>462</v>
      </c>
      <c r="C4999" s="35" t="s">
        <v>405</v>
      </c>
      <c r="D4999" s="35" t="s">
        <v>1128</v>
      </c>
      <c r="E4999" s="35" t="s">
        <v>1152</v>
      </c>
      <c r="F4999" s="35" t="s">
        <v>407</v>
      </c>
    </row>
    <row r="5000" spans="1:8">
      <c r="A5000" s="34">
        <v>2084259953</v>
      </c>
      <c r="B5000" s="35" t="s">
        <v>462</v>
      </c>
      <c r="C5000" s="35" t="s">
        <v>405</v>
      </c>
      <c r="D5000" s="35" t="s">
        <v>1128</v>
      </c>
      <c r="E5000" s="35" t="s">
        <v>1152</v>
      </c>
      <c r="F5000" s="35" t="s">
        <v>408</v>
      </c>
    </row>
    <row r="5001" spans="1:8">
      <c r="A5001" s="34">
        <v>2084259955</v>
      </c>
      <c r="B5001" s="35" t="s">
        <v>462</v>
      </c>
      <c r="C5001" s="35" t="s">
        <v>405</v>
      </c>
      <c r="D5001" s="35" t="s">
        <v>1128</v>
      </c>
      <c r="E5001" s="35" t="s">
        <v>1153</v>
      </c>
    </row>
    <row r="5002" spans="1:8">
      <c r="A5002" s="34">
        <v>2084259958</v>
      </c>
      <c r="B5002" s="35" t="s">
        <v>462</v>
      </c>
      <c r="C5002" s="35" t="s">
        <v>405</v>
      </c>
      <c r="D5002" s="35" t="s">
        <v>1128</v>
      </c>
      <c r="E5002" s="35" t="s">
        <v>1154</v>
      </c>
      <c r="F5002" s="35" t="s">
        <v>407</v>
      </c>
    </row>
    <row r="5003" spans="1:8">
      <c r="A5003" s="34">
        <v>2084259957</v>
      </c>
      <c r="B5003" s="35" t="s">
        <v>462</v>
      </c>
      <c r="C5003" s="35" t="s">
        <v>405</v>
      </c>
      <c r="D5003" s="35" t="s">
        <v>1128</v>
      </c>
      <c r="E5003" s="35" t="s">
        <v>1154</v>
      </c>
      <c r="F5003" s="35" t="s">
        <v>408</v>
      </c>
    </row>
    <row r="5004" spans="1:8">
      <c r="A5004" s="34">
        <v>2084259959</v>
      </c>
      <c r="B5004" s="35" t="s">
        <v>462</v>
      </c>
      <c r="C5004" s="35" t="s">
        <v>405</v>
      </c>
      <c r="D5004" s="35" t="s">
        <v>1128</v>
      </c>
      <c r="E5004" s="35" t="s">
        <v>1155</v>
      </c>
    </row>
    <row r="5005" spans="1:8">
      <c r="A5005" s="34">
        <v>2084242847</v>
      </c>
      <c r="B5005" s="35" t="s">
        <v>462</v>
      </c>
      <c r="C5005" s="35" t="s">
        <v>405</v>
      </c>
      <c r="D5005" s="35" t="s">
        <v>1128</v>
      </c>
      <c r="E5005" s="35" t="s">
        <v>1156</v>
      </c>
    </row>
    <row r="5006" spans="1:8">
      <c r="A5006" s="34">
        <v>2084062071</v>
      </c>
      <c r="B5006" s="35" t="s">
        <v>462</v>
      </c>
      <c r="C5006" s="35" t="s">
        <v>405</v>
      </c>
      <c r="D5006" s="35" t="s">
        <v>1128</v>
      </c>
      <c r="E5006" s="35" t="s">
        <v>1157</v>
      </c>
      <c r="F5006" s="35" t="s">
        <v>407</v>
      </c>
    </row>
    <row r="5007" spans="1:8">
      <c r="A5007" s="34">
        <v>2084056036</v>
      </c>
      <c r="B5007" s="35" t="s">
        <v>462</v>
      </c>
      <c r="C5007" s="35" t="s">
        <v>405</v>
      </c>
      <c r="D5007" s="35" t="s">
        <v>1128</v>
      </c>
      <c r="E5007" s="35" t="s">
        <v>1157</v>
      </c>
      <c r="F5007" s="35" t="s">
        <v>353</v>
      </c>
      <c r="G5007" s="35" t="s">
        <v>368</v>
      </c>
      <c r="H5007" s="35" t="s">
        <v>481</v>
      </c>
    </row>
    <row r="5008" spans="1:8">
      <c r="A5008" s="34">
        <v>2084056037</v>
      </c>
      <c r="B5008" s="35" t="s">
        <v>462</v>
      </c>
      <c r="C5008" s="35" t="s">
        <v>405</v>
      </c>
      <c r="D5008" s="35" t="s">
        <v>1128</v>
      </c>
      <c r="E5008" s="35" t="s">
        <v>1157</v>
      </c>
      <c r="F5008" s="35" t="s">
        <v>353</v>
      </c>
      <c r="G5008" s="35" t="s">
        <v>368</v>
      </c>
      <c r="H5008" s="35" t="s">
        <v>335</v>
      </c>
    </row>
    <row r="5009" spans="1:8">
      <c r="A5009" s="34">
        <v>2084056043</v>
      </c>
      <c r="B5009" s="35" t="s">
        <v>462</v>
      </c>
      <c r="C5009" s="35" t="s">
        <v>405</v>
      </c>
      <c r="D5009" s="35" t="s">
        <v>1128</v>
      </c>
      <c r="E5009" s="35" t="s">
        <v>1157</v>
      </c>
      <c r="F5009" s="35" t="s">
        <v>353</v>
      </c>
      <c r="G5009" s="35" t="s">
        <v>10</v>
      </c>
      <c r="H5009" s="35" t="s">
        <v>397</v>
      </c>
    </row>
    <row r="5010" spans="1:8">
      <c r="A5010" s="34">
        <v>2084056044</v>
      </c>
      <c r="B5010" s="35" t="s">
        <v>462</v>
      </c>
      <c r="C5010" s="35" t="s">
        <v>405</v>
      </c>
      <c r="D5010" s="35" t="s">
        <v>1128</v>
      </c>
      <c r="E5010" s="35" t="s">
        <v>1157</v>
      </c>
      <c r="F5010" s="35" t="s">
        <v>353</v>
      </c>
      <c r="G5010" s="35" t="s">
        <v>10</v>
      </c>
      <c r="H5010" s="35" t="s">
        <v>421</v>
      </c>
    </row>
    <row r="5011" spans="1:8">
      <c r="A5011" s="34">
        <v>2084056042</v>
      </c>
      <c r="B5011" s="35" t="s">
        <v>462</v>
      </c>
      <c r="C5011" s="35" t="s">
        <v>405</v>
      </c>
      <c r="D5011" s="35" t="s">
        <v>1128</v>
      </c>
      <c r="E5011" s="35" t="s">
        <v>1157</v>
      </c>
      <c r="F5011" s="35" t="s">
        <v>353</v>
      </c>
      <c r="G5011" s="35" t="s">
        <v>10</v>
      </c>
      <c r="H5011" s="35" t="s">
        <v>398</v>
      </c>
    </row>
    <row r="5012" spans="1:8">
      <c r="A5012" s="34">
        <v>2084056041</v>
      </c>
      <c r="B5012" s="35" t="s">
        <v>462</v>
      </c>
      <c r="C5012" s="35" t="s">
        <v>405</v>
      </c>
      <c r="D5012" s="35" t="s">
        <v>1128</v>
      </c>
      <c r="E5012" s="35" t="s">
        <v>1157</v>
      </c>
      <c r="F5012" s="35" t="s">
        <v>353</v>
      </c>
      <c r="G5012" s="35" t="s">
        <v>10</v>
      </c>
      <c r="H5012" s="35" t="s">
        <v>422</v>
      </c>
    </row>
    <row r="5013" spans="1:8">
      <c r="A5013" s="34">
        <v>2084056045</v>
      </c>
      <c r="B5013" s="35" t="s">
        <v>462</v>
      </c>
      <c r="C5013" s="35" t="s">
        <v>405</v>
      </c>
      <c r="D5013" s="35" t="s">
        <v>1128</v>
      </c>
      <c r="E5013" s="35" t="s">
        <v>1157</v>
      </c>
      <c r="F5013" s="35" t="s">
        <v>353</v>
      </c>
      <c r="G5013" s="35" t="s">
        <v>10</v>
      </c>
      <c r="H5013" s="35" t="s">
        <v>335</v>
      </c>
    </row>
    <row r="5014" spans="1:8">
      <c r="A5014" s="34">
        <v>2084056046</v>
      </c>
      <c r="B5014" s="35" t="s">
        <v>462</v>
      </c>
      <c r="C5014" s="35" t="s">
        <v>405</v>
      </c>
      <c r="D5014" s="35" t="s">
        <v>1128</v>
      </c>
      <c r="E5014" s="35" t="s">
        <v>1157</v>
      </c>
      <c r="F5014" s="35" t="s">
        <v>353</v>
      </c>
      <c r="G5014" s="35" t="s">
        <v>379</v>
      </c>
      <c r="H5014" s="35" t="s">
        <v>545</v>
      </c>
    </row>
    <row r="5015" spans="1:8">
      <c r="A5015" s="34">
        <v>2084056047</v>
      </c>
      <c r="B5015" s="35" t="s">
        <v>462</v>
      </c>
      <c r="C5015" s="35" t="s">
        <v>405</v>
      </c>
      <c r="D5015" s="35" t="s">
        <v>1128</v>
      </c>
      <c r="E5015" s="35" t="s">
        <v>1157</v>
      </c>
      <c r="F5015" s="35" t="s">
        <v>353</v>
      </c>
      <c r="G5015" s="35" t="s">
        <v>379</v>
      </c>
      <c r="H5015" s="35" t="s">
        <v>335</v>
      </c>
    </row>
    <row r="5016" spans="1:8">
      <c r="A5016" s="34">
        <v>2084056040</v>
      </c>
      <c r="B5016" s="35" t="s">
        <v>462</v>
      </c>
      <c r="C5016" s="35" t="s">
        <v>405</v>
      </c>
      <c r="D5016" s="35" t="s">
        <v>1128</v>
      </c>
      <c r="E5016" s="35" t="s">
        <v>1157</v>
      </c>
      <c r="F5016" s="35" t="s">
        <v>353</v>
      </c>
      <c r="G5016" s="35" t="s">
        <v>335</v>
      </c>
    </row>
    <row r="5017" spans="1:8">
      <c r="A5017" s="34">
        <v>2084056048</v>
      </c>
      <c r="B5017" s="35" t="s">
        <v>462</v>
      </c>
      <c r="C5017" s="35" t="s">
        <v>405</v>
      </c>
      <c r="D5017" s="35" t="s">
        <v>1128</v>
      </c>
      <c r="E5017" s="35" t="s">
        <v>1157</v>
      </c>
      <c r="F5017" s="35" t="s">
        <v>335</v>
      </c>
    </row>
    <row r="5018" spans="1:8">
      <c r="A5018" s="34">
        <v>2084259960</v>
      </c>
      <c r="B5018" s="35" t="s">
        <v>462</v>
      </c>
      <c r="C5018" s="35" t="s">
        <v>405</v>
      </c>
      <c r="D5018" s="35" t="s">
        <v>1128</v>
      </c>
      <c r="E5018" s="35" t="s">
        <v>1158</v>
      </c>
    </row>
    <row r="5019" spans="1:8">
      <c r="A5019" s="34">
        <v>2084259963</v>
      </c>
      <c r="B5019" s="35" t="s">
        <v>462</v>
      </c>
      <c r="C5019" s="35" t="s">
        <v>405</v>
      </c>
      <c r="D5019" s="35" t="s">
        <v>1128</v>
      </c>
      <c r="E5019" s="35" t="s">
        <v>1159</v>
      </c>
      <c r="F5019" s="35" t="s">
        <v>407</v>
      </c>
    </row>
    <row r="5020" spans="1:8">
      <c r="A5020" s="34">
        <v>2084259962</v>
      </c>
      <c r="B5020" s="35" t="s">
        <v>462</v>
      </c>
      <c r="C5020" s="35" t="s">
        <v>405</v>
      </c>
      <c r="D5020" s="35" t="s">
        <v>1128</v>
      </c>
      <c r="E5020" s="35" t="s">
        <v>1159</v>
      </c>
      <c r="F5020" s="35" t="s">
        <v>408</v>
      </c>
    </row>
    <row r="5021" spans="1:8">
      <c r="A5021" s="34">
        <v>2084259964</v>
      </c>
      <c r="B5021" s="35" t="s">
        <v>462</v>
      </c>
      <c r="C5021" s="35" t="s">
        <v>405</v>
      </c>
      <c r="D5021" s="35" t="s">
        <v>1128</v>
      </c>
      <c r="E5021" s="35" t="s">
        <v>1160</v>
      </c>
    </row>
    <row r="5022" spans="1:8">
      <c r="A5022" s="34">
        <v>2084259965</v>
      </c>
      <c r="B5022" s="35" t="s">
        <v>462</v>
      </c>
      <c r="C5022" s="35" t="s">
        <v>405</v>
      </c>
      <c r="D5022" s="35" t="s">
        <v>1128</v>
      </c>
      <c r="E5022" s="35" t="s">
        <v>1161</v>
      </c>
    </row>
    <row r="5023" spans="1:8">
      <c r="A5023" s="34">
        <v>2084259966</v>
      </c>
      <c r="B5023" s="35" t="s">
        <v>462</v>
      </c>
      <c r="C5023" s="35" t="s">
        <v>405</v>
      </c>
      <c r="D5023" s="35" t="s">
        <v>1128</v>
      </c>
      <c r="E5023" s="35" t="s">
        <v>1162</v>
      </c>
    </row>
    <row r="5024" spans="1:8">
      <c r="A5024" s="34">
        <v>2084259969</v>
      </c>
      <c r="B5024" s="35" t="s">
        <v>462</v>
      </c>
      <c r="C5024" s="35" t="s">
        <v>405</v>
      </c>
      <c r="D5024" s="35" t="s">
        <v>1128</v>
      </c>
      <c r="E5024" s="35" t="s">
        <v>1163</v>
      </c>
      <c r="F5024" s="35" t="s">
        <v>407</v>
      </c>
    </row>
    <row r="5025" spans="1:7">
      <c r="A5025" s="34">
        <v>2084259968</v>
      </c>
      <c r="B5025" s="35" t="s">
        <v>462</v>
      </c>
      <c r="C5025" s="35" t="s">
        <v>405</v>
      </c>
      <c r="D5025" s="35" t="s">
        <v>1128</v>
      </c>
      <c r="E5025" s="35" t="s">
        <v>1163</v>
      </c>
      <c r="F5025" s="35" t="s">
        <v>408</v>
      </c>
    </row>
    <row r="5026" spans="1:7">
      <c r="A5026" s="34">
        <v>2084259970</v>
      </c>
      <c r="B5026" s="35" t="s">
        <v>462</v>
      </c>
      <c r="C5026" s="35" t="s">
        <v>405</v>
      </c>
      <c r="D5026" s="35" t="s">
        <v>1128</v>
      </c>
      <c r="E5026" s="35" t="s">
        <v>1164</v>
      </c>
    </row>
    <row r="5027" spans="1:7">
      <c r="A5027" s="34">
        <v>2084054594</v>
      </c>
      <c r="B5027" s="35" t="s">
        <v>462</v>
      </c>
      <c r="C5027" s="35" t="s">
        <v>405</v>
      </c>
      <c r="D5027" s="35" t="s">
        <v>1128</v>
      </c>
      <c r="E5027" s="35" t="s">
        <v>1165</v>
      </c>
      <c r="F5027" s="35" t="s">
        <v>367</v>
      </c>
    </row>
    <row r="5028" spans="1:7">
      <c r="A5028" s="34">
        <v>2084054597</v>
      </c>
      <c r="B5028" s="35" t="s">
        <v>462</v>
      </c>
      <c r="C5028" s="35" t="s">
        <v>405</v>
      </c>
      <c r="D5028" s="35" t="s">
        <v>1128</v>
      </c>
      <c r="E5028" s="35" t="s">
        <v>1165</v>
      </c>
      <c r="F5028" s="35" t="s">
        <v>368</v>
      </c>
      <c r="G5028" s="35" t="s">
        <v>481</v>
      </c>
    </row>
    <row r="5029" spans="1:7">
      <c r="A5029" s="34">
        <v>2084054596</v>
      </c>
      <c r="B5029" s="35" t="s">
        <v>462</v>
      </c>
      <c r="C5029" s="35" t="s">
        <v>405</v>
      </c>
      <c r="D5029" s="35" t="s">
        <v>1128</v>
      </c>
      <c r="E5029" s="35" t="s">
        <v>1165</v>
      </c>
      <c r="F5029" s="35" t="s">
        <v>368</v>
      </c>
      <c r="G5029" s="35" t="s">
        <v>482</v>
      </c>
    </row>
    <row r="5030" spans="1:7">
      <c r="A5030" s="34">
        <v>2084054598</v>
      </c>
      <c r="B5030" s="35" t="s">
        <v>462</v>
      </c>
      <c r="C5030" s="35" t="s">
        <v>405</v>
      </c>
      <c r="D5030" s="35" t="s">
        <v>1128</v>
      </c>
      <c r="E5030" s="35" t="s">
        <v>1165</v>
      </c>
      <c r="F5030" s="35" t="s">
        <v>368</v>
      </c>
      <c r="G5030" s="35" t="s">
        <v>335</v>
      </c>
    </row>
    <row r="5031" spans="1:7">
      <c r="A5031" s="34">
        <v>2084054604</v>
      </c>
      <c r="B5031" s="35" t="s">
        <v>462</v>
      </c>
      <c r="C5031" s="35" t="s">
        <v>405</v>
      </c>
      <c r="D5031" s="35" t="s">
        <v>1128</v>
      </c>
      <c r="E5031" s="35" t="s">
        <v>1165</v>
      </c>
      <c r="F5031" s="35" t="s">
        <v>10</v>
      </c>
      <c r="G5031" s="35" t="s">
        <v>483</v>
      </c>
    </row>
    <row r="5032" spans="1:7">
      <c r="A5032" s="34">
        <v>2084054601</v>
      </c>
      <c r="B5032" s="35" t="s">
        <v>462</v>
      </c>
      <c r="C5032" s="35" t="s">
        <v>405</v>
      </c>
      <c r="D5032" s="35" t="s">
        <v>1128</v>
      </c>
      <c r="E5032" s="35" t="s">
        <v>1165</v>
      </c>
      <c r="F5032" s="35" t="s">
        <v>10</v>
      </c>
      <c r="G5032" s="35" t="s">
        <v>397</v>
      </c>
    </row>
    <row r="5033" spans="1:7">
      <c r="A5033" s="34">
        <v>2084054603</v>
      </c>
      <c r="B5033" s="35" t="s">
        <v>462</v>
      </c>
      <c r="C5033" s="35" t="s">
        <v>405</v>
      </c>
      <c r="D5033" s="35" t="s">
        <v>1128</v>
      </c>
      <c r="E5033" s="35" t="s">
        <v>1165</v>
      </c>
      <c r="F5033" s="35" t="s">
        <v>10</v>
      </c>
      <c r="G5033" s="35" t="s">
        <v>421</v>
      </c>
    </row>
    <row r="5034" spans="1:7">
      <c r="A5034" s="34">
        <v>2084054600</v>
      </c>
      <c r="B5034" s="35" t="s">
        <v>462</v>
      </c>
      <c r="C5034" s="35" t="s">
        <v>405</v>
      </c>
      <c r="D5034" s="35" t="s">
        <v>1128</v>
      </c>
      <c r="E5034" s="35" t="s">
        <v>1165</v>
      </c>
      <c r="F5034" s="35" t="s">
        <v>10</v>
      </c>
      <c r="G5034" s="35" t="s">
        <v>398</v>
      </c>
    </row>
    <row r="5035" spans="1:7">
      <c r="A5035" s="34">
        <v>2084054602</v>
      </c>
      <c r="B5035" s="35" t="s">
        <v>462</v>
      </c>
      <c r="C5035" s="35" t="s">
        <v>405</v>
      </c>
      <c r="D5035" s="35" t="s">
        <v>1128</v>
      </c>
      <c r="E5035" s="35" t="s">
        <v>1165</v>
      </c>
      <c r="F5035" s="35" t="s">
        <v>10</v>
      </c>
      <c r="G5035" s="35" t="s">
        <v>422</v>
      </c>
    </row>
    <row r="5036" spans="1:7">
      <c r="A5036" s="34">
        <v>2084054605</v>
      </c>
      <c r="B5036" s="35" t="s">
        <v>462</v>
      </c>
      <c r="C5036" s="35" t="s">
        <v>405</v>
      </c>
      <c r="D5036" s="35" t="s">
        <v>1128</v>
      </c>
      <c r="E5036" s="35" t="s">
        <v>1165</v>
      </c>
      <c r="F5036" s="35" t="s">
        <v>10</v>
      </c>
      <c r="G5036" s="35" t="s">
        <v>335</v>
      </c>
    </row>
    <row r="5037" spans="1:7">
      <c r="A5037" s="34">
        <v>2084054607</v>
      </c>
      <c r="B5037" s="35" t="s">
        <v>462</v>
      </c>
      <c r="C5037" s="35" t="s">
        <v>405</v>
      </c>
      <c r="D5037" s="35" t="s">
        <v>1128</v>
      </c>
      <c r="E5037" s="35" t="s">
        <v>1165</v>
      </c>
      <c r="F5037" s="35" t="s">
        <v>379</v>
      </c>
      <c r="G5037" s="35" t="s">
        <v>476</v>
      </c>
    </row>
    <row r="5038" spans="1:7">
      <c r="A5038" s="34">
        <v>2084054608</v>
      </c>
      <c r="B5038" s="35" t="s">
        <v>462</v>
      </c>
      <c r="C5038" s="35" t="s">
        <v>405</v>
      </c>
      <c r="D5038" s="35" t="s">
        <v>1128</v>
      </c>
      <c r="E5038" s="35" t="s">
        <v>1165</v>
      </c>
      <c r="F5038" s="35" t="s">
        <v>379</v>
      </c>
      <c r="G5038" s="35" t="s">
        <v>335</v>
      </c>
    </row>
    <row r="5039" spans="1:7">
      <c r="A5039" s="34">
        <v>2084054609</v>
      </c>
      <c r="B5039" s="35" t="s">
        <v>462</v>
      </c>
      <c r="C5039" s="35" t="s">
        <v>405</v>
      </c>
      <c r="D5039" s="35" t="s">
        <v>1128</v>
      </c>
      <c r="E5039" s="35" t="s">
        <v>1165</v>
      </c>
      <c r="F5039" s="35" t="s">
        <v>335</v>
      </c>
    </row>
    <row r="5040" spans="1:7">
      <c r="A5040" s="34">
        <v>2084238803</v>
      </c>
      <c r="B5040" s="35" t="s">
        <v>462</v>
      </c>
      <c r="C5040" s="35" t="s">
        <v>405</v>
      </c>
      <c r="D5040" s="35" t="s">
        <v>1128</v>
      </c>
      <c r="E5040" s="35" t="s">
        <v>1166</v>
      </c>
      <c r="F5040" s="35" t="s">
        <v>390</v>
      </c>
      <c r="G5040" s="35" t="s">
        <v>367</v>
      </c>
    </row>
    <row r="5041" spans="1:7">
      <c r="A5041" s="34">
        <v>2084238804</v>
      </c>
      <c r="B5041" s="35" t="s">
        <v>462</v>
      </c>
      <c r="C5041" s="35" t="s">
        <v>405</v>
      </c>
      <c r="D5041" s="35" t="s">
        <v>1128</v>
      </c>
      <c r="E5041" s="35" t="s">
        <v>1166</v>
      </c>
      <c r="F5041" s="35" t="s">
        <v>390</v>
      </c>
      <c r="G5041" s="35" t="s">
        <v>401</v>
      </c>
    </row>
    <row r="5042" spans="1:7">
      <c r="A5042" s="34">
        <v>2084238805</v>
      </c>
      <c r="B5042" s="35" t="s">
        <v>462</v>
      </c>
      <c r="C5042" s="35" t="s">
        <v>405</v>
      </c>
      <c r="D5042" s="35" t="s">
        <v>1128</v>
      </c>
      <c r="E5042" s="35" t="s">
        <v>1166</v>
      </c>
      <c r="F5042" s="35" t="s">
        <v>390</v>
      </c>
      <c r="G5042" s="35" t="s">
        <v>402</v>
      </c>
    </row>
    <row r="5043" spans="1:7">
      <c r="A5043" s="34">
        <v>2084238807</v>
      </c>
      <c r="B5043" s="35" t="s">
        <v>462</v>
      </c>
      <c r="C5043" s="35" t="s">
        <v>405</v>
      </c>
      <c r="D5043" s="35" t="s">
        <v>1128</v>
      </c>
      <c r="E5043" s="35" t="s">
        <v>1166</v>
      </c>
      <c r="F5043" s="35" t="s">
        <v>390</v>
      </c>
      <c r="G5043" s="35" t="s">
        <v>403</v>
      </c>
    </row>
    <row r="5044" spans="1:7">
      <c r="A5044" s="34">
        <v>2084238806</v>
      </c>
      <c r="B5044" s="35" t="s">
        <v>462</v>
      </c>
      <c r="C5044" s="35" t="s">
        <v>405</v>
      </c>
      <c r="D5044" s="35" t="s">
        <v>1128</v>
      </c>
      <c r="E5044" s="35" t="s">
        <v>1166</v>
      </c>
      <c r="F5044" s="35" t="s">
        <v>390</v>
      </c>
      <c r="G5044" s="35" t="s">
        <v>478</v>
      </c>
    </row>
    <row r="5045" spans="1:7">
      <c r="A5045" s="34">
        <v>2084238808</v>
      </c>
      <c r="B5045" s="35" t="s">
        <v>462</v>
      </c>
      <c r="C5045" s="35" t="s">
        <v>405</v>
      </c>
      <c r="D5045" s="35" t="s">
        <v>1128</v>
      </c>
      <c r="E5045" s="35" t="s">
        <v>1166</v>
      </c>
      <c r="F5045" s="35" t="s">
        <v>390</v>
      </c>
      <c r="G5045" s="35" t="s">
        <v>335</v>
      </c>
    </row>
    <row r="5046" spans="1:7">
      <c r="A5046" s="34">
        <v>2084238809</v>
      </c>
      <c r="B5046" s="35" t="s">
        <v>462</v>
      </c>
      <c r="C5046" s="35" t="s">
        <v>405</v>
      </c>
      <c r="D5046" s="35" t="s">
        <v>1128</v>
      </c>
      <c r="E5046" s="35" t="s">
        <v>1166</v>
      </c>
      <c r="F5046" s="35" t="s">
        <v>335</v>
      </c>
    </row>
    <row r="5047" spans="1:7">
      <c r="A5047" s="34">
        <v>2084259973</v>
      </c>
      <c r="B5047" s="35" t="s">
        <v>462</v>
      </c>
      <c r="C5047" s="35" t="s">
        <v>405</v>
      </c>
      <c r="D5047" s="35" t="s">
        <v>1128</v>
      </c>
      <c r="E5047" s="35" t="s">
        <v>1167</v>
      </c>
      <c r="F5047" s="35" t="s">
        <v>407</v>
      </c>
    </row>
    <row r="5048" spans="1:7">
      <c r="A5048" s="34">
        <v>2084259972</v>
      </c>
      <c r="B5048" s="35" t="s">
        <v>462</v>
      </c>
      <c r="C5048" s="35" t="s">
        <v>405</v>
      </c>
      <c r="D5048" s="35" t="s">
        <v>1128</v>
      </c>
      <c r="E5048" s="35" t="s">
        <v>1167</v>
      </c>
      <c r="F5048" s="35" t="s">
        <v>408</v>
      </c>
    </row>
    <row r="5049" spans="1:7">
      <c r="A5049" s="34">
        <v>2084259976</v>
      </c>
      <c r="B5049" s="35" t="s">
        <v>462</v>
      </c>
      <c r="C5049" s="35" t="s">
        <v>405</v>
      </c>
      <c r="D5049" s="35" t="s">
        <v>1128</v>
      </c>
      <c r="E5049" s="35" t="s">
        <v>1168</v>
      </c>
      <c r="F5049" s="35" t="s">
        <v>407</v>
      </c>
    </row>
    <row r="5050" spans="1:7">
      <c r="A5050" s="34">
        <v>2084259975</v>
      </c>
      <c r="B5050" s="35" t="s">
        <v>462</v>
      </c>
      <c r="C5050" s="35" t="s">
        <v>405</v>
      </c>
      <c r="D5050" s="35" t="s">
        <v>1128</v>
      </c>
      <c r="E5050" s="35" t="s">
        <v>1168</v>
      </c>
      <c r="F5050" s="35" t="s">
        <v>408</v>
      </c>
    </row>
    <row r="5051" spans="1:7">
      <c r="A5051" s="34">
        <v>2084308703</v>
      </c>
      <c r="B5051" s="35" t="s">
        <v>462</v>
      </c>
      <c r="C5051" s="35" t="s">
        <v>405</v>
      </c>
      <c r="D5051" s="35" t="s">
        <v>1128</v>
      </c>
      <c r="E5051" s="35" t="s">
        <v>1169</v>
      </c>
      <c r="F5051" s="35" t="s">
        <v>367</v>
      </c>
    </row>
    <row r="5052" spans="1:7">
      <c r="A5052" s="34">
        <v>2084308704</v>
      </c>
      <c r="B5052" s="35" t="s">
        <v>462</v>
      </c>
      <c r="C5052" s="35" t="s">
        <v>405</v>
      </c>
      <c r="D5052" s="35" t="s">
        <v>1128</v>
      </c>
      <c r="E5052" s="35" t="s">
        <v>1169</v>
      </c>
      <c r="F5052" s="35" t="s">
        <v>401</v>
      </c>
    </row>
    <row r="5053" spans="1:7">
      <c r="A5053" s="34">
        <v>2084308705</v>
      </c>
      <c r="B5053" s="35" t="s">
        <v>462</v>
      </c>
      <c r="C5053" s="35" t="s">
        <v>405</v>
      </c>
      <c r="D5053" s="35" t="s">
        <v>1128</v>
      </c>
      <c r="E5053" s="35" t="s">
        <v>1169</v>
      </c>
      <c r="F5053" s="35" t="s">
        <v>402</v>
      </c>
    </row>
    <row r="5054" spans="1:7">
      <c r="A5054" s="34">
        <v>2084308706</v>
      </c>
      <c r="B5054" s="35" t="s">
        <v>462</v>
      </c>
      <c r="C5054" s="35" t="s">
        <v>405</v>
      </c>
      <c r="D5054" s="35" t="s">
        <v>1128</v>
      </c>
      <c r="E5054" s="35" t="s">
        <v>1169</v>
      </c>
      <c r="F5054" s="35" t="s">
        <v>477</v>
      </c>
    </row>
    <row r="5055" spans="1:7">
      <c r="A5055" s="34">
        <v>2084308707</v>
      </c>
      <c r="B5055" s="35" t="s">
        <v>462</v>
      </c>
      <c r="C5055" s="35" t="s">
        <v>405</v>
      </c>
      <c r="D5055" s="35" t="s">
        <v>1128</v>
      </c>
      <c r="E5055" s="35" t="s">
        <v>1169</v>
      </c>
      <c r="F5055" s="35" t="s">
        <v>335</v>
      </c>
    </row>
    <row r="5056" spans="1:7">
      <c r="A5056" s="34">
        <v>2084302953</v>
      </c>
      <c r="B5056" s="35" t="s">
        <v>462</v>
      </c>
      <c r="C5056" s="35" t="s">
        <v>405</v>
      </c>
      <c r="D5056" s="35" t="s">
        <v>1170</v>
      </c>
      <c r="E5056" s="35" t="s">
        <v>1171</v>
      </c>
      <c r="F5056" s="35" t="s">
        <v>390</v>
      </c>
      <c r="G5056" s="35" t="s">
        <v>1172</v>
      </c>
    </row>
    <row r="5057" spans="1:7">
      <c r="A5057" s="34">
        <v>2084302952</v>
      </c>
      <c r="B5057" s="35" t="s">
        <v>462</v>
      </c>
      <c r="C5057" s="35" t="s">
        <v>405</v>
      </c>
      <c r="D5057" s="35" t="s">
        <v>1170</v>
      </c>
      <c r="E5057" s="35" t="s">
        <v>1171</v>
      </c>
      <c r="F5057" s="35" t="s">
        <v>390</v>
      </c>
      <c r="G5057" s="35" t="s">
        <v>1173</v>
      </c>
    </row>
    <row r="5058" spans="1:7">
      <c r="A5058" s="34">
        <v>2084302949</v>
      </c>
      <c r="B5058" s="35" t="s">
        <v>462</v>
      </c>
      <c r="C5058" s="35" t="s">
        <v>405</v>
      </c>
      <c r="D5058" s="35" t="s">
        <v>1170</v>
      </c>
      <c r="E5058" s="35" t="s">
        <v>1171</v>
      </c>
      <c r="F5058" s="35" t="s">
        <v>390</v>
      </c>
      <c r="G5058" s="35" t="s">
        <v>553</v>
      </c>
    </row>
    <row r="5059" spans="1:7">
      <c r="A5059" s="34">
        <v>2084302951</v>
      </c>
      <c r="B5059" s="35" t="s">
        <v>462</v>
      </c>
      <c r="C5059" s="35" t="s">
        <v>405</v>
      </c>
      <c r="D5059" s="35" t="s">
        <v>1170</v>
      </c>
      <c r="E5059" s="35" t="s">
        <v>1171</v>
      </c>
      <c r="F5059" s="35" t="s">
        <v>390</v>
      </c>
      <c r="G5059" s="35" t="s">
        <v>1174</v>
      </c>
    </row>
    <row r="5060" spans="1:7">
      <c r="A5060" s="34">
        <v>2084302950</v>
      </c>
      <c r="B5060" s="35" t="s">
        <v>462</v>
      </c>
      <c r="C5060" s="35" t="s">
        <v>405</v>
      </c>
      <c r="D5060" s="35" t="s">
        <v>1170</v>
      </c>
      <c r="E5060" s="35" t="s">
        <v>1171</v>
      </c>
      <c r="F5060" s="35" t="s">
        <v>390</v>
      </c>
      <c r="G5060" s="35" t="s">
        <v>1175</v>
      </c>
    </row>
    <row r="5061" spans="1:7">
      <c r="A5061" s="34">
        <v>2084302948</v>
      </c>
      <c r="B5061" s="35" t="s">
        <v>462</v>
      </c>
      <c r="C5061" s="35" t="s">
        <v>405</v>
      </c>
      <c r="D5061" s="35" t="s">
        <v>1170</v>
      </c>
      <c r="E5061" s="35" t="s">
        <v>1171</v>
      </c>
      <c r="F5061" s="35" t="s">
        <v>390</v>
      </c>
      <c r="G5061" s="35" t="s">
        <v>554</v>
      </c>
    </row>
    <row r="5062" spans="1:7">
      <c r="A5062" s="34">
        <v>2084302954</v>
      </c>
      <c r="B5062" s="35" t="s">
        <v>462</v>
      </c>
      <c r="C5062" s="35" t="s">
        <v>405</v>
      </c>
      <c r="D5062" s="35" t="s">
        <v>1170</v>
      </c>
      <c r="E5062" s="35" t="s">
        <v>1171</v>
      </c>
      <c r="F5062" s="35" t="s">
        <v>390</v>
      </c>
      <c r="G5062" s="35" t="s">
        <v>335</v>
      </c>
    </row>
    <row r="5063" spans="1:7">
      <c r="A5063" s="34">
        <v>2084302961</v>
      </c>
      <c r="B5063" s="35" t="s">
        <v>462</v>
      </c>
      <c r="C5063" s="35" t="s">
        <v>405</v>
      </c>
      <c r="D5063" s="35" t="s">
        <v>1170</v>
      </c>
      <c r="E5063" s="35" t="s">
        <v>1171</v>
      </c>
      <c r="F5063" s="35" t="s">
        <v>353</v>
      </c>
      <c r="G5063" s="35" t="s">
        <v>1172</v>
      </c>
    </row>
    <row r="5064" spans="1:7">
      <c r="A5064" s="34">
        <v>2084302960</v>
      </c>
      <c r="B5064" s="35" t="s">
        <v>462</v>
      </c>
      <c r="C5064" s="35" t="s">
        <v>405</v>
      </c>
      <c r="D5064" s="35" t="s">
        <v>1170</v>
      </c>
      <c r="E5064" s="35" t="s">
        <v>1171</v>
      </c>
      <c r="F5064" s="35" t="s">
        <v>353</v>
      </c>
      <c r="G5064" s="35" t="s">
        <v>1173</v>
      </c>
    </row>
    <row r="5065" spans="1:7">
      <c r="A5065" s="34">
        <v>2084302963</v>
      </c>
      <c r="B5065" s="35" t="s">
        <v>462</v>
      </c>
      <c r="C5065" s="35" t="s">
        <v>405</v>
      </c>
      <c r="D5065" s="35" t="s">
        <v>1170</v>
      </c>
      <c r="E5065" s="35" t="s">
        <v>1171</v>
      </c>
      <c r="F5065" s="35" t="s">
        <v>353</v>
      </c>
      <c r="G5065" s="35" t="s">
        <v>421</v>
      </c>
    </row>
    <row r="5066" spans="1:7">
      <c r="A5066" s="34">
        <v>2084302957</v>
      </c>
      <c r="B5066" s="35" t="s">
        <v>462</v>
      </c>
      <c r="C5066" s="35" t="s">
        <v>405</v>
      </c>
      <c r="D5066" s="35" t="s">
        <v>1170</v>
      </c>
      <c r="E5066" s="35" t="s">
        <v>1171</v>
      </c>
      <c r="F5066" s="35" t="s">
        <v>353</v>
      </c>
      <c r="G5066" s="35" t="s">
        <v>553</v>
      </c>
    </row>
    <row r="5067" spans="1:7">
      <c r="A5067" s="34">
        <v>2084302959</v>
      </c>
      <c r="B5067" s="35" t="s">
        <v>462</v>
      </c>
      <c r="C5067" s="35" t="s">
        <v>405</v>
      </c>
      <c r="D5067" s="35" t="s">
        <v>1170</v>
      </c>
      <c r="E5067" s="35" t="s">
        <v>1171</v>
      </c>
      <c r="F5067" s="35" t="s">
        <v>353</v>
      </c>
      <c r="G5067" s="35" t="s">
        <v>1174</v>
      </c>
    </row>
    <row r="5068" spans="1:7">
      <c r="A5068" s="34">
        <v>2084302958</v>
      </c>
      <c r="B5068" s="35" t="s">
        <v>462</v>
      </c>
      <c r="C5068" s="35" t="s">
        <v>405</v>
      </c>
      <c r="D5068" s="35" t="s">
        <v>1170</v>
      </c>
      <c r="E5068" s="35" t="s">
        <v>1171</v>
      </c>
      <c r="F5068" s="35" t="s">
        <v>353</v>
      </c>
      <c r="G5068" s="35" t="s">
        <v>1175</v>
      </c>
    </row>
    <row r="5069" spans="1:7">
      <c r="A5069" s="34">
        <v>2084302962</v>
      </c>
      <c r="B5069" s="35" t="s">
        <v>462</v>
      </c>
      <c r="C5069" s="35" t="s">
        <v>405</v>
      </c>
      <c r="D5069" s="35" t="s">
        <v>1170</v>
      </c>
      <c r="E5069" s="35" t="s">
        <v>1171</v>
      </c>
      <c r="F5069" s="35" t="s">
        <v>353</v>
      </c>
      <c r="G5069" s="35" t="s">
        <v>422</v>
      </c>
    </row>
    <row r="5070" spans="1:7">
      <c r="A5070" s="34">
        <v>2084302956</v>
      </c>
      <c r="B5070" s="35" t="s">
        <v>462</v>
      </c>
      <c r="C5070" s="35" t="s">
        <v>405</v>
      </c>
      <c r="D5070" s="35" t="s">
        <v>1170</v>
      </c>
      <c r="E5070" s="35" t="s">
        <v>1171</v>
      </c>
      <c r="F5070" s="35" t="s">
        <v>353</v>
      </c>
      <c r="G5070" s="35" t="s">
        <v>554</v>
      </c>
    </row>
    <row r="5071" spans="1:7">
      <c r="A5071" s="34">
        <v>2084302966</v>
      </c>
      <c r="B5071" s="35" t="s">
        <v>462</v>
      </c>
      <c r="C5071" s="35" t="s">
        <v>405</v>
      </c>
      <c r="D5071" s="35" t="s">
        <v>1170</v>
      </c>
      <c r="E5071" s="35" t="s">
        <v>1171</v>
      </c>
      <c r="F5071" s="35" t="s">
        <v>353</v>
      </c>
      <c r="G5071" s="35" t="s">
        <v>1176</v>
      </c>
    </row>
    <row r="5072" spans="1:7">
      <c r="A5072" s="34">
        <v>2084302964</v>
      </c>
      <c r="B5072" s="35" t="s">
        <v>462</v>
      </c>
      <c r="C5072" s="35" t="s">
        <v>405</v>
      </c>
      <c r="D5072" s="35" t="s">
        <v>1170</v>
      </c>
      <c r="E5072" s="35" t="s">
        <v>1171</v>
      </c>
      <c r="F5072" s="35" t="s">
        <v>353</v>
      </c>
      <c r="G5072" s="35" t="s">
        <v>545</v>
      </c>
    </row>
    <row r="5073" spans="1:8">
      <c r="A5073" s="34">
        <v>2084302967</v>
      </c>
      <c r="B5073" s="35" t="s">
        <v>462</v>
      </c>
      <c r="C5073" s="35" t="s">
        <v>405</v>
      </c>
      <c r="D5073" s="35" t="s">
        <v>1170</v>
      </c>
      <c r="E5073" s="35" t="s">
        <v>1171</v>
      </c>
      <c r="F5073" s="35" t="s">
        <v>353</v>
      </c>
      <c r="G5073" s="35" t="s">
        <v>1177</v>
      </c>
    </row>
    <row r="5074" spans="1:8">
      <c r="A5074" s="34">
        <v>2084302965</v>
      </c>
      <c r="B5074" s="35" t="s">
        <v>462</v>
      </c>
      <c r="C5074" s="35" t="s">
        <v>405</v>
      </c>
      <c r="D5074" s="35" t="s">
        <v>1170</v>
      </c>
      <c r="E5074" s="35" t="s">
        <v>1171</v>
      </c>
      <c r="F5074" s="35" t="s">
        <v>353</v>
      </c>
      <c r="G5074" s="35" t="s">
        <v>1178</v>
      </c>
    </row>
    <row r="5075" spans="1:8">
      <c r="A5075" s="34">
        <v>2084302968</v>
      </c>
      <c r="B5075" s="35" t="s">
        <v>462</v>
      </c>
      <c r="C5075" s="35" t="s">
        <v>405</v>
      </c>
      <c r="D5075" s="35" t="s">
        <v>1170</v>
      </c>
      <c r="E5075" s="35" t="s">
        <v>1171</v>
      </c>
      <c r="F5075" s="35" t="s">
        <v>353</v>
      </c>
      <c r="G5075" s="35" t="s">
        <v>335</v>
      </c>
    </row>
    <row r="5076" spans="1:8">
      <c r="A5076" s="34">
        <v>2084230542</v>
      </c>
      <c r="B5076" s="35" t="s">
        <v>462</v>
      </c>
      <c r="C5076" s="35" t="s">
        <v>405</v>
      </c>
      <c r="D5076" s="35" t="s">
        <v>1170</v>
      </c>
      <c r="E5076" s="35" t="s">
        <v>1179</v>
      </c>
    </row>
    <row r="5077" spans="1:8">
      <c r="A5077" s="34">
        <v>2084261447</v>
      </c>
      <c r="B5077" s="35" t="s">
        <v>462</v>
      </c>
      <c r="C5077" s="35" t="s">
        <v>405</v>
      </c>
      <c r="D5077" s="35" t="s">
        <v>1170</v>
      </c>
      <c r="E5077" s="35" t="s">
        <v>1180</v>
      </c>
    </row>
    <row r="5078" spans="1:8">
      <c r="A5078" s="34">
        <v>2084054695</v>
      </c>
      <c r="B5078" s="35" t="s">
        <v>462</v>
      </c>
      <c r="C5078" s="35" t="s">
        <v>405</v>
      </c>
      <c r="D5078" s="35" t="s">
        <v>1170</v>
      </c>
      <c r="E5078" s="35" t="s">
        <v>1181</v>
      </c>
      <c r="F5078" s="35" t="s">
        <v>390</v>
      </c>
      <c r="G5078" s="35" t="s">
        <v>367</v>
      </c>
    </row>
    <row r="5079" spans="1:8">
      <c r="A5079" s="34">
        <v>2084054697</v>
      </c>
      <c r="B5079" s="35" t="s">
        <v>462</v>
      </c>
      <c r="C5079" s="35" t="s">
        <v>405</v>
      </c>
      <c r="D5079" s="35" t="s">
        <v>1170</v>
      </c>
      <c r="E5079" s="35" t="s">
        <v>1181</v>
      </c>
      <c r="F5079" s="35" t="s">
        <v>390</v>
      </c>
      <c r="G5079" s="35" t="s">
        <v>368</v>
      </c>
      <c r="H5079" s="35" t="s">
        <v>481</v>
      </c>
    </row>
    <row r="5080" spans="1:8">
      <c r="A5080" s="34">
        <v>2084054698</v>
      </c>
      <c r="B5080" s="35" t="s">
        <v>462</v>
      </c>
      <c r="C5080" s="35" t="s">
        <v>405</v>
      </c>
      <c r="D5080" s="35" t="s">
        <v>1170</v>
      </c>
      <c r="E5080" s="35" t="s">
        <v>1181</v>
      </c>
      <c r="F5080" s="35" t="s">
        <v>390</v>
      </c>
      <c r="G5080" s="35" t="s">
        <v>368</v>
      </c>
      <c r="H5080" s="35" t="s">
        <v>335</v>
      </c>
    </row>
    <row r="5081" spans="1:8">
      <c r="A5081" s="34">
        <v>2084054705</v>
      </c>
      <c r="B5081" s="35" t="s">
        <v>462</v>
      </c>
      <c r="C5081" s="35" t="s">
        <v>405</v>
      </c>
      <c r="D5081" s="35" t="s">
        <v>1170</v>
      </c>
      <c r="E5081" s="35" t="s">
        <v>1181</v>
      </c>
      <c r="F5081" s="35" t="s">
        <v>390</v>
      </c>
      <c r="G5081" s="35" t="s">
        <v>10</v>
      </c>
      <c r="H5081" s="35" t="s">
        <v>483</v>
      </c>
    </row>
    <row r="5082" spans="1:8">
      <c r="A5082" s="34">
        <v>2084054703</v>
      </c>
      <c r="B5082" s="35" t="s">
        <v>462</v>
      </c>
      <c r="C5082" s="35" t="s">
        <v>405</v>
      </c>
      <c r="D5082" s="35" t="s">
        <v>1170</v>
      </c>
      <c r="E5082" s="35" t="s">
        <v>1181</v>
      </c>
      <c r="F5082" s="35" t="s">
        <v>390</v>
      </c>
      <c r="G5082" s="35" t="s">
        <v>10</v>
      </c>
      <c r="H5082" s="35" t="s">
        <v>397</v>
      </c>
    </row>
    <row r="5083" spans="1:8">
      <c r="A5083" s="34">
        <v>2084054702</v>
      </c>
      <c r="B5083" s="35" t="s">
        <v>462</v>
      </c>
      <c r="C5083" s="35" t="s">
        <v>405</v>
      </c>
      <c r="D5083" s="35" t="s">
        <v>1170</v>
      </c>
      <c r="E5083" s="35" t="s">
        <v>1181</v>
      </c>
      <c r="F5083" s="35" t="s">
        <v>390</v>
      </c>
      <c r="G5083" s="35" t="s">
        <v>10</v>
      </c>
      <c r="H5083" s="35" t="s">
        <v>421</v>
      </c>
    </row>
    <row r="5084" spans="1:8">
      <c r="A5084" s="34">
        <v>2084054700</v>
      </c>
      <c r="B5084" s="35" t="s">
        <v>462</v>
      </c>
      <c r="C5084" s="35" t="s">
        <v>405</v>
      </c>
      <c r="D5084" s="35" t="s">
        <v>1170</v>
      </c>
      <c r="E5084" s="35" t="s">
        <v>1181</v>
      </c>
      <c r="F5084" s="35" t="s">
        <v>390</v>
      </c>
      <c r="G5084" s="35" t="s">
        <v>10</v>
      </c>
      <c r="H5084" s="35" t="s">
        <v>398</v>
      </c>
    </row>
    <row r="5085" spans="1:8">
      <c r="A5085" s="34">
        <v>2084054701</v>
      </c>
      <c r="B5085" s="35" t="s">
        <v>462</v>
      </c>
      <c r="C5085" s="35" t="s">
        <v>405</v>
      </c>
      <c r="D5085" s="35" t="s">
        <v>1170</v>
      </c>
      <c r="E5085" s="35" t="s">
        <v>1181</v>
      </c>
      <c r="F5085" s="35" t="s">
        <v>390</v>
      </c>
      <c r="G5085" s="35" t="s">
        <v>10</v>
      </c>
      <c r="H5085" s="35" t="s">
        <v>422</v>
      </c>
    </row>
    <row r="5086" spans="1:8">
      <c r="A5086" s="34">
        <v>2084054704</v>
      </c>
      <c r="B5086" s="35" t="s">
        <v>462</v>
      </c>
      <c r="C5086" s="35" t="s">
        <v>405</v>
      </c>
      <c r="D5086" s="35" t="s">
        <v>1170</v>
      </c>
      <c r="E5086" s="35" t="s">
        <v>1181</v>
      </c>
      <c r="F5086" s="35" t="s">
        <v>390</v>
      </c>
      <c r="G5086" s="35" t="s">
        <v>10</v>
      </c>
      <c r="H5086" s="35" t="s">
        <v>335</v>
      </c>
    </row>
    <row r="5087" spans="1:8">
      <c r="A5087" s="34">
        <v>2084054707</v>
      </c>
      <c r="B5087" s="35" t="s">
        <v>462</v>
      </c>
      <c r="C5087" s="35" t="s">
        <v>405</v>
      </c>
      <c r="D5087" s="35" t="s">
        <v>1170</v>
      </c>
      <c r="E5087" s="35" t="s">
        <v>1181</v>
      </c>
      <c r="F5087" s="35" t="s">
        <v>390</v>
      </c>
      <c r="G5087" s="35" t="s">
        <v>379</v>
      </c>
      <c r="H5087" s="35" t="s">
        <v>476</v>
      </c>
    </row>
    <row r="5088" spans="1:8">
      <c r="A5088" s="34">
        <v>2084054708</v>
      </c>
      <c r="B5088" s="35" t="s">
        <v>462</v>
      </c>
      <c r="C5088" s="35" t="s">
        <v>405</v>
      </c>
      <c r="D5088" s="35" t="s">
        <v>1170</v>
      </c>
      <c r="E5088" s="35" t="s">
        <v>1181</v>
      </c>
      <c r="F5088" s="35" t="s">
        <v>390</v>
      </c>
      <c r="G5088" s="35" t="s">
        <v>379</v>
      </c>
      <c r="H5088" s="35" t="s">
        <v>335</v>
      </c>
    </row>
    <row r="5089" spans="1:8">
      <c r="A5089" s="34">
        <v>2084054709</v>
      </c>
      <c r="B5089" s="35" t="s">
        <v>462</v>
      </c>
      <c r="C5089" s="35" t="s">
        <v>405</v>
      </c>
      <c r="D5089" s="35" t="s">
        <v>1170</v>
      </c>
      <c r="E5089" s="35" t="s">
        <v>1181</v>
      </c>
      <c r="F5089" s="35" t="s">
        <v>390</v>
      </c>
      <c r="G5089" s="35" t="s">
        <v>335</v>
      </c>
    </row>
    <row r="5090" spans="1:8">
      <c r="A5090" s="34">
        <v>2084061687</v>
      </c>
      <c r="B5090" s="35" t="s">
        <v>462</v>
      </c>
      <c r="C5090" s="35" t="s">
        <v>405</v>
      </c>
      <c r="D5090" s="35" t="s">
        <v>1170</v>
      </c>
      <c r="E5090" s="35" t="s">
        <v>1181</v>
      </c>
      <c r="F5090" s="35" t="s">
        <v>335</v>
      </c>
    </row>
    <row r="5091" spans="1:8">
      <c r="A5091" s="34">
        <v>2084048745</v>
      </c>
      <c r="B5091" s="35" t="s">
        <v>462</v>
      </c>
      <c r="C5091" s="35" t="s">
        <v>405</v>
      </c>
      <c r="D5091" s="35" t="s">
        <v>1170</v>
      </c>
      <c r="E5091" s="35" t="s">
        <v>1182</v>
      </c>
      <c r="F5091" s="35" t="s">
        <v>335</v>
      </c>
    </row>
    <row r="5092" spans="1:8">
      <c r="A5092" s="34">
        <v>2084215827</v>
      </c>
      <c r="B5092" s="35" t="s">
        <v>462</v>
      </c>
      <c r="C5092" s="35" t="s">
        <v>405</v>
      </c>
      <c r="D5092" s="35" t="s">
        <v>1170</v>
      </c>
      <c r="E5092" s="35" t="s">
        <v>1183</v>
      </c>
      <c r="F5092" s="35" t="s">
        <v>407</v>
      </c>
    </row>
    <row r="5093" spans="1:8">
      <c r="A5093" s="34">
        <v>2084215829</v>
      </c>
      <c r="B5093" s="35" t="s">
        <v>462</v>
      </c>
      <c r="C5093" s="35" t="s">
        <v>405</v>
      </c>
      <c r="D5093" s="35" t="s">
        <v>1170</v>
      </c>
      <c r="E5093" s="35" t="s">
        <v>1183</v>
      </c>
      <c r="F5093" s="35" t="s">
        <v>353</v>
      </c>
      <c r="G5093" s="35" t="s">
        <v>367</v>
      </c>
    </row>
    <row r="5094" spans="1:8">
      <c r="A5094" s="34">
        <v>2084215832</v>
      </c>
      <c r="B5094" s="35" t="s">
        <v>462</v>
      </c>
      <c r="C5094" s="35" t="s">
        <v>405</v>
      </c>
      <c r="D5094" s="35" t="s">
        <v>1170</v>
      </c>
      <c r="E5094" s="35" t="s">
        <v>1183</v>
      </c>
      <c r="F5094" s="35" t="s">
        <v>353</v>
      </c>
      <c r="G5094" s="35" t="s">
        <v>368</v>
      </c>
      <c r="H5094" s="35" t="s">
        <v>481</v>
      </c>
    </row>
    <row r="5095" spans="1:8">
      <c r="A5095" s="34">
        <v>2084215831</v>
      </c>
      <c r="B5095" s="35" t="s">
        <v>462</v>
      </c>
      <c r="C5095" s="35" t="s">
        <v>405</v>
      </c>
      <c r="D5095" s="35" t="s">
        <v>1170</v>
      </c>
      <c r="E5095" s="35" t="s">
        <v>1183</v>
      </c>
      <c r="F5095" s="35" t="s">
        <v>353</v>
      </c>
      <c r="G5095" s="35" t="s">
        <v>368</v>
      </c>
      <c r="H5095" s="35" t="s">
        <v>482</v>
      </c>
    </row>
    <row r="5096" spans="1:8">
      <c r="A5096" s="34">
        <v>2084215833</v>
      </c>
      <c r="B5096" s="35" t="s">
        <v>462</v>
      </c>
      <c r="C5096" s="35" t="s">
        <v>405</v>
      </c>
      <c r="D5096" s="35" t="s">
        <v>1170</v>
      </c>
      <c r="E5096" s="35" t="s">
        <v>1183</v>
      </c>
      <c r="F5096" s="35" t="s">
        <v>353</v>
      </c>
      <c r="G5096" s="35" t="s">
        <v>368</v>
      </c>
      <c r="H5096" s="35" t="s">
        <v>335</v>
      </c>
    </row>
    <row r="5097" spans="1:8">
      <c r="A5097" s="34">
        <v>2084215839</v>
      </c>
      <c r="B5097" s="35" t="s">
        <v>462</v>
      </c>
      <c r="C5097" s="35" t="s">
        <v>405</v>
      </c>
      <c r="D5097" s="35" t="s">
        <v>1170</v>
      </c>
      <c r="E5097" s="35" t="s">
        <v>1183</v>
      </c>
      <c r="F5097" s="35" t="s">
        <v>353</v>
      </c>
      <c r="G5097" s="35" t="s">
        <v>10</v>
      </c>
      <c r="H5097" s="35" t="s">
        <v>483</v>
      </c>
    </row>
    <row r="5098" spans="1:8">
      <c r="A5098" s="34">
        <v>2084215836</v>
      </c>
      <c r="B5098" s="35" t="s">
        <v>462</v>
      </c>
      <c r="C5098" s="35" t="s">
        <v>405</v>
      </c>
      <c r="D5098" s="35" t="s">
        <v>1170</v>
      </c>
      <c r="E5098" s="35" t="s">
        <v>1183</v>
      </c>
      <c r="F5098" s="35" t="s">
        <v>353</v>
      </c>
      <c r="G5098" s="35" t="s">
        <v>10</v>
      </c>
      <c r="H5098" s="35" t="s">
        <v>397</v>
      </c>
    </row>
    <row r="5099" spans="1:8">
      <c r="A5099" s="34">
        <v>2084215838</v>
      </c>
      <c r="B5099" s="35" t="s">
        <v>462</v>
      </c>
      <c r="C5099" s="35" t="s">
        <v>405</v>
      </c>
      <c r="D5099" s="35" t="s">
        <v>1170</v>
      </c>
      <c r="E5099" s="35" t="s">
        <v>1183</v>
      </c>
      <c r="F5099" s="35" t="s">
        <v>353</v>
      </c>
      <c r="G5099" s="35" t="s">
        <v>10</v>
      </c>
      <c r="H5099" s="35" t="s">
        <v>421</v>
      </c>
    </row>
    <row r="5100" spans="1:8">
      <c r="A5100" s="34">
        <v>2084215835</v>
      </c>
      <c r="B5100" s="35" t="s">
        <v>462</v>
      </c>
      <c r="C5100" s="35" t="s">
        <v>405</v>
      </c>
      <c r="D5100" s="35" t="s">
        <v>1170</v>
      </c>
      <c r="E5100" s="35" t="s">
        <v>1183</v>
      </c>
      <c r="F5100" s="35" t="s">
        <v>353</v>
      </c>
      <c r="G5100" s="35" t="s">
        <v>10</v>
      </c>
      <c r="H5100" s="35" t="s">
        <v>398</v>
      </c>
    </row>
    <row r="5101" spans="1:8">
      <c r="A5101" s="34">
        <v>2084215837</v>
      </c>
      <c r="B5101" s="35" t="s">
        <v>462</v>
      </c>
      <c r="C5101" s="35" t="s">
        <v>405</v>
      </c>
      <c r="D5101" s="35" t="s">
        <v>1170</v>
      </c>
      <c r="E5101" s="35" t="s">
        <v>1183</v>
      </c>
      <c r="F5101" s="35" t="s">
        <v>353</v>
      </c>
      <c r="G5101" s="35" t="s">
        <v>10</v>
      </c>
      <c r="H5101" s="35" t="s">
        <v>422</v>
      </c>
    </row>
    <row r="5102" spans="1:8">
      <c r="A5102" s="34">
        <v>2084215840</v>
      </c>
      <c r="B5102" s="35" t="s">
        <v>462</v>
      </c>
      <c r="C5102" s="35" t="s">
        <v>405</v>
      </c>
      <c r="D5102" s="35" t="s">
        <v>1170</v>
      </c>
      <c r="E5102" s="35" t="s">
        <v>1183</v>
      </c>
      <c r="F5102" s="35" t="s">
        <v>353</v>
      </c>
      <c r="G5102" s="35" t="s">
        <v>10</v>
      </c>
      <c r="H5102" s="35" t="s">
        <v>335</v>
      </c>
    </row>
    <row r="5103" spans="1:8">
      <c r="A5103" s="34">
        <v>2084215841</v>
      </c>
      <c r="B5103" s="35" t="s">
        <v>462</v>
      </c>
      <c r="C5103" s="35" t="s">
        <v>405</v>
      </c>
      <c r="D5103" s="35" t="s">
        <v>1170</v>
      </c>
      <c r="E5103" s="35" t="s">
        <v>1183</v>
      </c>
      <c r="F5103" s="35" t="s">
        <v>353</v>
      </c>
      <c r="G5103" s="35" t="s">
        <v>403</v>
      </c>
    </row>
    <row r="5104" spans="1:8">
      <c r="A5104" s="34">
        <v>2084215842</v>
      </c>
      <c r="B5104" s="35" t="s">
        <v>462</v>
      </c>
      <c r="C5104" s="35" t="s">
        <v>405</v>
      </c>
      <c r="D5104" s="35" t="s">
        <v>1170</v>
      </c>
      <c r="E5104" s="35" t="s">
        <v>1183</v>
      </c>
      <c r="F5104" s="35" t="s">
        <v>353</v>
      </c>
      <c r="G5104" s="35" t="s">
        <v>335</v>
      </c>
    </row>
    <row r="5105" spans="1:8">
      <c r="A5105" s="34">
        <v>2084215843</v>
      </c>
      <c r="B5105" s="35" t="s">
        <v>462</v>
      </c>
      <c r="C5105" s="35" t="s">
        <v>405</v>
      </c>
      <c r="D5105" s="35" t="s">
        <v>1170</v>
      </c>
      <c r="E5105" s="35" t="s">
        <v>1183</v>
      </c>
      <c r="F5105" s="35" t="s">
        <v>335</v>
      </c>
    </row>
    <row r="5106" spans="1:8">
      <c r="A5106" s="34">
        <v>2084298347</v>
      </c>
      <c r="B5106" s="35" t="s">
        <v>462</v>
      </c>
      <c r="C5106" s="35" t="s">
        <v>405</v>
      </c>
      <c r="D5106" s="35" t="s">
        <v>1170</v>
      </c>
      <c r="E5106" s="35" t="s">
        <v>1184</v>
      </c>
      <c r="F5106" s="35" t="s">
        <v>407</v>
      </c>
    </row>
    <row r="5107" spans="1:8">
      <c r="A5107" s="34">
        <v>2084259143</v>
      </c>
      <c r="B5107" s="35" t="s">
        <v>462</v>
      </c>
      <c r="C5107" s="35" t="s">
        <v>405</v>
      </c>
      <c r="D5107" s="35" t="s">
        <v>1170</v>
      </c>
      <c r="E5107" s="35" t="s">
        <v>1185</v>
      </c>
    </row>
    <row r="5108" spans="1:8">
      <c r="A5108" s="34">
        <v>2084301240</v>
      </c>
      <c r="B5108" s="35" t="s">
        <v>462</v>
      </c>
      <c r="C5108" s="35" t="s">
        <v>405</v>
      </c>
      <c r="D5108" s="35" t="s">
        <v>1170</v>
      </c>
      <c r="E5108" s="35" t="s">
        <v>1186</v>
      </c>
      <c r="F5108" s="35" t="s">
        <v>407</v>
      </c>
    </row>
    <row r="5109" spans="1:8">
      <c r="A5109" s="34">
        <v>2084301239</v>
      </c>
      <c r="B5109" s="35" t="s">
        <v>462</v>
      </c>
      <c r="C5109" s="35" t="s">
        <v>405</v>
      </c>
      <c r="D5109" s="35" t="s">
        <v>1170</v>
      </c>
      <c r="E5109" s="35" t="s">
        <v>1186</v>
      </c>
      <c r="F5109" s="35" t="s">
        <v>408</v>
      </c>
    </row>
    <row r="5110" spans="1:8">
      <c r="A5110" s="34">
        <v>2084050278</v>
      </c>
      <c r="B5110" s="35" t="s">
        <v>462</v>
      </c>
      <c r="C5110" s="35" t="s">
        <v>405</v>
      </c>
      <c r="D5110" s="35" t="s">
        <v>1170</v>
      </c>
      <c r="E5110" s="35" t="s">
        <v>1187</v>
      </c>
    </row>
    <row r="5111" spans="1:8">
      <c r="A5111" s="34">
        <v>2084283773</v>
      </c>
      <c r="B5111" s="35" t="s">
        <v>462</v>
      </c>
      <c r="C5111" s="35" t="s">
        <v>405</v>
      </c>
      <c r="D5111" s="35" t="s">
        <v>1170</v>
      </c>
      <c r="E5111" s="35" t="s">
        <v>1188</v>
      </c>
    </row>
    <row r="5112" spans="1:8">
      <c r="A5112" s="34">
        <v>2084056095</v>
      </c>
      <c r="B5112" s="35" t="s">
        <v>462</v>
      </c>
      <c r="C5112" s="35" t="s">
        <v>405</v>
      </c>
      <c r="D5112" s="35" t="s">
        <v>1170</v>
      </c>
      <c r="E5112" s="35" t="s">
        <v>1189</v>
      </c>
      <c r="F5112" s="35" t="s">
        <v>390</v>
      </c>
      <c r="G5112" s="35" t="s">
        <v>367</v>
      </c>
    </row>
    <row r="5113" spans="1:8">
      <c r="A5113" s="34">
        <v>2084056096</v>
      </c>
      <c r="B5113" s="35" t="s">
        <v>462</v>
      </c>
      <c r="C5113" s="35" t="s">
        <v>405</v>
      </c>
      <c r="D5113" s="35" t="s">
        <v>1170</v>
      </c>
      <c r="E5113" s="35" t="s">
        <v>1189</v>
      </c>
      <c r="F5113" s="35" t="s">
        <v>390</v>
      </c>
      <c r="G5113" s="35" t="s">
        <v>401</v>
      </c>
    </row>
    <row r="5114" spans="1:8">
      <c r="A5114" s="34">
        <v>2084056102</v>
      </c>
      <c r="B5114" s="35" t="s">
        <v>462</v>
      </c>
      <c r="C5114" s="35" t="s">
        <v>405</v>
      </c>
      <c r="D5114" s="35" t="s">
        <v>1170</v>
      </c>
      <c r="E5114" s="35" t="s">
        <v>1189</v>
      </c>
      <c r="F5114" s="35" t="s">
        <v>390</v>
      </c>
      <c r="G5114" s="35" t="s">
        <v>10</v>
      </c>
      <c r="H5114" s="35" t="s">
        <v>483</v>
      </c>
    </row>
    <row r="5115" spans="1:8">
      <c r="A5115" s="34">
        <v>2084056101</v>
      </c>
      <c r="B5115" s="35" t="s">
        <v>462</v>
      </c>
      <c r="C5115" s="35" t="s">
        <v>405</v>
      </c>
      <c r="D5115" s="35" t="s">
        <v>1170</v>
      </c>
      <c r="E5115" s="35" t="s">
        <v>1189</v>
      </c>
      <c r="F5115" s="35" t="s">
        <v>390</v>
      </c>
      <c r="G5115" s="35" t="s">
        <v>10</v>
      </c>
      <c r="H5115" s="35" t="s">
        <v>397</v>
      </c>
    </row>
    <row r="5116" spans="1:8">
      <c r="A5116" s="34">
        <v>2084056100</v>
      </c>
      <c r="B5116" s="35" t="s">
        <v>462</v>
      </c>
      <c r="C5116" s="35" t="s">
        <v>405</v>
      </c>
      <c r="D5116" s="35" t="s">
        <v>1170</v>
      </c>
      <c r="E5116" s="35" t="s">
        <v>1189</v>
      </c>
      <c r="F5116" s="35" t="s">
        <v>390</v>
      </c>
      <c r="G5116" s="35" t="s">
        <v>10</v>
      </c>
      <c r="H5116" s="35" t="s">
        <v>421</v>
      </c>
    </row>
    <row r="5117" spans="1:8">
      <c r="A5117" s="34">
        <v>2084056099</v>
      </c>
      <c r="B5117" s="35" t="s">
        <v>462</v>
      </c>
      <c r="C5117" s="35" t="s">
        <v>405</v>
      </c>
      <c r="D5117" s="35" t="s">
        <v>1170</v>
      </c>
      <c r="E5117" s="35" t="s">
        <v>1189</v>
      </c>
      <c r="F5117" s="35" t="s">
        <v>390</v>
      </c>
      <c r="G5117" s="35" t="s">
        <v>10</v>
      </c>
      <c r="H5117" s="35" t="s">
        <v>398</v>
      </c>
    </row>
    <row r="5118" spans="1:8">
      <c r="A5118" s="34">
        <v>2084056098</v>
      </c>
      <c r="B5118" s="35" t="s">
        <v>462</v>
      </c>
      <c r="C5118" s="35" t="s">
        <v>405</v>
      </c>
      <c r="D5118" s="35" t="s">
        <v>1170</v>
      </c>
      <c r="E5118" s="35" t="s">
        <v>1189</v>
      </c>
      <c r="F5118" s="35" t="s">
        <v>390</v>
      </c>
      <c r="G5118" s="35" t="s">
        <v>10</v>
      </c>
      <c r="H5118" s="35" t="s">
        <v>422</v>
      </c>
    </row>
    <row r="5119" spans="1:8">
      <c r="A5119" s="34">
        <v>2084056103</v>
      </c>
      <c r="B5119" s="35" t="s">
        <v>462</v>
      </c>
      <c r="C5119" s="35" t="s">
        <v>405</v>
      </c>
      <c r="D5119" s="35" t="s">
        <v>1170</v>
      </c>
      <c r="E5119" s="35" t="s">
        <v>1189</v>
      </c>
      <c r="F5119" s="35" t="s">
        <v>390</v>
      </c>
      <c r="G5119" s="35" t="s">
        <v>10</v>
      </c>
      <c r="H5119" s="35" t="s">
        <v>335</v>
      </c>
    </row>
    <row r="5120" spans="1:8">
      <c r="A5120" s="34">
        <v>2084056106</v>
      </c>
      <c r="B5120" s="35" t="s">
        <v>462</v>
      </c>
      <c r="C5120" s="35" t="s">
        <v>405</v>
      </c>
      <c r="D5120" s="35" t="s">
        <v>1170</v>
      </c>
      <c r="E5120" s="35" t="s">
        <v>1189</v>
      </c>
      <c r="F5120" s="35" t="s">
        <v>390</v>
      </c>
      <c r="G5120" s="35" t="s">
        <v>379</v>
      </c>
      <c r="H5120" s="35" t="s">
        <v>335</v>
      </c>
    </row>
    <row r="5121" spans="1:8">
      <c r="A5121" s="34">
        <v>2084056105</v>
      </c>
      <c r="B5121" s="35" t="s">
        <v>462</v>
      </c>
      <c r="C5121" s="35" t="s">
        <v>405</v>
      </c>
      <c r="D5121" s="35" t="s">
        <v>1170</v>
      </c>
      <c r="E5121" s="35" t="s">
        <v>1189</v>
      </c>
      <c r="F5121" s="35" t="s">
        <v>390</v>
      </c>
      <c r="G5121" s="35" t="s">
        <v>379</v>
      </c>
      <c r="H5121" s="35" t="s">
        <v>476</v>
      </c>
    </row>
    <row r="5122" spans="1:8">
      <c r="A5122" s="34">
        <v>2084056107</v>
      </c>
      <c r="B5122" s="35" t="s">
        <v>462</v>
      </c>
      <c r="C5122" s="35" t="s">
        <v>405</v>
      </c>
      <c r="D5122" s="35" t="s">
        <v>1170</v>
      </c>
      <c r="E5122" s="35" t="s">
        <v>1189</v>
      </c>
      <c r="F5122" s="35" t="s">
        <v>390</v>
      </c>
      <c r="G5122" s="35" t="s">
        <v>335</v>
      </c>
    </row>
    <row r="5123" spans="1:8">
      <c r="A5123" s="34">
        <v>2084056108</v>
      </c>
      <c r="B5123" s="35" t="s">
        <v>462</v>
      </c>
      <c r="C5123" s="35" t="s">
        <v>405</v>
      </c>
      <c r="D5123" s="35" t="s">
        <v>1170</v>
      </c>
      <c r="E5123" s="35" t="s">
        <v>1189</v>
      </c>
      <c r="F5123" s="35" t="s">
        <v>353</v>
      </c>
      <c r="G5123" s="35" t="s">
        <v>367</v>
      </c>
    </row>
    <row r="5124" spans="1:8">
      <c r="A5124" s="34">
        <v>2084056109</v>
      </c>
      <c r="B5124" s="35" t="s">
        <v>462</v>
      </c>
      <c r="C5124" s="35" t="s">
        <v>405</v>
      </c>
      <c r="D5124" s="35" t="s">
        <v>1170</v>
      </c>
      <c r="E5124" s="35" t="s">
        <v>1189</v>
      </c>
      <c r="F5124" s="35" t="s">
        <v>353</v>
      </c>
      <c r="G5124" s="35" t="s">
        <v>401</v>
      </c>
    </row>
    <row r="5125" spans="1:8">
      <c r="A5125" s="34">
        <v>2084237989</v>
      </c>
      <c r="B5125" s="35" t="s">
        <v>462</v>
      </c>
      <c r="C5125" s="35" t="s">
        <v>405</v>
      </c>
      <c r="D5125" s="35" t="s">
        <v>1170</v>
      </c>
      <c r="E5125" s="35" t="s">
        <v>1189</v>
      </c>
      <c r="F5125" s="35" t="s">
        <v>353</v>
      </c>
      <c r="G5125" s="35" t="s">
        <v>549</v>
      </c>
    </row>
    <row r="5126" spans="1:8">
      <c r="A5126" s="34">
        <v>2084056114</v>
      </c>
      <c r="B5126" s="35" t="s">
        <v>462</v>
      </c>
      <c r="C5126" s="35" t="s">
        <v>405</v>
      </c>
      <c r="D5126" s="35" t="s">
        <v>1170</v>
      </c>
      <c r="E5126" s="35" t="s">
        <v>1189</v>
      </c>
      <c r="F5126" s="35" t="s">
        <v>353</v>
      </c>
      <c r="G5126" s="35" t="s">
        <v>10</v>
      </c>
      <c r="H5126" s="35" t="s">
        <v>397</v>
      </c>
    </row>
    <row r="5127" spans="1:8">
      <c r="A5127" s="34">
        <v>2084056113</v>
      </c>
      <c r="B5127" s="35" t="s">
        <v>462</v>
      </c>
      <c r="C5127" s="35" t="s">
        <v>405</v>
      </c>
      <c r="D5127" s="35" t="s">
        <v>1170</v>
      </c>
      <c r="E5127" s="35" t="s">
        <v>1189</v>
      </c>
      <c r="F5127" s="35" t="s">
        <v>353</v>
      </c>
      <c r="G5127" s="35" t="s">
        <v>10</v>
      </c>
      <c r="H5127" s="35" t="s">
        <v>421</v>
      </c>
    </row>
    <row r="5128" spans="1:8">
      <c r="A5128" s="34">
        <v>2084056112</v>
      </c>
      <c r="B5128" s="35" t="s">
        <v>462</v>
      </c>
      <c r="C5128" s="35" t="s">
        <v>405</v>
      </c>
      <c r="D5128" s="35" t="s">
        <v>1170</v>
      </c>
      <c r="E5128" s="35" t="s">
        <v>1189</v>
      </c>
      <c r="F5128" s="35" t="s">
        <v>353</v>
      </c>
      <c r="G5128" s="35" t="s">
        <v>10</v>
      </c>
      <c r="H5128" s="35" t="s">
        <v>398</v>
      </c>
    </row>
    <row r="5129" spans="1:8">
      <c r="A5129" s="34">
        <v>2084056111</v>
      </c>
      <c r="B5129" s="35" t="s">
        <v>462</v>
      </c>
      <c r="C5129" s="35" t="s">
        <v>405</v>
      </c>
      <c r="D5129" s="35" t="s">
        <v>1170</v>
      </c>
      <c r="E5129" s="35" t="s">
        <v>1189</v>
      </c>
      <c r="F5129" s="35" t="s">
        <v>353</v>
      </c>
      <c r="G5129" s="35" t="s">
        <v>10</v>
      </c>
      <c r="H5129" s="35" t="s">
        <v>422</v>
      </c>
    </row>
    <row r="5130" spans="1:8">
      <c r="A5130" s="34">
        <v>2084056115</v>
      </c>
      <c r="B5130" s="35" t="s">
        <v>462</v>
      </c>
      <c r="C5130" s="35" t="s">
        <v>405</v>
      </c>
      <c r="D5130" s="35" t="s">
        <v>1170</v>
      </c>
      <c r="E5130" s="35" t="s">
        <v>1189</v>
      </c>
      <c r="F5130" s="35" t="s">
        <v>353</v>
      </c>
      <c r="G5130" s="35" t="s">
        <v>10</v>
      </c>
      <c r="H5130" s="35" t="s">
        <v>335</v>
      </c>
    </row>
    <row r="5131" spans="1:8">
      <c r="A5131" s="34">
        <v>2084056116</v>
      </c>
      <c r="B5131" s="35" t="s">
        <v>462</v>
      </c>
      <c r="C5131" s="35" t="s">
        <v>405</v>
      </c>
      <c r="D5131" s="35" t="s">
        <v>1170</v>
      </c>
      <c r="E5131" s="35" t="s">
        <v>1189</v>
      </c>
      <c r="F5131" s="35" t="s">
        <v>353</v>
      </c>
      <c r="G5131" s="35" t="s">
        <v>403</v>
      </c>
    </row>
    <row r="5132" spans="1:8">
      <c r="A5132" s="34">
        <v>2084056117</v>
      </c>
      <c r="B5132" s="35" t="s">
        <v>462</v>
      </c>
      <c r="C5132" s="35" t="s">
        <v>405</v>
      </c>
      <c r="D5132" s="35" t="s">
        <v>1170</v>
      </c>
      <c r="E5132" s="35" t="s">
        <v>1189</v>
      </c>
      <c r="F5132" s="35" t="s">
        <v>353</v>
      </c>
      <c r="G5132" s="35" t="s">
        <v>335</v>
      </c>
    </row>
    <row r="5133" spans="1:8">
      <c r="A5133" s="34">
        <v>2084056094</v>
      </c>
      <c r="B5133" s="35" t="s">
        <v>462</v>
      </c>
      <c r="C5133" s="35" t="s">
        <v>405</v>
      </c>
      <c r="D5133" s="35" t="s">
        <v>1170</v>
      </c>
      <c r="E5133" s="35" t="s">
        <v>1189</v>
      </c>
      <c r="F5133" s="35" t="s">
        <v>335</v>
      </c>
    </row>
    <row r="5134" spans="1:8">
      <c r="A5134" s="34">
        <v>2084299011</v>
      </c>
      <c r="B5134" s="35" t="s">
        <v>462</v>
      </c>
      <c r="C5134" s="35" t="s">
        <v>405</v>
      </c>
      <c r="D5134" s="35" t="s">
        <v>1170</v>
      </c>
      <c r="E5134" s="35" t="s">
        <v>1190</v>
      </c>
      <c r="F5134" s="35" t="s">
        <v>367</v>
      </c>
    </row>
    <row r="5135" spans="1:8">
      <c r="A5135" s="34">
        <v>2084299012</v>
      </c>
      <c r="B5135" s="35" t="s">
        <v>462</v>
      </c>
      <c r="C5135" s="35" t="s">
        <v>405</v>
      </c>
      <c r="D5135" s="35" t="s">
        <v>1170</v>
      </c>
      <c r="E5135" s="35" t="s">
        <v>1190</v>
      </c>
      <c r="F5135" s="35" t="s">
        <v>401</v>
      </c>
    </row>
    <row r="5136" spans="1:8">
      <c r="A5136" s="34">
        <v>2084299013</v>
      </c>
      <c r="B5136" s="35" t="s">
        <v>462</v>
      </c>
      <c r="C5136" s="35" t="s">
        <v>405</v>
      </c>
      <c r="D5136" s="35" t="s">
        <v>1170</v>
      </c>
      <c r="E5136" s="35" t="s">
        <v>1190</v>
      </c>
      <c r="F5136" s="35" t="s">
        <v>402</v>
      </c>
    </row>
    <row r="5137" spans="1:8">
      <c r="A5137" s="34">
        <v>2084299015</v>
      </c>
      <c r="B5137" s="35" t="s">
        <v>462</v>
      </c>
      <c r="C5137" s="35" t="s">
        <v>405</v>
      </c>
      <c r="D5137" s="35" t="s">
        <v>1170</v>
      </c>
      <c r="E5137" s="35" t="s">
        <v>1190</v>
      </c>
      <c r="F5137" s="35" t="s">
        <v>476</v>
      </c>
    </row>
    <row r="5138" spans="1:8">
      <c r="A5138" s="34">
        <v>2084299014</v>
      </c>
      <c r="B5138" s="35" t="s">
        <v>462</v>
      </c>
      <c r="C5138" s="35" t="s">
        <v>405</v>
      </c>
      <c r="D5138" s="35" t="s">
        <v>1170</v>
      </c>
      <c r="E5138" s="35" t="s">
        <v>1190</v>
      </c>
      <c r="F5138" s="35" t="s">
        <v>477</v>
      </c>
    </row>
    <row r="5139" spans="1:8">
      <c r="A5139" s="34">
        <v>2084299016</v>
      </c>
      <c r="B5139" s="35" t="s">
        <v>462</v>
      </c>
      <c r="C5139" s="35" t="s">
        <v>405</v>
      </c>
      <c r="D5139" s="35" t="s">
        <v>1170</v>
      </c>
      <c r="E5139" s="35" t="s">
        <v>1190</v>
      </c>
      <c r="F5139" s="35" t="s">
        <v>478</v>
      </c>
    </row>
    <row r="5140" spans="1:8">
      <c r="A5140" s="34">
        <v>2084299017</v>
      </c>
      <c r="B5140" s="35" t="s">
        <v>462</v>
      </c>
      <c r="C5140" s="35" t="s">
        <v>405</v>
      </c>
      <c r="D5140" s="35" t="s">
        <v>1170</v>
      </c>
      <c r="E5140" s="35" t="s">
        <v>1190</v>
      </c>
      <c r="F5140" s="35" t="s">
        <v>335</v>
      </c>
    </row>
    <row r="5141" spans="1:8">
      <c r="A5141" s="34">
        <v>2084053780</v>
      </c>
      <c r="B5141" s="35" t="s">
        <v>462</v>
      </c>
      <c r="C5141" s="35" t="s">
        <v>405</v>
      </c>
      <c r="D5141" s="35" t="s">
        <v>1170</v>
      </c>
      <c r="E5141" s="35" t="s">
        <v>1191</v>
      </c>
      <c r="F5141" s="35" t="s">
        <v>390</v>
      </c>
      <c r="G5141" s="35" t="s">
        <v>401</v>
      </c>
    </row>
    <row r="5142" spans="1:8">
      <c r="A5142" s="34">
        <v>2084053784</v>
      </c>
      <c r="B5142" s="35" t="s">
        <v>462</v>
      </c>
      <c r="C5142" s="35" t="s">
        <v>405</v>
      </c>
      <c r="D5142" s="35" t="s">
        <v>1170</v>
      </c>
      <c r="E5142" s="35" t="s">
        <v>1191</v>
      </c>
      <c r="F5142" s="35" t="s">
        <v>390</v>
      </c>
      <c r="G5142" s="35" t="s">
        <v>10</v>
      </c>
      <c r="H5142" s="35" t="s">
        <v>397</v>
      </c>
    </row>
    <row r="5143" spans="1:8">
      <c r="A5143" s="34">
        <v>2084053786</v>
      </c>
      <c r="B5143" s="35" t="s">
        <v>462</v>
      </c>
      <c r="C5143" s="35" t="s">
        <v>405</v>
      </c>
      <c r="D5143" s="35" t="s">
        <v>1170</v>
      </c>
      <c r="E5143" s="35" t="s">
        <v>1191</v>
      </c>
      <c r="F5143" s="35" t="s">
        <v>390</v>
      </c>
      <c r="G5143" s="35" t="s">
        <v>10</v>
      </c>
      <c r="H5143" s="35" t="s">
        <v>421</v>
      </c>
    </row>
    <row r="5144" spans="1:8">
      <c r="A5144" s="34">
        <v>2084053783</v>
      </c>
      <c r="B5144" s="35" t="s">
        <v>462</v>
      </c>
      <c r="C5144" s="35" t="s">
        <v>405</v>
      </c>
      <c r="D5144" s="35" t="s">
        <v>1170</v>
      </c>
      <c r="E5144" s="35" t="s">
        <v>1191</v>
      </c>
      <c r="F5144" s="35" t="s">
        <v>390</v>
      </c>
      <c r="G5144" s="35" t="s">
        <v>10</v>
      </c>
      <c r="H5144" s="35" t="s">
        <v>398</v>
      </c>
    </row>
    <row r="5145" spans="1:8">
      <c r="A5145" s="34">
        <v>2084053785</v>
      </c>
      <c r="B5145" s="35" t="s">
        <v>462</v>
      </c>
      <c r="C5145" s="35" t="s">
        <v>405</v>
      </c>
      <c r="D5145" s="35" t="s">
        <v>1170</v>
      </c>
      <c r="E5145" s="35" t="s">
        <v>1191</v>
      </c>
      <c r="F5145" s="35" t="s">
        <v>390</v>
      </c>
      <c r="G5145" s="35" t="s">
        <v>10</v>
      </c>
      <c r="H5145" s="35" t="s">
        <v>422</v>
      </c>
    </row>
    <row r="5146" spans="1:8">
      <c r="A5146" s="34">
        <v>2084053787</v>
      </c>
      <c r="B5146" s="35" t="s">
        <v>462</v>
      </c>
      <c r="C5146" s="35" t="s">
        <v>405</v>
      </c>
      <c r="D5146" s="35" t="s">
        <v>1170</v>
      </c>
      <c r="E5146" s="35" t="s">
        <v>1191</v>
      </c>
      <c r="F5146" s="35" t="s">
        <v>390</v>
      </c>
      <c r="G5146" s="35" t="s">
        <v>10</v>
      </c>
      <c r="H5146" s="35" t="s">
        <v>335</v>
      </c>
    </row>
    <row r="5147" spans="1:8">
      <c r="A5147" s="34">
        <v>2084053788</v>
      </c>
      <c r="B5147" s="35" t="s">
        <v>462</v>
      </c>
      <c r="C5147" s="35" t="s">
        <v>405</v>
      </c>
      <c r="D5147" s="35" t="s">
        <v>1170</v>
      </c>
      <c r="E5147" s="35" t="s">
        <v>1191</v>
      </c>
      <c r="F5147" s="35" t="s">
        <v>390</v>
      </c>
      <c r="G5147" s="35" t="s">
        <v>403</v>
      </c>
    </row>
    <row r="5148" spans="1:8">
      <c r="A5148" s="34">
        <v>2084053782</v>
      </c>
      <c r="B5148" s="35" t="s">
        <v>462</v>
      </c>
      <c r="C5148" s="35" t="s">
        <v>405</v>
      </c>
      <c r="D5148" s="35" t="s">
        <v>1170</v>
      </c>
      <c r="E5148" s="35" t="s">
        <v>1191</v>
      </c>
      <c r="F5148" s="35" t="s">
        <v>390</v>
      </c>
      <c r="G5148" s="35" t="s">
        <v>335</v>
      </c>
    </row>
    <row r="5149" spans="1:8">
      <c r="A5149" s="34">
        <v>2084053768</v>
      </c>
      <c r="B5149" s="35" t="s">
        <v>462</v>
      </c>
      <c r="C5149" s="35" t="s">
        <v>405</v>
      </c>
      <c r="D5149" s="35" t="s">
        <v>1170</v>
      </c>
      <c r="E5149" s="35" t="s">
        <v>1191</v>
      </c>
      <c r="F5149" s="35" t="s">
        <v>353</v>
      </c>
      <c r="G5149" s="35" t="s">
        <v>401</v>
      </c>
    </row>
    <row r="5150" spans="1:8">
      <c r="A5150" s="34">
        <v>2084053775</v>
      </c>
      <c r="B5150" s="35" t="s">
        <v>462</v>
      </c>
      <c r="C5150" s="35" t="s">
        <v>405</v>
      </c>
      <c r="D5150" s="35" t="s">
        <v>1170</v>
      </c>
      <c r="E5150" s="35" t="s">
        <v>1191</v>
      </c>
      <c r="F5150" s="35" t="s">
        <v>353</v>
      </c>
      <c r="G5150" s="35" t="s">
        <v>10</v>
      </c>
      <c r="H5150" s="35" t="s">
        <v>483</v>
      </c>
    </row>
    <row r="5151" spans="1:8">
      <c r="A5151" s="34">
        <v>2084053772</v>
      </c>
      <c r="B5151" s="35" t="s">
        <v>462</v>
      </c>
      <c r="C5151" s="35" t="s">
        <v>405</v>
      </c>
      <c r="D5151" s="35" t="s">
        <v>1170</v>
      </c>
      <c r="E5151" s="35" t="s">
        <v>1191</v>
      </c>
      <c r="F5151" s="35" t="s">
        <v>353</v>
      </c>
      <c r="G5151" s="35" t="s">
        <v>10</v>
      </c>
      <c r="H5151" s="35" t="s">
        <v>397</v>
      </c>
    </row>
    <row r="5152" spans="1:8">
      <c r="A5152" s="34">
        <v>2084053774</v>
      </c>
      <c r="B5152" s="35" t="s">
        <v>462</v>
      </c>
      <c r="C5152" s="35" t="s">
        <v>405</v>
      </c>
      <c r="D5152" s="35" t="s">
        <v>1170</v>
      </c>
      <c r="E5152" s="35" t="s">
        <v>1191</v>
      </c>
      <c r="F5152" s="35" t="s">
        <v>353</v>
      </c>
      <c r="G5152" s="35" t="s">
        <v>10</v>
      </c>
      <c r="H5152" s="35" t="s">
        <v>421</v>
      </c>
    </row>
    <row r="5153" spans="1:8">
      <c r="A5153" s="34">
        <v>2084053771</v>
      </c>
      <c r="B5153" s="35" t="s">
        <v>462</v>
      </c>
      <c r="C5153" s="35" t="s">
        <v>405</v>
      </c>
      <c r="D5153" s="35" t="s">
        <v>1170</v>
      </c>
      <c r="E5153" s="35" t="s">
        <v>1191</v>
      </c>
      <c r="F5153" s="35" t="s">
        <v>353</v>
      </c>
      <c r="G5153" s="35" t="s">
        <v>10</v>
      </c>
      <c r="H5153" s="35" t="s">
        <v>398</v>
      </c>
    </row>
    <row r="5154" spans="1:8">
      <c r="A5154" s="34">
        <v>2084053773</v>
      </c>
      <c r="B5154" s="35" t="s">
        <v>462</v>
      </c>
      <c r="C5154" s="35" t="s">
        <v>405</v>
      </c>
      <c r="D5154" s="35" t="s">
        <v>1170</v>
      </c>
      <c r="E5154" s="35" t="s">
        <v>1191</v>
      </c>
      <c r="F5154" s="35" t="s">
        <v>353</v>
      </c>
      <c r="G5154" s="35" t="s">
        <v>10</v>
      </c>
      <c r="H5154" s="35" t="s">
        <v>422</v>
      </c>
    </row>
    <row r="5155" spans="1:8">
      <c r="A5155" s="34">
        <v>2084053776</v>
      </c>
      <c r="B5155" s="35" t="s">
        <v>462</v>
      </c>
      <c r="C5155" s="35" t="s">
        <v>405</v>
      </c>
      <c r="D5155" s="35" t="s">
        <v>1170</v>
      </c>
      <c r="E5155" s="35" t="s">
        <v>1191</v>
      </c>
      <c r="F5155" s="35" t="s">
        <v>353</v>
      </c>
      <c r="G5155" s="35" t="s">
        <v>10</v>
      </c>
      <c r="H5155" s="35" t="s">
        <v>335</v>
      </c>
    </row>
    <row r="5156" spans="1:8">
      <c r="A5156" s="34">
        <v>2084053777</v>
      </c>
      <c r="B5156" s="35" t="s">
        <v>462</v>
      </c>
      <c r="C5156" s="35" t="s">
        <v>405</v>
      </c>
      <c r="D5156" s="35" t="s">
        <v>1170</v>
      </c>
      <c r="E5156" s="35" t="s">
        <v>1191</v>
      </c>
      <c r="F5156" s="35" t="s">
        <v>353</v>
      </c>
      <c r="G5156" s="35" t="s">
        <v>403</v>
      </c>
    </row>
    <row r="5157" spans="1:8">
      <c r="A5157" s="34">
        <v>2084053778</v>
      </c>
      <c r="B5157" s="35" t="s">
        <v>462</v>
      </c>
      <c r="C5157" s="35" t="s">
        <v>405</v>
      </c>
      <c r="D5157" s="35" t="s">
        <v>1170</v>
      </c>
      <c r="E5157" s="35" t="s">
        <v>1191</v>
      </c>
      <c r="F5157" s="35" t="s">
        <v>353</v>
      </c>
      <c r="G5157" s="35" t="s">
        <v>335</v>
      </c>
    </row>
    <row r="5158" spans="1:8">
      <c r="A5158" s="34">
        <v>2084053789</v>
      </c>
      <c r="B5158" s="35" t="s">
        <v>462</v>
      </c>
      <c r="C5158" s="35" t="s">
        <v>405</v>
      </c>
      <c r="D5158" s="35" t="s">
        <v>1170</v>
      </c>
      <c r="E5158" s="35" t="s">
        <v>1191</v>
      </c>
      <c r="F5158" s="35" t="s">
        <v>335</v>
      </c>
    </row>
    <row r="5159" spans="1:8">
      <c r="A5159" s="34">
        <v>2084255846</v>
      </c>
      <c r="B5159" s="35" t="s">
        <v>462</v>
      </c>
      <c r="C5159" s="35" t="s">
        <v>405</v>
      </c>
      <c r="D5159" s="35" t="s">
        <v>1170</v>
      </c>
      <c r="E5159" s="35" t="s">
        <v>1192</v>
      </c>
    </row>
    <row r="5160" spans="1:8">
      <c r="A5160" s="34">
        <v>2084217256</v>
      </c>
      <c r="B5160" s="35" t="s">
        <v>462</v>
      </c>
      <c r="C5160" s="35" t="s">
        <v>405</v>
      </c>
      <c r="D5160" s="35" t="s">
        <v>1170</v>
      </c>
      <c r="E5160" s="35" t="s">
        <v>1193</v>
      </c>
      <c r="F5160" s="35" t="s">
        <v>390</v>
      </c>
      <c r="G5160" s="35" t="s">
        <v>954</v>
      </c>
      <c r="H5160" s="35" t="s">
        <v>391</v>
      </c>
    </row>
    <row r="5161" spans="1:8">
      <c r="A5161" s="34">
        <v>2084217257</v>
      </c>
      <c r="B5161" s="35" t="s">
        <v>462</v>
      </c>
      <c r="C5161" s="35" t="s">
        <v>405</v>
      </c>
      <c r="D5161" s="35" t="s">
        <v>1170</v>
      </c>
      <c r="E5161" s="35" t="s">
        <v>1193</v>
      </c>
      <c r="F5161" s="35" t="s">
        <v>390</v>
      </c>
      <c r="G5161" s="35" t="s">
        <v>954</v>
      </c>
      <c r="H5161" s="35" t="s">
        <v>392</v>
      </c>
    </row>
    <row r="5162" spans="1:8">
      <c r="A5162" s="34">
        <v>2084217258</v>
      </c>
      <c r="B5162" s="35" t="s">
        <v>462</v>
      </c>
      <c r="C5162" s="35" t="s">
        <v>405</v>
      </c>
      <c r="D5162" s="35" t="s">
        <v>1170</v>
      </c>
      <c r="E5162" s="35" t="s">
        <v>1193</v>
      </c>
      <c r="F5162" s="35" t="s">
        <v>390</v>
      </c>
      <c r="G5162" s="35" t="s">
        <v>954</v>
      </c>
      <c r="H5162" s="35" t="s">
        <v>375</v>
      </c>
    </row>
    <row r="5163" spans="1:8">
      <c r="A5163" s="34">
        <v>2084217259</v>
      </c>
      <c r="B5163" s="35" t="s">
        <v>462</v>
      </c>
      <c r="C5163" s="35" t="s">
        <v>405</v>
      </c>
      <c r="D5163" s="35" t="s">
        <v>1170</v>
      </c>
      <c r="E5163" s="35" t="s">
        <v>1193</v>
      </c>
      <c r="F5163" s="35" t="s">
        <v>390</v>
      </c>
      <c r="G5163" s="35" t="s">
        <v>954</v>
      </c>
      <c r="H5163" s="35" t="s">
        <v>376</v>
      </c>
    </row>
    <row r="5164" spans="1:8">
      <c r="A5164" s="34">
        <v>2084217260</v>
      </c>
      <c r="B5164" s="35" t="s">
        <v>462</v>
      </c>
      <c r="C5164" s="35" t="s">
        <v>405</v>
      </c>
      <c r="D5164" s="35" t="s">
        <v>1170</v>
      </c>
      <c r="E5164" s="35" t="s">
        <v>1193</v>
      </c>
      <c r="F5164" s="35" t="s">
        <v>390</v>
      </c>
      <c r="G5164" s="35" t="s">
        <v>954</v>
      </c>
      <c r="H5164" s="35" t="s">
        <v>377</v>
      </c>
    </row>
    <row r="5165" spans="1:8">
      <c r="A5165" s="34">
        <v>2084028752</v>
      </c>
      <c r="B5165" s="35" t="s">
        <v>462</v>
      </c>
      <c r="C5165" s="35" t="s">
        <v>405</v>
      </c>
      <c r="D5165" s="35" t="s">
        <v>1170</v>
      </c>
      <c r="E5165" s="35" t="s">
        <v>1193</v>
      </c>
      <c r="F5165" s="35" t="s">
        <v>390</v>
      </c>
      <c r="G5165" s="35" t="s">
        <v>368</v>
      </c>
      <c r="H5165" s="35" t="s">
        <v>508</v>
      </c>
    </row>
    <row r="5166" spans="1:8">
      <c r="A5166" s="34">
        <v>2084029335</v>
      </c>
      <c r="B5166" s="35" t="s">
        <v>462</v>
      </c>
      <c r="C5166" s="35" t="s">
        <v>405</v>
      </c>
      <c r="D5166" s="35" t="s">
        <v>1170</v>
      </c>
      <c r="E5166" s="35" t="s">
        <v>1193</v>
      </c>
      <c r="F5166" s="35" t="s">
        <v>390</v>
      </c>
      <c r="G5166" s="35" t="s">
        <v>368</v>
      </c>
      <c r="H5166" s="35" t="s">
        <v>481</v>
      </c>
    </row>
    <row r="5167" spans="1:8">
      <c r="A5167" s="34">
        <v>2084029844</v>
      </c>
      <c r="B5167" s="35" t="s">
        <v>462</v>
      </c>
      <c r="C5167" s="35" t="s">
        <v>405</v>
      </c>
      <c r="D5167" s="35" t="s">
        <v>1170</v>
      </c>
      <c r="E5167" s="35" t="s">
        <v>1193</v>
      </c>
      <c r="F5167" s="35" t="s">
        <v>390</v>
      </c>
      <c r="G5167" s="35" t="s">
        <v>368</v>
      </c>
      <c r="H5167" s="35" t="s">
        <v>494</v>
      </c>
    </row>
    <row r="5168" spans="1:8">
      <c r="A5168" s="34">
        <v>2084058590</v>
      </c>
      <c r="B5168" s="35" t="s">
        <v>462</v>
      </c>
      <c r="C5168" s="35" t="s">
        <v>405</v>
      </c>
      <c r="D5168" s="35" t="s">
        <v>1170</v>
      </c>
      <c r="E5168" s="35" t="s">
        <v>1193</v>
      </c>
      <c r="F5168" s="35" t="s">
        <v>390</v>
      </c>
      <c r="G5168" s="35" t="s">
        <v>368</v>
      </c>
      <c r="H5168" s="35" t="s">
        <v>335</v>
      </c>
    </row>
    <row r="5169" spans="1:8">
      <c r="A5169" s="34">
        <v>2084027301</v>
      </c>
      <c r="B5169" s="35" t="s">
        <v>462</v>
      </c>
      <c r="C5169" s="35" t="s">
        <v>405</v>
      </c>
      <c r="D5169" s="35" t="s">
        <v>1170</v>
      </c>
      <c r="E5169" s="35" t="s">
        <v>1193</v>
      </c>
      <c r="F5169" s="35" t="s">
        <v>390</v>
      </c>
      <c r="G5169" s="35" t="s">
        <v>10</v>
      </c>
      <c r="H5169" s="35" t="s">
        <v>509</v>
      </c>
    </row>
    <row r="5170" spans="1:8">
      <c r="A5170" s="34">
        <v>2084027794</v>
      </c>
      <c r="B5170" s="35" t="s">
        <v>462</v>
      </c>
      <c r="C5170" s="35" t="s">
        <v>405</v>
      </c>
      <c r="D5170" s="35" t="s">
        <v>1170</v>
      </c>
      <c r="E5170" s="35" t="s">
        <v>1193</v>
      </c>
      <c r="F5170" s="35" t="s">
        <v>390</v>
      </c>
      <c r="G5170" s="35" t="s">
        <v>10</v>
      </c>
      <c r="H5170" s="35" t="s">
        <v>510</v>
      </c>
    </row>
    <row r="5171" spans="1:8">
      <c r="A5171" s="34">
        <v>2084027876</v>
      </c>
      <c r="B5171" s="35" t="s">
        <v>462</v>
      </c>
      <c r="C5171" s="35" t="s">
        <v>405</v>
      </c>
      <c r="D5171" s="35" t="s">
        <v>1170</v>
      </c>
      <c r="E5171" s="35" t="s">
        <v>1193</v>
      </c>
      <c r="F5171" s="35" t="s">
        <v>390</v>
      </c>
      <c r="G5171" s="35" t="s">
        <v>10</v>
      </c>
      <c r="H5171" s="35" t="s">
        <v>511</v>
      </c>
    </row>
    <row r="5172" spans="1:8">
      <c r="A5172" s="34">
        <v>2084027906</v>
      </c>
      <c r="B5172" s="35" t="s">
        <v>462</v>
      </c>
      <c r="C5172" s="35" t="s">
        <v>405</v>
      </c>
      <c r="D5172" s="35" t="s">
        <v>1170</v>
      </c>
      <c r="E5172" s="35" t="s">
        <v>1193</v>
      </c>
      <c r="F5172" s="35" t="s">
        <v>390</v>
      </c>
      <c r="G5172" s="35" t="s">
        <v>10</v>
      </c>
      <c r="H5172" s="35" t="s">
        <v>493</v>
      </c>
    </row>
    <row r="5173" spans="1:8">
      <c r="A5173" s="34">
        <v>2084027475</v>
      </c>
      <c r="B5173" s="35" t="s">
        <v>462</v>
      </c>
      <c r="C5173" s="35" t="s">
        <v>405</v>
      </c>
      <c r="D5173" s="35" t="s">
        <v>1170</v>
      </c>
      <c r="E5173" s="35" t="s">
        <v>1193</v>
      </c>
      <c r="F5173" s="35" t="s">
        <v>390</v>
      </c>
      <c r="G5173" s="35" t="s">
        <v>10</v>
      </c>
      <c r="H5173" s="35" t="s">
        <v>512</v>
      </c>
    </row>
    <row r="5174" spans="1:8">
      <c r="A5174" s="34">
        <v>2084027607</v>
      </c>
      <c r="B5174" s="35" t="s">
        <v>462</v>
      </c>
      <c r="C5174" s="35" t="s">
        <v>405</v>
      </c>
      <c r="D5174" s="35" t="s">
        <v>1170</v>
      </c>
      <c r="E5174" s="35" t="s">
        <v>1193</v>
      </c>
      <c r="F5174" s="35" t="s">
        <v>390</v>
      </c>
      <c r="G5174" s="35" t="s">
        <v>10</v>
      </c>
      <c r="H5174" s="35" t="s">
        <v>513</v>
      </c>
    </row>
    <row r="5175" spans="1:8">
      <c r="A5175" s="34">
        <v>2084027944</v>
      </c>
      <c r="B5175" s="35" t="s">
        <v>462</v>
      </c>
      <c r="C5175" s="35" t="s">
        <v>405</v>
      </c>
      <c r="D5175" s="35" t="s">
        <v>1170</v>
      </c>
      <c r="E5175" s="35" t="s">
        <v>1193</v>
      </c>
      <c r="F5175" s="35" t="s">
        <v>390</v>
      </c>
      <c r="G5175" s="35" t="s">
        <v>10</v>
      </c>
      <c r="H5175" s="35" t="s">
        <v>420</v>
      </c>
    </row>
    <row r="5176" spans="1:8">
      <c r="A5176" s="34">
        <v>2084027264</v>
      </c>
      <c r="B5176" s="35" t="s">
        <v>462</v>
      </c>
      <c r="C5176" s="35" t="s">
        <v>405</v>
      </c>
      <c r="D5176" s="35" t="s">
        <v>1170</v>
      </c>
      <c r="E5176" s="35" t="s">
        <v>1193</v>
      </c>
      <c r="F5176" s="35" t="s">
        <v>390</v>
      </c>
      <c r="G5176" s="35" t="s">
        <v>10</v>
      </c>
      <c r="H5176" s="35" t="s">
        <v>397</v>
      </c>
    </row>
    <row r="5177" spans="1:8">
      <c r="A5177" s="34">
        <v>2084027397</v>
      </c>
      <c r="B5177" s="35" t="s">
        <v>462</v>
      </c>
      <c r="C5177" s="35" t="s">
        <v>405</v>
      </c>
      <c r="D5177" s="35" t="s">
        <v>1170</v>
      </c>
      <c r="E5177" s="35" t="s">
        <v>1193</v>
      </c>
      <c r="F5177" s="35" t="s">
        <v>390</v>
      </c>
      <c r="G5177" s="35" t="s">
        <v>10</v>
      </c>
      <c r="H5177" s="35" t="s">
        <v>515</v>
      </c>
    </row>
    <row r="5178" spans="1:8">
      <c r="A5178" s="34">
        <v>2084027509</v>
      </c>
      <c r="B5178" s="35" t="s">
        <v>462</v>
      </c>
      <c r="C5178" s="35" t="s">
        <v>405</v>
      </c>
      <c r="D5178" s="35" t="s">
        <v>1170</v>
      </c>
      <c r="E5178" s="35" t="s">
        <v>1193</v>
      </c>
      <c r="F5178" s="35" t="s">
        <v>390</v>
      </c>
      <c r="G5178" s="35" t="s">
        <v>10</v>
      </c>
      <c r="H5178" s="35" t="s">
        <v>421</v>
      </c>
    </row>
    <row r="5179" spans="1:8">
      <c r="A5179" s="34">
        <v>2084027720</v>
      </c>
      <c r="B5179" s="35" t="s">
        <v>462</v>
      </c>
      <c r="C5179" s="35" t="s">
        <v>405</v>
      </c>
      <c r="D5179" s="35" t="s">
        <v>1170</v>
      </c>
      <c r="E5179" s="35" t="s">
        <v>1193</v>
      </c>
      <c r="F5179" s="35" t="s">
        <v>390</v>
      </c>
      <c r="G5179" s="35" t="s">
        <v>10</v>
      </c>
      <c r="H5179" s="35" t="s">
        <v>516</v>
      </c>
    </row>
    <row r="5180" spans="1:8">
      <c r="A5180" s="34">
        <v>2084027237</v>
      </c>
      <c r="B5180" s="35" t="s">
        <v>462</v>
      </c>
      <c r="C5180" s="35" t="s">
        <v>405</v>
      </c>
      <c r="D5180" s="35" t="s">
        <v>1170</v>
      </c>
      <c r="E5180" s="35" t="s">
        <v>1193</v>
      </c>
      <c r="F5180" s="35" t="s">
        <v>390</v>
      </c>
      <c r="G5180" s="35" t="s">
        <v>10</v>
      </c>
      <c r="H5180" s="35" t="s">
        <v>398</v>
      </c>
    </row>
    <row r="5181" spans="1:8">
      <c r="A5181" s="34">
        <v>2084027375</v>
      </c>
      <c r="B5181" s="35" t="s">
        <v>462</v>
      </c>
      <c r="C5181" s="35" t="s">
        <v>405</v>
      </c>
      <c r="D5181" s="35" t="s">
        <v>1170</v>
      </c>
      <c r="E5181" s="35" t="s">
        <v>1193</v>
      </c>
      <c r="F5181" s="35" t="s">
        <v>390</v>
      </c>
      <c r="G5181" s="35" t="s">
        <v>10</v>
      </c>
      <c r="H5181" s="35" t="s">
        <v>518</v>
      </c>
    </row>
    <row r="5182" spans="1:8">
      <c r="A5182" s="34">
        <v>2084027547</v>
      </c>
      <c r="B5182" s="35" t="s">
        <v>462</v>
      </c>
      <c r="C5182" s="35" t="s">
        <v>405</v>
      </c>
      <c r="D5182" s="35" t="s">
        <v>1170</v>
      </c>
      <c r="E5182" s="35" t="s">
        <v>1193</v>
      </c>
      <c r="F5182" s="35" t="s">
        <v>390</v>
      </c>
      <c r="G5182" s="35" t="s">
        <v>10</v>
      </c>
      <c r="H5182" s="35" t="s">
        <v>422</v>
      </c>
    </row>
    <row r="5183" spans="1:8">
      <c r="A5183" s="34">
        <v>2084027770</v>
      </c>
      <c r="B5183" s="35" t="s">
        <v>462</v>
      </c>
      <c r="C5183" s="35" t="s">
        <v>405</v>
      </c>
      <c r="D5183" s="35" t="s">
        <v>1170</v>
      </c>
      <c r="E5183" s="35" t="s">
        <v>1193</v>
      </c>
      <c r="F5183" s="35" t="s">
        <v>390</v>
      </c>
      <c r="G5183" s="35" t="s">
        <v>10</v>
      </c>
      <c r="H5183" s="35" t="s">
        <v>519</v>
      </c>
    </row>
    <row r="5184" spans="1:8">
      <c r="A5184" s="34">
        <v>2084028008</v>
      </c>
      <c r="B5184" s="35" t="s">
        <v>462</v>
      </c>
      <c r="C5184" s="35" t="s">
        <v>405</v>
      </c>
      <c r="D5184" s="35" t="s">
        <v>1170</v>
      </c>
      <c r="E5184" s="35" t="s">
        <v>1193</v>
      </c>
      <c r="F5184" s="35" t="s">
        <v>390</v>
      </c>
      <c r="G5184" s="35" t="s">
        <v>379</v>
      </c>
      <c r="H5184" s="35" t="s">
        <v>520</v>
      </c>
    </row>
    <row r="5185" spans="1:8">
      <c r="A5185" s="34">
        <v>2084028081</v>
      </c>
      <c r="B5185" s="35" t="s">
        <v>462</v>
      </c>
      <c r="C5185" s="35" t="s">
        <v>405</v>
      </c>
      <c r="D5185" s="35" t="s">
        <v>1170</v>
      </c>
      <c r="E5185" s="35" t="s">
        <v>1193</v>
      </c>
      <c r="F5185" s="35" t="s">
        <v>390</v>
      </c>
      <c r="G5185" s="35" t="s">
        <v>379</v>
      </c>
      <c r="H5185" s="35" t="s">
        <v>521</v>
      </c>
    </row>
    <row r="5186" spans="1:8">
      <c r="A5186" s="34">
        <v>2084028181</v>
      </c>
      <c r="B5186" s="35" t="s">
        <v>462</v>
      </c>
      <c r="C5186" s="35" t="s">
        <v>405</v>
      </c>
      <c r="D5186" s="35" t="s">
        <v>1170</v>
      </c>
      <c r="E5186" s="35" t="s">
        <v>1193</v>
      </c>
      <c r="F5186" s="35" t="s">
        <v>390</v>
      </c>
      <c r="G5186" s="35" t="s">
        <v>379</v>
      </c>
      <c r="H5186" s="35" t="s">
        <v>522</v>
      </c>
    </row>
    <row r="5187" spans="1:8">
      <c r="A5187" s="34">
        <v>2084028421</v>
      </c>
      <c r="B5187" s="35" t="s">
        <v>462</v>
      </c>
      <c r="C5187" s="35" t="s">
        <v>405</v>
      </c>
      <c r="D5187" s="35" t="s">
        <v>1170</v>
      </c>
      <c r="E5187" s="35" t="s">
        <v>1193</v>
      </c>
      <c r="F5187" s="35" t="s">
        <v>390</v>
      </c>
      <c r="G5187" s="35" t="s">
        <v>379</v>
      </c>
      <c r="H5187" s="35" t="s">
        <v>523</v>
      </c>
    </row>
    <row r="5188" spans="1:8">
      <c r="A5188" s="34">
        <v>2084028120</v>
      </c>
      <c r="B5188" s="35" t="s">
        <v>462</v>
      </c>
      <c r="C5188" s="35" t="s">
        <v>405</v>
      </c>
      <c r="D5188" s="35" t="s">
        <v>1170</v>
      </c>
      <c r="E5188" s="35" t="s">
        <v>1193</v>
      </c>
      <c r="F5188" s="35" t="s">
        <v>390</v>
      </c>
      <c r="G5188" s="35" t="s">
        <v>379</v>
      </c>
      <c r="H5188" s="35" t="s">
        <v>524</v>
      </c>
    </row>
    <row r="5189" spans="1:8">
      <c r="A5189" s="34">
        <v>2084028286</v>
      </c>
      <c r="B5189" s="35" t="s">
        <v>462</v>
      </c>
      <c r="C5189" s="35" t="s">
        <v>405</v>
      </c>
      <c r="D5189" s="35" t="s">
        <v>1170</v>
      </c>
      <c r="E5189" s="35" t="s">
        <v>1193</v>
      </c>
      <c r="F5189" s="35" t="s">
        <v>390</v>
      </c>
      <c r="G5189" s="35" t="s">
        <v>379</v>
      </c>
      <c r="H5189" s="35" t="s">
        <v>525</v>
      </c>
    </row>
    <row r="5190" spans="1:8">
      <c r="A5190" s="34">
        <v>2084028488</v>
      </c>
      <c r="B5190" s="35" t="s">
        <v>462</v>
      </c>
      <c r="C5190" s="35" t="s">
        <v>405</v>
      </c>
      <c r="D5190" s="35" t="s">
        <v>1170</v>
      </c>
      <c r="E5190" s="35" t="s">
        <v>1193</v>
      </c>
      <c r="F5190" s="35" t="s">
        <v>390</v>
      </c>
      <c r="G5190" s="35" t="s">
        <v>379</v>
      </c>
      <c r="H5190" s="35" t="s">
        <v>526</v>
      </c>
    </row>
    <row r="5191" spans="1:8">
      <c r="A5191" s="34">
        <v>2084028311</v>
      </c>
      <c r="B5191" s="35" t="s">
        <v>462</v>
      </c>
      <c r="C5191" s="35" t="s">
        <v>405</v>
      </c>
      <c r="D5191" s="35" t="s">
        <v>1170</v>
      </c>
      <c r="E5191" s="35" t="s">
        <v>1193</v>
      </c>
      <c r="F5191" s="35" t="s">
        <v>390</v>
      </c>
      <c r="G5191" s="35" t="s">
        <v>379</v>
      </c>
      <c r="H5191" s="35" t="s">
        <v>527</v>
      </c>
    </row>
    <row r="5192" spans="1:8">
      <c r="A5192" s="34">
        <v>2084028523</v>
      </c>
      <c r="B5192" s="35" t="s">
        <v>462</v>
      </c>
      <c r="C5192" s="35" t="s">
        <v>405</v>
      </c>
      <c r="D5192" s="35" t="s">
        <v>1170</v>
      </c>
      <c r="E5192" s="35" t="s">
        <v>1193</v>
      </c>
      <c r="F5192" s="35" t="s">
        <v>390</v>
      </c>
      <c r="G5192" s="35" t="s">
        <v>379</v>
      </c>
      <c r="H5192" s="35" t="s">
        <v>528</v>
      </c>
    </row>
    <row r="5193" spans="1:8">
      <c r="A5193" s="34">
        <v>2084028349</v>
      </c>
      <c r="B5193" s="35" t="s">
        <v>462</v>
      </c>
      <c r="C5193" s="35" t="s">
        <v>405</v>
      </c>
      <c r="D5193" s="35" t="s">
        <v>1170</v>
      </c>
      <c r="E5193" s="35" t="s">
        <v>1193</v>
      </c>
      <c r="F5193" s="35" t="s">
        <v>390</v>
      </c>
      <c r="G5193" s="35" t="s">
        <v>379</v>
      </c>
      <c r="H5193" s="35" t="s">
        <v>529</v>
      </c>
    </row>
    <row r="5194" spans="1:8">
      <c r="A5194" s="34">
        <v>2084058591</v>
      </c>
      <c r="B5194" s="35" t="s">
        <v>462</v>
      </c>
      <c r="C5194" s="35" t="s">
        <v>405</v>
      </c>
      <c r="D5194" s="35" t="s">
        <v>1170</v>
      </c>
      <c r="E5194" s="35" t="s">
        <v>1193</v>
      </c>
      <c r="F5194" s="35" t="s">
        <v>390</v>
      </c>
      <c r="G5194" s="35" t="s">
        <v>379</v>
      </c>
      <c r="H5194" s="35" t="s">
        <v>335</v>
      </c>
    </row>
    <row r="5195" spans="1:8">
      <c r="A5195" s="34">
        <v>2084028563</v>
      </c>
      <c r="B5195" s="35" t="s">
        <v>462</v>
      </c>
      <c r="C5195" s="35" t="s">
        <v>405</v>
      </c>
      <c r="D5195" s="35" t="s">
        <v>1170</v>
      </c>
      <c r="E5195" s="35" t="s">
        <v>1193</v>
      </c>
      <c r="F5195" s="35" t="s">
        <v>390</v>
      </c>
      <c r="G5195" s="35" t="s">
        <v>530</v>
      </c>
      <c r="H5195" s="35" t="s">
        <v>531</v>
      </c>
    </row>
    <row r="5196" spans="1:8">
      <c r="A5196" s="34">
        <v>2084028601</v>
      </c>
      <c r="B5196" s="35" t="s">
        <v>462</v>
      </c>
      <c r="C5196" s="35" t="s">
        <v>405</v>
      </c>
      <c r="D5196" s="35" t="s">
        <v>1170</v>
      </c>
      <c r="E5196" s="35" t="s">
        <v>1193</v>
      </c>
      <c r="F5196" s="35" t="s">
        <v>390</v>
      </c>
      <c r="G5196" s="35" t="s">
        <v>530</v>
      </c>
      <c r="H5196" s="35" t="s">
        <v>532</v>
      </c>
    </row>
    <row r="5197" spans="1:8">
      <c r="A5197" s="34">
        <v>2084030101</v>
      </c>
      <c r="B5197" s="35" t="s">
        <v>462</v>
      </c>
      <c r="C5197" s="35" t="s">
        <v>405</v>
      </c>
      <c r="D5197" s="35" t="s">
        <v>1170</v>
      </c>
      <c r="E5197" s="35" t="s">
        <v>1193</v>
      </c>
      <c r="F5197" s="35" t="s">
        <v>390</v>
      </c>
      <c r="G5197" s="35" t="s">
        <v>533</v>
      </c>
      <c r="H5197" s="35" t="s">
        <v>1194</v>
      </c>
    </row>
    <row r="5198" spans="1:8">
      <c r="A5198" s="34">
        <v>2084030183</v>
      </c>
      <c r="B5198" s="35" t="s">
        <v>462</v>
      </c>
      <c r="C5198" s="35" t="s">
        <v>405</v>
      </c>
      <c r="D5198" s="35" t="s">
        <v>1170</v>
      </c>
      <c r="E5198" s="35" t="s">
        <v>1193</v>
      </c>
      <c r="F5198" s="35" t="s">
        <v>390</v>
      </c>
      <c r="G5198" s="35" t="s">
        <v>533</v>
      </c>
      <c r="H5198" s="35" t="s">
        <v>1195</v>
      </c>
    </row>
    <row r="5199" spans="1:8">
      <c r="A5199" s="34">
        <v>2084027175</v>
      </c>
      <c r="B5199" s="35" t="s">
        <v>462</v>
      </c>
      <c r="C5199" s="35" t="s">
        <v>405</v>
      </c>
      <c r="D5199" s="35" t="s">
        <v>1170</v>
      </c>
      <c r="E5199" s="35" t="s">
        <v>1193</v>
      </c>
      <c r="F5199" s="35" t="s">
        <v>390</v>
      </c>
      <c r="G5199" s="35" t="s">
        <v>533</v>
      </c>
      <c r="H5199" s="35" t="s">
        <v>536</v>
      </c>
    </row>
    <row r="5200" spans="1:8">
      <c r="A5200" s="34">
        <v>2084051160</v>
      </c>
      <c r="B5200" s="35" t="s">
        <v>462</v>
      </c>
      <c r="C5200" s="35" t="s">
        <v>405</v>
      </c>
      <c r="D5200" s="35" t="s">
        <v>1170</v>
      </c>
      <c r="E5200" s="35" t="s">
        <v>1193</v>
      </c>
      <c r="F5200" s="35" t="s">
        <v>390</v>
      </c>
      <c r="G5200" s="35" t="s">
        <v>335</v>
      </c>
    </row>
    <row r="5201" spans="1:8">
      <c r="A5201" s="34">
        <v>2084217261</v>
      </c>
      <c r="B5201" s="35" t="s">
        <v>462</v>
      </c>
      <c r="C5201" s="35" t="s">
        <v>405</v>
      </c>
      <c r="D5201" s="35" t="s">
        <v>1170</v>
      </c>
      <c r="E5201" s="35" t="s">
        <v>1193</v>
      </c>
      <c r="F5201" s="35" t="s">
        <v>353</v>
      </c>
      <c r="G5201" s="35" t="s">
        <v>954</v>
      </c>
      <c r="H5201" s="35" t="s">
        <v>391</v>
      </c>
    </row>
    <row r="5202" spans="1:8">
      <c r="A5202" s="34">
        <v>2084217262</v>
      </c>
      <c r="B5202" s="35" t="s">
        <v>462</v>
      </c>
      <c r="C5202" s="35" t="s">
        <v>405</v>
      </c>
      <c r="D5202" s="35" t="s">
        <v>1170</v>
      </c>
      <c r="E5202" s="35" t="s">
        <v>1193</v>
      </c>
      <c r="F5202" s="35" t="s">
        <v>353</v>
      </c>
      <c r="G5202" s="35" t="s">
        <v>954</v>
      </c>
      <c r="H5202" s="35" t="s">
        <v>392</v>
      </c>
    </row>
    <row r="5203" spans="1:8">
      <c r="A5203" s="34">
        <v>2084217263</v>
      </c>
      <c r="B5203" s="35" t="s">
        <v>462</v>
      </c>
      <c r="C5203" s="35" t="s">
        <v>405</v>
      </c>
      <c r="D5203" s="35" t="s">
        <v>1170</v>
      </c>
      <c r="E5203" s="35" t="s">
        <v>1193</v>
      </c>
      <c r="F5203" s="35" t="s">
        <v>353</v>
      </c>
      <c r="G5203" s="35" t="s">
        <v>954</v>
      </c>
      <c r="H5203" s="35" t="s">
        <v>375</v>
      </c>
    </row>
    <row r="5204" spans="1:8">
      <c r="A5204" s="34">
        <v>2084217264</v>
      </c>
      <c r="B5204" s="35" t="s">
        <v>462</v>
      </c>
      <c r="C5204" s="35" t="s">
        <v>405</v>
      </c>
      <c r="D5204" s="35" t="s">
        <v>1170</v>
      </c>
      <c r="E5204" s="35" t="s">
        <v>1193</v>
      </c>
      <c r="F5204" s="35" t="s">
        <v>353</v>
      </c>
      <c r="G5204" s="35" t="s">
        <v>954</v>
      </c>
      <c r="H5204" s="35" t="s">
        <v>376</v>
      </c>
    </row>
    <row r="5205" spans="1:8">
      <c r="A5205" s="34">
        <v>2084217265</v>
      </c>
      <c r="B5205" s="35" t="s">
        <v>462</v>
      </c>
      <c r="C5205" s="35" t="s">
        <v>405</v>
      </c>
      <c r="D5205" s="35" t="s">
        <v>1170</v>
      </c>
      <c r="E5205" s="35" t="s">
        <v>1193</v>
      </c>
      <c r="F5205" s="35" t="s">
        <v>353</v>
      </c>
      <c r="G5205" s="35" t="s">
        <v>954</v>
      </c>
      <c r="H5205" s="35" t="s">
        <v>377</v>
      </c>
    </row>
    <row r="5206" spans="1:8">
      <c r="A5206" s="34">
        <v>2084030726</v>
      </c>
      <c r="B5206" s="35" t="s">
        <v>462</v>
      </c>
      <c r="C5206" s="35" t="s">
        <v>405</v>
      </c>
      <c r="D5206" s="35" t="s">
        <v>1170</v>
      </c>
      <c r="E5206" s="35" t="s">
        <v>1193</v>
      </c>
      <c r="F5206" s="35" t="s">
        <v>353</v>
      </c>
      <c r="G5206" s="35" t="s">
        <v>481</v>
      </c>
    </row>
    <row r="5207" spans="1:8">
      <c r="A5207" s="34">
        <v>2084031624</v>
      </c>
      <c r="B5207" s="35" t="s">
        <v>462</v>
      </c>
      <c r="C5207" s="35" t="s">
        <v>405</v>
      </c>
      <c r="D5207" s="35" t="s">
        <v>1170</v>
      </c>
      <c r="E5207" s="35" t="s">
        <v>1193</v>
      </c>
      <c r="F5207" s="35" t="s">
        <v>353</v>
      </c>
      <c r="G5207" s="35" t="s">
        <v>483</v>
      </c>
    </row>
    <row r="5208" spans="1:8">
      <c r="A5208" s="34">
        <v>2084031459</v>
      </c>
      <c r="B5208" s="35" t="s">
        <v>462</v>
      </c>
      <c r="C5208" s="35" t="s">
        <v>405</v>
      </c>
      <c r="D5208" s="35" t="s">
        <v>1170</v>
      </c>
      <c r="E5208" s="35" t="s">
        <v>1193</v>
      </c>
      <c r="F5208" s="35" t="s">
        <v>353</v>
      </c>
      <c r="G5208" s="35" t="s">
        <v>482</v>
      </c>
    </row>
    <row r="5209" spans="1:8">
      <c r="A5209" s="34">
        <v>2084037273</v>
      </c>
      <c r="B5209" s="35" t="s">
        <v>462</v>
      </c>
      <c r="C5209" s="35" t="s">
        <v>405</v>
      </c>
      <c r="D5209" s="35" t="s">
        <v>1170</v>
      </c>
      <c r="E5209" s="35" t="s">
        <v>1193</v>
      </c>
      <c r="F5209" s="35" t="s">
        <v>353</v>
      </c>
      <c r="G5209" s="35" t="s">
        <v>494</v>
      </c>
    </row>
    <row r="5210" spans="1:8">
      <c r="A5210" s="34">
        <v>2084051161</v>
      </c>
      <c r="B5210" s="35" t="s">
        <v>462</v>
      </c>
      <c r="C5210" s="35" t="s">
        <v>405</v>
      </c>
      <c r="D5210" s="35" t="s">
        <v>1170</v>
      </c>
      <c r="E5210" s="35" t="s">
        <v>1193</v>
      </c>
      <c r="F5210" s="35" t="s">
        <v>353</v>
      </c>
      <c r="G5210" s="35" t="s">
        <v>403</v>
      </c>
    </row>
    <row r="5211" spans="1:8">
      <c r="A5211" s="34">
        <v>2084031518</v>
      </c>
      <c r="B5211" s="35" t="s">
        <v>462</v>
      </c>
      <c r="C5211" s="35" t="s">
        <v>405</v>
      </c>
      <c r="D5211" s="35" t="s">
        <v>1170</v>
      </c>
      <c r="E5211" s="35" t="s">
        <v>1193</v>
      </c>
      <c r="F5211" s="35" t="s">
        <v>353</v>
      </c>
      <c r="G5211" s="35" t="s">
        <v>397</v>
      </c>
    </row>
    <row r="5212" spans="1:8">
      <c r="A5212" s="34">
        <v>2084030381</v>
      </c>
      <c r="B5212" s="35" t="s">
        <v>462</v>
      </c>
      <c r="C5212" s="35" t="s">
        <v>405</v>
      </c>
      <c r="D5212" s="35" t="s">
        <v>1170</v>
      </c>
      <c r="E5212" s="35" t="s">
        <v>1193</v>
      </c>
      <c r="F5212" s="35" t="s">
        <v>353</v>
      </c>
      <c r="G5212" s="35" t="s">
        <v>421</v>
      </c>
    </row>
    <row r="5213" spans="1:8">
      <c r="A5213" s="34">
        <v>2084031546</v>
      </c>
      <c r="B5213" s="35" t="s">
        <v>462</v>
      </c>
      <c r="C5213" s="35" t="s">
        <v>405</v>
      </c>
      <c r="D5213" s="35" t="s">
        <v>1170</v>
      </c>
      <c r="E5213" s="35" t="s">
        <v>1193</v>
      </c>
      <c r="F5213" s="35" t="s">
        <v>353</v>
      </c>
      <c r="G5213" s="35" t="s">
        <v>398</v>
      </c>
    </row>
    <row r="5214" spans="1:8">
      <c r="A5214" s="34">
        <v>2084030365</v>
      </c>
      <c r="B5214" s="35" t="s">
        <v>462</v>
      </c>
      <c r="C5214" s="35" t="s">
        <v>405</v>
      </c>
      <c r="D5214" s="35" t="s">
        <v>1170</v>
      </c>
      <c r="E5214" s="35" t="s">
        <v>1193</v>
      </c>
      <c r="F5214" s="35" t="s">
        <v>353</v>
      </c>
      <c r="G5214" s="35" t="s">
        <v>422</v>
      </c>
    </row>
    <row r="5215" spans="1:8">
      <c r="A5215" s="34">
        <v>2084053991</v>
      </c>
      <c r="B5215" s="35" t="s">
        <v>462</v>
      </c>
      <c r="C5215" s="35" t="s">
        <v>405</v>
      </c>
      <c r="D5215" s="35" t="s">
        <v>1170</v>
      </c>
      <c r="E5215" s="35" t="s">
        <v>1193</v>
      </c>
      <c r="F5215" s="35" t="s">
        <v>353</v>
      </c>
      <c r="G5215" s="35" t="s">
        <v>549</v>
      </c>
    </row>
    <row r="5216" spans="1:8">
      <c r="A5216" s="34">
        <v>2084051162</v>
      </c>
      <c r="B5216" s="35" t="s">
        <v>462</v>
      </c>
      <c r="C5216" s="35" t="s">
        <v>405</v>
      </c>
      <c r="D5216" s="35" t="s">
        <v>1170</v>
      </c>
      <c r="E5216" s="35" t="s">
        <v>1193</v>
      </c>
      <c r="F5216" s="35" t="s">
        <v>353</v>
      </c>
      <c r="G5216" s="35" t="s">
        <v>335</v>
      </c>
    </row>
    <row r="5217" spans="1:7">
      <c r="A5217" s="34">
        <v>2084062446</v>
      </c>
      <c r="B5217" s="35" t="s">
        <v>462</v>
      </c>
      <c r="C5217" s="35" t="s">
        <v>405</v>
      </c>
      <c r="D5217" s="35" t="s">
        <v>1170</v>
      </c>
      <c r="E5217" s="35" t="s">
        <v>1193</v>
      </c>
      <c r="F5217" s="35" t="s">
        <v>587</v>
      </c>
      <c r="G5217" s="35" t="s">
        <v>907</v>
      </c>
    </row>
    <row r="5218" spans="1:7">
      <c r="A5218" s="34">
        <v>2084062448</v>
      </c>
      <c r="B5218" s="35" t="s">
        <v>462</v>
      </c>
      <c r="C5218" s="35" t="s">
        <v>405</v>
      </c>
      <c r="D5218" s="35" t="s">
        <v>1170</v>
      </c>
      <c r="E5218" s="35" t="s">
        <v>1193</v>
      </c>
      <c r="F5218" s="35" t="s">
        <v>587</v>
      </c>
      <c r="G5218" s="35" t="s">
        <v>951</v>
      </c>
    </row>
    <row r="5219" spans="1:7">
      <c r="A5219" s="34">
        <v>2084062447</v>
      </c>
      <c r="B5219" s="35" t="s">
        <v>462</v>
      </c>
      <c r="C5219" s="35" t="s">
        <v>405</v>
      </c>
      <c r="D5219" s="35" t="s">
        <v>1170</v>
      </c>
      <c r="E5219" s="35" t="s">
        <v>1193</v>
      </c>
      <c r="F5219" s="35" t="s">
        <v>587</v>
      </c>
      <c r="G5219" s="35" t="s">
        <v>588</v>
      </c>
    </row>
    <row r="5220" spans="1:7">
      <c r="A5220" s="34">
        <v>2084062449</v>
      </c>
      <c r="B5220" s="35" t="s">
        <v>462</v>
      </c>
      <c r="C5220" s="35" t="s">
        <v>405</v>
      </c>
      <c r="D5220" s="35" t="s">
        <v>1170</v>
      </c>
      <c r="E5220" s="35" t="s">
        <v>1193</v>
      </c>
      <c r="F5220" s="35" t="s">
        <v>587</v>
      </c>
      <c r="G5220" s="35" t="s">
        <v>857</v>
      </c>
    </row>
    <row r="5221" spans="1:7">
      <c r="A5221" s="34">
        <v>2084062450</v>
      </c>
      <c r="B5221" s="35" t="s">
        <v>462</v>
      </c>
      <c r="C5221" s="35" t="s">
        <v>405</v>
      </c>
      <c r="D5221" s="35" t="s">
        <v>1170</v>
      </c>
      <c r="E5221" s="35" t="s">
        <v>1193</v>
      </c>
      <c r="F5221" s="35" t="s">
        <v>587</v>
      </c>
      <c r="G5221" s="35" t="s">
        <v>910</v>
      </c>
    </row>
    <row r="5222" spans="1:7">
      <c r="A5222" s="34">
        <v>2084062451</v>
      </c>
      <c r="B5222" s="35" t="s">
        <v>462</v>
      </c>
      <c r="C5222" s="35" t="s">
        <v>405</v>
      </c>
      <c r="D5222" s="35" t="s">
        <v>1170</v>
      </c>
      <c r="E5222" s="35" t="s">
        <v>1193</v>
      </c>
      <c r="F5222" s="35" t="s">
        <v>587</v>
      </c>
      <c r="G5222" s="35" t="s">
        <v>911</v>
      </c>
    </row>
    <row r="5223" spans="1:7">
      <c r="A5223" s="34">
        <v>2084062452</v>
      </c>
      <c r="B5223" s="35" t="s">
        <v>462</v>
      </c>
      <c r="C5223" s="35" t="s">
        <v>405</v>
      </c>
      <c r="D5223" s="35" t="s">
        <v>1170</v>
      </c>
      <c r="E5223" s="35" t="s">
        <v>1193</v>
      </c>
      <c r="F5223" s="35" t="s">
        <v>587</v>
      </c>
      <c r="G5223" s="35" t="s">
        <v>859</v>
      </c>
    </row>
    <row r="5224" spans="1:7">
      <c r="A5224" s="34">
        <v>2084062453</v>
      </c>
      <c r="B5224" s="35" t="s">
        <v>462</v>
      </c>
      <c r="C5224" s="35" t="s">
        <v>405</v>
      </c>
      <c r="D5224" s="35" t="s">
        <v>1170</v>
      </c>
      <c r="E5224" s="35" t="s">
        <v>1193</v>
      </c>
      <c r="F5224" s="35" t="s">
        <v>587</v>
      </c>
      <c r="G5224" s="35" t="s">
        <v>952</v>
      </c>
    </row>
    <row r="5225" spans="1:7">
      <c r="A5225" s="34">
        <v>2084062454</v>
      </c>
      <c r="B5225" s="35" t="s">
        <v>462</v>
      </c>
      <c r="C5225" s="35" t="s">
        <v>405</v>
      </c>
      <c r="D5225" s="35" t="s">
        <v>1170</v>
      </c>
      <c r="E5225" s="35" t="s">
        <v>1193</v>
      </c>
      <c r="F5225" s="35" t="s">
        <v>587</v>
      </c>
      <c r="G5225" s="35" t="s">
        <v>335</v>
      </c>
    </row>
    <row r="5226" spans="1:7">
      <c r="A5226" s="34">
        <v>2084031370</v>
      </c>
      <c r="B5226" s="35" t="s">
        <v>462</v>
      </c>
      <c r="C5226" s="35" t="s">
        <v>405</v>
      </c>
      <c r="D5226" s="35" t="s">
        <v>1170</v>
      </c>
      <c r="E5226" s="35" t="s">
        <v>1193</v>
      </c>
      <c r="F5226" s="35" t="s">
        <v>442</v>
      </c>
      <c r="G5226" s="35" t="s">
        <v>569</v>
      </c>
    </row>
    <row r="5227" spans="1:7">
      <c r="A5227" s="34">
        <v>2084051158</v>
      </c>
      <c r="B5227" s="35" t="s">
        <v>462</v>
      </c>
      <c r="C5227" s="35" t="s">
        <v>405</v>
      </c>
      <c r="D5227" s="35" t="s">
        <v>1170</v>
      </c>
      <c r="E5227" s="35" t="s">
        <v>1193</v>
      </c>
      <c r="F5227" s="35" t="s">
        <v>442</v>
      </c>
      <c r="G5227" s="35" t="s">
        <v>1196</v>
      </c>
    </row>
    <row r="5228" spans="1:7">
      <c r="A5228" s="34">
        <v>2084025215</v>
      </c>
      <c r="B5228" s="35" t="s">
        <v>462</v>
      </c>
      <c r="C5228" s="35" t="s">
        <v>405</v>
      </c>
      <c r="D5228" s="35" t="s">
        <v>1170</v>
      </c>
      <c r="E5228" s="35" t="s">
        <v>1193</v>
      </c>
      <c r="F5228" s="35" t="s">
        <v>442</v>
      </c>
      <c r="G5228" s="35" t="s">
        <v>538</v>
      </c>
    </row>
    <row r="5229" spans="1:7">
      <c r="A5229" s="34">
        <v>2084025393</v>
      </c>
      <c r="B5229" s="35" t="s">
        <v>462</v>
      </c>
      <c r="C5229" s="35" t="s">
        <v>405</v>
      </c>
      <c r="D5229" s="35" t="s">
        <v>1170</v>
      </c>
      <c r="E5229" s="35" t="s">
        <v>1193</v>
      </c>
      <c r="F5229" s="35" t="s">
        <v>442</v>
      </c>
      <c r="G5229" s="35" t="s">
        <v>539</v>
      </c>
    </row>
    <row r="5230" spans="1:7">
      <c r="A5230" s="34">
        <v>2084051159</v>
      </c>
      <c r="B5230" s="35" t="s">
        <v>462</v>
      </c>
      <c r="C5230" s="35" t="s">
        <v>405</v>
      </c>
      <c r="D5230" s="35" t="s">
        <v>1170</v>
      </c>
      <c r="E5230" s="35" t="s">
        <v>1193</v>
      </c>
      <c r="F5230" s="35" t="s">
        <v>442</v>
      </c>
      <c r="G5230" s="35" t="s">
        <v>335</v>
      </c>
    </row>
    <row r="5231" spans="1:7">
      <c r="A5231" s="34">
        <v>2084048744</v>
      </c>
      <c r="B5231" s="35" t="s">
        <v>462</v>
      </c>
      <c r="C5231" s="35" t="s">
        <v>405</v>
      </c>
      <c r="D5231" s="35" t="s">
        <v>1170</v>
      </c>
      <c r="E5231" s="35" t="s">
        <v>1193</v>
      </c>
      <c r="F5231" s="35" t="s">
        <v>335</v>
      </c>
    </row>
    <row r="5232" spans="1:7">
      <c r="A5232" s="34">
        <v>2084292890</v>
      </c>
      <c r="B5232" s="35" t="s">
        <v>462</v>
      </c>
      <c r="C5232" s="35" t="s">
        <v>405</v>
      </c>
      <c r="D5232" s="35" t="s">
        <v>1170</v>
      </c>
      <c r="E5232" s="35" t="s">
        <v>1197</v>
      </c>
      <c r="F5232" s="35" t="s">
        <v>390</v>
      </c>
      <c r="G5232" s="35" t="s">
        <v>367</v>
      </c>
    </row>
    <row r="5233" spans="1:7">
      <c r="A5233" s="34">
        <v>2084292891</v>
      </c>
      <c r="B5233" s="35" t="s">
        <v>462</v>
      </c>
      <c r="C5233" s="35" t="s">
        <v>405</v>
      </c>
      <c r="D5233" s="35" t="s">
        <v>1170</v>
      </c>
      <c r="E5233" s="35" t="s">
        <v>1197</v>
      </c>
      <c r="F5233" s="35" t="s">
        <v>390</v>
      </c>
      <c r="G5233" s="35" t="s">
        <v>401</v>
      </c>
    </row>
    <row r="5234" spans="1:7">
      <c r="A5234" s="34">
        <v>2084292892</v>
      </c>
      <c r="B5234" s="35" t="s">
        <v>462</v>
      </c>
      <c r="C5234" s="35" t="s">
        <v>405</v>
      </c>
      <c r="D5234" s="35" t="s">
        <v>1170</v>
      </c>
      <c r="E5234" s="35" t="s">
        <v>1197</v>
      </c>
      <c r="F5234" s="35" t="s">
        <v>390</v>
      </c>
      <c r="G5234" s="35" t="s">
        <v>402</v>
      </c>
    </row>
    <row r="5235" spans="1:7">
      <c r="A5235" s="34">
        <v>2084292894</v>
      </c>
      <c r="B5235" s="35" t="s">
        <v>462</v>
      </c>
      <c r="C5235" s="35" t="s">
        <v>405</v>
      </c>
      <c r="D5235" s="35" t="s">
        <v>1170</v>
      </c>
      <c r="E5235" s="35" t="s">
        <v>1197</v>
      </c>
      <c r="F5235" s="35" t="s">
        <v>390</v>
      </c>
      <c r="G5235" s="35" t="s">
        <v>476</v>
      </c>
    </row>
    <row r="5236" spans="1:7">
      <c r="A5236" s="34">
        <v>2084292893</v>
      </c>
      <c r="B5236" s="35" t="s">
        <v>462</v>
      </c>
      <c r="C5236" s="35" t="s">
        <v>405</v>
      </c>
      <c r="D5236" s="35" t="s">
        <v>1170</v>
      </c>
      <c r="E5236" s="35" t="s">
        <v>1197</v>
      </c>
      <c r="F5236" s="35" t="s">
        <v>390</v>
      </c>
      <c r="G5236" s="35" t="s">
        <v>477</v>
      </c>
    </row>
    <row r="5237" spans="1:7">
      <c r="A5237" s="34">
        <v>2084292895</v>
      </c>
      <c r="B5237" s="35" t="s">
        <v>462</v>
      </c>
      <c r="C5237" s="35" t="s">
        <v>405</v>
      </c>
      <c r="D5237" s="35" t="s">
        <v>1170</v>
      </c>
      <c r="E5237" s="35" t="s">
        <v>1197</v>
      </c>
      <c r="F5237" s="35" t="s">
        <v>390</v>
      </c>
      <c r="G5237" s="35" t="s">
        <v>478</v>
      </c>
    </row>
    <row r="5238" spans="1:7">
      <c r="A5238" s="34">
        <v>2084292896</v>
      </c>
      <c r="B5238" s="35" t="s">
        <v>462</v>
      </c>
      <c r="C5238" s="35" t="s">
        <v>405</v>
      </c>
      <c r="D5238" s="35" t="s">
        <v>1170</v>
      </c>
      <c r="E5238" s="35" t="s">
        <v>1197</v>
      </c>
      <c r="F5238" s="35" t="s">
        <v>390</v>
      </c>
      <c r="G5238" s="35" t="s">
        <v>335</v>
      </c>
    </row>
    <row r="5239" spans="1:7">
      <c r="A5239" s="34">
        <v>2084292897</v>
      </c>
      <c r="B5239" s="35" t="s">
        <v>462</v>
      </c>
      <c r="C5239" s="35" t="s">
        <v>405</v>
      </c>
      <c r="D5239" s="35" t="s">
        <v>1170</v>
      </c>
      <c r="E5239" s="35" t="s">
        <v>1197</v>
      </c>
      <c r="F5239" s="35" t="s">
        <v>353</v>
      </c>
      <c r="G5239" s="35" t="s">
        <v>367</v>
      </c>
    </row>
    <row r="5240" spans="1:7">
      <c r="A5240" s="34">
        <v>2084292898</v>
      </c>
      <c r="B5240" s="35" t="s">
        <v>462</v>
      </c>
      <c r="C5240" s="35" t="s">
        <v>405</v>
      </c>
      <c r="D5240" s="35" t="s">
        <v>1170</v>
      </c>
      <c r="E5240" s="35" t="s">
        <v>1197</v>
      </c>
      <c r="F5240" s="35" t="s">
        <v>353</v>
      </c>
      <c r="G5240" s="35" t="s">
        <v>401</v>
      </c>
    </row>
    <row r="5241" spans="1:7">
      <c r="A5241" s="34">
        <v>2084292899</v>
      </c>
      <c r="B5241" s="35" t="s">
        <v>462</v>
      </c>
      <c r="C5241" s="35" t="s">
        <v>405</v>
      </c>
      <c r="D5241" s="35" t="s">
        <v>1170</v>
      </c>
      <c r="E5241" s="35" t="s">
        <v>1197</v>
      </c>
      <c r="F5241" s="35" t="s">
        <v>353</v>
      </c>
      <c r="G5241" s="35" t="s">
        <v>402</v>
      </c>
    </row>
    <row r="5242" spans="1:7">
      <c r="A5242" s="34">
        <v>2084292900</v>
      </c>
      <c r="B5242" s="35" t="s">
        <v>462</v>
      </c>
      <c r="C5242" s="35" t="s">
        <v>405</v>
      </c>
      <c r="D5242" s="35" t="s">
        <v>1170</v>
      </c>
      <c r="E5242" s="35" t="s">
        <v>1197</v>
      </c>
      <c r="F5242" s="35" t="s">
        <v>353</v>
      </c>
      <c r="G5242" s="35" t="s">
        <v>403</v>
      </c>
    </row>
    <row r="5243" spans="1:7">
      <c r="A5243" s="34">
        <v>2084292901</v>
      </c>
      <c r="B5243" s="35" t="s">
        <v>462</v>
      </c>
      <c r="C5243" s="35" t="s">
        <v>405</v>
      </c>
      <c r="D5243" s="35" t="s">
        <v>1170</v>
      </c>
      <c r="E5243" s="35" t="s">
        <v>1197</v>
      </c>
      <c r="F5243" s="35" t="s">
        <v>353</v>
      </c>
      <c r="G5243" s="35" t="s">
        <v>335</v>
      </c>
    </row>
    <row r="5244" spans="1:7">
      <c r="A5244" s="34">
        <v>2084292904</v>
      </c>
      <c r="B5244" s="35" t="s">
        <v>462</v>
      </c>
      <c r="C5244" s="35" t="s">
        <v>405</v>
      </c>
      <c r="D5244" s="35" t="s">
        <v>1170</v>
      </c>
      <c r="E5244" s="35" t="s">
        <v>1198</v>
      </c>
      <c r="F5244" s="35" t="s">
        <v>390</v>
      </c>
      <c r="G5244" s="35" t="s">
        <v>367</v>
      </c>
    </row>
    <row r="5245" spans="1:7">
      <c r="A5245" s="34">
        <v>2084292905</v>
      </c>
      <c r="B5245" s="35" t="s">
        <v>462</v>
      </c>
      <c r="C5245" s="35" t="s">
        <v>405</v>
      </c>
      <c r="D5245" s="35" t="s">
        <v>1170</v>
      </c>
      <c r="E5245" s="35" t="s">
        <v>1198</v>
      </c>
      <c r="F5245" s="35" t="s">
        <v>390</v>
      </c>
      <c r="G5245" s="35" t="s">
        <v>401</v>
      </c>
    </row>
    <row r="5246" spans="1:7">
      <c r="A5246" s="34">
        <v>2084292906</v>
      </c>
      <c r="B5246" s="35" t="s">
        <v>462</v>
      </c>
      <c r="C5246" s="35" t="s">
        <v>405</v>
      </c>
      <c r="D5246" s="35" t="s">
        <v>1170</v>
      </c>
      <c r="E5246" s="35" t="s">
        <v>1198</v>
      </c>
      <c r="F5246" s="35" t="s">
        <v>390</v>
      </c>
      <c r="G5246" s="35" t="s">
        <v>402</v>
      </c>
    </row>
    <row r="5247" spans="1:7">
      <c r="A5247" s="34">
        <v>2084292909</v>
      </c>
      <c r="B5247" s="35" t="s">
        <v>462</v>
      </c>
      <c r="C5247" s="35" t="s">
        <v>405</v>
      </c>
      <c r="D5247" s="35" t="s">
        <v>1170</v>
      </c>
      <c r="E5247" s="35" t="s">
        <v>1198</v>
      </c>
      <c r="F5247" s="35" t="s">
        <v>390</v>
      </c>
      <c r="G5247" s="35" t="s">
        <v>478</v>
      </c>
    </row>
    <row r="5248" spans="1:7">
      <c r="A5248" s="34">
        <v>2084292908</v>
      </c>
      <c r="B5248" s="35" t="s">
        <v>462</v>
      </c>
      <c r="C5248" s="35" t="s">
        <v>405</v>
      </c>
      <c r="D5248" s="35" t="s">
        <v>1170</v>
      </c>
      <c r="E5248" s="35" t="s">
        <v>1198</v>
      </c>
      <c r="F5248" s="35" t="s">
        <v>390</v>
      </c>
      <c r="G5248" s="35" t="s">
        <v>476</v>
      </c>
    </row>
    <row r="5249" spans="1:8">
      <c r="A5249" s="34">
        <v>2084292907</v>
      </c>
      <c r="B5249" s="35" t="s">
        <v>462</v>
      </c>
      <c r="C5249" s="35" t="s">
        <v>405</v>
      </c>
      <c r="D5249" s="35" t="s">
        <v>1170</v>
      </c>
      <c r="E5249" s="35" t="s">
        <v>1198</v>
      </c>
      <c r="F5249" s="35" t="s">
        <v>390</v>
      </c>
      <c r="G5249" s="35" t="s">
        <v>477</v>
      </c>
    </row>
    <row r="5250" spans="1:8">
      <c r="A5250" s="34">
        <v>2084292910</v>
      </c>
      <c r="B5250" s="35" t="s">
        <v>462</v>
      </c>
      <c r="C5250" s="35" t="s">
        <v>405</v>
      </c>
      <c r="D5250" s="35" t="s">
        <v>1170</v>
      </c>
      <c r="E5250" s="35" t="s">
        <v>1198</v>
      </c>
      <c r="F5250" s="35" t="s">
        <v>390</v>
      </c>
      <c r="G5250" s="35" t="s">
        <v>335</v>
      </c>
    </row>
    <row r="5251" spans="1:8">
      <c r="A5251" s="34">
        <v>2084292911</v>
      </c>
      <c r="B5251" s="35" t="s">
        <v>462</v>
      </c>
      <c r="C5251" s="35" t="s">
        <v>405</v>
      </c>
      <c r="D5251" s="35" t="s">
        <v>1170</v>
      </c>
      <c r="E5251" s="35" t="s">
        <v>1198</v>
      </c>
      <c r="F5251" s="35" t="s">
        <v>353</v>
      </c>
      <c r="G5251" s="35" t="s">
        <v>367</v>
      </c>
    </row>
    <row r="5252" spans="1:8">
      <c r="A5252" s="34">
        <v>2084292912</v>
      </c>
      <c r="B5252" s="35" t="s">
        <v>462</v>
      </c>
      <c r="C5252" s="35" t="s">
        <v>405</v>
      </c>
      <c r="D5252" s="35" t="s">
        <v>1170</v>
      </c>
      <c r="E5252" s="35" t="s">
        <v>1198</v>
      </c>
      <c r="F5252" s="35" t="s">
        <v>353</v>
      </c>
      <c r="G5252" s="35" t="s">
        <v>401</v>
      </c>
    </row>
    <row r="5253" spans="1:8">
      <c r="A5253" s="34">
        <v>2084292913</v>
      </c>
      <c r="B5253" s="35" t="s">
        <v>462</v>
      </c>
      <c r="C5253" s="35" t="s">
        <v>405</v>
      </c>
      <c r="D5253" s="35" t="s">
        <v>1170</v>
      </c>
      <c r="E5253" s="35" t="s">
        <v>1198</v>
      </c>
      <c r="F5253" s="35" t="s">
        <v>353</v>
      </c>
      <c r="G5253" s="35" t="s">
        <v>402</v>
      </c>
    </row>
    <row r="5254" spans="1:8">
      <c r="A5254" s="34">
        <v>2084292914</v>
      </c>
      <c r="B5254" s="35" t="s">
        <v>462</v>
      </c>
      <c r="C5254" s="35" t="s">
        <v>405</v>
      </c>
      <c r="D5254" s="35" t="s">
        <v>1170</v>
      </c>
      <c r="E5254" s="35" t="s">
        <v>1198</v>
      </c>
      <c r="F5254" s="35" t="s">
        <v>353</v>
      </c>
      <c r="G5254" s="35" t="s">
        <v>403</v>
      </c>
    </row>
    <row r="5255" spans="1:8">
      <c r="A5255" s="34">
        <v>2084292915</v>
      </c>
      <c r="B5255" s="35" t="s">
        <v>462</v>
      </c>
      <c r="C5255" s="35" t="s">
        <v>405</v>
      </c>
      <c r="D5255" s="35" t="s">
        <v>1170</v>
      </c>
      <c r="E5255" s="35" t="s">
        <v>1198</v>
      </c>
      <c r="F5255" s="35" t="s">
        <v>353</v>
      </c>
      <c r="G5255" s="35" t="s">
        <v>335</v>
      </c>
    </row>
    <row r="5256" spans="1:8">
      <c r="A5256" s="34">
        <v>2084205760</v>
      </c>
      <c r="B5256" s="35" t="s">
        <v>462</v>
      </c>
      <c r="C5256" s="35" t="s">
        <v>405</v>
      </c>
      <c r="D5256" s="35" t="s">
        <v>1170</v>
      </c>
      <c r="E5256" s="35" t="s">
        <v>1199</v>
      </c>
      <c r="F5256" s="35" t="s">
        <v>390</v>
      </c>
      <c r="G5256" s="35" t="s">
        <v>367</v>
      </c>
    </row>
    <row r="5257" spans="1:8">
      <c r="A5257" s="34">
        <v>2084205763</v>
      </c>
      <c r="B5257" s="35" t="s">
        <v>462</v>
      </c>
      <c r="C5257" s="35" t="s">
        <v>405</v>
      </c>
      <c r="D5257" s="35" t="s">
        <v>1170</v>
      </c>
      <c r="E5257" s="35" t="s">
        <v>1199</v>
      </c>
      <c r="F5257" s="35" t="s">
        <v>390</v>
      </c>
      <c r="G5257" s="35" t="s">
        <v>368</v>
      </c>
      <c r="H5257" s="35" t="s">
        <v>481</v>
      </c>
    </row>
    <row r="5258" spans="1:8">
      <c r="A5258" s="34">
        <v>2084205762</v>
      </c>
      <c r="B5258" s="35" t="s">
        <v>462</v>
      </c>
      <c r="C5258" s="35" t="s">
        <v>405</v>
      </c>
      <c r="D5258" s="35" t="s">
        <v>1170</v>
      </c>
      <c r="E5258" s="35" t="s">
        <v>1199</v>
      </c>
      <c r="F5258" s="35" t="s">
        <v>390</v>
      </c>
      <c r="G5258" s="35" t="s">
        <v>368</v>
      </c>
      <c r="H5258" s="35" t="s">
        <v>482</v>
      </c>
    </row>
    <row r="5259" spans="1:8">
      <c r="A5259" s="34">
        <v>2084205764</v>
      </c>
      <c r="B5259" s="35" t="s">
        <v>462</v>
      </c>
      <c r="C5259" s="35" t="s">
        <v>405</v>
      </c>
      <c r="D5259" s="35" t="s">
        <v>1170</v>
      </c>
      <c r="E5259" s="35" t="s">
        <v>1199</v>
      </c>
      <c r="F5259" s="35" t="s">
        <v>390</v>
      </c>
      <c r="G5259" s="35" t="s">
        <v>368</v>
      </c>
      <c r="H5259" s="35" t="s">
        <v>335</v>
      </c>
    </row>
    <row r="5260" spans="1:8">
      <c r="A5260" s="34">
        <v>2084205770</v>
      </c>
      <c r="B5260" s="35" t="s">
        <v>462</v>
      </c>
      <c r="C5260" s="35" t="s">
        <v>405</v>
      </c>
      <c r="D5260" s="35" t="s">
        <v>1170</v>
      </c>
      <c r="E5260" s="35" t="s">
        <v>1199</v>
      </c>
      <c r="F5260" s="35" t="s">
        <v>390</v>
      </c>
      <c r="G5260" s="35" t="s">
        <v>10</v>
      </c>
      <c r="H5260" s="35" t="s">
        <v>483</v>
      </c>
    </row>
    <row r="5261" spans="1:8">
      <c r="A5261" s="34">
        <v>2084205767</v>
      </c>
      <c r="B5261" s="35" t="s">
        <v>462</v>
      </c>
      <c r="C5261" s="35" t="s">
        <v>405</v>
      </c>
      <c r="D5261" s="35" t="s">
        <v>1170</v>
      </c>
      <c r="E5261" s="35" t="s">
        <v>1199</v>
      </c>
      <c r="F5261" s="35" t="s">
        <v>390</v>
      </c>
      <c r="G5261" s="35" t="s">
        <v>10</v>
      </c>
      <c r="H5261" s="35" t="s">
        <v>397</v>
      </c>
    </row>
    <row r="5262" spans="1:8">
      <c r="A5262" s="34">
        <v>2084205769</v>
      </c>
      <c r="B5262" s="35" t="s">
        <v>462</v>
      </c>
      <c r="C5262" s="35" t="s">
        <v>405</v>
      </c>
      <c r="D5262" s="35" t="s">
        <v>1170</v>
      </c>
      <c r="E5262" s="35" t="s">
        <v>1199</v>
      </c>
      <c r="F5262" s="35" t="s">
        <v>390</v>
      </c>
      <c r="G5262" s="35" t="s">
        <v>10</v>
      </c>
      <c r="H5262" s="35" t="s">
        <v>421</v>
      </c>
    </row>
    <row r="5263" spans="1:8">
      <c r="A5263" s="34">
        <v>2084205766</v>
      </c>
      <c r="B5263" s="35" t="s">
        <v>462</v>
      </c>
      <c r="C5263" s="35" t="s">
        <v>405</v>
      </c>
      <c r="D5263" s="35" t="s">
        <v>1170</v>
      </c>
      <c r="E5263" s="35" t="s">
        <v>1199</v>
      </c>
      <c r="F5263" s="35" t="s">
        <v>390</v>
      </c>
      <c r="G5263" s="35" t="s">
        <v>10</v>
      </c>
      <c r="H5263" s="35" t="s">
        <v>398</v>
      </c>
    </row>
    <row r="5264" spans="1:8">
      <c r="A5264" s="34">
        <v>2084205768</v>
      </c>
      <c r="B5264" s="35" t="s">
        <v>462</v>
      </c>
      <c r="C5264" s="35" t="s">
        <v>405</v>
      </c>
      <c r="D5264" s="35" t="s">
        <v>1170</v>
      </c>
      <c r="E5264" s="35" t="s">
        <v>1199</v>
      </c>
      <c r="F5264" s="35" t="s">
        <v>390</v>
      </c>
      <c r="G5264" s="35" t="s">
        <v>10</v>
      </c>
      <c r="H5264" s="35" t="s">
        <v>422</v>
      </c>
    </row>
    <row r="5265" spans="1:8">
      <c r="A5265" s="34">
        <v>2084205771</v>
      </c>
      <c r="B5265" s="35" t="s">
        <v>462</v>
      </c>
      <c r="C5265" s="35" t="s">
        <v>405</v>
      </c>
      <c r="D5265" s="35" t="s">
        <v>1170</v>
      </c>
      <c r="E5265" s="35" t="s">
        <v>1199</v>
      </c>
      <c r="F5265" s="35" t="s">
        <v>390</v>
      </c>
      <c r="G5265" s="35" t="s">
        <v>10</v>
      </c>
      <c r="H5265" s="35" t="s">
        <v>335</v>
      </c>
    </row>
    <row r="5266" spans="1:8">
      <c r="A5266" s="34">
        <v>2084205773</v>
      </c>
      <c r="B5266" s="35" t="s">
        <v>462</v>
      </c>
      <c r="C5266" s="35" t="s">
        <v>405</v>
      </c>
      <c r="D5266" s="35" t="s">
        <v>1170</v>
      </c>
      <c r="E5266" s="35" t="s">
        <v>1199</v>
      </c>
      <c r="F5266" s="35" t="s">
        <v>390</v>
      </c>
      <c r="G5266" s="35" t="s">
        <v>379</v>
      </c>
      <c r="H5266" s="35" t="s">
        <v>476</v>
      </c>
    </row>
    <row r="5267" spans="1:8">
      <c r="A5267" s="34">
        <v>2084205774</v>
      </c>
      <c r="B5267" s="35" t="s">
        <v>462</v>
      </c>
      <c r="C5267" s="35" t="s">
        <v>405</v>
      </c>
      <c r="D5267" s="35" t="s">
        <v>1170</v>
      </c>
      <c r="E5267" s="35" t="s">
        <v>1199</v>
      </c>
      <c r="F5267" s="35" t="s">
        <v>390</v>
      </c>
      <c r="G5267" s="35" t="s">
        <v>379</v>
      </c>
      <c r="H5267" s="35" t="s">
        <v>335</v>
      </c>
    </row>
    <row r="5268" spans="1:8">
      <c r="A5268" s="34">
        <v>2084205775</v>
      </c>
      <c r="B5268" s="35" t="s">
        <v>462</v>
      </c>
      <c r="C5268" s="35" t="s">
        <v>405</v>
      </c>
      <c r="D5268" s="35" t="s">
        <v>1170</v>
      </c>
      <c r="E5268" s="35" t="s">
        <v>1199</v>
      </c>
      <c r="F5268" s="35" t="s">
        <v>390</v>
      </c>
      <c r="G5268" s="35" t="s">
        <v>478</v>
      </c>
    </row>
    <row r="5269" spans="1:8">
      <c r="A5269" s="34">
        <v>2084205776</v>
      </c>
      <c r="B5269" s="35" t="s">
        <v>462</v>
      </c>
      <c r="C5269" s="35" t="s">
        <v>405</v>
      </c>
      <c r="D5269" s="35" t="s">
        <v>1170</v>
      </c>
      <c r="E5269" s="35" t="s">
        <v>1199</v>
      </c>
      <c r="F5269" s="35" t="s">
        <v>390</v>
      </c>
      <c r="G5269" s="35" t="s">
        <v>335</v>
      </c>
    </row>
    <row r="5270" spans="1:8">
      <c r="A5270" s="34">
        <v>2084205777</v>
      </c>
      <c r="B5270" s="35" t="s">
        <v>462</v>
      </c>
      <c r="C5270" s="35" t="s">
        <v>405</v>
      </c>
      <c r="D5270" s="35" t="s">
        <v>1170</v>
      </c>
      <c r="E5270" s="35" t="s">
        <v>1199</v>
      </c>
      <c r="F5270" s="35" t="s">
        <v>335</v>
      </c>
    </row>
    <row r="5271" spans="1:8">
      <c r="A5271" s="34">
        <v>2084227891</v>
      </c>
      <c r="B5271" s="35" t="s">
        <v>462</v>
      </c>
      <c r="C5271" s="35" t="s">
        <v>405</v>
      </c>
      <c r="D5271" s="35" t="s">
        <v>1170</v>
      </c>
      <c r="E5271" s="35" t="s">
        <v>1200</v>
      </c>
      <c r="F5271" s="35" t="s">
        <v>407</v>
      </c>
    </row>
    <row r="5272" spans="1:8">
      <c r="A5272" s="34">
        <v>2084227890</v>
      </c>
      <c r="B5272" s="35" t="s">
        <v>462</v>
      </c>
      <c r="C5272" s="35" t="s">
        <v>405</v>
      </c>
      <c r="D5272" s="35" t="s">
        <v>1170</v>
      </c>
      <c r="E5272" s="35" t="s">
        <v>1200</v>
      </c>
      <c r="F5272" s="35" t="s">
        <v>408</v>
      </c>
    </row>
    <row r="5273" spans="1:8">
      <c r="A5273" s="34">
        <v>2084227892</v>
      </c>
      <c r="B5273" s="35" t="s">
        <v>462</v>
      </c>
      <c r="C5273" s="35" t="s">
        <v>405</v>
      </c>
      <c r="D5273" s="35" t="s">
        <v>1170</v>
      </c>
      <c r="E5273" s="35" t="s">
        <v>1200</v>
      </c>
      <c r="F5273" s="35" t="s">
        <v>335</v>
      </c>
    </row>
    <row r="5274" spans="1:8">
      <c r="A5274" s="34">
        <v>2084283761</v>
      </c>
      <c r="B5274" s="35" t="s">
        <v>462</v>
      </c>
      <c r="C5274" s="35" t="s">
        <v>405</v>
      </c>
      <c r="D5274" s="35" t="s">
        <v>1170</v>
      </c>
      <c r="E5274" s="35" t="s">
        <v>1201</v>
      </c>
    </row>
    <row r="5275" spans="1:8">
      <c r="A5275" s="34">
        <v>2084226809</v>
      </c>
      <c r="B5275" s="35" t="s">
        <v>462</v>
      </c>
      <c r="C5275" s="35" t="s">
        <v>405</v>
      </c>
      <c r="D5275" s="35" t="s">
        <v>1170</v>
      </c>
      <c r="E5275" s="35" t="s">
        <v>1202</v>
      </c>
      <c r="F5275" s="35" t="s">
        <v>1203</v>
      </c>
      <c r="G5275" s="35" t="s">
        <v>1204</v>
      </c>
    </row>
    <row r="5276" spans="1:8">
      <c r="A5276" s="34">
        <v>2084226810</v>
      </c>
      <c r="B5276" s="35" t="s">
        <v>462</v>
      </c>
      <c r="C5276" s="35" t="s">
        <v>405</v>
      </c>
      <c r="D5276" s="35" t="s">
        <v>1170</v>
      </c>
      <c r="E5276" s="35" t="s">
        <v>1202</v>
      </c>
      <c r="F5276" s="35" t="s">
        <v>1203</v>
      </c>
      <c r="G5276" s="35" t="s">
        <v>686</v>
      </c>
    </row>
    <row r="5277" spans="1:8">
      <c r="A5277" s="34">
        <v>2084226811</v>
      </c>
      <c r="B5277" s="35" t="s">
        <v>462</v>
      </c>
      <c r="C5277" s="35" t="s">
        <v>405</v>
      </c>
      <c r="D5277" s="35" t="s">
        <v>1170</v>
      </c>
      <c r="E5277" s="35" t="s">
        <v>1202</v>
      </c>
      <c r="F5277" s="35" t="s">
        <v>1203</v>
      </c>
      <c r="G5277" s="35" t="s">
        <v>687</v>
      </c>
    </row>
    <row r="5278" spans="1:8">
      <c r="A5278" s="34">
        <v>2084226812</v>
      </c>
      <c r="B5278" s="35" t="s">
        <v>462</v>
      </c>
      <c r="C5278" s="35" t="s">
        <v>405</v>
      </c>
      <c r="D5278" s="35" t="s">
        <v>1170</v>
      </c>
      <c r="E5278" s="35" t="s">
        <v>1202</v>
      </c>
      <c r="F5278" s="35" t="s">
        <v>1203</v>
      </c>
      <c r="G5278" s="35" t="s">
        <v>688</v>
      </c>
    </row>
    <row r="5279" spans="1:8">
      <c r="A5279" s="34">
        <v>2084226813</v>
      </c>
      <c r="B5279" s="35" t="s">
        <v>462</v>
      </c>
      <c r="C5279" s="35" t="s">
        <v>405</v>
      </c>
      <c r="D5279" s="35" t="s">
        <v>1170</v>
      </c>
      <c r="E5279" s="35" t="s">
        <v>1202</v>
      </c>
      <c r="F5279" s="35" t="s">
        <v>1203</v>
      </c>
      <c r="G5279" s="35" t="s">
        <v>689</v>
      </c>
    </row>
    <row r="5280" spans="1:8">
      <c r="A5280" s="34">
        <v>2084312873</v>
      </c>
      <c r="B5280" s="35" t="s">
        <v>462</v>
      </c>
      <c r="C5280" s="35" t="s">
        <v>405</v>
      </c>
      <c r="D5280" s="35" t="s">
        <v>1170</v>
      </c>
      <c r="E5280" s="35" t="s">
        <v>1202</v>
      </c>
      <c r="F5280" s="35" t="s">
        <v>1203</v>
      </c>
      <c r="G5280" s="35" t="s">
        <v>1205</v>
      </c>
    </row>
    <row r="5281" spans="1:8">
      <c r="A5281" s="34">
        <v>2084226814</v>
      </c>
      <c r="B5281" s="35" t="s">
        <v>462</v>
      </c>
      <c r="C5281" s="35" t="s">
        <v>405</v>
      </c>
      <c r="D5281" s="35" t="s">
        <v>1170</v>
      </c>
      <c r="E5281" s="35" t="s">
        <v>1202</v>
      </c>
      <c r="F5281" s="35" t="s">
        <v>335</v>
      </c>
    </row>
    <row r="5282" spans="1:8">
      <c r="A5282" s="34">
        <v>2084301210</v>
      </c>
      <c r="B5282" s="35" t="s">
        <v>462</v>
      </c>
      <c r="C5282" s="35" t="s">
        <v>405</v>
      </c>
      <c r="D5282" s="35" t="s">
        <v>1170</v>
      </c>
      <c r="E5282" s="35" t="s">
        <v>1206</v>
      </c>
      <c r="F5282" s="35" t="s">
        <v>407</v>
      </c>
    </row>
    <row r="5283" spans="1:8">
      <c r="A5283" s="34">
        <v>2084301209</v>
      </c>
      <c r="B5283" s="35" t="s">
        <v>462</v>
      </c>
      <c r="C5283" s="35" t="s">
        <v>405</v>
      </c>
      <c r="D5283" s="35" t="s">
        <v>1170</v>
      </c>
      <c r="E5283" s="35" t="s">
        <v>1206</v>
      </c>
      <c r="F5283" s="35" t="s">
        <v>408</v>
      </c>
    </row>
    <row r="5284" spans="1:8">
      <c r="A5284" s="34">
        <v>2084227616</v>
      </c>
      <c r="B5284" s="35" t="s">
        <v>462</v>
      </c>
      <c r="C5284" s="35" t="s">
        <v>405</v>
      </c>
      <c r="D5284" s="35" t="s">
        <v>1170</v>
      </c>
      <c r="E5284" s="35" t="s">
        <v>1207</v>
      </c>
      <c r="F5284" s="35" t="s">
        <v>475</v>
      </c>
    </row>
    <row r="5285" spans="1:8">
      <c r="A5285" s="34">
        <v>2084227615</v>
      </c>
      <c r="B5285" s="35" t="s">
        <v>462</v>
      </c>
      <c r="C5285" s="35" t="s">
        <v>405</v>
      </c>
      <c r="D5285" s="35" t="s">
        <v>1170</v>
      </c>
      <c r="E5285" s="35" t="s">
        <v>1207</v>
      </c>
      <c r="F5285" s="35" t="s">
        <v>390</v>
      </c>
      <c r="G5285" s="35" t="s">
        <v>367</v>
      </c>
    </row>
    <row r="5286" spans="1:8">
      <c r="A5286" s="34">
        <v>2084227611</v>
      </c>
      <c r="B5286" s="35" t="s">
        <v>462</v>
      </c>
      <c r="C5286" s="35" t="s">
        <v>405</v>
      </c>
      <c r="D5286" s="35" t="s">
        <v>1170</v>
      </c>
      <c r="E5286" s="35" t="s">
        <v>1207</v>
      </c>
      <c r="F5286" s="35" t="s">
        <v>390</v>
      </c>
      <c r="G5286" s="35" t="s">
        <v>401</v>
      </c>
    </row>
    <row r="5287" spans="1:8">
      <c r="A5287" s="34">
        <v>2084227612</v>
      </c>
      <c r="B5287" s="35" t="s">
        <v>462</v>
      </c>
      <c r="C5287" s="35" t="s">
        <v>405</v>
      </c>
      <c r="D5287" s="35" t="s">
        <v>1170</v>
      </c>
      <c r="E5287" s="35" t="s">
        <v>1207</v>
      </c>
      <c r="F5287" s="35" t="s">
        <v>390</v>
      </c>
      <c r="G5287" s="35" t="s">
        <v>402</v>
      </c>
    </row>
    <row r="5288" spans="1:8">
      <c r="A5288" s="34">
        <v>2084227613</v>
      </c>
      <c r="B5288" s="35" t="s">
        <v>462</v>
      </c>
      <c r="C5288" s="35" t="s">
        <v>405</v>
      </c>
      <c r="D5288" s="35" t="s">
        <v>1170</v>
      </c>
      <c r="E5288" s="35" t="s">
        <v>1207</v>
      </c>
      <c r="F5288" s="35" t="s">
        <v>390</v>
      </c>
      <c r="G5288" s="35" t="s">
        <v>403</v>
      </c>
    </row>
    <row r="5289" spans="1:8">
      <c r="A5289" s="34">
        <v>2084227614</v>
      </c>
      <c r="B5289" s="35" t="s">
        <v>462</v>
      </c>
      <c r="C5289" s="35" t="s">
        <v>405</v>
      </c>
      <c r="D5289" s="35" t="s">
        <v>1170</v>
      </c>
      <c r="E5289" s="35" t="s">
        <v>1207</v>
      </c>
      <c r="F5289" s="35" t="s">
        <v>390</v>
      </c>
      <c r="G5289" s="35" t="s">
        <v>335</v>
      </c>
    </row>
    <row r="5290" spans="1:8">
      <c r="A5290" s="34">
        <v>2084052898</v>
      </c>
      <c r="B5290" s="35" t="s">
        <v>462</v>
      </c>
      <c r="C5290" s="35" t="s">
        <v>405</v>
      </c>
      <c r="D5290" s="35" t="s">
        <v>1170</v>
      </c>
      <c r="E5290" s="35" t="s">
        <v>1207</v>
      </c>
      <c r="F5290" s="35" t="s">
        <v>353</v>
      </c>
      <c r="G5290" s="35" t="s">
        <v>367</v>
      </c>
    </row>
    <row r="5291" spans="1:8">
      <c r="A5291" s="34">
        <v>2084030727</v>
      </c>
      <c r="B5291" s="35" t="s">
        <v>462</v>
      </c>
      <c r="C5291" s="35" t="s">
        <v>405</v>
      </c>
      <c r="D5291" s="35" t="s">
        <v>1170</v>
      </c>
      <c r="E5291" s="35" t="s">
        <v>1207</v>
      </c>
      <c r="F5291" s="35" t="s">
        <v>353</v>
      </c>
      <c r="G5291" s="35" t="s">
        <v>481</v>
      </c>
    </row>
    <row r="5292" spans="1:8">
      <c r="A5292" s="34">
        <v>2084031625</v>
      </c>
      <c r="B5292" s="35" t="s">
        <v>462</v>
      </c>
      <c r="C5292" s="35" t="s">
        <v>405</v>
      </c>
      <c r="D5292" s="35" t="s">
        <v>1170</v>
      </c>
      <c r="E5292" s="35" t="s">
        <v>1207</v>
      </c>
      <c r="F5292" s="35" t="s">
        <v>353</v>
      </c>
      <c r="G5292" s="35" t="s">
        <v>483</v>
      </c>
    </row>
    <row r="5293" spans="1:8">
      <c r="A5293" s="34">
        <v>2084031460</v>
      </c>
      <c r="B5293" s="35" t="s">
        <v>462</v>
      </c>
      <c r="C5293" s="35" t="s">
        <v>405</v>
      </c>
      <c r="D5293" s="35" t="s">
        <v>1170</v>
      </c>
      <c r="E5293" s="35" t="s">
        <v>1207</v>
      </c>
      <c r="F5293" s="35" t="s">
        <v>353</v>
      </c>
      <c r="G5293" s="35" t="s">
        <v>482</v>
      </c>
    </row>
    <row r="5294" spans="1:8">
      <c r="A5294" s="34">
        <v>2084030236</v>
      </c>
      <c r="B5294" s="35" t="s">
        <v>462</v>
      </c>
      <c r="C5294" s="35" t="s">
        <v>405</v>
      </c>
      <c r="D5294" s="35" t="s">
        <v>1170</v>
      </c>
      <c r="E5294" s="35" t="s">
        <v>1207</v>
      </c>
      <c r="F5294" s="35" t="s">
        <v>353</v>
      </c>
      <c r="G5294" s="35" t="s">
        <v>493</v>
      </c>
    </row>
    <row r="5295" spans="1:8">
      <c r="A5295" s="34">
        <v>2084031371</v>
      </c>
      <c r="B5295" s="35" t="s">
        <v>462</v>
      </c>
      <c r="C5295" s="35" t="s">
        <v>405</v>
      </c>
      <c r="D5295" s="35" t="s">
        <v>1170</v>
      </c>
      <c r="E5295" s="35" t="s">
        <v>1207</v>
      </c>
      <c r="F5295" s="35" t="s">
        <v>353</v>
      </c>
      <c r="G5295" s="35" t="s">
        <v>494</v>
      </c>
    </row>
    <row r="5296" spans="1:8">
      <c r="A5296" s="34">
        <v>2084051153</v>
      </c>
      <c r="B5296" s="35" t="s">
        <v>462</v>
      </c>
      <c r="C5296" s="35" t="s">
        <v>405</v>
      </c>
      <c r="D5296" s="35" t="s">
        <v>1170</v>
      </c>
      <c r="E5296" s="35" t="s">
        <v>1207</v>
      </c>
      <c r="F5296" s="35" t="s">
        <v>353</v>
      </c>
      <c r="G5296" s="35" t="s">
        <v>379</v>
      </c>
      <c r="H5296" s="35" t="s">
        <v>545</v>
      </c>
    </row>
    <row r="5297" spans="1:8">
      <c r="A5297" s="34">
        <v>2084051154</v>
      </c>
      <c r="B5297" s="35" t="s">
        <v>462</v>
      </c>
      <c r="C5297" s="35" t="s">
        <v>405</v>
      </c>
      <c r="D5297" s="35" t="s">
        <v>1170</v>
      </c>
      <c r="E5297" s="35" t="s">
        <v>1207</v>
      </c>
      <c r="F5297" s="35" t="s">
        <v>353</v>
      </c>
      <c r="G5297" s="35" t="s">
        <v>379</v>
      </c>
      <c r="H5297" s="35" t="s">
        <v>335</v>
      </c>
    </row>
    <row r="5298" spans="1:8">
      <c r="A5298" s="34">
        <v>2084031519</v>
      </c>
      <c r="B5298" s="35" t="s">
        <v>462</v>
      </c>
      <c r="C5298" s="35" t="s">
        <v>405</v>
      </c>
      <c r="D5298" s="35" t="s">
        <v>1170</v>
      </c>
      <c r="E5298" s="35" t="s">
        <v>1207</v>
      </c>
      <c r="F5298" s="35" t="s">
        <v>353</v>
      </c>
      <c r="G5298" s="35" t="s">
        <v>397</v>
      </c>
    </row>
    <row r="5299" spans="1:8">
      <c r="A5299" s="34">
        <v>2084030382</v>
      </c>
      <c r="B5299" s="35" t="s">
        <v>462</v>
      </c>
      <c r="C5299" s="35" t="s">
        <v>405</v>
      </c>
      <c r="D5299" s="35" t="s">
        <v>1170</v>
      </c>
      <c r="E5299" s="35" t="s">
        <v>1207</v>
      </c>
      <c r="F5299" s="35" t="s">
        <v>353</v>
      </c>
      <c r="G5299" s="35" t="s">
        <v>421</v>
      </c>
    </row>
    <row r="5300" spans="1:8">
      <c r="A5300" s="34">
        <v>2084031547</v>
      </c>
      <c r="B5300" s="35" t="s">
        <v>462</v>
      </c>
      <c r="C5300" s="35" t="s">
        <v>405</v>
      </c>
      <c r="D5300" s="35" t="s">
        <v>1170</v>
      </c>
      <c r="E5300" s="35" t="s">
        <v>1207</v>
      </c>
      <c r="F5300" s="35" t="s">
        <v>353</v>
      </c>
      <c r="G5300" s="35" t="s">
        <v>398</v>
      </c>
    </row>
    <row r="5301" spans="1:8">
      <c r="A5301" s="34">
        <v>2084030366</v>
      </c>
      <c r="B5301" s="35" t="s">
        <v>462</v>
      </c>
      <c r="C5301" s="35" t="s">
        <v>405</v>
      </c>
      <c r="D5301" s="35" t="s">
        <v>1170</v>
      </c>
      <c r="E5301" s="35" t="s">
        <v>1207</v>
      </c>
      <c r="F5301" s="35" t="s">
        <v>353</v>
      </c>
      <c r="G5301" s="35" t="s">
        <v>422</v>
      </c>
    </row>
    <row r="5302" spans="1:8">
      <c r="A5302" s="34">
        <v>2084051155</v>
      </c>
      <c r="B5302" s="35" t="s">
        <v>462</v>
      </c>
      <c r="C5302" s="35" t="s">
        <v>405</v>
      </c>
      <c r="D5302" s="35" t="s">
        <v>1170</v>
      </c>
      <c r="E5302" s="35" t="s">
        <v>1207</v>
      </c>
      <c r="F5302" s="35" t="s">
        <v>353</v>
      </c>
      <c r="G5302" s="35" t="s">
        <v>335</v>
      </c>
    </row>
    <row r="5303" spans="1:8">
      <c r="A5303" s="34">
        <v>2084048742</v>
      </c>
      <c r="B5303" s="35" t="s">
        <v>462</v>
      </c>
      <c r="C5303" s="35" t="s">
        <v>405</v>
      </c>
      <c r="D5303" s="35" t="s">
        <v>1170</v>
      </c>
      <c r="E5303" s="35" t="s">
        <v>1207</v>
      </c>
      <c r="F5303" s="35" t="s">
        <v>335</v>
      </c>
    </row>
    <row r="5304" spans="1:8">
      <c r="A5304" s="34">
        <v>2084260043</v>
      </c>
      <c r="B5304" s="35" t="s">
        <v>462</v>
      </c>
      <c r="C5304" s="35" t="s">
        <v>405</v>
      </c>
      <c r="D5304" s="35" t="s">
        <v>1170</v>
      </c>
      <c r="E5304" s="35" t="s">
        <v>1208</v>
      </c>
      <c r="F5304" s="35" t="s">
        <v>407</v>
      </c>
    </row>
    <row r="5305" spans="1:8">
      <c r="A5305" s="34">
        <v>2084260042</v>
      </c>
      <c r="B5305" s="35" t="s">
        <v>462</v>
      </c>
      <c r="C5305" s="35" t="s">
        <v>405</v>
      </c>
      <c r="D5305" s="35" t="s">
        <v>1170</v>
      </c>
      <c r="E5305" s="35" t="s">
        <v>1208</v>
      </c>
      <c r="F5305" s="35" t="s">
        <v>408</v>
      </c>
    </row>
    <row r="5306" spans="1:8">
      <c r="A5306" s="34">
        <v>2084229169</v>
      </c>
      <c r="B5306" s="35" t="s">
        <v>462</v>
      </c>
      <c r="C5306" s="35" t="s">
        <v>405</v>
      </c>
      <c r="D5306" s="35" t="s">
        <v>1170</v>
      </c>
      <c r="E5306" s="35" t="s">
        <v>1209</v>
      </c>
    </row>
    <row r="5307" spans="1:8">
      <c r="A5307" s="34">
        <v>2084054819</v>
      </c>
      <c r="B5307" s="35" t="s">
        <v>462</v>
      </c>
      <c r="C5307" s="35" t="s">
        <v>405</v>
      </c>
      <c r="D5307" s="35" t="s">
        <v>1170</v>
      </c>
      <c r="E5307" s="35" t="s">
        <v>1210</v>
      </c>
      <c r="F5307" s="35" t="s">
        <v>475</v>
      </c>
    </row>
    <row r="5308" spans="1:8">
      <c r="A5308" s="34">
        <v>2084054803</v>
      </c>
      <c r="B5308" s="35" t="s">
        <v>462</v>
      </c>
      <c r="C5308" s="35" t="s">
        <v>405</v>
      </c>
      <c r="D5308" s="35" t="s">
        <v>1170</v>
      </c>
      <c r="E5308" s="35" t="s">
        <v>1210</v>
      </c>
      <c r="F5308" s="35" t="s">
        <v>390</v>
      </c>
      <c r="G5308" s="35" t="s">
        <v>367</v>
      </c>
    </row>
    <row r="5309" spans="1:8">
      <c r="A5309" s="34">
        <v>2084054806</v>
      </c>
      <c r="B5309" s="35" t="s">
        <v>462</v>
      </c>
      <c r="C5309" s="35" t="s">
        <v>405</v>
      </c>
      <c r="D5309" s="35" t="s">
        <v>1170</v>
      </c>
      <c r="E5309" s="35" t="s">
        <v>1210</v>
      </c>
      <c r="F5309" s="35" t="s">
        <v>390</v>
      </c>
      <c r="G5309" s="35" t="s">
        <v>368</v>
      </c>
      <c r="H5309" s="35" t="s">
        <v>481</v>
      </c>
    </row>
    <row r="5310" spans="1:8">
      <c r="A5310" s="34">
        <v>2084054805</v>
      </c>
      <c r="B5310" s="35" t="s">
        <v>462</v>
      </c>
      <c r="C5310" s="35" t="s">
        <v>405</v>
      </c>
      <c r="D5310" s="35" t="s">
        <v>1170</v>
      </c>
      <c r="E5310" s="35" t="s">
        <v>1210</v>
      </c>
      <c r="F5310" s="35" t="s">
        <v>390</v>
      </c>
      <c r="G5310" s="35" t="s">
        <v>368</v>
      </c>
      <c r="H5310" s="35" t="s">
        <v>482</v>
      </c>
    </row>
    <row r="5311" spans="1:8">
      <c r="A5311" s="34">
        <v>2084054807</v>
      </c>
      <c r="B5311" s="35" t="s">
        <v>462</v>
      </c>
      <c r="C5311" s="35" t="s">
        <v>405</v>
      </c>
      <c r="D5311" s="35" t="s">
        <v>1170</v>
      </c>
      <c r="E5311" s="35" t="s">
        <v>1210</v>
      </c>
      <c r="F5311" s="35" t="s">
        <v>390</v>
      </c>
      <c r="G5311" s="35" t="s">
        <v>368</v>
      </c>
      <c r="H5311" s="35" t="s">
        <v>335</v>
      </c>
    </row>
    <row r="5312" spans="1:8">
      <c r="A5312" s="34">
        <v>2084054813</v>
      </c>
      <c r="B5312" s="35" t="s">
        <v>462</v>
      </c>
      <c r="C5312" s="35" t="s">
        <v>405</v>
      </c>
      <c r="D5312" s="35" t="s">
        <v>1170</v>
      </c>
      <c r="E5312" s="35" t="s">
        <v>1210</v>
      </c>
      <c r="F5312" s="35" t="s">
        <v>390</v>
      </c>
      <c r="G5312" s="35" t="s">
        <v>10</v>
      </c>
      <c r="H5312" s="35" t="s">
        <v>483</v>
      </c>
    </row>
    <row r="5313" spans="1:8">
      <c r="A5313" s="34">
        <v>2084054810</v>
      </c>
      <c r="B5313" s="35" t="s">
        <v>462</v>
      </c>
      <c r="C5313" s="35" t="s">
        <v>405</v>
      </c>
      <c r="D5313" s="35" t="s">
        <v>1170</v>
      </c>
      <c r="E5313" s="35" t="s">
        <v>1210</v>
      </c>
      <c r="F5313" s="35" t="s">
        <v>390</v>
      </c>
      <c r="G5313" s="35" t="s">
        <v>10</v>
      </c>
      <c r="H5313" s="35" t="s">
        <v>397</v>
      </c>
    </row>
    <row r="5314" spans="1:8">
      <c r="A5314" s="34">
        <v>2084054812</v>
      </c>
      <c r="B5314" s="35" t="s">
        <v>462</v>
      </c>
      <c r="C5314" s="35" t="s">
        <v>405</v>
      </c>
      <c r="D5314" s="35" t="s">
        <v>1170</v>
      </c>
      <c r="E5314" s="35" t="s">
        <v>1210</v>
      </c>
      <c r="F5314" s="35" t="s">
        <v>390</v>
      </c>
      <c r="G5314" s="35" t="s">
        <v>10</v>
      </c>
      <c r="H5314" s="35" t="s">
        <v>421</v>
      </c>
    </row>
    <row r="5315" spans="1:8">
      <c r="A5315" s="34">
        <v>2084054809</v>
      </c>
      <c r="B5315" s="35" t="s">
        <v>462</v>
      </c>
      <c r="C5315" s="35" t="s">
        <v>405</v>
      </c>
      <c r="D5315" s="35" t="s">
        <v>1170</v>
      </c>
      <c r="E5315" s="35" t="s">
        <v>1210</v>
      </c>
      <c r="F5315" s="35" t="s">
        <v>390</v>
      </c>
      <c r="G5315" s="35" t="s">
        <v>10</v>
      </c>
      <c r="H5315" s="35" t="s">
        <v>398</v>
      </c>
    </row>
    <row r="5316" spans="1:8">
      <c r="A5316" s="34">
        <v>2084054811</v>
      </c>
      <c r="B5316" s="35" t="s">
        <v>462</v>
      </c>
      <c r="C5316" s="35" t="s">
        <v>405</v>
      </c>
      <c r="D5316" s="35" t="s">
        <v>1170</v>
      </c>
      <c r="E5316" s="35" t="s">
        <v>1210</v>
      </c>
      <c r="F5316" s="35" t="s">
        <v>390</v>
      </c>
      <c r="G5316" s="35" t="s">
        <v>10</v>
      </c>
      <c r="H5316" s="35" t="s">
        <v>422</v>
      </c>
    </row>
    <row r="5317" spans="1:8">
      <c r="A5317" s="34">
        <v>2084054814</v>
      </c>
      <c r="B5317" s="35" t="s">
        <v>462</v>
      </c>
      <c r="C5317" s="35" t="s">
        <v>405</v>
      </c>
      <c r="D5317" s="35" t="s">
        <v>1170</v>
      </c>
      <c r="E5317" s="35" t="s">
        <v>1210</v>
      </c>
      <c r="F5317" s="35" t="s">
        <v>390</v>
      </c>
      <c r="G5317" s="35" t="s">
        <v>10</v>
      </c>
      <c r="H5317" s="35" t="s">
        <v>335</v>
      </c>
    </row>
    <row r="5318" spans="1:8">
      <c r="A5318" s="34">
        <v>2084054816</v>
      </c>
      <c r="B5318" s="35" t="s">
        <v>462</v>
      </c>
      <c r="C5318" s="35" t="s">
        <v>405</v>
      </c>
      <c r="D5318" s="35" t="s">
        <v>1170</v>
      </c>
      <c r="E5318" s="35" t="s">
        <v>1210</v>
      </c>
      <c r="F5318" s="35" t="s">
        <v>390</v>
      </c>
      <c r="G5318" s="35" t="s">
        <v>379</v>
      </c>
      <c r="H5318" s="35" t="s">
        <v>476</v>
      </c>
    </row>
    <row r="5319" spans="1:8">
      <c r="A5319" s="34">
        <v>2084054817</v>
      </c>
      <c r="B5319" s="35" t="s">
        <v>462</v>
      </c>
      <c r="C5319" s="35" t="s">
        <v>405</v>
      </c>
      <c r="D5319" s="35" t="s">
        <v>1170</v>
      </c>
      <c r="E5319" s="35" t="s">
        <v>1210</v>
      </c>
      <c r="F5319" s="35" t="s">
        <v>390</v>
      </c>
      <c r="G5319" s="35" t="s">
        <v>379</v>
      </c>
      <c r="H5319" s="35" t="s">
        <v>335</v>
      </c>
    </row>
    <row r="5320" spans="1:8">
      <c r="A5320" s="34">
        <v>2084054818</v>
      </c>
      <c r="B5320" s="35" t="s">
        <v>462</v>
      </c>
      <c r="C5320" s="35" t="s">
        <v>405</v>
      </c>
      <c r="D5320" s="35" t="s">
        <v>1170</v>
      </c>
      <c r="E5320" s="35" t="s">
        <v>1210</v>
      </c>
      <c r="F5320" s="35" t="s">
        <v>390</v>
      </c>
      <c r="G5320" s="35" t="s">
        <v>335</v>
      </c>
    </row>
    <row r="5321" spans="1:8">
      <c r="A5321" s="34">
        <v>2084054820</v>
      </c>
      <c r="B5321" s="35" t="s">
        <v>462</v>
      </c>
      <c r="C5321" s="35" t="s">
        <v>405</v>
      </c>
      <c r="D5321" s="35" t="s">
        <v>1170</v>
      </c>
      <c r="E5321" s="35" t="s">
        <v>1210</v>
      </c>
      <c r="F5321" s="35" t="s">
        <v>335</v>
      </c>
    </row>
    <row r="5322" spans="1:8">
      <c r="A5322" s="34">
        <v>2084054439</v>
      </c>
      <c r="B5322" s="35" t="s">
        <v>462</v>
      </c>
      <c r="C5322" s="35" t="s">
        <v>405</v>
      </c>
      <c r="D5322" s="35" t="s">
        <v>1170</v>
      </c>
      <c r="E5322" s="35" t="s">
        <v>1211</v>
      </c>
      <c r="F5322" s="35" t="s">
        <v>475</v>
      </c>
    </row>
    <row r="5323" spans="1:8">
      <c r="A5323" s="34">
        <v>2084054441</v>
      </c>
      <c r="B5323" s="35" t="s">
        <v>462</v>
      </c>
      <c r="C5323" s="35" t="s">
        <v>405</v>
      </c>
      <c r="D5323" s="35" t="s">
        <v>1170</v>
      </c>
      <c r="E5323" s="35" t="s">
        <v>1211</v>
      </c>
      <c r="F5323" s="35" t="s">
        <v>442</v>
      </c>
      <c r="G5323" s="35" t="s">
        <v>504</v>
      </c>
    </row>
    <row r="5324" spans="1:8">
      <c r="A5324" s="34">
        <v>2084054442</v>
      </c>
      <c r="B5324" s="35" t="s">
        <v>462</v>
      </c>
      <c r="C5324" s="35" t="s">
        <v>405</v>
      </c>
      <c r="D5324" s="35" t="s">
        <v>1170</v>
      </c>
      <c r="E5324" s="35" t="s">
        <v>1211</v>
      </c>
      <c r="F5324" s="35" t="s">
        <v>442</v>
      </c>
      <c r="G5324" s="35" t="s">
        <v>335</v>
      </c>
    </row>
    <row r="5325" spans="1:8">
      <c r="A5325" s="34">
        <v>2084054438</v>
      </c>
      <c r="B5325" s="35" t="s">
        <v>462</v>
      </c>
      <c r="C5325" s="35" t="s">
        <v>405</v>
      </c>
      <c r="D5325" s="35" t="s">
        <v>1170</v>
      </c>
      <c r="E5325" s="35" t="s">
        <v>1211</v>
      </c>
      <c r="F5325" s="35" t="s">
        <v>335</v>
      </c>
    </row>
    <row r="5326" spans="1:8">
      <c r="A5326" s="34">
        <v>2084055822</v>
      </c>
      <c r="B5326" s="35" t="s">
        <v>462</v>
      </c>
      <c r="C5326" s="35" t="s">
        <v>405</v>
      </c>
      <c r="D5326" s="35" t="s">
        <v>1170</v>
      </c>
      <c r="E5326" s="35" t="s">
        <v>1212</v>
      </c>
      <c r="F5326" s="35" t="s">
        <v>368</v>
      </c>
      <c r="G5326" s="35" t="s">
        <v>481</v>
      </c>
    </row>
    <row r="5327" spans="1:8">
      <c r="A5327" s="34">
        <v>2084055823</v>
      </c>
      <c r="B5327" s="35" t="s">
        <v>462</v>
      </c>
      <c r="C5327" s="35" t="s">
        <v>405</v>
      </c>
      <c r="D5327" s="35" t="s">
        <v>1170</v>
      </c>
      <c r="E5327" s="35" t="s">
        <v>1212</v>
      </c>
      <c r="F5327" s="35" t="s">
        <v>368</v>
      </c>
      <c r="G5327" s="35" t="s">
        <v>335</v>
      </c>
    </row>
    <row r="5328" spans="1:8">
      <c r="A5328" s="34">
        <v>2084055828</v>
      </c>
      <c r="B5328" s="35" t="s">
        <v>462</v>
      </c>
      <c r="C5328" s="35" t="s">
        <v>405</v>
      </c>
      <c r="D5328" s="35" t="s">
        <v>1170</v>
      </c>
      <c r="E5328" s="35" t="s">
        <v>1212</v>
      </c>
      <c r="F5328" s="35" t="s">
        <v>10</v>
      </c>
      <c r="G5328" s="35" t="s">
        <v>397</v>
      </c>
    </row>
    <row r="5329" spans="1:7">
      <c r="A5329" s="34">
        <v>2084055827</v>
      </c>
      <c r="B5329" s="35" t="s">
        <v>462</v>
      </c>
      <c r="C5329" s="35" t="s">
        <v>405</v>
      </c>
      <c r="D5329" s="35" t="s">
        <v>1170</v>
      </c>
      <c r="E5329" s="35" t="s">
        <v>1212</v>
      </c>
      <c r="F5329" s="35" t="s">
        <v>10</v>
      </c>
      <c r="G5329" s="35" t="s">
        <v>421</v>
      </c>
    </row>
    <row r="5330" spans="1:7">
      <c r="A5330" s="34">
        <v>2084055825</v>
      </c>
      <c r="B5330" s="35" t="s">
        <v>462</v>
      </c>
      <c r="C5330" s="35" t="s">
        <v>405</v>
      </c>
      <c r="D5330" s="35" t="s">
        <v>1170</v>
      </c>
      <c r="E5330" s="35" t="s">
        <v>1212</v>
      </c>
      <c r="F5330" s="35" t="s">
        <v>10</v>
      </c>
      <c r="G5330" s="35" t="s">
        <v>398</v>
      </c>
    </row>
    <row r="5331" spans="1:7">
      <c r="A5331" s="34">
        <v>2084055826</v>
      </c>
      <c r="B5331" s="35" t="s">
        <v>462</v>
      </c>
      <c r="C5331" s="35" t="s">
        <v>405</v>
      </c>
      <c r="D5331" s="35" t="s">
        <v>1170</v>
      </c>
      <c r="E5331" s="35" t="s">
        <v>1212</v>
      </c>
      <c r="F5331" s="35" t="s">
        <v>10</v>
      </c>
      <c r="G5331" s="35" t="s">
        <v>422</v>
      </c>
    </row>
    <row r="5332" spans="1:7">
      <c r="A5332" s="34">
        <v>2084055829</v>
      </c>
      <c r="B5332" s="35" t="s">
        <v>462</v>
      </c>
      <c r="C5332" s="35" t="s">
        <v>405</v>
      </c>
      <c r="D5332" s="35" t="s">
        <v>1170</v>
      </c>
      <c r="E5332" s="35" t="s">
        <v>1212</v>
      </c>
      <c r="F5332" s="35" t="s">
        <v>10</v>
      </c>
      <c r="G5332" s="35" t="s">
        <v>335</v>
      </c>
    </row>
    <row r="5333" spans="1:7">
      <c r="A5333" s="34">
        <v>2084055830</v>
      </c>
      <c r="B5333" s="35" t="s">
        <v>462</v>
      </c>
      <c r="C5333" s="35" t="s">
        <v>405</v>
      </c>
      <c r="D5333" s="35" t="s">
        <v>1170</v>
      </c>
      <c r="E5333" s="35" t="s">
        <v>1212</v>
      </c>
      <c r="F5333" s="35" t="s">
        <v>403</v>
      </c>
    </row>
    <row r="5334" spans="1:7">
      <c r="A5334" s="34">
        <v>2084055831</v>
      </c>
      <c r="B5334" s="35" t="s">
        <v>462</v>
      </c>
      <c r="C5334" s="35" t="s">
        <v>405</v>
      </c>
      <c r="D5334" s="35" t="s">
        <v>1170</v>
      </c>
      <c r="E5334" s="35" t="s">
        <v>1212</v>
      </c>
      <c r="F5334" s="35" t="s">
        <v>335</v>
      </c>
    </row>
    <row r="5335" spans="1:7">
      <c r="A5335" s="34">
        <v>2084298391</v>
      </c>
      <c r="B5335" s="35" t="s">
        <v>462</v>
      </c>
      <c r="C5335" s="35" t="s">
        <v>405</v>
      </c>
      <c r="D5335" s="35" t="s">
        <v>1170</v>
      </c>
      <c r="E5335" s="35" t="s">
        <v>1213</v>
      </c>
      <c r="F5335" s="35" t="s">
        <v>407</v>
      </c>
    </row>
    <row r="5336" spans="1:7">
      <c r="A5336" s="34">
        <v>2084298392</v>
      </c>
      <c r="B5336" s="35" t="s">
        <v>462</v>
      </c>
      <c r="C5336" s="35" t="s">
        <v>405</v>
      </c>
      <c r="D5336" s="35" t="s">
        <v>1170</v>
      </c>
      <c r="E5336" s="35" t="s">
        <v>1213</v>
      </c>
      <c r="F5336" s="35" t="s">
        <v>408</v>
      </c>
    </row>
    <row r="5337" spans="1:7">
      <c r="A5337" s="34">
        <v>2084199133</v>
      </c>
      <c r="B5337" s="35" t="s">
        <v>462</v>
      </c>
      <c r="C5337" s="35" t="s">
        <v>405</v>
      </c>
      <c r="D5337" s="35" t="s">
        <v>1170</v>
      </c>
      <c r="E5337" s="35" t="s">
        <v>1214</v>
      </c>
      <c r="F5337" s="35" t="s">
        <v>475</v>
      </c>
    </row>
    <row r="5338" spans="1:7">
      <c r="A5338" s="34">
        <v>2084199126</v>
      </c>
      <c r="B5338" s="35" t="s">
        <v>462</v>
      </c>
      <c r="C5338" s="35" t="s">
        <v>405</v>
      </c>
      <c r="D5338" s="35" t="s">
        <v>1170</v>
      </c>
      <c r="E5338" s="35" t="s">
        <v>1214</v>
      </c>
      <c r="F5338" s="35" t="s">
        <v>390</v>
      </c>
      <c r="G5338" s="35" t="s">
        <v>367</v>
      </c>
    </row>
    <row r="5339" spans="1:7">
      <c r="A5339" s="34">
        <v>2084199127</v>
      </c>
      <c r="B5339" s="35" t="s">
        <v>462</v>
      </c>
      <c r="C5339" s="35" t="s">
        <v>405</v>
      </c>
      <c r="D5339" s="35" t="s">
        <v>1170</v>
      </c>
      <c r="E5339" s="35" t="s">
        <v>1214</v>
      </c>
      <c r="F5339" s="35" t="s">
        <v>390</v>
      </c>
      <c r="G5339" s="35" t="s">
        <v>401</v>
      </c>
    </row>
    <row r="5340" spans="1:7">
      <c r="A5340" s="34">
        <v>2084199128</v>
      </c>
      <c r="B5340" s="35" t="s">
        <v>462</v>
      </c>
      <c r="C5340" s="35" t="s">
        <v>405</v>
      </c>
      <c r="D5340" s="35" t="s">
        <v>1170</v>
      </c>
      <c r="E5340" s="35" t="s">
        <v>1214</v>
      </c>
      <c r="F5340" s="35" t="s">
        <v>390</v>
      </c>
      <c r="G5340" s="35" t="s">
        <v>402</v>
      </c>
    </row>
    <row r="5341" spans="1:7">
      <c r="A5341" s="34">
        <v>2084199129</v>
      </c>
      <c r="B5341" s="35" t="s">
        <v>462</v>
      </c>
      <c r="C5341" s="35" t="s">
        <v>405</v>
      </c>
      <c r="D5341" s="35" t="s">
        <v>1170</v>
      </c>
      <c r="E5341" s="35" t="s">
        <v>1214</v>
      </c>
      <c r="F5341" s="35" t="s">
        <v>390</v>
      </c>
      <c r="G5341" s="35" t="s">
        <v>403</v>
      </c>
    </row>
    <row r="5342" spans="1:7">
      <c r="A5342" s="34">
        <v>2084199130</v>
      </c>
      <c r="B5342" s="35" t="s">
        <v>462</v>
      </c>
      <c r="C5342" s="35" t="s">
        <v>405</v>
      </c>
      <c r="D5342" s="35" t="s">
        <v>1170</v>
      </c>
      <c r="E5342" s="35" t="s">
        <v>1214</v>
      </c>
      <c r="F5342" s="35" t="s">
        <v>390</v>
      </c>
      <c r="G5342" s="35" t="s">
        <v>478</v>
      </c>
    </row>
    <row r="5343" spans="1:7">
      <c r="A5343" s="34">
        <v>2084199131</v>
      </c>
      <c r="B5343" s="35" t="s">
        <v>462</v>
      </c>
      <c r="C5343" s="35" t="s">
        <v>405</v>
      </c>
      <c r="D5343" s="35" t="s">
        <v>1170</v>
      </c>
      <c r="E5343" s="35" t="s">
        <v>1214</v>
      </c>
      <c r="F5343" s="35" t="s">
        <v>390</v>
      </c>
      <c r="G5343" s="35" t="s">
        <v>335</v>
      </c>
    </row>
    <row r="5344" spans="1:7">
      <c r="A5344" s="34">
        <v>2084199124</v>
      </c>
      <c r="B5344" s="35" t="s">
        <v>462</v>
      </c>
      <c r="C5344" s="35" t="s">
        <v>405</v>
      </c>
      <c r="D5344" s="35" t="s">
        <v>1170</v>
      </c>
      <c r="E5344" s="35" t="s">
        <v>1214</v>
      </c>
      <c r="F5344" s="35" t="s">
        <v>408</v>
      </c>
    </row>
    <row r="5345" spans="1:7">
      <c r="A5345" s="34">
        <v>2084199132</v>
      </c>
      <c r="B5345" s="35" t="s">
        <v>462</v>
      </c>
      <c r="C5345" s="35" t="s">
        <v>405</v>
      </c>
      <c r="D5345" s="35" t="s">
        <v>1170</v>
      </c>
      <c r="E5345" s="35" t="s">
        <v>1214</v>
      </c>
      <c r="F5345" s="35" t="s">
        <v>597</v>
      </c>
    </row>
    <row r="5346" spans="1:7">
      <c r="A5346" s="34">
        <v>2084199134</v>
      </c>
      <c r="B5346" s="35" t="s">
        <v>462</v>
      </c>
      <c r="C5346" s="35" t="s">
        <v>405</v>
      </c>
      <c r="D5346" s="35" t="s">
        <v>1170</v>
      </c>
      <c r="E5346" s="35" t="s">
        <v>1214</v>
      </c>
      <c r="F5346" s="35" t="s">
        <v>335</v>
      </c>
    </row>
    <row r="5347" spans="1:7">
      <c r="A5347" s="34">
        <v>2084230009</v>
      </c>
      <c r="B5347" s="35" t="s">
        <v>462</v>
      </c>
      <c r="C5347" s="35" t="s">
        <v>405</v>
      </c>
      <c r="D5347" s="35" t="s">
        <v>1170</v>
      </c>
      <c r="E5347" s="35" t="s">
        <v>1215</v>
      </c>
    </row>
    <row r="5348" spans="1:7">
      <c r="A5348" s="34">
        <v>2084232962</v>
      </c>
      <c r="B5348" s="35" t="s">
        <v>462</v>
      </c>
      <c r="C5348" s="35" t="s">
        <v>405</v>
      </c>
      <c r="D5348" s="35" t="s">
        <v>1170</v>
      </c>
      <c r="E5348" s="35" t="s">
        <v>1216</v>
      </c>
    </row>
    <row r="5349" spans="1:7">
      <c r="A5349" s="34">
        <v>2084261584</v>
      </c>
      <c r="B5349" s="35" t="s">
        <v>462</v>
      </c>
      <c r="C5349" s="35" t="s">
        <v>405</v>
      </c>
      <c r="D5349" s="35" t="s">
        <v>1170</v>
      </c>
      <c r="E5349" s="35" t="s">
        <v>1217</v>
      </c>
      <c r="F5349" s="35" t="s">
        <v>390</v>
      </c>
      <c r="G5349" s="35" t="s">
        <v>335</v>
      </c>
    </row>
    <row r="5350" spans="1:7">
      <c r="A5350" s="34">
        <v>2084261579</v>
      </c>
      <c r="B5350" s="35" t="s">
        <v>462</v>
      </c>
      <c r="C5350" s="35" t="s">
        <v>405</v>
      </c>
      <c r="D5350" s="35" t="s">
        <v>1170</v>
      </c>
      <c r="E5350" s="35" t="s">
        <v>1217</v>
      </c>
      <c r="F5350" s="35" t="s">
        <v>353</v>
      </c>
      <c r="G5350" s="35" t="s">
        <v>402</v>
      </c>
    </row>
    <row r="5351" spans="1:7">
      <c r="A5351" s="34">
        <v>2084261580</v>
      </c>
      <c r="B5351" s="35" t="s">
        <v>462</v>
      </c>
      <c r="C5351" s="35" t="s">
        <v>405</v>
      </c>
      <c r="D5351" s="35" t="s">
        <v>1170</v>
      </c>
      <c r="E5351" s="35" t="s">
        <v>1217</v>
      </c>
      <c r="F5351" s="35" t="s">
        <v>353</v>
      </c>
      <c r="G5351" s="35" t="s">
        <v>403</v>
      </c>
    </row>
    <row r="5352" spans="1:7">
      <c r="A5352" s="34">
        <v>2084261581</v>
      </c>
      <c r="B5352" s="35" t="s">
        <v>462</v>
      </c>
      <c r="C5352" s="35" t="s">
        <v>405</v>
      </c>
      <c r="D5352" s="35" t="s">
        <v>1170</v>
      </c>
      <c r="E5352" s="35" t="s">
        <v>1217</v>
      </c>
      <c r="F5352" s="35" t="s">
        <v>353</v>
      </c>
      <c r="G5352" s="35" t="s">
        <v>335</v>
      </c>
    </row>
    <row r="5353" spans="1:7">
      <c r="A5353" s="34">
        <v>2084298393</v>
      </c>
      <c r="B5353" s="35" t="s">
        <v>462</v>
      </c>
      <c r="C5353" s="35" t="s">
        <v>405</v>
      </c>
      <c r="D5353" s="35" t="s">
        <v>1170</v>
      </c>
      <c r="E5353" s="35" t="s">
        <v>1218</v>
      </c>
    </row>
    <row r="5354" spans="1:7">
      <c r="A5354" s="34">
        <v>2084024288</v>
      </c>
      <c r="B5354" s="35" t="s">
        <v>462</v>
      </c>
      <c r="C5354" s="35" t="s">
        <v>405</v>
      </c>
      <c r="D5354" s="35" t="s">
        <v>1170</v>
      </c>
      <c r="E5354" s="35" t="s">
        <v>1219</v>
      </c>
      <c r="F5354" s="35" t="s">
        <v>475</v>
      </c>
    </row>
    <row r="5355" spans="1:7">
      <c r="A5355" s="34">
        <v>2084030728</v>
      </c>
      <c r="B5355" s="35" t="s">
        <v>462</v>
      </c>
      <c r="C5355" s="35" t="s">
        <v>405</v>
      </c>
      <c r="D5355" s="35" t="s">
        <v>1170</v>
      </c>
      <c r="E5355" s="35" t="s">
        <v>1219</v>
      </c>
      <c r="F5355" s="35" t="s">
        <v>353</v>
      </c>
      <c r="G5355" s="35" t="s">
        <v>481</v>
      </c>
    </row>
    <row r="5356" spans="1:7">
      <c r="A5356" s="34">
        <v>2084031626</v>
      </c>
      <c r="B5356" s="35" t="s">
        <v>462</v>
      </c>
      <c r="C5356" s="35" t="s">
        <v>405</v>
      </c>
      <c r="D5356" s="35" t="s">
        <v>1170</v>
      </c>
      <c r="E5356" s="35" t="s">
        <v>1219</v>
      </c>
      <c r="F5356" s="35" t="s">
        <v>353</v>
      </c>
      <c r="G5356" s="35" t="s">
        <v>483</v>
      </c>
    </row>
    <row r="5357" spans="1:7">
      <c r="A5357" s="34">
        <v>2084030237</v>
      </c>
      <c r="B5357" s="35" t="s">
        <v>462</v>
      </c>
      <c r="C5357" s="35" t="s">
        <v>405</v>
      </c>
      <c r="D5357" s="35" t="s">
        <v>1170</v>
      </c>
      <c r="E5357" s="35" t="s">
        <v>1219</v>
      </c>
      <c r="F5357" s="35" t="s">
        <v>353</v>
      </c>
      <c r="G5357" s="35" t="s">
        <v>493</v>
      </c>
    </row>
    <row r="5358" spans="1:7">
      <c r="A5358" s="34">
        <v>2084031372</v>
      </c>
      <c r="B5358" s="35" t="s">
        <v>462</v>
      </c>
      <c r="C5358" s="35" t="s">
        <v>405</v>
      </c>
      <c r="D5358" s="35" t="s">
        <v>1170</v>
      </c>
      <c r="E5358" s="35" t="s">
        <v>1219</v>
      </c>
      <c r="F5358" s="35" t="s">
        <v>353</v>
      </c>
      <c r="G5358" s="35" t="s">
        <v>494</v>
      </c>
    </row>
    <row r="5359" spans="1:7">
      <c r="A5359" s="34">
        <v>2084051157</v>
      </c>
      <c r="B5359" s="35" t="s">
        <v>462</v>
      </c>
      <c r="C5359" s="35" t="s">
        <v>405</v>
      </c>
      <c r="D5359" s="35" t="s">
        <v>1170</v>
      </c>
      <c r="E5359" s="35" t="s">
        <v>1219</v>
      </c>
      <c r="F5359" s="35" t="s">
        <v>353</v>
      </c>
      <c r="G5359" s="35" t="s">
        <v>403</v>
      </c>
    </row>
    <row r="5360" spans="1:7">
      <c r="A5360" s="34">
        <v>2084031520</v>
      </c>
      <c r="B5360" s="35" t="s">
        <v>462</v>
      </c>
      <c r="C5360" s="35" t="s">
        <v>405</v>
      </c>
      <c r="D5360" s="35" t="s">
        <v>1170</v>
      </c>
      <c r="E5360" s="35" t="s">
        <v>1219</v>
      </c>
      <c r="F5360" s="35" t="s">
        <v>353</v>
      </c>
      <c r="G5360" s="35" t="s">
        <v>397</v>
      </c>
    </row>
    <row r="5361" spans="1:8">
      <c r="A5361" s="34">
        <v>2084030383</v>
      </c>
      <c r="B5361" s="35" t="s">
        <v>462</v>
      </c>
      <c r="C5361" s="35" t="s">
        <v>405</v>
      </c>
      <c r="D5361" s="35" t="s">
        <v>1170</v>
      </c>
      <c r="E5361" s="35" t="s">
        <v>1219</v>
      </c>
      <c r="F5361" s="35" t="s">
        <v>353</v>
      </c>
      <c r="G5361" s="35" t="s">
        <v>421</v>
      </c>
    </row>
    <row r="5362" spans="1:8">
      <c r="A5362" s="34">
        <v>2084031548</v>
      </c>
      <c r="B5362" s="35" t="s">
        <v>462</v>
      </c>
      <c r="C5362" s="35" t="s">
        <v>405</v>
      </c>
      <c r="D5362" s="35" t="s">
        <v>1170</v>
      </c>
      <c r="E5362" s="35" t="s">
        <v>1219</v>
      </c>
      <c r="F5362" s="35" t="s">
        <v>353</v>
      </c>
      <c r="G5362" s="35" t="s">
        <v>398</v>
      </c>
    </row>
    <row r="5363" spans="1:8">
      <c r="A5363" s="34">
        <v>2084030367</v>
      </c>
      <c r="B5363" s="35" t="s">
        <v>462</v>
      </c>
      <c r="C5363" s="35" t="s">
        <v>405</v>
      </c>
      <c r="D5363" s="35" t="s">
        <v>1170</v>
      </c>
      <c r="E5363" s="35" t="s">
        <v>1219</v>
      </c>
      <c r="F5363" s="35" t="s">
        <v>353</v>
      </c>
      <c r="G5363" s="35" t="s">
        <v>422</v>
      </c>
    </row>
    <row r="5364" spans="1:8">
      <c r="A5364" s="34">
        <v>2084025216</v>
      </c>
      <c r="B5364" s="35" t="s">
        <v>462</v>
      </c>
      <c r="C5364" s="35" t="s">
        <v>405</v>
      </c>
      <c r="D5364" s="35" t="s">
        <v>1170</v>
      </c>
      <c r="E5364" s="35" t="s">
        <v>1219</v>
      </c>
      <c r="F5364" s="35" t="s">
        <v>442</v>
      </c>
      <c r="G5364" s="35" t="s">
        <v>538</v>
      </c>
    </row>
    <row r="5365" spans="1:8">
      <c r="A5365" s="34">
        <v>2084025394</v>
      </c>
      <c r="B5365" s="35" t="s">
        <v>462</v>
      </c>
      <c r="C5365" s="35" t="s">
        <v>405</v>
      </c>
      <c r="D5365" s="35" t="s">
        <v>1170</v>
      </c>
      <c r="E5365" s="35" t="s">
        <v>1219</v>
      </c>
      <c r="F5365" s="35" t="s">
        <v>442</v>
      </c>
      <c r="G5365" s="35" t="s">
        <v>539</v>
      </c>
    </row>
    <row r="5366" spans="1:8">
      <c r="A5366" s="34">
        <v>2084051156</v>
      </c>
      <c r="B5366" s="35" t="s">
        <v>462</v>
      </c>
      <c r="C5366" s="35" t="s">
        <v>405</v>
      </c>
      <c r="D5366" s="35" t="s">
        <v>1170</v>
      </c>
      <c r="E5366" s="35" t="s">
        <v>1219</v>
      </c>
      <c r="F5366" s="35" t="s">
        <v>442</v>
      </c>
      <c r="G5366" s="35" t="s">
        <v>335</v>
      </c>
    </row>
    <row r="5367" spans="1:8">
      <c r="A5367" s="34">
        <v>2084048743</v>
      </c>
      <c r="B5367" s="35" t="s">
        <v>462</v>
      </c>
      <c r="C5367" s="35" t="s">
        <v>405</v>
      </c>
      <c r="D5367" s="35" t="s">
        <v>1170</v>
      </c>
      <c r="E5367" s="35" t="s">
        <v>1219</v>
      </c>
      <c r="F5367" s="35" t="s">
        <v>335</v>
      </c>
    </row>
    <row r="5368" spans="1:8">
      <c r="A5368" s="34">
        <v>2084228186</v>
      </c>
      <c r="B5368" s="35" t="s">
        <v>462</v>
      </c>
      <c r="C5368" s="35" t="s">
        <v>405</v>
      </c>
      <c r="D5368" s="35" t="s">
        <v>1170</v>
      </c>
      <c r="E5368" s="35" t="s">
        <v>1220</v>
      </c>
      <c r="F5368" s="35" t="s">
        <v>353</v>
      </c>
      <c r="G5368" s="35" t="s">
        <v>368</v>
      </c>
      <c r="H5368" s="35" t="s">
        <v>919</v>
      </c>
    </row>
    <row r="5369" spans="1:8">
      <c r="A5369" s="34">
        <v>2084228187</v>
      </c>
      <c r="B5369" s="35" t="s">
        <v>462</v>
      </c>
      <c r="C5369" s="35" t="s">
        <v>405</v>
      </c>
      <c r="D5369" s="35" t="s">
        <v>1170</v>
      </c>
      <c r="E5369" s="35" t="s">
        <v>1220</v>
      </c>
      <c r="F5369" s="35" t="s">
        <v>353</v>
      </c>
      <c r="G5369" s="35" t="s">
        <v>368</v>
      </c>
      <c r="H5369" s="35" t="s">
        <v>335</v>
      </c>
    </row>
    <row r="5370" spans="1:8">
      <c r="A5370" s="34">
        <v>2084228188</v>
      </c>
      <c r="B5370" s="35" t="s">
        <v>462</v>
      </c>
      <c r="C5370" s="35" t="s">
        <v>405</v>
      </c>
      <c r="D5370" s="35" t="s">
        <v>1170</v>
      </c>
      <c r="E5370" s="35" t="s">
        <v>1220</v>
      </c>
      <c r="F5370" s="35" t="s">
        <v>353</v>
      </c>
      <c r="G5370" s="35" t="s">
        <v>402</v>
      </c>
    </row>
    <row r="5371" spans="1:8">
      <c r="A5371" s="34">
        <v>2084228189</v>
      </c>
      <c r="B5371" s="35" t="s">
        <v>462</v>
      </c>
      <c r="C5371" s="35" t="s">
        <v>405</v>
      </c>
      <c r="D5371" s="35" t="s">
        <v>1170</v>
      </c>
      <c r="E5371" s="35" t="s">
        <v>1220</v>
      </c>
      <c r="F5371" s="35" t="s">
        <v>353</v>
      </c>
      <c r="G5371" s="35" t="s">
        <v>403</v>
      </c>
    </row>
    <row r="5372" spans="1:8">
      <c r="A5372" s="34">
        <v>2084228190</v>
      </c>
      <c r="B5372" s="35" t="s">
        <v>462</v>
      </c>
      <c r="C5372" s="35" t="s">
        <v>405</v>
      </c>
      <c r="D5372" s="35" t="s">
        <v>1170</v>
      </c>
      <c r="E5372" s="35" t="s">
        <v>1220</v>
      </c>
      <c r="F5372" s="35" t="s">
        <v>353</v>
      </c>
      <c r="G5372" s="35" t="s">
        <v>335</v>
      </c>
    </row>
    <row r="5373" spans="1:8">
      <c r="A5373" s="34">
        <v>2084228191</v>
      </c>
      <c r="B5373" s="35" t="s">
        <v>462</v>
      </c>
      <c r="C5373" s="35" t="s">
        <v>405</v>
      </c>
      <c r="D5373" s="35" t="s">
        <v>1170</v>
      </c>
      <c r="E5373" s="35" t="s">
        <v>1220</v>
      </c>
      <c r="F5373" s="35" t="s">
        <v>335</v>
      </c>
    </row>
    <row r="5374" spans="1:8">
      <c r="A5374" s="34">
        <v>2084230010</v>
      </c>
      <c r="B5374" s="35" t="s">
        <v>462</v>
      </c>
      <c r="C5374" s="35" t="s">
        <v>405</v>
      </c>
      <c r="D5374" s="35" t="s">
        <v>1221</v>
      </c>
      <c r="E5374" s="35" t="s">
        <v>1222</v>
      </c>
    </row>
    <row r="5375" spans="1:8">
      <c r="A5375" s="34">
        <v>2084298395</v>
      </c>
      <c r="B5375" s="35" t="s">
        <v>462</v>
      </c>
      <c r="C5375" s="35" t="s">
        <v>405</v>
      </c>
      <c r="D5375" s="35" t="s">
        <v>1221</v>
      </c>
      <c r="E5375" s="35" t="s">
        <v>1223</v>
      </c>
    </row>
    <row r="5376" spans="1:8">
      <c r="A5376" s="34">
        <v>2084255906</v>
      </c>
      <c r="B5376" s="35" t="s">
        <v>462</v>
      </c>
      <c r="C5376" s="35" t="s">
        <v>405</v>
      </c>
      <c r="D5376" s="35" t="s">
        <v>1221</v>
      </c>
      <c r="E5376" s="35" t="s">
        <v>1224</v>
      </c>
    </row>
    <row r="5377" spans="1:8">
      <c r="A5377" s="34">
        <v>2084237997</v>
      </c>
      <c r="B5377" s="35" t="s">
        <v>462</v>
      </c>
      <c r="C5377" s="35" t="s">
        <v>405</v>
      </c>
      <c r="D5377" s="35" t="s">
        <v>1221</v>
      </c>
      <c r="E5377" s="35" t="s">
        <v>1225</v>
      </c>
      <c r="F5377" s="35" t="s">
        <v>475</v>
      </c>
    </row>
    <row r="5378" spans="1:8">
      <c r="A5378" s="34">
        <v>2084309910</v>
      </c>
      <c r="B5378" s="35" t="s">
        <v>462</v>
      </c>
      <c r="C5378" s="35" t="s">
        <v>405</v>
      </c>
      <c r="D5378" s="35" t="s">
        <v>1221</v>
      </c>
      <c r="E5378" s="35" t="s">
        <v>1225</v>
      </c>
      <c r="F5378" s="35" t="s">
        <v>611</v>
      </c>
      <c r="G5378" s="35" t="s">
        <v>1226</v>
      </c>
    </row>
    <row r="5379" spans="1:8">
      <c r="A5379" s="34">
        <v>2084309911</v>
      </c>
      <c r="B5379" s="35" t="s">
        <v>462</v>
      </c>
      <c r="C5379" s="35" t="s">
        <v>405</v>
      </c>
      <c r="D5379" s="35" t="s">
        <v>1221</v>
      </c>
      <c r="E5379" s="35" t="s">
        <v>1225</v>
      </c>
      <c r="F5379" s="35" t="s">
        <v>611</v>
      </c>
      <c r="G5379" s="35">
        <v>8.5</v>
      </c>
    </row>
    <row r="5380" spans="1:8">
      <c r="A5380" s="34">
        <v>2084309912</v>
      </c>
      <c r="B5380" s="35" t="s">
        <v>462</v>
      </c>
      <c r="C5380" s="35" t="s">
        <v>405</v>
      </c>
      <c r="D5380" s="35" t="s">
        <v>1221</v>
      </c>
      <c r="E5380" s="35" t="s">
        <v>1225</v>
      </c>
      <c r="F5380" s="35" t="s">
        <v>611</v>
      </c>
      <c r="G5380" s="35">
        <v>9</v>
      </c>
    </row>
    <row r="5381" spans="1:8">
      <c r="A5381" s="34">
        <v>2084309913</v>
      </c>
      <c r="B5381" s="35" t="s">
        <v>462</v>
      </c>
      <c r="C5381" s="35" t="s">
        <v>405</v>
      </c>
      <c r="D5381" s="35" t="s">
        <v>1221</v>
      </c>
      <c r="E5381" s="35" t="s">
        <v>1225</v>
      </c>
      <c r="F5381" s="35" t="s">
        <v>611</v>
      </c>
      <c r="G5381" s="35">
        <v>9.5</v>
      </c>
    </row>
    <row r="5382" spans="1:8">
      <c r="A5382" s="34">
        <v>2084309914</v>
      </c>
      <c r="B5382" s="35" t="s">
        <v>462</v>
      </c>
      <c r="C5382" s="35" t="s">
        <v>405</v>
      </c>
      <c r="D5382" s="35" t="s">
        <v>1221</v>
      </c>
      <c r="E5382" s="35" t="s">
        <v>1225</v>
      </c>
      <c r="F5382" s="35" t="s">
        <v>611</v>
      </c>
      <c r="G5382" s="35">
        <v>10</v>
      </c>
    </row>
    <row r="5383" spans="1:8">
      <c r="A5383" s="34">
        <v>2084309915</v>
      </c>
      <c r="B5383" s="35" t="s">
        <v>462</v>
      </c>
      <c r="C5383" s="35" t="s">
        <v>405</v>
      </c>
      <c r="D5383" s="35" t="s">
        <v>1221</v>
      </c>
      <c r="E5383" s="35" t="s">
        <v>1225</v>
      </c>
      <c r="F5383" s="35" t="s">
        <v>611</v>
      </c>
      <c r="G5383" s="35">
        <v>10.5</v>
      </c>
    </row>
    <row r="5384" spans="1:8">
      <c r="A5384" s="34">
        <v>2084309916</v>
      </c>
      <c r="B5384" s="35" t="s">
        <v>462</v>
      </c>
      <c r="C5384" s="35" t="s">
        <v>405</v>
      </c>
      <c r="D5384" s="35" t="s">
        <v>1221</v>
      </c>
      <c r="E5384" s="35" t="s">
        <v>1225</v>
      </c>
      <c r="F5384" s="35" t="s">
        <v>611</v>
      </c>
      <c r="G5384" s="35" t="s">
        <v>1227</v>
      </c>
    </row>
    <row r="5385" spans="1:8">
      <c r="A5385" s="34">
        <v>2084237992</v>
      </c>
      <c r="B5385" s="35" t="s">
        <v>462</v>
      </c>
      <c r="C5385" s="35" t="s">
        <v>405</v>
      </c>
      <c r="D5385" s="35" t="s">
        <v>1221</v>
      </c>
      <c r="E5385" s="35" t="s">
        <v>1225</v>
      </c>
      <c r="F5385" s="35" t="s">
        <v>353</v>
      </c>
      <c r="G5385" s="35" t="s">
        <v>401</v>
      </c>
    </row>
    <row r="5386" spans="1:8">
      <c r="A5386" s="34">
        <v>2084237993</v>
      </c>
      <c r="B5386" s="35" t="s">
        <v>462</v>
      </c>
      <c r="C5386" s="35" t="s">
        <v>405</v>
      </c>
      <c r="D5386" s="35" t="s">
        <v>1221</v>
      </c>
      <c r="E5386" s="35" t="s">
        <v>1225</v>
      </c>
      <c r="F5386" s="35" t="s">
        <v>353</v>
      </c>
      <c r="G5386" s="35" t="s">
        <v>402</v>
      </c>
    </row>
    <row r="5387" spans="1:8">
      <c r="A5387" s="34">
        <v>2084237995</v>
      </c>
      <c r="B5387" s="35" t="s">
        <v>462</v>
      </c>
      <c r="C5387" s="35" t="s">
        <v>405</v>
      </c>
      <c r="D5387" s="35" t="s">
        <v>1221</v>
      </c>
      <c r="E5387" s="35" t="s">
        <v>1225</v>
      </c>
      <c r="F5387" s="35" t="s">
        <v>353</v>
      </c>
      <c r="G5387" s="35" t="s">
        <v>403</v>
      </c>
    </row>
    <row r="5388" spans="1:8">
      <c r="A5388" s="34">
        <v>2084237996</v>
      </c>
      <c r="B5388" s="35" t="s">
        <v>462</v>
      </c>
      <c r="C5388" s="35" t="s">
        <v>405</v>
      </c>
      <c r="D5388" s="35" t="s">
        <v>1221</v>
      </c>
      <c r="E5388" s="35" t="s">
        <v>1225</v>
      </c>
      <c r="F5388" s="35" t="s">
        <v>353</v>
      </c>
      <c r="G5388" s="35" t="s">
        <v>335</v>
      </c>
    </row>
    <row r="5389" spans="1:8">
      <c r="A5389" s="34">
        <v>2084237999</v>
      </c>
      <c r="B5389" s="35" t="s">
        <v>462</v>
      </c>
      <c r="C5389" s="35" t="s">
        <v>405</v>
      </c>
      <c r="D5389" s="35" t="s">
        <v>1221</v>
      </c>
      <c r="E5389" s="35" t="s">
        <v>1225</v>
      </c>
      <c r="F5389" s="35" t="s">
        <v>335</v>
      </c>
    </row>
    <row r="5390" spans="1:8">
      <c r="A5390" s="34">
        <v>2084028205</v>
      </c>
      <c r="B5390" s="35" t="s">
        <v>462</v>
      </c>
      <c r="C5390" s="35" t="s">
        <v>405</v>
      </c>
      <c r="D5390" s="35" t="s">
        <v>1221</v>
      </c>
      <c r="E5390" s="35" t="s">
        <v>1228</v>
      </c>
      <c r="F5390" s="35" t="s">
        <v>390</v>
      </c>
      <c r="G5390" s="35" t="s">
        <v>367</v>
      </c>
    </row>
    <row r="5391" spans="1:8">
      <c r="A5391" s="34">
        <v>2084028754</v>
      </c>
      <c r="B5391" s="35" t="s">
        <v>462</v>
      </c>
      <c r="C5391" s="35" t="s">
        <v>405</v>
      </c>
      <c r="D5391" s="35" t="s">
        <v>1221</v>
      </c>
      <c r="E5391" s="35" t="s">
        <v>1228</v>
      </c>
      <c r="F5391" s="35" t="s">
        <v>390</v>
      </c>
      <c r="G5391" s="35" t="s">
        <v>368</v>
      </c>
      <c r="H5391" s="35" t="s">
        <v>508</v>
      </c>
    </row>
    <row r="5392" spans="1:8">
      <c r="A5392" s="34">
        <v>2084029337</v>
      </c>
      <c r="B5392" s="35" t="s">
        <v>462</v>
      </c>
      <c r="C5392" s="35" t="s">
        <v>405</v>
      </c>
      <c r="D5392" s="35" t="s">
        <v>1221</v>
      </c>
      <c r="E5392" s="35" t="s">
        <v>1228</v>
      </c>
      <c r="F5392" s="35" t="s">
        <v>390</v>
      </c>
      <c r="G5392" s="35" t="s">
        <v>368</v>
      </c>
      <c r="H5392" s="35" t="s">
        <v>481</v>
      </c>
    </row>
    <row r="5393" spans="1:8">
      <c r="A5393" s="34">
        <v>2084029846</v>
      </c>
      <c r="B5393" s="35" t="s">
        <v>462</v>
      </c>
      <c r="C5393" s="35" t="s">
        <v>405</v>
      </c>
      <c r="D5393" s="35" t="s">
        <v>1221</v>
      </c>
      <c r="E5393" s="35" t="s">
        <v>1228</v>
      </c>
      <c r="F5393" s="35" t="s">
        <v>390</v>
      </c>
      <c r="G5393" s="35" t="s">
        <v>368</v>
      </c>
      <c r="H5393" s="35" t="s">
        <v>494</v>
      </c>
    </row>
    <row r="5394" spans="1:8">
      <c r="A5394" s="34">
        <v>2084058597</v>
      </c>
      <c r="B5394" s="35" t="s">
        <v>462</v>
      </c>
      <c r="C5394" s="35" t="s">
        <v>405</v>
      </c>
      <c r="D5394" s="35" t="s">
        <v>1221</v>
      </c>
      <c r="E5394" s="35" t="s">
        <v>1228</v>
      </c>
      <c r="F5394" s="35" t="s">
        <v>390</v>
      </c>
      <c r="G5394" s="35" t="s">
        <v>368</v>
      </c>
      <c r="H5394" s="35" t="s">
        <v>335</v>
      </c>
    </row>
    <row r="5395" spans="1:8">
      <c r="A5395" s="34">
        <v>2084027303</v>
      </c>
      <c r="B5395" s="35" t="s">
        <v>462</v>
      </c>
      <c r="C5395" s="35" t="s">
        <v>405</v>
      </c>
      <c r="D5395" s="35" t="s">
        <v>1221</v>
      </c>
      <c r="E5395" s="35" t="s">
        <v>1228</v>
      </c>
      <c r="F5395" s="35" t="s">
        <v>390</v>
      </c>
      <c r="G5395" s="35" t="s">
        <v>10</v>
      </c>
      <c r="H5395" s="35" t="s">
        <v>509</v>
      </c>
    </row>
    <row r="5396" spans="1:8">
      <c r="A5396" s="34">
        <v>2084027796</v>
      </c>
      <c r="B5396" s="35" t="s">
        <v>462</v>
      </c>
      <c r="C5396" s="35" t="s">
        <v>405</v>
      </c>
      <c r="D5396" s="35" t="s">
        <v>1221</v>
      </c>
      <c r="E5396" s="35" t="s">
        <v>1228</v>
      </c>
      <c r="F5396" s="35" t="s">
        <v>390</v>
      </c>
      <c r="G5396" s="35" t="s">
        <v>10</v>
      </c>
      <c r="H5396" s="35" t="s">
        <v>510</v>
      </c>
    </row>
    <row r="5397" spans="1:8">
      <c r="A5397" s="34">
        <v>2084027878</v>
      </c>
      <c r="B5397" s="35" t="s">
        <v>462</v>
      </c>
      <c r="C5397" s="35" t="s">
        <v>405</v>
      </c>
      <c r="D5397" s="35" t="s">
        <v>1221</v>
      </c>
      <c r="E5397" s="35" t="s">
        <v>1228</v>
      </c>
      <c r="F5397" s="35" t="s">
        <v>390</v>
      </c>
      <c r="G5397" s="35" t="s">
        <v>10</v>
      </c>
      <c r="H5397" s="35" t="s">
        <v>511</v>
      </c>
    </row>
    <row r="5398" spans="1:8">
      <c r="A5398" s="34">
        <v>2084027908</v>
      </c>
      <c r="B5398" s="35" t="s">
        <v>462</v>
      </c>
      <c r="C5398" s="35" t="s">
        <v>405</v>
      </c>
      <c r="D5398" s="35" t="s">
        <v>1221</v>
      </c>
      <c r="E5398" s="35" t="s">
        <v>1228</v>
      </c>
      <c r="F5398" s="35" t="s">
        <v>390</v>
      </c>
      <c r="G5398" s="35" t="s">
        <v>10</v>
      </c>
      <c r="H5398" s="35" t="s">
        <v>493</v>
      </c>
    </row>
    <row r="5399" spans="1:8">
      <c r="A5399" s="34">
        <v>2084027477</v>
      </c>
      <c r="B5399" s="35" t="s">
        <v>462</v>
      </c>
      <c r="C5399" s="35" t="s">
        <v>405</v>
      </c>
      <c r="D5399" s="35" t="s">
        <v>1221</v>
      </c>
      <c r="E5399" s="35" t="s">
        <v>1228</v>
      </c>
      <c r="F5399" s="35" t="s">
        <v>390</v>
      </c>
      <c r="G5399" s="35" t="s">
        <v>10</v>
      </c>
      <c r="H5399" s="35" t="s">
        <v>512</v>
      </c>
    </row>
    <row r="5400" spans="1:8">
      <c r="A5400" s="34">
        <v>2084027609</v>
      </c>
      <c r="B5400" s="35" t="s">
        <v>462</v>
      </c>
      <c r="C5400" s="35" t="s">
        <v>405</v>
      </c>
      <c r="D5400" s="35" t="s">
        <v>1221</v>
      </c>
      <c r="E5400" s="35" t="s">
        <v>1228</v>
      </c>
      <c r="F5400" s="35" t="s">
        <v>390</v>
      </c>
      <c r="G5400" s="35" t="s">
        <v>10</v>
      </c>
      <c r="H5400" s="35" t="s">
        <v>513</v>
      </c>
    </row>
    <row r="5401" spans="1:8">
      <c r="A5401" s="34">
        <v>2084027946</v>
      </c>
      <c r="B5401" s="35" t="s">
        <v>462</v>
      </c>
      <c r="C5401" s="35" t="s">
        <v>405</v>
      </c>
      <c r="D5401" s="35" t="s">
        <v>1221</v>
      </c>
      <c r="E5401" s="35" t="s">
        <v>1228</v>
      </c>
      <c r="F5401" s="35" t="s">
        <v>390</v>
      </c>
      <c r="G5401" s="35" t="s">
        <v>10</v>
      </c>
      <c r="H5401" s="35" t="s">
        <v>420</v>
      </c>
    </row>
    <row r="5402" spans="1:8">
      <c r="A5402" s="34">
        <v>2084027266</v>
      </c>
      <c r="B5402" s="35" t="s">
        <v>462</v>
      </c>
      <c r="C5402" s="35" t="s">
        <v>405</v>
      </c>
      <c r="D5402" s="35" t="s">
        <v>1221</v>
      </c>
      <c r="E5402" s="35" t="s">
        <v>1228</v>
      </c>
      <c r="F5402" s="35" t="s">
        <v>390</v>
      </c>
      <c r="G5402" s="35" t="s">
        <v>10</v>
      </c>
      <c r="H5402" s="35" t="s">
        <v>397</v>
      </c>
    </row>
    <row r="5403" spans="1:8">
      <c r="A5403" s="34">
        <v>2084027399</v>
      </c>
      <c r="B5403" s="35" t="s">
        <v>462</v>
      </c>
      <c r="C5403" s="35" t="s">
        <v>405</v>
      </c>
      <c r="D5403" s="35" t="s">
        <v>1221</v>
      </c>
      <c r="E5403" s="35" t="s">
        <v>1228</v>
      </c>
      <c r="F5403" s="35" t="s">
        <v>390</v>
      </c>
      <c r="G5403" s="35" t="s">
        <v>10</v>
      </c>
      <c r="H5403" s="35" t="s">
        <v>515</v>
      </c>
    </row>
    <row r="5404" spans="1:8">
      <c r="A5404" s="34">
        <v>2084027511</v>
      </c>
      <c r="B5404" s="35" t="s">
        <v>462</v>
      </c>
      <c r="C5404" s="35" t="s">
        <v>405</v>
      </c>
      <c r="D5404" s="35" t="s">
        <v>1221</v>
      </c>
      <c r="E5404" s="35" t="s">
        <v>1228</v>
      </c>
      <c r="F5404" s="35" t="s">
        <v>390</v>
      </c>
      <c r="G5404" s="35" t="s">
        <v>10</v>
      </c>
      <c r="H5404" s="35" t="s">
        <v>421</v>
      </c>
    </row>
    <row r="5405" spans="1:8">
      <c r="A5405" s="34">
        <v>2084027722</v>
      </c>
      <c r="B5405" s="35" t="s">
        <v>462</v>
      </c>
      <c r="C5405" s="35" t="s">
        <v>405</v>
      </c>
      <c r="D5405" s="35" t="s">
        <v>1221</v>
      </c>
      <c r="E5405" s="35" t="s">
        <v>1228</v>
      </c>
      <c r="F5405" s="35" t="s">
        <v>390</v>
      </c>
      <c r="G5405" s="35" t="s">
        <v>10</v>
      </c>
      <c r="H5405" s="35" t="s">
        <v>516</v>
      </c>
    </row>
    <row r="5406" spans="1:8">
      <c r="A5406" s="34">
        <v>2084027239</v>
      </c>
      <c r="B5406" s="35" t="s">
        <v>462</v>
      </c>
      <c r="C5406" s="35" t="s">
        <v>405</v>
      </c>
      <c r="D5406" s="35" t="s">
        <v>1221</v>
      </c>
      <c r="E5406" s="35" t="s">
        <v>1228</v>
      </c>
      <c r="F5406" s="35" t="s">
        <v>390</v>
      </c>
      <c r="G5406" s="35" t="s">
        <v>10</v>
      </c>
      <c r="H5406" s="35" t="s">
        <v>398</v>
      </c>
    </row>
    <row r="5407" spans="1:8">
      <c r="A5407" s="34">
        <v>2084027341</v>
      </c>
      <c r="B5407" s="35" t="s">
        <v>462</v>
      </c>
      <c r="C5407" s="35" t="s">
        <v>405</v>
      </c>
      <c r="D5407" s="35" t="s">
        <v>1221</v>
      </c>
      <c r="E5407" s="35" t="s">
        <v>1228</v>
      </c>
      <c r="F5407" s="35" t="s">
        <v>390</v>
      </c>
      <c r="G5407" s="35" t="s">
        <v>10</v>
      </c>
      <c r="H5407" s="35" t="s">
        <v>518</v>
      </c>
    </row>
    <row r="5408" spans="1:8">
      <c r="A5408" s="34">
        <v>2084027549</v>
      </c>
      <c r="B5408" s="35" t="s">
        <v>462</v>
      </c>
      <c r="C5408" s="35" t="s">
        <v>405</v>
      </c>
      <c r="D5408" s="35" t="s">
        <v>1221</v>
      </c>
      <c r="E5408" s="35" t="s">
        <v>1228</v>
      </c>
      <c r="F5408" s="35" t="s">
        <v>390</v>
      </c>
      <c r="G5408" s="35" t="s">
        <v>10</v>
      </c>
      <c r="H5408" s="35" t="s">
        <v>422</v>
      </c>
    </row>
    <row r="5409" spans="1:8">
      <c r="A5409" s="34">
        <v>2084027772</v>
      </c>
      <c r="B5409" s="35" t="s">
        <v>462</v>
      </c>
      <c r="C5409" s="35" t="s">
        <v>405</v>
      </c>
      <c r="D5409" s="35" t="s">
        <v>1221</v>
      </c>
      <c r="E5409" s="35" t="s">
        <v>1228</v>
      </c>
      <c r="F5409" s="35" t="s">
        <v>390</v>
      </c>
      <c r="G5409" s="35" t="s">
        <v>10</v>
      </c>
      <c r="H5409" s="35" t="s">
        <v>519</v>
      </c>
    </row>
    <row r="5410" spans="1:8">
      <c r="A5410" s="34">
        <v>2084028010</v>
      </c>
      <c r="B5410" s="35" t="s">
        <v>462</v>
      </c>
      <c r="C5410" s="35" t="s">
        <v>405</v>
      </c>
      <c r="D5410" s="35" t="s">
        <v>1221</v>
      </c>
      <c r="E5410" s="35" t="s">
        <v>1228</v>
      </c>
      <c r="F5410" s="35" t="s">
        <v>390</v>
      </c>
      <c r="G5410" s="35" t="s">
        <v>379</v>
      </c>
      <c r="H5410" s="35" t="s">
        <v>520</v>
      </c>
    </row>
    <row r="5411" spans="1:8">
      <c r="A5411" s="34">
        <v>2084028083</v>
      </c>
      <c r="B5411" s="35" t="s">
        <v>462</v>
      </c>
      <c r="C5411" s="35" t="s">
        <v>405</v>
      </c>
      <c r="D5411" s="35" t="s">
        <v>1221</v>
      </c>
      <c r="E5411" s="35" t="s">
        <v>1228</v>
      </c>
      <c r="F5411" s="35" t="s">
        <v>390</v>
      </c>
      <c r="G5411" s="35" t="s">
        <v>379</v>
      </c>
      <c r="H5411" s="35" t="s">
        <v>521</v>
      </c>
    </row>
    <row r="5412" spans="1:8">
      <c r="A5412" s="34">
        <v>2084028183</v>
      </c>
      <c r="B5412" s="35" t="s">
        <v>462</v>
      </c>
      <c r="C5412" s="35" t="s">
        <v>405</v>
      </c>
      <c r="D5412" s="35" t="s">
        <v>1221</v>
      </c>
      <c r="E5412" s="35" t="s">
        <v>1228</v>
      </c>
      <c r="F5412" s="35" t="s">
        <v>390</v>
      </c>
      <c r="G5412" s="35" t="s">
        <v>379</v>
      </c>
      <c r="H5412" s="35" t="s">
        <v>522</v>
      </c>
    </row>
    <row r="5413" spans="1:8">
      <c r="A5413" s="34">
        <v>2084028423</v>
      </c>
      <c r="B5413" s="35" t="s">
        <v>462</v>
      </c>
      <c r="C5413" s="35" t="s">
        <v>405</v>
      </c>
      <c r="D5413" s="35" t="s">
        <v>1221</v>
      </c>
      <c r="E5413" s="35" t="s">
        <v>1228</v>
      </c>
      <c r="F5413" s="35" t="s">
        <v>390</v>
      </c>
      <c r="G5413" s="35" t="s">
        <v>379</v>
      </c>
      <c r="H5413" s="35" t="s">
        <v>523</v>
      </c>
    </row>
    <row r="5414" spans="1:8">
      <c r="A5414" s="34">
        <v>2084028122</v>
      </c>
      <c r="B5414" s="35" t="s">
        <v>462</v>
      </c>
      <c r="C5414" s="35" t="s">
        <v>405</v>
      </c>
      <c r="D5414" s="35" t="s">
        <v>1221</v>
      </c>
      <c r="E5414" s="35" t="s">
        <v>1228</v>
      </c>
      <c r="F5414" s="35" t="s">
        <v>390</v>
      </c>
      <c r="G5414" s="35" t="s">
        <v>379</v>
      </c>
      <c r="H5414" s="35" t="s">
        <v>524</v>
      </c>
    </row>
    <row r="5415" spans="1:8">
      <c r="A5415" s="34">
        <v>2084028288</v>
      </c>
      <c r="B5415" s="35" t="s">
        <v>462</v>
      </c>
      <c r="C5415" s="35" t="s">
        <v>405</v>
      </c>
      <c r="D5415" s="35" t="s">
        <v>1221</v>
      </c>
      <c r="E5415" s="35" t="s">
        <v>1228</v>
      </c>
      <c r="F5415" s="35" t="s">
        <v>390</v>
      </c>
      <c r="G5415" s="35" t="s">
        <v>379</v>
      </c>
      <c r="H5415" s="35" t="s">
        <v>525</v>
      </c>
    </row>
    <row r="5416" spans="1:8">
      <c r="A5416" s="34">
        <v>2084028445</v>
      </c>
      <c r="B5416" s="35" t="s">
        <v>462</v>
      </c>
      <c r="C5416" s="35" t="s">
        <v>405</v>
      </c>
      <c r="D5416" s="35" t="s">
        <v>1221</v>
      </c>
      <c r="E5416" s="35" t="s">
        <v>1228</v>
      </c>
      <c r="F5416" s="35" t="s">
        <v>390</v>
      </c>
      <c r="G5416" s="35" t="s">
        <v>379</v>
      </c>
      <c r="H5416" s="35" t="s">
        <v>526</v>
      </c>
    </row>
    <row r="5417" spans="1:8">
      <c r="A5417" s="34">
        <v>2084028313</v>
      </c>
      <c r="B5417" s="35" t="s">
        <v>462</v>
      </c>
      <c r="C5417" s="35" t="s">
        <v>405</v>
      </c>
      <c r="D5417" s="35" t="s">
        <v>1221</v>
      </c>
      <c r="E5417" s="35" t="s">
        <v>1228</v>
      </c>
      <c r="F5417" s="35" t="s">
        <v>390</v>
      </c>
      <c r="G5417" s="35" t="s">
        <v>379</v>
      </c>
      <c r="H5417" s="35" t="s">
        <v>527</v>
      </c>
    </row>
    <row r="5418" spans="1:8">
      <c r="A5418" s="34">
        <v>2084028525</v>
      </c>
      <c r="B5418" s="35" t="s">
        <v>462</v>
      </c>
      <c r="C5418" s="35" t="s">
        <v>405</v>
      </c>
      <c r="D5418" s="35" t="s">
        <v>1221</v>
      </c>
      <c r="E5418" s="35" t="s">
        <v>1228</v>
      </c>
      <c r="F5418" s="35" t="s">
        <v>390</v>
      </c>
      <c r="G5418" s="35" t="s">
        <v>379</v>
      </c>
      <c r="H5418" s="35" t="s">
        <v>528</v>
      </c>
    </row>
    <row r="5419" spans="1:8">
      <c r="A5419" s="34">
        <v>2084028351</v>
      </c>
      <c r="B5419" s="35" t="s">
        <v>462</v>
      </c>
      <c r="C5419" s="35" t="s">
        <v>405</v>
      </c>
      <c r="D5419" s="35" t="s">
        <v>1221</v>
      </c>
      <c r="E5419" s="35" t="s">
        <v>1228</v>
      </c>
      <c r="F5419" s="35" t="s">
        <v>390</v>
      </c>
      <c r="G5419" s="35" t="s">
        <v>379</v>
      </c>
      <c r="H5419" s="35" t="s">
        <v>529</v>
      </c>
    </row>
    <row r="5420" spans="1:8">
      <c r="A5420" s="34">
        <v>2084058598</v>
      </c>
      <c r="B5420" s="35" t="s">
        <v>462</v>
      </c>
      <c r="C5420" s="35" t="s">
        <v>405</v>
      </c>
      <c r="D5420" s="35" t="s">
        <v>1221</v>
      </c>
      <c r="E5420" s="35" t="s">
        <v>1228</v>
      </c>
      <c r="F5420" s="35" t="s">
        <v>390</v>
      </c>
      <c r="G5420" s="35" t="s">
        <v>379</v>
      </c>
      <c r="H5420" s="35" t="s">
        <v>335</v>
      </c>
    </row>
    <row r="5421" spans="1:8">
      <c r="A5421" s="34">
        <v>2084028565</v>
      </c>
      <c r="B5421" s="35" t="s">
        <v>462</v>
      </c>
      <c r="C5421" s="35" t="s">
        <v>405</v>
      </c>
      <c r="D5421" s="35" t="s">
        <v>1221</v>
      </c>
      <c r="E5421" s="35" t="s">
        <v>1228</v>
      </c>
      <c r="F5421" s="35" t="s">
        <v>390</v>
      </c>
      <c r="G5421" s="35" t="s">
        <v>530</v>
      </c>
      <c r="H5421" s="35" t="s">
        <v>531</v>
      </c>
    </row>
    <row r="5422" spans="1:8">
      <c r="A5422" s="34">
        <v>2084028603</v>
      </c>
      <c r="B5422" s="35" t="s">
        <v>462</v>
      </c>
      <c r="C5422" s="35" t="s">
        <v>405</v>
      </c>
      <c r="D5422" s="35" t="s">
        <v>1221</v>
      </c>
      <c r="E5422" s="35" t="s">
        <v>1228</v>
      </c>
      <c r="F5422" s="35" t="s">
        <v>390</v>
      </c>
      <c r="G5422" s="35" t="s">
        <v>530</v>
      </c>
      <c r="H5422" s="35" t="s">
        <v>532</v>
      </c>
    </row>
    <row r="5423" spans="1:8">
      <c r="A5423" s="34">
        <v>2084051163</v>
      </c>
      <c r="B5423" s="35" t="s">
        <v>462</v>
      </c>
      <c r="C5423" s="35" t="s">
        <v>405</v>
      </c>
      <c r="D5423" s="35" t="s">
        <v>1221</v>
      </c>
      <c r="E5423" s="35" t="s">
        <v>1228</v>
      </c>
      <c r="F5423" s="35" t="s">
        <v>390</v>
      </c>
      <c r="G5423" s="35" t="s">
        <v>335</v>
      </c>
    </row>
    <row r="5424" spans="1:8">
      <c r="A5424" s="34">
        <v>2084030691</v>
      </c>
      <c r="B5424" s="35" t="s">
        <v>462</v>
      </c>
      <c r="C5424" s="35" t="s">
        <v>405</v>
      </c>
      <c r="D5424" s="35" t="s">
        <v>1221</v>
      </c>
      <c r="E5424" s="35" t="s">
        <v>1228</v>
      </c>
      <c r="F5424" s="35" t="s">
        <v>353</v>
      </c>
      <c r="G5424" s="35" t="s">
        <v>481</v>
      </c>
    </row>
    <row r="5425" spans="1:8">
      <c r="A5425" s="34">
        <v>2084031629</v>
      </c>
      <c r="B5425" s="35" t="s">
        <v>462</v>
      </c>
      <c r="C5425" s="35" t="s">
        <v>405</v>
      </c>
      <c r="D5425" s="35" t="s">
        <v>1221</v>
      </c>
      <c r="E5425" s="35" t="s">
        <v>1228</v>
      </c>
      <c r="F5425" s="35" t="s">
        <v>353</v>
      </c>
      <c r="G5425" s="35" t="s">
        <v>483</v>
      </c>
    </row>
    <row r="5426" spans="1:8">
      <c r="A5426" s="34">
        <v>2084031464</v>
      </c>
      <c r="B5426" s="35" t="s">
        <v>462</v>
      </c>
      <c r="C5426" s="35" t="s">
        <v>405</v>
      </c>
      <c r="D5426" s="35" t="s">
        <v>1221</v>
      </c>
      <c r="E5426" s="35" t="s">
        <v>1228</v>
      </c>
      <c r="F5426" s="35" t="s">
        <v>353</v>
      </c>
      <c r="G5426" s="35" t="s">
        <v>482</v>
      </c>
    </row>
    <row r="5427" spans="1:8">
      <c r="A5427" s="34">
        <v>2084030240</v>
      </c>
      <c r="B5427" s="35" t="s">
        <v>462</v>
      </c>
      <c r="C5427" s="35" t="s">
        <v>405</v>
      </c>
      <c r="D5427" s="35" t="s">
        <v>1221</v>
      </c>
      <c r="E5427" s="35" t="s">
        <v>1228</v>
      </c>
      <c r="F5427" s="35" t="s">
        <v>353</v>
      </c>
      <c r="G5427" s="35" t="s">
        <v>493</v>
      </c>
    </row>
    <row r="5428" spans="1:8">
      <c r="A5428" s="34">
        <v>2084031375</v>
      </c>
      <c r="B5428" s="35" t="s">
        <v>462</v>
      </c>
      <c r="C5428" s="35" t="s">
        <v>405</v>
      </c>
      <c r="D5428" s="35" t="s">
        <v>1221</v>
      </c>
      <c r="E5428" s="35" t="s">
        <v>1228</v>
      </c>
      <c r="F5428" s="35" t="s">
        <v>353</v>
      </c>
      <c r="G5428" s="35" t="s">
        <v>494</v>
      </c>
    </row>
    <row r="5429" spans="1:8">
      <c r="A5429" s="34">
        <v>2084051164</v>
      </c>
      <c r="B5429" s="35" t="s">
        <v>462</v>
      </c>
      <c r="C5429" s="35" t="s">
        <v>405</v>
      </c>
      <c r="D5429" s="35" t="s">
        <v>1221</v>
      </c>
      <c r="E5429" s="35" t="s">
        <v>1228</v>
      </c>
      <c r="F5429" s="35" t="s">
        <v>353</v>
      </c>
      <c r="G5429" s="35" t="s">
        <v>403</v>
      </c>
    </row>
    <row r="5430" spans="1:8">
      <c r="A5430" s="34">
        <v>2084031523</v>
      </c>
      <c r="B5430" s="35" t="s">
        <v>462</v>
      </c>
      <c r="C5430" s="35" t="s">
        <v>405</v>
      </c>
      <c r="D5430" s="35" t="s">
        <v>1221</v>
      </c>
      <c r="E5430" s="35" t="s">
        <v>1228</v>
      </c>
      <c r="F5430" s="35" t="s">
        <v>353</v>
      </c>
      <c r="G5430" s="35" t="s">
        <v>397</v>
      </c>
    </row>
    <row r="5431" spans="1:8">
      <c r="A5431" s="34">
        <v>2084030386</v>
      </c>
      <c r="B5431" s="35" t="s">
        <v>462</v>
      </c>
      <c r="C5431" s="35" t="s">
        <v>405</v>
      </c>
      <c r="D5431" s="35" t="s">
        <v>1221</v>
      </c>
      <c r="E5431" s="35" t="s">
        <v>1228</v>
      </c>
      <c r="F5431" s="35" t="s">
        <v>353</v>
      </c>
      <c r="G5431" s="35" t="s">
        <v>421</v>
      </c>
    </row>
    <row r="5432" spans="1:8">
      <c r="A5432" s="34">
        <v>2084224750</v>
      </c>
      <c r="B5432" s="35" t="s">
        <v>462</v>
      </c>
      <c r="C5432" s="35" t="s">
        <v>405</v>
      </c>
      <c r="D5432" s="35" t="s">
        <v>1221</v>
      </c>
      <c r="E5432" s="35" t="s">
        <v>1228</v>
      </c>
      <c r="F5432" s="35" t="s">
        <v>353</v>
      </c>
      <c r="G5432" s="35" t="s">
        <v>378</v>
      </c>
      <c r="H5432" s="35" t="s">
        <v>374</v>
      </c>
    </row>
    <row r="5433" spans="1:8">
      <c r="A5433" s="34">
        <v>2084224751</v>
      </c>
      <c r="B5433" s="35" t="s">
        <v>462</v>
      </c>
      <c r="C5433" s="35" t="s">
        <v>405</v>
      </c>
      <c r="D5433" s="35" t="s">
        <v>1221</v>
      </c>
      <c r="E5433" s="35" t="s">
        <v>1228</v>
      </c>
      <c r="F5433" s="35" t="s">
        <v>353</v>
      </c>
      <c r="G5433" s="35" t="s">
        <v>378</v>
      </c>
      <c r="H5433" s="35" t="s">
        <v>375</v>
      </c>
    </row>
    <row r="5434" spans="1:8">
      <c r="A5434" s="34">
        <v>2084224752</v>
      </c>
      <c r="B5434" s="35" t="s">
        <v>462</v>
      </c>
      <c r="C5434" s="35" t="s">
        <v>405</v>
      </c>
      <c r="D5434" s="35" t="s">
        <v>1221</v>
      </c>
      <c r="E5434" s="35" t="s">
        <v>1228</v>
      </c>
      <c r="F5434" s="35" t="s">
        <v>353</v>
      </c>
      <c r="G5434" s="35" t="s">
        <v>378</v>
      </c>
      <c r="H5434" s="35" t="s">
        <v>393</v>
      </c>
    </row>
    <row r="5435" spans="1:8">
      <c r="A5435" s="34">
        <v>2084030325</v>
      </c>
      <c r="B5435" s="35" t="s">
        <v>462</v>
      </c>
      <c r="C5435" s="35" t="s">
        <v>405</v>
      </c>
      <c r="D5435" s="35" t="s">
        <v>1221</v>
      </c>
      <c r="E5435" s="35" t="s">
        <v>1228</v>
      </c>
      <c r="F5435" s="35" t="s">
        <v>353</v>
      </c>
      <c r="G5435" s="35" t="s">
        <v>422</v>
      </c>
    </row>
    <row r="5436" spans="1:8">
      <c r="A5436" s="34">
        <v>2084051165</v>
      </c>
      <c r="B5436" s="35" t="s">
        <v>462</v>
      </c>
      <c r="C5436" s="35" t="s">
        <v>405</v>
      </c>
      <c r="D5436" s="35" t="s">
        <v>1221</v>
      </c>
      <c r="E5436" s="35" t="s">
        <v>1228</v>
      </c>
      <c r="F5436" s="35" t="s">
        <v>353</v>
      </c>
      <c r="G5436" s="35" t="s">
        <v>335</v>
      </c>
    </row>
    <row r="5437" spans="1:8">
      <c r="A5437" s="34">
        <v>2084052249</v>
      </c>
      <c r="B5437" s="35" t="s">
        <v>462</v>
      </c>
      <c r="C5437" s="35" t="s">
        <v>405</v>
      </c>
      <c r="D5437" s="35" t="s">
        <v>1221</v>
      </c>
      <c r="E5437" s="35" t="s">
        <v>1228</v>
      </c>
      <c r="F5437" s="35" t="s">
        <v>442</v>
      </c>
      <c r="G5437" s="35" t="s">
        <v>335</v>
      </c>
    </row>
    <row r="5438" spans="1:8">
      <c r="A5438" s="34">
        <v>2084048746</v>
      </c>
      <c r="B5438" s="35" t="s">
        <v>462</v>
      </c>
      <c r="C5438" s="35" t="s">
        <v>405</v>
      </c>
      <c r="D5438" s="35" t="s">
        <v>1221</v>
      </c>
      <c r="E5438" s="35" t="s">
        <v>1228</v>
      </c>
      <c r="F5438" s="35" t="s">
        <v>335</v>
      </c>
    </row>
    <row r="5439" spans="1:8">
      <c r="A5439" s="34">
        <v>2084230015</v>
      </c>
      <c r="B5439" s="35" t="s">
        <v>462</v>
      </c>
      <c r="C5439" s="35" t="s">
        <v>405</v>
      </c>
      <c r="D5439" s="35" t="s">
        <v>1221</v>
      </c>
      <c r="E5439" s="35" t="s">
        <v>1229</v>
      </c>
    </row>
    <row r="5440" spans="1:8">
      <c r="A5440" s="34">
        <v>2084050280</v>
      </c>
      <c r="B5440" s="35" t="s">
        <v>462</v>
      </c>
      <c r="C5440" s="35" t="s">
        <v>405</v>
      </c>
      <c r="D5440" s="35" t="s">
        <v>1221</v>
      </c>
      <c r="E5440" s="35" t="s">
        <v>1230</v>
      </c>
    </row>
    <row r="5441" spans="1:7">
      <c r="A5441" s="34">
        <v>2084282456</v>
      </c>
      <c r="B5441" s="35" t="s">
        <v>462</v>
      </c>
      <c r="C5441" s="35" t="s">
        <v>405</v>
      </c>
      <c r="D5441" s="35" t="s">
        <v>1221</v>
      </c>
      <c r="E5441" s="35" t="s">
        <v>1231</v>
      </c>
    </row>
    <row r="5442" spans="1:7">
      <c r="A5442" s="34">
        <v>2084054532</v>
      </c>
      <c r="B5442" s="35" t="s">
        <v>462</v>
      </c>
      <c r="C5442" s="35" t="s">
        <v>405</v>
      </c>
      <c r="D5442" s="35" t="s">
        <v>1221</v>
      </c>
      <c r="E5442" s="35" t="s">
        <v>1232</v>
      </c>
      <c r="F5442" s="35" t="s">
        <v>367</v>
      </c>
    </row>
    <row r="5443" spans="1:7">
      <c r="A5443" s="34">
        <v>2084054534</v>
      </c>
      <c r="B5443" s="35" t="s">
        <v>462</v>
      </c>
      <c r="C5443" s="35" t="s">
        <v>405</v>
      </c>
      <c r="D5443" s="35" t="s">
        <v>1221</v>
      </c>
      <c r="E5443" s="35" t="s">
        <v>1232</v>
      </c>
      <c r="F5443" s="35" t="s">
        <v>368</v>
      </c>
      <c r="G5443" s="35" t="s">
        <v>481</v>
      </c>
    </row>
    <row r="5444" spans="1:7">
      <c r="A5444" s="34">
        <v>2084054535</v>
      </c>
      <c r="B5444" s="35" t="s">
        <v>462</v>
      </c>
      <c r="C5444" s="35" t="s">
        <v>405</v>
      </c>
      <c r="D5444" s="35" t="s">
        <v>1221</v>
      </c>
      <c r="E5444" s="35" t="s">
        <v>1232</v>
      </c>
      <c r="F5444" s="35" t="s">
        <v>368</v>
      </c>
      <c r="G5444" s="35" t="s">
        <v>335</v>
      </c>
    </row>
    <row r="5445" spans="1:7">
      <c r="A5445" s="34">
        <v>2084054537</v>
      </c>
      <c r="B5445" s="35" t="s">
        <v>462</v>
      </c>
      <c r="C5445" s="35" t="s">
        <v>405</v>
      </c>
      <c r="D5445" s="35" t="s">
        <v>1221</v>
      </c>
      <c r="E5445" s="35" t="s">
        <v>1232</v>
      </c>
      <c r="F5445" s="35" t="s">
        <v>10</v>
      </c>
      <c r="G5445" s="35" t="s">
        <v>483</v>
      </c>
    </row>
    <row r="5446" spans="1:7">
      <c r="A5446" s="34">
        <v>2084054539</v>
      </c>
      <c r="B5446" s="35" t="s">
        <v>462</v>
      </c>
      <c r="C5446" s="35" t="s">
        <v>405</v>
      </c>
      <c r="D5446" s="35" t="s">
        <v>1221</v>
      </c>
      <c r="E5446" s="35" t="s">
        <v>1232</v>
      </c>
      <c r="F5446" s="35" t="s">
        <v>10</v>
      </c>
      <c r="G5446" s="35" t="s">
        <v>397</v>
      </c>
    </row>
    <row r="5447" spans="1:7">
      <c r="A5447" s="34">
        <v>2084054538</v>
      </c>
      <c r="B5447" s="35" t="s">
        <v>462</v>
      </c>
      <c r="C5447" s="35" t="s">
        <v>405</v>
      </c>
      <c r="D5447" s="35" t="s">
        <v>1221</v>
      </c>
      <c r="E5447" s="35" t="s">
        <v>1232</v>
      </c>
      <c r="F5447" s="35" t="s">
        <v>10</v>
      </c>
      <c r="G5447" s="35" t="s">
        <v>421</v>
      </c>
    </row>
    <row r="5448" spans="1:7">
      <c r="A5448" s="34">
        <v>2084054541</v>
      </c>
      <c r="B5448" s="35" t="s">
        <v>462</v>
      </c>
      <c r="C5448" s="35" t="s">
        <v>405</v>
      </c>
      <c r="D5448" s="35" t="s">
        <v>1221</v>
      </c>
      <c r="E5448" s="35" t="s">
        <v>1232</v>
      </c>
      <c r="F5448" s="35" t="s">
        <v>10</v>
      </c>
      <c r="G5448" s="35" t="s">
        <v>398</v>
      </c>
    </row>
    <row r="5449" spans="1:7">
      <c r="A5449" s="34">
        <v>2084054540</v>
      </c>
      <c r="B5449" s="35" t="s">
        <v>462</v>
      </c>
      <c r="C5449" s="35" t="s">
        <v>405</v>
      </c>
      <c r="D5449" s="35" t="s">
        <v>1221</v>
      </c>
      <c r="E5449" s="35" t="s">
        <v>1232</v>
      </c>
      <c r="F5449" s="35" t="s">
        <v>10</v>
      </c>
      <c r="G5449" s="35" t="s">
        <v>422</v>
      </c>
    </row>
    <row r="5450" spans="1:7">
      <c r="A5450" s="34">
        <v>2084054542</v>
      </c>
      <c r="B5450" s="35" t="s">
        <v>462</v>
      </c>
      <c r="C5450" s="35" t="s">
        <v>405</v>
      </c>
      <c r="D5450" s="35" t="s">
        <v>1221</v>
      </c>
      <c r="E5450" s="35" t="s">
        <v>1232</v>
      </c>
      <c r="F5450" s="35" t="s">
        <v>10</v>
      </c>
      <c r="G5450" s="35" t="s">
        <v>335</v>
      </c>
    </row>
    <row r="5451" spans="1:7">
      <c r="A5451" s="34">
        <v>2084054544</v>
      </c>
      <c r="B5451" s="35" t="s">
        <v>462</v>
      </c>
      <c r="C5451" s="35" t="s">
        <v>405</v>
      </c>
      <c r="D5451" s="35" t="s">
        <v>1221</v>
      </c>
      <c r="E5451" s="35" t="s">
        <v>1232</v>
      </c>
      <c r="F5451" s="35" t="s">
        <v>379</v>
      </c>
      <c r="G5451" s="35" t="s">
        <v>476</v>
      </c>
    </row>
    <row r="5452" spans="1:7">
      <c r="A5452" s="34">
        <v>2084054545</v>
      </c>
      <c r="B5452" s="35" t="s">
        <v>462</v>
      </c>
      <c r="C5452" s="35" t="s">
        <v>405</v>
      </c>
      <c r="D5452" s="35" t="s">
        <v>1221</v>
      </c>
      <c r="E5452" s="35" t="s">
        <v>1232</v>
      </c>
      <c r="F5452" s="35" t="s">
        <v>379</v>
      </c>
      <c r="G5452" s="35" t="s">
        <v>335</v>
      </c>
    </row>
    <row r="5453" spans="1:7">
      <c r="A5453" s="34">
        <v>2084061676</v>
      </c>
      <c r="B5453" s="35" t="s">
        <v>462</v>
      </c>
      <c r="C5453" s="35" t="s">
        <v>405</v>
      </c>
      <c r="D5453" s="35" t="s">
        <v>1221</v>
      </c>
      <c r="E5453" s="35" t="s">
        <v>1232</v>
      </c>
      <c r="F5453" s="35" t="s">
        <v>478</v>
      </c>
    </row>
    <row r="5454" spans="1:7">
      <c r="A5454" s="34">
        <v>2084054546</v>
      </c>
      <c r="B5454" s="35" t="s">
        <v>462</v>
      </c>
      <c r="C5454" s="35" t="s">
        <v>405</v>
      </c>
      <c r="D5454" s="35" t="s">
        <v>1221</v>
      </c>
      <c r="E5454" s="35" t="s">
        <v>1232</v>
      </c>
      <c r="F5454" s="35" t="s">
        <v>335</v>
      </c>
    </row>
    <row r="5455" spans="1:7">
      <c r="A5455" s="34">
        <v>2084230012</v>
      </c>
      <c r="B5455" s="35" t="s">
        <v>462</v>
      </c>
      <c r="C5455" s="35" t="s">
        <v>405</v>
      </c>
      <c r="D5455" s="35" t="s">
        <v>1221</v>
      </c>
      <c r="E5455" s="35" t="s">
        <v>1233</v>
      </c>
      <c r="F5455" s="35" t="s">
        <v>1234</v>
      </c>
    </row>
    <row r="5456" spans="1:7">
      <c r="A5456" s="34">
        <v>2084230013</v>
      </c>
      <c r="B5456" s="35" t="s">
        <v>462</v>
      </c>
      <c r="C5456" s="35" t="s">
        <v>405</v>
      </c>
      <c r="D5456" s="35" t="s">
        <v>1221</v>
      </c>
      <c r="E5456" s="35" t="s">
        <v>1233</v>
      </c>
      <c r="F5456" s="35" t="s">
        <v>335</v>
      </c>
    </row>
    <row r="5457" spans="1:7">
      <c r="A5457" s="34">
        <v>2084283994</v>
      </c>
      <c r="B5457" s="35" t="s">
        <v>462</v>
      </c>
      <c r="C5457" s="35" t="s">
        <v>405</v>
      </c>
      <c r="D5457" s="35" t="s">
        <v>1221</v>
      </c>
      <c r="E5457" s="35" t="s">
        <v>1235</v>
      </c>
      <c r="F5457" s="35" t="s">
        <v>407</v>
      </c>
    </row>
    <row r="5458" spans="1:7">
      <c r="A5458" s="34">
        <v>2084030690</v>
      </c>
      <c r="B5458" s="35" t="s">
        <v>462</v>
      </c>
      <c r="C5458" s="35" t="s">
        <v>405</v>
      </c>
      <c r="D5458" s="35" t="s">
        <v>1221</v>
      </c>
      <c r="E5458" s="35" t="s">
        <v>1235</v>
      </c>
      <c r="F5458" s="35" t="s">
        <v>353</v>
      </c>
      <c r="G5458" s="35" t="s">
        <v>481</v>
      </c>
    </row>
    <row r="5459" spans="1:7">
      <c r="A5459" s="34">
        <v>2084031628</v>
      </c>
      <c r="B5459" s="35" t="s">
        <v>462</v>
      </c>
      <c r="C5459" s="35" t="s">
        <v>405</v>
      </c>
      <c r="D5459" s="35" t="s">
        <v>1221</v>
      </c>
      <c r="E5459" s="35" t="s">
        <v>1235</v>
      </c>
      <c r="F5459" s="35" t="s">
        <v>353</v>
      </c>
      <c r="G5459" s="35" t="s">
        <v>483</v>
      </c>
    </row>
    <row r="5460" spans="1:7">
      <c r="A5460" s="34">
        <v>2084031463</v>
      </c>
      <c r="B5460" s="35" t="s">
        <v>462</v>
      </c>
      <c r="C5460" s="35" t="s">
        <v>405</v>
      </c>
      <c r="D5460" s="35" t="s">
        <v>1221</v>
      </c>
      <c r="E5460" s="35" t="s">
        <v>1235</v>
      </c>
      <c r="F5460" s="35" t="s">
        <v>353</v>
      </c>
      <c r="G5460" s="35" t="s">
        <v>482</v>
      </c>
    </row>
    <row r="5461" spans="1:7">
      <c r="A5461" s="34">
        <v>2084030239</v>
      </c>
      <c r="B5461" s="35" t="s">
        <v>462</v>
      </c>
      <c r="C5461" s="35" t="s">
        <v>405</v>
      </c>
      <c r="D5461" s="35" t="s">
        <v>1221</v>
      </c>
      <c r="E5461" s="35" t="s">
        <v>1235</v>
      </c>
      <c r="F5461" s="35" t="s">
        <v>353</v>
      </c>
      <c r="G5461" s="35" t="s">
        <v>493</v>
      </c>
    </row>
    <row r="5462" spans="1:7">
      <c r="A5462" s="34">
        <v>2084031374</v>
      </c>
      <c r="B5462" s="35" t="s">
        <v>462</v>
      </c>
      <c r="C5462" s="35" t="s">
        <v>405</v>
      </c>
      <c r="D5462" s="35" t="s">
        <v>1221</v>
      </c>
      <c r="E5462" s="35" t="s">
        <v>1235</v>
      </c>
      <c r="F5462" s="35" t="s">
        <v>353</v>
      </c>
      <c r="G5462" s="35" t="s">
        <v>494</v>
      </c>
    </row>
    <row r="5463" spans="1:7">
      <c r="A5463" s="34">
        <v>2084051171</v>
      </c>
      <c r="B5463" s="35" t="s">
        <v>462</v>
      </c>
      <c r="C5463" s="35" t="s">
        <v>405</v>
      </c>
      <c r="D5463" s="35" t="s">
        <v>1221</v>
      </c>
      <c r="E5463" s="35" t="s">
        <v>1235</v>
      </c>
      <c r="F5463" s="35" t="s">
        <v>353</v>
      </c>
      <c r="G5463" s="35" t="s">
        <v>403</v>
      </c>
    </row>
    <row r="5464" spans="1:7">
      <c r="A5464" s="34">
        <v>2084031522</v>
      </c>
      <c r="B5464" s="35" t="s">
        <v>462</v>
      </c>
      <c r="C5464" s="35" t="s">
        <v>405</v>
      </c>
      <c r="D5464" s="35" t="s">
        <v>1221</v>
      </c>
      <c r="E5464" s="35" t="s">
        <v>1235</v>
      </c>
      <c r="F5464" s="35" t="s">
        <v>353</v>
      </c>
      <c r="G5464" s="35" t="s">
        <v>397</v>
      </c>
    </row>
    <row r="5465" spans="1:7">
      <c r="A5465" s="34">
        <v>2084030385</v>
      </c>
      <c r="B5465" s="35" t="s">
        <v>462</v>
      </c>
      <c r="C5465" s="35" t="s">
        <v>405</v>
      </c>
      <c r="D5465" s="35" t="s">
        <v>1221</v>
      </c>
      <c r="E5465" s="35" t="s">
        <v>1235</v>
      </c>
      <c r="F5465" s="35" t="s">
        <v>353</v>
      </c>
      <c r="G5465" s="35" t="s">
        <v>421</v>
      </c>
    </row>
    <row r="5466" spans="1:7">
      <c r="A5466" s="34">
        <v>2084031550</v>
      </c>
      <c r="B5466" s="35" t="s">
        <v>462</v>
      </c>
      <c r="C5466" s="35" t="s">
        <v>405</v>
      </c>
      <c r="D5466" s="35" t="s">
        <v>1221</v>
      </c>
      <c r="E5466" s="35" t="s">
        <v>1235</v>
      </c>
      <c r="F5466" s="35" t="s">
        <v>353</v>
      </c>
      <c r="G5466" s="35" t="s">
        <v>398</v>
      </c>
    </row>
    <row r="5467" spans="1:7">
      <c r="A5467" s="34">
        <v>2084030369</v>
      </c>
      <c r="B5467" s="35" t="s">
        <v>462</v>
      </c>
      <c r="C5467" s="35" t="s">
        <v>405</v>
      </c>
      <c r="D5467" s="35" t="s">
        <v>1221</v>
      </c>
      <c r="E5467" s="35" t="s">
        <v>1235</v>
      </c>
      <c r="F5467" s="35" t="s">
        <v>353</v>
      </c>
      <c r="G5467" s="35" t="s">
        <v>422</v>
      </c>
    </row>
    <row r="5468" spans="1:7">
      <c r="A5468" s="34">
        <v>2084051172</v>
      </c>
      <c r="B5468" s="35" t="s">
        <v>462</v>
      </c>
      <c r="C5468" s="35" t="s">
        <v>405</v>
      </c>
      <c r="D5468" s="35" t="s">
        <v>1221</v>
      </c>
      <c r="E5468" s="35" t="s">
        <v>1235</v>
      </c>
      <c r="F5468" s="35" t="s">
        <v>353</v>
      </c>
      <c r="G5468" s="35" t="s">
        <v>335</v>
      </c>
    </row>
    <row r="5469" spans="1:7">
      <c r="A5469" s="34">
        <v>2084048751</v>
      </c>
      <c r="B5469" s="35" t="s">
        <v>462</v>
      </c>
      <c r="C5469" s="35" t="s">
        <v>405</v>
      </c>
      <c r="D5469" s="35" t="s">
        <v>1221</v>
      </c>
      <c r="E5469" s="35" t="s">
        <v>1235</v>
      </c>
      <c r="F5469" s="35" t="s">
        <v>335</v>
      </c>
    </row>
    <row r="5470" spans="1:7">
      <c r="A5470" s="34">
        <v>2084028206</v>
      </c>
      <c r="B5470" s="35" t="s">
        <v>462</v>
      </c>
      <c r="C5470" s="35" t="s">
        <v>405</v>
      </c>
      <c r="D5470" s="35" t="s">
        <v>1221</v>
      </c>
      <c r="E5470" s="35" t="s">
        <v>1236</v>
      </c>
      <c r="F5470" s="35" t="s">
        <v>367</v>
      </c>
    </row>
    <row r="5471" spans="1:7">
      <c r="A5471" s="34">
        <v>2084028755</v>
      </c>
      <c r="B5471" s="35" t="s">
        <v>462</v>
      </c>
      <c r="C5471" s="35" t="s">
        <v>405</v>
      </c>
      <c r="D5471" s="35" t="s">
        <v>1221</v>
      </c>
      <c r="E5471" s="35" t="s">
        <v>1236</v>
      </c>
      <c r="F5471" s="35" t="s">
        <v>368</v>
      </c>
      <c r="G5471" s="35" t="s">
        <v>508</v>
      </c>
    </row>
    <row r="5472" spans="1:7">
      <c r="A5472" s="34">
        <v>2084029338</v>
      </c>
      <c r="B5472" s="35" t="s">
        <v>462</v>
      </c>
      <c r="C5472" s="35" t="s">
        <v>405</v>
      </c>
      <c r="D5472" s="35" t="s">
        <v>1221</v>
      </c>
      <c r="E5472" s="35" t="s">
        <v>1236</v>
      </c>
      <c r="F5472" s="35" t="s">
        <v>368</v>
      </c>
      <c r="G5472" s="35" t="s">
        <v>481</v>
      </c>
    </row>
    <row r="5473" spans="1:7">
      <c r="A5473" s="34">
        <v>2084029847</v>
      </c>
      <c r="B5473" s="35" t="s">
        <v>462</v>
      </c>
      <c r="C5473" s="35" t="s">
        <v>405</v>
      </c>
      <c r="D5473" s="35" t="s">
        <v>1221</v>
      </c>
      <c r="E5473" s="35" t="s">
        <v>1236</v>
      </c>
      <c r="F5473" s="35" t="s">
        <v>368</v>
      </c>
      <c r="G5473" s="35" t="s">
        <v>494</v>
      </c>
    </row>
    <row r="5474" spans="1:7">
      <c r="A5474" s="34">
        <v>2084058611</v>
      </c>
      <c r="B5474" s="35" t="s">
        <v>462</v>
      </c>
      <c r="C5474" s="35" t="s">
        <v>405</v>
      </c>
      <c r="D5474" s="35" t="s">
        <v>1221</v>
      </c>
      <c r="E5474" s="35" t="s">
        <v>1236</v>
      </c>
      <c r="F5474" s="35" t="s">
        <v>368</v>
      </c>
      <c r="G5474" s="35" t="s">
        <v>335</v>
      </c>
    </row>
    <row r="5475" spans="1:7">
      <c r="A5475" s="34">
        <v>2084027304</v>
      </c>
      <c r="B5475" s="35" t="s">
        <v>462</v>
      </c>
      <c r="C5475" s="35" t="s">
        <v>405</v>
      </c>
      <c r="D5475" s="35" t="s">
        <v>1221</v>
      </c>
      <c r="E5475" s="35" t="s">
        <v>1236</v>
      </c>
      <c r="F5475" s="35" t="s">
        <v>10</v>
      </c>
      <c r="G5475" s="35" t="s">
        <v>509</v>
      </c>
    </row>
    <row r="5476" spans="1:7">
      <c r="A5476" s="34">
        <v>2084027797</v>
      </c>
      <c r="B5476" s="35" t="s">
        <v>462</v>
      </c>
      <c r="C5476" s="35" t="s">
        <v>405</v>
      </c>
      <c r="D5476" s="35" t="s">
        <v>1221</v>
      </c>
      <c r="E5476" s="35" t="s">
        <v>1236</v>
      </c>
      <c r="F5476" s="35" t="s">
        <v>10</v>
      </c>
      <c r="G5476" s="35" t="s">
        <v>510</v>
      </c>
    </row>
    <row r="5477" spans="1:7">
      <c r="A5477" s="34">
        <v>2084027879</v>
      </c>
      <c r="B5477" s="35" t="s">
        <v>462</v>
      </c>
      <c r="C5477" s="35" t="s">
        <v>405</v>
      </c>
      <c r="D5477" s="35" t="s">
        <v>1221</v>
      </c>
      <c r="E5477" s="35" t="s">
        <v>1236</v>
      </c>
      <c r="F5477" s="35" t="s">
        <v>10</v>
      </c>
      <c r="G5477" s="35" t="s">
        <v>511</v>
      </c>
    </row>
    <row r="5478" spans="1:7">
      <c r="A5478" s="34">
        <v>2084027909</v>
      </c>
      <c r="B5478" s="35" t="s">
        <v>462</v>
      </c>
      <c r="C5478" s="35" t="s">
        <v>405</v>
      </c>
      <c r="D5478" s="35" t="s">
        <v>1221</v>
      </c>
      <c r="E5478" s="35" t="s">
        <v>1236</v>
      </c>
      <c r="F5478" s="35" t="s">
        <v>10</v>
      </c>
      <c r="G5478" s="35" t="s">
        <v>493</v>
      </c>
    </row>
    <row r="5479" spans="1:7">
      <c r="A5479" s="34">
        <v>2084027478</v>
      </c>
      <c r="B5479" s="35" t="s">
        <v>462</v>
      </c>
      <c r="C5479" s="35" t="s">
        <v>405</v>
      </c>
      <c r="D5479" s="35" t="s">
        <v>1221</v>
      </c>
      <c r="E5479" s="35" t="s">
        <v>1236</v>
      </c>
      <c r="F5479" s="35" t="s">
        <v>10</v>
      </c>
      <c r="G5479" s="35" t="s">
        <v>512</v>
      </c>
    </row>
    <row r="5480" spans="1:7">
      <c r="A5480" s="34">
        <v>2084027610</v>
      </c>
      <c r="B5480" s="35" t="s">
        <v>462</v>
      </c>
      <c r="C5480" s="35" t="s">
        <v>405</v>
      </c>
      <c r="D5480" s="35" t="s">
        <v>1221</v>
      </c>
      <c r="E5480" s="35" t="s">
        <v>1236</v>
      </c>
      <c r="F5480" s="35" t="s">
        <v>10</v>
      </c>
      <c r="G5480" s="35" t="s">
        <v>513</v>
      </c>
    </row>
    <row r="5481" spans="1:7">
      <c r="A5481" s="34">
        <v>2084027947</v>
      </c>
      <c r="B5481" s="35" t="s">
        <v>462</v>
      </c>
      <c r="C5481" s="35" t="s">
        <v>405</v>
      </c>
      <c r="D5481" s="35" t="s">
        <v>1221</v>
      </c>
      <c r="E5481" s="35" t="s">
        <v>1236</v>
      </c>
      <c r="F5481" s="35" t="s">
        <v>10</v>
      </c>
      <c r="G5481" s="35" t="s">
        <v>420</v>
      </c>
    </row>
    <row r="5482" spans="1:7">
      <c r="A5482" s="34">
        <v>2084027267</v>
      </c>
      <c r="B5482" s="35" t="s">
        <v>462</v>
      </c>
      <c r="C5482" s="35" t="s">
        <v>405</v>
      </c>
      <c r="D5482" s="35" t="s">
        <v>1221</v>
      </c>
      <c r="E5482" s="35" t="s">
        <v>1236</v>
      </c>
      <c r="F5482" s="35" t="s">
        <v>10</v>
      </c>
      <c r="G5482" s="35" t="s">
        <v>514</v>
      </c>
    </row>
    <row r="5483" spans="1:7">
      <c r="A5483" s="34">
        <v>2084027400</v>
      </c>
      <c r="B5483" s="35" t="s">
        <v>462</v>
      </c>
      <c r="C5483" s="35" t="s">
        <v>405</v>
      </c>
      <c r="D5483" s="35" t="s">
        <v>1221</v>
      </c>
      <c r="E5483" s="35" t="s">
        <v>1236</v>
      </c>
      <c r="F5483" s="35" t="s">
        <v>10</v>
      </c>
      <c r="G5483" s="35" t="s">
        <v>515</v>
      </c>
    </row>
    <row r="5484" spans="1:7">
      <c r="A5484" s="34">
        <v>2084027512</v>
      </c>
      <c r="B5484" s="35" t="s">
        <v>462</v>
      </c>
      <c r="C5484" s="35" t="s">
        <v>405</v>
      </c>
      <c r="D5484" s="35" t="s">
        <v>1221</v>
      </c>
      <c r="E5484" s="35" t="s">
        <v>1236</v>
      </c>
      <c r="F5484" s="35" t="s">
        <v>10</v>
      </c>
      <c r="G5484" s="35" t="s">
        <v>421</v>
      </c>
    </row>
    <row r="5485" spans="1:7">
      <c r="A5485" s="34">
        <v>2084027723</v>
      </c>
      <c r="B5485" s="35" t="s">
        <v>462</v>
      </c>
      <c r="C5485" s="35" t="s">
        <v>405</v>
      </c>
      <c r="D5485" s="35" t="s">
        <v>1221</v>
      </c>
      <c r="E5485" s="35" t="s">
        <v>1236</v>
      </c>
      <c r="F5485" s="35" t="s">
        <v>10</v>
      </c>
      <c r="G5485" s="35" t="s">
        <v>516</v>
      </c>
    </row>
    <row r="5486" spans="1:7">
      <c r="A5486" s="34">
        <v>2084027190</v>
      </c>
      <c r="B5486" s="35" t="s">
        <v>462</v>
      </c>
      <c r="C5486" s="35" t="s">
        <v>405</v>
      </c>
      <c r="D5486" s="35" t="s">
        <v>1221</v>
      </c>
      <c r="E5486" s="35" t="s">
        <v>1236</v>
      </c>
      <c r="F5486" s="35" t="s">
        <v>10</v>
      </c>
      <c r="G5486" s="35" t="s">
        <v>517</v>
      </c>
    </row>
    <row r="5487" spans="1:7">
      <c r="A5487" s="34">
        <v>2084027342</v>
      </c>
      <c r="B5487" s="35" t="s">
        <v>462</v>
      </c>
      <c r="C5487" s="35" t="s">
        <v>405</v>
      </c>
      <c r="D5487" s="35" t="s">
        <v>1221</v>
      </c>
      <c r="E5487" s="35" t="s">
        <v>1236</v>
      </c>
      <c r="F5487" s="35" t="s">
        <v>10</v>
      </c>
      <c r="G5487" s="35" t="s">
        <v>518</v>
      </c>
    </row>
    <row r="5488" spans="1:7">
      <c r="A5488" s="34">
        <v>2084027550</v>
      </c>
      <c r="B5488" s="35" t="s">
        <v>462</v>
      </c>
      <c r="C5488" s="35" t="s">
        <v>405</v>
      </c>
      <c r="D5488" s="35" t="s">
        <v>1221</v>
      </c>
      <c r="E5488" s="35" t="s">
        <v>1236</v>
      </c>
      <c r="F5488" s="35" t="s">
        <v>10</v>
      </c>
      <c r="G5488" s="35" t="s">
        <v>422</v>
      </c>
    </row>
    <row r="5489" spans="1:7">
      <c r="A5489" s="34">
        <v>2084027773</v>
      </c>
      <c r="B5489" s="35" t="s">
        <v>462</v>
      </c>
      <c r="C5489" s="35" t="s">
        <v>405</v>
      </c>
      <c r="D5489" s="35" t="s">
        <v>1221</v>
      </c>
      <c r="E5489" s="35" t="s">
        <v>1236</v>
      </c>
      <c r="F5489" s="35" t="s">
        <v>10</v>
      </c>
      <c r="G5489" s="35" t="s">
        <v>519</v>
      </c>
    </row>
    <row r="5490" spans="1:7">
      <c r="A5490" s="34">
        <v>2084028011</v>
      </c>
      <c r="B5490" s="35" t="s">
        <v>462</v>
      </c>
      <c r="C5490" s="35" t="s">
        <v>405</v>
      </c>
      <c r="D5490" s="35" t="s">
        <v>1221</v>
      </c>
      <c r="E5490" s="35" t="s">
        <v>1236</v>
      </c>
      <c r="F5490" s="35" t="s">
        <v>379</v>
      </c>
      <c r="G5490" s="35" t="s">
        <v>520</v>
      </c>
    </row>
    <row r="5491" spans="1:7">
      <c r="A5491" s="34">
        <v>2084028084</v>
      </c>
      <c r="B5491" s="35" t="s">
        <v>462</v>
      </c>
      <c r="C5491" s="35" t="s">
        <v>405</v>
      </c>
      <c r="D5491" s="35" t="s">
        <v>1221</v>
      </c>
      <c r="E5491" s="35" t="s">
        <v>1236</v>
      </c>
      <c r="F5491" s="35" t="s">
        <v>379</v>
      </c>
      <c r="G5491" s="35" t="s">
        <v>521</v>
      </c>
    </row>
    <row r="5492" spans="1:7">
      <c r="A5492" s="34">
        <v>2084028184</v>
      </c>
      <c r="B5492" s="35" t="s">
        <v>462</v>
      </c>
      <c r="C5492" s="35" t="s">
        <v>405</v>
      </c>
      <c r="D5492" s="35" t="s">
        <v>1221</v>
      </c>
      <c r="E5492" s="35" t="s">
        <v>1236</v>
      </c>
      <c r="F5492" s="35" t="s">
        <v>379</v>
      </c>
      <c r="G5492" s="35" t="s">
        <v>522</v>
      </c>
    </row>
    <row r="5493" spans="1:7">
      <c r="A5493" s="34">
        <v>2084028390</v>
      </c>
      <c r="B5493" s="35" t="s">
        <v>462</v>
      </c>
      <c r="C5493" s="35" t="s">
        <v>405</v>
      </c>
      <c r="D5493" s="35" t="s">
        <v>1221</v>
      </c>
      <c r="E5493" s="35" t="s">
        <v>1236</v>
      </c>
      <c r="F5493" s="35" t="s">
        <v>379</v>
      </c>
      <c r="G5493" s="35" t="s">
        <v>523</v>
      </c>
    </row>
    <row r="5494" spans="1:7">
      <c r="A5494" s="34">
        <v>2084028123</v>
      </c>
      <c r="B5494" s="35" t="s">
        <v>462</v>
      </c>
      <c r="C5494" s="35" t="s">
        <v>405</v>
      </c>
      <c r="D5494" s="35" t="s">
        <v>1221</v>
      </c>
      <c r="E5494" s="35" t="s">
        <v>1236</v>
      </c>
      <c r="F5494" s="35" t="s">
        <v>379</v>
      </c>
      <c r="G5494" s="35" t="s">
        <v>524</v>
      </c>
    </row>
    <row r="5495" spans="1:7">
      <c r="A5495" s="34">
        <v>2084028289</v>
      </c>
      <c r="B5495" s="35" t="s">
        <v>462</v>
      </c>
      <c r="C5495" s="35" t="s">
        <v>405</v>
      </c>
      <c r="D5495" s="35" t="s">
        <v>1221</v>
      </c>
      <c r="E5495" s="35" t="s">
        <v>1236</v>
      </c>
      <c r="F5495" s="35" t="s">
        <v>379</v>
      </c>
      <c r="G5495" s="35" t="s">
        <v>525</v>
      </c>
    </row>
    <row r="5496" spans="1:7">
      <c r="A5496" s="34">
        <v>2084028446</v>
      </c>
      <c r="B5496" s="35" t="s">
        <v>462</v>
      </c>
      <c r="C5496" s="35" t="s">
        <v>405</v>
      </c>
      <c r="D5496" s="35" t="s">
        <v>1221</v>
      </c>
      <c r="E5496" s="35" t="s">
        <v>1236</v>
      </c>
      <c r="F5496" s="35" t="s">
        <v>379</v>
      </c>
      <c r="G5496" s="35" t="s">
        <v>526</v>
      </c>
    </row>
    <row r="5497" spans="1:7">
      <c r="A5497" s="34">
        <v>2084028314</v>
      </c>
      <c r="B5497" s="35" t="s">
        <v>462</v>
      </c>
      <c r="C5497" s="35" t="s">
        <v>405</v>
      </c>
      <c r="D5497" s="35" t="s">
        <v>1221</v>
      </c>
      <c r="E5497" s="35" t="s">
        <v>1236</v>
      </c>
      <c r="F5497" s="35" t="s">
        <v>379</v>
      </c>
      <c r="G5497" s="35" t="s">
        <v>527</v>
      </c>
    </row>
    <row r="5498" spans="1:7">
      <c r="A5498" s="34">
        <v>2084028526</v>
      </c>
      <c r="B5498" s="35" t="s">
        <v>462</v>
      </c>
      <c r="C5498" s="35" t="s">
        <v>405</v>
      </c>
      <c r="D5498" s="35" t="s">
        <v>1221</v>
      </c>
      <c r="E5498" s="35" t="s">
        <v>1236</v>
      </c>
      <c r="F5498" s="35" t="s">
        <v>379</v>
      </c>
      <c r="G5498" s="35" t="s">
        <v>528</v>
      </c>
    </row>
    <row r="5499" spans="1:7">
      <c r="A5499" s="34">
        <v>2084028352</v>
      </c>
      <c r="B5499" s="35" t="s">
        <v>462</v>
      </c>
      <c r="C5499" s="35" t="s">
        <v>405</v>
      </c>
      <c r="D5499" s="35" t="s">
        <v>1221</v>
      </c>
      <c r="E5499" s="35" t="s">
        <v>1236</v>
      </c>
      <c r="F5499" s="35" t="s">
        <v>379</v>
      </c>
      <c r="G5499" s="35" t="s">
        <v>529</v>
      </c>
    </row>
    <row r="5500" spans="1:7">
      <c r="A5500" s="34">
        <v>2084058612</v>
      </c>
      <c r="B5500" s="35" t="s">
        <v>462</v>
      </c>
      <c r="C5500" s="35" t="s">
        <v>405</v>
      </c>
      <c r="D5500" s="35" t="s">
        <v>1221</v>
      </c>
      <c r="E5500" s="35" t="s">
        <v>1236</v>
      </c>
      <c r="F5500" s="35" t="s">
        <v>379</v>
      </c>
      <c r="G5500" s="35" t="s">
        <v>335</v>
      </c>
    </row>
    <row r="5501" spans="1:7">
      <c r="A5501" s="34">
        <v>2084028566</v>
      </c>
      <c r="B5501" s="35" t="s">
        <v>462</v>
      </c>
      <c r="C5501" s="35" t="s">
        <v>405</v>
      </c>
      <c r="D5501" s="35" t="s">
        <v>1221</v>
      </c>
      <c r="E5501" s="35" t="s">
        <v>1236</v>
      </c>
      <c r="F5501" s="35" t="s">
        <v>530</v>
      </c>
      <c r="G5501" s="35" t="s">
        <v>531</v>
      </c>
    </row>
    <row r="5502" spans="1:7">
      <c r="A5502" s="34">
        <v>2084028604</v>
      </c>
      <c r="B5502" s="35" t="s">
        <v>462</v>
      </c>
      <c r="C5502" s="35" t="s">
        <v>405</v>
      </c>
      <c r="D5502" s="35" t="s">
        <v>1221</v>
      </c>
      <c r="E5502" s="35" t="s">
        <v>1236</v>
      </c>
      <c r="F5502" s="35" t="s">
        <v>530</v>
      </c>
      <c r="G5502" s="35" t="s">
        <v>532</v>
      </c>
    </row>
    <row r="5503" spans="1:7">
      <c r="A5503" s="34">
        <v>2084030104</v>
      </c>
      <c r="B5503" s="35" t="s">
        <v>462</v>
      </c>
      <c r="C5503" s="35" t="s">
        <v>405</v>
      </c>
      <c r="D5503" s="35" t="s">
        <v>1221</v>
      </c>
      <c r="E5503" s="35" t="s">
        <v>1236</v>
      </c>
      <c r="F5503" s="35" t="s">
        <v>533</v>
      </c>
      <c r="G5503" s="35" t="s">
        <v>988</v>
      </c>
    </row>
    <row r="5504" spans="1:7">
      <c r="A5504" s="34">
        <v>2084027178</v>
      </c>
      <c r="B5504" s="35" t="s">
        <v>462</v>
      </c>
      <c r="C5504" s="35" t="s">
        <v>405</v>
      </c>
      <c r="D5504" s="35" t="s">
        <v>1221</v>
      </c>
      <c r="E5504" s="35" t="s">
        <v>1236</v>
      </c>
      <c r="F5504" s="35" t="s">
        <v>533</v>
      </c>
      <c r="G5504" s="35" t="s">
        <v>536</v>
      </c>
    </row>
    <row r="5505" spans="1:8">
      <c r="A5505" s="34">
        <v>2084048753</v>
      </c>
      <c r="B5505" s="35" t="s">
        <v>462</v>
      </c>
      <c r="C5505" s="35" t="s">
        <v>405</v>
      </c>
      <c r="D5505" s="35" t="s">
        <v>1221</v>
      </c>
      <c r="E5505" s="35" t="s">
        <v>1236</v>
      </c>
      <c r="F5505" s="35" t="s">
        <v>335</v>
      </c>
    </row>
    <row r="5506" spans="1:8">
      <c r="A5506" s="34">
        <v>2084051170</v>
      </c>
      <c r="B5506" s="35" t="s">
        <v>462</v>
      </c>
      <c r="C5506" s="35" t="s">
        <v>405</v>
      </c>
      <c r="D5506" s="35" t="s">
        <v>1221</v>
      </c>
      <c r="E5506" s="35" t="s">
        <v>1237</v>
      </c>
      <c r="F5506" s="35" t="s">
        <v>475</v>
      </c>
    </row>
    <row r="5507" spans="1:8">
      <c r="A5507" s="34">
        <v>2084028204</v>
      </c>
      <c r="B5507" s="35" t="s">
        <v>462</v>
      </c>
      <c r="C5507" s="35" t="s">
        <v>405</v>
      </c>
      <c r="D5507" s="35" t="s">
        <v>1221</v>
      </c>
      <c r="E5507" s="35" t="s">
        <v>1237</v>
      </c>
      <c r="F5507" s="35" t="s">
        <v>390</v>
      </c>
      <c r="G5507" s="35" t="s">
        <v>367</v>
      </c>
    </row>
    <row r="5508" spans="1:8">
      <c r="A5508" s="34">
        <v>2084028753</v>
      </c>
      <c r="B5508" s="35" t="s">
        <v>462</v>
      </c>
      <c r="C5508" s="35" t="s">
        <v>405</v>
      </c>
      <c r="D5508" s="35" t="s">
        <v>1221</v>
      </c>
      <c r="E5508" s="35" t="s">
        <v>1237</v>
      </c>
      <c r="F5508" s="35" t="s">
        <v>390</v>
      </c>
      <c r="G5508" s="35" t="s">
        <v>368</v>
      </c>
      <c r="H5508" s="35" t="s">
        <v>508</v>
      </c>
    </row>
    <row r="5509" spans="1:8">
      <c r="A5509" s="34">
        <v>2084029336</v>
      </c>
      <c r="B5509" s="35" t="s">
        <v>462</v>
      </c>
      <c r="C5509" s="35" t="s">
        <v>405</v>
      </c>
      <c r="D5509" s="35" t="s">
        <v>1221</v>
      </c>
      <c r="E5509" s="35" t="s">
        <v>1237</v>
      </c>
      <c r="F5509" s="35" t="s">
        <v>390</v>
      </c>
      <c r="G5509" s="35" t="s">
        <v>368</v>
      </c>
      <c r="H5509" s="35" t="s">
        <v>481</v>
      </c>
    </row>
    <row r="5510" spans="1:8">
      <c r="A5510" s="34">
        <v>2084029845</v>
      </c>
      <c r="B5510" s="35" t="s">
        <v>462</v>
      </c>
      <c r="C5510" s="35" t="s">
        <v>405</v>
      </c>
      <c r="D5510" s="35" t="s">
        <v>1221</v>
      </c>
      <c r="E5510" s="35" t="s">
        <v>1237</v>
      </c>
      <c r="F5510" s="35" t="s">
        <v>390</v>
      </c>
      <c r="G5510" s="35" t="s">
        <v>368</v>
      </c>
      <c r="H5510" s="35" t="s">
        <v>494</v>
      </c>
    </row>
    <row r="5511" spans="1:8">
      <c r="A5511" s="34">
        <v>2084058604</v>
      </c>
      <c r="B5511" s="35" t="s">
        <v>462</v>
      </c>
      <c r="C5511" s="35" t="s">
        <v>405</v>
      </c>
      <c r="D5511" s="35" t="s">
        <v>1221</v>
      </c>
      <c r="E5511" s="35" t="s">
        <v>1237</v>
      </c>
      <c r="F5511" s="35" t="s">
        <v>390</v>
      </c>
      <c r="G5511" s="35" t="s">
        <v>368</v>
      </c>
      <c r="H5511" s="35" t="s">
        <v>335</v>
      </c>
    </row>
    <row r="5512" spans="1:8">
      <c r="A5512" s="34">
        <v>2084027302</v>
      </c>
      <c r="B5512" s="35" t="s">
        <v>462</v>
      </c>
      <c r="C5512" s="35" t="s">
        <v>405</v>
      </c>
      <c r="D5512" s="35" t="s">
        <v>1221</v>
      </c>
      <c r="E5512" s="35" t="s">
        <v>1237</v>
      </c>
      <c r="F5512" s="35" t="s">
        <v>390</v>
      </c>
      <c r="G5512" s="35" t="s">
        <v>10</v>
      </c>
      <c r="H5512" s="35" t="s">
        <v>509</v>
      </c>
    </row>
    <row r="5513" spans="1:8">
      <c r="A5513" s="34">
        <v>2084027795</v>
      </c>
      <c r="B5513" s="35" t="s">
        <v>462</v>
      </c>
      <c r="C5513" s="35" t="s">
        <v>405</v>
      </c>
      <c r="D5513" s="35" t="s">
        <v>1221</v>
      </c>
      <c r="E5513" s="35" t="s">
        <v>1237</v>
      </c>
      <c r="F5513" s="35" t="s">
        <v>390</v>
      </c>
      <c r="G5513" s="35" t="s">
        <v>10</v>
      </c>
      <c r="H5513" s="35" t="s">
        <v>510</v>
      </c>
    </row>
    <row r="5514" spans="1:8">
      <c r="A5514" s="34">
        <v>2084027877</v>
      </c>
      <c r="B5514" s="35" t="s">
        <v>462</v>
      </c>
      <c r="C5514" s="35" t="s">
        <v>405</v>
      </c>
      <c r="D5514" s="35" t="s">
        <v>1221</v>
      </c>
      <c r="E5514" s="35" t="s">
        <v>1237</v>
      </c>
      <c r="F5514" s="35" t="s">
        <v>390</v>
      </c>
      <c r="G5514" s="35" t="s">
        <v>10</v>
      </c>
      <c r="H5514" s="35" t="s">
        <v>511</v>
      </c>
    </row>
    <row r="5515" spans="1:8">
      <c r="A5515" s="34">
        <v>2084027907</v>
      </c>
      <c r="B5515" s="35" t="s">
        <v>462</v>
      </c>
      <c r="C5515" s="35" t="s">
        <v>405</v>
      </c>
      <c r="D5515" s="35" t="s">
        <v>1221</v>
      </c>
      <c r="E5515" s="35" t="s">
        <v>1237</v>
      </c>
      <c r="F5515" s="35" t="s">
        <v>390</v>
      </c>
      <c r="G5515" s="35" t="s">
        <v>10</v>
      </c>
      <c r="H5515" s="35" t="s">
        <v>493</v>
      </c>
    </row>
    <row r="5516" spans="1:8">
      <c r="A5516" s="34">
        <v>2084027476</v>
      </c>
      <c r="B5516" s="35" t="s">
        <v>462</v>
      </c>
      <c r="C5516" s="35" t="s">
        <v>405</v>
      </c>
      <c r="D5516" s="35" t="s">
        <v>1221</v>
      </c>
      <c r="E5516" s="35" t="s">
        <v>1237</v>
      </c>
      <c r="F5516" s="35" t="s">
        <v>390</v>
      </c>
      <c r="G5516" s="35" t="s">
        <v>10</v>
      </c>
      <c r="H5516" s="35" t="s">
        <v>512</v>
      </c>
    </row>
    <row r="5517" spans="1:8">
      <c r="A5517" s="34">
        <v>2084027608</v>
      </c>
      <c r="B5517" s="35" t="s">
        <v>462</v>
      </c>
      <c r="C5517" s="35" t="s">
        <v>405</v>
      </c>
      <c r="D5517" s="35" t="s">
        <v>1221</v>
      </c>
      <c r="E5517" s="35" t="s">
        <v>1237</v>
      </c>
      <c r="F5517" s="35" t="s">
        <v>390</v>
      </c>
      <c r="G5517" s="35" t="s">
        <v>10</v>
      </c>
      <c r="H5517" s="35" t="s">
        <v>513</v>
      </c>
    </row>
    <row r="5518" spans="1:8">
      <c r="A5518" s="34">
        <v>2084027945</v>
      </c>
      <c r="B5518" s="35" t="s">
        <v>462</v>
      </c>
      <c r="C5518" s="35" t="s">
        <v>405</v>
      </c>
      <c r="D5518" s="35" t="s">
        <v>1221</v>
      </c>
      <c r="E5518" s="35" t="s">
        <v>1237</v>
      </c>
      <c r="F5518" s="35" t="s">
        <v>390</v>
      </c>
      <c r="G5518" s="35" t="s">
        <v>10</v>
      </c>
      <c r="H5518" s="35" t="s">
        <v>420</v>
      </c>
    </row>
    <row r="5519" spans="1:8">
      <c r="A5519" s="34">
        <v>2084027265</v>
      </c>
      <c r="B5519" s="35" t="s">
        <v>462</v>
      </c>
      <c r="C5519" s="35" t="s">
        <v>405</v>
      </c>
      <c r="D5519" s="35" t="s">
        <v>1221</v>
      </c>
      <c r="E5519" s="35" t="s">
        <v>1237</v>
      </c>
      <c r="F5519" s="35" t="s">
        <v>390</v>
      </c>
      <c r="G5519" s="35" t="s">
        <v>10</v>
      </c>
      <c r="H5519" s="35" t="s">
        <v>397</v>
      </c>
    </row>
    <row r="5520" spans="1:8">
      <c r="A5520" s="34">
        <v>2084027398</v>
      </c>
      <c r="B5520" s="35" t="s">
        <v>462</v>
      </c>
      <c r="C5520" s="35" t="s">
        <v>405</v>
      </c>
      <c r="D5520" s="35" t="s">
        <v>1221</v>
      </c>
      <c r="E5520" s="35" t="s">
        <v>1237</v>
      </c>
      <c r="F5520" s="35" t="s">
        <v>390</v>
      </c>
      <c r="G5520" s="35" t="s">
        <v>10</v>
      </c>
      <c r="H5520" s="35" t="s">
        <v>515</v>
      </c>
    </row>
    <row r="5521" spans="1:8">
      <c r="A5521" s="34">
        <v>2084027510</v>
      </c>
      <c r="B5521" s="35" t="s">
        <v>462</v>
      </c>
      <c r="C5521" s="35" t="s">
        <v>405</v>
      </c>
      <c r="D5521" s="35" t="s">
        <v>1221</v>
      </c>
      <c r="E5521" s="35" t="s">
        <v>1237</v>
      </c>
      <c r="F5521" s="35" t="s">
        <v>390</v>
      </c>
      <c r="G5521" s="35" t="s">
        <v>10</v>
      </c>
      <c r="H5521" s="35" t="s">
        <v>421</v>
      </c>
    </row>
    <row r="5522" spans="1:8">
      <c r="A5522" s="34">
        <v>2084027721</v>
      </c>
      <c r="B5522" s="35" t="s">
        <v>462</v>
      </c>
      <c r="C5522" s="35" t="s">
        <v>405</v>
      </c>
      <c r="D5522" s="35" t="s">
        <v>1221</v>
      </c>
      <c r="E5522" s="35" t="s">
        <v>1237</v>
      </c>
      <c r="F5522" s="35" t="s">
        <v>390</v>
      </c>
      <c r="G5522" s="35" t="s">
        <v>10</v>
      </c>
      <c r="H5522" s="35" t="s">
        <v>516</v>
      </c>
    </row>
    <row r="5523" spans="1:8">
      <c r="A5523" s="34">
        <v>2084027238</v>
      </c>
      <c r="B5523" s="35" t="s">
        <v>462</v>
      </c>
      <c r="C5523" s="35" t="s">
        <v>405</v>
      </c>
      <c r="D5523" s="35" t="s">
        <v>1221</v>
      </c>
      <c r="E5523" s="35" t="s">
        <v>1237</v>
      </c>
      <c r="F5523" s="35" t="s">
        <v>390</v>
      </c>
      <c r="G5523" s="35" t="s">
        <v>10</v>
      </c>
      <c r="H5523" s="35" t="s">
        <v>398</v>
      </c>
    </row>
    <row r="5524" spans="1:8">
      <c r="A5524" s="34">
        <v>2084027340</v>
      </c>
      <c r="B5524" s="35" t="s">
        <v>462</v>
      </c>
      <c r="C5524" s="35" t="s">
        <v>405</v>
      </c>
      <c r="D5524" s="35" t="s">
        <v>1221</v>
      </c>
      <c r="E5524" s="35" t="s">
        <v>1237</v>
      </c>
      <c r="F5524" s="35" t="s">
        <v>390</v>
      </c>
      <c r="G5524" s="35" t="s">
        <v>10</v>
      </c>
      <c r="H5524" s="35" t="s">
        <v>518</v>
      </c>
    </row>
    <row r="5525" spans="1:8">
      <c r="A5525" s="34">
        <v>2084027548</v>
      </c>
      <c r="B5525" s="35" t="s">
        <v>462</v>
      </c>
      <c r="C5525" s="35" t="s">
        <v>405</v>
      </c>
      <c r="D5525" s="35" t="s">
        <v>1221</v>
      </c>
      <c r="E5525" s="35" t="s">
        <v>1237</v>
      </c>
      <c r="F5525" s="35" t="s">
        <v>390</v>
      </c>
      <c r="G5525" s="35" t="s">
        <v>10</v>
      </c>
      <c r="H5525" s="35" t="s">
        <v>422</v>
      </c>
    </row>
    <row r="5526" spans="1:8">
      <c r="A5526" s="34">
        <v>2084027771</v>
      </c>
      <c r="B5526" s="35" t="s">
        <v>462</v>
      </c>
      <c r="C5526" s="35" t="s">
        <v>405</v>
      </c>
      <c r="D5526" s="35" t="s">
        <v>1221</v>
      </c>
      <c r="E5526" s="35" t="s">
        <v>1237</v>
      </c>
      <c r="F5526" s="35" t="s">
        <v>390</v>
      </c>
      <c r="G5526" s="35" t="s">
        <v>10</v>
      </c>
      <c r="H5526" s="35" t="s">
        <v>519</v>
      </c>
    </row>
    <row r="5527" spans="1:8">
      <c r="A5527" s="34">
        <v>2084028009</v>
      </c>
      <c r="B5527" s="35" t="s">
        <v>462</v>
      </c>
      <c r="C5527" s="35" t="s">
        <v>405</v>
      </c>
      <c r="D5527" s="35" t="s">
        <v>1221</v>
      </c>
      <c r="E5527" s="35" t="s">
        <v>1237</v>
      </c>
      <c r="F5527" s="35" t="s">
        <v>390</v>
      </c>
      <c r="G5527" s="35" t="s">
        <v>379</v>
      </c>
      <c r="H5527" s="35" t="s">
        <v>520</v>
      </c>
    </row>
    <row r="5528" spans="1:8">
      <c r="A5528" s="34">
        <v>2084028082</v>
      </c>
      <c r="B5528" s="35" t="s">
        <v>462</v>
      </c>
      <c r="C5528" s="35" t="s">
        <v>405</v>
      </c>
      <c r="D5528" s="35" t="s">
        <v>1221</v>
      </c>
      <c r="E5528" s="35" t="s">
        <v>1237</v>
      </c>
      <c r="F5528" s="35" t="s">
        <v>390</v>
      </c>
      <c r="G5528" s="35" t="s">
        <v>379</v>
      </c>
      <c r="H5528" s="35" t="s">
        <v>521</v>
      </c>
    </row>
    <row r="5529" spans="1:8">
      <c r="A5529" s="34">
        <v>2084028182</v>
      </c>
      <c r="B5529" s="35" t="s">
        <v>462</v>
      </c>
      <c r="C5529" s="35" t="s">
        <v>405</v>
      </c>
      <c r="D5529" s="35" t="s">
        <v>1221</v>
      </c>
      <c r="E5529" s="35" t="s">
        <v>1237</v>
      </c>
      <c r="F5529" s="35" t="s">
        <v>390</v>
      </c>
      <c r="G5529" s="35" t="s">
        <v>379</v>
      </c>
      <c r="H5529" s="35" t="s">
        <v>522</v>
      </c>
    </row>
    <row r="5530" spans="1:8">
      <c r="A5530" s="34">
        <v>2084028422</v>
      </c>
      <c r="B5530" s="35" t="s">
        <v>462</v>
      </c>
      <c r="C5530" s="35" t="s">
        <v>405</v>
      </c>
      <c r="D5530" s="35" t="s">
        <v>1221</v>
      </c>
      <c r="E5530" s="35" t="s">
        <v>1237</v>
      </c>
      <c r="F5530" s="35" t="s">
        <v>390</v>
      </c>
      <c r="G5530" s="35" t="s">
        <v>379</v>
      </c>
      <c r="H5530" s="35" t="s">
        <v>523</v>
      </c>
    </row>
    <row r="5531" spans="1:8">
      <c r="A5531" s="34">
        <v>2084028121</v>
      </c>
      <c r="B5531" s="35" t="s">
        <v>462</v>
      </c>
      <c r="C5531" s="35" t="s">
        <v>405</v>
      </c>
      <c r="D5531" s="35" t="s">
        <v>1221</v>
      </c>
      <c r="E5531" s="35" t="s">
        <v>1237</v>
      </c>
      <c r="F5531" s="35" t="s">
        <v>390</v>
      </c>
      <c r="G5531" s="35" t="s">
        <v>379</v>
      </c>
      <c r="H5531" s="35" t="s">
        <v>524</v>
      </c>
    </row>
    <row r="5532" spans="1:8">
      <c r="A5532" s="34">
        <v>2084028287</v>
      </c>
      <c r="B5532" s="35" t="s">
        <v>462</v>
      </c>
      <c r="C5532" s="35" t="s">
        <v>405</v>
      </c>
      <c r="D5532" s="35" t="s">
        <v>1221</v>
      </c>
      <c r="E5532" s="35" t="s">
        <v>1237</v>
      </c>
      <c r="F5532" s="35" t="s">
        <v>390</v>
      </c>
      <c r="G5532" s="35" t="s">
        <v>379</v>
      </c>
      <c r="H5532" s="35" t="s">
        <v>525</v>
      </c>
    </row>
    <row r="5533" spans="1:8">
      <c r="A5533" s="34">
        <v>2084028489</v>
      </c>
      <c r="B5533" s="35" t="s">
        <v>462</v>
      </c>
      <c r="C5533" s="35" t="s">
        <v>405</v>
      </c>
      <c r="D5533" s="35" t="s">
        <v>1221</v>
      </c>
      <c r="E5533" s="35" t="s">
        <v>1237</v>
      </c>
      <c r="F5533" s="35" t="s">
        <v>390</v>
      </c>
      <c r="G5533" s="35" t="s">
        <v>379</v>
      </c>
      <c r="H5533" s="35" t="s">
        <v>526</v>
      </c>
    </row>
    <row r="5534" spans="1:8">
      <c r="A5534" s="34">
        <v>2084028312</v>
      </c>
      <c r="B5534" s="35" t="s">
        <v>462</v>
      </c>
      <c r="C5534" s="35" t="s">
        <v>405</v>
      </c>
      <c r="D5534" s="35" t="s">
        <v>1221</v>
      </c>
      <c r="E5534" s="35" t="s">
        <v>1237</v>
      </c>
      <c r="F5534" s="35" t="s">
        <v>390</v>
      </c>
      <c r="G5534" s="35" t="s">
        <v>379</v>
      </c>
      <c r="H5534" s="35" t="s">
        <v>527</v>
      </c>
    </row>
    <row r="5535" spans="1:8">
      <c r="A5535" s="34">
        <v>2084028524</v>
      </c>
      <c r="B5535" s="35" t="s">
        <v>462</v>
      </c>
      <c r="C5535" s="35" t="s">
        <v>405</v>
      </c>
      <c r="D5535" s="35" t="s">
        <v>1221</v>
      </c>
      <c r="E5535" s="35" t="s">
        <v>1237</v>
      </c>
      <c r="F5535" s="35" t="s">
        <v>390</v>
      </c>
      <c r="G5535" s="35" t="s">
        <v>379</v>
      </c>
      <c r="H5535" s="35" t="s">
        <v>528</v>
      </c>
    </row>
    <row r="5536" spans="1:8">
      <c r="A5536" s="34">
        <v>2084028350</v>
      </c>
      <c r="B5536" s="35" t="s">
        <v>462</v>
      </c>
      <c r="C5536" s="35" t="s">
        <v>405</v>
      </c>
      <c r="D5536" s="35" t="s">
        <v>1221</v>
      </c>
      <c r="E5536" s="35" t="s">
        <v>1237</v>
      </c>
      <c r="F5536" s="35" t="s">
        <v>390</v>
      </c>
      <c r="G5536" s="35" t="s">
        <v>379</v>
      </c>
      <c r="H5536" s="35" t="s">
        <v>529</v>
      </c>
    </row>
    <row r="5537" spans="1:8">
      <c r="A5537" s="34">
        <v>2084058605</v>
      </c>
      <c r="B5537" s="35" t="s">
        <v>462</v>
      </c>
      <c r="C5537" s="35" t="s">
        <v>405</v>
      </c>
      <c r="D5537" s="35" t="s">
        <v>1221</v>
      </c>
      <c r="E5537" s="35" t="s">
        <v>1237</v>
      </c>
      <c r="F5537" s="35" t="s">
        <v>390</v>
      </c>
      <c r="G5537" s="35" t="s">
        <v>379</v>
      </c>
      <c r="H5537" s="35" t="s">
        <v>335</v>
      </c>
    </row>
    <row r="5538" spans="1:8">
      <c r="A5538" s="34">
        <v>2084028564</v>
      </c>
      <c r="B5538" s="35" t="s">
        <v>462</v>
      </c>
      <c r="C5538" s="35" t="s">
        <v>405</v>
      </c>
      <c r="D5538" s="35" t="s">
        <v>1221</v>
      </c>
      <c r="E5538" s="35" t="s">
        <v>1237</v>
      </c>
      <c r="F5538" s="35" t="s">
        <v>390</v>
      </c>
      <c r="G5538" s="35" t="s">
        <v>530</v>
      </c>
      <c r="H5538" s="35" t="s">
        <v>531</v>
      </c>
    </row>
    <row r="5539" spans="1:8">
      <c r="A5539" s="34">
        <v>2084028602</v>
      </c>
      <c r="B5539" s="35" t="s">
        <v>462</v>
      </c>
      <c r="C5539" s="35" t="s">
        <v>405</v>
      </c>
      <c r="D5539" s="35" t="s">
        <v>1221</v>
      </c>
      <c r="E5539" s="35" t="s">
        <v>1237</v>
      </c>
      <c r="F5539" s="35" t="s">
        <v>390</v>
      </c>
      <c r="G5539" s="35" t="s">
        <v>530</v>
      </c>
      <c r="H5539" s="35" t="s">
        <v>532</v>
      </c>
    </row>
    <row r="5540" spans="1:8">
      <c r="A5540" s="34">
        <v>2084030102</v>
      </c>
      <c r="B5540" s="35" t="s">
        <v>462</v>
      </c>
      <c r="C5540" s="35" t="s">
        <v>405</v>
      </c>
      <c r="D5540" s="35" t="s">
        <v>1221</v>
      </c>
      <c r="E5540" s="35" t="s">
        <v>1237</v>
      </c>
      <c r="F5540" s="35" t="s">
        <v>390</v>
      </c>
      <c r="G5540" s="35" t="s">
        <v>549</v>
      </c>
    </row>
    <row r="5541" spans="1:8">
      <c r="A5541" s="34">
        <v>2084051166</v>
      </c>
      <c r="B5541" s="35" t="s">
        <v>462</v>
      </c>
      <c r="C5541" s="35" t="s">
        <v>405</v>
      </c>
      <c r="D5541" s="35" t="s">
        <v>1221</v>
      </c>
      <c r="E5541" s="35" t="s">
        <v>1237</v>
      </c>
      <c r="F5541" s="35" t="s">
        <v>390</v>
      </c>
      <c r="G5541" s="35" t="s">
        <v>335</v>
      </c>
    </row>
    <row r="5542" spans="1:8">
      <c r="A5542" s="34">
        <v>2084052899</v>
      </c>
      <c r="B5542" s="35" t="s">
        <v>462</v>
      </c>
      <c r="C5542" s="35" t="s">
        <v>405</v>
      </c>
      <c r="D5542" s="35" t="s">
        <v>1221</v>
      </c>
      <c r="E5542" s="35" t="s">
        <v>1237</v>
      </c>
      <c r="F5542" s="35" t="s">
        <v>353</v>
      </c>
      <c r="G5542" s="35" t="s">
        <v>367</v>
      </c>
    </row>
    <row r="5543" spans="1:8">
      <c r="A5543" s="34">
        <v>2084030729</v>
      </c>
      <c r="B5543" s="35" t="s">
        <v>462</v>
      </c>
      <c r="C5543" s="35" t="s">
        <v>405</v>
      </c>
      <c r="D5543" s="35" t="s">
        <v>1221</v>
      </c>
      <c r="E5543" s="35" t="s">
        <v>1237</v>
      </c>
      <c r="F5543" s="35" t="s">
        <v>353</v>
      </c>
      <c r="G5543" s="35" t="s">
        <v>481</v>
      </c>
    </row>
    <row r="5544" spans="1:8">
      <c r="A5544" s="34">
        <v>2084031627</v>
      </c>
      <c r="B5544" s="35" t="s">
        <v>462</v>
      </c>
      <c r="C5544" s="35" t="s">
        <v>405</v>
      </c>
      <c r="D5544" s="35" t="s">
        <v>1221</v>
      </c>
      <c r="E5544" s="35" t="s">
        <v>1237</v>
      </c>
      <c r="F5544" s="35" t="s">
        <v>353</v>
      </c>
      <c r="G5544" s="35" t="s">
        <v>483</v>
      </c>
    </row>
    <row r="5545" spans="1:8">
      <c r="A5545" s="34">
        <v>2084031462</v>
      </c>
      <c r="B5545" s="35" t="s">
        <v>462</v>
      </c>
      <c r="C5545" s="35" t="s">
        <v>405</v>
      </c>
      <c r="D5545" s="35" t="s">
        <v>1221</v>
      </c>
      <c r="E5545" s="35" t="s">
        <v>1237</v>
      </c>
      <c r="F5545" s="35" t="s">
        <v>353</v>
      </c>
      <c r="G5545" s="35" t="s">
        <v>482</v>
      </c>
    </row>
    <row r="5546" spans="1:8">
      <c r="A5546" s="34">
        <v>2084030238</v>
      </c>
      <c r="B5546" s="35" t="s">
        <v>462</v>
      </c>
      <c r="C5546" s="35" t="s">
        <v>405</v>
      </c>
      <c r="D5546" s="35" t="s">
        <v>1221</v>
      </c>
      <c r="E5546" s="35" t="s">
        <v>1237</v>
      </c>
      <c r="F5546" s="35" t="s">
        <v>353</v>
      </c>
      <c r="G5546" s="35" t="s">
        <v>493</v>
      </c>
    </row>
    <row r="5547" spans="1:8">
      <c r="A5547" s="34">
        <v>2084037276</v>
      </c>
      <c r="B5547" s="35" t="s">
        <v>462</v>
      </c>
      <c r="C5547" s="35" t="s">
        <v>405</v>
      </c>
      <c r="D5547" s="35" t="s">
        <v>1221</v>
      </c>
      <c r="E5547" s="35" t="s">
        <v>1237</v>
      </c>
      <c r="F5547" s="35" t="s">
        <v>353</v>
      </c>
      <c r="G5547" s="35" t="s">
        <v>494</v>
      </c>
    </row>
    <row r="5548" spans="1:8">
      <c r="A5548" s="34">
        <v>2084051167</v>
      </c>
      <c r="B5548" s="35" t="s">
        <v>462</v>
      </c>
      <c r="C5548" s="35" t="s">
        <v>405</v>
      </c>
      <c r="D5548" s="35" t="s">
        <v>1221</v>
      </c>
      <c r="E5548" s="35" t="s">
        <v>1237</v>
      </c>
      <c r="F5548" s="35" t="s">
        <v>353</v>
      </c>
      <c r="G5548" s="35" t="s">
        <v>403</v>
      </c>
    </row>
    <row r="5549" spans="1:8">
      <c r="A5549" s="34">
        <v>2084031521</v>
      </c>
      <c r="B5549" s="35" t="s">
        <v>462</v>
      </c>
      <c r="C5549" s="35" t="s">
        <v>405</v>
      </c>
      <c r="D5549" s="35" t="s">
        <v>1221</v>
      </c>
      <c r="E5549" s="35" t="s">
        <v>1237</v>
      </c>
      <c r="F5549" s="35" t="s">
        <v>353</v>
      </c>
      <c r="G5549" s="35" t="s">
        <v>397</v>
      </c>
    </row>
    <row r="5550" spans="1:8">
      <c r="A5550" s="34">
        <v>2084221889</v>
      </c>
      <c r="B5550" s="35" t="s">
        <v>462</v>
      </c>
      <c r="C5550" s="35" t="s">
        <v>405</v>
      </c>
      <c r="D5550" s="35" t="s">
        <v>1221</v>
      </c>
      <c r="E5550" s="35" t="s">
        <v>1237</v>
      </c>
      <c r="F5550" s="35" t="s">
        <v>353</v>
      </c>
      <c r="G5550" s="35" t="s">
        <v>887</v>
      </c>
      <c r="H5550" s="35" t="s">
        <v>391</v>
      </c>
    </row>
    <row r="5551" spans="1:8">
      <c r="A5551" s="34">
        <v>2084221890</v>
      </c>
      <c r="B5551" s="35" t="s">
        <v>462</v>
      </c>
      <c r="C5551" s="35" t="s">
        <v>405</v>
      </c>
      <c r="D5551" s="35" t="s">
        <v>1221</v>
      </c>
      <c r="E5551" s="35" t="s">
        <v>1237</v>
      </c>
      <c r="F5551" s="35" t="s">
        <v>353</v>
      </c>
      <c r="G5551" s="35" t="s">
        <v>887</v>
      </c>
      <c r="H5551" s="35" t="s">
        <v>392</v>
      </c>
    </row>
    <row r="5552" spans="1:8">
      <c r="A5552" s="34">
        <v>2084221891</v>
      </c>
      <c r="B5552" s="35" t="s">
        <v>462</v>
      </c>
      <c r="C5552" s="35" t="s">
        <v>405</v>
      </c>
      <c r="D5552" s="35" t="s">
        <v>1221</v>
      </c>
      <c r="E5552" s="35" t="s">
        <v>1237</v>
      </c>
      <c r="F5552" s="35" t="s">
        <v>353</v>
      </c>
      <c r="G5552" s="35" t="s">
        <v>887</v>
      </c>
      <c r="H5552" s="35" t="s">
        <v>375</v>
      </c>
    </row>
    <row r="5553" spans="1:8">
      <c r="A5553" s="34">
        <v>2084221892</v>
      </c>
      <c r="B5553" s="35" t="s">
        <v>462</v>
      </c>
      <c r="C5553" s="35" t="s">
        <v>405</v>
      </c>
      <c r="D5553" s="35" t="s">
        <v>1221</v>
      </c>
      <c r="E5553" s="35" t="s">
        <v>1237</v>
      </c>
      <c r="F5553" s="35" t="s">
        <v>353</v>
      </c>
      <c r="G5553" s="35" t="s">
        <v>887</v>
      </c>
      <c r="H5553" s="35" t="s">
        <v>376</v>
      </c>
    </row>
    <row r="5554" spans="1:8">
      <c r="A5554" s="34">
        <v>2084221893</v>
      </c>
      <c r="B5554" s="35" t="s">
        <v>462</v>
      </c>
      <c r="C5554" s="35" t="s">
        <v>405</v>
      </c>
      <c r="D5554" s="35" t="s">
        <v>1221</v>
      </c>
      <c r="E5554" s="35" t="s">
        <v>1237</v>
      </c>
      <c r="F5554" s="35" t="s">
        <v>353</v>
      </c>
      <c r="G5554" s="35" t="s">
        <v>887</v>
      </c>
      <c r="H5554" s="35" t="s">
        <v>377</v>
      </c>
    </row>
    <row r="5555" spans="1:8">
      <c r="A5555" s="34">
        <v>2084224753</v>
      </c>
      <c r="B5555" s="35" t="s">
        <v>462</v>
      </c>
      <c r="C5555" s="35" t="s">
        <v>405</v>
      </c>
      <c r="D5555" s="35" t="s">
        <v>1221</v>
      </c>
      <c r="E5555" s="35" t="s">
        <v>1237</v>
      </c>
      <c r="F5555" s="35" t="s">
        <v>353</v>
      </c>
      <c r="G5555" s="35" t="s">
        <v>378</v>
      </c>
      <c r="H5555" s="35" t="s">
        <v>374</v>
      </c>
    </row>
    <row r="5556" spans="1:8">
      <c r="A5556" s="34">
        <v>2084224754</v>
      </c>
      <c r="B5556" s="35" t="s">
        <v>462</v>
      </c>
      <c r="C5556" s="35" t="s">
        <v>405</v>
      </c>
      <c r="D5556" s="35" t="s">
        <v>1221</v>
      </c>
      <c r="E5556" s="35" t="s">
        <v>1237</v>
      </c>
      <c r="F5556" s="35" t="s">
        <v>353</v>
      </c>
      <c r="G5556" s="35" t="s">
        <v>378</v>
      </c>
      <c r="H5556" s="35" t="s">
        <v>375</v>
      </c>
    </row>
    <row r="5557" spans="1:8">
      <c r="A5557" s="34">
        <v>2084224755</v>
      </c>
      <c r="B5557" s="35" t="s">
        <v>462</v>
      </c>
      <c r="C5557" s="35" t="s">
        <v>405</v>
      </c>
      <c r="D5557" s="35" t="s">
        <v>1221</v>
      </c>
      <c r="E5557" s="35" t="s">
        <v>1237</v>
      </c>
      <c r="F5557" s="35" t="s">
        <v>353</v>
      </c>
      <c r="G5557" s="35" t="s">
        <v>378</v>
      </c>
      <c r="H5557" s="35" t="s">
        <v>393</v>
      </c>
    </row>
    <row r="5558" spans="1:8">
      <c r="A5558" s="34">
        <v>2084030368</v>
      </c>
      <c r="B5558" s="35" t="s">
        <v>462</v>
      </c>
      <c r="C5558" s="35" t="s">
        <v>405</v>
      </c>
      <c r="D5558" s="35" t="s">
        <v>1221</v>
      </c>
      <c r="E5558" s="35" t="s">
        <v>1237</v>
      </c>
      <c r="F5558" s="35" t="s">
        <v>353</v>
      </c>
      <c r="G5558" s="35" t="s">
        <v>422</v>
      </c>
    </row>
    <row r="5559" spans="1:8">
      <c r="A5559" s="34">
        <v>2084053601</v>
      </c>
      <c r="B5559" s="35" t="s">
        <v>462</v>
      </c>
      <c r="C5559" s="35" t="s">
        <v>405</v>
      </c>
      <c r="D5559" s="35" t="s">
        <v>1221</v>
      </c>
      <c r="E5559" s="35" t="s">
        <v>1237</v>
      </c>
      <c r="F5559" s="35" t="s">
        <v>353</v>
      </c>
      <c r="G5559" s="35" t="s">
        <v>549</v>
      </c>
    </row>
    <row r="5560" spans="1:8">
      <c r="A5560" s="34">
        <v>2084051168</v>
      </c>
      <c r="B5560" s="35" t="s">
        <v>462</v>
      </c>
      <c r="C5560" s="35" t="s">
        <v>405</v>
      </c>
      <c r="D5560" s="35" t="s">
        <v>1221</v>
      </c>
      <c r="E5560" s="35" t="s">
        <v>1237</v>
      </c>
      <c r="F5560" s="35" t="s">
        <v>353</v>
      </c>
      <c r="G5560" s="35" t="s">
        <v>335</v>
      </c>
    </row>
    <row r="5561" spans="1:8">
      <c r="A5561" s="34">
        <v>2084031373</v>
      </c>
      <c r="B5561" s="35" t="s">
        <v>462</v>
      </c>
      <c r="C5561" s="35" t="s">
        <v>405</v>
      </c>
      <c r="D5561" s="35" t="s">
        <v>1221</v>
      </c>
      <c r="E5561" s="35" t="s">
        <v>1237</v>
      </c>
      <c r="F5561" s="35" t="s">
        <v>442</v>
      </c>
      <c r="G5561" s="35" t="s">
        <v>569</v>
      </c>
    </row>
    <row r="5562" spans="1:8">
      <c r="A5562" s="34">
        <v>2084051169</v>
      </c>
      <c r="B5562" s="35" t="s">
        <v>462</v>
      </c>
      <c r="C5562" s="35" t="s">
        <v>405</v>
      </c>
      <c r="D5562" s="35" t="s">
        <v>1221</v>
      </c>
      <c r="E5562" s="35" t="s">
        <v>1237</v>
      </c>
      <c r="F5562" s="35" t="s">
        <v>442</v>
      </c>
      <c r="G5562" s="35" t="s">
        <v>335</v>
      </c>
    </row>
    <row r="5563" spans="1:8">
      <c r="A5563" s="34">
        <v>2084048749</v>
      </c>
      <c r="B5563" s="35" t="s">
        <v>462</v>
      </c>
      <c r="C5563" s="35" t="s">
        <v>405</v>
      </c>
      <c r="D5563" s="35" t="s">
        <v>1221</v>
      </c>
      <c r="E5563" s="35" t="s">
        <v>1237</v>
      </c>
      <c r="F5563" s="35" t="s">
        <v>335</v>
      </c>
    </row>
    <row r="5564" spans="1:8">
      <c r="A5564" s="34">
        <v>2084061382</v>
      </c>
      <c r="B5564" s="35" t="s">
        <v>462</v>
      </c>
      <c r="C5564" s="35" t="s">
        <v>405</v>
      </c>
      <c r="D5564" s="35" t="s">
        <v>1221</v>
      </c>
      <c r="E5564" s="35" t="s">
        <v>1238</v>
      </c>
      <c r="F5564" s="35" t="s">
        <v>484</v>
      </c>
    </row>
    <row r="5565" spans="1:8">
      <c r="A5565" s="34">
        <v>2084061383</v>
      </c>
      <c r="B5565" s="35" t="s">
        <v>462</v>
      </c>
      <c r="C5565" s="35" t="s">
        <v>405</v>
      </c>
      <c r="D5565" s="35" t="s">
        <v>1221</v>
      </c>
      <c r="E5565" s="35" t="s">
        <v>1238</v>
      </c>
      <c r="F5565" s="35" t="s">
        <v>335</v>
      </c>
    </row>
    <row r="5566" spans="1:8">
      <c r="A5566" s="34">
        <v>2084036142</v>
      </c>
      <c r="B5566" s="35" t="s">
        <v>462</v>
      </c>
      <c r="C5566" s="35" t="s">
        <v>405</v>
      </c>
      <c r="D5566" s="35" t="s">
        <v>1221</v>
      </c>
      <c r="E5566" s="35" t="s">
        <v>1239</v>
      </c>
      <c r="F5566" s="35" t="s">
        <v>569</v>
      </c>
    </row>
    <row r="5567" spans="1:8">
      <c r="A5567" s="34">
        <v>2084054044</v>
      </c>
      <c r="B5567" s="35" t="s">
        <v>462</v>
      </c>
      <c r="C5567" s="35" t="s">
        <v>405</v>
      </c>
      <c r="D5567" s="35" t="s">
        <v>1221</v>
      </c>
      <c r="E5567" s="35" t="s">
        <v>1239</v>
      </c>
      <c r="F5567" s="35" t="s">
        <v>353</v>
      </c>
      <c r="G5567" s="35" t="s">
        <v>368</v>
      </c>
      <c r="H5567" s="35" t="s">
        <v>335</v>
      </c>
    </row>
    <row r="5568" spans="1:8">
      <c r="A5568" s="34">
        <v>2084054043</v>
      </c>
      <c r="B5568" s="35" t="s">
        <v>462</v>
      </c>
      <c r="C5568" s="35" t="s">
        <v>405</v>
      </c>
      <c r="D5568" s="35" t="s">
        <v>1221</v>
      </c>
      <c r="E5568" s="35" t="s">
        <v>1239</v>
      </c>
      <c r="F5568" s="35" t="s">
        <v>353</v>
      </c>
      <c r="G5568" s="35" t="s">
        <v>368</v>
      </c>
      <c r="H5568" s="35" t="s">
        <v>481</v>
      </c>
    </row>
    <row r="5569" spans="1:8">
      <c r="A5569" s="34">
        <v>2084054050</v>
      </c>
      <c r="B5569" s="35" t="s">
        <v>462</v>
      </c>
      <c r="C5569" s="35" t="s">
        <v>405</v>
      </c>
      <c r="D5569" s="35" t="s">
        <v>1221</v>
      </c>
      <c r="E5569" s="35" t="s">
        <v>1239</v>
      </c>
      <c r="F5569" s="35" t="s">
        <v>353</v>
      </c>
      <c r="G5569" s="35" t="s">
        <v>10</v>
      </c>
      <c r="H5569" s="35" t="s">
        <v>335</v>
      </c>
    </row>
    <row r="5570" spans="1:8">
      <c r="A5570" s="34">
        <v>2084054051</v>
      </c>
      <c r="B5570" s="35" t="s">
        <v>462</v>
      </c>
      <c r="C5570" s="35" t="s">
        <v>405</v>
      </c>
      <c r="D5570" s="35" t="s">
        <v>1221</v>
      </c>
      <c r="E5570" s="35" t="s">
        <v>1239</v>
      </c>
      <c r="F5570" s="35" t="s">
        <v>353</v>
      </c>
      <c r="G5570" s="35" t="s">
        <v>10</v>
      </c>
      <c r="H5570" s="35" t="s">
        <v>483</v>
      </c>
    </row>
    <row r="5571" spans="1:8">
      <c r="A5571" s="34">
        <v>2084054049</v>
      </c>
      <c r="B5571" s="35" t="s">
        <v>462</v>
      </c>
      <c r="C5571" s="35" t="s">
        <v>405</v>
      </c>
      <c r="D5571" s="35" t="s">
        <v>1221</v>
      </c>
      <c r="E5571" s="35" t="s">
        <v>1239</v>
      </c>
      <c r="F5571" s="35" t="s">
        <v>353</v>
      </c>
      <c r="G5571" s="35" t="s">
        <v>10</v>
      </c>
      <c r="H5571" s="35" t="s">
        <v>397</v>
      </c>
    </row>
    <row r="5572" spans="1:8">
      <c r="A5572" s="34">
        <v>2084054046</v>
      </c>
      <c r="B5572" s="35" t="s">
        <v>462</v>
      </c>
      <c r="C5572" s="35" t="s">
        <v>405</v>
      </c>
      <c r="D5572" s="35" t="s">
        <v>1221</v>
      </c>
      <c r="E5572" s="35" t="s">
        <v>1239</v>
      </c>
      <c r="F5572" s="35" t="s">
        <v>353</v>
      </c>
      <c r="G5572" s="35" t="s">
        <v>10</v>
      </c>
      <c r="H5572" s="35" t="s">
        <v>421</v>
      </c>
    </row>
    <row r="5573" spans="1:8">
      <c r="A5573" s="34">
        <v>2084054048</v>
      </c>
      <c r="B5573" s="35" t="s">
        <v>462</v>
      </c>
      <c r="C5573" s="35" t="s">
        <v>405</v>
      </c>
      <c r="D5573" s="35" t="s">
        <v>1221</v>
      </c>
      <c r="E5573" s="35" t="s">
        <v>1239</v>
      </c>
      <c r="F5573" s="35" t="s">
        <v>353</v>
      </c>
      <c r="G5573" s="35" t="s">
        <v>10</v>
      </c>
      <c r="H5573" s="35" t="s">
        <v>398</v>
      </c>
    </row>
    <row r="5574" spans="1:8">
      <c r="A5574" s="34">
        <v>2084054047</v>
      </c>
      <c r="B5574" s="35" t="s">
        <v>462</v>
      </c>
      <c r="C5574" s="35" t="s">
        <v>405</v>
      </c>
      <c r="D5574" s="35" t="s">
        <v>1221</v>
      </c>
      <c r="E5574" s="35" t="s">
        <v>1239</v>
      </c>
      <c r="F5574" s="35" t="s">
        <v>353</v>
      </c>
      <c r="G5574" s="35" t="s">
        <v>10</v>
      </c>
      <c r="H5574" s="35" t="s">
        <v>422</v>
      </c>
    </row>
    <row r="5575" spans="1:8">
      <c r="A5575" s="34">
        <v>2084054052</v>
      </c>
      <c r="B5575" s="35" t="s">
        <v>462</v>
      </c>
      <c r="C5575" s="35" t="s">
        <v>405</v>
      </c>
      <c r="D5575" s="35" t="s">
        <v>1221</v>
      </c>
      <c r="E5575" s="35" t="s">
        <v>1239</v>
      </c>
      <c r="F5575" s="35" t="s">
        <v>353</v>
      </c>
      <c r="G5575" s="35" t="s">
        <v>403</v>
      </c>
    </row>
    <row r="5576" spans="1:8">
      <c r="A5576" s="34">
        <v>2084048748</v>
      </c>
      <c r="B5576" s="35" t="s">
        <v>462</v>
      </c>
      <c r="C5576" s="35" t="s">
        <v>405</v>
      </c>
      <c r="D5576" s="35" t="s">
        <v>1221</v>
      </c>
      <c r="E5576" s="35" t="s">
        <v>1239</v>
      </c>
      <c r="F5576" s="35" t="s">
        <v>335</v>
      </c>
    </row>
    <row r="5577" spans="1:8">
      <c r="A5577" s="34">
        <v>2084243737</v>
      </c>
      <c r="B5577" s="35" t="s">
        <v>462</v>
      </c>
      <c r="C5577" s="35" t="s">
        <v>405</v>
      </c>
      <c r="D5577" s="35" t="s">
        <v>1221</v>
      </c>
      <c r="E5577" s="35" t="s">
        <v>1240</v>
      </c>
    </row>
    <row r="5578" spans="1:8">
      <c r="A5578" s="34">
        <v>2084050283</v>
      </c>
      <c r="B5578" s="35" t="s">
        <v>462</v>
      </c>
      <c r="C5578" s="35" t="s">
        <v>405</v>
      </c>
      <c r="D5578" s="35" t="s">
        <v>1221</v>
      </c>
      <c r="E5578" s="35" t="s">
        <v>1241</v>
      </c>
    </row>
    <row r="5579" spans="1:8">
      <c r="A5579" s="34">
        <v>2084194467</v>
      </c>
      <c r="B5579" s="35" t="s">
        <v>462</v>
      </c>
      <c r="C5579" s="35" t="s">
        <v>405</v>
      </c>
      <c r="D5579" s="35" t="s">
        <v>1221</v>
      </c>
      <c r="E5579" s="35" t="s">
        <v>1242</v>
      </c>
      <c r="F5579" s="35" t="s">
        <v>367</v>
      </c>
    </row>
    <row r="5580" spans="1:8">
      <c r="A5580" s="34">
        <v>2084194470</v>
      </c>
      <c r="B5580" s="35" t="s">
        <v>462</v>
      </c>
      <c r="C5580" s="35" t="s">
        <v>405</v>
      </c>
      <c r="D5580" s="35" t="s">
        <v>1221</v>
      </c>
      <c r="E5580" s="35" t="s">
        <v>1242</v>
      </c>
      <c r="F5580" s="35" t="s">
        <v>368</v>
      </c>
      <c r="G5580" s="35" t="s">
        <v>481</v>
      </c>
    </row>
    <row r="5581" spans="1:8">
      <c r="A5581" s="34">
        <v>2084194469</v>
      </c>
      <c r="B5581" s="35" t="s">
        <v>462</v>
      </c>
      <c r="C5581" s="35" t="s">
        <v>405</v>
      </c>
      <c r="D5581" s="35" t="s">
        <v>1221</v>
      </c>
      <c r="E5581" s="35" t="s">
        <v>1242</v>
      </c>
      <c r="F5581" s="35" t="s">
        <v>368</v>
      </c>
      <c r="G5581" s="35" t="s">
        <v>482</v>
      </c>
    </row>
    <row r="5582" spans="1:8">
      <c r="A5582" s="34">
        <v>2084194471</v>
      </c>
      <c r="B5582" s="35" t="s">
        <v>462</v>
      </c>
      <c r="C5582" s="35" t="s">
        <v>405</v>
      </c>
      <c r="D5582" s="35" t="s">
        <v>1221</v>
      </c>
      <c r="E5582" s="35" t="s">
        <v>1242</v>
      </c>
      <c r="F5582" s="35" t="s">
        <v>368</v>
      </c>
      <c r="G5582" s="35" t="s">
        <v>335</v>
      </c>
    </row>
    <row r="5583" spans="1:8">
      <c r="A5583" s="34">
        <v>2084194479</v>
      </c>
      <c r="B5583" s="35" t="s">
        <v>462</v>
      </c>
      <c r="C5583" s="35" t="s">
        <v>405</v>
      </c>
      <c r="D5583" s="35" t="s">
        <v>1221</v>
      </c>
      <c r="E5583" s="35" t="s">
        <v>1242</v>
      </c>
      <c r="F5583" s="35" t="s">
        <v>10</v>
      </c>
      <c r="G5583" s="35" t="s">
        <v>483</v>
      </c>
    </row>
    <row r="5584" spans="1:8">
      <c r="A5584" s="34">
        <v>2084194474</v>
      </c>
      <c r="B5584" s="35" t="s">
        <v>462</v>
      </c>
      <c r="C5584" s="35" t="s">
        <v>405</v>
      </c>
      <c r="D5584" s="35" t="s">
        <v>1221</v>
      </c>
      <c r="E5584" s="35" t="s">
        <v>1242</v>
      </c>
      <c r="F5584" s="35" t="s">
        <v>10</v>
      </c>
      <c r="G5584" s="35" t="s">
        <v>397</v>
      </c>
    </row>
    <row r="5585" spans="1:8">
      <c r="A5585" s="34">
        <v>2084194477</v>
      </c>
      <c r="B5585" s="35" t="s">
        <v>462</v>
      </c>
      <c r="C5585" s="35" t="s">
        <v>405</v>
      </c>
      <c r="D5585" s="35" t="s">
        <v>1221</v>
      </c>
      <c r="E5585" s="35" t="s">
        <v>1242</v>
      </c>
      <c r="F5585" s="35" t="s">
        <v>10</v>
      </c>
      <c r="G5585" s="35" t="s">
        <v>421</v>
      </c>
    </row>
    <row r="5586" spans="1:8">
      <c r="A5586" s="34">
        <v>2084194473</v>
      </c>
      <c r="B5586" s="35" t="s">
        <v>462</v>
      </c>
      <c r="C5586" s="35" t="s">
        <v>405</v>
      </c>
      <c r="D5586" s="35" t="s">
        <v>1221</v>
      </c>
      <c r="E5586" s="35" t="s">
        <v>1242</v>
      </c>
      <c r="F5586" s="35" t="s">
        <v>10</v>
      </c>
      <c r="G5586" s="35" t="s">
        <v>398</v>
      </c>
    </row>
    <row r="5587" spans="1:8">
      <c r="A5587" s="34">
        <v>2084194475</v>
      </c>
      <c r="B5587" s="35" t="s">
        <v>462</v>
      </c>
      <c r="C5587" s="35" t="s">
        <v>405</v>
      </c>
      <c r="D5587" s="35" t="s">
        <v>1221</v>
      </c>
      <c r="E5587" s="35" t="s">
        <v>1242</v>
      </c>
      <c r="F5587" s="35" t="s">
        <v>10</v>
      </c>
      <c r="G5587" s="35" t="s">
        <v>422</v>
      </c>
    </row>
    <row r="5588" spans="1:8">
      <c r="A5588" s="34">
        <v>2084194480</v>
      </c>
      <c r="B5588" s="35" t="s">
        <v>462</v>
      </c>
      <c r="C5588" s="35" t="s">
        <v>405</v>
      </c>
      <c r="D5588" s="35" t="s">
        <v>1221</v>
      </c>
      <c r="E5588" s="35" t="s">
        <v>1242</v>
      </c>
      <c r="F5588" s="35" t="s">
        <v>10</v>
      </c>
      <c r="G5588" s="35" t="s">
        <v>335</v>
      </c>
    </row>
    <row r="5589" spans="1:8">
      <c r="A5589" s="34">
        <v>2084194483</v>
      </c>
      <c r="B5589" s="35" t="s">
        <v>462</v>
      </c>
      <c r="C5589" s="35" t="s">
        <v>405</v>
      </c>
      <c r="D5589" s="35" t="s">
        <v>1221</v>
      </c>
      <c r="E5589" s="35" t="s">
        <v>1242</v>
      </c>
      <c r="F5589" s="35" t="s">
        <v>379</v>
      </c>
      <c r="G5589" s="35" t="s">
        <v>476</v>
      </c>
    </row>
    <row r="5590" spans="1:8">
      <c r="A5590" s="34">
        <v>2084194484</v>
      </c>
      <c r="B5590" s="35" t="s">
        <v>462</v>
      </c>
      <c r="C5590" s="35" t="s">
        <v>405</v>
      </c>
      <c r="D5590" s="35" t="s">
        <v>1221</v>
      </c>
      <c r="E5590" s="35" t="s">
        <v>1242</v>
      </c>
      <c r="F5590" s="35" t="s">
        <v>379</v>
      </c>
      <c r="G5590" s="35" t="s">
        <v>335</v>
      </c>
    </row>
    <row r="5591" spans="1:8">
      <c r="A5591" s="34">
        <v>2084194489</v>
      </c>
      <c r="B5591" s="35" t="s">
        <v>462</v>
      </c>
      <c r="C5591" s="35" t="s">
        <v>405</v>
      </c>
      <c r="D5591" s="35" t="s">
        <v>1221</v>
      </c>
      <c r="E5591" s="35" t="s">
        <v>1242</v>
      </c>
      <c r="F5591" s="35" t="s">
        <v>478</v>
      </c>
    </row>
    <row r="5592" spans="1:8">
      <c r="A5592" s="34">
        <v>2084194486</v>
      </c>
      <c r="B5592" s="35" t="s">
        <v>462</v>
      </c>
      <c r="C5592" s="35" t="s">
        <v>405</v>
      </c>
      <c r="D5592" s="35" t="s">
        <v>1221</v>
      </c>
      <c r="E5592" s="35" t="s">
        <v>1242</v>
      </c>
      <c r="F5592" s="35" t="s">
        <v>335</v>
      </c>
    </row>
    <row r="5593" spans="1:8">
      <c r="A5593" s="34">
        <v>2084050282</v>
      </c>
      <c r="B5593" s="35" t="s">
        <v>462</v>
      </c>
      <c r="C5593" s="35" t="s">
        <v>405</v>
      </c>
      <c r="D5593" s="35" t="s">
        <v>1221</v>
      </c>
      <c r="E5593" s="35" t="s">
        <v>1243</v>
      </c>
    </row>
    <row r="5594" spans="1:8">
      <c r="A5594" s="34">
        <v>2084205927</v>
      </c>
      <c r="B5594" s="35" t="s">
        <v>462</v>
      </c>
      <c r="C5594" s="35" t="s">
        <v>405</v>
      </c>
      <c r="D5594" s="35" t="s">
        <v>1221</v>
      </c>
      <c r="E5594" s="35" t="s">
        <v>1244</v>
      </c>
    </row>
    <row r="5595" spans="1:8">
      <c r="A5595" s="34">
        <v>2084230014</v>
      </c>
      <c r="B5595" s="35" t="s">
        <v>462</v>
      </c>
      <c r="C5595" s="35" t="s">
        <v>405</v>
      </c>
      <c r="D5595" s="35" t="s">
        <v>1221</v>
      </c>
      <c r="E5595" s="35" t="s">
        <v>1245</v>
      </c>
    </row>
    <row r="5596" spans="1:8">
      <c r="A5596" s="34">
        <v>2084062388</v>
      </c>
      <c r="B5596" s="35" t="s">
        <v>462</v>
      </c>
      <c r="C5596" s="35" t="s">
        <v>405</v>
      </c>
      <c r="D5596" s="35" t="s">
        <v>1221</v>
      </c>
      <c r="E5596" s="35" t="s">
        <v>1246</v>
      </c>
      <c r="F5596" s="35" t="s">
        <v>407</v>
      </c>
    </row>
    <row r="5597" spans="1:8">
      <c r="A5597" s="34">
        <v>2084062380</v>
      </c>
      <c r="B5597" s="35" t="s">
        <v>462</v>
      </c>
      <c r="C5597" s="35" t="s">
        <v>405</v>
      </c>
      <c r="D5597" s="35" t="s">
        <v>1221</v>
      </c>
      <c r="E5597" s="35" t="s">
        <v>1246</v>
      </c>
      <c r="F5597" s="35" t="s">
        <v>353</v>
      </c>
      <c r="G5597" s="35" t="s">
        <v>401</v>
      </c>
    </row>
    <row r="5598" spans="1:8">
      <c r="A5598" s="34">
        <v>2084062384</v>
      </c>
      <c r="B5598" s="35" t="s">
        <v>462</v>
      </c>
      <c r="C5598" s="35" t="s">
        <v>405</v>
      </c>
      <c r="D5598" s="35" t="s">
        <v>1221</v>
      </c>
      <c r="E5598" s="35" t="s">
        <v>1246</v>
      </c>
      <c r="F5598" s="35" t="s">
        <v>353</v>
      </c>
      <c r="G5598" s="35" t="s">
        <v>10</v>
      </c>
      <c r="H5598" s="35" t="s">
        <v>483</v>
      </c>
    </row>
    <row r="5599" spans="1:8">
      <c r="A5599" s="34">
        <v>2084062383</v>
      </c>
      <c r="B5599" s="35" t="s">
        <v>462</v>
      </c>
      <c r="C5599" s="35" t="s">
        <v>405</v>
      </c>
      <c r="D5599" s="35" t="s">
        <v>1221</v>
      </c>
      <c r="E5599" s="35" t="s">
        <v>1246</v>
      </c>
      <c r="F5599" s="35" t="s">
        <v>353</v>
      </c>
      <c r="G5599" s="35" t="s">
        <v>10</v>
      </c>
      <c r="H5599" s="35" t="s">
        <v>397</v>
      </c>
    </row>
    <row r="5600" spans="1:8">
      <c r="A5600" s="34">
        <v>2084062382</v>
      </c>
      <c r="B5600" s="35" t="s">
        <v>462</v>
      </c>
      <c r="C5600" s="35" t="s">
        <v>405</v>
      </c>
      <c r="D5600" s="35" t="s">
        <v>1221</v>
      </c>
      <c r="E5600" s="35" t="s">
        <v>1246</v>
      </c>
      <c r="F5600" s="35" t="s">
        <v>353</v>
      </c>
      <c r="G5600" s="35" t="s">
        <v>10</v>
      </c>
      <c r="H5600" s="35" t="s">
        <v>398</v>
      </c>
    </row>
    <row r="5601" spans="1:8">
      <c r="A5601" s="34">
        <v>2084062385</v>
      </c>
      <c r="B5601" s="35" t="s">
        <v>462</v>
      </c>
      <c r="C5601" s="35" t="s">
        <v>405</v>
      </c>
      <c r="D5601" s="35" t="s">
        <v>1221</v>
      </c>
      <c r="E5601" s="35" t="s">
        <v>1246</v>
      </c>
      <c r="F5601" s="35" t="s">
        <v>353</v>
      </c>
      <c r="G5601" s="35" t="s">
        <v>10</v>
      </c>
      <c r="H5601" s="35" t="s">
        <v>335</v>
      </c>
    </row>
    <row r="5602" spans="1:8">
      <c r="A5602" s="34">
        <v>2084062386</v>
      </c>
      <c r="B5602" s="35" t="s">
        <v>462</v>
      </c>
      <c r="C5602" s="35" t="s">
        <v>405</v>
      </c>
      <c r="D5602" s="35" t="s">
        <v>1221</v>
      </c>
      <c r="E5602" s="35" t="s">
        <v>1246</v>
      </c>
      <c r="F5602" s="35" t="s">
        <v>353</v>
      </c>
      <c r="G5602" s="35" t="s">
        <v>403</v>
      </c>
    </row>
    <row r="5603" spans="1:8">
      <c r="A5603" s="34">
        <v>2084062387</v>
      </c>
      <c r="B5603" s="35" t="s">
        <v>462</v>
      </c>
      <c r="C5603" s="35" t="s">
        <v>405</v>
      </c>
      <c r="D5603" s="35" t="s">
        <v>1221</v>
      </c>
      <c r="E5603" s="35" t="s">
        <v>1246</v>
      </c>
      <c r="F5603" s="35" t="s">
        <v>353</v>
      </c>
      <c r="G5603" s="35" t="s">
        <v>335</v>
      </c>
    </row>
    <row r="5604" spans="1:8">
      <c r="A5604" s="34">
        <v>2084062389</v>
      </c>
      <c r="B5604" s="35" t="s">
        <v>462</v>
      </c>
      <c r="C5604" s="35" t="s">
        <v>405</v>
      </c>
      <c r="D5604" s="35" t="s">
        <v>1221</v>
      </c>
      <c r="E5604" s="35" t="s">
        <v>1246</v>
      </c>
      <c r="F5604" s="35" t="s">
        <v>335</v>
      </c>
    </row>
    <row r="5605" spans="1:8">
      <c r="A5605" s="34">
        <v>2084301214</v>
      </c>
      <c r="B5605" s="35" t="s">
        <v>462</v>
      </c>
      <c r="C5605" s="35" t="s">
        <v>405</v>
      </c>
      <c r="D5605" s="35" t="s">
        <v>1221</v>
      </c>
      <c r="E5605" s="35" t="s">
        <v>1247</v>
      </c>
    </row>
    <row r="5606" spans="1:8">
      <c r="A5606" s="34">
        <v>2084056076</v>
      </c>
      <c r="B5606" s="35" t="s">
        <v>462</v>
      </c>
      <c r="C5606" s="35" t="s">
        <v>405</v>
      </c>
      <c r="D5606" s="35" t="s">
        <v>1221</v>
      </c>
      <c r="E5606" s="35" t="s">
        <v>1248</v>
      </c>
      <c r="F5606" s="35" t="s">
        <v>1249</v>
      </c>
      <c r="G5606" s="35" t="s">
        <v>788</v>
      </c>
    </row>
    <row r="5607" spans="1:8">
      <c r="A5607" s="34">
        <v>2084056077</v>
      </c>
      <c r="B5607" s="35" t="s">
        <v>462</v>
      </c>
      <c r="C5607" s="35" t="s">
        <v>405</v>
      </c>
      <c r="D5607" s="35" t="s">
        <v>1221</v>
      </c>
      <c r="E5607" s="35" t="s">
        <v>1248</v>
      </c>
      <c r="F5607" s="35" t="s">
        <v>1249</v>
      </c>
      <c r="G5607" s="35" t="s">
        <v>789</v>
      </c>
    </row>
    <row r="5608" spans="1:8">
      <c r="A5608" s="34">
        <v>2084056078</v>
      </c>
      <c r="B5608" s="35" t="s">
        <v>462</v>
      </c>
      <c r="C5608" s="35" t="s">
        <v>405</v>
      </c>
      <c r="D5608" s="35" t="s">
        <v>1221</v>
      </c>
      <c r="E5608" s="35" t="s">
        <v>1248</v>
      </c>
      <c r="F5608" s="35" t="s">
        <v>1249</v>
      </c>
      <c r="G5608" s="35" t="s">
        <v>790</v>
      </c>
    </row>
    <row r="5609" spans="1:8">
      <c r="A5609" s="34">
        <v>2084056079</v>
      </c>
      <c r="B5609" s="35" t="s">
        <v>462</v>
      </c>
      <c r="C5609" s="35" t="s">
        <v>405</v>
      </c>
      <c r="D5609" s="35" t="s">
        <v>1221</v>
      </c>
      <c r="E5609" s="35" t="s">
        <v>1248</v>
      </c>
      <c r="F5609" s="35" t="s">
        <v>1249</v>
      </c>
      <c r="G5609" s="35" t="s">
        <v>791</v>
      </c>
    </row>
    <row r="5610" spans="1:8">
      <c r="A5610" s="34">
        <v>2084056080</v>
      </c>
      <c r="B5610" s="35" t="s">
        <v>462</v>
      </c>
      <c r="C5610" s="35" t="s">
        <v>405</v>
      </c>
      <c r="D5610" s="35" t="s">
        <v>1221</v>
      </c>
      <c r="E5610" s="35" t="s">
        <v>1248</v>
      </c>
      <c r="F5610" s="35" t="s">
        <v>1249</v>
      </c>
      <c r="G5610" s="35" t="s">
        <v>792</v>
      </c>
    </row>
    <row r="5611" spans="1:8">
      <c r="A5611" s="34">
        <v>2084056081</v>
      </c>
      <c r="B5611" s="35" t="s">
        <v>462</v>
      </c>
      <c r="C5611" s="35" t="s">
        <v>405</v>
      </c>
      <c r="D5611" s="35" t="s">
        <v>1221</v>
      </c>
      <c r="E5611" s="35" t="s">
        <v>1248</v>
      </c>
      <c r="F5611" s="35" t="s">
        <v>1249</v>
      </c>
      <c r="G5611" s="35" t="s">
        <v>793</v>
      </c>
    </row>
    <row r="5612" spans="1:8">
      <c r="A5612" s="34">
        <v>2084056082</v>
      </c>
      <c r="B5612" s="35" t="s">
        <v>462</v>
      </c>
      <c r="C5612" s="35" t="s">
        <v>405</v>
      </c>
      <c r="D5612" s="35" t="s">
        <v>1221</v>
      </c>
      <c r="E5612" s="35" t="s">
        <v>1248</v>
      </c>
      <c r="F5612" s="35" t="s">
        <v>1249</v>
      </c>
      <c r="G5612" s="35" t="s">
        <v>876</v>
      </c>
    </row>
    <row r="5613" spans="1:8">
      <c r="A5613" s="34">
        <v>2084056083</v>
      </c>
      <c r="B5613" s="35" t="s">
        <v>462</v>
      </c>
      <c r="C5613" s="35" t="s">
        <v>405</v>
      </c>
      <c r="D5613" s="35" t="s">
        <v>1221</v>
      </c>
      <c r="E5613" s="35" t="s">
        <v>1248</v>
      </c>
      <c r="F5613" s="35" t="s">
        <v>1249</v>
      </c>
      <c r="G5613" s="35" t="s">
        <v>877</v>
      </c>
    </row>
    <row r="5614" spans="1:8">
      <c r="A5614" s="34">
        <v>2084056084</v>
      </c>
      <c r="B5614" s="35" t="s">
        <v>462</v>
      </c>
      <c r="C5614" s="35" t="s">
        <v>405</v>
      </c>
      <c r="D5614" s="35" t="s">
        <v>1221</v>
      </c>
      <c r="E5614" s="35" t="s">
        <v>1248</v>
      </c>
      <c r="F5614" s="35" t="s">
        <v>1249</v>
      </c>
      <c r="G5614" s="35" t="s">
        <v>878</v>
      </c>
    </row>
    <row r="5615" spans="1:8">
      <c r="A5615" s="34">
        <v>2084056085</v>
      </c>
      <c r="B5615" s="35" t="s">
        <v>462</v>
      </c>
      <c r="C5615" s="35" t="s">
        <v>405</v>
      </c>
      <c r="D5615" s="35" t="s">
        <v>1221</v>
      </c>
      <c r="E5615" s="35" t="s">
        <v>1248</v>
      </c>
      <c r="F5615" s="35" t="s">
        <v>1249</v>
      </c>
      <c r="G5615" s="35" t="s">
        <v>879</v>
      </c>
    </row>
    <row r="5616" spans="1:8">
      <c r="A5616" s="34">
        <v>2084056086</v>
      </c>
      <c r="B5616" s="35" t="s">
        <v>462</v>
      </c>
      <c r="C5616" s="35" t="s">
        <v>405</v>
      </c>
      <c r="D5616" s="35" t="s">
        <v>1221</v>
      </c>
      <c r="E5616" s="35" t="s">
        <v>1248</v>
      </c>
      <c r="F5616" s="35" t="s">
        <v>1249</v>
      </c>
      <c r="G5616" s="35" t="s">
        <v>880</v>
      </c>
    </row>
    <row r="5617" spans="1:7">
      <c r="A5617" s="34">
        <v>2084056087</v>
      </c>
      <c r="B5617" s="35" t="s">
        <v>462</v>
      </c>
      <c r="C5617" s="35" t="s">
        <v>405</v>
      </c>
      <c r="D5617" s="35" t="s">
        <v>1221</v>
      </c>
      <c r="E5617" s="35" t="s">
        <v>1248</v>
      </c>
      <c r="F5617" s="35" t="s">
        <v>1249</v>
      </c>
      <c r="G5617" s="35" t="s">
        <v>881</v>
      </c>
    </row>
    <row r="5618" spans="1:7">
      <c r="A5618" s="34">
        <v>2084056088</v>
      </c>
      <c r="B5618" s="35" t="s">
        <v>462</v>
      </c>
      <c r="C5618" s="35" t="s">
        <v>405</v>
      </c>
      <c r="D5618" s="35" t="s">
        <v>1221</v>
      </c>
      <c r="E5618" s="35" t="s">
        <v>1248</v>
      </c>
      <c r="F5618" s="35" t="s">
        <v>1249</v>
      </c>
      <c r="G5618" s="35" t="s">
        <v>882</v>
      </c>
    </row>
    <row r="5619" spans="1:7">
      <c r="A5619" s="34">
        <v>2084056089</v>
      </c>
      <c r="B5619" s="35" t="s">
        <v>462</v>
      </c>
      <c r="C5619" s="35" t="s">
        <v>405</v>
      </c>
      <c r="D5619" s="35" t="s">
        <v>1221</v>
      </c>
      <c r="E5619" s="35" t="s">
        <v>1248</v>
      </c>
      <c r="F5619" s="35" t="s">
        <v>1249</v>
      </c>
      <c r="G5619" s="35" t="s">
        <v>1250</v>
      </c>
    </row>
    <row r="5620" spans="1:7">
      <c r="A5620" s="34">
        <v>2084056119</v>
      </c>
      <c r="B5620" s="35" t="s">
        <v>462</v>
      </c>
      <c r="C5620" s="35" t="s">
        <v>405</v>
      </c>
      <c r="D5620" s="35" t="s">
        <v>1221</v>
      </c>
      <c r="E5620" s="35" t="s">
        <v>1248</v>
      </c>
      <c r="F5620" s="35" t="s">
        <v>335</v>
      </c>
    </row>
    <row r="5621" spans="1:7">
      <c r="A5621" s="34">
        <v>2084028207</v>
      </c>
      <c r="B5621" s="35" t="s">
        <v>462</v>
      </c>
      <c r="C5621" s="35" t="s">
        <v>405</v>
      </c>
      <c r="D5621" s="35" t="s">
        <v>1221</v>
      </c>
      <c r="E5621" s="35" t="s">
        <v>1251</v>
      </c>
      <c r="F5621" s="35" t="s">
        <v>367</v>
      </c>
    </row>
    <row r="5622" spans="1:7">
      <c r="A5622" s="34">
        <v>2084028756</v>
      </c>
      <c r="B5622" s="35" t="s">
        <v>462</v>
      </c>
      <c r="C5622" s="35" t="s">
        <v>405</v>
      </c>
      <c r="D5622" s="35" t="s">
        <v>1221</v>
      </c>
      <c r="E5622" s="35" t="s">
        <v>1251</v>
      </c>
      <c r="F5622" s="35" t="s">
        <v>368</v>
      </c>
      <c r="G5622" s="35" t="s">
        <v>508</v>
      </c>
    </row>
    <row r="5623" spans="1:7">
      <c r="A5623" s="34">
        <v>2084029339</v>
      </c>
      <c r="B5623" s="35" t="s">
        <v>462</v>
      </c>
      <c r="C5623" s="35" t="s">
        <v>405</v>
      </c>
      <c r="D5623" s="35" t="s">
        <v>1221</v>
      </c>
      <c r="E5623" s="35" t="s">
        <v>1251</v>
      </c>
      <c r="F5623" s="35" t="s">
        <v>368</v>
      </c>
      <c r="G5623" s="35" t="s">
        <v>481</v>
      </c>
    </row>
    <row r="5624" spans="1:7">
      <c r="A5624" s="34">
        <v>2084029848</v>
      </c>
      <c r="B5624" s="35" t="s">
        <v>462</v>
      </c>
      <c r="C5624" s="35" t="s">
        <v>405</v>
      </c>
      <c r="D5624" s="35" t="s">
        <v>1221</v>
      </c>
      <c r="E5624" s="35" t="s">
        <v>1251</v>
      </c>
      <c r="F5624" s="35" t="s">
        <v>368</v>
      </c>
      <c r="G5624" s="35" t="s">
        <v>494</v>
      </c>
    </row>
    <row r="5625" spans="1:7">
      <c r="A5625" s="34">
        <v>2084058876</v>
      </c>
      <c r="B5625" s="35" t="s">
        <v>462</v>
      </c>
      <c r="C5625" s="35" t="s">
        <v>405</v>
      </c>
      <c r="D5625" s="35" t="s">
        <v>1221</v>
      </c>
      <c r="E5625" s="35" t="s">
        <v>1251</v>
      </c>
      <c r="F5625" s="35" t="s">
        <v>368</v>
      </c>
      <c r="G5625" s="35" t="s">
        <v>335</v>
      </c>
    </row>
    <row r="5626" spans="1:7">
      <c r="A5626" s="34">
        <v>2084027305</v>
      </c>
      <c r="B5626" s="35" t="s">
        <v>462</v>
      </c>
      <c r="C5626" s="35" t="s">
        <v>405</v>
      </c>
      <c r="D5626" s="35" t="s">
        <v>1221</v>
      </c>
      <c r="E5626" s="35" t="s">
        <v>1251</v>
      </c>
      <c r="F5626" s="35" t="s">
        <v>10</v>
      </c>
      <c r="G5626" s="35" t="s">
        <v>509</v>
      </c>
    </row>
    <row r="5627" spans="1:7">
      <c r="A5627" s="34">
        <v>2084027798</v>
      </c>
      <c r="B5627" s="35" t="s">
        <v>462</v>
      </c>
      <c r="C5627" s="35" t="s">
        <v>405</v>
      </c>
      <c r="D5627" s="35" t="s">
        <v>1221</v>
      </c>
      <c r="E5627" s="35" t="s">
        <v>1251</v>
      </c>
      <c r="F5627" s="35" t="s">
        <v>10</v>
      </c>
      <c r="G5627" s="35" t="s">
        <v>510</v>
      </c>
    </row>
    <row r="5628" spans="1:7">
      <c r="A5628" s="34">
        <v>2084027880</v>
      </c>
      <c r="B5628" s="35" t="s">
        <v>462</v>
      </c>
      <c r="C5628" s="35" t="s">
        <v>405</v>
      </c>
      <c r="D5628" s="35" t="s">
        <v>1221</v>
      </c>
      <c r="E5628" s="35" t="s">
        <v>1251</v>
      </c>
      <c r="F5628" s="35" t="s">
        <v>10</v>
      </c>
      <c r="G5628" s="35" t="s">
        <v>511</v>
      </c>
    </row>
    <row r="5629" spans="1:7">
      <c r="A5629" s="34">
        <v>2084027910</v>
      </c>
      <c r="B5629" s="35" t="s">
        <v>462</v>
      </c>
      <c r="C5629" s="35" t="s">
        <v>405</v>
      </c>
      <c r="D5629" s="35" t="s">
        <v>1221</v>
      </c>
      <c r="E5629" s="35" t="s">
        <v>1251</v>
      </c>
      <c r="F5629" s="35" t="s">
        <v>10</v>
      </c>
      <c r="G5629" s="35" t="s">
        <v>493</v>
      </c>
    </row>
    <row r="5630" spans="1:7">
      <c r="A5630" s="34">
        <v>2084027479</v>
      </c>
      <c r="B5630" s="35" t="s">
        <v>462</v>
      </c>
      <c r="C5630" s="35" t="s">
        <v>405</v>
      </c>
      <c r="D5630" s="35" t="s">
        <v>1221</v>
      </c>
      <c r="E5630" s="35" t="s">
        <v>1251</v>
      </c>
      <c r="F5630" s="35" t="s">
        <v>10</v>
      </c>
      <c r="G5630" s="35" t="s">
        <v>512</v>
      </c>
    </row>
    <row r="5631" spans="1:7">
      <c r="A5631" s="34">
        <v>2084027611</v>
      </c>
      <c r="B5631" s="35" t="s">
        <v>462</v>
      </c>
      <c r="C5631" s="35" t="s">
        <v>405</v>
      </c>
      <c r="D5631" s="35" t="s">
        <v>1221</v>
      </c>
      <c r="E5631" s="35" t="s">
        <v>1251</v>
      </c>
      <c r="F5631" s="35" t="s">
        <v>10</v>
      </c>
      <c r="G5631" s="35" t="s">
        <v>513</v>
      </c>
    </row>
    <row r="5632" spans="1:7">
      <c r="A5632" s="34">
        <v>2084027948</v>
      </c>
      <c r="B5632" s="35" t="s">
        <v>462</v>
      </c>
      <c r="C5632" s="35" t="s">
        <v>405</v>
      </c>
      <c r="D5632" s="35" t="s">
        <v>1221</v>
      </c>
      <c r="E5632" s="35" t="s">
        <v>1251</v>
      </c>
      <c r="F5632" s="35" t="s">
        <v>10</v>
      </c>
      <c r="G5632" s="35" t="s">
        <v>420</v>
      </c>
    </row>
    <row r="5633" spans="1:7">
      <c r="A5633" s="34">
        <v>2084027268</v>
      </c>
      <c r="B5633" s="35" t="s">
        <v>462</v>
      </c>
      <c r="C5633" s="35" t="s">
        <v>405</v>
      </c>
      <c r="D5633" s="35" t="s">
        <v>1221</v>
      </c>
      <c r="E5633" s="35" t="s">
        <v>1251</v>
      </c>
      <c r="F5633" s="35" t="s">
        <v>10</v>
      </c>
      <c r="G5633" s="35" t="s">
        <v>397</v>
      </c>
    </row>
    <row r="5634" spans="1:7">
      <c r="A5634" s="34">
        <v>2084027401</v>
      </c>
      <c r="B5634" s="35" t="s">
        <v>462</v>
      </c>
      <c r="C5634" s="35" t="s">
        <v>405</v>
      </c>
      <c r="D5634" s="35" t="s">
        <v>1221</v>
      </c>
      <c r="E5634" s="35" t="s">
        <v>1251</v>
      </c>
      <c r="F5634" s="35" t="s">
        <v>10</v>
      </c>
      <c r="G5634" s="35" t="s">
        <v>515</v>
      </c>
    </row>
    <row r="5635" spans="1:7">
      <c r="A5635" s="34">
        <v>2084027513</v>
      </c>
      <c r="B5635" s="35" t="s">
        <v>462</v>
      </c>
      <c r="C5635" s="35" t="s">
        <v>405</v>
      </c>
      <c r="D5635" s="35" t="s">
        <v>1221</v>
      </c>
      <c r="E5635" s="35" t="s">
        <v>1251</v>
      </c>
      <c r="F5635" s="35" t="s">
        <v>10</v>
      </c>
      <c r="G5635" s="35" t="s">
        <v>421</v>
      </c>
    </row>
    <row r="5636" spans="1:7">
      <c r="A5636" s="34">
        <v>2084027724</v>
      </c>
      <c r="B5636" s="35" t="s">
        <v>462</v>
      </c>
      <c r="C5636" s="35" t="s">
        <v>405</v>
      </c>
      <c r="D5636" s="35" t="s">
        <v>1221</v>
      </c>
      <c r="E5636" s="35" t="s">
        <v>1251</v>
      </c>
      <c r="F5636" s="35" t="s">
        <v>10</v>
      </c>
      <c r="G5636" s="35" t="s">
        <v>516</v>
      </c>
    </row>
    <row r="5637" spans="1:7">
      <c r="A5637" s="34">
        <v>2084027191</v>
      </c>
      <c r="B5637" s="35" t="s">
        <v>462</v>
      </c>
      <c r="C5637" s="35" t="s">
        <v>405</v>
      </c>
      <c r="D5637" s="35" t="s">
        <v>1221</v>
      </c>
      <c r="E5637" s="35" t="s">
        <v>1251</v>
      </c>
      <c r="F5637" s="35" t="s">
        <v>10</v>
      </c>
      <c r="G5637" s="35" t="s">
        <v>398</v>
      </c>
    </row>
    <row r="5638" spans="1:7">
      <c r="A5638" s="34">
        <v>2084027343</v>
      </c>
      <c r="B5638" s="35" t="s">
        <v>462</v>
      </c>
      <c r="C5638" s="35" t="s">
        <v>405</v>
      </c>
      <c r="D5638" s="35" t="s">
        <v>1221</v>
      </c>
      <c r="E5638" s="35" t="s">
        <v>1251</v>
      </c>
      <c r="F5638" s="35" t="s">
        <v>10</v>
      </c>
      <c r="G5638" s="35" t="s">
        <v>518</v>
      </c>
    </row>
    <row r="5639" spans="1:7">
      <c r="A5639" s="34">
        <v>2084027551</v>
      </c>
      <c r="B5639" s="35" t="s">
        <v>462</v>
      </c>
      <c r="C5639" s="35" t="s">
        <v>405</v>
      </c>
      <c r="D5639" s="35" t="s">
        <v>1221</v>
      </c>
      <c r="E5639" s="35" t="s">
        <v>1251</v>
      </c>
      <c r="F5639" s="35" t="s">
        <v>10</v>
      </c>
      <c r="G5639" s="35" t="s">
        <v>422</v>
      </c>
    </row>
    <row r="5640" spans="1:7">
      <c r="A5640" s="34">
        <v>2084027774</v>
      </c>
      <c r="B5640" s="35" t="s">
        <v>462</v>
      </c>
      <c r="C5640" s="35" t="s">
        <v>405</v>
      </c>
      <c r="D5640" s="35" t="s">
        <v>1221</v>
      </c>
      <c r="E5640" s="35" t="s">
        <v>1251</v>
      </c>
      <c r="F5640" s="35" t="s">
        <v>10</v>
      </c>
      <c r="G5640" s="35" t="s">
        <v>519</v>
      </c>
    </row>
    <row r="5641" spans="1:7">
      <c r="A5641" s="34">
        <v>2084028012</v>
      </c>
      <c r="B5641" s="35" t="s">
        <v>462</v>
      </c>
      <c r="C5641" s="35" t="s">
        <v>405</v>
      </c>
      <c r="D5641" s="35" t="s">
        <v>1221</v>
      </c>
      <c r="E5641" s="35" t="s">
        <v>1251</v>
      </c>
      <c r="F5641" s="35" t="s">
        <v>379</v>
      </c>
      <c r="G5641" s="35" t="s">
        <v>520</v>
      </c>
    </row>
    <row r="5642" spans="1:7">
      <c r="A5642" s="34">
        <v>2084028085</v>
      </c>
      <c r="B5642" s="35" t="s">
        <v>462</v>
      </c>
      <c r="C5642" s="35" t="s">
        <v>405</v>
      </c>
      <c r="D5642" s="35" t="s">
        <v>1221</v>
      </c>
      <c r="E5642" s="35" t="s">
        <v>1251</v>
      </c>
      <c r="F5642" s="35" t="s">
        <v>379</v>
      </c>
      <c r="G5642" s="35" t="s">
        <v>521</v>
      </c>
    </row>
    <row r="5643" spans="1:7">
      <c r="A5643" s="34">
        <v>2084028185</v>
      </c>
      <c r="B5643" s="35" t="s">
        <v>462</v>
      </c>
      <c r="C5643" s="35" t="s">
        <v>405</v>
      </c>
      <c r="D5643" s="35" t="s">
        <v>1221</v>
      </c>
      <c r="E5643" s="35" t="s">
        <v>1251</v>
      </c>
      <c r="F5643" s="35" t="s">
        <v>379</v>
      </c>
      <c r="G5643" s="35" t="s">
        <v>522</v>
      </c>
    </row>
    <row r="5644" spans="1:7">
      <c r="A5644" s="34">
        <v>2084028391</v>
      </c>
      <c r="B5644" s="35" t="s">
        <v>462</v>
      </c>
      <c r="C5644" s="35" t="s">
        <v>405</v>
      </c>
      <c r="D5644" s="35" t="s">
        <v>1221</v>
      </c>
      <c r="E5644" s="35" t="s">
        <v>1251</v>
      </c>
      <c r="F5644" s="35" t="s">
        <v>379</v>
      </c>
      <c r="G5644" s="35" t="s">
        <v>523</v>
      </c>
    </row>
    <row r="5645" spans="1:7">
      <c r="A5645" s="34">
        <v>2084028124</v>
      </c>
      <c r="B5645" s="35" t="s">
        <v>462</v>
      </c>
      <c r="C5645" s="35" t="s">
        <v>405</v>
      </c>
      <c r="D5645" s="35" t="s">
        <v>1221</v>
      </c>
      <c r="E5645" s="35" t="s">
        <v>1251</v>
      </c>
      <c r="F5645" s="35" t="s">
        <v>379</v>
      </c>
      <c r="G5645" s="35" t="s">
        <v>524</v>
      </c>
    </row>
    <row r="5646" spans="1:7">
      <c r="A5646" s="34">
        <v>2084028240</v>
      </c>
      <c r="B5646" s="35" t="s">
        <v>462</v>
      </c>
      <c r="C5646" s="35" t="s">
        <v>405</v>
      </c>
      <c r="D5646" s="35" t="s">
        <v>1221</v>
      </c>
      <c r="E5646" s="35" t="s">
        <v>1251</v>
      </c>
      <c r="F5646" s="35" t="s">
        <v>379</v>
      </c>
      <c r="G5646" s="35" t="s">
        <v>525</v>
      </c>
    </row>
    <row r="5647" spans="1:7">
      <c r="A5647" s="34">
        <v>2084028447</v>
      </c>
      <c r="B5647" s="35" t="s">
        <v>462</v>
      </c>
      <c r="C5647" s="35" t="s">
        <v>405</v>
      </c>
      <c r="D5647" s="35" t="s">
        <v>1221</v>
      </c>
      <c r="E5647" s="35" t="s">
        <v>1251</v>
      </c>
      <c r="F5647" s="35" t="s">
        <v>379</v>
      </c>
      <c r="G5647" s="35" t="s">
        <v>526</v>
      </c>
    </row>
    <row r="5648" spans="1:7">
      <c r="A5648" s="34">
        <v>2084028315</v>
      </c>
      <c r="B5648" s="35" t="s">
        <v>462</v>
      </c>
      <c r="C5648" s="35" t="s">
        <v>405</v>
      </c>
      <c r="D5648" s="35" t="s">
        <v>1221</v>
      </c>
      <c r="E5648" s="35" t="s">
        <v>1251</v>
      </c>
      <c r="F5648" s="35" t="s">
        <v>379</v>
      </c>
      <c r="G5648" s="35" t="s">
        <v>527</v>
      </c>
    </row>
    <row r="5649" spans="1:7">
      <c r="A5649" s="34">
        <v>2084028527</v>
      </c>
      <c r="B5649" s="35" t="s">
        <v>462</v>
      </c>
      <c r="C5649" s="35" t="s">
        <v>405</v>
      </c>
      <c r="D5649" s="35" t="s">
        <v>1221</v>
      </c>
      <c r="E5649" s="35" t="s">
        <v>1251</v>
      </c>
      <c r="F5649" s="35" t="s">
        <v>379</v>
      </c>
      <c r="G5649" s="35" t="s">
        <v>528</v>
      </c>
    </row>
    <row r="5650" spans="1:7">
      <c r="A5650" s="34">
        <v>2084028353</v>
      </c>
      <c r="B5650" s="35" t="s">
        <v>462</v>
      </c>
      <c r="C5650" s="35" t="s">
        <v>405</v>
      </c>
      <c r="D5650" s="35" t="s">
        <v>1221</v>
      </c>
      <c r="E5650" s="35" t="s">
        <v>1251</v>
      </c>
      <c r="F5650" s="35" t="s">
        <v>379</v>
      </c>
      <c r="G5650" s="35" t="s">
        <v>548</v>
      </c>
    </row>
    <row r="5651" spans="1:7">
      <c r="A5651" s="34">
        <v>2084058877</v>
      </c>
      <c r="B5651" s="35" t="s">
        <v>462</v>
      </c>
      <c r="C5651" s="35" t="s">
        <v>405</v>
      </c>
      <c r="D5651" s="35" t="s">
        <v>1221</v>
      </c>
      <c r="E5651" s="35" t="s">
        <v>1251</v>
      </c>
      <c r="F5651" s="35" t="s">
        <v>379</v>
      </c>
      <c r="G5651" s="35" t="s">
        <v>335</v>
      </c>
    </row>
    <row r="5652" spans="1:7">
      <c r="A5652" s="34">
        <v>2084028567</v>
      </c>
      <c r="B5652" s="35" t="s">
        <v>462</v>
      </c>
      <c r="C5652" s="35" t="s">
        <v>405</v>
      </c>
      <c r="D5652" s="35" t="s">
        <v>1221</v>
      </c>
      <c r="E5652" s="35" t="s">
        <v>1251</v>
      </c>
      <c r="F5652" s="35" t="s">
        <v>530</v>
      </c>
      <c r="G5652" s="35" t="s">
        <v>531</v>
      </c>
    </row>
    <row r="5653" spans="1:7">
      <c r="A5653" s="34">
        <v>2084028605</v>
      </c>
      <c r="B5653" s="35" t="s">
        <v>462</v>
      </c>
      <c r="C5653" s="35" t="s">
        <v>405</v>
      </c>
      <c r="D5653" s="35" t="s">
        <v>1221</v>
      </c>
      <c r="E5653" s="35" t="s">
        <v>1251</v>
      </c>
      <c r="F5653" s="35" t="s">
        <v>530</v>
      </c>
      <c r="G5653" s="35" t="s">
        <v>532</v>
      </c>
    </row>
    <row r="5654" spans="1:7">
      <c r="A5654" s="34">
        <v>2084030105</v>
      </c>
      <c r="B5654" s="35" t="s">
        <v>462</v>
      </c>
      <c r="C5654" s="35" t="s">
        <v>405</v>
      </c>
      <c r="D5654" s="35" t="s">
        <v>1221</v>
      </c>
      <c r="E5654" s="35" t="s">
        <v>1251</v>
      </c>
      <c r="F5654" s="35" t="s">
        <v>533</v>
      </c>
      <c r="G5654" s="35" t="s">
        <v>1194</v>
      </c>
    </row>
    <row r="5655" spans="1:7">
      <c r="A5655" s="34">
        <v>2084030187</v>
      </c>
      <c r="B5655" s="35" t="s">
        <v>462</v>
      </c>
      <c r="C5655" s="35" t="s">
        <v>405</v>
      </c>
      <c r="D5655" s="35" t="s">
        <v>1221</v>
      </c>
      <c r="E5655" s="35" t="s">
        <v>1251</v>
      </c>
      <c r="F5655" s="35" t="s">
        <v>533</v>
      </c>
      <c r="G5655" s="35" t="s">
        <v>1195</v>
      </c>
    </row>
    <row r="5656" spans="1:7">
      <c r="A5656" s="34">
        <v>2084027179</v>
      </c>
      <c r="B5656" s="35" t="s">
        <v>462</v>
      </c>
      <c r="C5656" s="35" t="s">
        <v>405</v>
      </c>
      <c r="D5656" s="35" t="s">
        <v>1221</v>
      </c>
      <c r="E5656" s="35" t="s">
        <v>1251</v>
      </c>
      <c r="F5656" s="35" t="s">
        <v>533</v>
      </c>
      <c r="G5656" s="35" t="s">
        <v>536</v>
      </c>
    </row>
    <row r="5657" spans="1:7">
      <c r="A5657" s="34">
        <v>2084030069</v>
      </c>
      <c r="B5657" s="35" t="s">
        <v>462</v>
      </c>
      <c r="C5657" s="35" t="s">
        <v>405</v>
      </c>
      <c r="D5657" s="35" t="s">
        <v>1221</v>
      </c>
      <c r="E5657" s="35" t="s">
        <v>1251</v>
      </c>
      <c r="F5657" s="35" t="s">
        <v>533</v>
      </c>
      <c r="G5657" s="35" t="s">
        <v>335</v>
      </c>
    </row>
    <row r="5658" spans="1:7">
      <c r="A5658" s="34">
        <v>2084051173</v>
      </c>
      <c r="B5658" s="35" t="s">
        <v>462</v>
      </c>
      <c r="C5658" s="35" t="s">
        <v>405</v>
      </c>
      <c r="D5658" s="35" t="s">
        <v>1221</v>
      </c>
      <c r="E5658" s="35" t="s">
        <v>1251</v>
      </c>
      <c r="F5658" s="35" t="s">
        <v>475</v>
      </c>
    </row>
    <row r="5659" spans="1:7">
      <c r="A5659" s="34">
        <v>2084048758</v>
      </c>
      <c r="B5659" s="35" t="s">
        <v>462</v>
      </c>
      <c r="C5659" s="35" t="s">
        <v>405</v>
      </c>
      <c r="D5659" s="35" t="s">
        <v>1221</v>
      </c>
      <c r="E5659" s="35" t="s">
        <v>1251</v>
      </c>
      <c r="F5659" s="35" t="s">
        <v>335</v>
      </c>
    </row>
    <row r="5660" spans="1:7">
      <c r="A5660" s="34">
        <v>2084054194</v>
      </c>
      <c r="B5660" s="35" t="s">
        <v>462</v>
      </c>
      <c r="C5660" s="35" t="s">
        <v>405</v>
      </c>
      <c r="D5660" s="35" t="s">
        <v>1221</v>
      </c>
      <c r="E5660" s="35" t="s">
        <v>1252</v>
      </c>
      <c r="F5660" s="35" t="s">
        <v>367</v>
      </c>
    </row>
    <row r="5661" spans="1:7">
      <c r="A5661" s="34">
        <v>2084054196</v>
      </c>
      <c r="B5661" s="35" t="s">
        <v>462</v>
      </c>
      <c r="C5661" s="35" t="s">
        <v>405</v>
      </c>
      <c r="D5661" s="35" t="s">
        <v>1221</v>
      </c>
      <c r="E5661" s="35" t="s">
        <v>1252</v>
      </c>
      <c r="F5661" s="35" t="s">
        <v>368</v>
      </c>
      <c r="G5661" s="35" t="s">
        <v>481</v>
      </c>
    </row>
    <row r="5662" spans="1:7">
      <c r="A5662" s="34">
        <v>2084054197</v>
      </c>
      <c r="B5662" s="35" t="s">
        <v>462</v>
      </c>
      <c r="C5662" s="35" t="s">
        <v>405</v>
      </c>
      <c r="D5662" s="35" t="s">
        <v>1221</v>
      </c>
      <c r="E5662" s="35" t="s">
        <v>1252</v>
      </c>
      <c r="F5662" s="35" t="s">
        <v>368</v>
      </c>
      <c r="G5662" s="35" t="s">
        <v>335</v>
      </c>
    </row>
    <row r="5663" spans="1:7">
      <c r="A5663" s="34">
        <v>2084054209</v>
      </c>
      <c r="B5663" s="35" t="s">
        <v>462</v>
      </c>
      <c r="C5663" s="35" t="s">
        <v>405</v>
      </c>
      <c r="D5663" s="35" t="s">
        <v>1221</v>
      </c>
      <c r="E5663" s="35" t="s">
        <v>1252</v>
      </c>
      <c r="F5663" s="35" t="s">
        <v>10</v>
      </c>
      <c r="G5663" s="35" t="s">
        <v>483</v>
      </c>
    </row>
    <row r="5664" spans="1:7">
      <c r="A5664" s="34">
        <v>2084054206</v>
      </c>
      <c r="B5664" s="35" t="s">
        <v>462</v>
      </c>
      <c r="C5664" s="35" t="s">
        <v>405</v>
      </c>
      <c r="D5664" s="35" t="s">
        <v>1221</v>
      </c>
      <c r="E5664" s="35" t="s">
        <v>1252</v>
      </c>
      <c r="F5664" s="35" t="s">
        <v>10</v>
      </c>
      <c r="G5664" s="35" t="s">
        <v>510</v>
      </c>
    </row>
    <row r="5665" spans="1:8">
      <c r="A5665" s="34">
        <v>2084054202</v>
      </c>
      <c r="B5665" s="35" t="s">
        <v>462</v>
      </c>
      <c r="C5665" s="35" t="s">
        <v>405</v>
      </c>
      <c r="D5665" s="35" t="s">
        <v>1221</v>
      </c>
      <c r="E5665" s="35" t="s">
        <v>1252</v>
      </c>
      <c r="F5665" s="35" t="s">
        <v>10</v>
      </c>
      <c r="G5665" s="35" t="s">
        <v>397</v>
      </c>
    </row>
    <row r="5666" spans="1:8">
      <c r="A5666" s="34">
        <v>2084054203</v>
      </c>
      <c r="B5666" s="35" t="s">
        <v>462</v>
      </c>
      <c r="C5666" s="35" t="s">
        <v>405</v>
      </c>
      <c r="D5666" s="35" t="s">
        <v>1221</v>
      </c>
      <c r="E5666" s="35" t="s">
        <v>1252</v>
      </c>
      <c r="F5666" s="35" t="s">
        <v>10</v>
      </c>
      <c r="G5666" s="35" t="s">
        <v>421</v>
      </c>
    </row>
    <row r="5667" spans="1:8">
      <c r="A5667" s="34">
        <v>2084054200</v>
      </c>
      <c r="B5667" s="35" t="s">
        <v>462</v>
      </c>
      <c r="C5667" s="35" t="s">
        <v>405</v>
      </c>
      <c r="D5667" s="35" t="s">
        <v>1221</v>
      </c>
      <c r="E5667" s="35" t="s">
        <v>1252</v>
      </c>
      <c r="F5667" s="35" t="s">
        <v>10</v>
      </c>
      <c r="G5667" s="35" t="s">
        <v>398</v>
      </c>
    </row>
    <row r="5668" spans="1:8">
      <c r="A5668" s="34">
        <v>2084054201</v>
      </c>
      <c r="B5668" s="35" t="s">
        <v>462</v>
      </c>
      <c r="C5668" s="35" t="s">
        <v>405</v>
      </c>
      <c r="D5668" s="35" t="s">
        <v>1221</v>
      </c>
      <c r="E5668" s="35" t="s">
        <v>1252</v>
      </c>
      <c r="F5668" s="35" t="s">
        <v>10</v>
      </c>
      <c r="G5668" s="35" t="s">
        <v>422</v>
      </c>
    </row>
    <row r="5669" spans="1:8">
      <c r="A5669" s="34">
        <v>2084054221</v>
      </c>
      <c r="B5669" s="35" t="s">
        <v>462</v>
      </c>
      <c r="C5669" s="35" t="s">
        <v>405</v>
      </c>
      <c r="D5669" s="35" t="s">
        <v>1221</v>
      </c>
      <c r="E5669" s="35" t="s">
        <v>1252</v>
      </c>
      <c r="F5669" s="35" t="s">
        <v>10</v>
      </c>
      <c r="G5669" s="35" t="s">
        <v>335</v>
      </c>
    </row>
    <row r="5670" spans="1:8">
      <c r="A5670" s="34">
        <v>2084054223</v>
      </c>
      <c r="B5670" s="35" t="s">
        <v>462</v>
      </c>
      <c r="C5670" s="35" t="s">
        <v>405</v>
      </c>
      <c r="D5670" s="35" t="s">
        <v>1221</v>
      </c>
      <c r="E5670" s="35" t="s">
        <v>1252</v>
      </c>
      <c r="F5670" s="35" t="s">
        <v>379</v>
      </c>
      <c r="G5670" s="35" t="s">
        <v>476</v>
      </c>
    </row>
    <row r="5671" spans="1:8">
      <c r="A5671" s="34">
        <v>2084054224</v>
      </c>
      <c r="B5671" s="35" t="s">
        <v>462</v>
      </c>
      <c r="C5671" s="35" t="s">
        <v>405</v>
      </c>
      <c r="D5671" s="35" t="s">
        <v>1221</v>
      </c>
      <c r="E5671" s="35" t="s">
        <v>1252</v>
      </c>
      <c r="F5671" s="35" t="s">
        <v>379</v>
      </c>
      <c r="G5671" s="35" t="s">
        <v>335</v>
      </c>
    </row>
    <row r="5672" spans="1:8">
      <c r="A5672" s="34">
        <v>2084054692</v>
      </c>
      <c r="B5672" s="35" t="s">
        <v>462</v>
      </c>
      <c r="C5672" s="35" t="s">
        <v>405</v>
      </c>
      <c r="D5672" s="35" t="s">
        <v>1221</v>
      </c>
      <c r="E5672" s="35" t="s">
        <v>1252</v>
      </c>
      <c r="F5672" s="35" t="s">
        <v>478</v>
      </c>
    </row>
    <row r="5673" spans="1:8">
      <c r="A5673" s="34">
        <v>2084054225</v>
      </c>
      <c r="B5673" s="35" t="s">
        <v>462</v>
      </c>
      <c r="C5673" s="35" t="s">
        <v>405</v>
      </c>
      <c r="D5673" s="35" t="s">
        <v>1221</v>
      </c>
      <c r="E5673" s="35" t="s">
        <v>1252</v>
      </c>
      <c r="F5673" s="35" t="s">
        <v>335</v>
      </c>
    </row>
    <row r="5674" spans="1:8">
      <c r="A5674" s="34">
        <v>2084028208</v>
      </c>
      <c r="B5674" s="35" t="s">
        <v>462</v>
      </c>
      <c r="C5674" s="35" t="s">
        <v>405</v>
      </c>
      <c r="D5674" s="35" t="s">
        <v>1221</v>
      </c>
      <c r="E5674" s="35" t="s">
        <v>1253</v>
      </c>
      <c r="F5674" s="35" t="s">
        <v>390</v>
      </c>
      <c r="G5674" s="35" t="s">
        <v>367</v>
      </c>
    </row>
    <row r="5675" spans="1:8">
      <c r="A5675" s="34">
        <v>2084028757</v>
      </c>
      <c r="B5675" s="35" t="s">
        <v>462</v>
      </c>
      <c r="C5675" s="35" t="s">
        <v>405</v>
      </c>
      <c r="D5675" s="35" t="s">
        <v>1221</v>
      </c>
      <c r="E5675" s="35" t="s">
        <v>1253</v>
      </c>
      <c r="F5675" s="35" t="s">
        <v>390</v>
      </c>
      <c r="G5675" s="35" t="s">
        <v>368</v>
      </c>
      <c r="H5675" s="35" t="s">
        <v>508</v>
      </c>
    </row>
    <row r="5676" spans="1:8">
      <c r="A5676" s="34">
        <v>2084029291</v>
      </c>
      <c r="B5676" s="35" t="s">
        <v>462</v>
      </c>
      <c r="C5676" s="35" t="s">
        <v>405</v>
      </c>
      <c r="D5676" s="35" t="s">
        <v>1221</v>
      </c>
      <c r="E5676" s="35" t="s">
        <v>1253</v>
      </c>
      <c r="F5676" s="35" t="s">
        <v>390</v>
      </c>
      <c r="G5676" s="35" t="s">
        <v>368</v>
      </c>
      <c r="H5676" s="35" t="s">
        <v>481</v>
      </c>
    </row>
    <row r="5677" spans="1:8">
      <c r="A5677" s="34">
        <v>2084029849</v>
      </c>
      <c r="B5677" s="35" t="s">
        <v>462</v>
      </c>
      <c r="C5677" s="35" t="s">
        <v>405</v>
      </c>
      <c r="D5677" s="35" t="s">
        <v>1221</v>
      </c>
      <c r="E5677" s="35" t="s">
        <v>1253</v>
      </c>
      <c r="F5677" s="35" t="s">
        <v>390</v>
      </c>
      <c r="G5677" s="35" t="s">
        <v>368</v>
      </c>
      <c r="H5677" s="35" t="s">
        <v>494</v>
      </c>
    </row>
    <row r="5678" spans="1:8">
      <c r="A5678" s="34">
        <v>2084058883</v>
      </c>
      <c r="B5678" s="35" t="s">
        <v>462</v>
      </c>
      <c r="C5678" s="35" t="s">
        <v>405</v>
      </c>
      <c r="D5678" s="35" t="s">
        <v>1221</v>
      </c>
      <c r="E5678" s="35" t="s">
        <v>1253</v>
      </c>
      <c r="F5678" s="35" t="s">
        <v>390</v>
      </c>
      <c r="G5678" s="35" t="s">
        <v>368</v>
      </c>
      <c r="H5678" s="35" t="s">
        <v>335</v>
      </c>
    </row>
    <row r="5679" spans="1:8">
      <c r="A5679" s="34">
        <v>2084027306</v>
      </c>
      <c r="B5679" s="35" t="s">
        <v>462</v>
      </c>
      <c r="C5679" s="35" t="s">
        <v>405</v>
      </c>
      <c r="D5679" s="35" t="s">
        <v>1221</v>
      </c>
      <c r="E5679" s="35" t="s">
        <v>1253</v>
      </c>
      <c r="F5679" s="35" t="s">
        <v>390</v>
      </c>
      <c r="G5679" s="35" t="s">
        <v>10</v>
      </c>
      <c r="H5679" s="35" t="s">
        <v>509</v>
      </c>
    </row>
    <row r="5680" spans="1:8">
      <c r="A5680" s="34">
        <v>2084027799</v>
      </c>
      <c r="B5680" s="35" t="s">
        <v>462</v>
      </c>
      <c r="C5680" s="35" t="s">
        <v>405</v>
      </c>
      <c r="D5680" s="35" t="s">
        <v>1221</v>
      </c>
      <c r="E5680" s="35" t="s">
        <v>1253</v>
      </c>
      <c r="F5680" s="35" t="s">
        <v>390</v>
      </c>
      <c r="G5680" s="35" t="s">
        <v>10</v>
      </c>
      <c r="H5680" s="35" t="s">
        <v>510</v>
      </c>
    </row>
    <row r="5681" spans="1:8">
      <c r="A5681" s="34">
        <v>2084027881</v>
      </c>
      <c r="B5681" s="35" t="s">
        <v>462</v>
      </c>
      <c r="C5681" s="35" t="s">
        <v>405</v>
      </c>
      <c r="D5681" s="35" t="s">
        <v>1221</v>
      </c>
      <c r="E5681" s="35" t="s">
        <v>1253</v>
      </c>
      <c r="F5681" s="35" t="s">
        <v>390</v>
      </c>
      <c r="G5681" s="35" t="s">
        <v>10</v>
      </c>
      <c r="H5681" s="35" t="s">
        <v>511</v>
      </c>
    </row>
    <row r="5682" spans="1:8">
      <c r="A5682" s="34">
        <v>2084027911</v>
      </c>
      <c r="B5682" s="35" t="s">
        <v>462</v>
      </c>
      <c r="C5682" s="35" t="s">
        <v>405</v>
      </c>
      <c r="D5682" s="35" t="s">
        <v>1221</v>
      </c>
      <c r="E5682" s="35" t="s">
        <v>1253</v>
      </c>
      <c r="F5682" s="35" t="s">
        <v>390</v>
      </c>
      <c r="G5682" s="35" t="s">
        <v>10</v>
      </c>
      <c r="H5682" s="35" t="s">
        <v>493</v>
      </c>
    </row>
    <row r="5683" spans="1:8">
      <c r="A5683" s="34">
        <v>2084027480</v>
      </c>
      <c r="B5683" s="35" t="s">
        <v>462</v>
      </c>
      <c r="C5683" s="35" t="s">
        <v>405</v>
      </c>
      <c r="D5683" s="35" t="s">
        <v>1221</v>
      </c>
      <c r="E5683" s="35" t="s">
        <v>1253</v>
      </c>
      <c r="F5683" s="35" t="s">
        <v>390</v>
      </c>
      <c r="G5683" s="35" t="s">
        <v>10</v>
      </c>
      <c r="H5683" s="35" t="s">
        <v>512</v>
      </c>
    </row>
    <row r="5684" spans="1:8">
      <c r="A5684" s="34">
        <v>2084027590</v>
      </c>
      <c r="B5684" s="35" t="s">
        <v>462</v>
      </c>
      <c r="C5684" s="35" t="s">
        <v>405</v>
      </c>
      <c r="D5684" s="35" t="s">
        <v>1221</v>
      </c>
      <c r="E5684" s="35" t="s">
        <v>1253</v>
      </c>
      <c r="F5684" s="35" t="s">
        <v>390</v>
      </c>
      <c r="G5684" s="35" t="s">
        <v>10</v>
      </c>
      <c r="H5684" s="35" t="s">
        <v>513</v>
      </c>
    </row>
    <row r="5685" spans="1:8">
      <c r="A5685" s="34">
        <v>2084027949</v>
      </c>
      <c r="B5685" s="35" t="s">
        <v>462</v>
      </c>
      <c r="C5685" s="35" t="s">
        <v>405</v>
      </c>
      <c r="D5685" s="35" t="s">
        <v>1221</v>
      </c>
      <c r="E5685" s="35" t="s">
        <v>1253</v>
      </c>
      <c r="F5685" s="35" t="s">
        <v>390</v>
      </c>
      <c r="G5685" s="35" t="s">
        <v>10</v>
      </c>
      <c r="H5685" s="35" t="s">
        <v>420</v>
      </c>
    </row>
    <row r="5686" spans="1:8">
      <c r="A5686" s="34">
        <v>2084027269</v>
      </c>
      <c r="B5686" s="35" t="s">
        <v>462</v>
      </c>
      <c r="C5686" s="35" t="s">
        <v>405</v>
      </c>
      <c r="D5686" s="35" t="s">
        <v>1221</v>
      </c>
      <c r="E5686" s="35" t="s">
        <v>1253</v>
      </c>
      <c r="F5686" s="35" t="s">
        <v>390</v>
      </c>
      <c r="G5686" s="35" t="s">
        <v>10</v>
      </c>
      <c r="H5686" s="35" t="s">
        <v>397</v>
      </c>
    </row>
    <row r="5687" spans="1:8">
      <c r="A5687" s="34">
        <v>2084027402</v>
      </c>
      <c r="B5687" s="35" t="s">
        <v>462</v>
      </c>
      <c r="C5687" s="35" t="s">
        <v>405</v>
      </c>
      <c r="D5687" s="35" t="s">
        <v>1221</v>
      </c>
      <c r="E5687" s="35" t="s">
        <v>1253</v>
      </c>
      <c r="F5687" s="35" t="s">
        <v>390</v>
      </c>
      <c r="G5687" s="35" t="s">
        <v>10</v>
      </c>
      <c r="H5687" s="35" t="s">
        <v>515</v>
      </c>
    </row>
    <row r="5688" spans="1:8">
      <c r="A5688" s="34">
        <v>2084027514</v>
      </c>
      <c r="B5688" s="35" t="s">
        <v>462</v>
      </c>
      <c r="C5688" s="35" t="s">
        <v>405</v>
      </c>
      <c r="D5688" s="35" t="s">
        <v>1221</v>
      </c>
      <c r="E5688" s="35" t="s">
        <v>1253</v>
      </c>
      <c r="F5688" s="35" t="s">
        <v>390</v>
      </c>
      <c r="G5688" s="35" t="s">
        <v>10</v>
      </c>
      <c r="H5688" s="35" t="s">
        <v>421</v>
      </c>
    </row>
    <row r="5689" spans="1:8">
      <c r="A5689" s="34">
        <v>2084027725</v>
      </c>
      <c r="B5689" s="35" t="s">
        <v>462</v>
      </c>
      <c r="C5689" s="35" t="s">
        <v>405</v>
      </c>
      <c r="D5689" s="35" t="s">
        <v>1221</v>
      </c>
      <c r="E5689" s="35" t="s">
        <v>1253</v>
      </c>
      <c r="F5689" s="35" t="s">
        <v>390</v>
      </c>
      <c r="G5689" s="35" t="s">
        <v>10</v>
      </c>
      <c r="H5689" s="35" t="s">
        <v>516</v>
      </c>
    </row>
    <row r="5690" spans="1:8">
      <c r="A5690" s="34">
        <v>2084027192</v>
      </c>
      <c r="B5690" s="35" t="s">
        <v>462</v>
      </c>
      <c r="C5690" s="35" t="s">
        <v>405</v>
      </c>
      <c r="D5690" s="35" t="s">
        <v>1221</v>
      </c>
      <c r="E5690" s="35" t="s">
        <v>1253</v>
      </c>
      <c r="F5690" s="35" t="s">
        <v>390</v>
      </c>
      <c r="G5690" s="35" t="s">
        <v>10</v>
      </c>
      <c r="H5690" s="35" t="s">
        <v>398</v>
      </c>
    </row>
    <row r="5691" spans="1:8">
      <c r="A5691" s="34">
        <v>2084027344</v>
      </c>
      <c r="B5691" s="35" t="s">
        <v>462</v>
      </c>
      <c r="C5691" s="35" t="s">
        <v>405</v>
      </c>
      <c r="D5691" s="35" t="s">
        <v>1221</v>
      </c>
      <c r="E5691" s="35" t="s">
        <v>1253</v>
      </c>
      <c r="F5691" s="35" t="s">
        <v>390</v>
      </c>
      <c r="G5691" s="35" t="s">
        <v>10</v>
      </c>
      <c r="H5691" s="35" t="s">
        <v>518</v>
      </c>
    </row>
    <row r="5692" spans="1:8">
      <c r="A5692" s="34">
        <v>2084027552</v>
      </c>
      <c r="B5692" s="35" t="s">
        <v>462</v>
      </c>
      <c r="C5692" s="35" t="s">
        <v>405</v>
      </c>
      <c r="D5692" s="35" t="s">
        <v>1221</v>
      </c>
      <c r="E5692" s="35" t="s">
        <v>1253</v>
      </c>
      <c r="F5692" s="35" t="s">
        <v>390</v>
      </c>
      <c r="G5692" s="35" t="s">
        <v>10</v>
      </c>
      <c r="H5692" s="35" t="s">
        <v>422</v>
      </c>
    </row>
    <row r="5693" spans="1:8">
      <c r="A5693" s="34">
        <v>2084027775</v>
      </c>
      <c r="B5693" s="35" t="s">
        <v>462</v>
      </c>
      <c r="C5693" s="35" t="s">
        <v>405</v>
      </c>
      <c r="D5693" s="35" t="s">
        <v>1221</v>
      </c>
      <c r="E5693" s="35" t="s">
        <v>1253</v>
      </c>
      <c r="F5693" s="35" t="s">
        <v>390</v>
      </c>
      <c r="G5693" s="35" t="s">
        <v>10</v>
      </c>
      <c r="H5693" s="35" t="s">
        <v>519</v>
      </c>
    </row>
    <row r="5694" spans="1:8">
      <c r="A5694" s="34">
        <v>2084028013</v>
      </c>
      <c r="B5694" s="35" t="s">
        <v>462</v>
      </c>
      <c r="C5694" s="35" t="s">
        <v>405</v>
      </c>
      <c r="D5694" s="35" t="s">
        <v>1221</v>
      </c>
      <c r="E5694" s="35" t="s">
        <v>1253</v>
      </c>
      <c r="F5694" s="35" t="s">
        <v>390</v>
      </c>
      <c r="G5694" s="35" t="s">
        <v>379</v>
      </c>
      <c r="H5694" s="35" t="s">
        <v>520</v>
      </c>
    </row>
    <row r="5695" spans="1:8">
      <c r="A5695" s="34">
        <v>2084028086</v>
      </c>
      <c r="B5695" s="35" t="s">
        <v>462</v>
      </c>
      <c r="C5695" s="35" t="s">
        <v>405</v>
      </c>
      <c r="D5695" s="35" t="s">
        <v>1221</v>
      </c>
      <c r="E5695" s="35" t="s">
        <v>1253</v>
      </c>
      <c r="F5695" s="35" t="s">
        <v>390</v>
      </c>
      <c r="G5695" s="35" t="s">
        <v>379</v>
      </c>
      <c r="H5695" s="35" t="s">
        <v>521</v>
      </c>
    </row>
    <row r="5696" spans="1:8">
      <c r="A5696" s="34">
        <v>2084028140</v>
      </c>
      <c r="B5696" s="35" t="s">
        <v>462</v>
      </c>
      <c r="C5696" s="35" t="s">
        <v>405</v>
      </c>
      <c r="D5696" s="35" t="s">
        <v>1221</v>
      </c>
      <c r="E5696" s="35" t="s">
        <v>1253</v>
      </c>
      <c r="F5696" s="35" t="s">
        <v>390</v>
      </c>
      <c r="G5696" s="35" t="s">
        <v>379</v>
      </c>
      <c r="H5696" s="35" t="s">
        <v>522</v>
      </c>
    </row>
    <row r="5697" spans="1:8">
      <c r="A5697" s="34">
        <v>2084028392</v>
      </c>
      <c r="B5697" s="35" t="s">
        <v>462</v>
      </c>
      <c r="C5697" s="35" t="s">
        <v>405</v>
      </c>
      <c r="D5697" s="35" t="s">
        <v>1221</v>
      </c>
      <c r="E5697" s="35" t="s">
        <v>1253</v>
      </c>
      <c r="F5697" s="35" t="s">
        <v>390</v>
      </c>
      <c r="G5697" s="35" t="s">
        <v>379</v>
      </c>
      <c r="H5697" s="35" t="s">
        <v>523</v>
      </c>
    </row>
    <row r="5698" spans="1:8">
      <c r="A5698" s="34">
        <v>2084028125</v>
      </c>
      <c r="B5698" s="35" t="s">
        <v>462</v>
      </c>
      <c r="C5698" s="35" t="s">
        <v>405</v>
      </c>
      <c r="D5698" s="35" t="s">
        <v>1221</v>
      </c>
      <c r="E5698" s="35" t="s">
        <v>1253</v>
      </c>
      <c r="F5698" s="35" t="s">
        <v>390</v>
      </c>
      <c r="G5698" s="35" t="s">
        <v>379</v>
      </c>
      <c r="H5698" s="35" t="s">
        <v>524</v>
      </c>
    </row>
    <row r="5699" spans="1:8">
      <c r="A5699" s="34">
        <v>2084028241</v>
      </c>
      <c r="B5699" s="35" t="s">
        <v>462</v>
      </c>
      <c r="C5699" s="35" t="s">
        <v>405</v>
      </c>
      <c r="D5699" s="35" t="s">
        <v>1221</v>
      </c>
      <c r="E5699" s="35" t="s">
        <v>1253</v>
      </c>
      <c r="F5699" s="35" t="s">
        <v>390</v>
      </c>
      <c r="G5699" s="35" t="s">
        <v>379</v>
      </c>
      <c r="H5699" s="35" t="s">
        <v>525</v>
      </c>
    </row>
    <row r="5700" spans="1:8">
      <c r="A5700" s="34">
        <v>2084028448</v>
      </c>
      <c r="B5700" s="35" t="s">
        <v>462</v>
      </c>
      <c r="C5700" s="35" t="s">
        <v>405</v>
      </c>
      <c r="D5700" s="35" t="s">
        <v>1221</v>
      </c>
      <c r="E5700" s="35" t="s">
        <v>1253</v>
      </c>
      <c r="F5700" s="35" t="s">
        <v>390</v>
      </c>
      <c r="G5700" s="35" t="s">
        <v>379</v>
      </c>
      <c r="H5700" s="35" t="s">
        <v>526</v>
      </c>
    </row>
    <row r="5701" spans="1:8">
      <c r="A5701" s="34">
        <v>2084028316</v>
      </c>
      <c r="B5701" s="35" t="s">
        <v>462</v>
      </c>
      <c r="C5701" s="35" t="s">
        <v>405</v>
      </c>
      <c r="D5701" s="35" t="s">
        <v>1221</v>
      </c>
      <c r="E5701" s="35" t="s">
        <v>1253</v>
      </c>
      <c r="F5701" s="35" t="s">
        <v>390</v>
      </c>
      <c r="G5701" s="35" t="s">
        <v>379</v>
      </c>
      <c r="H5701" s="35" t="s">
        <v>527</v>
      </c>
    </row>
    <row r="5702" spans="1:8">
      <c r="A5702" s="34">
        <v>2084028528</v>
      </c>
      <c r="B5702" s="35" t="s">
        <v>462</v>
      </c>
      <c r="C5702" s="35" t="s">
        <v>405</v>
      </c>
      <c r="D5702" s="35" t="s">
        <v>1221</v>
      </c>
      <c r="E5702" s="35" t="s">
        <v>1253</v>
      </c>
      <c r="F5702" s="35" t="s">
        <v>390</v>
      </c>
      <c r="G5702" s="35" t="s">
        <v>379</v>
      </c>
      <c r="H5702" s="35" t="s">
        <v>528</v>
      </c>
    </row>
    <row r="5703" spans="1:8">
      <c r="A5703" s="34">
        <v>2084028354</v>
      </c>
      <c r="B5703" s="35" t="s">
        <v>462</v>
      </c>
      <c r="C5703" s="35" t="s">
        <v>405</v>
      </c>
      <c r="D5703" s="35" t="s">
        <v>1221</v>
      </c>
      <c r="E5703" s="35" t="s">
        <v>1253</v>
      </c>
      <c r="F5703" s="35" t="s">
        <v>390</v>
      </c>
      <c r="G5703" s="35" t="s">
        <v>379</v>
      </c>
      <c r="H5703" s="35" t="s">
        <v>529</v>
      </c>
    </row>
    <row r="5704" spans="1:8">
      <c r="A5704" s="34">
        <v>2084058884</v>
      </c>
      <c r="B5704" s="35" t="s">
        <v>462</v>
      </c>
      <c r="C5704" s="35" t="s">
        <v>405</v>
      </c>
      <c r="D5704" s="35" t="s">
        <v>1221</v>
      </c>
      <c r="E5704" s="35" t="s">
        <v>1253</v>
      </c>
      <c r="F5704" s="35" t="s">
        <v>390</v>
      </c>
      <c r="G5704" s="35" t="s">
        <v>379</v>
      </c>
      <c r="H5704" s="35" t="s">
        <v>335</v>
      </c>
    </row>
    <row r="5705" spans="1:8">
      <c r="A5705" s="34">
        <v>2084028568</v>
      </c>
      <c r="B5705" s="35" t="s">
        <v>462</v>
      </c>
      <c r="C5705" s="35" t="s">
        <v>405</v>
      </c>
      <c r="D5705" s="35" t="s">
        <v>1221</v>
      </c>
      <c r="E5705" s="35" t="s">
        <v>1253</v>
      </c>
      <c r="F5705" s="35" t="s">
        <v>390</v>
      </c>
      <c r="G5705" s="35" t="s">
        <v>530</v>
      </c>
      <c r="H5705" s="35" t="s">
        <v>531</v>
      </c>
    </row>
    <row r="5706" spans="1:8">
      <c r="A5706" s="34">
        <v>2084028606</v>
      </c>
      <c r="B5706" s="35" t="s">
        <v>462</v>
      </c>
      <c r="C5706" s="35" t="s">
        <v>405</v>
      </c>
      <c r="D5706" s="35" t="s">
        <v>1221</v>
      </c>
      <c r="E5706" s="35" t="s">
        <v>1253</v>
      </c>
      <c r="F5706" s="35" t="s">
        <v>390</v>
      </c>
      <c r="G5706" s="35" t="s">
        <v>530</v>
      </c>
      <c r="H5706" s="35" t="s">
        <v>532</v>
      </c>
    </row>
    <row r="5707" spans="1:8">
      <c r="A5707" s="34">
        <v>2084030106</v>
      </c>
      <c r="B5707" s="35" t="s">
        <v>462</v>
      </c>
      <c r="C5707" s="35" t="s">
        <v>405</v>
      </c>
      <c r="D5707" s="35" t="s">
        <v>1221</v>
      </c>
      <c r="E5707" s="35" t="s">
        <v>1253</v>
      </c>
      <c r="F5707" s="35" t="s">
        <v>390</v>
      </c>
      <c r="G5707" s="35" t="s">
        <v>533</v>
      </c>
      <c r="H5707" s="35" t="s">
        <v>1194</v>
      </c>
    </row>
    <row r="5708" spans="1:8">
      <c r="A5708" s="34">
        <v>2084030188</v>
      </c>
      <c r="B5708" s="35" t="s">
        <v>462</v>
      </c>
      <c r="C5708" s="35" t="s">
        <v>405</v>
      </c>
      <c r="D5708" s="35" t="s">
        <v>1221</v>
      </c>
      <c r="E5708" s="35" t="s">
        <v>1253</v>
      </c>
      <c r="F5708" s="35" t="s">
        <v>390</v>
      </c>
      <c r="G5708" s="35" t="s">
        <v>533</v>
      </c>
      <c r="H5708" s="35" t="s">
        <v>1195</v>
      </c>
    </row>
    <row r="5709" spans="1:8">
      <c r="A5709" s="34">
        <v>2084027180</v>
      </c>
      <c r="B5709" s="35" t="s">
        <v>462</v>
      </c>
      <c r="C5709" s="35" t="s">
        <v>405</v>
      </c>
      <c r="D5709" s="35" t="s">
        <v>1221</v>
      </c>
      <c r="E5709" s="35" t="s">
        <v>1253</v>
      </c>
      <c r="F5709" s="35" t="s">
        <v>390</v>
      </c>
      <c r="G5709" s="35" t="s">
        <v>533</v>
      </c>
      <c r="H5709" s="35" t="s">
        <v>536</v>
      </c>
    </row>
    <row r="5710" spans="1:8">
      <c r="A5710" s="34">
        <v>2084024281</v>
      </c>
      <c r="B5710" s="35" t="s">
        <v>462</v>
      </c>
      <c r="C5710" s="35" t="s">
        <v>405</v>
      </c>
      <c r="D5710" s="35" t="s">
        <v>1221</v>
      </c>
      <c r="E5710" s="35" t="s">
        <v>1253</v>
      </c>
      <c r="F5710" s="35" t="s">
        <v>475</v>
      </c>
    </row>
    <row r="5711" spans="1:8">
      <c r="A5711" s="34">
        <v>2084048759</v>
      </c>
      <c r="B5711" s="35" t="s">
        <v>462</v>
      </c>
      <c r="C5711" s="35" t="s">
        <v>405</v>
      </c>
      <c r="D5711" s="35" t="s">
        <v>1221</v>
      </c>
      <c r="E5711" s="35" t="s">
        <v>1253</v>
      </c>
      <c r="F5711" s="35" t="s">
        <v>335</v>
      </c>
    </row>
    <row r="5712" spans="1:8">
      <c r="A5712" s="34">
        <v>2084050602</v>
      </c>
      <c r="B5712" s="35" t="s">
        <v>462</v>
      </c>
      <c r="C5712" s="35" t="s">
        <v>405</v>
      </c>
      <c r="D5712" s="35" t="s">
        <v>1254</v>
      </c>
      <c r="E5712" s="35" t="s">
        <v>1255</v>
      </c>
      <c r="F5712" s="35" t="s">
        <v>390</v>
      </c>
      <c r="G5712" s="35" t="s">
        <v>368</v>
      </c>
      <c r="H5712" s="35" t="s">
        <v>481</v>
      </c>
    </row>
    <row r="5713" spans="1:8">
      <c r="A5713" s="34">
        <v>2084050603</v>
      </c>
      <c r="B5713" s="35" t="s">
        <v>462</v>
      </c>
      <c r="C5713" s="35" t="s">
        <v>405</v>
      </c>
      <c r="D5713" s="35" t="s">
        <v>1254</v>
      </c>
      <c r="E5713" s="35" t="s">
        <v>1255</v>
      </c>
      <c r="F5713" s="35" t="s">
        <v>390</v>
      </c>
      <c r="G5713" s="35" t="s">
        <v>368</v>
      </c>
      <c r="H5713" s="35" t="s">
        <v>335</v>
      </c>
    </row>
    <row r="5714" spans="1:8">
      <c r="A5714" s="34">
        <v>2084050606</v>
      </c>
      <c r="B5714" s="35" t="s">
        <v>462</v>
      </c>
      <c r="C5714" s="35" t="s">
        <v>405</v>
      </c>
      <c r="D5714" s="35" t="s">
        <v>1254</v>
      </c>
      <c r="E5714" s="35" t="s">
        <v>1255</v>
      </c>
      <c r="F5714" s="35" t="s">
        <v>390</v>
      </c>
      <c r="G5714" s="35" t="s">
        <v>10</v>
      </c>
      <c r="H5714" s="35" t="s">
        <v>550</v>
      </c>
    </row>
    <row r="5715" spans="1:8">
      <c r="A5715" s="34">
        <v>2084050605</v>
      </c>
      <c r="B5715" s="35" t="s">
        <v>462</v>
      </c>
      <c r="C5715" s="35" t="s">
        <v>405</v>
      </c>
      <c r="D5715" s="35" t="s">
        <v>1254</v>
      </c>
      <c r="E5715" s="35" t="s">
        <v>1255</v>
      </c>
      <c r="F5715" s="35" t="s">
        <v>390</v>
      </c>
      <c r="G5715" s="35" t="s">
        <v>10</v>
      </c>
      <c r="H5715" s="35" t="s">
        <v>622</v>
      </c>
    </row>
    <row r="5716" spans="1:8">
      <c r="A5716" s="34">
        <v>2084050607</v>
      </c>
      <c r="B5716" s="35" t="s">
        <v>462</v>
      </c>
      <c r="C5716" s="35" t="s">
        <v>405</v>
      </c>
      <c r="D5716" s="35" t="s">
        <v>1254</v>
      </c>
      <c r="E5716" s="35" t="s">
        <v>1255</v>
      </c>
      <c r="F5716" s="35" t="s">
        <v>390</v>
      </c>
      <c r="G5716" s="35" t="s">
        <v>10</v>
      </c>
      <c r="H5716" s="35" t="s">
        <v>510</v>
      </c>
    </row>
    <row r="5717" spans="1:8">
      <c r="A5717" s="34">
        <v>2084050608</v>
      </c>
      <c r="B5717" s="35" t="s">
        <v>462</v>
      </c>
      <c r="C5717" s="35" t="s">
        <v>405</v>
      </c>
      <c r="D5717" s="35" t="s">
        <v>1254</v>
      </c>
      <c r="E5717" s="35" t="s">
        <v>1255</v>
      </c>
      <c r="F5717" s="35" t="s">
        <v>390</v>
      </c>
      <c r="G5717" s="35" t="s">
        <v>10</v>
      </c>
      <c r="H5717" s="35" t="s">
        <v>335</v>
      </c>
    </row>
    <row r="5718" spans="1:8">
      <c r="A5718" s="34">
        <v>2084050610</v>
      </c>
      <c r="B5718" s="35" t="s">
        <v>462</v>
      </c>
      <c r="C5718" s="35" t="s">
        <v>405</v>
      </c>
      <c r="D5718" s="35" t="s">
        <v>1254</v>
      </c>
      <c r="E5718" s="35" t="s">
        <v>1255</v>
      </c>
      <c r="F5718" s="35" t="s">
        <v>390</v>
      </c>
      <c r="G5718" s="35" t="s">
        <v>379</v>
      </c>
      <c r="H5718" s="35" t="s">
        <v>545</v>
      </c>
    </row>
    <row r="5719" spans="1:8">
      <c r="A5719" s="34">
        <v>2084050611</v>
      </c>
      <c r="B5719" s="35" t="s">
        <v>462</v>
      </c>
      <c r="C5719" s="35" t="s">
        <v>405</v>
      </c>
      <c r="D5719" s="35" t="s">
        <v>1254</v>
      </c>
      <c r="E5719" s="35" t="s">
        <v>1255</v>
      </c>
      <c r="F5719" s="35" t="s">
        <v>390</v>
      </c>
      <c r="G5719" s="35" t="s">
        <v>379</v>
      </c>
      <c r="H5719" s="35" t="s">
        <v>476</v>
      </c>
    </row>
    <row r="5720" spans="1:8">
      <c r="A5720" s="34">
        <v>2084050612</v>
      </c>
      <c r="B5720" s="35" t="s">
        <v>462</v>
      </c>
      <c r="C5720" s="35" t="s">
        <v>405</v>
      </c>
      <c r="D5720" s="35" t="s">
        <v>1254</v>
      </c>
      <c r="E5720" s="35" t="s">
        <v>1255</v>
      </c>
      <c r="F5720" s="35" t="s">
        <v>390</v>
      </c>
      <c r="G5720" s="35" t="s">
        <v>379</v>
      </c>
      <c r="H5720" s="35" t="s">
        <v>335</v>
      </c>
    </row>
    <row r="5721" spans="1:8">
      <c r="A5721" s="34">
        <v>2084050613</v>
      </c>
      <c r="B5721" s="35" t="s">
        <v>462</v>
      </c>
      <c r="C5721" s="35" t="s">
        <v>405</v>
      </c>
      <c r="D5721" s="35" t="s">
        <v>1254</v>
      </c>
      <c r="E5721" s="35" t="s">
        <v>1255</v>
      </c>
      <c r="F5721" s="35" t="s">
        <v>390</v>
      </c>
      <c r="G5721" s="35" t="s">
        <v>335</v>
      </c>
    </row>
    <row r="5722" spans="1:8">
      <c r="A5722" s="34">
        <v>2084050590</v>
      </c>
      <c r="B5722" s="35" t="s">
        <v>462</v>
      </c>
      <c r="C5722" s="35" t="s">
        <v>405</v>
      </c>
      <c r="D5722" s="35" t="s">
        <v>1254</v>
      </c>
      <c r="E5722" s="35" t="s">
        <v>1255</v>
      </c>
      <c r="F5722" s="35" t="s">
        <v>353</v>
      </c>
      <c r="G5722" s="35" t="s">
        <v>368</v>
      </c>
      <c r="H5722" s="35" t="s">
        <v>481</v>
      </c>
    </row>
    <row r="5723" spans="1:8">
      <c r="A5723" s="34">
        <v>2084050591</v>
      </c>
      <c r="B5723" s="35" t="s">
        <v>462</v>
      </c>
      <c r="C5723" s="35" t="s">
        <v>405</v>
      </c>
      <c r="D5723" s="35" t="s">
        <v>1254</v>
      </c>
      <c r="E5723" s="35" t="s">
        <v>1255</v>
      </c>
      <c r="F5723" s="35" t="s">
        <v>353</v>
      </c>
      <c r="G5723" s="35" t="s">
        <v>368</v>
      </c>
      <c r="H5723" s="35" t="s">
        <v>335</v>
      </c>
    </row>
    <row r="5724" spans="1:8">
      <c r="A5724" s="34">
        <v>2084050594</v>
      </c>
      <c r="B5724" s="35" t="s">
        <v>462</v>
      </c>
      <c r="C5724" s="35" t="s">
        <v>405</v>
      </c>
      <c r="D5724" s="35" t="s">
        <v>1254</v>
      </c>
      <c r="E5724" s="35" t="s">
        <v>1255</v>
      </c>
      <c r="F5724" s="35" t="s">
        <v>353</v>
      </c>
      <c r="G5724" s="35" t="s">
        <v>10</v>
      </c>
      <c r="H5724" s="35" t="s">
        <v>550</v>
      </c>
    </row>
    <row r="5725" spans="1:8">
      <c r="A5725" s="34">
        <v>2084050593</v>
      </c>
      <c r="B5725" s="35" t="s">
        <v>462</v>
      </c>
      <c r="C5725" s="35" t="s">
        <v>405</v>
      </c>
      <c r="D5725" s="35" t="s">
        <v>1254</v>
      </c>
      <c r="E5725" s="35" t="s">
        <v>1255</v>
      </c>
      <c r="F5725" s="35" t="s">
        <v>353</v>
      </c>
      <c r="G5725" s="35" t="s">
        <v>10</v>
      </c>
      <c r="H5725" s="35" t="s">
        <v>385</v>
      </c>
    </row>
    <row r="5726" spans="1:8">
      <c r="A5726" s="34">
        <v>2084050595</v>
      </c>
      <c r="B5726" s="35" t="s">
        <v>462</v>
      </c>
      <c r="C5726" s="35" t="s">
        <v>405</v>
      </c>
      <c r="D5726" s="35" t="s">
        <v>1254</v>
      </c>
      <c r="E5726" s="35" t="s">
        <v>1255</v>
      </c>
      <c r="F5726" s="35" t="s">
        <v>353</v>
      </c>
      <c r="G5726" s="35" t="s">
        <v>10</v>
      </c>
      <c r="H5726" s="35" t="s">
        <v>335</v>
      </c>
    </row>
    <row r="5727" spans="1:8">
      <c r="A5727" s="34">
        <v>2084050597</v>
      </c>
      <c r="B5727" s="35" t="s">
        <v>462</v>
      </c>
      <c r="C5727" s="35" t="s">
        <v>405</v>
      </c>
      <c r="D5727" s="35" t="s">
        <v>1254</v>
      </c>
      <c r="E5727" s="35" t="s">
        <v>1255</v>
      </c>
      <c r="F5727" s="35" t="s">
        <v>353</v>
      </c>
      <c r="G5727" s="35" t="s">
        <v>379</v>
      </c>
      <c r="H5727" s="35" t="s">
        <v>545</v>
      </c>
    </row>
    <row r="5728" spans="1:8">
      <c r="A5728" s="34">
        <v>2084050598</v>
      </c>
      <c r="B5728" s="35" t="s">
        <v>462</v>
      </c>
      <c r="C5728" s="35" t="s">
        <v>405</v>
      </c>
      <c r="D5728" s="35" t="s">
        <v>1254</v>
      </c>
      <c r="E5728" s="35" t="s">
        <v>1255</v>
      </c>
      <c r="F5728" s="35" t="s">
        <v>353</v>
      </c>
      <c r="G5728" s="35" t="s">
        <v>379</v>
      </c>
      <c r="H5728" s="35" t="s">
        <v>335</v>
      </c>
    </row>
    <row r="5729" spans="1:8">
      <c r="A5729" s="34">
        <v>2084050599</v>
      </c>
      <c r="B5729" s="35" t="s">
        <v>462</v>
      </c>
      <c r="C5729" s="35" t="s">
        <v>405</v>
      </c>
      <c r="D5729" s="35" t="s">
        <v>1254</v>
      </c>
      <c r="E5729" s="35" t="s">
        <v>1255</v>
      </c>
      <c r="F5729" s="35" t="s">
        <v>353</v>
      </c>
      <c r="G5729" s="35" t="s">
        <v>335</v>
      </c>
    </row>
    <row r="5730" spans="1:8">
      <c r="A5730" s="34">
        <v>2084050614</v>
      </c>
      <c r="B5730" s="35" t="s">
        <v>462</v>
      </c>
      <c r="C5730" s="35" t="s">
        <v>405</v>
      </c>
      <c r="D5730" s="35" t="s">
        <v>1254</v>
      </c>
      <c r="E5730" s="35" t="s">
        <v>1255</v>
      </c>
      <c r="F5730" s="35" t="s">
        <v>335</v>
      </c>
    </row>
    <row r="5731" spans="1:8">
      <c r="A5731" s="34">
        <v>2084298396</v>
      </c>
      <c r="B5731" s="35" t="s">
        <v>462</v>
      </c>
      <c r="C5731" s="35" t="s">
        <v>405</v>
      </c>
      <c r="D5731" s="35" t="s">
        <v>1254</v>
      </c>
      <c r="E5731" s="35" t="s">
        <v>1256</v>
      </c>
    </row>
    <row r="5732" spans="1:8">
      <c r="A5732" s="34">
        <v>2084200713</v>
      </c>
      <c r="B5732" s="35" t="s">
        <v>462</v>
      </c>
      <c r="C5732" s="35" t="s">
        <v>405</v>
      </c>
      <c r="D5732" s="35" t="s">
        <v>1254</v>
      </c>
      <c r="E5732" s="35" t="s">
        <v>1257</v>
      </c>
      <c r="F5732" s="35" t="s">
        <v>407</v>
      </c>
    </row>
    <row r="5733" spans="1:8">
      <c r="A5733" s="34">
        <v>2084200699</v>
      </c>
      <c r="B5733" s="35" t="s">
        <v>462</v>
      </c>
      <c r="C5733" s="35" t="s">
        <v>405</v>
      </c>
      <c r="D5733" s="35" t="s">
        <v>1254</v>
      </c>
      <c r="E5733" s="35" t="s">
        <v>1257</v>
      </c>
      <c r="F5733" s="35" t="s">
        <v>353</v>
      </c>
      <c r="G5733" s="35" t="s">
        <v>367</v>
      </c>
    </row>
    <row r="5734" spans="1:8">
      <c r="A5734" s="34">
        <v>2084200702</v>
      </c>
      <c r="B5734" s="35" t="s">
        <v>462</v>
      </c>
      <c r="C5734" s="35" t="s">
        <v>405</v>
      </c>
      <c r="D5734" s="35" t="s">
        <v>1254</v>
      </c>
      <c r="E5734" s="35" t="s">
        <v>1257</v>
      </c>
      <c r="F5734" s="35" t="s">
        <v>353</v>
      </c>
      <c r="G5734" s="35" t="s">
        <v>368</v>
      </c>
      <c r="H5734" s="35" t="s">
        <v>481</v>
      </c>
    </row>
    <row r="5735" spans="1:8">
      <c r="A5735" s="34">
        <v>2084200701</v>
      </c>
      <c r="B5735" s="35" t="s">
        <v>462</v>
      </c>
      <c r="C5735" s="35" t="s">
        <v>405</v>
      </c>
      <c r="D5735" s="35" t="s">
        <v>1254</v>
      </c>
      <c r="E5735" s="35" t="s">
        <v>1257</v>
      </c>
      <c r="F5735" s="35" t="s">
        <v>353</v>
      </c>
      <c r="G5735" s="35" t="s">
        <v>368</v>
      </c>
      <c r="H5735" s="35" t="s">
        <v>482</v>
      </c>
    </row>
    <row r="5736" spans="1:8">
      <c r="A5736" s="34">
        <v>2084200703</v>
      </c>
      <c r="B5736" s="35" t="s">
        <v>462</v>
      </c>
      <c r="C5736" s="35" t="s">
        <v>405</v>
      </c>
      <c r="D5736" s="35" t="s">
        <v>1254</v>
      </c>
      <c r="E5736" s="35" t="s">
        <v>1257</v>
      </c>
      <c r="F5736" s="35" t="s">
        <v>353</v>
      </c>
      <c r="G5736" s="35" t="s">
        <v>368</v>
      </c>
      <c r="H5736" s="35" t="s">
        <v>335</v>
      </c>
    </row>
    <row r="5737" spans="1:8">
      <c r="A5737" s="34">
        <v>2084200709</v>
      </c>
      <c r="B5737" s="35" t="s">
        <v>462</v>
      </c>
      <c r="C5737" s="35" t="s">
        <v>405</v>
      </c>
      <c r="D5737" s="35" t="s">
        <v>1254</v>
      </c>
      <c r="E5737" s="35" t="s">
        <v>1257</v>
      </c>
      <c r="F5737" s="35" t="s">
        <v>353</v>
      </c>
      <c r="G5737" s="35" t="s">
        <v>10</v>
      </c>
      <c r="H5737" s="35" t="s">
        <v>483</v>
      </c>
    </row>
    <row r="5738" spans="1:8">
      <c r="A5738" s="34">
        <v>2084200706</v>
      </c>
      <c r="B5738" s="35" t="s">
        <v>462</v>
      </c>
      <c r="C5738" s="35" t="s">
        <v>405</v>
      </c>
      <c r="D5738" s="35" t="s">
        <v>1254</v>
      </c>
      <c r="E5738" s="35" t="s">
        <v>1257</v>
      </c>
      <c r="F5738" s="35" t="s">
        <v>353</v>
      </c>
      <c r="G5738" s="35" t="s">
        <v>10</v>
      </c>
      <c r="H5738" s="35" t="s">
        <v>397</v>
      </c>
    </row>
    <row r="5739" spans="1:8">
      <c r="A5739" s="34">
        <v>2084200708</v>
      </c>
      <c r="B5739" s="35" t="s">
        <v>462</v>
      </c>
      <c r="C5739" s="35" t="s">
        <v>405</v>
      </c>
      <c r="D5739" s="35" t="s">
        <v>1254</v>
      </c>
      <c r="E5739" s="35" t="s">
        <v>1257</v>
      </c>
      <c r="F5739" s="35" t="s">
        <v>353</v>
      </c>
      <c r="G5739" s="35" t="s">
        <v>10</v>
      </c>
      <c r="H5739" s="35" t="s">
        <v>421</v>
      </c>
    </row>
    <row r="5740" spans="1:8">
      <c r="A5740" s="34">
        <v>2084200705</v>
      </c>
      <c r="B5740" s="35" t="s">
        <v>462</v>
      </c>
      <c r="C5740" s="35" t="s">
        <v>405</v>
      </c>
      <c r="D5740" s="35" t="s">
        <v>1254</v>
      </c>
      <c r="E5740" s="35" t="s">
        <v>1257</v>
      </c>
      <c r="F5740" s="35" t="s">
        <v>353</v>
      </c>
      <c r="G5740" s="35" t="s">
        <v>10</v>
      </c>
      <c r="H5740" s="35" t="s">
        <v>398</v>
      </c>
    </row>
    <row r="5741" spans="1:8">
      <c r="A5741" s="34">
        <v>2084200707</v>
      </c>
      <c r="B5741" s="35" t="s">
        <v>462</v>
      </c>
      <c r="C5741" s="35" t="s">
        <v>405</v>
      </c>
      <c r="D5741" s="35" t="s">
        <v>1254</v>
      </c>
      <c r="E5741" s="35" t="s">
        <v>1257</v>
      </c>
      <c r="F5741" s="35" t="s">
        <v>353</v>
      </c>
      <c r="G5741" s="35" t="s">
        <v>10</v>
      </c>
      <c r="H5741" s="35" t="s">
        <v>422</v>
      </c>
    </row>
    <row r="5742" spans="1:8">
      <c r="A5742" s="34">
        <v>2084200710</v>
      </c>
      <c r="B5742" s="35" t="s">
        <v>462</v>
      </c>
      <c r="C5742" s="35" t="s">
        <v>405</v>
      </c>
      <c r="D5742" s="35" t="s">
        <v>1254</v>
      </c>
      <c r="E5742" s="35" t="s">
        <v>1257</v>
      </c>
      <c r="F5742" s="35" t="s">
        <v>353</v>
      </c>
      <c r="G5742" s="35" t="s">
        <v>10</v>
      </c>
      <c r="H5742" s="35" t="s">
        <v>335</v>
      </c>
    </row>
    <row r="5743" spans="1:8">
      <c r="A5743" s="34">
        <v>2084200711</v>
      </c>
      <c r="B5743" s="35" t="s">
        <v>462</v>
      </c>
      <c r="C5743" s="35" t="s">
        <v>405</v>
      </c>
      <c r="D5743" s="35" t="s">
        <v>1254</v>
      </c>
      <c r="E5743" s="35" t="s">
        <v>1257</v>
      </c>
      <c r="F5743" s="35" t="s">
        <v>353</v>
      </c>
      <c r="G5743" s="35" t="s">
        <v>403</v>
      </c>
    </row>
    <row r="5744" spans="1:8">
      <c r="A5744" s="34">
        <v>2084200712</v>
      </c>
      <c r="B5744" s="35" t="s">
        <v>462</v>
      </c>
      <c r="C5744" s="35" t="s">
        <v>405</v>
      </c>
      <c r="D5744" s="35" t="s">
        <v>1254</v>
      </c>
      <c r="E5744" s="35" t="s">
        <v>1257</v>
      </c>
      <c r="F5744" s="35" t="s">
        <v>353</v>
      </c>
      <c r="G5744" s="35" t="s">
        <v>335</v>
      </c>
    </row>
    <row r="5745" spans="1:7">
      <c r="A5745" s="34">
        <v>2084200714</v>
      </c>
      <c r="B5745" s="35" t="s">
        <v>462</v>
      </c>
      <c r="C5745" s="35" t="s">
        <v>405</v>
      </c>
      <c r="D5745" s="35" t="s">
        <v>1254</v>
      </c>
      <c r="E5745" s="35" t="s">
        <v>1257</v>
      </c>
      <c r="F5745" s="35" t="s">
        <v>335</v>
      </c>
    </row>
    <row r="5746" spans="1:7">
      <c r="A5746" s="34">
        <v>2084242351</v>
      </c>
      <c r="B5746" s="35" t="s">
        <v>462</v>
      </c>
      <c r="C5746" s="35" t="s">
        <v>405</v>
      </c>
      <c r="D5746" s="35" t="s">
        <v>1254</v>
      </c>
      <c r="E5746" s="35" t="s">
        <v>1258</v>
      </c>
      <c r="F5746" s="35" t="s">
        <v>390</v>
      </c>
      <c r="G5746" s="35" t="s">
        <v>367</v>
      </c>
    </row>
    <row r="5747" spans="1:7">
      <c r="A5747" s="34">
        <v>2084242352</v>
      </c>
      <c r="B5747" s="35" t="s">
        <v>462</v>
      </c>
      <c r="C5747" s="35" t="s">
        <v>405</v>
      </c>
      <c r="D5747" s="35" t="s">
        <v>1254</v>
      </c>
      <c r="E5747" s="35" t="s">
        <v>1258</v>
      </c>
      <c r="F5747" s="35" t="s">
        <v>390</v>
      </c>
      <c r="G5747" s="35" t="s">
        <v>401</v>
      </c>
    </row>
    <row r="5748" spans="1:7">
      <c r="A5748" s="34">
        <v>2084242353</v>
      </c>
      <c r="B5748" s="35" t="s">
        <v>462</v>
      </c>
      <c r="C5748" s="35" t="s">
        <v>405</v>
      </c>
      <c r="D5748" s="35" t="s">
        <v>1254</v>
      </c>
      <c r="E5748" s="35" t="s">
        <v>1258</v>
      </c>
      <c r="F5748" s="35" t="s">
        <v>390</v>
      </c>
      <c r="G5748" s="35" t="s">
        <v>402</v>
      </c>
    </row>
    <row r="5749" spans="1:7">
      <c r="A5749" s="34">
        <v>2084242354</v>
      </c>
      <c r="B5749" s="35" t="s">
        <v>462</v>
      </c>
      <c r="C5749" s="35" t="s">
        <v>405</v>
      </c>
      <c r="D5749" s="35" t="s">
        <v>1254</v>
      </c>
      <c r="E5749" s="35" t="s">
        <v>1258</v>
      </c>
      <c r="F5749" s="35" t="s">
        <v>390</v>
      </c>
      <c r="G5749" s="35" t="s">
        <v>403</v>
      </c>
    </row>
    <row r="5750" spans="1:7">
      <c r="A5750" s="34">
        <v>2084242355</v>
      </c>
      <c r="B5750" s="35" t="s">
        <v>462</v>
      </c>
      <c r="C5750" s="35" t="s">
        <v>405</v>
      </c>
      <c r="D5750" s="35" t="s">
        <v>1254</v>
      </c>
      <c r="E5750" s="35" t="s">
        <v>1258</v>
      </c>
      <c r="F5750" s="35" t="s">
        <v>390</v>
      </c>
      <c r="G5750" s="35" t="s">
        <v>478</v>
      </c>
    </row>
    <row r="5751" spans="1:7">
      <c r="A5751" s="34">
        <v>2084242356</v>
      </c>
      <c r="B5751" s="35" t="s">
        <v>462</v>
      </c>
      <c r="C5751" s="35" t="s">
        <v>405</v>
      </c>
      <c r="D5751" s="35" t="s">
        <v>1254</v>
      </c>
      <c r="E5751" s="35" t="s">
        <v>1258</v>
      </c>
      <c r="F5751" s="35" t="s">
        <v>390</v>
      </c>
      <c r="G5751" s="35" t="s">
        <v>335</v>
      </c>
    </row>
    <row r="5752" spans="1:7">
      <c r="A5752" s="34">
        <v>2084242350</v>
      </c>
      <c r="B5752" s="35" t="s">
        <v>462</v>
      </c>
      <c r="C5752" s="35" t="s">
        <v>405</v>
      </c>
      <c r="D5752" s="35" t="s">
        <v>1254</v>
      </c>
      <c r="E5752" s="35" t="s">
        <v>1258</v>
      </c>
      <c r="F5752" s="35" t="s">
        <v>335</v>
      </c>
    </row>
    <row r="5753" spans="1:7">
      <c r="A5753" s="34">
        <v>2084284246</v>
      </c>
      <c r="B5753" s="35" t="s">
        <v>462</v>
      </c>
      <c r="C5753" s="35" t="s">
        <v>405</v>
      </c>
      <c r="D5753" s="35" t="s">
        <v>1254</v>
      </c>
      <c r="E5753" s="35" t="s">
        <v>1259</v>
      </c>
    </row>
    <row r="5754" spans="1:7">
      <c r="A5754" s="34">
        <v>2084285225</v>
      </c>
      <c r="B5754" s="35" t="s">
        <v>462</v>
      </c>
      <c r="C5754" s="35" t="s">
        <v>405</v>
      </c>
      <c r="D5754" s="35" t="s">
        <v>1254</v>
      </c>
      <c r="E5754" s="35" t="s">
        <v>1260</v>
      </c>
    </row>
    <row r="5755" spans="1:7">
      <c r="A5755" s="34">
        <v>2084229165</v>
      </c>
      <c r="B5755" s="35" t="s">
        <v>462</v>
      </c>
      <c r="C5755" s="35" t="s">
        <v>405</v>
      </c>
      <c r="D5755" s="35" t="s">
        <v>1254</v>
      </c>
      <c r="E5755" s="35" t="s">
        <v>1261</v>
      </c>
    </row>
    <row r="5756" spans="1:7">
      <c r="A5756" s="34">
        <v>2084246647</v>
      </c>
      <c r="B5756" s="35" t="s">
        <v>462</v>
      </c>
      <c r="C5756" s="35" t="s">
        <v>405</v>
      </c>
      <c r="D5756" s="35" t="s">
        <v>1254</v>
      </c>
      <c r="E5756" s="35" t="s">
        <v>1262</v>
      </c>
      <c r="F5756" s="35" t="s">
        <v>407</v>
      </c>
    </row>
    <row r="5757" spans="1:7">
      <c r="A5757" s="34">
        <v>2084246646</v>
      </c>
      <c r="B5757" s="35" t="s">
        <v>462</v>
      </c>
      <c r="C5757" s="35" t="s">
        <v>405</v>
      </c>
      <c r="D5757" s="35" t="s">
        <v>1254</v>
      </c>
      <c r="E5757" s="35" t="s">
        <v>1262</v>
      </c>
      <c r="F5757" s="35" t="s">
        <v>408</v>
      </c>
    </row>
    <row r="5758" spans="1:7">
      <c r="A5758" s="34">
        <v>2084205931</v>
      </c>
      <c r="B5758" s="35" t="s">
        <v>462</v>
      </c>
      <c r="C5758" s="35" t="s">
        <v>405</v>
      </c>
      <c r="D5758" s="35" t="s">
        <v>1254</v>
      </c>
      <c r="E5758" s="35" t="s">
        <v>1262</v>
      </c>
      <c r="F5758" s="35" t="s">
        <v>335</v>
      </c>
    </row>
    <row r="5759" spans="1:7">
      <c r="A5759" s="34">
        <v>2084261183</v>
      </c>
      <c r="B5759" s="35" t="s">
        <v>462</v>
      </c>
      <c r="C5759" s="35" t="s">
        <v>405</v>
      </c>
      <c r="D5759" s="35" t="s">
        <v>1254</v>
      </c>
      <c r="E5759" s="35" t="s">
        <v>1263</v>
      </c>
    </row>
    <row r="5760" spans="1:7">
      <c r="A5760" s="34">
        <v>2084238004</v>
      </c>
      <c r="B5760" s="35" t="s">
        <v>462</v>
      </c>
      <c r="C5760" s="35" t="s">
        <v>405</v>
      </c>
      <c r="D5760" s="35" t="s">
        <v>1254</v>
      </c>
      <c r="E5760" s="35" t="s">
        <v>1264</v>
      </c>
      <c r="F5760" s="35" t="s">
        <v>587</v>
      </c>
      <c r="G5760" s="35" t="s">
        <v>335</v>
      </c>
    </row>
    <row r="5761" spans="1:7">
      <c r="A5761" s="34">
        <v>2084238002</v>
      </c>
      <c r="B5761" s="35" t="s">
        <v>462</v>
      </c>
      <c r="C5761" s="35" t="s">
        <v>405</v>
      </c>
      <c r="D5761" s="35" t="s">
        <v>1254</v>
      </c>
      <c r="E5761" s="35" t="s">
        <v>1264</v>
      </c>
      <c r="F5761" s="35" t="s">
        <v>587</v>
      </c>
      <c r="G5761" s="35" t="s">
        <v>907</v>
      </c>
    </row>
    <row r="5762" spans="1:7">
      <c r="A5762" s="34">
        <v>2084238003</v>
      </c>
      <c r="B5762" s="35" t="s">
        <v>462</v>
      </c>
      <c r="C5762" s="35" t="s">
        <v>405</v>
      </c>
      <c r="D5762" s="35" t="s">
        <v>1254</v>
      </c>
      <c r="E5762" s="35" t="s">
        <v>1264</v>
      </c>
      <c r="F5762" s="35" t="s">
        <v>587</v>
      </c>
      <c r="G5762" s="35" t="s">
        <v>588</v>
      </c>
    </row>
    <row r="5763" spans="1:7">
      <c r="A5763" s="34">
        <v>2084238001</v>
      </c>
      <c r="B5763" s="35" t="s">
        <v>462</v>
      </c>
      <c r="C5763" s="35" t="s">
        <v>405</v>
      </c>
      <c r="D5763" s="35" t="s">
        <v>1254</v>
      </c>
      <c r="E5763" s="35" t="s">
        <v>1264</v>
      </c>
      <c r="F5763" s="35" t="s">
        <v>587</v>
      </c>
      <c r="G5763" s="35" t="s">
        <v>910</v>
      </c>
    </row>
    <row r="5764" spans="1:7">
      <c r="A5764" s="34">
        <v>2084238132</v>
      </c>
      <c r="B5764" s="35" t="s">
        <v>462</v>
      </c>
      <c r="C5764" s="35" t="s">
        <v>405</v>
      </c>
      <c r="D5764" s="35" t="s">
        <v>1254</v>
      </c>
      <c r="E5764" s="35" t="s">
        <v>1264</v>
      </c>
      <c r="F5764" s="35" t="s">
        <v>442</v>
      </c>
      <c r="G5764" s="35" t="s">
        <v>504</v>
      </c>
    </row>
    <row r="5765" spans="1:7">
      <c r="A5765" s="34">
        <v>2084238133</v>
      </c>
      <c r="B5765" s="35" t="s">
        <v>462</v>
      </c>
      <c r="C5765" s="35" t="s">
        <v>405</v>
      </c>
      <c r="D5765" s="35" t="s">
        <v>1254</v>
      </c>
      <c r="E5765" s="35" t="s">
        <v>1264</v>
      </c>
      <c r="F5765" s="35" t="s">
        <v>442</v>
      </c>
      <c r="G5765" s="35" t="s">
        <v>1265</v>
      </c>
    </row>
    <row r="5766" spans="1:7">
      <c r="A5766" s="34">
        <v>2084238134</v>
      </c>
      <c r="B5766" s="35" t="s">
        <v>462</v>
      </c>
      <c r="C5766" s="35" t="s">
        <v>405</v>
      </c>
      <c r="D5766" s="35" t="s">
        <v>1254</v>
      </c>
      <c r="E5766" s="35" t="s">
        <v>1264</v>
      </c>
      <c r="F5766" s="35" t="s">
        <v>442</v>
      </c>
      <c r="G5766" s="35" t="s">
        <v>335</v>
      </c>
    </row>
    <row r="5767" spans="1:7">
      <c r="A5767" s="34">
        <v>2084238135</v>
      </c>
      <c r="B5767" s="35" t="s">
        <v>462</v>
      </c>
      <c r="C5767" s="35" t="s">
        <v>405</v>
      </c>
      <c r="D5767" s="35" t="s">
        <v>1254</v>
      </c>
      <c r="E5767" s="35" t="s">
        <v>1264</v>
      </c>
      <c r="F5767" s="35" t="s">
        <v>335</v>
      </c>
    </row>
    <row r="5768" spans="1:7">
      <c r="A5768" s="34">
        <v>2084298397</v>
      </c>
      <c r="B5768" s="35" t="s">
        <v>462</v>
      </c>
      <c r="C5768" s="35" t="s">
        <v>405</v>
      </c>
      <c r="D5768" s="35" t="s">
        <v>1254</v>
      </c>
      <c r="E5768" s="35" t="s">
        <v>1266</v>
      </c>
    </row>
    <row r="5769" spans="1:7">
      <c r="A5769" s="34">
        <v>2084056264</v>
      </c>
      <c r="B5769" s="35" t="s">
        <v>462</v>
      </c>
      <c r="C5769" s="35" t="s">
        <v>405</v>
      </c>
      <c r="D5769" s="35" t="s">
        <v>1254</v>
      </c>
      <c r="E5769" s="35" t="s">
        <v>1267</v>
      </c>
      <c r="F5769" s="35" t="s">
        <v>368</v>
      </c>
      <c r="G5769" s="35" t="s">
        <v>1268</v>
      </c>
    </row>
    <row r="5770" spans="1:7">
      <c r="A5770" s="34">
        <v>2084056265</v>
      </c>
      <c r="B5770" s="35" t="s">
        <v>462</v>
      </c>
      <c r="C5770" s="35" t="s">
        <v>405</v>
      </c>
      <c r="D5770" s="35" t="s">
        <v>1254</v>
      </c>
      <c r="E5770" s="35" t="s">
        <v>1267</v>
      </c>
      <c r="F5770" s="35" t="s">
        <v>368</v>
      </c>
      <c r="G5770" s="35" t="s">
        <v>335</v>
      </c>
    </row>
    <row r="5771" spans="1:7">
      <c r="A5771" s="34">
        <v>2084056267</v>
      </c>
      <c r="B5771" s="35" t="s">
        <v>462</v>
      </c>
      <c r="C5771" s="35" t="s">
        <v>405</v>
      </c>
      <c r="D5771" s="35" t="s">
        <v>1254</v>
      </c>
      <c r="E5771" s="35" t="s">
        <v>1267</v>
      </c>
      <c r="F5771" s="35" t="s">
        <v>10</v>
      </c>
      <c r="G5771" s="35" t="s">
        <v>544</v>
      </c>
    </row>
    <row r="5772" spans="1:7">
      <c r="A5772" s="34">
        <v>2084056271</v>
      </c>
      <c r="B5772" s="35" t="s">
        <v>462</v>
      </c>
      <c r="C5772" s="35" t="s">
        <v>405</v>
      </c>
      <c r="D5772" s="35" t="s">
        <v>1254</v>
      </c>
      <c r="E5772" s="35" t="s">
        <v>1267</v>
      </c>
      <c r="F5772" s="35" t="s">
        <v>10</v>
      </c>
      <c r="G5772" s="35" t="s">
        <v>397</v>
      </c>
    </row>
    <row r="5773" spans="1:7">
      <c r="A5773" s="34">
        <v>2084056270</v>
      </c>
      <c r="B5773" s="35" t="s">
        <v>462</v>
      </c>
      <c r="C5773" s="35" t="s">
        <v>405</v>
      </c>
      <c r="D5773" s="35" t="s">
        <v>1254</v>
      </c>
      <c r="E5773" s="35" t="s">
        <v>1267</v>
      </c>
      <c r="F5773" s="35" t="s">
        <v>10</v>
      </c>
      <c r="G5773" s="35" t="s">
        <v>421</v>
      </c>
    </row>
    <row r="5774" spans="1:7">
      <c r="A5774" s="34">
        <v>2084056269</v>
      </c>
      <c r="B5774" s="35" t="s">
        <v>462</v>
      </c>
      <c r="C5774" s="35" t="s">
        <v>405</v>
      </c>
      <c r="D5774" s="35" t="s">
        <v>1254</v>
      </c>
      <c r="E5774" s="35" t="s">
        <v>1267</v>
      </c>
      <c r="F5774" s="35" t="s">
        <v>10</v>
      </c>
      <c r="G5774" s="35" t="s">
        <v>398</v>
      </c>
    </row>
    <row r="5775" spans="1:7">
      <c r="A5775" s="34">
        <v>2084056268</v>
      </c>
      <c r="B5775" s="35" t="s">
        <v>462</v>
      </c>
      <c r="C5775" s="35" t="s">
        <v>405</v>
      </c>
      <c r="D5775" s="35" t="s">
        <v>1254</v>
      </c>
      <c r="E5775" s="35" t="s">
        <v>1267</v>
      </c>
      <c r="F5775" s="35" t="s">
        <v>10</v>
      </c>
      <c r="G5775" s="35" t="s">
        <v>422</v>
      </c>
    </row>
    <row r="5776" spans="1:7">
      <c r="A5776" s="34">
        <v>2084056272</v>
      </c>
      <c r="B5776" s="35" t="s">
        <v>462</v>
      </c>
      <c r="C5776" s="35" t="s">
        <v>405</v>
      </c>
      <c r="D5776" s="35" t="s">
        <v>1254</v>
      </c>
      <c r="E5776" s="35" t="s">
        <v>1267</v>
      </c>
      <c r="F5776" s="35" t="s">
        <v>10</v>
      </c>
      <c r="G5776" s="35" t="s">
        <v>335</v>
      </c>
    </row>
    <row r="5777" spans="1:8">
      <c r="A5777" s="34">
        <v>2084056275</v>
      </c>
      <c r="B5777" s="35" t="s">
        <v>462</v>
      </c>
      <c r="C5777" s="35" t="s">
        <v>405</v>
      </c>
      <c r="D5777" s="35" t="s">
        <v>1254</v>
      </c>
      <c r="E5777" s="35" t="s">
        <v>1267</v>
      </c>
      <c r="F5777" s="35" t="s">
        <v>379</v>
      </c>
      <c r="G5777" s="35" t="s">
        <v>545</v>
      </c>
    </row>
    <row r="5778" spans="1:8">
      <c r="A5778" s="34">
        <v>2084056276</v>
      </c>
      <c r="B5778" s="35" t="s">
        <v>462</v>
      </c>
      <c r="C5778" s="35" t="s">
        <v>405</v>
      </c>
      <c r="D5778" s="35" t="s">
        <v>1254</v>
      </c>
      <c r="E5778" s="35" t="s">
        <v>1267</v>
      </c>
      <c r="F5778" s="35" t="s">
        <v>379</v>
      </c>
      <c r="G5778" s="35" t="s">
        <v>335</v>
      </c>
    </row>
    <row r="5779" spans="1:8">
      <c r="A5779" s="34">
        <v>2084056274</v>
      </c>
      <c r="B5779" s="35" t="s">
        <v>462</v>
      </c>
      <c r="C5779" s="35" t="s">
        <v>405</v>
      </c>
      <c r="D5779" s="35" t="s">
        <v>1254</v>
      </c>
      <c r="E5779" s="35" t="s">
        <v>1267</v>
      </c>
      <c r="F5779" s="35" t="s">
        <v>335</v>
      </c>
    </row>
    <row r="5780" spans="1:8">
      <c r="A5780" s="34">
        <v>2084062455</v>
      </c>
      <c r="B5780" s="35" t="s">
        <v>462</v>
      </c>
      <c r="C5780" s="35" t="s">
        <v>405</v>
      </c>
      <c r="D5780" s="35" t="s">
        <v>1254</v>
      </c>
      <c r="E5780" s="35" t="s">
        <v>1269</v>
      </c>
      <c r="F5780" s="35" t="s">
        <v>587</v>
      </c>
      <c r="G5780" s="35" t="s">
        <v>907</v>
      </c>
    </row>
    <row r="5781" spans="1:8">
      <c r="A5781" s="34">
        <v>2084062456</v>
      </c>
      <c r="B5781" s="35" t="s">
        <v>462</v>
      </c>
      <c r="C5781" s="35" t="s">
        <v>405</v>
      </c>
      <c r="D5781" s="35" t="s">
        <v>1254</v>
      </c>
      <c r="E5781" s="35" t="s">
        <v>1269</v>
      </c>
      <c r="F5781" s="35" t="s">
        <v>587</v>
      </c>
      <c r="G5781" s="35" t="s">
        <v>588</v>
      </c>
    </row>
    <row r="5782" spans="1:8">
      <c r="A5782" s="34">
        <v>2084062457</v>
      </c>
      <c r="B5782" s="35" t="s">
        <v>462</v>
      </c>
      <c r="C5782" s="35" t="s">
        <v>405</v>
      </c>
      <c r="D5782" s="35" t="s">
        <v>1254</v>
      </c>
      <c r="E5782" s="35" t="s">
        <v>1269</v>
      </c>
      <c r="F5782" s="35" t="s">
        <v>587</v>
      </c>
      <c r="G5782" s="35" t="s">
        <v>857</v>
      </c>
    </row>
    <row r="5783" spans="1:8">
      <c r="A5783" s="34">
        <v>2084062458</v>
      </c>
      <c r="B5783" s="35" t="s">
        <v>462</v>
      </c>
      <c r="C5783" s="35" t="s">
        <v>405</v>
      </c>
      <c r="D5783" s="35" t="s">
        <v>1254</v>
      </c>
      <c r="E5783" s="35" t="s">
        <v>1269</v>
      </c>
      <c r="F5783" s="35" t="s">
        <v>587</v>
      </c>
      <c r="G5783" s="35" t="s">
        <v>910</v>
      </c>
    </row>
    <row r="5784" spans="1:8">
      <c r="A5784" s="34">
        <v>2084062459</v>
      </c>
      <c r="B5784" s="35" t="s">
        <v>462</v>
      </c>
      <c r="C5784" s="35" t="s">
        <v>405</v>
      </c>
      <c r="D5784" s="35" t="s">
        <v>1254</v>
      </c>
      <c r="E5784" s="35" t="s">
        <v>1269</v>
      </c>
      <c r="F5784" s="35" t="s">
        <v>587</v>
      </c>
      <c r="G5784" s="35" t="s">
        <v>911</v>
      </c>
    </row>
    <row r="5785" spans="1:8">
      <c r="A5785" s="34">
        <v>2084062460</v>
      </c>
      <c r="B5785" s="35" t="s">
        <v>462</v>
      </c>
      <c r="C5785" s="35" t="s">
        <v>405</v>
      </c>
      <c r="D5785" s="35" t="s">
        <v>1254</v>
      </c>
      <c r="E5785" s="35" t="s">
        <v>1269</v>
      </c>
      <c r="F5785" s="35" t="s">
        <v>587</v>
      </c>
      <c r="G5785" s="35" t="s">
        <v>859</v>
      </c>
    </row>
    <row r="5786" spans="1:8">
      <c r="A5786" s="34">
        <v>2084062461</v>
      </c>
      <c r="B5786" s="35" t="s">
        <v>462</v>
      </c>
      <c r="C5786" s="35" t="s">
        <v>405</v>
      </c>
      <c r="D5786" s="35" t="s">
        <v>1254</v>
      </c>
      <c r="E5786" s="35" t="s">
        <v>1269</v>
      </c>
      <c r="F5786" s="35" t="s">
        <v>587</v>
      </c>
      <c r="G5786" s="35" t="s">
        <v>335</v>
      </c>
    </row>
    <row r="5787" spans="1:8">
      <c r="A5787" s="34">
        <v>2084028209</v>
      </c>
      <c r="B5787" s="35" t="s">
        <v>462</v>
      </c>
      <c r="C5787" s="35" t="s">
        <v>405</v>
      </c>
      <c r="D5787" s="35" t="s">
        <v>1254</v>
      </c>
      <c r="E5787" s="35" t="s">
        <v>1269</v>
      </c>
      <c r="F5787" s="35" t="s">
        <v>390</v>
      </c>
      <c r="G5787" s="35" t="s">
        <v>367</v>
      </c>
    </row>
    <row r="5788" spans="1:8">
      <c r="A5788" s="34">
        <v>2084028758</v>
      </c>
      <c r="B5788" s="35" t="s">
        <v>462</v>
      </c>
      <c r="C5788" s="35" t="s">
        <v>405</v>
      </c>
      <c r="D5788" s="35" t="s">
        <v>1254</v>
      </c>
      <c r="E5788" s="35" t="s">
        <v>1269</v>
      </c>
      <c r="F5788" s="35" t="s">
        <v>390</v>
      </c>
      <c r="G5788" s="35" t="s">
        <v>368</v>
      </c>
      <c r="H5788" s="35" t="s">
        <v>508</v>
      </c>
    </row>
    <row r="5789" spans="1:8">
      <c r="A5789" s="34">
        <v>2084029292</v>
      </c>
      <c r="B5789" s="35" t="s">
        <v>462</v>
      </c>
      <c r="C5789" s="35" t="s">
        <v>405</v>
      </c>
      <c r="D5789" s="35" t="s">
        <v>1254</v>
      </c>
      <c r="E5789" s="35" t="s">
        <v>1269</v>
      </c>
      <c r="F5789" s="35" t="s">
        <v>390</v>
      </c>
      <c r="G5789" s="35" t="s">
        <v>368</v>
      </c>
      <c r="H5789" s="35" t="s">
        <v>481</v>
      </c>
    </row>
    <row r="5790" spans="1:8">
      <c r="A5790" s="34">
        <v>2084029850</v>
      </c>
      <c r="B5790" s="35" t="s">
        <v>462</v>
      </c>
      <c r="C5790" s="35" t="s">
        <v>405</v>
      </c>
      <c r="D5790" s="35" t="s">
        <v>1254</v>
      </c>
      <c r="E5790" s="35" t="s">
        <v>1269</v>
      </c>
      <c r="F5790" s="35" t="s">
        <v>390</v>
      </c>
      <c r="G5790" s="35" t="s">
        <v>368</v>
      </c>
      <c r="H5790" s="35" t="s">
        <v>494</v>
      </c>
    </row>
    <row r="5791" spans="1:8">
      <c r="A5791" s="34">
        <v>2084058890</v>
      </c>
      <c r="B5791" s="35" t="s">
        <v>462</v>
      </c>
      <c r="C5791" s="35" t="s">
        <v>405</v>
      </c>
      <c r="D5791" s="35" t="s">
        <v>1254</v>
      </c>
      <c r="E5791" s="35" t="s">
        <v>1269</v>
      </c>
      <c r="F5791" s="35" t="s">
        <v>390</v>
      </c>
      <c r="G5791" s="35" t="s">
        <v>368</v>
      </c>
      <c r="H5791" s="35" t="s">
        <v>335</v>
      </c>
    </row>
    <row r="5792" spans="1:8">
      <c r="A5792" s="34">
        <v>2084027307</v>
      </c>
      <c r="B5792" s="35" t="s">
        <v>462</v>
      </c>
      <c r="C5792" s="35" t="s">
        <v>405</v>
      </c>
      <c r="D5792" s="35" t="s">
        <v>1254</v>
      </c>
      <c r="E5792" s="35" t="s">
        <v>1269</v>
      </c>
      <c r="F5792" s="35" t="s">
        <v>390</v>
      </c>
      <c r="G5792" s="35" t="s">
        <v>10</v>
      </c>
      <c r="H5792" s="35" t="s">
        <v>509</v>
      </c>
    </row>
    <row r="5793" spans="1:8">
      <c r="A5793" s="34">
        <v>2084027800</v>
      </c>
      <c r="B5793" s="35" t="s">
        <v>462</v>
      </c>
      <c r="C5793" s="35" t="s">
        <v>405</v>
      </c>
      <c r="D5793" s="35" t="s">
        <v>1254</v>
      </c>
      <c r="E5793" s="35" t="s">
        <v>1269</v>
      </c>
      <c r="F5793" s="35" t="s">
        <v>390</v>
      </c>
      <c r="G5793" s="35" t="s">
        <v>10</v>
      </c>
      <c r="H5793" s="35" t="s">
        <v>510</v>
      </c>
    </row>
    <row r="5794" spans="1:8">
      <c r="A5794" s="34">
        <v>2084027882</v>
      </c>
      <c r="B5794" s="35" t="s">
        <v>462</v>
      </c>
      <c r="C5794" s="35" t="s">
        <v>405</v>
      </c>
      <c r="D5794" s="35" t="s">
        <v>1254</v>
      </c>
      <c r="E5794" s="35" t="s">
        <v>1269</v>
      </c>
      <c r="F5794" s="35" t="s">
        <v>390</v>
      </c>
      <c r="G5794" s="35" t="s">
        <v>10</v>
      </c>
      <c r="H5794" s="35" t="s">
        <v>511</v>
      </c>
    </row>
    <row r="5795" spans="1:8">
      <c r="A5795" s="34">
        <v>2084027912</v>
      </c>
      <c r="B5795" s="35" t="s">
        <v>462</v>
      </c>
      <c r="C5795" s="35" t="s">
        <v>405</v>
      </c>
      <c r="D5795" s="35" t="s">
        <v>1254</v>
      </c>
      <c r="E5795" s="35" t="s">
        <v>1269</v>
      </c>
      <c r="F5795" s="35" t="s">
        <v>390</v>
      </c>
      <c r="G5795" s="35" t="s">
        <v>10</v>
      </c>
      <c r="H5795" s="35" t="s">
        <v>493</v>
      </c>
    </row>
    <row r="5796" spans="1:8">
      <c r="A5796" s="34">
        <v>2084027481</v>
      </c>
      <c r="B5796" s="35" t="s">
        <v>462</v>
      </c>
      <c r="C5796" s="35" t="s">
        <v>405</v>
      </c>
      <c r="D5796" s="35" t="s">
        <v>1254</v>
      </c>
      <c r="E5796" s="35" t="s">
        <v>1269</v>
      </c>
      <c r="F5796" s="35" t="s">
        <v>390</v>
      </c>
      <c r="G5796" s="35" t="s">
        <v>10</v>
      </c>
      <c r="H5796" s="35" t="s">
        <v>512</v>
      </c>
    </row>
    <row r="5797" spans="1:8">
      <c r="A5797" s="34">
        <v>2084027591</v>
      </c>
      <c r="B5797" s="35" t="s">
        <v>462</v>
      </c>
      <c r="C5797" s="35" t="s">
        <v>405</v>
      </c>
      <c r="D5797" s="35" t="s">
        <v>1254</v>
      </c>
      <c r="E5797" s="35" t="s">
        <v>1269</v>
      </c>
      <c r="F5797" s="35" t="s">
        <v>390</v>
      </c>
      <c r="G5797" s="35" t="s">
        <v>10</v>
      </c>
      <c r="H5797" s="35" t="s">
        <v>513</v>
      </c>
    </row>
    <row r="5798" spans="1:8">
      <c r="A5798" s="34">
        <v>2084027950</v>
      </c>
      <c r="B5798" s="35" t="s">
        <v>462</v>
      </c>
      <c r="C5798" s="35" t="s">
        <v>405</v>
      </c>
      <c r="D5798" s="35" t="s">
        <v>1254</v>
      </c>
      <c r="E5798" s="35" t="s">
        <v>1269</v>
      </c>
      <c r="F5798" s="35" t="s">
        <v>390</v>
      </c>
      <c r="G5798" s="35" t="s">
        <v>10</v>
      </c>
      <c r="H5798" s="35" t="s">
        <v>420</v>
      </c>
    </row>
    <row r="5799" spans="1:8">
      <c r="A5799" s="34">
        <v>2084027270</v>
      </c>
      <c r="B5799" s="35" t="s">
        <v>462</v>
      </c>
      <c r="C5799" s="35" t="s">
        <v>405</v>
      </c>
      <c r="D5799" s="35" t="s">
        <v>1254</v>
      </c>
      <c r="E5799" s="35" t="s">
        <v>1269</v>
      </c>
      <c r="F5799" s="35" t="s">
        <v>390</v>
      </c>
      <c r="G5799" s="35" t="s">
        <v>10</v>
      </c>
      <c r="H5799" s="35" t="s">
        <v>397</v>
      </c>
    </row>
    <row r="5800" spans="1:8">
      <c r="A5800" s="34">
        <v>2084027403</v>
      </c>
      <c r="B5800" s="35" t="s">
        <v>462</v>
      </c>
      <c r="C5800" s="35" t="s">
        <v>405</v>
      </c>
      <c r="D5800" s="35" t="s">
        <v>1254</v>
      </c>
      <c r="E5800" s="35" t="s">
        <v>1269</v>
      </c>
      <c r="F5800" s="35" t="s">
        <v>390</v>
      </c>
      <c r="G5800" s="35" t="s">
        <v>10</v>
      </c>
      <c r="H5800" s="35" t="s">
        <v>515</v>
      </c>
    </row>
    <row r="5801" spans="1:8">
      <c r="A5801" s="34">
        <v>2084027515</v>
      </c>
      <c r="B5801" s="35" t="s">
        <v>462</v>
      </c>
      <c r="C5801" s="35" t="s">
        <v>405</v>
      </c>
      <c r="D5801" s="35" t="s">
        <v>1254</v>
      </c>
      <c r="E5801" s="35" t="s">
        <v>1269</v>
      </c>
      <c r="F5801" s="35" t="s">
        <v>390</v>
      </c>
      <c r="G5801" s="35" t="s">
        <v>10</v>
      </c>
      <c r="H5801" s="35" t="s">
        <v>421</v>
      </c>
    </row>
    <row r="5802" spans="1:8">
      <c r="A5802" s="34">
        <v>2084027726</v>
      </c>
      <c r="B5802" s="35" t="s">
        <v>462</v>
      </c>
      <c r="C5802" s="35" t="s">
        <v>405</v>
      </c>
      <c r="D5802" s="35" t="s">
        <v>1254</v>
      </c>
      <c r="E5802" s="35" t="s">
        <v>1269</v>
      </c>
      <c r="F5802" s="35" t="s">
        <v>390</v>
      </c>
      <c r="G5802" s="35" t="s">
        <v>10</v>
      </c>
      <c r="H5802" s="35" t="s">
        <v>516</v>
      </c>
    </row>
    <row r="5803" spans="1:8">
      <c r="A5803" s="34">
        <v>2084027193</v>
      </c>
      <c r="B5803" s="35" t="s">
        <v>462</v>
      </c>
      <c r="C5803" s="35" t="s">
        <v>405</v>
      </c>
      <c r="D5803" s="35" t="s">
        <v>1254</v>
      </c>
      <c r="E5803" s="35" t="s">
        <v>1269</v>
      </c>
      <c r="F5803" s="35" t="s">
        <v>390</v>
      </c>
      <c r="G5803" s="35" t="s">
        <v>10</v>
      </c>
      <c r="H5803" s="35" t="s">
        <v>398</v>
      </c>
    </row>
    <row r="5804" spans="1:8">
      <c r="A5804" s="34">
        <v>2084027345</v>
      </c>
      <c r="B5804" s="35" t="s">
        <v>462</v>
      </c>
      <c r="C5804" s="35" t="s">
        <v>405</v>
      </c>
      <c r="D5804" s="35" t="s">
        <v>1254</v>
      </c>
      <c r="E5804" s="35" t="s">
        <v>1269</v>
      </c>
      <c r="F5804" s="35" t="s">
        <v>390</v>
      </c>
      <c r="G5804" s="35" t="s">
        <v>10</v>
      </c>
      <c r="H5804" s="35" t="s">
        <v>518</v>
      </c>
    </row>
    <row r="5805" spans="1:8">
      <c r="A5805" s="34">
        <v>2084027553</v>
      </c>
      <c r="B5805" s="35" t="s">
        <v>462</v>
      </c>
      <c r="C5805" s="35" t="s">
        <v>405</v>
      </c>
      <c r="D5805" s="35" t="s">
        <v>1254</v>
      </c>
      <c r="E5805" s="35" t="s">
        <v>1269</v>
      </c>
      <c r="F5805" s="35" t="s">
        <v>390</v>
      </c>
      <c r="G5805" s="35" t="s">
        <v>10</v>
      </c>
      <c r="H5805" s="35" t="s">
        <v>422</v>
      </c>
    </row>
    <row r="5806" spans="1:8">
      <c r="A5806" s="34">
        <v>2084027776</v>
      </c>
      <c r="B5806" s="35" t="s">
        <v>462</v>
      </c>
      <c r="C5806" s="35" t="s">
        <v>405</v>
      </c>
      <c r="D5806" s="35" t="s">
        <v>1254</v>
      </c>
      <c r="E5806" s="35" t="s">
        <v>1269</v>
      </c>
      <c r="F5806" s="35" t="s">
        <v>390</v>
      </c>
      <c r="G5806" s="35" t="s">
        <v>10</v>
      </c>
      <c r="H5806" s="35" t="s">
        <v>519</v>
      </c>
    </row>
    <row r="5807" spans="1:8">
      <c r="A5807" s="34">
        <v>2084028014</v>
      </c>
      <c r="B5807" s="35" t="s">
        <v>462</v>
      </c>
      <c r="C5807" s="35" t="s">
        <v>405</v>
      </c>
      <c r="D5807" s="35" t="s">
        <v>1254</v>
      </c>
      <c r="E5807" s="35" t="s">
        <v>1269</v>
      </c>
      <c r="F5807" s="35" t="s">
        <v>390</v>
      </c>
      <c r="G5807" s="35" t="s">
        <v>379</v>
      </c>
      <c r="H5807" s="35" t="s">
        <v>520</v>
      </c>
    </row>
    <row r="5808" spans="1:8">
      <c r="A5808" s="34">
        <v>2084028087</v>
      </c>
      <c r="B5808" s="35" t="s">
        <v>462</v>
      </c>
      <c r="C5808" s="35" t="s">
        <v>405</v>
      </c>
      <c r="D5808" s="35" t="s">
        <v>1254</v>
      </c>
      <c r="E5808" s="35" t="s">
        <v>1269</v>
      </c>
      <c r="F5808" s="35" t="s">
        <v>390</v>
      </c>
      <c r="G5808" s="35" t="s">
        <v>379</v>
      </c>
      <c r="H5808" s="35" t="s">
        <v>521</v>
      </c>
    </row>
    <row r="5809" spans="1:8">
      <c r="A5809" s="34">
        <v>2084028141</v>
      </c>
      <c r="B5809" s="35" t="s">
        <v>462</v>
      </c>
      <c r="C5809" s="35" t="s">
        <v>405</v>
      </c>
      <c r="D5809" s="35" t="s">
        <v>1254</v>
      </c>
      <c r="E5809" s="35" t="s">
        <v>1269</v>
      </c>
      <c r="F5809" s="35" t="s">
        <v>390</v>
      </c>
      <c r="G5809" s="35" t="s">
        <v>379</v>
      </c>
      <c r="H5809" s="35" t="s">
        <v>522</v>
      </c>
    </row>
    <row r="5810" spans="1:8">
      <c r="A5810" s="34">
        <v>2084028393</v>
      </c>
      <c r="B5810" s="35" t="s">
        <v>462</v>
      </c>
      <c r="C5810" s="35" t="s">
        <v>405</v>
      </c>
      <c r="D5810" s="35" t="s">
        <v>1254</v>
      </c>
      <c r="E5810" s="35" t="s">
        <v>1269</v>
      </c>
      <c r="F5810" s="35" t="s">
        <v>390</v>
      </c>
      <c r="G5810" s="35" t="s">
        <v>379</v>
      </c>
      <c r="H5810" s="35" t="s">
        <v>523</v>
      </c>
    </row>
    <row r="5811" spans="1:8">
      <c r="A5811" s="34">
        <v>2084028126</v>
      </c>
      <c r="B5811" s="35" t="s">
        <v>462</v>
      </c>
      <c r="C5811" s="35" t="s">
        <v>405</v>
      </c>
      <c r="D5811" s="35" t="s">
        <v>1254</v>
      </c>
      <c r="E5811" s="35" t="s">
        <v>1269</v>
      </c>
      <c r="F5811" s="35" t="s">
        <v>390</v>
      </c>
      <c r="G5811" s="35" t="s">
        <v>379</v>
      </c>
      <c r="H5811" s="35" t="s">
        <v>524</v>
      </c>
    </row>
    <row r="5812" spans="1:8">
      <c r="A5812" s="34">
        <v>2084028242</v>
      </c>
      <c r="B5812" s="35" t="s">
        <v>462</v>
      </c>
      <c r="C5812" s="35" t="s">
        <v>405</v>
      </c>
      <c r="D5812" s="35" t="s">
        <v>1254</v>
      </c>
      <c r="E5812" s="35" t="s">
        <v>1269</v>
      </c>
      <c r="F5812" s="35" t="s">
        <v>390</v>
      </c>
      <c r="G5812" s="35" t="s">
        <v>379</v>
      </c>
      <c r="H5812" s="35" t="s">
        <v>525</v>
      </c>
    </row>
    <row r="5813" spans="1:8">
      <c r="A5813" s="34">
        <v>2084028449</v>
      </c>
      <c r="B5813" s="35" t="s">
        <v>462</v>
      </c>
      <c r="C5813" s="35" t="s">
        <v>405</v>
      </c>
      <c r="D5813" s="35" t="s">
        <v>1254</v>
      </c>
      <c r="E5813" s="35" t="s">
        <v>1269</v>
      </c>
      <c r="F5813" s="35" t="s">
        <v>390</v>
      </c>
      <c r="G5813" s="35" t="s">
        <v>379</v>
      </c>
      <c r="H5813" s="35" t="s">
        <v>526</v>
      </c>
    </row>
    <row r="5814" spans="1:8">
      <c r="A5814" s="34">
        <v>2084028317</v>
      </c>
      <c r="B5814" s="35" t="s">
        <v>462</v>
      </c>
      <c r="C5814" s="35" t="s">
        <v>405</v>
      </c>
      <c r="D5814" s="35" t="s">
        <v>1254</v>
      </c>
      <c r="E5814" s="35" t="s">
        <v>1269</v>
      </c>
      <c r="F5814" s="35" t="s">
        <v>390</v>
      </c>
      <c r="G5814" s="35" t="s">
        <v>379</v>
      </c>
      <c r="H5814" s="35" t="s">
        <v>527</v>
      </c>
    </row>
    <row r="5815" spans="1:8">
      <c r="A5815" s="34">
        <v>2084028529</v>
      </c>
      <c r="B5815" s="35" t="s">
        <v>462</v>
      </c>
      <c r="C5815" s="35" t="s">
        <v>405</v>
      </c>
      <c r="D5815" s="35" t="s">
        <v>1254</v>
      </c>
      <c r="E5815" s="35" t="s">
        <v>1269</v>
      </c>
      <c r="F5815" s="35" t="s">
        <v>390</v>
      </c>
      <c r="G5815" s="35" t="s">
        <v>379</v>
      </c>
      <c r="H5815" s="35" t="s">
        <v>528</v>
      </c>
    </row>
    <row r="5816" spans="1:8">
      <c r="A5816" s="34">
        <v>2084028355</v>
      </c>
      <c r="B5816" s="35" t="s">
        <v>462</v>
      </c>
      <c r="C5816" s="35" t="s">
        <v>405</v>
      </c>
      <c r="D5816" s="35" t="s">
        <v>1254</v>
      </c>
      <c r="E5816" s="35" t="s">
        <v>1269</v>
      </c>
      <c r="F5816" s="35" t="s">
        <v>390</v>
      </c>
      <c r="G5816" s="35" t="s">
        <v>379</v>
      </c>
      <c r="H5816" s="35" t="s">
        <v>548</v>
      </c>
    </row>
    <row r="5817" spans="1:8">
      <c r="A5817" s="34">
        <v>2084058891</v>
      </c>
      <c r="B5817" s="35" t="s">
        <v>462</v>
      </c>
      <c r="C5817" s="35" t="s">
        <v>405</v>
      </c>
      <c r="D5817" s="35" t="s">
        <v>1254</v>
      </c>
      <c r="E5817" s="35" t="s">
        <v>1269</v>
      </c>
      <c r="F5817" s="35" t="s">
        <v>390</v>
      </c>
      <c r="G5817" s="35" t="s">
        <v>379</v>
      </c>
      <c r="H5817" s="35" t="s">
        <v>335</v>
      </c>
    </row>
    <row r="5818" spans="1:8">
      <c r="A5818" s="34">
        <v>2084028569</v>
      </c>
      <c r="B5818" s="35" t="s">
        <v>462</v>
      </c>
      <c r="C5818" s="35" t="s">
        <v>405</v>
      </c>
      <c r="D5818" s="35" t="s">
        <v>1254</v>
      </c>
      <c r="E5818" s="35" t="s">
        <v>1269</v>
      </c>
      <c r="F5818" s="35" t="s">
        <v>390</v>
      </c>
      <c r="G5818" s="35" t="s">
        <v>530</v>
      </c>
      <c r="H5818" s="35" t="s">
        <v>531</v>
      </c>
    </row>
    <row r="5819" spans="1:8">
      <c r="A5819" s="34">
        <v>2084028607</v>
      </c>
      <c r="B5819" s="35" t="s">
        <v>462</v>
      </c>
      <c r="C5819" s="35" t="s">
        <v>405</v>
      </c>
      <c r="D5819" s="35" t="s">
        <v>1254</v>
      </c>
      <c r="E5819" s="35" t="s">
        <v>1269</v>
      </c>
      <c r="F5819" s="35" t="s">
        <v>390</v>
      </c>
      <c r="G5819" s="35" t="s">
        <v>530</v>
      </c>
      <c r="H5819" s="35" t="s">
        <v>532</v>
      </c>
    </row>
    <row r="5820" spans="1:8">
      <c r="A5820" s="34">
        <v>2084030107</v>
      </c>
      <c r="B5820" s="35" t="s">
        <v>462</v>
      </c>
      <c r="C5820" s="35" t="s">
        <v>405</v>
      </c>
      <c r="D5820" s="35" t="s">
        <v>1254</v>
      </c>
      <c r="E5820" s="35" t="s">
        <v>1269</v>
      </c>
      <c r="F5820" s="35" t="s">
        <v>390</v>
      </c>
      <c r="G5820" s="35" t="s">
        <v>533</v>
      </c>
      <c r="H5820" s="35" t="s">
        <v>1194</v>
      </c>
    </row>
    <row r="5821" spans="1:8">
      <c r="A5821" s="34">
        <v>2084030189</v>
      </c>
      <c r="B5821" s="35" t="s">
        <v>462</v>
      </c>
      <c r="C5821" s="35" t="s">
        <v>405</v>
      </c>
      <c r="D5821" s="35" t="s">
        <v>1254</v>
      </c>
      <c r="E5821" s="35" t="s">
        <v>1269</v>
      </c>
      <c r="F5821" s="35" t="s">
        <v>390</v>
      </c>
      <c r="G5821" s="35" t="s">
        <v>533</v>
      </c>
      <c r="H5821" s="35" t="s">
        <v>1195</v>
      </c>
    </row>
    <row r="5822" spans="1:8">
      <c r="A5822" s="34">
        <v>2084027181</v>
      </c>
      <c r="B5822" s="35" t="s">
        <v>462</v>
      </c>
      <c r="C5822" s="35" t="s">
        <v>405</v>
      </c>
      <c r="D5822" s="35" t="s">
        <v>1254</v>
      </c>
      <c r="E5822" s="35" t="s">
        <v>1269</v>
      </c>
      <c r="F5822" s="35" t="s">
        <v>390</v>
      </c>
      <c r="G5822" s="35" t="s">
        <v>533</v>
      </c>
      <c r="H5822" s="35" t="s">
        <v>536</v>
      </c>
    </row>
    <row r="5823" spans="1:8">
      <c r="A5823" s="34">
        <v>2084030693</v>
      </c>
      <c r="B5823" s="35" t="s">
        <v>462</v>
      </c>
      <c r="C5823" s="35" t="s">
        <v>405</v>
      </c>
      <c r="D5823" s="35" t="s">
        <v>1254</v>
      </c>
      <c r="E5823" s="35" t="s">
        <v>1269</v>
      </c>
      <c r="F5823" s="35" t="s">
        <v>353</v>
      </c>
      <c r="G5823" s="35" t="s">
        <v>481</v>
      </c>
    </row>
    <row r="5824" spans="1:8">
      <c r="A5824" s="34">
        <v>2084031589</v>
      </c>
      <c r="B5824" s="35" t="s">
        <v>462</v>
      </c>
      <c r="C5824" s="35" t="s">
        <v>405</v>
      </c>
      <c r="D5824" s="35" t="s">
        <v>1254</v>
      </c>
      <c r="E5824" s="35" t="s">
        <v>1269</v>
      </c>
      <c r="F5824" s="35" t="s">
        <v>353</v>
      </c>
      <c r="G5824" s="35" t="s">
        <v>483</v>
      </c>
    </row>
    <row r="5825" spans="1:8">
      <c r="A5825" s="34">
        <v>2084031466</v>
      </c>
      <c r="B5825" s="35" t="s">
        <v>462</v>
      </c>
      <c r="C5825" s="35" t="s">
        <v>405</v>
      </c>
      <c r="D5825" s="35" t="s">
        <v>1254</v>
      </c>
      <c r="E5825" s="35" t="s">
        <v>1269</v>
      </c>
      <c r="F5825" s="35" t="s">
        <v>353</v>
      </c>
      <c r="G5825" s="35" t="s">
        <v>482</v>
      </c>
    </row>
    <row r="5826" spans="1:8">
      <c r="A5826" s="34">
        <v>2084030242</v>
      </c>
      <c r="B5826" s="35" t="s">
        <v>462</v>
      </c>
      <c r="C5826" s="35" t="s">
        <v>405</v>
      </c>
      <c r="D5826" s="35" t="s">
        <v>1254</v>
      </c>
      <c r="E5826" s="35" t="s">
        <v>1269</v>
      </c>
      <c r="F5826" s="35" t="s">
        <v>353</v>
      </c>
      <c r="G5826" s="35" t="s">
        <v>493</v>
      </c>
    </row>
    <row r="5827" spans="1:8">
      <c r="A5827" s="34">
        <v>2084037282</v>
      </c>
      <c r="B5827" s="35" t="s">
        <v>462</v>
      </c>
      <c r="C5827" s="35" t="s">
        <v>405</v>
      </c>
      <c r="D5827" s="35" t="s">
        <v>1254</v>
      </c>
      <c r="E5827" s="35" t="s">
        <v>1269</v>
      </c>
      <c r="F5827" s="35" t="s">
        <v>353</v>
      </c>
      <c r="G5827" s="35" t="s">
        <v>494</v>
      </c>
    </row>
    <row r="5828" spans="1:8">
      <c r="A5828" s="34">
        <v>2084031525</v>
      </c>
      <c r="B5828" s="35" t="s">
        <v>462</v>
      </c>
      <c r="C5828" s="35" t="s">
        <v>405</v>
      </c>
      <c r="D5828" s="35" t="s">
        <v>1254</v>
      </c>
      <c r="E5828" s="35" t="s">
        <v>1269</v>
      </c>
      <c r="F5828" s="35" t="s">
        <v>353</v>
      </c>
      <c r="G5828" s="35" t="s">
        <v>397</v>
      </c>
    </row>
    <row r="5829" spans="1:8">
      <c r="A5829" s="34">
        <v>2084037615</v>
      </c>
      <c r="B5829" s="35" t="s">
        <v>462</v>
      </c>
      <c r="C5829" s="35" t="s">
        <v>405</v>
      </c>
      <c r="D5829" s="35" t="s">
        <v>1254</v>
      </c>
      <c r="E5829" s="35" t="s">
        <v>1269</v>
      </c>
      <c r="F5829" s="35" t="s">
        <v>353</v>
      </c>
      <c r="G5829" s="35" t="s">
        <v>421</v>
      </c>
    </row>
    <row r="5830" spans="1:8">
      <c r="A5830" s="34">
        <v>2084031553</v>
      </c>
      <c r="B5830" s="35" t="s">
        <v>462</v>
      </c>
      <c r="C5830" s="35" t="s">
        <v>405</v>
      </c>
      <c r="D5830" s="35" t="s">
        <v>1254</v>
      </c>
      <c r="E5830" s="35" t="s">
        <v>1269</v>
      </c>
      <c r="F5830" s="35" t="s">
        <v>353</v>
      </c>
      <c r="G5830" s="35" t="s">
        <v>398</v>
      </c>
    </row>
    <row r="5831" spans="1:8">
      <c r="A5831" s="34">
        <v>2084030327</v>
      </c>
      <c r="B5831" s="35" t="s">
        <v>462</v>
      </c>
      <c r="C5831" s="35" t="s">
        <v>405</v>
      </c>
      <c r="D5831" s="35" t="s">
        <v>1254</v>
      </c>
      <c r="E5831" s="35" t="s">
        <v>1269</v>
      </c>
      <c r="F5831" s="35" t="s">
        <v>353</v>
      </c>
      <c r="G5831" s="35" t="s">
        <v>422</v>
      </c>
    </row>
    <row r="5832" spans="1:8">
      <c r="A5832" s="34">
        <v>2084025444</v>
      </c>
      <c r="B5832" s="35" t="s">
        <v>462</v>
      </c>
      <c r="C5832" s="35" t="s">
        <v>405</v>
      </c>
      <c r="D5832" s="35" t="s">
        <v>1254</v>
      </c>
      <c r="E5832" s="35" t="s">
        <v>1269</v>
      </c>
      <c r="F5832" s="35" t="s">
        <v>442</v>
      </c>
      <c r="G5832" s="35" t="s">
        <v>537</v>
      </c>
    </row>
    <row r="5833" spans="1:8">
      <c r="A5833" s="34">
        <v>2084031377</v>
      </c>
      <c r="B5833" s="35" t="s">
        <v>462</v>
      </c>
      <c r="C5833" s="35" t="s">
        <v>405</v>
      </c>
      <c r="D5833" s="35" t="s">
        <v>1254</v>
      </c>
      <c r="E5833" s="35" t="s">
        <v>1269</v>
      </c>
      <c r="F5833" s="35" t="s">
        <v>442</v>
      </c>
      <c r="G5833" s="35" t="s">
        <v>569</v>
      </c>
    </row>
    <row r="5834" spans="1:8">
      <c r="A5834" s="34">
        <v>2084025219</v>
      </c>
      <c r="B5834" s="35" t="s">
        <v>462</v>
      </c>
      <c r="C5834" s="35" t="s">
        <v>405</v>
      </c>
      <c r="D5834" s="35" t="s">
        <v>1254</v>
      </c>
      <c r="E5834" s="35" t="s">
        <v>1269</v>
      </c>
      <c r="F5834" s="35" t="s">
        <v>442</v>
      </c>
      <c r="G5834" s="35" t="s">
        <v>538</v>
      </c>
    </row>
    <row r="5835" spans="1:8">
      <c r="A5835" s="34">
        <v>2084025397</v>
      </c>
      <c r="B5835" s="35" t="s">
        <v>462</v>
      </c>
      <c r="C5835" s="35" t="s">
        <v>405</v>
      </c>
      <c r="D5835" s="35" t="s">
        <v>1254</v>
      </c>
      <c r="E5835" s="35" t="s">
        <v>1269</v>
      </c>
      <c r="F5835" s="35" t="s">
        <v>442</v>
      </c>
      <c r="G5835" s="35" t="s">
        <v>539</v>
      </c>
    </row>
    <row r="5836" spans="1:8">
      <c r="A5836" s="34">
        <v>2084048762</v>
      </c>
      <c r="B5836" s="35" t="s">
        <v>462</v>
      </c>
      <c r="C5836" s="35" t="s">
        <v>405</v>
      </c>
      <c r="D5836" s="35" t="s">
        <v>1254</v>
      </c>
      <c r="E5836" s="35" t="s">
        <v>1269</v>
      </c>
      <c r="F5836" s="35" t="s">
        <v>335</v>
      </c>
    </row>
    <row r="5837" spans="1:8">
      <c r="A5837" s="34">
        <v>2084054468</v>
      </c>
      <c r="B5837" s="35" t="s">
        <v>462</v>
      </c>
      <c r="C5837" s="35" t="s">
        <v>405</v>
      </c>
      <c r="D5837" s="35" t="s">
        <v>1254</v>
      </c>
      <c r="E5837" s="35" t="s">
        <v>1270</v>
      </c>
      <c r="F5837" s="35" t="s">
        <v>475</v>
      </c>
    </row>
    <row r="5838" spans="1:8">
      <c r="A5838" s="34">
        <v>2084054451</v>
      </c>
      <c r="B5838" s="35" t="s">
        <v>462</v>
      </c>
      <c r="C5838" s="35" t="s">
        <v>405</v>
      </c>
      <c r="D5838" s="35" t="s">
        <v>1254</v>
      </c>
      <c r="E5838" s="35" t="s">
        <v>1270</v>
      </c>
      <c r="F5838" s="35" t="s">
        <v>390</v>
      </c>
      <c r="G5838" s="35" t="s">
        <v>367</v>
      </c>
    </row>
    <row r="5839" spans="1:8">
      <c r="A5839" s="34">
        <v>2084054454</v>
      </c>
      <c r="B5839" s="35" t="s">
        <v>462</v>
      </c>
      <c r="C5839" s="35" t="s">
        <v>405</v>
      </c>
      <c r="D5839" s="35" t="s">
        <v>1254</v>
      </c>
      <c r="E5839" s="35" t="s">
        <v>1270</v>
      </c>
      <c r="F5839" s="35" t="s">
        <v>390</v>
      </c>
      <c r="G5839" s="35" t="s">
        <v>368</v>
      </c>
      <c r="H5839" s="35" t="s">
        <v>481</v>
      </c>
    </row>
    <row r="5840" spans="1:8">
      <c r="A5840" s="34">
        <v>2084054453</v>
      </c>
      <c r="B5840" s="35" t="s">
        <v>462</v>
      </c>
      <c r="C5840" s="35" t="s">
        <v>405</v>
      </c>
      <c r="D5840" s="35" t="s">
        <v>1254</v>
      </c>
      <c r="E5840" s="35" t="s">
        <v>1270</v>
      </c>
      <c r="F5840" s="35" t="s">
        <v>390</v>
      </c>
      <c r="G5840" s="35" t="s">
        <v>368</v>
      </c>
      <c r="H5840" s="35" t="s">
        <v>482</v>
      </c>
    </row>
    <row r="5841" spans="1:8">
      <c r="A5841" s="34">
        <v>2084054455</v>
      </c>
      <c r="B5841" s="35" t="s">
        <v>462</v>
      </c>
      <c r="C5841" s="35" t="s">
        <v>405</v>
      </c>
      <c r="D5841" s="35" t="s">
        <v>1254</v>
      </c>
      <c r="E5841" s="35" t="s">
        <v>1270</v>
      </c>
      <c r="F5841" s="35" t="s">
        <v>390</v>
      </c>
      <c r="G5841" s="35" t="s">
        <v>368</v>
      </c>
      <c r="H5841" s="35" t="s">
        <v>335</v>
      </c>
    </row>
    <row r="5842" spans="1:8">
      <c r="A5842" s="34">
        <v>2084054461</v>
      </c>
      <c r="B5842" s="35" t="s">
        <v>462</v>
      </c>
      <c r="C5842" s="35" t="s">
        <v>405</v>
      </c>
      <c r="D5842" s="35" t="s">
        <v>1254</v>
      </c>
      <c r="E5842" s="35" t="s">
        <v>1270</v>
      </c>
      <c r="F5842" s="35" t="s">
        <v>390</v>
      </c>
      <c r="G5842" s="35" t="s">
        <v>10</v>
      </c>
      <c r="H5842" s="35" t="s">
        <v>483</v>
      </c>
    </row>
    <row r="5843" spans="1:8">
      <c r="A5843" s="34">
        <v>2084054458</v>
      </c>
      <c r="B5843" s="35" t="s">
        <v>462</v>
      </c>
      <c r="C5843" s="35" t="s">
        <v>405</v>
      </c>
      <c r="D5843" s="35" t="s">
        <v>1254</v>
      </c>
      <c r="E5843" s="35" t="s">
        <v>1270</v>
      </c>
      <c r="F5843" s="35" t="s">
        <v>390</v>
      </c>
      <c r="G5843" s="35" t="s">
        <v>10</v>
      </c>
      <c r="H5843" s="35" t="s">
        <v>397</v>
      </c>
    </row>
    <row r="5844" spans="1:8">
      <c r="A5844" s="34">
        <v>2084054460</v>
      </c>
      <c r="B5844" s="35" t="s">
        <v>462</v>
      </c>
      <c r="C5844" s="35" t="s">
        <v>405</v>
      </c>
      <c r="D5844" s="35" t="s">
        <v>1254</v>
      </c>
      <c r="E5844" s="35" t="s">
        <v>1270</v>
      </c>
      <c r="F5844" s="35" t="s">
        <v>390</v>
      </c>
      <c r="G5844" s="35" t="s">
        <v>10</v>
      </c>
      <c r="H5844" s="35" t="s">
        <v>421</v>
      </c>
    </row>
    <row r="5845" spans="1:8">
      <c r="A5845" s="34">
        <v>2084054457</v>
      </c>
      <c r="B5845" s="35" t="s">
        <v>462</v>
      </c>
      <c r="C5845" s="35" t="s">
        <v>405</v>
      </c>
      <c r="D5845" s="35" t="s">
        <v>1254</v>
      </c>
      <c r="E5845" s="35" t="s">
        <v>1270</v>
      </c>
      <c r="F5845" s="35" t="s">
        <v>390</v>
      </c>
      <c r="G5845" s="35" t="s">
        <v>10</v>
      </c>
      <c r="H5845" s="35" t="s">
        <v>398</v>
      </c>
    </row>
    <row r="5846" spans="1:8">
      <c r="A5846" s="34">
        <v>2084054459</v>
      </c>
      <c r="B5846" s="35" t="s">
        <v>462</v>
      </c>
      <c r="C5846" s="35" t="s">
        <v>405</v>
      </c>
      <c r="D5846" s="35" t="s">
        <v>1254</v>
      </c>
      <c r="E5846" s="35" t="s">
        <v>1270</v>
      </c>
      <c r="F5846" s="35" t="s">
        <v>390</v>
      </c>
      <c r="G5846" s="35" t="s">
        <v>10</v>
      </c>
      <c r="H5846" s="35" t="s">
        <v>422</v>
      </c>
    </row>
    <row r="5847" spans="1:8">
      <c r="A5847" s="34">
        <v>2084054462</v>
      </c>
      <c r="B5847" s="35" t="s">
        <v>462</v>
      </c>
      <c r="C5847" s="35" t="s">
        <v>405</v>
      </c>
      <c r="D5847" s="35" t="s">
        <v>1254</v>
      </c>
      <c r="E5847" s="35" t="s">
        <v>1270</v>
      </c>
      <c r="F5847" s="35" t="s">
        <v>390</v>
      </c>
      <c r="G5847" s="35" t="s">
        <v>10</v>
      </c>
      <c r="H5847" s="35" t="s">
        <v>335</v>
      </c>
    </row>
    <row r="5848" spans="1:8">
      <c r="A5848" s="34">
        <v>2084054464</v>
      </c>
      <c r="B5848" s="35" t="s">
        <v>462</v>
      </c>
      <c r="C5848" s="35" t="s">
        <v>405</v>
      </c>
      <c r="D5848" s="35" t="s">
        <v>1254</v>
      </c>
      <c r="E5848" s="35" t="s">
        <v>1270</v>
      </c>
      <c r="F5848" s="35" t="s">
        <v>390</v>
      </c>
      <c r="G5848" s="35" t="s">
        <v>379</v>
      </c>
      <c r="H5848" s="35" t="s">
        <v>476</v>
      </c>
    </row>
    <row r="5849" spans="1:8">
      <c r="A5849" s="34">
        <v>2084054465</v>
      </c>
      <c r="B5849" s="35" t="s">
        <v>462</v>
      </c>
      <c r="C5849" s="35" t="s">
        <v>405</v>
      </c>
      <c r="D5849" s="35" t="s">
        <v>1254</v>
      </c>
      <c r="E5849" s="35" t="s">
        <v>1270</v>
      </c>
      <c r="F5849" s="35" t="s">
        <v>390</v>
      </c>
      <c r="G5849" s="35" t="s">
        <v>379</v>
      </c>
      <c r="H5849" s="35" t="s">
        <v>335</v>
      </c>
    </row>
    <row r="5850" spans="1:8">
      <c r="A5850" s="34">
        <v>2084061677</v>
      </c>
      <c r="B5850" s="35" t="s">
        <v>462</v>
      </c>
      <c r="C5850" s="35" t="s">
        <v>405</v>
      </c>
      <c r="D5850" s="35" t="s">
        <v>1254</v>
      </c>
      <c r="E5850" s="35" t="s">
        <v>1270</v>
      </c>
      <c r="F5850" s="35" t="s">
        <v>390</v>
      </c>
      <c r="G5850" s="35" t="s">
        <v>478</v>
      </c>
    </row>
    <row r="5851" spans="1:8">
      <c r="A5851" s="34">
        <v>2084054466</v>
      </c>
      <c r="B5851" s="35" t="s">
        <v>462</v>
      </c>
      <c r="C5851" s="35" t="s">
        <v>405</v>
      </c>
      <c r="D5851" s="35" t="s">
        <v>1254</v>
      </c>
      <c r="E5851" s="35" t="s">
        <v>1270</v>
      </c>
      <c r="F5851" s="35" t="s">
        <v>390</v>
      </c>
      <c r="G5851" s="35" t="s">
        <v>335</v>
      </c>
    </row>
    <row r="5852" spans="1:8">
      <c r="A5852" s="34">
        <v>2084054467</v>
      </c>
      <c r="B5852" s="35" t="s">
        <v>462</v>
      </c>
      <c r="C5852" s="35" t="s">
        <v>405</v>
      </c>
      <c r="D5852" s="35" t="s">
        <v>1254</v>
      </c>
      <c r="E5852" s="35" t="s">
        <v>1270</v>
      </c>
      <c r="F5852" s="35" t="s">
        <v>335</v>
      </c>
    </row>
    <row r="5853" spans="1:8">
      <c r="A5853" s="34">
        <v>2084205174</v>
      </c>
      <c r="B5853" s="35" t="s">
        <v>462</v>
      </c>
      <c r="C5853" s="35" t="s">
        <v>405</v>
      </c>
      <c r="D5853" s="35" t="s">
        <v>1254</v>
      </c>
      <c r="E5853" s="35" t="s">
        <v>1271</v>
      </c>
      <c r="F5853" s="35" t="s">
        <v>407</v>
      </c>
    </row>
    <row r="5854" spans="1:8">
      <c r="A5854" s="34">
        <v>2084205173</v>
      </c>
      <c r="B5854" s="35" t="s">
        <v>462</v>
      </c>
      <c r="C5854" s="35" t="s">
        <v>405</v>
      </c>
      <c r="D5854" s="35" t="s">
        <v>1254</v>
      </c>
      <c r="E5854" s="35" t="s">
        <v>1271</v>
      </c>
      <c r="F5854" s="35" t="s">
        <v>408</v>
      </c>
    </row>
    <row r="5855" spans="1:8">
      <c r="A5855" s="34">
        <v>2084205175</v>
      </c>
      <c r="B5855" s="35" t="s">
        <v>462</v>
      </c>
      <c r="C5855" s="35" t="s">
        <v>405</v>
      </c>
      <c r="D5855" s="35" t="s">
        <v>1254</v>
      </c>
      <c r="E5855" s="35" t="s">
        <v>1271</v>
      </c>
      <c r="F5855" s="35" t="s">
        <v>335</v>
      </c>
    </row>
    <row r="5856" spans="1:8">
      <c r="A5856" s="34">
        <v>2084241630</v>
      </c>
      <c r="B5856" s="35" t="s">
        <v>462</v>
      </c>
      <c r="C5856" s="35" t="s">
        <v>405</v>
      </c>
      <c r="D5856" s="35" t="s">
        <v>1254</v>
      </c>
      <c r="E5856" s="35" t="s">
        <v>1272</v>
      </c>
      <c r="F5856" s="35" t="s">
        <v>611</v>
      </c>
      <c r="G5856" s="35" t="s">
        <v>407</v>
      </c>
    </row>
    <row r="5857" spans="1:7">
      <c r="A5857" s="34">
        <v>2084241629</v>
      </c>
      <c r="B5857" s="35" t="s">
        <v>462</v>
      </c>
      <c r="C5857" s="35" t="s">
        <v>405</v>
      </c>
      <c r="D5857" s="35" t="s">
        <v>1254</v>
      </c>
      <c r="E5857" s="35" t="s">
        <v>1272</v>
      </c>
      <c r="F5857" s="35" t="s">
        <v>611</v>
      </c>
      <c r="G5857" s="35" t="s">
        <v>408</v>
      </c>
    </row>
    <row r="5858" spans="1:7">
      <c r="A5858" s="34">
        <v>2084241631</v>
      </c>
      <c r="B5858" s="35" t="s">
        <v>462</v>
      </c>
      <c r="C5858" s="35" t="s">
        <v>405</v>
      </c>
      <c r="D5858" s="35" t="s">
        <v>1254</v>
      </c>
      <c r="E5858" s="35" t="s">
        <v>1272</v>
      </c>
      <c r="F5858" s="35" t="s">
        <v>335</v>
      </c>
    </row>
    <row r="5859" spans="1:7">
      <c r="A5859" s="34">
        <v>2084298343</v>
      </c>
      <c r="B5859" s="35" t="s">
        <v>462</v>
      </c>
      <c r="C5859" s="35" t="s">
        <v>405</v>
      </c>
      <c r="D5859" s="35" t="s">
        <v>1254</v>
      </c>
      <c r="E5859" s="35" t="s">
        <v>1273</v>
      </c>
      <c r="F5859" s="35" t="s">
        <v>407</v>
      </c>
    </row>
    <row r="5860" spans="1:7">
      <c r="A5860" s="34">
        <v>2084298344</v>
      </c>
      <c r="B5860" s="35" t="s">
        <v>462</v>
      </c>
      <c r="C5860" s="35" t="s">
        <v>405</v>
      </c>
      <c r="D5860" s="35" t="s">
        <v>1254</v>
      </c>
      <c r="E5860" s="35" t="s">
        <v>1273</v>
      </c>
      <c r="F5860" s="35" t="s">
        <v>408</v>
      </c>
    </row>
    <row r="5861" spans="1:7">
      <c r="A5861" s="34">
        <v>2084242624</v>
      </c>
      <c r="B5861" s="35" t="s">
        <v>462</v>
      </c>
      <c r="C5861" s="35" t="s">
        <v>405</v>
      </c>
      <c r="D5861" s="35" t="s">
        <v>1254</v>
      </c>
      <c r="E5861" s="35" t="s">
        <v>1274</v>
      </c>
      <c r="F5861" s="35" t="s">
        <v>475</v>
      </c>
    </row>
    <row r="5862" spans="1:7">
      <c r="A5862" s="34">
        <v>2084242619</v>
      </c>
      <c r="B5862" s="35" t="s">
        <v>462</v>
      </c>
      <c r="C5862" s="35" t="s">
        <v>405</v>
      </c>
      <c r="D5862" s="35" t="s">
        <v>1254</v>
      </c>
      <c r="E5862" s="35" t="s">
        <v>1274</v>
      </c>
      <c r="F5862" s="35" t="s">
        <v>390</v>
      </c>
      <c r="G5862" s="35" t="s">
        <v>401</v>
      </c>
    </row>
    <row r="5863" spans="1:7">
      <c r="A5863" s="34">
        <v>2084242620</v>
      </c>
      <c r="B5863" s="35" t="s">
        <v>462</v>
      </c>
      <c r="C5863" s="35" t="s">
        <v>405</v>
      </c>
      <c r="D5863" s="35" t="s">
        <v>1254</v>
      </c>
      <c r="E5863" s="35" t="s">
        <v>1274</v>
      </c>
      <c r="F5863" s="35" t="s">
        <v>390</v>
      </c>
      <c r="G5863" s="35" t="s">
        <v>402</v>
      </c>
    </row>
    <row r="5864" spans="1:7">
      <c r="A5864" s="34">
        <v>2084242621</v>
      </c>
      <c r="B5864" s="35" t="s">
        <v>462</v>
      </c>
      <c r="C5864" s="35" t="s">
        <v>405</v>
      </c>
      <c r="D5864" s="35" t="s">
        <v>1254</v>
      </c>
      <c r="E5864" s="35" t="s">
        <v>1274</v>
      </c>
      <c r="F5864" s="35" t="s">
        <v>390</v>
      </c>
      <c r="G5864" s="35" t="s">
        <v>403</v>
      </c>
    </row>
    <row r="5865" spans="1:7">
      <c r="A5865" s="34">
        <v>2084242622</v>
      </c>
      <c r="B5865" s="35" t="s">
        <v>462</v>
      </c>
      <c r="C5865" s="35" t="s">
        <v>405</v>
      </c>
      <c r="D5865" s="35" t="s">
        <v>1254</v>
      </c>
      <c r="E5865" s="35" t="s">
        <v>1274</v>
      </c>
      <c r="F5865" s="35" t="s">
        <v>390</v>
      </c>
      <c r="G5865" s="35" t="s">
        <v>335</v>
      </c>
    </row>
    <row r="5866" spans="1:7">
      <c r="A5866" s="34">
        <v>2084242614</v>
      </c>
      <c r="B5866" s="35" t="s">
        <v>462</v>
      </c>
      <c r="C5866" s="35" t="s">
        <v>405</v>
      </c>
      <c r="D5866" s="35" t="s">
        <v>1254</v>
      </c>
      <c r="E5866" s="35" t="s">
        <v>1274</v>
      </c>
      <c r="F5866" s="35" t="s">
        <v>353</v>
      </c>
      <c r="G5866" s="35" t="s">
        <v>401</v>
      </c>
    </row>
    <row r="5867" spans="1:7">
      <c r="A5867" s="34">
        <v>2084242615</v>
      </c>
      <c r="B5867" s="35" t="s">
        <v>462</v>
      </c>
      <c r="C5867" s="35" t="s">
        <v>405</v>
      </c>
      <c r="D5867" s="35" t="s">
        <v>1254</v>
      </c>
      <c r="E5867" s="35" t="s">
        <v>1274</v>
      </c>
      <c r="F5867" s="35" t="s">
        <v>353</v>
      </c>
      <c r="G5867" s="35" t="s">
        <v>402</v>
      </c>
    </row>
    <row r="5868" spans="1:7">
      <c r="A5868" s="34">
        <v>2084242616</v>
      </c>
      <c r="B5868" s="35" t="s">
        <v>462</v>
      </c>
      <c r="C5868" s="35" t="s">
        <v>405</v>
      </c>
      <c r="D5868" s="35" t="s">
        <v>1254</v>
      </c>
      <c r="E5868" s="35" t="s">
        <v>1274</v>
      </c>
      <c r="F5868" s="35" t="s">
        <v>353</v>
      </c>
      <c r="G5868" s="35" t="s">
        <v>403</v>
      </c>
    </row>
    <row r="5869" spans="1:7">
      <c r="A5869" s="34">
        <v>2084242617</v>
      </c>
      <c r="B5869" s="35" t="s">
        <v>462</v>
      </c>
      <c r="C5869" s="35" t="s">
        <v>405</v>
      </c>
      <c r="D5869" s="35" t="s">
        <v>1254</v>
      </c>
      <c r="E5869" s="35" t="s">
        <v>1274</v>
      </c>
      <c r="F5869" s="35" t="s">
        <v>353</v>
      </c>
      <c r="G5869" s="35" t="s">
        <v>335</v>
      </c>
    </row>
    <row r="5870" spans="1:7">
      <c r="A5870" s="34">
        <v>2084242623</v>
      </c>
      <c r="B5870" s="35" t="s">
        <v>462</v>
      </c>
      <c r="C5870" s="35" t="s">
        <v>405</v>
      </c>
      <c r="D5870" s="35" t="s">
        <v>1254</v>
      </c>
      <c r="E5870" s="35" t="s">
        <v>1274</v>
      </c>
      <c r="F5870" s="35" t="s">
        <v>335</v>
      </c>
    </row>
    <row r="5871" spans="1:7">
      <c r="A5871" s="34">
        <v>2084244355</v>
      </c>
      <c r="B5871" s="35" t="s">
        <v>462</v>
      </c>
      <c r="C5871" s="35" t="s">
        <v>405</v>
      </c>
      <c r="D5871" s="35" t="s">
        <v>1254</v>
      </c>
      <c r="E5871" s="35" t="s">
        <v>1275</v>
      </c>
      <c r="F5871" s="35" t="s">
        <v>407</v>
      </c>
    </row>
    <row r="5872" spans="1:7">
      <c r="A5872" s="34">
        <v>2084244354</v>
      </c>
      <c r="B5872" s="35" t="s">
        <v>462</v>
      </c>
      <c r="C5872" s="35" t="s">
        <v>405</v>
      </c>
      <c r="D5872" s="35" t="s">
        <v>1254</v>
      </c>
      <c r="E5872" s="35" t="s">
        <v>1275</v>
      </c>
      <c r="F5872" s="35" t="s">
        <v>408</v>
      </c>
    </row>
    <row r="5873" spans="1:7">
      <c r="A5873" s="34">
        <v>2084207446</v>
      </c>
      <c r="B5873" s="35" t="s">
        <v>462</v>
      </c>
      <c r="C5873" s="35" t="s">
        <v>405</v>
      </c>
      <c r="D5873" s="35" t="s">
        <v>1254</v>
      </c>
      <c r="E5873" s="35" t="s">
        <v>1276</v>
      </c>
      <c r="F5873" s="35" t="s">
        <v>367</v>
      </c>
    </row>
    <row r="5874" spans="1:7">
      <c r="A5874" s="34">
        <v>2084207449</v>
      </c>
      <c r="B5874" s="35" t="s">
        <v>462</v>
      </c>
      <c r="C5874" s="35" t="s">
        <v>405</v>
      </c>
      <c r="D5874" s="35" t="s">
        <v>1254</v>
      </c>
      <c r="E5874" s="35" t="s">
        <v>1276</v>
      </c>
      <c r="F5874" s="35" t="s">
        <v>368</v>
      </c>
      <c r="G5874" s="35" t="s">
        <v>481</v>
      </c>
    </row>
    <row r="5875" spans="1:7">
      <c r="A5875" s="34">
        <v>2084207448</v>
      </c>
      <c r="B5875" s="35" t="s">
        <v>462</v>
      </c>
      <c r="C5875" s="35" t="s">
        <v>405</v>
      </c>
      <c r="D5875" s="35" t="s">
        <v>1254</v>
      </c>
      <c r="E5875" s="35" t="s">
        <v>1276</v>
      </c>
      <c r="F5875" s="35" t="s">
        <v>368</v>
      </c>
      <c r="G5875" s="35" t="s">
        <v>482</v>
      </c>
    </row>
    <row r="5876" spans="1:7">
      <c r="A5876" s="34">
        <v>2084207450</v>
      </c>
      <c r="B5876" s="35" t="s">
        <v>462</v>
      </c>
      <c r="C5876" s="35" t="s">
        <v>405</v>
      </c>
      <c r="D5876" s="35" t="s">
        <v>1254</v>
      </c>
      <c r="E5876" s="35" t="s">
        <v>1276</v>
      </c>
      <c r="F5876" s="35" t="s">
        <v>368</v>
      </c>
      <c r="G5876" s="35" t="s">
        <v>335</v>
      </c>
    </row>
    <row r="5877" spans="1:7">
      <c r="A5877" s="34">
        <v>2084207456</v>
      </c>
      <c r="B5877" s="35" t="s">
        <v>462</v>
      </c>
      <c r="C5877" s="35" t="s">
        <v>405</v>
      </c>
      <c r="D5877" s="35" t="s">
        <v>1254</v>
      </c>
      <c r="E5877" s="35" t="s">
        <v>1276</v>
      </c>
      <c r="F5877" s="35" t="s">
        <v>10</v>
      </c>
      <c r="G5877" s="35" t="s">
        <v>483</v>
      </c>
    </row>
    <row r="5878" spans="1:7">
      <c r="A5878" s="34">
        <v>2084207453</v>
      </c>
      <c r="B5878" s="35" t="s">
        <v>462</v>
      </c>
      <c r="C5878" s="35" t="s">
        <v>405</v>
      </c>
      <c r="D5878" s="35" t="s">
        <v>1254</v>
      </c>
      <c r="E5878" s="35" t="s">
        <v>1276</v>
      </c>
      <c r="F5878" s="35" t="s">
        <v>10</v>
      </c>
      <c r="G5878" s="35" t="s">
        <v>397</v>
      </c>
    </row>
    <row r="5879" spans="1:7">
      <c r="A5879" s="34">
        <v>2084207455</v>
      </c>
      <c r="B5879" s="35" t="s">
        <v>462</v>
      </c>
      <c r="C5879" s="35" t="s">
        <v>405</v>
      </c>
      <c r="D5879" s="35" t="s">
        <v>1254</v>
      </c>
      <c r="E5879" s="35" t="s">
        <v>1276</v>
      </c>
      <c r="F5879" s="35" t="s">
        <v>10</v>
      </c>
      <c r="G5879" s="35" t="s">
        <v>421</v>
      </c>
    </row>
    <row r="5880" spans="1:7">
      <c r="A5880" s="34">
        <v>2084207452</v>
      </c>
      <c r="B5880" s="35" t="s">
        <v>462</v>
      </c>
      <c r="C5880" s="35" t="s">
        <v>405</v>
      </c>
      <c r="D5880" s="35" t="s">
        <v>1254</v>
      </c>
      <c r="E5880" s="35" t="s">
        <v>1276</v>
      </c>
      <c r="F5880" s="35" t="s">
        <v>10</v>
      </c>
      <c r="G5880" s="35" t="s">
        <v>398</v>
      </c>
    </row>
    <row r="5881" spans="1:7">
      <c r="A5881" s="34">
        <v>2084207454</v>
      </c>
      <c r="B5881" s="35" t="s">
        <v>462</v>
      </c>
      <c r="C5881" s="35" t="s">
        <v>405</v>
      </c>
      <c r="D5881" s="35" t="s">
        <v>1254</v>
      </c>
      <c r="E5881" s="35" t="s">
        <v>1276</v>
      </c>
      <c r="F5881" s="35" t="s">
        <v>10</v>
      </c>
      <c r="G5881" s="35" t="s">
        <v>422</v>
      </c>
    </row>
    <row r="5882" spans="1:7">
      <c r="A5882" s="34">
        <v>2084207457</v>
      </c>
      <c r="B5882" s="35" t="s">
        <v>462</v>
      </c>
      <c r="C5882" s="35" t="s">
        <v>405</v>
      </c>
      <c r="D5882" s="35" t="s">
        <v>1254</v>
      </c>
      <c r="E5882" s="35" t="s">
        <v>1276</v>
      </c>
      <c r="F5882" s="35" t="s">
        <v>10</v>
      </c>
      <c r="G5882" s="35" t="s">
        <v>335</v>
      </c>
    </row>
    <row r="5883" spans="1:7">
      <c r="A5883" s="34">
        <v>2084207459</v>
      </c>
      <c r="B5883" s="35" t="s">
        <v>462</v>
      </c>
      <c r="C5883" s="35" t="s">
        <v>405</v>
      </c>
      <c r="D5883" s="35" t="s">
        <v>1254</v>
      </c>
      <c r="E5883" s="35" t="s">
        <v>1276</v>
      </c>
      <c r="F5883" s="35" t="s">
        <v>379</v>
      </c>
      <c r="G5883" s="35" t="s">
        <v>476</v>
      </c>
    </row>
    <row r="5884" spans="1:7">
      <c r="A5884" s="34">
        <v>2084207460</v>
      </c>
      <c r="B5884" s="35" t="s">
        <v>462</v>
      </c>
      <c r="C5884" s="35" t="s">
        <v>405</v>
      </c>
      <c r="D5884" s="35" t="s">
        <v>1254</v>
      </c>
      <c r="E5884" s="35" t="s">
        <v>1276</v>
      </c>
      <c r="F5884" s="35" t="s">
        <v>379</v>
      </c>
      <c r="G5884" s="35" t="s">
        <v>335</v>
      </c>
    </row>
    <row r="5885" spans="1:7">
      <c r="A5885" s="34">
        <v>2084207461</v>
      </c>
      <c r="B5885" s="35" t="s">
        <v>462</v>
      </c>
      <c r="C5885" s="35" t="s">
        <v>405</v>
      </c>
      <c r="D5885" s="35" t="s">
        <v>1254</v>
      </c>
      <c r="E5885" s="35" t="s">
        <v>1276</v>
      </c>
      <c r="F5885" s="35" t="s">
        <v>478</v>
      </c>
    </row>
    <row r="5886" spans="1:7">
      <c r="A5886" s="34">
        <v>2084207462</v>
      </c>
      <c r="B5886" s="35" t="s">
        <v>462</v>
      </c>
      <c r="C5886" s="35" t="s">
        <v>405</v>
      </c>
      <c r="D5886" s="35" t="s">
        <v>1254</v>
      </c>
      <c r="E5886" s="35" t="s">
        <v>1276</v>
      </c>
      <c r="F5886" s="35" t="s">
        <v>335</v>
      </c>
    </row>
    <row r="5887" spans="1:7">
      <c r="A5887" s="34">
        <v>2084244307</v>
      </c>
      <c r="B5887" s="35" t="s">
        <v>462</v>
      </c>
      <c r="C5887" s="35" t="s">
        <v>405</v>
      </c>
      <c r="D5887" s="35" t="s">
        <v>1254</v>
      </c>
      <c r="E5887" s="35" t="s">
        <v>1277</v>
      </c>
      <c r="F5887" s="35" t="s">
        <v>401</v>
      </c>
    </row>
    <row r="5888" spans="1:7">
      <c r="A5888" s="34">
        <v>2084244308</v>
      </c>
      <c r="B5888" s="35" t="s">
        <v>462</v>
      </c>
      <c r="C5888" s="35" t="s">
        <v>405</v>
      </c>
      <c r="D5888" s="35" t="s">
        <v>1254</v>
      </c>
      <c r="E5888" s="35" t="s">
        <v>1277</v>
      </c>
      <c r="F5888" s="35" t="s">
        <v>402</v>
      </c>
    </row>
    <row r="5889" spans="1:8">
      <c r="A5889" s="34">
        <v>2084244309</v>
      </c>
      <c r="B5889" s="35" t="s">
        <v>462</v>
      </c>
      <c r="C5889" s="35" t="s">
        <v>405</v>
      </c>
      <c r="D5889" s="35" t="s">
        <v>1254</v>
      </c>
      <c r="E5889" s="35" t="s">
        <v>1277</v>
      </c>
      <c r="F5889" s="35" t="s">
        <v>403</v>
      </c>
    </row>
    <row r="5890" spans="1:8">
      <c r="A5890" s="34">
        <v>2084244310</v>
      </c>
      <c r="B5890" s="35" t="s">
        <v>462</v>
      </c>
      <c r="C5890" s="35" t="s">
        <v>405</v>
      </c>
      <c r="D5890" s="35" t="s">
        <v>1254</v>
      </c>
      <c r="E5890" s="35" t="s">
        <v>1277</v>
      </c>
      <c r="F5890" s="35" t="s">
        <v>335</v>
      </c>
    </row>
    <row r="5891" spans="1:8">
      <c r="A5891" s="34">
        <v>2084192993</v>
      </c>
      <c r="B5891" s="35" t="s">
        <v>462</v>
      </c>
      <c r="C5891" s="35" t="s">
        <v>405</v>
      </c>
      <c r="D5891" s="35" t="s">
        <v>1254</v>
      </c>
      <c r="E5891" s="35" t="s">
        <v>1278</v>
      </c>
      <c r="F5891" s="35" t="s">
        <v>390</v>
      </c>
      <c r="G5891" s="35" t="s">
        <v>367</v>
      </c>
    </row>
    <row r="5892" spans="1:8">
      <c r="A5892" s="34">
        <v>2084192995</v>
      </c>
      <c r="B5892" s="35" t="s">
        <v>462</v>
      </c>
      <c r="C5892" s="35" t="s">
        <v>405</v>
      </c>
      <c r="D5892" s="35" t="s">
        <v>1254</v>
      </c>
      <c r="E5892" s="35" t="s">
        <v>1278</v>
      </c>
      <c r="F5892" s="35" t="s">
        <v>390</v>
      </c>
      <c r="G5892" s="35" t="s">
        <v>368</v>
      </c>
      <c r="H5892" s="35" t="s">
        <v>481</v>
      </c>
    </row>
    <row r="5893" spans="1:8">
      <c r="A5893" s="34">
        <v>2084192996</v>
      </c>
      <c r="B5893" s="35" t="s">
        <v>462</v>
      </c>
      <c r="C5893" s="35" t="s">
        <v>405</v>
      </c>
      <c r="D5893" s="35" t="s">
        <v>1254</v>
      </c>
      <c r="E5893" s="35" t="s">
        <v>1278</v>
      </c>
      <c r="F5893" s="35" t="s">
        <v>390</v>
      </c>
      <c r="G5893" s="35" t="s">
        <v>368</v>
      </c>
      <c r="H5893" s="35" t="s">
        <v>335</v>
      </c>
    </row>
    <row r="5894" spans="1:8">
      <c r="A5894" s="34">
        <v>2084193002</v>
      </c>
      <c r="B5894" s="35" t="s">
        <v>462</v>
      </c>
      <c r="C5894" s="35" t="s">
        <v>405</v>
      </c>
      <c r="D5894" s="35" t="s">
        <v>1254</v>
      </c>
      <c r="E5894" s="35" t="s">
        <v>1278</v>
      </c>
      <c r="F5894" s="35" t="s">
        <v>390</v>
      </c>
      <c r="G5894" s="35" t="s">
        <v>10</v>
      </c>
      <c r="H5894" s="35" t="s">
        <v>483</v>
      </c>
    </row>
    <row r="5895" spans="1:8">
      <c r="A5895" s="34">
        <v>2084192999</v>
      </c>
      <c r="B5895" s="35" t="s">
        <v>462</v>
      </c>
      <c r="C5895" s="35" t="s">
        <v>405</v>
      </c>
      <c r="D5895" s="35" t="s">
        <v>1254</v>
      </c>
      <c r="E5895" s="35" t="s">
        <v>1278</v>
      </c>
      <c r="F5895" s="35" t="s">
        <v>390</v>
      </c>
      <c r="G5895" s="35" t="s">
        <v>10</v>
      </c>
      <c r="H5895" s="35" t="s">
        <v>397</v>
      </c>
    </row>
    <row r="5896" spans="1:8">
      <c r="A5896" s="34">
        <v>2084193001</v>
      </c>
      <c r="B5896" s="35" t="s">
        <v>462</v>
      </c>
      <c r="C5896" s="35" t="s">
        <v>405</v>
      </c>
      <c r="D5896" s="35" t="s">
        <v>1254</v>
      </c>
      <c r="E5896" s="35" t="s">
        <v>1278</v>
      </c>
      <c r="F5896" s="35" t="s">
        <v>390</v>
      </c>
      <c r="G5896" s="35" t="s">
        <v>10</v>
      </c>
      <c r="H5896" s="35" t="s">
        <v>421</v>
      </c>
    </row>
    <row r="5897" spans="1:8">
      <c r="A5897" s="34">
        <v>2084192998</v>
      </c>
      <c r="B5897" s="35" t="s">
        <v>462</v>
      </c>
      <c r="C5897" s="35" t="s">
        <v>405</v>
      </c>
      <c r="D5897" s="35" t="s">
        <v>1254</v>
      </c>
      <c r="E5897" s="35" t="s">
        <v>1278</v>
      </c>
      <c r="F5897" s="35" t="s">
        <v>390</v>
      </c>
      <c r="G5897" s="35" t="s">
        <v>10</v>
      </c>
      <c r="H5897" s="35" t="s">
        <v>398</v>
      </c>
    </row>
    <row r="5898" spans="1:8">
      <c r="A5898" s="34">
        <v>2084193000</v>
      </c>
      <c r="B5898" s="35" t="s">
        <v>462</v>
      </c>
      <c r="C5898" s="35" t="s">
        <v>405</v>
      </c>
      <c r="D5898" s="35" t="s">
        <v>1254</v>
      </c>
      <c r="E5898" s="35" t="s">
        <v>1278</v>
      </c>
      <c r="F5898" s="35" t="s">
        <v>390</v>
      </c>
      <c r="G5898" s="35" t="s">
        <v>10</v>
      </c>
      <c r="H5898" s="35" t="s">
        <v>422</v>
      </c>
    </row>
    <row r="5899" spans="1:8">
      <c r="A5899" s="34">
        <v>2084193003</v>
      </c>
      <c r="B5899" s="35" t="s">
        <v>462</v>
      </c>
      <c r="C5899" s="35" t="s">
        <v>405</v>
      </c>
      <c r="D5899" s="35" t="s">
        <v>1254</v>
      </c>
      <c r="E5899" s="35" t="s">
        <v>1278</v>
      </c>
      <c r="F5899" s="35" t="s">
        <v>390</v>
      </c>
      <c r="G5899" s="35" t="s">
        <v>10</v>
      </c>
      <c r="H5899" s="35" t="s">
        <v>335</v>
      </c>
    </row>
    <row r="5900" spans="1:8">
      <c r="A5900" s="34">
        <v>2084193006</v>
      </c>
      <c r="B5900" s="35" t="s">
        <v>462</v>
      </c>
      <c r="C5900" s="35" t="s">
        <v>405</v>
      </c>
      <c r="D5900" s="35" t="s">
        <v>1254</v>
      </c>
      <c r="E5900" s="35" t="s">
        <v>1278</v>
      </c>
      <c r="F5900" s="35" t="s">
        <v>390</v>
      </c>
      <c r="G5900" s="35" t="s">
        <v>379</v>
      </c>
      <c r="H5900" s="35" t="s">
        <v>545</v>
      </c>
    </row>
    <row r="5901" spans="1:8">
      <c r="A5901" s="34">
        <v>2084193005</v>
      </c>
      <c r="B5901" s="35" t="s">
        <v>462</v>
      </c>
      <c r="C5901" s="35" t="s">
        <v>405</v>
      </c>
      <c r="D5901" s="35" t="s">
        <v>1254</v>
      </c>
      <c r="E5901" s="35" t="s">
        <v>1278</v>
      </c>
      <c r="F5901" s="35" t="s">
        <v>390</v>
      </c>
      <c r="G5901" s="35" t="s">
        <v>379</v>
      </c>
      <c r="H5901" s="35" t="s">
        <v>476</v>
      </c>
    </row>
    <row r="5902" spans="1:8">
      <c r="A5902" s="34">
        <v>2084193007</v>
      </c>
      <c r="B5902" s="35" t="s">
        <v>462</v>
      </c>
      <c r="C5902" s="35" t="s">
        <v>405</v>
      </c>
      <c r="D5902" s="35" t="s">
        <v>1254</v>
      </c>
      <c r="E5902" s="35" t="s">
        <v>1278</v>
      </c>
      <c r="F5902" s="35" t="s">
        <v>390</v>
      </c>
      <c r="G5902" s="35" t="s">
        <v>379</v>
      </c>
      <c r="H5902" s="35" t="s">
        <v>335</v>
      </c>
    </row>
    <row r="5903" spans="1:8">
      <c r="A5903" s="34">
        <v>2084193008</v>
      </c>
      <c r="B5903" s="35" t="s">
        <v>462</v>
      </c>
      <c r="C5903" s="35" t="s">
        <v>405</v>
      </c>
      <c r="D5903" s="35" t="s">
        <v>1254</v>
      </c>
      <c r="E5903" s="35" t="s">
        <v>1278</v>
      </c>
      <c r="F5903" s="35" t="s">
        <v>390</v>
      </c>
      <c r="G5903" s="35" t="s">
        <v>335</v>
      </c>
    </row>
    <row r="5904" spans="1:8">
      <c r="A5904" s="34">
        <v>2084193010</v>
      </c>
      <c r="B5904" s="35" t="s">
        <v>462</v>
      </c>
      <c r="C5904" s="35" t="s">
        <v>405</v>
      </c>
      <c r="D5904" s="35" t="s">
        <v>1254</v>
      </c>
      <c r="E5904" s="35" t="s">
        <v>1278</v>
      </c>
      <c r="F5904" s="35" t="s">
        <v>353</v>
      </c>
      <c r="G5904" s="35" t="s">
        <v>367</v>
      </c>
    </row>
    <row r="5905" spans="1:8">
      <c r="A5905" s="34">
        <v>2084193012</v>
      </c>
      <c r="B5905" s="35" t="s">
        <v>462</v>
      </c>
      <c r="C5905" s="35" t="s">
        <v>405</v>
      </c>
      <c r="D5905" s="35" t="s">
        <v>1254</v>
      </c>
      <c r="E5905" s="35" t="s">
        <v>1278</v>
      </c>
      <c r="F5905" s="35" t="s">
        <v>353</v>
      </c>
      <c r="G5905" s="35" t="s">
        <v>368</v>
      </c>
      <c r="H5905" s="35" t="s">
        <v>481</v>
      </c>
    </row>
    <row r="5906" spans="1:8">
      <c r="A5906" s="34">
        <v>2084193013</v>
      </c>
      <c r="B5906" s="35" t="s">
        <v>462</v>
      </c>
      <c r="C5906" s="35" t="s">
        <v>405</v>
      </c>
      <c r="D5906" s="35" t="s">
        <v>1254</v>
      </c>
      <c r="E5906" s="35" t="s">
        <v>1278</v>
      </c>
      <c r="F5906" s="35" t="s">
        <v>353</v>
      </c>
      <c r="G5906" s="35" t="s">
        <v>368</v>
      </c>
      <c r="H5906" s="35" t="s">
        <v>335</v>
      </c>
    </row>
    <row r="5907" spans="1:8">
      <c r="A5907" s="34">
        <v>2084193019</v>
      </c>
      <c r="B5907" s="35" t="s">
        <v>462</v>
      </c>
      <c r="C5907" s="35" t="s">
        <v>405</v>
      </c>
      <c r="D5907" s="35" t="s">
        <v>1254</v>
      </c>
      <c r="E5907" s="35" t="s">
        <v>1278</v>
      </c>
      <c r="F5907" s="35" t="s">
        <v>353</v>
      </c>
      <c r="G5907" s="35" t="s">
        <v>10</v>
      </c>
      <c r="H5907" s="35" t="s">
        <v>483</v>
      </c>
    </row>
    <row r="5908" spans="1:8">
      <c r="A5908" s="34">
        <v>2084193016</v>
      </c>
      <c r="B5908" s="35" t="s">
        <v>462</v>
      </c>
      <c r="C5908" s="35" t="s">
        <v>405</v>
      </c>
      <c r="D5908" s="35" t="s">
        <v>1254</v>
      </c>
      <c r="E5908" s="35" t="s">
        <v>1278</v>
      </c>
      <c r="F5908" s="35" t="s">
        <v>353</v>
      </c>
      <c r="G5908" s="35" t="s">
        <v>10</v>
      </c>
      <c r="H5908" s="35" t="s">
        <v>397</v>
      </c>
    </row>
    <row r="5909" spans="1:8">
      <c r="A5909" s="34">
        <v>2084193018</v>
      </c>
      <c r="B5909" s="35" t="s">
        <v>462</v>
      </c>
      <c r="C5909" s="35" t="s">
        <v>405</v>
      </c>
      <c r="D5909" s="35" t="s">
        <v>1254</v>
      </c>
      <c r="E5909" s="35" t="s">
        <v>1278</v>
      </c>
      <c r="F5909" s="35" t="s">
        <v>353</v>
      </c>
      <c r="G5909" s="35" t="s">
        <v>10</v>
      </c>
      <c r="H5909" s="35" t="s">
        <v>421</v>
      </c>
    </row>
    <row r="5910" spans="1:8">
      <c r="A5910" s="34">
        <v>2084193015</v>
      </c>
      <c r="B5910" s="35" t="s">
        <v>462</v>
      </c>
      <c r="C5910" s="35" t="s">
        <v>405</v>
      </c>
      <c r="D5910" s="35" t="s">
        <v>1254</v>
      </c>
      <c r="E5910" s="35" t="s">
        <v>1278</v>
      </c>
      <c r="F5910" s="35" t="s">
        <v>353</v>
      </c>
      <c r="G5910" s="35" t="s">
        <v>10</v>
      </c>
      <c r="H5910" s="35" t="s">
        <v>398</v>
      </c>
    </row>
    <row r="5911" spans="1:8">
      <c r="A5911" s="34">
        <v>2084193017</v>
      </c>
      <c r="B5911" s="35" t="s">
        <v>462</v>
      </c>
      <c r="C5911" s="35" t="s">
        <v>405</v>
      </c>
      <c r="D5911" s="35" t="s">
        <v>1254</v>
      </c>
      <c r="E5911" s="35" t="s">
        <v>1278</v>
      </c>
      <c r="F5911" s="35" t="s">
        <v>353</v>
      </c>
      <c r="G5911" s="35" t="s">
        <v>10</v>
      </c>
      <c r="H5911" s="35" t="s">
        <v>422</v>
      </c>
    </row>
    <row r="5912" spans="1:8">
      <c r="A5912" s="34">
        <v>2084193020</v>
      </c>
      <c r="B5912" s="35" t="s">
        <v>462</v>
      </c>
      <c r="C5912" s="35" t="s">
        <v>405</v>
      </c>
      <c r="D5912" s="35" t="s">
        <v>1254</v>
      </c>
      <c r="E5912" s="35" t="s">
        <v>1278</v>
      </c>
      <c r="F5912" s="35" t="s">
        <v>353</v>
      </c>
      <c r="G5912" s="35" t="s">
        <v>10</v>
      </c>
      <c r="H5912" s="35" t="s">
        <v>335</v>
      </c>
    </row>
    <row r="5913" spans="1:8">
      <c r="A5913" s="34">
        <v>2084193022</v>
      </c>
      <c r="B5913" s="35" t="s">
        <v>462</v>
      </c>
      <c r="C5913" s="35" t="s">
        <v>405</v>
      </c>
      <c r="D5913" s="35" t="s">
        <v>1254</v>
      </c>
      <c r="E5913" s="35" t="s">
        <v>1278</v>
      </c>
      <c r="F5913" s="35" t="s">
        <v>353</v>
      </c>
      <c r="G5913" s="35" t="s">
        <v>379</v>
      </c>
      <c r="H5913" s="35" t="s">
        <v>545</v>
      </c>
    </row>
    <row r="5914" spans="1:8">
      <c r="A5914" s="34">
        <v>2084193023</v>
      </c>
      <c r="B5914" s="35" t="s">
        <v>462</v>
      </c>
      <c r="C5914" s="35" t="s">
        <v>405</v>
      </c>
      <c r="D5914" s="35" t="s">
        <v>1254</v>
      </c>
      <c r="E5914" s="35" t="s">
        <v>1278</v>
      </c>
      <c r="F5914" s="35" t="s">
        <v>353</v>
      </c>
      <c r="G5914" s="35" t="s">
        <v>379</v>
      </c>
      <c r="H5914" s="35" t="s">
        <v>335</v>
      </c>
    </row>
    <row r="5915" spans="1:8">
      <c r="A5915" s="34">
        <v>2084193024</v>
      </c>
      <c r="B5915" s="35" t="s">
        <v>462</v>
      </c>
      <c r="C5915" s="35" t="s">
        <v>405</v>
      </c>
      <c r="D5915" s="35" t="s">
        <v>1254</v>
      </c>
      <c r="E5915" s="35" t="s">
        <v>1278</v>
      </c>
      <c r="F5915" s="35" t="s">
        <v>353</v>
      </c>
      <c r="G5915" s="35" t="s">
        <v>335</v>
      </c>
    </row>
    <row r="5916" spans="1:8">
      <c r="A5916" s="34">
        <v>2084193025</v>
      </c>
      <c r="B5916" s="35" t="s">
        <v>462</v>
      </c>
      <c r="C5916" s="35" t="s">
        <v>405</v>
      </c>
      <c r="D5916" s="35" t="s">
        <v>1254</v>
      </c>
      <c r="E5916" s="35" t="s">
        <v>1278</v>
      </c>
      <c r="F5916" s="35" t="s">
        <v>335</v>
      </c>
    </row>
    <row r="5917" spans="1:8">
      <c r="A5917" s="34">
        <v>2084259886</v>
      </c>
      <c r="B5917" s="35" t="s">
        <v>462</v>
      </c>
      <c r="C5917" s="35" t="s">
        <v>405</v>
      </c>
      <c r="D5917" s="35" t="s">
        <v>1254</v>
      </c>
      <c r="E5917" s="35" t="s">
        <v>1279</v>
      </c>
      <c r="F5917" s="35" t="s">
        <v>407</v>
      </c>
    </row>
    <row r="5918" spans="1:8">
      <c r="A5918" s="34">
        <v>2084259885</v>
      </c>
      <c r="B5918" s="35" t="s">
        <v>462</v>
      </c>
      <c r="C5918" s="35" t="s">
        <v>405</v>
      </c>
      <c r="D5918" s="35" t="s">
        <v>1254</v>
      </c>
      <c r="E5918" s="35" t="s">
        <v>1279</v>
      </c>
      <c r="F5918" s="35" t="s">
        <v>408</v>
      </c>
    </row>
    <row r="5919" spans="1:8">
      <c r="A5919" s="34">
        <v>2084230022</v>
      </c>
      <c r="B5919" s="35" t="s">
        <v>462</v>
      </c>
      <c r="C5919" s="35" t="s">
        <v>405</v>
      </c>
      <c r="D5919" s="35" t="s">
        <v>1254</v>
      </c>
      <c r="E5919" s="35" t="s">
        <v>1280</v>
      </c>
    </row>
    <row r="5920" spans="1:8">
      <c r="A5920" s="34">
        <v>2084238794</v>
      </c>
      <c r="B5920" s="35" t="s">
        <v>462</v>
      </c>
      <c r="C5920" s="35" t="s">
        <v>405</v>
      </c>
      <c r="D5920" s="35" t="s">
        <v>1254</v>
      </c>
      <c r="E5920" s="35" t="s">
        <v>1281</v>
      </c>
      <c r="F5920" s="35" t="s">
        <v>390</v>
      </c>
      <c r="G5920" s="35" t="s">
        <v>367</v>
      </c>
    </row>
    <row r="5921" spans="1:8">
      <c r="A5921" s="34">
        <v>2084238795</v>
      </c>
      <c r="B5921" s="35" t="s">
        <v>462</v>
      </c>
      <c r="C5921" s="35" t="s">
        <v>405</v>
      </c>
      <c r="D5921" s="35" t="s">
        <v>1254</v>
      </c>
      <c r="E5921" s="35" t="s">
        <v>1281</v>
      </c>
      <c r="F5921" s="35" t="s">
        <v>390</v>
      </c>
      <c r="G5921" s="35" t="s">
        <v>401</v>
      </c>
    </row>
    <row r="5922" spans="1:8">
      <c r="A5922" s="34">
        <v>2084238796</v>
      </c>
      <c r="B5922" s="35" t="s">
        <v>462</v>
      </c>
      <c r="C5922" s="35" t="s">
        <v>405</v>
      </c>
      <c r="D5922" s="35" t="s">
        <v>1254</v>
      </c>
      <c r="E5922" s="35" t="s">
        <v>1281</v>
      </c>
      <c r="F5922" s="35" t="s">
        <v>390</v>
      </c>
      <c r="G5922" s="35" t="s">
        <v>402</v>
      </c>
    </row>
    <row r="5923" spans="1:8">
      <c r="A5923" s="34">
        <v>2084238798</v>
      </c>
      <c r="B5923" s="35" t="s">
        <v>462</v>
      </c>
      <c r="C5923" s="35" t="s">
        <v>405</v>
      </c>
      <c r="D5923" s="35" t="s">
        <v>1254</v>
      </c>
      <c r="E5923" s="35" t="s">
        <v>1281</v>
      </c>
      <c r="F5923" s="35" t="s">
        <v>390</v>
      </c>
      <c r="G5923" s="35" t="s">
        <v>403</v>
      </c>
    </row>
    <row r="5924" spans="1:8">
      <c r="A5924" s="34">
        <v>2084238797</v>
      </c>
      <c r="B5924" s="35" t="s">
        <v>462</v>
      </c>
      <c r="C5924" s="35" t="s">
        <v>405</v>
      </c>
      <c r="D5924" s="35" t="s">
        <v>1254</v>
      </c>
      <c r="E5924" s="35" t="s">
        <v>1281</v>
      </c>
      <c r="F5924" s="35" t="s">
        <v>390</v>
      </c>
      <c r="G5924" s="35" t="s">
        <v>478</v>
      </c>
    </row>
    <row r="5925" spans="1:8">
      <c r="A5925" s="34">
        <v>2084238799</v>
      </c>
      <c r="B5925" s="35" t="s">
        <v>462</v>
      </c>
      <c r="C5925" s="35" t="s">
        <v>405</v>
      </c>
      <c r="D5925" s="35" t="s">
        <v>1254</v>
      </c>
      <c r="E5925" s="35" t="s">
        <v>1281</v>
      </c>
      <c r="F5925" s="35" t="s">
        <v>390</v>
      </c>
      <c r="G5925" s="35" t="s">
        <v>335</v>
      </c>
    </row>
    <row r="5926" spans="1:8">
      <c r="A5926" s="34">
        <v>2084238800</v>
      </c>
      <c r="B5926" s="35" t="s">
        <v>462</v>
      </c>
      <c r="C5926" s="35" t="s">
        <v>405</v>
      </c>
      <c r="D5926" s="35" t="s">
        <v>1254</v>
      </c>
      <c r="E5926" s="35" t="s">
        <v>1281</v>
      </c>
      <c r="F5926" s="35" t="s">
        <v>335</v>
      </c>
    </row>
    <row r="5927" spans="1:8">
      <c r="A5927" s="34">
        <v>2084058277</v>
      </c>
      <c r="B5927" s="35" t="s">
        <v>462</v>
      </c>
      <c r="C5927" s="35" t="s">
        <v>405</v>
      </c>
      <c r="D5927" s="35" t="s">
        <v>1254</v>
      </c>
      <c r="E5927" s="35" t="s">
        <v>1282</v>
      </c>
      <c r="F5927" s="35" t="s">
        <v>353</v>
      </c>
      <c r="G5927" s="35" t="s">
        <v>368</v>
      </c>
      <c r="H5927" s="35" t="s">
        <v>645</v>
      </c>
    </row>
    <row r="5928" spans="1:8">
      <c r="A5928" s="34">
        <v>2084058278</v>
      </c>
      <c r="B5928" s="35" t="s">
        <v>462</v>
      </c>
      <c r="C5928" s="35" t="s">
        <v>405</v>
      </c>
      <c r="D5928" s="35" t="s">
        <v>1254</v>
      </c>
      <c r="E5928" s="35" t="s">
        <v>1282</v>
      </c>
      <c r="F5928" s="35" t="s">
        <v>353</v>
      </c>
      <c r="G5928" s="35" t="s">
        <v>368</v>
      </c>
      <c r="H5928" s="35" t="s">
        <v>335</v>
      </c>
    </row>
    <row r="5929" spans="1:8">
      <c r="A5929" s="34">
        <v>2084058283</v>
      </c>
      <c r="B5929" s="35" t="s">
        <v>462</v>
      </c>
      <c r="C5929" s="35" t="s">
        <v>405</v>
      </c>
      <c r="D5929" s="35" t="s">
        <v>1254</v>
      </c>
      <c r="E5929" s="35" t="s">
        <v>1282</v>
      </c>
      <c r="F5929" s="35" t="s">
        <v>353</v>
      </c>
      <c r="G5929" s="35" t="s">
        <v>10</v>
      </c>
      <c r="H5929" s="35" t="s">
        <v>397</v>
      </c>
    </row>
    <row r="5930" spans="1:8">
      <c r="A5930" s="34">
        <v>2084058282</v>
      </c>
      <c r="B5930" s="35" t="s">
        <v>462</v>
      </c>
      <c r="C5930" s="35" t="s">
        <v>405</v>
      </c>
      <c r="D5930" s="35" t="s">
        <v>1254</v>
      </c>
      <c r="E5930" s="35" t="s">
        <v>1282</v>
      </c>
      <c r="F5930" s="35" t="s">
        <v>353</v>
      </c>
      <c r="G5930" s="35" t="s">
        <v>10</v>
      </c>
      <c r="H5930" s="35" t="s">
        <v>421</v>
      </c>
    </row>
    <row r="5931" spans="1:8">
      <c r="A5931" s="34">
        <v>2084058281</v>
      </c>
      <c r="B5931" s="35" t="s">
        <v>462</v>
      </c>
      <c r="C5931" s="35" t="s">
        <v>405</v>
      </c>
      <c r="D5931" s="35" t="s">
        <v>1254</v>
      </c>
      <c r="E5931" s="35" t="s">
        <v>1282</v>
      </c>
      <c r="F5931" s="35" t="s">
        <v>353</v>
      </c>
      <c r="G5931" s="35" t="s">
        <v>10</v>
      </c>
      <c r="H5931" s="35" t="s">
        <v>398</v>
      </c>
    </row>
    <row r="5932" spans="1:8">
      <c r="A5932" s="34">
        <v>2084058280</v>
      </c>
      <c r="B5932" s="35" t="s">
        <v>462</v>
      </c>
      <c r="C5932" s="35" t="s">
        <v>405</v>
      </c>
      <c r="D5932" s="35" t="s">
        <v>1254</v>
      </c>
      <c r="E5932" s="35" t="s">
        <v>1282</v>
      </c>
      <c r="F5932" s="35" t="s">
        <v>353</v>
      </c>
      <c r="G5932" s="35" t="s">
        <v>10</v>
      </c>
      <c r="H5932" s="35" t="s">
        <v>422</v>
      </c>
    </row>
    <row r="5933" spans="1:8">
      <c r="A5933" s="34">
        <v>2084058284</v>
      </c>
      <c r="B5933" s="35" t="s">
        <v>462</v>
      </c>
      <c r="C5933" s="35" t="s">
        <v>405</v>
      </c>
      <c r="D5933" s="35" t="s">
        <v>1254</v>
      </c>
      <c r="E5933" s="35" t="s">
        <v>1282</v>
      </c>
      <c r="F5933" s="35" t="s">
        <v>353</v>
      </c>
      <c r="G5933" s="35" t="s">
        <v>10</v>
      </c>
      <c r="H5933" s="35" t="s">
        <v>335</v>
      </c>
    </row>
    <row r="5934" spans="1:8">
      <c r="A5934" s="34">
        <v>2084058289</v>
      </c>
      <c r="B5934" s="35" t="s">
        <v>462</v>
      </c>
      <c r="C5934" s="35" t="s">
        <v>405</v>
      </c>
      <c r="D5934" s="35" t="s">
        <v>1254</v>
      </c>
      <c r="E5934" s="35" t="s">
        <v>1282</v>
      </c>
      <c r="F5934" s="35" t="s">
        <v>353</v>
      </c>
      <c r="G5934" s="35" t="s">
        <v>379</v>
      </c>
      <c r="H5934" s="35" t="s">
        <v>545</v>
      </c>
    </row>
    <row r="5935" spans="1:8">
      <c r="A5935" s="34">
        <v>2084058290</v>
      </c>
      <c r="B5935" s="35" t="s">
        <v>462</v>
      </c>
      <c r="C5935" s="35" t="s">
        <v>405</v>
      </c>
      <c r="D5935" s="35" t="s">
        <v>1254</v>
      </c>
      <c r="E5935" s="35" t="s">
        <v>1282</v>
      </c>
      <c r="F5935" s="35" t="s">
        <v>353</v>
      </c>
      <c r="G5935" s="35" t="s">
        <v>379</v>
      </c>
      <c r="H5935" s="35" t="s">
        <v>335</v>
      </c>
    </row>
    <row r="5936" spans="1:8">
      <c r="A5936" s="34">
        <v>2084058293</v>
      </c>
      <c r="B5936" s="35" t="s">
        <v>462</v>
      </c>
      <c r="C5936" s="35" t="s">
        <v>405</v>
      </c>
      <c r="D5936" s="35" t="s">
        <v>1254</v>
      </c>
      <c r="E5936" s="35" t="s">
        <v>1282</v>
      </c>
      <c r="F5936" s="35" t="s">
        <v>353</v>
      </c>
      <c r="G5936" s="35" t="s">
        <v>335</v>
      </c>
    </row>
    <row r="5937" spans="1:8">
      <c r="A5937" s="34">
        <v>2084058295</v>
      </c>
      <c r="B5937" s="35" t="s">
        <v>462</v>
      </c>
      <c r="C5937" s="35" t="s">
        <v>405</v>
      </c>
      <c r="D5937" s="35" t="s">
        <v>1254</v>
      </c>
      <c r="E5937" s="35" t="s">
        <v>1282</v>
      </c>
      <c r="F5937" s="35" t="s">
        <v>335</v>
      </c>
    </row>
    <row r="5938" spans="1:8">
      <c r="A5938" s="34">
        <v>2084308591</v>
      </c>
      <c r="B5938" s="35" t="s">
        <v>462</v>
      </c>
      <c r="C5938" s="35" t="s">
        <v>405</v>
      </c>
      <c r="D5938" s="35" t="s">
        <v>1254</v>
      </c>
      <c r="E5938" s="35" t="s">
        <v>1283</v>
      </c>
      <c r="F5938" s="35" t="s">
        <v>588</v>
      </c>
    </row>
    <row r="5939" spans="1:8">
      <c r="A5939" s="34">
        <v>2084308592</v>
      </c>
      <c r="B5939" s="35" t="s">
        <v>462</v>
      </c>
      <c r="C5939" s="35" t="s">
        <v>405</v>
      </c>
      <c r="D5939" s="35" t="s">
        <v>1254</v>
      </c>
      <c r="E5939" s="35" t="s">
        <v>1283</v>
      </c>
      <c r="F5939" s="35" t="s">
        <v>857</v>
      </c>
    </row>
    <row r="5940" spans="1:8">
      <c r="A5940" s="34">
        <v>2084308593</v>
      </c>
      <c r="B5940" s="35" t="s">
        <v>462</v>
      </c>
      <c r="C5940" s="35" t="s">
        <v>405</v>
      </c>
      <c r="D5940" s="35" t="s">
        <v>1254</v>
      </c>
      <c r="E5940" s="35" t="s">
        <v>1283</v>
      </c>
      <c r="F5940" s="35" t="s">
        <v>858</v>
      </c>
    </row>
    <row r="5941" spans="1:8">
      <c r="A5941" s="34">
        <v>2084308594</v>
      </c>
      <c r="B5941" s="35" t="s">
        <v>462</v>
      </c>
      <c r="C5941" s="35" t="s">
        <v>405</v>
      </c>
      <c r="D5941" s="35" t="s">
        <v>1254</v>
      </c>
      <c r="E5941" s="35" t="s">
        <v>1283</v>
      </c>
      <c r="F5941" s="35" t="s">
        <v>1284</v>
      </c>
    </row>
    <row r="5942" spans="1:8">
      <c r="A5942" s="34">
        <v>2084308595</v>
      </c>
      <c r="B5942" s="35" t="s">
        <v>462</v>
      </c>
      <c r="C5942" s="35" t="s">
        <v>405</v>
      </c>
      <c r="D5942" s="35" t="s">
        <v>1254</v>
      </c>
      <c r="E5942" s="35" t="s">
        <v>1283</v>
      </c>
      <c r="F5942" s="35" t="s">
        <v>859</v>
      </c>
    </row>
    <row r="5943" spans="1:8">
      <c r="A5943" s="34">
        <v>2084308596</v>
      </c>
      <c r="B5943" s="35" t="s">
        <v>462</v>
      </c>
      <c r="C5943" s="35" t="s">
        <v>405</v>
      </c>
      <c r="D5943" s="35" t="s">
        <v>1254</v>
      </c>
      <c r="E5943" s="35" t="s">
        <v>1283</v>
      </c>
      <c r="F5943" s="35" t="s">
        <v>504</v>
      </c>
    </row>
    <row r="5944" spans="1:8">
      <c r="A5944" s="34">
        <v>2084308597</v>
      </c>
      <c r="B5944" s="35" t="s">
        <v>462</v>
      </c>
      <c r="C5944" s="35" t="s">
        <v>405</v>
      </c>
      <c r="D5944" s="35" t="s">
        <v>1254</v>
      </c>
      <c r="E5944" s="35" t="s">
        <v>1283</v>
      </c>
      <c r="F5944" s="35" t="s">
        <v>335</v>
      </c>
    </row>
    <row r="5945" spans="1:8">
      <c r="A5945" s="34">
        <v>2084283771</v>
      </c>
      <c r="B5945" s="35" t="s">
        <v>462</v>
      </c>
      <c r="C5945" s="35" t="s">
        <v>405</v>
      </c>
      <c r="D5945" s="35" t="s">
        <v>1254</v>
      </c>
      <c r="E5945" s="35" t="s">
        <v>1285</v>
      </c>
    </row>
    <row r="5946" spans="1:8">
      <c r="A5946" s="34">
        <v>2084062400</v>
      </c>
      <c r="B5946" s="35" t="s">
        <v>462</v>
      </c>
      <c r="C5946" s="35" t="s">
        <v>405</v>
      </c>
      <c r="D5946" s="35" t="s">
        <v>1254</v>
      </c>
      <c r="E5946" s="35" t="s">
        <v>1286</v>
      </c>
      <c r="F5946" s="35" t="s">
        <v>407</v>
      </c>
    </row>
    <row r="5947" spans="1:8">
      <c r="A5947" s="34">
        <v>2084062391</v>
      </c>
      <c r="B5947" s="35" t="s">
        <v>462</v>
      </c>
      <c r="C5947" s="35" t="s">
        <v>405</v>
      </c>
      <c r="D5947" s="35" t="s">
        <v>1254</v>
      </c>
      <c r="E5947" s="35" t="s">
        <v>1286</v>
      </c>
      <c r="F5947" s="35" t="s">
        <v>353</v>
      </c>
      <c r="G5947" s="35" t="s">
        <v>401</v>
      </c>
    </row>
    <row r="5948" spans="1:8">
      <c r="A5948" s="34">
        <v>2084062396</v>
      </c>
      <c r="B5948" s="35" t="s">
        <v>462</v>
      </c>
      <c r="C5948" s="35" t="s">
        <v>405</v>
      </c>
      <c r="D5948" s="35" t="s">
        <v>1254</v>
      </c>
      <c r="E5948" s="35" t="s">
        <v>1286</v>
      </c>
      <c r="F5948" s="35" t="s">
        <v>353</v>
      </c>
      <c r="G5948" s="35" t="s">
        <v>10</v>
      </c>
      <c r="H5948" s="35" t="s">
        <v>483</v>
      </c>
    </row>
    <row r="5949" spans="1:8">
      <c r="A5949" s="34">
        <v>2084062393</v>
      </c>
      <c r="B5949" s="35" t="s">
        <v>462</v>
      </c>
      <c r="C5949" s="35" t="s">
        <v>405</v>
      </c>
      <c r="D5949" s="35" t="s">
        <v>1254</v>
      </c>
      <c r="E5949" s="35" t="s">
        <v>1286</v>
      </c>
      <c r="F5949" s="35" t="s">
        <v>353</v>
      </c>
      <c r="G5949" s="35" t="s">
        <v>10</v>
      </c>
      <c r="H5949" s="35" t="s">
        <v>580</v>
      </c>
    </row>
    <row r="5950" spans="1:8">
      <c r="A5950" s="34">
        <v>2084062395</v>
      </c>
      <c r="B5950" s="35" t="s">
        <v>462</v>
      </c>
      <c r="C5950" s="35" t="s">
        <v>405</v>
      </c>
      <c r="D5950" s="35" t="s">
        <v>1254</v>
      </c>
      <c r="E5950" s="35" t="s">
        <v>1286</v>
      </c>
      <c r="F5950" s="35" t="s">
        <v>353</v>
      </c>
      <c r="G5950" s="35" t="s">
        <v>10</v>
      </c>
      <c r="H5950" s="35" t="s">
        <v>397</v>
      </c>
    </row>
    <row r="5951" spans="1:8">
      <c r="A5951" s="34">
        <v>2084062394</v>
      </c>
      <c r="B5951" s="35" t="s">
        <v>462</v>
      </c>
      <c r="C5951" s="35" t="s">
        <v>405</v>
      </c>
      <c r="D5951" s="35" t="s">
        <v>1254</v>
      </c>
      <c r="E5951" s="35" t="s">
        <v>1286</v>
      </c>
      <c r="F5951" s="35" t="s">
        <v>353</v>
      </c>
      <c r="G5951" s="35" t="s">
        <v>10</v>
      </c>
      <c r="H5951" s="35" t="s">
        <v>398</v>
      </c>
    </row>
    <row r="5952" spans="1:8">
      <c r="A5952" s="34">
        <v>2084062397</v>
      </c>
      <c r="B5952" s="35" t="s">
        <v>462</v>
      </c>
      <c r="C5952" s="35" t="s">
        <v>405</v>
      </c>
      <c r="D5952" s="35" t="s">
        <v>1254</v>
      </c>
      <c r="E5952" s="35" t="s">
        <v>1286</v>
      </c>
      <c r="F5952" s="35" t="s">
        <v>353</v>
      </c>
      <c r="G5952" s="35" t="s">
        <v>10</v>
      </c>
      <c r="H5952" s="35" t="s">
        <v>335</v>
      </c>
    </row>
    <row r="5953" spans="1:8">
      <c r="A5953" s="34">
        <v>2084062398</v>
      </c>
      <c r="B5953" s="35" t="s">
        <v>462</v>
      </c>
      <c r="C5953" s="35" t="s">
        <v>405</v>
      </c>
      <c r="D5953" s="35" t="s">
        <v>1254</v>
      </c>
      <c r="E5953" s="35" t="s">
        <v>1286</v>
      </c>
      <c r="F5953" s="35" t="s">
        <v>353</v>
      </c>
      <c r="G5953" s="35" t="s">
        <v>403</v>
      </c>
    </row>
    <row r="5954" spans="1:8">
      <c r="A5954" s="34">
        <v>2084062399</v>
      </c>
      <c r="B5954" s="35" t="s">
        <v>462</v>
      </c>
      <c r="C5954" s="35" t="s">
        <v>405</v>
      </c>
      <c r="D5954" s="35" t="s">
        <v>1254</v>
      </c>
      <c r="E5954" s="35" t="s">
        <v>1286</v>
      </c>
      <c r="F5954" s="35" t="s">
        <v>353</v>
      </c>
      <c r="G5954" s="35" t="s">
        <v>335</v>
      </c>
    </row>
    <row r="5955" spans="1:8">
      <c r="A5955" s="34">
        <v>2084062401</v>
      </c>
      <c r="B5955" s="35" t="s">
        <v>462</v>
      </c>
      <c r="C5955" s="35" t="s">
        <v>405</v>
      </c>
      <c r="D5955" s="35" t="s">
        <v>1254</v>
      </c>
      <c r="E5955" s="35" t="s">
        <v>1286</v>
      </c>
      <c r="F5955" s="35" t="s">
        <v>335</v>
      </c>
    </row>
    <row r="5956" spans="1:8">
      <c r="A5956" s="34">
        <v>2084298399</v>
      </c>
      <c r="B5956" s="35" t="s">
        <v>462</v>
      </c>
      <c r="C5956" s="35" t="s">
        <v>405</v>
      </c>
      <c r="D5956" s="35" t="s">
        <v>1254</v>
      </c>
      <c r="E5956" s="35" t="s">
        <v>1287</v>
      </c>
    </row>
    <row r="5957" spans="1:8">
      <c r="A5957" s="34">
        <v>2084243574</v>
      </c>
      <c r="B5957" s="35" t="s">
        <v>462</v>
      </c>
      <c r="C5957" s="35" t="s">
        <v>405</v>
      </c>
      <c r="D5957" s="35" t="s">
        <v>1254</v>
      </c>
      <c r="E5957" s="35" t="s">
        <v>1288</v>
      </c>
    </row>
    <row r="5958" spans="1:8">
      <c r="A5958" s="34">
        <v>2084298432</v>
      </c>
      <c r="B5958" s="35" t="s">
        <v>462</v>
      </c>
      <c r="C5958" s="35" t="s">
        <v>405</v>
      </c>
      <c r="D5958" s="35" t="s">
        <v>1254</v>
      </c>
      <c r="E5958" s="35" t="s">
        <v>1289</v>
      </c>
      <c r="F5958" s="35" t="s">
        <v>407</v>
      </c>
    </row>
    <row r="5959" spans="1:8">
      <c r="A5959" s="34">
        <v>2084298433</v>
      </c>
      <c r="B5959" s="35" t="s">
        <v>462</v>
      </c>
      <c r="C5959" s="35" t="s">
        <v>405</v>
      </c>
      <c r="D5959" s="35" t="s">
        <v>1254</v>
      </c>
      <c r="E5959" s="35" t="s">
        <v>1289</v>
      </c>
      <c r="F5959" s="35" t="s">
        <v>408</v>
      </c>
    </row>
    <row r="5960" spans="1:8">
      <c r="A5960" s="34">
        <v>2084284007</v>
      </c>
      <c r="B5960" s="35" t="s">
        <v>462</v>
      </c>
      <c r="C5960" s="35" t="s">
        <v>405</v>
      </c>
      <c r="D5960" s="35" t="s">
        <v>1254</v>
      </c>
      <c r="E5960" s="35" t="s">
        <v>1290</v>
      </c>
      <c r="F5960" s="35" t="s">
        <v>407</v>
      </c>
    </row>
    <row r="5961" spans="1:8">
      <c r="A5961" s="34">
        <v>2084284006</v>
      </c>
      <c r="B5961" s="35" t="s">
        <v>462</v>
      </c>
      <c r="C5961" s="35" t="s">
        <v>405</v>
      </c>
      <c r="D5961" s="35" t="s">
        <v>1254</v>
      </c>
      <c r="E5961" s="35" t="s">
        <v>1290</v>
      </c>
      <c r="F5961" s="35" t="s">
        <v>408</v>
      </c>
    </row>
    <row r="5962" spans="1:8">
      <c r="A5962" s="34">
        <v>2084050293</v>
      </c>
      <c r="B5962" s="35" t="s">
        <v>462</v>
      </c>
      <c r="C5962" s="35" t="s">
        <v>405</v>
      </c>
      <c r="D5962" s="35" t="s">
        <v>1254</v>
      </c>
      <c r="E5962" s="35" t="s">
        <v>1291</v>
      </c>
    </row>
    <row r="5963" spans="1:8">
      <c r="A5963" s="34">
        <v>2084052565</v>
      </c>
      <c r="B5963" s="35" t="s">
        <v>462</v>
      </c>
      <c r="C5963" s="35" t="s">
        <v>405</v>
      </c>
      <c r="D5963" s="35" t="s">
        <v>1254</v>
      </c>
      <c r="E5963" s="35" t="s">
        <v>1292</v>
      </c>
      <c r="F5963" s="35" t="s">
        <v>442</v>
      </c>
      <c r="G5963" s="35" t="s">
        <v>504</v>
      </c>
    </row>
    <row r="5964" spans="1:8">
      <c r="A5964" s="34">
        <v>2084052566</v>
      </c>
      <c r="B5964" s="35" t="s">
        <v>462</v>
      </c>
      <c r="C5964" s="35" t="s">
        <v>405</v>
      </c>
      <c r="D5964" s="35" t="s">
        <v>1254</v>
      </c>
      <c r="E5964" s="35" t="s">
        <v>1292</v>
      </c>
      <c r="F5964" s="35" t="s">
        <v>442</v>
      </c>
      <c r="G5964" s="35" t="s">
        <v>335</v>
      </c>
    </row>
    <row r="5965" spans="1:8">
      <c r="A5965" s="34">
        <v>2084052567</v>
      </c>
      <c r="B5965" s="35" t="s">
        <v>462</v>
      </c>
      <c r="C5965" s="35" t="s">
        <v>405</v>
      </c>
      <c r="D5965" s="35" t="s">
        <v>1254</v>
      </c>
      <c r="E5965" s="35" t="s">
        <v>1292</v>
      </c>
      <c r="F5965" s="35" t="s">
        <v>335</v>
      </c>
    </row>
    <row r="5966" spans="1:8">
      <c r="A5966" s="34">
        <v>2084036143</v>
      </c>
      <c r="B5966" s="35" t="s">
        <v>462</v>
      </c>
      <c r="C5966" s="35" t="s">
        <v>405</v>
      </c>
      <c r="D5966" s="35" t="s">
        <v>1254</v>
      </c>
      <c r="E5966" s="35" t="s">
        <v>1293</v>
      </c>
      <c r="F5966" s="35" t="s">
        <v>569</v>
      </c>
    </row>
    <row r="5967" spans="1:8">
      <c r="A5967" s="34">
        <v>2084051177</v>
      </c>
      <c r="B5967" s="35" t="s">
        <v>462</v>
      </c>
      <c r="C5967" s="35" t="s">
        <v>405</v>
      </c>
      <c r="D5967" s="35" t="s">
        <v>1254</v>
      </c>
      <c r="E5967" s="35" t="s">
        <v>1293</v>
      </c>
      <c r="F5967" s="35" t="s">
        <v>353</v>
      </c>
      <c r="G5967" s="35" t="s">
        <v>368</v>
      </c>
      <c r="H5967" s="35" t="s">
        <v>481</v>
      </c>
    </row>
    <row r="5968" spans="1:8">
      <c r="A5968" s="34">
        <v>2084051178</v>
      </c>
      <c r="B5968" s="35" t="s">
        <v>462</v>
      </c>
      <c r="C5968" s="35" t="s">
        <v>405</v>
      </c>
      <c r="D5968" s="35" t="s">
        <v>1254</v>
      </c>
      <c r="E5968" s="35" t="s">
        <v>1293</v>
      </c>
      <c r="F5968" s="35" t="s">
        <v>353</v>
      </c>
      <c r="G5968" s="35" t="s">
        <v>368</v>
      </c>
      <c r="H5968" s="35" t="s">
        <v>335</v>
      </c>
    </row>
    <row r="5969" spans="1:8">
      <c r="A5969" s="34">
        <v>2084051180</v>
      </c>
      <c r="B5969" s="35" t="s">
        <v>462</v>
      </c>
      <c r="C5969" s="35" t="s">
        <v>405</v>
      </c>
      <c r="D5969" s="35" t="s">
        <v>1254</v>
      </c>
      <c r="E5969" s="35" t="s">
        <v>1293</v>
      </c>
      <c r="F5969" s="35" t="s">
        <v>353</v>
      </c>
      <c r="G5969" s="35" t="s">
        <v>10</v>
      </c>
      <c r="H5969" s="35" t="s">
        <v>421</v>
      </c>
    </row>
    <row r="5970" spans="1:8">
      <c r="A5970" s="34">
        <v>2084051181</v>
      </c>
      <c r="B5970" s="35" t="s">
        <v>462</v>
      </c>
      <c r="C5970" s="35" t="s">
        <v>405</v>
      </c>
      <c r="D5970" s="35" t="s">
        <v>1254</v>
      </c>
      <c r="E5970" s="35" t="s">
        <v>1293</v>
      </c>
      <c r="F5970" s="35" t="s">
        <v>353</v>
      </c>
      <c r="G5970" s="35" t="s">
        <v>10</v>
      </c>
      <c r="H5970" s="35" t="s">
        <v>422</v>
      </c>
    </row>
    <row r="5971" spans="1:8">
      <c r="A5971" s="34">
        <v>2084051182</v>
      </c>
      <c r="B5971" s="35" t="s">
        <v>462</v>
      </c>
      <c r="C5971" s="35" t="s">
        <v>405</v>
      </c>
      <c r="D5971" s="35" t="s">
        <v>1254</v>
      </c>
      <c r="E5971" s="35" t="s">
        <v>1293</v>
      </c>
      <c r="F5971" s="35" t="s">
        <v>353</v>
      </c>
      <c r="G5971" s="35" t="s">
        <v>10</v>
      </c>
      <c r="H5971" s="35" t="s">
        <v>335</v>
      </c>
    </row>
    <row r="5972" spans="1:8">
      <c r="A5972" s="34">
        <v>2084051183</v>
      </c>
      <c r="B5972" s="35" t="s">
        <v>462</v>
      </c>
      <c r="C5972" s="35" t="s">
        <v>405</v>
      </c>
      <c r="D5972" s="35" t="s">
        <v>1254</v>
      </c>
      <c r="E5972" s="35" t="s">
        <v>1293</v>
      </c>
      <c r="F5972" s="35" t="s">
        <v>353</v>
      </c>
      <c r="G5972" s="35" t="s">
        <v>403</v>
      </c>
    </row>
    <row r="5973" spans="1:8">
      <c r="A5973" s="34">
        <v>2084053599</v>
      </c>
      <c r="B5973" s="35" t="s">
        <v>462</v>
      </c>
      <c r="C5973" s="35" t="s">
        <v>405</v>
      </c>
      <c r="D5973" s="35" t="s">
        <v>1254</v>
      </c>
      <c r="E5973" s="35" t="s">
        <v>1293</v>
      </c>
      <c r="F5973" s="35" t="s">
        <v>353</v>
      </c>
      <c r="G5973" s="35" t="s">
        <v>549</v>
      </c>
    </row>
    <row r="5974" spans="1:8">
      <c r="A5974" s="34">
        <v>2084051175</v>
      </c>
      <c r="B5974" s="35" t="s">
        <v>462</v>
      </c>
      <c r="C5974" s="35" t="s">
        <v>405</v>
      </c>
      <c r="D5974" s="35" t="s">
        <v>1254</v>
      </c>
      <c r="E5974" s="35" t="s">
        <v>1293</v>
      </c>
      <c r="F5974" s="35" t="s">
        <v>353</v>
      </c>
      <c r="G5974" s="35" t="s">
        <v>335</v>
      </c>
    </row>
    <row r="5975" spans="1:8">
      <c r="A5975" s="34">
        <v>2084048763</v>
      </c>
      <c r="B5975" s="35" t="s">
        <v>462</v>
      </c>
      <c r="C5975" s="35" t="s">
        <v>405</v>
      </c>
      <c r="D5975" s="35" t="s">
        <v>1254</v>
      </c>
      <c r="E5975" s="35" t="s">
        <v>1293</v>
      </c>
      <c r="F5975" s="35" t="s">
        <v>335</v>
      </c>
    </row>
    <row r="5976" spans="1:8">
      <c r="A5976" s="34">
        <v>2084311154</v>
      </c>
      <c r="B5976" s="35" t="s">
        <v>462</v>
      </c>
      <c r="C5976" s="35" t="s">
        <v>405</v>
      </c>
      <c r="D5976" s="35" t="s">
        <v>1254</v>
      </c>
      <c r="E5976" s="35" t="s">
        <v>1294</v>
      </c>
      <c r="F5976" s="35" t="s">
        <v>407</v>
      </c>
    </row>
    <row r="5977" spans="1:8">
      <c r="A5977" s="34">
        <v>2084311153</v>
      </c>
      <c r="B5977" s="35" t="s">
        <v>462</v>
      </c>
      <c r="C5977" s="35" t="s">
        <v>405</v>
      </c>
      <c r="D5977" s="35" t="s">
        <v>1254</v>
      </c>
      <c r="E5977" s="35" t="s">
        <v>1294</v>
      </c>
      <c r="F5977" s="35" t="s">
        <v>408</v>
      </c>
    </row>
    <row r="5978" spans="1:8">
      <c r="A5978" s="34">
        <v>2084298398</v>
      </c>
      <c r="B5978" s="35" t="s">
        <v>462</v>
      </c>
      <c r="C5978" s="35" t="s">
        <v>405</v>
      </c>
      <c r="D5978" s="35" t="s">
        <v>1254</v>
      </c>
      <c r="E5978" s="35" t="s">
        <v>1295</v>
      </c>
    </row>
    <row r="5979" spans="1:8">
      <c r="A5979" s="34">
        <v>2084211193</v>
      </c>
      <c r="B5979" s="35" t="s">
        <v>462</v>
      </c>
      <c r="C5979" s="35" t="s">
        <v>405</v>
      </c>
      <c r="D5979" s="35" t="s">
        <v>1254</v>
      </c>
      <c r="E5979" s="35" t="s">
        <v>1296</v>
      </c>
      <c r="F5979" s="35" t="s">
        <v>367</v>
      </c>
    </row>
    <row r="5980" spans="1:8">
      <c r="A5980" s="34">
        <v>2084211196</v>
      </c>
      <c r="B5980" s="35" t="s">
        <v>462</v>
      </c>
      <c r="C5980" s="35" t="s">
        <v>405</v>
      </c>
      <c r="D5980" s="35" t="s">
        <v>1254</v>
      </c>
      <c r="E5980" s="35" t="s">
        <v>1296</v>
      </c>
      <c r="F5980" s="35" t="s">
        <v>368</v>
      </c>
      <c r="G5980" s="35" t="s">
        <v>481</v>
      </c>
    </row>
    <row r="5981" spans="1:8">
      <c r="A5981" s="34">
        <v>2084211195</v>
      </c>
      <c r="B5981" s="35" t="s">
        <v>462</v>
      </c>
      <c r="C5981" s="35" t="s">
        <v>405</v>
      </c>
      <c r="D5981" s="35" t="s">
        <v>1254</v>
      </c>
      <c r="E5981" s="35" t="s">
        <v>1296</v>
      </c>
      <c r="F5981" s="35" t="s">
        <v>368</v>
      </c>
      <c r="G5981" s="35" t="s">
        <v>482</v>
      </c>
    </row>
    <row r="5982" spans="1:8">
      <c r="A5982" s="34">
        <v>2084211197</v>
      </c>
      <c r="B5982" s="35" t="s">
        <v>462</v>
      </c>
      <c r="C5982" s="35" t="s">
        <v>405</v>
      </c>
      <c r="D5982" s="35" t="s">
        <v>1254</v>
      </c>
      <c r="E5982" s="35" t="s">
        <v>1296</v>
      </c>
      <c r="F5982" s="35" t="s">
        <v>368</v>
      </c>
      <c r="G5982" s="35" t="s">
        <v>335</v>
      </c>
    </row>
    <row r="5983" spans="1:8">
      <c r="A5983" s="34">
        <v>2084211203</v>
      </c>
      <c r="B5983" s="35" t="s">
        <v>462</v>
      </c>
      <c r="C5983" s="35" t="s">
        <v>405</v>
      </c>
      <c r="D5983" s="35" t="s">
        <v>1254</v>
      </c>
      <c r="E5983" s="35" t="s">
        <v>1296</v>
      </c>
      <c r="F5983" s="35" t="s">
        <v>10</v>
      </c>
      <c r="G5983" s="35" t="s">
        <v>483</v>
      </c>
    </row>
    <row r="5984" spans="1:8">
      <c r="A5984" s="34">
        <v>2084211200</v>
      </c>
      <c r="B5984" s="35" t="s">
        <v>462</v>
      </c>
      <c r="C5984" s="35" t="s">
        <v>405</v>
      </c>
      <c r="D5984" s="35" t="s">
        <v>1254</v>
      </c>
      <c r="E5984" s="35" t="s">
        <v>1296</v>
      </c>
      <c r="F5984" s="35" t="s">
        <v>10</v>
      </c>
      <c r="G5984" s="35" t="s">
        <v>397</v>
      </c>
    </row>
    <row r="5985" spans="1:7">
      <c r="A5985" s="34">
        <v>2084211202</v>
      </c>
      <c r="B5985" s="35" t="s">
        <v>462</v>
      </c>
      <c r="C5985" s="35" t="s">
        <v>405</v>
      </c>
      <c r="D5985" s="35" t="s">
        <v>1254</v>
      </c>
      <c r="E5985" s="35" t="s">
        <v>1296</v>
      </c>
      <c r="F5985" s="35" t="s">
        <v>10</v>
      </c>
      <c r="G5985" s="35" t="s">
        <v>421</v>
      </c>
    </row>
    <row r="5986" spans="1:7">
      <c r="A5986" s="34">
        <v>2084211199</v>
      </c>
      <c r="B5986" s="35" t="s">
        <v>462</v>
      </c>
      <c r="C5986" s="35" t="s">
        <v>405</v>
      </c>
      <c r="D5986" s="35" t="s">
        <v>1254</v>
      </c>
      <c r="E5986" s="35" t="s">
        <v>1296</v>
      </c>
      <c r="F5986" s="35" t="s">
        <v>10</v>
      </c>
      <c r="G5986" s="35" t="s">
        <v>398</v>
      </c>
    </row>
    <row r="5987" spans="1:7">
      <c r="A5987" s="34">
        <v>2084211201</v>
      </c>
      <c r="B5987" s="35" t="s">
        <v>462</v>
      </c>
      <c r="C5987" s="35" t="s">
        <v>405</v>
      </c>
      <c r="D5987" s="35" t="s">
        <v>1254</v>
      </c>
      <c r="E5987" s="35" t="s">
        <v>1296</v>
      </c>
      <c r="F5987" s="35" t="s">
        <v>10</v>
      </c>
      <c r="G5987" s="35" t="s">
        <v>422</v>
      </c>
    </row>
    <row r="5988" spans="1:7">
      <c r="A5988" s="34">
        <v>2084211204</v>
      </c>
      <c r="B5988" s="35" t="s">
        <v>462</v>
      </c>
      <c r="C5988" s="35" t="s">
        <v>405</v>
      </c>
      <c r="D5988" s="35" t="s">
        <v>1254</v>
      </c>
      <c r="E5988" s="35" t="s">
        <v>1296</v>
      </c>
      <c r="F5988" s="35" t="s">
        <v>10</v>
      </c>
      <c r="G5988" s="35" t="s">
        <v>335</v>
      </c>
    </row>
    <row r="5989" spans="1:7">
      <c r="A5989" s="34">
        <v>2084211206</v>
      </c>
      <c r="B5989" s="35" t="s">
        <v>462</v>
      </c>
      <c r="C5989" s="35" t="s">
        <v>405</v>
      </c>
      <c r="D5989" s="35" t="s">
        <v>1254</v>
      </c>
      <c r="E5989" s="35" t="s">
        <v>1296</v>
      </c>
      <c r="F5989" s="35" t="s">
        <v>379</v>
      </c>
      <c r="G5989" s="35" t="s">
        <v>476</v>
      </c>
    </row>
    <row r="5990" spans="1:7">
      <c r="A5990" s="34">
        <v>2084211207</v>
      </c>
      <c r="B5990" s="35" t="s">
        <v>462</v>
      </c>
      <c r="C5990" s="35" t="s">
        <v>405</v>
      </c>
      <c r="D5990" s="35" t="s">
        <v>1254</v>
      </c>
      <c r="E5990" s="35" t="s">
        <v>1296</v>
      </c>
      <c r="F5990" s="35" t="s">
        <v>379</v>
      </c>
      <c r="G5990" s="35" t="s">
        <v>335</v>
      </c>
    </row>
    <row r="5991" spans="1:7">
      <c r="A5991" s="34">
        <v>2084211208</v>
      </c>
      <c r="B5991" s="35" t="s">
        <v>462</v>
      </c>
      <c r="C5991" s="35" t="s">
        <v>405</v>
      </c>
      <c r="D5991" s="35" t="s">
        <v>1254</v>
      </c>
      <c r="E5991" s="35" t="s">
        <v>1296</v>
      </c>
      <c r="F5991" s="35" t="s">
        <v>478</v>
      </c>
    </row>
    <row r="5992" spans="1:7">
      <c r="A5992" s="34">
        <v>2084211209</v>
      </c>
      <c r="B5992" s="35" t="s">
        <v>462</v>
      </c>
      <c r="C5992" s="35" t="s">
        <v>405</v>
      </c>
      <c r="D5992" s="35" t="s">
        <v>1254</v>
      </c>
      <c r="E5992" s="35" t="s">
        <v>1296</v>
      </c>
      <c r="F5992" s="35" t="s">
        <v>335</v>
      </c>
    </row>
    <row r="5993" spans="1:7">
      <c r="A5993" s="34">
        <v>2084242552</v>
      </c>
      <c r="B5993" s="35" t="s">
        <v>462</v>
      </c>
      <c r="C5993" s="35" t="s">
        <v>405</v>
      </c>
      <c r="D5993" s="35" t="s">
        <v>1254</v>
      </c>
      <c r="E5993" s="35" t="s">
        <v>1297</v>
      </c>
    </row>
    <row r="5994" spans="1:7">
      <c r="A5994" s="34">
        <v>2084238791</v>
      </c>
      <c r="B5994" s="35" t="s">
        <v>462</v>
      </c>
      <c r="C5994" s="35" t="s">
        <v>405</v>
      </c>
      <c r="D5994" s="35" t="s">
        <v>1254</v>
      </c>
      <c r="E5994" s="35" t="s">
        <v>1298</v>
      </c>
    </row>
    <row r="5995" spans="1:7">
      <c r="A5995" s="34">
        <v>2084255904</v>
      </c>
      <c r="B5995" s="35" t="s">
        <v>462</v>
      </c>
      <c r="C5995" s="35" t="s">
        <v>405</v>
      </c>
      <c r="D5995" s="35" t="s">
        <v>1254</v>
      </c>
      <c r="E5995" s="35" t="s">
        <v>1299</v>
      </c>
    </row>
    <row r="5996" spans="1:7">
      <c r="A5996" s="34">
        <v>2084028210</v>
      </c>
      <c r="B5996" s="35" t="s">
        <v>462</v>
      </c>
      <c r="C5996" s="35" t="s">
        <v>405</v>
      </c>
      <c r="D5996" s="35" t="s">
        <v>1254</v>
      </c>
      <c r="E5996" s="35" t="s">
        <v>1300</v>
      </c>
      <c r="F5996" s="35" t="s">
        <v>367</v>
      </c>
    </row>
    <row r="5997" spans="1:7">
      <c r="A5997" s="34">
        <v>2084028759</v>
      </c>
      <c r="B5997" s="35" t="s">
        <v>462</v>
      </c>
      <c r="C5997" s="35" t="s">
        <v>405</v>
      </c>
      <c r="D5997" s="35" t="s">
        <v>1254</v>
      </c>
      <c r="E5997" s="35" t="s">
        <v>1300</v>
      </c>
      <c r="F5997" s="35" t="s">
        <v>368</v>
      </c>
      <c r="G5997" s="35" t="s">
        <v>508</v>
      </c>
    </row>
    <row r="5998" spans="1:7">
      <c r="A5998" s="34">
        <v>2084029293</v>
      </c>
      <c r="B5998" s="35" t="s">
        <v>462</v>
      </c>
      <c r="C5998" s="35" t="s">
        <v>405</v>
      </c>
      <c r="D5998" s="35" t="s">
        <v>1254</v>
      </c>
      <c r="E5998" s="35" t="s">
        <v>1300</v>
      </c>
      <c r="F5998" s="35" t="s">
        <v>368</v>
      </c>
      <c r="G5998" s="35" t="s">
        <v>481</v>
      </c>
    </row>
    <row r="5999" spans="1:7">
      <c r="A5999" s="34">
        <v>2084029851</v>
      </c>
      <c r="B5999" s="35" t="s">
        <v>462</v>
      </c>
      <c r="C5999" s="35" t="s">
        <v>405</v>
      </c>
      <c r="D5999" s="35" t="s">
        <v>1254</v>
      </c>
      <c r="E5999" s="35" t="s">
        <v>1300</v>
      </c>
      <c r="F5999" s="35" t="s">
        <v>368</v>
      </c>
      <c r="G5999" s="35" t="s">
        <v>494</v>
      </c>
    </row>
    <row r="6000" spans="1:7">
      <c r="A6000" s="34">
        <v>2084058897</v>
      </c>
      <c r="B6000" s="35" t="s">
        <v>462</v>
      </c>
      <c r="C6000" s="35" t="s">
        <v>405</v>
      </c>
      <c r="D6000" s="35" t="s">
        <v>1254</v>
      </c>
      <c r="E6000" s="35" t="s">
        <v>1300</v>
      </c>
      <c r="F6000" s="35" t="s">
        <v>368</v>
      </c>
      <c r="G6000" s="35" t="s">
        <v>335</v>
      </c>
    </row>
    <row r="6001" spans="1:7">
      <c r="A6001" s="34">
        <v>2084027308</v>
      </c>
      <c r="B6001" s="35" t="s">
        <v>462</v>
      </c>
      <c r="C6001" s="35" t="s">
        <v>405</v>
      </c>
      <c r="D6001" s="35" t="s">
        <v>1254</v>
      </c>
      <c r="E6001" s="35" t="s">
        <v>1300</v>
      </c>
      <c r="F6001" s="35" t="s">
        <v>10</v>
      </c>
      <c r="G6001" s="35" t="s">
        <v>509</v>
      </c>
    </row>
    <row r="6002" spans="1:7">
      <c r="A6002" s="34">
        <v>2084027801</v>
      </c>
      <c r="B6002" s="35" t="s">
        <v>462</v>
      </c>
      <c r="C6002" s="35" t="s">
        <v>405</v>
      </c>
      <c r="D6002" s="35" t="s">
        <v>1254</v>
      </c>
      <c r="E6002" s="35" t="s">
        <v>1300</v>
      </c>
      <c r="F6002" s="35" t="s">
        <v>10</v>
      </c>
      <c r="G6002" s="35" t="s">
        <v>510</v>
      </c>
    </row>
    <row r="6003" spans="1:7">
      <c r="A6003" s="34">
        <v>2084027883</v>
      </c>
      <c r="B6003" s="35" t="s">
        <v>462</v>
      </c>
      <c r="C6003" s="35" t="s">
        <v>405</v>
      </c>
      <c r="D6003" s="35" t="s">
        <v>1254</v>
      </c>
      <c r="E6003" s="35" t="s">
        <v>1300</v>
      </c>
      <c r="F6003" s="35" t="s">
        <v>10</v>
      </c>
      <c r="G6003" s="35" t="s">
        <v>511</v>
      </c>
    </row>
    <row r="6004" spans="1:7">
      <c r="A6004" s="34">
        <v>2084027913</v>
      </c>
      <c r="B6004" s="35" t="s">
        <v>462</v>
      </c>
      <c r="C6004" s="35" t="s">
        <v>405</v>
      </c>
      <c r="D6004" s="35" t="s">
        <v>1254</v>
      </c>
      <c r="E6004" s="35" t="s">
        <v>1300</v>
      </c>
      <c r="F6004" s="35" t="s">
        <v>10</v>
      </c>
      <c r="G6004" s="35" t="s">
        <v>493</v>
      </c>
    </row>
    <row r="6005" spans="1:7">
      <c r="A6005" s="34">
        <v>2084027482</v>
      </c>
      <c r="B6005" s="35" t="s">
        <v>462</v>
      </c>
      <c r="C6005" s="35" t="s">
        <v>405</v>
      </c>
      <c r="D6005" s="35" t="s">
        <v>1254</v>
      </c>
      <c r="E6005" s="35" t="s">
        <v>1300</v>
      </c>
      <c r="F6005" s="35" t="s">
        <v>10</v>
      </c>
      <c r="G6005" s="35" t="s">
        <v>512</v>
      </c>
    </row>
    <row r="6006" spans="1:7">
      <c r="A6006" s="34">
        <v>2084027592</v>
      </c>
      <c r="B6006" s="35" t="s">
        <v>462</v>
      </c>
      <c r="C6006" s="35" t="s">
        <v>405</v>
      </c>
      <c r="D6006" s="35" t="s">
        <v>1254</v>
      </c>
      <c r="E6006" s="35" t="s">
        <v>1300</v>
      </c>
      <c r="F6006" s="35" t="s">
        <v>10</v>
      </c>
      <c r="G6006" s="35" t="s">
        <v>513</v>
      </c>
    </row>
    <row r="6007" spans="1:7">
      <c r="A6007" s="34">
        <v>2084027951</v>
      </c>
      <c r="B6007" s="35" t="s">
        <v>462</v>
      </c>
      <c r="C6007" s="35" t="s">
        <v>405</v>
      </c>
      <c r="D6007" s="35" t="s">
        <v>1254</v>
      </c>
      <c r="E6007" s="35" t="s">
        <v>1300</v>
      </c>
      <c r="F6007" s="35" t="s">
        <v>10</v>
      </c>
      <c r="G6007" s="35" t="s">
        <v>420</v>
      </c>
    </row>
    <row r="6008" spans="1:7">
      <c r="A6008" s="34">
        <v>2084027271</v>
      </c>
      <c r="B6008" s="35" t="s">
        <v>462</v>
      </c>
      <c r="C6008" s="35" t="s">
        <v>405</v>
      </c>
      <c r="D6008" s="35" t="s">
        <v>1254</v>
      </c>
      <c r="E6008" s="35" t="s">
        <v>1300</v>
      </c>
      <c r="F6008" s="35" t="s">
        <v>10</v>
      </c>
      <c r="G6008" s="35" t="s">
        <v>397</v>
      </c>
    </row>
    <row r="6009" spans="1:7">
      <c r="A6009" s="34">
        <v>2084027404</v>
      </c>
      <c r="B6009" s="35" t="s">
        <v>462</v>
      </c>
      <c r="C6009" s="35" t="s">
        <v>405</v>
      </c>
      <c r="D6009" s="35" t="s">
        <v>1254</v>
      </c>
      <c r="E6009" s="35" t="s">
        <v>1300</v>
      </c>
      <c r="F6009" s="35" t="s">
        <v>10</v>
      </c>
      <c r="G6009" s="35" t="s">
        <v>515</v>
      </c>
    </row>
    <row r="6010" spans="1:7">
      <c r="A6010" s="34">
        <v>2084027516</v>
      </c>
      <c r="B6010" s="35" t="s">
        <v>462</v>
      </c>
      <c r="C6010" s="35" t="s">
        <v>405</v>
      </c>
      <c r="D6010" s="35" t="s">
        <v>1254</v>
      </c>
      <c r="E6010" s="35" t="s">
        <v>1300</v>
      </c>
      <c r="F6010" s="35" t="s">
        <v>10</v>
      </c>
      <c r="G6010" s="35" t="s">
        <v>421</v>
      </c>
    </row>
    <row r="6011" spans="1:7">
      <c r="A6011" s="34">
        <v>2084027727</v>
      </c>
      <c r="B6011" s="35" t="s">
        <v>462</v>
      </c>
      <c r="C6011" s="35" t="s">
        <v>405</v>
      </c>
      <c r="D6011" s="35" t="s">
        <v>1254</v>
      </c>
      <c r="E6011" s="35" t="s">
        <v>1300</v>
      </c>
      <c r="F6011" s="35" t="s">
        <v>10</v>
      </c>
      <c r="G6011" s="35" t="s">
        <v>516</v>
      </c>
    </row>
    <row r="6012" spans="1:7">
      <c r="A6012" s="34">
        <v>2084027194</v>
      </c>
      <c r="B6012" s="35" t="s">
        <v>462</v>
      </c>
      <c r="C6012" s="35" t="s">
        <v>405</v>
      </c>
      <c r="D6012" s="35" t="s">
        <v>1254</v>
      </c>
      <c r="E6012" s="35" t="s">
        <v>1300</v>
      </c>
      <c r="F6012" s="35" t="s">
        <v>10</v>
      </c>
      <c r="G6012" s="35" t="s">
        <v>398</v>
      </c>
    </row>
    <row r="6013" spans="1:7">
      <c r="A6013" s="34">
        <v>2084027346</v>
      </c>
      <c r="B6013" s="35" t="s">
        <v>462</v>
      </c>
      <c r="C6013" s="35" t="s">
        <v>405</v>
      </c>
      <c r="D6013" s="35" t="s">
        <v>1254</v>
      </c>
      <c r="E6013" s="35" t="s">
        <v>1300</v>
      </c>
      <c r="F6013" s="35" t="s">
        <v>10</v>
      </c>
      <c r="G6013" s="35" t="s">
        <v>518</v>
      </c>
    </row>
    <row r="6014" spans="1:7">
      <c r="A6014" s="34">
        <v>2084027554</v>
      </c>
      <c r="B6014" s="35" t="s">
        <v>462</v>
      </c>
      <c r="C6014" s="35" t="s">
        <v>405</v>
      </c>
      <c r="D6014" s="35" t="s">
        <v>1254</v>
      </c>
      <c r="E6014" s="35" t="s">
        <v>1300</v>
      </c>
      <c r="F6014" s="35" t="s">
        <v>10</v>
      </c>
      <c r="G6014" s="35" t="s">
        <v>422</v>
      </c>
    </row>
    <row r="6015" spans="1:7">
      <c r="A6015" s="34">
        <v>2084027777</v>
      </c>
      <c r="B6015" s="35" t="s">
        <v>462</v>
      </c>
      <c r="C6015" s="35" t="s">
        <v>405</v>
      </c>
      <c r="D6015" s="35" t="s">
        <v>1254</v>
      </c>
      <c r="E6015" s="35" t="s">
        <v>1300</v>
      </c>
      <c r="F6015" s="35" t="s">
        <v>10</v>
      </c>
      <c r="G6015" s="35" t="s">
        <v>519</v>
      </c>
    </row>
    <row r="6016" spans="1:7">
      <c r="A6016" s="34">
        <v>2084028015</v>
      </c>
      <c r="B6016" s="35" t="s">
        <v>462</v>
      </c>
      <c r="C6016" s="35" t="s">
        <v>405</v>
      </c>
      <c r="D6016" s="35" t="s">
        <v>1254</v>
      </c>
      <c r="E6016" s="35" t="s">
        <v>1300</v>
      </c>
      <c r="F6016" s="35" t="s">
        <v>379</v>
      </c>
      <c r="G6016" s="35" t="s">
        <v>520</v>
      </c>
    </row>
    <row r="6017" spans="1:7">
      <c r="A6017" s="34">
        <v>2084028088</v>
      </c>
      <c r="B6017" s="35" t="s">
        <v>462</v>
      </c>
      <c r="C6017" s="35" t="s">
        <v>405</v>
      </c>
      <c r="D6017" s="35" t="s">
        <v>1254</v>
      </c>
      <c r="E6017" s="35" t="s">
        <v>1300</v>
      </c>
      <c r="F6017" s="35" t="s">
        <v>379</v>
      </c>
      <c r="G6017" s="35" t="s">
        <v>521</v>
      </c>
    </row>
    <row r="6018" spans="1:7">
      <c r="A6018" s="34">
        <v>2084028142</v>
      </c>
      <c r="B6018" s="35" t="s">
        <v>462</v>
      </c>
      <c r="C6018" s="35" t="s">
        <v>405</v>
      </c>
      <c r="D6018" s="35" t="s">
        <v>1254</v>
      </c>
      <c r="E6018" s="35" t="s">
        <v>1300</v>
      </c>
      <c r="F6018" s="35" t="s">
        <v>379</v>
      </c>
      <c r="G6018" s="35" t="s">
        <v>522</v>
      </c>
    </row>
    <row r="6019" spans="1:7">
      <c r="A6019" s="34">
        <v>2084028394</v>
      </c>
      <c r="B6019" s="35" t="s">
        <v>462</v>
      </c>
      <c r="C6019" s="35" t="s">
        <v>405</v>
      </c>
      <c r="D6019" s="35" t="s">
        <v>1254</v>
      </c>
      <c r="E6019" s="35" t="s">
        <v>1300</v>
      </c>
      <c r="F6019" s="35" t="s">
        <v>379</v>
      </c>
      <c r="G6019" s="35" t="s">
        <v>523</v>
      </c>
    </row>
    <row r="6020" spans="1:7">
      <c r="A6020" s="34">
        <v>2084028127</v>
      </c>
      <c r="B6020" s="35" t="s">
        <v>462</v>
      </c>
      <c r="C6020" s="35" t="s">
        <v>405</v>
      </c>
      <c r="D6020" s="35" t="s">
        <v>1254</v>
      </c>
      <c r="E6020" s="35" t="s">
        <v>1300</v>
      </c>
      <c r="F6020" s="35" t="s">
        <v>379</v>
      </c>
      <c r="G6020" s="35" t="s">
        <v>524</v>
      </c>
    </row>
    <row r="6021" spans="1:7">
      <c r="A6021" s="34">
        <v>2084028243</v>
      </c>
      <c r="B6021" s="35" t="s">
        <v>462</v>
      </c>
      <c r="C6021" s="35" t="s">
        <v>405</v>
      </c>
      <c r="D6021" s="35" t="s">
        <v>1254</v>
      </c>
      <c r="E6021" s="35" t="s">
        <v>1300</v>
      </c>
      <c r="F6021" s="35" t="s">
        <v>379</v>
      </c>
      <c r="G6021" s="35" t="s">
        <v>525</v>
      </c>
    </row>
    <row r="6022" spans="1:7">
      <c r="A6022" s="34">
        <v>2084028450</v>
      </c>
      <c r="B6022" s="35" t="s">
        <v>462</v>
      </c>
      <c r="C6022" s="35" t="s">
        <v>405</v>
      </c>
      <c r="D6022" s="35" t="s">
        <v>1254</v>
      </c>
      <c r="E6022" s="35" t="s">
        <v>1300</v>
      </c>
      <c r="F6022" s="35" t="s">
        <v>379</v>
      </c>
      <c r="G6022" s="35" t="s">
        <v>526</v>
      </c>
    </row>
    <row r="6023" spans="1:7">
      <c r="A6023" s="34">
        <v>2084028318</v>
      </c>
      <c r="B6023" s="35" t="s">
        <v>462</v>
      </c>
      <c r="C6023" s="35" t="s">
        <v>405</v>
      </c>
      <c r="D6023" s="35" t="s">
        <v>1254</v>
      </c>
      <c r="E6023" s="35" t="s">
        <v>1300</v>
      </c>
      <c r="F6023" s="35" t="s">
        <v>379</v>
      </c>
      <c r="G6023" s="35" t="s">
        <v>527</v>
      </c>
    </row>
    <row r="6024" spans="1:7">
      <c r="A6024" s="34">
        <v>2084028530</v>
      </c>
      <c r="B6024" s="35" t="s">
        <v>462</v>
      </c>
      <c r="C6024" s="35" t="s">
        <v>405</v>
      </c>
      <c r="D6024" s="35" t="s">
        <v>1254</v>
      </c>
      <c r="E6024" s="35" t="s">
        <v>1300</v>
      </c>
      <c r="F6024" s="35" t="s">
        <v>379</v>
      </c>
      <c r="G6024" s="35" t="s">
        <v>528</v>
      </c>
    </row>
    <row r="6025" spans="1:7">
      <c r="A6025" s="34">
        <v>2084028356</v>
      </c>
      <c r="B6025" s="35" t="s">
        <v>462</v>
      </c>
      <c r="C6025" s="35" t="s">
        <v>405</v>
      </c>
      <c r="D6025" s="35" t="s">
        <v>1254</v>
      </c>
      <c r="E6025" s="35" t="s">
        <v>1300</v>
      </c>
      <c r="F6025" s="35" t="s">
        <v>379</v>
      </c>
      <c r="G6025" s="35" t="s">
        <v>548</v>
      </c>
    </row>
    <row r="6026" spans="1:7">
      <c r="A6026" s="34">
        <v>2084058898</v>
      </c>
      <c r="B6026" s="35" t="s">
        <v>462</v>
      </c>
      <c r="C6026" s="35" t="s">
        <v>405</v>
      </c>
      <c r="D6026" s="35" t="s">
        <v>1254</v>
      </c>
      <c r="E6026" s="35" t="s">
        <v>1300</v>
      </c>
      <c r="F6026" s="35" t="s">
        <v>379</v>
      </c>
      <c r="G6026" s="35" t="s">
        <v>335</v>
      </c>
    </row>
    <row r="6027" spans="1:7">
      <c r="A6027" s="34">
        <v>2084028570</v>
      </c>
      <c r="B6027" s="35" t="s">
        <v>462</v>
      </c>
      <c r="C6027" s="35" t="s">
        <v>405</v>
      </c>
      <c r="D6027" s="35" t="s">
        <v>1254</v>
      </c>
      <c r="E6027" s="35" t="s">
        <v>1300</v>
      </c>
      <c r="F6027" s="35" t="s">
        <v>530</v>
      </c>
      <c r="G6027" s="35" t="s">
        <v>531</v>
      </c>
    </row>
    <row r="6028" spans="1:7">
      <c r="A6028" s="34">
        <v>2084028608</v>
      </c>
      <c r="B6028" s="35" t="s">
        <v>462</v>
      </c>
      <c r="C6028" s="35" t="s">
        <v>405</v>
      </c>
      <c r="D6028" s="35" t="s">
        <v>1254</v>
      </c>
      <c r="E6028" s="35" t="s">
        <v>1300</v>
      </c>
      <c r="F6028" s="35" t="s">
        <v>530</v>
      </c>
      <c r="G6028" s="35" t="s">
        <v>532</v>
      </c>
    </row>
    <row r="6029" spans="1:7">
      <c r="A6029" s="34">
        <v>2084030108</v>
      </c>
      <c r="B6029" s="35" t="s">
        <v>462</v>
      </c>
      <c r="C6029" s="35" t="s">
        <v>405</v>
      </c>
      <c r="D6029" s="35" t="s">
        <v>1254</v>
      </c>
      <c r="E6029" s="35" t="s">
        <v>1300</v>
      </c>
      <c r="F6029" s="35" t="s">
        <v>533</v>
      </c>
      <c r="G6029" s="35" t="s">
        <v>1194</v>
      </c>
    </row>
    <row r="6030" spans="1:7">
      <c r="A6030" s="34">
        <v>2084030140</v>
      </c>
      <c r="B6030" s="35" t="s">
        <v>462</v>
      </c>
      <c r="C6030" s="35" t="s">
        <v>405</v>
      </c>
      <c r="D6030" s="35" t="s">
        <v>1254</v>
      </c>
      <c r="E6030" s="35" t="s">
        <v>1300</v>
      </c>
      <c r="F6030" s="35" t="s">
        <v>533</v>
      </c>
      <c r="G6030" s="35" t="s">
        <v>1195</v>
      </c>
    </row>
    <row r="6031" spans="1:7">
      <c r="A6031" s="34">
        <v>2084027182</v>
      </c>
      <c r="B6031" s="35" t="s">
        <v>462</v>
      </c>
      <c r="C6031" s="35" t="s">
        <v>405</v>
      </c>
      <c r="D6031" s="35" t="s">
        <v>1254</v>
      </c>
      <c r="E6031" s="35" t="s">
        <v>1300</v>
      </c>
      <c r="F6031" s="35" t="s">
        <v>533</v>
      </c>
      <c r="G6031" s="35" t="s">
        <v>536</v>
      </c>
    </row>
    <row r="6032" spans="1:7">
      <c r="A6032" s="34">
        <v>2084048691</v>
      </c>
      <c r="B6032" s="35" t="s">
        <v>462</v>
      </c>
      <c r="C6032" s="35" t="s">
        <v>405</v>
      </c>
      <c r="D6032" s="35" t="s">
        <v>1254</v>
      </c>
      <c r="E6032" s="35" t="s">
        <v>1300</v>
      </c>
      <c r="F6032" s="35" t="s">
        <v>335</v>
      </c>
    </row>
    <row r="6033" spans="1:8">
      <c r="A6033" s="34">
        <v>2084260044</v>
      </c>
      <c r="B6033" s="35" t="s">
        <v>462</v>
      </c>
      <c r="C6033" s="35" t="s">
        <v>405</v>
      </c>
      <c r="D6033" s="35" t="s">
        <v>1254</v>
      </c>
      <c r="E6033" s="35" t="s">
        <v>1301</v>
      </c>
    </row>
    <row r="6034" spans="1:8">
      <c r="A6034" s="34">
        <v>2084308420</v>
      </c>
      <c r="B6034" s="35" t="s">
        <v>462</v>
      </c>
      <c r="C6034" s="35" t="s">
        <v>405</v>
      </c>
      <c r="D6034" s="35" t="s">
        <v>1254</v>
      </c>
      <c r="E6034" s="35" t="s">
        <v>1302</v>
      </c>
      <c r="F6034" s="35" t="s">
        <v>587</v>
      </c>
      <c r="G6034" s="35" t="s">
        <v>1303</v>
      </c>
      <c r="H6034" s="35" t="s">
        <v>588</v>
      </c>
    </row>
    <row r="6035" spans="1:8">
      <c r="A6035" s="34">
        <v>2084308421</v>
      </c>
      <c r="B6035" s="35" t="s">
        <v>462</v>
      </c>
      <c r="C6035" s="35" t="s">
        <v>405</v>
      </c>
      <c r="D6035" s="35" t="s">
        <v>1254</v>
      </c>
      <c r="E6035" s="35" t="s">
        <v>1302</v>
      </c>
      <c r="F6035" s="35" t="s">
        <v>587</v>
      </c>
      <c r="G6035" s="35" t="s">
        <v>1303</v>
      </c>
      <c r="H6035" s="35" t="s">
        <v>857</v>
      </c>
    </row>
    <row r="6036" spans="1:8">
      <c r="A6036" s="34">
        <v>2084308422</v>
      </c>
      <c r="B6036" s="35" t="s">
        <v>462</v>
      </c>
      <c r="C6036" s="35" t="s">
        <v>405</v>
      </c>
      <c r="D6036" s="35" t="s">
        <v>1254</v>
      </c>
      <c r="E6036" s="35" t="s">
        <v>1302</v>
      </c>
      <c r="F6036" s="35" t="s">
        <v>587</v>
      </c>
      <c r="G6036" s="35" t="s">
        <v>1303</v>
      </c>
      <c r="H6036" s="35" t="s">
        <v>907</v>
      </c>
    </row>
    <row r="6037" spans="1:8">
      <c r="A6037" s="34">
        <v>2084308423</v>
      </c>
      <c r="B6037" s="35" t="s">
        <v>462</v>
      </c>
      <c r="C6037" s="35" t="s">
        <v>405</v>
      </c>
      <c r="D6037" s="35" t="s">
        <v>1254</v>
      </c>
      <c r="E6037" s="35" t="s">
        <v>1302</v>
      </c>
      <c r="F6037" s="35" t="s">
        <v>587</v>
      </c>
      <c r="G6037" s="35" t="s">
        <v>1303</v>
      </c>
      <c r="H6037" s="35" t="s">
        <v>1304</v>
      </c>
    </row>
    <row r="6038" spans="1:8">
      <c r="A6038" s="34">
        <v>2084308424</v>
      </c>
      <c r="B6038" s="35" t="s">
        <v>462</v>
      </c>
      <c r="C6038" s="35" t="s">
        <v>405</v>
      </c>
      <c r="D6038" s="35" t="s">
        <v>1254</v>
      </c>
      <c r="E6038" s="35" t="s">
        <v>1302</v>
      </c>
      <c r="F6038" s="35" t="s">
        <v>587</v>
      </c>
      <c r="G6038" s="35" t="s">
        <v>1303</v>
      </c>
      <c r="H6038" s="35" t="s">
        <v>335</v>
      </c>
    </row>
    <row r="6039" spans="1:8">
      <c r="A6039" s="34">
        <v>2084024263</v>
      </c>
      <c r="B6039" s="35" t="s">
        <v>462</v>
      </c>
      <c r="C6039" s="35" t="s">
        <v>405</v>
      </c>
      <c r="D6039" s="35" t="s">
        <v>1254</v>
      </c>
      <c r="E6039" s="35" t="s">
        <v>1302</v>
      </c>
      <c r="F6039" s="35" t="s">
        <v>587</v>
      </c>
      <c r="G6039" s="35" t="s">
        <v>1305</v>
      </c>
    </row>
    <row r="6040" spans="1:8">
      <c r="A6040" s="34">
        <v>2084024262</v>
      </c>
      <c r="B6040" s="35" t="s">
        <v>462</v>
      </c>
      <c r="C6040" s="35" t="s">
        <v>405</v>
      </c>
      <c r="D6040" s="35" t="s">
        <v>1254</v>
      </c>
      <c r="E6040" s="35" t="s">
        <v>1302</v>
      </c>
      <c r="F6040" s="35" t="s">
        <v>587</v>
      </c>
      <c r="G6040" s="35" t="s">
        <v>1306</v>
      </c>
    </row>
    <row r="6041" spans="1:8">
      <c r="A6041" s="34">
        <v>2084051187</v>
      </c>
      <c r="B6041" s="35" t="s">
        <v>462</v>
      </c>
      <c r="C6041" s="35" t="s">
        <v>405</v>
      </c>
      <c r="D6041" s="35" t="s">
        <v>1254</v>
      </c>
      <c r="E6041" s="35" t="s">
        <v>1302</v>
      </c>
      <c r="F6041" s="35" t="s">
        <v>611</v>
      </c>
      <c r="G6041" s="35" t="s">
        <v>407</v>
      </c>
    </row>
    <row r="6042" spans="1:8">
      <c r="A6042" s="34">
        <v>2084051186</v>
      </c>
      <c r="B6042" s="35" t="s">
        <v>462</v>
      </c>
      <c r="C6042" s="35" t="s">
        <v>405</v>
      </c>
      <c r="D6042" s="35" t="s">
        <v>1254</v>
      </c>
      <c r="E6042" s="35" t="s">
        <v>1302</v>
      </c>
      <c r="F6042" s="35" t="s">
        <v>611</v>
      </c>
      <c r="G6042" s="35" t="s">
        <v>408</v>
      </c>
    </row>
    <row r="6043" spans="1:8">
      <c r="A6043" s="34">
        <v>2084028211</v>
      </c>
      <c r="B6043" s="35" t="s">
        <v>462</v>
      </c>
      <c r="C6043" s="35" t="s">
        <v>405</v>
      </c>
      <c r="D6043" s="35" t="s">
        <v>1254</v>
      </c>
      <c r="E6043" s="35" t="s">
        <v>1302</v>
      </c>
      <c r="F6043" s="35" t="s">
        <v>390</v>
      </c>
      <c r="G6043" s="35" t="s">
        <v>367</v>
      </c>
    </row>
    <row r="6044" spans="1:8">
      <c r="A6044" s="34">
        <v>2084028760</v>
      </c>
      <c r="B6044" s="35" t="s">
        <v>462</v>
      </c>
      <c r="C6044" s="35" t="s">
        <v>405</v>
      </c>
      <c r="D6044" s="35" t="s">
        <v>1254</v>
      </c>
      <c r="E6044" s="35" t="s">
        <v>1302</v>
      </c>
      <c r="F6044" s="35" t="s">
        <v>390</v>
      </c>
      <c r="G6044" s="35" t="s">
        <v>368</v>
      </c>
      <c r="H6044" s="35" t="s">
        <v>508</v>
      </c>
    </row>
    <row r="6045" spans="1:8">
      <c r="A6045" s="34">
        <v>2084029294</v>
      </c>
      <c r="B6045" s="35" t="s">
        <v>462</v>
      </c>
      <c r="C6045" s="35" t="s">
        <v>405</v>
      </c>
      <c r="D6045" s="35" t="s">
        <v>1254</v>
      </c>
      <c r="E6045" s="35" t="s">
        <v>1302</v>
      </c>
      <c r="F6045" s="35" t="s">
        <v>390</v>
      </c>
      <c r="G6045" s="35" t="s">
        <v>368</v>
      </c>
      <c r="H6045" s="35" t="s">
        <v>481</v>
      </c>
    </row>
    <row r="6046" spans="1:8">
      <c r="A6046" s="34">
        <v>2084029852</v>
      </c>
      <c r="B6046" s="35" t="s">
        <v>462</v>
      </c>
      <c r="C6046" s="35" t="s">
        <v>405</v>
      </c>
      <c r="D6046" s="35" t="s">
        <v>1254</v>
      </c>
      <c r="E6046" s="35" t="s">
        <v>1302</v>
      </c>
      <c r="F6046" s="35" t="s">
        <v>390</v>
      </c>
      <c r="G6046" s="35" t="s">
        <v>368</v>
      </c>
      <c r="H6046" s="35" t="s">
        <v>494</v>
      </c>
    </row>
    <row r="6047" spans="1:8">
      <c r="A6047" s="34">
        <v>2084058904</v>
      </c>
      <c r="B6047" s="35" t="s">
        <v>462</v>
      </c>
      <c r="C6047" s="35" t="s">
        <v>405</v>
      </c>
      <c r="D6047" s="35" t="s">
        <v>1254</v>
      </c>
      <c r="E6047" s="35" t="s">
        <v>1302</v>
      </c>
      <c r="F6047" s="35" t="s">
        <v>390</v>
      </c>
      <c r="G6047" s="35" t="s">
        <v>368</v>
      </c>
      <c r="H6047" s="35" t="s">
        <v>335</v>
      </c>
    </row>
    <row r="6048" spans="1:8">
      <c r="A6048" s="34">
        <v>2084027309</v>
      </c>
      <c r="B6048" s="35" t="s">
        <v>462</v>
      </c>
      <c r="C6048" s="35" t="s">
        <v>405</v>
      </c>
      <c r="D6048" s="35" t="s">
        <v>1254</v>
      </c>
      <c r="E6048" s="35" t="s">
        <v>1302</v>
      </c>
      <c r="F6048" s="35" t="s">
        <v>390</v>
      </c>
      <c r="G6048" s="35" t="s">
        <v>10</v>
      </c>
      <c r="H6048" s="35" t="s">
        <v>509</v>
      </c>
    </row>
    <row r="6049" spans="1:8">
      <c r="A6049" s="34">
        <v>2084027802</v>
      </c>
      <c r="B6049" s="35" t="s">
        <v>462</v>
      </c>
      <c r="C6049" s="35" t="s">
        <v>405</v>
      </c>
      <c r="D6049" s="35" t="s">
        <v>1254</v>
      </c>
      <c r="E6049" s="35" t="s">
        <v>1302</v>
      </c>
      <c r="F6049" s="35" t="s">
        <v>390</v>
      </c>
      <c r="G6049" s="35" t="s">
        <v>10</v>
      </c>
      <c r="H6049" s="35" t="s">
        <v>510</v>
      </c>
    </row>
    <row r="6050" spans="1:8">
      <c r="A6050" s="34">
        <v>2084027884</v>
      </c>
      <c r="B6050" s="35" t="s">
        <v>462</v>
      </c>
      <c r="C6050" s="35" t="s">
        <v>405</v>
      </c>
      <c r="D6050" s="35" t="s">
        <v>1254</v>
      </c>
      <c r="E6050" s="35" t="s">
        <v>1302</v>
      </c>
      <c r="F6050" s="35" t="s">
        <v>390</v>
      </c>
      <c r="G6050" s="35" t="s">
        <v>10</v>
      </c>
      <c r="H6050" s="35" t="s">
        <v>511</v>
      </c>
    </row>
    <row r="6051" spans="1:8">
      <c r="A6051" s="34">
        <v>2084027914</v>
      </c>
      <c r="B6051" s="35" t="s">
        <v>462</v>
      </c>
      <c r="C6051" s="35" t="s">
        <v>405</v>
      </c>
      <c r="D6051" s="35" t="s">
        <v>1254</v>
      </c>
      <c r="E6051" s="35" t="s">
        <v>1302</v>
      </c>
      <c r="F6051" s="35" t="s">
        <v>390</v>
      </c>
      <c r="G6051" s="35" t="s">
        <v>10</v>
      </c>
      <c r="H6051" s="35" t="s">
        <v>493</v>
      </c>
    </row>
    <row r="6052" spans="1:8">
      <c r="A6052" s="34">
        <v>2084027483</v>
      </c>
      <c r="B6052" s="35" t="s">
        <v>462</v>
      </c>
      <c r="C6052" s="35" t="s">
        <v>405</v>
      </c>
      <c r="D6052" s="35" t="s">
        <v>1254</v>
      </c>
      <c r="E6052" s="35" t="s">
        <v>1302</v>
      </c>
      <c r="F6052" s="35" t="s">
        <v>390</v>
      </c>
      <c r="G6052" s="35" t="s">
        <v>10</v>
      </c>
      <c r="H6052" s="35" t="s">
        <v>512</v>
      </c>
    </row>
    <row r="6053" spans="1:8">
      <c r="A6053" s="34">
        <v>2084027593</v>
      </c>
      <c r="B6053" s="35" t="s">
        <v>462</v>
      </c>
      <c r="C6053" s="35" t="s">
        <v>405</v>
      </c>
      <c r="D6053" s="35" t="s">
        <v>1254</v>
      </c>
      <c r="E6053" s="35" t="s">
        <v>1302</v>
      </c>
      <c r="F6053" s="35" t="s">
        <v>390</v>
      </c>
      <c r="G6053" s="35" t="s">
        <v>10</v>
      </c>
      <c r="H6053" s="35" t="s">
        <v>513</v>
      </c>
    </row>
    <row r="6054" spans="1:8">
      <c r="A6054" s="34">
        <v>2084027952</v>
      </c>
      <c r="B6054" s="35" t="s">
        <v>462</v>
      </c>
      <c r="C6054" s="35" t="s">
        <v>405</v>
      </c>
      <c r="D6054" s="35" t="s">
        <v>1254</v>
      </c>
      <c r="E6054" s="35" t="s">
        <v>1302</v>
      </c>
      <c r="F6054" s="35" t="s">
        <v>390</v>
      </c>
      <c r="G6054" s="35" t="s">
        <v>10</v>
      </c>
      <c r="H6054" s="35" t="s">
        <v>420</v>
      </c>
    </row>
    <row r="6055" spans="1:8">
      <c r="A6055" s="34">
        <v>2084027272</v>
      </c>
      <c r="B6055" s="35" t="s">
        <v>462</v>
      </c>
      <c r="C6055" s="35" t="s">
        <v>405</v>
      </c>
      <c r="D6055" s="35" t="s">
        <v>1254</v>
      </c>
      <c r="E6055" s="35" t="s">
        <v>1302</v>
      </c>
      <c r="F6055" s="35" t="s">
        <v>390</v>
      </c>
      <c r="G6055" s="35" t="s">
        <v>10</v>
      </c>
      <c r="H6055" s="35" t="s">
        <v>514</v>
      </c>
    </row>
    <row r="6056" spans="1:8">
      <c r="A6056" s="34">
        <v>2084027405</v>
      </c>
      <c r="B6056" s="35" t="s">
        <v>462</v>
      </c>
      <c r="C6056" s="35" t="s">
        <v>405</v>
      </c>
      <c r="D6056" s="35" t="s">
        <v>1254</v>
      </c>
      <c r="E6056" s="35" t="s">
        <v>1302</v>
      </c>
      <c r="F6056" s="35" t="s">
        <v>390</v>
      </c>
      <c r="G6056" s="35" t="s">
        <v>10</v>
      </c>
      <c r="H6056" s="35" t="s">
        <v>515</v>
      </c>
    </row>
    <row r="6057" spans="1:8">
      <c r="A6057" s="34">
        <v>2084027517</v>
      </c>
      <c r="B6057" s="35" t="s">
        <v>462</v>
      </c>
      <c r="C6057" s="35" t="s">
        <v>405</v>
      </c>
      <c r="D6057" s="35" t="s">
        <v>1254</v>
      </c>
      <c r="E6057" s="35" t="s">
        <v>1302</v>
      </c>
      <c r="F6057" s="35" t="s">
        <v>390</v>
      </c>
      <c r="G6057" s="35" t="s">
        <v>10</v>
      </c>
      <c r="H6057" s="35" t="s">
        <v>421</v>
      </c>
    </row>
    <row r="6058" spans="1:8">
      <c r="A6058" s="34">
        <v>2084027728</v>
      </c>
      <c r="B6058" s="35" t="s">
        <v>462</v>
      </c>
      <c r="C6058" s="35" t="s">
        <v>405</v>
      </c>
      <c r="D6058" s="35" t="s">
        <v>1254</v>
      </c>
      <c r="E6058" s="35" t="s">
        <v>1302</v>
      </c>
      <c r="F6058" s="35" t="s">
        <v>390</v>
      </c>
      <c r="G6058" s="35" t="s">
        <v>10</v>
      </c>
      <c r="H6058" s="35" t="s">
        <v>516</v>
      </c>
    </row>
    <row r="6059" spans="1:8">
      <c r="A6059" s="34">
        <v>2084027195</v>
      </c>
      <c r="B6059" s="35" t="s">
        <v>462</v>
      </c>
      <c r="C6059" s="35" t="s">
        <v>405</v>
      </c>
      <c r="D6059" s="35" t="s">
        <v>1254</v>
      </c>
      <c r="E6059" s="35" t="s">
        <v>1302</v>
      </c>
      <c r="F6059" s="35" t="s">
        <v>390</v>
      </c>
      <c r="G6059" s="35" t="s">
        <v>10</v>
      </c>
      <c r="H6059" s="35" t="s">
        <v>517</v>
      </c>
    </row>
    <row r="6060" spans="1:8">
      <c r="A6060" s="34">
        <v>2084027347</v>
      </c>
      <c r="B6060" s="35" t="s">
        <v>462</v>
      </c>
      <c r="C6060" s="35" t="s">
        <v>405</v>
      </c>
      <c r="D6060" s="35" t="s">
        <v>1254</v>
      </c>
      <c r="E6060" s="35" t="s">
        <v>1302</v>
      </c>
      <c r="F6060" s="35" t="s">
        <v>390</v>
      </c>
      <c r="G6060" s="35" t="s">
        <v>10</v>
      </c>
      <c r="H6060" s="35" t="s">
        <v>518</v>
      </c>
    </row>
    <row r="6061" spans="1:8">
      <c r="A6061" s="34">
        <v>2084027555</v>
      </c>
      <c r="B6061" s="35" t="s">
        <v>462</v>
      </c>
      <c r="C6061" s="35" t="s">
        <v>405</v>
      </c>
      <c r="D6061" s="35" t="s">
        <v>1254</v>
      </c>
      <c r="E6061" s="35" t="s">
        <v>1302</v>
      </c>
      <c r="F6061" s="35" t="s">
        <v>390</v>
      </c>
      <c r="G6061" s="35" t="s">
        <v>10</v>
      </c>
      <c r="H6061" s="35" t="s">
        <v>422</v>
      </c>
    </row>
    <row r="6062" spans="1:8">
      <c r="A6062" s="34">
        <v>2084027778</v>
      </c>
      <c r="B6062" s="35" t="s">
        <v>462</v>
      </c>
      <c r="C6062" s="35" t="s">
        <v>405</v>
      </c>
      <c r="D6062" s="35" t="s">
        <v>1254</v>
      </c>
      <c r="E6062" s="35" t="s">
        <v>1302</v>
      </c>
      <c r="F6062" s="35" t="s">
        <v>390</v>
      </c>
      <c r="G6062" s="35" t="s">
        <v>10</v>
      </c>
      <c r="H6062" s="35" t="s">
        <v>519</v>
      </c>
    </row>
    <row r="6063" spans="1:8">
      <c r="A6063" s="34">
        <v>2084027990</v>
      </c>
      <c r="B6063" s="35" t="s">
        <v>462</v>
      </c>
      <c r="C6063" s="35" t="s">
        <v>405</v>
      </c>
      <c r="D6063" s="35" t="s">
        <v>1254</v>
      </c>
      <c r="E6063" s="35" t="s">
        <v>1302</v>
      </c>
      <c r="F6063" s="35" t="s">
        <v>390</v>
      </c>
      <c r="G6063" s="35" t="s">
        <v>379</v>
      </c>
      <c r="H6063" s="35" t="s">
        <v>520</v>
      </c>
    </row>
    <row r="6064" spans="1:8">
      <c r="A6064" s="34">
        <v>2084028089</v>
      </c>
      <c r="B6064" s="35" t="s">
        <v>462</v>
      </c>
      <c r="C6064" s="35" t="s">
        <v>405</v>
      </c>
      <c r="D6064" s="35" t="s">
        <v>1254</v>
      </c>
      <c r="E6064" s="35" t="s">
        <v>1302</v>
      </c>
      <c r="F6064" s="35" t="s">
        <v>390</v>
      </c>
      <c r="G6064" s="35" t="s">
        <v>379</v>
      </c>
      <c r="H6064" s="35" t="s">
        <v>521</v>
      </c>
    </row>
    <row r="6065" spans="1:8">
      <c r="A6065" s="34">
        <v>2084028143</v>
      </c>
      <c r="B6065" s="35" t="s">
        <v>462</v>
      </c>
      <c r="C6065" s="35" t="s">
        <v>405</v>
      </c>
      <c r="D6065" s="35" t="s">
        <v>1254</v>
      </c>
      <c r="E6065" s="35" t="s">
        <v>1302</v>
      </c>
      <c r="F6065" s="35" t="s">
        <v>390</v>
      </c>
      <c r="G6065" s="35" t="s">
        <v>379</v>
      </c>
      <c r="H6065" s="35" t="s">
        <v>522</v>
      </c>
    </row>
    <row r="6066" spans="1:8">
      <c r="A6066" s="34">
        <v>2084028395</v>
      </c>
      <c r="B6066" s="35" t="s">
        <v>462</v>
      </c>
      <c r="C6066" s="35" t="s">
        <v>405</v>
      </c>
      <c r="D6066" s="35" t="s">
        <v>1254</v>
      </c>
      <c r="E6066" s="35" t="s">
        <v>1302</v>
      </c>
      <c r="F6066" s="35" t="s">
        <v>390</v>
      </c>
      <c r="G6066" s="35" t="s">
        <v>379</v>
      </c>
      <c r="H6066" s="35" t="s">
        <v>523</v>
      </c>
    </row>
    <row r="6067" spans="1:8">
      <c r="A6067" s="34">
        <v>2084028128</v>
      </c>
      <c r="B6067" s="35" t="s">
        <v>462</v>
      </c>
      <c r="C6067" s="35" t="s">
        <v>405</v>
      </c>
      <c r="D6067" s="35" t="s">
        <v>1254</v>
      </c>
      <c r="E6067" s="35" t="s">
        <v>1302</v>
      </c>
      <c r="F6067" s="35" t="s">
        <v>390</v>
      </c>
      <c r="G6067" s="35" t="s">
        <v>379</v>
      </c>
      <c r="H6067" s="35" t="s">
        <v>524</v>
      </c>
    </row>
    <row r="6068" spans="1:8">
      <c r="A6068" s="34">
        <v>2084028244</v>
      </c>
      <c r="B6068" s="35" t="s">
        <v>462</v>
      </c>
      <c r="C6068" s="35" t="s">
        <v>405</v>
      </c>
      <c r="D6068" s="35" t="s">
        <v>1254</v>
      </c>
      <c r="E6068" s="35" t="s">
        <v>1302</v>
      </c>
      <c r="F6068" s="35" t="s">
        <v>390</v>
      </c>
      <c r="G6068" s="35" t="s">
        <v>379</v>
      </c>
      <c r="H6068" s="35" t="s">
        <v>525</v>
      </c>
    </row>
    <row r="6069" spans="1:8">
      <c r="A6069" s="34">
        <v>2084028451</v>
      </c>
      <c r="B6069" s="35" t="s">
        <v>462</v>
      </c>
      <c r="C6069" s="35" t="s">
        <v>405</v>
      </c>
      <c r="D6069" s="35" t="s">
        <v>1254</v>
      </c>
      <c r="E6069" s="35" t="s">
        <v>1302</v>
      </c>
      <c r="F6069" s="35" t="s">
        <v>390</v>
      </c>
      <c r="G6069" s="35" t="s">
        <v>379</v>
      </c>
      <c r="H6069" s="35" t="s">
        <v>526</v>
      </c>
    </row>
    <row r="6070" spans="1:8">
      <c r="A6070" s="34">
        <v>2084028319</v>
      </c>
      <c r="B6070" s="35" t="s">
        <v>462</v>
      </c>
      <c r="C6070" s="35" t="s">
        <v>405</v>
      </c>
      <c r="D6070" s="35" t="s">
        <v>1254</v>
      </c>
      <c r="E6070" s="35" t="s">
        <v>1302</v>
      </c>
      <c r="F6070" s="35" t="s">
        <v>390</v>
      </c>
      <c r="G6070" s="35" t="s">
        <v>379</v>
      </c>
      <c r="H6070" s="35" t="s">
        <v>527</v>
      </c>
    </row>
    <row r="6071" spans="1:8">
      <c r="A6071" s="34">
        <v>2084028531</v>
      </c>
      <c r="B6071" s="35" t="s">
        <v>462</v>
      </c>
      <c r="C6071" s="35" t="s">
        <v>405</v>
      </c>
      <c r="D6071" s="35" t="s">
        <v>1254</v>
      </c>
      <c r="E6071" s="35" t="s">
        <v>1302</v>
      </c>
      <c r="F6071" s="35" t="s">
        <v>390</v>
      </c>
      <c r="G6071" s="35" t="s">
        <v>379</v>
      </c>
      <c r="H6071" s="35" t="s">
        <v>528</v>
      </c>
    </row>
    <row r="6072" spans="1:8">
      <c r="A6072" s="34">
        <v>2084028357</v>
      </c>
      <c r="B6072" s="35" t="s">
        <v>462</v>
      </c>
      <c r="C6072" s="35" t="s">
        <v>405</v>
      </c>
      <c r="D6072" s="35" t="s">
        <v>1254</v>
      </c>
      <c r="E6072" s="35" t="s">
        <v>1302</v>
      </c>
      <c r="F6072" s="35" t="s">
        <v>390</v>
      </c>
      <c r="G6072" s="35" t="s">
        <v>379</v>
      </c>
      <c r="H6072" s="35" t="s">
        <v>548</v>
      </c>
    </row>
    <row r="6073" spans="1:8">
      <c r="A6073" s="34">
        <v>2084058905</v>
      </c>
      <c r="B6073" s="35" t="s">
        <v>462</v>
      </c>
      <c r="C6073" s="35" t="s">
        <v>405</v>
      </c>
      <c r="D6073" s="35" t="s">
        <v>1254</v>
      </c>
      <c r="E6073" s="35" t="s">
        <v>1302</v>
      </c>
      <c r="F6073" s="35" t="s">
        <v>390</v>
      </c>
      <c r="G6073" s="35" t="s">
        <v>379</v>
      </c>
      <c r="H6073" s="35" t="s">
        <v>335</v>
      </c>
    </row>
    <row r="6074" spans="1:8">
      <c r="A6074" s="34">
        <v>2084028571</v>
      </c>
      <c r="B6074" s="35" t="s">
        <v>462</v>
      </c>
      <c r="C6074" s="35" t="s">
        <v>405</v>
      </c>
      <c r="D6074" s="35" t="s">
        <v>1254</v>
      </c>
      <c r="E6074" s="35" t="s">
        <v>1302</v>
      </c>
      <c r="F6074" s="35" t="s">
        <v>390</v>
      </c>
      <c r="G6074" s="35" t="s">
        <v>530</v>
      </c>
      <c r="H6074" s="35" t="s">
        <v>531</v>
      </c>
    </row>
    <row r="6075" spans="1:8">
      <c r="A6075" s="34">
        <v>2084028609</v>
      </c>
      <c r="B6075" s="35" t="s">
        <v>462</v>
      </c>
      <c r="C6075" s="35" t="s">
        <v>405</v>
      </c>
      <c r="D6075" s="35" t="s">
        <v>1254</v>
      </c>
      <c r="E6075" s="35" t="s">
        <v>1302</v>
      </c>
      <c r="F6075" s="35" t="s">
        <v>390</v>
      </c>
      <c r="G6075" s="35" t="s">
        <v>530</v>
      </c>
      <c r="H6075" s="35" t="s">
        <v>532</v>
      </c>
    </row>
    <row r="6076" spans="1:8">
      <c r="A6076" s="34">
        <v>2084030109</v>
      </c>
      <c r="B6076" s="35" t="s">
        <v>462</v>
      </c>
      <c r="C6076" s="35" t="s">
        <v>405</v>
      </c>
      <c r="D6076" s="35" t="s">
        <v>1254</v>
      </c>
      <c r="E6076" s="35" t="s">
        <v>1302</v>
      </c>
      <c r="F6076" s="35" t="s">
        <v>390</v>
      </c>
      <c r="G6076" s="35" t="s">
        <v>533</v>
      </c>
      <c r="H6076" s="35" t="s">
        <v>534</v>
      </c>
    </row>
    <row r="6077" spans="1:8">
      <c r="A6077" s="34">
        <v>2084030141</v>
      </c>
      <c r="B6077" s="35" t="s">
        <v>462</v>
      </c>
      <c r="C6077" s="35" t="s">
        <v>405</v>
      </c>
      <c r="D6077" s="35" t="s">
        <v>1254</v>
      </c>
      <c r="E6077" s="35" t="s">
        <v>1302</v>
      </c>
      <c r="F6077" s="35" t="s">
        <v>390</v>
      </c>
      <c r="G6077" s="35" t="s">
        <v>533</v>
      </c>
      <c r="H6077" s="35" t="s">
        <v>535</v>
      </c>
    </row>
    <row r="6078" spans="1:8">
      <c r="A6078" s="34">
        <v>2084027183</v>
      </c>
      <c r="B6078" s="35" t="s">
        <v>462</v>
      </c>
      <c r="C6078" s="35" t="s">
        <v>405</v>
      </c>
      <c r="D6078" s="35" t="s">
        <v>1254</v>
      </c>
      <c r="E6078" s="35" t="s">
        <v>1302</v>
      </c>
      <c r="F6078" s="35" t="s">
        <v>390</v>
      </c>
      <c r="G6078" s="35" t="s">
        <v>533</v>
      </c>
      <c r="H6078" s="35" t="s">
        <v>536</v>
      </c>
    </row>
    <row r="6079" spans="1:8">
      <c r="A6079" s="34">
        <v>2084051589</v>
      </c>
      <c r="B6079" s="35" t="s">
        <v>462</v>
      </c>
      <c r="C6079" s="35" t="s">
        <v>405</v>
      </c>
      <c r="D6079" s="35" t="s">
        <v>1254</v>
      </c>
      <c r="E6079" s="35" t="s">
        <v>1302</v>
      </c>
      <c r="F6079" s="35" t="s">
        <v>390</v>
      </c>
      <c r="G6079" s="35" t="s">
        <v>335</v>
      </c>
    </row>
    <row r="6080" spans="1:8">
      <c r="A6080" s="34">
        <v>2084030694</v>
      </c>
      <c r="B6080" s="35" t="s">
        <v>462</v>
      </c>
      <c r="C6080" s="35" t="s">
        <v>405</v>
      </c>
      <c r="D6080" s="35" t="s">
        <v>1254</v>
      </c>
      <c r="E6080" s="35" t="s">
        <v>1302</v>
      </c>
      <c r="F6080" s="35" t="s">
        <v>353</v>
      </c>
      <c r="G6080" s="35" t="s">
        <v>368</v>
      </c>
      <c r="H6080" s="35" t="s">
        <v>481</v>
      </c>
    </row>
    <row r="6081" spans="1:8">
      <c r="A6081" s="34">
        <v>2084031467</v>
      </c>
      <c r="B6081" s="35" t="s">
        <v>462</v>
      </c>
      <c r="C6081" s="35" t="s">
        <v>405</v>
      </c>
      <c r="D6081" s="35" t="s">
        <v>1254</v>
      </c>
      <c r="E6081" s="35" t="s">
        <v>1302</v>
      </c>
      <c r="F6081" s="35" t="s">
        <v>353</v>
      </c>
      <c r="G6081" s="35" t="s">
        <v>368</v>
      </c>
      <c r="H6081" s="35" t="s">
        <v>482</v>
      </c>
    </row>
    <row r="6082" spans="1:8">
      <c r="A6082" s="34">
        <v>2084037257</v>
      </c>
      <c r="B6082" s="35" t="s">
        <v>462</v>
      </c>
      <c r="C6082" s="35" t="s">
        <v>405</v>
      </c>
      <c r="D6082" s="35" t="s">
        <v>1254</v>
      </c>
      <c r="E6082" s="35" t="s">
        <v>1302</v>
      </c>
      <c r="F6082" s="35" t="s">
        <v>353</v>
      </c>
      <c r="G6082" s="35" t="s">
        <v>368</v>
      </c>
      <c r="H6082" s="35" t="s">
        <v>494</v>
      </c>
    </row>
    <row r="6083" spans="1:8">
      <c r="A6083" s="34">
        <v>2084051576</v>
      </c>
      <c r="B6083" s="35" t="s">
        <v>462</v>
      </c>
      <c r="C6083" s="35" t="s">
        <v>405</v>
      </c>
      <c r="D6083" s="35" t="s">
        <v>1254</v>
      </c>
      <c r="E6083" s="35" t="s">
        <v>1302</v>
      </c>
      <c r="F6083" s="35" t="s">
        <v>353</v>
      </c>
      <c r="G6083" s="35" t="s">
        <v>368</v>
      </c>
      <c r="H6083" s="35" t="s">
        <v>335</v>
      </c>
    </row>
    <row r="6084" spans="1:8">
      <c r="A6084" s="34">
        <v>2084031590</v>
      </c>
      <c r="B6084" s="35" t="s">
        <v>462</v>
      </c>
      <c r="C6084" s="35" t="s">
        <v>405</v>
      </c>
      <c r="D6084" s="35" t="s">
        <v>1254</v>
      </c>
      <c r="E6084" s="35" t="s">
        <v>1302</v>
      </c>
      <c r="F6084" s="35" t="s">
        <v>353</v>
      </c>
      <c r="G6084" s="35" t="s">
        <v>10</v>
      </c>
      <c r="H6084" s="35" t="s">
        <v>483</v>
      </c>
    </row>
    <row r="6085" spans="1:8">
      <c r="A6085" s="34">
        <v>2084031526</v>
      </c>
      <c r="B6085" s="35" t="s">
        <v>462</v>
      </c>
      <c r="C6085" s="35" t="s">
        <v>405</v>
      </c>
      <c r="D6085" s="35" t="s">
        <v>1254</v>
      </c>
      <c r="E6085" s="35" t="s">
        <v>1302</v>
      </c>
      <c r="F6085" s="35" t="s">
        <v>353</v>
      </c>
      <c r="G6085" s="35" t="s">
        <v>10</v>
      </c>
      <c r="H6085" s="35" t="s">
        <v>397</v>
      </c>
    </row>
    <row r="6086" spans="1:8">
      <c r="A6086" s="34">
        <v>2084030389</v>
      </c>
      <c r="B6086" s="35" t="s">
        <v>462</v>
      </c>
      <c r="C6086" s="35" t="s">
        <v>405</v>
      </c>
      <c r="D6086" s="35" t="s">
        <v>1254</v>
      </c>
      <c r="E6086" s="35" t="s">
        <v>1302</v>
      </c>
      <c r="F6086" s="35" t="s">
        <v>353</v>
      </c>
      <c r="G6086" s="35" t="s">
        <v>10</v>
      </c>
      <c r="H6086" s="35" t="s">
        <v>421</v>
      </c>
    </row>
    <row r="6087" spans="1:8">
      <c r="A6087" s="34">
        <v>2084031554</v>
      </c>
      <c r="B6087" s="35" t="s">
        <v>462</v>
      </c>
      <c r="C6087" s="35" t="s">
        <v>405</v>
      </c>
      <c r="D6087" s="35" t="s">
        <v>1254</v>
      </c>
      <c r="E6087" s="35" t="s">
        <v>1302</v>
      </c>
      <c r="F6087" s="35" t="s">
        <v>353</v>
      </c>
      <c r="G6087" s="35" t="s">
        <v>10</v>
      </c>
      <c r="H6087" s="35" t="s">
        <v>398</v>
      </c>
    </row>
    <row r="6088" spans="1:8">
      <c r="A6088" s="34">
        <v>2084030328</v>
      </c>
      <c r="B6088" s="35" t="s">
        <v>462</v>
      </c>
      <c r="C6088" s="35" t="s">
        <v>405</v>
      </c>
      <c r="D6088" s="35" t="s">
        <v>1254</v>
      </c>
      <c r="E6088" s="35" t="s">
        <v>1302</v>
      </c>
      <c r="F6088" s="35" t="s">
        <v>353</v>
      </c>
      <c r="G6088" s="35" t="s">
        <v>10</v>
      </c>
      <c r="H6088" s="35" t="s">
        <v>422</v>
      </c>
    </row>
    <row r="6089" spans="1:8">
      <c r="A6089" s="34">
        <v>2084051578</v>
      </c>
      <c r="B6089" s="35" t="s">
        <v>462</v>
      </c>
      <c r="C6089" s="35" t="s">
        <v>405</v>
      </c>
      <c r="D6089" s="35" t="s">
        <v>1254</v>
      </c>
      <c r="E6089" s="35" t="s">
        <v>1302</v>
      </c>
      <c r="F6089" s="35" t="s">
        <v>353</v>
      </c>
      <c r="G6089" s="35" t="s">
        <v>10</v>
      </c>
      <c r="H6089" s="35" t="s">
        <v>335</v>
      </c>
    </row>
    <row r="6090" spans="1:8">
      <c r="A6090" s="34">
        <v>2084051579</v>
      </c>
      <c r="B6090" s="35" t="s">
        <v>462</v>
      </c>
      <c r="C6090" s="35" t="s">
        <v>405</v>
      </c>
      <c r="D6090" s="35" t="s">
        <v>1254</v>
      </c>
      <c r="E6090" s="35" t="s">
        <v>1302</v>
      </c>
      <c r="F6090" s="35" t="s">
        <v>353</v>
      </c>
      <c r="G6090" s="35" t="s">
        <v>403</v>
      </c>
    </row>
    <row r="6091" spans="1:8">
      <c r="A6091" s="34">
        <v>2084051580</v>
      </c>
      <c r="B6091" s="35" t="s">
        <v>462</v>
      </c>
      <c r="C6091" s="35" t="s">
        <v>405</v>
      </c>
      <c r="D6091" s="35" t="s">
        <v>1254</v>
      </c>
      <c r="E6091" s="35" t="s">
        <v>1302</v>
      </c>
      <c r="F6091" s="35" t="s">
        <v>353</v>
      </c>
      <c r="G6091" s="35" t="s">
        <v>335</v>
      </c>
    </row>
    <row r="6092" spans="1:8">
      <c r="A6092" s="34">
        <v>2084025445</v>
      </c>
      <c r="B6092" s="35" t="s">
        <v>462</v>
      </c>
      <c r="C6092" s="35" t="s">
        <v>405</v>
      </c>
      <c r="D6092" s="35" t="s">
        <v>1254</v>
      </c>
      <c r="E6092" s="35" t="s">
        <v>1302</v>
      </c>
      <c r="F6092" s="35" t="s">
        <v>442</v>
      </c>
      <c r="G6092" s="35" t="s">
        <v>537</v>
      </c>
    </row>
    <row r="6093" spans="1:8">
      <c r="A6093" s="34">
        <v>2084031378</v>
      </c>
      <c r="B6093" s="35" t="s">
        <v>462</v>
      </c>
      <c r="C6093" s="35" t="s">
        <v>405</v>
      </c>
      <c r="D6093" s="35" t="s">
        <v>1254</v>
      </c>
      <c r="E6093" s="35" t="s">
        <v>1302</v>
      </c>
      <c r="F6093" s="35" t="s">
        <v>442</v>
      </c>
      <c r="G6093" s="35" t="s">
        <v>569</v>
      </c>
    </row>
    <row r="6094" spans="1:8">
      <c r="A6094" s="34">
        <v>2084025220</v>
      </c>
      <c r="B6094" s="35" t="s">
        <v>462</v>
      </c>
      <c r="C6094" s="35" t="s">
        <v>405</v>
      </c>
      <c r="D6094" s="35" t="s">
        <v>1254</v>
      </c>
      <c r="E6094" s="35" t="s">
        <v>1302</v>
      </c>
      <c r="F6094" s="35" t="s">
        <v>442</v>
      </c>
      <c r="G6094" s="35" t="s">
        <v>538</v>
      </c>
    </row>
    <row r="6095" spans="1:8">
      <c r="A6095" s="34">
        <v>2084025398</v>
      </c>
      <c r="B6095" s="35" t="s">
        <v>462</v>
      </c>
      <c r="C6095" s="35" t="s">
        <v>405</v>
      </c>
      <c r="D6095" s="35" t="s">
        <v>1254</v>
      </c>
      <c r="E6095" s="35" t="s">
        <v>1302</v>
      </c>
      <c r="F6095" s="35" t="s">
        <v>442</v>
      </c>
      <c r="G6095" s="35" t="s">
        <v>539</v>
      </c>
    </row>
    <row r="6096" spans="1:8">
      <c r="A6096" s="34">
        <v>2084051184</v>
      </c>
      <c r="B6096" s="35" t="s">
        <v>462</v>
      </c>
      <c r="C6096" s="35" t="s">
        <v>405</v>
      </c>
      <c r="D6096" s="35" t="s">
        <v>1254</v>
      </c>
      <c r="E6096" s="35" t="s">
        <v>1302</v>
      </c>
      <c r="F6096" s="35" t="s">
        <v>442</v>
      </c>
      <c r="G6096" s="35" t="s">
        <v>335</v>
      </c>
    </row>
    <row r="6097" spans="1:8">
      <c r="A6097" s="34">
        <v>2084048692</v>
      </c>
      <c r="B6097" s="35" t="s">
        <v>462</v>
      </c>
      <c r="C6097" s="35" t="s">
        <v>405</v>
      </c>
      <c r="D6097" s="35" t="s">
        <v>1254</v>
      </c>
      <c r="E6097" s="35" t="s">
        <v>1302</v>
      </c>
      <c r="F6097" s="35" t="s">
        <v>335</v>
      </c>
    </row>
    <row r="6098" spans="1:8">
      <c r="A6098" s="34">
        <v>2084050291</v>
      </c>
      <c r="B6098" s="35" t="s">
        <v>462</v>
      </c>
      <c r="C6098" s="35" t="s">
        <v>405</v>
      </c>
      <c r="D6098" s="35" t="s">
        <v>1254</v>
      </c>
      <c r="E6098" s="35" t="s">
        <v>1307</v>
      </c>
    </row>
    <row r="6099" spans="1:8">
      <c r="A6099" s="34">
        <v>2084056439</v>
      </c>
      <c r="B6099" s="35" t="s">
        <v>462</v>
      </c>
      <c r="C6099" s="35" t="s">
        <v>405</v>
      </c>
      <c r="D6099" s="35" t="s">
        <v>1254</v>
      </c>
      <c r="E6099" s="35" t="s">
        <v>1308</v>
      </c>
      <c r="F6099" s="35" t="s">
        <v>475</v>
      </c>
    </row>
    <row r="6100" spans="1:8">
      <c r="A6100" s="34">
        <v>2084056424</v>
      </c>
      <c r="B6100" s="35" t="s">
        <v>462</v>
      </c>
      <c r="C6100" s="35" t="s">
        <v>405</v>
      </c>
      <c r="D6100" s="35" t="s">
        <v>1254</v>
      </c>
      <c r="E6100" s="35" t="s">
        <v>1308</v>
      </c>
      <c r="F6100" s="35" t="s">
        <v>390</v>
      </c>
      <c r="G6100" s="35" t="s">
        <v>367</v>
      </c>
    </row>
    <row r="6101" spans="1:8">
      <c r="A6101" s="34">
        <v>2084056426</v>
      </c>
      <c r="B6101" s="35" t="s">
        <v>462</v>
      </c>
      <c r="C6101" s="35" t="s">
        <v>405</v>
      </c>
      <c r="D6101" s="35" t="s">
        <v>1254</v>
      </c>
      <c r="E6101" s="35" t="s">
        <v>1308</v>
      </c>
      <c r="F6101" s="35" t="s">
        <v>390</v>
      </c>
      <c r="G6101" s="35" t="s">
        <v>401</v>
      </c>
    </row>
    <row r="6102" spans="1:8">
      <c r="A6102" s="34">
        <v>2084056433</v>
      </c>
      <c r="B6102" s="35" t="s">
        <v>462</v>
      </c>
      <c r="C6102" s="35" t="s">
        <v>405</v>
      </c>
      <c r="D6102" s="35" t="s">
        <v>1254</v>
      </c>
      <c r="E6102" s="35" t="s">
        <v>1308</v>
      </c>
      <c r="F6102" s="35" t="s">
        <v>390</v>
      </c>
      <c r="G6102" s="35" t="s">
        <v>10</v>
      </c>
      <c r="H6102" s="35" t="s">
        <v>483</v>
      </c>
    </row>
    <row r="6103" spans="1:8">
      <c r="A6103" s="34">
        <v>2084056429</v>
      </c>
      <c r="B6103" s="35" t="s">
        <v>462</v>
      </c>
      <c r="C6103" s="35" t="s">
        <v>405</v>
      </c>
      <c r="D6103" s="35" t="s">
        <v>1254</v>
      </c>
      <c r="E6103" s="35" t="s">
        <v>1308</v>
      </c>
      <c r="F6103" s="35" t="s">
        <v>390</v>
      </c>
      <c r="G6103" s="35" t="s">
        <v>10</v>
      </c>
      <c r="H6103" s="35" t="s">
        <v>397</v>
      </c>
    </row>
    <row r="6104" spans="1:8">
      <c r="A6104" s="34">
        <v>2084056432</v>
      </c>
      <c r="B6104" s="35" t="s">
        <v>462</v>
      </c>
      <c r="C6104" s="35" t="s">
        <v>405</v>
      </c>
      <c r="D6104" s="35" t="s">
        <v>1254</v>
      </c>
      <c r="E6104" s="35" t="s">
        <v>1308</v>
      </c>
      <c r="F6104" s="35" t="s">
        <v>390</v>
      </c>
      <c r="G6104" s="35" t="s">
        <v>10</v>
      </c>
      <c r="H6104" s="35" t="s">
        <v>421</v>
      </c>
    </row>
    <row r="6105" spans="1:8">
      <c r="A6105" s="34">
        <v>2084056428</v>
      </c>
      <c r="B6105" s="35" t="s">
        <v>462</v>
      </c>
      <c r="C6105" s="35" t="s">
        <v>405</v>
      </c>
      <c r="D6105" s="35" t="s">
        <v>1254</v>
      </c>
      <c r="E6105" s="35" t="s">
        <v>1308</v>
      </c>
      <c r="F6105" s="35" t="s">
        <v>390</v>
      </c>
      <c r="G6105" s="35" t="s">
        <v>10</v>
      </c>
      <c r="H6105" s="35" t="s">
        <v>398</v>
      </c>
    </row>
    <row r="6106" spans="1:8">
      <c r="A6106" s="34">
        <v>2084056430</v>
      </c>
      <c r="B6106" s="35" t="s">
        <v>462</v>
      </c>
      <c r="C6106" s="35" t="s">
        <v>405</v>
      </c>
      <c r="D6106" s="35" t="s">
        <v>1254</v>
      </c>
      <c r="E6106" s="35" t="s">
        <v>1308</v>
      </c>
      <c r="F6106" s="35" t="s">
        <v>390</v>
      </c>
      <c r="G6106" s="35" t="s">
        <v>10</v>
      </c>
      <c r="H6106" s="35" t="s">
        <v>422</v>
      </c>
    </row>
    <row r="6107" spans="1:8">
      <c r="A6107" s="34">
        <v>2084056434</v>
      </c>
      <c r="B6107" s="35" t="s">
        <v>462</v>
      </c>
      <c r="C6107" s="35" t="s">
        <v>405</v>
      </c>
      <c r="D6107" s="35" t="s">
        <v>1254</v>
      </c>
      <c r="E6107" s="35" t="s">
        <v>1308</v>
      </c>
      <c r="F6107" s="35" t="s">
        <v>390</v>
      </c>
      <c r="G6107" s="35" t="s">
        <v>10</v>
      </c>
      <c r="H6107" s="35" t="s">
        <v>335</v>
      </c>
    </row>
    <row r="6108" spans="1:8">
      <c r="A6108" s="34">
        <v>2084056436</v>
      </c>
      <c r="B6108" s="35" t="s">
        <v>462</v>
      </c>
      <c r="C6108" s="35" t="s">
        <v>405</v>
      </c>
      <c r="D6108" s="35" t="s">
        <v>1254</v>
      </c>
      <c r="E6108" s="35" t="s">
        <v>1308</v>
      </c>
      <c r="F6108" s="35" t="s">
        <v>390</v>
      </c>
      <c r="G6108" s="35" t="s">
        <v>379</v>
      </c>
      <c r="H6108" s="35" t="s">
        <v>476</v>
      </c>
    </row>
    <row r="6109" spans="1:8">
      <c r="A6109" s="34">
        <v>2084056437</v>
      </c>
      <c r="B6109" s="35" t="s">
        <v>462</v>
      </c>
      <c r="C6109" s="35" t="s">
        <v>405</v>
      </c>
      <c r="D6109" s="35" t="s">
        <v>1254</v>
      </c>
      <c r="E6109" s="35" t="s">
        <v>1308</v>
      </c>
      <c r="F6109" s="35" t="s">
        <v>390</v>
      </c>
      <c r="G6109" s="35" t="s">
        <v>379</v>
      </c>
      <c r="H6109" s="35" t="s">
        <v>335</v>
      </c>
    </row>
    <row r="6110" spans="1:8">
      <c r="A6110" s="34">
        <v>2084056438</v>
      </c>
      <c r="B6110" s="35" t="s">
        <v>462</v>
      </c>
      <c r="C6110" s="35" t="s">
        <v>405</v>
      </c>
      <c r="D6110" s="35" t="s">
        <v>1254</v>
      </c>
      <c r="E6110" s="35" t="s">
        <v>1308</v>
      </c>
      <c r="F6110" s="35" t="s">
        <v>390</v>
      </c>
      <c r="G6110" s="35" t="s">
        <v>335</v>
      </c>
    </row>
    <row r="6111" spans="1:8">
      <c r="A6111" s="34">
        <v>2084246648</v>
      </c>
      <c r="B6111" s="35" t="s">
        <v>462</v>
      </c>
      <c r="C6111" s="35" t="s">
        <v>405</v>
      </c>
      <c r="D6111" s="35" t="s">
        <v>1254</v>
      </c>
      <c r="E6111" s="35" t="s">
        <v>1308</v>
      </c>
      <c r="F6111" s="35" t="s">
        <v>408</v>
      </c>
    </row>
    <row r="6112" spans="1:8">
      <c r="A6112" s="34">
        <v>2084056440</v>
      </c>
      <c r="B6112" s="35" t="s">
        <v>462</v>
      </c>
      <c r="C6112" s="35" t="s">
        <v>405</v>
      </c>
      <c r="D6112" s="35" t="s">
        <v>1254</v>
      </c>
      <c r="E6112" s="35" t="s">
        <v>1308</v>
      </c>
      <c r="F6112" s="35" t="s">
        <v>335</v>
      </c>
    </row>
    <row r="6113" spans="1:8">
      <c r="A6113" s="34">
        <v>2084055796</v>
      </c>
      <c r="B6113" s="35" t="s">
        <v>462</v>
      </c>
      <c r="C6113" s="35" t="s">
        <v>405</v>
      </c>
      <c r="D6113" s="35" t="s">
        <v>1254</v>
      </c>
      <c r="E6113" s="35" t="s">
        <v>1309</v>
      </c>
      <c r="F6113" s="35" t="s">
        <v>390</v>
      </c>
      <c r="G6113" s="35" t="s">
        <v>367</v>
      </c>
    </row>
    <row r="6114" spans="1:8">
      <c r="A6114" s="34">
        <v>2084055798</v>
      </c>
      <c r="B6114" s="35" t="s">
        <v>462</v>
      </c>
      <c r="C6114" s="35" t="s">
        <v>405</v>
      </c>
      <c r="D6114" s="35" t="s">
        <v>1254</v>
      </c>
      <c r="E6114" s="35" t="s">
        <v>1309</v>
      </c>
      <c r="F6114" s="35" t="s">
        <v>390</v>
      </c>
      <c r="G6114" s="35" t="s">
        <v>368</v>
      </c>
      <c r="H6114" s="35" t="s">
        <v>481</v>
      </c>
    </row>
    <row r="6115" spans="1:8">
      <c r="A6115" s="34">
        <v>2084055799</v>
      </c>
      <c r="B6115" s="35" t="s">
        <v>462</v>
      </c>
      <c r="C6115" s="35" t="s">
        <v>405</v>
      </c>
      <c r="D6115" s="35" t="s">
        <v>1254</v>
      </c>
      <c r="E6115" s="35" t="s">
        <v>1309</v>
      </c>
      <c r="F6115" s="35" t="s">
        <v>390</v>
      </c>
      <c r="G6115" s="35" t="s">
        <v>368</v>
      </c>
      <c r="H6115" s="35" t="s">
        <v>335</v>
      </c>
    </row>
    <row r="6116" spans="1:8">
      <c r="A6116" s="34">
        <v>2084055832</v>
      </c>
      <c r="B6116" s="35" t="s">
        <v>462</v>
      </c>
      <c r="C6116" s="35" t="s">
        <v>405</v>
      </c>
      <c r="D6116" s="35" t="s">
        <v>1254</v>
      </c>
      <c r="E6116" s="35" t="s">
        <v>1309</v>
      </c>
      <c r="F6116" s="35" t="s">
        <v>390</v>
      </c>
      <c r="G6116" s="35" t="s">
        <v>10</v>
      </c>
      <c r="H6116" s="35" t="s">
        <v>544</v>
      </c>
    </row>
    <row r="6117" spans="1:8">
      <c r="A6117" s="34">
        <v>2084055803</v>
      </c>
      <c r="B6117" s="35" t="s">
        <v>462</v>
      </c>
      <c r="C6117" s="35" t="s">
        <v>405</v>
      </c>
      <c r="D6117" s="35" t="s">
        <v>1254</v>
      </c>
      <c r="E6117" s="35" t="s">
        <v>1309</v>
      </c>
      <c r="F6117" s="35" t="s">
        <v>390</v>
      </c>
      <c r="G6117" s="35" t="s">
        <v>10</v>
      </c>
      <c r="H6117" s="35" t="s">
        <v>483</v>
      </c>
    </row>
    <row r="6118" spans="1:8">
      <c r="A6118" s="34">
        <v>2084055805</v>
      </c>
      <c r="B6118" s="35" t="s">
        <v>462</v>
      </c>
      <c r="C6118" s="35" t="s">
        <v>405</v>
      </c>
      <c r="D6118" s="35" t="s">
        <v>1254</v>
      </c>
      <c r="E6118" s="35" t="s">
        <v>1309</v>
      </c>
      <c r="F6118" s="35" t="s">
        <v>390</v>
      </c>
      <c r="G6118" s="35" t="s">
        <v>10</v>
      </c>
      <c r="H6118" s="35" t="s">
        <v>397</v>
      </c>
    </row>
    <row r="6119" spans="1:8">
      <c r="A6119" s="34">
        <v>2084055804</v>
      </c>
      <c r="B6119" s="35" t="s">
        <v>462</v>
      </c>
      <c r="C6119" s="35" t="s">
        <v>405</v>
      </c>
      <c r="D6119" s="35" t="s">
        <v>1254</v>
      </c>
      <c r="E6119" s="35" t="s">
        <v>1309</v>
      </c>
      <c r="F6119" s="35" t="s">
        <v>390</v>
      </c>
      <c r="G6119" s="35" t="s">
        <v>10</v>
      </c>
      <c r="H6119" s="35" t="s">
        <v>421</v>
      </c>
    </row>
    <row r="6120" spans="1:8">
      <c r="A6120" s="34">
        <v>2084055807</v>
      </c>
      <c r="B6120" s="35" t="s">
        <v>462</v>
      </c>
      <c r="C6120" s="35" t="s">
        <v>405</v>
      </c>
      <c r="D6120" s="35" t="s">
        <v>1254</v>
      </c>
      <c r="E6120" s="35" t="s">
        <v>1309</v>
      </c>
      <c r="F6120" s="35" t="s">
        <v>390</v>
      </c>
      <c r="G6120" s="35" t="s">
        <v>10</v>
      </c>
      <c r="H6120" s="35" t="s">
        <v>398</v>
      </c>
    </row>
    <row r="6121" spans="1:8">
      <c r="A6121" s="34">
        <v>2084055806</v>
      </c>
      <c r="B6121" s="35" t="s">
        <v>462</v>
      </c>
      <c r="C6121" s="35" t="s">
        <v>405</v>
      </c>
      <c r="D6121" s="35" t="s">
        <v>1254</v>
      </c>
      <c r="E6121" s="35" t="s">
        <v>1309</v>
      </c>
      <c r="F6121" s="35" t="s">
        <v>390</v>
      </c>
      <c r="G6121" s="35" t="s">
        <v>10</v>
      </c>
      <c r="H6121" s="35" t="s">
        <v>422</v>
      </c>
    </row>
    <row r="6122" spans="1:8">
      <c r="A6122" s="34">
        <v>2084055808</v>
      </c>
      <c r="B6122" s="35" t="s">
        <v>462</v>
      </c>
      <c r="C6122" s="35" t="s">
        <v>405</v>
      </c>
      <c r="D6122" s="35" t="s">
        <v>1254</v>
      </c>
      <c r="E6122" s="35" t="s">
        <v>1309</v>
      </c>
      <c r="F6122" s="35" t="s">
        <v>390</v>
      </c>
      <c r="G6122" s="35" t="s">
        <v>10</v>
      </c>
      <c r="H6122" s="35" t="s">
        <v>335</v>
      </c>
    </row>
    <row r="6123" spans="1:8">
      <c r="A6123" s="34">
        <v>2084055809</v>
      </c>
      <c r="B6123" s="35" t="s">
        <v>462</v>
      </c>
      <c r="C6123" s="35" t="s">
        <v>405</v>
      </c>
      <c r="D6123" s="35" t="s">
        <v>1254</v>
      </c>
      <c r="E6123" s="35" t="s">
        <v>1309</v>
      </c>
      <c r="F6123" s="35" t="s">
        <v>390</v>
      </c>
      <c r="G6123" s="35" t="s">
        <v>379</v>
      </c>
      <c r="H6123" s="35" t="s">
        <v>476</v>
      </c>
    </row>
    <row r="6124" spans="1:8">
      <c r="A6124" s="34">
        <v>2084055810</v>
      </c>
      <c r="B6124" s="35" t="s">
        <v>462</v>
      </c>
      <c r="C6124" s="35" t="s">
        <v>405</v>
      </c>
      <c r="D6124" s="35" t="s">
        <v>1254</v>
      </c>
      <c r="E6124" s="35" t="s">
        <v>1309</v>
      </c>
      <c r="F6124" s="35" t="s">
        <v>390</v>
      </c>
      <c r="G6124" s="35" t="s">
        <v>379</v>
      </c>
      <c r="H6124" s="35" t="s">
        <v>335</v>
      </c>
    </row>
    <row r="6125" spans="1:8">
      <c r="A6125" s="34">
        <v>2084055802</v>
      </c>
      <c r="B6125" s="35" t="s">
        <v>462</v>
      </c>
      <c r="C6125" s="35" t="s">
        <v>405</v>
      </c>
      <c r="D6125" s="35" t="s">
        <v>1254</v>
      </c>
      <c r="E6125" s="35" t="s">
        <v>1309</v>
      </c>
      <c r="F6125" s="35" t="s">
        <v>390</v>
      </c>
      <c r="G6125" s="35" t="s">
        <v>335</v>
      </c>
    </row>
    <row r="6126" spans="1:8">
      <c r="A6126" s="34">
        <v>2084055811</v>
      </c>
      <c r="B6126" s="35" t="s">
        <v>462</v>
      </c>
      <c r="C6126" s="35" t="s">
        <v>405</v>
      </c>
      <c r="D6126" s="35" t="s">
        <v>1254</v>
      </c>
      <c r="E6126" s="35" t="s">
        <v>1309</v>
      </c>
      <c r="F6126" s="35" t="s">
        <v>353</v>
      </c>
      <c r="G6126" s="35" t="s">
        <v>401</v>
      </c>
    </row>
    <row r="6127" spans="1:8">
      <c r="A6127" s="34">
        <v>2084055833</v>
      </c>
      <c r="B6127" s="35" t="s">
        <v>462</v>
      </c>
      <c r="C6127" s="35" t="s">
        <v>405</v>
      </c>
      <c r="D6127" s="35" t="s">
        <v>1254</v>
      </c>
      <c r="E6127" s="35" t="s">
        <v>1309</v>
      </c>
      <c r="F6127" s="35" t="s">
        <v>353</v>
      </c>
      <c r="G6127" s="35" t="s">
        <v>10</v>
      </c>
      <c r="H6127" s="35" t="s">
        <v>544</v>
      </c>
    </row>
    <row r="6128" spans="1:8">
      <c r="A6128" s="34">
        <v>2084055818</v>
      </c>
      <c r="B6128" s="35" t="s">
        <v>462</v>
      </c>
      <c r="C6128" s="35" t="s">
        <v>405</v>
      </c>
      <c r="D6128" s="35" t="s">
        <v>1254</v>
      </c>
      <c r="E6128" s="35" t="s">
        <v>1309</v>
      </c>
      <c r="F6128" s="35" t="s">
        <v>353</v>
      </c>
      <c r="G6128" s="35" t="s">
        <v>10</v>
      </c>
      <c r="H6128" s="35" t="s">
        <v>397</v>
      </c>
    </row>
    <row r="6129" spans="1:8">
      <c r="A6129" s="34">
        <v>2084055817</v>
      </c>
      <c r="B6129" s="35" t="s">
        <v>462</v>
      </c>
      <c r="C6129" s="35" t="s">
        <v>405</v>
      </c>
      <c r="D6129" s="35" t="s">
        <v>1254</v>
      </c>
      <c r="E6129" s="35" t="s">
        <v>1309</v>
      </c>
      <c r="F6129" s="35" t="s">
        <v>353</v>
      </c>
      <c r="G6129" s="35" t="s">
        <v>10</v>
      </c>
      <c r="H6129" s="35" t="s">
        <v>421</v>
      </c>
    </row>
    <row r="6130" spans="1:8">
      <c r="A6130" s="34">
        <v>2084055815</v>
      </c>
      <c r="B6130" s="35" t="s">
        <v>462</v>
      </c>
      <c r="C6130" s="35" t="s">
        <v>405</v>
      </c>
      <c r="D6130" s="35" t="s">
        <v>1254</v>
      </c>
      <c r="E6130" s="35" t="s">
        <v>1309</v>
      </c>
      <c r="F6130" s="35" t="s">
        <v>353</v>
      </c>
      <c r="G6130" s="35" t="s">
        <v>10</v>
      </c>
      <c r="H6130" s="35" t="s">
        <v>398</v>
      </c>
    </row>
    <row r="6131" spans="1:8">
      <c r="A6131" s="34">
        <v>2084055816</v>
      </c>
      <c r="B6131" s="35" t="s">
        <v>462</v>
      </c>
      <c r="C6131" s="35" t="s">
        <v>405</v>
      </c>
      <c r="D6131" s="35" t="s">
        <v>1254</v>
      </c>
      <c r="E6131" s="35" t="s">
        <v>1309</v>
      </c>
      <c r="F6131" s="35" t="s">
        <v>353</v>
      </c>
      <c r="G6131" s="35" t="s">
        <v>10</v>
      </c>
      <c r="H6131" s="35" t="s">
        <v>422</v>
      </c>
    </row>
    <row r="6132" spans="1:8">
      <c r="A6132" s="34">
        <v>2084055819</v>
      </c>
      <c r="B6132" s="35" t="s">
        <v>462</v>
      </c>
      <c r="C6132" s="35" t="s">
        <v>405</v>
      </c>
      <c r="D6132" s="35" t="s">
        <v>1254</v>
      </c>
      <c r="E6132" s="35" t="s">
        <v>1309</v>
      </c>
      <c r="F6132" s="35" t="s">
        <v>353</v>
      </c>
      <c r="G6132" s="35" t="s">
        <v>10</v>
      </c>
      <c r="H6132" s="35" t="s">
        <v>335</v>
      </c>
    </row>
    <row r="6133" spans="1:8">
      <c r="A6133" s="34">
        <v>2084055813</v>
      </c>
      <c r="B6133" s="35" t="s">
        <v>462</v>
      </c>
      <c r="C6133" s="35" t="s">
        <v>405</v>
      </c>
      <c r="D6133" s="35" t="s">
        <v>1254</v>
      </c>
      <c r="E6133" s="35" t="s">
        <v>1309</v>
      </c>
      <c r="F6133" s="35" t="s">
        <v>353</v>
      </c>
      <c r="G6133" s="35" t="s">
        <v>403</v>
      </c>
    </row>
    <row r="6134" spans="1:8">
      <c r="A6134" s="34">
        <v>2084055814</v>
      </c>
      <c r="B6134" s="35" t="s">
        <v>462</v>
      </c>
      <c r="C6134" s="35" t="s">
        <v>405</v>
      </c>
      <c r="D6134" s="35" t="s">
        <v>1254</v>
      </c>
      <c r="E6134" s="35" t="s">
        <v>1309</v>
      </c>
      <c r="F6134" s="35" t="s">
        <v>353</v>
      </c>
      <c r="G6134" s="35" t="s">
        <v>335</v>
      </c>
    </row>
    <row r="6135" spans="1:8">
      <c r="A6135" s="34">
        <v>2084055795</v>
      </c>
      <c r="B6135" s="35" t="s">
        <v>462</v>
      </c>
      <c r="C6135" s="35" t="s">
        <v>405</v>
      </c>
      <c r="D6135" s="35" t="s">
        <v>1254</v>
      </c>
      <c r="E6135" s="35" t="s">
        <v>1309</v>
      </c>
      <c r="F6135" s="35" t="s">
        <v>335</v>
      </c>
    </row>
    <row r="6136" spans="1:8">
      <c r="A6136" s="34">
        <v>2084229163</v>
      </c>
      <c r="B6136" s="35" t="s">
        <v>462</v>
      </c>
      <c r="C6136" s="35" t="s">
        <v>405</v>
      </c>
      <c r="D6136" s="35" t="s">
        <v>1254</v>
      </c>
      <c r="E6136" s="35" t="s">
        <v>1310</v>
      </c>
    </row>
    <row r="6137" spans="1:8">
      <c r="A6137" s="34">
        <v>2084211365</v>
      </c>
      <c r="B6137" s="35" t="s">
        <v>462</v>
      </c>
      <c r="C6137" s="35" t="s">
        <v>405</v>
      </c>
      <c r="D6137" s="35" t="s">
        <v>1254</v>
      </c>
      <c r="E6137" s="35" t="s">
        <v>1311</v>
      </c>
      <c r="F6137" s="35" t="s">
        <v>611</v>
      </c>
      <c r="G6137" s="35" t="s">
        <v>407</v>
      </c>
    </row>
    <row r="6138" spans="1:8">
      <c r="A6138" s="34">
        <v>2084211364</v>
      </c>
      <c r="B6138" s="35" t="s">
        <v>462</v>
      </c>
      <c r="C6138" s="35" t="s">
        <v>405</v>
      </c>
      <c r="D6138" s="35" t="s">
        <v>1254</v>
      </c>
      <c r="E6138" s="35" t="s">
        <v>1311</v>
      </c>
      <c r="F6138" s="35" t="s">
        <v>611</v>
      </c>
      <c r="G6138" s="35" t="s">
        <v>408</v>
      </c>
    </row>
    <row r="6139" spans="1:8">
      <c r="A6139" s="34">
        <v>2084211366</v>
      </c>
      <c r="B6139" s="35" t="s">
        <v>462</v>
      </c>
      <c r="C6139" s="35" t="s">
        <v>405</v>
      </c>
      <c r="D6139" s="35" t="s">
        <v>1254</v>
      </c>
      <c r="E6139" s="35" t="s">
        <v>1311</v>
      </c>
      <c r="F6139" s="35" t="s">
        <v>335</v>
      </c>
    </row>
    <row r="6140" spans="1:8">
      <c r="A6140" s="34">
        <v>2084301230</v>
      </c>
      <c r="B6140" s="35" t="s">
        <v>462</v>
      </c>
      <c r="C6140" s="35" t="s">
        <v>405</v>
      </c>
      <c r="D6140" s="35" t="s">
        <v>1254</v>
      </c>
      <c r="E6140" s="35" t="s">
        <v>1312</v>
      </c>
    </row>
    <row r="6141" spans="1:8">
      <c r="A6141" s="34">
        <v>2084313156</v>
      </c>
      <c r="B6141" s="35" t="s">
        <v>462</v>
      </c>
      <c r="C6141" s="35" t="s">
        <v>405</v>
      </c>
      <c r="D6141" s="35" t="s">
        <v>1254</v>
      </c>
      <c r="E6141" s="35" t="s">
        <v>1313</v>
      </c>
    </row>
    <row r="6142" spans="1:8">
      <c r="A6142" s="34">
        <v>2084056049</v>
      </c>
      <c r="B6142" s="35" t="s">
        <v>462</v>
      </c>
      <c r="C6142" s="35" t="s">
        <v>405</v>
      </c>
      <c r="D6142" s="35" t="s">
        <v>1314</v>
      </c>
      <c r="E6142" s="35" t="s">
        <v>1315</v>
      </c>
      <c r="F6142" s="35" t="s">
        <v>367</v>
      </c>
    </row>
    <row r="6143" spans="1:8">
      <c r="A6143" s="34">
        <v>2084056050</v>
      </c>
      <c r="B6143" s="35" t="s">
        <v>462</v>
      </c>
      <c r="C6143" s="35" t="s">
        <v>405</v>
      </c>
      <c r="D6143" s="35" t="s">
        <v>1314</v>
      </c>
      <c r="E6143" s="35" t="s">
        <v>1315</v>
      </c>
      <c r="F6143" s="35" t="s">
        <v>401</v>
      </c>
    </row>
    <row r="6144" spans="1:8">
      <c r="A6144" s="34">
        <v>2084056055</v>
      </c>
      <c r="B6144" s="35" t="s">
        <v>462</v>
      </c>
      <c r="C6144" s="35" t="s">
        <v>405</v>
      </c>
      <c r="D6144" s="35" t="s">
        <v>1314</v>
      </c>
      <c r="E6144" s="35" t="s">
        <v>1315</v>
      </c>
      <c r="F6144" s="35" t="s">
        <v>10</v>
      </c>
      <c r="G6144" s="35" t="s">
        <v>397</v>
      </c>
    </row>
    <row r="6145" spans="1:8">
      <c r="A6145" s="34">
        <v>2084056054</v>
      </c>
      <c r="B6145" s="35" t="s">
        <v>462</v>
      </c>
      <c r="C6145" s="35" t="s">
        <v>405</v>
      </c>
      <c r="D6145" s="35" t="s">
        <v>1314</v>
      </c>
      <c r="E6145" s="35" t="s">
        <v>1315</v>
      </c>
      <c r="F6145" s="35" t="s">
        <v>10</v>
      </c>
      <c r="G6145" s="35" t="s">
        <v>421</v>
      </c>
    </row>
    <row r="6146" spans="1:8">
      <c r="A6146" s="34">
        <v>2084056053</v>
      </c>
      <c r="B6146" s="35" t="s">
        <v>462</v>
      </c>
      <c r="C6146" s="35" t="s">
        <v>405</v>
      </c>
      <c r="D6146" s="35" t="s">
        <v>1314</v>
      </c>
      <c r="E6146" s="35" t="s">
        <v>1315</v>
      </c>
      <c r="F6146" s="35" t="s">
        <v>10</v>
      </c>
      <c r="G6146" s="35" t="s">
        <v>398</v>
      </c>
    </row>
    <row r="6147" spans="1:8">
      <c r="A6147" s="34">
        <v>2084056052</v>
      </c>
      <c r="B6147" s="35" t="s">
        <v>462</v>
      </c>
      <c r="C6147" s="35" t="s">
        <v>405</v>
      </c>
      <c r="D6147" s="35" t="s">
        <v>1314</v>
      </c>
      <c r="E6147" s="35" t="s">
        <v>1315</v>
      </c>
      <c r="F6147" s="35" t="s">
        <v>10</v>
      </c>
      <c r="G6147" s="35" t="s">
        <v>422</v>
      </c>
    </row>
    <row r="6148" spans="1:8">
      <c r="A6148" s="34">
        <v>2084056056</v>
      </c>
      <c r="B6148" s="35" t="s">
        <v>462</v>
      </c>
      <c r="C6148" s="35" t="s">
        <v>405</v>
      </c>
      <c r="D6148" s="35" t="s">
        <v>1314</v>
      </c>
      <c r="E6148" s="35" t="s">
        <v>1315</v>
      </c>
      <c r="F6148" s="35" t="s">
        <v>10</v>
      </c>
      <c r="G6148" s="35" t="s">
        <v>335</v>
      </c>
    </row>
    <row r="6149" spans="1:8">
      <c r="A6149" s="34">
        <v>2084056058</v>
      </c>
      <c r="B6149" s="35" t="s">
        <v>462</v>
      </c>
      <c r="C6149" s="35" t="s">
        <v>405</v>
      </c>
      <c r="D6149" s="35" t="s">
        <v>1314</v>
      </c>
      <c r="E6149" s="35" t="s">
        <v>1315</v>
      </c>
      <c r="F6149" s="35" t="s">
        <v>379</v>
      </c>
      <c r="G6149" s="35" t="s">
        <v>476</v>
      </c>
    </row>
    <row r="6150" spans="1:8">
      <c r="A6150" s="34">
        <v>2084056059</v>
      </c>
      <c r="B6150" s="35" t="s">
        <v>462</v>
      </c>
      <c r="C6150" s="35" t="s">
        <v>405</v>
      </c>
      <c r="D6150" s="35" t="s">
        <v>1314</v>
      </c>
      <c r="E6150" s="35" t="s">
        <v>1315</v>
      </c>
      <c r="F6150" s="35" t="s">
        <v>379</v>
      </c>
      <c r="G6150" s="35" t="s">
        <v>335</v>
      </c>
    </row>
    <row r="6151" spans="1:8">
      <c r="A6151" s="34">
        <v>2084056060</v>
      </c>
      <c r="B6151" s="35" t="s">
        <v>462</v>
      </c>
      <c r="C6151" s="35" t="s">
        <v>405</v>
      </c>
      <c r="D6151" s="35" t="s">
        <v>1314</v>
      </c>
      <c r="E6151" s="35" t="s">
        <v>1315</v>
      </c>
      <c r="F6151" s="35" t="s">
        <v>335</v>
      </c>
    </row>
    <row r="6152" spans="1:8">
      <c r="A6152" s="34">
        <v>2084054143</v>
      </c>
      <c r="B6152" s="35" t="s">
        <v>462</v>
      </c>
      <c r="C6152" s="35" t="s">
        <v>405</v>
      </c>
      <c r="D6152" s="35" t="s">
        <v>1314</v>
      </c>
      <c r="E6152" s="35" t="s">
        <v>1316</v>
      </c>
      <c r="F6152" s="35" t="s">
        <v>390</v>
      </c>
      <c r="G6152" s="35" t="s">
        <v>367</v>
      </c>
    </row>
    <row r="6153" spans="1:8">
      <c r="A6153" s="34">
        <v>2084054146</v>
      </c>
      <c r="B6153" s="35" t="s">
        <v>462</v>
      </c>
      <c r="C6153" s="35" t="s">
        <v>405</v>
      </c>
      <c r="D6153" s="35" t="s">
        <v>1314</v>
      </c>
      <c r="E6153" s="35" t="s">
        <v>1316</v>
      </c>
      <c r="F6153" s="35" t="s">
        <v>390</v>
      </c>
      <c r="G6153" s="35" t="s">
        <v>368</v>
      </c>
      <c r="H6153" s="35" t="s">
        <v>481</v>
      </c>
    </row>
    <row r="6154" spans="1:8">
      <c r="A6154" s="34">
        <v>2084054145</v>
      </c>
      <c r="B6154" s="35" t="s">
        <v>462</v>
      </c>
      <c r="C6154" s="35" t="s">
        <v>405</v>
      </c>
      <c r="D6154" s="35" t="s">
        <v>1314</v>
      </c>
      <c r="E6154" s="35" t="s">
        <v>1316</v>
      </c>
      <c r="F6154" s="35" t="s">
        <v>390</v>
      </c>
      <c r="G6154" s="35" t="s">
        <v>368</v>
      </c>
      <c r="H6154" s="35" t="s">
        <v>482</v>
      </c>
    </row>
    <row r="6155" spans="1:8">
      <c r="A6155" s="34">
        <v>2084054147</v>
      </c>
      <c r="B6155" s="35" t="s">
        <v>462</v>
      </c>
      <c r="C6155" s="35" t="s">
        <v>405</v>
      </c>
      <c r="D6155" s="35" t="s">
        <v>1314</v>
      </c>
      <c r="E6155" s="35" t="s">
        <v>1316</v>
      </c>
      <c r="F6155" s="35" t="s">
        <v>390</v>
      </c>
      <c r="G6155" s="35" t="s">
        <v>368</v>
      </c>
      <c r="H6155" s="35" t="s">
        <v>335</v>
      </c>
    </row>
    <row r="6156" spans="1:8">
      <c r="A6156" s="34">
        <v>2084054153</v>
      </c>
      <c r="B6156" s="35" t="s">
        <v>462</v>
      </c>
      <c r="C6156" s="35" t="s">
        <v>405</v>
      </c>
      <c r="D6156" s="35" t="s">
        <v>1314</v>
      </c>
      <c r="E6156" s="35" t="s">
        <v>1316</v>
      </c>
      <c r="F6156" s="35" t="s">
        <v>390</v>
      </c>
      <c r="G6156" s="35" t="s">
        <v>10</v>
      </c>
      <c r="H6156" s="35" t="s">
        <v>483</v>
      </c>
    </row>
    <row r="6157" spans="1:8">
      <c r="A6157" s="34">
        <v>2084054150</v>
      </c>
      <c r="B6157" s="35" t="s">
        <v>462</v>
      </c>
      <c r="C6157" s="35" t="s">
        <v>405</v>
      </c>
      <c r="D6157" s="35" t="s">
        <v>1314</v>
      </c>
      <c r="E6157" s="35" t="s">
        <v>1316</v>
      </c>
      <c r="F6157" s="35" t="s">
        <v>390</v>
      </c>
      <c r="G6157" s="35" t="s">
        <v>10</v>
      </c>
      <c r="H6157" s="35" t="s">
        <v>397</v>
      </c>
    </row>
    <row r="6158" spans="1:8">
      <c r="A6158" s="34">
        <v>2084054152</v>
      </c>
      <c r="B6158" s="35" t="s">
        <v>462</v>
      </c>
      <c r="C6158" s="35" t="s">
        <v>405</v>
      </c>
      <c r="D6158" s="35" t="s">
        <v>1314</v>
      </c>
      <c r="E6158" s="35" t="s">
        <v>1316</v>
      </c>
      <c r="F6158" s="35" t="s">
        <v>390</v>
      </c>
      <c r="G6158" s="35" t="s">
        <v>10</v>
      </c>
      <c r="H6158" s="35" t="s">
        <v>421</v>
      </c>
    </row>
    <row r="6159" spans="1:8">
      <c r="A6159" s="34">
        <v>2084054149</v>
      </c>
      <c r="B6159" s="35" t="s">
        <v>462</v>
      </c>
      <c r="C6159" s="35" t="s">
        <v>405</v>
      </c>
      <c r="D6159" s="35" t="s">
        <v>1314</v>
      </c>
      <c r="E6159" s="35" t="s">
        <v>1316</v>
      </c>
      <c r="F6159" s="35" t="s">
        <v>390</v>
      </c>
      <c r="G6159" s="35" t="s">
        <v>10</v>
      </c>
      <c r="H6159" s="35" t="s">
        <v>398</v>
      </c>
    </row>
    <row r="6160" spans="1:8">
      <c r="A6160" s="34">
        <v>2084054151</v>
      </c>
      <c r="B6160" s="35" t="s">
        <v>462</v>
      </c>
      <c r="C6160" s="35" t="s">
        <v>405</v>
      </c>
      <c r="D6160" s="35" t="s">
        <v>1314</v>
      </c>
      <c r="E6160" s="35" t="s">
        <v>1316</v>
      </c>
      <c r="F6160" s="35" t="s">
        <v>390</v>
      </c>
      <c r="G6160" s="35" t="s">
        <v>10</v>
      </c>
      <c r="H6160" s="35" t="s">
        <v>422</v>
      </c>
    </row>
    <row r="6161" spans="1:8">
      <c r="A6161" s="34">
        <v>2084054154</v>
      </c>
      <c r="B6161" s="35" t="s">
        <v>462</v>
      </c>
      <c r="C6161" s="35" t="s">
        <v>405</v>
      </c>
      <c r="D6161" s="35" t="s">
        <v>1314</v>
      </c>
      <c r="E6161" s="35" t="s">
        <v>1316</v>
      </c>
      <c r="F6161" s="35" t="s">
        <v>390</v>
      </c>
      <c r="G6161" s="35" t="s">
        <v>10</v>
      </c>
      <c r="H6161" s="35" t="s">
        <v>335</v>
      </c>
    </row>
    <row r="6162" spans="1:8">
      <c r="A6162" s="34">
        <v>2084054156</v>
      </c>
      <c r="B6162" s="35" t="s">
        <v>462</v>
      </c>
      <c r="C6162" s="35" t="s">
        <v>405</v>
      </c>
      <c r="D6162" s="35" t="s">
        <v>1314</v>
      </c>
      <c r="E6162" s="35" t="s">
        <v>1316</v>
      </c>
      <c r="F6162" s="35" t="s">
        <v>390</v>
      </c>
      <c r="G6162" s="35" t="s">
        <v>379</v>
      </c>
      <c r="H6162" s="35" t="s">
        <v>476</v>
      </c>
    </row>
    <row r="6163" spans="1:8">
      <c r="A6163" s="34">
        <v>2084054157</v>
      </c>
      <c r="B6163" s="35" t="s">
        <v>462</v>
      </c>
      <c r="C6163" s="35" t="s">
        <v>405</v>
      </c>
      <c r="D6163" s="35" t="s">
        <v>1314</v>
      </c>
      <c r="E6163" s="35" t="s">
        <v>1316</v>
      </c>
      <c r="F6163" s="35" t="s">
        <v>390</v>
      </c>
      <c r="G6163" s="35" t="s">
        <v>379</v>
      </c>
      <c r="H6163" s="35" t="s">
        <v>335</v>
      </c>
    </row>
    <row r="6164" spans="1:8">
      <c r="A6164" s="34">
        <v>2084061678</v>
      </c>
      <c r="B6164" s="35" t="s">
        <v>462</v>
      </c>
      <c r="C6164" s="35" t="s">
        <v>405</v>
      </c>
      <c r="D6164" s="35" t="s">
        <v>1314</v>
      </c>
      <c r="E6164" s="35" t="s">
        <v>1316</v>
      </c>
      <c r="F6164" s="35" t="s">
        <v>390</v>
      </c>
      <c r="G6164" s="35" t="s">
        <v>478</v>
      </c>
    </row>
    <row r="6165" spans="1:8">
      <c r="A6165" s="34">
        <v>2084054158</v>
      </c>
      <c r="B6165" s="35" t="s">
        <v>462</v>
      </c>
      <c r="C6165" s="35" t="s">
        <v>405</v>
      </c>
      <c r="D6165" s="35" t="s">
        <v>1314</v>
      </c>
      <c r="E6165" s="35" t="s">
        <v>1316</v>
      </c>
      <c r="F6165" s="35" t="s">
        <v>390</v>
      </c>
      <c r="G6165" s="35" t="s">
        <v>335</v>
      </c>
    </row>
    <row r="6166" spans="1:8">
      <c r="A6166" s="34">
        <v>2084054128</v>
      </c>
      <c r="B6166" s="35" t="s">
        <v>462</v>
      </c>
      <c r="C6166" s="35" t="s">
        <v>405</v>
      </c>
      <c r="D6166" s="35" t="s">
        <v>1314</v>
      </c>
      <c r="E6166" s="35" t="s">
        <v>1316</v>
      </c>
      <c r="F6166" s="35" t="s">
        <v>353</v>
      </c>
      <c r="G6166" s="35" t="s">
        <v>367</v>
      </c>
    </row>
    <row r="6167" spans="1:8">
      <c r="A6167" s="34">
        <v>2084054131</v>
      </c>
      <c r="B6167" s="35" t="s">
        <v>462</v>
      </c>
      <c r="C6167" s="35" t="s">
        <v>405</v>
      </c>
      <c r="D6167" s="35" t="s">
        <v>1314</v>
      </c>
      <c r="E6167" s="35" t="s">
        <v>1316</v>
      </c>
      <c r="F6167" s="35" t="s">
        <v>353</v>
      </c>
      <c r="G6167" s="35" t="s">
        <v>368</v>
      </c>
      <c r="H6167" s="35" t="s">
        <v>481</v>
      </c>
    </row>
    <row r="6168" spans="1:8">
      <c r="A6168" s="34">
        <v>2084054130</v>
      </c>
      <c r="B6168" s="35" t="s">
        <v>462</v>
      </c>
      <c r="C6168" s="35" t="s">
        <v>405</v>
      </c>
      <c r="D6168" s="35" t="s">
        <v>1314</v>
      </c>
      <c r="E6168" s="35" t="s">
        <v>1316</v>
      </c>
      <c r="F6168" s="35" t="s">
        <v>353</v>
      </c>
      <c r="G6168" s="35" t="s">
        <v>368</v>
      </c>
      <c r="H6168" s="35" t="s">
        <v>482</v>
      </c>
    </row>
    <row r="6169" spans="1:8">
      <c r="A6169" s="34">
        <v>2084054132</v>
      </c>
      <c r="B6169" s="35" t="s">
        <v>462</v>
      </c>
      <c r="C6169" s="35" t="s">
        <v>405</v>
      </c>
      <c r="D6169" s="35" t="s">
        <v>1314</v>
      </c>
      <c r="E6169" s="35" t="s">
        <v>1316</v>
      </c>
      <c r="F6169" s="35" t="s">
        <v>353</v>
      </c>
      <c r="G6169" s="35" t="s">
        <v>368</v>
      </c>
      <c r="H6169" s="35" t="s">
        <v>335</v>
      </c>
    </row>
    <row r="6170" spans="1:8">
      <c r="A6170" s="34">
        <v>2084054138</v>
      </c>
      <c r="B6170" s="35" t="s">
        <v>462</v>
      </c>
      <c r="C6170" s="35" t="s">
        <v>405</v>
      </c>
      <c r="D6170" s="35" t="s">
        <v>1314</v>
      </c>
      <c r="E6170" s="35" t="s">
        <v>1316</v>
      </c>
      <c r="F6170" s="35" t="s">
        <v>353</v>
      </c>
      <c r="G6170" s="35" t="s">
        <v>10</v>
      </c>
      <c r="H6170" s="35" t="s">
        <v>483</v>
      </c>
    </row>
    <row r="6171" spans="1:8">
      <c r="A6171" s="34">
        <v>2084054135</v>
      </c>
      <c r="B6171" s="35" t="s">
        <v>462</v>
      </c>
      <c r="C6171" s="35" t="s">
        <v>405</v>
      </c>
      <c r="D6171" s="35" t="s">
        <v>1314</v>
      </c>
      <c r="E6171" s="35" t="s">
        <v>1316</v>
      </c>
      <c r="F6171" s="35" t="s">
        <v>353</v>
      </c>
      <c r="G6171" s="35" t="s">
        <v>10</v>
      </c>
      <c r="H6171" s="35" t="s">
        <v>397</v>
      </c>
    </row>
    <row r="6172" spans="1:8">
      <c r="A6172" s="34">
        <v>2084054137</v>
      </c>
      <c r="B6172" s="35" t="s">
        <v>462</v>
      </c>
      <c r="C6172" s="35" t="s">
        <v>405</v>
      </c>
      <c r="D6172" s="35" t="s">
        <v>1314</v>
      </c>
      <c r="E6172" s="35" t="s">
        <v>1316</v>
      </c>
      <c r="F6172" s="35" t="s">
        <v>353</v>
      </c>
      <c r="G6172" s="35" t="s">
        <v>10</v>
      </c>
      <c r="H6172" s="35" t="s">
        <v>421</v>
      </c>
    </row>
    <row r="6173" spans="1:8">
      <c r="A6173" s="34">
        <v>2084054134</v>
      </c>
      <c r="B6173" s="35" t="s">
        <v>462</v>
      </c>
      <c r="C6173" s="35" t="s">
        <v>405</v>
      </c>
      <c r="D6173" s="35" t="s">
        <v>1314</v>
      </c>
      <c r="E6173" s="35" t="s">
        <v>1316</v>
      </c>
      <c r="F6173" s="35" t="s">
        <v>353</v>
      </c>
      <c r="G6173" s="35" t="s">
        <v>10</v>
      </c>
      <c r="H6173" s="35" t="s">
        <v>398</v>
      </c>
    </row>
    <row r="6174" spans="1:8">
      <c r="A6174" s="34">
        <v>2084054136</v>
      </c>
      <c r="B6174" s="35" t="s">
        <v>462</v>
      </c>
      <c r="C6174" s="35" t="s">
        <v>405</v>
      </c>
      <c r="D6174" s="35" t="s">
        <v>1314</v>
      </c>
      <c r="E6174" s="35" t="s">
        <v>1316</v>
      </c>
      <c r="F6174" s="35" t="s">
        <v>353</v>
      </c>
      <c r="G6174" s="35" t="s">
        <v>10</v>
      </c>
      <c r="H6174" s="35" t="s">
        <v>422</v>
      </c>
    </row>
    <row r="6175" spans="1:8">
      <c r="A6175" s="34">
        <v>2084054139</v>
      </c>
      <c r="B6175" s="35" t="s">
        <v>462</v>
      </c>
      <c r="C6175" s="35" t="s">
        <v>405</v>
      </c>
      <c r="D6175" s="35" t="s">
        <v>1314</v>
      </c>
      <c r="E6175" s="35" t="s">
        <v>1316</v>
      </c>
      <c r="F6175" s="35" t="s">
        <v>353</v>
      </c>
      <c r="G6175" s="35" t="s">
        <v>10</v>
      </c>
      <c r="H6175" s="35" t="s">
        <v>335</v>
      </c>
    </row>
    <row r="6176" spans="1:8">
      <c r="A6176" s="34">
        <v>2084054140</v>
      </c>
      <c r="B6176" s="35" t="s">
        <v>462</v>
      </c>
      <c r="C6176" s="35" t="s">
        <v>405</v>
      </c>
      <c r="D6176" s="35" t="s">
        <v>1314</v>
      </c>
      <c r="E6176" s="35" t="s">
        <v>1316</v>
      </c>
      <c r="F6176" s="35" t="s">
        <v>353</v>
      </c>
      <c r="G6176" s="35" t="s">
        <v>403</v>
      </c>
    </row>
    <row r="6177" spans="1:7">
      <c r="A6177" s="34">
        <v>2084054141</v>
      </c>
      <c r="B6177" s="35" t="s">
        <v>462</v>
      </c>
      <c r="C6177" s="35" t="s">
        <v>405</v>
      </c>
      <c r="D6177" s="35" t="s">
        <v>1314</v>
      </c>
      <c r="E6177" s="35" t="s">
        <v>1316</v>
      </c>
      <c r="F6177" s="35" t="s">
        <v>353</v>
      </c>
      <c r="G6177" s="35" t="s">
        <v>335</v>
      </c>
    </row>
    <row r="6178" spans="1:7">
      <c r="A6178" s="34">
        <v>2084054159</v>
      </c>
      <c r="B6178" s="35" t="s">
        <v>462</v>
      </c>
      <c r="C6178" s="35" t="s">
        <v>405</v>
      </c>
      <c r="D6178" s="35" t="s">
        <v>1314</v>
      </c>
      <c r="E6178" s="35" t="s">
        <v>1316</v>
      </c>
      <c r="F6178" s="35" t="s">
        <v>335</v>
      </c>
    </row>
    <row r="6179" spans="1:7">
      <c r="A6179" s="34">
        <v>2084301225</v>
      </c>
      <c r="B6179" s="35" t="s">
        <v>462</v>
      </c>
      <c r="C6179" s="35" t="s">
        <v>405</v>
      </c>
      <c r="D6179" s="35" t="s">
        <v>1314</v>
      </c>
      <c r="E6179" s="35" t="s">
        <v>1317</v>
      </c>
      <c r="F6179" s="35" t="s">
        <v>367</v>
      </c>
    </row>
    <row r="6180" spans="1:7">
      <c r="A6180" s="34">
        <v>2084301226</v>
      </c>
      <c r="B6180" s="35" t="s">
        <v>462</v>
      </c>
      <c r="C6180" s="35" t="s">
        <v>405</v>
      </c>
      <c r="D6180" s="35" t="s">
        <v>1314</v>
      </c>
      <c r="E6180" s="35" t="s">
        <v>1317</v>
      </c>
      <c r="F6180" s="35" t="s">
        <v>401</v>
      </c>
    </row>
    <row r="6181" spans="1:7">
      <c r="A6181" s="34">
        <v>2084301227</v>
      </c>
      <c r="B6181" s="35" t="s">
        <v>462</v>
      </c>
      <c r="C6181" s="35" t="s">
        <v>405</v>
      </c>
      <c r="D6181" s="35" t="s">
        <v>1314</v>
      </c>
      <c r="E6181" s="35" t="s">
        <v>1317</v>
      </c>
      <c r="F6181" s="35" t="s">
        <v>402</v>
      </c>
    </row>
    <row r="6182" spans="1:7">
      <c r="A6182" s="34">
        <v>2084301228</v>
      </c>
      <c r="B6182" s="35" t="s">
        <v>462</v>
      </c>
      <c r="C6182" s="35" t="s">
        <v>405</v>
      </c>
      <c r="D6182" s="35" t="s">
        <v>1314</v>
      </c>
      <c r="E6182" s="35" t="s">
        <v>1317</v>
      </c>
      <c r="F6182" s="35" t="s">
        <v>477</v>
      </c>
    </row>
    <row r="6183" spans="1:7">
      <c r="A6183" s="34">
        <v>2084301229</v>
      </c>
      <c r="B6183" s="35" t="s">
        <v>462</v>
      </c>
      <c r="C6183" s="35" t="s">
        <v>405</v>
      </c>
      <c r="D6183" s="35" t="s">
        <v>1314</v>
      </c>
      <c r="E6183" s="35" t="s">
        <v>1317</v>
      </c>
      <c r="F6183" s="35" t="s">
        <v>335</v>
      </c>
    </row>
    <row r="6184" spans="1:7">
      <c r="A6184" s="34">
        <v>2084242556</v>
      </c>
      <c r="B6184" s="35" t="s">
        <v>462</v>
      </c>
      <c r="C6184" s="35" t="s">
        <v>405</v>
      </c>
      <c r="D6184" s="35" t="s">
        <v>1314</v>
      </c>
      <c r="E6184" s="35" t="s">
        <v>1318</v>
      </c>
      <c r="F6184" s="35" t="s">
        <v>367</v>
      </c>
    </row>
    <row r="6185" spans="1:7">
      <c r="A6185" s="34">
        <v>2084242557</v>
      </c>
      <c r="B6185" s="35" t="s">
        <v>462</v>
      </c>
      <c r="C6185" s="35" t="s">
        <v>405</v>
      </c>
      <c r="D6185" s="35" t="s">
        <v>1314</v>
      </c>
      <c r="E6185" s="35" t="s">
        <v>1318</v>
      </c>
      <c r="F6185" s="35" t="s">
        <v>401</v>
      </c>
    </row>
    <row r="6186" spans="1:7">
      <c r="A6186" s="34">
        <v>2084242558</v>
      </c>
      <c r="B6186" s="35" t="s">
        <v>462</v>
      </c>
      <c r="C6186" s="35" t="s">
        <v>405</v>
      </c>
      <c r="D6186" s="35" t="s">
        <v>1314</v>
      </c>
      <c r="E6186" s="35" t="s">
        <v>1318</v>
      </c>
      <c r="F6186" s="35" t="s">
        <v>402</v>
      </c>
    </row>
    <row r="6187" spans="1:7">
      <c r="A6187" s="34">
        <v>2084242559</v>
      </c>
      <c r="B6187" s="35" t="s">
        <v>462</v>
      </c>
      <c r="C6187" s="35" t="s">
        <v>405</v>
      </c>
      <c r="D6187" s="35" t="s">
        <v>1314</v>
      </c>
      <c r="E6187" s="35" t="s">
        <v>1318</v>
      </c>
      <c r="F6187" s="35" t="s">
        <v>403</v>
      </c>
    </row>
    <row r="6188" spans="1:7">
      <c r="A6188" s="34">
        <v>2084242560</v>
      </c>
      <c r="B6188" s="35" t="s">
        <v>462</v>
      </c>
      <c r="C6188" s="35" t="s">
        <v>405</v>
      </c>
      <c r="D6188" s="35" t="s">
        <v>1314</v>
      </c>
      <c r="E6188" s="35" t="s">
        <v>1318</v>
      </c>
      <c r="F6188" s="35" t="s">
        <v>478</v>
      </c>
    </row>
    <row r="6189" spans="1:7">
      <c r="A6189" s="34">
        <v>2084242561</v>
      </c>
      <c r="B6189" s="35" t="s">
        <v>462</v>
      </c>
      <c r="C6189" s="35" t="s">
        <v>405</v>
      </c>
      <c r="D6189" s="35" t="s">
        <v>1314</v>
      </c>
      <c r="E6189" s="35" t="s">
        <v>1318</v>
      </c>
      <c r="F6189" s="35" t="s">
        <v>335</v>
      </c>
    </row>
    <row r="6190" spans="1:7">
      <c r="A6190" s="34">
        <v>2084050298</v>
      </c>
      <c r="B6190" s="35" t="s">
        <v>462</v>
      </c>
      <c r="C6190" s="35" t="s">
        <v>405</v>
      </c>
      <c r="D6190" s="35" t="s">
        <v>1314</v>
      </c>
      <c r="E6190" s="35" t="s">
        <v>1319</v>
      </c>
    </row>
    <row r="6191" spans="1:7">
      <c r="A6191" s="34">
        <v>2084288314</v>
      </c>
      <c r="B6191" s="35" t="s">
        <v>462</v>
      </c>
      <c r="C6191" s="35" t="s">
        <v>405</v>
      </c>
      <c r="D6191" s="35" t="s">
        <v>1314</v>
      </c>
      <c r="E6191" s="35" t="s">
        <v>1320</v>
      </c>
    </row>
    <row r="6192" spans="1:7">
      <c r="A6192" s="34">
        <v>2084298400</v>
      </c>
      <c r="B6192" s="35" t="s">
        <v>462</v>
      </c>
      <c r="C6192" s="35" t="s">
        <v>405</v>
      </c>
      <c r="D6192" s="35" t="s">
        <v>1314</v>
      </c>
      <c r="E6192" s="35" t="s">
        <v>1321</v>
      </c>
    </row>
    <row r="6193" spans="1:8">
      <c r="A6193" s="34">
        <v>2084024283</v>
      </c>
      <c r="B6193" s="35" t="s">
        <v>462</v>
      </c>
      <c r="C6193" s="35" t="s">
        <v>405</v>
      </c>
      <c r="D6193" s="35" t="s">
        <v>1314</v>
      </c>
      <c r="E6193" s="35" t="s">
        <v>1322</v>
      </c>
      <c r="F6193" s="35" t="s">
        <v>475</v>
      </c>
    </row>
    <row r="6194" spans="1:8">
      <c r="A6194" s="34">
        <v>2084028213</v>
      </c>
      <c r="B6194" s="35" t="s">
        <v>462</v>
      </c>
      <c r="C6194" s="35" t="s">
        <v>405</v>
      </c>
      <c r="D6194" s="35" t="s">
        <v>1314</v>
      </c>
      <c r="E6194" s="35" t="s">
        <v>1322</v>
      </c>
      <c r="F6194" s="35" t="s">
        <v>390</v>
      </c>
      <c r="G6194" s="35" t="s">
        <v>367</v>
      </c>
    </row>
    <row r="6195" spans="1:8">
      <c r="A6195" s="34">
        <v>2084028762</v>
      </c>
      <c r="B6195" s="35" t="s">
        <v>462</v>
      </c>
      <c r="C6195" s="35" t="s">
        <v>405</v>
      </c>
      <c r="D6195" s="35" t="s">
        <v>1314</v>
      </c>
      <c r="E6195" s="35" t="s">
        <v>1322</v>
      </c>
      <c r="F6195" s="35" t="s">
        <v>390</v>
      </c>
      <c r="G6195" s="35" t="s">
        <v>368</v>
      </c>
      <c r="H6195" s="35" t="s">
        <v>508</v>
      </c>
    </row>
    <row r="6196" spans="1:8">
      <c r="A6196" s="34">
        <v>2084029296</v>
      </c>
      <c r="B6196" s="35" t="s">
        <v>462</v>
      </c>
      <c r="C6196" s="35" t="s">
        <v>405</v>
      </c>
      <c r="D6196" s="35" t="s">
        <v>1314</v>
      </c>
      <c r="E6196" s="35" t="s">
        <v>1322</v>
      </c>
      <c r="F6196" s="35" t="s">
        <v>390</v>
      </c>
      <c r="G6196" s="35" t="s">
        <v>368</v>
      </c>
      <c r="H6196" s="35" t="s">
        <v>481</v>
      </c>
    </row>
    <row r="6197" spans="1:8">
      <c r="A6197" s="34">
        <v>2084029854</v>
      </c>
      <c r="B6197" s="35" t="s">
        <v>462</v>
      </c>
      <c r="C6197" s="35" t="s">
        <v>405</v>
      </c>
      <c r="D6197" s="35" t="s">
        <v>1314</v>
      </c>
      <c r="E6197" s="35" t="s">
        <v>1322</v>
      </c>
      <c r="F6197" s="35" t="s">
        <v>390</v>
      </c>
      <c r="G6197" s="35" t="s">
        <v>368</v>
      </c>
      <c r="H6197" s="35" t="s">
        <v>494</v>
      </c>
    </row>
    <row r="6198" spans="1:8">
      <c r="A6198" s="34">
        <v>2084058918</v>
      </c>
      <c r="B6198" s="35" t="s">
        <v>462</v>
      </c>
      <c r="C6198" s="35" t="s">
        <v>405</v>
      </c>
      <c r="D6198" s="35" t="s">
        <v>1314</v>
      </c>
      <c r="E6198" s="35" t="s">
        <v>1322</v>
      </c>
      <c r="F6198" s="35" t="s">
        <v>390</v>
      </c>
      <c r="G6198" s="35" t="s">
        <v>368</v>
      </c>
      <c r="H6198" s="35" t="s">
        <v>335</v>
      </c>
    </row>
    <row r="6199" spans="1:8">
      <c r="A6199" s="34">
        <v>2084027311</v>
      </c>
      <c r="B6199" s="35" t="s">
        <v>462</v>
      </c>
      <c r="C6199" s="35" t="s">
        <v>405</v>
      </c>
      <c r="D6199" s="35" t="s">
        <v>1314</v>
      </c>
      <c r="E6199" s="35" t="s">
        <v>1322</v>
      </c>
      <c r="F6199" s="35" t="s">
        <v>390</v>
      </c>
      <c r="G6199" s="35" t="s">
        <v>10</v>
      </c>
      <c r="H6199" s="35" t="s">
        <v>509</v>
      </c>
    </row>
    <row r="6200" spans="1:8">
      <c r="A6200" s="34">
        <v>2084027804</v>
      </c>
      <c r="B6200" s="35" t="s">
        <v>462</v>
      </c>
      <c r="C6200" s="35" t="s">
        <v>405</v>
      </c>
      <c r="D6200" s="35" t="s">
        <v>1314</v>
      </c>
      <c r="E6200" s="35" t="s">
        <v>1322</v>
      </c>
      <c r="F6200" s="35" t="s">
        <v>390</v>
      </c>
      <c r="G6200" s="35" t="s">
        <v>10</v>
      </c>
      <c r="H6200" s="35" t="s">
        <v>510</v>
      </c>
    </row>
    <row r="6201" spans="1:8">
      <c r="A6201" s="34">
        <v>2084027886</v>
      </c>
      <c r="B6201" s="35" t="s">
        <v>462</v>
      </c>
      <c r="C6201" s="35" t="s">
        <v>405</v>
      </c>
      <c r="D6201" s="35" t="s">
        <v>1314</v>
      </c>
      <c r="E6201" s="35" t="s">
        <v>1322</v>
      </c>
      <c r="F6201" s="35" t="s">
        <v>390</v>
      </c>
      <c r="G6201" s="35" t="s">
        <v>10</v>
      </c>
      <c r="H6201" s="35" t="s">
        <v>511</v>
      </c>
    </row>
    <row r="6202" spans="1:8">
      <c r="A6202" s="34">
        <v>2084027916</v>
      </c>
      <c r="B6202" s="35" t="s">
        <v>462</v>
      </c>
      <c r="C6202" s="35" t="s">
        <v>405</v>
      </c>
      <c r="D6202" s="35" t="s">
        <v>1314</v>
      </c>
      <c r="E6202" s="35" t="s">
        <v>1322</v>
      </c>
      <c r="F6202" s="35" t="s">
        <v>390</v>
      </c>
      <c r="G6202" s="35" t="s">
        <v>10</v>
      </c>
      <c r="H6202" s="35" t="s">
        <v>493</v>
      </c>
    </row>
    <row r="6203" spans="1:8">
      <c r="A6203" s="34">
        <v>2084027485</v>
      </c>
      <c r="B6203" s="35" t="s">
        <v>462</v>
      </c>
      <c r="C6203" s="35" t="s">
        <v>405</v>
      </c>
      <c r="D6203" s="35" t="s">
        <v>1314</v>
      </c>
      <c r="E6203" s="35" t="s">
        <v>1322</v>
      </c>
      <c r="F6203" s="35" t="s">
        <v>390</v>
      </c>
      <c r="G6203" s="35" t="s">
        <v>10</v>
      </c>
      <c r="H6203" s="35" t="s">
        <v>512</v>
      </c>
    </row>
    <row r="6204" spans="1:8">
      <c r="A6204" s="34">
        <v>2084027595</v>
      </c>
      <c r="B6204" s="35" t="s">
        <v>462</v>
      </c>
      <c r="C6204" s="35" t="s">
        <v>405</v>
      </c>
      <c r="D6204" s="35" t="s">
        <v>1314</v>
      </c>
      <c r="E6204" s="35" t="s">
        <v>1322</v>
      </c>
      <c r="F6204" s="35" t="s">
        <v>390</v>
      </c>
      <c r="G6204" s="35" t="s">
        <v>10</v>
      </c>
      <c r="H6204" s="35" t="s">
        <v>513</v>
      </c>
    </row>
    <row r="6205" spans="1:8">
      <c r="A6205" s="34">
        <v>2084027954</v>
      </c>
      <c r="B6205" s="35" t="s">
        <v>462</v>
      </c>
      <c r="C6205" s="35" t="s">
        <v>405</v>
      </c>
      <c r="D6205" s="35" t="s">
        <v>1314</v>
      </c>
      <c r="E6205" s="35" t="s">
        <v>1322</v>
      </c>
      <c r="F6205" s="35" t="s">
        <v>390</v>
      </c>
      <c r="G6205" s="35" t="s">
        <v>10</v>
      </c>
      <c r="H6205" s="35" t="s">
        <v>420</v>
      </c>
    </row>
    <row r="6206" spans="1:8">
      <c r="A6206" s="34">
        <v>2084027274</v>
      </c>
      <c r="B6206" s="35" t="s">
        <v>462</v>
      </c>
      <c r="C6206" s="35" t="s">
        <v>405</v>
      </c>
      <c r="D6206" s="35" t="s">
        <v>1314</v>
      </c>
      <c r="E6206" s="35" t="s">
        <v>1322</v>
      </c>
      <c r="F6206" s="35" t="s">
        <v>390</v>
      </c>
      <c r="G6206" s="35" t="s">
        <v>10</v>
      </c>
      <c r="H6206" s="35" t="s">
        <v>514</v>
      </c>
    </row>
    <row r="6207" spans="1:8">
      <c r="A6207" s="34">
        <v>2084027407</v>
      </c>
      <c r="B6207" s="35" t="s">
        <v>462</v>
      </c>
      <c r="C6207" s="35" t="s">
        <v>405</v>
      </c>
      <c r="D6207" s="35" t="s">
        <v>1314</v>
      </c>
      <c r="E6207" s="35" t="s">
        <v>1322</v>
      </c>
      <c r="F6207" s="35" t="s">
        <v>390</v>
      </c>
      <c r="G6207" s="35" t="s">
        <v>10</v>
      </c>
      <c r="H6207" s="35" t="s">
        <v>515</v>
      </c>
    </row>
    <row r="6208" spans="1:8">
      <c r="A6208" s="34">
        <v>2084027519</v>
      </c>
      <c r="B6208" s="35" t="s">
        <v>462</v>
      </c>
      <c r="C6208" s="35" t="s">
        <v>405</v>
      </c>
      <c r="D6208" s="35" t="s">
        <v>1314</v>
      </c>
      <c r="E6208" s="35" t="s">
        <v>1322</v>
      </c>
      <c r="F6208" s="35" t="s">
        <v>390</v>
      </c>
      <c r="G6208" s="35" t="s">
        <v>10</v>
      </c>
      <c r="H6208" s="35" t="s">
        <v>421</v>
      </c>
    </row>
    <row r="6209" spans="1:8">
      <c r="A6209" s="34">
        <v>2084027730</v>
      </c>
      <c r="B6209" s="35" t="s">
        <v>462</v>
      </c>
      <c r="C6209" s="35" t="s">
        <v>405</v>
      </c>
      <c r="D6209" s="35" t="s">
        <v>1314</v>
      </c>
      <c r="E6209" s="35" t="s">
        <v>1322</v>
      </c>
      <c r="F6209" s="35" t="s">
        <v>390</v>
      </c>
      <c r="G6209" s="35" t="s">
        <v>10</v>
      </c>
      <c r="H6209" s="35" t="s">
        <v>516</v>
      </c>
    </row>
    <row r="6210" spans="1:8">
      <c r="A6210" s="34">
        <v>2084027197</v>
      </c>
      <c r="B6210" s="35" t="s">
        <v>462</v>
      </c>
      <c r="C6210" s="35" t="s">
        <v>405</v>
      </c>
      <c r="D6210" s="35" t="s">
        <v>1314</v>
      </c>
      <c r="E6210" s="35" t="s">
        <v>1322</v>
      </c>
      <c r="F6210" s="35" t="s">
        <v>390</v>
      </c>
      <c r="G6210" s="35" t="s">
        <v>10</v>
      </c>
      <c r="H6210" s="35" t="s">
        <v>517</v>
      </c>
    </row>
    <row r="6211" spans="1:8">
      <c r="A6211" s="34">
        <v>2084027349</v>
      </c>
      <c r="B6211" s="35" t="s">
        <v>462</v>
      </c>
      <c r="C6211" s="35" t="s">
        <v>405</v>
      </c>
      <c r="D6211" s="35" t="s">
        <v>1314</v>
      </c>
      <c r="E6211" s="35" t="s">
        <v>1322</v>
      </c>
      <c r="F6211" s="35" t="s">
        <v>390</v>
      </c>
      <c r="G6211" s="35" t="s">
        <v>10</v>
      </c>
      <c r="H6211" s="35" t="s">
        <v>518</v>
      </c>
    </row>
    <row r="6212" spans="1:8">
      <c r="A6212" s="34">
        <v>2084027557</v>
      </c>
      <c r="B6212" s="35" t="s">
        <v>462</v>
      </c>
      <c r="C6212" s="35" t="s">
        <v>405</v>
      </c>
      <c r="D6212" s="35" t="s">
        <v>1314</v>
      </c>
      <c r="E6212" s="35" t="s">
        <v>1322</v>
      </c>
      <c r="F6212" s="35" t="s">
        <v>390</v>
      </c>
      <c r="G6212" s="35" t="s">
        <v>10</v>
      </c>
      <c r="H6212" s="35" t="s">
        <v>422</v>
      </c>
    </row>
    <row r="6213" spans="1:8">
      <c r="A6213" s="34">
        <v>2084027740</v>
      </c>
      <c r="B6213" s="35" t="s">
        <v>462</v>
      </c>
      <c r="C6213" s="35" t="s">
        <v>405</v>
      </c>
      <c r="D6213" s="35" t="s">
        <v>1314</v>
      </c>
      <c r="E6213" s="35" t="s">
        <v>1322</v>
      </c>
      <c r="F6213" s="35" t="s">
        <v>390</v>
      </c>
      <c r="G6213" s="35" t="s">
        <v>10</v>
      </c>
      <c r="H6213" s="35" t="s">
        <v>519</v>
      </c>
    </row>
    <row r="6214" spans="1:8">
      <c r="A6214" s="34">
        <v>2084027992</v>
      </c>
      <c r="B6214" s="35" t="s">
        <v>462</v>
      </c>
      <c r="C6214" s="35" t="s">
        <v>405</v>
      </c>
      <c r="D6214" s="35" t="s">
        <v>1314</v>
      </c>
      <c r="E6214" s="35" t="s">
        <v>1322</v>
      </c>
      <c r="F6214" s="35" t="s">
        <v>390</v>
      </c>
      <c r="G6214" s="35" t="s">
        <v>379</v>
      </c>
      <c r="H6214" s="35" t="s">
        <v>520</v>
      </c>
    </row>
    <row r="6215" spans="1:8">
      <c r="A6215" s="34">
        <v>2084028049</v>
      </c>
      <c r="B6215" s="35" t="s">
        <v>462</v>
      </c>
      <c r="C6215" s="35" t="s">
        <v>405</v>
      </c>
      <c r="D6215" s="35" t="s">
        <v>1314</v>
      </c>
      <c r="E6215" s="35" t="s">
        <v>1322</v>
      </c>
      <c r="F6215" s="35" t="s">
        <v>390</v>
      </c>
      <c r="G6215" s="35" t="s">
        <v>379</v>
      </c>
      <c r="H6215" s="35" t="s">
        <v>521</v>
      </c>
    </row>
    <row r="6216" spans="1:8">
      <c r="A6216" s="34">
        <v>2084028145</v>
      </c>
      <c r="B6216" s="35" t="s">
        <v>462</v>
      </c>
      <c r="C6216" s="35" t="s">
        <v>405</v>
      </c>
      <c r="D6216" s="35" t="s">
        <v>1314</v>
      </c>
      <c r="E6216" s="35" t="s">
        <v>1322</v>
      </c>
      <c r="F6216" s="35" t="s">
        <v>390</v>
      </c>
      <c r="G6216" s="35" t="s">
        <v>379</v>
      </c>
      <c r="H6216" s="35" t="s">
        <v>522</v>
      </c>
    </row>
    <row r="6217" spans="1:8">
      <c r="A6217" s="34">
        <v>2084028397</v>
      </c>
      <c r="B6217" s="35" t="s">
        <v>462</v>
      </c>
      <c r="C6217" s="35" t="s">
        <v>405</v>
      </c>
      <c r="D6217" s="35" t="s">
        <v>1314</v>
      </c>
      <c r="E6217" s="35" t="s">
        <v>1322</v>
      </c>
      <c r="F6217" s="35" t="s">
        <v>390</v>
      </c>
      <c r="G6217" s="35" t="s">
        <v>379</v>
      </c>
      <c r="H6217" s="35" t="s">
        <v>523</v>
      </c>
    </row>
    <row r="6218" spans="1:8">
      <c r="A6218" s="34">
        <v>2084028130</v>
      </c>
      <c r="B6218" s="35" t="s">
        <v>462</v>
      </c>
      <c r="C6218" s="35" t="s">
        <v>405</v>
      </c>
      <c r="D6218" s="35" t="s">
        <v>1314</v>
      </c>
      <c r="E6218" s="35" t="s">
        <v>1322</v>
      </c>
      <c r="F6218" s="35" t="s">
        <v>390</v>
      </c>
      <c r="G6218" s="35" t="s">
        <v>379</v>
      </c>
      <c r="H6218" s="35" t="s">
        <v>524</v>
      </c>
    </row>
    <row r="6219" spans="1:8">
      <c r="A6219" s="34">
        <v>2084028246</v>
      </c>
      <c r="B6219" s="35" t="s">
        <v>462</v>
      </c>
      <c r="C6219" s="35" t="s">
        <v>405</v>
      </c>
      <c r="D6219" s="35" t="s">
        <v>1314</v>
      </c>
      <c r="E6219" s="35" t="s">
        <v>1322</v>
      </c>
      <c r="F6219" s="35" t="s">
        <v>390</v>
      </c>
      <c r="G6219" s="35" t="s">
        <v>379</v>
      </c>
      <c r="H6219" s="35" t="s">
        <v>525</v>
      </c>
    </row>
    <row r="6220" spans="1:8">
      <c r="A6220" s="34">
        <v>2084028453</v>
      </c>
      <c r="B6220" s="35" t="s">
        <v>462</v>
      </c>
      <c r="C6220" s="35" t="s">
        <v>405</v>
      </c>
      <c r="D6220" s="35" t="s">
        <v>1314</v>
      </c>
      <c r="E6220" s="35" t="s">
        <v>1322</v>
      </c>
      <c r="F6220" s="35" t="s">
        <v>390</v>
      </c>
      <c r="G6220" s="35" t="s">
        <v>379</v>
      </c>
      <c r="H6220" s="35" t="s">
        <v>526</v>
      </c>
    </row>
    <row r="6221" spans="1:8">
      <c r="A6221" s="34">
        <v>2084028321</v>
      </c>
      <c r="B6221" s="35" t="s">
        <v>462</v>
      </c>
      <c r="C6221" s="35" t="s">
        <v>405</v>
      </c>
      <c r="D6221" s="35" t="s">
        <v>1314</v>
      </c>
      <c r="E6221" s="35" t="s">
        <v>1322</v>
      </c>
      <c r="F6221" s="35" t="s">
        <v>390</v>
      </c>
      <c r="G6221" s="35" t="s">
        <v>379</v>
      </c>
      <c r="H6221" s="35" t="s">
        <v>527</v>
      </c>
    </row>
    <row r="6222" spans="1:8">
      <c r="A6222" s="34">
        <v>2084028533</v>
      </c>
      <c r="B6222" s="35" t="s">
        <v>462</v>
      </c>
      <c r="C6222" s="35" t="s">
        <v>405</v>
      </c>
      <c r="D6222" s="35" t="s">
        <v>1314</v>
      </c>
      <c r="E6222" s="35" t="s">
        <v>1322</v>
      </c>
      <c r="F6222" s="35" t="s">
        <v>390</v>
      </c>
      <c r="G6222" s="35" t="s">
        <v>379</v>
      </c>
      <c r="H6222" s="35" t="s">
        <v>528</v>
      </c>
    </row>
    <row r="6223" spans="1:8">
      <c r="A6223" s="34">
        <v>2084028359</v>
      </c>
      <c r="B6223" s="35" t="s">
        <v>462</v>
      </c>
      <c r="C6223" s="35" t="s">
        <v>405</v>
      </c>
      <c r="D6223" s="35" t="s">
        <v>1314</v>
      </c>
      <c r="E6223" s="35" t="s">
        <v>1322</v>
      </c>
      <c r="F6223" s="35" t="s">
        <v>390</v>
      </c>
      <c r="G6223" s="35" t="s">
        <v>379</v>
      </c>
      <c r="H6223" s="35" t="s">
        <v>529</v>
      </c>
    </row>
    <row r="6224" spans="1:8">
      <c r="A6224" s="34">
        <v>2084058919</v>
      </c>
      <c r="B6224" s="35" t="s">
        <v>462</v>
      </c>
      <c r="C6224" s="35" t="s">
        <v>405</v>
      </c>
      <c r="D6224" s="35" t="s">
        <v>1314</v>
      </c>
      <c r="E6224" s="35" t="s">
        <v>1322</v>
      </c>
      <c r="F6224" s="35" t="s">
        <v>390</v>
      </c>
      <c r="G6224" s="35" t="s">
        <v>379</v>
      </c>
      <c r="H6224" s="35" t="s">
        <v>335</v>
      </c>
    </row>
    <row r="6225" spans="1:8">
      <c r="A6225" s="34">
        <v>2084028573</v>
      </c>
      <c r="B6225" s="35" t="s">
        <v>462</v>
      </c>
      <c r="C6225" s="35" t="s">
        <v>405</v>
      </c>
      <c r="D6225" s="35" t="s">
        <v>1314</v>
      </c>
      <c r="E6225" s="35" t="s">
        <v>1322</v>
      </c>
      <c r="F6225" s="35" t="s">
        <v>390</v>
      </c>
      <c r="G6225" s="35" t="s">
        <v>530</v>
      </c>
      <c r="H6225" s="35" t="s">
        <v>531</v>
      </c>
    </row>
    <row r="6226" spans="1:8">
      <c r="A6226" s="34">
        <v>2084028611</v>
      </c>
      <c r="B6226" s="35" t="s">
        <v>462</v>
      </c>
      <c r="C6226" s="35" t="s">
        <v>405</v>
      </c>
      <c r="D6226" s="35" t="s">
        <v>1314</v>
      </c>
      <c r="E6226" s="35" t="s">
        <v>1322</v>
      </c>
      <c r="F6226" s="35" t="s">
        <v>390</v>
      </c>
      <c r="G6226" s="35" t="s">
        <v>530</v>
      </c>
      <c r="H6226" s="35" t="s">
        <v>532</v>
      </c>
    </row>
    <row r="6227" spans="1:8">
      <c r="A6227" s="34">
        <v>2084030111</v>
      </c>
      <c r="B6227" s="35" t="s">
        <v>462</v>
      </c>
      <c r="C6227" s="35" t="s">
        <v>405</v>
      </c>
      <c r="D6227" s="35" t="s">
        <v>1314</v>
      </c>
      <c r="E6227" s="35" t="s">
        <v>1322</v>
      </c>
      <c r="F6227" s="35" t="s">
        <v>390</v>
      </c>
      <c r="G6227" s="35" t="s">
        <v>533</v>
      </c>
      <c r="H6227" s="35" t="s">
        <v>534</v>
      </c>
    </row>
    <row r="6228" spans="1:8">
      <c r="A6228" s="34">
        <v>2084030143</v>
      </c>
      <c r="B6228" s="35" t="s">
        <v>462</v>
      </c>
      <c r="C6228" s="35" t="s">
        <v>405</v>
      </c>
      <c r="D6228" s="35" t="s">
        <v>1314</v>
      </c>
      <c r="E6228" s="35" t="s">
        <v>1322</v>
      </c>
      <c r="F6228" s="35" t="s">
        <v>390</v>
      </c>
      <c r="G6228" s="35" t="s">
        <v>533</v>
      </c>
      <c r="H6228" s="35" t="s">
        <v>535</v>
      </c>
    </row>
    <row r="6229" spans="1:8">
      <c r="A6229" s="34">
        <v>2084027185</v>
      </c>
      <c r="B6229" s="35" t="s">
        <v>462</v>
      </c>
      <c r="C6229" s="35" t="s">
        <v>405</v>
      </c>
      <c r="D6229" s="35" t="s">
        <v>1314</v>
      </c>
      <c r="E6229" s="35" t="s">
        <v>1322</v>
      </c>
      <c r="F6229" s="35" t="s">
        <v>390</v>
      </c>
      <c r="G6229" s="35" t="s">
        <v>533</v>
      </c>
      <c r="H6229" s="35" t="s">
        <v>536</v>
      </c>
    </row>
    <row r="6230" spans="1:8">
      <c r="A6230" s="34">
        <v>2084051194</v>
      </c>
      <c r="B6230" s="35" t="s">
        <v>462</v>
      </c>
      <c r="C6230" s="35" t="s">
        <v>405</v>
      </c>
      <c r="D6230" s="35" t="s">
        <v>1314</v>
      </c>
      <c r="E6230" s="35" t="s">
        <v>1322</v>
      </c>
      <c r="F6230" s="35" t="s">
        <v>390</v>
      </c>
      <c r="G6230" s="35" t="s">
        <v>335</v>
      </c>
    </row>
    <row r="6231" spans="1:8">
      <c r="A6231" s="34">
        <v>2084030695</v>
      </c>
      <c r="B6231" s="35" t="s">
        <v>462</v>
      </c>
      <c r="C6231" s="35" t="s">
        <v>405</v>
      </c>
      <c r="D6231" s="35" t="s">
        <v>1314</v>
      </c>
      <c r="E6231" s="35" t="s">
        <v>1322</v>
      </c>
      <c r="F6231" s="35" t="s">
        <v>353</v>
      </c>
      <c r="G6231" s="35" t="s">
        <v>481</v>
      </c>
    </row>
    <row r="6232" spans="1:8">
      <c r="A6232" s="34">
        <v>2084031591</v>
      </c>
      <c r="B6232" s="35" t="s">
        <v>462</v>
      </c>
      <c r="C6232" s="35" t="s">
        <v>405</v>
      </c>
      <c r="D6232" s="35" t="s">
        <v>1314</v>
      </c>
      <c r="E6232" s="35" t="s">
        <v>1322</v>
      </c>
      <c r="F6232" s="35" t="s">
        <v>353</v>
      </c>
      <c r="G6232" s="35" t="s">
        <v>483</v>
      </c>
    </row>
    <row r="6233" spans="1:8">
      <c r="A6233" s="34">
        <v>2084031468</v>
      </c>
      <c r="B6233" s="35" t="s">
        <v>462</v>
      </c>
      <c r="C6233" s="35" t="s">
        <v>405</v>
      </c>
      <c r="D6233" s="35" t="s">
        <v>1314</v>
      </c>
      <c r="E6233" s="35" t="s">
        <v>1322</v>
      </c>
      <c r="F6233" s="35" t="s">
        <v>353</v>
      </c>
      <c r="G6233" s="35" t="s">
        <v>482</v>
      </c>
    </row>
    <row r="6234" spans="1:8">
      <c r="A6234" s="34">
        <v>2084030244</v>
      </c>
      <c r="B6234" s="35" t="s">
        <v>462</v>
      </c>
      <c r="C6234" s="35" t="s">
        <v>405</v>
      </c>
      <c r="D6234" s="35" t="s">
        <v>1314</v>
      </c>
      <c r="E6234" s="35" t="s">
        <v>1322</v>
      </c>
      <c r="F6234" s="35" t="s">
        <v>353</v>
      </c>
      <c r="G6234" s="35" t="s">
        <v>493</v>
      </c>
    </row>
    <row r="6235" spans="1:8">
      <c r="A6235" s="34">
        <v>2084037285</v>
      </c>
      <c r="B6235" s="35" t="s">
        <v>462</v>
      </c>
      <c r="C6235" s="35" t="s">
        <v>405</v>
      </c>
      <c r="D6235" s="35" t="s">
        <v>1314</v>
      </c>
      <c r="E6235" s="35" t="s">
        <v>1322</v>
      </c>
      <c r="F6235" s="35" t="s">
        <v>353</v>
      </c>
      <c r="G6235" s="35" t="s">
        <v>494</v>
      </c>
    </row>
    <row r="6236" spans="1:8">
      <c r="A6236" s="34">
        <v>2084051192</v>
      </c>
      <c r="B6236" s="35" t="s">
        <v>462</v>
      </c>
      <c r="C6236" s="35" t="s">
        <v>405</v>
      </c>
      <c r="D6236" s="35" t="s">
        <v>1314</v>
      </c>
      <c r="E6236" s="35" t="s">
        <v>1322</v>
      </c>
      <c r="F6236" s="35" t="s">
        <v>353</v>
      </c>
      <c r="G6236" s="35" t="s">
        <v>403</v>
      </c>
    </row>
    <row r="6237" spans="1:8">
      <c r="A6237" s="34">
        <v>2084031527</v>
      </c>
      <c r="B6237" s="35" t="s">
        <v>462</v>
      </c>
      <c r="C6237" s="35" t="s">
        <v>405</v>
      </c>
      <c r="D6237" s="35" t="s">
        <v>1314</v>
      </c>
      <c r="E6237" s="35" t="s">
        <v>1322</v>
      </c>
      <c r="F6237" s="35" t="s">
        <v>353</v>
      </c>
      <c r="G6237" s="35" t="s">
        <v>397</v>
      </c>
    </row>
    <row r="6238" spans="1:8">
      <c r="A6238" s="34">
        <v>2084030390</v>
      </c>
      <c r="B6238" s="35" t="s">
        <v>462</v>
      </c>
      <c r="C6238" s="35" t="s">
        <v>405</v>
      </c>
      <c r="D6238" s="35" t="s">
        <v>1314</v>
      </c>
      <c r="E6238" s="35" t="s">
        <v>1322</v>
      </c>
      <c r="F6238" s="35" t="s">
        <v>353</v>
      </c>
      <c r="G6238" s="35" t="s">
        <v>421</v>
      </c>
    </row>
    <row r="6239" spans="1:8">
      <c r="A6239" s="34">
        <v>2084031555</v>
      </c>
      <c r="B6239" s="35" t="s">
        <v>462</v>
      </c>
      <c r="C6239" s="35" t="s">
        <v>405</v>
      </c>
      <c r="D6239" s="35" t="s">
        <v>1314</v>
      </c>
      <c r="E6239" s="35" t="s">
        <v>1322</v>
      </c>
      <c r="F6239" s="35" t="s">
        <v>353</v>
      </c>
      <c r="G6239" s="35" t="s">
        <v>398</v>
      </c>
    </row>
    <row r="6240" spans="1:8">
      <c r="A6240" s="34">
        <v>2084030329</v>
      </c>
      <c r="B6240" s="35" t="s">
        <v>462</v>
      </c>
      <c r="C6240" s="35" t="s">
        <v>405</v>
      </c>
      <c r="D6240" s="35" t="s">
        <v>1314</v>
      </c>
      <c r="E6240" s="35" t="s">
        <v>1322</v>
      </c>
      <c r="F6240" s="35" t="s">
        <v>353</v>
      </c>
      <c r="G6240" s="35" t="s">
        <v>422</v>
      </c>
    </row>
    <row r="6241" spans="1:7">
      <c r="A6241" s="34">
        <v>2084051193</v>
      </c>
      <c r="B6241" s="35" t="s">
        <v>462</v>
      </c>
      <c r="C6241" s="35" t="s">
        <v>405</v>
      </c>
      <c r="D6241" s="35" t="s">
        <v>1314</v>
      </c>
      <c r="E6241" s="35" t="s">
        <v>1322</v>
      </c>
      <c r="F6241" s="35" t="s">
        <v>353</v>
      </c>
      <c r="G6241" s="35" t="s">
        <v>335</v>
      </c>
    </row>
    <row r="6242" spans="1:7">
      <c r="A6242" s="34">
        <v>2084031379</v>
      </c>
      <c r="B6242" s="35" t="s">
        <v>462</v>
      </c>
      <c r="C6242" s="35" t="s">
        <v>405</v>
      </c>
      <c r="D6242" s="35" t="s">
        <v>1314</v>
      </c>
      <c r="E6242" s="35" t="s">
        <v>1322</v>
      </c>
      <c r="F6242" s="35" t="s">
        <v>442</v>
      </c>
      <c r="G6242" s="35" t="s">
        <v>569</v>
      </c>
    </row>
    <row r="6243" spans="1:7">
      <c r="A6243" s="34">
        <v>2084025221</v>
      </c>
      <c r="B6243" s="35" t="s">
        <v>462</v>
      </c>
      <c r="C6243" s="35" t="s">
        <v>405</v>
      </c>
      <c r="D6243" s="35" t="s">
        <v>1314</v>
      </c>
      <c r="E6243" s="35" t="s">
        <v>1322</v>
      </c>
      <c r="F6243" s="35" t="s">
        <v>442</v>
      </c>
      <c r="G6243" s="35" t="s">
        <v>538</v>
      </c>
    </row>
    <row r="6244" spans="1:7">
      <c r="A6244" s="34">
        <v>2084025399</v>
      </c>
      <c r="B6244" s="35" t="s">
        <v>462</v>
      </c>
      <c r="C6244" s="35" t="s">
        <v>405</v>
      </c>
      <c r="D6244" s="35" t="s">
        <v>1314</v>
      </c>
      <c r="E6244" s="35" t="s">
        <v>1322</v>
      </c>
      <c r="F6244" s="35" t="s">
        <v>442</v>
      </c>
      <c r="G6244" s="35" t="s">
        <v>539</v>
      </c>
    </row>
    <row r="6245" spans="1:7">
      <c r="A6245" s="34">
        <v>2084051195</v>
      </c>
      <c r="B6245" s="35" t="s">
        <v>462</v>
      </c>
      <c r="C6245" s="35" t="s">
        <v>405</v>
      </c>
      <c r="D6245" s="35" t="s">
        <v>1314</v>
      </c>
      <c r="E6245" s="35" t="s">
        <v>1322</v>
      </c>
      <c r="F6245" s="35" t="s">
        <v>442</v>
      </c>
      <c r="G6245" s="35" t="s">
        <v>335</v>
      </c>
    </row>
    <row r="6246" spans="1:7">
      <c r="A6246" s="34">
        <v>2084048768</v>
      </c>
      <c r="B6246" s="35" t="s">
        <v>462</v>
      </c>
      <c r="C6246" s="35" t="s">
        <v>405</v>
      </c>
      <c r="D6246" s="35" t="s">
        <v>1314</v>
      </c>
      <c r="E6246" s="35" t="s">
        <v>1322</v>
      </c>
      <c r="F6246" s="35" t="s">
        <v>335</v>
      </c>
    </row>
    <row r="6247" spans="1:7">
      <c r="A6247" s="34">
        <v>2084048645</v>
      </c>
      <c r="B6247" s="35" t="s">
        <v>462</v>
      </c>
      <c r="C6247" s="35" t="s">
        <v>405</v>
      </c>
      <c r="D6247" s="35" t="s">
        <v>1314</v>
      </c>
      <c r="E6247" s="35" t="s">
        <v>1323</v>
      </c>
      <c r="F6247" s="35" t="s">
        <v>335</v>
      </c>
    </row>
    <row r="6248" spans="1:7">
      <c r="A6248" s="34">
        <v>2084194504</v>
      </c>
      <c r="B6248" s="35" t="s">
        <v>462</v>
      </c>
      <c r="C6248" s="35" t="s">
        <v>405</v>
      </c>
      <c r="D6248" s="35" t="s">
        <v>1314</v>
      </c>
      <c r="E6248" s="35" t="s">
        <v>1324</v>
      </c>
      <c r="F6248" s="35" t="s">
        <v>557</v>
      </c>
      <c r="G6248" s="35" t="s">
        <v>407</v>
      </c>
    </row>
    <row r="6249" spans="1:7">
      <c r="A6249" s="34">
        <v>2084194505</v>
      </c>
      <c r="B6249" s="35" t="s">
        <v>462</v>
      </c>
      <c r="C6249" s="35" t="s">
        <v>405</v>
      </c>
      <c r="D6249" s="35" t="s">
        <v>1314</v>
      </c>
      <c r="E6249" s="35" t="s">
        <v>1324</v>
      </c>
      <c r="F6249" s="35" t="s">
        <v>557</v>
      </c>
      <c r="G6249" s="35" t="s">
        <v>408</v>
      </c>
    </row>
    <row r="6250" spans="1:7">
      <c r="A6250" s="34">
        <v>2084194506</v>
      </c>
      <c r="B6250" s="35" t="s">
        <v>462</v>
      </c>
      <c r="C6250" s="35" t="s">
        <v>405</v>
      </c>
      <c r="D6250" s="35" t="s">
        <v>1314</v>
      </c>
      <c r="E6250" s="35" t="s">
        <v>1324</v>
      </c>
      <c r="F6250" s="35" t="s">
        <v>335</v>
      </c>
    </row>
    <row r="6251" spans="1:7">
      <c r="A6251" s="34">
        <v>2084050299</v>
      </c>
      <c r="B6251" s="35" t="s">
        <v>462</v>
      </c>
      <c r="C6251" s="35" t="s">
        <v>405</v>
      </c>
      <c r="D6251" s="35" t="s">
        <v>1314</v>
      </c>
      <c r="E6251" s="35" t="s">
        <v>1325</v>
      </c>
    </row>
    <row r="6252" spans="1:7">
      <c r="A6252" s="34">
        <v>2084246649</v>
      </c>
      <c r="B6252" s="35" t="s">
        <v>462</v>
      </c>
      <c r="C6252" s="35" t="s">
        <v>405</v>
      </c>
      <c r="D6252" s="35" t="s">
        <v>1314</v>
      </c>
      <c r="E6252" s="35" t="s">
        <v>1326</v>
      </c>
      <c r="F6252" s="35" t="s">
        <v>407</v>
      </c>
    </row>
    <row r="6253" spans="1:7">
      <c r="A6253" s="34">
        <v>2084030696</v>
      </c>
      <c r="B6253" s="35" t="s">
        <v>462</v>
      </c>
      <c r="C6253" s="35" t="s">
        <v>405</v>
      </c>
      <c r="D6253" s="35" t="s">
        <v>1314</v>
      </c>
      <c r="E6253" s="35" t="s">
        <v>1326</v>
      </c>
      <c r="F6253" s="35" t="s">
        <v>353</v>
      </c>
      <c r="G6253" s="35" t="s">
        <v>481</v>
      </c>
    </row>
    <row r="6254" spans="1:7">
      <c r="A6254" s="34">
        <v>2084031592</v>
      </c>
      <c r="B6254" s="35" t="s">
        <v>462</v>
      </c>
      <c r="C6254" s="35" t="s">
        <v>405</v>
      </c>
      <c r="D6254" s="35" t="s">
        <v>1314</v>
      </c>
      <c r="E6254" s="35" t="s">
        <v>1326</v>
      </c>
      <c r="F6254" s="35" t="s">
        <v>353</v>
      </c>
      <c r="G6254" s="35" t="s">
        <v>483</v>
      </c>
    </row>
    <row r="6255" spans="1:7">
      <c r="A6255" s="34">
        <v>2084030245</v>
      </c>
      <c r="B6255" s="35" t="s">
        <v>462</v>
      </c>
      <c r="C6255" s="35" t="s">
        <v>405</v>
      </c>
      <c r="D6255" s="35" t="s">
        <v>1314</v>
      </c>
      <c r="E6255" s="35" t="s">
        <v>1326</v>
      </c>
      <c r="F6255" s="35" t="s">
        <v>353</v>
      </c>
      <c r="G6255" s="35" t="s">
        <v>493</v>
      </c>
    </row>
    <row r="6256" spans="1:7">
      <c r="A6256" s="34">
        <v>2084031380</v>
      </c>
      <c r="B6256" s="35" t="s">
        <v>462</v>
      </c>
      <c r="C6256" s="35" t="s">
        <v>405</v>
      </c>
      <c r="D6256" s="35" t="s">
        <v>1314</v>
      </c>
      <c r="E6256" s="35" t="s">
        <v>1326</v>
      </c>
      <c r="F6256" s="35" t="s">
        <v>353</v>
      </c>
      <c r="G6256" s="35" t="s">
        <v>494</v>
      </c>
    </row>
    <row r="6257" spans="1:8">
      <c r="A6257" s="34">
        <v>2084051189</v>
      </c>
      <c r="B6257" s="35" t="s">
        <v>462</v>
      </c>
      <c r="C6257" s="35" t="s">
        <v>405</v>
      </c>
      <c r="D6257" s="35" t="s">
        <v>1314</v>
      </c>
      <c r="E6257" s="35" t="s">
        <v>1326</v>
      </c>
      <c r="F6257" s="35" t="s">
        <v>353</v>
      </c>
      <c r="G6257" s="35" t="s">
        <v>379</v>
      </c>
      <c r="H6257" s="35" t="s">
        <v>545</v>
      </c>
    </row>
    <row r="6258" spans="1:8">
      <c r="A6258" s="34">
        <v>2084051190</v>
      </c>
      <c r="B6258" s="35" t="s">
        <v>462</v>
      </c>
      <c r="C6258" s="35" t="s">
        <v>405</v>
      </c>
      <c r="D6258" s="35" t="s">
        <v>1314</v>
      </c>
      <c r="E6258" s="35" t="s">
        <v>1326</v>
      </c>
      <c r="F6258" s="35" t="s">
        <v>353</v>
      </c>
      <c r="G6258" s="35" t="s">
        <v>379</v>
      </c>
      <c r="H6258" s="35" t="s">
        <v>335</v>
      </c>
    </row>
    <row r="6259" spans="1:8">
      <c r="A6259" s="34">
        <v>2084031528</v>
      </c>
      <c r="B6259" s="35" t="s">
        <v>462</v>
      </c>
      <c r="C6259" s="35" t="s">
        <v>405</v>
      </c>
      <c r="D6259" s="35" t="s">
        <v>1314</v>
      </c>
      <c r="E6259" s="35" t="s">
        <v>1326</v>
      </c>
      <c r="F6259" s="35" t="s">
        <v>353</v>
      </c>
      <c r="G6259" s="35" t="s">
        <v>397</v>
      </c>
    </row>
    <row r="6260" spans="1:8">
      <c r="A6260" s="34">
        <v>2084030391</v>
      </c>
      <c r="B6260" s="35" t="s">
        <v>462</v>
      </c>
      <c r="C6260" s="35" t="s">
        <v>405</v>
      </c>
      <c r="D6260" s="35" t="s">
        <v>1314</v>
      </c>
      <c r="E6260" s="35" t="s">
        <v>1326</v>
      </c>
      <c r="F6260" s="35" t="s">
        <v>353</v>
      </c>
      <c r="G6260" s="35" t="s">
        <v>421</v>
      </c>
    </row>
    <row r="6261" spans="1:8">
      <c r="A6261" s="34">
        <v>2084031556</v>
      </c>
      <c r="B6261" s="35" t="s">
        <v>462</v>
      </c>
      <c r="C6261" s="35" t="s">
        <v>405</v>
      </c>
      <c r="D6261" s="35" t="s">
        <v>1314</v>
      </c>
      <c r="E6261" s="35" t="s">
        <v>1326</v>
      </c>
      <c r="F6261" s="35" t="s">
        <v>353</v>
      </c>
      <c r="G6261" s="35" t="s">
        <v>398</v>
      </c>
    </row>
    <row r="6262" spans="1:8">
      <c r="A6262" s="34">
        <v>2084030330</v>
      </c>
      <c r="B6262" s="35" t="s">
        <v>462</v>
      </c>
      <c r="C6262" s="35" t="s">
        <v>405</v>
      </c>
      <c r="D6262" s="35" t="s">
        <v>1314</v>
      </c>
      <c r="E6262" s="35" t="s">
        <v>1326</v>
      </c>
      <c r="F6262" s="35" t="s">
        <v>353</v>
      </c>
      <c r="G6262" s="35" t="s">
        <v>422</v>
      </c>
    </row>
    <row r="6263" spans="1:8">
      <c r="A6263" s="34">
        <v>2084051191</v>
      </c>
      <c r="B6263" s="35" t="s">
        <v>462</v>
      </c>
      <c r="C6263" s="35" t="s">
        <v>405</v>
      </c>
      <c r="D6263" s="35" t="s">
        <v>1314</v>
      </c>
      <c r="E6263" s="35" t="s">
        <v>1326</v>
      </c>
      <c r="F6263" s="35" t="s">
        <v>353</v>
      </c>
      <c r="G6263" s="35" t="s">
        <v>335</v>
      </c>
    </row>
    <row r="6264" spans="1:8">
      <c r="A6264" s="34">
        <v>2084048765</v>
      </c>
      <c r="B6264" s="35" t="s">
        <v>462</v>
      </c>
      <c r="C6264" s="35" t="s">
        <v>405</v>
      </c>
      <c r="D6264" s="35" t="s">
        <v>1314</v>
      </c>
      <c r="E6264" s="35" t="s">
        <v>1326</v>
      </c>
      <c r="F6264" s="35" t="s">
        <v>335</v>
      </c>
    </row>
    <row r="6265" spans="1:8">
      <c r="A6265" s="34">
        <v>2084289102</v>
      </c>
      <c r="B6265" s="35" t="s">
        <v>462</v>
      </c>
      <c r="C6265" s="35" t="s">
        <v>405</v>
      </c>
      <c r="D6265" s="35" t="s">
        <v>1314</v>
      </c>
      <c r="E6265" s="35" t="s">
        <v>1327</v>
      </c>
    </row>
    <row r="6266" spans="1:8">
      <c r="A6266" s="34">
        <v>2084199085</v>
      </c>
      <c r="B6266" s="35" t="s">
        <v>462</v>
      </c>
      <c r="C6266" s="35" t="s">
        <v>405</v>
      </c>
      <c r="D6266" s="35" t="s">
        <v>1314</v>
      </c>
      <c r="E6266" s="35" t="s">
        <v>1328</v>
      </c>
      <c r="F6266" s="35" t="s">
        <v>407</v>
      </c>
    </row>
    <row r="6267" spans="1:8">
      <c r="A6267" s="34">
        <v>2084199084</v>
      </c>
      <c r="B6267" s="35" t="s">
        <v>462</v>
      </c>
      <c r="C6267" s="35" t="s">
        <v>405</v>
      </c>
      <c r="D6267" s="35" t="s">
        <v>1314</v>
      </c>
      <c r="E6267" s="35" t="s">
        <v>1328</v>
      </c>
      <c r="F6267" s="35" t="s">
        <v>408</v>
      </c>
    </row>
    <row r="6268" spans="1:8">
      <c r="A6268" s="34">
        <v>2084199086</v>
      </c>
      <c r="B6268" s="35" t="s">
        <v>462</v>
      </c>
      <c r="C6268" s="35" t="s">
        <v>405</v>
      </c>
      <c r="D6268" s="35" t="s">
        <v>1314</v>
      </c>
      <c r="E6268" s="35" t="s">
        <v>1328</v>
      </c>
      <c r="F6268" s="35" t="s">
        <v>335</v>
      </c>
    </row>
    <row r="6269" spans="1:8">
      <c r="A6269" s="34">
        <v>2084030697</v>
      </c>
      <c r="B6269" s="35" t="s">
        <v>462</v>
      </c>
      <c r="C6269" s="35" t="s">
        <v>405</v>
      </c>
      <c r="D6269" s="35" t="s">
        <v>1329</v>
      </c>
      <c r="E6269" s="35" t="s">
        <v>1330</v>
      </c>
      <c r="F6269" s="35" t="s">
        <v>353</v>
      </c>
      <c r="G6269" s="35" t="s">
        <v>481</v>
      </c>
    </row>
    <row r="6270" spans="1:8">
      <c r="A6270" s="34">
        <v>2084031593</v>
      </c>
      <c r="B6270" s="35" t="s">
        <v>462</v>
      </c>
      <c r="C6270" s="35" t="s">
        <v>405</v>
      </c>
      <c r="D6270" s="35" t="s">
        <v>1329</v>
      </c>
      <c r="E6270" s="35" t="s">
        <v>1330</v>
      </c>
      <c r="F6270" s="35" t="s">
        <v>353</v>
      </c>
      <c r="G6270" s="35" t="s">
        <v>483</v>
      </c>
    </row>
    <row r="6271" spans="1:8">
      <c r="A6271" s="34">
        <v>2084031470</v>
      </c>
      <c r="B6271" s="35" t="s">
        <v>462</v>
      </c>
      <c r="C6271" s="35" t="s">
        <v>405</v>
      </c>
      <c r="D6271" s="35" t="s">
        <v>1329</v>
      </c>
      <c r="E6271" s="35" t="s">
        <v>1330</v>
      </c>
      <c r="F6271" s="35" t="s">
        <v>353</v>
      </c>
      <c r="G6271" s="35" t="s">
        <v>482</v>
      </c>
    </row>
    <row r="6272" spans="1:8">
      <c r="A6272" s="34">
        <v>2084030246</v>
      </c>
      <c r="B6272" s="35" t="s">
        <v>462</v>
      </c>
      <c r="C6272" s="35" t="s">
        <v>405</v>
      </c>
      <c r="D6272" s="35" t="s">
        <v>1329</v>
      </c>
      <c r="E6272" s="35" t="s">
        <v>1330</v>
      </c>
      <c r="F6272" s="35" t="s">
        <v>353</v>
      </c>
      <c r="G6272" s="35" t="s">
        <v>493</v>
      </c>
    </row>
    <row r="6273" spans="1:7">
      <c r="A6273" s="34">
        <v>2084031381</v>
      </c>
      <c r="B6273" s="35" t="s">
        <v>462</v>
      </c>
      <c r="C6273" s="35" t="s">
        <v>405</v>
      </c>
      <c r="D6273" s="35" t="s">
        <v>1329</v>
      </c>
      <c r="E6273" s="35" t="s">
        <v>1330</v>
      </c>
      <c r="F6273" s="35" t="s">
        <v>353</v>
      </c>
      <c r="G6273" s="35" t="s">
        <v>494</v>
      </c>
    </row>
    <row r="6274" spans="1:7">
      <c r="A6274" s="34">
        <v>2084051196</v>
      </c>
      <c r="B6274" s="35" t="s">
        <v>462</v>
      </c>
      <c r="C6274" s="35" t="s">
        <v>405</v>
      </c>
      <c r="D6274" s="35" t="s">
        <v>1329</v>
      </c>
      <c r="E6274" s="35" t="s">
        <v>1330</v>
      </c>
      <c r="F6274" s="35" t="s">
        <v>353</v>
      </c>
      <c r="G6274" s="35" t="s">
        <v>403</v>
      </c>
    </row>
    <row r="6275" spans="1:7">
      <c r="A6275" s="34">
        <v>2084031529</v>
      </c>
      <c r="B6275" s="35" t="s">
        <v>462</v>
      </c>
      <c r="C6275" s="35" t="s">
        <v>405</v>
      </c>
      <c r="D6275" s="35" t="s">
        <v>1329</v>
      </c>
      <c r="E6275" s="35" t="s">
        <v>1330</v>
      </c>
      <c r="F6275" s="35" t="s">
        <v>353</v>
      </c>
      <c r="G6275" s="35" t="s">
        <v>397</v>
      </c>
    </row>
    <row r="6276" spans="1:7">
      <c r="A6276" s="34">
        <v>2084030392</v>
      </c>
      <c r="B6276" s="35" t="s">
        <v>462</v>
      </c>
      <c r="C6276" s="35" t="s">
        <v>405</v>
      </c>
      <c r="D6276" s="35" t="s">
        <v>1329</v>
      </c>
      <c r="E6276" s="35" t="s">
        <v>1330</v>
      </c>
      <c r="F6276" s="35" t="s">
        <v>353</v>
      </c>
      <c r="G6276" s="35" t="s">
        <v>421</v>
      </c>
    </row>
    <row r="6277" spans="1:7">
      <c r="A6277" s="34">
        <v>2084031557</v>
      </c>
      <c r="B6277" s="35" t="s">
        <v>462</v>
      </c>
      <c r="C6277" s="35" t="s">
        <v>405</v>
      </c>
      <c r="D6277" s="35" t="s">
        <v>1329</v>
      </c>
      <c r="E6277" s="35" t="s">
        <v>1330</v>
      </c>
      <c r="F6277" s="35" t="s">
        <v>353</v>
      </c>
      <c r="G6277" s="35" t="s">
        <v>398</v>
      </c>
    </row>
    <row r="6278" spans="1:7">
      <c r="A6278" s="34">
        <v>2084030331</v>
      </c>
      <c r="B6278" s="35" t="s">
        <v>462</v>
      </c>
      <c r="C6278" s="35" t="s">
        <v>405</v>
      </c>
      <c r="D6278" s="35" t="s">
        <v>1329</v>
      </c>
      <c r="E6278" s="35" t="s">
        <v>1330</v>
      </c>
      <c r="F6278" s="35" t="s">
        <v>353</v>
      </c>
      <c r="G6278" s="35" t="s">
        <v>422</v>
      </c>
    </row>
    <row r="6279" spans="1:7">
      <c r="A6279" s="34">
        <v>2084048771</v>
      </c>
      <c r="B6279" s="35" t="s">
        <v>462</v>
      </c>
      <c r="C6279" s="35" t="s">
        <v>405</v>
      </c>
      <c r="D6279" s="35" t="s">
        <v>1329</v>
      </c>
      <c r="E6279" s="35" t="s">
        <v>1330</v>
      </c>
      <c r="F6279" s="35" t="s">
        <v>335</v>
      </c>
    </row>
    <row r="6280" spans="1:7">
      <c r="A6280" s="34">
        <v>2084256953</v>
      </c>
      <c r="B6280" s="35" t="s">
        <v>462</v>
      </c>
      <c r="C6280" s="35" t="s">
        <v>405</v>
      </c>
      <c r="D6280" s="35" t="s">
        <v>1329</v>
      </c>
      <c r="E6280" s="35" t="s">
        <v>1331</v>
      </c>
    </row>
    <row r="6281" spans="1:7">
      <c r="A6281" s="34">
        <v>2084050303</v>
      </c>
      <c r="B6281" s="35" t="s">
        <v>462</v>
      </c>
      <c r="C6281" s="35" t="s">
        <v>405</v>
      </c>
      <c r="D6281" s="35" t="s">
        <v>1329</v>
      </c>
      <c r="E6281" s="35" t="s">
        <v>1332</v>
      </c>
    </row>
    <row r="6282" spans="1:7">
      <c r="A6282" s="34">
        <v>2084309210</v>
      </c>
      <c r="B6282" s="35" t="s">
        <v>462</v>
      </c>
      <c r="C6282" s="35" t="s">
        <v>405</v>
      </c>
      <c r="D6282" s="35" t="s">
        <v>1329</v>
      </c>
      <c r="E6282" s="35" t="s">
        <v>1333</v>
      </c>
      <c r="F6282" s="35" t="s">
        <v>390</v>
      </c>
      <c r="G6282" s="35" t="s">
        <v>475</v>
      </c>
    </row>
    <row r="6283" spans="1:7">
      <c r="A6283" s="34">
        <v>2084309212</v>
      </c>
      <c r="B6283" s="35" t="s">
        <v>462</v>
      </c>
      <c r="C6283" s="35" t="s">
        <v>405</v>
      </c>
      <c r="D6283" s="35" t="s">
        <v>1329</v>
      </c>
      <c r="E6283" s="35" t="s">
        <v>1333</v>
      </c>
      <c r="F6283" s="35" t="s">
        <v>390</v>
      </c>
      <c r="G6283" s="35" t="s">
        <v>484</v>
      </c>
    </row>
    <row r="6284" spans="1:7">
      <c r="A6284" s="34">
        <v>2084309211</v>
      </c>
      <c r="B6284" s="35" t="s">
        <v>462</v>
      </c>
      <c r="C6284" s="35" t="s">
        <v>405</v>
      </c>
      <c r="D6284" s="35" t="s">
        <v>1329</v>
      </c>
      <c r="E6284" s="35" t="s">
        <v>1333</v>
      </c>
      <c r="F6284" s="35" t="s">
        <v>390</v>
      </c>
      <c r="G6284" s="35" t="s">
        <v>504</v>
      </c>
    </row>
    <row r="6285" spans="1:7">
      <c r="A6285" s="34">
        <v>2084309213</v>
      </c>
      <c r="B6285" s="35" t="s">
        <v>462</v>
      </c>
      <c r="C6285" s="35" t="s">
        <v>405</v>
      </c>
      <c r="D6285" s="35" t="s">
        <v>1329</v>
      </c>
      <c r="E6285" s="35" t="s">
        <v>1333</v>
      </c>
      <c r="F6285" s="35" t="s">
        <v>390</v>
      </c>
      <c r="G6285" s="35" t="s">
        <v>335</v>
      </c>
    </row>
    <row r="6286" spans="1:7">
      <c r="A6286" s="34">
        <v>2084309206</v>
      </c>
      <c r="B6286" s="35" t="s">
        <v>462</v>
      </c>
      <c r="C6286" s="35" t="s">
        <v>405</v>
      </c>
      <c r="D6286" s="35" t="s">
        <v>1329</v>
      </c>
      <c r="E6286" s="35" t="s">
        <v>1333</v>
      </c>
      <c r="F6286" s="35" t="s">
        <v>353</v>
      </c>
      <c r="G6286" s="35" t="s">
        <v>475</v>
      </c>
    </row>
    <row r="6287" spans="1:7">
      <c r="A6287" s="34">
        <v>2084309208</v>
      </c>
      <c r="B6287" s="35" t="s">
        <v>462</v>
      </c>
      <c r="C6287" s="35" t="s">
        <v>405</v>
      </c>
      <c r="D6287" s="35" t="s">
        <v>1329</v>
      </c>
      <c r="E6287" s="35" t="s">
        <v>1333</v>
      </c>
      <c r="F6287" s="35" t="s">
        <v>353</v>
      </c>
      <c r="G6287" s="35" t="s">
        <v>504</v>
      </c>
    </row>
    <row r="6288" spans="1:7">
      <c r="A6288" s="34">
        <v>2084309207</v>
      </c>
      <c r="B6288" s="35" t="s">
        <v>462</v>
      </c>
      <c r="C6288" s="35" t="s">
        <v>405</v>
      </c>
      <c r="D6288" s="35" t="s">
        <v>1329</v>
      </c>
      <c r="E6288" s="35" t="s">
        <v>1333</v>
      </c>
      <c r="F6288" s="35" t="s">
        <v>353</v>
      </c>
      <c r="G6288" s="35" t="s">
        <v>484</v>
      </c>
    </row>
    <row r="6289" spans="1:7">
      <c r="A6289" s="34">
        <v>2084309209</v>
      </c>
      <c r="B6289" s="35" t="s">
        <v>462</v>
      </c>
      <c r="C6289" s="35" t="s">
        <v>405</v>
      </c>
      <c r="D6289" s="35" t="s">
        <v>1329</v>
      </c>
      <c r="E6289" s="35" t="s">
        <v>1333</v>
      </c>
      <c r="F6289" s="35" t="s">
        <v>353</v>
      </c>
      <c r="G6289" s="35" t="s">
        <v>335</v>
      </c>
    </row>
    <row r="6290" spans="1:7">
      <c r="A6290" s="34">
        <v>2084055354</v>
      </c>
      <c r="B6290" s="35" t="s">
        <v>462</v>
      </c>
      <c r="C6290" s="35" t="s">
        <v>405</v>
      </c>
      <c r="D6290" s="35" t="s">
        <v>1329</v>
      </c>
      <c r="E6290" s="35" t="s">
        <v>1334</v>
      </c>
      <c r="F6290" s="35" t="s">
        <v>367</v>
      </c>
    </row>
    <row r="6291" spans="1:7">
      <c r="A6291" s="34">
        <v>2084055357</v>
      </c>
      <c r="B6291" s="35" t="s">
        <v>462</v>
      </c>
      <c r="C6291" s="35" t="s">
        <v>405</v>
      </c>
      <c r="D6291" s="35" t="s">
        <v>1329</v>
      </c>
      <c r="E6291" s="35" t="s">
        <v>1334</v>
      </c>
      <c r="F6291" s="35" t="s">
        <v>368</v>
      </c>
      <c r="G6291" s="35" t="s">
        <v>481</v>
      </c>
    </row>
    <row r="6292" spans="1:7">
      <c r="A6292" s="34">
        <v>2084055356</v>
      </c>
      <c r="B6292" s="35" t="s">
        <v>462</v>
      </c>
      <c r="C6292" s="35" t="s">
        <v>405</v>
      </c>
      <c r="D6292" s="35" t="s">
        <v>1329</v>
      </c>
      <c r="E6292" s="35" t="s">
        <v>1334</v>
      </c>
      <c r="F6292" s="35" t="s">
        <v>368</v>
      </c>
      <c r="G6292" s="35" t="s">
        <v>482</v>
      </c>
    </row>
    <row r="6293" spans="1:7">
      <c r="A6293" s="34">
        <v>2084055358</v>
      </c>
      <c r="B6293" s="35" t="s">
        <v>462</v>
      </c>
      <c r="C6293" s="35" t="s">
        <v>405</v>
      </c>
      <c r="D6293" s="35" t="s">
        <v>1329</v>
      </c>
      <c r="E6293" s="35" t="s">
        <v>1334</v>
      </c>
      <c r="F6293" s="35" t="s">
        <v>368</v>
      </c>
      <c r="G6293" s="35" t="s">
        <v>335</v>
      </c>
    </row>
    <row r="6294" spans="1:7">
      <c r="A6294" s="34">
        <v>2084055364</v>
      </c>
      <c r="B6294" s="35" t="s">
        <v>462</v>
      </c>
      <c r="C6294" s="35" t="s">
        <v>405</v>
      </c>
      <c r="D6294" s="35" t="s">
        <v>1329</v>
      </c>
      <c r="E6294" s="35" t="s">
        <v>1334</v>
      </c>
      <c r="F6294" s="35" t="s">
        <v>10</v>
      </c>
      <c r="G6294" s="35" t="s">
        <v>483</v>
      </c>
    </row>
    <row r="6295" spans="1:7">
      <c r="A6295" s="34">
        <v>2084055361</v>
      </c>
      <c r="B6295" s="35" t="s">
        <v>462</v>
      </c>
      <c r="C6295" s="35" t="s">
        <v>405</v>
      </c>
      <c r="D6295" s="35" t="s">
        <v>1329</v>
      </c>
      <c r="E6295" s="35" t="s">
        <v>1334</v>
      </c>
      <c r="F6295" s="35" t="s">
        <v>10</v>
      </c>
      <c r="G6295" s="35" t="s">
        <v>397</v>
      </c>
    </row>
    <row r="6296" spans="1:7">
      <c r="A6296" s="34">
        <v>2084055363</v>
      </c>
      <c r="B6296" s="35" t="s">
        <v>462</v>
      </c>
      <c r="C6296" s="35" t="s">
        <v>405</v>
      </c>
      <c r="D6296" s="35" t="s">
        <v>1329</v>
      </c>
      <c r="E6296" s="35" t="s">
        <v>1334</v>
      </c>
      <c r="F6296" s="35" t="s">
        <v>10</v>
      </c>
      <c r="G6296" s="35" t="s">
        <v>421</v>
      </c>
    </row>
    <row r="6297" spans="1:7">
      <c r="A6297" s="34">
        <v>2084055360</v>
      </c>
      <c r="B6297" s="35" t="s">
        <v>462</v>
      </c>
      <c r="C6297" s="35" t="s">
        <v>405</v>
      </c>
      <c r="D6297" s="35" t="s">
        <v>1329</v>
      </c>
      <c r="E6297" s="35" t="s">
        <v>1334</v>
      </c>
      <c r="F6297" s="35" t="s">
        <v>10</v>
      </c>
      <c r="G6297" s="35" t="s">
        <v>398</v>
      </c>
    </row>
    <row r="6298" spans="1:7">
      <c r="A6298" s="34">
        <v>2084055362</v>
      </c>
      <c r="B6298" s="35" t="s">
        <v>462</v>
      </c>
      <c r="C6298" s="35" t="s">
        <v>405</v>
      </c>
      <c r="D6298" s="35" t="s">
        <v>1329</v>
      </c>
      <c r="E6298" s="35" t="s">
        <v>1334</v>
      </c>
      <c r="F6298" s="35" t="s">
        <v>10</v>
      </c>
      <c r="G6298" s="35" t="s">
        <v>422</v>
      </c>
    </row>
    <row r="6299" spans="1:7">
      <c r="A6299" s="34">
        <v>2084055365</v>
      </c>
      <c r="B6299" s="35" t="s">
        <v>462</v>
      </c>
      <c r="C6299" s="35" t="s">
        <v>405</v>
      </c>
      <c r="D6299" s="35" t="s">
        <v>1329</v>
      </c>
      <c r="E6299" s="35" t="s">
        <v>1334</v>
      </c>
      <c r="F6299" s="35" t="s">
        <v>10</v>
      </c>
      <c r="G6299" s="35" t="s">
        <v>335</v>
      </c>
    </row>
    <row r="6300" spans="1:7">
      <c r="A6300" s="34">
        <v>2084055367</v>
      </c>
      <c r="B6300" s="35" t="s">
        <v>462</v>
      </c>
      <c r="C6300" s="35" t="s">
        <v>405</v>
      </c>
      <c r="D6300" s="35" t="s">
        <v>1329</v>
      </c>
      <c r="E6300" s="35" t="s">
        <v>1334</v>
      </c>
      <c r="F6300" s="35" t="s">
        <v>379</v>
      </c>
      <c r="G6300" s="35" t="s">
        <v>476</v>
      </c>
    </row>
    <row r="6301" spans="1:7">
      <c r="A6301" s="34">
        <v>2084055368</v>
      </c>
      <c r="B6301" s="35" t="s">
        <v>462</v>
      </c>
      <c r="C6301" s="35" t="s">
        <v>405</v>
      </c>
      <c r="D6301" s="35" t="s">
        <v>1329</v>
      </c>
      <c r="E6301" s="35" t="s">
        <v>1334</v>
      </c>
      <c r="F6301" s="35" t="s">
        <v>379</v>
      </c>
      <c r="G6301" s="35" t="s">
        <v>335</v>
      </c>
    </row>
    <row r="6302" spans="1:7">
      <c r="A6302" s="34">
        <v>2084061679</v>
      </c>
      <c r="B6302" s="35" t="s">
        <v>462</v>
      </c>
      <c r="C6302" s="35" t="s">
        <v>405</v>
      </c>
      <c r="D6302" s="35" t="s">
        <v>1329</v>
      </c>
      <c r="E6302" s="35" t="s">
        <v>1334</v>
      </c>
      <c r="F6302" s="35" t="s">
        <v>478</v>
      </c>
    </row>
    <row r="6303" spans="1:7">
      <c r="A6303" s="34">
        <v>2084255833</v>
      </c>
      <c r="B6303" s="35" t="s">
        <v>462</v>
      </c>
      <c r="C6303" s="35" t="s">
        <v>405</v>
      </c>
      <c r="D6303" s="35" t="s">
        <v>1329</v>
      </c>
      <c r="E6303" s="35" t="s">
        <v>1334</v>
      </c>
      <c r="F6303" s="35" t="s">
        <v>549</v>
      </c>
    </row>
    <row r="6304" spans="1:7">
      <c r="A6304" s="34">
        <v>2084055369</v>
      </c>
      <c r="B6304" s="35" t="s">
        <v>462</v>
      </c>
      <c r="C6304" s="35" t="s">
        <v>405</v>
      </c>
      <c r="D6304" s="35" t="s">
        <v>1329</v>
      </c>
      <c r="E6304" s="35" t="s">
        <v>1334</v>
      </c>
      <c r="F6304" s="35" t="s">
        <v>335</v>
      </c>
    </row>
    <row r="6305" spans="1:8">
      <c r="A6305" s="34">
        <v>2084283764</v>
      </c>
      <c r="B6305" s="35" t="s">
        <v>462</v>
      </c>
      <c r="C6305" s="35" t="s">
        <v>405</v>
      </c>
      <c r="D6305" s="35" t="s">
        <v>1329</v>
      </c>
      <c r="E6305" s="35" t="s">
        <v>1335</v>
      </c>
      <c r="F6305" s="35" t="s">
        <v>407</v>
      </c>
    </row>
    <row r="6306" spans="1:8">
      <c r="A6306" s="34">
        <v>2084283763</v>
      </c>
      <c r="B6306" s="35" t="s">
        <v>462</v>
      </c>
      <c r="C6306" s="35" t="s">
        <v>405</v>
      </c>
      <c r="D6306" s="35" t="s">
        <v>1329</v>
      </c>
      <c r="E6306" s="35" t="s">
        <v>1335</v>
      </c>
      <c r="F6306" s="35" t="s">
        <v>408</v>
      </c>
    </row>
    <row r="6307" spans="1:8">
      <c r="A6307" s="34">
        <v>2084061729</v>
      </c>
      <c r="B6307" s="35" t="s">
        <v>462</v>
      </c>
      <c r="C6307" s="35" t="s">
        <v>405</v>
      </c>
      <c r="D6307" s="35" t="s">
        <v>1329</v>
      </c>
      <c r="E6307" s="35" t="s">
        <v>1336</v>
      </c>
      <c r="F6307" s="35" t="s">
        <v>390</v>
      </c>
      <c r="G6307" s="35" t="s">
        <v>368</v>
      </c>
      <c r="H6307" s="35" t="s">
        <v>481</v>
      </c>
    </row>
    <row r="6308" spans="1:8">
      <c r="A6308" s="34">
        <v>2084061730</v>
      </c>
      <c r="B6308" s="35" t="s">
        <v>462</v>
      </c>
      <c r="C6308" s="35" t="s">
        <v>405</v>
      </c>
      <c r="D6308" s="35" t="s">
        <v>1329</v>
      </c>
      <c r="E6308" s="35" t="s">
        <v>1336</v>
      </c>
      <c r="F6308" s="35" t="s">
        <v>390</v>
      </c>
      <c r="G6308" s="35" t="s">
        <v>368</v>
      </c>
      <c r="H6308" s="35" t="s">
        <v>335</v>
      </c>
    </row>
    <row r="6309" spans="1:8">
      <c r="A6309" s="34">
        <v>2084061736</v>
      </c>
      <c r="B6309" s="35" t="s">
        <v>462</v>
      </c>
      <c r="C6309" s="35" t="s">
        <v>405</v>
      </c>
      <c r="D6309" s="35" t="s">
        <v>1329</v>
      </c>
      <c r="E6309" s="35" t="s">
        <v>1336</v>
      </c>
      <c r="F6309" s="35" t="s">
        <v>390</v>
      </c>
      <c r="G6309" s="35" t="s">
        <v>10</v>
      </c>
      <c r="H6309" s="35" t="s">
        <v>483</v>
      </c>
    </row>
    <row r="6310" spans="1:8">
      <c r="A6310" s="34">
        <v>2084061933</v>
      </c>
      <c r="B6310" s="35" t="s">
        <v>462</v>
      </c>
      <c r="C6310" s="35" t="s">
        <v>405</v>
      </c>
      <c r="D6310" s="35" t="s">
        <v>1329</v>
      </c>
      <c r="E6310" s="35" t="s">
        <v>1336</v>
      </c>
      <c r="F6310" s="35" t="s">
        <v>390</v>
      </c>
      <c r="G6310" s="35" t="s">
        <v>10</v>
      </c>
      <c r="H6310" s="35" t="s">
        <v>580</v>
      </c>
    </row>
    <row r="6311" spans="1:8">
      <c r="A6311" s="34">
        <v>2084061733</v>
      </c>
      <c r="B6311" s="35" t="s">
        <v>462</v>
      </c>
      <c r="C6311" s="35" t="s">
        <v>405</v>
      </c>
      <c r="D6311" s="35" t="s">
        <v>1329</v>
      </c>
      <c r="E6311" s="35" t="s">
        <v>1336</v>
      </c>
      <c r="F6311" s="35" t="s">
        <v>390</v>
      </c>
      <c r="G6311" s="35" t="s">
        <v>10</v>
      </c>
      <c r="H6311" s="35" t="s">
        <v>397</v>
      </c>
    </row>
    <row r="6312" spans="1:8">
      <c r="A6312" s="34">
        <v>2084061735</v>
      </c>
      <c r="B6312" s="35" t="s">
        <v>462</v>
      </c>
      <c r="C6312" s="35" t="s">
        <v>405</v>
      </c>
      <c r="D6312" s="35" t="s">
        <v>1329</v>
      </c>
      <c r="E6312" s="35" t="s">
        <v>1336</v>
      </c>
      <c r="F6312" s="35" t="s">
        <v>390</v>
      </c>
      <c r="G6312" s="35" t="s">
        <v>10</v>
      </c>
      <c r="H6312" s="35" t="s">
        <v>421</v>
      </c>
    </row>
    <row r="6313" spans="1:8">
      <c r="A6313" s="34">
        <v>2084061732</v>
      </c>
      <c r="B6313" s="35" t="s">
        <v>462</v>
      </c>
      <c r="C6313" s="35" t="s">
        <v>405</v>
      </c>
      <c r="D6313" s="35" t="s">
        <v>1329</v>
      </c>
      <c r="E6313" s="35" t="s">
        <v>1336</v>
      </c>
      <c r="F6313" s="35" t="s">
        <v>390</v>
      </c>
      <c r="G6313" s="35" t="s">
        <v>10</v>
      </c>
      <c r="H6313" s="35" t="s">
        <v>398</v>
      </c>
    </row>
    <row r="6314" spans="1:8">
      <c r="A6314" s="34">
        <v>2084061734</v>
      </c>
      <c r="B6314" s="35" t="s">
        <v>462</v>
      </c>
      <c r="C6314" s="35" t="s">
        <v>405</v>
      </c>
      <c r="D6314" s="35" t="s">
        <v>1329</v>
      </c>
      <c r="E6314" s="35" t="s">
        <v>1336</v>
      </c>
      <c r="F6314" s="35" t="s">
        <v>390</v>
      </c>
      <c r="G6314" s="35" t="s">
        <v>10</v>
      </c>
      <c r="H6314" s="35" t="s">
        <v>422</v>
      </c>
    </row>
    <row r="6315" spans="1:8">
      <c r="A6315" s="34">
        <v>2084061737</v>
      </c>
      <c r="B6315" s="35" t="s">
        <v>462</v>
      </c>
      <c r="C6315" s="35" t="s">
        <v>405</v>
      </c>
      <c r="D6315" s="35" t="s">
        <v>1329</v>
      </c>
      <c r="E6315" s="35" t="s">
        <v>1336</v>
      </c>
      <c r="F6315" s="35" t="s">
        <v>390</v>
      </c>
      <c r="G6315" s="35" t="s">
        <v>10</v>
      </c>
      <c r="H6315" s="35" t="s">
        <v>335</v>
      </c>
    </row>
    <row r="6316" spans="1:8">
      <c r="A6316" s="34">
        <v>2084061740</v>
      </c>
      <c r="B6316" s="35" t="s">
        <v>462</v>
      </c>
      <c r="C6316" s="35" t="s">
        <v>405</v>
      </c>
      <c r="D6316" s="35" t="s">
        <v>1329</v>
      </c>
      <c r="E6316" s="35" t="s">
        <v>1336</v>
      </c>
      <c r="F6316" s="35" t="s">
        <v>390</v>
      </c>
      <c r="G6316" s="35" t="s">
        <v>379</v>
      </c>
      <c r="H6316" s="35" t="s">
        <v>545</v>
      </c>
    </row>
    <row r="6317" spans="1:8">
      <c r="A6317" s="34">
        <v>2084061739</v>
      </c>
      <c r="B6317" s="35" t="s">
        <v>462</v>
      </c>
      <c r="C6317" s="35" t="s">
        <v>405</v>
      </c>
      <c r="D6317" s="35" t="s">
        <v>1329</v>
      </c>
      <c r="E6317" s="35" t="s">
        <v>1336</v>
      </c>
      <c r="F6317" s="35" t="s">
        <v>390</v>
      </c>
      <c r="G6317" s="35" t="s">
        <v>379</v>
      </c>
      <c r="H6317" s="35" t="s">
        <v>476</v>
      </c>
    </row>
    <row r="6318" spans="1:8">
      <c r="A6318" s="34">
        <v>2084061741</v>
      </c>
      <c r="B6318" s="35" t="s">
        <v>462</v>
      </c>
      <c r="C6318" s="35" t="s">
        <v>405</v>
      </c>
      <c r="D6318" s="35" t="s">
        <v>1329</v>
      </c>
      <c r="E6318" s="35" t="s">
        <v>1336</v>
      </c>
      <c r="F6318" s="35" t="s">
        <v>390</v>
      </c>
      <c r="G6318" s="35" t="s">
        <v>379</v>
      </c>
      <c r="H6318" s="35" t="s">
        <v>335</v>
      </c>
    </row>
    <row r="6319" spans="1:8">
      <c r="A6319" s="34">
        <v>2084061742</v>
      </c>
      <c r="B6319" s="35" t="s">
        <v>462</v>
      </c>
      <c r="C6319" s="35" t="s">
        <v>405</v>
      </c>
      <c r="D6319" s="35" t="s">
        <v>1329</v>
      </c>
      <c r="E6319" s="35" t="s">
        <v>1336</v>
      </c>
      <c r="F6319" s="35" t="s">
        <v>390</v>
      </c>
      <c r="G6319" s="35" t="s">
        <v>335</v>
      </c>
    </row>
    <row r="6320" spans="1:8">
      <c r="A6320" s="34">
        <v>2084061745</v>
      </c>
      <c r="B6320" s="35" t="s">
        <v>462</v>
      </c>
      <c r="C6320" s="35" t="s">
        <v>405</v>
      </c>
      <c r="D6320" s="35" t="s">
        <v>1329</v>
      </c>
      <c r="E6320" s="35" t="s">
        <v>1336</v>
      </c>
      <c r="F6320" s="35" t="s">
        <v>353</v>
      </c>
      <c r="G6320" s="35" t="s">
        <v>368</v>
      </c>
      <c r="H6320" s="35" t="s">
        <v>481</v>
      </c>
    </row>
    <row r="6321" spans="1:9">
      <c r="A6321" s="34">
        <v>2084061746</v>
      </c>
      <c r="B6321" s="35" t="s">
        <v>462</v>
      </c>
      <c r="C6321" s="35" t="s">
        <v>405</v>
      </c>
      <c r="D6321" s="35" t="s">
        <v>1329</v>
      </c>
      <c r="E6321" s="35" t="s">
        <v>1336</v>
      </c>
      <c r="F6321" s="35" t="s">
        <v>353</v>
      </c>
      <c r="G6321" s="35" t="s">
        <v>368</v>
      </c>
      <c r="H6321" s="35" t="s">
        <v>335</v>
      </c>
    </row>
    <row r="6322" spans="1:9">
      <c r="A6322" s="34">
        <v>2084061752</v>
      </c>
      <c r="B6322" s="35" t="s">
        <v>462</v>
      </c>
      <c r="C6322" s="35" t="s">
        <v>405</v>
      </c>
      <c r="D6322" s="35" t="s">
        <v>1329</v>
      </c>
      <c r="E6322" s="35" t="s">
        <v>1336</v>
      </c>
      <c r="F6322" s="35" t="s">
        <v>353</v>
      </c>
      <c r="G6322" s="35" t="s">
        <v>10</v>
      </c>
      <c r="H6322" s="35" t="s">
        <v>483</v>
      </c>
    </row>
    <row r="6323" spans="1:9">
      <c r="A6323" s="34">
        <v>2084061934</v>
      </c>
      <c r="B6323" s="35" t="s">
        <v>462</v>
      </c>
      <c r="C6323" s="35" t="s">
        <v>405</v>
      </c>
      <c r="D6323" s="35" t="s">
        <v>1329</v>
      </c>
      <c r="E6323" s="35" t="s">
        <v>1336</v>
      </c>
      <c r="F6323" s="35" t="s">
        <v>353</v>
      </c>
      <c r="G6323" s="35" t="s">
        <v>10</v>
      </c>
      <c r="H6323" s="35" t="s">
        <v>580</v>
      </c>
    </row>
    <row r="6324" spans="1:9">
      <c r="A6324" s="34">
        <v>2084061749</v>
      </c>
      <c r="B6324" s="35" t="s">
        <v>462</v>
      </c>
      <c r="C6324" s="35" t="s">
        <v>405</v>
      </c>
      <c r="D6324" s="35" t="s">
        <v>1329</v>
      </c>
      <c r="E6324" s="35" t="s">
        <v>1336</v>
      </c>
      <c r="F6324" s="35" t="s">
        <v>353</v>
      </c>
      <c r="G6324" s="35" t="s">
        <v>10</v>
      </c>
      <c r="H6324" s="35" t="s">
        <v>397</v>
      </c>
    </row>
    <row r="6325" spans="1:9">
      <c r="A6325" s="34">
        <v>2084061751</v>
      </c>
      <c r="B6325" s="35" t="s">
        <v>462</v>
      </c>
      <c r="C6325" s="35" t="s">
        <v>405</v>
      </c>
      <c r="D6325" s="35" t="s">
        <v>1329</v>
      </c>
      <c r="E6325" s="35" t="s">
        <v>1336</v>
      </c>
      <c r="F6325" s="35" t="s">
        <v>353</v>
      </c>
      <c r="G6325" s="35" t="s">
        <v>10</v>
      </c>
      <c r="H6325" s="35" t="s">
        <v>421</v>
      </c>
    </row>
    <row r="6326" spans="1:9">
      <c r="A6326" s="34">
        <v>2084224756</v>
      </c>
      <c r="B6326" s="35" t="s">
        <v>462</v>
      </c>
      <c r="C6326" s="35" t="s">
        <v>405</v>
      </c>
      <c r="D6326" s="35" t="s">
        <v>1329</v>
      </c>
      <c r="E6326" s="35" t="s">
        <v>1336</v>
      </c>
      <c r="F6326" s="35" t="s">
        <v>353</v>
      </c>
      <c r="G6326" s="35" t="s">
        <v>10</v>
      </c>
      <c r="H6326" s="35" t="s">
        <v>378</v>
      </c>
      <c r="I6326" s="35" t="s">
        <v>374</v>
      </c>
    </row>
    <row r="6327" spans="1:9">
      <c r="A6327" s="34">
        <v>2084224757</v>
      </c>
      <c r="B6327" s="35" t="s">
        <v>462</v>
      </c>
      <c r="C6327" s="35" t="s">
        <v>405</v>
      </c>
      <c r="D6327" s="35" t="s">
        <v>1329</v>
      </c>
      <c r="E6327" s="35" t="s">
        <v>1336</v>
      </c>
      <c r="F6327" s="35" t="s">
        <v>353</v>
      </c>
      <c r="G6327" s="35" t="s">
        <v>10</v>
      </c>
      <c r="H6327" s="35" t="s">
        <v>378</v>
      </c>
      <c r="I6327" s="35" t="s">
        <v>375</v>
      </c>
    </row>
    <row r="6328" spans="1:9">
      <c r="A6328" s="34">
        <v>2084224758</v>
      </c>
      <c r="B6328" s="35" t="s">
        <v>462</v>
      </c>
      <c r="C6328" s="35" t="s">
        <v>405</v>
      </c>
      <c r="D6328" s="35" t="s">
        <v>1329</v>
      </c>
      <c r="E6328" s="35" t="s">
        <v>1336</v>
      </c>
      <c r="F6328" s="35" t="s">
        <v>353</v>
      </c>
      <c r="G6328" s="35" t="s">
        <v>10</v>
      </c>
      <c r="H6328" s="35" t="s">
        <v>378</v>
      </c>
      <c r="I6328" s="35" t="s">
        <v>376</v>
      </c>
    </row>
    <row r="6329" spans="1:9">
      <c r="A6329" s="34">
        <v>2084224759</v>
      </c>
      <c r="B6329" s="35" t="s">
        <v>462</v>
      </c>
      <c r="C6329" s="35" t="s">
        <v>405</v>
      </c>
      <c r="D6329" s="35" t="s">
        <v>1329</v>
      </c>
      <c r="E6329" s="35" t="s">
        <v>1336</v>
      </c>
      <c r="F6329" s="35" t="s">
        <v>353</v>
      </c>
      <c r="G6329" s="35" t="s">
        <v>10</v>
      </c>
      <c r="H6329" s="35" t="s">
        <v>378</v>
      </c>
      <c r="I6329" s="35" t="s">
        <v>377</v>
      </c>
    </row>
    <row r="6330" spans="1:9">
      <c r="A6330" s="34">
        <v>2084061750</v>
      </c>
      <c r="B6330" s="35" t="s">
        <v>462</v>
      </c>
      <c r="C6330" s="35" t="s">
        <v>405</v>
      </c>
      <c r="D6330" s="35" t="s">
        <v>1329</v>
      </c>
      <c r="E6330" s="35" t="s">
        <v>1336</v>
      </c>
      <c r="F6330" s="35" t="s">
        <v>353</v>
      </c>
      <c r="G6330" s="35" t="s">
        <v>10</v>
      </c>
      <c r="H6330" s="35" t="s">
        <v>422</v>
      </c>
    </row>
    <row r="6331" spans="1:9">
      <c r="A6331" s="34">
        <v>2084061753</v>
      </c>
      <c r="B6331" s="35" t="s">
        <v>462</v>
      </c>
      <c r="C6331" s="35" t="s">
        <v>405</v>
      </c>
      <c r="D6331" s="35" t="s">
        <v>1329</v>
      </c>
      <c r="E6331" s="35" t="s">
        <v>1336</v>
      </c>
      <c r="F6331" s="35" t="s">
        <v>353</v>
      </c>
      <c r="G6331" s="35" t="s">
        <v>10</v>
      </c>
      <c r="H6331" s="35" t="s">
        <v>335</v>
      </c>
    </row>
    <row r="6332" spans="1:9">
      <c r="A6332" s="34">
        <v>2084061755</v>
      </c>
      <c r="B6332" s="35" t="s">
        <v>462</v>
      </c>
      <c r="C6332" s="35" t="s">
        <v>405</v>
      </c>
      <c r="D6332" s="35" t="s">
        <v>1329</v>
      </c>
      <c r="E6332" s="35" t="s">
        <v>1336</v>
      </c>
      <c r="F6332" s="35" t="s">
        <v>353</v>
      </c>
      <c r="G6332" s="35" t="s">
        <v>379</v>
      </c>
      <c r="H6332" s="35" t="s">
        <v>545</v>
      </c>
    </row>
    <row r="6333" spans="1:9">
      <c r="A6333" s="34">
        <v>2084061756</v>
      </c>
      <c r="B6333" s="35" t="s">
        <v>462</v>
      </c>
      <c r="C6333" s="35" t="s">
        <v>405</v>
      </c>
      <c r="D6333" s="35" t="s">
        <v>1329</v>
      </c>
      <c r="E6333" s="35" t="s">
        <v>1336</v>
      </c>
      <c r="F6333" s="35" t="s">
        <v>353</v>
      </c>
      <c r="G6333" s="35" t="s">
        <v>379</v>
      </c>
      <c r="H6333" s="35" t="s">
        <v>335</v>
      </c>
    </row>
    <row r="6334" spans="1:9">
      <c r="A6334" s="34">
        <v>2084061757</v>
      </c>
      <c r="B6334" s="35" t="s">
        <v>462</v>
      </c>
      <c r="C6334" s="35" t="s">
        <v>405</v>
      </c>
      <c r="D6334" s="35" t="s">
        <v>1329</v>
      </c>
      <c r="E6334" s="35" t="s">
        <v>1336</v>
      </c>
      <c r="F6334" s="35" t="s">
        <v>353</v>
      </c>
      <c r="G6334" s="35" t="s">
        <v>335</v>
      </c>
    </row>
    <row r="6335" spans="1:9">
      <c r="A6335" s="34">
        <v>2084061835</v>
      </c>
      <c r="B6335" s="35" t="s">
        <v>462</v>
      </c>
      <c r="C6335" s="35" t="s">
        <v>405</v>
      </c>
      <c r="D6335" s="35" t="s">
        <v>1329</v>
      </c>
      <c r="E6335" s="35" t="s">
        <v>1336</v>
      </c>
      <c r="F6335" s="35" t="s">
        <v>335</v>
      </c>
    </row>
    <row r="6336" spans="1:9">
      <c r="A6336" s="34">
        <v>2084260046</v>
      </c>
      <c r="B6336" s="35" t="s">
        <v>462</v>
      </c>
      <c r="C6336" s="35" t="s">
        <v>405</v>
      </c>
      <c r="D6336" s="35" t="s">
        <v>1329</v>
      </c>
      <c r="E6336" s="35" t="s">
        <v>1337</v>
      </c>
    </row>
    <row r="6337" spans="1:8">
      <c r="A6337" s="34">
        <v>2084056155</v>
      </c>
      <c r="B6337" s="35" t="s">
        <v>462</v>
      </c>
      <c r="C6337" s="35" t="s">
        <v>405</v>
      </c>
      <c r="D6337" s="35" t="s">
        <v>1329</v>
      </c>
      <c r="E6337" s="35" t="s">
        <v>1338</v>
      </c>
      <c r="F6337" s="35" t="s">
        <v>390</v>
      </c>
      <c r="G6337" s="35" t="s">
        <v>367</v>
      </c>
    </row>
    <row r="6338" spans="1:8">
      <c r="A6338" s="34">
        <v>2084056157</v>
      </c>
      <c r="B6338" s="35" t="s">
        <v>462</v>
      </c>
      <c r="C6338" s="35" t="s">
        <v>405</v>
      </c>
      <c r="D6338" s="35" t="s">
        <v>1329</v>
      </c>
      <c r="E6338" s="35" t="s">
        <v>1338</v>
      </c>
      <c r="F6338" s="35" t="s">
        <v>390</v>
      </c>
      <c r="G6338" s="35" t="s">
        <v>368</v>
      </c>
      <c r="H6338" s="35" t="s">
        <v>481</v>
      </c>
    </row>
    <row r="6339" spans="1:8">
      <c r="A6339" s="34">
        <v>2084056158</v>
      </c>
      <c r="B6339" s="35" t="s">
        <v>462</v>
      </c>
      <c r="C6339" s="35" t="s">
        <v>405</v>
      </c>
      <c r="D6339" s="35" t="s">
        <v>1329</v>
      </c>
      <c r="E6339" s="35" t="s">
        <v>1338</v>
      </c>
      <c r="F6339" s="35" t="s">
        <v>390</v>
      </c>
      <c r="G6339" s="35" t="s">
        <v>368</v>
      </c>
      <c r="H6339" s="35" t="s">
        <v>335</v>
      </c>
    </row>
    <row r="6340" spans="1:8">
      <c r="A6340" s="34">
        <v>2084056164</v>
      </c>
      <c r="B6340" s="35" t="s">
        <v>462</v>
      </c>
      <c r="C6340" s="35" t="s">
        <v>405</v>
      </c>
      <c r="D6340" s="35" t="s">
        <v>1329</v>
      </c>
      <c r="E6340" s="35" t="s">
        <v>1338</v>
      </c>
      <c r="F6340" s="35" t="s">
        <v>390</v>
      </c>
      <c r="G6340" s="35" t="s">
        <v>10</v>
      </c>
      <c r="H6340" s="35" t="s">
        <v>483</v>
      </c>
    </row>
    <row r="6341" spans="1:8">
      <c r="A6341" s="34">
        <v>2084056161</v>
      </c>
      <c r="B6341" s="35" t="s">
        <v>462</v>
      </c>
      <c r="C6341" s="35" t="s">
        <v>405</v>
      </c>
      <c r="D6341" s="35" t="s">
        <v>1329</v>
      </c>
      <c r="E6341" s="35" t="s">
        <v>1338</v>
      </c>
      <c r="F6341" s="35" t="s">
        <v>390</v>
      </c>
      <c r="G6341" s="35" t="s">
        <v>10</v>
      </c>
      <c r="H6341" s="35" t="s">
        <v>397</v>
      </c>
    </row>
    <row r="6342" spans="1:8">
      <c r="A6342" s="34">
        <v>2084056163</v>
      </c>
      <c r="B6342" s="35" t="s">
        <v>462</v>
      </c>
      <c r="C6342" s="35" t="s">
        <v>405</v>
      </c>
      <c r="D6342" s="35" t="s">
        <v>1329</v>
      </c>
      <c r="E6342" s="35" t="s">
        <v>1338</v>
      </c>
      <c r="F6342" s="35" t="s">
        <v>390</v>
      </c>
      <c r="G6342" s="35" t="s">
        <v>10</v>
      </c>
      <c r="H6342" s="35" t="s">
        <v>421</v>
      </c>
    </row>
    <row r="6343" spans="1:8">
      <c r="A6343" s="34">
        <v>2084056160</v>
      </c>
      <c r="B6343" s="35" t="s">
        <v>462</v>
      </c>
      <c r="C6343" s="35" t="s">
        <v>405</v>
      </c>
      <c r="D6343" s="35" t="s">
        <v>1329</v>
      </c>
      <c r="E6343" s="35" t="s">
        <v>1338</v>
      </c>
      <c r="F6343" s="35" t="s">
        <v>390</v>
      </c>
      <c r="G6343" s="35" t="s">
        <v>10</v>
      </c>
      <c r="H6343" s="35" t="s">
        <v>398</v>
      </c>
    </row>
    <row r="6344" spans="1:8">
      <c r="A6344" s="34">
        <v>2084056162</v>
      </c>
      <c r="B6344" s="35" t="s">
        <v>462</v>
      </c>
      <c r="C6344" s="35" t="s">
        <v>405</v>
      </c>
      <c r="D6344" s="35" t="s">
        <v>1329</v>
      </c>
      <c r="E6344" s="35" t="s">
        <v>1338</v>
      </c>
      <c r="F6344" s="35" t="s">
        <v>390</v>
      </c>
      <c r="G6344" s="35" t="s">
        <v>10</v>
      </c>
      <c r="H6344" s="35" t="s">
        <v>422</v>
      </c>
    </row>
    <row r="6345" spans="1:8">
      <c r="A6345" s="34">
        <v>2084056165</v>
      </c>
      <c r="B6345" s="35" t="s">
        <v>462</v>
      </c>
      <c r="C6345" s="35" t="s">
        <v>405</v>
      </c>
      <c r="D6345" s="35" t="s">
        <v>1329</v>
      </c>
      <c r="E6345" s="35" t="s">
        <v>1338</v>
      </c>
      <c r="F6345" s="35" t="s">
        <v>390</v>
      </c>
      <c r="G6345" s="35" t="s">
        <v>10</v>
      </c>
      <c r="H6345" s="35" t="s">
        <v>335</v>
      </c>
    </row>
    <row r="6346" spans="1:8">
      <c r="A6346" s="34">
        <v>2084056167</v>
      </c>
      <c r="B6346" s="35" t="s">
        <v>462</v>
      </c>
      <c r="C6346" s="35" t="s">
        <v>405</v>
      </c>
      <c r="D6346" s="35" t="s">
        <v>1329</v>
      </c>
      <c r="E6346" s="35" t="s">
        <v>1338</v>
      </c>
      <c r="F6346" s="35" t="s">
        <v>390</v>
      </c>
      <c r="G6346" s="35" t="s">
        <v>379</v>
      </c>
      <c r="H6346" s="35" t="s">
        <v>476</v>
      </c>
    </row>
    <row r="6347" spans="1:8">
      <c r="A6347" s="34">
        <v>2084056168</v>
      </c>
      <c r="B6347" s="35" t="s">
        <v>462</v>
      </c>
      <c r="C6347" s="35" t="s">
        <v>405</v>
      </c>
      <c r="D6347" s="35" t="s">
        <v>1329</v>
      </c>
      <c r="E6347" s="35" t="s">
        <v>1338</v>
      </c>
      <c r="F6347" s="35" t="s">
        <v>390</v>
      </c>
      <c r="G6347" s="35" t="s">
        <v>379</v>
      </c>
      <c r="H6347" s="35" t="s">
        <v>335</v>
      </c>
    </row>
    <row r="6348" spans="1:8">
      <c r="A6348" s="34">
        <v>2084056169</v>
      </c>
      <c r="B6348" s="35" t="s">
        <v>462</v>
      </c>
      <c r="C6348" s="35" t="s">
        <v>405</v>
      </c>
      <c r="D6348" s="35" t="s">
        <v>1329</v>
      </c>
      <c r="E6348" s="35" t="s">
        <v>1338</v>
      </c>
      <c r="F6348" s="35" t="s">
        <v>390</v>
      </c>
      <c r="G6348" s="35" t="s">
        <v>335</v>
      </c>
    </row>
    <row r="6349" spans="1:8">
      <c r="A6349" s="34">
        <v>2084061704</v>
      </c>
      <c r="B6349" s="35" t="s">
        <v>462</v>
      </c>
      <c r="C6349" s="35" t="s">
        <v>405</v>
      </c>
      <c r="D6349" s="35" t="s">
        <v>1329</v>
      </c>
      <c r="E6349" s="35" t="s">
        <v>1338</v>
      </c>
      <c r="F6349" s="35" t="s">
        <v>353</v>
      </c>
      <c r="G6349" s="35" t="s">
        <v>335</v>
      </c>
    </row>
    <row r="6350" spans="1:8">
      <c r="A6350" s="34">
        <v>2084061694</v>
      </c>
      <c r="B6350" s="35" t="s">
        <v>462</v>
      </c>
      <c r="C6350" s="35" t="s">
        <v>405</v>
      </c>
      <c r="D6350" s="35" t="s">
        <v>1329</v>
      </c>
      <c r="E6350" s="35" t="s">
        <v>1338</v>
      </c>
      <c r="F6350" s="35" t="s">
        <v>353</v>
      </c>
      <c r="G6350" s="35" t="s">
        <v>368</v>
      </c>
      <c r="H6350" s="35" t="s">
        <v>481</v>
      </c>
    </row>
    <row r="6351" spans="1:8">
      <c r="A6351" s="34">
        <v>2084061695</v>
      </c>
      <c r="B6351" s="35" t="s">
        <v>462</v>
      </c>
      <c r="C6351" s="35" t="s">
        <v>405</v>
      </c>
      <c r="D6351" s="35" t="s">
        <v>1329</v>
      </c>
      <c r="E6351" s="35" t="s">
        <v>1338</v>
      </c>
      <c r="F6351" s="35" t="s">
        <v>353</v>
      </c>
      <c r="G6351" s="35" t="s">
        <v>368</v>
      </c>
      <c r="H6351" s="35" t="s">
        <v>335</v>
      </c>
    </row>
    <row r="6352" spans="1:8">
      <c r="A6352" s="34">
        <v>2084061701</v>
      </c>
      <c r="B6352" s="35" t="s">
        <v>462</v>
      </c>
      <c r="C6352" s="35" t="s">
        <v>405</v>
      </c>
      <c r="D6352" s="35" t="s">
        <v>1329</v>
      </c>
      <c r="E6352" s="35" t="s">
        <v>1338</v>
      </c>
      <c r="F6352" s="35" t="s">
        <v>353</v>
      </c>
      <c r="G6352" s="35" t="s">
        <v>10</v>
      </c>
      <c r="H6352" s="35" t="s">
        <v>483</v>
      </c>
    </row>
    <row r="6353" spans="1:9">
      <c r="A6353" s="34">
        <v>2084061698</v>
      </c>
      <c r="B6353" s="35" t="s">
        <v>462</v>
      </c>
      <c r="C6353" s="35" t="s">
        <v>405</v>
      </c>
      <c r="D6353" s="35" t="s">
        <v>1329</v>
      </c>
      <c r="E6353" s="35" t="s">
        <v>1338</v>
      </c>
      <c r="F6353" s="35" t="s">
        <v>353</v>
      </c>
      <c r="G6353" s="35" t="s">
        <v>10</v>
      </c>
      <c r="H6353" s="35" t="s">
        <v>397</v>
      </c>
    </row>
    <row r="6354" spans="1:9">
      <c r="A6354" s="34">
        <v>2084061700</v>
      </c>
      <c r="B6354" s="35" t="s">
        <v>462</v>
      </c>
      <c r="C6354" s="35" t="s">
        <v>405</v>
      </c>
      <c r="D6354" s="35" t="s">
        <v>1329</v>
      </c>
      <c r="E6354" s="35" t="s">
        <v>1338</v>
      </c>
      <c r="F6354" s="35" t="s">
        <v>353</v>
      </c>
      <c r="G6354" s="35" t="s">
        <v>10</v>
      </c>
      <c r="H6354" s="35" t="s">
        <v>421</v>
      </c>
    </row>
    <row r="6355" spans="1:9">
      <c r="A6355" s="34">
        <v>2084224760</v>
      </c>
      <c r="B6355" s="35" t="s">
        <v>462</v>
      </c>
      <c r="C6355" s="35" t="s">
        <v>405</v>
      </c>
      <c r="D6355" s="35" t="s">
        <v>1329</v>
      </c>
      <c r="E6355" s="35" t="s">
        <v>1338</v>
      </c>
      <c r="F6355" s="35" t="s">
        <v>353</v>
      </c>
      <c r="G6355" s="35" t="s">
        <v>10</v>
      </c>
      <c r="H6355" s="35" t="s">
        <v>378</v>
      </c>
      <c r="I6355" s="35" t="s">
        <v>374</v>
      </c>
    </row>
    <row r="6356" spans="1:9">
      <c r="A6356" s="34">
        <v>2084224761</v>
      </c>
      <c r="B6356" s="35" t="s">
        <v>462</v>
      </c>
      <c r="C6356" s="35" t="s">
        <v>405</v>
      </c>
      <c r="D6356" s="35" t="s">
        <v>1329</v>
      </c>
      <c r="E6356" s="35" t="s">
        <v>1338</v>
      </c>
      <c r="F6356" s="35" t="s">
        <v>353</v>
      </c>
      <c r="G6356" s="35" t="s">
        <v>10</v>
      </c>
      <c r="H6356" s="35" t="s">
        <v>378</v>
      </c>
      <c r="I6356" s="35" t="s">
        <v>375</v>
      </c>
    </row>
    <row r="6357" spans="1:9">
      <c r="A6357" s="34">
        <v>2084224762</v>
      </c>
      <c r="B6357" s="35" t="s">
        <v>462</v>
      </c>
      <c r="C6357" s="35" t="s">
        <v>405</v>
      </c>
      <c r="D6357" s="35" t="s">
        <v>1329</v>
      </c>
      <c r="E6357" s="35" t="s">
        <v>1338</v>
      </c>
      <c r="F6357" s="35" t="s">
        <v>353</v>
      </c>
      <c r="G6357" s="35" t="s">
        <v>10</v>
      </c>
      <c r="H6357" s="35" t="s">
        <v>378</v>
      </c>
      <c r="I6357" s="35" t="s">
        <v>376</v>
      </c>
    </row>
    <row r="6358" spans="1:9">
      <c r="A6358" s="34">
        <v>2084224763</v>
      </c>
      <c r="B6358" s="35" t="s">
        <v>462</v>
      </c>
      <c r="C6358" s="35" t="s">
        <v>405</v>
      </c>
      <c r="D6358" s="35" t="s">
        <v>1329</v>
      </c>
      <c r="E6358" s="35" t="s">
        <v>1338</v>
      </c>
      <c r="F6358" s="35" t="s">
        <v>353</v>
      </c>
      <c r="G6358" s="35" t="s">
        <v>10</v>
      </c>
      <c r="H6358" s="35" t="s">
        <v>378</v>
      </c>
      <c r="I6358" s="35" t="s">
        <v>377</v>
      </c>
    </row>
    <row r="6359" spans="1:9">
      <c r="A6359" s="34">
        <v>2084061699</v>
      </c>
      <c r="B6359" s="35" t="s">
        <v>462</v>
      </c>
      <c r="C6359" s="35" t="s">
        <v>405</v>
      </c>
      <c r="D6359" s="35" t="s">
        <v>1329</v>
      </c>
      <c r="E6359" s="35" t="s">
        <v>1338</v>
      </c>
      <c r="F6359" s="35" t="s">
        <v>353</v>
      </c>
      <c r="G6359" s="35" t="s">
        <v>10</v>
      </c>
      <c r="H6359" s="35" t="s">
        <v>422</v>
      </c>
    </row>
    <row r="6360" spans="1:9">
      <c r="A6360" s="34">
        <v>2084061702</v>
      </c>
      <c r="B6360" s="35" t="s">
        <v>462</v>
      </c>
      <c r="C6360" s="35" t="s">
        <v>405</v>
      </c>
      <c r="D6360" s="35" t="s">
        <v>1329</v>
      </c>
      <c r="E6360" s="35" t="s">
        <v>1338</v>
      </c>
      <c r="F6360" s="35" t="s">
        <v>353</v>
      </c>
      <c r="G6360" s="35" t="s">
        <v>10</v>
      </c>
      <c r="H6360" s="35" t="s">
        <v>335</v>
      </c>
    </row>
    <row r="6361" spans="1:9">
      <c r="A6361" s="34">
        <v>2084061703</v>
      </c>
      <c r="B6361" s="35" t="s">
        <v>462</v>
      </c>
      <c r="C6361" s="35" t="s">
        <v>405</v>
      </c>
      <c r="D6361" s="35" t="s">
        <v>1329</v>
      </c>
      <c r="E6361" s="35" t="s">
        <v>1338</v>
      </c>
      <c r="F6361" s="35" t="s">
        <v>353</v>
      </c>
      <c r="G6361" s="35" t="s">
        <v>403</v>
      </c>
    </row>
    <row r="6362" spans="1:9">
      <c r="A6362" s="34">
        <v>2084061706</v>
      </c>
      <c r="B6362" s="35" t="s">
        <v>462</v>
      </c>
      <c r="C6362" s="35" t="s">
        <v>405</v>
      </c>
      <c r="D6362" s="35" t="s">
        <v>1329</v>
      </c>
      <c r="E6362" s="35" t="s">
        <v>1338</v>
      </c>
      <c r="F6362" s="35" t="s">
        <v>442</v>
      </c>
      <c r="G6362" s="35" t="s">
        <v>445</v>
      </c>
    </row>
    <row r="6363" spans="1:9">
      <c r="A6363" s="34">
        <v>2084061707</v>
      </c>
      <c r="B6363" s="35" t="s">
        <v>462</v>
      </c>
      <c r="C6363" s="35" t="s">
        <v>405</v>
      </c>
      <c r="D6363" s="35" t="s">
        <v>1329</v>
      </c>
      <c r="E6363" s="35" t="s">
        <v>1338</v>
      </c>
      <c r="F6363" s="35" t="s">
        <v>442</v>
      </c>
      <c r="G6363" s="35" t="s">
        <v>335</v>
      </c>
    </row>
    <row r="6364" spans="1:9">
      <c r="A6364" s="34">
        <v>2084056170</v>
      </c>
      <c r="B6364" s="35" t="s">
        <v>462</v>
      </c>
      <c r="C6364" s="35" t="s">
        <v>405</v>
      </c>
      <c r="D6364" s="35" t="s">
        <v>1329</v>
      </c>
      <c r="E6364" s="35" t="s">
        <v>1338</v>
      </c>
      <c r="F6364" s="35" t="s">
        <v>335</v>
      </c>
    </row>
    <row r="6365" spans="1:9">
      <c r="A6365" s="34">
        <v>2084051201</v>
      </c>
      <c r="B6365" s="35" t="s">
        <v>462</v>
      </c>
      <c r="C6365" s="35" t="s">
        <v>405</v>
      </c>
      <c r="D6365" s="35" t="s">
        <v>1329</v>
      </c>
      <c r="E6365" s="35" t="s">
        <v>1339</v>
      </c>
      <c r="F6365" s="35" t="s">
        <v>475</v>
      </c>
    </row>
    <row r="6366" spans="1:9">
      <c r="A6366" s="34">
        <v>2084051205</v>
      </c>
      <c r="B6366" s="35" t="s">
        <v>462</v>
      </c>
      <c r="C6366" s="35" t="s">
        <v>405</v>
      </c>
      <c r="D6366" s="35" t="s">
        <v>1329</v>
      </c>
      <c r="E6366" s="35" t="s">
        <v>1339</v>
      </c>
      <c r="F6366" s="35" t="s">
        <v>390</v>
      </c>
      <c r="G6366" s="35" t="s">
        <v>368</v>
      </c>
      <c r="H6366" s="35" t="s">
        <v>481</v>
      </c>
    </row>
    <row r="6367" spans="1:9">
      <c r="A6367" s="34">
        <v>2084051206</v>
      </c>
      <c r="B6367" s="35" t="s">
        <v>462</v>
      </c>
      <c r="C6367" s="35" t="s">
        <v>405</v>
      </c>
      <c r="D6367" s="35" t="s">
        <v>1329</v>
      </c>
      <c r="E6367" s="35" t="s">
        <v>1339</v>
      </c>
      <c r="F6367" s="35" t="s">
        <v>390</v>
      </c>
      <c r="G6367" s="35" t="s">
        <v>368</v>
      </c>
      <c r="H6367" s="35" t="s">
        <v>335</v>
      </c>
    </row>
    <row r="6368" spans="1:9">
      <c r="A6368" s="34">
        <v>2084051209</v>
      </c>
      <c r="B6368" s="35" t="s">
        <v>462</v>
      </c>
      <c r="C6368" s="35" t="s">
        <v>405</v>
      </c>
      <c r="D6368" s="35" t="s">
        <v>1329</v>
      </c>
      <c r="E6368" s="35" t="s">
        <v>1339</v>
      </c>
      <c r="F6368" s="35" t="s">
        <v>390</v>
      </c>
      <c r="G6368" s="35" t="s">
        <v>10</v>
      </c>
      <c r="H6368" s="35" t="s">
        <v>397</v>
      </c>
    </row>
    <row r="6369" spans="1:8">
      <c r="A6369" s="34">
        <v>2084051208</v>
      </c>
      <c r="B6369" s="35" t="s">
        <v>462</v>
      </c>
      <c r="C6369" s="35" t="s">
        <v>405</v>
      </c>
      <c r="D6369" s="35" t="s">
        <v>1329</v>
      </c>
      <c r="E6369" s="35" t="s">
        <v>1339</v>
      </c>
      <c r="F6369" s="35" t="s">
        <v>390</v>
      </c>
      <c r="G6369" s="35" t="s">
        <v>10</v>
      </c>
      <c r="H6369" s="35" t="s">
        <v>398</v>
      </c>
    </row>
    <row r="6370" spans="1:8">
      <c r="A6370" s="34">
        <v>2084051210</v>
      </c>
      <c r="B6370" s="35" t="s">
        <v>462</v>
      </c>
      <c r="C6370" s="35" t="s">
        <v>405</v>
      </c>
      <c r="D6370" s="35" t="s">
        <v>1329</v>
      </c>
      <c r="E6370" s="35" t="s">
        <v>1339</v>
      </c>
      <c r="F6370" s="35" t="s">
        <v>390</v>
      </c>
      <c r="G6370" s="35" t="s">
        <v>10</v>
      </c>
      <c r="H6370" s="35" t="s">
        <v>335</v>
      </c>
    </row>
    <row r="6371" spans="1:8">
      <c r="A6371" s="34">
        <v>2084051212</v>
      </c>
      <c r="B6371" s="35" t="s">
        <v>462</v>
      </c>
      <c r="C6371" s="35" t="s">
        <v>405</v>
      </c>
      <c r="D6371" s="35" t="s">
        <v>1329</v>
      </c>
      <c r="E6371" s="35" t="s">
        <v>1339</v>
      </c>
      <c r="F6371" s="35" t="s">
        <v>390</v>
      </c>
      <c r="G6371" s="35" t="s">
        <v>379</v>
      </c>
      <c r="H6371" s="35" t="s">
        <v>476</v>
      </c>
    </row>
    <row r="6372" spans="1:8">
      <c r="A6372" s="34">
        <v>2084051213</v>
      </c>
      <c r="B6372" s="35" t="s">
        <v>462</v>
      </c>
      <c r="C6372" s="35" t="s">
        <v>405</v>
      </c>
      <c r="D6372" s="35" t="s">
        <v>1329</v>
      </c>
      <c r="E6372" s="35" t="s">
        <v>1339</v>
      </c>
      <c r="F6372" s="35" t="s">
        <v>390</v>
      </c>
      <c r="G6372" s="35" t="s">
        <v>379</v>
      </c>
      <c r="H6372" s="35" t="s">
        <v>335</v>
      </c>
    </row>
    <row r="6373" spans="1:8">
      <c r="A6373" s="34">
        <v>2084051203</v>
      </c>
      <c r="B6373" s="35" t="s">
        <v>462</v>
      </c>
      <c r="C6373" s="35" t="s">
        <v>405</v>
      </c>
      <c r="D6373" s="35" t="s">
        <v>1329</v>
      </c>
      <c r="E6373" s="35" t="s">
        <v>1339</v>
      </c>
      <c r="F6373" s="35" t="s">
        <v>390</v>
      </c>
      <c r="G6373" s="35" t="s">
        <v>335</v>
      </c>
    </row>
    <row r="6374" spans="1:8">
      <c r="A6374" s="34">
        <v>2084217276</v>
      </c>
      <c r="B6374" s="35" t="s">
        <v>462</v>
      </c>
      <c r="C6374" s="35" t="s">
        <v>405</v>
      </c>
      <c r="D6374" s="35" t="s">
        <v>1329</v>
      </c>
      <c r="E6374" s="35" t="s">
        <v>1339</v>
      </c>
      <c r="F6374" s="35" t="s">
        <v>353</v>
      </c>
      <c r="G6374" s="35" t="s">
        <v>954</v>
      </c>
      <c r="H6374" s="35" t="s">
        <v>374</v>
      </c>
    </row>
    <row r="6375" spans="1:8">
      <c r="A6375" s="34">
        <v>2084217277</v>
      </c>
      <c r="B6375" s="35" t="s">
        <v>462</v>
      </c>
      <c r="C6375" s="35" t="s">
        <v>405</v>
      </c>
      <c r="D6375" s="35" t="s">
        <v>1329</v>
      </c>
      <c r="E6375" s="35" t="s">
        <v>1339</v>
      </c>
      <c r="F6375" s="35" t="s">
        <v>353</v>
      </c>
      <c r="G6375" s="35" t="s">
        <v>954</v>
      </c>
      <c r="H6375" s="35" t="s">
        <v>375</v>
      </c>
    </row>
    <row r="6376" spans="1:8">
      <c r="A6376" s="34">
        <v>2084217278</v>
      </c>
      <c r="B6376" s="35" t="s">
        <v>462</v>
      </c>
      <c r="C6376" s="35" t="s">
        <v>405</v>
      </c>
      <c r="D6376" s="35" t="s">
        <v>1329</v>
      </c>
      <c r="E6376" s="35" t="s">
        <v>1339</v>
      </c>
      <c r="F6376" s="35" t="s">
        <v>353</v>
      </c>
      <c r="G6376" s="35" t="s">
        <v>954</v>
      </c>
      <c r="H6376" s="35" t="s">
        <v>393</v>
      </c>
    </row>
    <row r="6377" spans="1:8">
      <c r="A6377" s="34">
        <v>2084030698</v>
      </c>
      <c r="B6377" s="35" t="s">
        <v>462</v>
      </c>
      <c r="C6377" s="35" t="s">
        <v>405</v>
      </c>
      <c r="D6377" s="35" t="s">
        <v>1329</v>
      </c>
      <c r="E6377" s="35" t="s">
        <v>1339</v>
      </c>
      <c r="F6377" s="35" t="s">
        <v>353</v>
      </c>
      <c r="G6377" s="35" t="s">
        <v>481</v>
      </c>
    </row>
    <row r="6378" spans="1:8">
      <c r="A6378" s="34">
        <v>2084031594</v>
      </c>
      <c r="B6378" s="35" t="s">
        <v>462</v>
      </c>
      <c r="C6378" s="35" t="s">
        <v>405</v>
      </c>
      <c r="D6378" s="35" t="s">
        <v>1329</v>
      </c>
      <c r="E6378" s="35" t="s">
        <v>1339</v>
      </c>
      <c r="F6378" s="35" t="s">
        <v>353</v>
      </c>
      <c r="G6378" s="35" t="s">
        <v>483</v>
      </c>
    </row>
    <row r="6379" spans="1:8">
      <c r="A6379" s="34">
        <v>2084031471</v>
      </c>
      <c r="B6379" s="35" t="s">
        <v>462</v>
      </c>
      <c r="C6379" s="35" t="s">
        <v>405</v>
      </c>
      <c r="D6379" s="35" t="s">
        <v>1329</v>
      </c>
      <c r="E6379" s="35" t="s">
        <v>1339</v>
      </c>
      <c r="F6379" s="35" t="s">
        <v>353</v>
      </c>
      <c r="G6379" s="35" t="s">
        <v>482</v>
      </c>
    </row>
    <row r="6380" spans="1:8">
      <c r="A6380" s="34">
        <v>2084030247</v>
      </c>
      <c r="B6380" s="35" t="s">
        <v>462</v>
      </c>
      <c r="C6380" s="35" t="s">
        <v>405</v>
      </c>
      <c r="D6380" s="35" t="s">
        <v>1329</v>
      </c>
      <c r="E6380" s="35" t="s">
        <v>1339</v>
      </c>
      <c r="F6380" s="35" t="s">
        <v>353</v>
      </c>
      <c r="G6380" s="35" t="s">
        <v>493</v>
      </c>
    </row>
    <row r="6381" spans="1:8">
      <c r="A6381" s="34">
        <v>2084031382</v>
      </c>
      <c r="B6381" s="35" t="s">
        <v>462</v>
      </c>
      <c r="C6381" s="35" t="s">
        <v>405</v>
      </c>
      <c r="D6381" s="35" t="s">
        <v>1329</v>
      </c>
      <c r="E6381" s="35" t="s">
        <v>1339</v>
      </c>
      <c r="F6381" s="35" t="s">
        <v>353</v>
      </c>
      <c r="G6381" s="35" t="s">
        <v>494</v>
      </c>
    </row>
    <row r="6382" spans="1:8">
      <c r="A6382" s="34">
        <v>2084051197</v>
      </c>
      <c r="B6382" s="35" t="s">
        <v>462</v>
      </c>
      <c r="C6382" s="35" t="s">
        <v>405</v>
      </c>
      <c r="D6382" s="35" t="s">
        <v>1329</v>
      </c>
      <c r="E6382" s="35" t="s">
        <v>1339</v>
      </c>
      <c r="F6382" s="35" t="s">
        <v>353</v>
      </c>
      <c r="G6382" s="35" t="s">
        <v>403</v>
      </c>
    </row>
    <row r="6383" spans="1:8">
      <c r="A6383" s="34">
        <v>2084031530</v>
      </c>
      <c r="B6383" s="35" t="s">
        <v>462</v>
      </c>
      <c r="C6383" s="35" t="s">
        <v>405</v>
      </c>
      <c r="D6383" s="35" t="s">
        <v>1329</v>
      </c>
      <c r="E6383" s="35" t="s">
        <v>1339</v>
      </c>
      <c r="F6383" s="35" t="s">
        <v>353</v>
      </c>
      <c r="G6383" s="35" t="s">
        <v>397</v>
      </c>
    </row>
    <row r="6384" spans="1:8">
      <c r="A6384" s="34">
        <v>2084221894</v>
      </c>
      <c r="B6384" s="35" t="s">
        <v>462</v>
      </c>
      <c r="C6384" s="35" t="s">
        <v>405</v>
      </c>
      <c r="D6384" s="35" t="s">
        <v>1329</v>
      </c>
      <c r="E6384" s="35" t="s">
        <v>1339</v>
      </c>
      <c r="F6384" s="35" t="s">
        <v>353</v>
      </c>
      <c r="G6384" s="35" t="s">
        <v>887</v>
      </c>
      <c r="H6384" s="35" t="s">
        <v>391</v>
      </c>
    </row>
    <row r="6385" spans="1:8">
      <c r="A6385" s="34">
        <v>2084221895</v>
      </c>
      <c r="B6385" s="35" t="s">
        <v>462</v>
      </c>
      <c r="C6385" s="35" t="s">
        <v>405</v>
      </c>
      <c r="D6385" s="35" t="s">
        <v>1329</v>
      </c>
      <c r="E6385" s="35" t="s">
        <v>1339</v>
      </c>
      <c r="F6385" s="35" t="s">
        <v>353</v>
      </c>
      <c r="G6385" s="35" t="s">
        <v>887</v>
      </c>
      <c r="H6385" s="35" t="s">
        <v>392</v>
      </c>
    </row>
    <row r="6386" spans="1:8">
      <c r="A6386" s="34">
        <v>2084221896</v>
      </c>
      <c r="B6386" s="35" t="s">
        <v>462</v>
      </c>
      <c r="C6386" s="35" t="s">
        <v>405</v>
      </c>
      <c r="D6386" s="35" t="s">
        <v>1329</v>
      </c>
      <c r="E6386" s="35" t="s">
        <v>1339</v>
      </c>
      <c r="F6386" s="35" t="s">
        <v>353</v>
      </c>
      <c r="G6386" s="35" t="s">
        <v>887</v>
      </c>
      <c r="H6386" s="35" t="s">
        <v>375</v>
      </c>
    </row>
    <row r="6387" spans="1:8">
      <c r="A6387" s="34">
        <v>2084221897</v>
      </c>
      <c r="B6387" s="35" t="s">
        <v>462</v>
      </c>
      <c r="C6387" s="35" t="s">
        <v>405</v>
      </c>
      <c r="D6387" s="35" t="s">
        <v>1329</v>
      </c>
      <c r="E6387" s="35" t="s">
        <v>1339</v>
      </c>
      <c r="F6387" s="35" t="s">
        <v>353</v>
      </c>
      <c r="G6387" s="35" t="s">
        <v>887</v>
      </c>
      <c r="H6387" s="35" t="s">
        <v>376</v>
      </c>
    </row>
    <row r="6388" spans="1:8">
      <c r="A6388" s="34">
        <v>2084221898</v>
      </c>
      <c r="B6388" s="35" t="s">
        <v>462</v>
      </c>
      <c r="C6388" s="35" t="s">
        <v>405</v>
      </c>
      <c r="D6388" s="35" t="s">
        <v>1329</v>
      </c>
      <c r="E6388" s="35" t="s">
        <v>1339</v>
      </c>
      <c r="F6388" s="35" t="s">
        <v>353</v>
      </c>
      <c r="G6388" s="35" t="s">
        <v>887</v>
      </c>
      <c r="H6388" s="35" t="s">
        <v>377</v>
      </c>
    </row>
    <row r="6389" spans="1:8">
      <c r="A6389" s="34">
        <v>2084224764</v>
      </c>
      <c r="B6389" s="35" t="s">
        <v>462</v>
      </c>
      <c r="C6389" s="35" t="s">
        <v>405</v>
      </c>
      <c r="D6389" s="35" t="s">
        <v>1329</v>
      </c>
      <c r="E6389" s="35" t="s">
        <v>1339</v>
      </c>
      <c r="F6389" s="35" t="s">
        <v>353</v>
      </c>
      <c r="G6389" s="35" t="s">
        <v>378</v>
      </c>
      <c r="H6389" s="35" t="s">
        <v>374</v>
      </c>
    </row>
    <row r="6390" spans="1:8">
      <c r="A6390" s="34">
        <v>2084224765</v>
      </c>
      <c r="B6390" s="35" t="s">
        <v>462</v>
      </c>
      <c r="C6390" s="35" t="s">
        <v>405</v>
      </c>
      <c r="D6390" s="35" t="s">
        <v>1329</v>
      </c>
      <c r="E6390" s="35" t="s">
        <v>1339</v>
      </c>
      <c r="F6390" s="35" t="s">
        <v>353</v>
      </c>
      <c r="G6390" s="35" t="s">
        <v>378</v>
      </c>
      <c r="H6390" s="35" t="s">
        <v>375</v>
      </c>
    </row>
    <row r="6391" spans="1:8">
      <c r="A6391" s="34">
        <v>2084224766</v>
      </c>
      <c r="B6391" s="35" t="s">
        <v>462</v>
      </c>
      <c r="C6391" s="35" t="s">
        <v>405</v>
      </c>
      <c r="D6391" s="35" t="s">
        <v>1329</v>
      </c>
      <c r="E6391" s="35" t="s">
        <v>1339</v>
      </c>
      <c r="F6391" s="35" t="s">
        <v>353</v>
      </c>
      <c r="G6391" s="35" t="s">
        <v>378</v>
      </c>
      <c r="H6391" s="35" t="s">
        <v>393</v>
      </c>
    </row>
    <row r="6392" spans="1:8">
      <c r="A6392" s="34">
        <v>2084030332</v>
      </c>
      <c r="B6392" s="35" t="s">
        <v>462</v>
      </c>
      <c r="C6392" s="35" t="s">
        <v>405</v>
      </c>
      <c r="D6392" s="35" t="s">
        <v>1329</v>
      </c>
      <c r="E6392" s="35" t="s">
        <v>1339</v>
      </c>
      <c r="F6392" s="35" t="s">
        <v>353</v>
      </c>
      <c r="G6392" s="35" t="s">
        <v>422</v>
      </c>
    </row>
    <row r="6393" spans="1:8">
      <c r="A6393" s="34">
        <v>2084053590</v>
      </c>
      <c r="B6393" s="35" t="s">
        <v>462</v>
      </c>
      <c r="C6393" s="35" t="s">
        <v>405</v>
      </c>
      <c r="D6393" s="35" t="s">
        <v>1329</v>
      </c>
      <c r="E6393" s="35" t="s">
        <v>1339</v>
      </c>
      <c r="F6393" s="35" t="s">
        <v>353</v>
      </c>
      <c r="G6393" s="35" t="s">
        <v>549</v>
      </c>
    </row>
    <row r="6394" spans="1:8">
      <c r="A6394" s="34">
        <v>2084051198</v>
      </c>
      <c r="B6394" s="35" t="s">
        <v>462</v>
      </c>
      <c r="C6394" s="35" t="s">
        <v>405</v>
      </c>
      <c r="D6394" s="35" t="s">
        <v>1329</v>
      </c>
      <c r="E6394" s="35" t="s">
        <v>1339</v>
      </c>
      <c r="F6394" s="35" t="s">
        <v>353</v>
      </c>
      <c r="G6394" s="35" t="s">
        <v>335</v>
      </c>
    </row>
    <row r="6395" spans="1:8">
      <c r="A6395" s="34">
        <v>2084036199</v>
      </c>
      <c r="B6395" s="35" t="s">
        <v>462</v>
      </c>
      <c r="C6395" s="35" t="s">
        <v>405</v>
      </c>
      <c r="D6395" s="35" t="s">
        <v>1329</v>
      </c>
      <c r="E6395" s="35" t="s">
        <v>1339</v>
      </c>
      <c r="F6395" s="35" t="s">
        <v>442</v>
      </c>
      <c r="G6395" s="35" t="s">
        <v>569</v>
      </c>
    </row>
    <row r="6396" spans="1:8">
      <c r="A6396" s="34">
        <v>2084051199</v>
      </c>
      <c r="B6396" s="35" t="s">
        <v>462</v>
      </c>
      <c r="C6396" s="35" t="s">
        <v>405</v>
      </c>
      <c r="D6396" s="35" t="s">
        <v>1329</v>
      </c>
      <c r="E6396" s="35" t="s">
        <v>1339</v>
      </c>
      <c r="F6396" s="35" t="s">
        <v>442</v>
      </c>
      <c r="G6396" s="35" t="s">
        <v>504</v>
      </c>
    </row>
    <row r="6397" spans="1:8">
      <c r="A6397" s="34">
        <v>2084051200</v>
      </c>
      <c r="B6397" s="35" t="s">
        <v>462</v>
      </c>
      <c r="C6397" s="35" t="s">
        <v>405</v>
      </c>
      <c r="D6397" s="35" t="s">
        <v>1329</v>
      </c>
      <c r="E6397" s="35" t="s">
        <v>1339</v>
      </c>
      <c r="F6397" s="35" t="s">
        <v>442</v>
      </c>
      <c r="G6397" s="35" t="s">
        <v>335</v>
      </c>
    </row>
    <row r="6398" spans="1:8">
      <c r="A6398" s="34">
        <v>2084048772</v>
      </c>
      <c r="B6398" s="35" t="s">
        <v>462</v>
      </c>
      <c r="C6398" s="35" t="s">
        <v>405</v>
      </c>
      <c r="D6398" s="35" t="s">
        <v>1329</v>
      </c>
      <c r="E6398" s="35" t="s">
        <v>1339</v>
      </c>
      <c r="F6398" s="35" t="s">
        <v>335</v>
      </c>
    </row>
    <row r="6399" spans="1:8">
      <c r="A6399" s="34">
        <v>2084255901</v>
      </c>
      <c r="B6399" s="35" t="s">
        <v>462</v>
      </c>
      <c r="C6399" s="35" t="s">
        <v>405</v>
      </c>
      <c r="D6399" s="35" t="s">
        <v>1329</v>
      </c>
      <c r="E6399" s="35" t="s">
        <v>1340</v>
      </c>
      <c r="F6399" s="35" t="s">
        <v>407</v>
      </c>
    </row>
    <row r="6400" spans="1:8">
      <c r="A6400" s="34">
        <v>2084255900</v>
      </c>
      <c r="B6400" s="35" t="s">
        <v>462</v>
      </c>
      <c r="C6400" s="35" t="s">
        <v>405</v>
      </c>
      <c r="D6400" s="35" t="s">
        <v>1329</v>
      </c>
      <c r="E6400" s="35" t="s">
        <v>1340</v>
      </c>
      <c r="F6400" s="35" t="s">
        <v>408</v>
      </c>
    </row>
    <row r="6401" spans="1:8">
      <c r="A6401" s="34">
        <v>2084054177</v>
      </c>
      <c r="B6401" s="35" t="s">
        <v>462</v>
      </c>
      <c r="C6401" s="35" t="s">
        <v>405</v>
      </c>
      <c r="D6401" s="35" t="s">
        <v>1329</v>
      </c>
      <c r="E6401" s="35" t="s">
        <v>1341</v>
      </c>
      <c r="F6401" s="35" t="s">
        <v>390</v>
      </c>
      <c r="G6401" s="35" t="s">
        <v>367</v>
      </c>
    </row>
    <row r="6402" spans="1:8">
      <c r="A6402" s="34">
        <v>2084054180</v>
      </c>
      <c r="B6402" s="35" t="s">
        <v>462</v>
      </c>
      <c r="C6402" s="35" t="s">
        <v>405</v>
      </c>
      <c r="D6402" s="35" t="s">
        <v>1329</v>
      </c>
      <c r="E6402" s="35" t="s">
        <v>1341</v>
      </c>
      <c r="F6402" s="35" t="s">
        <v>390</v>
      </c>
      <c r="G6402" s="35" t="s">
        <v>368</v>
      </c>
      <c r="H6402" s="35" t="s">
        <v>481</v>
      </c>
    </row>
    <row r="6403" spans="1:8">
      <c r="A6403" s="34">
        <v>2084054179</v>
      </c>
      <c r="B6403" s="35" t="s">
        <v>462</v>
      </c>
      <c r="C6403" s="35" t="s">
        <v>405</v>
      </c>
      <c r="D6403" s="35" t="s">
        <v>1329</v>
      </c>
      <c r="E6403" s="35" t="s">
        <v>1341</v>
      </c>
      <c r="F6403" s="35" t="s">
        <v>390</v>
      </c>
      <c r="G6403" s="35" t="s">
        <v>368</v>
      </c>
      <c r="H6403" s="35" t="s">
        <v>482</v>
      </c>
    </row>
    <row r="6404" spans="1:8">
      <c r="A6404" s="34">
        <v>2084054181</v>
      </c>
      <c r="B6404" s="35" t="s">
        <v>462</v>
      </c>
      <c r="C6404" s="35" t="s">
        <v>405</v>
      </c>
      <c r="D6404" s="35" t="s">
        <v>1329</v>
      </c>
      <c r="E6404" s="35" t="s">
        <v>1341</v>
      </c>
      <c r="F6404" s="35" t="s">
        <v>390</v>
      </c>
      <c r="G6404" s="35" t="s">
        <v>368</v>
      </c>
      <c r="H6404" s="35" t="s">
        <v>335</v>
      </c>
    </row>
    <row r="6405" spans="1:8">
      <c r="A6405" s="34">
        <v>2084054187</v>
      </c>
      <c r="B6405" s="35" t="s">
        <v>462</v>
      </c>
      <c r="C6405" s="35" t="s">
        <v>405</v>
      </c>
      <c r="D6405" s="35" t="s">
        <v>1329</v>
      </c>
      <c r="E6405" s="35" t="s">
        <v>1341</v>
      </c>
      <c r="F6405" s="35" t="s">
        <v>390</v>
      </c>
      <c r="G6405" s="35" t="s">
        <v>10</v>
      </c>
      <c r="H6405" s="35" t="s">
        <v>483</v>
      </c>
    </row>
    <row r="6406" spans="1:8">
      <c r="A6406" s="34">
        <v>2084054184</v>
      </c>
      <c r="B6406" s="35" t="s">
        <v>462</v>
      </c>
      <c r="C6406" s="35" t="s">
        <v>405</v>
      </c>
      <c r="D6406" s="35" t="s">
        <v>1329</v>
      </c>
      <c r="E6406" s="35" t="s">
        <v>1341</v>
      </c>
      <c r="F6406" s="35" t="s">
        <v>390</v>
      </c>
      <c r="G6406" s="35" t="s">
        <v>10</v>
      </c>
      <c r="H6406" s="35" t="s">
        <v>397</v>
      </c>
    </row>
    <row r="6407" spans="1:8">
      <c r="A6407" s="34">
        <v>2084054186</v>
      </c>
      <c r="B6407" s="35" t="s">
        <v>462</v>
      </c>
      <c r="C6407" s="35" t="s">
        <v>405</v>
      </c>
      <c r="D6407" s="35" t="s">
        <v>1329</v>
      </c>
      <c r="E6407" s="35" t="s">
        <v>1341</v>
      </c>
      <c r="F6407" s="35" t="s">
        <v>390</v>
      </c>
      <c r="G6407" s="35" t="s">
        <v>10</v>
      </c>
      <c r="H6407" s="35" t="s">
        <v>421</v>
      </c>
    </row>
    <row r="6408" spans="1:8">
      <c r="A6408" s="34">
        <v>2084054183</v>
      </c>
      <c r="B6408" s="35" t="s">
        <v>462</v>
      </c>
      <c r="C6408" s="35" t="s">
        <v>405</v>
      </c>
      <c r="D6408" s="35" t="s">
        <v>1329</v>
      </c>
      <c r="E6408" s="35" t="s">
        <v>1341</v>
      </c>
      <c r="F6408" s="35" t="s">
        <v>390</v>
      </c>
      <c r="G6408" s="35" t="s">
        <v>10</v>
      </c>
      <c r="H6408" s="35" t="s">
        <v>398</v>
      </c>
    </row>
    <row r="6409" spans="1:8">
      <c r="A6409" s="34">
        <v>2084054185</v>
      </c>
      <c r="B6409" s="35" t="s">
        <v>462</v>
      </c>
      <c r="C6409" s="35" t="s">
        <v>405</v>
      </c>
      <c r="D6409" s="35" t="s">
        <v>1329</v>
      </c>
      <c r="E6409" s="35" t="s">
        <v>1341</v>
      </c>
      <c r="F6409" s="35" t="s">
        <v>390</v>
      </c>
      <c r="G6409" s="35" t="s">
        <v>10</v>
      </c>
      <c r="H6409" s="35" t="s">
        <v>422</v>
      </c>
    </row>
    <row r="6410" spans="1:8">
      <c r="A6410" s="34">
        <v>2084054188</v>
      </c>
      <c r="B6410" s="35" t="s">
        <v>462</v>
      </c>
      <c r="C6410" s="35" t="s">
        <v>405</v>
      </c>
      <c r="D6410" s="35" t="s">
        <v>1329</v>
      </c>
      <c r="E6410" s="35" t="s">
        <v>1341</v>
      </c>
      <c r="F6410" s="35" t="s">
        <v>390</v>
      </c>
      <c r="G6410" s="35" t="s">
        <v>10</v>
      </c>
      <c r="H6410" s="35" t="s">
        <v>335</v>
      </c>
    </row>
    <row r="6411" spans="1:8">
      <c r="A6411" s="34">
        <v>2084054190</v>
      </c>
      <c r="B6411" s="35" t="s">
        <v>462</v>
      </c>
      <c r="C6411" s="35" t="s">
        <v>405</v>
      </c>
      <c r="D6411" s="35" t="s">
        <v>1329</v>
      </c>
      <c r="E6411" s="35" t="s">
        <v>1341</v>
      </c>
      <c r="F6411" s="35" t="s">
        <v>390</v>
      </c>
      <c r="G6411" s="35" t="s">
        <v>379</v>
      </c>
      <c r="H6411" s="35" t="s">
        <v>476</v>
      </c>
    </row>
    <row r="6412" spans="1:8">
      <c r="A6412" s="34">
        <v>2084054191</v>
      </c>
      <c r="B6412" s="35" t="s">
        <v>462</v>
      </c>
      <c r="C6412" s="35" t="s">
        <v>405</v>
      </c>
      <c r="D6412" s="35" t="s">
        <v>1329</v>
      </c>
      <c r="E6412" s="35" t="s">
        <v>1341</v>
      </c>
      <c r="F6412" s="35" t="s">
        <v>390</v>
      </c>
      <c r="G6412" s="35" t="s">
        <v>379</v>
      </c>
      <c r="H6412" s="35" t="s">
        <v>335</v>
      </c>
    </row>
    <row r="6413" spans="1:8">
      <c r="A6413" s="34">
        <v>2084054192</v>
      </c>
      <c r="B6413" s="35" t="s">
        <v>462</v>
      </c>
      <c r="C6413" s="35" t="s">
        <v>405</v>
      </c>
      <c r="D6413" s="35" t="s">
        <v>1329</v>
      </c>
      <c r="E6413" s="35" t="s">
        <v>1341</v>
      </c>
      <c r="F6413" s="35" t="s">
        <v>390</v>
      </c>
      <c r="G6413" s="35" t="s">
        <v>335</v>
      </c>
    </row>
    <row r="6414" spans="1:8">
      <c r="A6414" s="34">
        <v>2084054165</v>
      </c>
      <c r="B6414" s="35" t="s">
        <v>462</v>
      </c>
      <c r="C6414" s="35" t="s">
        <v>405</v>
      </c>
      <c r="D6414" s="35" t="s">
        <v>1329</v>
      </c>
      <c r="E6414" s="35" t="s">
        <v>1341</v>
      </c>
      <c r="F6414" s="35" t="s">
        <v>353</v>
      </c>
      <c r="G6414" s="35" t="s">
        <v>367</v>
      </c>
    </row>
    <row r="6415" spans="1:8">
      <c r="A6415" s="34">
        <v>2084054166</v>
      </c>
      <c r="B6415" s="35" t="s">
        <v>462</v>
      </c>
      <c r="C6415" s="35" t="s">
        <v>405</v>
      </c>
      <c r="D6415" s="35" t="s">
        <v>1329</v>
      </c>
      <c r="E6415" s="35" t="s">
        <v>1341</v>
      </c>
      <c r="F6415" s="35" t="s">
        <v>353</v>
      </c>
      <c r="G6415" s="35" t="s">
        <v>401</v>
      </c>
    </row>
    <row r="6416" spans="1:8">
      <c r="A6416" s="34">
        <v>2084054172</v>
      </c>
      <c r="B6416" s="35" t="s">
        <v>462</v>
      </c>
      <c r="C6416" s="35" t="s">
        <v>405</v>
      </c>
      <c r="D6416" s="35" t="s">
        <v>1329</v>
      </c>
      <c r="E6416" s="35" t="s">
        <v>1341</v>
      </c>
      <c r="F6416" s="35" t="s">
        <v>353</v>
      </c>
      <c r="G6416" s="35" t="s">
        <v>10</v>
      </c>
      <c r="H6416" s="35" t="s">
        <v>483</v>
      </c>
    </row>
    <row r="6417" spans="1:8">
      <c r="A6417" s="34">
        <v>2084054169</v>
      </c>
      <c r="B6417" s="35" t="s">
        <v>462</v>
      </c>
      <c r="C6417" s="35" t="s">
        <v>405</v>
      </c>
      <c r="D6417" s="35" t="s">
        <v>1329</v>
      </c>
      <c r="E6417" s="35" t="s">
        <v>1341</v>
      </c>
      <c r="F6417" s="35" t="s">
        <v>353</v>
      </c>
      <c r="G6417" s="35" t="s">
        <v>10</v>
      </c>
      <c r="H6417" s="35" t="s">
        <v>397</v>
      </c>
    </row>
    <row r="6418" spans="1:8">
      <c r="A6418" s="34">
        <v>2084054171</v>
      </c>
      <c r="B6418" s="35" t="s">
        <v>462</v>
      </c>
      <c r="C6418" s="35" t="s">
        <v>405</v>
      </c>
      <c r="D6418" s="35" t="s">
        <v>1329</v>
      </c>
      <c r="E6418" s="35" t="s">
        <v>1341</v>
      </c>
      <c r="F6418" s="35" t="s">
        <v>353</v>
      </c>
      <c r="G6418" s="35" t="s">
        <v>10</v>
      </c>
      <c r="H6418" s="35" t="s">
        <v>421</v>
      </c>
    </row>
    <row r="6419" spans="1:8">
      <c r="A6419" s="34">
        <v>2084054168</v>
      </c>
      <c r="B6419" s="35" t="s">
        <v>462</v>
      </c>
      <c r="C6419" s="35" t="s">
        <v>405</v>
      </c>
      <c r="D6419" s="35" t="s">
        <v>1329</v>
      </c>
      <c r="E6419" s="35" t="s">
        <v>1341</v>
      </c>
      <c r="F6419" s="35" t="s">
        <v>353</v>
      </c>
      <c r="G6419" s="35" t="s">
        <v>10</v>
      </c>
      <c r="H6419" s="35" t="s">
        <v>398</v>
      </c>
    </row>
    <row r="6420" spans="1:8">
      <c r="A6420" s="34">
        <v>2084054170</v>
      </c>
      <c r="B6420" s="35" t="s">
        <v>462</v>
      </c>
      <c r="C6420" s="35" t="s">
        <v>405</v>
      </c>
      <c r="D6420" s="35" t="s">
        <v>1329</v>
      </c>
      <c r="E6420" s="35" t="s">
        <v>1341</v>
      </c>
      <c r="F6420" s="35" t="s">
        <v>353</v>
      </c>
      <c r="G6420" s="35" t="s">
        <v>10</v>
      </c>
      <c r="H6420" s="35" t="s">
        <v>422</v>
      </c>
    </row>
    <row r="6421" spans="1:8">
      <c r="A6421" s="34">
        <v>2084054173</v>
      </c>
      <c r="B6421" s="35" t="s">
        <v>462</v>
      </c>
      <c r="C6421" s="35" t="s">
        <v>405</v>
      </c>
      <c r="D6421" s="35" t="s">
        <v>1329</v>
      </c>
      <c r="E6421" s="35" t="s">
        <v>1341</v>
      </c>
      <c r="F6421" s="35" t="s">
        <v>353</v>
      </c>
      <c r="G6421" s="35" t="s">
        <v>10</v>
      </c>
      <c r="H6421" s="35" t="s">
        <v>335</v>
      </c>
    </row>
    <row r="6422" spans="1:8">
      <c r="A6422" s="34">
        <v>2084054174</v>
      </c>
      <c r="B6422" s="35" t="s">
        <v>462</v>
      </c>
      <c r="C6422" s="35" t="s">
        <v>405</v>
      </c>
      <c r="D6422" s="35" t="s">
        <v>1329</v>
      </c>
      <c r="E6422" s="35" t="s">
        <v>1341</v>
      </c>
      <c r="F6422" s="35" t="s">
        <v>353</v>
      </c>
      <c r="G6422" s="35" t="s">
        <v>403</v>
      </c>
    </row>
    <row r="6423" spans="1:8">
      <c r="A6423" s="34">
        <v>2084054175</v>
      </c>
      <c r="B6423" s="35" t="s">
        <v>462</v>
      </c>
      <c r="C6423" s="35" t="s">
        <v>405</v>
      </c>
      <c r="D6423" s="35" t="s">
        <v>1329</v>
      </c>
      <c r="E6423" s="35" t="s">
        <v>1341</v>
      </c>
      <c r="F6423" s="35" t="s">
        <v>353</v>
      </c>
      <c r="G6423" s="35" t="s">
        <v>335</v>
      </c>
    </row>
    <row r="6424" spans="1:8">
      <c r="A6424" s="34">
        <v>2084054193</v>
      </c>
      <c r="B6424" s="35" t="s">
        <v>462</v>
      </c>
      <c r="C6424" s="35" t="s">
        <v>405</v>
      </c>
      <c r="D6424" s="35" t="s">
        <v>1329</v>
      </c>
      <c r="E6424" s="35" t="s">
        <v>1341</v>
      </c>
      <c r="F6424" s="35" t="s">
        <v>335</v>
      </c>
    </row>
    <row r="6425" spans="1:8">
      <c r="A6425" s="34">
        <v>2084260045</v>
      </c>
      <c r="B6425" s="35" t="s">
        <v>462</v>
      </c>
      <c r="C6425" s="35" t="s">
        <v>405</v>
      </c>
      <c r="D6425" s="35" t="s">
        <v>1329</v>
      </c>
      <c r="E6425" s="35" t="s">
        <v>1342</v>
      </c>
    </row>
    <row r="6426" spans="1:8">
      <c r="A6426" s="34">
        <v>2084261402</v>
      </c>
      <c r="B6426" s="35" t="s">
        <v>462</v>
      </c>
      <c r="C6426" s="35" t="s">
        <v>405</v>
      </c>
      <c r="D6426" s="35" t="s">
        <v>1329</v>
      </c>
      <c r="E6426" s="35" t="s">
        <v>1343</v>
      </c>
    </row>
    <row r="6427" spans="1:8">
      <c r="A6427" s="34">
        <v>2084232959</v>
      </c>
      <c r="B6427" s="35" t="s">
        <v>462</v>
      </c>
      <c r="C6427" s="35" t="s">
        <v>405</v>
      </c>
      <c r="D6427" s="35" t="s">
        <v>1329</v>
      </c>
      <c r="E6427" s="35" t="s">
        <v>1344</v>
      </c>
    </row>
    <row r="6428" spans="1:8">
      <c r="A6428" s="34">
        <v>2084050308</v>
      </c>
      <c r="B6428" s="35" t="s">
        <v>462</v>
      </c>
      <c r="C6428" s="35" t="s">
        <v>405</v>
      </c>
      <c r="D6428" s="35" t="s">
        <v>1329</v>
      </c>
      <c r="E6428" s="35" t="s">
        <v>1345</v>
      </c>
    </row>
    <row r="6429" spans="1:8">
      <c r="A6429" s="34">
        <v>2084312252</v>
      </c>
      <c r="B6429" s="35" t="s">
        <v>462</v>
      </c>
      <c r="C6429" s="35" t="s">
        <v>405</v>
      </c>
      <c r="D6429" s="35" t="s">
        <v>1329</v>
      </c>
      <c r="E6429" s="35" t="s">
        <v>1346</v>
      </c>
      <c r="F6429" s="35" t="s">
        <v>401</v>
      </c>
    </row>
    <row r="6430" spans="1:8">
      <c r="A6430" s="34">
        <v>2084312253</v>
      </c>
      <c r="B6430" s="35" t="s">
        <v>462</v>
      </c>
      <c r="C6430" s="35" t="s">
        <v>405</v>
      </c>
      <c r="D6430" s="35" t="s">
        <v>1329</v>
      </c>
      <c r="E6430" s="35" t="s">
        <v>1346</v>
      </c>
      <c r="F6430" s="35" t="s">
        <v>402</v>
      </c>
    </row>
    <row r="6431" spans="1:8">
      <c r="A6431" s="34">
        <v>2084312254</v>
      </c>
      <c r="B6431" s="35" t="s">
        <v>462</v>
      </c>
      <c r="C6431" s="35" t="s">
        <v>405</v>
      </c>
      <c r="D6431" s="35" t="s">
        <v>1329</v>
      </c>
      <c r="E6431" s="35" t="s">
        <v>1346</v>
      </c>
      <c r="F6431" s="35" t="s">
        <v>477</v>
      </c>
    </row>
    <row r="6432" spans="1:8">
      <c r="A6432" s="34">
        <v>2084312255</v>
      </c>
      <c r="B6432" s="35" t="s">
        <v>462</v>
      </c>
      <c r="C6432" s="35" t="s">
        <v>405</v>
      </c>
      <c r="D6432" s="35" t="s">
        <v>1329</v>
      </c>
      <c r="E6432" s="35" t="s">
        <v>1346</v>
      </c>
      <c r="F6432" s="35" t="s">
        <v>335</v>
      </c>
    </row>
    <row r="6433" spans="1:8">
      <c r="A6433" s="34">
        <v>2084314560</v>
      </c>
      <c r="B6433" s="35" t="s">
        <v>462</v>
      </c>
      <c r="C6433" s="35" t="s">
        <v>405</v>
      </c>
      <c r="D6433" s="35" t="s">
        <v>1329</v>
      </c>
      <c r="E6433" s="35" t="s">
        <v>1347</v>
      </c>
    </row>
    <row r="6434" spans="1:8">
      <c r="A6434" s="34">
        <v>2084050666</v>
      </c>
      <c r="B6434" s="35" t="s">
        <v>462</v>
      </c>
      <c r="C6434" s="35" t="s">
        <v>405</v>
      </c>
      <c r="D6434" s="35" t="s">
        <v>1329</v>
      </c>
      <c r="E6434" s="35" t="s">
        <v>1348</v>
      </c>
      <c r="F6434" s="35" t="s">
        <v>475</v>
      </c>
    </row>
    <row r="6435" spans="1:8">
      <c r="A6435" s="34">
        <v>2084050649</v>
      </c>
      <c r="B6435" s="35" t="s">
        <v>462</v>
      </c>
      <c r="C6435" s="35" t="s">
        <v>405</v>
      </c>
      <c r="D6435" s="35" t="s">
        <v>1329</v>
      </c>
      <c r="E6435" s="35" t="s">
        <v>1348</v>
      </c>
      <c r="F6435" s="35" t="s">
        <v>390</v>
      </c>
      <c r="G6435" s="35" t="s">
        <v>368</v>
      </c>
      <c r="H6435" s="35" t="s">
        <v>481</v>
      </c>
    </row>
    <row r="6436" spans="1:8">
      <c r="A6436" s="34">
        <v>2084050650</v>
      </c>
      <c r="B6436" s="35" t="s">
        <v>462</v>
      </c>
      <c r="C6436" s="35" t="s">
        <v>405</v>
      </c>
      <c r="D6436" s="35" t="s">
        <v>1329</v>
      </c>
      <c r="E6436" s="35" t="s">
        <v>1348</v>
      </c>
      <c r="F6436" s="35" t="s">
        <v>390</v>
      </c>
      <c r="G6436" s="35" t="s">
        <v>368</v>
      </c>
      <c r="H6436" s="35" t="s">
        <v>335</v>
      </c>
    </row>
    <row r="6437" spans="1:8">
      <c r="A6437" s="34">
        <v>2084050654</v>
      </c>
      <c r="B6437" s="35" t="s">
        <v>462</v>
      </c>
      <c r="C6437" s="35" t="s">
        <v>405</v>
      </c>
      <c r="D6437" s="35" t="s">
        <v>1329</v>
      </c>
      <c r="E6437" s="35" t="s">
        <v>1348</v>
      </c>
      <c r="F6437" s="35" t="s">
        <v>390</v>
      </c>
      <c r="G6437" s="35" t="s">
        <v>10</v>
      </c>
      <c r="H6437" s="35" t="s">
        <v>510</v>
      </c>
    </row>
    <row r="6438" spans="1:8">
      <c r="A6438" s="34">
        <v>2084050652</v>
      </c>
      <c r="B6438" s="35" t="s">
        <v>462</v>
      </c>
      <c r="C6438" s="35" t="s">
        <v>405</v>
      </c>
      <c r="D6438" s="35" t="s">
        <v>1329</v>
      </c>
      <c r="E6438" s="35" t="s">
        <v>1348</v>
      </c>
      <c r="F6438" s="35" t="s">
        <v>390</v>
      </c>
      <c r="G6438" s="35" t="s">
        <v>10</v>
      </c>
      <c r="H6438" s="35" t="s">
        <v>397</v>
      </c>
    </row>
    <row r="6439" spans="1:8">
      <c r="A6439" s="34">
        <v>2084050653</v>
      </c>
      <c r="B6439" s="35" t="s">
        <v>462</v>
      </c>
      <c r="C6439" s="35" t="s">
        <v>405</v>
      </c>
      <c r="D6439" s="35" t="s">
        <v>1329</v>
      </c>
      <c r="E6439" s="35" t="s">
        <v>1348</v>
      </c>
      <c r="F6439" s="35" t="s">
        <v>390</v>
      </c>
      <c r="G6439" s="35" t="s">
        <v>10</v>
      </c>
      <c r="H6439" s="35" t="s">
        <v>398</v>
      </c>
    </row>
    <row r="6440" spans="1:8">
      <c r="A6440" s="34">
        <v>2084050655</v>
      </c>
      <c r="B6440" s="35" t="s">
        <v>462</v>
      </c>
      <c r="C6440" s="35" t="s">
        <v>405</v>
      </c>
      <c r="D6440" s="35" t="s">
        <v>1329</v>
      </c>
      <c r="E6440" s="35" t="s">
        <v>1348</v>
      </c>
      <c r="F6440" s="35" t="s">
        <v>390</v>
      </c>
      <c r="G6440" s="35" t="s">
        <v>10</v>
      </c>
      <c r="H6440" s="35" t="s">
        <v>335</v>
      </c>
    </row>
    <row r="6441" spans="1:8">
      <c r="A6441" s="34">
        <v>2084050657</v>
      </c>
      <c r="B6441" s="35" t="s">
        <v>462</v>
      </c>
      <c r="C6441" s="35" t="s">
        <v>405</v>
      </c>
      <c r="D6441" s="35" t="s">
        <v>1329</v>
      </c>
      <c r="E6441" s="35" t="s">
        <v>1348</v>
      </c>
      <c r="F6441" s="35" t="s">
        <v>390</v>
      </c>
      <c r="G6441" s="35" t="s">
        <v>379</v>
      </c>
      <c r="H6441" s="35" t="s">
        <v>545</v>
      </c>
    </row>
    <row r="6442" spans="1:8">
      <c r="A6442" s="34">
        <v>2084050658</v>
      </c>
      <c r="B6442" s="35" t="s">
        <v>462</v>
      </c>
      <c r="C6442" s="35" t="s">
        <v>405</v>
      </c>
      <c r="D6442" s="35" t="s">
        <v>1329</v>
      </c>
      <c r="E6442" s="35" t="s">
        <v>1348</v>
      </c>
      <c r="F6442" s="35" t="s">
        <v>390</v>
      </c>
      <c r="G6442" s="35" t="s">
        <v>379</v>
      </c>
      <c r="H6442" s="35" t="s">
        <v>476</v>
      </c>
    </row>
    <row r="6443" spans="1:8">
      <c r="A6443" s="34">
        <v>2084050659</v>
      </c>
      <c r="B6443" s="35" t="s">
        <v>462</v>
      </c>
      <c r="C6443" s="35" t="s">
        <v>405</v>
      </c>
      <c r="D6443" s="35" t="s">
        <v>1329</v>
      </c>
      <c r="E6443" s="35" t="s">
        <v>1348</v>
      </c>
      <c r="F6443" s="35" t="s">
        <v>390</v>
      </c>
      <c r="G6443" s="35" t="s">
        <v>379</v>
      </c>
      <c r="H6443" s="35" t="s">
        <v>335</v>
      </c>
    </row>
    <row r="6444" spans="1:8">
      <c r="A6444" s="34">
        <v>2084050660</v>
      </c>
      <c r="B6444" s="35" t="s">
        <v>462</v>
      </c>
      <c r="C6444" s="35" t="s">
        <v>405</v>
      </c>
      <c r="D6444" s="35" t="s">
        <v>1329</v>
      </c>
      <c r="E6444" s="35" t="s">
        <v>1348</v>
      </c>
      <c r="F6444" s="35" t="s">
        <v>390</v>
      </c>
      <c r="G6444" s="35" t="s">
        <v>335</v>
      </c>
    </row>
    <row r="6445" spans="1:8">
      <c r="A6445" s="34">
        <v>2084050663</v>
      </c>
      <c r="B6445" s="35" t="s">
        <v>462</v>
      </c>
      <c r="C6445" s="35" t="s">
        <v>405</v>
      </c>
      <c r="D6445" s="35" t="s">
        <v>1329</v>
      </c>
      <c r="E6445" s="35" t="s">
        <v>1348</v>
      </c>
      <c r="F6445" s="35" t="s">
        <v>442</v>
      </c>
      <c r="G6445" s="35" t="s">
        <v>750</v>
      </c>
      <c r="H6445" s="35" t="s">
        <v>1349</v>
      </c>
    </row>
    <row r="6446" spans="1:8">
      <c r="A6446" s="34">
        <v>2084050664</v>
      </c>
      <c r="B6446" s="35" t="s">
        <v>462</v>
      </c>
      <c r="C6446" s="35" t="s">
        <v>405</v>
      </c>
      <c r="D6446" s="35" t="s">
        <v>1329</v>
      </c>
      <c r="E6446" s="35" t="s">
        <v>1348</v>
      </c>
      <c r="F6446" s="35" t="s">
        <v>442</v>
      </c>
      <c r="G6446" s="35" t="s">
        <v>750</v>
      </c>
      <c r="H6446" s="35" t="s">
        <v>335</v>
      </c>
    </row>
    <row r="6447" spans="1:8">
      <c r="A6447" s="34">
        <v>2084050665</v>
      </c>
      <c r="B6447" s="35" t="s">
        <v>462</v>
      </c>
      <c r="C6447" s="35" t="s">
        <v>405</v>
      </c>
      <c r="D6447" s="35" t="s">
        <v>1329</v>
      </c>
      <c r="E6447" s="35" t="s">
        <v>1348</v>
      </c>
      <c r="F6447" s="35" t="s">
        <v>442</v>
      </c>
      <c r="G6447" s="35" t="s">
        <v>335</v>
      </c>
    </row>
    <row r="6448" spans="1:8">
      <c r="A6448" s="34">
        <v>2084050667</v>
      </c>
      <c r="B6448" s="35" t="s">
        <v>462</v>
      </c>
      <c r="C6448" s="35" t="s">
        <v>405</v>
      </c>
      <c r="D6448" s="35" t="s">
        <v>1329</v>
      </c>
      <c r="E6448" s="35" t="s">
        <v>1348</v>
      </c>
      <c r="F6448" s="35" t="s">
        <v>335</v>
      </c>
    </row>
    <row r="6449" spans="1:8">
      <c r="A6449" s="34">
        <v>2084212551</v>
      </c>
      <c r="B6449" s="35" t="s">
        <v>462</v>
      </c>
      <c r="C6449" s="35" t="s">
        <v>405</v>
      </c>
      <c r="D6449" s="35" t="s">
        <v>1350</v>
      </c>
      <c r="E6449" s="35" t="s">
        <v>1351</v>
      </c>
      <c r="F6449" s="35" t="s">
        <v>390</v>
      </c>
      <c r="G6449" s="35" t="s">
        <v>367</v>
      </c>
    </row>
    <row r="6450" spans="1:8">
      <c r="A6450" s="34">
        <v>2084212554</v>
      </c>
      <c r="B6450" s="35" t="s">
        <v>462</v>
      </c>
      <c r="C6450" s="35" t="s">
        <v>405</v>
      </c>
      <c r="D6450" s="35" t="s">
        <v>1350</v>
      </c>
      <c r="E6450" s="35" t="s">
        <v>1351</v>
      </c>
      <c r="F6450" s="35" t="s">
        <v>390</v>
      </c>
      <c r="G6450" s="35" t="s">
        <v>368</v>
      </c>
      <c r="H6450" s="35" t="s">
        <v>481</v>
      </c>
    </row>
    <row r="6451" spans="1:8">
      <c r="A6451" s="34">
        <v>2084212553</v>
      </c>
      <c r="B6451" s="35" t="s">
        <v>462</v>
      </c>
      <c r="C6451" s="35" t="s">
        <v>405</v>
      </c>
      <c r="D6451" s="35" t="s">
        <v>1350</v>
      </c>
      <c r="E6451" s="35" t="s">
        <v>1351</v>
      </c>
      <c r="F6451" s="35" t="s">
        <v>390</v>
      </c>
      <c r="G6451" s="35" t="s">
        <v>368</v>
      </c>
      <c r="H6451" s="35" t="s">
        <v>482</v>
      </c>
    </row>
    <row r="6452" spans="1:8">
      <c r="A6452" s="34">
        <v>2084212555</v>
      </c>
      <c r="B6452" s="35" t="s">
        <v>462</v>
      </c>
      <c r="C6452" s="35" t="s">
        <v>405</v>
      </c>
      <c r="D6452" s="35" t="s">
        <v>1350</v>
      </c>
      <c r="E6452" s="35" t="s">
        <v>1351</v>
      </c>
      <c r="F6452" s="35" t="s">
        <v>390</v>
      </c>
      <c r="G6452" s="35" t="s">
        <v>368</v>
      </c>
      <c r="H6452" s="35" t="s">
        <v>335</v>
      </c>
    </row>
    <row r="6453" spans="1:8">
      <c r="A6453" s="34">
        <v>2084212561</v>
      </c>
      <c r="B6453" s="35" t="s">
        <v>462</v>
      </c>
      <c r="C6453" s="35" t="s">
        <v>405</v>
      </c>
      <c r="D6453" s="35" t="s">
        <v>1350</v>
      </c>
      <c r="E6453" s="35" t="s">
        <v>1351</v>
      </c>
      <c r="F6453" s="35" t="s">
        <v>390</v>
      </c>
      <c r="G6453" s="35" t="s">
        <v>10</v>
      </c>
      <c r="H6453" s="35" t="s">
        <v>483</v>
      </c>
    </row>
    <row r="6454" spans="1:8">
      <c r="A6454" s="34">
        <v>2084212558</v>
      </c>
      <c r="B6454" s="35" t="s">
        <v>462</v>
      </c>
      <c r="C6454" s="35" t="s">
        <v>405</v>
      </c>
      <c r="D6454" s="35" t="s">
        <v>1350</v>
      </c>
      <c r="E6454" s="35" t="s">
        <v>1351</v>
      </c>
      <c r="F6454" s="35" t="s">
        <v>390</v>
      </c>
      <c r="G6454" s="35" t="s">
        <v>10</v>
      </c>
      <c r="H6454" s="35" t="s">
        <v>397</v>
      </c>
    </row>
    <row r="6455" spans="1:8">
      <c r="A6455" s="34">
        <v>2084212560</v>
      </c>
      <c r="B6455" s="35" t="s">
        <v>462</v>
      </c>
      <c r="C6455" s="35" t="s">
        <v>405</v>
      </c>
      <c r="D6455" s="35" t="s">
        <v>1350</v>
      </c>
      <c r="E6455" s="35" t="s">
        <v>1351</v>
      </c>
      <c r="F6455" s="35" t="s">
        <v>390</v>
      </c>
      <c r="G6455" s="35" t="s">
        <v>10</v>
      </c>
      <c r="H6455" s="35" t="s">
        <v>421</v>
      </c>
    </row>
    <row r="6456" spans="1:8">
      <c r="A6456" s="34">
        <v>2084212557</v>
      </c>
      <c r="B6456" s="35" t="s">
        <v>462</v>
      </c>
      <c r="C6456" s="35" t="s">
        <v>405</v>
      </c>
      <c r="D6456" s="35" t="s">
        <v>1350</v>
      </c>
      <c r="E6456" s="35" t="s">
        <v>1351</v>
      </c>
      <c r="F6456" s="35" t="s">
        <v>390</v>
      </c>
      <c r="G6456" s="35" t="s">
        <v>10</v>
      </c>
      <c r="H6456" s="35" t="s">
        <v>398</v>
      </c>
    </row>
    <row r="6457" spans="1:8">
      <c r="A6457" s="34">
        <v>2084212559</v>
      </c>
      <c r="B6457" s="35" t="s">
        <v>462</v>
      </c>
      <c r="C6457" s="35" t="s">
        <v>405</v>
      </c>
      <c r="D6457" s="35" t="s">
        <v>1350</v>
      </c>
      <c r="E6457" s="35" t="s">
        <v>1351</v>
      </c>
      <c r="F6457" s="35" t="s">
        <v>390</v>
      </c>
      <c r="G6457" s="35" t="s">
        <v>10</v>
      </c>
      <c r="H6457" s="35" t="s">
        <v>422</v>
      </c>
    </row>
    <row r="6458" spans="1:8">
      <c r="A6458" s="34">
        <v>2084212562</v>
      </c>
      <c r="B6458" s="35" t="s">
        <v>462</v>
      </c>
      <c r="C6458" s="35" t="s">
        <v>405</v>
      </c>
      <c r="D6458" s="35" t="s">
        <v>1350</v>
      </c>
      <c r="E6458" s="35" t="s">
        <v>1351</v>
      </c>
      <c r="F6458" s="35" t="s">
        <v>390</v>
      </c>
      <c r="G6458" s="35" t="s">
        <v>10</v>
      </c>
      <c r="H6458" s="35" t="s">
        <v>335</v>
      </c>
    </row>
    <row r="6459" spans="1:8">
      <c r="A6459" s="34">
        <v>2084212564</v>
      </c>
      <c r="B6459" s="35" t="s">
        <v>462</v>
      </c>
      <c r="C6459" s="35" t="s">
        <v>405</v>
      </c>
      <c r="D6459" s="35" t="s">
        <v>1350</v>
      </c>
      <c r="E6459" s="35" t="s">
        <v>1351</v>
      </c>
      <c r="F6459" s="35" t="s">
        <v>390</v>
      </c>
      <c r="G6459" s="35" t="s">
        <v>379</v>
      </c>
      <c r="H6459" s="35" t="s">
        <v>476</v>
      </c>
    </row>
    <row r="6460" spans="1:8">
      <c r="A6460" s="34">
        <v>2084212565</v>
      </c>
      <c r="B6460" s="35" t="s">
        <v>462</v>
      </c>
      <c r="C6460" s="35" t="s">
        <v>405</v>
      </c>
      <c r="D6460" s="35" t="s">
        <v>1350</v>
      </c>
      <c r="E6460" s="35" t="s">
        <v>1351</v>
      </c>
      <c r="F6460" s="35" t="s">
        <v>390</v>
      </c>
      <c r="G6460" s="35" t="s">
        <v>379</v>
      </c>
      <c r="H6460" s="35" t="s">
        <v>335</v>
      </c>
    </row>
    <row r="6461" spans="1:8">
      <c r="A6461" s="34">
        <v>2084212566</v>
      </c>
      <c r="B6461" s="35" t="s">
        <v>462</v>
      </c>
      <c r="C6461" s="35" t="s">
        <v>405</v>
      </c>
      <c r="D6461" s="35" t="s">
        <v>1350</v>
      </c>
      <c r="E6461" s="35" t="s">
        <v>1351</v>
      </c>
      <c r="F6461" s="35" t="s">
        <v>390</v>
      </c>
      <c r="G6461" s="35" t="s">
        <v>335</v>
      </c>
    </row>
    <row r="6462" spans="1:8">
      <c r="A6462" s="34">
        <v>2084212567</v>
      </c>
      <c r="B6462" s="35" t="s">
        <v>462</v>
      </c>
      <c r="C6462" s="35" t="s">
        <v>405</v>
      </c>
      <c r="D6462" s="35" t="s">
        <v>1350</v>
      </c>
      <c r="E6462" s="35" t="s">
        <v>1351</v>
      </c>
      <c r="F6462" s="35" t="s">
        <v>408</v>
      </c>
    </row>
    <row r="6463" spans="1:8">
      <c r="A6463" s="34">
        <v>2084212568</v>
      </c>
      <c r="B6463" s="35" t="s">
        <v>462</v>
      </c>
      <c r="C6463" s="35" t="s">
        <v>405</v>
      </c>
      <c r="D6463" s="35" t="s">
        <v>1350</v>
      </c>
      <c r="E6463" s="35" t="s">
        <v>1351</v>
      </c>
      <c r="F6463" s="35" t="s">
        <v>335</v>
      </c>
    </row>
    <row r="6464" spans="1:8">
      <c r="A6464" s="34">
        <v>2084028214</v>
      </c>
      <c r="B6464" s="35" t="s">
        <v>462</v>
      </c>
      <c r="C6464" s="35" t="s">
        <v>405</v>
      </c>
      <c r="D6464" s="35" t="s">
        <v>1350</v>
      </c>
      <c r="E6464" s="35" t="s">
        <v>1352</v>
      </c>
      <c r="F6464" s="35" t="s">
        <v>390</v>
      </c>
      <c r="G6464" s="35" t="s">
        <v>367</v>
      </c>
    </row>
    <row r="6465" spans="1:9">
      <c r="A6465" s="34">
        <v>2084028763</v>
      </c>
      <c r="B6465" s="35" t="s">
        <v>462</v>
      </c>
      <c r="C6465" s="35" t="s">
        <v>405</v>
      </c>
      <c r="D6465" s="35" t="s">
        <v>1350</v>
      </c>
      <c r="E6465" s="35" t="s">
        <v>1352</v>
      </c>
      <c r="F6465" s="35" t="s">
        <v>390</v>
      </c>
      <c r="G6465" s="35" t="s">
        <v>368</v>
      </c>
      <c r="H6465" s="35" t="s">
        <v>508</v>
      </c>
    </row>
    <row r="6466" spans="1:9">
      <c r="A6466" s="34">
        <v>2084029297</v>
      </c>
      <c r="B6466" s="35" t="s">
        <v>462</v>
      </c>
      <c r="C6466" s="35" t="s">
        <v>405</v>
      </c>
      <c r="D6466" s="35" t="s">
        <v>1350</v>
      </c>
      <c r="E6466" s="35" t="s">
        <v>1352</v>
      </c>
      <c r="F6466" s="35" t="s">
        <v>390</v>
      </c>
      <c r="G6466" s="35" t="s">
        <v>368</v>
      </c>
      <c r="H6466" s="35" t="s">
        <v>481</v>
      </c>
    </row>
    <row r="6467" spans="1:9">
      <c r="A6467" s="34">
        <v>2084029855</v>
      </c>
      <c r="B6467" s="35" t="s">
        <v>462</v>
      </c>
      <c r="C6467" s="35" t="s">
        <v>405</v>
      </c>
      <c r="D6467" s="35" t="s">
        <v>1350</v>
      </c>
      <c r="E6467" s="35" t="s">
        <v>1352</v>
      </c>
      <c r="F6467" s="35" t="s">
        <v>390</v>
      </c>
      <c r="G6467" s="35" t="s">
        <v>368</v>
      </c>
      <c r="H6467" s="35" t="s">
        <v>494</v>
      </c>
    </row>
    <row r="6468" spans="1:9">
      <c r="A6468" s="34">
        <v>2084058925</v>
      </c>
      <c r="B6468" s="35" t="s">
        <v>462</v>
      </c>
      <c r="C6468" s="35" t="s">
        <v>405</v>
      </c>
      <c r="D6468" s="35" t="s">
        <v>1350</v>
      </c>
      <c r="E6468" s="35" t="s">
        <v>1352</v>
      </c>
      <c r="F6468" s="35" t="s">
        <v>390</v>
      </c>
      <c r="G6468" s="35" t="s">
        <v>368</v>
      </c>
      <c r="H6468" s="35" t="s">
        <v>335</v>
      </c>
    </row>
    <row r="6469" spans="1:9">
      <c r="A6469" s="34">
        <v>2084027312</v>
      </c>
      <c r="B6469" s="35" t="s">
        <v>462</v>
      </c>
      <c r="C6469" s="35" t="s">
        <v>405</v>
      </c>
      <c r="D6469" s="35" t="s">
        <v>1350</v>
      </c>
      <c r="E6469" s="35" t="s">
        <v>1352</v>
      </c>
      <c r="F6469" s="35" t="s">
        <v>390</v>
      </c>
      <c r="G6469" s="35" t="s">
        <v>10</v>
      </c>
      <c r="H6469" s="35" t="s">
        <v>509</v>
      </c>
    </row>
    <row r="6470" spans="1:9">
      <c r="A6470" s="34">
        <v>2084027805</v>
      </c>
      <c r="B6470" s="35" t="s">
        <v>462</v>
      </c>
      <c r="C6470" s="35" t="s">
        <v>405</v>
      </c>
      <c r="D6470" s="35" t="s">
        <v>1350</v>
      </c>
      <c r="E6470" s="35" t="s">
        <v>1352</v>
      </c>
      <c r="F6470" s="35" t="s">
        <v>390</v>
      </c>
      <c r="G6470" s="35" t="s">
        <v>10</v>
      </c>
      <c r="H6470" s="35" t="s">
        <v>510</v>
      </c>
    </row>
    <row r="6471" spans="1:9">
      <c r="A6471" s="34">
        <v>2084027887</v>
      </c>
      <c r="B6471" s="35" t="s">
        <v>462</v>
      </c>
      <c r="C6471" s="35" t="s">
        <v>405</v>
      </c>
      <c r="D6471" s="35" t="s">
        <v>1350</v>
      </c>
      <c r="E6471" s="35" t="s">
        <v>1352</v>
      </c>
      <c r="F6471" s="35" t="s">
        <v>390</v>
      </c>
      <c r="G6471" s="35" t="s">
        <v>10</v>
      </c>
      <c r="H6471" s="35" t="s">
        <v>511</v>
      </c>
    </row>
    <row r="6472" spans="1:9">
      <c r="A6472" s="34">
        <v>2084027917</v>
      </c>
      <c r="B6472" s="35" t="s">
        <v>462</v>
      </c>
      <c r="C6472" s="35" t="s">
        <v>405</v>
      </c>
      <c r="D6472" s="35" t="s">
        <v>1350</v>
      </c>
      <c r="E6472" s="35" t="s">
        <v>1352</v>
      </c>
      <c r="F6472" s="35" t="s">
        <v>390</v>
      </c>
      <c r="G6472" s="35" t="s">
        <v>10</v>
      </c>
      <c r="H6472" s="35" t="s">
        <v>493</v>
      </c>
    </row>
    <row r="6473" spans="1:9">
      <c r="A6473" s="34">
        <v>2084027486</v>
      </c>
      <c r="B6473" s="35" t="s">
        <v>462</v>
      </c>
      <c r="C6473" s="35" t="s">
        <v>405</v>
      </c>
      <c r="D6473" s="35" t="s">
        <v>1350</v>
      </c>
      <c r="E6473" s="35" t="s">
        <v>1352</v>
      </c>
      <c r="F6473" s="35" t="s">
        <v>390</v>
      </c>
      <c r="G6473" s="35" t="s">
        <v>10</v>
      </c>
      <c r="H6473" s="35" t="s">
        <v>512</v>
      </c>
    </row>
    <row r="6474" spans="1:9">
      <c r="A6474" s="34">
        <v>2084027596</v>
      </c>
      <c r="B6474" s="35" t="s">
        <v>462</v>
      </c>
      <c r="C6474" s="35" t="s">
        <v>405</v>
      </c>
      <c r="D6474" s="35" t="s">
        <v>1350</v>
      </c>
      <c r="E6474" s="35" t="s">
        <v>1352</v>
      </c>
      <c r="F6474" s="35" t="s">
        <v>390</v>
      </c>
      <c r="G6474" s="35" t="s">
        <v>10</v>
      </c>
      <c r="H6474" s="35" t="s">
        <v>513</v>
      </c>
    </row>
    <row r="6475" spans="1:9">
      <c r="A6475" s="34">
        <v>2084027955</v>
      </c>
      <c r="B6475" s="35" t="s">
        <v>462</v>
      </c>
      <c r="C6475" s="35" t="s">
        <v>405</v>
      </c>
      <c r="D6475" s="35" t="s">
        <v>1350</v>
      </c>
      <c r="E6475" s="35" t="s">
        <v>1352</v>
      </c>
      <c r="F6475" s="35" t="s">
        <v>390</v>
      </c>
      <c r="G6475" s="35" t="s">
        <v>10</v>
      </c>
      <c r="H6475" s="35" t="s">
        <v>420</v>
      </c>
    </row>
    <row r="6476" spans="1:9">
      <c r="A6476" s="34">
        <v>2084027275</v>
      </c>
      <c r="B6476" s="35" t="s">
        <v>462</v>
      </c>
      <c r="C6476" s="35" t="s">
        <v>405</v>
      </c>
      <c r="D6476" s="35" t="s">
        <v>1350</v>
      </c>
      <c r="E6476" s="35" t="s">
        <v>1352</v>
      </c>
      <c r="F6476" s="35" t="s">
        <v>390</v>
      </c>
      <c r="G6476" s="35" t="s">
        <v>10</v>
      </c>
      <c r="H6476" s="35" t="s">
        <v>514</v>
      </c>
    </row>
    <row r="6477" spans="1:9">
      <c r="A6477" s="34">
        <v>2084027408</v>
      </c>
      <c r="B6477" s="35" t="s">
        <v>462</v>
      </c>
      <c r="C6477" s="35" t="s">
        <v>405</v>
      </c>
      <c r="D6477" s="35" t="s">
        <v>1350</v>
      </c>
      <c r="E6477" s="35" t="s">
        <v>1352</v>
      </c>
      <c r="F6477" s="35" t="s">
        <v>390</v>
      </c>
      <c r="G6477" s="35" t="s">
        <v>10</v>
      </c>
      <c r="H6477" s="35" t="s">
        <v>515</v>
      </c>
    </row>
    <row r="6478" spans="1:9">
      <c r="A6478" s="34">
        <v>2084027520</v>
      </c>
      <c r="B6478" s="35" t="s">
        <v>462</v>
      </c>
      <c r="C6478" s="35" t="s">
        <v>405</v>
      </c>
      <c r="D6478" s="35" t="s">
        <v>1350</v>
      </c>
      <c r="E6478" s="35" t="s">
        <v>1352</v>
      </c>
      <c r="F6478" s="35" t="s">
        <v>390</v>
      </c>
      <c r="G6478" s="35" t="s">
        <v>10</v>
      </c>
      <c r="H6478" s="35" t="s">
        <v>421</v>
      </c>
    </row>
    <row r="6479" spans="1:9">
      <c r="A6479" s="34">
        <v>2084027731</v>
      </c>
      <c r="B6479" s="35" t="s">
        <v>462</v>
      </c>
      <c r="C6479" s="35" t="s">
        <v>405</v>
      </c>
      <c r="D6479" s="35" t="s">
        <v>1350</v>
      </c>
      <c r="E6479" s="35" t="s">
        <v>1352</v>
      </c>
      <c r="F6479" s="35" t="s">
        <v>390</v>
      </c>
      <c r="G6479" s="35" t="s">
        <v>10</v>
      </c>
      <c r="H6479" s="35" t="s">
        <v>516</v>
      </c>
    </row>
    <row r="6480" spans="1:9">
      <c r="A6480" s="34">
        <v>2084224816</v>
      </c>
      <c r="B6480" s="35" t="s">
        <v>462</v>
      </c>
      <c r="C6480" s="35" t="s">
        <v>405</v>
      </c>
      <c r="D6480" s="35" t="s">
        <v>1350</v>
      </c>
      <c r="E6480" s="35" t="s">
        <v>1352</v>
      </c>
      <c r="F6480" s="35" t="s">
        <v>390</v>
      </c>
      <c r="G6480" s="35" t="s">
        <v>10</v>
      </c>
      <c r="H6480" s="35" t="s">
        <v>1353</v>
      </c>
      <c r="I6480" s="35" t="s">
        <v>374</v>
      </c>
    </row>
    <row r="6481" spans="1:9">
      <c r="A6481" s="34">
        <v>2084224817</v>
      </c>
      <c r="B6481" s="35" t="s">
        <v>462</v>
      </c>
      <c r="C6481" s="35" t="s">
        <v>405</v>
      </c>
      <c r="D6481" s="35" t="s">
        <v>1350</v>
      </c>
      <c r="E6481" s="35" t="s">
        <v>1352</v>
      </c>
      <c r="F6481" s="35" t="s">
        <v>390</v>
      </c>
      <c r="G6481" s="35" t="s">
        <v>10</v>
      </c>
      <c r="H6481" s="35" t="s">
        <v>1353</v>
      </c>
      <c r="I6481" s="35" t="s">
        <v>375</v>
      </c>
    </row>
    <row r="6482" spans="1:9">
      <c r="A6482" s="34">
        <v>2084224818</v>
      </c>
      <c r="B6482" s="35" t="s">
        <v>462</v>
      </c>
      <c r="C6482" s="35" t="s">
        <v>405</v>
      </c>
      <c r="D6482" s="35" t="s">
        <v>1350</v>
      </c>
      <c r="E6482" s="35" t="s">
        <v>1352</v>
      </c>
      <c r="F6482" s="35" t="s">
        <v>390</v>
      </c>
      <c r="G6482" s="35" t="s">
        <v>10</v>
      </c>
      <c r="H6482" s="35" t="s">
        <v>1353</v>
      </c>
      <c r="I6482" s="35" t="s">
        <v>393</v>
      </c>
    </row>
    <row r="6483" spans="1:9">
      <c r="A6483" s="34">
        <v>2084027350</v>
      </c>
      <c r="B6483" s="35" t="s">
        <v>462</v>
      </c>
      <c r="C6483" s="35" t="s">
        <v>405</v>
      </c>
      <c r="D6483" s="35" t="s">
        <v>1350</v>
      </c>
      <c r="E6483" s="35" t="s">
        <v>1352</v>
      </c>
      <c r="F6483" s="35" t="s">
        <v>390</v>
      </c>
      <c r="G6483" s="35" t="s">
        <v>10</v>
      </c>
      <c r="H6483" s="35" t="s">
        <v>518</v>
      </c>
    </row>
    <row r="6484" spans="1:9">
      <c r="A6484" s="34">
        <v>2084027558</v>
      </c>
      <c r="B6484" s="35" t="s">
        <v>462</v>
      </c>
      <c r="C6484" s="35" t="s">
        <v>405</v>
      </c>
      <c r="D6484" s="35" t="s">
        <v>1350</v>
      </c>
      <c r="E6484" s="35" t="s">
        <v>1352</v>
      </c>
      <c r="F6484" s="35" t="s">
        <v>390</v>
      </c>
      <c r="G6484" s="35" t="s">
        <v>10</v>
      </c>
      <c r="H6484" s="35" t="s">
        <v>422</v>
      </c>
    </row>
    <row r="6485" spans="1:9">
      <c r="A6485" s="34">
        <v>2084027741</v>
      </c>
      <c r="B6485" s="35" t="s">
        <v>462</v>
      </c>
      <c r="C6485" s="35" t="s">
        <v>405</v>
      </c>
      <c r="D6485" s="35" t="s">
        <v>1350</v>
      </c>
      <c r="E6485" s="35" t="s">
        <v>1352</v>
      </c>
      <c r="F6485" s="35" t="s">
        <v>390</v>
      </c>
      <c r="G6485" s="35" t="s">
        <v>10</v>
      </c>
      <c r="H6485" s="35" t="s">
        <v>519</v>
      </c>
    </row>
    <row r="6486" spans="1:9">
      <c r="A6486" s="34">
        <v>2084027993</v>
      </c>
      <c r="B6486" s="35" t="s">
        <v>462</v>
      </c>
      <c r="C6486" s="35" t="s">
        <v>405</v>
      </c>
      <c r="D6486" s="35" t="s">
        <v>1350</v>
      </c>
      <c r="E6486" s="35" t="s">
        <v>1352</v>
      </c>
      <c r="F6486" s="35" t="s">
        <v>390</v>
      </c>
      <c r="G6486" s="35" t="s">
        <v>379</v>
      </c>
      <c r="H6486" s="35" t="s">
        <v>520</v>
      </c>
    </row>
    <row r="6487" spans="1:9">
      <c r="A6487" s="34">
        <v>2084028050</v>
      </c>
      <c r="B6487" s="35" t="s">
        <v>462</v>
      </c>
      <c r="C6487" s="35" t="s">
        <v>405</v>
      </c>
      <c r="D6487" s="35" t="s">
        <v>1350</v>
      </c>
      <c r="E6487" s="35" t="s">
        <v>1352</v>
      </c>
      <c r="F6487" s="35" t="s">
        <v>390</v>
      </c>
      <c r="G6487" s="35" t="s">
        <v>379</v>
      </c>
      <c r="H6487" s="35" t="s">
        <v>521</v>
      </c>
    </row>
    <row r="6488" spans="1:9">
      <c r="A6488" s="34">
        <v>2084258742</v>
      </c>
      <c r="B6488" s="35" t="s">
        <v>462</v>
      </c>
      <c r="C6488" s="35" t="s">
        <v>405</v>
      </c>
      <c r="D6488" s="35" t="s">
        <v>1350</v>
      </c>
      <c r="E6488" s="35" t="s">
        <v>1352</v>
      </c>
      <c r="F6488" s="35" t="s">
        <v>390</v>
      </c>
      <c r="G6488" s="35" t="s">
        <v>379</v>
      </c>
      <c r="H6488" s="35" t="s">
        <v>545</v>
      </c>
    </row>
    <row r="6489" spans="1:9">
      <c r="A6489" s="34">
        <v>2084028146</v>
      </c>
      <c r="B6489" s="35" t="s">
        <v>462</v>
      </c>
      <c r="C6489" s="35" t="s">
        <v>405</v>
      </c>
      <c r="D6489" s="35" t="s">
        <v>1350</v>
      </c>
      <c r="E6489" s="35" t="s">
        <v>1352</v>
      </c>
      <c r="F6489" s="35" t="s">
        <v>390</v>
      </c>
      <c r="G6489" s="35" t="s">
        <v>379</v>
      </c>
      <c r="H6489" s="35" t="s">
        <v>522</v>
      </c>
    </row>
    <row r="6490" spans="1:9">
      <c r="A6490" s="34">
        <v>2084028398</v>
      </c>
      <c r="B6490" s="35" t="s">
        <v>462</v>
      </c>
      <c r="C6490" s="35" t="s">
        <v>405</v>
      </c>
      <c r="D6490" s="35" t="s">
        <v>1350</v>
      </c>
      <c r="E6490" s="35" t="s">
        <v>1352</v>
      </c>
      <c r="F6490" s="35" t="s">
        <v>390</v>
      </c>
      <c r="G6490" s="35" t="s">
        <v>379</v>
      </c>
      <c r="H6490" s="35" t="s">
        <v>523</v>
      </c>
    </row>
    <row r="6491" spans="1:9">
      <c r="A6491" s="34">
        <v>2084028131</v>
      </c>
      <c r="B6491" s="35" t="s">
        <v>462</v>
      </c>
      <c r="C6491" s="35" t="s">
        <v>405</v>
      </c>
      <c r="D6491" s="35" t="s">
        <v>1350</v>
      </c>
      <c r="E6491" s="35" t="s">
        <v>1352</v>
      </c>
      <c r="F6491" s="35" t="s">
        <v>390</v>
      </c>
      <c r="G6491" s="35" t="s">
        <v>379</v>
      </c>
      <c r="H6491" s="35" t="s">
        <v>524</v>
      </c>
    </row>
    <row r="6492" spans="1:9">
      <c r="A6492" s="34">
        <v>2084028247</v>
      </c>
      <c r="B6492" s="35" t="s">
        <v>462</v>
      </c>
      <c r="C6492" s="35" t="s">
        <v>405</v>
      </c>
      <c r="D6492" s="35" t="s">
        <v>1350</v>
      </c>
      <c r="E6492" s="35" t="s">
        <v>1352</v>
      </c>
      <c r="F6492" s="35" t="s">
        <v>390</v>
      </c>
      <c r="G6492" s="35" t="s">
        <v>379</v>
      </c>
      <c r="H6492" s="35" t="s">
        <v>525</v>
      </c>
    </row>
    <row r="6493" spans="1:9">
      <c r="A6493" s="34">
        <v>2084028454</v>
      </c>
      <c r="B6493" s="35" t="s">
        <v>462</v>
      </c>
      <c r="C6493" s="35" t="s">
        <v>405</v>
      </c>
      <c r="D6493" s="35" t="s">
        <v>1350</v>
      </c>
      <c r="E6493" s="35" t="s">
        <v>1352</v>
      </c>
      <c r="F6493" s="35" t="s">
        <v>390</v>
      </c>
      <c r="G6493" s="35" t="s">
        <v>379</v>
      </c>
      <c r="H6493" s="35" t="s">
        <v>526</v>
      </c>
    </row>
    <row r="6494" spans="1:9">
      <c r="A6494" s="34">
        <v>2084028322</v>
      </c>
      <c r="B6494" s="35" t="s">
        <v>462</v>
      </c>
      <c r="C6494" s="35" t="s">
        <v>405</v>
      </c>
      <c r="D6494" s="35" t="s">
        <v>1350</v>
      </c>
      <c r="E6494" s="35" t="s">
        <v>1352</v>
      </c>
      <c r="F6494" s="35" t="s">
        <v>390</v>
      </c>
      <c r="G6494" s="35" t="s">
        <v>379</v>
      </c>
      <c r="H6494" s="35" t="s">
        <v>527</v>
      </c>
    </row>
    <row r="6495" spans="1:9">
      <c r="A6495" s="34">
        <v>2084028534</v>
      </c>
      <c r="B6495" s="35" t="s">
        <v>462</v>
      </c>
      <c r="C6495" s="35" t="s">
        <v>405</v>
      </c>
      <c r="D6495" s="35" t="s">
        <v>1350</v>
      </c>
      <c r="E6495" s="35" t="s">
        <v>1352</v>
      </c>
      <c r="F6495" s="35" t="s">
        <v>390</v>
      </c>
      <c r="G6495" s="35" t="s">
        <v>379</v>
      </c>
      <c r="H6495" s="35" t="s">
        <v>528</v>
      </c>
    </row>
    <row r="6496" spans="1:9">
      <c r="A6496" s="34">
        <v>2084028360</v>
      </c>
      <c r="B6496" s="35" t="s">
        <v>462</v>
      </c>
      <c r="C6496" s="35" t="s">
        <v>405</v>
      </c>
      <c r="D6496" s="35" t="s">
        <v>1350</v>
      </c>
      <c r="E6496" s="35" t="s">
        <v>1352</v>
      </c>
      <c r="F6496" s="35" t="s">
        <v>390</v>
      </c>
      <c r="G6496" s="35" t="s">
        <v>379</v>
      </c>
      <c r="H6496" s="35" t="s">
        <v>529</v>
      </c>
    </row>
    <row r="6497" spans="1:8">
      <c r="A6497" s="34">
        <v>2084058926</v>
      </c>
      <c r="B6497" s="35" t="s">
        <v>462</v>
      </c>
      <c r="C6497" s="35" t="s">
        <v>405</v>
      </c>
      <c r="D6497" s="35" t="s">
        <v>1350</v>
      </c>
      <c r="E6497" s="35" t="s">
        <v>1352</v>
      </c>
      <c r="F6497" s="35" t="s">
        <v>390</v>
      </c>
      <c r="G6497" s="35" t="s">
        <v>379</v>
      </c>
      <c r="H6497" s="35" t="s">
        <v>335</v>
      </c>
    </row>
    <row r="6498" spans="1:8">
      <c r="A6498" s="34">
        <v>2084028574</v>
      </c>
      <c r="B6498" s="35" t="s">
        <v>462</v>
      </c>
      <c r="C6498" s="35" t="s">
        <v>405</v>
      </c>
      <c r="D6498" s="35" t="s">
        <v>1350</v>
      </c>
      <c r="E6498" s="35" t="s">
        <v>1352</v>
      </c>
      <c r="F6498" s="35" t="s">
        <v>390</v>
      </c>
      <c r="G6498" s="35" t="s">
        <v>530</v>
      </c>
      <c r="H6498" s="35" t="s">
        <v>531</v>
      </c>
    </row>
    <row r="6499" spans="1:8">
      <c r="A6499" s="34">
        <v>2084028612</v>
      </c>
      <c r="B6499" s="35" t="s">
        <v>462</v>
      </c>
      <c r="C6499" s="35" t="s">
        <v>405</v>
      </c>
      <c r="D6499" s="35" t="s">
        <v>1350</v>
      </c>
      <c r="E6499" s="35" t="s">
        <v>1352</v>
      </c>
      <c r="F6499" s="35" t="s">
        <v>390</v>
      </c>
      <c r="G6499" s="35" t="s">
        <v>530</v>
      </c>
      <c r="H6499" s="35" t="s">
        <v>532</v>
      </c>
    </row>
    <row r="6500" spans="1:8">
      <c r="A6500" s="34">
        <v>2084030112</v>
      </c>
      <c r="B6500" s="35" t="s">
        <v>462</v>
      </c>
      <c r="C6500" s="35" t="s">
        <v>405</v>
      </c>
      <c r="D6500" s="35" t="s">
        <v>1350</v>
      </c>
      <c r="E6500" s="35" t="s">
        <v>1352</v>
      </c>
      <c r="F6500" s="35" t="s">
        <v>390</v>
      </c>
      <c r="G6500" s="35" t="s">
        <v>533</v>
      </c>
      <c r="H6500" s="35" t="s">
        <v>1354</v>
      </c>
    </row>
    <row r="6501" spans="1:8">
      <c r="A6501" s="34">
        <v>2084027186</v>
      </c>
      <c r="B6501" s="35" t="s">
        <v>462</v>
      </c>
      <c r="C6501" s="35" t="s">
        <v>405</v>
      </c>
      <c r="D6501" s="35" t="s">
        <v>1350</v>
      </c>
      <c r="E6501" s="35" t="s">
        <v>1352</v>
      </c>
      <c r="F6501" s="35" t="s">
        <v>390</v>
      </c>
      <c r="G6501" s="35" t="s">
        <v>533</v>
      </c>
      <c r="H6501" s="35" t="s">
        <v>536</v>
      </c>
    </row>
    <row r="6502" spans="1:8">
      <c r="A6502" s="34">
        <v>2084048776</v>
      </c>
      <c r="B6502" s="35" t="s">
        <v>462</v>
      </c>
      <c r="C6502" s="35" t="s">
        <v>405</v>
      </c>
      <c r="D6502" s="35" t="s">
        <v>1350</v>
      </c>
      <c r="E6502" s="35" t="s">
        <v>1352</v>
      </c>
      <c r="F6502" s="35" t="s">
        <v>335</v>
      </c>
    </row>
    <row r="6503" spans="1:8">
      <c r="A6503" s="34">
        <v>2084242125</v>
      </c>
      <c r="B6503" s="35" t="s">
        <v>462</v>
      </c>
      <c r="C6503" s="35" t="s">
        <v>405</v>
      </c>
      <c r="D6503" s="35" t="s">
        <v>1350</v>
      </c>
      <c r="E6503" s="35" t="s">
        <v>1355</v>
      </c>
    </row>
    <row r="6504" spans="1:8">
      <c r="A6504" s="34">
        <v>2084056062</v>
      </c>
      <c r="B6504" s="35" t="s">
        <v>462</v>
      </c>
      <c r="C6504" s="35" t="s">
        <v>405</v>
      </c>
      <c r="D6504" s="35" t="s">
        <v>1350</v>
      </c>
      <c r="E6504" s="35" t="s">
        <v>1356</v>
      </c>
      <c r="F6504" s="35" t="s">
        <v>390</v>
      </c>
      <c r="G6504" s="35" t="s">
        <v>367</v>
      </c>
    </row>
    <row r="6505" spans="1:8">
      <c r="A6505" s="34">
        <v>2084056063</v>
      </c>
      <c r="B6505" s="35" t="s">
        <v>462</v>
      </c>
      <c r="C6505" s="35" t="s">
        <v>405</v>
      </c>
      <c r="D6505" s="35" t="s">
        <v>1350</v>
      </c>
      <c r="E6505" s="35" t="s">
        <v>1356</v>
      </c>
      <c r="F6505" s="35" t="s">
        <v>390</v>
      </c>
      <c r="G6505" s="35" t="s">
        <v>401</v>
      </c>
    </row>
    <row r="6506" spans="1:8">
      <c r="A6506" s="34">
        <v>2084056070</v>
      </c>
      <c r="B6506" s="35" t="s">
        <v>462</v>
      </c>
      <c r="C6506" s="35" t="s">
        <v>405</v>
      </c>
      <c r="D6506" s="35" t="s">
        <v>1350</v>
      </c>
      <c r="E6506" s="35" t="s">
        <v>1356</v>
      </c>
      <c r="F6506" s="35" t="s">
        <v>390</v>
      </c>
      <c r="G6506" s="35" t="s">
        <v>10</v>
      </c>
      <c r="H6506" s="35" t="s">
        <v>483</v>
      </c>
    </row>
    <row r="6507" spans="1:8">
      <c r="A6507" s="34">
        <v>2084056068</v>
      </c>
      <c r="B6507" s="35" t="s">
        <v>462</v>
      </c>
      <c r="C6507" s="35" t="s">
        <v>405</v>
      </c>
      <c r="D6507" s="35" t="s">
        <v>1350</v>
      </c>
      <c r="E6507" s="35" t="s">
        <v>1356</v>
      </c>
      <c r="F6507" s="35" t="s">
        <v>390</v>
      </c>
      <c r="G6507" s="35" t="s">
        <v>10</v>
      </c>
      <c r="H6507" s="35" t="s">
        <v>397</v>
      </c>
    </row>
    <row r="6508" spans="1:8">
      <c r="A6508" s="34">
        <v>2084056067</v>
      </c>
      <c r="B6508" s="35" t="s">
        <v>462</v>
      </c>
      <c r="C6508" s="35" t="s">
        <v>405</v>
      </c>
      <c r="D6508" s="35" t="s">
        <v>1350</v>
      </c>
      <c r="E6508" s="35" t="s">
        <v>1356</v>
      </c>
      <c r="F6508" s="35" t="s">
        <v>390</v>
      </c>
      <c r="G6508" s="35" t="s">
        <v>10</v>
      </c>
      <c r="H6508" s="35" t="s">
        <v>421</v>
      </c>
    </row>
    <row r="6509" spans="1:8">
      <c r="A6509" s="34">
        <v>2084056066</v>
      </c>
      <c r="B6509" s="35" t="s">
        <v>462</v>
      </c>
      <c r="C6509" s="35" t="s">
        <v>405</v>
      </c>
      <c r="D6509" s="35" t="s">
        <v>1350</v>
      </c>
      <c r="E6509" s="35" t="s">
        <v>1356</v>
      </c>
      <c r="F6509" s="35" t="s">
        <v>390</v>
      </c>
      <c r="G6509" s="35" t="s">
        <v>10</v>
      </c>
      <c r="H6509" s="35" t="s">
        <v>398</v>
      </c>
    </row>
    <row r="6510" spans="1:8">
      <c r="A6510" s="34">
        <v>2084056065</v>
      </c>
      <c r="B6510" s="35" t="s">
        <v>462</v>
      </c>
      <c r="C6510" s="35" t="s">
        <v>405</v>
      </c>
      <c r="D6510" s="35" t="s">
        <v>1350</v>
      </c>
      <c r="E6510" s="35" t="s">
        <v>1356</v>
      </c>
      <c r="F6510" s="35" t="s">
        <v>390</v>
      </c>
      <c r="G6510" s="35" t="s">
        <v>10</v>
      </c>
      <c r="H6510" s="35" t="s">
        <v>422</v>
      </c>
    </row>
    <row r="6511" spans="1:8">
      <c r="A6511" s="34">
        <v>2084056069</v>
      </c>
      <c r="B6511" s="35" t="s">
        <v>462</v>
      </c>
      <c r="C6511" s="35" t="s">
        <v>405</v>
      </c>
      <c r="D6511" s="35" t="s">
        <v>1350</v>
      </c>
      <c r="E6511" s="35" t="s">
        <v>1356</v>
      </c>
      <c r="F6511" s="35" t="s">
        <v>390</v>
      </c>
      <c r="G6511" s="35" t="s">
        <v>10</v>
      </c>
      <c r="H6511" s="35" t="s">
        <v>335</v>
      </c>
    </row>
    <row r="6512" spans="1:8">
      <c r="A6512" s="34">
        <v>2084056072</v>
      </c>
      <c r="B6512" s="35" t="s">
        <v>462</v>
      </c>
      <c r="C6512" s="35" t="s">
        <v>405</v>
      </c>
      <c r="D6512" s="35" t="s">
        <v>1350</v>
      </c>
      <c r="E6512" s="35" t="s">
        <v>1356</v>
      </c>
      <c r="F6512" s="35" t="s">
        <v>390</v>
      </c>
      <c r="G6512" s="35" t="s">
        <v>379</v>
      </c>
      <c r="H6512" s="35" t="s">
        <v>476</v>
      </c>
    </row>
    <row r="6513" spans="1:8">
      <c r="A6513" s="34">
        <v>2084056073</v>
      </c>
      <c r="B6513" s="35" t="s">
        <v>462</v>
      </c>
      <c r="C6513" s="35" t="s">
        <v>405</v>
      </c>
      <c r="D6513" s="35" t="s">
        <v>1350</v>
      </c>
      <c r="E6513" s="35" t="s">
        <v>1356</v>
      </c>
      <c r="F6513" s="35" t="s">
        <v>390</v>
      </c>
      <c r="G6513" s="35" t="s">
        <v>379</v>
      </c>
      <c r="H6513" s="35" t="s">
        <v>335</v>
      </c>
    </row>
    <row r="6514" spans="1:8">
      <c r="A6514" s="34">
        <v>2084056074</v>
      </c>
      <c r="B6514" s="35" t="s">
        <v>462</v>
      </c>
      <c r="C6514" s="35" t="s">
        <v>405</v>
      </c>
      <c r="D6514" s="35" t="s">
        <v>1350</v>
      </c>
      <c r="E6514" s="35" t="s">
        <v>1356</v>
      </c>
      <c r="F6514" s="35" t="s">
        <v>390</v>
      </c>
      <c r="G6514" s="35" t="s">
        <v>335</v>
      </c>
    </row>
    <row r="6515" spans="1:8">
      <c r="A6515" s="34">
        <v>2084243057</v>
      </c>
      <c r="B6515" s="35" t="s">
        <v>462</v>
      </c>
      <c r="C6515" s="35" t="s">
        <v>405</v>
      </c>
      <c r="D6515" s="35" t="s">
        <v>1350</v>
      </c>
      <c r="E6515" s="35" t="s">
        <v>1356</v>
      </c>
      <c r="F6515" s="35" t="s">
        <v>408</v>
      </c>
    </row>
    <row r="6516" spans="1:8">
      <c r="A6516" s="34">
        <v>2084056075</v>
      </c>
      <c r="B6516" s="35" t="s">
        <v>462</v>
      </c>
      <c r="C6516" s="35" t="s">
        <v>405</v>
      </c>
      <c r="D6516" s="35" t="s">
        <v>1350</v>
      </c>
      <c r="E6516" s="35" t="s">
        <v>1356</v>
      </c>
      <c r="F6516" s="35" t="s">
        <v>335</v>
      </c>
    </row>
    <row r="6517" spans="1:8">
      <c r="A6517" s="34">
        <v>2084308430</v>
      </c>
      <c r="B6517" s="35" t="s">
        <v>462</v>
      </c>
      <c r="C6517" s="35" t="s">
        <v>405</v>
      </c>
      <c r="D6517" s="35" t="s">
        <v>1350</v>
      </c>
      <c r="E6517" s="35" t="s">
        <v>1357</v>
      </c>
      <c r="F6517" s="35" t="s">
        <v>475</v>
      </c>
    </row>
    <row r="6518" spans="1:8">
      <c r="A6518" s="34">
        <v>2084308431</v>
      </c>
      <c r="B6518" s="35" t="s">
        <v>462</v>
      </c>
      <c r="C6518" s="35" t="s">
        <v>405</v>
      </c>
      <c r="D6518" s="35" t="s">
        <v>1350</v>
      </c>
      <c r="E6518" s="35" t="s">
        <v>1357</v>
      </c>
      <c r="F6518" s="35" t="s">
        <v>367</v>
      </c>
    </row>
    <row r="6519" spans="1:8">
      <c r="A6519" s="34">
        <v>2084308432</v>
      </c>
      <c r="B6519" s="35" t="s">
        <v>462</v>
      </c>
      <c r="C6519" s="35" t="s">
        <v>405</v>
      </c>
      <c r="D6519" s="35" t="s">
        <v>1350</v>
      </c>
      <c r="E6519" s="35" t="s">
        <v>1357</v>
      </c>
      <c r="F6519" s="35" t="s">
        <v>401</v>
      </c>
    </row>
    <row r="6520" spans="1:8">
      <c r="A6520" s="34">
        <v>2084308433</v>
      </c>
      <c r="B6520" s="35" t="s">
        <v>462</v>
      </c>
      <c r="C6520" s="35" t="s">
        <v>405</v>
      </c>
      <c r="D6520" s="35" t="s">
        <v>1350</v>
      </c>
      <c r="E6520" s="35" t="s">
        <v>1357</v>
      </c>
      <c r="F6520" s="35" t="s">
        <v>402</v>
      </c>
    </row>
    <row r="6521" spans="1:8">
      <c r="A6521" s="34">
        <v>2084308435</v>
      </c>
      <c r="B6521" s="35" t="s">
        <v>462</v>
      </c>
      <c r="C6521" s="35" t="s">
        <v>405</v>
      </c>
      <c r="D6521" s="35" t="s">
        <v>1350</v>
      </c>
      <c r="E6521" s="35" t="s">
        <v>1357</v>
      </c>
      <c r="F6521" s="35" t="s">
        <v>476</v>
      </c>
    </row>
    <row r="6522" spans="1:8">
      <c r="A6522" s="34">
        <v>2084308434</v>
      </c>
      <c r="B6522" s="35" t="s">
        <v>462</v>
      </c>
      <c r="C6522" s="35" t="s">
        <v>405</v>
      </c>
      <c r="D6522" s="35" t="s">
        <v>1350</v>
      </c>
      <c r="E6522" s="35" t="s">
        <v>1357</v>
      </c>
      <c r="F6522" s="35" t="s">
        <v>477</v>
      </c>
    </row>
    <row r="6523" spans="1:8">
      <c r="A6523" s="34">
        <v>2084308436</v>
      </c>
      <c r="B6523" s="35" t="s">
        <v>462</v>
      </c>
      <c r="C6523" s="35" t="s">
        <v>405</v>
      </c>
      <c r="D6523" s="35" t="s">
        <v>1350</v>
      </c>
      <c r="E6523" s="35" t="s">
        <v>1357</v>
      </c>
      <c r="F6523" s="35" t="s">
        <v>478</v>
      </c>
    </row>
    <row r="6524" spans="1:8">
      <c r="A6524" s="34">
        <v>2084308437</v>
      </c>
      <c r="B6524" s="35" t="s">
        <v>462</v>
      </c>
      <c r="C6524" s="35" t="s">
        <v>405</v>
      </c>
      <c r="D6524" s="35" t="s">
        <v>1350</v>
      </c>
      <c r="E6524" s="35" t="s">
        <v>1357</v>
      </c>
      <c r="F6524" s="35" t="s">
        <v>335</v>
      </c>
    </row>
    <row r="6525" spans="1:8">
      <c r="A6525" s="34">
        <v>2084243888</v>
      </c>
      <c r="B6525" s="35" t="s">
        <v>462</v>
      </c>
      <c r="C6525" s="35" t="s">
        <v>405</v>
      </c>
      <c r="D6525" s="35" t="s">
        <v>1350</v>
      </c>
      <c r="E6525" s="35" t="s">
        <v>1358</v>
      </c>
      <c r="F6525" s="35" t="s">
        <v>475</v>
      </c>
    </row>
    <row r="6526" spans="1:8">
      <c r="A6526" s="34">
        <v>2084055549</v>
      </c>
      <c r="B6526" s="35" t="s">
        <v>462</v>
      </c>
      <c r="C6526" s="35" t="s">
        <v>405</v>
      </c>
      <c r="D6526" s="35" t="s">
        <v>1350</v>
      </c>
      <c r="E6526" s="35" t="s">
        <v>1358</v>
      </c>
      <c r="F6526" s="35" t="s">
        <v>390</v>
      </c>
      <c r="G6526" s="35" t="s">
        <v>367</v>
      </c>
    </row>
    <row r="6527" spans="1:8">
      <c r="A6527" s="34">
        <v>2084055552</v>
      </c>
      <c r="B6527" s="35" t="s">
        <v>462</v>
      </c>
      <c r="C6527" s="35" t="s">
        <v>405</v>
      </c>
      <c r="D6527" s="35" t="s">
        <v>1350</v>
      </c>
      <c r="E6527" s="35" t="s">
        <v>1358</v>
      </c>
      <c r="F6527" s="35" t="s">
        <v>390</v>
      </c>
      <c r="G6527" s="35" t="s">
        <v>368</v>
      </c>
      <c r="H6527" s="35" t="s">
        <v>481</v>
      </c>
    </row>
    <row r="6528" spans="1:8">
      <c r="A6528" s="34">
        <v>2084055551</v>
      </c>
      <c r="B6528" s="35" t="s">
        <v>462</v>
      </c>
      <c r="C6528" s="35" t="s">
        <v>405</v>
      </c>
      <c r="D6528" s="35" t="s">
        <v>1350</v>
      </c>
      <c r="E6528" s="35" t="s">
        <v>1358</v>
      </c>
      <c r="F6528" s="35" t="s">
        <v>390</v>
      </c>
      <c r="G6528" s="35" t="s">
        <v>368</v>
      </c>
      <c r="H6528" s="35" t="s">
        <v>482</v>
      </c>
    </row>
    <row r="6529" spans="1:8">
      <c r="A6529" s="34">
        <v>2084055553</v>
      </c>
      <c r="B6529" s="35" t="s">
        <v>462</v>
      </c>
      <c r="C6529" s="35" t="s">
        <v>405</v>
      </c>
      <c r="D6529" s="35" t="s">
        <v>1350</v>
      </c>
      <c r="E6529" s="35" t="s">
        <v>1358</v>
      </c>
      <c r="F6529" s="35" t="s">
        <v>390</v>
      </c>
      <c r="G6529" s="35" t="s">
        <v>368</v>
      </c>
      <c r="H6529" s="35" t="s">
        <v>335</v>
      </c>
    </row>
    <row r="6530" spans="1:8">
      <c r="A6530" s="34">
        <v>2084055559</v>
      </c>
      <c r="B6530" s="35" t="s">
        <v>462</v>
      </c>
      <c r="C6530" s="35" t="s">
        <v>405</v>
      </c>
      <c r="D6530" s="35" t="s">
        <v>1350</v>
      </c>
      <c r="E6530" s="35" t="s">
        <v>1358</v>
      </c>
      <c r="F6530" s="35" t="s">
        <v>390</v>
      </c>
      <c r="G6530" s="35" t="s">
        <v>10</v>
      </c>
      <c r="H6530" s="35" t="s">
        <v>483</v>
      </c>
    </row>
    <row r="6531" spans="1:8">
      <c r="A6531" s="34">
        <v>2084055556</v>
      </c>
      <c r="B6531" s="35" t="s">
        <v>462</v>
      </c>
      <c r="C6531" s="35" t="s">
        <v>405</v>
      </c>
      <c r="D6531" s="35" t="s">
        <v>1350</v>
      </c>
      <c r="E6531" s="35" t="s">
        <v>1358</v>
      </c>
      <c r="F6531" s="35" t="s">
        <v>390</v>
      </c>
      <c r="G6531" s="35" t="s">
        <v>10</v>
      </c>
      <c r="H6531" s="35" t="s">
        <v>397</v>
      </c>
    </row>
    <row r="6532" spans="1:8">
      <c r="A6532" s="34">
        <v>2084055558</v>
      </c>
      <c r="B6532" s="35" t="s">
        <v>462</v>
      </c>
      <c r="C6532" s="35" t="s">
        <v>405</v>
      </c>
      <c r="D6532" s="35" t="s">
        <v>1350</v>
      </c>
      <c r="E6532" s="35" t="s">
        <v>1358</v>
      </c>
      <c r="F6532" s="35" t="s">
        <v>390</v>
      </c>
      <c r="G6532" s="35" t="s">
        <v>10</v>
      </c>
      <c r="H6532" s="35" t="s">
        <v>421</v>
      </c>
    </row>
    <row r="6533" spans="1:8">
      <c r="A6533" s="34">
        <v>2084055555</v>
      </c>
      <c r="B6533" s="35" t="s">
        <v>462</v>
      </c>
      <c r="C6533" s="35" t="s">
        <v>405</v>
      </c>
      <c r="D6533" s="35" t="s">
        <v>1350</v>
      </c>
      <c r="E6533" s="35" t="s">
        <v>1358</v>
      </c>
      <c r="F6533" s="35" t="s">
        <v>390</v>
      </c>
      <c r="G6533" s="35" t="s">
        <v>10</v>
      </c>
      <c r="H6533" s="35" t="s">
        <v>398</v>
      </c>
    </row>
    <row r="6534" spans="1:8">
      <c r="A6534" s="34">
        <v>2084055557</v>
      </c>
      <c r="B6534" s="35" t="s">
        <v>462</v>
      </c>
      <c r="C6534" s="35" t="s">
        <v>405</v>
      </c>
      <c r="D6534" s="35" t="s">
        <v>1350</v>
      </c>
      <c r="E6534" s="35" t="s">
        <v>1358</v>
      </c>
      <c r="F6534" s="35" t="s">
        <v>390</v>
      </c>
      <c r="G6534" s="35" t="s">
        <v>10</v>
      </c>
      <c r="H6534" s="35" t="s">
        <v>422</v>
      </c>
    </row>
    <row r="6535" spans="1:8">
      <c r="A6535" s="34">
        <v>2084055560</v>
      </c>
      <c r="B6535" s="35" t="s">
        <v>462</v>
      </c>
      <c r="C6535" s="35" t="s">
        <v>405</v>
      </c>
      <c r="D6535" s="35" t="s">
        <v>1350</v>
      </c>
      <c r="E6535" s="35" t="s">
        <v>1358</v>
      </c>
      <c r="F6535" s="35" t="s">
        <v>390</v>
      </c>
      <c r="G6535" s="35" t="s">
        <v>10</v>
      </c>
      <c r="H6535" s="35" t="s">
        <v>335</v>
      </c>
    </row>
    <row r="6536" spans="1:8">
      <c r="A6536" s="34">
        <v>2084055562</v>
      </c>
      <c r="B6536" s="35" t="s">
        <v>462</v>
      </c>
      <c r="C6536" s="35" t="s">
        <v>405</v>
      </c>
      <c r="D6536" s="35" t="s">
        <v>1350</v>
      </c>
      <c r="E6536" s="35" t="s">
        <v>1358</v>
      </c>
      <c r="F6536" s="35" t="s">
        <v>390</v>
      </c>
      <c r="G6536" s="35" t="s">
        <v>379</v>
      </c>
      <c r="H6536" s="35" t="s">
        <v>476</v>
      </c>
    </row>
    <row r="6537" spans="1:8">
      <c r="A6537" s="34">
        <v>2084055563</v>
      </c>
      <c r="B6537" s="35" t="s">
        <v>462</v>
      </c>
      <c r="C6537" s="35" t="s">
        <v>405</v>
      </c>
      <c r="D6537" s="35" t="s">
        <v>1350</v>
      </c>
      <c r="E6537" s="35" t="s">
        <v>1358</v>
      </c>
      <c r="F6537" s="35" t="s">
        <v>390</v>
      </c>
      <c r="G6537" s="35" t="s">
        <v>379</v>
      </c>
      <c r="H6537" s="35" t="s">
        <v>335</v>
      </c>
    </row>
    <row r="6538" spans="1:8">
      <c r="A6538" s="34">
        <v>2084055564</v>
      </c>
      <c r="B6538" s="35" t="s">
        <v>462</v>
      </c>
      <c r="C6538" s="35" t="s">
        <v>405</v>
      </c>
      <c r="D6538" s="35" t="s">
        <v>1350</v>
      </c>
      <c r="E6538" s="35" t="s">
        <v>1358</v>
      </c>
      <c r="F6538" s="35" t="s">
        <v>390</v>
      </c>
      <c r="G6538" s="35" t="s">
        <v>335</v>
      </c>
    </row>
    <row r="6539" spans="1:8">
      <c r="A6539" s="34">
        <v>2084055537</v>
      </c>
      <c r="B6539" s="35" t="s">
        <v>462</v>
      </c>
      <c r="C6539" s="35" t="s">
        <v>405</v>
      </c>
      <c r="D6539" s="35" t="s">
        <v>1350</v>
      </c>
      <c r="E6539" s="35" t="s">
        <v>1358</v>
      </c>
      <c r="F6539" s="35" t="s">
        <v>353</v>
      </c>
      <c r="G6539" s="35" t="s">
        <v>367</v>
      </c>
    </row>
    <row r="6540" spans="1:8">
      <c r="A6540" s="34">
        <v>2084055538</v>
      </c>
      <c r="B6540" s="35" t="s">
        <v>462</v>
      </c>
      <c r="C6540" s="35" t="s">
        <v>405</v>
      </c>
      <c r="D6540" s="35" t="s">
        <v>1350</v>
      </c>
      <c r="E6540" s="35" t="s">
        <v>1358</v>
      </c>
      <c r="F6540" s="35" t="s">
        <v>353</v>
      </c>
      <c r="G6540" s="35" t="s">
        <v>401</v>
      </c>
    </row>
    <row r="6541" spans="1:8">
      <c r="A6541" s="34">
        <v>2084055544</v>
      </c>
      <c r="B6541" s="35" t="s">
        <v>462</v>
      </c>
      <c r="C6541" s="35" t="s">
        <v>405</v>
      </c>
      <c r="D6541" s="35" t="s">
        <v>1350</v>
      </c>
      <c r="E6541" s="35" t="s">
        <v>1358</v>
      </c>
      <c r="F6541" s="35" t="s">
        <v>353</v>
      </c>
      <c r="G6541" s="35" t="s">
        <v>10</v>
      </c>
      <c r="H6541" s="35" t="s">
        <v>483</v>
      </c>
    </row>
    <row r="6542" spans="1:8">
      <c r="A6542" s="34">
        <v>2084055541</v>
      </c>
      <c r="B6542" s="35" t="s">
        <v>462</v>
      </c>
      <c r="C6542" s="35" t="s">
        <v>405</v>
      </c>
      <c r="D6542" s="35" t="s">
        <v>1350</v>
      </c>
      <c r="E6542" s="35" t="s">
        <v>1358</v>
      </c>
      <c r="F6542" s="35" t="s">
        <v>353</v>
      </c>
      <c r="G6542" s="35" t="s">
        <v>10</v>
      </c>
      <c r="H6542" s="35" t="s">
        <v>397</v>
      </c>
    </row>
    <row r="6543" spans="1:8">
      <c r="A6543" s="34">
        <v>2084055543</v>
      </c>
      <c r="B6543" s="35" t="s">
        <v>462</v>
      </c>
      <c r="C6543" s="35" t="s">
        <v>405</v>
      </c>
      <c r="D6543" s="35" t="s">
        <v>1350</v>
      </c>
      <c r="E6543" s="35" t="s">
        <v>1358</v>
      </c>
      <c r="F6543" s="35" t="s">
        <v>353</v>
      </c>
      <c r="G6543" s="35" t="s">
        <v>10</v>
      </c>
      <c r="H6543" s="35" t="s">
        <v>421</v>
      </c>
    </row>
    <row r="6544" spans="1:8">
      <c r="A6544" s="34">
        <v>2084055540</v>
      </c>
      <c r="B6544" s="35" t="s">
        <v>462</v>
      </c>
      <c r="C6544" s="35" t="s">
        <v>405</v>
      </c>
      <c r="D6544" s="35" t="s">
        <v>1350</v>
      </c>
      <c r="E6544" s="35" t="s">
        <v>1358</v>
      </c>
      <c r="F6544" s="35" t="s">
        <v>353</v>
      </c>
      <c r="G6544" s="35" t="s">
        <v>10</v>
      </c>
      <c r="H6544" s="35" t="s">
        <v>398</v>
      </c>
    </row>
    <row r="6545" spans="1:8">
      <c r="A6545" s="34">
        <v>2084055542</v>
      </c>
      <c r="B6545" s="35" t="s">
        <v>462</v>
      </c>
      <c r="C6545" s="35" t="s">
        <v>405</v>
      </c>
      <c r="D6545" s="35" t="s">
        <v>1350</v>
      </c>
      <c r="E6545" s="35" t="s">
        <v>1358</v>
      </c>
      <c r="F6545" s="35" t="s">
        <v>353</v>
      </c>
      <c r="G6545" s="35" t="s">
        <v>10</v>
      </c>
      <c r="H6545" s="35" t="s">
        <v>422</v>
      </c>
    </row>
    <row r="6546" spans="1:8">
      <c r="A6546" s="34">
        <v>2084055545</v>
      </c>
      <c r="B6546" s="35" t="s">
        <v>462</v>
      </c>
      <c r="C6546" s="35" t="s">
        <v>405</v>
      </c>
      <c r="D6546" s="35" t="s">
        <v>1350</v>
      </c>
      <c r="E6546" s="35" t="s">
        <v>1358</v>
      </c>
      <c r="F6546" s="35" t="s">
        <v>353</v>
      </c>
      <c r="G6546" s="35" t="s">
        <v>10</v>
      </c>
      <c r="H6546" s="35" t="s">
        <v>335</v>
      </c>
    </row>
    <row r="6547" spans="1:8">
      <c r="A6547" s="34">
        <v>2084055546</v>
      </c>
      <c r="B6547" s="35" t="s">
        <v>462</v>
      </c>
      <c r="C6547" s="35" t="s">
        <v>405</v>
      </c>
      <c r="D6547" s="35" t="s">
        <v>1350</v>
      </c>
      <c r="E6547" s="35" t="s">
        <v>1358</v>
      </c>
      <c r="F6547" s="35" t="s">
        <v>353</v>
      </c>
      <c r="G6547" s="35" t="s">
        <v>403</v>
      </c>
    </row>
    <row r="6548" spans="1:8">
      <c r="A6548" s="34">
        <v>2084055547</v>
      </c>
      <c r="B6548" s="35" t="s">
        <v>462</v>
      </c>
      <c r="C6548" s="35" t="s">
        <v>405</v>
      </c>
      <c r="D6548" s="35" t="s">
        <v>1350</v>
      </c>
      <c r="E6548" s="35" t="s">
        <v>1358</v>
      </c>
      <c r="F6548" s="35" t="s">
        <v>353</v>
      </c>
      <c r="G6548" s="35" t="s">
        <v>335</v>
      </c>
    </row>
    <row r="6549" spans="1:8">
      <c r="A6549" s="34">
        <v>2084055565</v>
      </c>
      <c r="B6549" s="35" t="s">
        <v>462</v>
      </c>
      <c r="C6549" s="35" t="s">
        <v>405</v>
      </c>
      <c r="D6549" s="35" t="s">
        <v>1350</v>
      </c>
      <c r="E6549" s="35" t="s">
        <v>1358</v>
      </c>
      <c r="F6549" s="35" t="s">
        <v>335</v>
      </c>
    </row>
    <row r="6550" spans="1:8">
      <c r="A6550" s="34">
        <v>2084306023</v>
      </c>
      <c r="B6550" s="35" t="s">
        <v>462</v>
      </c>
      <c r="C6550" s="35" t="s">
        <v>405</v>
      </c>
      <c r="D6550" s="35" t="s">
        <v>1350</v>
      </c>
      <c r="E6550" s="35" t="s">
        <v>1359</v>
      </c>
      <c r="F6550" s="35" t="s">
        <v>390</v>
      </c>
      <c r="G6550" s="35" t="s">
        <v>367</v>
      </c>
    </row>
    <row r="6551" spans="1:8">
      <c r="A6551" s="34">
        <v>2084306024</v>
      </c>
      <c r="B6551" s="35" t="s">
        <v>462</v>
      </c>
      <c r="C6551" s="35" t="s">
        <v>405</v>
      </c>
      <c r="D6551" s="35" t="s">
        <v>1350</v>
      </c>
      <c r="E6551" s="35" t="s">
        <v>1359</v>
      </c>
      <c r="F6551" s="35" t="s">
        <v>390</v>
      </c>
      <c r="G6551" s="35" t="s">
        <v>401</v>
      </c>
    </row>
    <row r="6552" spans="1:8">
      <c r="A6552" s="34">
        <v>2084306025</v>
      </c>
      <c r="B6552" s="35" t="s">
        <v>462</v>
      </c>
      <c r="C6552" s="35" t="s">
        <v>405</v>
      </c>
      <c r="D6552" s="35" t="s">
        <v>1350</v>
      </c>
      <c r="E6552" s="35" t="s">
        <v>1359</v>
      </c>
      <c r="F6552" s="35" t="s">
        <v>390</v>
      </c>
      <c r="G6552" s="35" t="s">
        <v>402</v>
      </c>
    </row>
    <row r="6553" spans="1:8">
      <c r="A6553" s="34">
        <v>2084306026</v>
      </c>
      <c r="B6553" s="35" t="s">
        <v>462</v>
      </c>
      <c r="C6553" s="35" t="s">
        <v>405</v>
      </c>
      <c r="D6553" s="35" t="s">
        <v>1350</v>
      </c>
      <c r="E6553" s="35" t="s">
        <v>1359</v>
      </c>
      <c r="F6553" s="35" t="s">
        <v>390</v>
      </c>
      <c r="G6553" s="35" t="s">
        <v>477</v>
      </c>
    </row>
    <row r="6554" spans="1:8">
      <c r="A6554" s="34">
        <v>2084306027</v>
      </c>
      <c r="B6554" s="35" t="s">
        <v>462</v>
      </c>
      <c r="C6554" s="35" t="s">
        <v>405</v>
      </c>
      <c r="D6554" s="35" t="s">
        <v>1350</v>
      </c>
      <c r="E6554" s="35" t="s">
        <v>1359</v>
      </c>
      <c r="F6554" s="35" t="s">
        <v>390</v>
      </c>
      <c r="G6554" s="35" t="s">
        <v>476</v>
      </c>
    </row>
    <row r="6555" spans="1:8">
      <c r="A6555" s="34">
        <v>2084306022</v>
      </c>
      <c r="B6555" s="35" t="s">
        <v>462</v>
      </c>
      <c r="C6555" s="35" t="s">
        <v>405</v>
      </c>
      <c r="D6555" s="35" t="s">
        <v>1350</v>
      </c>
      <c r="E6555" s="35" t="s">
        <v>1359</v>
      </c>
      <c r="F6555" s="35" t="s">
        <v>390</v>
      </c>
      <c r="G6555" s="35" t="s">
        <v>475</v>
      </c>
    </row>
    <row r="6556" spans="1:8">
      <c r="A6556" s="34">
        <v>2084306028</v>
      </c>
      <c r="B6556" s="35" t="s">
        <v>462</v>
      </c>
      <c r="C6556" s="35" t="s">
        <v>405</v>
      </c>
      <c r="D6556" s="35" t="s">
        <v>1350</v>
      </c>
      <c r="E6556" s="35" t="s">
        <v>1359</v>
      </c>
      <c r="F6556" s="35" t="s">
        <v>390</v>
      </c>
      <c r="G6556" s="35" t="s">
        <v>335</v>
      </c>
    </row>
    <row r="6557" spans="1:8">
      <c r="A6557" s="34">
        <v>2084306745</v>
      </c>
      <c r="B6557" s="35" t="s">
        <v>462</v>
      </c>
      <c r="C6557" s="35" t="s">
        <v>405</v>
      </c>
      <c r="D6557" s="35" t="s">
        <v>1350</v>
      </c>
      <c r="E6557" s="35" t="s">
        <v>1359</v>
      </c>
      <c r="F6557" s="35" t="s">
        <v>408</v>
      </c>
    </row>
    <row r="6558" spans="1:8">
      <c r="A6558" s="34">
        <v>2084308708</v>
      </c>
      <c r="B6558" s="35" t="s">
        <v>462</v>
      </c>
      <c r="C6558" s="35" t="s">
        <v>405</v>
      </c>
      <c r="D6558" s="35" t="s">
        <v>1350</v>
      </c>
      <c r="E6558" s="35" t="s">
        <v>1360</v>
      </c>
      <c r="F6558" s="35" t="s">
        <v>367</v>
      </c>
    </row>
    <row r="6559" spans="1:8">
      <c r="A6559" s="34">
        <v>2084308709</v>
      </c>
      <c r="B6559" s="35" t="s">
        <v>462</v>
      </c>
      <c r="C6559" s="35" t="s">
        <v>405</v>
      </c>
      <c r="D6559" s="35" t="s">
        <v>1350</v>
      </c>
      <c r="E6559" s="35" t="s">
        <v>1360</v>
      </c>
      <c r="F6559" s="35" t="s">
        <v>401</v>
      </c>
    </row>
    <row r="6560" spans="1:8">
      <c r="A6560" s="34">
        <v>2084308710</v>
      </c>
      <c r="B6560" s="35" t="s">
        <v>462</v>
      </c>
      <c r="C6560" s="35" t="s">
        <v>405</v>
      </c>
      <c r="D6560" s="35" t="s">
        <v>1350</v>
      </c>
      <c r="E6560" s="35" t="s">
        <v>1360</v>
      </c>
      <c r="F6560" s="35" t="s">
        <v>402</v>
      </c>
    </row>
    <row r="6561" spans="1:6">
      <c r="A6561" s="34">
        <v>2084308712</v>
      </c>
      <c r="B6561" s="35" t="s">
        <v>462</v>
      </c>
      <c r="C6561" s="35" t="s">
        <v>405</v>
      </c>
      <c r="D6561" s="35" t="s">
        <v>1350</v>
      </c>
      <c r="E6561" s="35" t="s">
        <v>1360</v>
      </c>
      <c r="F6561" s="35" t="s">
        <v>476</v>
      </c>
    </row>
    <row r="6562" spans="1:6">
      <c r="A6562" s="34">
        <v>2084308711</v>
      </c>
      <c r="B6562" s="35" t="s">
        <v>462</v>
      </c>
      <c r="C6562" s="35" t="s">
        <v>405</v>
      </c>
      <c r="D6562" s="35" t="s">
        <v>1350</v>
      </c>
      <c r="E6562" s="35" t="s">
        <v>1360</v>
      </c>
      <c r="F6562" s="35" t="s">
        <v>477</v>
      </c>
    </row>
    <row r="6563" spans="1:6">
      <c r="A6563" s="34">
        <v>2084308713</v>
      </c>
      <c r="B6563" s="35" t="s">
        <v>462</v>
      </c>
      <c r="C6563" s="35" t="s">
        <v>405</v>
      </c>
      <c r="D6563" s="35" t="s">
        <v>1350</v>
      </c>
      <c r="E6563" s="35" t="s">
        <v>1360</v>
      </c>
      <c r="F6563" s="35" t="s">
        <v>478</v>
      </c>
    </row>
    <row r="6564" spans="1:6">
      <c r="A6564" s="34">
        <v>2084308714</v>
      </c>
      <c r="B6564" s="35" t="s">
        <v>462</v>
      </c>
      <c r="C6564" s="35" t="s">
        <v>405</v>
      </c>
      <c r="D6564" s="35" t="s">
        <v>1350</v>
      </c>
      <c r="E6564" s="35" t="s">
        <v>1360</v>
      </c>
      <c r="F6564" s="35" t="s">
        <v>335</v>
      </c>
    </row>
    <row r="6565" spans="1:6">
      <c r="A6565" s="34">
        <v>2084261367</v>
      </c>
      <c r="B6565" s="35" t="s">
        <v>462</v>
      </c>
      <c r="C6565" s="35" t="s">
        <v>405</v>
      </c>
      <c r="D6565" s="35" t="s">
        <v>1350</v>
      </c>
      <c r="E6565" s="35" t="s">
        <v>1361</v>
      </c>
    </row>
    <row r="6566" spans="1:6">
      <c r="A6566" s="34">
        <v>2084283772</v>
      </c>
      <c r="B6566" s="35" t="s">
        <v>462</v>
      </c>
      <c r="C6566" s="35" t="s">
        <v>405</v>
      </c>
      <c r="D6566" s="35" t="s">
        <v>1350</v>
      </c>
      <c r="E6566" s="35" t="s">
        <v>1362</v>
      </c>
    </row>
    <row r="6567" spans="1:6">
      <c r="A6567" s="34">
        <v>2084242849</v>
      </c>
      <c r="B6567" s="35" t="s">
        <v>462</v>
      </c>
      <c r="C6567" s="35" t="s">
        <v>405</v>
      </c>
      <c r="D6567" s="35" t="s">
        <v>1350</v>
      </c>
      <c r="E6567" s="35" t="s">
        <v>1363</v>
      </c>
    </row>
    <row r="6568" spans="1:6">
      <c r="A6568" s="34">
        <v>2084205184</v>
      </c>
      <c r="B6568" s="35" t="s">
        <v>462</v>
      </c>
      <c r="C6568" s="35" t="s">
        <v>405</v>
      </c>
      <c r="D6568" s="35" t="s">
        <v>1350</v>
      </c>
      <c r="E6568" s="35" t="s">
        <v>1364</v>
      </c>
      <c r="F6568" s="35" t="s">
        <v>367</v>
      </c>
    </row>
    <row r="6569" spans="1:6">
      <c r="A6569" s="34">
        <v>2084205185</v>
      </c>
      <c r="B6569" s="35" t="s">
        <v>462</v>
      </c>
      <c r="C6569" s="35" t="s">
        <v>405</v>
      </c>
      <c r="D6569" s="35" t="s">
        <v>1350</v>
      </c>
      <c r="E6569" s="35" t="s">
        <v>1364</v>
      </c>
      <c r="F6569" s="35" t="s">
        <v>401</v>
      </c>
    </row>
    <row r="6570" spans="1:6">
      <c r="A6570" s="34">
        <v>2084205186</v>
      </c>
      <c r="B6570" s="35" t="s">
        <v>462</v>
      </c>
      <c r="C6570" s="35" t="s">
        <v>405</v>
      </c>
      <c r="D6570" s="35" t="s">
        <v>1350</v>
      </c>
      <c r="E6570" s="35" t="s">
        <v>1364</v>
      </c>
      <c r="F6570" s="35" t="s">
        <v>402</v>
      </c>
    </row>
    <row r="6571" spans="1:6">
      <c r="A6571" s="34">
        <v>2084205187</v>
      </c>
      <c r="B6571" s="35" t="s">
        <v>462</v>
      </c>
      <c r="C6571" s="35" t="s">
        <v>405</v>
      </c>
      <c r="D6571" s="35" t="s">
        <v>1350</v>
      </c>
      <c r="E6571" s="35" t="s">
        <v>1364</v>
      </c>
      <c r="F6571" s="35" t="s">
        <v>403</v>
      </c>
    </row>
    <row r="6572" spans="1:6">
      <c r="A6572" s="34">
        <v>2084205188</v>
      </c>
      <c r="B6572" s="35" t="s">
        <v>462</v>
      </c>
      <c r="C6572" s="35" t="s">
        <v>405</v>
      </c>
      <c r="D6572" s="35" t="s">
        <v>1350</v>
      </c>
      <c r="E6572" s="35" t="s">
        <v>1364</v>
      </c>
      <c r="F6572" s="35" t="s">
        <v>335</v>
      </c>
    </row>
    <row r="6573" spans="1:6">
      <c r="A6573" s="34">
        <v>2084227895</v>
      </c>
      <c r="B6573" s="35" t="s">
        <v>462</v>
      </c>
      <c r="C6573" s="35" t="s">
        <v>405</v>
      </c>
      <c r="D6573" s="35" t="s">
        <v>1350</v>
      </c>
      <c r="E6573" s="35" t="s">
        <v>1365</v>
      </c>
      <c r="F6573" s="35" t="s">
        <v>407</v>
      </c>
    </row>
    <row r="6574" spans="1:6">
      <c r="A6574" s="34">
        <v>2084227894</v>
      </c>
      <c r="B6574" s="35" t="s">
        <v>462</v>
      </c>
      <c r="C6574" s="35" t="s">
        <v>405</v>
      </c>
      <c r="D6574" s="35" t="s">
        <v>1350</v>
      </c>
      <c r="E6574" s="35" t="s">
        <v>1365</v>
      </c>
      <c r="F6574" s="35" t="s">
        <v>408</v>
      </c>
    </row>
    <row r="6575" spans="1:6">
      <c r="A6575" s="34">
        <v>2084227896</v>
      </c>
      <c r="B6575" s="35" t="s">
        <v>462</v>
      </c>
      <c r="C6575" s="35" t="s">
        <v>405</v>
      </c>
      <c r="D6575" s="35" t="s">
        <v>1350</v>
      </c>
      <c r="E6575" s="35" t="s">
        <v>1365</v>
      </c>
      <c r="F6575" s="35" t="s">
        <v>335</v>
      </c>
    </row>
    <row r="6576" spans="1:6">
      <c r="A6576" s="34">
        <v>2084055338</v>
      </c>
      <c r="B6576" s="35" t="s">
        <v>462</v>
      </c>
      <c r="C6576" s="35" t="s">
        <v>405</v>
      </c>
      <c r="D6576" s="35" t="s">
        <v>1350</v>
      </c>
      <c r="E6576" s="35" t="s">
        <v>1366</v>
      </c>
      <c r="F6576" s="35" t="s">
        <v>367</v>
      </c>
    </row>
    <row r="6577" spans="1:7">
      <c r="A6577" s="34">
        <v>2084055341</v>
      </c>
      <c r="B6577" s="35" t="s">
        <v>462</v>
      </c>
      <c r="C6577" s="35" t="s">
        <v>405</v>
      </c>
      <c r="D6577" s="35" t="s">
        <v>1350</v>
      </c>
      <c r="E6577" s="35" t="s">
        <v>1366</v>
      </c>
      <c r="F6577" s="35" t="s">
        <v>368</v>
      </c>
      <c r="G6577" s="35" t="s">
        <v>481</v>
      </c>
    </row>
    <row r="6578" spans="1:7">
      <c r="A6578" s="34">
        <v>2084055340</v>
      </c>
      <c r="B6578" s="35" t="s">
        <v>462</v>
      </c>
      <c r="C6578" s="35" t="s">
        <v>405</v>
      </c>
      <c r="D6578" s="35" t="s">
        <v>1350</v>
      </c>
      <c r="E6578" s="35" t="s">
        <v>1366</v>
      </c>
      <c r="F6578" s="35" t="s">
        <v>368</v>
      </c>
      <c r="G6578" s="35" t="s">
        <v>482</v>
      </c>
    </row>
    <row r="6579" spans="1:7">
      <c r="A6579" s="34">
        <v>2084055342</v>
      </c>
      <c r="B6579" s="35" t="s">
        <v>462</v>
      </c>
      <c r="C6579" s="35" t="s">
        <v>405</v>
      </c>
      <c r="D6579" s="35" t="s">
        <v>1350</v>
      </c>
      <c r="E6579" s="35" t="s">
        <v>1366</v>
      </c>
      <c r="F6579" s="35" t="s">
        <v>368</v>
      </c>
      <c r="G6579" s="35" t="s">
        <v>335</v>
      </c>
    </row>
    <row r="6580" spans="1:7">
      <c r="A6580" s="34">
        <v>2084055348</v>
      </c>
      <c r="B6580" s="35" t="s">
        <v>462</v>
      </c>
      <c r="C6580" s="35" t="s">
        <v>405</v>
      </c>
      <c r="D6580" s="35" t="s">
        <v>1350</v>
      </c>
      <c r="E6580" s="35" t="s">
        <v>1366</v>
      </c>
      <c r="F6580" s="35" t="s">
        <v>10</v>
      </c>
      <c r="G6580" s="35" t="s">
        <v>483</v>
      </c>
    </row>
    <row r="6581" spans="1:7">
      <c r="A6581" s="34">
        <v>2084055345</v>
      </c>
      <c r="B6581" s="35" t="s">
        <v>462</v>
      </c>
      <c r="C6581" s="35" t="s">
        <v>405</v>
      </c>
      <c r="D6581" s="35" t="s">
        <v>1350</v>
      </c>
      <c r="E6581" s="35" t="s">
        <v>1366</v>
      </c>
      <c r="F6581" s="35" t="s">
        <v>10</v>
      </c>
      <c r="G6581" s="35" t="s">
        <v>397</v>
      </c>
    </row>
    <row r="6582" spans="1:7">
      <c r="A6582" s="34">
        <v>2084055347</v>
      </c>
      <c r="B6582" s="35" t="s">
        <v>462</v>
      </c>
      <c r="C6582" s="35" t="s">
        <v>405</v>
      </c>
      <c r="D6582" s="35" t="s">
        <v>1350</v>
      </c>
      <c r="E6582" s="35" t="s">
        <v>1366</v>
      </c>
      <c r="F6582" s="35" t="s">
        <v>10</v>
      </c>
      <c r="G6582" s="35" t="s">
        <v>421</v>
      </c>
    </row>
    <row r="6583" spans="1:7">
      <c r="A6583" s="34">
        <v>2084055344</v>
      </c>
      <c r="B6583" s="35" t="s">
        <v>462</v>
      </c>
      <c r="C6583" s="35" t="s">
        <v>405</v>
      </c>
      <c r="D6583" s="35" t="s">
        <v>1350</v>
      </c>
      <c r="E6583" s="35" t="s">
        <v>1366</v>
      </c>
      <c r="F6583" s="35" t="s">
        <v>10</v>
      </c>
      <c r="G6583" s="35" t="s">
        <v>398</v>
      </c>
    </row>
    <row r="6584" spans="1:7">
      <c r="A6584" s="34">
        <v>2084055346</v>
      </c>
      <c r="B6584" s="35" t="s">
        <v>462</v>
      </c>
      <c r="C6584" s="35" t="s">
        <v>405</v>
      </c>
      <c r="D6584" s="35" t="s">
        <v>1350</v>
      </c>
      <c r="E6584" s="35" t="s">
        <v>1366</v>
      </c>
      <c r="F6584" s="35" t="s">
        <v>10</v>
      </c>
      <c r="G6584" s="35" t="s">
        <v>422</v>
      </c>
    </row>
    <row r="6585" spans="1:7">
      <c r="A6585" s="34">
        <v>2084055349</v>
      </c>
      <c r="B6585" s="35" t="s">
        <v>462</v>
      </c>
      <c r="C6585" s="35" t="s">
        <v>405</v>
      </c>
      <c r="D6585" s="35" t="s">
        <v>1350</v>
      </c>
      <c r="E6585" s="35" t="s">
        <v>1366</v>
      </c>
      <c r="F6585" s="35" t="s">
        <v>10</v>
      </c>
      <c r="G6585" s="35" t="s">
        <v>335</v>
      </c>
    </row>
    <row r="6586" spans="1:7">
      <c r="A6586" s="34">
        <v>2084055351</v>
      </c>
      <c r="B6586" s="35" t="s">
        <v>462</v>
      </c>
      <c r="C6586" s="35" t="s">
        <v>405</v>
      </c>
      <c r="D6586" s="35" t="s">
        <v>1350</v>
      </c>
      <c r="E6586" s="35" t="s">
        <v>1366</v>
      </c>
      <c r="F6586" s="35" t="s">
        <v>379</v>
      </c>
      <c r="G6586" s="35" t="s">
        <v>476</v>
      </c>
    </row>
    <row r="6587" spans="1:7">
      <c r="A6587" s="34">
        <v>2084055352</v>
      </c>
      <c r="B6587" s="35" t="s">
        <v>462</v>
      </c>
      <c r="C6587" s="35" t="s">
        <v>405</v>
      </c>
      <c r="D6587" s="35" t="s">
        <v>1350</v>
      </c>
      <c r="E6587" s="35" t="s">
        <v>1366</v>
      </c>
      <c r="F6587" s="35" t="s">
        <v>379</v>
      </c>
      <c r="G6587" s="35" t="s">
        <v>335</v>
      </c>
    </row>
    <row r="6588" spans="1:7">
      <c r="A6588" s="34">
        <v>2084061680</v>
      </c>
      <c r="B6588" s="35" t="s">
        <v>462</v>
      </c>
      <c r="C6588" s="35" t="s">
        <v>405</v>
      </c>
      <c r="D6588" s="35" t="s">
        <v>1350</v>
      </c>
      <c r="E6588" s="35" t="s">
        <v>1366</v>
      </c>
      <c r="F6588" s="35" t="s">
        <v>478</v>
      </c>
    </row>
    <row r="6589" spans="1:7">
      <c r="A6589" s="34">
        <v>2084055353</v>
      </c>
      <c r="B6589" s="35" t="s">
        <v>462</v>
      </c>
      <c r="C6589" s="35" t="s">
        <v>405</v>
      </c>
      <c r="D6589" s="35" t="s">
        <v>1350</v>
      </c>
      <c r="E6589" s="35" t="s">
        <v>1366</v>
      </c>
      <c r="F6589" s="35" t="s">
        <v>335</v>
      </c>
    </row>
    <row r="6590" spans="1:7">
      <c r="A6590" s="34">
        <v>2084229170</v>
      </c>
      <c r="B6590" s="35" t="s">
        <v>462</v>
      </c>
      <c r="C6590" s="35" t="s">
        <v>405</v>
      </c>
      <c r="D6590" s="35" t="s">
        <v>1350</v>
      </c>
      <c r="E6590" s="35" t="s">
        <v>1367</v>
      </c>
    </row>
    <row r="6591" spans="1:7">
      <c r="A6591" s="34">
        <v>2084260048</v>
      </c>
      <c r="B6591" s="35" t="s">
        <v>462</v>
      </c>
      <c r="C6591" s="35" t="s">
        <v>405</v>
      </c>
      <c r="D6591" s="35" t="s">
        <v>1350</v>
      </c>
      <c r="E6591" s="35" t="s">
        <v>1368</v>
      </c>
    </row>
    <row r="6592" spans="1:7">
      <c r="A6592" s="34">
        <v>2084238812</v>
      </c>
      <c r="B6592" s="35" t="s">
        <v>462</v>
      </c>
      <c r="C6592" s="35" t="s">
        <v>405</v>
      </c>
      <c r="D6592" s="35" t="s">
        <v>1350</v>
      </c>
      <c r="E6592" s="35" t="s">
        <v>1369</v>
      </c>
      <c r="F6592" s="35" t="s">
        <v>390</v>
      </c>
      <c r="G6592" s="35" t="s">
        <v>367</v>
      </c>
    </row>
    <row r="6593" spans="1:7">
      <c r="A6593" s="34">
        <v>2084238813</v>
      </c>
      <c r="B6593" s="35" t="s">
        <v>462</v>
      </c>
      <c r="C6593" s="35" t="s">
        <v>405</v>
      </c>
      <c r="D6593" s="35" t="s">
        <v>1350</v>
      </c>
      <c r="E6593" s="35" t="s">
        <v>1369</v>
      </c>
      <c r="F6593" s="35" t="s">
        <v>390</v>
      </c>
      <c r="G6593" s="35" t="s">
        <v>401</v>
      </c>
    </row>
    <row r="6594" spans="1:7">
      <c r="A6594" s="34">
        <v>2084238814</v>
      </c>
      <c r="B6594" s="35" t="s">
        <v>462</v>
      </c>
      <c r="C6594" s="35" t="s">
        <v>405</v>
      </c>
      <c r="D6594" s="35" t="s">
        <v>1350</v>
      </c>
      <c r="E6594" s="35" t="s">
        <v>1369</v>
      </c>
      <c r="F6594" s="35" t="s">
        <v>390</v>
      </c>
      <c r="G6594" s="35" t="s">
        <v>402</v>
      </c>
    </row>
    <row r="6595" spans="1:7">
      <c r="A6595" s="34">
        <v>2084238816</v>
      </c>
      <c r="B6595" s="35" t="s">
        <v>462</v>
      </c>
      <c r="C6595" s="35" t="s">
        <v>405</v>
      </c>
      <c r="D6595" s="35" t="s">
        <v>1350</v>
      </c>
      <c r="E6595" s="35" t="s">
        <v>1369</v>
      </c>
      <c r="F6595" s="35" t="s">
        <v>390</v>
      </c>
      <c r="G6595" s="35" t="s">
        <v>403</v>
      </c>
    </row>
    <row r="6596" spans="1:7">
      <c r="A6596" s="34">
        <v>2084238815</v>
      </c>
      <c r="B6596" s="35" t="s">
        <v>462</v>
      </c>
      <c r="C6596" s="35" t="s">
        <v>405</v>
      </c>
      <c r="D6596" s="35" t="s">
        <v>1350</v>
      </c>
      <c r="E6596" s="35" t="s">
        <v>1369</v>
      </c>
      <c r="F6596" s="35" t="s">
        <v>390</v>
      </c>
      <c r="G6596" s="35" t="s">
        <v>478</v>
      </c>
    </row>
    <row r="6597" spans="1:7">
      <c r="A6597" s="34">
        <v>2084238817</v>
      </c>
      <c r="B6597" s="35" t="s">
        <v>462</v>
      </c>
      <c r="C6597" s="35" t="s">
        <v>405</v>
      </c>
      <c r="D6597" s="35" t="s">
        <v>1350</v>
      </c>
      <c r="E6597" s="35" t="s">
        <v>1369</v>
      </c>
      <c r="F6597" s="35" t="s">
        <v>390</v>
      </c>
      <c r="G6597" s="35" t="s">
        <v>335</v>
      </c>
    </row>
    <row r="6598" spans="1:7">
      <c r="A6598" s="34">
        <v>2084238818</v>
      </c>
      <c r="B6598" s="35" t="s">
        <v>462</v>
      </c>
      <c r="C6598" s="35" t="s">
        <v>405</v>
      </c>
      <c r="D6598" s="35" t="s">
        <v>1350</v>
      </c>
      <c r="E6598" s="35" t="s">
        <v>1369</v>
      </c>
      <c r="F6598" s="35" t="s">
        <v>335</v>
      </c>
    </row>
    <row r="6599" spans="1:7">
      <c r="A6599" s="34">
        <v>2084061412</v>
      </c>
      <c r="B6599" s="35" t="s">
        <v>462</v>
      </c>
      <c r="C6599" s="35" t="s">
        <v>405</v>
      </c>
      <c r="D6599" s="35" t="s">
        <v>1350</v>
      </c>
      <c r="E6599" s="35" t="s">
        <v>1370</v>
      </c>
      <c r="F6599" s="35" t="s">
        <v>484</v>
      </c>
    </row>
    <row r="6600" spans="1:7">
      <c r="A6600" s="34">
        <v>2084061413</v>
      </c>
      <c r="B6600" s="35" t="s">
        <v>462</v>
      </c>
      <c r="C6600" s="35" t="s">
        <v>405</v>
      </c>
      <c r="D6600" s="35" t="s">
        <v>1350</v>
      </c>
      <c r="E6600" s="35" t="s">
        <v>1370</v>
      </c>
      <c r="F6600" s="35" t="s">
        <v>335</v>
      </c>
    </row>
    <row r="6601" spans="1:7">
      <c r="A6601" s="34">
        <v>2084054355</v>
      </c>
      <c r="B6601" s="35" t="s">
        <v>462</v>
      </c>
      <c r="C6601" s="35" t="s">
        <v>405</v>
      </c>
      <c r="D6601" s="35" t="s">
        <v>1350</v>
      </c>
      <c r="E6601" s="35" t="s">
        <v>1371</v>
      </c>
      <c r="F6601" s="35" t="s">
        <v>475</v>
      </c>
    </row>
    <row r="6602" spans="1:7">
      <c r="A6602" s="34">
        <v>2084054342</v>
      </c>
      <c r="B6602" s="35" t="s">
        <v>462</v>
      </c>
      <c r="C6602" s="35" t="s">
        <v>405</v>
      </c>
      <c r="D6602" s="35" t="s">
        <v>1350</v>
      </c>
      <c r="E6602" s="35" t="s">
        <v>1371</v>
      </c>
      <c r="F6602" s="35" t="s">
        <v>367</v>
      </c>
    </row>
    <row r="6603" spans="1:7">
      <c r="A6603" s="34">
        <v>2084054343</v>
      </c>
      <c r="B6603" s="35" t="s">
        <v>462</v>
      </c>
      <c r="C6603" s="35" t="s">
        <v>405</v>
      </c>
      <c r="D6603" s="35" t="s">
        <v>1350</v>
      </c>
      <c r="E6603" s="35" t="s">
        <v>1371</v>
      </c>
      <c r="F6603" s="35" t="s">
        <v>401</v>
      </c>
    </row>
    <row r="6604" spans="1:7">
      <c r="A6604" s="34">
        <v>2084054349</v>
      </c>
      <c r="B6604" s="35" t="s">
        <v>462</v>
      </c>
      <c r="C6604" s="35" t="s">
        <v>405</v>
      </c>
      <c r="D6604" s="35" t="s">
        <v>1350</v>
      </c>
      <c r="E6604" s="35" t="s">
        <v>1371</v>
      </c>
      <c r="F6604" s="35" t="s">
        <v>10</v>
      </c>
      <c r="G6604" s="35" t="s">
        <v>483</v>
      </c>
    </row>
    <row r="6605" spans="1:7">
      <c r="A6605" s="34">
        <v>2084054346</v>
      </c>
      <c r="B6605" s="35" t="s">
        <v>462</v>
      </c>
      <c r="C6605" s="35" t="s">
        <v>405</v>
      </c>
      <c r="D6605" s="35" t="s">
        <v>1350</v>
      </c>
      <c r="E6605" s="35" t="s">
        <v>1371</v>
      </c>
      <c r="F6605" s="35" t="s">
        <v>10</v>
      </c>
      <c r="G6605" s="35" t="s">
        <v>397</v>
      </c>
    </row>
    <row r="6606" spans="1:7">
      <c r="A6606" s="34">
        <v>2084054348</v>
      </c>
      <c r="B6606" s="35" t="s">
        <v>462</v>
      </c>
      <c r="C6606" s="35" t="s">
        <v>405</v>
      </c>
      <c r="D6606" s="35" t="s">
        <v>1350</v>
      </c>
      <c r="E6606" s="35" t="s">
        <v>1371</v>
      </c>
      <c r="F6606" s="35" t="s">
        <v>10</v>
      </c>
      <c r="G6606" s="35" t="s">
        <v>421</v>
      </c>
    </row>
    <row r="6607" spans="1:7">
      <c r="A6607" s="34">
        <v>2084054345</v>
      </c>
      <c r="B6607" s="35" t="s">
        <v>462</v>
      </c>
      <c r="C6607" s="35" t="s">
        <v>405</v>
      </c>
      <c r="D6607" s="35" t="s">
        <v>1350</v>
      </c>
      <c r="E6607" s="35" t="s">
        <v>1371</v>
      </c>
      <c r="F6607" s="35" t="s">
        <v>10</v>
      </c>
      <c r="G6607" s="35" t="s">
        <v>398</v>
      </c>
    </row>
    <row r="6608" spans="1:7">
      <c r="A6608" s="34">
        <v>2084054347</v>
      </c>
      <c r="B6608" s="35" t="s">
        <v>462</v>
      </c>
      <c r="C6608" s="35" t="s">
        <v>405</v>
      </c>
      <c r="D6608" s="35" t="s">
        <v>1350</v>
      </c>
      <c r="E6608" s="35" t="s">
        <v>1371</v>
      </c>
      <c r="F6608" s="35" t="s">
        <v>10</v>
      </c>
      <c r="G6608" s="35" t="s">
        <v>422</v>
      </c>
    </row>
    <row r="6609" spans="1:8">
      <c r="A6609" s="34">
        <v>2084054350</v>
      </c>
      <c r="B6609" s="35" t="s">
        <v>462</v>
      </c>
      <c r="C6609" s="35" t="s">
        <v>405</v>
      </c>
      <c r="D6609" s="35" t="s">
        <v>1350</v>
      </c>
      <c r="E6609" s="35" t="s">
        <v>1371</v>
      </c>
      <c r="F6609" s="35" t="s">
        <v>10</v>
      </c>
      <c r="G6609" s="35" t="s">
        <v>335</v>
      </c>
    </row>
    <row r="6610" spans="1:8">
      <c r="A6610" s="34">
        <v>2084054352</v>
      </c>
      <c r="B6610" s="35" t="s">
        <v>462</v>
      </c>
      <c r="C6610" s="35" t="s">
        <v>405</v>
      </c>
      <c r="D6610" s="35" t="s">
        <v>1350</v>
      </c>
      <c r="E6610" s="35" t="s">
        <v>1371</v>
      </c>
      <c r="F6610" s="35" t="s">
        <v>379</v>
      </c>
      <c r="G6610" s="35" t="s">
        <v>476</v>
      </c>
    </row>
    <row r="6611" spans="1:8">
      <c r="A6611" s="34">
        <v>2084054353</v>
      </c>
      <c r="B6611" s="35" t="s">
        <v>462</v>
      </c>
      <c r="C6611" s="35" t="s">
        <v>405</v>
      </c>
      <c r="D6611" s="35" t="s">
        <v>1350</v>
      </c>
      <c r="E6611" s="35" t="s">
        <v>1371</v>
      </c>
      <c r="F6611" s="35" t="s">
        <v>379</v>
      </c>
      <c r="G6611" s="35" t="s">
        <v>335</v>
      </c>
    </row>
    <row r="6612" spans="1:8">
      <c r="A6612" s="34">
        <v>2084054354</v>
      </c>
      <c r="B6612" s="35" t="s">
        <v>462</v>
      </c>
      <c r="C6612" s="35" t="s">
        <v>405</v>
      </c>
      <c r="D6612" s="35" t="s">
        <v>1350</v>
      </c>
      <c r="E6612" s="35" t="s">
        <v>1371</v>
      </c>
      <c r="F6612" s="35" t="s">
        <v>335</v>
      </c>
    </row>
    <row r="6613" spans="1:8">
      <c r="A6613" s="34">
        <v>2084054485</v>
      </c>
      <c r="B6613" s="35" t="s">
        <v>462</v>
      </c>
      <c r="C6613" s="35" t="s">
        <v>405</v>
      </c>
      <c r="D6613" s="35" t="s">
        <v>1350</v>
      </c>
      <c r="E6613" s="35" t="s">
        <v>1372</v>
      </c>
      <c r="F6613" s="35" t="s">
        <v>475</v>
      </c>
    </row>
    <row r="6614" spans="1:8">
      <c r="A6614" s="34">
        <v>2084054471</v>
      </c>
      <c r="B6614" s="35" t="s">
        <v>462</v>
      </c>
      <c r="C6614" s="35" t="s">
        <v>405</v>
      </c>
      <c r="D6614" s="35" t="s">
        <v>1350</v>
      </c>
      <c r="E6614" s="35" t="s">
        <v>1372</v>
      </c>
      <c r="F6614" s="35" t="s">
        <v>390</v>
      </c>
      <c r="G6614" s="35" t="s">
        <v>367</v>
      </c>
    </row>
    <row r="6615" spans="1:8">
      <c r="A6615" s="34">
        <v>2084054472</v>
      </c>
      <c r="B6615" s="35" t="s">
        <v>462</v>
      </c>
      <c r="C6615" s="35" t="s">
        <v>405</v>
      </c>
      <c r="D6615" s="35" t="s">
        <v>1350</v>
      </c>
      <c r="E6615" s="35" t="s">
        <v>1372</v>
      </c>
      <c r="F6615" s="35" t="s">
        <v>390</v>
      </c>
      <c r="G6615" s="35" t="s">
        <v>401</v>
      </c>
    </row>
    <row r="6616" spans="1:8">
      <c r="A6616" s="34">
        <v>2084054478</v>
      </c>
      <c r="B6616" s="35" t="s">
        <v>462</v>
      </c>
      <c r="C6616" s="35" t="s">
        <v>405</v>
      </c>
      <c r="D6616" s="35" t="s">
        <v>1350</v>
      </c>
      <c r="E6616" s="35" t="s">
        <v>1372</v>
      </c>
      <c r="F6616" s="35" t="s">
        <v>390</v>
      </c>
      <c r="G6616" s="35" t="s">
        <v>10</v>
      </c>
      <c r="H6616" s="35" t="s">
        <v>483</v>
      </c>
    </row>
    <row r="6617" spans="1:8">
      <c r="A6617" s="34">
        <v>2084054475</v>
      </c>
      <c r="B6617" s="35" t="s">
        <v>462</v>
      </c>
      <c r="C6617" s="35" t="s">
        <v>405</v>
      </c>
      <c r="D6617" s="35" t="s">
        <v>1350</v>
      </c>
      <c r="E6617" s="35" t="s">
        <v>1372</v>
      </c>
      <c r="F6617" s="35" t="s">
        <v>390</v>
      </c>
      <c r="G6617" s="35" t="s">
        <v>10</v>
      </c>
      <c r="H6617" s="35" t="s">
        <v>397</v>
      </c>
    </row>
    <row r="6618" spans="1:8">
      <c r="A6618" s="34">
        <v>2084054477</v>
      </c>
      <c r="B6618" s="35" t="s">
        <v>462</v>
      </c>
      <c r="C6618" s="35" t="s">
        <v>405</v>
      </c>
      <c r="D6618" s="35" t="s">
        <v>1350</v>
      </c>
      <c r="E6618" s="35" t="s">
        <v>1372</v>
      </c>
      <c r="F6618" s="35" t="s">
        <v>390</v>
      </c>
      <c r="G6618" s="35" t="s">
        <v>10</v>
      </c>
      <c r="H6618" s="35" t="s">
        <v>421</v>
      </c>
    </row>
    <row r="6619" spans="1:8">
      <c r="A6619" s="34">
        <v>2084054474</v>
      </c>
      <c r="B6619" s="35" t="s">
        <v>462</v>
      </c>
      <c r="C6619" s="35" t="s">
        <v>405</v>
      </c>
      <c r="D6619" s="35" t="s">
        <v>1350</v>
      </c>
      <c r="E6619" s="35" t="s">
        <v>1372</v>
      </c>
      <c r="F6619" s="35" t="s">
        <v>390</v>
      </c>
      <c r="G6619" s="35" t="s">
        <v>10</v>
      </c>
      <c r="H6619" s="35" t="s">
        <v>398</v>
      </c>
    </row>
    <row r="6620" spans="1:8">
      <c r="A6620" s="34">
        <v>2084054476</v>
      </c>
      <c r="B6620" s="35" t="s">
        <v>462</v>
      </c>
      <c r="C6620" s="35" t="s">
        <v>405</v>
      </c>
      <c r="D6620" s="35" t="s">
        <v>1350</v>
      </c>
      <c r="E6620" s="35" t="s">
        <v>1372</v>
      </c>
      <c r="F6620" s="35" t="s">
        <v>390</v>
      </c>
      <c r="G6620" s="35" t="s">
        <v>10</v>
      </c>
      <c r="H6620" s="35" t="s">
        <v>422</v>
      </c>
    </row>
    <row r="6621" spans="1:8">
      <c r="A6621" s="34">
        <v>2084054479</v>
      </c>
      <c r="B6621" s="35" t="s">
        <v>462</v>
      </c>
      <c r="C6621" s="35" t="s">
        <v>405</v>
      </c>
      <c r="D6621" s="35" t="s">
        <v>1350</v>
      </c>
      <c r="E6621" s="35" t="s">
        <v>1372</v>
      </c>
      <c r="F6621" s="35" t="s">
        <v>390</v>
      </c>
      <c r="G6621" s="35" t="s">
        <v>10</v>
      </c>
      <c r="H6621" s="35" t="s">
        <v>335</v>
      </c>
    </row>
    <row r="6622" spans="1:8">
      <c r="A6622" s="34">
        <v>2084054481</v>
      </c>
      <c r="B6622" s="35" t="s">
        <v>462</v>
      </c>
      <c r="C6622" s="35" t="s">
        <v>405</v>
      </c>
      <c r="D6622" s="35" t="s">
        <v>1350</v>
      </c>
      <c r="E6622" s="35" t="s">
        <v>1372</v>
      </c>
      <c r="F6622" s="35" t="s">
        <v>390</v>
      </c>
      <c r="G6622" s="35" t="s">
        <v>379</v>
      </c>
      <c r="H6622" s="35" t="s">
        <v>476</v>
      </c>
    </row>
    <row r="6623" spans="1:8">
      <c r="A6623" s="34">
        <v>2084054482</v>
      </c>
      <c r="B6623" s="35" t="s">
        <v>462</v>
      </c>
      <c r="C6623" s="35" t="s">
        <v>405</v>
      </c>
      <c r="D6623" s="35" t="s">
        <v>1350</v>
      </c>
      <c r="E6623" s="35" t="s">
        <v>1372</v>
      </c>
      <c r="F6623" s="35" t="s">
        <v>390</v>
      </c>
      <c r="G6623" s="35" t="s">
        <v>379</v>
      </c>
      <c r="H6623" s="35" t="s">
        <v>335</v>
      </c>
    </row>
    <row r="6624" spans="1:8">
      <c r="A6624" s="34">
        <v>2084054483</v>
      </c>
      <c r="B6624" s="35" t="s">
        <v>462</v>
      </c>
      <c r="C6624" s="35" t="s">
        <v>405</v>
      </c>
      <c r="D6624" s="35" t="s">
        <v>1350</v>
      </c>
      <c r="E6624" s="35" t="s">
        <v>1372</v>
      </c>
      <c r="F6624" s="35" t="s">
        <v>390</v>
      </c>
      <c r="G6624" s="35" t="s">
        <v>335</v>
      </c>
    </row>
    <row r="6625" spans="1:8">
      <c r="A6625" s="34">
        <v>2084054484</v>
      </c>
      <c r="B6625" s="35" t="s">
        <v>462</v>
      </c>
      <c r="C6625" s="35" t="s">
        <v>405</v>
      </c>
      <c r="D6625" s="35" t="s">
        <v>1350</v>
      </c>
      <c r="E6625" s="35" t="s">
        <v>1372</v>
      </c>
      <c r="F6625" s="35" t="s">
        <v>335</v>
      </c>
    </row>
    <row r="6626" spans="1:8">
      <c r="A6626" s="34">
        <v>2084284013</v>
      </c>
      <c r="B6626" s="35" t="s">
        <v>462</v>
      </c>
      <c r="C6626" s="35" t="s">
        <v>405</v>
      </c>
      <c r="D6626" s="35" t="s">
        <v>1350</v>
      </c>
      <c r="E6626" s="35" t="s">
        <v>1373</v>
      </c>
      <c r="F6626" s="35" t="s">
        <v>407</v>
      </c>
    </row>
    <row r="6627" spans="1:8">
      <c r="A6627" s="34">
        <v>2084284012</v>
      </c>
      <c r="B6627" s="35" t="s">
        <v>462</v>
      </c>
      <c r="C6627" s="35" t="s">
        <v>405</v>
      </c>
      <c r="D6627" s="35" t="s">
        <v>1350</v>
      </c>
      <c r="E6627" s="35" t="s">
        <v>1373</v>
      </c>
      <c r="F6627" s="35" t="s">
        <v>408</v>
      </c>
    </row>
    <row r="6628" spans="1:8">
      <c r="A6628" s="34">
        <v>2084308641</v>
      </c>
      <c r="B6628" s="35" t="s">
        <v>462</v>
      </c>
      <c r="C6628" s="35" t="s">
        <v>405</v>
      </c>
      <c r="D6628" s="35" t="s">
        <v>1350</v>
      </c>
      <c r="E6628" s="35" t="s">
        <v>1374</v>
      </c>
      <c r="F6628" s="35" t="s">
        <v>587</v>
      </c>
      <c r="G6628" s="35" t="s">
        <v>588</v>
      </c>
    </row>
    <row r="6629" spans="1:8">
      <c r="A6629" s="34">
        <v>2084308642</v>
      </c>
      <c r="B6629" s="35" t="s">
        <v>462</v>
      </c>
      <c r="C6629" s="35" t="s">
        <v>405</v>
      </c>
      <c r="D6629" s="35" t="s">
        <v>1350</v>
      </c>
      <c r="E6629" s="35" t="s">
        <v>1374</v>
      </c>
      <c r="F6629" s="35" t="s">
        <v>587</v>
      </c>
      <c r="G6629" s="35" t="s">
        <v>858</v>
      </c>
    </row>
    <row r="6630" spans="1:8">
      <c r="A6630" s="34">
        <v>2084308643</v>
      </c>
      <c r="B6630" s="35" t="s">
        <v>462</v>
      </c>
      <c r="C6630" s="35" t="s">
        <v>405</v>
      </c>
      <c r="D6630" s="35" t="s">
        <v>1350</v>
      </c>
      <c r="E6630" s="35" t="s">
        <v>1374</v>
      </c>
      <c r="F6630" s="35" t="s">
        <v>587</v>
      </c>
      <c r="G6630" s="35" t="s">
        <v>859</v>
      </c>
    </row>
    <row r="6631" spans="1:8">
      <c r="A6631" s="34">
        <v>2084308644</v>
      </c>
      <c r="B6631" s="35" t="s">
        <v>462</v>
      </c>
      <c r="C6631" s="35" t="s">
        <v>405</v>
      </c>
      <c r="D6631" s="35" t="s">
        <v>1350</v>
      </c>
      <c r="E6631" s="35" t="s">
        <v>1374</v>
      </c>
      <c r="F6631" s="35" t="s">
        <v>587</v>
      </c>
      <c r="G6631" s="35" t="s">
        <v>335</v>
      </c>
    </row>
    <row r="6632" spans="1:8">
      <c r="A6632" s="34">
        <v>2084308645</v>
      </c>
      <c r="B6632" s="35" t="s">
        <v>462</v>
      </c>
      <c r="C6632" s="35" t="s">
        <v>405</v>
      </c>
      <c r="D6632" s="35" t="s">
        <v>1350</v>
      </c>
      <c r="E6632" s="35" t="s">
        <v>1374</v>
      </c>
      <c r="F6632" s="35" t="s">
        <v>504</v>
      </c>
    </row>
    <row r="6633" spans="1:8">
      <c r="A6633" s="34">
        <v>2084308651</v>
      </c>
      <c r="B6633" s="35" t="s">
        <v>462</v>
      </c>
      <c r="C6633" s="35" t="s">
        <v>405</v>
      </c>
      <c r="D6633" s="35" t="s">
        <v>1350</v>
      </c>
      <c r="E6633" s="35" t="s">
        <v>1374</v>
      </c>
      <c r="F6633" s="35" t="s">
        <v>885</v>
      </c>
    </row>
    <row r="6634" spans="1:8">
      <c r="A6634" s="34">
        <v>2084308650</v>
      </c>
      <c r="B6634" s="35" t="s">
        <v>462</v>
      </c>
      <c r="C6634" s="35" t="s">
        <v>405</v>
      </c>
      <c r="D6634" s="35" t="s">
        <v>1350</v>
      </c>
      <c r="E6634" s="35" t="s">
        <v>1374</v>
      </c>
      <c r="F6634" s="35" t="s">
        <v>478</v>
      </c>
    </row>
    <row r="6635" spans="1:8">
      <c r="A6635" s="34">
        <v>2084308647</v>
      </c>
      <c r="B6635" s="35" t="s">
        <v>462</v>
      </c>
      <c r="C6635" s="35" t="s">
        <v>405</v>
      </c>
      <c r="D6635" s="35" t="s">
        <v>1350</v>
      </c>
      <c r="E6635" s="35" t="s">
        <v>1374</v>
      </c>
      <c r="F6635" s="35" t="s">
        <v>335</v>
      </c>
    </row>
    <row r="6636" spans="1:8">
      <c r="A6636" s="34">
        <v>2084050317</v>
      </c>
      <c r="B6636" s="35" t="s">
        <v>462</v>
      </c>
      <c r="C6636" s="35" t="s">
        <v>405</v>
      </c>
      <c r="D6636" s="35" t="s">
        <v>1350</v>
      </c>
      <c r="E6636" s="35" t="s">
        <v>1375</v>
      </c>
    </row>
    <row r="6637" spans="1:8">
      <c r="A6637" s="34">
        <v>2084055287</v>
      </c>
      <c r="B6637" s="35" t="s">
        <v>462</v>
      </c>
      <c r="C6637" s="35" t="s">
        <v>405</v>
      </c>
      <c r="D6637" s="35" t="s">
        <v>1350</v>
      </c>
      <c r="E6637" s="35" t="s">
        <v>1376</v>
      </c>
      <c r="F6637" s="35" t="s">
        <v>390</v>
      </c>
      <c r="G6637" s="35" t="s">
        <v>367</v>
      </c>
    </row>
    <row r="6638" spans="1:8">
      <c r="A6638" s="34">
        <v>2084055290</v>
      </c>
      <c r="B6638" s="35" t="s">
        <v>462</v>
      </c>
      <c r="C6638" s="35" t="s">
        <v>405</v>
      </c>
      <c r="D6638" s="35" t="s">
        <v>1350</v>
      </c>
      <c r="E6638" s="35" t="s">
        <v>1376</v>
      </c>
      <c r="F6638" s="35" t="s">
        <v>390</v>
      </c>
      <c r="G6638" s="35" t="s">
        <v>368</v>
      </c>
      <c r="H6638" s="35" t="s">
        <v>481</v>
      </c>
    </row>
    <row r="6639" spans="1:8">
      <c r="A6639" s="34">
        <v>2084055289</v>
      </c>
      <c r="B6639" s="35" t="s">
        <v>462</v>
      </c>
      <c r="C6639" s="35" t="s">
        <v>405</v>
      </c>
      <c r="D6639" s="35" t="s">
        <v>1350</v>
      </c>
      <c r="E6639" s="35" t="s">
        <v>1376</v>
      </c>
      <c r="F6639" s="35" t="s">
        <v>390</v>
      </c>
      <c r="G6639" s="35" t="s">
        <v>368</v>
      </c>
      <c r="H6639" s="35" t="s">
        <v>482</v>
      </c>
    </row>
    <row r="6640" spans="1:8">
      <c r="A6640" s="34">
        <v>2084055291</v>
      </c>
      <c r="B6640" s="35" t="s">
        <v>462</v>
      </c>
      <c r="C6640" s="35" t="s">
        <v>405</v>
      </c>
      <c r="D6640" s="35" t="s">
        <v>1350</v>
      </c>
      <c r="E6640" s="35" t="s">
        <v>1376</v>
      </c>
      <c r="F6640" s="35" t="s">
        <v>390</v>
      </c>
      <c r="G6640" s="35" t="s">
        <v>368</v>
      </c>
      <c r="H6640" s="35" t="s">
        <v>335</v>
      </c>
    </row>
    <row r="6641" spans="1:8">
      <c r="A6641" s="34">
        <v>2084055297</v>
      </c>
      <c r="B6641" s="35" t="s">
        <v>462</v>
      </c>
      <c r="C6641" s="35" t="s">
        <v>405</v>
      </c>
      <c r="D6641" s="35" t="s">
        <v>1350</v>
      </c>
      <c r="E6641" s="35" t="s">
        <v>1376</v>
      </c>
      <c r="F6641" s="35" t="s">
        <v>390</v>
      </c>
      <c r="G6641" s="35" t="s">
        <v>10</v>
      </c>
      <c r="H6641" s="35" t="s">
        <v>483</v>
      </c>
    </row>
    <row r="6642" spans="1:8">
      <c r="A6642" s="34">
        <v>2084055294</v>
      </c>
      <c r="B6642" s="35" t="s">
        <v>462</v>
      </c>
      <c r="C6642" s="35" t="s">
        <v>405</v>
      </c>
      <c r="D6642" s="35" t="s">
        <v>1350</v>
      </c>
      <c r="E6642" s="35" t="s">
        <v>1376</v>
      </c>
      <c r="F6642" s="35" t="s">
        <v>390</v>
      </c>
      <c r="G6642" s="35" t="s">
        <v>10</v>
      </c>
      <c r="H6642" s="35" t="s">
        <v>397</v>
      </c>
    </row>
    <row r="6643" spans="1:8">
      <c r="A6643" s="34">
        <v>2084055296</v>
      </c>
      <c r="B6643" s="35" t="s">
        <v>462</v>
      </c>
      <c r="C6643" s="35" t="s">
        <v>405</v>
      </c>
      <c r="D6643" s="35" t="s">
        <v>1350</v>
      </c>
      <c r="E6643" s="35" t="s">
        <v>1376</v>
      </c>
      <c r="F6643" s="35" t="s">
        <v>390</v>
      </c>
      <c r="G6643" s="35" t="s">
        <v>10</v>
      </c>
      <c r="H6643" s="35" t="s">
        <v>421</v>
      </c>
    </row>
    <row r="6644" spans="1:8">
      <c r="A6644" s="34">
        <v>2084055293</v>
      </c>
      <c r="B6644" s="35" t="s">
        <v>462</v>
      </c>
      <c r="C6644" s="35" t="s">
        <v>405</v>
      </c>
      <c r="D6644" s="35" t="s">
        <v>1350</v>
      </c>
      <c r="E6644" s="35" t="s">
        <v>1376</v>
      </c>
      <c r="F6644" s="35" t="s">
        <v>390</v>
      </c>
      <c r="G6644" s="35" t="s">
        <v>10</v>
      </c>
      <c r="H6644" s="35" t="s">
        <v>398</v>
      </c>
    </row>
    <row r="6645" spans="1:8">
      <c r="A6645" s="34">
        <v>2084055295</v>
      </c>
      <c r="B6645" s="35" t="s">
        <v>462</v>
      </c>
      <c r="C6645" s="35" t="s">
        <v>405</v>
      </c>
      <c r="D6645" s="35" t="s">
        <v>1350</v>
      </c>
      <c r="E6645" s="35" t="s">
        <v>1376</v>
      </c>
      <c r="F6645" s="35" t="s">
        <v>390</v>
      </c>
      <c r="G6645" s="35" t="s">
        <v>10</v>
      </c>
      <c r="H6645" s="35" t="s">
        <v>422</v>
      </c>
    </row>
    <row r="6646" spans="1:8">
      <c r="A6646" s="34">
        <v>2084055298</v>
      </c>
      <c r="B6646" s="35" t="s">
        <v>462</v>
      </c>
      <c r="C6646" s="35" t="s">
        <v>405</v>
      </c>
      <c r="D6646" s="35" t="s">
        <v>1350</v>
      </c>
      <c r="E6646" s="35" t="s">
        <v>1376</v>
      </c>
      <c r="F6646" s="35" t="s">
        <v>390</v>
      </c>
      <c r="G6646" s="35" t="s">
        <v>10</v>
      </c>
      <c r="H6646" s="35" t="s">
        <v>335</v>
      </c>
    </row>
    <row r="6647" spans="1:8">
      <c r="A6647" s="34">
        <v>2084055300</v>
      </c>
      <c r="B6647" s="35" t="s">
        <v>462</v>
      </c>
      <c r="C6647" s="35" t="s">
        <v>405</v>
      </c>
      <c r="D6647" s="35" t="s">
        <v>1350</v>
      </c>
      <c r="E6647" s="35" t="s">
        <v>1376</v>
      </c>
      <c r="F6647" s="35" t="s">
        <v>390</v>
      </c>
      <c r="G6647" s="35" t="s">
        <v>379</v>
      </c>
      <c r="H6647" s="35" t="s">
        <v>476</v>
      </c>
    </row>
    <row r="6648" spans="1:8">
      <c r="A6648" s="34">
        <v>2084055301</v>
      </c>
      <c r="B6648" s="35" t="s">
        <v>462</v>
      </c>
      <c r="C6648" s="35" t="s">
        <v>405</v>
      </c>
      <c r="D6648" s="35" t="s">
        <v>1350</v>
      </c>
      <c r="E6648" s="35" t="s">
        <v>1376</v>
      </c>
      <c r="F6648" s="35" t="s">
        <v>390</v>
      </c>
      <c r="G6648" s="35" t="s">
        <v>379</v>
      </c>
      <c r="H6648" s="35" t="s">
        <v>335</v>
      </c>
    </row>
    <row r="6649" spans="1:8">
      <c r="A6649" s="34">
        <v>2084061681</v>
      </c>
      <c r="B6649" s="35" t="s">
        <v>462</v>
      </c>
      <c r="C6649" s="35" t="s">
        <v>405</v>
      </c>
      <c r="D6649" s="35" t="s">
        <v>1350</v>
      </c>
      <c r="E6649" s="35" t="s">
        <v>1376</v>
      </c>
      <c r="F6649" s="35" t="s">
        <v>390</v>
      </c>
      <c r="G6649" s="35" t="s">
        <v>478</v>
      </c>
    </row>
    <row r="6650" spans="1:8">
      <c r="A6650" s="34">
        <v>2084055302</v>
      </c>
      <c r="B6650" s="35" t="s">
        <v>462</v>
      </c>
      <c r="C6650" s="35" t="s">
        <v>405</v>
      </c>
      <c r="D6650" s="35" t="s">
        <v>1350</v>
      </c>
      <c r="E6650" s="35" t="s">
        <v>1376</v>
      </c>
      <c r="F6650" s="35" t="s">
        <v>390</v>
      </c>
      <c r="G6650" s="35" t="s">
        <v>335</v>
      </c>
    </row>
    <row r="6651" spans="1:8">
      <c r="A6651" s="34">
        <v>2084055272</v>
      </c>
      <c r="B6651" s="35" t="s">
        <v>462</v>
      </c>
      <c r="C6651" s="35" t="s">
        <v>405</v>
      </c>
      <c r="D6651" s="35" t="s">
        <v>1350</v>
      </c>
      <c r="E6651" s="35" t="s">
        <v>1376</v>
      </c>
      <c r="F6651" s="35" t="s">
        <v>353</v>
      </c>
      <c r="G6651" s="35" t="s">
        <v>367</v>
      </c>
    </row>
    <row r="6652" spans="1:8">
      <c r="A6652" s="34">
        <v>2084055275</v>
      </c>
      <c r="B6652" s="35" t="s">
        <v>462</v>
      </c>
      <c r="C6652" s="35" t="s">
        <v>405</v>
      </c>
      <c r="D6652" s="35" t="s">
        <v>1350</v>
      </c>
      <c r="E6652" s="35" t="s">
        <v>1376</v>
      </c>
      <c r="F6652" s="35" t="s">
        <v>353</v>
      </c>
      <c r="G6652" s="35" t="s">
        <v>368</v>
      </c>
      <c r="H6652" s="35" t="s">
        <v>481</v>
      </c>
    </row>
    <row r="6653" spans="1:8">
      <c r="A6653" s="34">
        <v>2084055274</v>
      </c>
      <c r="B6653" s="35" t="s">
        <v>462</v>
      </c>
      <c r="C6653" s="35" t="s">
        <v>405</v>
      </c>
      <c r="D6653" s="35" t="s">
        <v>1350</v>
      </c>
      <c r="E6653" s="35" t="s">
        <v>1376</v>
      </c>
      <c r="F6653" s="35" t="s">
        <v>353</v>
      </c>
      <c r="G6653" s="35" t="s">
        <v>368</v>
      </c>
      <c r="H6653" s="35" t="s">
        <v>482</v>
      </c>
    </row>
    <row r="6654" spans="1:8">
      <c r="A6654" s="34">
        <v>2084055276</v>
      </c>
      <c r="B6654" s="35" t="s">
        <v>462</v>
      </c>
      <c r="C6654" s="35" t="s">
        <v>405</v>
      </c>
      <c r="D6654" s="35" t="s">
        <v>1350</v>
      </c>
      <c r="E6654" s="35" t="s">
        <v>1376</v>
      </c>
      <c r="F6654" s="35" t="s">
        <v>353</v>
      </c>
      <c r="G6654" s="35" t="s">
        <v>368</v>
      </c>
      <c r="H6654" s="35" t="s">
        <v>335</v>
      </c>
    </row>
    <row r="6655" spans="1:8">
      <c r="A6655" s="34">
        <v>2084055282</v>
      </c>
      <c r="B6655" s="35" t="s">
        <v>462</v>
      </c>
      <c r="C6655" s="35" t="s">
        <v>405</v>
      </c>
      <c r="D6655" s="35" t="s">
        <v>1350</v>
      </c>
      <c r="E6655" s="35" t="s">
        <v>1376</v>
      </c>
      <c r="F6655" s="35" t="s">
        <v>353</v>
      </c>
      <c r="G6655" s="35" t="s">
        <v>10</v>
      </c>
      <c r="H6655" s="35" t="s">
        <v>483</v>
      </c>
    </row>
    <row r="6656" spans="1:8">
      <c r="A6656" s="34">
        <v>2084055279</v>
      </c>
      <c r="B6656" s="35" t="s">
        <v>462</v>
      </c>
      <c r="C6656" s="35" t="s">
        <v>405</v>
      </c>
      <c r="D6656" s="35" t="s">
        <v>1350</v>
      </c>
      <c r="E6656" s="35" t="s">
        <v>1376</v>
      </c>
      <c r="F6656" s="35" t="s">
        <v>353</v>
      </c>
      <c r="G6656" s="35" t="s">
        <v>10</v>
      </c>
      <c r="H6656" s="35" t="s">
        <v>397</v>
      </c>
    </row>
    <row r="6657" spans="1:8">
      <c r="A6657" s="34">
        <v>2084055281</v>
      </c>
      <c r="B6657" s="35" t="s">
        <v>462</v>
      </c>
      <c r="C6657" s="35" t="s">
        <v>405</v>
      </c>
      <c r="D6657" s="35" t="s">
        <v>1350</v>
      </c>
      <c r="E6657" s="35" t="s">
        <v>1376</v>
      </c>
      <c r="F6657" s="35" t="s">
        <v>353</v>
      </c>
      <c r="G6657" s="35" t="s">
        <v>10</v>
      </c>
      <c r="H6657" s="35" t="s">
        <v>421</v>
      </c>
    </row>
    <row r="6658" spans="1:8">
      <c r="A6658" s="34">
        <v>2084055278</v>
      </c>
      <c r="B6658" s="35" t="s">
        <v>462</v>
      </c>
      <c r="C6658" s="35" t="s">
        <v>405</v>
      </c>
      <c r="D6658" s="35" t="s">
        <v>1350</v>
      </c>
      <c r="E6658" s="35" t="s">
        <v>1376</v>
      </c>
      <c r="F6658" s="35" t="s">
        <v>353</v>
      </c>
      <c r="G6658" s="35" t="s">
        <v>10</v>
      </c>
      <c r="H6658" s="35" t="s">
        <v>398</v>
      </c>
    </row>
    <row r="6659" spans="1:8">
      <c r="A6659" s="34">
        <v>2084055280</v>
      </c>
      <c r="B6659" s="35" t="s">
        <v>462</v>
      </c>
      <c r="C6659" s="35" t="s">
        <v>405</v>
      </c>
      <c r="D6659" s="35" t="s">
        <v>1350</v>
      </c>
      <c r="E6659" s="35" t="s">
        <v>1376</v>
      </c>
      <c r="F6659" s="35" t="s">
        <v>353</v>
      </c>
      <c r="G6659" s="35" t="s">
        <v>10</v>
      </c>
      <c r="H6659" s="35" t="s">
        <v>422</v>
      </c>
    </row>
    <row r="6660" spans="1:8">
      <c r="A6660" s="34">
        <v>2084055283</v>
      </c>
      <c r="B6660" s="35" t="s">
        <v>462</v>
      </c>
      <c r="C6660" s="35" t="s">
        <v>405</v>
      </c>
      <c r="D6660" s="35" t="s">
        <v>1350</v>
      </c>
      <c r="E6660" s="35" t="s">
        <v>1376</v>
      </c>
      <c r="F6660" s="35" t="s">
        <v>353</v>
      </c>
      <c r="G6660" s="35" t="s">
        <v>10</v>
      </c>
      <c r="H6660" s="35" t="s">
        <v>335</v>
      </c>
    </row>
    <row r="6661" spans="1:8">
      <c r="A6661" s="34">
        <v>2084055284</v>
      </c>
      <c r="B6661" s="35" t="s">
        <v>462</v>
      </c>
      <c r="C6661" s="35" t="s">
        <v>405</v>
      </c>
      <c r="D6661" s="35" t="s">
        <v>1350</v>
      </c>
      <c r="E6661" s="35" t="s">
        <v>1376</v>
      </c>
      <c r="F6661" s="35" t="s">
        <v>353</v>
      </c>
      <c r="G6661" s="35" t="s">
        <v>403</v>
      </c>
    </row>
    <row r="6662" spans="1:8">
      <c r="A6662" s="34">
        <v>2084055285</v>
      </c>
      <c r="B6662" s="35" t="s">
        <v>462</v>
      </c>
      <c r="C6662" s="35" t="s">
        <v>405</v>
      </c>
      <c r="D6662" s="35" t="s">
        <v>1350</v>
      </c>
      <c r="E6662" s="35" t="s">
        <v>1376</v>
      </c>
      <c r="F6662" s="35" t="s">
        <v>353</v>
      </c>
      <c r="G6662" s="35" t="s">
        <v>335</v>
      </c>
    </row>
    <row r="6663" spans="1:8">
      <c r="A6663" s="34">
        <v>2084055303</v>
      </c>
      <c r="B6663" s="35" t="s">
        <v>462</v>
      </c>
      <c r="C6663" s="35" t="s">
        <v>405</v>
      </c>
      <c r="D6663" s="35" t="s">
        <v>1350</v>
      </c>
      <c r="E6663" s="35" t="s">
        <v>1376</v>
      </c>
      <c r="F6663" s="35" t="s">
        <v>335</v>
      </c>
    </row>
    <row r="6664" spans="1:8">
      <c r="A6664" s="34">
        <v>2084061686</v>
      </c>
      <c r="B6664" s="35" t="s">
        <v>462</v>
      </c>
      <c r="C6664" s="35" t="s">
        <v>405</v>
      </c>
      <c r="D6664" s="35" t="s">
        <v>1350</v>
      </c>
      <c r="E6664" s="35" t="s">
        <v>1377</v>
      </c>
      <c r="F6664" s="35" t="s">
        <v>475</v>
      </c>
    </row>
    <row r="6665" spans="1:8">
      <c r="A6665" s="34">
        <v>2084054205</v>
      </c>
      <c r="B6665" s="35" t="s">
        <v>462</v>
      </c>
      <c r="C6665" s="35" t="s">
        <v>405</v>
      </c>
      <c r="D6665" s="35" t="s">
        <v>1350</v>
      </c>
      <c r="E6665" s="35" t="s">
        <v>1377</v>
      </c>
      <c r="F6665" s="35" t="s">
        <v>390</v>
      </c>
      <c r="G6665" s="35" t="s">
        <v>367</v>
      </c>
    </row>
    <row r="6666" spans="1:8">
      <c r="A6666" s="34">
        <v>2084054207</v>
      </c>
      <c r="B6666" s="35" t="s">
        <v>462</v>
      </c>
      <c r="C6666" s="35" t="s">
        <v>405</v>
      </c>
      <c r="D6666" s="35" t="s">
        <v>1350</v>
      </c>
      <c r="E6666" s="35" t="s">
        <v>1377</v>
      </c>
      <c r="F6666" s="35" t="s">
        <v>390</v>
      </c>
      <c r="G6666" s="35" t="s">
        <v>401</v>
      </c>
    </row>
    <row r="6667" spans="1:8">
      <c r="A6667" s="34">
        <v>2084054214</v>
      </c>
      <c r="B6667" s="35" t="s">
        <v>462</v>
      </c>
      <c r="C6667" s="35" t="s">
        <v>405</v>
      </c>
      <c r="D6667" s="35" t="s">
        <v>1350</v>
      </c>
      <c r="E6667" s="35" t="s">
        <v>1377</v>
      </c>
      <c r="F6667" s="35" t="s">
        <v>390</v>
      </c>
      <c r="G6667" s="35" t="s">
        <v>10</v>
      </c>
      <c r="H6667" s="35" t="s">
        <v>483</v>
      </c>
    </row>
    <row r="6668" spans="1:8">
      <c r="A6668" s="34">
        <v>2084054211</v>
      </c>
      <c r="B6668" s="35" t="s">
        <v>462</v>
      </c>
      <c r="C6668" s="35" t="s">
        <v>405</v>
      </c>
      <c r="D6668" s="35" t="s">
        <v>1350</v>
      </c>
      <c r="E6668" s="35" t="s">
        <v>1377</v>
      </c>
      <c r="F6668" s="35" t="s">
        <v>390</v>
      </c>
      <c r="G6668" s="35" t="s">
        <v>10</v>
      </c>
      <c r="H6668" s="35" t="s">
        <v>397</v>
      </c>
    </row>
    <row r="6669" spans="1:8">
      <c r="A6669" s="34">
        <v>2084054213</v>
      </c>
      <c r="B6669" s="35" t="s">
        <v>462</v>
      </c>
      <c r="C6669" s="35" t="s">
        <v>405</v>
      </c>
      <c r="D6669" s="35" t="s">
        <v>1350</v>
      </c>
      <c r="E6669" s="35" t="s">
        <v>1377</v>
      </c>
      <c r="F6669" s="35" t="s">
        <v>390</v>
      </c>
      <c r="G6669" s="35" t="s">
        <v>10</v>
      </c>
      <c r="H6669" s="35" t="s">
        <v>421</v>
      </c>
    </row>
    <row r="6670" spans="1:8">
      <c r="A6670" s="34">
        <v>2084054210</v>
      </c>
      <c r="B6670" s="35" t="s">
        <v>462</v>
      </c>
      <c r="C6670" s="35" t="s">
        <v>405</v>
      </c>
      <c r="D6670" s="35" t="s">
        <v>1350</v>
      </c>
      <c r="E6670" s="35" t="s">
        <v>1377</v>
      </c>
      <c r="F6670" s="35" t="s">
        <v>390</v>
      </c>
      <c r="G6670" s="35" t="s">
        <v>10</v>
      </c>
      <c r="H6670" s="35" t="s">
        <v>398</v>
      </c>
    </row>
    <row r="6671" spans="1:8">
      <c r="A6671" s="34">
        <v>2084054212</v>
      </c>
      <c r="B6671" s="35" t="s">
        <v>462</v>
      </c>
      <c r="C6671" s="35" t="s">
        <v>405</v>
      </c>
      <c r="D6671" s="35" t="s">
        <v>1350</v>
      </c>
      <c r="E6671" s="35" t="s">
        <v>1377</v>
      </c>
      <c r="F6671" s="35" t="s">
        <v>390</v>
      </c>
      <c r="G6671" s="35" t="s">
        <v>10</v>
      </c>
      <c r="H6671" s="35" t="s">
        <v>422</v>
      </c>
    </row>
    <row r="6672" spans="1:8">
      <c r="A6672" s="34">
        <v>2084054215</v>
      </c>
      <c r="B6672" s="35" t="s">
        <v>462</v>
      </c>
      <c r="C6672" s="35" t="s">
        <v>405</v>
      </c>
      <c r="D6672" s="35" t="s">
        <v>1350</v>
      </c>
      <c r="E6672" s="35" t="s">
        <v>1377</v>
      </c>
      <c r="F6672" s="35" t="s">
        <v>390</v>
      </c>
      <c r="G6672" s="35" t="s">
        <v>10</v>
      </c>
      <c r="H6672" s="35" t="s">
        <v>335</v>
      </c>
    </row>
    <row r="6673" spans="1:8">
      <c r="A6673" s="34">
        <v>2084054217</v>
      </c>
      <c r="B6673" s="35" t="s">
        <v>462</v>
      </c>
      <c r="C6673" s="35" t="s">
        <v>405</v>
      </c>
      <c r="D6673" s="35" t="s">
        <v>1350</v>
      </c>
      <c r="E6673" s="35" t="s">
        <v>1377</v>
      </c>
      <c r="F6673" s="35" t="s">
        <v>390</v>
      </c>
      <c r="G6673" s="35" t="s">
        <v>379</v>
      </c>
      <c r="H6673" s="35" t="s">
        <v>476</v>
      </c>
    </row>
    <row r="6674" spans="1:8">
      <c r="A6674" s="34">
        <v>2084054218</v>
      </c>
      <c r="B6674" s="35" t="s">
        <v>462</v>
      </c>
      <c r="C6674" s="35" t="s">
        <v>405</v>
      </c>
      <c r="D6674" s="35" t="s">
        <v>1350</v>
      </c>
      <c r="E6674" s="35" t="s">
        <v>1377</v>
      </c>
      <c r="F6674" s="35" t="s">
        <v>390</v>
      </c>
      <c r="G6674" s="35" t="s">
        <v>379</v>
      </c>
      <c r="H6674" s="35" t="s">
        <v>335</v>
      </c>
    </row>
    <row r="6675" spans="1:8">
      <c r="A6675" s="34">
        <v>2084061682</v>
      </c>
      <c r="B6675" s="35" t="s">
        <v>462</v>
      </c>
      <c r="C6675" s="35" t="s">
        <v>405</v>
      </c>
      <c r="D6675" s="35" t="s">
        <v>1350</v>
      </c>
      <c r="E6675" s="35" t="s">
        <v>1377</v>
      </c>
      <c r="F6675" s="35" t="s">
        <v>390</v>
      </c>
      <c r="G6675" s="35" t="s">
        <v>478</v>
      </c>
    </row>
    <row r="6676" spans="1:8">
      <c r="A6676" s="34">
        <v>2084054219</v>
      </c>
      <c r="B6676" s="35" t="s">
        <v>462</v>
      </c>
      <c r="C6676" s="35" t="s">
        <v>405</v>
      </c>
      <c r="D6676" s="35" t="s">
        <v>1350</v>
      </c>
      <c r="E6676" s="35" t="s">
        <v>1377</v>
      </c>
      <c r="F6676" s="35" t="s">
        <v>390</v>
      </c>
      <c r="G6676" s="35" t="s">
        <v>335</v>
      </c>
    </row>
    <row r="6677" spans="1:8">
      <c r="A6677" s="34">
        <v>2084306019</v>
      </c>
      <c r="B6677" s="35" t="s">
        <v>462</v>
      </c>
      <c r="C6677" s="35" t="s">
        <v>405</v>
      </c>
      <c r="D6677" s="35" t="s">
        <v>1350</v>
      </c>
      <c r="E6677" s="35" t="s">
        <v>1377</v>
      </c>
      <c r="F6677" s="35" t="s">
        <v>408</v>
      </c>
    </row>
    <row r="6678" spans="1:8">
      <c r="A6678" s="34">
        <v>2084054220</v>
      </c>
      <c r="B6678" s="35" t="s">
        <v>462</v>
      </c>
      <c r="C6678" s="35" t="s">
        <v>405</v>
      </c>
      <c r="D6678" s="35" t="s">
        <v>1350</v>
      </c>
      <c r="E6678" s="35" t="s">
        <v>1377</v>
      </c>
      <c r="F6678" s="35" t="s">
        <v>335</v>
      </c>
    </row>
    <row r="6679" spans="1:8">
      <c r="A6679" s="34">
        <v>2084028215</v>
      </c>
      <c r="B6679" s="35" t="s">
        <v>462</v>
      </c>
      <c r="C6679" s="35" t="s">
        <v>405</v>
      </c>
      <c r="D6679" s="35" t="s">
        <v>1378</v>
      </c>
      <c r="E6679" s="35" t="s">
        <v>1379</v>
      </c>
      <c r="F6679" s="35" t="s">
        <v>367</v>
      </c>
    </row>
    <row r="6680" spans="1:8">
      <c r="A6680" s="34">
        <v>2084028764</v>
      </c>
      <c r="B6680" s="35" t="s">
        <v>462</v>
      </c>
      <c r="C6680" s="35" t="s">
        <v>405</v>
      </c>
      <c r="D6680" s="35" t="s">
        <v>1378</v>
      </c>
      <c r="E6680" s="35" t="s">
        <v>1379</v>
      </c>
      <c r="F6680" s="35" t="s">
        <v>368</v>
      </c>
      <c r="G6680" s="35" t="s">
        <v>508</v>
      </c>
    </row>
    <row r="6681" spans="1:8">
      <c r="A6681" s="34">
        <v>2084029298</v>
      </c>
      <c r="B6681" s="35" t="s">
        <v>462</v>
      </c>
      <c r="C6681" s="35" t="s">
        <v>405</v>
      </c>
      <c r="D6681" s="35" t="s">
        <v>1378</v>
      </c>
      <c r="E6681" s="35" t="s">
        <v>1379</v>
      </c>
      <c r="F6681" s="35" t="s">
        <v>368</v>
      </c>
      <c r="G6681" s="35" t="s">
        <v>481</v>
      </c>
    </row>
    <row r="6682" spans="1:8">
      <c r="A6682" s="34">
        <v>2084029856</v>
      </c>
      <c r="B6682" s="35" t="s">
        <v>462</v>
      </c>
      <c r="C6682" s="35" t="s">
        <v>405</v>
      </c>
      <c r="D6682" s="35" t="s">
        <v>1378</v>
      </c>
      <c r="E6682" s="35" t="s">
        <v>1379</v>
      </c>
      <c r="F6682" s="35" t="s">
        <v>368</v>
      </c>
      <c r="G6682" s="35" t="s">
        <v>494</v>
      </c>
    </row>
    <row r="6683" spans="1:8">
      <c r="A6683" s="34">
        <v>2084058993</v>
      </c>
      <c r="B6683" s="35" t="s">
        <v>462</v>
      </c>
      <c r="C6683" s="35" t="s">
        <v>405</v>
      </c>
      <c r="D6683" s="35" t="s">
        <v>1378</v>
      </c>
      <c r="E6683" s="35" t="s">
        <v>1379</v>
      </c>
      <c r="F6683" s="35" t="s">
        <v>368</v>
      </c>
      <c r="G6683" s="35" t="s">
        <v>335</v>
      </c>
    </row>
    <row r="6684" spans="1:8">
      <c r="A6684" s="34">
        <v>2084027313</v>
      </c>
      <c r="B6684" s="35" t="s">
        <v>462</v>
      </c>
      <c r="C6684" s="35" t="s">
        <v>405</v>
      </c>
      <c r="D6684" s="35" t="s">
        <v>1378</v>
      </c>
      <c r="E6684" s="35" t="s">
        <v>1379</v>
      </c>
      <c r="F6684" s="35" t="s">
        <v>10</v>
      </c>
      <c r="G6684" s="35" t="s">
        <v>509</v>
      </c>
    </row>
    <row r="6685" spans="1:8">
      <c r="A6685" s="34">
        <v>2084027806</v>
      </c>
      <c r="B6685" s="35" t="s">
        <v>462</v>
      </c>
      <c r="C6685" s="35" t="s">
        <v>405</v>
      </c>
      <c r="D6685" s="35" t="s">
        <v>1378</v>
      </c>
      <c r="E6685" s="35" t="s">
        <v>1379</v>
      </c>
      <c r="F6685" s="35" t="s">
        <v>10</v>
      </c>
      <c r="G6685" s="35" t="s">
        <v>510</v>
      </c>
    </row>
    <row r="6686" spans="1:8">
      <c r="A6686" s="34">
        <v>2084027840</v>
      </c>
      <c r="B6686" s="35" t="s">
        <v>462</v>
      </c>
      <c r="C6686" s="35" t="s">
        <v>405</v>
      </c>
      <c r="D6686" s="35" t="s">
        <v>1378</v>
      </c>
      <c r="E6686" s="35" t="s">
        <v>1379</v>
      </c>
      <c r="F6686" s="35" t="s">
        <v>10</v>
      </c>
      <c r="G6686" s="35" t="s">
        <v>511</v>
      </c>
    </row>
    <row r="6687" spans="1:8">
      <c r="A6687" s="34">
        <v>2084027918</v>
      </c>
      <c r="B6687" s="35" t="s">
        <v>462</v>
      </c>
      <c r="C6687" s="35" t="s">
        <v>405</v>
      </c>
      <c r="D6687" s="35" t="s">
        <v>1378</v>
      </c>
      <c r="E6687" s="35" t="s">
        <v>1379</v>
      </c>
      <c r="F6687" s="35" t="s">
        <v>10</v>
      </c>
      <c r="G6687" s="35" t="s">
        <v>493</v>
      </c>
    </row>
    <row r="6688" spans="1:8">
      <c r="A6688" s="34">
        <v>2084027487</v>
      </c>
      <c r="B6688" s="35" t="s">
        <v>462</v>
      </c>
      <c r="C6688" s="35" t="s">
        <v>405</v>
      </c>
      <c r="D6688" s="35" t="s">
        <v>1378</v>
      </c>
      <c r="E6688" s="35" t="s">
        <v>1379</v>
      </c>
      <c r="F6688" s="35" t="s">
        <v>10</v>
      </c>
      <c r="G6688" s="35" t="s">
        <v>512</v>
      </c>
    </row>
    <row r="6689" spans="1:7">
      <c r="A6689" s="34">
        <v>2084027597</v>
      </c>
      <c r="B6689" s="35" t="s">
        <v>462</v>
      </c>
      <c r="C6689" s="35" t="s">
        <v>405</v>
      </c>
      <c r="D6689" s="35" t="s">
        <v>1378</v>
      </c>
      <c r="E6689" s="35" t="s">
        <v>1379</v>
      </c>
      <c r="F6689" s="35" t="s">
        <v>10</v>
      </c>
      <c r="G6689" s="35" t="s">
        <v>513</v>
      </c>
    </row>
    <row r="6690" spans="1:7">
      <c r="A6690" s="34">
        <v>2084027956</v>
      </c>
      <c r="B6690" s="35" t="s">
        <v>462</v>
      </c>
      <c r="C6690" s="35" t="s">
        <v>405</v>
      </c>
      <c r="D6690" s="35" t="s">
        <v>1378</v>
      </c>
      <c r="E6690" s="35" t="s">
        <v>1379</v>
      </c>
      <c r="F6690" s="35" t="s">
        <v>10</v>
      </c>
      <c r="G6690" s="35" t="s">
        <v>420</v>
      </c>
    </row>
    <row r="6691" spans="1:7">
      <c r="A6691" s="34">
        <v>2084027276</v>
      </c>
      <c r="B6691" s="35" t="s">
        <v>462</v>
      </c>
      <c r="C6691" s="35" t="s">
        <v>405</v>
      </c>
      <c r="D6691" s="35" t="s">
        <v>1378</v>
      </c>
      <c r="E6691" s="35" t="s">
        <v>1379</v>
      </c>
      <c r="F6691" s="35" t="s">
        <v>10</v>
      </c>
      <c r="G6691" s="35" t="s">
        <v>514</v>
      </c>
    </row>
    <row r="6692" spans="1:7">
      <c r="A6692" s="34">
        <v>2084027409</v>
      </c>
      <c r="B6692" s="35" t="s">
        <v>462</v>
      </c>
      <c r="C6692" s="35" t="s">
        <v>405</v>
      </c>
      <c r="D6692" s="35" t="s">
        <v>1378</v>
      </c>
      <c r="E6692" s="35" t="s">
        <v>1379</v>
      </c>
      <c r="F6692" s="35" t="s">
        <v>10</v>
      </c>
      <c r="G6692" s="35" t="s">
        <v>515</v>
      </c>
    </row>
    <row r="6693" spans="1:7">
      <c r="A6693" s="34">
        <v>2084027521</v>
      </c>
      <c r="B6693" s="35" t="s">
        <v>462</v>
      </c>
      <c r="C6693" s="35" t="s">
        <v>405</v>
      </c>
      <c r="D6693" s="35" t="s">
        <v>1378</v>
      </c>
      <c r="E6693" s="35" t="s">
        <v>1379</v>
      </c>
      <c r="F6693" s="35" t="s">
        <v>10</v>
      </c>
      <c r="G6693" s="35" t="s">
        <v>421</v>
      </c>
    </row>
    <row r="6694" spans="1:7">
      <c r="A6694" s="34">
        <v>2084027732</v>
      </c>
      <c r="B6694" s="35" t="s">
        <v>462</v>
      </c>
      <c r="C6694" s="35" t="s">
        <v>405</v>
      </c>
      <c r="D6694" s="35" t="s">
        <v>1378</v>
      </c>
      <c r="E6694" s="35" t="s">
        <v>1379</v>
      </c>
      <c r="F6694" s="35" t="s">
        <v>10</v>
      </c>
      <c r="G6694" s="35" t="s">
        <v>516</v>
      </c>
    </row>
    <row r="6695" spans="1:7">
      <c r="A6695" s="34">
        <v>2084027199</v>
      </c>
      <c r="B6695" s="35" t="s">
        <v>462</v>
      </c>
      <c r="C6695" s="35" t="s">
        <v>405</v>
      </c>
      <c r="D6695" s="35" t="s">
        <v>1378</v>
      </c>
      <c r="E6695" s="35" t="s">
        <v>1379</v>
      </c>
      <c r="F6695" s="35" t="s">
        <v>10</v>
      </c>
      <c r="G6695" s="35" t="s">
        <v>517</v>
      </c>
    </row>
    <row r="6696" spans="1:7">
      <c r="A6696" s="34">
        <v>2084027351</v>
      </c>
      <c r="B6696" s="35" t="s">
        <v>462</v>
      </c>
      <c r="C6696" s="35" t="s">
        <v>405</v>
      </c>
      <c r="D6696" s="35" t="s">
        <v>1378</v>
      </c>
      <c r="E6696" s="35" t="s">
        <v>1379</v>
      </c>
      <c r="F6696" s="35" t="s">
        <v>10</v>
      </c>
      <c r="G6696" s="35" t="s">
        <v>518</v>
      </c>
    </row>
    <row r="6697" spans="1:7">
      <c r="A6697" s="34">
        <v>2084027559</v>
      </c>
      <c r="B6697" s="35" t="s">
        <v>462</v>
      </c>
      <c r="C6697" s="35" t="s">
        <v>405</v>
      </c>
      <c r="D6697" s="35" t="s">
        <v>1378</v>
      </c>
      <c r="E6697" s="35" t="s">
        <v>1379</v>
      </c>
      <c r="F6697" s="35" t="s">
        <v>10</v>
      </c>
      <c r="G6697" s="35" t="s">
        <v>422</v>
      </c>
    </row>
    <row r="6698" spans="1:7">
      <c r="A6698" s="34">
        <v>2084027742</v>
      </c>
      <c r="B6698" s="35" t="s">
        <v>462</v>
      </c>
      <c r="C6698" s="35" t="s">
        <v>405</v>
      </c>
      <c r="D6698" s="35" t="s">
        <v>1378</v>
      </c>
      <c r="E6698" s="35" t="s">
        <v>1379</v>
      </c>
      <c r="F6698" s="35" t="s">
        <v>10</v>
      </c>
      <c r="G6698" s="35" t="s">
        <v>519</v>
      </c>
    </row>
    <row r="6699" spans="1:7">
      <c r="A6699" s="34">
        <v>2084028040</v>
      </c>
      <c r="B6699" s="35" t="s">
        <v>462</v>
      </c>
      <c r="C6699" s="35" t="s">
        <v>405</v>
      </c>
      <c r="D6699" s="35" t="s">
        <v>1378</v>
      </c>
      <c r="E6699" s="35" t="s">
        <v>1379</v>
      </c>
      <c r="F6699" s="35" t="s">
        <v>379</v>
      </c>
      <c r="G6699" s="35" t="s">
        <v>521</v>
      </c>
    </row>
    <row r="6700" spans="1:7">
      <c r="A6700" s="34">
        <v>2084028147</v>
      </c>
      <c r="B6700" s="35" t="s">
        <v>462</v>
      </c>
      <c r="C6700" s="35" t="s">
        <v>405</v>
      </c>
      <c r="D6700" s="35" t="s">
        <v>1378</v>
      </c>
      <c r="E6700" s="35" t="s">
        <v>1379</v>
      </c>
      <c r="F6700" s="35" t="s">
        <v>379</v>
      </c>
      <c r="G6700" s="35" t="s">
        <v>522</v>
      </c>
    </row>
    <row r="6701" spans="1:7">
      <c r="A6701" s="34">
        <v>2084028399</v>
      </c>
      <c r="B6701" s="35" t="s">
        <v>462</v>
      </c>
      <c r="C6701" s="35" t="s">
        <v>405</v>
      </c>
      <c r="D6701" s="35" t="s">
        <v>1378</v>
      </c>
      <c r="E6701" s="35" t="s">
        <v>1379</v>
      </c>
      <c r="F6701" s="35" t="s">
        <v>379</v>
      </c>
      <c r="G6701" s="35" t="s">
        <v>523</v>
      </c>
    </row>
    <row r="6702" spans="1:7">
      <c r="A6702" s="34">
        <v>2084028132</v>
      </c>
      <c r="B6702" s="35" t="s">
        <v>462</v>
      </c>
      <c r="C6702" s="35" t="s">
        <v>405</v>
      </c>
      <c r="D6702" s="35" t="s">
        <v>1378</v>
      </c>
      <c r="E6702" s="35" t="s">
        <v>1379</v>
      </c>
      <c r="F6702" s="35" t="s">
        <v>379</v>
      </c>
      <c r="G6702" s="35" t="s">
        <v>524</v>
      </c>
    </row>
    <row r="6703" spans="1:7">
      <c r="A6703" s="34">
        <v>2084028248</v>
      </c>
      <c r="B6703" s="35" t="s">
        <v>462</v>
      </c>
      <c r="C6703" s="35" t="s">
        <v>405</v>
      </c>
      <c r="D6703" s="35" t="s">
        <v>1378</v>
      </c>
      <c r="E6703" s="35" t="s">
        <v>1379</v>
      </c>
      <c r="F6703" s="35" t="s">
        <v>379</v>
      </c>
      <c r="G6703" s="35" t="s">
        <v>525</v>
      </c>
    </row>
    <row r="6704" spans="1:7">
      <c r="A6704" s="34">
        <v>2084028455</v>
      </c>
      <c r="B6704" s="35" t="s">
        <v>462</v>
      </c>
      <c r="C6704" s="35" t="s">
        <v>405</v>
      </c>
      <c r="D6704" s="35" t="s">
        <v>1378</v>
      </c>
      <c r="E6704" s="35" t="s">
        <v>1379</v>
      </c>
      <c r="F6704" s="35" t="s">
        <v>379</v>
      </c>
      <c r="G6704" s="35" t="s">
        <v>526</v>
      </c>
    </row>
    <row r="6705" spans="1:8">
      <c r="A6705" s="34">
        <v>2084028323</v>
      </c>
      <c r="B6705" s="35" t="s">
        <v>462</v>
      </c>
      <c r="C6705" s="35" t="s">
        <v>405</v>
      </c>
      <c r="D6705" s="35" t="s">
        <v>1378</v>
      </c>
      <c r="E6705" s="35" t="s">
        <v>1379</v>
      </c>
      <c r="F6705" s="35" t="s">
        <v>379</v>
      </c>
      <c r="G6705" s="35" t="s">
        <v>527</v>
      </c>
    </row>
    <row r="6706" spans="1:8">
      <c r="A6706" s="34">
        <v>2084028535</v>
      </c>
      <c r="B6706" s="35" t="s">
        <v>462</v>
      </c>
      <c r="C6706" s="35" t="s">
        <v>405</v>
      </c>
      <c r="D6706" s="35" t="s">
        <v>1378</v>
      </c>
      <c r="E6706" s="35" t="s">
        <v>1379</v>
      </c>
      <c r="F6706" s="35" t="s">
        <v>379</v>
      </c>
      <c r="G6706" s="35" t="s">
        <v>528</v>
      </c>
    </row>
    <row r="6707" spans="1:8">
      <c r="A6707" s="34">
        <v>2084028361</v>
      </c>
      <c r="B6707" s="35" t="s">
        <v>462</v>
      </c>
      <c r="C6707" s="35" t="s">
        <v>405</v>
      </c>
      <c r="D6707" s="35" t="s">
        <v>1378</v>
      </c>
      <c r="E6707" s="35" t="s">
        <v>1379</v>
      </c>
      <c r="F6707" s="35" t="s">
        <v>379</v>
      </c>
      <c r="G6707" s="35" t="s">
        <v>529</v>
      </c>
    </row>
    <row r="6708" spans="1:8">
      <c r="A6708" s="34">
        <v>2084058994</v>
      </c>
      <c r="B6708" s="35" t="s">
        <v>462</v>
      </c>
      <c r="C6708" s="35" t="s">
        <v>405</v>
      </c>
      <c r="D6708" s="35" t="s">
        <v>1378</v>
      </c>
      <c r="E6708" s="35" t="s">
        <v>1379</v>
      </c>
      <c r="F6708" s="35" t="s">
        <v>379</v>
      </c>
      <c r="G6708" s="35" t="s">
        <v>335</v>
      </c>
    </row>
    <row r="6709" spans="1:8">
      <c r="A6709" s="34">
        <v>2084028575</v>
      </c>
      <c r="B6709" s="35" t="s">
        <v>462</v>
      </c>
      <c r="C6709" s="35" t="s">
        <v>405</v>
      </c>
      <c r="D6709" s="35" t="s">
        <v>1378</v>
      </c>
      <c r="E6709" s="35" t="s">
        <v>1379</v>
      </c>
      <c r="F6709" s="35" t="s">
        <v>530</v>
      </c>
      <c r="G6709" s="35" t="s">
        <v>531</v>
      </c>
    </row>
    <row r="6710" spans="1:8">
      <c r="A6710" s="34">
        <v>2084028613</v>
      </c>
      <c r="B6710" s="35" t="s">
        <v>462</v>
      </c>
      <c r="C6710" s="35" t="s">
        <v>405</v>
      </c>
      <c r="D6710" s="35" t="s">
        <v>1378</v>
      </c>
      <c r="E6710" s="35" t="s">
        <v>1379</v>
      </c>
      <c r="F6710" s="35" t="s">
        <v>530</v>
      </c>
      <c r="G6710" s="35" t="s">
        <v>532</v>
      </c>
    </row>
    <row r="6711" spans="1:8">
      <c r="A6711" s="34">
        <v>2084048695</v>
      </c>
      <c r="B6711" s="35" t="s">
        <v>462</v>
      </c>
      <c r="C6711" s="35" t="s">
        <v>405</v>
      </c>
      <c r="D6711" s="35" t="s">
        <v>1378</v>
      </c>
      <c r="E6711" s="35" t="s">
        <v>1379</v>
      </c>
      <c r="F6711" s="35" t="s">
        <v>335</v>
      </c>
    </row>
    <row r="6712" spans="1:8">
      <c r="A6712" s="34">
        <v>2084057956</v>
      </c>
      <c r="B6712" s="35" t="s">
        <v>462</v>
      </c>
      <c r="C6712" s="35" t="s">
        <v>405</v>
      </c>
      <c r="D6712" s="35" t="s">
        <v>1378</v>
      </c>
      <c r="E6712" s="35" t="s">
        <v>1380</v>
      </c>
      <c r="F6712" s="35" t="s">
        <v>353</v>
      </c>
      <c r="G6712" s="35" t="s">
        <v>367</v>
      </c>
    </row>
    <row r="6713" spans="1:8">
      <c r="A6713" s="34">
        <v>2084057959</v>
      </c>
      <c r="B6713" s="35" t="s">
        <v>462</v>
      </c>
      <c r="C6713" s="35" t="s">
        <v>405</v>
      </c>
      <c r="D6713" s="35" t="s">
        <v>1378</v>
      </c>
      <c r="E6713" s="35" t="s">
        <v>1380</v>
      </c>
      <c r="F6713" s="35" t="s">
        <v>353</v>
      </c>
      <c r="G6713" s="35" t="s">
        <v>368</v>
      </c>
      <c r="H6713" s="35" t="s">
        <v>481</v>
      </c>
    </row>
    <row r="6714" spans="1:8">
      <c r="A6714" s="34">
        <v>2084057958</v>
      </c>
      <c r="B6714" s="35" t="s">
        <v>462</v>
      </c>
      <c r="C6714" s="35" t="s">
        <v>405</v>
      </c>
      <c r="D6714" s="35" t="s">
        <v>1378</v>
      </c>
      <c r="E6714" s="35" t="s">
        <v>1380</v>
      </c>
      <c r="F6714" s="35" t="s">
        <v>353</v>
      </c>
      <c r="G6714" s="35" t="s">
        <v>368</v>
      </c>
      <c r="H6714" s="35" t="s">
        <v>482</v>
      </c>
    </row>
    <row r="6715" spans="1:8">
      <c r="A6715" s="34">
        <v>2084057960</v>
      </c>
      <c r="B6715" s="35" t="s">
        <v>462</v>
      </c>
      <c r="C6715" s="35" t="s">
        <v>405</v>
      </c>
      <c r="D6715" s="35" t="s">
        <v>1378</v>
      </c>
      <c r="E6715" s="35" t="s">
        <v>1380</v>
      </c>
      <c r="F6715" s="35" t="s">
        <v>353</v>
      </c>
      <c r="G6715" s="35" t="s">
        <v>368</v>
      </c>
      <c r="H6715" s="35" t="s">
        <v>335</v>
      </c>
    </row>
    <row r="6716" spans="1:8">
      <c r="A6716" s="34">
        <v>2084057965</v>
      </c>
      <c r="B6716" s="35" t="s">
        <v>462</v>
      </c>
      <c r="C6716" s="35" t="s">
        <v>405</v>
      </c>
      <c r="D6716" s="35" t="s">
        <v>1378</v>
      </c>
      <c r="E6716" s="35" t="s">
        <v>1380</v>
      </c>
      <c r="F6716" s="35" t="s">
        <v>353</v>
      </c>
      <c r="G6716" s="35" t="s">
        <v>10</v>
      </c>
      <c r="H6716" s="35" t="s">
        <v>397</v>
      </c>
    </row>
    <row r="6717" spans="1:8">
      <c r="A6717" s="34">
        <v>2084057963</v>
      </c>
      <c r="B6717" s="35" t="s">
        <v>462</v>
      </c>
      <c r="C6717" s="35" t="s">
        <v>405</v>
      </c>
      <c r="D6717" s="35" t="s">
        <v>1378</v>
      </c>
      <c r="E6717" s="35" t="s">
        <v>1380</v>
      </c>
      <c r="F6717" s="35" t="s">
        <v>353</v>
      </c>
      <c r="G6717" s="35" t="s">
        <v>10</v>
      </c>
      <c r="H6717" s="35" t="s">
        <v>421</v>
      </c>
    </row>
    <row r="6718" spans="1:8">
      <c r="A6718" s="34">
        <v>2084057966</v>
      </c>
      <c r="B6718" s="35" t="s">
        <v>462</v>
      </c>
      <c r="C6718" s="35" t="s">
        <v>405</v>
      </c>
      <c r="D6718" s="35" t="s">
        <v>1378</v>
      </c>
      <c r="E6718" s="35" t="s">
        <v>1380</v>
      </c>
      <c r="F6718" s="35" t="s">
        <v>353</v>
      </c>
      <c r="G6718" s="35" t="s">
        <v>10</v>
      </c>
      <c r="H6718" s="35" t="s">
        <v>398</v>
      </c>
    </row>
    <row r="6719" spans="1:8">
      <c r="A6719" s="34">
        <v>2084057964</v>
      </c>
      <c r="B6719" s="35" t="s">
        <v>462</v>
      </c>
      <c r="C6719" s="35" t="s">
        <v>405</v>
      </c>
      <c r="D6719" s="35" t="s">
        <v>1378</v>
      </c>
      <c r="E6719" s="35" t="s">
        <v>1380</v>
      </c>
      <c r="F6719" s="35" t="s">
        <v>353</v>
      </c>
      <c r="G6719" s="35" t="s">
        <v>10</v>
      </c>
      <c r="H6719" s="35" t="s">
        <v>422</v>
      </c>
    </row>
    <row r="6720" spans="1:8">
      <c r="A6720" s="34">
        <v>2084057967</v>
      </c>
      <c r="B6720" s="35" t="s">
        <v>462</v>
      </c>
      <c r="C6720" s="35" t="s">
        <v>405</v>
      </c>
      <c r="D6720" s="35" t="s">
        <v>1378</v>
      </c>
      <c r="E6720" s="35" t="s">
        <v>1380</v>
      </c>
      <c r="F6720" s="35" t="s">
        <v>353</v>
      </c>
      <c r="G6720" s="35" t="s">
        <v>10</v>
      </c>
      <c r="H6720" s="35" t="s">
        <v>335</v>
      </c>
    </row>
    <row r="6721" spans="1:8">
      <c r="A6721" s="34">
        <v>2084057968</v>
      </c>
      <c r="B6721" s="35" t="s">
        <v>462</v>
      </c>
      <c r="C6721" s="35" t="s">
        <v>405</v>
      </c>
      <c r="D6721" s="35" t="s">
        <v>1378</v>
      </c>
      <c r="E6721" s="35" t="s">
        <v>1380</v>
      </c>
      <c r="F6721" s="35" t="s">
        <v>353</v>
      </c>
      <c r="G6721" s="35" t="s">
        <v>403</v>
      </c>
    </row>
    <row r="6722" spans="1:8">
      <c r="A6722" s="34">
        <v>2084057969</v>
      </c>
      <c r="B6722" s="35" t="s">
        <v>462</v>
      </c>
      <c r="C6722" s="35" t="s">
        <v>405</v>
      </c>
      <c r="D6722" s="35" t="s">
        <v>1378</v>
      </c>
      <c r="E6722" s="35" t="s">
        <v>1380</v>
      </c>
      <c r="F6722" s="35" t="s">
        <v>353</v>
      </c>
      <c r="G6722" s="35" t="s">
        <v>335</v>
      </c>
    </row>
    <row r="6723" spans="1:8">
      <c r="A6723" s="34">
        <v>2084061688</v>
      </c>
      <c r="B6723" s="35" t="s">
        <v>462</v>
      </c>
      <c r="C6723" s="35" t="s">
        <v>405</v>
      </c>
      <c r="D6723" s="35" t="s">
        <v>1378</v>
      </c>
      <c r="E6723" s="35" t="s">
        <v>1380</v>
      </c>
      <c r="F6723" s="35" t="s">
        <v>335</v>
      </c>
    </row>
    <row r="6724" spans="1:8">
      <c r="A6724" s="34">
        <v>2084238830</v>
      </c>
      <c r="B6724" s="35" t="s">
        <v>462</v>
      </c>
      <c r="C6724" s="35" t="s">
        <v>405</v>
      </c>
      <c r="D6724" s="35" t="s">
        <v>1378</v>
      </c>
      <c r="E6724" s="35" t="s">
        <v>1381</v>
      </c>
      <c r="F6724" s="35" t="s">
        <v>390</v>
      </c>
      <c r="G6724" s="35" t="s">
        <v>367</v>
      </c>
    </row>
    <row r="6725" spans="1:8">
      <c r="A6725" s="34">
        <v>2084238831</v>
      </c>
      <c r="B6725" s="35" t="s">
        <v>462</v>
      </c>
      <c r="C6725" s="35" t="s">
        <v>405</v>
      </c>
      <c r="D6725" s="35" t="s">
        <v>1378</v>
      </c>
      <c r="E6725" s="35" t="s">
        <v>1381</v>
      </c>
      <c r="F6725" s="35" t="s">
        <v>390</v>
      </c>
      <c r="G6725" s="35" t="s">
        <v>401</v>
      </c>
    </row>
    <row r="6726" spans="1:8">
      <c r="A6726" s="34">
        <v>2084238832</v>
      </c>
      <c r="B6726" s="35" t="s">
        <v>462</v>
      </c>
      <c r="C6726" s="35" t="s">
        <v>405</v>
      </c>
      <c r="D6726" s="35" t="s">
        <v>1378</v>
      </c>
      <c r="E6726" s="35" t="s">
        <v>1381</v>
      </c>
      <c r="F6726" s="35" t="s">
        <v>390</v>
      </c>
      <c r="G6726" s="35" t="s">
        <v>402</v>
      </c>
    </row>
    <row r="6727" spans="1:8">
      <c r="A6727" s="34">
        <v>2084238834</v>
      </c>
      <c r="B6727" s="35" t="s">
        <v>462</v>
      </c>
      <c r="C6727" s="35" t="s">
        <v>405</v>
      </c>
      <c r="D6727" s="35" t="s">
        <v>1378</v>
      </c>
      <c r="E6727" s="35" t="s">
        <v>1381</v>
      </c>
      <c r="F6727" s="35" t="s">
        <v>390</v>
      </c>
      <c r="G6727" s="35" t="s">
        <v>403</v>
      </c>
    </row>
    <row r="6728" spans="1:8">
      <c r="A6728" s="34">
        <v>2084238833</v>
      </c>
      <c r="B6728" s="35" t="s">
        <v>462</v>
      </c>
      <c r="C6728" s="35" t="s">
        <v>405</v>
      </c>
      <c r="D6728" s="35" t="s">
        <v>1378</v>
      </c>
      <c r="E6728" s="35" t="s">
        <v>1381</v>
      </c>
      <c r="F6728" s="35" t="s">
        <v>390</v>
      </c>
      <c r="G6728" s="35" t="s">
        <v>478</v>
      </c>
    </row>
    <row r="6729" spans="1:8">
      <c r="A6729" s="34">
        <v>2084238835</v>
      </c>
      <c r="B6729" s="35" t="s">
        <v>462</v>
      </c>
      <c r="C6729" s="35" t="s">
        <v>405</v>
      </c>
      <c r="D6729" s="35" t="s">
        <v>1378</v>
      </c>
      <c r="E6729" s="35" t="s">
        <v>1381</v>
      </c>
      <c r="F6729" s="35" t="s">
        <v>390</v>
      </c>
      <c r="G6729" s="35" t="s">
        <v>335</v>
      </c>
    </row>
    <row r="6730" spans="1:8">
      <c r="A6730" s="34">
        <v>2084238836</v>
      </c>
      <c r="B6730" s="35" t="s">
        <v>462</v>
      </c>
      <c r="C6730" s="35" t="s">
        <v>405</v>
      </c>
      <c r="D6730" s="35" t="s">
        <v>1378</v>
      </c>
      <c r="E6730" s="35" t="s">
        <v>1381</v>
      </c>
      <c r="F6730" s="35" t="s">
        <v>335</v>
      </c>
    </row>
    <row r="6731" spans="1:8">
      <c r="A6731" s="34">
        <v>2084217279</v>
      </c>
      <c r="B6731" s="35" t="s">
        <v>462</v>
      </c>
      <c r="C6731" s="35" t="s">
        <v>405</v>
      </c>
      <c r="D6731" s="35" t="s">
        <v>1378</v>
      </c>
      <c r="E6731" s="35" t="s">
        <v>1382</v>
      </c>
      <c r="F6731" s="35" t="s">
        <v>390</v>
      </c>
      <c r="G6731" s="35" t="s">
        <v>954</v>
      </c>
      <c r="H6731" s="35" t="s">
        <v>1383</v>
      </c>
    </row>
    <row r="6732" spans="1:8">
      <c r="A6732" s="34">
        <v>2084217280</v>
      </c>
      <c r="B6732" s="35" t="s">
        <v>462</v>
      </c>
      <c r="C6732" s="35" t="s">
        <v>405</v>
      </c>
      <c r="D6732" s="35" t="s">
        <v>1378</v>
      </c>
      <c r="E6732" s="35" t="s">
        <v>1382</v>
      </c>
      <c r="F6732" s="35" t="s">
        <v>390</v>
      </c>
      <c r="G6732" s="35" t="s">
        <v>954</v>
      </c>
      <c r="H6732" s="35">
        <v>38</v>
      </c>
    </row>
    <row r="6733" spans="1:8">
      <c r="A6733" s="34">
        <v>2084217281</v>
      </c>
      <c r="B6733" s="35" t="s">
        <v>462</v>
      </c>
      <c r="C6733" s="35" t="s">
        <v>405</v>
      </c>
      <c r="D6733" s="35" t="s">
        <v>1378</v>
      </c>
      <c r="E6733" s="35" t="s">
        <v>1382</v>
      </c>
      <c r="F6733" s="35" t="s">
        <v>390</v>
      </c>
      <c r="G6733" s="35" t="s">
        <v>954</v>
      </c>
      <c r="H6733" s="35">
        <v>40</v>
      </c>
    </row>
    <row r="6734" spans="1:8">
      <c r="A6734" s="34">
        <v>2084217282</v>
      </c>
      <c r="B6734" s="35" t="s">
        <v>462</v>
      </c>
      <c r="C6734" s="35" t="s">
        <v>405</v>
      </c>
      <c r="D6734" s="35" t="s">
        <v>1378</v>
      </c>
      <c r="E6734" s="35" t="s">
        <v>1382</v>
      </c>
      <c r="F6734" s="35" t="s">
        <v>390</v>
      </c>
      <c r="G6734" s="35" t="s">
        <v>954</v>
      </c>
      <c r="H6734" s="35" t="s">
        <v>955</v>
      </c>
    </row>
    <row r="6735" spans="1:8">
      <c r="A6735" s="34">
        <v>2084028765</v>
      </c>
      <c r="B6735" s="35" t="s">
        <v>462</v>
      </c>
      <c r="C6735" s="35" t="s">
        <v>405</v>
      </c>
      <c r="D6735" s="35" t="s">
        <v>1378</v>
      </c>
      <c r="E6735" s="35" t="s">
        <v>1382</v>
      </c>
      <c r="F6735" s="35" t="s">
        <v>390</v>
      </c>
      <c r="G6735" s="35" t="s">
        <v>368</v>
      </c>
      <c r="H6735" s="35" t="s">
        <v>508</v>
      </c>
    </row>
    <row r="6736" spans="1:8">
      <c r="A6736" s="34">
        <v>2084029299</v>
      </c>
      <c r="B6736" s="35" t="s">
        <v>462</v>
      </c>
      <c r="C6736" s="35" t="s">
        <v>405</v>
      </c>
      <c r="D6736" s="35" t="s">
        <v>1378</v>
      </c>
      <c r="E6736" s="35" t="s">
        <v>1382</v>
      </c>
      <c r="F6736" s="35" t="s">
        <v>390</v>
      </c>
      <c r="G6736" s="35" t="s">
        <v>368</v>
      </c>
      <c r="H6736" s="35" t="s">
        <v>481</v>
      </c>
    </row>
    <row r="6737" spans="1:8">
      <c r="A6737" s="34">
        <v>2084029857</v>
      </c>
      <c r="B6737" s="35" t="s">
        <v>462</v>
      </c>
      <c r="C6737" s="35" t="s">
        <v>405</v>
      </c>
      <c r="D6737" s="35" t="s">
        <v>1378</v>
      </c>
      <c r="E6737" s="35" t="s">
        <v>1382</v>
      </c>
      <c r="F6737" s="35" t="s">
        <v>390</v>
      </c>
      <c r="G6737" s="35" t="s">
        <v>368</v>
      </c>
      <c r="H6737" s="35" t="s">
        <v>494</v>
      </c>
    </row>
    <row r="6738" spans="1:8">
      <c r="A6738" s="34">
        <v>2084059000</v>
      </c>
      <c r="B6738" s="35" t="s">
        <v>462</v>
      </c>
      <c r="C6738" s="35" t="s">
        <v>405</v>
      </c>
      <c r="D6738" s="35" t="s">
        <v>1378</v>
      </c>
      <c r="E6738" s="35" t="s">
        <v>1382</v>
      </c>
      <c r="F6738" s="35" t="s">
        <v>390</v>
      </c>
      <c r="G6738" s="35" t="s">
        <v>368</v>
      </c>
      <c r="H6738" s="35" t="s">
        <v>335</v>
      </c>
    </row>
    <row r="6739" spans="1:8">
      <c r="A6739" s="34">
        <v>2084027314</v>
      </c>
      <c r="B6739" s="35" t="s">
        <v>462</v>
      </c>
      <c r="C6739" s="35" t="s">
        <v>405</v>
      </c>
      <c r="D6739" s="35" t="s">
        <v>1378</v>
      </c>
      <c r="E6739" s="35" t="s">
        <v>1382</v>
      </c>
      <c r="F6739" s="35" t="s">
        <v>390</v>
      </c>
      <c r="G6739" s="35" t="s">
        <v>10</v>
      </c>
      <c r="H6739" s="35" t="s">
        <v>509</v>
      </c>
    </row>
    <row r="6740" spans="1:8">
      <c r="A6740" s="34">
        <v>2084027807</v>
      </c>
      <c r="B6740" s="35" t="s">
        <v>462</v>
      </c>
      <c r="C6740" s="35" t="s">
        <v>405</v>
      </c>
      <c r="D6740" s="35" t="s">
        <v>1378</v>
      </c>
      <c r="E6740" s="35" t="s">
        <v>1382</v>
      </c>
      <c r="F6740" s="35" t="s">
        <v>390</v>
      </c>
      <c r="G6740" s="35" t="s">
        <v>10</v>
      </c>
      <c r="H6740" s="35" t="s">
        <v>510</v>
      </c>
    </row>
    <row r="6741" spans="1:8">
      <c r="A6741" s="34">
        <v>2084027841</v>
      </c>
      <c r="B6741" s="35" t="s">
        <v>462</v>
      </c>
      <c r="C6741" s="35" t="s">
        <v>405</v>
      </c>
      <c r="D6741" s="35" t="s">
        <v>1378</v>
      </c>
      <c r="E6741" s="35" t="s">
        <v>1382</v>
      </c>
      <c r="F6741" s="35" t="s">
        <v>390</v>
      </c>
      <c r="G6741" s="35" t="s">
        <v>10</v>
      </c>
      <c r="H6741" s="35" t="s">
        <v>511</v>
      </c>
    </row>
    <row r="6742" spans="1:8">
      <c r="A6742" s="34">
        <v>2084027919</v>
      </c>
      <c r="B6742" s="35" t="s">
        <v>462</v>
      </c>
      <c r="C6742" s="35" t="s">
        <v>405</v>
      </c>
      <c r="D6742" s="35" t="s">
        <v>1378</v>
      </c>
      <c r="E6742" s="35" t="s">
        <v>1382</v>
      </c>
      <c r="F6742" s="35" t="s">
        <v>390</v>
      </c>
      <c r="G6742" s="35" t="s">
        <v>10</v>
      </c>
      <c r="H6742" s="35" t="s">
        <v>493</v>
      </c>
    </row>
    <row r="6743" spans="1:8">
      <c r="A6743" s="34">
        <v>2084027488</v>
      </c>
      <c r="B6743" s="35" t="s">
        <v>462</v>
      </c>
      <c r="C6743" s="35" t="s">
        <v>405</v>
      </c>
      <c r="D6743" s="35" t="s">
        <v>1378</v>
      </c>
      <c r="E6743" s="35" t="s">
        <v>1382</v>
      </c>
      <c r="F6743" s="35" t="s">
        <v>390</v>
      </c>
      <c r="G6743" s="35" t="s">
        <v>10</v>
      </c>
      <c r="H6743" s="35" t="s">
        <v>512</v>
      </c>
    </row>
    <row r="6744" spans="1:8">
      <c r="A6744" s="34">
        <v>2084027598</v>
      </c>
      <c r="B6744" s="35" t="s">
        <v>462</v>
      </c>
      <c r="C6744" s="35" t="s">
        <v>405</v>
      </c>
      <c r="D6744" s="35" t="s">
        <v>1378</v>
      </c>
      <c r="E6744" s="35" t="s">
        <v>1382</v>
      </c>
      <c r="F6744" s="35" t="s">
        <v>390</v>
      </c>
      <c r="G6744" s="35" t="s">
        <v>10</v>
      </c>
      <c r="H6744" s="35" t="s">
        <v>513</v>
      </c>
    </row>
    <row r="6745" spans="1:8">
      <c r="A6745" s="34">
        <v>2084027957</v>
      </c>
      <c r="B6745" s="35" t="s">
        <v>462</v>
      </c>
      <c r="C6745" s="35" t="s">
        <v>405</v>
      </c>
      <c r="D6745" s="35" t="s">
        <v>1378</v>
      </c>
      <c r="E6745" s="35" t="s">
        <v>1382</v>
      </c>
      <c r="F6745" s="35" t="s">
        <v>390</v>
      </c>
      <c r="G6745" s="35" t="s">
        <v>10</v>
      </c>
      <c r="H6745" s="35" t="s">
        <v>420</v>
      </c>
    </row>
    <row r="6746" spans="1:8">
      <c r="A6746" s="34">
        <v>2084027277</v>
      </c>
      <c r="B6746" s="35" t="s">
        <v>462</v>
      </c>
      <c r="C6746" s="35" t="s">
        <v>405</v>
      </c>
      <c r="D6746" s="35" t="s">
        <v>1378</v>
      </c>
      <c r="E6746" s="35" t="s">
        <v>1382</v>
      </c>
      <c r="F6746" s="35" t="s">
        <v>390</v>
      </c>
      <c r="G6746" s="35" t="s">
        <v>10</v>
      </c>
      <c r="H6746" s="35" t="s">
        <v>514</v>
      </c>
    </row>
    <row r="6747" spans="1:8">
      <c r="A6747" s="34">
        <v>2084027390</v>
      </c>
      <c r="B6747" s="35" t="s">
        <v>462</v>
      </c>
      <c r="C6747" s="35" t="s">
        <v>405</v>
      </c>
      <c r="D6747" s="35" t="s">
        <v>1378</v>
      </c>
      <c r="E6747" s="35" t="s">
        <v>1382</v>
      </c>
      <c r="F6747" s="35" t="s">
        <v>390</v>
      </c>
      <c r="G6747" s="35" t="s">
        <v>10</v>
      </c>
      <c r="H6747" s="35" t="s">
        <v>515</v>
      </c>
    </row>
    <row r="6748" spans="1:8">
      <c r="A6748" s="34">
        <v>2084027522</v>
      </c>
      <c r="B6748" s="35" t="s">
        <v>462</v>
      </c>
      <c r="C6748" s="35" t="s">
        <v>405</v>
      </c>
      <c r="D6748" s="35" t="s">
        <v>1378</v>
      </c>
      <c r="E6748" s="35" t="s">
        <v>1382</v>
      </c>
      <c r="F6748" s="35" t="s">
        <v>390</v>
      </c>
      <c r="G6748" s="35" t="s">
        <v>10</v>
      </c>
      <c r="H6748" s="35" t="s">
        <v>421</v>
      </c>
    </row>
    <row r="6749" spans="1:8">
      <c r="A6749" s="34">
        <v>2084027733</v>
      </c>
      <c r="B6749" s="35" t="s">
        <v>462</v>
      </c>
      <c r="C6749" s="35" t="s">
        <v>405</v>
      </c>
      <c r="D6749" s="35" t="s">
        <v>1378</v>
      </c>
      <c r="E6749" s="35" t="s">
        <v>1382</v>
      </c>
      <c r="F6749" s="35" t="s">
        <v>390</v>
      </c>
      <c r="G6749" s="35" t="s">
        <v>10</v>
      </c>
      <c r="H6749" s="35" t="s">
        <v>516</v>
      </c>
    </row>
    <row r="6750" spans="1:8">
      <c r="A6750" s="34">
        <v>2084027200</v>
      </c>
      <c r="B6750" s="35" t="s">
        <v>462</v>
      </c>
      <c r="C6750" s="35" t="s">
        <v>405</v>
      </c>
      <c r="D6750" s="35" t="s">
        <v>1378</v>
      </c>
      <c r="E6750" s="35" t="s">
        <v>1382</v>
      </c>
      <c r="F6750" s="35" t="s">
        <v>390</v>
      </c>
      <c r="G6750" s="35" t="s">
        <v>10</v>
      </c>
      <c r="H6750" s="35" t="s">
        <v>517</v>
      </c>
    </row>
    <row r="6751" spans="1:8">
      <c r="A6751" s="34">
        <v>2084027352</v>
      </c>
      <c r="B6751" s="35" t="s">
        <v>462</v>
      </c>
      <c r="C6751" s="35" t="s">
        <v>405</v>
      </c>
      <c r="D6751" s="35" t="s">
        <v>1378</v>
      </c>
      <c r="E6751" s="35" t="s">
        <v>1382</v>
      </c>
      <c r="F6751" s="35" t="s">
        <v>390</v>
      </c>
      <c r="G6751" s="35" t="s">
        <v>10</v>
      </c>
      <c r="H6751" s="35" t="s">
        <v>518</v>
      </c>
    </row>
    <row r="6752" spans="1:8">
      <c r="A6752" s="34">
        <v>2084027560</v>
      </c>
      <c r="B6752" s="35" t="s">
        <v>462</v>
      </c>
      <c r="C6752" s="35" t="s">
        <v>405</v>
      </c>
      <c r="D6752" s="35" t="s">
        <v>1378</v>
      </c>
      <c r="E6752" s="35" t="s">
        <v>1382</v>
      </c>
      <c r="F6752" s="35" t="s">
        <v>390</v>
      </c>
      <c r="G6752" s="35" t="s">
        <v>10</v>
      </c>
      <c r="H6752" s="35" t="s">
        <v>422</v>
      </c>
    </row>
    <row r="6753" spans="1:8">
      <c r="A6753" s="34">
        <v>2084027743</v>
      </c>
      <c r="B6753" s="35" t="s">
        <v>462</v>
      </c>
      <c r="C6753" s="35" t="s">
        <v>405</v>
      </c>
      <c r="D6753" s="35" t="s">
        <v>1378</v>
      </c>
      <c r="E6753" s="35" t="s">
        <v>1382</v>
      </c>
      <c r="F6753" s="35" t="s">
        <v>390</v>
      </c>
      <c r="G6753" s="35" t="s">
        <v>10</v>
      </c>
      <c r="H6753" s="35" t="s">
        <v>519</v>
      </c>
    </row>
    <row r="6754" spans="1:8">
      <c r="A6754" s="34">
        <v>2084027995</v>
      </c>
      <c r="B6754" s="35" t="s">
        <v>462</v>
      </c>
      <c r="C6754" s="35" t="s">
        <v>405</v>
      </c>
      <c r="D6754" s="35" t="s">
        <v>1378</v>
      </c>
      <c r="E6754" s="35" t="s">
        <v>1382</v>
      </c>
      <c r="F6754" s="35" t="s">
        <v>390</v>
      </c>
      <c r="G6754" s="35" t="s">
        <v>379</v>
      </c>
      <c r="H6754" s="35" t="s">
        <v>520</v>
      </c>
    </row>
    <row r="6755" spans="1:8">
      <c r="A6755" s="34">
        <v>2084028041</v>
      </c>
      <c r="B6755" s="35" t="s">
        <v>462</v>
      </c>
      <c r="C6755" s="35" t="s">
        <v>405</v>
      </c>
      <c r="D6755" s="35" t="s">
        <v>1378</v>
      </c>
      <c r="E6755" s="35" t="s">
        <v>1382</v>
      </c>
      <c r="F6755" s="35" t="s">
        <v>390</v>
      </c>
      <c r="G6755" s="35" t="s">
        <v>379</v>
      </c>
      <c r="H6755" s="35" t="s">
        <v>521</v>
      </c>
    </row>
    <row r="6756" spans="1:8">
      <c r="A6756" s="34">
        <v>2084028148</v>
      </c>
      <c r="B6756" s="35" t="s">
        <v>462</v>
      </c>
      <c r="C6756" s="35" t="s">
        <v>405</v>
      </c>
      <c r="D6756" s="35" t="s">
        <v>1378</v>
      </c>
      <c r="E6756" s="35" t="s">
        <v>1382</v>
      </c>
      <c r="F6756" s="35" t="s">
        <v>390</v>
      </c>
      <c r="G6756" s="35" t="s">
        <v>379</v>
      </c>
      <c r="H6756" s="35" t="s">
        <v>522</v>
      </c>
    </row>
    <row r="6757" spans="1:8">
      <c r="A6757" s="34">
        <v>2084028400</v>
      </c>
      <c r="B6757" s="35" t="s">
        <v>462</v>
      </c>
      <c r="C6757" s="35" t="s">
        <v>405</v>
      </c>
      <c r="D6757" s="35" t="s">
        <v>1378</v>
      </c>
      <c r="E6757" s="35" t="s">
        <v>1382</v>
      </c>
      <c r="F6757" s="35" t="s">
        <v>390</v>
      </c>
      <c r="G6757" s="35" t="s">
        <v>379</v>
      </c>
      <c r="H6757" s="35" t="s">
        <v>523</v>
      </c>
    </row>
    <row r="6758" spans="1:8">
      <c r="A6758" s="34">
        <v>2084028133</v>
      </c>
      <c r="B6758" s="35" t="s">
        <v>462</v>
      </c>
      <c r="C6758" s="35" t="s">
        <v>405</v>
      </c>
      <c r="D6758" s="35" t="s">
        <v>1378</v>
      </c>
      <c r="E6758" s="35" t="s">
        <v>1382</v>
      </c>
      <c r="F6758" s="35" t="s">
        <v>390</v>
      </c>
      <c r="G6758" s="35" t="s">
        <v>379</v>
      </c>
      <c r="H6758" s="35" t="s">
        <v>524</v>
      </c>
    </row>
    <row r="6759" spans="1:8">
      <c r="A6759" s="34">
        <v>2084028249</v>
      </c>
      <c r="B6759" s="35" t="s">
        <v>462</v>
      </c>
      <c r="C6759" s="35" t="s">
        <v>405</v>
      </c>
      <c r="D6759" s="35" t="s">
        <v>1378</v>
      </c>
      <c r="E6759" s="35" t="s">
        <v>1382</v>
      </c>
      <c r="F6759" s="35" t="s">
        <v>390</v>
      </c>
      <c r="G6759" s="35" t="s">
        <v>379</v>
      </c>
      <c r="H6759" s="35" t="s">
        <v>525</v>
      </c>
    </row>
    <row r="6760" spans="1:8">
      <c r="A6760" s="34">
        <v>2084028456</v>
      </c>
      <c r="B6760" s="35" t="s">
        <v>462</v>
      </c>
      <c r="C6760" s="35" t="s">
        <v>405</v>
      </c>
      <c r="D6760" s="35" t="s">
        <v>1378</v>
      </c>
      <c r="E6760" s="35" t="s">
        <v>1382</v>
      </c>
      <c r="F6760" s="35" t="s">
        <v>390</v>
      </c>
      <c r="G6760" s="35" t="s">
        <v>379</v>
      </c>
      <c r="H6760" s="35" t="s">
        <v>526</v>
      </c>
    </row>
    <row r="6761" spans="1:8">
      <c r="A6761" s="34">
        <v>2084028324</v>
      </c>
      <c r="B6761" s="35" t="s">
        <v>462</v>
      </c>
      <c r="C6761" s="35" t="s">
        <v>405</v>
      </c>
      <c r="D6761" s="35" t="s">
        <v>1378</v>
      </c>
      <c r="E6761" s="35" t="s">
        <v>1382</v>
      </c>
      <c r="F6761" s="35" t="s">
        <v>390</v>
      </c>
      <c r="G6761" s="35" t="s">
        <v>379</v>
      </c>
      <c r="H6761" s="35" t="s">
        <v>527</v>
      </c>
    </row>
    <row r="6762" spans="1:8">
      <c r="A6762" s="34">
        <v>2084028536</v>
      </c>
      <c r="B6762" s="35" t="s">
        <v>462</v>
      </c>
      <c r="C6762" s="35" t="s">
        <v>405</v>
      </c>
      <c r="D6762" s="35" t="s">
        <v>1378</v>
      </c>
      <c r="E6762" s="35" t="s">
        <v>1382</v>
      </c>
      <c r="F6762" s="35" t="s">
        <v>390</v>
      </c>
      <c r="G6762" s="35" t="s">
        <v>379</v>
      </c>
      <c r="H6762" s="35" t="s">
        <v>528</v>
      </c>
    </row>
    <row r="6763" spans="1:8">
      <c r="A6763" s="34">
        <v>2084028362</v>
      </c>
      <c r="B6763" s="35" t="s">
        <v>462</v>
      </c>
      <c r="C6763" s="35" t="s">
        <v>405</v>
      </c>
      <c r="D6763" s="35" t="s">
        <v>1378</v>
      </c>
      <c r="E6763" s="35" t="s">
        <v>1382</v>
      </c>
      <c r="F6763" s="35" t="s">
        <v>390</v>
      </c>
      <c r="G6763" s="35" t="s">
        <v>379</v>
      </c>
      <c r="H6763" s="35" t="s">
        <v>529</v>
      </c>
    </row>
    <row r="6764" spans="1:8">
      <c r="A6764" s="34">
        <v>2084059001</v>
      </c>
      <c r="B6764" s="35" t="s">
        <v>462</v>
      </c>
      <c r="C6764" s="35" t="s">
        <v>405</v>
      </c>
      <c r="D6764" s="35" t="s">
        <v>1378</v>
      </c>
      <c r="E6764" s="35" t="s">
        <v>1382</v>
      </c>
      <c r="F6764" s="35" t="s">
        <v>390</v>
      </c>
      <c r="G6764" s="35" t="s">
        <v>379</v>
      </c>
      <c r="H6764" s="35" t="s">
        <v>335</v>
      </c>
    </row>
    <row r="6765" spans="1:8">
      <c r="A6765" s="34">
        <v>2084028576</v>
      </c>
      <c r="B6765" s="35" t="s">
        <v>462</v>
      </c>
      <c r="C6765" s="35" t="s">
        <v>405</v>
      </c>
      <c r="D6765" s="35" t="s">
        <v>1378</v>
      </c>
      <c r="E6765" s="35" t="s">
        <v>1382</v>
      </c>
      <c r="F6765" s="35" t="s">
        <v>390</v>
      </c>
      <c r="G6765" s="35" t="s">
        <v>530</v>
      </c>
      <c r="H6765" s="35" t="s">
        <v>531</v>
      </c>
    </row>
    <row r="6766" spans="1:8">
      <c r="A6766" s="34">
        <v>2084028614</v>
      </c>
      <c r="B6766" s="35" t="s">
        <v>462</v>
      </c>
      <c r="C6766" s="35" t="s">
        <v>405</v>
      </c>
      <c r="D6766" s="35" t="s">
        <v>1378</v>
      </c>
      <c r="E6766" s="35" t="s">
        <v>1382</v>
      </c>
      <c r="F6766" s="35" t="s">
        <v>390</v>
      </c>
      <c r="G6766" s="35" t="s">
        <v>530</v>
      </c>
      <c r="H6766" s="35" t="s">
        <v>532</v>
      </c>
    </row>
    <row r="6767" spans="1:8">
      <c r="A6767" s="34">
        <v>2084030114</v>
      </c>
      <c r="B6767" s="35" t="s">
        <v>462</v>
      </c>
      <c r="C6767" s="35" t="s">
        <v>405</v>
      </c>
      <c r="D6767" s="35" t="s">
        <v>1378</v>
      </c>
      <c r="E6767" s="35" t="s">
        <v>1382</v>
      </c>
      <c r="F6767" s="35" t="s">
        <v>390</v>
      </c>
      <c r="G6767" s="35" t="s">
        <v>533</v>
      </c>
      <c r="H6767" s="35" t="s">
        <v>534</v>
      </c>
    </row>
    <row r="6768" spans="1:8">
      <c r="A6768" s="34">
        <v>2084030146</v>
      </c>
      <c r="B6768" s="35" t="s">
        <v>462</v>
      </c>
      <c r="C6768" s="35" t="s">
        <v>405</v>
      </c>
      <c r="D6768" s="35" t="s">
        <v>1378</v>
      </c>
      <c r="E6768" s="35" t="s">
        <v>1382</v>
      </c>
      <c r="F6768" s="35" t="s">
        <v>390</v>
      </c>
      <c r="G6768" s="35" t="s">
        <v>533</v>
      </c>
      <c r="H6768" s="35" t="s">
        <v>535</v>
      </c>
    </row>
    <row r="6769" spans="1:8">
      <c r="A6769" s="34">
        <v>2084027188</v>
      </c>
      <c r="B6769" s="35" t="s">
        <v>462</v>
      </c>
      <c r="C6769" s="35" t="s">
        <v>405</v>
      </c>
      <c r="D6769" s="35" t="s">
        <v>1378</v>
      </c>
      <c r="E6769" s="35" t="s">
        <v>1382</v>
      </c>
      <c r="F6769" s="35" t="s">
        <v>390</v>
      </c>
      <c r="G6769" s="35" t="s">
        <v>533</v>
      </c>
      <c r="H6769" s="35" t="s">
        <v>536</v>
      </c>
    </row>
    <row r="6770" spans="1:8">
      <c r="A6770" s="34">
        <v>2084059832</v>
      </c>
      <c r="B6770" s="35" t="s">
        <v>462</v>
      </c>
      <c r="C6770" s="35" t="s">
        <v>405</v>
      </c>
      <c r="D6770" s="35" t="s">
        <v>1378</v>
      </c>
      <c r="E6770" s="35" t="s">
        <v>1382</v>
      </c>
      <c r="F6770" s="35" t="s">
        <v>353</v>
      </c>
      <c r="G6770" s="35" t="s">
        <v>367</v>
      </c>
    </row>
    <row r="6771" spans="1:8">
      <c r="A6771" s="34">
        <v>2084059835</v>
      </c>
      <c r="B6771" s="35" t="s">
        <v>462</v>
      </c>
      <c r="C6771" s="35" t="s">
        <v>405</v>
      </c>
      <c r="D6771" s="35" t="s">
        <v>1378</v>
      </c>
      <c r="E6771" s="35" t="s">
        <v>1382</v>
      </c>
      <c r="F6771" s="35" t="s">
        <v>353</v>
      </c>
      <c r="G6771" s="35" t="s">
        <v>368</v>
      </c>
      <c r="H6771" s="35" t="s">
        <v>481</v>
      </c>
    </row>
    <row r="6772" spans="1:8">
      <c r="A6772" s="34">
        <v>2084059834</v>
      </c>
      <c r="B6772" s="35" t="s">
        <v>462</v>
      </c>
      <c r="C6772" s="35" t="s">
        <v>405</v>
      </c>
      <c r="D6772" s="35" t="s">
        <v>1378</v>
      </c>
      <c r="E6772" s="35" t="s">
        <v>1382</v>
      </c>
      <c r="F6772" s="35" t="s">
        <v>353</v>
      </c>
      <c r="G6772" s="35" t="s">
        <v>368</v>
      </c>
      <c r="H6772" s="35" t="s">
        <v>482</v>
      </c>
    </row>
    <row r="6773" spans="1:8">
      <c r="A6773" s="34">
        <v>2084059836</v>
      </c>
      <c r="B6773" s="35" t="s">
        <v>462</v>
      </c>
      <c r="C6773" s="35" t="s">
        <v>405</v>
      </c>
      <c r="D6773" s="35" t="s">
        <v>1378</v>
      </c>
      <c r="E6773" s="35" t="s">
        <v>1382</v>
      </c>
      <c r="F6773" s="35" t="s">
        <v>353</v>
      </c>
      <c r="G6773" s="35" t="s">
        <v>368</v>
      </c>
      <c r="H6773" s="35" t="s">
        <v>335</v>
      </c>
    </row>
    <row r="6774" spans="1:8">
      <c r="A6774" s="34">
        <v>2084059842</v>
      </c>
      <c r="B6774" s="35" t="s">
        <v>462</v>
      </c>
      <c r="C6774" s="35" t="s">
        <v>405</v>
      </c>
      <c r="D6774" s="35" t="s">
        <v>1378</v>
      </c>
      <c r="E6774" s="35" t="s">
        <v>1382</v>
      </c>
      <c r="F6774" s="35" t="s">
        <v>353</v>
      </c>
      <c r="G6774" s="35" t="s">
        <v>10</v>
      </c>
      <c r="H6774" s="35" t="s">
        <v>483</v>
      </c>
    </row>
    <row r="6775" spans="1:8">
      <c r="A6775" s="34">
        <v>2084059839</v>
      </c>
      <c r="B6775" s="35" t="s">
        <v>462</v>
      </c>
      <c r="C6775" s="35" t="s">
        <v>405</v>
      </c>
      <c r="D6775" s="35" t="s">
        <v>1378</v>
      </c>
      <c r="E6775" s="35" t="s">
        <v>1382</v>
      </c>
      <c r="F6775" s="35" t="s">
        <v>353</v>
      </c>
      <c r="G6775" s="35" t="s">
        <v>10</v>
      </c>
      <c r="H6775" s="35" t="s">
        <v>397</v>
      </c>
    </row>
    <row r="6776" spans="1:8">
      <c r="A6776" s="34">
        <v>2084059841</v>
      </c>
      <c r="B6776" s="35" t="s">
        <v>462</v>
      </c>
      <c r="C6776" s="35" t="s">
        <v>405</v>
      </c>
      <c r="D6776" s="35" t="s">
        <v>1378</v>
      </c>
      <c r="E6776" s="35" t="s">
        <v>1382</v>
      </c>
      <c r="F6776" s="35" t="s">
        <v>353</v>
      </c>
      <c r="G6776" s="35" t="s">
        <v>10</v>
      </c>
      <c r="H6776" s="35" t="s">
        <v>421</v>
      </c>
    </row>
    <row r="6777" spans="1:8">
      <c r="A6777" s="34">
        <v>2084059838</v>
      </c>
      <c r="B6777" s="35" t="s">
        <v>462</v>
      </c>
      <c r="C6777" s="35" t="s">
        <v>405</v>
      </c>
      <c r="D6777" s="35" t="s">
        <v>1378</v>
      </c>
      <c r="E6777" s="35" t="s">
        <v>1382</v>
      </c>
      <c r="F6777" s="35" t="s">
        <v>353</v>
      </c>
      <c r="G6777" s="35" t="s">
        <v>10</v>
      </c>
      <c r="H6777" s="35" t="s">
        <v>398</v>
      </c>
    </row>
    <row r="6778" spans="1:8">
      <c r="A6778" s="34">
        <v>2084059840</v>
      </c>
      <c r="B6778" s="35" t="s">
        <v>462</v>
      </c>
      <c r="C6778" s="35" t="s">
        <v>405</v>
      </c>
      <c r="D6778" s="35" t="s">
        <v>1378</v>
      </c>
      <c r="E6778" s="35" t="s">
        <v>1382</v>
      </c>
      <c r="F6778" s="35" t="s">
        <v>353</v>
      </c>
      <c r="G6778" s="35" t="s">
        <v>10</v>
      </c>
      <c r="H6778" s="35" t="s">
        <v>422</v>
      </c>
    </row>
    <row r="6779" spans="1:8">
      <c r="A6779" s="34">
        <v>2084059843</v>
      </c>
      <c r="B6779" s="35" t="s">
        <v>462</v>
      </c>
      <c r="C6779" s="35" t="s">
        <v>405</v>
      </c>
      <c r="D6779" s="35" t="s">
        <v>1378</v>
      </c>
      <c r="E6779" s="35" t="s">
        <v>1382</v>
      </c>
      <c r="F6779" s="35" t="s">
        <v>353</v>
      </c>
      <c r="G6779" s="35" t="s">
        <v>10</v>
      </c>
      <c r="H6779" s="35" t="s">
        <v>335</v>
      </c>
    </row>
    <row r="6780" spans="1:8">
      <c r="A6780" s="34">
        <v>2084059844</v>
      </c>
      <c r="B6780" s="35" t="s">
        <v>462</v>
      </c>
      <c r="C6780" s="35" t="s">
        <v>405</v>
      </c>
      <c r="D6780" s="35" t="s">
        <v>1378</v>
      </c>
      <c r="E6780" s="35" t="s">
        <v>1382</v>
      </c>
      <c r="F6780" s="35" t="s">
        <v>353</v>
      </c>
      <c r="G6780" s="35" t="s">
        <v>403</v>
      </c>
    </row>
    <row r="6781" spans="1:8">
      <c r="A6781" s="34">
        <v>2084059845</v>
      </c>
      <c r="B6781" s="35" t="s">
        <v>462</v>
      </c>
      <c r="C6781" s="35" t="s">
        <v>405</v>
      </c>
      <c r="D6781" s="35" t="s">
        <v>1378</v>
      </c>
      <c r="E6781" s="35" t="s">
        <v>1382</v>
      </c>
      <c r="F6781" s="35" t="s">
        <v>353</v>
      </c>
      <c r="G6781" s="35" t="s">
        <v>335</v>
      </c>
    </row>
    <row r="6782" spans="1:8">
      <c r="A6782" s="34">
        <v>2084048697</v>
      </c>
      <c r="B6782" s="35" t="s">
        <v>462</v>
      </c>
      <c r="C6782" s="35" t="s">
        <v>405</v>
      </c>
      <c r="D6782" s="35" t="s">
        <v>1378</v>
      </c>
      <c r="E6782" s="35" t="s">
        <v>1382</v>
      </c>
      <c r="F6782" s="35" t="s">
        <v>335</v>
      </c>
    </row>
    <row r="6783" spans="1:8">
      <c r="A6783" s="34">
        <v>2084195368</v>
      </c>
      <c r="B6783" s="35" t="s">
        <v>462</v>
      </c>
      <c r="C6783" s="35" t="s">
        <v>405</v>
      </c>
      <c r="D6783" s="35" t="s">
        <v>1378</v>
      </c>
      <c r="E6783" s="35" t="s">
        <v>1384</v>
      </c>
      <c r="F6783" s="35" t="s">
        <v>367</v>
      </c>
    </row>
    <row r="6784" spans="1:8">
      <c r="A6784" s="34">
        <v>2084195371</v>
      </c>
      <c r="B6784" s="35" t="s">
        <v>462</v>
      </c>
      <c r="C6784" s="35" t="s">
        <v>405</v>
      </c>
      <c r="D6784" s="35" t="s">
        <v>1378</v>
      </c>
      <c r="E6784" s="35" t="s">
        <v>1384</v>
      </c>
      <c r="F6784" s="35" t="s">
        <v>368</v>
      </c>
      <c r="G6784" s="35" t="s">
        <v>481</v>
      </c>
    </row>
    <row r="6785" spans="1:7">
      <c r="A6785" s="34">
        <v>2084195370</v>
      </c>
      <c r="B6785" s="35" t="s">
        <v>462</v>
      </c>
      <c r="C6785" s="35" t="s">
        <v>405</v>
      </c>
      <c r="D6785" s="35" t="s">
        <v>1378</v>
      </c>
      <c r="E6785" s="35" t="s">
        <v>1384</v>
      </c>
      <c r="F6785" s="35" t="s">
        <v>368</v>
      </c>
      <c r="G6785" s="35" t="s">
        <v>482</v>
      </c>
    </row>
    <row r="6786" spans="1:7">
      <c r="A6786" s="34">
        <v>2084195372</v>
      </c>
      <c r="B6786" s="35" t="s">
        <v>462</v>
      </c>
      <c r="C6786" s="35" t="s">
        <v>405</v>
      </c>
      <c r="D6786" s="35" t="s">
        <v>1378</v>
      </c>
      <c r="E6786" s="35" t="s">
        <v>1384</v>
      </c>
      <c r="F6786" s="35" t="s">
        <v>368</v>
      </c>
      <c r="G6786" s="35" t="s">
        <v>335</v>
      </c>
    </row>
    <row r="6787" spans="1:7">
      <c r="A6787" s="34">
        <v>2084195378</v>
      </c>
      <c r="B6787" s="35" t="s">
        <v>462</v>
      </c>
      <c r="C6787" s="35" t="s">
        <v>405</v>
      </c>
      <c r="D6787" s="35" t="s">
        <v>1378</v>
      </c>
      <c r="E6787" s="35" t="s">
        <v>1384</v>
      </c>
      <c r="F6787" s="35" t="s">
        <v>10</v>
      </c>
      <c r="G6787" s="35" t="s">
        <v>483</v>
      </c>
    </row>
    <row r="6788" spans="1:7">
      <c r="A6788" s="34">
        <v>2084195375</v>
      </c>
      <c r="B6788" s="35" t="s">
        <v>462</v>
      </c>
      <c r="C6788" s="35" t="s">
        <v>405</v>
      </c>
      <c r="D6788" s="35" t="s">
        <v>1378</v>
      </c>
      <c r="E6788" s="35" t="s">
        <v>1384</v>
      </c>
      <c r="F6788" s="35" t="s">
        <v>10</v>
      </c>
      <c r="G6788" s="35" t="s">
        <v>397</v>
      </c>
    </row>
    <row r="6789" spans="1:7">
      <c r="A6789" s="34">
        <v>2084195377</v>
      </c>
      <c r="B6789" s="35" t="s">
        <v>462</v>
      </c>
      <c r="C6789" s="35" t="s">
        <v>405</v>
      </c>
      <c r="D6789" s="35" t="s">
        <v>1378</v>
      </c>
      <c r="E6789" s="35" t="s">
        <v>1384</v>
      </c>
      <c r="F6789" s="35" t="s">
        <v>10</v>
      </c>
      <c r="G6789" s="35" t="s">
        <v>421</v>
      </c>
    </row>
    <row r="6790" spans="1:7">
      <c r="A6790" s="34">
        <v>2084195374</v>
      </c>
      <c r="B6790" s="35" t="s">
        <v>462</v>
      </c>
      <c r="C6790" s="35" t="s">
        <v>405</v>
      </c>
      <c r="D6790" s="35" t="s">
        <v>1378</v>
      </c>
      <c r="E6790" s="35" t="s">
        <v>1384</v>
      </c>
      <c r="F6790" s="35" t="s">
        <v>10</v>
      </c>
      <c r="G6790" s="35" t="s">
        <v>398</v>
      </c>
    </row>
    <row r="6791" spans="1:7">
      <c r="A6791" s="34">
        <v>2084195376</v>
      </c>
      <c r="B6791" s="35" t="s">
        <v>462</v>
      </c>
      <c r="C6791" s="35" t="s">
        <v>405</v>
      </c>
      <c r="D6791" s="35" t="s">
        <v>1378</v>
      </c>
      <c r="E6791" s="35" t="s">
        <v>1384</v>
      </c>
      <c r="F6791" s="35" t="s">
        <v>10</v>
      </c>
      <c r="G6791" s="35" t="s">
        <v>422</v>
      </c>
    </row>
    <row r="6792" spans="1:7">
      <c r="A6792" s="34">
        <v>2084195379</v>
      </c>
      <c r="B6792" s="35" t="s">
        <v>462</v>
      </c>
      <c r="C6792" s="35" t="s">
        <v>405</v>
      </c>
      <c r="D6792" s="35" t="s">
        <v>1378</v>
      </c>
      <c r="E6792" s="35" t="s">
        <v>1384</v>
      </c>
      <c r="F6792" s="35" t="s">
        <v>10</v>
      </c>
      <c r="G6792" s="35" t="s">
        <v>335</v>
      </c>
    </row>
    <row r="6793" spans="1:7">
      <c r="A6793" s="34">
        <v>2084195381</v>
      </c>
      <c r="B6793" s="35" t="s">
        <v>462</v>
      </c>
      <c r="C6793" s="35" t="s">
        <v>405</v>
      </c>
      <c r="D6793" s="35" t="s">
        <v>1378</v>
      </c>
      <c r="E6793" s="35" t="s">
        <v>1384</v>
      </c>
      <c r="F6793" s="35" t="s">
        <v>379</v>
      </c>
      <c r="G6793" s="35" t="s">
        <v>476</v>
      </c>
    </row>
    <row r="6794" spans="1:7">
      <c r="A6794" s="34">
        <v>2084195382</v>
      </c>
      <c r="B6794" s="35" t="s">
        <v>462</v>
      </c>
      <c r="C6794" s="35" t="s">
        <v>405</v>
      </c>
      <c r="D6794" s="35" t="s">
        <v>1378</v>
      </c>
      <c r="E6794" s="35" t="s">
        <v>1384</v>
      </c>
      <c r="F6794" s="35" t="s">
        <v>379</v>
      </c>
      <c r="G6794" s="35" t="s">
        <v>335</v>
      </c>
    </row>
    <row r="6795" spans="1:7">
      <c r="A6795" s="34">
        <v>2084195383</v>
      </c>
      <c r="B6795" s="35" t="s">
        <v>462</v>
      </c>
      <c r="C6795" s="35" t="s">
        <v>405</v>
      </c>
      <c r="D6795" s="35" t="s">
        <v>1378</v>
      </c>
      <c r="E6795" s="35" t="s">
        <v>1384</v>
      </c>
      <c r="F6795" s="35" t="s">
        <v>478</v>
      </c>
    </row>
    <row r="6796" spans="1:7">
      <c r="A6796" s="34">
        <v>2084195384</v>
      </c>
      <c r="B6796" s="35" t="s">
        <v>462</v>
      </c>
      <c r="C6796" s="35" t="s">
        <v>405</v>
      </c>
      <c r="D6796" s="35" t="s">
        <v>1378</v>
      </c>
      <c r="E6796" s="35" t="s">
        <v>1384</v>
      </c>
      <c r="F6796" s="35" t="s">
        <v>335</v>
      </c>
    </row>
    <row r="6797" spans="1:7">
      <c r="A6797" s="34">
        <v>2084286037</v>
      </c>
      <c r="B6797" s="35" t="s">
        <v>462</v>
      </c>
      <c r="C6797" s="35" t="s">
        <v>405</v>
      </c>
      <c r="D6797" s="35" t="s">
        <v>1378</v>
      </c>
      <c r="E6797" s="35" t="s">
        <v>1385</v>
      </c>
      <c r="F6797" s="35" t="s">
        <v>407</v>
      </c>
    </row>
    <row r="6798" spans="1:7">
      <c r="A6798" s="34">
        <v>2084286036</v>
      </c>
      <c r="B6798" s="35" t="s">
        <v>462</v>
      </c>
      <c r="C6798" s="35" t="s">
        <v>405</v>
      </c>
      <c r="D6798" s="35" t="s">
        <v>1378</v>
      </c>
      <c r="E6798" s="35" t="s">
        <v>1385</v>
      </c>
      <c r="F6798" s="35" t="s">
        <v>408</v>
      </c>
    </row>
    <row r="6799" spans="1:7">
      <c r="A6799" s="34">
        <v>2084227617</v>
      </c>
      <c r="B6799" s="35" t="s">
        <v>462</v>
      </c>
      <c r="C6799" s="35" t="s">
        <v>405</v>
      </c>
      <c r="D6799" s="35" t="s">
        <v>1378</v>
      </c>
      <c r="E6799" s="35" t="s">
        <v>1386</v>
      </c>
    </row>
    <row r="6800" spans="1:7">
      <c r="A6800" s="34">
        <v>2084298402</v>
      </c>
      <c r="B6800" s="35" t="s">
        <v>462</v>
      </c>
      <c r="C6800" s="35" t="s">
        <v>405</v>
      </c>
      <c r="D6800" s="35" t="s">
        <v>1378</v>
      </c>
      <c r="E6800" s="35" t="s">
        <v>1387</v>
      </c>
      <c r="F6800" s="35" t="s">
        <v>367</v>
      </c>
    </row>
    <row r="6801" spans="1:8">
      <c r="A6801" s="34">
        <v>2084298403</v>
      </c>
      <c r="B6801" s="35" t="s">
        <v>462</v>
      </c>
      <c r="C6801" s="35" t="s">
        <v>405</v>
      </c>
      <c r="D6801" s="35" t="s">
        <v>1378</v>
      </c>
      <c r="E6801" s="35" t="s">
        <v>1387</v>
      </c>
      <c r="F6801" s="35" t="s">
        <v>401</v>
      </c>
    </row>
    <row r="6802" spans="1:8">
      <c r="A6802" s="34">
        <v>2084298404</v>
      </c>
      <c r="B6802" s="35" t="s">
        <v>462</v>
      </c>
      <c r="C6802" s="35" t="s">
        <v>405</v>
      </c>
      <c r="D6802" s="35" t="s">
        <v>1378</v>
      </c>
      <c r="E6802" s="35" t="s">
        <v>1387</v>
      </c>
      <c r="F6802" s="35" t="s">
        <v>402</v>
      </c>
    </row>
    <row r="6803" spans="1:8">
      <c r="A6803" s="34">
        <v>2084298405</v>
      </c>
      <c r="B6803" s="35" t="s">
        <v>462</v>
      </c>
      <c r="C6803" s="35" t="s">
        <v>405</v>
      </c>
      <c r="D6803" s="35" t="s">
        <v>1378</v>
      </c>
      <c r="E6803" s="35" t="s">
        <v>1387</v>
      </c>
      <c r="F6803" s="35" t="s">
        <v>476</v>
      </c>
    </row>
    <row r="6804" spans="1:8">
      <c r="A6804" s="34">
        <v>2084298406</v>
      </c>
      <c r="B6804" s="35" t="s">
        <v>462</v>
      </c>
      <c r="C6804" s="35" t="s">
        <v>405</v>
      </c>
      <c r="D6804" s="35" t="s">
        <v>1378</v>
      </c>
      <c r="E6804" s="35" t="s">
        <v>1387</v>
      </c>
      <c r="F6804" s="35" t="s">
        <v>477</v>
      </c>
    </row>
    <row r="6805" spans="1:8">
      <c r="A6805" s="34">
        <v>2084298407</v>
      </c>
      <c r="B6805" s="35" t="s">
        <v>462</v>
      </c>
      <c r="C6805" s="35" t="s">
        <v>405</v>
      </c>
      <c r="D6805" s="35" t="s">
        <v>1378</v>
      </c>
      <c r="E6805" s="35" t="s">
        <v>1387</v>
      </c>
      <c r="F6805" s="35" t="s">
        <v>478</v>
      </c>
    </row>
    <row r="6806" spans="1:8">
      <c r="A6806" s="34">
        <v>2084298408</v>
      </c>
      <c r="B6806" s="35" t="s">
        <v>462</v>
      </c>
      <c r="C6806" s="35" t="s">
        <v>405</v>
      </c>
      <c r="D6806" s="35" t="s">
        <v>1378</v>
      </c>
      <c r="E6806" s="35" t="s">
        <v>1387</v>
      </c>
      <c r="F6806" s="35" t="s">
        <v>335</v>
      </c>
    </row>
    <row r="6807" spans="1:8">
      <c r="A6807" s="34">
        <v>2084244352</v>
      </c>
      <c r="B6807" s="35" t="s">
        <v>462</v>
      </c>
      <c r="C6807" s="35" t="s">
        <v>405</v>
      </c>
      <c r="D6807" s="35" t="s">
        <v>1378</v>
      </c>
      <c r="E6807" s="35" t="s">
        <v>1388</v>
      </c>
    </row>
    <row r="6808" spans="1:8">
      <c r="A6808" s="34">
        <v>2084056480</v>
      </c>
      <c r="B6808" s="35" t="s">
        <v>462</v>
      </c>
      <c r="C6808" s="35" t="s">
        <v>405</v>
      </c>
      <c r="D6808" s="35" t="s">
        <v>1378</v>
      </c>
      <c r="E6808" s="35" t="s">
        <v>1389</v>
      </c>
      <c r="F6808" s="35" t="s">
        <v>611</v>
      </c>
      <c r="G6808" s="35" t="s">
        <v>407</v>
      </c>
    </row>
    <row r="6809" spans="1:8">
      <c r="A6809" s="34">
        <v>2084056479</v>
      </c>
      <c r="B6809" s="35" t="s">
        <v>462</v>
      </c>
      <c r="C6809" s="35" t="s">
        <v>405</v>
      </c>
      <c r="D6809" s="35" t="s">
        <v>1378</v>
      </c>
      <c r="E6809" s="35" t="s">
        <v>1389</v>
      </c>
      <c r="F6809" s="35" t="s">
        <v>611</v>
      </c>
      <c r="G6809" s="35" t="s">
        <v>408</v>
      </c>
    </row>
    <row r="6810" spans="1:8">
      <c r="A6810" s="34">
        <v>2084056492</v>
      </c>
      <c r="B6810" s="35" t="s">
        <v>462</v>
      </c>
      <c r="C6810" s="35" t="s">
        <v>405</v>
      </c>
      <c r="D6810" s="35" t="s">
        <v>1378</v>
      </c>
      <c r="E6810" s="35" t="s">
        <v>1389</v>
      </c>
      <c r="F6810" s="35" t="s">
        <v>390</v>
      </c>
      <c r="G6810" s="35" t="s">
        <v>401</v>
      </c>
    </row>
    <row r="6811" spans="1:8">
      <c r="A6811" s="34">
        <v>2084056498</v>
      </c>
      <c r="B6811" s="35" t="s">
        <v>462</v>
      </c>
      <c r="C6811" s="35" t="s">
        <v>405</v>
      </c>
      <c r="D6811" s="35" t="s">
        <v>1378</v>
      </c>
      <c r="E6811" s="35" t="s">
        <v>1389</v>
      </c>
      <c r="F6811" s="35" t="s">
        <v>390</v>
      </c>
      <c r="G6811" s="35" t="s">
        <v>10</v>
      </c>
      <c r="H6811" s="35" t="s">
        <v>335</v>
      </c>
    </row>
    <row r="6812" spans="1:8">
      <c r="A6812" s="34">
        <v>2084056497</v>
      </c>
      <c r="B6812" s="35" t="s">
        <v>462</v>
      </c>
      <c r="C6812" s="35" t="s">
        <v>405</v>
      </c>
      <c r="D6812" s="35" t="s">
        <v>1378</v>
      </c>
      <c r="E6812" s="35" t="s">
        <v>1389</v>
      </c>
      <c r="F6812" s="35" t="s">
        <v>390</v>
      </c>
      <c r="G6812" s="35" t="s">
        <v>10</v>
      </c>
      <c r="H6812" s="35" t="s">
        <v>397</v>
      </c>
    </row>
    <row r="6813" spans="1:8">
      <c r="A6813" s="34">
        <v>2084056496</v>
      </c>
      <c r="B6813" s="35" t="s">
        <v>462</v>
      </c>
      <c r="C6813" s="35" t="s">
        <v>405</v>
      </c>
      <c r="D6813" s="35" t="s">
        <v>1378</v>
      </c>
      <c r="E6813" s="35" t="s">
        <v>1389</v>
      </c>
      <c r="F6813" s="35" t="s">
        <v>390</v>
      </c>
      <c r="G6813" s="35" t="s">
        <v>10</v>
      </c>
      <c r="H6813" s="35" t="s">
        <v>421</v>
      </c>
    </row>
    <row r="6814" spans="1:8">
      <c r="A6814" s="34">
        <v>2084056495</v>
      </c>
      <c r="B6814" s="35" t="s">
        <v>462</v>
      </c>
      <c r="C6814" s="35" t="s">
        <v>405</v>
      </c>
      <c r="D6814" s="35" t="s">
        <v>1378</v>
      </c>
      <c r="E6814" s="35" t="s">
        <v>1389</v>
      </c>
      <c r="F6814" s="35" t="s">
        <v>390</v>
      </c>
      <c r="G6814" s="35" t="s">
        <v>10</v>
      </c>
      <c r="H6814" s="35" t="s">
        <v>398</v>
      </c>
    </row>
    <row r="6815" spans="1:8">
      <c r="A6815" s="34">
        <v>2084056494</v>
      </c>
      <c r="B6815" s="35" t="s">
        <v>462</v>
      </c>
      <c r="C6815" s="35" t="s">
        <v>405</v>
      </c>
      <c r="D6815" s="35" t="s">
        <v>1378</v>
      </c>
      <c r="E6815" s="35" t="s">
        <v>1389</v>
      </c>
      <c r="F6815" s="35" t="s">
        <v>390</v>
      </c>
      <c r="G6815" s="35" t="s">
        <v>10</v>
      </c>
      <c r="H6815" s="35" t="s">
        <v>422</v>
      </c>
    </row>
    <row r="6816" spans="1:8">
      <c r="A6816" s="34">
        <v>2084056537</v>
      </c>
      <c r="B6816" s="35" t="s">
        <v>462</v>
      </c>
      <c r="C6816" s="35" t="s">
        <v>405</v>
      </c>
      <c r="D6816" s="35" t="s">
        <v>1378</v>
      </c>
      <c r="E6816" s="35" t="s">
        <v>1389</v>
      </c>
      <c r="F6816" s="35" t="s">
        <v>390</v>
      </c>
      <c r="G6816" s="35" t="s">
        <v>379</v>
      </c>
      <c r="H6816" s="35" t="s">
        <v>476</v>
      </c>
    </row>
    <row r="6817" spans="1:8">
      <c r="A6817" s="34">
        <v>2084056538</v>
      </c>
      <c r="B6817" s="35" t="s">
        <v>462</v>
      </c>
      <c r="C6817" s="35" t="s">
        <v>405</v>
      </c>
      <c r="D6817" s="35" t="s">
        <v>1378</v>
      </c>
      <c r="E6817" s="35" t="s">
        <v>1389</v>
      </c>
      <c r="F6817" s="35" t="s">
        <v>390</v>
      </c>
      <c r="G6817" s="35" t="s">
        <v>379</v>
      </c>
      <c r="H6817" s="35" t="s">
        <v>335</v>
      </c>
    </row>
    <row r="6818" spans="1:8">
      <c r="A6818" s="34">
        <v>2084056500</v>
      </c>
      <c r="B6818" s="35" t="s">
        <v>462</v>
      </c>
      <c r="C6818" s="35" t="s">
        <v>405</v>
      </c>
      <c r="D6818" s="35" t="s">
        <v>1378</v>
      </c>
      <c r="E6818" s="35" t="s">
        <v>1389</v>
      </c>
      <c r="F6818" s="35" t="s">
        <v>390</v>
      </c>
      <c r="G6818" s="35" t="s">
        <v>335</v>
      </c>
    </row>
    <row r="6819" spans="1:8">
      <c r="A6819" s="34">
        <v>2084056491</v>
      </c>
      <c r="B6819" s="35" t="s">
        <v>462</v>
      </c>
      <c r="C6819" s="35" t="s">
        <v>405</v>
      </c>
      <c r="D6819" s="35" t="s">
        <v>1378</v>
      </c>
      <c r="E6819" s="35" t="s">
        <v>1389</v>
      </c>
      <c r="F6819" s="35" t="s">
        <v>353</v>
      </c>
      <c r="G6819" s="35" t="s">
        <v>335</v>
      </c>
    </row>
    <row r="6820" spans="1:8">
      <c r="A6820" s="34">
        <v>2084056483</v>
      </c>
      <c r="B6820" s="35" t="s">
        <v>462</v>
      </c>
      <c r="C6820" s="35" t="s">
        <v>405</v>
      </c>
      <c r="D6820" s="35" t="s">
        <v>1378</v>
      </c>
      <c r="E6820" s="35" t="s">
        <v>1389</v>
      </c>
      <c r="F6820" s="35" t="s">
        <v>353</v>
      </c>
      <c r="G6820" s="35" t="s">
        <v>401</v>
      </c>
    </row>
    <row r="6821" spans="1:8">
      <c r="A6821" s="34">
        <v>2084056488</v>
      </c>
      <c r="B6821" s="35" t="s">
        <v>462</v>
      </c>
      <c r="C6821" s="35" t="s">
        <v>405</v>
      </c>
      <c r="D6821" s="35" t="s">
        <v>1378</v>
      </c>
      <c r="E6821" s="35" t="s">
        <v>1389</v>
      </c>
      <c r="F6821" s="35" t="s">
        <v>353</v>
      </c>
      <c r="G6821" s="35" t="s">
        <v>10</v>
      </c>
      <c r="H6821" s="35" t="s">
        <v>397</v>
      </c>
    </row>
    <row r="6822" spans="1:8">
      <c r="A6822" s="34">
        <v>2084056487</v>
      </c>
      <c r="B6822" s="35" t="s">
        <v>462</v>
      </c>
      <c r="C6822" s="35" t="s">
        <v>405</v>
      </c>
      <c r="D6822" s="35" t="s">
        <v>1378</v>
      </c>
      <c r="E6822" s="35" t="s">
        <v>1389</v>
      </c>
      <c r="F6822" s="35" t="s">
        <v>353</v>
      </c>
      <c r="G6822" s="35" t="s">
        <v>10</v>
      </c>
      <c r="H6822" s="35" t="s">
        <v>421</v>
      </c>
    </row>
    <row r="6823" spans="1:8">
      <c r="A6823" s="34">
        <v>2084056486</v>
      </c>
      <c r="B6823" s="35" t="s">
        <v>462</v>
      </c>
      <c r="C6823" s="35" t="s">
        <v>405</v>
      </c>
      <c r="D6823" s="35" t="s">
        <v>1378</v>
      </c>
      <c r="E6823" s="35" t="s">
        <v>1389</v>
      </c>
      <c r="F6823" s="35" t="s">
        <v>353</v>
      </c>
      <c r="G6823" s="35" t="s">
        <v>10</v>
      </c>
      <c r="H6823" s="35" t="s">
        <v>398</v>
      </c>
    </row>
    <row r="6824" spans="1:8">
      <c r="A6824" s="34">
        <v>2084056485</v>
      </c>
      <c r="B6824" s="35" t="s">
        <v>462</v>
      </c>
      <c r="C6824" s="35" t="s">
        <v>405</v>
      </c>
      <c r="D6824" s="35" t="s">
        <v>1378</v>
      </c>
      <c r="E6824" s="35" t="s">
        <v>1389</v>
      </c>
      <c r="F6824" s="35" t="s">
        <v>353</v>
      </c>
      <c r="G6824" s="35" t="s">
        <v>10</v>
      </c>
      <c r="H6824" s="35" t="s">
        <v>422</v>
      </c>
    </row>
    <row r="6825" spans="1:8">
      <c r="A6825" s="34">
        <v>2084056489</v>
      </c>
      <c r="B6825" s="35" t="s">
        <v>462</v>
      </c>
      <c r="C6825" s="35" t="s">
        <v>405</v>
      </c>
      <c r="D6825" s="35" t="s">
        <v>1378</v>
      </c>
      <c r="E6825" s="35" t="s">
        <v>1389</v>
      </c>
      <c r="F6825" s="35" t="s">
        <v>353</v>
      </c>
      <c r="G6825" s="35" t="s">
        <v>10</v>
      </c>
      <c r="H6825" s="35" t="s">
        <v>335</v>
      </c>
    </row>
    <row r="6826" spans="1:8">
      <c r="A6826" s="34">
        <v>2084056490</v>
      </c>
      <c r="B6826" s="35" t="s">
        <v>462</v>
      </c>
      <c r="C6826" s="35" t="s">
        <v>405</v>
      </c>
      <c r="D6826" s="35" t="s">
        <v>1378</v>
      </c>
      <c r="E6826" s="35" t="s">
        <v>1389</v>
      </c>
      <c r="F6826" s="35" t="s">
        <v>353</v>
      </c>
      <c r="G6826" s="35" t="s">
        <v>403</v>
      </c>
    </row>
    <row r="6827" spans="1:8">
      <c r="A6827" s="34">
        <v>2084056501</v>
      </c>
      <c r="B6827" s="35" t="s">
        <v>462</v>
      </c>
      <c r="C6827" s="35" t="s">
        <v>405</v>
      </c>
      <c r="D6827" s="35" t="s">
        <v>1378</v>
      </c>
      <c r="E6827" s="35" t="s">
        <v>1389</v>
      </c>
      <c r="F6827" s="35" t="s">
        <v>335</v>
      </c>
    </row>
    <row r="6828" spans="1:8">
      <c r="A6828" s="34">
        <v>2084230024</v>
      </c>
      <c r="B6828" s="35" t="s">
        <v>462</v>
      </c>
      <c r="C6828" s="35" t="s">
        <v>405</v>
      </c>
      <c r="D6828" s="35" t="s">
        <v>1378</v>
      </c>
      <c r="E6828" s="35" t="s">
        <v>1390</v>
      </c>
    </row>
    <row r="6829" spans="1:8">
      <c r="A6829" s="34">
        <v>2084024203</v>
      </c>
      <c r="B6829" s="35" t="s">
        <v>462</v>
      </c>
      <c r="C6829" s="35" t="s">
        <v>405</v>
      </c>
      <c r="D6829" s="35" t="s">
        <v>1378</v>
      </c>
      <c r="E6829" s="35" t="s">
        <v>1391</v>
      </c>
      <c r="F6829" s="35" t="s">
        <v>475</v>
      </c>
    </row>
    <row r="6830" spans="1:8">
      <c r="A6830" s="34">
        <v>2084062074</v>
      </c>
      <c r="B6830" s="35" t="s">
        <v>462</v>
      </c>
      <c r="C6830" s="35" t="s">
        <v>405</v>
      </c>
      <c r="D6830" s="35" t="s">
        <v>1378</v>
      </c>
      <c r="E6830" s="35" t="s">
        <v>1391</v>
      </c>
      <c r="F6830" s="35" t="s">
        <v>484</v>
      </c>
    </row>
    <row r="6831" spans="1:8">
      <c r="A6831" s="34">
        <v>2084051222</v>
      </c>
      <c r="B6831" s="35" t="s">
        <v>462</v>
      </c>
      <c r="C6831" s="35" t="s">
        <v>405</v>
      </c>
      <c r="D6831" s="35" t="s">
        <v>1378</v>
      </c>
      <c r="E6831" s="35" t="s">
        <v>1391</v>
      </c>
      <c r="F6831" s="35" t="s">
        <v>390</v>
      </c>
      <c r="G6831" s="35" t="s">
        <v>368</v>
      </c>
      <c r="H6831" s="35" t="s">
        <v>481</v>
      </c>
    </row>
    <row r="6832" spans="1:8">
      <c r="A6832" s="34">
        <v>2084051223</v>
      </c>
      <c r="B6832" s="35" t="s">
        <v>462</v>
      </c>
      <c r="C6832" s="35" t="s">
        <v>405</v>
      </c>
      <c r="D6832" s="35" t="s">
        <v>1378</v>
      </c>
      <c r="E6832" s="35" t="s">
        <v>1391</v>
      </c>
      <c r="F6832" s="35" t="s">
        <v>390</v>
      </c>
      <c r="G6832" s="35" t="s">
        <v>368</v>
      </c>
      <c r="H6832" s="35" t="s">
        <v>335</v>
      </c>
    </row>
    <row r="6833" spans="1:8">
      <c r="A6833" s="34">
        <v>2084051226</v>
      </c>
      <c r="B6833" s="35" t="s">
        <v>462</v>
      </c>
      <c r="C6833" s="35" t="s">
        <v>405</v>
      </c>
      <c r="D6833" s="35" t="s">
        <v>1378</v>
      </c>
      <c r="E6833" s="35" t="s">
        <v>1391</v>
      </c>
      <c r="F6833" s="35" t="s">
        <v>390</v>
      </c>
      <c r="G6833" s="35" t="s">
        <v>10</v>
      </c>
      <c r="H6833" s="35" t="s">
        <v>397</v>
      </c>
    </row>
    <row r="6834" spans="1:8">
      <c r="A6834" s="34">
        <v>2084051225</v>
      </c>
      <c r="B6834" s="35" t="s">
        <v>462</v>
      </c>
      <c r="C6834" s="35" t="s">
        <v>405</v>
      </c>
      <c r="D6834" s="35" t="s">
        <v>1378</v>
      </c>
      <c r="E6834" s="35" t="s">
        <v>1391</v>
      </c>
      <c r="F6834" s="35" t="s">
        <v>390</v>
      </c>
      <c r="G6834" s="35" t="s">
        <v>10</v>
      </c>
      <c r="H6834" s="35" t="s">
        <v>398</v>
      </c>
    </row>
    <row r="6835" spans="1:8">
      <c r="A6835" s="34">
        <v>2084051227</v>
      </c>
      <c r="B6835" s="35" t="s">
        <v>462</v>
      </c>
      <c r="C6835" s="35" t="s">
        <v>405</v>
      </c>
      <c r="D6835" s="35" t="s">
        <v>1378</v>
      </c>
      <c r="E6835" s="35" t="s">
        <v>1391</v>
      </c>
      <c r="F6835" s="35" t="s">
        <v>390</v>
      </c>
      <c r="G6835" s="35" t="s">
        <v>10</v>
      </c>
      <c r="H6835" s="35" t="s">
        <v>335</v>
      </c>
    </row>
    <row r="6836" spans="1:8">
      <c r="A6836" s="34">
        <v>2084051229</v>
      </c>
      <c r="B6836" s="35" t="s">
        <v>462</v>
      </c>
      <c r="C6836" s="35" t="s">
        <v>405</v>
      </c>
      <c r="D6836" s="35" t="s">
        <v>1378</v>
      </c>
      <c r="E6836" s="35" t="s">
        <v>1391</v>
      </c>
      <c r="F6836" s="35" t="s">
        <v>390</v>
      </c>
      <c r="G6836" s="35" t="s">
        <v>379</v>
      </c>
      <c r="H6836" s="35" t="s">
        <v>476</v>
      </c>
    </row>
    <row r="6837" spans="1:8">
      <c r="A6837" s="34">
        <v>2084051230</v>
      </c>
      <c r="B6837" s="35" t="s">
        <v>462</v>
      </c>
      <c r="C6837" s="35" t="s">
        <v>405</v>
      </c>
      <c r="D6837" s="35" t="s">
        <v>1378</v>
      </c>
      <c r="E6837" s="35" t="s">
        <v>1391</v>
      </c>
      <c r="F6837" s="35" t="s">
        <v>390</v>
      </c>
      <c r="G6837" s="35" t="s">
        <v>379</v>
      </c>
      <c r="H6837" s="35" t="s">
        <v>335</v>
      </c>
    </row>
    <row r="6838" spans="1:8">
      <c r="A6838" s="34">
        <v>2084051220</v>
      </c>
      <c r="B6838" s="35" t="s">
        <v>462</v>
      </c>
      <c r="C6838" s="35" t="s">
        <v>405</v>
      </c>
      <c r="D6838" s="35" t="s">
        <v>1378</v>
      </c>
      <c r="E6838" s="35" t="s">
        <v>1391</v>
      </c>
      <c r="F6838" s="35" t="s">
        <v>390</v>
      </c>
      <c r="G6838" s="35" t="s">
        <v>335</v>
      </c>
    </row>
    <row r="6839" spans="1:8">
      <c r="A6839" s="34">
        <v>2084230543</v>
      </c>
      <c r="B6839" s="35" t="s">
        <v>462</v>
      </c>
      <c r="C6839" s="35" t="s">
        <v>405</v>
      </c>
      <c r="D6839" s="35" t="s">
        <v>1378</v>
      </c>
      <c r="E6839" s="35" t="s">
        <v>1391</v>
      </c>
      <c r="F6839" s="35" t="s">
        <v>408</v>
      </c>
    </row>
    <row r="6840" spans="1:8">
      <c r="A6840" s="34">
        <v>2084025222</v>
      </c>
      <c r="B6840" s="35" t="s">
        <v>462</v>
      </c>
      <c r="C6840" s="35" t="s">
        <v>405</v>
      </c>
      <c r="D6840" s="35" t="s">
        <v>1378</v>
      </c>
      <c r="E6840" s="35" t="s">
        <v>1391</v>
      </c>
      <c r="F6840" s="35" t="s">
        <v>442</v>
      </c>
      <c r="G6840" s="35" t="s">
        <v>538</v>
      </c>
    </row>
    <row r="6841" spans="1:8">
      <c r="A6841" s="34">
        <v>2084051218</v>
      </c>
      <c r="B6841" s="35" t="s">
        <v>462</v>
      </c>
      <c r="C6841" s="35" t="s">
        <v>405</v>
      </c>
      <c r="D6841" s="35" t="s">
        <v>1378</v>
      </c>
      <c r="E6841" s="35" t="s">
        <v>1391</v>
      </c>
      <c r="F6841" s="35" t="s">
        <v>442</v>
      </c>
      <c r="G6841" s="35" t="s">
        <v>335</v>
      </c>
    </row>
    <row r="6842" spans="1:8">
      <c r="A6842" s="34">
        <v>2084048698</v>
      </c>
      <c r="B6842" s="35" t="s">
        <v>462</v>
      </c>
      <c r="C6842" s="35" t="s">
        <v>405</v>
      </c>
      <c r="D6842" s="35" t="s">
        <v>1378</v>
      </c>
      <c r="E6842" s="35" t="s">
        <v>1391</v>
      </c>
      <c r="F6842" s="35" t="s">
        <v>335</v>
      </c>
    </row>
    <row r="6843" spans="1:8">
      <c r="A6843" s="34">
        <v>2084050322</v>
      </c>
      <c r="B6843" s="35" t="s">
        <v>462</v>
      </c>
      <c r="C6843" s="35" t="s">
        <v>405</v>
      </c>
      <c r="D6843" s="35" t="s">
        <v>1378</v>
      </c>
      <c r="E6843" s="35" t="s">
        <v>1392</v>
      </c>
    </row>
    <row r="6844" spans="1:8">
      <c r="A6844" s="34">
        <v>2084055521</v>
      </c>
      <c r="B6844" s="35" t="s">
        <v>462</v>
      </c>
      <c r="C6844" s="35" t="s">
        <v>405</v>
      </c>
      <c r="D6844" s="35" t="s">
        <v>1378</v>
      </c>
      <c r="E6844" s="35" t="s">
        <v>1393</v>
      </c>
      <c r="F6844" s="35" t="s">
        <v>367</v>
      </c>
    </row>
    <row r="6845" spans="1:8">
      <c r="A6845" s="34">
        <v>2084055523</v>
      </c>
      <c r="B6845" s="35" t="s">
        <v>462</v>
      </c>
      <c r="C6845" s="35" t="s">
        <v>405</v>
      </c>
      <c r="D6845" s="35" t="s">
        <v>1378</v>
      </c>
      <c r="E6845" s="35" t="s">
        <v>1393</v>
      </c>
      <c r="F6845" s="35" t="s">
        <v>368</v>
      </c>
      <c r="G6845" s="35" t="s">
        <v>481</v>
      </c>
    </row>
    <row r="6846" spans="1:8">
      <c r="A6846" s="34">
        <v>2084055524</v>
      </c>
      <c r="B6846" s="35" t="s">
        <v>462</v>
      </c>
      <c r="C6846" s="35" t="s">
        <v>405</v>
      </c>
      <c r="D6846" s="35" t="s">
        <v>1378</v>
      </c>
      <c r="E6846" s="35" t="s">
        <v>1393</v>
      </c>
      <c r="F6846" s="35" t="s">
        <v>368</v>
      </c>
      <c r="G6846" s="35" t="s">
        <v>335</v>
      </c>
    </row>
    <row r="6847" spans="1:8">
      <c r="A6847" s="34">
        <v>2084055530</v>
      </c>
      <c r="B6847" s="35" t="s">
        <v>462</v>
      </c>
      <c r="C6847" s="35" t="s">
        <v>405</v>
      </c>
      <c r="D6847" s="35" t="s">
        <v>1378</v>
      </c>
      <c r="E6847" s="35" t="s">
        <v>1393</v>
      </c>
      <c r="F6847" s="35" t="s">
        <v>10</v>
      </c>
      <c r="G6847" s="35" t="s">
        <v>483</v>
      </c>
    </row>
    <row r="6848" spans="1:8">
      <c r="A6848" s="34">
        <v>2084055527</v>
      </c>
      <c r="B6848" s="35" t="s">
        <v>462</v>
      </c>
      <c r="C6848" s="35" t="s">
        <v>405</v>
      </c>
      <c r="D6848" s="35" t="s">
        <v>1378</v>
      </c>
      <c r="E6848" s="35" t="s">
        <v>1393</v>
      </c>
      <c r="F6848" s="35" t="s">
        <v>10</v>
      </c>
      <c r="G6848" s="35" t="s">
        <v>397</v>
      </c>
    </row>
    <row r="6849" spans="1:7">
      <c r="A6849" s="34">
        <v>2084055529</v>
      </c>
      <c r="B6849" s="35" t="s">
        <v>462</v>
      </c>
      <c r="C6849" s="35" t="s">
        <v>405</v>
      </c>
      <c r="D6849" s="35" t="s">
        <v>1378</v>
      </c>
      <c r="E6849" s="35" t="s">
        <v>1393</v>
      </c>
      <c r="F6849" s="35" t="s">
        <v>10</v>
      </c>
      <c r="G6849" s="35" t="s">
        <v>421</v>
      </c>
    </row>
    <row r="6850" spans="1:7">
      <c r="A6850" s="34">
        <v>2084055526</v>
      </c>
      <c r="B6850" s="35" t="s">
        <v>462</v>
      </c>
      <c r="C6850" s="35" t="s">
        <v>405</v>
      </c>
      <c r="D6850" s="35" t="s">
        <v>1378</v>
      </c>
      <c r="E6850" s="35" t="s">
        <v>1393</v>
      </c>
      <c r="F6850" s="35" t="s">
        <v>10</v>
      </c>
      <c r="G6850" s="35" t="s">
        <v>398</v>
      </c>
    </row>
    <row r="6851" spans="1:7">
      <c r="A6851" s="34">
        <v>2084055528</v>
      </c>
      <c r="B6851" s="35" t="s">
        <v>462</v>
      </c>
      <c r="C6851" s="35" t="s">
        <v>405</v>
      </c>
      <c r="D6851" s="35" t="s">
        <v>1378</v>
      </c>
      <c r="E6851" s="35" t="s">
        <v>1393</v>
      </c>
      <c r="F6851" s="35" t="s">
        <v>10</v>
      </c>
      <c r="G6851" s="35" t="s">
        <v>422</v>
      </c>
    </row>
    <row r="6852" spans="1:7">
      <c r="A6852" s="34">
        <v>2084055531</v>
      </c>
      <c r="B6852" s="35" t="s">
        <v>462</v>
      </c>
      <c r="C6852" s="35" t="s">
        <v>405</v>
      </c>
      <c r="D6852" s="35" t="s">
        <v>1378</v>
      </c>
      <c r="E6852" s="35" t="s">
        <v>1393</v>
      </c>
      <c r="F6852" s="35" t="s">
        <v>10</v>
      </c>
      <c r="G6852" s="35" t="s">
        <v>335</v>
      </c>
    </row>
    <row r="6853" spans="1:7">
      <c r="A6853" s="34">
        <v>2084055533</v>
      </c>
      <c r="B6853" s="35" t="s">
        <v>462</v>
      </c>
      <c r="C6853" s="35" t="s">
        <v>405</v>
      </c>
      <c r="D6853" s="35" t="s">
        <v>1378</v>
      </c>
      <c r="E6853" s="35" t="s">
        <v>1393</v>
      </c>
      <c r="F6853" s="35" t="s">
        <v>379</v>
      </c>
      <c r="G6853" s="35" t="s">
        <v>476</v>
      </c>
    </row>
    <row r="6854" spans="1:7">
      <c r="A6854" s="34">
        <v>2084055534</v>
      </c>
      <c r="B6854" s="35" t="s">
        <v>462</v>
      </c>
      <c r="C6854" s="35" t="s">
        <v>405</v>
      </c>
      <c r="D6854" s="35" t="s">
        <v>1378</v>
      </c>
      <c r="E6854" s="35" t="s">
        <v>1393</v>
      </c>
      <c r="F6854" s="35" t="s">
        <v>379</v>
      </c>
      <c r="G6854" s="35" t="s">
        <v>335</v>
      </c>
    </row>
    <row r="6855" spans="1:7">
      <c r="A6855" s="34">
        <v>2084061683</v>
      </c>
      <c r="B6855" s="35" t="s">
        <v>462</v>
      </c>
      <c r="C6855" s="35" t="s">
        <v>405</v>
      </c>
      <c r="D6855" s="35" t="s">
        <v>1378</v>
      </c>
      <c r="E6855" s="35" t="s">
        <v>1393</v>
      </c>
      <c r="F6855" s="35" t="s">
        <v>478</v>
      </c>
    </row>
    <row r="6856" spans="1:7">
      <c r="A6856" s="34">
        <v>2084055535</v>
      </c>
      <c r="B6856" s="35" t="s">
        <v>462</v>
      </c>
      <c r="C6856" s="35" t="s">
        <v>405</v>
      </c>
      <c r="D6856" s="35" t="s">
        <v>1378</v>
      </c>
      <c r="E6856" s="35" t="s">
        <v>1393</v>
      </c>
      <c r="F6856" s="35" t="s">
        <v>335</v>
      </c>
    </row>
    <row r="6857" spans="1:7">
      <c r="A6857" s="34">
        <v>2084230025</v>
      </c>
      <c r="B6857" s="35" t="s">
        <v>462</v>
      </c>
      <c r="C6857" s="35" t="s">
        <v>405</v>
      </c>
      <c r="D6857" s="35" t="s">
        <v>1378</v>
      </c>
      <c r="E6857" s="35" t="s">
        <v>1394</v>
      </c>
    </row>
    <row r="6858" spans="1:7">
      <c r="A6858" s="34">
        <v>2084030685</v>
      </c>
      <c r="B6858" s="35" t="s">
        <v>462</v>
      </c>
      <c r="C6858" s="35" t="s">
        <v>405</v>
      </c>
      <c r="D6858" s="35" t="s">
        <v>1378</v>
      </c>
      <c r="E6858" s="35" t="s">
        <v>1395</v>
      </c>
      <c r="F6858" s="35" t="s">
        <v>481</v>
      </c>
    </row>
    <row r="6859" spans="1:7">
      <c r="A6859" s="34">
        <v>2084031472</v>
      </c>
      <c r="B6859" s="35" t="s">
        <v>462</v>
      </c>
      <c r="C6859" s="35" t="s">
        <v>405</v>
      </c>
      <c r="D6859" s="35" t="s">
        <v>1378</v>
      </c>
      <c r="E6859" s="35" t="s">
        <v>1395</v>
      </c>
      <c r="F6859" s="35" t="s">
        <v>482</v>
      </c>
    </row>
    <row r="6860" spans="1:7">
      <c r="A6860" s="34">
        <v>2084031595</v>
      </c>
      <c r="B6860" s="35" t="s">
        <v>462</v>
      </c>
      <c r="C6860" s="35" t="s">
        <v>405</v>
      </c>
      <c r="D6860" s="35" t="s">
        <v>1378</v>
      </c>
      <c r="E6860" s="35" t="s">
        <v>1395</v>
      </c>
      <c r="F6860" s="35" t="s">
        <v>483</v>
      </c>
    </row>
    <row r="6861" spans="1:7">
      <c r="A6861" s="34">
        <v>2084030248</v>
      </c>
      <c r="B6861" s="35" t="s">
        <v>462</v>
      </c>
      <c r="C6861" s="35" t="s">
        <v>405</v>
      </c>
      <c r="D6861" s="35" t="s">
        <v>1378</v>
      </c>
      <c r="E6861" s="35" t="s">
        <v>1395</v>
      </c>
      <c r="F6861" s="35" t="s">
        <v>493</v>
      </c>
    </row>
    <row r="6862" spans="1:7">
      <c r="A6862" s="34">
        <v>2084031383</v>
      </c>
      <c r="B6862" s="35" t="s">
        <v>462</v>
      </c>
      <c r="C6862" s="35" t="s">
        <v>405</v>
      </c>
      <c r="D6862" s="35" t="s">
        <v>1378</v>
      </c>
      <c r="E6862" s="35" t="s">
        <v>1395</v>
      </c>
      <c r="F6862" s="35" t="s">
        <v>494</v>
      </c>
    </row>
    <row r="6863" spans="1:7">
      <c r="A6863" s="34">
        <v>2084031531</v>
      </c>
      <c r="B6863" s="35" t="s">
        <v>462</v>
      </c>
      <c r="C6863" s="35" t="s">
        <v>405</v>
      </c>
      <c r="D6863" s="35" t="s">
        <v>1378</v>
      </c>
      <c r="E6863" s="35" t="s">
        <v>1395</v>
      </c>
      <c r="F6863" s="35" t="s">
        <v>397</v>
      </c>
    </row>
    <row r="6864" spans="1:7">
      <c r="A6864" s="34">
        <v>2084030394</v>
      </c>
      <c r="B6864" s="35" t="s">
        <v>462</v>
      </c>
      <c r="C6864" s="35" t="s">
        <v>405</v>
      </c>
      <c r="D6864" s="35" t="s">
        <v>1378</v>
      </c>
      <c r="E6864" s="35" t="s">
        <v>1395</v>
      </c>
      <c r="F6864" s="35" t="s">
        <v>421</v>
      </c>
    </row>
    <row r="6865" spans="1:8">
      <c r="A6865" s="34">
        <v>2084031559</v>
      </c>
      <c r="B6865" s="35" t="s">
        <v>462</v>
      </c>
      <c r="C6865" s="35" t="s">
        <v>405</v>
      </c>
      <c r="D6865" s="35" t="s">
        <v>1378</v>
      </c>
      <c r="E6865" s="35" t="s">
        <v>1395</v>
      </c>
      <c r="F6865" s="35" t="s">
        <v>398</v>
      </c>
    </row>
    <row r="6866" spans="1:8">
      <c r="A6866" s="34">
        <v>2084030333</v>
      </c>
      <c r="B6866" s="35" t="s">
        <v>462</v>
      </c>
      <c r="C6866" s="35" t="s">
        <v>405</v>
      </c>
      <c r="D6866" s="35" t="s">
        <v>1378</v>
      </c>
      <c r="E6866" s="35" t="s">
        <v>1395</v>
      </c>
      <c r="F6866" s="35" t="s">
        <v>422</v>
      </c>
    </row>
    <row r="6867" spans="1:8">
      <c r="A6867" s="34">
        <v>2084051231</v>
      </c>
      <c r="B6867" s="35" t="s">
        <v>462</v>
      </c>
      <c r="C6867" s="35" t="s">
        <v>405</v>
      </c>
      <c r="D6867" s="35" t="s">
        <v>1378</v>
      </c>
      <c r="E6867" s="35" t="s">
        <v>1395</v>
      </c>
      <c r="F6867" s="35" t="s">
        <v>403</v>
      </c>
    </row>
    <row r="6868" spans="1:8">
      <c r="A6868" s="34">
        <v>2084048701</v>
      </c>
      <c r="B6868" s="35" t="s">
        <v>462</v>
      </c>
      <c r="C6868" s="35" t="s">
        <v>405</v>
      </c>
      <c r="D6868" s="35" t="s">
        <v>1378</v>
      </c>
      <c r="E6868" s="35" t="s">
        <v>1395</v>
      </c>
      <c r="F6868" s="35" t="s">
        <v>335</v>
      </c>
    </row>
    <row r="6869" spans="1:8">
      <c r="A6869" s="34">
        <v>2084055448</v>
      </c>
      <c r="B6869" s="35" t="s">
        <v>462</v>
      </c>
      <c r="C6869" s="35" t="s">
        <v>405</v>
      </c>
      <c r="D6869" s="35" t="s">
        <v>1396</v>
      </c>
      <c r="E6869" s="35" t="s">
        <v>1397</v>
      </c>
      <c r="F6869" s="35" t="s">
        <v>390</v>
      </c>
      <c r="G6869" s="35" t="s">
        <v>367</v>
      </c>
    </row>
    <row r="6870" spans="1:8">
      <c r="A6870" s="34">
        <v>2084055450</v>
      </c>
      <c r="B6870" s="35" t="s">
        <v>462</v>
      </c>
      <c r="C6870" s="35" t="s">
        <v>405</v>
      </c>
      <c r="D6870" s="35" t="s">
        <v>1396</v>
      </c>
      <c r="E6870" s="35" t="s">
        <v>1397</v>
      </c>
      <c r="F6870" s="35" t="s">
        <v>390</v>
      </c>
      <c r="G6870" s="35" t="s">
        <v>368</v>
      </c>
      <c r="H6870" s="35" t="s">
        <v>481</v>
      </c>
    </row>
    <row r="6871" spans="1:8">
      <c r="A6871" s="34">
        <v>2084055451</v>
      </c>
      <c r="B6871" s="35" t="s">
        <v>462</v>
      </c>
      <c r="C6871" s="35" t="s">
        <v>405</v>
      </c>
      <c r="D6871" s="35" t="s">
        <v>1396</v>
      </c>
      <c r="E6871" s="35" t="s">
        <v>1397</v>
      </c>
      <c r="F6871" s="35" t="s">
        <v>390</v>
      </c>
      <c r="G6871" s="35" t="s">
        <v>368</v>
      </c>
      <c r="H6871" s="35" t="s">
        <v>335</v>
      </c>
    </row>
    <row r="6872" spans="1:8">
      <c r="A6872" s="34">
        <v>2084055453</v>
      </c>
      <c r="B6872" s="35" t="s">
        <v>462</v>
      </c>
      <c r="C6872" s="35" t="s">
        <v>405</v>
      </c>
      <c r="D6872" s="35" t="s">
        <v>1396</v>
      </c>
      <c r="E6872" s="35" t="s">
        <v>1397</v>
      </c>
      <c r="F6872" s="35" t="s">
        <v>390</v>
      </c>
      <c r="G6872" s="35" t="s">
        <v>10</v>
      </c>
      <c r="H6872" s="35" t="s">
        <v>483</v>
      </c>
    </row>
    <row r="6873" spans="1:8">
      <c r="A6873" s="34">
        <v>2084055457</v>
      </c>
      <c r="B6873" s="35" t="s">
        <v>462</v>
      </c>
      <c r="C6873" s="35" t="s">
        <v>405</v>
      </c>
      <c r="D6873" s="35" t="s">
        <v>1396</v>
      </c>
      <c r="E6873" s="35" t="s">
        <v>1397</v>
      </c>
      <c r="F6873" s="35" t="s">
        <v>390</v>
      </c>
      <c r="G6873" s="35" t="s">
        <v>10</v>
      </c>
      <c r="H6873" s="35" t="s">
        <v>397</v>
      </c>
    </row>
    <row r="6874" spans="1:8">
      <c r="A6874" s="34">
        <v>2084055456</v>
      </c>
      <c r="B6874" s="35" t="s">
        <v>462</v>
      </c>
      <c r="C6874" s="35" t="s">
        <v>405</v>
      </c>
      <c r="D6874" s="35" t="s">
        <v>1396</v>
      </c>
      <c r="E6874" s="35" t="s">
        <v>1397</v>
      </c>
      <c r="F6874" s="35" t="s">
        <v>390</v>
      </c>
      <c r="G6874" s="35" t="s">
        <v>10</v>
      </c>
      <c r="H6874" s="35" t="s">
        <v>421</v>
      </c>
    </row>
    <row r="6875" spans="1:8">
      <c r="A6875" s="34">
        <v>2084055455</v>
      </c>
      <c r="B6875" s="35" t="s">
        <v>462</v>
      </c>
      <c r="C6875" s="35" t="s">
        <v>405</v>
      </c>
      <c r="D6875" s="35" t="s">
        <v>1396</v>
      </c>
      <c r="E6875" s="35" t="s">
        <v>1397</v>
      </c>
      <c r="F6875" s="35" t="s">
        <v>390</v>
      </c>
      <c r="G6875" s="35" t="s">
        <v>10</v>
      </c>
      <c r="H6875" s="35" t="s">
        <v>398</v>
      </c>
    </row>
    <row r="6876" spans="1:8">
      <c r="A6876" s="34">
        <v>2084055454</v>
      </c>
      <c r="B6876" s="35" t="s">
        <v>462</v>
      </c>
      <c r="C6876" s="35" t="s">
        <v>405</v>
      </c>
      <c r="D6876" s="35" t="s">
        <v>1396</v>
      </c>
      <c r="E6876" s="35" t="s">
        <v>1397</v>
      </c>
      <c r="F6876" s="35" t="s">
        <v>390</v>
      </c>
      <c r="G6876" s="35" t="s">
        <v>10</v>
      </c>
      <c r="H6876" s="35" t="s">
        <v>422</v>
      </c>
    </row>
    <row r="6877" spans="1:8">
      <c r="A6877" s="34">
        <v>2084055458</v>
      </c>
      <c r="B6877" s="35" t="s">
        <v>462</v>
      </c>
      <c r="C6877" s="35" t="s">
        <v>405</v>
      </c>
      <c r="D6877" s="35" t="s">
        <v>1396</v>
      </c>
      <c r="E6877" s="35" t="s">
        <v>1397</v>
      </c>
      <c r="F6877" s="35" t="s">
        <v>390</v>
      </c>
      <c r="G6877" s="35" t="s">
        <v>10</v>
      </c>
      <c r="H6877" s="35" t="s">
        <v>335</v>
      </c>
    </row>
    <row r="6878" spans="1:8">
      <c r="A6878" s="34">
        <v>2084055460</v>
      </c>
      <c r="B6878" s="35" t="s">
        <v>462</v>
      </c>
      <c r="C6878" s="35" t="s">
        <v>405</v>
      </c>
      <c r="D6878" s="35" t="s">
        <v>1396</v>
      </c>
      <c r="E6878" s="35" t="s">
        <v>1397</v>
      </c>
      <c r="F6878" s="35" t="s">
        <v>390</v>
      </c>
      <c r="G6878" s="35" t="s">
        <v>379</v>
      </c>
      <c r="H6878" s="35" t="s">
        <v>476</v>
      </c>
    </row>
    <row r="6879" spans="1:8">
      <c r="A6879" s="34">
        <v>2084055461</v>
      </c>
      <c r="B6879" s="35" t="s">
        <v>462</v>
      </c>
      <c r="C6879" s="35" t="s">
        <v>405</v>
      </c>
      <c r="D6879" s="35" t="s">
        <v>1396</v>
      </c>
      <c r="E6879" s="35" t="s">
        <v>1397</v>
      </c>
      <c r="F6879" s="35" t="s">
        <v>390</v>
      </c>
      <c r="G6879" s="35" t="s">
        <v>379</v>
      </c>
      <c r="H6879" s="35" t="s">
        <v>335</v>
      </c>
    </row>
    <row r="6880" spans="1:8">
      <c r="A6880" s="34">
        <v>2084055742</v>
      </c>
      <c r="B6880" s="35" t="s">
        <v>462</v>
      </c>
      <c r="C6880" s="35" t="s">
        <v>405</v>
      </c>
      <c r="D6880" s="35" t="s">
        <v>1396</v>
      </c>
      <c r="E6880" s="35" t="s">
        <v>1397</v>
      </c>
      <c r="F6880" s="35" t="s">
        <v>390</v>
      </c>
      <c r="G6880" s="35" t="s">
        <v>335</v>
      </c>
    </row>
    <row r="6881" spans="1:8">
      <c r="A6881" s="34">
        <v>2084055435</v>
      </c>
      <c r="B6881" s="35" t="s">
        <v>462</v>
      </c>
      <c r="C6881" s="35" t="s">
        <v>405</v>
      </c>
      <c r="D6881" s="35" t="s">
        <v>1396</v>
      </c>
      <c r="E6881" s="35" t="s">
        <v>1397</v>
      </c>
      <c r="F6881" s="35" t="s">
        <v>353</v>
      </c>
      <c r="G6881" s="35" t="s">
        <v>367</v>
      </c>
    </row>
    <row r="6882" spans="1:8">
      <c r="A6882" s="34">
        <v>2084055437</v>
      </c>
      <c r="B6882" s="35" t="s">
        <v>462</v>
      </c>
      <c r="C6882" s="35" t="s">
        <v>405</v>
      </c>
      <c r="D6882" s="35" t="s">
        <v>1396</v>
      </c>
      <c r="E6882" s="35" t="s">
        <v>1397</v>
      </c>
      <c r="F6882" s="35" t="s">
        <v>353</v>
      </c>
      <c r="G6882" s="35" t="s">
        <v>368</v>
      </c>
      <c r="H6882" s="35" t="s">
        <v>481</v>
      </c>
    </row>
    <row r="6883" spans="1:8">
      <c r="A6883" s="34">
        <v>2084055438</v>
      </c>
      <c r="B6883" s="35" t="s">
        <v>462</v>
      </c>
      <c r="C6883" s="35" t="s">
        <v>405</v>
      </c>
      <c r="D6883" s="35" t="s">
        <v>1396</v>
      </c>
      <c r="E6883" s="35" t="s">
        <v>1397</v>
      </c>
      <c r="F6883" s="35" t="s">
        <v>353</v>
      </c>
      <c r="G6883" s="35" t="s">
        <v>368</v>
      </c>
      <c r="H6883" s="35" t="s">
        <v>335</v>
      </c>
    </row>
    <row r="6884" spans="1:8">
      <c r="A6884" s="34">
        <v>2084055444</v>
      </c>
      <c r="B6884" s="35" t="s">
        <v>462</v>
      </c>
      <c r="C6884" s="35" t="s">
        <v>405</v>
      </c>
      <c r="D6884" s="35" t="s">
        <v>1396</v>
      </c>
      <c r="E6884" s="35" t="s">
        <v>1397</v>
      </c>
      <c r="F6884" s="35" t="s">
        <v>353</v>
      </c>
      <c r="G6884" s="35" t="s">
        <v>10</v>
      </c>
      <c r="H6884" s="35" t="s">
        <v>483</v>
      </c>
    </row>
    <row r="6885" spans="1:8">
      <c r="A6885" s="34">
        <v>2084055441</v>
      </c>
      <c r="B6885" s="35" t="s">
        <v>462</v>
      </c>
      <c r="C6885" s="35" t="s">
        <v>405</v>
      </c>
      <c r="D6885" s="35" t="s">
        <v>1396</v>
      </c>
      <c r="E6885" s="35" t="s">
        <v>1397</v>
      </c>
      <c r="F6885" s="35" t="s">
        <v>353</v>
      </c>
      <c r="G6885" s="35" t="s">
        <v>10</v>
      </c>
      <c r="H6885" s="35" t="s">
        <v>397</v>
      </c>
    </row>
    <row r="6886" spans="1:8">
      <c r="A6886" s="34">
        <v>2084055440</v>
      </c>
      <c r="B6886" s="35" t="s">
        <v>462</v>
      </c>
      <c r="C6886" s="35" t="s">
        <v>405</v>
      </c>
      <c r="D6886" s="35" t="s">
        <v>1396</v>
      </c>
      <c r="E6886" s="35" t="s">
        <v>1397</v>
      </c>
      <c r="F6886" s="35" t="s">
        <v>353</v>
      </c>
      <c r="G6886" s="35" t="s">
        <v>10</v>
      </c>
      <c r="H6886" s="35" t="s">
        <v>421</v>
      </c>
    </row>
    <row r="6887" spans="1:8">
      <c r="A6887" s="34">
        <v>2084055443</v>
      </c>
      <c r="B6887" s="35" t="s">
        <v>462</v>
      </c>
      <c r="C6887" s="35" t="s">
        <v>405</v>
      </c>
      <c r="D6887" s="35" t="s">
        <v>1396</v>
      </c>
      <c r="E6887" s="35" t="s">
        <v>1397</v>
      </c>
      <c r="F6887" s="35" t="s">
        <v>353</v>
      </c>
      <c r="G6887" s="35" t="s">
        <v>10</v>
      </c>
      <c r="H6887" s="35" t="s">
        <v>398</v>
      </c>
    </row>
    <row r="6888" spans="1:8">
      <c r="A6888" s="34">
        <v>2084055442</v>
      </c>
      <c r="B6888" s="35" t="s">
        <v>462</v>
      </c>
      <c r="C6888" s="35" t="s">
        <v>405</v>
      </c>
      <c r="D6888" s="35" t="s">
        <v>1396</v>
      </c>
      <c r="E6888" s="35" t="s">
        <v>1397</v>
      </c>
      <c r="F6888" s="35" t="s">
        <v>353</v>
      </c>
      <c r="G6888" s="35" t="s">
        <v>10</v>
      </c>
      <c r="H6888" s="35" t="s">
        <v>422</v>
      </c>
    </row>
    <row r="6889" spans="1:8">
      <c r="A6889" s="34">
        <v>2084055445</v>
      </c>
      <c r="B6889" s="35" t="s">
        <v>462</v>
      </c>
      <c r="C6889" s="35" t="s">
        <v>405</v>
      </c>
      <c r="D6889" s="35" t="s">
        <v>1396</v>
      </c>
      <c r="E6889" s="35" t="s">
        <v>1397</v>
      </c>
      <c r="F6889" s="35" t="s">
        <v>353</v>
      </c>
      <c r="G6889" s="35" t="s">
        <v>10</v>
      </c>
      <c r="H6889" s="35" t="s">
        <v>335</v>
      </c>
    </row>
    <row r="6890" spans="1:8">
      <c r="A6890" s="34">
        <v>2084055446</v>
      </c>
      <c r="B6890" s="35" t="s">
        <v>462</v>
      </c>
      <c r="C6890" s="35" t="s">
        <v>405</v>
      </c>
      <c r="D6890" s="35" t="s">
        <v>1396</v>
      </c>
      <c r="E6890" s="35" t="s">
        <v>1397</v>
      </c>
      <c r="F6890" s="35" t="s">
        <v>353</v>
      </c>
      <c r="G6890" s="35" t="s">
        <v>403</v>
      </c>
    </row>
    <row r="6891" spans="1:8">
      <c r="A6891" s="34">
        <v>2084055447</v>
      </c>
      <c r="B6891" s="35" t="s">
        <v>462</v>
      </c>
      <c r="C6891" s="35" t="s">
        <v>405</v>
      </c>
      <c r="D6891" s="35" t="s">
        <v>1396</v>
      </c>
      <c r="E6891" s="35" t="s">
        <v>1397</v>
      </c>
      <c r="F6891" s="35" t="s">
        <v>353</v>
      </c>
      <c r="G6891" s="35" t="s">
        <v>335</v>
      </c>
    </row>
    <row r="6892" spans="1:8">
      <c r="A6892" s="34">
        <v>2084055434</v>
      </c>
      <c r="B6892" s="35" t="s">
        <v>462</v>
      </c>
      <c r="C6892" s="35" t="s">
        <v>405</v>
      </c>
      <c r="D6892" s="35" t="s">
        <v>1396</v>
      </c>
      <c r="E6892" s="35" t="s">
        <v>1397</v>
      </c>
      <c r="F6892" s="35" t="s">
        <v>335</v>
      </c>
    </row>
    <row r="6893" spans="1:8">
      <c r="A6893" s="34">
        <v>2084308614</v>
      </c>
      <c r="B6893" s="35" t="s">
        <v>462</v>
      </c>
      <c r="C6893" s="35" t="s">
        <v>405</v>
      </c>
      <c r="D6893" s="35" t="s">
        <v>1396</v>
      </c>
      <c r="E6893" s="35" t="s">
        <v>1398</v>
      </c>
      <c r="F6893" s="35" t="s">
        <v>475</v>
      </c>
    </row>
    <row r="6894" spans="1:8">
      <c r="A6894" s="34">
        <v>2084308615</v>
      </c>
      <c r="B6894" s="35" t="s">
        <v>462</v>
      </c>
      <c r="C6894" s="35" t="s">
        <v>405</v>
      </c>
      <c r="D6894" s="35" t="s">
        <v>1396</v>
      </c>
      <c r="E6894" s="35" t="s">
        <v>1398</v>
      </c>
      <c r="F6894" s="35" t="s">
        <v>367</v>
      </c>
    </row>
    <row r="6895" spans="1:8">
      <c r="A6895" s="34">
        <v>2084308616</v>
      </c>
      <c r="B6895" s="35" t="s">
        <v>462</v>
      </c>
      <c r="C6895" s="35" t="s">
        <v>405</v>
      </c>
      <c r="D6895" s="35" t="s">
        <v>1396</v>
      </c>
      <c r="E6895" s="35" t="s">
        <v>1398</v>
      </c>
      <c r="F6895" s="35" t="s">
        <v>401</v>
      </c>
    </row>
    <row r="6896" spans="1:8">
      <c r="A6896" s="34">
        <v>2084308617</v>
      </c>
      <c r="B6896" s="35" t="s">
        <v>462</v>
      </c>
      <c r="C6896" s="35" t="s">
        <v>405</v>
      </c>
      <c r="D6896" s="35" t="s">
        <v>1396</v>
      </c>
      <c r="E6896" s="35" t="s">
        <v>1398</v>
      </c>
      <c r="F6896" s="35" t="s">
        <v>402</v>
      </c>
    </row>
    <row r="6897" spans="1:8">
      <c r="A6897" s="34">
        <v>2084308619</v>
      </c>
      <c r="B6897" s="35" t="s">
        <v>462</v>
      </c>
      <c r="C6897" s="35" t="s">
        <v>405</v>
      </c>
      <c r="D6897" s="35" t="s">
        <v>1396</v>
      </c>
      <c r="E6897" s="35" t="s">
        <v>1398</v>
      </c>
      <c r="F6897" s="35" t="s">
        <v>476</v>
      </c>
    </row>
    <row r="6898" spans="1:8">
      <c r="A6898" s="34">
        <v>2084308618</v>
      </c>
      <c r="B6898" s="35" t="s">
        <v>462</v>
      </c>
      <c r="C6898" s="35" t="s">
        <v>405</v>
      </c>
      <c r="D6898" s="35" t="s">
        <v>1396</v>
      </c>
      <c r="E6898" s="35" t="s">
        <v>1398</v>
      </c>
      <c r="F6898" s="35" t="s">
        <v>477</v>
      </c>
    </row>
    <row r="6899" spans="1:8">
      <c r="A6899" s="34">
        <v>2084308620</v>
      </c>
      <c r="B6899" s="35" t="s">
        <v>462</v>
      </c>
      <c r="C6899" s="35" t="s">
        <v>405</v>
      </c>
      <c r="D6899" s="35" t="s">
        <v>1396</v>
      </c>
      <c r="E6899" s="35" t="s">
        <v>1398</v>
      </c>
      <c r="F6899" s="35" t="s">
        <v>478</v>
      </c>
    </row>
    <row r="6900" spans="1:8">
      <c r="A6900" s="34">
        <v>2084308621</v>
      </c>
      <c r="B6900" s="35" t="s">
        <v>462</v>
      </c>
      <c r="C6900" s="35" t="s">
        <v>405</v>
      </c>
      <c r="D6900" s="35" t="s">
        <v>1396</v>
      </c>
      <c r="E6900" s="35" t="s">
        <v>1398</v>
      </c>
      <c r="F6900" s="35" t="s">
        <v>335</v>
      </c>
    </row>
    <row r="6901" spans="1:8">
      <c r="A6901" s="34">
        <v>2084237967</v>
      </c>
      <c r="B6901" s="35" t="s">
        <v>462</v>
      </c>
      <c r="C6901" s="35" t="s">
        <v>405</v>
      </c>
      <c r="D6901" s="35" t="s">
        <v>1396</v>
      </c>
      <c r="E6901" s="35" t="s">
        <v>1399</v>
      </c>
      <c r="F6901" s="35" t="s">
        <v>335</v>
      </c>
    </row>
    <row r="6902" spans="1:8">
      <c r="A6902" s="34">
        <v>2084283774</v>
      </c>
      <c r="B6902" s="35" t="s">
        <v>462</v>
      </c>
      <c r="C6902" s="35" t="s">
        <v>405</v>
      </c>
      <c r="D6902" s="35" t="s">
        <v>1396</v>
      </c>
      <c r="E6902" s="35" t="s">
        <v>1400</v>
      </c>
    </row>
    <row r="6903" spans="1:8">
      <c r="A6903" s="34">
        <v>2084283775</v>
      </c>
      <c r="B6903" s="35" t="s">
        <v>462</v>
      </c>
      <c r="C6903" s="35" t="s">
        <v>405</v>
      </c>
      <c r="D6903" s="35" t="s">
        <v>1396</v>
      </c>
      <c r="E6903" s="35" t="s">
        <v>1401</v>
      </c>
    </row>
    <row r="6904" spans="1:8">
      <c r="A6904" s="34">
        <v>2084298410</v>
      </c>
      <c r="B6904" s="35" t="s">
        <v>462</v>
      </c>
      <c r="C6904" s="35" t="s">
        <v>405</v>
      </c>
      <c r="D6904" s="35" t="s">
        <v>1396</v>
      </c>
      <c r="E6904" s="35" t="s">
        <v>1402</v>
      </c>
      <c r="F6904" s="35" t="s">
        <v>407</v>
      </c>
    </row>
    <row r="6905" spans="1:8">
      <c r="A6905" s="34">
        <v>2084298411</v>
      </c>
      <c r="B6905" s="35" t="s">
        <v>462</v>
      </c>
      <c r="C6905" s="35" t="s">
        <v>405</v>
      </c>
      <c r="D6905" s="35" t="s">
        <v>1396</v>
      </c>
      <c r="E6905" s="35" t="s">
        <v>1402</v>
      </c>
      <c r="F6905" s="35" t="s">
        <v>408</v>
      </c>
    </row>
    <row r="6906" spans="1:8">
      <c r="A6906" s="34">
        <v>2084283768</v>
      </c>
      <c r="B6906" s="35" t="s">
        <v>462</v>
      </c>
      <c r="C6906" s="35" t="s">
        <v>405</v>
      </c>
      <c r="D6906" s="35" t="s">
        <v>1396</v>
      </c>
      <c r="E6906" s="35" t="s">
        <v>1403</v>
      </c>
      <c r="F6906" s="35" t="s">
        <v>407</v>
      </c>
    </row>
    <row r="6907" spans="1:8">
      <c r="A6907" s="34">
        <v>2084283767</v>
      </c>
      <c r="B6907" s="35" t="s">
        <v>462</v>
      </c>
      <c r="C6907" s="35" t="s">
        <v>405</v>
      </c>
      <c r="D6907" s="35" t="s">
        <v>1396</v>
      </c>
      <c r="E6907" s="35" t="s">
        <v>1403</v>
      </c>
      <c r="F6907" s="35" t="s">
        <v>408</v>
      </c>
    </row>
    <row r="6908" spans="1:8">
      <c r="A6908" s="34">
        <v>2084284020</v>
      </c>
      <c r="B6908" s="35" t="s">
        <v>462</v>
      </c>
      <c r="C6908" s="35" t="s">
        <v>405</v>
      </c>
      <c r="D6908" s="35" t="s">
        <v>1396</v>
      </c>
      <c r="E6908" s="35" t="s">
        <v>1404</v>
      </c>
    </row>
    <row r="6909" spans="1:8">
      <c r="A6909" s="34">
        <v>2084054799</v>
      </c>
      <c r="B6909" s="35" t="s">
        <v>462</v>
      </c>
      <c r="C6909" s="35" t="s">
        <v>405</v>
      </c>
      <c r="D6909" s="35" t="s">
        <v>1396</v>
      </c>
      <c r="E6909" s="35" t="s">
        <v>1405</v>
      </c>
      <c r="F6909" s="35" t="s">
        <v>475</v>
      </c>
    </row>
    <row r="6910" spans="1:8">
      <c r="A6910" s="34">
        <v>2084054783</v>
      </c>
      <c r="B6910" s="35" t="s">
        <v>462</v>
      </c>
      <c r="C6910" s="35" t="s">
        <v>405</v>
      </c>
      <c r="D6910" s="35" t="s">
        <v>1396</v>
      </c>
      <c r="E6910" s="35" t="s">
        <v>1405</v>
      </c>
      <c r="F6910" s="35" t="s">
        <v>390</v>
      </c>
      <c r="G6910" s="35" t="s">
        <v>367</v>
      </c>
    </row>
    <row r="6911" spans="1:8">
      <c r="A6911" s="34">
        <v>2084054786</v>
      </c>
      <c r="B6911" s="35" t="s">
        <v>462</v>
      </c>
      <c r="C6911" s="35" t="s">
        <v>405</v>
      </c>
      <c r="D6911" s="35" t="s">
        <v>1396</v>
      </c>
      <c r="E6911" s="35" t="s">
        <v>1405</v>
      </c>
      <c r="F6911" s="35" t="s">
        <v>390</v>
      </c>
      <c r="G6911" s="35" t="s">
        <v>368</v>
      </c>
      <c r="H6911" s="35" t="s">
        <v>481</v>
      </c>
    </row>
    <row r="6912" spans="1:8">
      <c r="A6912" s="34">
        <v>2084054785</v>
      </c>
      <c r="B6912" s="35" t="s">
        <v>462</v>
      </c>
      <c r="C6912" s="35" t="s">
        <v>405</v>
      </c>
      <c r="D6912" s="35" t="s">
        <v>1396</v>
      </c>
      <c r="E6912" s="35" t="s">
        <v>1405</v>
      </c>
      <c r="F6912" s="35" t="s">
        <v>390</v>
      </c>
      <c r="G6912" s="35" t="s">
        <v>368</v>
      </c>
      <c r="H6912" s="35" t="s">
        <v>482</v>
      </c>
    </row>
    <row r="6913" spans="1:8">
      <c r="A6913" s="34">
        <v>2084054787</v>
      </c>
      <c r="B6913" s="35" t="s">
        <v>462</v>
      </c>
      <c r="C6913" s="35" t="s">
        <v>405</v>
      </c>
      <c r="D6913" s="35" t="s">
        <v>1396</v>
      </c>
      <c r="E6913" s="35" t="s">
        <v>1405</v>
      </c>
      <c r="F6913" s="35" t="s">
        <v>390</v>
      </c>
      <c r="G6913" s="35" t="s">
        <v>368</v>
      </c>
      <c r="H6913" s="35" t="s">
        <v>335</v>
      </c>
    </row>
    <row r="6914" spans="1:8">
      <c r="A6914" s="34">
        <v>2084054793</v>
      </c>
      <c r="B6914" s="35" t="s">
        <v>462</v>
      </c>
      <c r="C6914" s="35" t="s">
        <v>405</v>
      </c>
      <c r="D6914" s="35" t="s">
        <v>1396</v>
      </c>
      <c r="E6914" s="35" t="s">
        <v>1405</v>
      </c>
      <c r="F6914" s="35" t="s">
        <v>390</v>
      </c>
      <c r="G6914" s="35" t="s">
        <v>10</v>
      </c>
      <c r="H6914" s="35" t="s">
        <v>483</v>
      </c>
    </row>
    <row r="6915" spans="1:8">
      <c r="A6915" s="34">
        <v>2084054790</v>
      </c>
      <c r="B6915" s="35" t="s">
        <v>462</v>
      </c>
      <c r="C6915" s="35" t="s">
        <v>405</v>
      </c>
      <c r="D6915" s="35" t="s">
        <v>1396</v>
      </c>
      <c r="E6915" s="35" t="s">
        <v>1405</v>
      </c>
      <c r="F6915" s="35" t="s">
        <v>390</v>
      </c>
      <c r="G6915" s="35" t="s">
        <v>10</v>
      </c>
      <c r="H6915" s="35" t="s">
        <v>397</v>
      </c>
    </row>
    <row r="6916" spans="1:8">
      <c r="A6916" s="34">
        <v>2084054792</v>
      </c>
      <c r="B6916" s="35" t="s">
        <v>462</v>
      </c>
      <c r="C6916" s="35" t="s">
        <v>405</v>
      </c>
      <c r="D6916" s="35" t="s">
        <v>1396</v>
      </c>
      <c r="E6916" s="35" t="s">
        <v>1405</v>
      </c>
      <c r="F6916" s="35" t="s">
        <v>390</v>
      </c>
      <c r="G6916" s="35" t="s">
        <v>10</v>
      </c>
      <c r="H6916" s="35" t="s">
        <v>421</v>
      </c>
    </row>
    <row r="6917" spans="1:8">
      <c r="A6917" s="34">
        <v>2084054789</v>
      </c>
      <c r="B6917" s="35" t="s">
        <v>462</v>
      </c>
      <c r="C6917" s="35" t="s">
        <v>405</v>
      </c>
      <c r="D6917" s="35" t="s">
        <v>1396</v>
      </c>
      <c r="E6917" s="35" t="s">
        <v>1405</v>
      </c>
      <c r="F6917" s="35" t="s">
        <v>390</v>
      </c>
      <c r="G6917" s="35" t="s">
        <v>10</v>
      </c>
      <c r="H6917" s="35" t="s">
        <v>398</v>
      </c>
    </row>
    <row r="6918" spans="1:8">
      <c r="A6918" s="34">
        <v>2084054791</v>
      </c>
      <c r="B6918" s="35" t="s">
        <v>462</v>
      </c>
      <c r="C6918" s="35" t="s">
        <v>405</v>
      </c>
      <c r="D6918" s="35" t="s">
        <v>1396</v>
      </c>
      <c r="E6918" s="35" t="s">
        <v>1405</v>
      </c>
      <c r="F6918" s="35" t="s">
        <v>390</v>
      </c>
      <c r="G6918" s="35" t="s">
        <v>10</v>
      </c>
      <c r="H6918" s="35" t="s">
        <v>422</v>
      </c>
    </row>
    <row r="6919" spans="1:8">
      <c r="A6919" s="34">
        <v>2084054794</v>
      </c>
      <c r="B6919" s="35" t="s">
        <v>462</v>
      </c>
      <c r="C6919" s="35" t="s">
        <v>405</v>
      </c>
      <c r="D6919" s="35" t="s">
        <v>1396</v>
      </c>
      <c r="E6919" s="35" t="s">
        <v>1405</v>
      </c>
      <c r="F6919" s="35" t="s">
        <v>390</v>
      </c>
      <c r="G6919" s="35" t="s">
        <v>10</v>
      </c>
      <c r="H6919" s="35" t="s">
        <v>335</v>
      </c>
    </row>
    <row r="6920" spans="1:8">
      <c r="A6920" s="34">
        <v>2084054796</v>
      </c>
      <c r="B6920" s="35" t="s">
        <v>462</v>
      </c>
      <c r="C6920" s="35" t="s">
        <v>405</v>
      </c>
      <c r="D6920" s="35" t="s">
        <v>1396</v>
      </c>
      <c r="E6920" s="35" t="s">
        <v>1405</v>
      </c>
      <c r="F6920" s="35" t="s">
        <v>390</v>
      </c>
      <c r="G6920" s="35" t="s">
        <v>379</v>
      </c>
      <c r="H6920" s="35" t="s">
        <v>476</v>
      </c>
    </row>
    <row r="6921" spans="1:8">
      <c r="A6921" s="34">
        <v>2084054797</v>
      </c>
      <c r="B6921" s="35" t="s">
        <v>462</v>
      </c>
      <c r="C6921" s="35" t="s">
        <v>405</v>
      </c>
      <c r="D6921" s="35" t="s">
        <v>1396</v>
      </c>
      <c r="E6921" s="35" t="s">
        <v>1405</v>
      </c>
      <c r="F6921" s="35" t="s">
        <v>390</v>
      </c>
      <c r="G6921" s="35" t="s">
        <v>379</v>
      </c>
      <c r="H6921" s="35" t="s">
        <v>335</v>
      </c>
    </row>
    <row r="6922" spans="1:8">
      <c r="A6922" s="34">
        <v>2084061684</v>
      </c>
      <c r="B6922" s="35" t="s">
        <v>462</v>
      </c>
      <c r="C6922" s="35" t="s">
        <v>405</v>
      </c>
      <c r="D6922" s="35" t="s">
        <v>1396</v>
      </c>
      <c r="E6922" s="35" t="s">
        <v>1405</v>
      </c>
      <c r="F6922" s="35" t="s">
        <v>390</v>
      </c>
      <c r="G6922" s="35" t="s">
        <v>478</v>
      </c>
    </row>
    <row r="6923" spans="1:8">
      <c r="A6923" s="34">
        <v>2084054798</v>
      </c>
      <c r="B6923" s="35" t="s">
        <v>462</v>
      </c>
      <c r="C6923" s="35" t="s">
        <v>405</v>
      </c>
      <c r="D6923" s="35" t="s">
        <v>1396</v>
      </c>
      <c r="E6923" s="35" t="s">
        <v>1405</v>
      </c>
      <c r="F6923" s="35" t="s">
        <v>390</v>
      </c>
      <c r="G6923" s="35" t="s">
        <v>335</v>
      </c>
    </row>
    <row r="6924" spans="1:8">
      <c r="A6924" s="34">
        <v>2084054800</v>
      </c>
      <c r="B6924" s="35" t="s">
        <v>462</v>
      </c>
      <c r="C6924" s="35" t="s">
        <v>405</v>
      </c>
      <c r="D6924" s="35" t="s">
        <v>1396</v>
      </c>
      <c r="E6924" s="35" t="s">
        <v>1405</v>
      </c>
      <c r="F6924" s="35" t="s">
        <v>335</v>
      </c>
    </row>
    <row r="6925" spans="1:8">
      <c r="A6925" s="34">
        <v>2084056293</v>
      </c>
      <c r="B6925" s="35" t="s">
        <v>462</v>
      </c>
      <c r="C6925" s="35" t="s">
        <v>405</v>
      </c>
      <c r="D6925" s="35" t="s">
        <v>1396</v>
      </c>
      <c r="E6925" s="35" t="s">
        <v>1406</v>
      </c>
      <c r="F6925" s="35" t="s">
        <v>390</v>
      </c>
      <c r="G6925" s="35" t="s">
        <v>367</v>
      </c>
    </row>
    <row r="6926" spans="1:8">
      <c r="A6926" s="34">
        <v>2084056296</v>
      </c>
      <c r="B6926" s="35" t="s">
        <v>462</v>
      </c>
      <c r="C6926" s="35" t="s">
        <v>405</v>
      </c>
      <c r="D6926" s="35" t="s">
        <v>1396</v>
      </c>
      <c r="E6926" s="35" t="s">
        <v>1406</v>
      </c>
      <c r="F6926" s="35" t="s">
        <v>390</v>
      </c>
      <c r="G6926" s="35" t="s">
        <v>368</v>
      </c>
      <c r="H6926" s="35" t="s">
        <v>481</v>
      </c>
    </row>
    <row r="6927" spans="1:8">
      <c r="A6927" s="34">
        <v>2084056295</v>
      </c>
      <c r="B6927" s="35" t="s">
        <v>462</v>
      </c>
      <c r="C6927" s="35" t="s">
        <v>405</v>
      </c>
      <c r="D6927" s="35" t="s">
        <v>1396</v>
      </c>
      <c r="E6927" s="35" t="s">
        <v>1406</v>
      </c>
      <c r="F6927" s="35" t="s">
        <v>390</v>
      </c>
      <c r="G6927" s="35" t="s">
        <v>368</v>
      </c>
      <c r="H6927" s="35" t="s">
        <v>482</v>
      </c>
    </row>
    <row r="6928" spans="1:8">
      <c r="A6928" s="34">
        <v>2084056297</v>
      </c>
      <c r="B6928" s="35" t="s">
        <v>462</v>
      </c>
      <c r="C6928" s="35" t="s">
        <v>405</v>
      </c>
      <c r="D6928" s="35" t="s">
        <v>1396</v>
      </c>
      <c r="E6928" s="35" t="s">
        <v>1406</v>
      </c>
      <c r="F6928" s="35" t="s">
        <v>390</v>
      </c>
      <c r="G6928" s="35" t="s">
        <v>368</v>
      </c>
      <c r="H6928" s="35" t="s">
        <v>335</v>
      </c>
    </row>
    <row r="6929" spans="1:8">
      <c r="A6929" s="34">
        <v>2084056303</v>
      </c>
      <c r="B6929" s="35" t="s">
        <v>462</v>
      </c>
      <c r="C6929" s="35" t="s">
        <v>405</v>
      </c>
      <c r="D6929" s="35" t="s">
        <v>1396</v>
      </c>
      <c r="E6929" s="35" t="s">
        <v>1406</v>
      </c>
      <c r="F6929" s="35" t="s">
        <v>390</v>
      </c>
      <c r="G6929" s="35" t="s">
        <v>10</v>
      </c>
      <c r="H6929" s="35" t="s">
        <v>483</v>
      </c>
    </row>
    <row r="6930" spans="1:8">
      <c r="A6930" s="34">
        <v>2084056300</v>
      </c>
      <c r="B6930" s="35" t="s">
        <v>462</v>
      </c>
      <c r="C6930" s="35" t="s">
        <v>405</v>
      </c>
      <c r="D6930" s="35" t="s">
        <v>1396</v>
      </c>
      <c r="E6930" s="35" t="s">
        <v>1406</v>
      </c>
      <c r="F6930" s="35" t="s">
        <v>390</v>
      </c>
      <c r="G6930" s="35" t="s">
        <v>10</v>
      </c>
      <c r="H6930" s="35" t="s">
        <v>397</v>
      </c>
    </row>
    <row r="6931" spans="1:8">
      <c r="A6931" s="34">
        <v>2084056302</v>
      </c>
      <c r="B6931" s="35" t="s">
        <v>462</v>
      </c>
      <c r="C6931" s="35" t="s">
        <v>405</v>
      </c>
      <c r="D6931" s="35" t="s">
        <v>1396</v>
      </c>
      <c r="E6931" s="35" t="s">
        <v>1406</v>
      </c>
      <c r="F6931" s="35" t="s">
        <v>390</v>
      </c>
      <c r="G6931" s="35" t="s">
        <v>10</v>
      </c>
      <c r="H6931" s="35" t="s">
        <v>421</v>
      </c>
    </row>
    <row r="6932" spans="1:8">
      <c r="A6932" s="34">
        <v>2084056299</v>
      </c>
      <c r="B6932" s="35" t="s">
        <v>462</v>
      </c>
      <c r="C6932" s="35" t="s">
        <v>405</v>
      </c>
      <c r="D6932" s="35" t="s">
        <v>1396</v>
      </c>
      <c r="E6932" s="35" t="s">
        <v>1406</v>
      </c>
      <c r="F6932" s="35" t="s">
        <v>390</v>
      </c>
      <c r="G6932" s="35" t="s">
        <v>10</v>
      </c>
      <c r="H6932" s="35" t="s">
        <v>398</v>
      </c>
    </row>
    <row r="6933" spans="1:8">
      <c r="A6933" s="34">
        <v>2084056301</v>
      </c>
      <c r="B6933" s="35" t="s">
        <v>462</v>
      </c>
      <c r="C6933" s="35" t="s">
        <v>405</v>
      </c>
      <c r="D6933" s="35" t="s">
        <v>1396</v>
      </c>
      <c r="E6933" s="35" t="s">
        <v>1406</v>
      </c>
      <c r="F6933" s="35" t="s">
        <v>390</v>
      </c>
      <c r="G6933" s="35" t="s">
        <v>10</v>
      </c>
      <c r="H6933" s="35" t="s">
        <v>422</v>
      </c>
    </row>
    <row r="6934" spans="1:8">
      <c r="A6934" s="34">
        <v>2084056304</v>
      </c>
      <c r="B6934" s="35" t="s">
        <v>462</v>
      </c>
      <c r="C6934" s="35" t="s">
        <v>405</v>
      </c>
      <c r="D6934" s="35" t="s">
        <v>1396</v>
      </c>
      <c r="E6934" s="35" t="s">
        <v>1406</v>
      </c>
      <c r="F6934" s="35" t="s">
        <v>390</v>
      </c>
      <c r="G6934" s="35" t="s">
        <v>10</v>
      </c>
      <c r="H6934" s="35" t="s">
        <v>335</v>
      </c>
    </row>
    <row r="6935" spans="1:8">
      <c r="A6935" s="34">
        <v>2084056306</v>
      </c>
      <c r="B6935" s="35" t="s">
        <v>462</v>
      </c>
      <c r="C6935" s="35" t="s">
        <v>405</v>
      </c>
      <c r="D6935" s="35" t="s">
        <v>1396</v>
      </c>
      <c r="E6935" s="35" t="s">
        <v>1406</v>
      </c>
      <c r="F6935" s="35" t="s">
        <v>390</v>
      </c>
      <c r="G6935" s="35" t="s">
        <v>379</v>
      </c>
      <c r="H6935" s="35" t="s">
        <v>476</v>
      </c>
    </row>
    <row r="6936" spans="1:8">
      <c r="A6936" s="34">
        <v>2084056307</v>
      </c>
      <c r="B6936" s="35" t="s">
        <v>462</v>
      </c>
      <c r="C6936" s="35" t="s">
        <v>405</v>
      </c>
      <c r="D6936" s="35" t="s">
        <v>1396</v>
      </c>
      <c r="E6936" s="35" t="s">
        <v>1406</v>
      </c>
      <c r="F6936" s="35" t="s">
        <v>390</v>
      </c>
      <c r="G6936" s="35" t="s">
        <v>379</v>
      </c>
      <c r="H6936" s="35" t="s">
        <v>335</v>
      </c>
    </row>
    <row r="6937" spans="1:8">
      <c r="A6937" s="34">
        <v>2084056666</v>
      </c>
      <c r="B6937" s="35" t="s">
        <v>462</v>
      </c>
      <c r="C6937" s="35" t="s">
        <v>405</v>
      </c>
      <c r="D6937" s="35" t="s">
        <v>1396</v>
      </c>
      <c r="E6937" s="35" t="s">
        <v>1406</v>
      </c>
      <c r="F6937" s="35" t="s">
        <v>390</v>
      </c>
      <c r="G6937" s="35" t="s">
        <v>335</v>
      </c>
    </row>
    <row r="6938" spans="1:8">
      <c r="A6938" s="34">
        <v>2084207141</v>
      </c>
      <c r="B6938" s="35" t="s">
        <v>462</v>
      </c>
      <c r="C6938" s="35" t="s">
        <v>405</v>
      </c>
      <c r="D6938" s="35" t="s">
        <v>1396</v>
      </c>
      <c r="E6938" s="35" t="s">
        <v>1406</v>
      </c>
      <c r="F6938" s="35" t="s">
        <v>408</v>
      </c>
    </row>
    <row r="6939" spans="1:8">
      <c r="A6939" s="34">
        <v>2084056308</v>
      </c>
      <c r="B6939" s="35" t="s">
        <v>462</v>
      </c>
      <c r="C6939" s="35" t="s">
        <v>405</v>
      </c>
      <c r="D6939" s="35" t="s">
        <v>1396</v>
      </c>
      <c r="E6939" s="35" t="s">
        <v>1406</v>
      </c>
      <c r="F6939" s="35" t="s">
        <v>335</v>
      </c>
    </row>
    <row r="6940" spans="1:8">
      <c r="A6940" s="34">
        <v>2084056389</v>
      </c>
      <c r="B6940" s="35" t="s">
        <v>462</v>
      </c>
      <c r="C6940" s="35" t="s">
        <v>405</v>
      </c>
      <c r="D6940" s="35" t="s">
        <v>1396</v>
      </c>
      <c r="E6940" s="35" t="s">
        <v>1407</v>
      </c>
      <c r="F6940" s="35" t="s">
        <v>390</v>
      </c>
      <c r="G6940" s="35" t="s">
        <v>335</v>
      </c>
    </row>
    <row r="6941" spans="1:8">
      <c r="A6941" s="34">
        <v>2084227414</v>
      </c>
      <c r="B6941" s="35" t="s">
        <v>462</v>
      </c>
      <c r="C6941" s="35" t="s">
        <v>405</v>
      </c>
      <c r="D6941" s="35" t="s">
        <v>1396</v>
      </c>
      <c r="E6941" s="35" t="s">
        <v>1407</v>
      </c>
      <c r="F6941" s="35" t="s">
        <v>390</v>
      </c>
      <c r="G6941" s="35" t="s">
        <v>1408</v>
      </c>
      <c r="H6941" s="56" t="s">
        <v>3012</v>
      </c>
    </row>
    <row r="6942" spans="1:8">
      <c r="A6942" s="34">
        <v>2084227415</v>
      </c>
      <c r="B6942" s="35" t="s">
        <v>462</v>
      </c>
      <c r="C6942" s="35" t="s">
        <v>405</v>
      </c>
      <c r="D6942" s="35" t="s">
        <v>1396</v>
      </c>
      <c r="E6942" s="35" t="s">
        <v>1407</v>
      </c>
      <c r="F6942" s="35" t="s">
        <v>390</v>
      </c>
      <c r="G6942" s="35" t="s">
        <v>1408</v>
      </c>
      <c r="H6942" s="35">
        <v>0</v>
      </c>
    </row>
    <row r="6943" spans="1:8">
      <c r="A6943" s="34">
        <v>2084227416</v>
      </c>
      <c r="B6943" s="35" t="s">
        <v>462</v>
      </c>
      <c r="C6943" s="35" t="s">
        <v>405</v>
      </c>
      <c r="D6943" s="35" t="s">
        <v>1396</v>
      </c>
      <c r="E6943" s="35" t="s">
        <v>1407</v>
      </c>
      <c r="F6943" s="35" t="s">
        <v>390</v>
      </c>
      <c r="G6943" s="35" t="s">
        <v>1408</v>
      </c>
      <c r="H6943" s="35">
        <v>1</v>
      </c>
    </row>
    <row r="6944" spans="1:8">
      <c r="A6944" s="34">
        <v>2084227417</v>
      </c>
      <c r="B6944" s="35" t="s">
        <v>462</v>
      </c>
      <c r="C6944" s="35" t="s">
        <v>405</v>
      </c>
      <c r="D6944" s="35" t="s">
        <v>1396</v>
      </c>
      <c r="E6944" s="35" t="s">
        <v>1407</v>
      </c>
      <c r="F6944" s="35" t="s">
        <v>390</v>
      </c>
      <c r="G6944" s="35" t="s">
        <v>1408</v>
      </c>
      <c r="H6944" s="35">
        <v>2</v>
      </c>
    </row>
    <row r="6945" spans="1:8">
      <c r="A6945" s="34">
        <v>2084227418</v>
      </c>
      <c r="B6945" s="35" t="s">
        <v>462</v>
      </c>
      <c r="C6945" s="35" t="s">
        <v>405</v>
      </c>
      <c r="D6945" s="35" t="s">
        <v>1396</v>
      </c>
      <c r="E6945" s="35" t="s">
        <v>1407</v>
      </c>
      <c r="F6945" s="35" t="s">
        <v>390</v>
      </c>
      <c r="G6945" s="35" t="s">
        <v>1408</v>
      </c>
      <c r="H6945" s="35">
        <v>3</v>
      </c>
    </row>
    <row r="6946" spans="1:8">
      <c r="A6946" s="34">
        <v>2084227419</v>
      </c>
      <c r="B6946" s="35" t="s">
        <v>462</v>
      </c>
      <c r="C6946" s="35" t="s">
        <v>405</v>
      </c>
      <c r="D6946" s="35" t="s">
        <v>1396</v>
      </c>
      <c r="E6946" s="35" t="s">
        <v>1407</v>
      </c>
      <c r="F6946" s="35" t="s">
        <v>390</v>
      </c>
      <c r="G6946" s="35" t="s">
        <v>1408</v>
      </c>
      <c r="H6946" s="35" t="s">
        <v>1409</v>
      </c>
    </row>
    <row r="6947" spans="1:8">
      <c r="A6947" s="34">
        <v>2084056387</v>
      </c>
      <c r="B6947" s="35" t="s">
        <v>462</v>
      </c>
      <c r="C6947" s="35" t="s">
        <v>405</v>
      </c>
      <c r="D6947" s="35" t="s">
        <v>1396</v>
      </c>
      <c r="E6947" s="35" t="s">
        <v>1407</v>
      </c>
      <c r="F6947" s="35" t="s">
        <v>353</v>
      </c>
      <c r="G6947" s="35" t="s">
        <v>335</v>
      </c>
    </row>
    <row r="6948" spans="1:8">
      <c r="A6948" s="34">
        <v>2084227406</v>
      </c>
      <c r="B6948" s="35" t="s">
        <v>462</v>
      </c>
      <c r="C6948" s="35" t="s">
        <v>405</v>
      </c>
      <c r="D6948" s="35" t="s">
        <v>1396</v>
      </c>
      <c r="E6948" s="35" t="s">
        <v>1407</v>
      </c>
      <c r="F6948" s="35" t="s">
        <v>353</v>
      </c>
      <c r="G6948" s="35" t="s">
        <v>1408</v>
      </c>
      <c r="H6948" s="56" t="s">
        <v>3012</v>
      </c>
    </row>
    <row r="6949" spans="1:8">
      <c r="A6949" s="34">
        <v>2084227407</v>
      </c>
      <c r="B6949" s="35" t="s">
        <v>462</v>
      </c>
      <c r="C6949" s="35" t="s">
        <v>405</v>
      </c>
      <c r="D6949" s="35" t="s">
        <v>1396</v>
      </c>
      <c r="E6949" s="35" t="s">
        <v>1407</v>
      </c>
      <c r="F6949" s="35" t="s">
        <v>353</v>
      </c>
      <c r="G6949" s="35" t="s">
        <v>1408</v>
      </c>
      <c r="H6949" s="35">
        <v>0</v>
      </c>
    </row>
    <row r="6950" spans="1:8">
      <c r="A6950" s="34">
        <v>2084227408</v>
      </c>
      <c r="B6950" s="35" t="s">
        <v>462</v>
      </c>
      <c r="C6950" s="35" t="s">
        <v>405</v>
      </c>
      <c r="D6950" s="35" t="s">
        <v>1396</v>
      </c>
      <c r="E6950" s="35" t="s">
        <v>1407</v>
      </c>
      <c r="F6950" s="35" t="s">
        <v>353</v>
      </c>
      <c r="G6950" s="35" t="s">
        <v>1408</v>
      </c>
      <c r="H6950" s="35">
        <v>1</v>
      </c>
    </row>
    <row r="6951" spans="1:8">
      <c r="A6951" s="34">
        <v>2084227409</v>
      </c>
      <c r="B6951" s="35" t="s">
        <v>462</v>
      </c>
      <c r="C6951" s="35" t="s">
        <v>405</v>
      </c>
      <c r="D6951" s="35" t="s">
        <v>1396</v>
      </c>
      <c r="E6951" s="35" t="s">
        <v>1407</v>
      </c>
      <c r="F6951" s="35" t="s">
        <v>353</v>
      </c>
      <c r="G6951" s="35" t="s">
        <v>1408</v>
      </c>
      <c r="H6951" s="35">
        <v>2</v>
      </c>
    </row>
    <row r="6952" spans="1:8">
      <c r="A6952" s="34">
        <v>2084227410</v>
      </c>
      <c r="B6952" s="35" t="s">
        <v>462</v>
      </c>
      <c r="C6952" s="35" t="s">
        <v>405</v>
      </c>
      <c r="D6952" s="35" t="s">
        <v>1396</v>
      </c>
      <c r="E6952" s="35" t="s">
        <v>1407</v>
      </c>
      <c r="F6952" s="35" t="s">
        <v>353</v>
      </c>
      <c r="G6952" s="35" t="s">
        <v>1408</v>
      </c>
      <c r="H6952" s="35">
        <v>3</v>
      </c>
    </row>
    <row r="6953" spans="1:8">
      <c r="A6953" s="34">
        <v>2084227411</v>
      </c>
      <c r="B6953" s="35" t="s">
        <v>462</v>
      </c>
      <c r="C6953" s="35" t="s">
        <v>405</v>
      </c>
      <c r="D6953" s="35" t="s">
        <v>1396</v>
      </c>
      <c r="E6953" s="35" t="s">
        <v>1407</v>
      </c>
      <c r="F6953" s="35" t="s">
        <v>353</v>
      </c>
      <c r="G6953" s="35" t="s">
        <v>1408</v>
      </c>
      <c r="H6953" s="35">
        <v>4</v>
      </c>
    </row>
    <row r="6954" spans="1:8">
      <c r="A6954" s="34">
        <v>2084227412</v>
      </c>
      <c r="B6954" s="35" t="s">
        <v>462</v>
      </c>
      <c r="C6954" s="35" t="s">
        <v>405</v>
      </c>
      <c r="D6954" s="35" t="s">
        <v>1396</v>
      </c>
      <c r="E6954" s="35" t="s">
        <v>1407</v>
      </c>
      <c r="F6954" s="35" t="s">
        <v>353</v>
      </c>
      <c r="G6954" s="35" t="s">
        <v>1408</v>
      </c>
      <c r="H6954" s="35">
        <v>5</v>
      </c>
    </row>
    <row r="6955" spans="1:8">
      <c r="A6955" s="34">
        <v>2084227413</v>
      </c>
      <c r="B6955" s="35" t="s">
        <v>462</v>
      </c>
      <c r="C6955" s="35" t="s">
        <v>405</v>
      </c>
      <c r="D6955" s="35" t="s">
        <v>1396</v>
      </c>
      <c r="E6955" s="35" t="s">
        <v>1407</v>
      </c>
      <c r="F6955" s="35" t="s">
        <v>353</v>
      </c>
      <c r="G6955" s="35" t="s">
        <v>1408</v>
      </c>
      <c r="H6955" s="35">
        <v>6</v>
      </c>
    </row>
    <row r="6956" spans="1:8">
      <c r="A6956" s="34">
        <v>2084260051</v>
      </c>
      <c r="B6956" s="35" t="s">
        <v>462</v>
      </c>
      <c r="C6956" s="35" t="s">
        <v>405</v>
      </c>
      <c r="D6956" s="35" t="s">
        <v>1410</v>
      </c>
      <c r="E6956" s="35" t="s">
        <v>1411</v>
      </c>
      <c r="F6956" s="35" t="s">
        <v>407</v>
      </c>
    </row>
    <row r="6957" spans="1:8">
      <c r="A6957" s="34">
        <v>2084260050</v>
      </c>
      <c r="B6957" s="35" t="s">
        <v>462</v>
      </c>
      <c r="C6957" s="35" t="s">
        <v>405</v>
      </c>
      <c r="D6957" s="35" t="s">
        <v>1410</v>
      </c>
      <c r="E6957" s="35" t="s">
        <v>1411</v>
      </c>
      <c r="F6957" s="35" t="s">
        <v>408</v>
      </c>
    </row>
    <row r="6958" spans="1:8">
      <c r="A6958" s="34">
        <v>2084260064</v>
      </c>
      <c r="B6958" s="35" t="s">
        <v>462</v>
      </c>
      <c r="C6958" s="35" t="s">
        <v>405</v>
      </c>
      <c r="D6958" s="35" t="s">
        <v>1410</v>
      </c>
      <c r="E6958" s="35" t="s">
        <v>1412</v>
      </c>
    </row>
    <row r="6959" spans="1:8">
      <c r="A6959" s="34">
        <v>2084194536</v>
      </c>
      <c r="B6959" s="35" t="s">
        <v>462</v>
      </c>
      <c r="C6959" s="35" t="s">
        <v>405</v>
      </c>
      <c r="D6959" s="35" t="s">
        <v>1410</v>
      </c>
      <c r="E6959" s="35" t="s">
        <v>1413</v>
      </c>
      <c r="F6959" s="35" t="s">
        <v>557</v>
      </c>
      <c r="G6959" s="35" t="s">
        <v>407</v>
      </c>
    </row>
    <row r="6960" spans="1:8">
      <c r="A6960" s="34">
        <v>2084194537</v>
      </c>
      <c r="B6960" s="35" t="s">
        <v>462</v>
      </c>
      <c r="C6960" s="35" t="s">
        <v>405</v>
      </c>
      <c r="D6960" s="35" t="s">
        <v>1410</v>
      </c>
      <c r="E6960" s="35" t="s">
        <v>1413</v>
      </c>
      <c r="F6960" s="35" t="s">
        <v>557</v>
      </c>
      <c r="G6960" s="35" t="s">
        <v>408</v>
      </c>
    </row>
    <row r="6961" spans="1:8">
      <c r="A6961" s="34">
        <v>2084194538</v>
      </c>
      <c r="B6961" s="35" t="s">
        <v>462</v>
      </c>
      <c r="C6961" s="35" t="s">
        <v>405</v>
      </c>
      <c r="D6961" s="35" t="s">
        <v>1410</v>
      </c>
      <c r="E6961" s="35" t="s">
        <v>1413</v>
      </c>
      <c r="F6961" s="35" t="s">
        <v>335</v>
      </c>
    </row>
    <row r="6962" spans="1:8">
      <c r="A6962" s="34">
        <v>2084260054</v>
      </c>
      <c r="B6962" s="35" t="s">
        <v>462</v>
      </c>
      <c r="C6962" s="35" t="s">
        <v>405</v>
      </c>
      <c r="D6962" s="35" t="s">
        <v>1410</v>
      </c>
      <c r="E6962" s="35" t="s">
        <v>1414</v>
      </c>
      <c r="F6962" s="35" t="s">
        <v>407</v>
      </c>
    </row>
    <row r="6963" spans="1:8">
      <c r="A6963" s="34">
        <v>2084260053</v>
      </c>
      <c r="B6963" s="35" t="s">
        <v>462</v>
      </c>
      <c r="C6963" s="35" t="s">
        <v>405</v>
      </c>
      <c r="D6963" s="35" t="s">
        <v>1410</v>
      </c>
      <c r="E6963" s="35" t="s">
        <v>1414</v>
      </c>
      <c r="F6963" s="35" t="s">
        <v>408</v>
      </c>
    </row>
    <row r="6964" spans="1:8">
      <c r="A6964" s="34">
        <v>2084260057</v>
      </c>
      <c r="B6964" s="35" t="s">
        <v>462</v>
      </c>
      <c r="C6964" s="35" t="s">
        <v>405</v>
      </c>
      <c r="D6964" s="35" t="s">
        <v>1410</v>
      </c>
      <c r="E6964" s="35" t="s">
        <v>1415</v>
      </c>
      <c r="F6964" s="35" t="s">
        <v>407</v>
      </c>
    </row>
    <row r="6965" spans="1:8">
      <c r="A6965" s="34">
        <v>2084260056</v>
      </c>
      <c r="B6965" s="35" t="s">
        <v>462</v>
      </c>
      <c r="C6965" s="35" t="s">
        <v>405</v>
      </c>
      <c r="D6965" s="35" t="s">
        <v>1410</v>
      </c>
      <c r="E6965" s="35" t="s">
        <v>1415</v>
      </c>
      <c r="F6965" s="35" t="s">
        <v>408</v>
      </c>
    </row>
    <row r="6966" spans="1:8">
      <c r="A6966" s="34">
        <v>2084056877</v>
      </c>
      <c r="B6966" s="35" t="s">
        <v>462</v>
      </c>
      <c r="C6966" s="35" t="s">
        <v>405</v>
      </c>
      <c r="D6966" s="35" t="s">
        <v>1410</v>
      </c>
      <c r="E6966" s="35" t="s">
        <v>1416</v>
      </c>
      <c r="F6966" s="35" t="s">
        <v>390</v>
      </c>
      <c r="G6966" s="35" t="s">
        <v>367</v>
      </c>
    </row>
    <row r="6967" spans="1:8">
      <c r="A6967" s="34">
        <v>2084051237</v>
      </c>
      <c r="B6967" s="35" t="s">
        <v>462</v>
      </c>
      <c r="C6967" s="35" t="s">
        <v>405</v>
      </c>
      <c r="D6967" s="35" t="s">
        <v>1410</v>
      </c>
      <c r="E6967" s="35" t="s">
        <v>1416</v>
      </c>
      <c r="F6967" s="35" t="s">
        <v>390</v>
      </c>
      <c r="G6967" s="35" t="s">
        <v>368</v>
      </c>
      <c r="H6967" s="35" t="s">
        <v>481</v>
      </c>
    </row>
    <row r="6968" spans="1:8">
      <c r="A6968" s="34">
        <v>2084051238</v>
      </c>
      <c r="B6968" s="35" t="s">
        <v>462</v>
      </c>
      <c r="C6968" s="35" t="s">
        <v>405</v>
      </c>
      <c r="D6968" s="35" t="s">
        <v>1410</v>
      </c>
      <c r="E6968" s="35" t="s">
        <v>1416</v>
      </c>
      <c r="F6968" s="35" t="s">
        <v>390</v>
      </c>
      <c r="G6968" s="35" t="s">
        <v>368</v>
      </c>
      <c r="H6968" s="35" t="s">
        <v>335</v>
      </c>
    </row>
    <row r="6969" spans="1:8">
      <c r="A6969" s="34">
        <v>2084056876</v>
      </c>
      <c r="B6969" s="35" t="s">
        <v>462</v>
      </c>
      <c r="C6969" s="35" t="s">
        <v>405</v>
      </c>
      <c r="D6969" s="35" t="s">
        <v>1410</v>
      </c>
      <c r="E6969" s="35" t="s">
        <v>1416</v>
      </c>
      <c r="F6969" s="35" t="s">
        <v>390</v>
      </c>
      <c r="G6969" s="35" t="s">
        <v>10</v>
      </c>
      <c r="H6969" s="35" t="s">
        <v>483</v>
      </c>
    </row>
    <row r="6970" spans="1:8">
      <c r="A6970" s="34">
        <v>2084051241</v>
      </c>
      <c r="B6970" s="35" t="s">
        <v>462</v>
      </c>
      <c r="C6970" s="35" t="s">
        <v>405</v>
      </c>
      <c r="D6970" s="35" t="s">
        <v>1410</v>
      </c>
      <c r="E6970" s="35" t="s">
        <v>1416</v>
      </c>
      <c r="F6970" s="35" t="s">
        <v>390</v>
      </c>
      <c r="G6970" s="35" t="s">
        <v>10</v>
      </c>
      <c r="H6970" s="35" t="s">
        <v>397</v>
      </c>
    </row>
    <row r="6971" spans="1:8">
      <c r="A6971" s="34">
        <v>2084056874</v>
      </c>
      <c r="B6971" s="35" t="s">
        <v>462</v>
      </c>
      <c r="C6971" s="35" t="s">
        <v>405</v>
      </c>
      <c r="D6971" s="35" t="s">
        <v>1410</v>
      </c>
      <c r="E6971" s="35" t="s">
        <v>1416</v>
      </c>
      <c r="F6971" s="35" t="s">
        <v>390</v>
      </c>
      <c r="G6971" s="35" t="s">
        <v>10</v>
      </c>
      <c r="H6971" s="35" t="s">
        <v>421</v>
      </c>
    </row>
    <row r="6972" spans="1:8">
      <c r="A6972" s="34">
        <v>2084051240</v>
      </c>
      <c r="B6972" s="35" t="s">
        <v>462</v>
      </c>
      <c r="C6972" s="35" t="s">
        <v>405</v>
      </c>
      <c r="D6972" s="35" t="s">
        <v>1410</v>
      </c>
      <c r="E6972" s="35" t="s">
        <v>1416</v>
      </c>
      <c r="F6972" s="35" t="s">
        <v>390</v>
      </c>
      <c r="G6972" s="35" t="s">
        <v>10</v>
      </c>
      <c r="H6972" s="35" t="s">
        <v>398</v>
      </c>
    </row>
    <row r="6973" spans="1:8">
      <c r="A6973" s="34">
        <v>2084056875</v>
      </c>
      <c r="B6973" s="35" t="s">
        <v>462</v>
      </c>
      <c r="C6973" s="35" t="s">
        <v>405</v>
      </c>
      <c r="D6973" s="35" t="s">
        <v>1410</v>
      </c>
      <c r="E6973" s="35" t="s">
        <v>1416</v>
      </c>
      <c r="F6973" s="35" t="s">
        <v>390</v>
      </c>
      <c r="G6973" s="35" t="s">
        <v>10</v>
      </c>
      <c r="H6973" s="35" t="s">
        <v>422</v>
      </c>
    </row>
    <row r="6974" spans="1:8">
      <c r="A6974" s="34">
        <v>2084051242</v>
      </c>
      <c r="B6974" s="35" t="s">
        <v>462</v>
      </c>
      <c r="C6974" s="35" t="s">
        <v>405</v>
      </c>
      <c r="D6974" s="35" t="s">
        <v>1410</v>
      </c>
      <c r="E6974" s="35" t="s">
        <v>1416</v>
      </c>
      <c r="F6974" s="35" t="s">
        <v>390</v>
      </c>
      <c r="G6974" s="35" t="s">
        <v>10</v>
      </c>
      <c r="H6974" s="35" t="s">
        <v>335</v>
      </c>
    </row>
    <row r="6975" spans="1:8">
      <c r="A6975" s="34">
        <v>2084051244</v>
      </c>
      <c r="B6975" s="35" t="s">
        <v>462</v>
      </c>
      <c r="C6975" s="35" t="s">
        <v>405</v>
      </c>
      <c r="D6975" s="35" t="s">
        <v>1410</v>
      </c>
      <c r="E6975" s="35" t="s">
        <v>1416</v>
      </c>
      <c r="F6975" s="35" t="s">
        <v>390</v>
      </c>
      <c r="G6975" s="35" t="s">
        <v>379</v>
      </c>
      <c r="H6975" s="35" t="s">
        <v>476</v>
      </c>
    </row>
    <row r="6976" spans="1:8">
      <c r="A6976" s="34">
        <v>2084051245</v>
      </c>
      <c r="B6976" s="35" t="s">
        <v>462</v>
      </c>
      <c r="C6976" s="35" t="s">
        <v>405</v>
      </c>
      <c r="D6976" s="35" t="s">
        <v>1410</v>
      </c>
      <c r="E6976" s="35" t="s">
        <v>1416</v>
      </c>
      <c r="F6976" s="35" t="s">
        <v>390</v>
      </c>
      <c r="G6976" s="35" t="s">
        <v>379</v>
      </c>
      <c r="H6976" s="35" t="s">
        <v>335</v>
      </c>
    </row>
    <row r="6977" spans="1:8">
      <c r="A6977" s="34">
        <v>2084061685</v>
      </c>
      <c r="B6977" s="35" t="s">
        <v>462</v>
      </c>
      <c r="C6977" s="35" t="s">
        <v>405</v>
      </c>
      <c r="D6977" s="35" t="s">
        <v>1410</v>
      </c>
      <c r="E6977" s="35" t="s">
        <v>1416</v>
      </c>
      <c r="F6977" s="35" t="s">
        <v>390</v>
      </c>
      <c r="G6977" s="35" t="s">
        <v>478</v>
      </c>
    </row>
    <row r="6978" spans="1:8">
      <c r="A6978" s="34">
        <v>2084051235</v>
      </c>
      <c r="B6978" s="35" t="s">
        <v>462</v>
      </c>
      <c r="C6978" s="35" t="s">
        <v>405</v>
      </c>
      <c r="D6978" s="35" t="s">
        <v>1410</v>
      </c>
      <c r="E6978" s="35" t="s">
        <v>1416</v>
      </c>
      <c r="F6978" s="35" t="s">
        <v>390</v>
      </c>
      <c r="G6978" s="35" t="s">
        <v>335</v>
      </c>
    </row>
    <row r="6979" spans="1:8">
      <c r="A6979" s="34">
        <v>2084217283</v>
      </c>
      <c r="B6979" s="35" t="s">
        <v>462</v>
      </c>
      <c r="C6979" s="35" t="s">
        <v>405</v>
      </c>
      <c r="D6979" s="35" t="s">
        <v>1410</v>
      </c>
      <c r="E6979" s="35" t="s">
        <v>1416</v>
      </c>
      <c r="F6979" s="35" t="s">
        <v>353</v>
      </c>
      <c r="G6979" s="35" t="s">
        <v>954</v>
      </c>
      <c r="H6979" s="35" t="s">
        <v>374</v>
      </c>
    </row>
    <row r="6980" spans="1:8">
      <c r="A6980" s="34">
        <v>2084217284</v>
      </c>
      <c r="B6980" s="35" t="s">
        <v>462</v>
      </c>
      <c r="C6980" s="35" t="s">
        <v>405</v>
      </c>
      <c r="D6980" s="35" t="s">
        <v>1410</v>
      </c>
      <c r="E6980" s="35" t="s">
        <v>1416</v>
      </c>
      <c r="F6980" s="35" t="s">
        <v>353</v>
      </c>
      <c r="G6980" s="35" t="s">
        <v>954</v>
      </c>
      <c r="H6980" s="35" t="s">
        <v>375</v>
      </c>
    </row>
    <row r="6981" spans="1:8">
      <c r="A6981" s="34">
        <v>2084217285</v>
      </c>
      <c r="B6981" s="35" t="s">
        <v>462</v>
      </c>
      <c r="C6981" s="35" t="s">
        <v>405</v>
      </c>
      <c r="D6981" s="35" t="s">
        <v>1410</v>
      </c>
      <c r="E6981" s="35" t="s">
        <v>1416</v>
      </c>
      <c r="F6981" s="35" t="s">
        <v>353</v>
      </c>
      <c r="G6981" s="35" t="s">
        <v>954</v>
      </c>
      <c r="H6981" s="35" t="s">
        <v>393</v>
      </c>
    </row>
    <row r="6982" spans="1:8">
      <c r="A6982" s="34">
        <v>2084030686</v>
      </c>
      <c r="B6982" s="35" t="s">
        <v>462</v>
      </c>
      <c r="C6982" s="35" t="s">
        <v>405</v>
      </c>
      <c r="D6982" s="35" t="s">
        <v>1410</v>
      </c>
      <c r="E6982" s="35" t="s">
        <v>1416</v>
      </c>
      <c r="F6982" s="35" t="s">
        <v>353</v>
      </c>
      <c r="G6982" s="35" t="s">
        <v>481</v>
      </c>
    </row>
    <row r="6983" spans="1:8">
      <c r="A6983" s="34">
        <v>2084031596</v>
      </c>
      <c r="B6983" s="35" t="s">
        <v>462</v>
      </c>
      <c r="C6983" s="35" t="s">
        <v>405</v>
      </c>
      <c r="D6983" s="35" t="s">
        <v>1410</v>
      </c>
      <c r="E6983" s="35" t="s">
        <v>1416</v>
      </c>
      <c r="F6983" s="35" t="s">
        <v>353</v>
      </c>
      <c r="G6983" s="35" t="s">
        <v>483</v>
      </c>
    </row>
    <row r="6984" spans="1:8">
      <c r="A6984" s="34">
        <v>2084031473</v>
      </c>
      <c r="B6984" s="35" t="s">
        <v>462</v>
      </c>
      <c r="C6984" s="35" t="s">
        <v>405</v>
      </c>
      <c r="D6984" s="35" t="s">
        <v>1410</v>
      </c>
      <c r="E6984" s="35" t="s">
        <v>1416</v>
      </c>
      <c r="F6984" s="35" t="s">
        <v>353</v>
      </c>
      <c r="G6984" s="35" t="s">
        <v>482</v>
      </c>
    </row>
    <row r="6985" spans="1:8">
      <c r="A6985" s="34">
        <v>2084030249</v>
      </c>
      <c r="B6985" s="35" t="s">
        <v>462</v>
      </c>
      <c r="C6985" s="35" t="s">
        <v>405</v>
      </c>
      <c r="D6985" s="35" t="s">
        <v>1410</v>
      </c>
      <c r="E6985" s="35" t="s">
        <v>1416</v>
      </c>
      <c r="F6985" s="35" t="s">
        <v>353</v>
      </c>
      <c r="G6985" s="35" t="s">
        <v>493</v>
      </c>
    </row>
    <row r="6986" spans="1:8">
      <c r="A6986" s="34">
        <v>2084031384</v>
      </c>
      <c r="B6986" s="35" t="s">
        <v>462</v>
      </c>
      <c r="C6986" s="35" t="s">
        <v>405</v>
      </c>
      <c r="D6986" s="35" t="s">
        <v>1410</v>
      </c>
      <c r="E6986" s="35" t="s">
        <v>1416</v>
      </c>
      <c r="F6986" s="35" t="s">
        <v>353</v>
      </c>
      <c r="G6986" s="35" t="s">
        <v>494</v>
      </c>
    </row>
    <row r="6987" spans="1:8">
      <c r="A6987" s="34">
        <v>2084051232</v>
      </c>
      <c r="B6987" s="35" t="s">
        <v>462</v>
      </c>
      <c r="C6987" s="35" t="s">
        <v>405</v>
      </c>
      <c r="D6987" s="35" t="s">
        <v>1410</v>
      </c>
      <c r="E6987" s="35" t="s">
        <v>1416</v>
      </c>
      <c r="F6987" s="35" t="s">
        <v>353</v>
      </c>
      <c r="G6987" s="35" t="s">
        <v>403</v>
      </c>
    </row>
    <row r="6988" spans="1:8">
      <c r="A6988" s="34">
        <v>2084031532</v>
      </c>
      <c r="B6988" s="35" t="s">
        <v>462</v>
      </c>
      <c r="C6988" s="35" t="s">
        <v>405</v>
      </c>
      <c r="D6988" s="35" t="s">
        <v>1410</v>
      </c>
      <c r="E6988" s="35" t="s">
        <v>1416</v>
      </c>
      <c r="F6988" s="35" t="s">
        <v>353</v>
      </c>
      <c r="G6988" s="35" t="s">
        <v>397</v>
      </c>
    </row>
    <row r="6989" spans="1:8">
      <c r="A6989" s="34">
        <v>2084221899</v>
      </c>
      <c r="B6989" s="35" t="s">
        <v>462</v>
      </c>
      <c r="C6989" s="35" t="s">
        <v>405</v>
      </c>
      <c r="D6989" s="35" t="s">
        <v>1410</v>
      </c>
      <c r="E6989" s="35" t="s">
        <v>1416</v>
      </c>
      <c r="F6989" s="35" t="s">
        <v>353</v>
      </c>
      <c r="G6989" s="35" t="s">
        <v>887</v>
      </c>
      <c r="H6989" s="35" t="s">
        <v>391</v>
      </c>
    </row>
    <row r="6990" spans="1:8">
      <c r="A6990" s="34">
        <v>2084221900</v>
      </c>
      <c r="B6990" s="35" t="s">
        <v>462</v>
      </c>
      <c r="C6990" s="35" t="s">
        <v>405</v>
      </c>
      <c r="D6990" s="35" t="s">
        <v>1410</v>
      </c>
      <c r="E6990" s="35" t="s">
        <v>1416</v>
      </c>
      <c r="F6990" s="35" t="s">
        <v>353</v>
      </c>
      <c r="G6990" s="35" t="s">
        <v>887</v>
      </c>
      <c r="H6990" s="35" t="s">
        <v>392</v>
      </c>
    </row>
    <row r="6991" spans="1:8">
      <c r="A6991" s="34">
        <v>2084221901</v>
      </c>
      <c r="B6991" s="35" t="s">
        <v>462</v>
      </c>
      <c r="C6991" s="35" t="s">
        <v>405</v>
      </c>
      <c r="D6991" s="35" t="s">
        <v>1410</v>
      </c>
      <c r="E6991" s="35" t="s">
        <v>1416</v>
      </c>
      <c r="F6991" s="35" t="s">
        <v>353</v>
      </c>
      <c r="G6991" s="35" t="s">
        <v>887</v>
      </c>
      <c r="H6991" s="35" t="s">
        <v>375</v>
      </c>
    </row>
    <row r="6992" spans="1:8">
      <c r="A6992" s="34">
        <v>2084221902</v>
      </c>
      <c r="B6992" s="35" t="s">
        <v>462</v>
      </c>
      <c r="C6992" s="35" t="s">
        <v>405</v>
      </c>
      <c r="D6992" s="35" t="s">
        <v>1410</v>
      </c>
      <c r="E6992" s="35" t="s">
        <v>1416</v>
      </c>
      <c r="F6992" s="35" t="s">
        <v>353</v>
      </c>
      <c r="G6992" s="35" t="s">
        <v>887</v>
      </c>
      <c r="H6992" s="35" t="s">
        <v>376</v>
      </c>
    </row>
    <row r="6993" spans="1:8">
      <c r="A6993" s="34">
        <v>2084221903</v>
      </c>
      <c r="B6993" s="35" t="s">
        <v>462</v>
      </c>
      <c r="C6993" s="35" t="s">
        <v>405</v>
      </c>
      <c r="D6993" s="35" t="s">
        <v>1410</v>
      </c>
      <c r="E6993" s="35" t="s">
        <v>1416</v>
      </c>
      <c r="F6993" s="35" t="s">
        <v>353</v>
      </c>
      <c r="G6993" s="35" t="s">
        <v>887</v>
      </c>
      <c r="H6993" s="35" t="s">
        <v>377</v>
      </c>
    </row>
    <row r="6994" spans="1:8">
      <c r="A6994" s="34">
        <v>2084031560</v>
      </c>
      <c r="B6994" s="35" t="s">
        <v>462</v>
      </c>
      <c r="C6994" s="35" t="s">
        <v>405</v>
      </c>
      <c r="D6994" s="35" t="s">
        <v>1410</v>
      </c>
      <c r="E6994" s="35" t="s">
        <v>1416</v>
      </c>
      <c r="F6994" s="35" t="s">
        <v>353</v>
      </c>
      <c r="G6994" s="35" t="s">
        <v>398</v>
      </c>
    </row>
    <row r="6995" spans="1:8">
      <c r="A6995" s="34">
        <v>2084030334</v>
      </c>
      <c r="B6995" s="35" t="s">
        <v>462</v>
      </c>
      <c r="C6995" s="35" t="s">
        <v>405</v>
      </c>
      <c r="D6995" s="35" t="s">
        <v>1410</v>
      </c>
      <c r="E6995" s="35" t="s">
        <v>1416</v>
      </c>
      <c r="F6995" s="35" t="s">
        <v>353</v>
      </c>
      <c r="G6995" s="35" t="s">
        <v>422</v>
      </c>
    </row>
    <row r="6996" spans="1:8">
      <c r="A6996" s="34">
        <v>2084053603</v>
      </c>
      <c r="B6996" s="35" t="s">
        <v>462</v>
      </c>
      <c r="C6996" s="35" t="s">
        <v>405</v>
      </c>
      <c r="D6996" s="35" t="s">
        <v>1410</v>
      </c>
      <c r="E6996" s="35" t="s">
        <v>1416</v>
      </c>
      <c r="F6996" s="35" t="s">
        <v>353</v>
      </c>
      <c r="G6996" s="35" t="s">
        <v>549</v>
      </c>
    </row>
    <row r="6997" spans="1:8">
      <c r="A6997" s="34">
        <v>2084051233</v>
      </c>
      <c r="B6997" s="35" t="s">
        <v>462</v>
      </c>
      <c r="C6997" s="35" t="s">
        <v>405</v>
      </c>
      <c r="D6997" s="35" t="s">
        <v>1410</v>
      </c>
      <c r="E6997" s="35" t="s">
        <v>1416</v>
      </c>
      <c r="F6997" s="35" t="s">
        <v>353</v>
      </c>
      <c r="G6997" s="35" t="s">
        <v>335</v>
      </c>
    </row>
    <row r="6998" spans="1:8">
      <c r="A6998" s="34">
        <v>2084061690</v>
      </c>
      <c r="B6998" s="35" t="s">
        <v>462</v>
      </c>
      <c r="C6998" s="35" t="s">
        <v>405</v>
      </c>
      <c r="D6998" s="35" t="s">
        <v>1410</v>
      </c>
      <c r="E6998" s="35" t="s">
        <v>1416</v>
      </c>
      <c r="F6998" s="35" t="s">
        <v>442</v>
      </c>
      <c r="G6998" s="35" t="s">
        <v>445</v>
      </c>
    </row>
    <row r="6999" spans="1:8">
      <c r="A6999" s="34">
        <v>2084061691</v>
      </c>
      <c r="B6999" s="35" t="s">
        <v>462</v>
      </c>
      <c r="C6999" s="35" t="s">
        <v>405</v>
      </c>
      <c r="D6999" s="35" t="s">
        <v>1410</v>
      </c>
      <c r="E6999" s="35" t="s">
        <v>1416</v>
      </c>
      <c r="F6999" s="35" t="s">
        <v>442</v>
      </c>
      <c r="G6999" s="35" t="s">
        <v>335</v>
      </c>
    </row>
    <row r="7000" spans="1:8">
      <c r="A7000" s="34">
        <v>2084048716</v>
      </c>
      <c r="B7000" s="35" t="s">
        <v>462</v>
      </c>
      <c r="C7000" s="35" t="s">
        <v>405</v>
      </c>
      <c r="D7000" s="35" t="s">
        <v>1410</v>
      </c>
      <c r="E7000" s="35" t="s">
        <v>1416</v>
      </c>
      <c r="F7000" s="35" t="s">
        <v>335</v>
      </c>
    </row>
    <row r="7001" spans="1:8">
      <c r="A7001" s="34">
        <v>2084260058</v>
      </c>
      <c r="B7001" s="35" t="s">
        <v>462</v>
      </c>
      <c r="C7001" s="35" t="s">
        <v>405</v>
      </c>
      <c r="D7001" s="35" t="s">
        <v>1410</v>
      </c>
      <c r="E7001" s="35" t="s">
        <v>1417</v>
      </c>
    </row>
    <row r="7002" spans="1:8">
      <c r="A7002" s="34">
        <v>2084055481</v>
      </c>
      <c r="B7002" s="35" t="s">
        <v>462</v>
      </c>
      <c r="C7002" s="35" t="s">
        <v>405</v>
      </c>
      <c r="D7002" s="35" t="s">
        <v>1410</v>
      </c>
      <c r="E7002" s="35" t="s">
        <v>1418</v>
      </c>
      <c r="F7002" s="35" t="s">
        <v>390</v>
      </c>
      <c r="G7002" s="35" t="s">
        <v>367</v>
      </c>
    </row>
    <row r="7003" spans="1:8">
      <c r="A7003" s="34">
        <v>2084055483</v>
      </c>
      <c r="B7003" s="35" t="s">
        <v>462</v>
      </c>
      <c r="C7003" s="35" t="s">
        <v>405</v>
      </c>
      <c r="D7003" s="35" t="s">
        <v>1410</v>
      </c>
      <c r="E7003" s="35" t="s">
        <v>1418</v>
      </c>
      <c r="F7003" s="35" t="s">
        <v>390</v>
      </c>
      <c r="G7003" s="35" t="s">
        <v>368</v>
      </c>
      <c r="H7003" s="35" t="s">
        <v>481</v>
      </c>
    </row>
    <row r="7004" spans="1:8">
      <c r="A7004" s="34">
        <v>2084055484</v>
      </c>
      <c r="B7004" s="35" t="s">
        <v>462</v>
      </c>
      <c r="C7004" s="35" t="s">
        <v>405</v>
      </c>
      <c r="D7004" s="35" t="s">
        <v>1410</v>
      </c>
      <c r="E7004" s="35" t="s">
        <v>1418</v>
      </c>
      <c r="F7004" s="35" t="s">
        <v>390</v>
      </c>
      <c r="G7004" s="35" t="s">
        <v>368</v>
      </c>
      <c r="H7004" s="35" t="s">
        <v>335</v>
      </c>
    </row>
    <row r="7005" spans="1:8">
      <c r="A7005" s="34">
        <v>2084055486</v>
      </c>
      <c r="B7005" s="35" t="s">
        <v>462</v>
      </c>
      <c r="C7005" s="35" t="s">
        <v>405</v>
      </c>
      <c r="D7005" s="35" t="s">
        <v>1410</v>
      </c>
      <c r="E7005" s="35" t="s">
        <v>1418</v>
      </c>
      <c r="F7005" s="35" t="s">
        <v>390</v>
      </c>
      <c r="G7005" s="35" t="s">
        <v>10</v>
      </c>
      <c r="H7005" s="35" t="s">
        <v>483</v>
      </c>
    </row>
    <row r="7006" spans="1:8">
      <c r="A7006" s="34">
        <v>2084055490</v>
      </c>
      <c r="B7006" s="35" t="s">
        <v>462</v>
      </c>
      <c r="C7006" s="35" t="s">
        <v>405</v>
      </c>
      <c r="D7006" s="35" t="s">
        <v>1410</v>
      </c>
      <c r="E7006" s="35" t="s">
        <v>1418</v>
      </c>
      <c r="F7006" s="35" t="s">
        <v>390</v>
      </c>
      <c r="G7006" s="35" t="s">
        <v>10</v>
      </c>
      <c r="H7006" s="35" t="s">
        <v>397</v>
      </c>
    </row>
    <row r="7007" spans="1:8">
      <c r="A7007" s="34">
        <v>2084055489</v>
      </c>
      <c r="B7007" s="35" t="s">
        <v>462</v>
      </c>
      <c r="C7007" s="35" t="s">
        <v>405</v>
      </c>
      <c r="D7007" s="35" t="s">
        <v>1410</v>
      </c>
      <c r="E7007" s="35" t="s">
        <v>1418</v>
      </c>
      <c r="F7007" s="35" t="s">
        <v>390</v>
      </c>
      <c r="G7007" s="35" t="s">
        <v>10</v>
      </c>
      <c r="H7007" s="35" t="s">
        <v>421</v>
      </c>
    </row>
    <row r="7008" spans="1:8">
      <c r="A7008" s="34">
        <v>2084055488</v>
      </c>
      <c r="B7008" s="35" t="s">
        <v>462</v>
      </c>
      <c r="C7008" s="35" t="s">
        <v>405</v>
      </c>
      <c r="D7008" s="35" t="s">
        <v>1410</v>
      </c>
      <c r="E7008" s="35" t="s">
        <v>1418</v>
      </c>
      <c r="F7008" s="35" t="s">
        <v>390</v>
      </c>
      <c r="G7008" s="35" t="s">
        <v>10</v>
      </c>
      <c r="H7008" s="35" t="s">
        <v>398</v>
      </c>
    </row>
    <row r="7009" spans="1:8">
      <c r="A7009" s="34">
        <v>2084055487</v>
      </c>
      <c r="B7009" s="35" t="s">
        <v>462</v>
      </c>
      <c r="C7009" s="35" t="s">
        <v>405</v>
      </c>
      <c r="D7009" s="35" t="s">
        <v>1410</v>
      </c>
      <c r="E7009" s="35" t="s">
        <v>1418</v>
      </c>
      <c r="F7009" s="35" t="s">
        <v>390</v>
      </c>
      <c r="G7009" s="35" t="s">
        <v>10</v>
      </c>
      <c r="H7009" s="35" t="s">
        <v>422</v>
      </c>
    </row>
    <row r="7010" spans="1:8">
      <c r="A7010" s="34">
        <v>2084055491</v>
      </c>
      <c r="B7010" s="35" t="s">
        <v>462</v>
      </c>
      <c r="C7010" s="35" t="s">
        <v>405</v>
      </c>
      <c r="D7010" s="35" t="s">
        <v>1410</v>
      </c>
      <c r="E7010" s="35" t="s">
        <v>1418</v>
      </c>
      <c r="F7010" s="35" t="s">
        <v>390</v>
      </c>
      <c r="G7010" s="35" t="s">
        <v>10</v>
      </c>
      <c r="H7010" s="35" t="s">
        <v>335</v>
      </c>
    </row>
    <row r="7011" spans="1:8">
      <c r="A7011" s="34">
        <v>2084055493</v>
      </c>
      <c r="B7011" s="35" t="s">
        <v>462</v>
      </c>
      <c r="C7011" s="35" t="s">
        <v>405</v>
      </c>
      <c r="D7011" s="35" t="s">
        <v>1410</v>
      </c>
      <c r="E7011" s="35" t="s">
        <v>1418</v>
      </c>
      <c r="F7011" s="35" t="s">
        <v>390</v>
      </c>
      <c r="G7011" s="35" t="s">
        <v>379</v>
      </c>
      <c r="H7011" s="35" t="s">
        <v>476</v>
      </c>
    </row>
    <row r="7012" spans="1:8">
      <c r="A7012" s="34">
        <v>2084055494</v>
      </c>
      <c r="B7012" s="35" t="s">
        <v>462</v>
      </c>
      <c r="C7012" s="35" t="s">
        <v>405</v>
      </c>
      <c r="D7012" s="35" t="s">
        <v>1410</v>
      </c>
      <c r="E7012" s="35" t="s">
        <v>1418</v>
      </c>
      <c r="F7012" s="35" t="s">
        <v>390</v>
      </c>
      <c r="G7012" s="35" t="s">
        <v>379</v>
      </c>
      <c r="H7012" s="35" t="s">
        <v>335</v>
      </c>
    </row>
    <row r="7013" spans="1:8">
      <c r="A7013" s="34">
        <v>2084055668</v>
      </c>
      <c r="B7013" s="35" t="s">
        <v>462</v>
      </c>
      <c r="C7013" s="35" t="s">
        <v>405</v>
      </c>
      <c r="D7013" s="35" t="s">
        <v>1410</v>
      </c>
      <c r="E7013" s="35" t="s">
        <v>1418</v>
      </c>
      <c r="F7013" s="35" t="s">
        <v>390</v>
      </c>
      <c r="G7013" s="35" t="s">
        <v>335</v>
      </c>
    </row>
    <row r="7014" spans="1:8">
      <c r="A7014" s="34">
        <v>2084055465</v>
      </c>
      <c r="B7014" s="35" t="s">
        <v>462</v>
      </c>
      <c r="C7014" s="35" t="s">
        <v>405</v>
      </c>
      <c r="D7014" s="35" t="s">
        <v>1410</v>
      </c>
      <c r="E7014" s="35" t="s">
        <v>1418</v>
      </c>
      <c r="F7014" s="35" t="s">
        <v>353</v>
      </c>
      <c r="G7014" s="35" t="s">
        <v>367</v>
      </c>
    </row>
    <row r="7015" spans="1:8">
      <c r="A7015" s="34">
        <v>2084055467</v>
      </c>
      <c r="B7015" s="35" t="s">
        <v>462</v>
      </c>
      <c r="C7015" s="35" t="s">
        <v>405</v>
      </c>
      <c r="D7015" s="35" t="s">
        <v>1410</v>
      </c>
      <c r="E7015" s="35" t="s">
        <v>1418</v>
      </c>
      <c r="F7015" s="35" t="s">
        <v>353</v>
      </c>
      <c r="G7015" s="35" t="s">
        <v>368</v>
      </c>
      <c r="H7015" s="35" t="s">
        <v>481</v>
      </c>
    </row>
    <row r="7016" spans="1:8">
      <c r="A7016" s="34">
        <v>2084055468</v>
      </c>
      <c r="B7016" s="35" t="s">
        <v>462</v>
      </c>
      <c r="C7016" s="35" t="s">
        <v>405</v>
      </c>
      <c r="D7016" s="35" t="s">
        <v>1410</v>
      </c>
      <c r="E7016" s="35" t="s">
        <v>1418</v>
      </c>
      <c r="F7016" s="35" t="s">
        <v>353</v>
      </c>
      <c r="G7016" s="35" t="s">
        <v>368</v>
      </c>
      <c r="H7016" s="35" t="s">
        <v>335</v>
      </c>
    </row>
    <row r="7017" spans="1:8">
      <c r="A7017" s="34">
        <v>2084055470</v>
      </c>
      <c r="B7017" s="35" t="s">
        <v>462</v>
      </c>
      <c r="C7017" s="35" t="s">
        <v>405</v>
      </c>
      <c r="D7017" s="35" t="s">
        <v>1410</v>
      </c>
      <c r="E7017" s="35" t="s">
        <v>1418</v>
      </c>
      <c r="F7017" s="35" t="s">
        <v>353</v>
      </c>
      <c r="G7017" s="35" t="s">
        <v>10</v>
      </c>
      <c r="H7017" s="35" t="s">
        <v>483</v>
      </c>
    </row>
    <row r="7018" spans="1:8">
      <c r="A7018" s="34">
        <v>2084055473</v>
      </c>
      <c r="B7018" s="35" t="s">
        <v>462</v>
      </c>
      <c r="C7018" s="35" t="s">
        <v>405</v>
      </c>
      <c r="D7018" s="35" t="s">
        <v>1410</v>
      </c>
      <c r="E7018" s="35" t="s">
        <v>1418</v>
      </c>
      <c r="F7018" s="35" t="s">
        <v>353</v>
      </c>
      <c r="G7018" s="35" t="s">
        <v>10</v>
      </c>
      <c r="H7018" s="35" t="s">
        <v>397</v>
      </c>
    </row>
    <row r="7019" spans="1:8">
      <c r="A7019" s="34">
        <v>2084055474</v>
      </c>
      <c r="B7019" s="35" t="s">
        <v>462</v>
      </c>
      <c r="C7019" s="35" t="s">
        <v>405</v>
      </c>
      <c r="D7019" s="35" t="s">
        <v>1410</v>
      </c>
      <c r="E7019" s="35" t="s">
        <v>1418</v>
      </c>
      <c r="F7019" s="35" t="s">
        <v>353</v>
      </c>
      <c r="G7019" s="35" t="s">
        <v>10</v>
      </c>
      <c r="H7019" s="35" t="s">
        <v>421</v>
      </c>
    </row>
    <row r="7020" spans="1:8">
      <c r="A7020" s="34">
        <v>2084055472</v>
      </c>
      <c r="B7020" s="35" t="s">
        <v>462</v>
      </c>
      <c r="C7020" s="35" t="s">
        <v>405</v>
      </c>
      <c r="D7020" s="35" t="s">
        <v>1410</v>
      </c>
      <c r="E7020" s="35" t="s">
        <v>1418</v>
      </c>
      <c r="F7020" s="35" t="s">
        <v>353</v>
      </c>
      <c r="G7020" s="35" t="s">
        <v>10</v>
      </c>
      <c r="H7020" s="35" t="s">
        <v>398</v>
      </c>
    </row>
    <row r="7021" spans="1:8">
      <c r="A7021" s="34">
        <v>2084055471</v>
      </c>
      <c r="B7021" s="35" t="s">
        <v>462</v>
      </c>
      <c r="C7021" s="35" t="s">
        <v>405</v>
      </c>
      <c r="D7021" s="35" t="s">
        <v>1410</v>
      </c>
      <c r="E7021" s="35" t="s">
        <v>1418</v>
      </c>
      <c r="F7021" s="35" t="s">
        <v>353</v>
      </c>
      <c r="G7021" s="35" t="s">
        <v>10</v>
      </c>
      <c r="H7021" s="35" t="s">
        <v>422</v>
      </c>
    </row>
    <row r="7022" spans="1:8">
      <c r="A7022" s="34">
        <v>2084055475</v>
      </c>
      <c r="B7022" s="35" t="s">
        <v>462</v>
      </c>
      <c r="C7022" s="35" t="s">
        <v>405</v>
      </c>
      <c r="D7022" s="35" t="s">
        <v>1410</v>
      </c>
      <c r="E7022" s="35" t="s">
        <v>1418</v>
      </c>
      <c r="F7022" s="35" t="s">
        <v>353</v>
      </c>
      <c r="G7022" s="35" t="s">
        <v>10</v>
      </c>
      <c r="H7022" s="35" t="s">
        <v>335</v>
      </c>
    </row>
    <row r="7023" spans="1:8">
      <c r="A7023" s="34">
        <v>2084055477</v>
      </c>
      <c r="B7023" s="35" t="s">
        <v>462</v>
      </c>
      <c r="C7023" s="35" t="s">
        <v>405</v>
      </c>
      <c r="D7023" s="35" t="s">
        <v>1410</v>
      </c>
      <c r="E7023" s="35" t="s">
        <v>1418</v>
      </c>
      <c r="F7023" s="35" t="s">
        <v>353</v>
      </c>
      <c r="G7023" s="35" t="s">
        <v>379</v>
      </c>
      <c r="H7023" s="35" t="s">
        <v>495</v>
      </c>
    </row>
    <row r="7024" spans="1:8">
      <c r="A7024" s="34">
        <v>2084055478</v>
      </c>
      <c r="B7024" s="35" t="s">
        <v>462</v>
      </c>
      <c r="C7024" s="35" t="s">
        <v>405</v>
      </c>
      <c r="D7024" s="35" t="s">
        <v>1410</v>
      </c>
      <c r="E7024" s="35" t="s">
        <v>1418</v>
      </c>
      <c r="F7024" s="35" t="s">
        <v>353</v>
      </c>
      <c r="G7024" s="35" t="s">
        <v>379</v>
      </c>
      <c r="H7024" s="35" t="s">
        <v>545</v>
      </c>
    </row>
    <row r="7025" spans="1:8">
      <c r="A7025" s="34">
        <v>2084055479</v>
      </c>
      <c r="B7025" s="35" t="s">
        <v>462</v>
      </c>
      <c r="C7025" s="35" t="s">
        <v>405</v>
      </c>
      <c r="D7025" s="35" t="s">
        <v>1410</v>
      </c>
      <c r="E7025" s="35" t="s">
        <v>1418</v>
      </c>
      <c r="F7025" s="35" t="s">
        <v>353</v>
      </c>
      <c r="G7025" s="35" t="s">
        <v>379</v>
      </c>
      <c r="H7025" s="35" t="s">
        <v>335</v>
      </c>
    </row>
    <row r="7026" spans="1:8">
      <c r="A7026" s="34">
        <v>2084055480</v>
      </c>
      <c r="B7026" s="35" t="s">
        <v>462</v>
      </c>
      <c r="C7026" s="35" t="s">
        <v>405</v>
      </c>
      <c r="D7026" s="35" t="s">
        <v>1410</v>
      </c>
      <c r="E7026" s="35" t="s">
        <v>1418</v>
      </c>
      <c r="F7026" s="35" t="s">
        <v>353</v>
      </c>
      <c r="G7026" s="35" t="s">
        <v>335</v>
      </c>
    </row>
    <row r="7027" spans="1:8">
      <c r="A7027" s="34">
        <v>2084055464</v>
      </c>
      <c r="B7027" s="35" t="s">
        <v>462</v>
      </c>
      <c r="C7027" s="35" t="s">
        <v>405</v>
      </c>
      <c r="D7027" s="35" t="s">
        <v>1410</v>
      </c>
      <c r="E7027" s="35" t="s">
        <v>1418</v>
      </c>
      <c r="F7027" s="35" t="s">
        <v>335</v>
      </c>
    </row>
    <row r="7028" spans="1:8">
      <c r="A7028" s="34">
        <v>2084205012</v>
      </c>
      <c r="B7028" s="35" t="s">
        <v>462</v>
      </c>
      <c r="C7028" s="35" t="s">
        <v>405</v>
      </c>
      <c r="D7028" s="35" t="s">
        <v>1410</v>
      </c>
      <c r="E7028" s="35" t="s">
        <v>1419</v>
      </c>
      <c r="F7028" s="35" t="s">
        <v>407</v>
      </c>
    </row>
    <row r="7029" spans="1:8">
      <c r="A7029" s="34">
        <v>2084205011</v>
      </c>
      <c r="B7029" s="35" t="s">
        <v>462</v>
      </c>
      <c r="C7029" s="35" t="s">
        <v>405</v>
      </c>
      <c r="D7029" s="35" t="s">
        <v>1410</v>
      </c>
      <c r="E7029" s="35" t="s">
        <v>1419</v>
      </c>
      <c r="F7029" s="35" t="s">
        <v>408</v>
      </c>
    </row>
    <row r="7030" spans="1:8">
      <c r="A7030" s="34">
        <v>2084205013</v>
      </c>
      <c r="B7030" s="35" t="s">
        <v>462</v>
      </c>
      <c r="C7030" s="35" t="s">
        <v>405</v>
      </c>
      <c r="D7030" s="35" t="s">
        <v>1410</v>
      </c>
      <c r="E7030" s="35" t="s">
        <v>1419</v>
      </c>
      <c r="F7030" s="35" t="s">
        <v>335</v>
      </c>
    </row>
    <row r="7031" spans="1:8">
      <c r="A7031" s="34">
        <v>2084283997</v>
      </c>
      <c r="B7031" s="35" t="s">
        <v>462</v>
      </c>
      <c r="C7031" s="35" t="s">
        <v>405</v>
      </c>
      <c r="D7031" s="35" t="s">
        <v>1410</v>
      </c>
      <c r="E7031" s="35" t="s">
        <v>1420</v>
      </c>
    </row>
    <row r="7032" spans="1:8">
      <c r="A7032" s="34">
        <v>2084283998</v>
      </c>
      <c r="B7032" s="35" t="s">
        <v>462</v>
      </c>
      <c r="C7032" s="35" t="s">
        <v>405</v>
      </c>
      <c r="D7032" s="35" t="s">
        <v>1410</v>
      </c>
      <c r="E7032" s="35" t="s">
        <v>1421</v>
      </c>
    </row>
    <row r="7033" spans="1:8">
      <c r="A7033" s="34">
        <v>2084050332</v>
      </c>
      <c r="B7033" s="35" t="s">
        <v>462</v>
      </c>
      <c r="C7033" s="35" t="s">
        <v>405</v>
      </c>
      <c r="D7033" s="35" t="s">
        <v>1410</v>
      </c>
      <c r="E7033" s="35" t="s">
        <v>1422</v>
      </c>
    </row>
    <row r="7034" spans="1:8">
      <c r="A7034" s="34">
        <v>2084054907</v>
      </c>
      <c r="B7034" s="35" t="s">
        <v>462</v>
      </c>
      <c r="C7034" s="35" t="s">
        <v>405</v>
      </c>
      <c r="D7034" s="35" t="s">
        <v>1410</v>
      </c>
      <c r="E7034" s="35" t="s">
        <v>1423</v>
      </c>
      <c r="F7034" s="35" t="s">
        <v>587</v>
      </c>
      <c r="G7034" s="35" t="s">
        <v>1424</v>
      </c>
    </row>
    <row r="7035" spans="1:8">
      <c r="A7035" s="34">
        <v>2084054908</v>
      </c>
      <c r="B7035" s="35" t="s">
        <v>462</v>
      </c>
      <c r="C7035" s="35" t="s">
        <v>405</v>
      </c>
      <c r="D7035" s="35" t="s">
        <v>1410</v>
      </c>
      <c r="E7035" s="35" t="s">
        <v>1423</v>
      </c>
      <c r="F7035" s="35" t="s">
        <v>587</v>
      </c>
      <c r="G7035" s="35" t="s">
        <v>907</v>
      </c>
    </row>
    <row r="7036" spans="1:8">
      <c r="A7036" s="34">
        <v>2084054909</v>
      </c>
      <c r="B7036" s="35" t="s">
        <v>462</v>
      </c>
      <c r="C7036" s="35" t="s">
        <v>405</v>
      </c>
      <c r="D7036" s="35" t="s">
        <v>1410</v>
      </c>
      <c r="E7036" s="35" t="s">
        <v>1423</v>
      </c>
      <c r="F7036" s="35" t="s">
        <v>587</v>
      </c>
      <c r="G7036" s="35" t="s">
        <v>588</v>
      </c>
    </row>
    <row r="7037" spans="1:8">
      <c r="A7037" s="34">
        <v>2084054910</v>
      </c>
      <c r="B7037" s="35" t="s">
        <v>462</v>
      </c>
      <c r="C7037" s="35" t="s">
        <v>405</v>
      </c>
      <c r="D7037" s="35" t="s">
        <v>1410</v>
      </c>
      <c r="E7037" s="35" t="s">
        <v>1423</v>
      </c>
      <c r="F7037" s="35" t="s">
        <v>587</v>
      </c>
      <c r="G7037" s="35" t="s">
        <v>910</v>
      </c>
    </row>
    <row r="7038" spans="1:8">
      <c r="A7038" s="34">
        <v>2084054912</v>
      </c>
      <c r="B7038" s="35" t="s">
        <v>462</v>
      </c>
      <c r="C7038" s="35" t="s">
        <v>405</v>
      </c>
      <c r="D7038" s="35" t="s">
        <v>1410</v>
      </c>
      <c r="E7038" s="35" t="s">
        <v>1423</v>
      </c>
      <c r="F7038" s="35" t="s">
        <v>587</v>
      </c>
      <c r="G7038" s="35" t="s">
        <v>911</v>
      </c>
    </row>
    <row r="7039" spans="1:8">
      <c r="A7039" s="34">
        <v>2084054906</v>
      </c>
      <c r="B7039" s="35" t="s">
        <v>462</v>
      </c>
      <c r="C7039" s="35" t="s">
        <v>405</v>
      </c>
      <c r="D7039" s="35" t="s">
        <v>1410</v>
      </c>
      <c r="E7039" s="35" t="s">
        <v>1423</v>
      </c>
      <c r="F7039" s="35" t="s">
        <v>587</v>
      </c>
      <c r="G7039" s="35" t="s">
        <v>1425</v>
      </c>
    </row>
    <row r="7040" spans="1:8">
      <c r="A7040" s="34">
        <v>2084054913</v>
      </c>
      <c r="B7040" s="35" t="s">
        <v>462</v>
      </c>
      <c r="C7040" s="35" t="s">
        <v>405</v>
      </c>
      <c r="D7040" s="35" t="s">
        <v>1410</v>
      </c>
      <c r="E7040" s="35" t="s">
        <v>1423</v>
      </c>
      <c r="F7040" s="35" t="s">
        <v>587</v>
      </c>
      <c r="G7040" s="35" t="s">
        <v>335</v>
      </c>
    </row>
    <row r="7041" spans="1:7">
      <c r="A7041" s="34">
        <v>2084054941</v>
      </c>
      <c r="B7041" s="35" t="s">
        <v>462</v>
      </c>
      <c r="C7041" s="35" t="s">
        <v>405</v>
      </c>
      <c r="D7041" s="35" t="s">
        <v>1410</v>
      </c>
      <c r="E7041" s="35" t="s">
        <v>1423</v>
      </c>
      <c r="F7041" s="35" t="s">
        <v>442</v>
      </c>
      <c r="G7041" s="35" t="s">
        <v>1426</v>
      </c>
    </row>
    <row r="7042" spans="1:7">
      <c r="A7042" s="34">
        <v>2084054916</v>
      </c>
      <c r="B7042" s="35" t="s">
        <v>462</v>
      </c>
      <c r="C7042" s="35" t="s">
        <v>405</v>
      </c>
      <c r="D7042" s="35" t="s">
        <v>1410</v>
      </c>
      <c r="E7042" s="35" t="s">
        <v>1423</v>
      </c>
      <c r="F7042" s="35" t="s">
        <v>442</v>
      </c>
      <c r="G7042" s="35" t="s">
        <v>504</v>
      </c>
    </row>
    <row r="7043" spans="1:7">
      <c r="A7043" s="34">
        <v>2084054918</v>
      </c>
      <c r="B7043" s="35" t="s">
        <v>462</v>
      </c>
      <c r="C7043" s="35" t="s">
        <v>405</v>
      </c>
      <c r="D7043" s="35" t="s">
        <v>1410</v>
      </c>
      <c r="E7043" s="35" t="s">
        <v>1423</v>
      </c>
      <c r="F7043" s="35" t="s">
        <v>442</v>
      </c>
      <c r="G7043" s="35" t="s">
        <v>335</v>
      </c>
    </row>
    <row r="7044" spans="1:7">
      <c r="A7044" s="34">
        <v>2084054905</v>
      </c>
      <c r="B7044" s="35" t="s">
        <v>462</v>
      </c>
      <c r="C7044" s="35" t="s">
        <v>405</v>
      </c>
      <c r="D7044" s="35" t="s">
        <v>1410</v>
      </c>
      <c r="E7044" s="35" t="s">
        <v>1423</v>
      </c>
      <c r="F7044" s="35" t="s">
        <v>335</v>
      </c>
    </row>
    <row r="7045" spans="1:7">
      <c r="A7045" s="34">
        <v>2084284019</v>
      </c>
      <c r="B7045" s="35" t="s">
        <v>462</v>
      </c>
      <c r="C7045" s="35" t="s">
        <v>405</v>
      </c>
      <c r="D7045" s="35" t="s">
        <v>1410</v>
      </c>
      <c r="E7045" s="35" t="s">
        <v>1427</v>
      </c>
    </row>
    <row r="7046" spans="1:7">
      <c r="A7046" s="34">
        <v>2084211117</v>
      </c>
      <c r="B7046" s="35" t="s">
        <v>462</v>
      </c>
      <c r="C7046" s="35" t="s">
        <v>405</v>
      </c>
      <c r="D7046" s="35" t="s">
        <v>1428</v>
      </c>
      <c r="E7046" s="35" t="s">
        <v>1429</v>
      </c>
      <c r="F7046" s="35" t="s">
        <v>367</v>
      </c>
    </row>
    <row r="7047" spans="1:7">
      <c r="A7047" s="34">
        <v>2084211120</v>
      </c>
      <c r="B7047" s="35" t="s">
        <v>462</v>
      </c>
      <c r="C7047" s="35" t="s">
        <v>405</v>
      </c>
      <c r="D7047" s="35" t="s">
        <v>1428</v>
      </c>
      <c r="E7047" s="35" t="s">
        <v>1429</v>
      </c>
      <c r="F7047" s="35" t="s">
        <v>368</v>
      </c>
      <c r="G7047" s="35" t="s">
        <v>481</v>
      </c>
    </row>
    <row r="7048" spans="1:7">
      <c r="A7048" s="34">
        <v>2084211119</v>
      </c>
      <c r="B7048" s="35" t="s">
        <v>462</v>
      </c>
      <c r="C7048" s="35" t="s">
        <v>405</v>
      </c>
      <c r="D7048" s="35" t="s">
        <v>1428</v>
      </c>
      <c r="E7048" s="35" t="s">
        <v>1429</v>
      </c>
      <c r="F7048" s="35" t="s">
        <v>368</v>
      </c>
      <c r="G7048" s="35" t="s">
        <v>482</v>
      </c>
    </row>
    <row r="7049" spans="1:7">
      <c r="A7049" s="34">
        <v>2084211121</v>
      </c>
      <c r="B7049" s="35" t="s">
        <v>462</v>
      </c>
      <c r="C7049" s="35" t="s">
        <v>405</v>
      </c>
      <c r="D7049" s="35" t="s">
        <v>1428</v>
      </c>
      <c r="E7049" s="35" t="s">
        <v>1429</v>
      </c>
      <c r="F7049" s="35" t="s">
        <v>368</v>
      </c>
      <c r="G7049" s="35" t="s">
        <v>335</v>
      </c>
    </row>
    <row r="7050" spans="1:7">
      <c r="A7050" s="34">
        <v>2084211127</v>
      </c>
      <c r="B7050" s="35" t="s">
        <v>462</v>
      </c>
      <c r="C7050" s="35" t="s">
        <v>405</v>
      </c>
      <c r="D7050" s="35" t="s">
        <v>1428</v>
      </c>
      <c r="E7050" s="35" t="s">
        <v>1429</v>
      </c>
      <c r="F7050" s="35" t="s">
        <v>10</v>
      </c>
      <c r="G7050" s="35" t="s">
        <v>483</v>
      </c>
    </row>
    <row r="7051" spans="1:7">
      <c r="A7051" s="34">
        <v>2084211124</v>
      </c>
      <c r="B7051" s="35" t="s">
        <v>462</v>
      </c>
      <c r="C7051" s="35" t="s">
        <v>405</v>
      </c>
      <c r="D7051" s="35" t="s">
        <v>1428</v>
      </c>
      <c r="E7051" s="35" t="s">
        <v>1429</v>
      </c>
      <c r="F7051" s="35" t="s">
        <v>10</v>
      </c>
      <c r="G7051" s="35" t="s">
        <v>397</v>
      </c>
    </row>
    <row r="7052" spans="1:7">
      <c r="A7052" s="34">
        <v>2084211126</v>
      </c>
      <c r="B7052" s="35" t="s">
        <v>462</v>
      </c>
      <c r="C7052" s="35" t="s">
        <v>405</v>
      </c>
      <c r="D7052" s="35" t="s">
        <v>1428</v>
      </c>
      <c r="E7052" s="35" t="s">
        <v>1429</v>
      </c>
      <c r="F7052" s="35" t="s">
        <v>10</v>
      </c>
      <c r="G7052" s="35" t="s">
        <v>421</v>
      </c>
    </row>
    <row r="7053" spans="1:7">
      <c r="A7053" s="34">
        <v>2084211123</v>
      </c>
      <c r="B7053" s="35" t="s">
        <v>462</v>
      </c>
      <c r="C7053" s="35" t="s">
        <v>405</v>
      </c>
      <c r="D7053" s="35" t="s">
        <v>1428</v>
      </c>
      <c r="E7053" s="35" t="s">
        <v>1429</v>
      </c>
      <c r="F7053" s="35" t="s">
        <v>10</v>
      </c>
      <c r="G7053" s="35" t="s">
        <v>398</v>
      </c>
    </row>
    <row r="7054" spans="1:7">
      <c r="A7054" s="34">
        <v>2084211125</v>
      </c>
      <c r="B7054" s="35" t="s">
        <v>462</v>
      </c>
      <c r="C7054" s="35" t="s">
        <v>405</v>
      </c>
      <c r="D7054" s="35" t="s">
        <v>1428</v>
      </c>
      <c r="E7054" s="35" t="s">
        <v>1429</v>
      </c>
      <c r="F7054" s="35" t="s">
        <v>10</v>
      </c>
      <c r="G7054" s="35" t="s">
        <v>422</v>
      </c>
    </row>
    <row r="7055" spans="1:7">
      <c r="A7055" s="34">
        <v>2084211128</v>
      </c>
      <c r="B7055" s="35" t="s">
        <v>462</v>
      </c>
      <c r="C7055" s="35" t="s">
        <v>405</v>
      </c>
      <c r="D7055" s="35" t="s">
        <v>1428</v>
      </c>
      <c r="E7055" s="35" t="s">
        <v>1429</v>
      </c>
      <c r="F7055" s="35" t="s">
        <v>10</v>
      </c>
      <c r="G7055" s="35" t="s">
        <v>335</v>
      </c>
    </row>
    <row r="7056" spans="1:7">
      <c r="A7056" s="34">
        <v>2084211129</v>
      </c>
      <c r="B7056" s="35" t="s">
        <v>462</v>
      </c>
      <c r="C7056" s="35" t="s">
        <v>405</v>
      </c>
      <c r="D7056" s="35" t="s">
        <v>1428</v>
      </c>
      <c r="E7056" s="35" t="s">
        <v>1429</v>
      </c>
      <c r="F7056" s="35" t="s">
        <v>403</v>
      </c>
    </row>
    <row r="7057" spans="1:8">
      <c r="A7057" s="34">
        <v>2084211130</v>
      </c>
      <c r="B7057" s="35" t="s">
        <v>462</v>
      </c>
      <c r="C7057" s="35" t="s">
        <v>405</v>
      </c>
      <c r="D7057" s="35" t="s">
        <v>1428</v>
      </c>
      <c r="E7057" s="35" t="s">
        <v>1429</v>
      </c>
      <c r="F7057" s="35" t="s">
        <v>335</v>
      </c>
    </row>
    <row r="7058" spans="1:8">
      <c r="A7058" s="34">
        <v>2084298412</v>
      </c>
      <c r="B7058" s="35" t="s">
        <v>462</v>
      </c>
      <c r="C7058" s="35" t="s">
        <v>405</v>
      </c>
      <c r="D7058" s="35" t="s">
        <v>1428</v>
      </c>
      <c r="E7058" s="35" t="s">
        <v>1430</v>
      </c>
    </row>
    <row r="7059" spans="1:8">
      <c r="A7059" s="34">
        <v>2084055681</v>
      </c>
      <c r="B7059" s="35" t="s">
        <v>462</v>
      </c>
      <c r="C7059" s="35" t="s">
        <v>405</v>
      </c>
      <c r="D7059" s="35" t="s">
        <v>1428</v>
      </c>
      <c r="E7059" s="35" t="s">
        <v>1431</v>
      </c>
      <c r="F7059" s="35" t="s">
        <v>390</v>
      </c>
      <c r="G7059" s="35" t="s">
        <v>367</v>
      </c>
    </row>
    <row r="7060" spans="1:8">
      <c r="A7060" s="34">
        <v>2084055682</v>
      </c>
      <c r="B7060" s="35" t="s">
        <v>462</v>
      </c>
      <c r="C7060" s="35" t="s">
        <v>405</v>
      </c>
      <c r="D7060" s="35" t="s">
        <v>1428</v>
      </c>
      <c r="E7060" s="35" t="s">
        <v>1431</v>
      </c>
      <c r="F7060" s="35" t="s">
        <v>390</v>
      </c>
      <c r="G7060" s="35" t="s">
        <v>401</v>
      </c>
    </row>
    <row r="7061" spans="1:8">
      <c r="A7061" s="34">
        <v>2084055688</v>
      </c>
      <c r="B7061" s="35" t="s">
        <v>462</v>
      </c>
      <c r="C7061" s="35" t="s">
        <v>405</v>
      </c>
      <c r="D7061" s="35" t="s">
        <v>1428</v>
      </c>
      <c r="E7061" s="35" t="s">
        <v>1431</v>
      </c>
      <c r="F7061" s="35" t="s">
        <v>390</v>
      </c>
      <c r="G7061" s="35" t="s">
        <v>10</v>
      </c>
      <c r="H7061" s="35" t="s">
        <v>483</v>
      </c>
    </row>
    <row r="7062" spans="1:8">
      <c r="A7062" s="34">
        <v>2084055685</v>
      </c>
      <c r="B7062" s="35" t="s">
        <v>462</v>
      </c>
      <c r="C7062" s="35" t="s">
        <v>405</v>
      </c>
      <c r="D7062" s="35" t="s">
        <v>1428</v>
      </c>
      <c r="E7062" s="35" t="s">
        <v>1431</v>
      </c>
      <c r="F7062" s="35" t="s">
        <v>390</v>
      </c>
      <c r="G7062" s="35" t="s">
        <v>10</v>
      </c>
      <c r="H7062" s="35" t="s">
        <v>397</v>
      </c>
    </row>
    <row r="7063" spans="1:8">
      <c r="A7063" s="34">
        <v>2084055687</v>
      </c>
      <c r="B7063" s="35" t="s">
        <v>462</v>
      </c>
      <c r="C7063" s="35" t="s">
        <v>405</v>
      </c>
      <c r="D7063" s="35" t="s">
        <v>1428</v>
      </c>
      <c r="E7063" s="35" t="s">
        <v>1431</v>
      </c>
      <c r="F7063" s="35" t="s">
        <v>390</v>
      </c>
      <c r="G7063" s="35" t="s">
        <v>10</v>
      </c>
      <c r="H7063" s="35" t="s">
        <v>421</v>
      </c>
    </row>
    <row r="7064" spans="1:8">
      <c r="A7064" s="34">
        <v>2084055684</v>
      </c>
      <c r="B7064" s="35" t="s">
        <v>462</v>
      </c>
      <c r="C7064" s="35" t="s">
        <v>405</v>
      </c>
      <c r="D7064" s="35" t="s">
        <v>1428</v>
      </c>
      <c r="E7064" s="35" t="s">
        <v>1431</v>
      </c>
      <c r="F7064" s="35" t="s">
        <v>390</v>
      </c>
      <c r="G7064" s="35" t="s">
        <v>10</v>
      </c>
      <c r="H7064" s="35" t="s">
        <v>398</v>
      </c>
    </row>
    <row r="7065" spans="1:8">
      <c r="A7065" s="34">
        <v>2084055686</v>
      </c>
      <c r="B7065" s="35" t="s">
        <v>462</v>
      </c>
      <c r="C7065" s="35" t="s">
        <v>405</v>
      </c>
      <c r="D7065" s="35" t="s">
        <v>1428</v>
      </c>
      <c r="E7065" s="35" t="s">
        <v>1431</v>
      </c>
      <c r="F7065" s="35" t="s">
        <v>390</v>
      </c>
      <c r="G7065" s="35" t="s">
        <v>10</v>
      </c>
      <c r="H7065" s="35" t="s">
        <v>422</v>
      </c>
    </row>
    <row r="7066" spans="1:8">
      <c r="A7066" s="34">
        <v>2084055689</v>
      </c>
      <c r="B7066" s="35" t="s">
        <v>462</v>
      </c>
      <c r="C7066" s="35" t="s">
        <v>405</v>
      </c>
      <c r="D7066" s="35" t="s">
        <v>1428</v>
      </c>
      <c r="E7066" s="35" t="s">
        <v>1431</v>
      </c>
      <c r="F7066" s="35" t="s">
        <v>390</v>
      </c>
      <c r="G7066" s="35" t="s">
        <v>10</v>
      </c>
      <c r="H7066" s="35" t="s">
        <v>335</v>
      </c>
    </row>
    <row r="7067" spans="1:8">
      <c r="A7067" s="34">
        <v>2084055691</v>
      </c>
      <c r="B7067" s="35" t="s">
        <v>462</v>
      </c>
      <c r="C7067" s="35" t="s">
        <v>405</v>
      </c>
      <c r="D7067" s="35" t="s">
        <v>1428</v>
      </c>
      <c r="E7067" s="35" t="s">
        <v>1431</v>
      </c>
      <c r="F7067" s="35" t="s">
        <v>390</v>
      </c>
      <c r="G7067" s="35" t="s">
        <v>379</v>
      </c>
      <c r="H7067" s="35" t="s">
        <v>476</v>
      </c>
    </row>
    <row r="7068" spans="1:8">
      <c r="A7068" s="34">
        <v>2084055692</v>
      </c>
      <c r="B7068" s="35" t="s">
        <v>462</v>
      </c>
      <c r="C7068" s="35" t="s">
        <v>405</v>
      </c>
      <c r="D7068" s="35" t="s">
        <v>1428</v>
      </c>
      <c r="E7068" s="35" t="s">
        <v>1431</v>
      </c>
      <c r="F7068" s="35" t="s">
        <v>390</v>
      </c>
      <c r="G7068" s="35" t="s">
        <v>379</v>
      </c>
      <c r="H7068" s="35" t="s">
        <v>335</v>
      </c>
    </row>
    <row r="7069" spans="1:8">
      <c r="A7069" s="34">
        <v>2084055693</v>
      </c>
      <c r="B7069" s="35" t="s">
        <v>462</v>
      </c>
      <c r="C7069" s="35" t="s">
        <v>405</v>
      </c>
      <c r="D7069" s="35" t="s">
        <v>1428</v>
      </c>
      <c r="E7069" s="35" t="s">
        <v>1431</v>
      </c>
      <c r="F7069" s="35" t="s">
        <v>390</v>
      </c>
      <c r="G7069" s="35" t="s">
        <v>335</v>
      </c>
    </row>
    <row r="7070" spans="1:8">
      <c r="A7070" s="34">
        <v>2084055669</v>
      </c>
      <c r="B7070" s="35" t="s">
        <v>462</v>
      </c>
      <c r="C7070" s="35" t="s">
        <v>405</v>
      </c>
      <c r="D7070" s="35" t="s">
        <v>1428</v>
      </c>
      <c r="E7070" s="35" t="s">
        <v>1431</v>
      </c>
      <c r="F7070" s="35" t="s">
        <v>353</v>
      </c>
      <c r="G7070" s="35" t="s">
        <v>367</v>
      </c>
    </row>
    <row r="7071" spans="1:8">
      <c r="A7071" s="34">
        <v>2084055670</v>
      </c>
      <c r="B7071" s="35" t="s">
        <v>462</v>
      </c>
      <c r="C7071" s="35" t="s">
        <v>405</v>
      </c>
      <c r="D7071" s="35" t="s">
        <v>1428</v>
      </c>
      <c r="E7071" s="35" t="s">
        <v>1431</v>
      </c>
      <c r="F7071" s="35" t="s">
        <v>353</v>
      </c>
      <c r="G7071" s="35" t="s">
        <v>401</v>
      </c>
    </row>
    <row r="7072" spans="1:8">
      <c r="A7072" s="34">
        <v>2084055676</v>
      </c>
      <c r="B7072" s="35" t="s">
        <v>462</v>
      </c>
      <c r="C7072" s="35" t="s">
        <v>405</v>
      </c>
      <c r="D7072" s="35" t="s">
        <v>1428</v>
      </c>
      <c r="E7072" s="35" t="s">
        <v>1431</v>
      </c>
      <c r="F7072" s="35" t="s">
        <v>353</v>
      </c>
      <c r="G7072" s="35" t="s">
        <v>10</v>
      </c>
      <c r="H7072" s="35" t="s">
        <v>483</v>
      </c>
    </row>
    <row r="7073" spans="1:9">
      <c r="A7073" s="34">
        <v>2084232897</v>
      </c>
      <c r="B7073" s="35" t="s">
        <v>462</v>
      </c>
      <c r="C7073" s="35" t="s">
        <v>405</v>
      </c>
      <c r="D7073" s="35" t="s">
        <v>1428</v>
      </c>
      <c r="E7073" s="35" t="s">
        <v>1431</v>
      </c>
      <c r="F7073" s="35" t="s">
        <v>353</v>
      </c>
      <c r="G7073" s="35" t="s">
        <v>10</v>
      </c>
      <c r="H7073" s="35" t="s">
        <v>1432</v>
      </c>
      <c r="I7073" s="35" t="s">
        <v>1433</v>
      </c>
    </row>
    <row r="7074" spans="1:9">
      <c r="A7074" s="34">
        <v>2084232898</v>
      </c>
      <c r="B7074" s="35" t="s">
        <v>462</v>
      </c>
      <c r="C7074" s="35" t="s">
        <v>405</v>
      </c>
      <c r="D7074" s="35" t="s">
        <v>1428</v>
      </c>
      <c r="E7074" s="35" t="s">
        <v>1431</v>
      </c>
      <c r="F7074" s="35" t="s">
        <v>353</v>
      </c>
      <c r="G7074" s="35" t="s">
        <v>10</v>
      </c>
      <c r="H7074" s="35" t="s">
        <v>1432</v>
      </c>
      <c r="I7074" s="35">
        <v>3</v>
      </c>
    </row>
    <row r="7075" spans="1:9">
      <c r="A7075" s="34">
        <v>2084232899</v>
      </c>
      <c r="B7075" s="35" t="s">
        <v>462</v>
      </c>
      <c r="C7075" s="35" t="s">
        <v>405</v>
      </c>
      <c r="D7075" s="35" t="s">
        <v>1428</v>
      </c>
      <c r="E7075" s="35" t="s">
        <v>1431</v>
      </c>
      <c r="F7075" s="35" t="s">
        <v>353</v>
      </c>
      <c r="G7075" s="35" t="s">
        <v>10</v>
      </c>
      <c r="H7075" s="35" t="s">
        <v>1432</v>
      </c>
      <c r="I7075" s="35">
        <v>4</v>
      </c>
    </row>
    <row r="7076" spans="1:9">
      <c r="A7076" s="34">
        <v>2084232900</v>
      </c>
      <c r="B7076" s="35" t="s">
        <v>462</v>
      </c>
      <c r="C7076" s="35" t="s">
        <v>405</v>
      </c>
      <c r="D7076" s="35" t="s">
        <v>1428</v>
      </c>
      <c r="E7076" s="35" t="s">
        <v>1431</v>
      </c>
      <c r="F7076" s="35" t="s">
        <v>353</v>
      </c>
      <c r="G7076" s="35" t="s">
        <v>10</v>
      </c>
      <c r="H7076" s="35" t="s">
        <v>1432</v>
      </c>
      <c r="I7076" s="35">
        <v>5</v>
      </c>
    </row>
    <row r="7077" spans="1:9">
      <c r="A7077" s="34">
        <v>2084232901</v>
      </c>
      <c r="B7077" s="35" t="s">
        <v>462</v>
      </c>
      <c r="C7077" s="35" t="s">
        <v>405</v>
      </c>
      <c r="D7077" s="35" t="s">
        <v>1428</v>
      </c>
      <c r="E7077" s="35" t="s">
        <v>1431</v>
      </c>
      <c r="F7077" s="35" t="s">
        <v>353</v>
      </c>
      <c r="G7077" s="35" t="s">
        <v>10</v>
      </c>
      <c r="H7077" s="35" t="s">
        <v>1432</v>
      </c>
      <c r="I7077" s="35">
        <v>6</v>
      </c>
    </row>
    <row r="7078" spans="1:9">
      <c r="A7078" s="34">
        <v>2084232902</v>
      </c>
      <c r="B7078" s="35" t="s">
        <v>462</v>
      </c>
      <c r="C7078" s="35" t="s">
        <v>405</v>
      </c>
      <c r="D7078" s="35" t="s">
        <v>1428</v>
      </c>
      <c r="E7078" s="35" t="s">
        <v>1431</v>
      </c>
      <c r="F7078" s="35" t="s">
        <v>353</v>
      </c>
      <c r="G7078" s="35" t="s">
        <v>10</v>
      </c>
      <c r="H7078" s="35" t="s">
        <v>1432</v>
      </c>
      <c r="I7078" s="35" t="s">
        <v>1434</v>
      </c>
    </row>
    <row r="7079" spans="1:9">
      <c r="A7079" s="34">
        <v>2084055673</v>
      </c>
      <c r="B7079" s="35" t="s">
        <v>462</v>
      </c>
      <c r="C7079" s="35" t="s">
        <v>405</v>
      </c>
      <c r="D7079" s="35" t="s">
        <v>1428</v>
      </c>
      <c r="E7079" s="35" t="s">
        <v>1431</v>
      </c>
      <c r="F7079" s="35" t="s">
        <v>353</v>
      </c>
      <c r="G7079" s="35" t="s">
        <v>10</v>
      </c>
      <c r="H7079" s="35" t="s">
        <v>397</v>
      </c>
    </row>
    <row r="7080" spans="1:9">
      <c r="A7080" s="34">
        <v>2084055675</v>
      </c>
      <c r="B7080" s="35" t="s">
        <v>462</v>
      </c>
      <c r="C7080" s="35" t="s">
        <v>405</v>
      </c>
      <c r="D7080" s="35" t="s">
        <v>1428</v>
      </c>
      <c r="E7080" s="35" t="s">
        <v>1431</v>
      </c>
      <c r="F7080" s="35" t="s">
        <v>353</v>
      </c>
      <c r="G7080" s="35" t="s">
        <v>10</v>
      </c>
      <c r="H7080" s="35" t="s">
        <v>421</v>
      </c>
    </row>
    <row r="7081" spans="1:9">
      <c r="A7081" s="34">
        <v>2084055672</v>
      </c>
      <c r="B7081" s="35" t="s">
        <v>462</v>
      </c>
      <c r="C7081" s="35" t="s">
        <v>405</v>
      </c>
      <c r="D7081" s="35" t="s">
        <v>1428</v>
      </c>
      <c r="E7081" s="35" t="s">
        <v>1431</v>
      </c>
      <c r="F7081" s="35" t="s">
        <v>353</v>
      </c>
      <c r="G7081" s="35" t="s">
        <v>10</v>
      </c>
      <c r="H7081" s="35" t="s">
        <v>398</v>
      </c>
    </row>
    <row r="7082" spans="1:9">
      <c r="A7082" s="34">
        <v>2084055674</v>
      </c>
      <c r="B7082" s="35" t="s">
        <v>462</v>
      </c>
      <c r="C7082" s="35" t="s">
        <v>405</v>
      </c>
      <c r="D7082" s="35" t="s">
        <v>1428</v>
      </c>
      <c r="E7082" s="35" t="s">
        <v>1431</v>
      </c>
      <c r="F7082" s="35" t="s">
        <v>353</v>
      </c>
      <c r="G7082" s="35" t="s">
        <v>10</v>
      </c>
      <c r="H7082" s="35" t="s">
        <v>422</v>
      </c>
    </row>
    <row r="7083" spans="1:9">
      <c r="A7083" s="34">
        <v>2084055677</v>
      </c>
      <c r="B7083" s="35" t="s">
        <v>462</v>
      </c>
      <c r="C7083" s="35" t="s">
        <v>405</v>
      </c>
      <c r="D7083" s="35" t="s">
        <v>1428</v>
      </c>
      <c r="E7083" s="35" t="s">
        <v>1431</v>
      </c>
      <c r="F7083" s="35" t="s">
        <v>353</v>
      </c>
      <c r="G7083" s="35" t="s">
        <v>10</v>
      </c>
      <c r="H7083" s="35" t="s">
        <v>335</v>
      </c>
    </row>
    <row r="7084" spans="1:9">
      <c r="A7084" s="34">
        <v>2084055678</v>
      </c>
      <c r="B7084" s="35" t="s">
        <v>462</v>
      </c>
      <c r="C7084" s="35" t="s">
        <v>405</v>
      </c>
      <c r="D7084" s="35" t="s">
        <v>1428</v>
      </c>
      <c r="E7084" s="35" t="s">
        <v>1431</v>
      </c>
      <c r="F7084" s="35" t="s">
        <v>353</v>
      </c>
      <c r="G7084" s="35" t="s">
        <v>403</v>
      </c>
    </row>
    <row r="7085" spans="1:9">
      <c r="A7085" s="34">
        <v>2084055679</v>
      </c>
      <c r="B7085" s="35" t="s">
        <v>462</v>
      </c>
      <c r="C7085" s="35" t="s">
        <v>405</v>
      </c>
      <c r="D7085" s="35" t="s">
        <v>1428</v>
      </c>
      <c r="E7085" s="35" t="s">
        <v>1431</v>
      </c>
      <c r="F7085" s="35" t="s">
        <v>353</v>
      </c>
      <c r="G7085" s="35" t="s">
        <v>335</v>
      </c>
    </row>
    <row r="7086" spans="1:9">
      <c r="A7086" s="34">
        <v>2084055694</v>
      </c>
      <c r="B7086" s="35" t="s">
        <v>462</v>
      </c>
      <c r="C7086" s="35" t="s">
        <v>405</v>
      </c>
      <c r="D7086" s="35" t="s">
        <v>1428</v>
      </c>
      <c r="E7086" s="35" t="s">
        <v>1431</v>
      </c>
      <c r="F7086" s="35" t="s">
        <v>335</v>
      </c>
    </row>
    <row r="7087" spans="1:9">
      <c r="A7087" s="34">
        <v>2084283999</v>
      </c>
      <c r="B7087" s="35" t="s">
        <v>462</v>
      </c>
      <c r="C7087" s="35" t="s">
        <v>405</v>
      </c>
      <c r="D7087" s="35" t="s">
        <v>1428</v>
      </c>
      <c r="E7087" s="35" t="s">
        <v>1435</v>
      </c>
    </row>
    <row r="7088" spans="1:9">
      <c r="A7088" s="34">
        <v>2084283579</v>
      </c>
      <c r="B7088" s="35" t="s">
        <v>462</v>
      </c>
      <c r="C7088" s="35" t="s">
        <v>405</v>
      </c>
      <c r="D7088" s="35" t="s">
        <v>1428</v>
      </c>
      <c r="E7088" s="35" t="s">
        <v>1436</v>
      </c>
    </row>
    <row r="7089" spans="1:7">
      <c r="A7089" s="34">
        <v>2084289570</v>
      </c>
      <c r="B7089" s="35" t="s">
        <v>462</v>
      </c>
      <c r="C7089" s="35" t="s">
        <v>405</v>
      </c>
      <c r="D7089" s="35" t="s">
        <v>1428</v>
      </c>
      <c r="E7089" s="35" t="s">
        <v>1437</v>
      </c>
      <c r="F7089" s="35" t="s">
        <v>1438</v>
      </c>
    </row>
    <row r="7090" spans="1:7">
      <c r="A7090" s="34">
        <v>2084289571</v>
      </c>
      <c r="B7090" s="35" t="s">
        <v>462</v>
      </c>
      <c r="C7090" s="35" t="s">
        <v>405</v>
      </c>
      <c r="D7090" s="35" t="s">
        <v>1428</v>
      </c>
      <c r="E7090" s="35" t="s">
        <v>1437</v>
      </c>
      <c r="F7090" s="35" t="s">
        <v>649</v>
      </c>
    </row>
    <row r="7091" spans="1:7">
      <c r="A7091" s="34">
        <v>2084289572</v>
      </c>
      <c r="B7091" s="35" t="s">
        <v>462</v>
      </c>
      <c r="C7091" s="35" t="s">
        <v>405</v>
      </c>
      <c r="D7091" s="35" t="s">
        <v>1428</v>
      </c>
      <c r="E7091" s="35" t="s">
        <v>1437</v>
      </c>
      <c r="F7091" s="35" t="s">
        <v>650</v>
      </c>
    </row>
    <row r="7092" spans="1:7">
      <c r="A7092" s="34">
        <v>2084289573</v>
      </c>
      <c r="B7092" s="35" t="s">
        <v>462</v>
      </c>
      <c r="C7092" s="35" t="s">
        <v>405</v>
      </c>
      <c r="D7092" s="35" t="s">
        <v>1428</v>
      </c>
      <c r="E7092" s="35" t="s">
        <v>1437</v>
      </c>
      <c r="F7092" s="35" t="s">
        <v>651</v>
      </c>
    </row>
    <row r="7093" spans="1:7">
      <c r="A7093" s="34">
        <v>2084289574</v>
      </c>
      <c r="B7093" s="35" t="s">
        <v>462</v>
      </c>
      <c r="C7093" s="35" t="s">
        <v>405</v>
      </c>
      <c r="D7093" s="35" t="s">
        <v>1428</v>
      </c>
      <c r="E7093" s="35" t="s">
        <v>1437</v>
      </c>
      <c r="F7093" s="35" t="s">
        <v>652</v>
      </c>
    </row>
    <row r="7094" spans="1:7">
      <c r="A7094" s="34">
        <v>2084289575</v>
      </c>
      <c r="B7094" s="35" t="s">
        <v>462</v>
      </c>
      <c r="C7094" s="35" t="s">
        <v>405</v>
      </c>
      <c r="D7094" s="35" t="s">
        <v>1428</v>
      </c>
      <c r="E7094" s="35" t="s">
        <v>1437</v>
      </c>
      <c r="F7094" s="35" t="s">
        <v>653</v>
      </c>
    </row>
    <row r="7095" spans="1:7">
      <c r="A7095" s="34">
        <v>2084289576</v>
      </c>
      <c r="B7095" s="35" t="s">
        <v>462</v>
      </c>
      <c r="C7095" s="35" t="s">
        <v>405</v>
      </c>
      <c r="D7095" s="35" t="s">
        <v>1428</v>
      </c>
      <c r="E7095" s="35" t="s">
        <v>1437</v>
      </c>
      <c r="F7095" s="35" t="s">
        <v>654</v>
      </c>
    </row>
    <row r="7096" spans="1:7">
      <c r="A7096" s="34">
        <v>2084289577</v>
      </c>
      <c r="B7096" s="35" t="s">
        <v>462</v>
      </c>
      <c r="C7096" s="35" t="s">
        <v>405</v>
      </c>
      <c r="D7096" s="35" t="s">
        <v>1428</v>
      </c>
      <c r="E7096" s="35" t="s">
        <v>1437</v>
      </c>
      <c r="F7096" s="35" t="s">
        <v>837</v>
      </c>
    </row>
    <row r="7097" spans="1:7">
      <c r="A7097" s="34">
        <v>2084050335</v>
      </c>
      <c r="B7097" s="35" t="s">
        <v>462</v>
      </c>
      <c r="C7097" s="35" t="s">
        <v>405</v>
      </c>
      <c r="D7097" s="35" t="s">
        <v>1428</v>
      </c>
      <c r="E7097" s="35" t="s">
        <v>1439</v>
      </c>
    </row>
    <row r="7098" spans="1:7">
      <c r="A7098" s="34">
        <v>2084204991</v>
      </c>
      <c r="B7098" s="35" t="s">
        <v>462</v>
      </c>
      <c r="C7098" s="35" t="s">
        <v>405</v>
      </c>
      <c r="D7098" s="35" t="s">
        <v>1428</v>
      </c>
      <c r="E7098" s="35" t="s">
        <v>1440</v>
      </c>
      <c r="F7098" s="35" t="s">
        <v>367</v>
      </c>
    </row>
    <row r="7099" spans="1:7">
      <c r="A7099" s="34">
        <v>2084204994</v>
      </c>
      <c r="B7099" s="35" t="s">
        <v>462</v>
      </c>
      <c r="C7099" s="35" t="s">
        <v>405</v>
      </c>
      <c r="D7099" s="35" t="s">
        <v>1428</v>
      </c>
      <c r="E7099" s="35" t="s">
        <v>1440</v>
      </c>
      <c r="F7099" s="35" t="s">
        <v>368</v>
      </c>
      <c r="G7099" s="35" t="s">
        <v>481</v>
      </c>
    </row>
    <row r="7100" spans="1:7">
      <c r="A7100" s="34">
        <v>2084204993</v>
      </c>
      <c r="B7100" s="35" t="s">
        <v>462</v>
      </c>
      <c r="C7100" s="35" t="s">
        <v>405</v>
      </c>
      <c r="D7100" s="35" t="s">
        <v>1428</v>
      </c>
      <c r="E7100" s="35" t="s">
        <v>1440</v>
      </c>
      <c r="F7100" s="35" t="s">
        <v>368</v>
      </c>
      <c r="G7100" s="35" t="s">
        <v>482</v>
      </c>
    </row>
    <row r="7101" spans="1:7">
      <c r="A7101" s="34">
        <v>2084204995</v>
      </c>
      <c r="B7101" s="35" t="s">
        <v>462</v>
      </c>
      <c r="C7101" s="35" t="s">
        <v>405</v>
      </c>
      <c r="D7101" s="35" t="s">
        <v>1428</v>
      </c>
      <c r="E7101" s="35" t="s">
        <v>1440</v>
      </c>
      <c r="F7101" s="35" t="s">
        <v>368</v>
      </c>
      <c r="G7101" s="35" t="s">
        <v>335</v>
      </c>
    </row>
    <row r="7102" spans="1:7">
      <c r="A7102" s="34">
        <v>2084205001</v>
      </c>
      <c r="B7102" s="35" t="s">
        <v>462</v>
      </c>
      <c r="C7102" s="35" t="s">
        <v>405</v>
      </c>
      <c r="D7102" s="35" t="s">
        <v>1428</v>
      </c>
      <c r="E7102" s="35" t="s">
        <v>1440</v>
      </c>
      <c r="F7102" s="35" t="s">
        <v>10</v>
      </c>
      <c r="G7102" s="35" t="s">
        <v>483</v>
      </c>
    </row>
    <row r="7103" spans="1:7">
      <c r="A7103" s="34">
        <v>2084204998</v>
      </c>
      <c r="B7103" s="35" t="s">
        <v>462</v>
      </c>
      <c r="C7103" s="35" t="s">
        <v>405</v>
      </c>
      <c r="D7103" s="35" t="s">
        <v>1428</v>
      </c>
      <c r="E7103" s="35" t="s">
        <v>1440</v>
      </c>
      <c r="F7103" s="35" t="s">
        <v>10</v>
      </c>
      <c r="G7103" s="35" t="s">
        <v>397</v>
      </c>
    </row>
    <row r="7104" spans="1:7">
      <c r="A7104" s="34">
        <v>2084205000</v>
      </c>
      <c r="B7104" s="35" t="s">
        <v>462</v>
      </c>
      <c r="C7104" s="35" t="s">
        <v>405</v>
      </c>
      <c r="D7104" s="35" t="s">
        <v>1428</v>
      </c>
      <c r="E7104" s="35" t="s">
        <v>1440</v>
      </c>
      <c r="F7104" s="35" t="s">
        <v>10</v>
      </c>
      <c r="G7104" s="35" t="s">
        <v>421</v>
      </c>
    </row>
    <row r="7105" spans="1:7">
      <c r="A7105" s="34">
        <v>2084204997</v>
      </c>
      <c r="B7105" s="35" t="s">
        <v>462</v>
      </c>
      <c r="C7105" s="35" t="s">
        <v>405</v>
      </c>
      <c r="D7105" s="35" t="s">
        <v>1428</v>
      </c>
      <c r="E7105" s="35" t="s">
        <v>1440</v>
      </c>
      <c r="F7105" s="35" t="s">
        <v>10</v>
      </c>
      <c r="G7105" s="35" t="s">
        <v>398</v>
      </c>
    </row>
    <row r="7106" spans="1:7">
      <c r="A7106" s="34">
        <v>2084204999</v>
      </c>
      <c r="B7106" s="35" t="s">
        <v>462</v>
      </c>
      <c r="C7106" s="35" t="s">
        <v>405</v>
      </c>
      <c r="D7106" s="35" t="s">
        <v>1428</v>
      </c>
      <c r="E7106" s="35" t="s">
        <v>1440</v>
      </c>
      <c r="F7106" s="35" t="s">
        <v>10</v>
      </c>
      <c r="G7106" s="35" t="s">
        <v>422</v>
      </c>
    </row>
    <row r="7107" spans="1:7">
      <c r="A7107" s="34">
        <v>2084205002</v>
      </c>
      <c r="B7107" s="35" t="s">
        <v>462</v>
      </c>
      <c r="C7107" s="35" t="s">
        <v>405</v>
      </c>
      <c r="D7107" s="35" t="s">
        <v>1428</v>
      </c>
      <c r="E7107" s="35" t="s">
        <v>1440</v>
      </c>
      <c r="F7107" s="35" t="s">
        <v>10</v>
      </c>
      <c r="G7107" s="35" t="s">
        <v>335</v>
      </c>
    </row>
    <row r="7108" spans="1:7">
      <c r="A7108" s="34">
        <v>2084205003</v>
      </c>
      <c r="B7108" s="35" t="s">
        <v>462</v>
      </c>
      <c r="C7108" s="35" t="s">
        <v>405</v>
      </c>
      <c r="D7108" s="35" t="s">
        <v>1428</v>
      </c>
      <c r="E7108" s="35" t="s">
        <v>1440</v>
      </c>
      <c r="F7108" s="35" t="s">
        <v>403</v>
      </c>
    </row>
    <row r="7109" spans="1:7">
      <c r="A7109" s="34">
        <v>2084205004</v>
      </c>
      <c r="B7109" s="35" t="s">
        <v>462</v>
      </c>
      <c r="C7109" s="35" t="s">
        <v>405</v>
      </c>
      <c r="D7109" s="35" t="s">
        <v>1428</v>
      </c>
      <c r="E7109" s="35" t="s">
        <v>1440</v>
      </c>
      <c r="F7109" s="35" t="s">
        <v>335</v>
      </c>
    </row>
    <row r="7110" spans="1:7">
      <c r="A7110" s="34">
        <v>2084028217</v>
      </c>
      <c r="B7110" s="35" t="s">
        <v>462</v>
      </c>
      <c r="C7110" s="35" t="s">
        <v>405</v>
      </c>
      <c r="D7110" s="35" t="s">
        <v>1428</v>
      </c>
      <c r="E7110" s="35" t="s">
        <v>1441</v>
      </c>
      <c r="F7110" s="35" t="s">
        <v>367</v>
      </c>
    </row>
    <row r="7111" spans="1:7">
      <c r="A7111" s="34">
        <v>2084029300</v>
      </c>
      <c r="B7111" s="35" t="s">
        <v>462</v>
      </c>
      <c r="C7111" s="35" t="s">
        <v>405</v>
      </c>
      <c r="D7111" s="35" t="s">
        <v>1428</v>
      </c>
      <c r="E7111" s="35" t="s">
        <v>1441</v>
      </c>
      <c r="F7111" s="35" t="s">
        <v>368</v>
      </c>
      <c r="G7111" s="35" t="s">
        <v>481</v>
      </c>
    </row>
    <row r="7112" spans="1:7">
      <c r="A7112" s="34">
        <v>2084028766</v>
      </c>
      <c r="B7112" s="35" t="s">
        <v>462</v>
      </c>
      <c r="C7112" s="35" t="s">
        <v>405</v>
      </c>
      <c r="D7112" s="35" t="s">
        <v>1428</v>
      </c>
      <c r="E7112" s="35" t="s">
        <v>1441</v>
      </c>
      <c r="F7112" s="35" t="s">
        <v>368</v>
      </c>
      <c r="G7112" s="35" t="s">
        <v>482</v>
      </c>
    </row>
    <row r="7113" spans="1:7">
      <c r="A7113" s="34">
        <v>2084029858</v>
      </c>
      <c r="B7113" s="35" t="s">
        <v>462</v>
      </c>
      <c r="C7113" s="35" t="s">
        <v>405</v>
      </c>
      <c r="D7113" s="35" t="s">
        <v>1428</v>
      </c>
      <c r="E7113" s="35" t="s">
        <v>1441</v>
      </c>
      <c r="F7113" s="35" t="s">
        <v>368</v>
      </c>
      <c r="G7113" s="35" t="s">
        <v>494</v>
      </c>
    </row>
    <row r="7114" spans="1:7">
      <c r="A7114" s="34">
        <v>2084246973</v>
      </c>
      <c r="B7114" s="35" t="s">
        <v>462</v>
      </c>
      <c r="C7114" s="35" t="s">
        <v>405</v>
      </c>
      <c r="D7114" s="35" t="s">
        <v>1428</v>
      </c>
      <c r="E7114" s="35" t="s">
        <v>1441</v>
      </c>
      <c r="F7114" s="35" t="s">
        <v>368</v>
      </c>
      <c r="G7114" s="35" t="s">
        <v>335</v>
      </c>
    </row>
    <row r="7115" spans="1:7">
      <c r="A7115" s="34">
        <v>2084027315</v>
      </c>
      <c r="B7115" s="35" t="s">
        <v>462</v>
      </c>
      <c r="C7115" s="35" t="s">
        <v>405</v>
      </c>
      <c r="D7115" s="35" t="s">
        <v>1428</v>
      </c>
      <c r="E7115" s="35" t="s">
        <v>1441</v>
      </c>
      <c r="F7115" s="35" t="s">
        <v>10</v>
      </c>
      <c r="G7115" s="35" t="s">
        <v>509</v>
      </c>
    </row>
    <row r="7116" spans="1:7">
      <c r="A7116" s="34">
        <v>2084027920</v>
      </c>
      <c r="B7116" s="35" t="s">
        <v>462</v>
      </c>
      <c r="C7116" s="35" t="s">
        <v>405</v>
      </c>
      <c r="D7116" s="35" t="s">
        <v>1428</v>
      </c>
      <c r="E7116" s="35" t="s">
        <v>1441</v>
      </c>
      <c r="F7116" s="35" t="s">
        <v>10</v>
      </c>
      <c r="G7116" s="35" t="s">
        <v>544</v>
      </c>
    </row>
    <row r="7117" spans="1:7">
      <c r="A7117" s="34">
        <v>2084027808</v>
      </c>
      <c r="B7117" s="35" t="s">
        <v>462</v>
      </c>
      <c r="C7117" s="35" t="s">
        <v>405</v>
      </c>
      <c r="D7117" s="35" t="s">
        <v>1428</v>
      </c>
      <c r="E7117" s="35" t="s">
        <v>1441</v>
      </c>
      <c r="F7117" s="35" t="s">
        <v>10</v>
      </c>
      <c r="G7117" s="35" t="s">
        <v>510</v>
      </c>
    </row>
    <row r="7118" spans="1:7">
      <c r="A7118" s="34">
        <v>2084027842</v>
      </c>
      <c r="B7118" s="35" t="s">
        <v>462</v>
      </c>
      <c r="C7118" s="35" t="s">
        <v>405</v>
      </c>
      <c r="D7118" s="35" t="s">
        <v>1428</v>
      </c>
      <c r="E7118" s="35" t="s">
        <v>1441</v>
      </c>
      <c r="F7118" s="35" t="s">
        <v>10</v>
      </c>
      <c r="G7118" s="35" t="s">
        <v>511</v>
      </c>
    </row>
    <row r="7119" spans="1:7">
      <c r="A7119" s="34">
        <v>2084027489</v>
      </c>
      <c r="B7119" s="35" t="s">
        <v>462</v>
      </c>
      <c r="C7119" s="35" t="s">
        <v>405</v>
      </c>
      <c r="D7119" s="35" t="s">
        <v>1428</v>
      </c>
      <c r="E7119" s="35" t="s">
        <v>1441</v>
      </c>
      <c r="F7119" s="35" t="s">
        <v>10</v>
      </c>
      <c r="G7119" s="35" t="s">
        <v>512</v>
      </c>
    </row>
    <row r="7120" spans="1:7">
      <c r="A7120" s="34">
        <v>2084027599</v>
      </c>
      <c r="B7120" s="35" t="s">
        <v>462</v>
      </c>
      <c r="C7120" s="35" t="s">
        <v>405</v>
      </c>
      <c r="D7120" s="35" t="s">
        <v>1428</v>
      </c>
      <c r="E7120" s="35" t="s">
        <v>1441</v>
      </c>
      <c r="F7120" s="35" t="s">
        <v>10</v>
      </c>
      <c r="G7120" s="35" t="s">
        <v>513</v>
      </c>
    </row>
    <row r="7121" spans="1:7">
      <c r="A7121" s="34">
        <v>2084027958</v>
      </c>
      <c r="B7121" s="35" t="s">
        <v>462</v>
      </c>
      <c r="C7121" s="35" t="s">
        <v>405</v>
      </c>
      <c r="D7121" s="35" t="s">
        <v>1428</v>
      </c>
      <c r="E7121" s="35" t="s">
        <v>1441</v>
      </c>
      <c r="F7121" s="35" t="s">
        <v>10</v>
      </c>
      <c r="G7121" s="35" t="s">
        <v>420</v>
      </c>
    </row>
    <row r="7122" spans="1:7">
      <c r="A7122" s="34">
        <v>2084027278</v>
      </c>
      <c r="B7122" s="35" t="s">
        <v>462</v>
      </c>
      <c r="C7122" s="35" t="s">
        <v>405</v>
      </c>
      <c r="D7122" s="35" t="s">
        <v>1428</v>
      </c>
      <c r="E7122" s="35" t="s">
        <v>1441</v>
      </c>
      <c r="F7122" s="35" t="s">
        <v>10</v>
      </c>
      <c r="G7122" s="35" t="s">
        <v>397</v>
      </c>
    </row>
    <row r="7123" spans="1:7">
      <c r="A7123" s="34">
        <v>2084027391</v>
      </c>
      <c r="B7123" s="35" t="s">
        <v>462</v>
      </c>
      <c r="C7123" s="35" t="s">
        <v>405</v>
      </c>
      <c r="D7123" s="35" t="s">
        <v>1428</v>
      </c>
      <c r="E7123" s="35" t="s">
        <v>1441</v>
      </c>
      <c r="F7123" s="35" t="s">
        <v>10</v>
      </c>
      <c r="G7123" s="35" t="s">
        <v>515</v>
      </c>
    </row>
    <row r="7124" spans="1:7">
      <c r="A7124" s="34">
        <v>2084027523</v>
      </c>
      <c r="B7124" s="35" t="s">
        <v>462</v>
      </c>
      <c r="C7124" s="35" t="s">
        <v>405</v>
      </c>
      <c r="D7124" s="35" t="s">
        <v>1428</v>
      </c>
      <c r="E7124" s="35" t="s">
        <v>1441</v>
      </c>
      <c r="F7124" s="35" t="s">
        <v>10</v>
      </c>
      <c r="G7124" s="35" t="s">
        <v>421</v>
      </c>
    </row>
    <row r="7125" spans="1:7">
      <c r="A7125" s="34">
        <v>2084027734</v>
      </c>
      <c r="B7125" s="35" t="s">
        <v>462</v>
      </c>
      <c r="C7125" s="35" t="s">
        <v>405</v>
      </c>
      <c r="D7125" s="35" t="s">
        <v>1428</v>
      </c>
      <c r="E7125" s="35" t="s">
        <v>1441</v>
      </c>
      <c r="F7125" s="35" t="s">
        <v>10</v>
      </c>
      <c r="G7125" s="35" t="s">
        <v>516</v>
      </c>
    </row>
    <row r="7126" spans="1:7">
      <c r="A7126" s="34">
        <v>2084027201</v>
      </c>
      <c r="B7126" s="35" t="s">
        <v>462</v>
      </c>
      <c r="C7126" s="35" t="s">
        <v>405</v>
      </c>
      <c r="D7126" s="35" t="s">
        <v>1428</v>
      </c>
      <c r="E7126" s="35" t="s">
        <v>1441</v>
      </c>
      <c r="F7126" s="35" t="s">
        <v>10</v>
      </c>
      <c r="G7126" s="35" t="s">
        <v>398</v>
      </c>
    </row>
    <row r="7127" spans="1:7">
      <c r="A7127" s="34">
        <v>2084027353</v>
      </c>
      <c r="B7127" s="35" t="s">
        <v>462</v>
      </c>
      <c r="C7127" s="35" t="s">
        <v>405</v>
      </c>
      <c r="D7127" s="35" t="s">
        <v>1428</v>
      </c>
      <c r="E7127" s="35" t="s">
        <v>1441</v>
      </c>
      <c r="F7127" s="35" t="s">
        <v>10</v>
      </c>
      <c r="G7127" s="35" t="s">
        <v>518</v>
      </c>
    </row>
    <row r="7128" spans="1:7">
      <c r="A7128" s="34">
        <v>2084027561</v>
      </c>
      <c r="B7128" s="35" t="s">
        <v>462</v>
      </c>
      <c r="C7128" s="35" t="s">
        <v>405</v>
      </c>
      <c r="D7128" s="35" t="s">
        <v>1428</v>
      </c>
      <c r="E7128" s="35" t="s">
        <v>1441</v>
      </c>
      <c r="F7128" s="35" t="s">
        <v>10</v>
      </c>
      <c r="G7128" s="35" t="s">
        <v>422</v>
      </c>
    </row>
    <row r="7129" spans="1:7">
      <c r="A7129" s="34">
        <v>2084027744</v>
      </c>
      <c r="B7129" s="35" t="s">
        <v>462</v>
      </c>
      <c r="C7129" s="35" t="s">
        <v>405</v>
      </c>
      <c r="D7129" s="35" t="s">
        <v>1428</v>
      </c>
      <c r="E7129" s="35" t="s">
        <v>1441</v>
      </c>
      <c r="F7129" s="35" t="s">
        <v>10</v>
      </c>
      <c r="G7129" s="35" t="s">
        <v>519</v>
      </c>
    </row>
    <row r="7130" spans="1:7">
      <c r="A7130" s="34">
        <v>2084246974</v>
      </c>
      <c r="B7130" s="35" t="s">
        <v>462</v>
      </c>
      <c r="C7130" s="35" t="s">
        <v>405</v>
      </c>
      <c r="D7130" s="35" t="s">
        <v>1428</v>
      </c>
      <c r="E7130" s="35" t="s">
        <v>1441</v>
      </c>
      <c r="F7130" s="35" t="s">
        <v>10</v>
      </c>
      <c r="G7130" s="35" t="s">
        <v>335</v>
      </c>
    </row>
    <row r="7131" spans="1:7">
      <c r="A7131" s="34">
        <v>2084028042</v>
      </c>
      <c r="B7131" s="35" t="s">
        <v>462</v>
      </c>
      <c r="C7131" s="35" t="s">
        <v>405</v>
      </c>
      <c r="D7131" s="35" t="s">
        <v>1428</v>
      </c>
      <c r="E7131" s="35" t="s">
        <v>1441</v>
      </c>
      <c r="F7131" s="35" t="s">
        <v>379</v>
      </c>
      <c r="G7131" s="35" t="s">
        <v>521</v>
      </c>
    </row>
    <row r="7132" spans="1:7">
      <c r="A7132" s="34">
        <v>2084028149</v>
      </c>
      <c r="B7132" s="35" t="s">
        <v>462</v>
      </c>
      <c r="C7132" s="35" t="s">
        <v>405</v>
      </c>
      <c r="D7132" s="35" t="s">
        <v>1428</v>
      </c>
      <c r="E7132" s="35" t="s">
        <v>1441</v>
      </c>
      <c r="F7132" s="35" t="s">
        <v>379</v>
      </c>
      <c r="G7132" s="35" t="s">
        <v>522</v>
      </c>
    </row>
    <row r="7133" spans="1:7">
      <c r="A7133" s="34">
        <v>2084028401</v>
      </c>
      <c r="B7133" s="35" t="s">
        <v>462</v>
      </c>
      <c r="C7133" s="35" t="s">
        <v>405</v>
      </c>
      <c r="D7133" s="35" t="s">
        <v>1428</v>
      </c>
      <c r="E7133" s="35" t="s">
        <v>1441</v>
      </c>
      <c r="F7133" s="35" t="s">
        <v>379</v>
      </c>
      <c r="G7133" s="35" t="s">
        <v>523</v>
      </c>
    </row>
    <row r="7134" spans="1:7">
      <c r="A7134" s="34">
        <v>2084028134</v>
      </c>
      <c r="B7134" s="35" t="s">
        <v>462</v>
      </c>
      <c r="C7134" s="35" t="s">
        <v>405</v>
      </c>
      <c r="D7134" s="35" t="s">
        <v>1428</v>
      </c>
      <c r="E7134" s="35" t="s">
        <v>1441</v>
      </c>
      <c r="F7134" s="35" t="s">
        <v>379</v>
      </c>
      <c r="G7134" s="35" t="s">
        <v>524</v>
      </c>
    </row>
    <row r="7135" spans="1:7">
      <c r="A7135" s="34">
        <v>2084028250</v>
      </c>
      <c r="B7135" s="35" t="s">
        <v>462</v>
      </c>
      <c r="C7135" s="35" t="s">
        <v>405</v>
      </c>
      <c r="D7135" s="35" t="s">
        <v>1428</v>
      </c>
      <c r="E7135" s="35" t="s">
        <v>1441</v>
      </c>
      <c r="F7135" s="35" t="s">
        <v>379</v>
      </c>
      <c r="G7135" s="35" t="s">
        <v>525</v>
      </c>
    </row>
    <row r="7136" spans="1:7">
      <c r="A7136" s="34">
        <v>2084028457</v>
      </c>
      <c r="B7136" s="35" t="s">
        <v>462</v>
      </c>
      <c r="C7136" s="35" t="s">
        <v>405</v>
      </c>
      <c r="D7136" s="35" t="s">
        <v>1428</v>
      </c>
      <c r="E7136" s="35" t="s">
        <v>1441</v>
      </c>
      <c r="F7136" s="35" t="s">
        <v>379</v>
      </c>
      <c r="G7136" s="35" t="s">
        <v>526</v>
      </c>
    </row>
    <row r="7137" spans="1:8">
      <c r="A7137" s="34">
        <v>2084028325</v>
      </c>
      <c r="B7137" s="35" t="s">
        <v>462</v>
      </c>
      <c r="C7137" s="35" t="s">
        <v>405</v>
      </c>
      <c r="D7137" s="35" t="s">
        <v>1428</v>
      </c>
      <c r="E7137" s="35" t="s">
        <v>1441</v>
      </c>
      <c r="F7137" s="35" t="s">
        <v>379</v>
      </c>
      <c r="G7137" s="35" t="s">
        <v>527</v>
      </c>
    </row>
    <row r="7138" spans="1:8">
      <c r="A7138" s="34">
        <v>2084028537</v>
      </c>
      <c r="B7138" s="35" t="s">
        <v>462</v>
      </c>
      <c r="C7138" s="35" t="s">
        <v>405</v>
      </c>
      <c r="D7138" s="35" t="s">
        <v>1428</v>
      </c>
      <c r="E7138" s="35" t="s">
        <v>1441</v>
      </c>
      <c r="F7138" s="35" t="s">
        <v>379</v>
      </c>
      <c r="G7138" s="35" t="s">
        <v>528</v>
      </c>
    </row>
    <row r="7139" spans="1:8">
      <c r="A7139" s="34">
        <v>2084028363</v>
      </c>
      <c r="B7139" s="35" t="s">
        <v>462</v>
      </c>
      <c r="C7139" s="35" t="s">
        <v>405</v>
      </c>
      <c r="D7139" s="35" t="s">
        <v>1428</v>
      </c>
      <c r="E7139" s="35" t="s">
        <v>1441</v>
      </c>
      <c r="F7139" s="35" t="s">
        <v>379</v>
      </c>
      <c r="G7139" s="35" t="s">
        <v>548</v>
      </c>
    </row>
    <row r="7140" spans="1:8">
      <c r="A7140" s="34">
        <v>2084246975</v>
      </c>
      <c r="B7140" s="35" t="s">
        <v>462</v>
      </c>
      <c r="C7140" s="35" t="s">
        <v>405</v>
      </c>
      <c r="D7140" s="35" t="s">
        <v>1428</v>
      </c>
      <c r="E7140" s="35" t="s">
        <v>1441</v>
      </c>
      <c r="F7140" s="35" t="s">
        <v>379</v>
      </c>
      <c r="G7140" s="35" t="s">
        <v>335</v>
      </c>
    </row>
    <row r="7141" spans="1:8">
      <c r="A7141" s="34">
        <v>2084028577</v>
      </c>
      <c r="B7141" s="35" t="s">
        <v>462</v>
      </c>
      <c r="C7141" s="35" t="s">
        <v>405</v>
      </c>
      <c r="D7141" s="35" t="s">
        <v>1428</v>
      </c>
      <c r="E7141" s="35" t="s">
        <v>1441</v>
      </c>
      <c r="F7141" s="35" t="s">
        <v>478</v>
      </c>
    </row>
    <row r="7142" spans="1:8">
      <c r="A7142" s="34">
        <v>2084048726</v>
      </c>
      <c r="B7142" s="35" t="s">
        <v>462</v>
      </c>
      <c r="C7142" s="35" t="s">
        <v>405</v>
      </c>
      <c r="D7142" s="35" t="s">
        <v>1428</v>
      </c>
      <c r="E7142" s="35" t="s">
        <v>1441</v>
      </c>
      <c r="F7142" s="35" t="s">
        <v>335</v>
      </c>
    </row>
    <row r="7143" spans="1:8">
      <c r="A7143" s="34">
        <v>2084244280</v>
      </c>
      <c r="B7143" s="35" t="s">
        <v>462</v>
      </c>
      <c r="C7143" s="35" t="s">
        <v>405</v>
      </c>
      <c r="D7143" s="35" t="s">
        <v>1428</v>
      </c>
      <c r="E7143" s="35" t="s">
        <v>1442</v>
      </c>
      <c r="F7143" s="35" t="s">
        <v>407</v>
      </c>
    </row>
    <row r="7144" spans="1:8">
      <c r="A7144" s="34">
        <v>2084244279</v>
      </c>
      <c r="B7144" s="35" t="s">
        <v>462</v>
      </c>
      <c r="C7144" s="35" t="s">
        <v>405</v>
      </c>
      <c r="D7144" s="35" t="s">
        <v>1428</v>
      </c>
      <c r="E7144" s="35" t="s">
        <v>1442</v>
      </c>
      <c r="F7144" s="35" t="s">
        <v>408</v>
      </c>
    </row>
    <row r="7145" spans="1:8">
      <c r="A7145" s="34">
        <v>2084056508</v>
      </c>
      <c r="B7145" s="35" t="s">
        <v>462</v>
      </c>
      <c r="C7145" s="35" t="s">
        <v>405</v>
      </c>
      <c r="D7145" s="35" t="s">
        <v>1428</v>
      </c>
      <c r="E7145" s="35" t="s">
        <v>1443</v>
      </c>
      <c r="F7145" s="35" t="s">
        <v>390</v>
      </c>
      <c r="G7145" s="35" t="s">
        <v>401</v>
      </c>
    </row>
    <row r="7146" spans="1:8">
      <c r="A7146" s="34">
        <v>2084056509</v>
      </c>
      <c r="B7146" s="35" t="s">
        <v>462</v>
      </c>
      <c r="C7146" s="35" t="s">
        <v>405</v>
      </c>
      <c r="D7146" s="35" t="s">
        <v>1428</v>
      </c>
      <c r="E7146" s="35" t="s">
        <v>1443</v>
      </c>
      <c r="F7146" s="35" t="s">
        <v>390</v>
      </c>
      <c r="G7146" s="35" t="s">
        <v>335</v>
      </c>
    </row>
    <row r="7147" spans="1:8">
      <c r="A7147" s="34">
        <v>2084056506</v>
      </c>
      <c r="B7147" s="35" t="s">
        <v>462</v>
      </c>
      <c r="C7147" s="35" t="s">
        <v>405</v>
      </c>
      <c r="D7147" s="35" t="s">
        <v>1428</v>
      </c>
      <c r="E7147" s="35" t="s">
        <v>1443</v>
      </c>
      <c r="F7147" s="35" t="s">
        <v>353</v>
      </c>
      <c r="G7147" s="35" t="s">
        <v>401</v>
      </c>
    </row>
    <row r="7148" spans="1:8">
      <c r="A7148" s="34">
        <v>2084056507</v>
      </c>
      <c r="B7148" s="35" t="s">
        <v>462</v>
      </c>
      <c r="C7148" s="35" t="s">
        <v>405</v>
      </c>
      <c r="D7148" s="35" t="s">
        <v>1428</v>
      </c>
      <c r="E7148" s="35" t="s">
        <v>1443</v>
      </c>
      <c r="F7148" s="35" t="s">
        <v>353</v>
      </c>
      <c r="G7148" s="35" t="s">
        <v>335</v>
      </c>
    </row>
    <row r="7149" spans="1:8">
      <c r="A7149" s="34">
        <v>2084053016</v>
      </c>
      <c r="B7149" s="35" t="s">
        <v>462</v>
      </c>
      <c r="C7149" s="35" t="s">
        <v>405</v>
      </c>
      <c r="D7149" s="35" t="s">
        <v>1428</v>
      </c>
      <c r="E7149" s="35" t="s">
        <v>1444</v>
      </c>
      <c r="F7149" s="35" t="s">
        <v>390</v>
      </c>
      <c r="G7149" s="35" t="s">
        <v>368</v>
      </c>
      <c r="H7149" s="35" t="s">
        <v>481</v>
      </c>
    </row>
    <row r="7150" spans="1:8">
      <c r="A7150" s="34">
        <v>2084053017</v>
      </c>
      <c r="B7150" s="35" t="s">
        <v>462</v>
      </c>
      <c r="C7150" s="35" t="s">
        <v>405</v>
      </c>
      <c r="D7150" s="35" t="s">
        <v>1428</v>
      </c>
      <c r="E7150" s="35" t="s">
        <v>1444</v>
      </c>
      <c r="F7150" s="35" t="s">
        <v>390</v>
      </c>
      <c r="G7150" s="35" t="s">
        <v>368</v>
      </c>
      <c r="H7150" s="35" t="s">
        <v>335</v>
      </c>
    </row>
    <row r="7151" spans="1:8">
      <c r="A7151" s="34">
        <v>2084053023</v>
      </c>
      <c r="B7151" s="35" t="s">
        <v>462</v>
      </c>
      <c r="C7151" s="35" t="s">
        <v>405</v>
      </c>
      <c r="D7151" s="35" t="s">
        <v>1428</v>
      </c>
      <c r="E7151" s="35" t="s">
        <v>1444</v>
      </c>
      <c r="F7151" s="35" t="s">
        <v>390</v>
      </c>
      <c r="G7151" s="35" t="s">
        <v>10</v>
      </c>
      <c r="H7151" s="35" t="s">
        <v>510</v>
      </c>
    </row>
    <row r="7152" spans="1:8">
      <c r="A7152" s="34">
        <v>2084053020</v>
      </c>
      <c r="B7152" s="35" t="s">
        <v>462</v>
      </c>
      <c r="C7152" s="35" t="s">
        <v>405</v>
      </c>
      <c r="D7152" s="35" t="s">
        <v>1428</v>
      </c>
      <c r="E7152" s="35" t="s">
        <v>1444</v>
      </c>
      <c r="F7152" s="35" t="s">
        <v>390</v>
      </c>
      <c r="G7152" s="35" t="s">
        <v>10</v>
      </c>
      <c r="H7152" s="35" t="s">
        <v>397</v>
      </c>
    </row>
    <row r="7153" spans="1:8">
      <c r="A7153" s="34">
        <v>2084053022</v>
      </c>
      <c r="B7153" s="35" t="s">
        <v>462</v>
      </c>
      <c r="C7153" s="35" t="s">
        <v>405</v>
      </c>
      <c r="D7153" s="35" t="s">
        <v>1428</v>
      </c>
      <c r="E7153" s="35" t="s">
        <v>1444</v>
      </c>
      <c r="F7153" s="35" t="s">
        <v>390</v>
      </c>
      <c r="G7153" s="35" t="s">
        <v>10</v>
      </c>
      <c r="H7153" s="35" t="s">
        <v>1445</v>
      </c>
    </row>
    <row r="7154" spans="1:8">
      <c r="A7154" s="34">
        <v>2084053019</v>
      </c>
      <c r="B7154" s="35" t="s">
        <v>462</v>
      </c>
      <c r="C7154" s="35" t="s">
        <v>405</v>
      </c>
      <c r="D7154" s="35" t="s">
        <v>1428</v>
      </c>
      <c r="E7154" s="35" t="s">
        <v>1444</v>
      </c>
      <c r="F7154" s="35" t="s">
        <v>390</v>
      </c>
      <c r="G7154" s="35" t="s">
        <v>10</v>
      </c>
      <c r="H7154" s="35" t="s">
        <v>398</v>
      </c>
    </row>
    <row r="7155" spans="1:8">
      <c r="A7155" s="34">
        <v>2084053021</v>
      </c>
      <c r="B7155" s="35" t="s">
        <v>462</v>
      </c>
      <c r="C7155" s="35" t="s">
        <v>405</v>
      </c>
      <c r="D7155" s="35" t="s">
        <v>1428</v>
      </c>
      <c r="E7155" s="35" t="s">
        <v>1444</v>
      </c>
      <c r="F7155" s="35" t="s">
        <v>390</v>
      </c>
      <c r="G7155" s="35" t="s">
        <v>10</v>
      </c>
      <c r="H7155" s="35" t="s">
        <v>1446</v>
      </c>
    </row>
    <row r="7156" spans="1:8">
      <c r="A7156" s="34">
        <v>2084053024</v>
      </c>
      <c r="B7156" s="35" t="s">
        <v>462</v>
      </c>
      <c r="C7156" s="35" t="s">
        <v>405</v>
      </c>
      <c r="D7156" s="35" t="s">
        <v>1428</v>
      </c>
      <c r="E7156" s="35" t="s">
        <v>1444</v>
      </c>
      <c r="F7156" s="35" t="s">
        <v>390</v>
      </c>
      <c r="G7156" s="35" t="s">
        <v>10</v>
      </c>
      <c r="H7156" s="35" t="s">
        <v>335</v>
      </c>
    </row>
    <row r="7157" spans="1:8">
      <c r="A7157" s="34">
        <v>2084053027</v>
      </c>
      <c r="B7157" s="35" t="s">
        <v>462</v>
      </c>
      <c r="C7157" s="35" t="s">
        <v>405</v>
      </c>
      <c r="D7157" s="35" t="s">
        <v>1428</v>
      </c>
      <c r="E7157" s="35" t="s">
        <v>1444</v>
      </c>
      <c r="F7157" s="35" t="s">
        <v>390</v>
      </c>
      <c r="G7157" s="35" t="s">
        <v>379</v>
      </c>
      <c r="H7157" s="35" t="s">
        <v>545</v>
      </c>
    </row>
    <row r="7158" spans="1:8">
      <c r="A7158" s="34">
        <v>2084053026</v>
      </c>
      <c r="B7158" s="35" t="s">
        <v>462</v>
      </c>
      <c r="C7158" s="35" t="s">
        <v>405</v>
      </c>
      <c r="D7158" s="35" t="s">
        <v>1428</v>
      </c>
      <c r="E7158" s="35" t="s">
        <v>1444</v>
      </c>
      <c r="F7158" s="35" t="s">
        <v>390</v>
      </c>
      <c r="G7158" s="35" t="s">
        <v>379</v>
      </c>
      <c r="H7158" s="35" t="s">
        <v>476</v>
      </c>
    </row>
    <row r="7159" spans="1:8">
      <c r="A7159" s="34">
        <v>2084053028</v>
      </c>
      <c r="B7159" s="35" t="s">
        <v>462</v>
      </c>
      <c r="C7159" s="35" t="s">
        <v>405</v>
      </c>
      <c r="D7159" s="35" t="s">
        <v>1428</v>
      </c>
      <c r="E7159" s="35" t="s">
        <v>1444</v>
      </c>
      <c r="F7159" s="35" t="s">
        <v>390</v>
      </c>
      <c r="G7159" s="35" t="s">
        <v>379</v>
      </c>
      <c r="H7159" s="35" t="s">
        <v>335</v>
      </c>
    </row>
    <row r="7160" spans="1:8">
      <c r="A7160" s="34">
        <v>2084061714</v>
      </c>
      <c r="B7160" s="35" t="s">
        <v>462</v>
      </c>
      <c r="C7160" s="35" t="s">
        <v>405</v>
      </c>
      <c r="D7160" s="35" t="s">
        <v>1428</v>
      </c>
      <c r="E7160" s="35" t="s">
        <v>1444</v>
      </c>
      <c r="F7160" s="35" t="s">
        <v>390</v>
      </c>
      <c r="G7160" s="35" t="s">
        <v>478</v>
      </c>
    </row>
    <row r="7161" spans="1:8">
      <c r="A7161" s="34">
        <v>2084053029</v>
      </c>
      <c r="B7161" s="35" t="s">
        <v>462</v>
      </c>
      <c r="C7161" s="35" t="s">
        <v>405</v>
      </c>
      <c r="D7161" s="35" t="s">
        <v>1428</v>
      </c>
      <c r="E7161" s="35" t="s">
        <v>1444</v>
      </c>
      <c r="F7161" s="35" t="s">
        <v>390</v>
      </c>
      <c r="G7161" s="35" t="s">
        <v>335</v>
      </c>
    </row>
    <row r="7162" spans="1:8">
      <c r="A7162" s="34">
        <v>2084061715</v>
      </c>
      <c r="B7162" s="35" t="s">
        <v>462</v>
      </c>
      <c r="C7162" s="35" t="s">
        <v>405</v>
      </c>
      <c r="D7162" s="35" t="s">
        <v>1428</v>
      </c>
      <c r="E7162" s="35" t="s">
        <v>1444</v>
      </c>
      <c r="F7162" s="35" t="s">
        <v>335</v>
      </c>
    </row>
    <row r="7163" spans="1:8">
      <c r="A7163" s="34">
        <v>2084028218</v>
      </c>
      <c r="B7163" s="35" t="s">
        <v>462</v>
      </c>
      <c r="C7163" s="35" t="s">
        <v>405</v>
      </c>
      <c r="D7163" s="35" t="s">
        <v>1428</v>
      </c>
      <c r="E7163" s="35" t="s">
        <v>1447</v>
      </c>
      <c r="F7163" s="35" t="s">
        <v>390</v>
      </c>
      <c r="G7163" s="35" t="s">
        <v>367</v>
      </c>
    </row>
    <row r="7164" spans="1:8">
      <c r="A7164" s="34">
        <v>2084028767</v>
      </c>
      <c r="B7164" s="35" t="s">
        <v>462</v>
      </c>
      <c r="C7164" s="35" t="s">
        <v>405</v>
      </c>
      <c r="D7164" s="35" t="s">
        <v>1428</v>
      </c>
      <c r="E7164" s="35" t="s">
        <v>1447</v>
      </c>
      <c r="F7164" s="35" t="s">
        <v>390</v>
      </c>
      <c r="G7164" s="35" t="s">
        <v>368</v>
      </c>
      <c r="H7164" s="35" t="s">
        <v>508</v>
      </c>
    </row>
    <row r="7165" spans="1:8">
      <c r="A7165" s="34">
        <v>2084029301</v>
      </c>
      <c r="B7165" s="35" t="s">
        <v>462</v>
      </c>
      <c r="C7165" s="35" t="s">
        <v>405</v>
      </c>
      <c r="D7165" s="35" t="s">
        <v>1428</v>
      </c>
      <c r="E7165" s="35" t="s">
        <v>1447</v>
      </c>
      <c r="F7165" s="35" t="s">
        <v>390</v>
      </c>
      <c r="G7165" s="35" t="s">
        <v>368</v>
      </c>
      <c r="H7165" s="35" t="s">
        <v>481</v>
      </c>
    </row>
    <row r="7166" spans="1:8">
      <c r="A7166" s="34">
        <v>2084029859</v>
      </c>
      <c r="B7166" s="35" t="s">
        <v>462</v>
      </c>
      <c r="C7166" s="35" t="s">
        <v>405</v>
      </c>
      <c r="D7166" s="35" t="s">
        <v>1428</v>
      </c>
      <c r="E7166" s="35" t="s">
        <v>1447</v>
      </c>
      <c r="F7166" s="35" t="s">
        <v>390</v>
      </c>
      <c r="G7166" s="35" t="s">
        <v>368</v>
      </c>
      <c r="H7166" s="35" t="s">
        <v>494</v>
      </c>
    </row>
    <row r="7167" spans="1:8">
      <c r="A7167" s="34">
        <v>2084059007</v>
      </c>
      <c r="B7167" s="35" t="s">
        <v>462</v>
      </c>
      <c r="C7167" s="35" t="s">
        <v>405</v>
      </c>
      <c r="D7167" s="35" t="s">
        <v>1428</v>
      </c>
      <c r="E7167" s="35" t="s">
        <v>1447</v>
      </c>
      <c r="F7167" s="35" t="s">
        <v>390</v>
      </c>
      <c r="G7167" s="35" t="s">
        <v>368</v>
      </c>
      <c r="H7167" s="35" t="s">
        <v>335</v>
      </c>
    </row>
    <row r="7168" spans="1:8">
      <c r="A7168" s="34">
        <v>2084027316</v>
      </c>
      <c r="B7168" s="35" t="s">
        <v>462</v>
      </c>
      <c r="C7168" s="35" t="s">
        <v>405</v>
      </c>
      <c r="D7168" s="35" t="s">
        <v>1428</v>
      </c>
      <c r="E7168" s="35" t="s">
        <v>1447</v>
      </c>
      <c r="F7168" s="35" t="s">
        <v>390</v>
      </c>
      <c r="G7168" s="35" t="s">
        <v>10</v>
      </c>
      <c r="H7168" s="35" t="s">
        <v>509</v>
      </c>
    </row>
    <row r="7169" spans="1:8">
      <c r="A7169" s="34">
        <v>2084027809</v>
      </c>
      <c r="B7169" s="35" t="s">
        <v>462</v>
      </c>
      <c r="C7169" s="35" t="s">
        <v>405</v>
      </c>
      <c r="D7169" s="35" t="s">
        <v>1428</v>
      </c>
      <c r="E7169" s="35" t="s">
        <v>1447</v>
      </c>
      <c r="F7169" s="35" t="s">
        <v>390</v>
      </c>
      <c r="G7169" s="35" t="s">
        <v>10</v>
      </c>
      <c r="H7169" s="35" t="s">
        <v>510</v>
      </c>
    </row>
    <row r="7170" spans="1:8">
      <c r="A7170" s="34">
        <v>2084027843</v>
      </c>
      <c r="B7170" s="35" t="s">
        <v>462</v>
      </c>
      <c r="C7170" s="35" t="s">
        <v>405</v>
      </c>
      <c r="D7170" s="35" t="s">
        <v>1428</v>
      </c>
      <c r="E7170" s="35" t="s">
        <v>1447</v>
      </c>
      <c r="F7170" s="35" t="s">
        <v>390</v>
      </c>
      <c r="G7170" s="35" t="s">
        <v>10</v>
      </c>
      <c r="H7170" s="35" t="s">
        <v>511</v>
      </c>
    </row>
    <row r="7171" spans="1:8">
      <c r="A7171" s="34">
        <v>2084027921</v>
      </c>
      <c r="B7171" s="35" t="s">
        <v>462</v>
      </c>
      <c r="C7171" s="35" t="s">
        <v>405</v>
      </c>
      <c r="D7171" s="35" t="s">
        <v>1428</v>
      </c>
      <c r="E7171" s="35" t="s">
        <v>1447</v>
      </c>
      <c r="F7171" s="35" t="s">
        <v>390</v>
      </c>
      <c r="G7171" s="35" t="s">
        <v>10</v>
      </c>
      <c r="H7171" s="35" t="s">
        <v>493</v>
      </c>
    </row>
    <row r="7172" spans="1:8">
      <c r="A7172" s="34">
        <v>2084027440</v>
      </c>
      <c r="B7172" s="35" t="s">
        <v>462</v>
      </c>
      <c r="C7172" s="35" t="s">
        <v>405</v>
      </c>
      <c r="D7172" s="35" t="s">
        <v>1428</v>
      </c>
      <c r="E7172" s="35" t="s">
        <v>1447</v>
      </c>
      <c r="F7172" s="35" t="s">
        <v>390</v>
      </c>
      <c r="G7172" s="35" t="s">
        <v>10</v>
      </c>
      <c r="H7172" s="35" t="s">
        <v>512</v>
      </c>
    </row>
    <row r="7173" spans="1:8">
      <c r="A7173" s="34">
        <v>2084027600</v>
      </c>
      <c r="B7173" s="35" t="s">
        <v>462</v>
      </c>
      <c r="C7173" s="35" t="s">
        <v>405</v>
      </c>
      <c r="D7173" s="35" t="s">
        <v>1428</v>
      </c>
      <c r="E7173" s="35" t="s">
        <v>1447</v>
      </c>
      <c r="F7173" s="35" t="s">
        <v>390</v>
      </c>
      <c r="G7173" s="35" t="s">
        <v>10</v>
      </c>
      <c r="H7173" s="35" t="s">
        <v>513</v>
      </c>
    </row>
    <row r="7174" spans="1:8">
      <c r="A7174" s="34">
        <v>2084027959</v>
      </c>
      <c r="B7174" s="35" t="s">
        <v>462</v>
      </c>
      <c r="C7174" s="35" t="s">
        <v>405</v>
      </c>
      <c r="D7174" s="35" t="s">
        <v>1428</v>
      </c>
      <c r="E7174" s="35" t="s">
        <v>1447</v>
      </c>
      <c r="F7174" s="35" t="s">
        <v>390</v>
      </c>
      <c r="G7174" s="35" t="s">
        <v>10</v>
      </c>
      <c r="H7174" s="35" t="s">
        <v>420</v>
      </c>
    </row>
    <row r="7175" spans="1:8">
      <c r="A7175" s="34">
        <v>2084027279</v>
      </c>
      <c r="B7175" s="35" t="s">
        <v>462</v>
      </c>
      <c r="C7175" s="35" t="s">
        <v>405</v>
      </c>
      <c r="D7175" s="35" t="s">
        <v>1428</v>
      </c>
      <c r="E7175" s="35" t="s">
        <v>1447</v>
      </c>
      <c r="F7175" s="35" t="s">
        <v>390</v>
      </c>
      <c r="G7175" s="35" t="s">
        <v>10</v>
      </c>
      <c r="H7175" s="35" t="s">
        <v>397</v>
      </c>
    </row>
    <row r="7176" spans="1:8">
      <c r="A7176" s="34">
        <v>2084027392</v>
      </c>
      <c r="B7176" s="35" t="s">
        <v>462</v>
      </c>
      <c r="C7176" s="35" t="s">
        <v>405</v>
      </c>
      <c r="D7176" s="35" t="s">
        <v>1428</v>
      </c>
      <c r="E7176" s="35" t="s">
        <v>1447</v>
      </c>
      <c r="F7176" s="35" t="s">
        <v>390</v>
      </c>
      <c r="G7176" s="35" t="s">
        <v>10</v>
      </c>
      <c r="H7176" s="35" t="s">
        <v>515</v>
      </c>
    </row>
    <row r="7177" spans="1:8">
      <c r="A7177" s="34">
        <v>2084027524</v>
      </c>
      <c r="B7177" s="35" t="s">
        <v>462</v>
      </c>
      <c r="C7177" s="35" t="s">
        <v>405</v>
      </c>
      <c r="D7177" s="35" t="s">
        <v>1428</v>
      </c>
      <c r="E7177" s="35" t="s">
        <v>1447</v>
      </c>
      <c r="F7177" s="35" t="s">
        <v>390</v>
      </c>
      <c r="G7177" s="35" t="s">
        <v>10</v>
      </c>
      <c r="H7177" s="35" t="s">
        <v>421</v>
      </c>
    </row>
    <row r="7178" spans="1:8">
      <c r="A7178" s="34">
        <v>2084027735</v>
      </c>
      <c r="B7178" s="35" t="s">
        <v>462</v>
      </c>
      <c r="C7178" s="35" t="s">
        <v>405</v>
      </c>
      <c r="D7178" s="35" t="s">
        <v>1428</v>
      </c>
      <c r="E7178" s="35" t="s">
        <v>1447</v>
      </c>
      <c r="F7178" s="35" t="s">
        <v>390</v>
      </c>
      <c r="G7178" s="35" t="s">
        <v>10</v>
      </c>
      <c r="H7178" s="35" t="s">
        <v>516</v>
      </c>
    </row>
    <row r="7179" spans="1:8">
      <c r="A7179" s="34">
        <v>2084027202</v>
      </c>
      <c r="B7179" s="35" t="s">
        <v>462</v>
      </c>
      <c r="C7179" s="35" t="s">
        <v>405</v>
      </c>
      <c r="D7179" s="35" t="s">
        <v>1428</v>
      </c>
      <c r="E7179" s="35" t="s">
        <v>1447</v>
      </c>
      <c r="F7179" s="35" t="s">
        <v>390</v>
      </c>
      <c r="G7179" s="35" t="s">
        <v>10</v>
      </c>
      <c r="H7179" s="35" t="s">
        <v>398</v>
      </c>
    </row>
    <row r="7180" spans="1:8">
      <c r="A7180" s="34">
        <v>2084027354</v>
      </c>
      <c r="B7180" s="35" t="s">
        <v>462</v>
      </c>
      <c r="C7180" s="35" t="s">
        <v>405</v>
      </c>
      <c r="D7180" s="35" t="s">
        <v>1428</v>
      </c>
      <c r="E7180" s="35" t="s">
        <v>1447</v>
      </c>
      <c r="F7180" s="35" t="s">
        <v>390</v>
      </c>
      <c r="G7180" s="35" t="s">
        <v>10</v>
      </c>
      <c r="H7180" s="35" t="s">
        <v>518</v>
      </c>
    </row>
    <row r="7181" spans="1:8">
      <c r="A7181" s="34">
        <v>2084027562</v>
      </c>
      <c r="B7181" s="35" t="s">
        <v>462</v>
      </c>
      <c r="C7181" s="35" t="s">
        <v>405</v>
      </c>
      <c r="D7181" s="35" t="s">
        <v>1428</v>
      </c>
      <c r="E7181" s="35" t="s">
        <v>1447</v>
      </c>
      <c r="F7181" s="35" t="s">
        <v>390</v>
      </c>
      <c r="G7181" s="35" t="s">
        <v>10</v>
      </c>
      <c r="H7181" s="35" t="s">
        <v>422</v>
      </c>
    </row>
    <row r="7182" spans="1:8">
      <c r="A7182" s="34">
        <v>2084027745</v>
      </c>
      <c r="B7182" s="35" t="s">
        <v>462</v>
      </c>
      <c r="C7182" s="35" t="s">
        <v>405</v>
      </c>
      <c r="D7182" s="35" t="s">
        <v>1428</v>
      </c>
      <c r="E7182" s="35" t="s">
        <v>1447</v>
      </c>
      <c r="F7182" s="35" t="s">
        <v>390</v>
      </c>
      <c r="G7182" s="35" t="s">
        <v>10</v>
      </c>
      <c r="H7182" s="35" t="s">
        <v>519</v>
      </c>
    </row>
    <row r="7183" spans="1:8">
      <c r="A7183" s="34">
        <v>2084027997</v>
      </c>
      <c r="B7183" s="35" t="s">
        <v>462</v>
      </c>
      <c r="C7183" s="35" t="s">
        <v>405</v>
      </c>
      <c r="D7183" s="35" t="s">
        <v>1428</v>
      </c>
      <c r="E7183" s="35" t="s">
        <v>1447</v>
      </c>
      <c r="F7183" s="35" t="s">
        <v>390</v>
      </c>
      <c r="G7183" s="35" t="s">
        <v>379</v>
      </c>
      <c r="H7183" s="35" t="s">
        <v>520</v>
      </c>
    </row>
    <row r="7184" spans="1:8">
      <c r="A7184" s="34">
        <v>2084028043</v>
      </c>
      <c r="B7184" s="35" t="s">
        <v>462</v>
      </c>
      <c r="C7184" s="35" t="s">
        <v>405</v>
      </c>
      <c r="D7184" s="35" t="s">
        <v>1428</v>
      </c>
      <c r="E7184" s="35" t="s">
        <v>1447</v>
      </c>
      <c r="F7184" s="35" t="s">
        <v>390</v>
      </c>
      <c r="G7184" s="35" t="s">
        <v>379</v>
      </c>
      <c r="H7184" s="35" t="s">
        <v>521</v>
      </c>
    </row>
    <row r="7185" spans="1:8">
      <c r="A7185" s="34">
        <v>2084028150</v>
      </c>
      <c r="B7185" s="35" t="s">
        <v>462</v>
      </c>
      <c r="C7185" s="35" t="s">
        <v>405</v>
      </c>
      <c r="D7185" s="35" t="s">
        <v>1428</v>
      </c>
      <c r="E7185" s="35" t="s">
        <v>1447</v>
      </c>
      <c r="F7185" s="35" t="s">
        <v>390</v>
      </c>
      <c r="G7185" s="35" t="s">
        <v>379</v>
      </c>
      <c r="H7185" s="35" t="s">
        <v>522</v>
      </c>
    </row>
    <row r="7186" spans="1:8">
      <c r="A7186" s="34">
        <v>2084028402</v>
      </c>
      <c r="B7186" s="35" t="s">
        <v>462</v>
      </c>
      <c r="C7186" s="35" t="s">
        <v>405</v>
      </c>
      <c r="D7186" s="35" t="s">
        <v>1428</v>
      </c>
      <c r="E7186" s="35" t="s">
        <v>1447</v>
      </c>
      <c r="F7186" s="35" t="s">
        <v>390</v>
      </c>
      <c r="G7186" s="35" t="s">
        <v>379</v>
      </c>
      <c r="H7186" s="35" t="s">
        <v>523</v>
      </c>
    </row>
    <row r="7187" spans="1:8">
      <c r="A7187" s="34">
        <v>2084028135</v>
      </c>
      <c r="B7187" s="35" t="s">
        <v>462</v>
      </c>
      <c r="C7187" s="35" t="s">
        <v>405</v>
      </c>
      <c r="D7187" s="35" t="s">
        <v>1428</v>
      </c>
      <c r="E7187" s="35" t="s">
        <v>1447</v>
      </c>
      <c r="F7187" s="35" t="s">
        <v>390</v>
      </c>
      <c r="G7187" s="35" t="s">
        <v>379</v>
      </c>
      <c r="H7187" s="35" t="s">
        <v>524</v>
      </c>
    </row>
    <row r="7188" spans="1:8">
      <c r="A7188" s="34">
        <v>2084028251</v>
      </c>
      <c r="B7188" s="35" t="s">
        <v>462</v>
      </c>
      <c r="C7188" s="35" t="s">
        <v>405</v>
      </c>
      <c r="D7188" s="35" t="s">
        <v>1428</v>
      </c>
      <c r="E7188" s="35" t="s">
        <v>1447</v>
      </c>
      <c r="F7188" s="35" t="s">
        <v>390</v>
      </c>
      <c r="G7188" s="35" t="s">
        <v>379</v>
      </c>
      <c r="H7188" s="35" t="s">
        <v>525</v>
      </c>
    </row>
    <row r="7189" spans="1:8">
      <c r="A7189" s="34">
        <v>2084028440</v>
      </c>
      <c r="B7189" s="35" t="s">
        <v>462</v>
      </c>
      <c r="C7189" s="35" t="s">
        <v>405</v>
      </c>
      <c r="D7189" s="35" t="s">
        <v>1428</v>
      </c>
      <c r="E7189" s="35" t="s">
        <v>1447</v>
      </c>
      <c r="F7189" s="35" t="s">
        <v>390</v>
      </c>
      <c r="G7189" s="35" t="s">
        <v>379</v>
      </c>
      <c r="H7189" s="35" t="s">
        <v>526</v>
      </c>
    </row>
    <row r="7190" spans="1:8">
      <c r="A7190" s="34">
        <v>2084028326</v>
      </c>
      <c r="B7190" s="35" t="s">
        <v>462</v>
      </c>
      <c r="C7190" s="35" t="s">
        <v>405</v>
      </c>
      <c r="D7190" s="35" t="s">
        <v>1428</v>
      </c>
      <c r="E7190" s="35" t="s">
        <v>1447</v>
      </c>
      <c r="F7190" s="35" t="s">
        <v>390</v>
      </c>
      <c r="G7190" s="35" t="s">
        <v>379</v>
      </c>
      <c r="H7190" s="35" t="s">
        <v>527</v>
      </c>
    </row>
    <row r="7191" spans="1:8">
      <c r="A7191" s="34">
        <v>2084028538</v>
      </c>
      <c r="B7191" s="35" t="s">
        <v>462</v>
      </c>
      <c r="C7191" s="35" t="s">
        <v>405</v>
      </c>
      <c r="D7191" s="35" t="s">
        <v>1428</v>
      </c>
      <c r="E7191" s="35" t="s">
        <v>1447</v>
      </c>
      <c r="F7191" s="35" t="s">
        <v>390</v>
      </c>
      <c r="G7191" s="35" t="s">
        <v>379</v>
      </c>
      <c r="H7191" s="35" t="s">
        <v>528</v>
      </c>
    </row>
    <row r="7192" spans="1:8">
      <c r="A7192" s="34">
        <v>2084028364</v>
      </c>
      <c r="B7192" s="35" t="s">
        <v>462</v>
      </c>
      <c r="C7192" s="35" t="s">
        <v>405</v>
      </c>
      <c r="D7192" s="35" t="s">
        <v>1428</v>
      </c>
      <c r="E7192" s="35" t="s">
        <v>1447</v>
      </c>
      <c r="F7192" s="35" t="s">
        <v>390</v>
      </c>
      <c r="G7192" s="35" t="s">
        <v>379</v>
      </c>
      <c r="H7192" s="35" t="s">
        <v>529</v>
      </c>
    </row>
    <row r="7193" spans="1:8">
      <c r="A7193" s="34">
        <v>2084059008</v>
      </c>
      <c r="B7193" s="35" t="s">
        <v>462</v>
      </c>
      <c r="C7193" s="35" t="s">
        <v>405</v>
      </c>
      <c r="D7193" s="35" t="s">
        <v>1428</v>
      </c>
      <c r="E7193" s="35" t="s">
        <v>1447</v>
      </c>
      <c r="F7193" s="35" t="s">
        <v>390</v>
      </c>
      <c r="G7193" s="35" t="s">
        <v>379</v>
      </c>
      <c r="H7193" s="35" t="s">
        <v>335</v>
      </c>
    </row>
    <row r="7194" spans="1:8">
      <c r="A7194" s="34">
        <v>2084028578</v>
      </c>
      <c r="B7194" s="35" t="s">
        <v>462</v>
      </c>
      <c r="C7194" s="35" t="s">
        <v>405</v>
      </c>
      <c r="D7194" s="35" t="s">
        <v>1428</v>
      </c>
      <c r="E7194" s="35" t="s">
        <v>1447</v>
      </c>
      <c r="F7194" s="35" t="s">
        <v>390</v>
      </c>
      <c r="G7194" s="35" t="s">
        <v>530</v>
      </c>
      <c r="H7194" s="35" t="s">
        <v>531</v>
      </c>
    </row>
    <row r="7195" spans="1:8">
      <c r="A7195" s="34">
        <v>2084028616</v>
      </c>
      <c r="B7195" s="35" t="s">
        <v>462</v>
      </c>
      <c r="C7195" s="35" t="s">
        <v>405</v>
      </c>
      <c r="D7195" s="35" t="s">
        <v>1428</v>
      </c>
      <c r="E7195" s="35" t="s">
        <v>1447</v>
      </c>
      <c r="F7195" s="35" t="s">
        <v>390</v>
      </c>
      <c r="G7195" s="35" t="s">
        <v>530</v>
      </c>
      <c r="H7195" s="35" t="s">
        <v>532</v>
      </c>
    </row>
    <row r="7196" spans="1:8">
      <c r="A7196" s="34">
        <v>2084030116</v>
      </c>
      <c r="B7196" s="35" t="s">
        <v>462</v>
      </c>
      <c r="C7196" s="35" t="s">
        <v>405</v>
      </c>
      <c r="D7196" s="35" t="s">
        <v>1428</v>
      </c>
      <c r="E7196" s="35" t="s">
        <v>1447</v>
      </c>
      <c r="F7196" s="35" t="s">
        <v>390</v>
      </c>
      <c r="G7196" s="35" t="s">
        <v>533</v>
      </c>
      <c r="H7196" s="35" t="s">
        <v>1194</v>
      </c>
    </row>
    <row r="7197" spans="1:8">
      <c r="A7197" s="34">
        <v>2084030148</v>
      </c>
      <c r="B7197" s="35" t="s">
        <v>462</v>
      </c>
      <c r="C7197" s="35" t="s">
        <v>405</v>
      </c>
      <c r="D7197" s="35" t="s">
        <v>1428</v>
      </c>
      <c r="E7197" s="35" t="s">
        <v>1447</v>
      </c>
      <c r="F7197" s="35" t="s">
        <v>390</v>
      </c>
      <c r="G7197" s="35" t="s">
        <v>533</v>
      </c>
      <c r="H7197" s="35" t="s">
        <v>1195</v>
      </c>
    </row>
    <row r="7198" spans="1:8">
      <c r="A7198" s="34">
        <v>2084027158</v>
      </c>
      <c r="B7198" s="35" t="s">
        <v>462</v>
      </c>
      <c r="C7198" s="35" t="s">
        <v>405</v>
      </c>
      <c r="D7198" s="35" t="s">
        <v>1428</v>
      </c>
      <c r="E7198" s="35" t="s">
        <v>1447</v>
      </c>
      <c r="F7198" s="35" t="s">
        <v>390</v>
      </c>
      <c r="G7198" s="35" t="s">
        <v>533</v>
      </c>
      <c r="H7198" s="35" t="s">
        <v>536</v>
      </c>
    </row>
    <row r="7199" spans="1:8">
      <c r="A7199" s="34">
        <v>2084051252</v>
      </c>
      <c r="B7199" s="35" t="s">
        <v>462</v>
      </c>
      <c r="C7199" s="35" t="s">
        <v>405</v>
      </c>
      <c r="D7199" s="35" t="s">
        <v>1428</v>
      </c>
      <c r="E7199" s="35" t="s">
        <v>1447</v>
      </c>
      <c r="F7199" s="35" t="s">
        <v>390</v>
      </c>
      <c r="G7199" s="35" t="s">
        <v>335</v>
      </c>
    </row>
    <row r="7200" spans="1:8">
      <c r="A7200" s="34">
        <v>2084030687</v>
      </c>
      <c r="B7200" s="35" t="s">
        <v>462</v>
      </c>
      <c r="C7200" s="35" t="s">
        <v>405</v>
      </c>
      <c r="D7200" s="35" t="s">
        <v>1428</v>
      </c>
      <c r="E7200" s="35" t="s">
        <v>1447</v>
      </c>
      <c r="F7200" s="35" t="s">
        <v>353</v>
      </c>
      <c r="G7200" s="35" t="s">
        <v>481</v>
      </c>
    </row>
    <row r="7201" spans="1:8">
      <c r="A7201" s="34">
        <v>2084031585</v>
      </c>
      <c r="B7201" s="35" t="s">
        <v>462</v>
      </c>
      <c r="C7201" s="35" t="s">
        <v>405</v>
      </c>
      <c r="D7201" s="35" t="s">
        <v>1428</v>
      </c>
      <c r="E7201" s="35" t="s">
        <v>1447</v>
      </c>
      <c r="F7201" s="35" t="s">
        <v>353</v>
      </c>
      <c r="G7201" s="35" t="s">
        <v>483</v>
      </c>
    </row>
    <row r="7202" spans="1:8">
      <c r="A7202" s="34">
        <v>2084031474</v>
      </c>
      <c r="B7202" s="35" t="s">
        <v>462</v>
      </c>
      <c r="C7202" s="35" t="s">
        <v>405</v>
      </c>
      <c r="D7202" s="35" t="s">
        <v>1428</v>
      </c>
      <c r="E7202" s="35" t="s">
        <v>1447</v>
      </c>
      <c r="F7202" s="35" t="s">
        <v>353</v>
      </c>
      <c r="G7202" s="35" t="s">
        <v>482</v>
      </c>
    </row>
    <row r="7203" spans="1:8">
      <c r="A7203" s="34">
        <v>2084030250</v>
      </c>
      <c r="B7203" s="35" t="s">
        <v>462</v>
      </c>
      <c r="C7203" s="35" t="s">
        <v>405</v>
      </c>
      <c r="D7203" s="35" t="s">
        <v>1428</v>
      </c>
      <c r="E7203" s="35" t="s">
        <v>1447</v>
      </c>
      <c r="F7203" s="35" t="s">
        <v>353</v>
      </c>
      <c r="G7203" s="35" t="s">
        <v>493</v>
      </c>
    </row>
    <row r="7204" spans="1:8">
      <c r="A7204" s="34">
        <v>2084037267</v>
      </c>
      <c r="B7204" s="35" t="s">
        <v>462</v>
      </c>
      <c r="C7204" s="35" t="s">
        <v>405</v>
      </c>
      <c r="D7204" s="35" t="s">
        <v>1428</v>
      </c>
      <c r="E7204" s="35" t="s">
        <v>1447</v>
      </c>
      <c r="F7204" s="35" t="s">
        <v>353</v>
      </c>
      <c r="G7204" s="35" t="s">
        <v>494</v>
      </c>
    </row>
    <row r="7205" spans="1:8">
      <c r="A7205" s="34">
        <v>2084031533</v>
      </c>
      <c r="B7205" s="35" t="s">
        <v>462</v>
      </c>
      <c r="C7205" s="35" t="s">
        <v>405</v>
      </c>
      <c r="D7205" s="35" t="s">
        <v>1428</v>
      </c>
      <c r="E7205" s="35" t="s">
        <v>1447</v>
      </c>
      <c r="F7205" s="35" t="s">
        <v>353</v>
      </c>
      <c r="G7205" s="35" t="s">
        <v>397</v>
      </c>
    </row>
    <row r="7206" spans="1:8">
      <c r="A7206" s="34">
        <v>2084221904</v>
      </c>
      <c r="B7206" s="35" t="s">
        <v>462</v>
      </c>
      <c r="C7206" s="35" t="s">
        <v>405</v>
      </c>
      <c r="D7206" s="35" t="s">
        <v>1428</v>
      </c>
      <c r="E7206" s="35" t="s">
        <v>1447</v>
      </c>
      <c r="F7206" s="35" t="s">
        <v>353</v>
      </c>
      <c r="G7206" s="35" t="s">
        <v>887</v>
      </c>
      <c r="H7206" s="35" t="s">
        <v>391</v>
      </c>
    </row>
    <row r="7207" spans="1:8">
      <c r="A7207" s="34">
        <v>2084221905</v>
      </c>
      <c r="B7207" s="35" t="s">
        <v>462</v>
      </c>
      <c r="C7207" s="35" t="s">
        <v>405</v>
      </c>
      <c r="D7207" s="35" t="s">
        <v>1428</v>
      </c>
      <c r="E7207" s="35" t="s">
        <v>1447</v>
      </c>
      <c r="F7207" s="35" t="s">
        <v>353</v>
      </c>
      <c r="G7207" s="35" t="s">
        <v>887</v>
      </c>
      <c r="H7207" s="35" t="s">
        <v>392</v>
      </c>
    </row>
    <row r="7208" spans="1:8">
      <c r="A7208" s="34">
        <v>2084221906</v>
      </c>
      <c r="B7208" s="35" t="s">
        <v>462</v>
      </c>
      <c r="C7208" s="35" t="s">
        <v>405</v>
      </c>
      <c r="D7208" s="35" t="s">
        <v>1428</v>
      </c>
      <c r="E7208" s="35" t="s">
        <v>1447</v>
      </c>
      <c r="F7208" s="35" t="s">
        <v>353</v>
      </c>
      <c r="G7208" s="35" t="s">
        <v>887</v>
      </c>
      <c r="H7208" s="35" t="s">
        <v>375</v>
      </c>
    </row>
    <row r="7209" spans="1:8">
      <c r="A7209" s="34">
        <v>2084221907</v>
      </c>
      <c r="B7209" s="35" t="s">
        <v>462</v>
      </c>
      <c r="C7209" s="35" t="s">
        <v>405</v>
      </c>
      <c r="D7209" s="35" t="s">
        <v>1428</v>
      </c>
      <c r="E7209" s="35" t="s">
        <v>1447</v>
      </c>
      <c r="F7209" s="35" t="s">
        <v>353</v>
      </c>
      <c r="G7209" s="35" t="s">
        <v>887</v>
      </c>
      <c r="H7209" s="35" t="s">
        <v>376</v>
      </c>
    </row>
    <row r="7210" spans="1:8">
      <c r="A7210" s="34">
        <v>2084221908</v>
      </c>
      <c r="B7210" s="35" t="s">
        <v>462</v>
      </c>
      <c r="C7210" s="35" t="s">
        <v>405</v>
      </c>
      <c r="D7210" s="35" t="s">
        <v>1428</v>
      </c>
      <c r="E7210" s="35" t="s">
        <v>1447</v>
      </c>
      <c r="F7210" s="35" t="s">
        <v>353</v>
      </c>
      <c r="G7210" s="35" t="s">
        <v>887</v>
      </c>
      <c r="H7210" s="35" t="s">
        <v>377</v>
      </c>
    </row>
    <row r="7211" spans="1:8">
      <c r="A7211" s="34">
        <v>2084224819</v>
      </c>
      <c r="B7211" s="35" t="s">
        <v>462</v>
      </c>
      <c r="C7211" s="35" t="s">
        <v>405</v>
      </c>
      <c r="D7211" s="35" t="s">
        <v>1428</v>
      </c>
      <c r="E7211" s="35" t="s">
        <v>1447</v>
      </c>
      <c r="F7211" s="35" t="s">
        <v>353</v>
      </c>
      <c r="G7211" s="35" t="s">
        <v>378</v>
      </c>
      <c r="H7211" s="35" t="s">
        <v>374</v>
      </c>
    </row>
    <row r="7212" spans="1:8">
      <c r="A7212" s="34">
        <v>2084224820</v>
      </c>
      <c r="B7212" s="35" t="s">
        <v>462</v>
      </c>
      <c r="C7212" s="35" t="s">
        <v>405</v>
      </c>
      <c r="D7212" s="35" t="s">
        <v>1428</v>
      </c>
      <c r="E7212" s="35" t="s">
        <v>1447</v>
      </c>
      <c r="F7212" s="35" t="s">
        <v>353</v>
      </c>
      <c r="G7212" s="35" t="s">
        <v>378</v>
      </c>
      <c r="H7212" s="35" t="s">
        <v>375</v>
      </c>
    </row>
    <row r="7213" spans="1:8">
      <c r="A7213" s="34">
        <v>2084224821</v>
      </c>
      <c r="B7213" s="35" t="s">
        <v>462</v>
      </c>
      <c r="C7213" s="35" t="s">
        <v>405</v>
      </c>
      <c r="D7213" s="35" t="s">
        <v>1428</v>
      </c>
      <c r="E7213" s="35" t="s">
        <v>1447</v>
      </c>
      <c r="F7213" s="35" t="s">
        <v>353</v>
      </c>
      <c r="G7213" s="35" t="s">
        <v>378</v>
      </c>
      <c r="H7213" s="35" t="s">
        <v>376</v>
      </c>
    </row>
    <row r="7214" spans="1:8">
      <c r="A7214" s="34">
        <v>2084224822</v>
      </c>
      <c r="B7214" s="35" t="s">
        <v>462</v>
      </c>
      <c r="C7214" s="35" t="s">
        <v>405</v>
      </c>
      <c r="D7214" s="35" t="s">
        <v>1428</v>
      </c>
      <c r="E7214" s="35" t="s">
        <v>1447</v>
      </c>
      <c r="F7214" s="35" t="s">
        <v>353</v>
      </c>
      <c r="G7214" s="35" t="s">
        <v>378</v>
      </c>
      <c r="H7214" s="35" t="s">
        <v>377</v>
      </c>
    </row>
    <row r="7215" spans="1:8">
      <c r="A7215" s="34">
        <v>2084221922</v>
      </c>
      <c r="B7215" s="35" t="s">
        <v>462</v>
      </c>
      <c r="C7215" s="35" t="s">
        <v>405</v>
      </c>
      <c r="D7215" s="35" t="s">
        <v>1428</v>
      </c>
      <c r="E7215" s="35" t="s">
        <v>1447</v>
      </c>
      <c r="F7215" s="35" t="s">
        <v>353</v>
      </c>
      <c r="G7215" s="35" t="s">
        <v>1092</v>
      </c>
      <c r="H7215" s="35" t="s">
        <v>391</v>
      </c>
    </row>
    <row r="7216" spans="1:8">
      <c r="A7216" s="34">
        <v>2084221923</v>
      </c>
      <c r="B7216" s="35" t="s">
        <v>462</v>
      </c>
      <c r="C7216" s="35" t="s">
        <v>405</v>
      </c>
      <c r="D7216" s="35" t="s">
        <v>1428</v>
      </c>
      <c r="E7216" s="35" t="s">
        <v>1447</v>
      </c>
      <c r="F7216" s="35" t="s">
        <v>353</v>
      </c>
      <c r="G7216" s="35" t="s">
        <v>1092</v>
      </c>
      <c r="H7216" s="35" t="s">
        <v>392</v>
      </c>
    </row>
    <row r="7217" spans="1:8">
      <c r="A7217" s="34">
        <v>2084221924</v>
      </c>
      <c r="B7217" s="35" t="s">
        <v>462</v>
      </c>
      <c r="C7217" s="35" t="s">
        <v>405</v>
      </c>
      <c r="D7217" s="35" t="s">
        <v>1428</v>
      </c>
      <c r="E7217" s="35" t="s">
        <v>1447</v>
      </c>
      <c r="F7217" s="35" t="s">
        <v>353</v>
      </c>
      <c r="G7217" s="35" t="s">
        <v>1092</v>
      </c>
      <c r="H7217" s="35" t="s">
        <v>375</v>
      </c>
    </row>
    <row r="7218" spans="1:8">
      <c r="A7218" s="34">
        <v>2084221925</v>
      </c>
      <c r="B7218" s="35" t="s">
        <v>462</v>
      </c>
      <c r="C7218" s="35" t="s">
        <v>405</v>
      </c>
      <c r="D7218" s="35" t="s">
        <v>1428</v>
      </c>
      <c r="E7218" s="35" t="s">
        <v>1447</v>
      </c>
      <c r="F7218" s="35" t="s">
        <v>353</v>
      </c>
      <c r="G7218" s="35" t="s">
        <v>1092</v>
      </c>
      <c r="H7218" s="35" t="s">
        <v>376</v>
      </c>
    </row>
    <row r="7219" spans="1:8">
      <c r="A7219" s="34">
        <v>2084221926</v>
      </c>
      <c r="B7219" s="35" t="s">
        <v>462</v>
      </c>
      <c r="C7219" s="35" t="s">
        <v>405</v>
      </c>
      <c r="D7219" s="35" t="s">
        <v>1428</v>
      </c>
      <c r="E7219" s="35" t="s">
        <v>1447</v>
      </c>
      <c r="F7219" s="35" t="s">
        <v>353</v>
      </c>
      <c r="G7219" s="35" t="s">
        <v>1092</v>
      </c>
      <c r="H7219" s="35" t="s">
        <v>377</v>
      </c>
    </row>
    <row r="7220" spans="1:8">
      <c r="A7220" s="34">
        <v>2084051248</v>
      </c>
      <c r="B7220" s="35" t="s">
        <v>462</v>
      </c>
      <c r="C7220" s="35" t="s">
        <v>405</v>
      </c>
      <c r="D7220" s="35" t="s">
        <v>1428</v>
      </c>
      <c r="E7220" s="35" t="s">
        <v>1447</v>
      </c>
      <c r="F7220" s="35" t="s">
        <v>353</v>
      </c>
      <c r="G7220" s="35" t="s">
        <v>379</v>
      </c>
      <c r="H7220" s="35" t="s">
        <v>495</v>
      </c>
    </row>
    <row r="7221" spans="1:8">
      <c r="A7221" s="34">
        <v>2084051250</v>
      </c>
      <c r="B7221" s="35" t="s">
        <v>462</v>
      </c>
      <c r="C7221" s="35" t="s">
        <v>405</v>
      </c>
      <c r="D7221" s="35" t="s">
        <v>1428</v>
      </c>
      <c r="E7221" s="35" t="s">
        <v>1447</v>
      </c>
      <c r="F7221" s="35" t="s">
        <v>353</v>
      </c>
      <c r="G7221" s="35" t="s">
        <v>379</v>
      </c>
      <c r="H7221" s="35" t="s">
        <v>545</v>
      </c>
    </row>
    <row r="7222" spans="1:8">
      <c r="A7222" s="34">
        <v>2084051249</v>
      </c>
      <c r="B7222" s="35" t="s">
        <v>462</v>
      </c>
      <c r="C7222" s="35" t="s">
        <v>405</v>
      </c>
      <c r="D7222" s="35" t="s">
        <v>1428</v>
      </c>
      <c r="E7222" s="35" t="s">
        <v>1447</v>
      </c>
      <c r="F7222" s="35" t="s">
        <v>353</v>
      </c>
      <c r="G7222" s="35" t="s">
        <v>379</v>
      </c>
      <c r="H7222" s="35" t="s">
        <v>335</v>
      </c>
    </row>
    <row r="7223" spans="1:8">
      <c r="A7223" s="34">
        <v>2084051251</v>
      </c>
      <c r="B7223" s="35" t="s">
        <v>462</v>
      </c>
      <c r="C7223" s="35" t="s">
        <v>405</v>
      </c>
      <c r="D7223" s="35" t="s">
        <v>1428</v>
      </c>
      <c r="E7223" s="35" t="s">
        <v>1447</v>
      </c>
      <c r="F7223" s="35" t="s">
        <v>353</v>
      </c>
      <c r="G7223" s="35" t="s">
        <v>335</v>
      </c>
    </row>
    <row r="7224" spans="1:8">
      <c r="A7224" s="34">
        <v>2084024286</v>
      </c>
      <c r="B7224" s="35" t="s">
        <v>462</v>
      </c>
      <c r="C7224" s="35" t="s">
        <v>405</v>
      </c>
      <c r="D7224" s="35" t="s">
        <v>1428</v>
      </c>
      <c r="E7224" s="35" t="s">
        <v>1447</v>
      </c>
      <c r="F7224" s="35" t="s">
        <v>475</v>
      </c>
    </row>
    <row r="7225" spans="1:8">
      <c r="A7225" s="34">
        <v>2084025448</v>
      </c>
      <c r="B7225" s="35" t="s">
        <v>462</v>
      </c>
      <c r="C7225" s="35" t="s">
        <v>405</v>
      </c>
      <c r="D7225" s="35" t="s">
        <v>1428</v>
      </c>
      <c r="E7225" s="35" t="s">
        <v>1447</v>
      </c>
      <c r="F7225" s="35" t="s">
        <v>442</v>
      </c>
      <c r="G7225" s="35" t="s">
        <v>537</v>
      </c>
    </row>
    <row r="7226" spans="1:8">
      <c r="A7226" s="34">
        <v>2084031385</v>
      </c>
      <c r="B7226" s="35" t="s">
        <v>462</v>
      </c>
      <c r="C7226" s="35" t="s">
        <v>405</v>
      </c>
      <c r="D7226" s="35" t="s">
        <v>1428</v>
      </c>
      <c r="E7226" s="35" t="s">
        <v>1447</v>
      </c>
      <c r="F7226" s="35" t="s">
        <v>442</v>
      </c>
      <c r="G7226" s="35" t="s">
        <v>569</v>
      </c>
    </row>
    <row r="7227" spans="1:8">
      <c r="A7227" s="34">
        <v>2084025223</v>
      </c>
      <c r="B7227" s="35" t="s">
        <v>462</v>
      </c>
      <c r="C7227" s="35" t="s">
        <v>405</v>
      </c>
      <c r="D7227" s="35" t="s">
        <v>1428</v>
      </c>
      <c r="E7227" s="35" t="s">
        <v>1447</v>
      </c>
      <c r="F7227" s="35" t="s">
        <v>442</v>
      </c>
      <c r="G7227" s="35" t="s">
        <v>538</v>
      </c>
    </row>
    <row r="7228" spans="1:8">
      <c r="A7228" s="34">
        <v>2084025401</v>
      </c>
      <c r="B7228" s="35" t="s">
        <v>462</v>
      </c>
      <c r="C7228" s="35" t="s">
        <v>405</v>
      </c>
      <c r="D7228" s="35" t="s">
        <v>1428</v>
      </c>
      <c r="E7228" s="35" t="s">
        <v>1447</v>
      </c>
      <c r="F7228" s="35" t="s">
        <v>442</v>
      </c>
      <c r="G7228" s="35" t="s">
        <v>539</v>
      </c>
    </row>
    <row r="7229" spans="1:8">
      <c r="A7229" s="34">
        <v>2084287427</v>
      </c>
      <c r="B7229" s="35" t="s">
        <v>462</v>
      </c>
      <c r="C7229" s="35" t="s">
        <v>405</v>
      </c>
      <c r="D7229" s="35" t="s">
        <v>1428</v>
      </c>
      <c r="E7229" s="35" t="s">
        <v>1447</v>
      </c>
      <c r="F7229" s="35" t="s">
        <v>442</v>
      </c>
      <c r="G7229" s="35" t="s">
        <v>445</v>
      </c>
    </row>
    <row r="7230" spans="1:8">
      <c r="A7230" s="34">
        <v>2084051246</v>
      </c>
      <c r="B7230" s="35" t="s">
        <v>462</v>
      </c>
      <c r="C7230" s="35" t="s">
        <v>405</v>
      </c>
      <c r="D7230" s="35" t="s">
        <v>1428</v>
      </c>
      <c r="E7230" s="35" t="s">
        <v>1447</v>
      </c>
      <c r="F7230" s="35" t="s">
        <v>442</v>
      </c>
      <c r="G7230" s="35" t="s">
        <v>335</v>
      </c>
    </row>
    <row r="7231" spans="1:8">
      <c r="A7231" s="34">
        <v>2084048724</v>
      </c>
      <c r="B7231" s="35" t="s">
        <v>462</v>
      </c>
      <c r="C7231" s="35" t="s">
        <v>405</v>
      </c>
      <c r="D7231" s="35" t="s">
        <v>1428</v>
      </c>
      <c r="E7231" s="35" t="s">
        <v>1447</v>
      </c>
      <c r="F7231" s="35" t="s">
        <v>335</v>
      </c>
    </row>
    <row r="7232" spans="1:8">
      <c r="A7232" s="34">
        <v>2084227068</v>
      </c>
      <c r="B7232" s="35" t="s">
        <v>462</v>
      </c>
      <c r="C7232" s="35" t="s">
        <v>405</v>
      </c>
      <c r="D7232" s="35" t="s">
        <v>1428</v>
      </c>
      <c r="E7232" s="35" t="s">
        <v>1448</v>
      </c>
      <c r="F7232" s="35" t="s">
        <v>390</v>
      </c>
      <c r="G7232" s="35" t="s">
        <v>401</v>
      </c>
    </row>
    <row r="7233" spans="1:8">
      <c r="A7233" s="34">
        <v>2084227069</v>
      </c>
      <c r="B7233" s="35" t="s">
        <v>462</v>
      </c>
      <c r="C7233" s="35" t="s">
        <v>405</v>
      </c>
      <c r="D7233" s="35" t="s">
        <v>1428</v>
      </c>
      <c r="E7233" s="35" t="s">
        <v>1448</v>
      </c>
      <c r="F7233" s="35" t="s">
        <v>390</v>
      </c>
      <c r="G7233" s="35" t="s">
        <v>402</v>
      </c>
    </row>
    <row r="7234" spans="1:8">
      <c r="A7234" s="34">
        <v>2084227071</v>
      </c>
      <c r="B7234" s="35" t="s">
        <v>462</v>
      </c>
      <c r="C7234" s="35" t="s">
        <v>405</v>
      </c>
      <c r="D7234" s="35" t="s">
        <v>1428</v>
      </c>
      <c r="E7234" s="35" t="s">
        <v>1448</v>
      </c>
      <c r="F7234" s="35" t="s">
        <v>390</v>
      </c>
      <c r="G7234" s="35" t="s">
        <v>379</v>
      </c>
      <c r="H7234" s="35" t="s">
        <v>335</v>
      </c>
    </row>
    <row r="7235" spans="1:8">
      <c r="A7235" s="34">
        <v>2084227073</v>
      </c>
      <c r="B7235" s="35" t="s">
        <v>462</v>
      </c>
      <c r="C7235" s="35" t="s">
        <v>405</v>
      </c>
      <c r="D7235" s="35" t="s">
        <v>1428</v>
      </c>
      <c r="E7235" s="35" t="s">
        <v>1448</v>
      </c>
      <c r="F7235" s="35" t="s">
        <v>390</v>
      </c>
      <c r="G7235" s="35" t="s">
        <v>335</v>
      </c>
    </row>
    <row r="7236" spans="1:8">
      <c r="A7236" s="34">
        <v>2084227067</v>
      </c>
      <c r="B7236" s="35" t="s">
        <v>462</v>
      </c>
      <c r="C7236" s="35" t="s">
        <v>405</v>
      </c>
      <c r="D7236" s="35" t="s">
        <v>1428</v>
      </c>
      <c r="E7236" s="35" t="s">
        <v>1448</v>
      </c>
      <c r="F7236" s="35" t="s">
        <v>353</v>
      </c>
      <c r="G7236" s="35" t="s">
        <v>368</v>
      </c>
      <c r="H7236" s="35" t="s">
        <v>645</v>
      </c>
    </row>
    <row r="7237" spans="1:8">
      <c r="A7237" s="34">
        <v>2084227060</v>
      </c>
      <c r="B7237" s="35" t="s">
        <v>462</v>
      </c>
      <c r="C7237" s="35" t="s">
        <v>405</v>
      </c>
      <c r="D7237" s="35" t="s">
        <v>1428</v>
      </c>
      <c r="E7237" s="35" t="s">
        <v>1448</v>
      </c>
      <c r="F7237" s="35" t="s">
        <v>353</v>
      </c>
      <c r="G7237" s="35" t="s">
        <v>368</v>
      </c>
      <c r="H7237" s="35" t="s">
        <v>335</v>
      </c>
    </row>
    <row r="7238" spans="1:8">
      <c r="A7238" s="34">
        <v>2084227055</v>
      </c>
      <c r="B7238" s="35" t="s">
        <v>462</v>
      </c>
      <c r="C7238" s="35" t="s">
        <v>405</v>
      </c>
      <c r="D7238" s="35" t="s">
        <v>1428</v>
      </c>
      <c r="E7238" s="35" t="s">
        <v>1448</v>
      </c>
      <c r="F7238" s="35" t="s">
        <v>353</v>
      </c>
      <c r="G7238" s="35" t="s">
        <v>402</v>
      </c>
    </row>
    <row r="7239" spans="1:8">
      <c r="A7239" s="34">
        <v>2084227059</v>
      </c>
      <c r="B7239" s="35" t="s">
        <v>462</v>
      </c>
      <c r="C7239" s="35" t="s">
        <v>405</v>
      </c>
      <c r="D7239" s="35" t="s">
        <v>1428</v>
      </c>
      <c r="E7239" s="35" t="s">
        <v>1448</v>
      </c>
      <c r="F7239" s="35" t="s">
        <v>353</v>
      </c>
      <c r="G7239" s="35" t="s">
        <v>379</v>
      </c>
      <c r="H7239" s="35" t="s">
        <v>335</v>
      </c>
    </row>
    <row r="7240" spans="1:8">
      <c r="A7240" s="34">
        <v>2084227057</v>
      </c>
      <c r="B7240" s="35" t="s">
        <v>462</v>
      </c>
      <c r="C7240" s="35" t="s">
        <v>405</v>
      </c>
      <c r="D7240" s="35" t="s">
        <v>1428</v>
      </c>
      <c r="E7240" s="35" t="s">
        <v>1448</v>
      </c>
      <c r="F7240" s="35" t="s">
        <v>353</v>
      </c>
      <c r="G7240" s="35" t="s">
        <v>335</v>
      </c>
    </row>
    <row r="7241" spans="1:8">
      <c r="A7241" s="34">
        <v>2084227053</v>
      </c>
      <c r="B7241" s="35" t="s">
        <v>462</v>
      </c>
      <c r="C7241" s="35" t="s">
        <v>405</v>
      </c>
      <c r="D7241" s="35" t="s">
        <v>1428</v>
      </c>
      <c r="E7241" s="35" t="s">
        <v>1448</v>
      </c>
      <c r="F7241" s="35" t="s">
        <v>335</v>
      </c>
    </row>
    <row r="7242" spans="1:8">
      <c r="A7242" s="34">
        <v>2084050337</v>
      </c>
      <c r="B7242" s="35" t="s">
        <v>462</v>
      </c>
      <c r="C7242" s="35" t="s">
        <v>405</v>
      </c>
      <c r="D7242" s="35" t="s">
        <v>1428</v>
      </c>
      <c r="E7242" s="35" t="s">
        <v>1449</v>
      </c>
    </row>
    <row r="7243" spans="1:8">
      <c r="A7243" s="34">
        <v>2084298413</v>
      </c>
      <c r="B7243" s="35" t="s">
        <v>462</v>
      </c>
      <c r="C7243" s="35" t="s">
        <v>405</v>
      </c>
      <c r="D7243" s="35" t="s">
        <v>1428</v>
      </c>
      <c r="E7243" s="35" t="s">
        <v>1450</v>
      </c>
    </row>
    <row r="7244" spans="1:8">
      <c r="A7244" s="34">
        <v>2084261140</v>
      </c>
      <c r="B7244" s="35" t="s">
        <v>462</v>
      </c>
      <c r="C7244" s="35" t="s">
        <v>405</v>
      </c>
      <c r="D7244" s="35" t="s">
        <v>1428</v>
      </c>
      <c r="E7244" s="35" t="s">
        <v>1451</v>
      </c>
      <c r="F7244" s="35" t="s">
        <v>407</v>
      </c>
    </row>
    <row r="7245" spans="1:8">
      <c r="A7245" s="34">
        <v>2084261139</v>
      </c>
      <c r="B7245" s="35" t="s">
        <v>462</v>
      </c>
      <c r="C7245" s="35" t="s">
        <v>405</v>
      </c>
      <c r="D7245" s="35" t="s">
        <v>1428</v>
      </c>
      <c r="E7245" s="35" t="s">
        <v>1451</v>
      </c>
      <c r="F7245" s="35" t="s">
        <v>408</v>
      </c>
    </row>
    <row r="7246" spans="1:8">
      <c r="A7246" s="34">
        <v>2084260061</v>
      </c>
      <c r="B7246" s="35" t="s">
        <v>462</v>
      </c>
      <c r="C7246" s="35" t="s">
        <v>405</v>
      </c>
      <c r="D7246" s="35" t="s">
        <v>1428</v>
      </c>
      <c r="E7246" s="35" t="s">
        <v>1452</v>
      </c>
      <c r="F7246" s="35" t="s">
        <v>407</v>
      </c>
    </row>
    <row r="7247" spans="1:8">
      <c r="A7247" s="34">
        <v>2084260060</v>
      </c>
      <c r="B7247" s="35" t="s">
        <v>462</v>
      </c>
      <c r="C7247" s="35" t="s">
        <v>405</v>
      </c>
      <c r="D7247" s="35" t="s">
        <v>1428</v>
      </c>
      <c r="E7247" s="35" t="s">
        <v>1452</v>
      </c>
      <c r="F7247" s="35" t="s">
        <v>408</v>
      </c>
    </row>
    <row r="7248" spans="1:8">
      <c r="A7248" s="34">
        <v>2084054507</v>
      </c>
      <c r="B7248" s="35" t="s">
        <v>462</v>
      </c>
      <c r="C7248" s="35" t="s">
        <v>405</v>
      </c>
      <c r="D7248" s="35" t="s">
        <v>1453</v>
      </c>
      <c r="E7248" s="35" t="s">
        <v>1454</v>
      </c>
      <c r="F7248" s="35" t="s">
        <v>390</v>
      </c>
      <c r="G7248" s="35" t="s">
        <v>368</v>
      </c>
      <c r="H7248" s="35" t="s">
        <v>645</v>
      </c>
    </row>
    <row r="7249" spans="1:8">
      <c r="A7249" s="34">
        <v>2084054509</v>
      </c>
      <c r="B7249" s="35" t="s">
        <v>462</v>
      </c>
      <c r="C7249" s="35" t="s">
        <v>405</v>
      </c>
      <c r="D7249" s="35" t="s">
        <v>1453</v>
      </c>
      <c r="E7249" s="35" t="s">
        <v>1454</v>
      </c>
      <c r="F7249" s="35" t="s">
        <v>390</v>
      </c>
      <c r="G7249" s="35" t="s">
        <v>368</v>
      </c>
      <c r="H7249" s="35" t="s">
        <v>335</v>
      </c>
    </row>
    <row r="7250" spans="1:8">
      <c r="A7250" s="34">
        <v>2084054514</v>
      </c>
      <c r="B7250" s="35" t="s">
        <v>462</v>
      </c>
      <c r="C7250" s="35" t="s">
        <v>405</v>
      </c>
      <c r="D7250" s="35" t="s">
        <v>1453</v>
      </c>
      <c r="E7250" s="35" t="s">
        <v>1454</v>
      </c>
      <c r="F7250" s="35" t="s">
        <v>390</v>
      </c>
      <c r="G7250" s="35" t="s">
        <v>10</v>
      </c>
      <c r="H7250" s="35" t="s">
        <v>397</v>
      </c>
    </row>
    <row r="7251" spans="1:8">
      <c r="A7251" s="34">
        <v>2084054513</v>
      </c>
      <c r="B7251" s="35" t="s">
        <v>462</v>
      </c>
      <c r="C7251" s="35" t="s">
        <v>405</v>
      </c>
      <c r="D7251" s="35" t="s">
        <v>1453</v>
      </c>
      <c r="E7251" s="35" t="s">
        <v>1454</v>
      </c>
      <c r="F7251" s="35" t="s">
        <v>390</v>
      </c>
      <c r="G7251" s="35" t="s">
        <v>10</v>
      </c>
      <c r="H7251" s="35" t="s">
        <v>421</v>
      </c>
    </row>
    <row r="7252" spans="1:8">
      <c r="A7252" s="34">
        <v>2084054517</v>
      </c>
      <c r="B7252" s="35" t="s">
        <v>462</v>
      </c>
      <c r="C7252" s="35" t="s">
        <v>405</v>
      </c>
      <c r="D7252" s="35" t="s">
        <v>1453</v>
      </c>
      <c r="E7252" s="35" t="s">
        <v>1454</v>
      </c>
      <c r="F7252" s="35" t="s">
        <v>390</v>
      </c>
      <c r="G7252" s="35" t="s">
        <v>10</v>
      </c>
      <c r="H7252" s="35" t="s">
        <v>398</v>
      </c>
    </row>
    <row r="7253" spans="1:8">
      <c r="A7253" s="34">
        <v>2084054516</v>
      </c>
      <c r="B7253" s="35" t="s">
        <v>462</v>
      </c>
      <c r="C7253" s="35" t="s">
        <v>405</v>
      </c>
      <c r="D7253" s="35" t="s">
        <v>1453</v>
      </c>
      <c r="E7253" s="35" t="s">
        <v>1454</v>
      </c>
      <c r="F7253" s="35" t="s">
        <v>390</v>
      </c>
      <c r="G7253" s="35" t="s">
        <v>10</v>
      </c>
      <c r="H7253" s="35" t="s">
        <v>422</v>
      </c>
    </row>
    <row r="7254" spans="1:8">
      <c r="A7254" s="34">
        <v>2084054519</v>
      </c>
      <c r="B7254" s="35" t="s">
        <v>462</v>
      </c>
      <c r="C7254" s="35" t="s">
        <v>405</v>
      </c>
      <c r="D7254" s="35" t="s">
        <v>1453</v>
      </c>
      <c r="E7254" s="35" t="s">
        <v>1454</v>
      </c>
      <c r="F7254" s="35" t="s">
        <v>390</v>
      </c>
      <c r="G7254" s="35" t="s">
        <v>10</v>
      </c>
      <c r="H7254" s="35" t="s">
        <v>335</v>
      </c>
    </row>
    <row r="7255" spans="1:8">
      <c r="A7255" s="34">
        <v>2084054524</v>
      </c>
      <c r="B7255" s="35" t="s">
        <v>462</v>
      </c>
      <c r="C7255" s="35" t="s">
        <v>405</v>
      </c>
      <c r="D7255" s="35" t="s">
        <v>1453</v>
      </c>
      <c r="E7255" s="35" t="s">
        <v>1454</v>
      </c>
      <c r="F7255" s="35" t="s">
        <v>390</v>
      </c>
      <c r="G7255" s="35" t="s">
        <v>379</v>
      </c>
      <c r="H7255" s="35" t="s">
        <v>335</v>
      </c>
    </row>
    <row r="7256" spans="1:8">
      <c r="A7256" s="34">
        <v>2084054553</v>
      </c>
      <c r="B7256" s="35" t="s">
        <v>462</v>
      </c>
      <c r="C7256" s="35" t="s">
        <v>405</v>
      </c>
      <c r="D7256" s="35" t="s">
        <v>1453</v>
      </c>
      <c r="E7256" s="35" t="s">
        <v>1454</v>
      </c>
      <c r="F7256" s="35" t="s">
        <v>390</v>
      </c>
      <c r="G7256" s="35" t="s">
        <v>335</v>
      </c>
    </row>
    <row r="7257" spans="1:8">
      <c r="A7257" s="34">
        <v>2084054493</v>
      </c>
      <c r="B7257" s="35" t="s">
        <v>462</v>
      </c>
      <c r="C7257" s="35" t="s">
        <v>405</v>
      </c>
      <c r="D7257" s="35" t="s">
        <v>1453</v>
      </c>
      <c r="E7257" s="35" t="s">
        <v>1454</v>
      </c>
      <c r="F7257" s="35" t="s">
        <v>353</v>
      </c>
      <c r="G7257" s="35" t="s">
        <v>368</v>
      </c>
      <c r="H7257" s="35" t="s">
        <v>645</v>
      </c>
    </row>
    <row r="7258" spans="1:8">
      <c r="A7258" s="34">
        <v>2084054494</v>
      </c>
      <c r="B7258" s="35" t="s">
        <v>462</v>
      </c>
      <c r="C7258" s="35" t="s">
        <v>405</v>
      </c>
      <c r="D7258" s="35" t="s">
        <v>1453</v>
      </c>
      <c r="E7258" s="35" t="s">
        <v>1454</v>
      </c>
      <c r="F7258" s="35" t="s">
        <v>353</v>
      </c>
      <c r="G7258" s="35" t="s">
        <v>368</v>
      </c>
      <c r="H7258" s="35" t="s">
        <v>335</v>
      </c>
    </row>
    <row r="7259" spans="1:8">
      <c r="A7259" s="34">
        <v>2084054502</v>
      </c>
      <c r="B7259" s="35" t="s">
        <v>462</v>
      </c>
      <c r="C7259" s="35" t="s">
        <v>405</v>
      </c>
      <c r="D7259" s="35" t="s">
        <v>1453</v>
      </c>
      <c r="E7259" s="35" t="s">
        <v>1454</v>
      </c>
      <c r="F7259" s="35" t="s">
        <v>353</v>
      </c>
      <c r="G7259" s="35" t="s">
        <v>10</v>
      </c>
      <c r="H7259" s="35" t="s">
        <v>397</v>
      </c>
    </row>
    <row r="7260" spans="1:8">
      <c r="A7260" s="34">
        <v>2084054496</v>
      </c>
      <c r="B7260" s="35" t="s">
        <v>462</v>
      </c>
      <c r="C7260" s="35" t="s">
        <v>405</v>
      </c>
      <c r="D7260" s="35" t="s">
        <v>1453</v>
      </c>
      <c r="E7260" s="35" t="s">
        <v>1454</v>
      </c>
      <c r="F7260" s="35" t="s">
        <v>353</v>
      </c>
      <c r="G7260" s="35" t="s">
        <v>10</v>
      </c>
      <c r="H7260" s="35" t="s">
        <v>421</v>
      </c>
    </row>
    <row r="7261" spans="1:8">
      <c r="A7261" s="34">
        <v>2084054504</v>
      </c>
      <c r="B7261" s="35" t="s">
        <v>462</v>
      </c>
      <c r="C7261" s="35" t="s">
        <v>405</v>
      </c>
      <c r="D7261" s="35" t="s">
        <v>1453</v>
      </c>
      <c r="E7261" s="35" t="s">
        <v>1454</v>
      </c>
      <c r="F7261" s="35" t="s">
        <v>353</v>
      </c>
      <c r="G7261" s="35" t="s">
        <v>10</v>
      </c>
      <c r="H7261" s="35" t="s">
        <v>398</v>
      </c>
    </row>
    <row r="7262" spans="1:8">
      <c r="A7262" s="34">
        <v>2084054503</v>
      </c>
      <c r="B7262" s="35" t="s">
        <v>462</v>
      </c>
      <c r="C7262" s="35" t="s">
        <v>405</v>
      </c>
      <c r="D7262" s="35" t="s">
        <v>1453</v>
      </c>
      <c r="E7262" s="35" t="s">
        <v>1454</v>
      </c>
      <c r="F7262" s="35" t="s">
        <v>353</v>
      </c>
      <c r="G7262" s="35" t="s">
        <v>10</v>
      </c>
      <c r="H7262" s="35" t="s">
        <v>422</v>
      </c>
    </row>
    <row r="7263" spans="1:8">
      <c r="A7263" s="34">
        <v>2084054497</v>
      </c>
      <c r="B7263" s="35" t="s">
        <v>462</v>
      </c>
      <c r="C7263" s="35" t="s">
        <v>405</v>
      </c>
      <c r="D7263" s="35" t="s">
        <v>1453</v>
      </c>
      <c r="E7263" s="35" t="s">
        <v>1454</v>
      </c>
      <c r="F7263" s="35" t="s">
        <v>353</v>
      </c>
      <c r="G7263" s="35" t="s">
        <v>10</v>
      </c>
      <c r="H7263" s="35" t="s">
        <v>335</v>
      </c>
    </row>
    <row r="7264" spans="1:8">
      <c r="A7264" s="34">
        <v>2084054499</v>
      </c>
      <c r="B7264" s="35" t="s">
        <v>462</v>
      </c>
      <c r="C7264" s="35" t="s">
        <v>405</v>
      </c>
      <c r="D7264" s="35" t="s">
        <v>1453</v>
      </c>
      <c r="E7264" s="35" t="s">
        <v>1454</v>
      </c>
      <c r="F7264" s="35" t="s">
        <v>353</v>
      </c>
      <c r="G7264" s="35" t="s">
        <v>379</v>
      </c>
      <c r="H7264" s="35" t="s">
        <v>335</v>
      </c>
    </row>
    <row r="7265" spans="1:8">
      <c r="A7265" s="34">
        <v>2084054501</v>
      </c>
      <c r="B7265" s="35" t="s">
        <v>462</v>
      </c>
      <c r="C7265" s="35" t="s">
        <v>405</v>
      </c>
      <c r="D7265" s="35" t="s">
        <v>1453</v>
      </c>
      <c r="E7265" s="35" t="s">
        <v>1454</v>
      </c>
      <c r="F7265" s="35" t="s">
        <v>353</v>
      </c>
      <c r="G7265" s="35" t="s">
        <v>335</v>
      </c>
    </row>
    <row r="7266" spans="1:8">
      <c r="A7266" s="34">
        <v>2084215783</v>
      </c>
      <c r="B7266" s="35" t="s">
        <v>462</v>
      </c>
      <c r="C7266" s="35" t="s">
        <v>405</v>
      </c>
      <c r="D7266" s="35" t="s">
        <v>1453</v>
      </c>
      <c r="E7266" s="35" t="s">
        <v>1455</v>
      </c>
      <c r="F7266" s="35" t="s">
        <v>367</v>
      </c>
    </row>
    <row r="7267" spans="1:8">
      <c r="A7267" s="34">
        <v>2084215784</v>
      </c>
      <c r="B7267" s="35" t="s">
        <v>462</v>
      </c>
      <c r="C7267" s="35" t="s">
        <v>405</v>
      </c>
      <c r="D7267" s="35" t="s">
        <v>1453</v>
      </c>
      <c r="E7267" s="35" t="s">
        <v>1455</v>
      </c>
      <c r="F7267" s="35" t="s">
        <v>401</v>
      </c>
    </row>
    <row r="7268" spans="1:8">
      <c r="A7268" s="34">
        <v>2084215785</v>
      </c>
      <c r="B7268" s="35" t="s">
        <v>462</v>
      </c>
      <c r="C7268" s="35" t="s">
        <v>405</v>
      </c>
      <c r="D7268" s="35" t="s">
        <v>1453</v>
      </c>
      <c r="E7268" s="35" t="s">
        <v>1455</v>
      </c>
      <c r="F7268" s="35" t="s">
        <v>402</v>
      </c>
    </row>
    <row r="7269" spans="1:8">
      <c r="A7269" s="34">
        <v>2084215787</v>
      </c>
      <c r="B7269" s="35" t="s">
        <v>462</v>
      </c>
      <c r="C7269" s="35" t="s">
        <v>405</v>
      </c>
      <c r="D7269" s="35" t="s">
        <v>1453</v>
      </c>
      <c r="E7269" s="35" t="s">
        <v>1455</v>
      </c>
      <c r="F7269" s="35" t="s">
        <v>379</v>
      </c>
      <c r="G7269" s="35" t="s">
        <v>476</v>
      </c>
    </row>
    <row r="7270" spans="1:8">
      <c r="A7270" s="34">
        <v>2084215788</v>
      </c>
      <c r="B7270" s="35" t="s">
        <v>462</v>
      </c>
      <c r="C7270" s="35" t="s">
        <v>405</v>
      </c>
      <c r="D7270" s="35" t="s">
        <v>1453</v>
      </c>
      <c r="E7270" s="35" t="s">
        <v>1455</v>
      </c>
      <c r="F7270" s="35" t="s">
        <v>379</v>
      </c>
      <c r="G7270" s="35" t="s">
        <v>335</v>
      </c>
    </row>
    <row r="7271" spans="1:8">
      <c r="A7271" s="34">
        <v>2084215789</v>
      </c>
      <c r="B7271" s="35" t="s">
        <v>462</v>
      </c>
      <c r="C7271" s="35" t="s">
        <v>405</v>
      </c>
      <c r="D7271" s="35" t="s">
        <v>1453</v>
      </c>
      <c r="E7271" s="35" t="s">
        <v>1455</v>
      </c>
      <c r="F7271" s="35" t="s">
        <v>478</v>
      </c>
    </row>
    <row r="7272" spans="1:8">
      <c r="A7272" s="34">
        <v>2084215790</v>
      </c>
      <c r="B7272" s="35" t="s">
        <v>462</v>
      </c>
      <c r="C7272" s="35" t="s">
        <v>405</v>
      </c>
      <c r="D7272" s="35" t="s">
        <v>1453</v>
      </c>
      <c r="E7272" s="35" t="s">
        <v>1455</v>
      </c>
      <c r="F7272" s="35" t="s">
        <v>335</v>
      </c>
    </row>
    <row r="7273" spans="1:8">
      <c r="A7273" s="34">
        <v>2084061542</v>
      </c>
      <c r="B7273" s="35" t="s">
        <v>462</v>
      </c>
      <c r="C7273" s="35" t="s">
        <v>405</v>
      </c>
      <c r="D7273" s="35" t="s">
        <v>1453</v>
      </c>
      <c r="E7273" s="35" t="s">
        <v>1456</v>
      </c>
      <c r="F7273" s="35" t="s">
        <v>611</v>
      </c>
      <c r="G7273" s="35" t="s">
        <v>407</v>
      </c>
    </row>
    <row r="7274" spans="1:8">
      <c r="A7274" s="34">
        <v>2084215021</v>
      </c>
      <c r="B7274" s="35" t="s">
        <v>462</v>
      </c>
      <c r="C7274" s="35" t="s">
        <v>405</v>
      </c>
      <c r="D7274" s="35" t="s">
        <v>1453</v>
      </c>
      <c r="E7274" s="35" t="s">
        <v>1456</v>
      </c>
      <c r="F7274" s="35" t="s">
        <v>611</v>
      </c>
      <c r="G7274" s="35" t="s">
        <v>353</v>
      </c>
      <c r="H7274" s="35" t="s">
        <v>875</v>
      </c>
    </row>
    <row r="7275" spans="1:8">
      <c r="A7275" s="34">
        <v>2084215022</v>
      </c>
      <c r="B7275" s="35" t="s">
        <v>462</v>
      </c>
      <c r="C7275" s="35" t="s">
        <v>405</v>
      </c>
      <c r="D7275" s="35" t="s">
        <v>1453</v>
      </c>
      <c r="E7275" s="35" t="s">
        <v>1456</v>
      </c>
      <c r="F7275" s="35" t="s">
        <v>611</v>
      </c>
      <c r="G7275" s="35" t="s">
        <v>353</v>
      </c>
      <c r="H7275" s="35" t="s">
        <v>793</v>
      </c>
    </row>
    <row r="7276" spans="1:8">
      <c r="A7276" s="34">
        <v>2084215023</v>
      </c>
      <c r="B7276" s="35" t="s">
        <v>462</v>
      </c>
      <c r="C7276" s="35" t="s">
        <v>405</v>
      </c>
      <c r="D7276" s="35" t="s">
        <v>1453</v>
      </c>
      <c r="E7276" s="35" t="s">
        <v>1456</v>
      </c>
      <c r="F7276" s="35" t="s">
        <v>611</v>
      </c>
      <c r="G7276" s="35" t="s">
        <v>353</v>
      </c>
      <c r="H7276" s="35" t="s">
        <v>876</v>
      </c>
    </row>
    <row r="7277" spans="1:8">
      <c r="A7277" s="34">
        <v>2084215024</v>
      </c>
      <c r="B7277" s="35" t="s">
        <v>462</v>
      </c>
      <c r="C7277" s="35" t="s">
        <v>405</v>
      </c>
      <c r="D7277" s="35" t="s">
        <v>1453</v>
      </c>
      <c r="E7277" s="35" t="s">
        <v>1456</v>
      </c>
      <c r="F7277" s="35" t="s">
        <v>611</v>
      </c>
      <c r="G7277" s="35" t="s">
        <v>353</v>
      </c>
      <c r="H7277" s="35" t="s">
        <v>877</v>
      </c>
    </row>
    <row r="7278" spans="1:8">
      <c r="A7278" s="34">
        <v>2084215025</v>
      </c>
      <c r="B7278" s="35" t="s">
        <v>462</v>
      </c>
      <c r="C7278" s="35" t="s">
        <v>405</v>
      </c>
      <c r="D7278" s="35" t="s">
        <v>1453</v>
      </c>
      <c r="E7278" s="35" t="s">
        <v>1456</v>
      </c>
      <c r="F7278" s="35" t="s">
        <v>611</v>
      </c>
      <c r="G7278" s="35" t="s">
        <v>353</v>
      </c>
      <c r="H7278" s="35" t="s">
        <v>878</v>
      </c>
    </row>
    <row r="7279" spans="1:8">
      <c r="A7279" s="34">
        <v>2084215026</v>
      </c>
      <c r="B7279" s="35" t="s">
        <v>462</v>
      </c>
      <c r="C7279" s="35" t="s">
        <v>405</v>
      </c>
      <c r="D7279" s="35" t="s">
        <v>1453</v>
      </c>
      <c r="E7279" s="35" t="s">
        <v>1456</v>
      </c>
      <c r="F7279" s="35" t="s">
        <v>611</v>
      </c>
      <c r="G7279" s="35" t="s">
        <v>353</v>
      </c>
      <c r="H7279" s="35" t="s">
        <v>879</v>
      </c>
    </row>
    <row r="7280" spans="1:8">
      <c r="A7280" s="34">
        <v>2084215027</v>
      </c>
      <c r="B7280" s="35" t="s">
        <v>462</v>
      </c>
      <c r="C7280" s="35" t="s">
        <v>405</v>
      </c>
      <c r="D7280" s="35" t="s">
        <v>1453</v>
      </c>
      <c r="E7280" s="35" t="s">
        <v>1456</v>
      </c>
      <c r="F7280" s="35" t="s">
        <v>611</v>
      </c>
      <c r="G7280" s="35" t="s">
        <v>353</v>
      </c>
      <c r="H7280" s="35" t="s">
        <v>880</v>
      </c>
    </row>
    <row r="7281" spans="1:8">
      <c r="A7281" s="34">
        <v>2084215028</v>
      </c>
      <c r="B7281" s="35" t="s">
        <v>462</v>
      </c>
      <c r="C7281" s="35" t="s">
        <v>405</v>
      </c>
      <c r="D7281" s="35" t="s">
        <v>1453</v>
      </c>
      <c r="E7281" s="35" t="s">
        <v>1456</v>
      </c>
      <c r="F7281" s="35" t="s">
        <v>611</v>
      </c>
      <c r="G7281" s="35" t="s">
        <v>353</v>
      </c>
      <c r="H7281" s="35" t="s">
        <v>881</v>
      </c>
    </row>
    <row r="7282" spans="1:8">
      <c r="A7282" s="34">
        <v>2084215029</v>
      </c>
      <c r="B7282" s="35" t="s">
        <v>462</v>
      </c>
      <c r="C7282" s="35" t="s">
        <v>405</v>
      </c>
      <c r="D7282" s="35" t="s">
        <v>1453</v>
      </c>
      <c r="E7282" s="35" t="s">
        <v>1456</v>
      </c>
      <c r="F7282" s="35" t="s">
        <v>611</v>
      </c>
      <c r="G7282" s="35" t="s">
        <v>353</v>
      </c>
      <c r="H7282" s="35" t="s">
        <v>1457</v>
      </c>
    </row>
    <row r="7283" spans="1:8">
      <c r="A7283" s="34">
        <v>2084061543</v>
      </c>
      <c r="B7283" s="35" t="s">
        <v>462</v>
      </c>
      <c r="C7283" s="35" t="s">
        <v>405</v>
      </c>
      <c r="D7283" s="35" t="s">
        <v>1453</v>
      </c>
      <c r="E7283" s="35" t="s">
        <v>1456</v>
      </c>
      <c r="F7283" s="35" t="s">
        <v>335</v>
      </c>
    </row>
    <row r="7284" spans="1:8">
      <c r="A7284" s="34">
        <v>2084229167</v>
      </c>
      <c r="B7284" s="35" t="s">
        <v>462</v>
      </c>
      <c r="C7284" s="35" t="s">
        <v>405</v>
      </c>
      <c r="D7284" s="35" t="s">
        <v>1453</v>
      </c>
      <c r="E7284" s="35" t="s">
        <v>1458</v>
      </c>
      <c r="F7284" s="35" t="s">
        <v>407</v>
      </c>
    </row>
    <row r="7285" spans="1:8">
      <c r="A7285" s="34">
        <v>2084229166</v>
      </c>
      <c r="B7285" s="35" t="s">
        <v>462</v>
      </c>
      <c r="C7285" s="35" t="s">
        <v>405</v>
      </c>
      <c r="D7285" s="35" t="s">
        <v>1453</v>
      </c>
      <c r="E7285" s="35" t="s">
        <v>1458</v>
      </c>
      <c r="F7285" s="35" t="s">
        <v>408</v>
      </c>
    </row>
    <row r="7286" spans="1:8">
      <c r="A7286" s="34">
        <v>2084229168</v>
      </c>
      <c r="B7286" s="35" t="s">
        <v>462</v>
      </c>
      <c r="C7286" s="35" t="s">
        <v>405</v>
      </c>
      <c r="D7286" s="35" t="s">
        <v>1453</v>
      </c>
      <c r="E7286" s="35" t="s">
        <v>1458</v>
      </c>
      <c r="F7286" s="35" t="s">
        <v>335</v>
      </c>
    </row>
    <row r="7287" spans="1:8">
      <c r="A7287" s="34">
        <v>2084055604</v>
      </c>
      <c r="B7287" s="35" t="s">
        <v>462</v>
      </c>
      <c r="C7287" s="35" t="s">
        <v>405</v>
      </c>
      <c r="D7287" s="35" t="s">
        <v>1453</v>
      </c>
      <c r="E7287" s="35" t="s">
        <v>1459</v>
      </c>
      <c r="F7287" s="35" t="s">
        <v>367</v>
      </c>
    </row>
    <row r="7288" spans="1:8">
      <c r="A7288" s="34">
        <v>2084055606</v>
      </c>
      <c r="B7288" s="35" t="s">
        <v>462</v>
      </c>
      <c r="C7288" s="35" t="s">
        <v>405</v>
      </c>
      <c r="D7288" s="35" t="s">
        <v>1453</v>
      </c>
      <c r="E7288" s="35" t="s">
        <v>1459</v>
      </c>
      <c r="F7288" s="35" t="s">
        <v>368</v>
      </c>
      <c r="G7288" s="35" t="s">
        <v>481</v>
      </c>
    </row>
    <row r="7289" spans="1:8">
      <c r="A7289" s="34">
        <v>2084055607</v>
      </c>
      <c r="B7289" s="35" t="s">
        <v>462</v>
      </c>
      <c r="C7289" s="35" t="s">
        <v>405</v>
      </c>
      <c r="D7289" s="35" t="s">
        <v>1453</v>
      </c>
      <c r="E7289" s="35" t="s">
        <v>1459</v>
      </c>
      <c r="F7289" s="35" t="s">
        <v>368</v>
      </c>
      <c r="G7289" s="35" t="s">
        <v>335</v>
      </c>
    </row>
    <row r="7290" spans="1:8">
      <c r="A7290" s="34">
        <v>2084055613</v>
      </c>
      <c r="B7290" s="35" t="s">
        <v>462</v>
      </c>
      <c r="C7290" s="35" t="s">
        <v>405</v>
      </c>
      <c r="D7290" s="35" t="s">
        <v>1453</v>
      </c>
      <c r="E7290" s="35" t="s">
        <v>1459</v>
      </c>
      <c r="F7290" s="35" t="s">
        <v>10</v>
      </c>
      <c r="G7290" s="35" t="s">
        <v>483</v>
      </c>
    </row>
    <row r="7291" spans="1:8">
      <c r="A7291" s="34">
        <v>2084055610</v>
      </c>
      <c r="B7291" s="35" t="s">
        <v>462</v>
      </c>
      <c r="C7291" s="35" t="s">
        <v>405</v>
      </c>
      <c r="D7291" s="35" t="s">
        <v>1453</v>
      </c>
      <c r="E7291" s="35" t="s">
        <v>1459</v>
      </c>
      <c r="F7291" s="35" t="s">
        <v>10</v>
      </c>
      <c r="G7291" s="35" t="s">
        <v>397</v>
      </c>
    </row>
    <row r="7292" spans="1:8">
      <c r="A7292" s="34">
        <v>2084055612</v>
      </c>
      <c r="B7292" s="35" t="s">
        <v>462</v>
      </c>
      <c r="C7292" s="35" t="s">
        <v>405</v>
      </c>
      <c r="D7292" s="35" t="s">
        <v>1453</v>
      </c>
      <c r="E7292" s="35" t="s">
        <v>1459</v>
      </c>
      <c r="F7292" s="35" t="s">
        <v>10</v>
      </c>
      <c r="G7292" s="35" t="s">
        <v>421</v>
      </c>
    </row>
    <row r="7293" spans="1:8">
      <c r="A7293" s="34">
        <v>2084055609</v>
      </c>
      <c r="B7293" s="35" t="s">
        <v>462</v>
      </c>
      <c r="C7293" s="35" t="s">
        <v>405</v>
      </c>
      <c r="D7293" s="35" t="s">
        <v>1453</v>
      </c>
      <c r="E7293" s="35" t="s">
        <v>1459</v>
      </c>
      <c r="F7293" s="35" t="s">
        <v>10</v>
      </c>
      <c r="G7293" s="35" t="s">
        <v>398</v>
      </c>
    </row>
    <row r="7294" spans="1:8">
      <c r="A7294" s="34">
        <v>2084055611</v>
      </c>
      <c r="B7294" s="35" t="s">
        <v>462</v>
      </c>
      <c r="C7294" s="35" t="s">
        <v>405</v>
      </c>
      <c r="D7294" s="35" t="s">
        <v>1453</v>
      </c>
      <c r="E7294" s="35" t="s">
        <v>1459</v>
      </c>
      <c r="F7294" s="35" t="s">
        <v>10</v>
      </c>
      <c r="G7294" s="35" t="s">
        <v>422</v>
      </c>
    </row>
    <row r="7295" spans="1:8">
      <c r="A7295" s="34">
        <v>2084055614</v>
      </c>
      <c r="B7295" s="35" t="s">
        <v>462</v>
      </c>
      <c r="C7295" s="35" t="s">
        <v>405</v>
      </c>
      <c r="D7295" s="35" t="s">
        <v>1453</v>
      </c>
      <c r="E7295" s="35" t="s">
        <v>1459</v>
      </c>
      <c r="F7295" s="35" t="s">
        <v>10</v>
      </c>
      <c r="G7295" s="35" t="s">
        <v>335</v>
      </c>
    </row>
    <row r="7296" spans="1:8">
      <c r="A7296" s="34">
        <v>2084055616</v>
      </c>
      <c r="B7296" s="35" t="s">
        <v>462</v>
      </c>
      <c r="C7296" s="35" t="s">
        <v>405</v>
      </c>
      <c r="D7296" s="35" t="s">
        <v>1453</v>
      </c>
      <c r="E7296" s="35" t="s">
        <v>1459</v>
      </c>
      <c r="F7296" s="35" t="s">
        <v>379</v>
      </c>
      <c r="G7296" s="35" t="s">
        <v>476</v>
      </c>
    </row>
    <row r="7297" spans="1:8">
      <c r="A7297" s="34">
        <v>2084055617</v>
      </c>
      <c r="B7297" s="35" t="s">
        <v>462</v>
      </c>
      <c r="C7297" s="35" t="s">
        <v>405</v>
      </c>
      <c r="D7297" s="35" t="s">
        <v>1453</v>
      </c>
      <c r="E7297" s="35" t="s">
        <v>1459</v>
      </c>
      <c r="F7297" s="35" t="s">
        <v>379</v>
      </c>
      <c r="G7297" s="35" t="s">
        <v>335</v>
      </c>
    </row>
    <row r="7298" spans="1:8">
      <c r="A7298" s="34">
        <v>2084061716</v>
      </c>
      <c r="B7298" s="35" t="s">
        <v>462</v>
      </c>
      <c r="C7298" s="35" t="s">
        <v>405</v>
      </c>
      <c r="D7298" s="35" t="s">
        <v>1453</v>
      </c>
      <c r="E7298" s="35" t="s">
        <v>1459</v>
      </c>
      <c r="F7298" s="35" t="s">
        <v>478</v>
      </c>
    </row>
    <row r="7299" spans="1:8">
      <c r="A7299" s="34">
        <v>2084055618</v>
      </c>
      <c r="B7299" s="35" t="s">
        <v>462</v>
      </c>
      <c r="C7299" s="35" t="s">
        <v>405</v>
      </c>
      <c r="D7299" s="35" t="s">
        <v>1453</v>
      </c>
      <c r="E7299" s="35" t="s">
        <v>1459</v>
      </c>
      <c r="F7299" s="35" t="s">
        <v>335</v>
      </c>
    </row>
    <row r="7300" spans="1:8">
      <c r="A7300" s="34">
        <v>2084199089</v>
      </c>
      <c r="B7300" s="35" t="s">
        <v>462</v>
      </c>
      <c r="C7300" s="35" t="s">
        <v>405</v>
      </c>
      <c r="D7300" s="35" t="s">
        <v>1453</v>
      </c>
      <c r="E7300" s="35" t="s">
        <v>1460</v>
      </c>
      <c r="F7300" s="35" t="s">
        <v>407</v>
      </c>
    </row>
    <row r="7301" spans="1:8">
      <c r="A7301" s="34">
        <v>2084199088</v>
      </c>
      <c r="B7301" s="35" t="s">
        <v>462</v>
      </c>
      <c r="C7301" s="35" t="s">
        <v>405</v>
      </c>
      <c r="D7301" s="35" t="s">
        <v>1453</v>
      </c>
      <c r="E7301" s="35" t="s">
        <v>1460</v>
      </c>
      <c r="F7301" s="35" t="s">
        <v>408</v>
      </c>
    </row>
    <row r="7302" spans="1:8">
      <c r="A7302" s="34">
        <v>2084199090</v>
      </c>
      <c r="B7302" s="35" t="s">
        <v>462</v>
      </c>
      <c r="C7302" s="35" t="s">
        <v>405</v>
      </c>
      <c r="D7302" s="35" t="s">
        <v>1453</v>
      </c>
      <c r="E7302" s="35" t="s">
        <v>1460</v>
      </c>
      <c r="F7302" s="35" t="s">
        <v>335</v>
      </c>
    </row>
    <row r="7303" spans="1:8">
      <c r="A7303" s="34">
        <v>2084230031</v>
      </c>
      <c r="B7303" s="35" t="s">
        <v>462</v>
      </c>
      <c r="C7303" s="35" t="s">
        <v>405</v>
      </c>
      <c r="D7303" s="35" t="s">
        <v>1453</v>
      </c>
      <c r="E7303" s="35" t="s">
        <v>1461</v>
      </c>
    </row>
    <row r="7304" spans="1:8">
      <c r="A7304" s="34">
        <v>2084215756</v>
      </c>
      <c r="B7304" s="35" t="s">
        <v>462</v>
      </c>
      <c r="C7304" s="35" t="s">
        <v>405</v>
      </c>
      <c r="D7304" s="35" t="s">
        <v>1453</v>
      </c>
      <c r="E7304" s="35" t="s">
        <v>1462</v>
      </c>
      <c r="F7304" s="35" t="s">
        <v>367</v>
      </c>
    </row>
    <row r="7305" spans="1:8">
      <c r="A7305" s="34">
        <v>2084215757</v>
      </c>
      <c r="B7305" s="35" t="s">
        <v>462</v>
      </c>
      <c r="C7305" s="35" t="s">
        <v>405</v>
      </c>
      <c r="D7305" s="35" t="s">
        <v>1453</v>
      </c>
      <c r="E7305" s="35" t="s">
        <v>1462</v>
      </c>
      <c r="F7305" s="35" t="s">
        <v>401</v>
      </c>
    </row>
    <row r="7306" spans="1:8">
      <c r="A7306" s="34">
        <v>2084215758</v>
      </c>
      <c r="B7306" s="35" t="s">
        <v>462</v>
      </c>
      <c r="C7306" s="35" t="s">
        <v>405</v>
      </c>
      <c r="D7306" s="35" t="s">
        <v>1453</v>
      </c>
      <c r="E7306" s="35" t="s">
        <v>1462</v>
      </c>
      <c r="F7306" s="35" t="s">
        <v>402</v>
      </c>
    </row>
    <row r="7307" spans="1:8">
      <c r="A7307" s="34">
        <v>2084215760</v>
      </c>
      <c r="B7307" s="35" t="s">
        <v>462</v>
      </c>
      <c r="C7307" s="35" t="s">
        <v>405</v>
      </c>
      <c r="D7307" s="35" t="s">
        <v>1453</v>
      </c>
      <c r="E7307" s="35" t="s">
        <v>1462</v>
      </c>
      <c r="F7307" s="35" t="s">
        <v>379</v>
      </c>
      <c r="G7307" s="35" t="s">
        <v>476</v>
      </c>
    </row>
    <row r="7308" spans="1:8">
      <c r="A7308" s="34">
        <v>2084215761</v>
      </c>
      <c r="B7308" s="35" t="s">
        <v>462</v>
      </c>
      <c r="C7308" s="35" t="s">
        <v>405</v>
      </c>
      <c r="D7308" s="35" t="s">
        <v>1453</v>
      </c>
      <c r="E7308" s="35" t="s">
        <v>1462</v>
      </c>
      <c r="F7308" s="35" t="s">
        <v>379</v>
      </c>
      <c r="G7308" s="35" t="s">
        <v>335</v>
      </c>
    </row>
    <row r="7309" spans="1:8">
      <c r="A7309" s="34">
        <v>2084215762</v>
      </c>
      <c r="B7309" s="35" t="s">
        <v>462</v>
      </c>
      <c r="C7309" s="35" t="s">
        <v>405</v>
      </c>
      <c r="D7309" s="35" t="s">
        <v>1453</v>
      </c>
      <c r="E7309" s="35" t="s">
        <v>1462</v>
      </c>
      <c r="F7309" s="35" t="s">
        <v>478</v>
      </c>
    </row>
    <row r="7310" spans="1:8">
      <c r="A7310" s="34">
        <v>2084215763</v>
      </c>
      <c r="B7310" s="35" t="s">
        <v>462</v>
      </c>
      <c r="C7310" s="35" t="s">
        <v>405</v>
      </c>
      <c r="D7310" s="35" t="s">
        <v>1453</v>
      </c>
      <c r="E7310" s="35" t="s">
        <v>1462</v>
      </c>
      <c r="F7310" s="35" t="s">
        <v>335</v>
      </c>
    </row>
    <row r="7311" spans="1:8">
      <c r="A7311" s="34">
        <v>2084231300</v>
      </c>
      <c r="B7311" s="35" t="s">
        <v>462</v>
      </c>
      <c r="C7311" s="35" t="s">
        <v>405</v>
      </c>
      <c r="D7311" s="35" t="s">
        <v>1453</v>
      </c>
      <c r="E7311" s="35" t="s">
        <v>1463</v>
      </c>
    </row>
    <row r="7312" spans="1:8">
      <c r="A7312" s="34">
        <v>2084054406</v>
      </c>
      <c r="B7312" s="35" t="s">
        <v>462</v>
      </c>
      <c r="C7312" s="35" t="s">
        <v>405</v>
      </c>
      <c r="D7312" s="35" t="s">
        <v>1453</v>
      </c>
      <c r="E7312" s="35" t="s">
        <v>1464</v>
      </c>
      <c r="F7312" s="35" t="s">
        <v>390</v>
      </c>
      <c r="G7312" s="35" t="s">
        <v>368</v>
      </c>
      <c r="H7312" s="35" t="s">
        <v>645</v>
      </c>
    </row>
    <row r="7313" spans="1:8">
      <c r="A7313" s="34">
        <v>2084054407</v>
      </c>
      <c r="B7313" s="35" t="s">
        <v>462</v>
      </c>
      <c r="C7313" s="35" t="s">
        <v>405</v>
      </c>
      <c r="D7313" s="35" t="s">
        <v>1453</v>
      </c>
      <c r="E7313" s="35" t="s">
        <v>1464</v>
      </c>
      <c r="F7313" s="35" t="s">
        <v>390</v>
      </c>
      <c r="G7313" s="35" t="s">
        <v>368</v>
      </c>
      <c r="H7313" s="35" t="s">
        <v>335</v>
      </c>
    </row>
    <row r="7314" spans="1:8">
      <c r="A7314" s="34">
        <v>2084054410</v>
      </c>
      <c r="B7314" s="35" t="s">
        <v>462</v>
      </c>
      <c r="C7314" s="35" t="s">
        <v>405</v>
      </c>
      <c r="D7314" s="35" t="s">
        <v>1453</v>
      </c>
      <c r="E7314" s="35" t="s">
        <v>1464</v>
      </c>
      <c r="F7314" s="35" t="s">
        <v>390</v>
      </c>
      <c r="G7314" s="35" t="s">
        <v>10</v>
      </c>
      <c r="H7314" s="35" t="s">
        <v>397</v>
      </c>
    </row>
    <row r="7315" spans="1:8">
      <c r="A7315" s="34">
        <v>2084054411</v>
      </c>
      <c r="B7315" s="35" t="s">
        <v>462</v>
      </c>
      <c r="C7315" s="35" t="s">
        <v>405</v>
      </c>
      <c r="D7315" s="35" t="s">
        <v>1453</v>
      </c>
      <c r="E7315" s="35" t="s">
        <v>1464</v>
      </c>
      <c r="F7315" s="35" t="s">
        <v>390</v>
      </c>
      <c r="G7315" s="35" t="s">
        <v>10</v>
      </c>
      <c r="H7315" s="35" t="s">
        <v>421</v>
      </c>
    </row>
    <row r="7316" spans="1:8">
      <c r="A7316" s="34">
        <v>2084054408</v>
      </c>
      <c r="B7316" s="35" t="s">
        <v>462</v>
      </c>
      <c r="C7316" s="35" t="s">
        <v>405</v>
      </c>
      <c r="D7316" s="35" t="s">
        <v>1453</v>
      </c>
      <c r="E7316" s="35" t="s">
        <v>1464</v>
      </c>
      <c r="F7316" s="35" t="s">
        <v>390</v>
      </c>
      <c r="G7316" s="35" t="s">
        <v>10</v>
      </c>
      <c r="H7316" s="35" t="s">
        <v>398</v>
      </c>
    </row>
    <row r="7317" spans="1:8">
      <c r="A7317" s="34">
        <v>2084054409</v>
      </c>
      <c r="B7317" s="35" t="s">
        <v>462</v>
      </c>
      <c r="C7317" s="35" t="s">
        <v>405</v>
      </c>
      <c r="D7317" s="35" t="s">
        <v>1453</v>
      </c>
      <c r="E7317" s="35" t="s">
        <v>1464</v>
      </c>
      <c r="F7317" s="35" t="s">
        <v>390</v>
      </c>
      <c r="G7317" s="35" t="s">
        <v>10</v>
      </c>
      <c r="H7317" s="35" t="s">
        <v>422</v>
      </c>
    </row>
    <row r="7318" spans="1:8">
      <c r="A7318" s="34">
        <v>2084054412</v>
      </c>
      <c r="B7318" s="35" t="s">
        <v>462</v>
      </c>
      <c r="C7318" s="35" t="s">
        <v>405</v>
      </c>
      <c r="D7318" s="35" t="s">
        <v>1453</v>
      </c>
      <c r="E7318" s="35" t="s">
        <v>1464</v>
      </c>
      <c r="F7318" s="35" t="s">
        <v>390</v>
      </c>
      <c r="G7318" s="35" t="s">
        <v>10</v>
      </c>
      <c r="H7318" s="35" t="s">
        <v>335</v>
      </c>
    </row>
    <row r="7319" spans="1:8">
      <c r="A7319" s="34">
        <v>2084054413</v>
      </c>
      <c r="B7319" s="35" t="s">
        <v>462</v>
      </c>
      <c r="C7319" s="35" t="s">
        <v>405</v>
      </c>
      <c r="D7319" s="35" t="s">
        <v>1453</v>
      </c>
      <c r="E7319" s="35" t="s">
        <v>1464</v>
      </c>
      <c r="F7319" s="35" t="s">
        <v>390</v>
      </c>
      <c r="G7319" s="35" t="s">
        <v>379</v>
      </c>
      <c r="H7319" s="35" t="s">
        <v>335</v>
      </c>
    </row>
    <row r="7320" spans="1:8">
      <c r="A7320" s="34">
        <v>2084054405</v>
      </c>
      <c r="B7320" s="35" t="s">
        <v>462</v>
      </c>
      <c r="C7320" s="35" t="s">
        <v>405</v>
      </c>
      <c r="D7320" s="35" t="s">
        <v>1453</v>
      </c>
      <c r="E7320" s="35" t="s">
        <v>1464</v>
      </c>
      <c r="F7320" s="35" t="s">
        <v>390</v>
      </c>
      <c r="G7320" s="35" t="s">
        <v>335</v>
      </c>
    </row>
    <row r="7321" spans="1:8">
      <c r="A7321" s="34">
        <v>2084054392</v>
      </c>
      <c r="B7321" s="35" t="s">
        <v>462</v>
      </c>
      <c r="C7321" s="35" t="s">
        <v>405</v>
      </c>
      <c r="D7321" s="35" t="s">
        <v>1453</v>
      </c>
      <c r="E7321" s="35" t="s">
        <v>1464</v>
      </c>
      <c r="F7321" s="35" t="s">
        <v>353</v>
      </c>
      <c r="G7321" s="35" t="s">
        <v>368</v>
      </c>
      <c r="H7321" s="35" t="s">
        <v>645</v>
      </c>
    </row>
    <row r="7322" spans="1:8">
      <c r="A7322" s="34">
        <v>2084054393</v>
      </c>
      <c r="B7322" s="35" t="s">
        <v>462</v>
      </c>
      <c r="C7322" s="35" t="s">
        <v>405</v>
      </c>
      <c r="D7322" s="35" t="s">
        <v>1453</v>
      </c>
      <c r="E7322" s="35" t="s">
        <v>1464</v>
      </c>
      <c r="F7322" s="35" t="s">
        <v>353</v>
      </c>
      <c r="G7322" s="35" t="s">
        <v>368</v>
      </c>
      <c r="H7322" s="35" t="s">
        <v>335</v>
      </c>
    </row>
    <row r="7323" spans="1:8">
      <c r="A7323" s="34">
        <v>2084054396</v>
      </c>
      <c r="B7323" s="35" t="s">
        <v>462</v>
      </c>
      <c r="C7323" s="35" t="s">
        <v>405</v>
      </c>
      <c r="D7323" s="35" t="s">
        <v>1453</v>
      </c>
      <c r="E7323" s="35" t="s">
        <v>1464</v>
      </c>
      <c r="F7323" s="35" t="s">
        <v>353</v>
      </c>
      <c r="G7323" s="35" t="s">
        <v>10</v>
      </c>
      <c r="H7323" s="35" t="s">
        <v>397</v>
      </c>
    </row>
    <row r="7324" spans="1:8">
      <c r="A7324" s="34">
        <v>2084054397</v>
      </c>
      <c r="B7324" s="35" t="s">
        <v>462</v>
      </c>
      <c r="C7324" s="35" t="s">
        <v>405</v>
      </c>
      <c r="D7324" s="35" t="s">
        <v>1453</v>
      </c>
      <c r="E7324" s="35" t="s">
        <v>1464</v>
      </c>
      <c r="F7324" s="35" t="s">
        <v>353</v>
      </c>
      <c r="G7324" s="35" t="s">
        <v>10</v>
      </c>
      <c r="H7324" s="35" t="s">
        <v>421</v>
      </c>
    </row>
    <row r="7325" spans="1:8">
      <c r="A7325" s="34">
        <v>2084054394</v>
      </c>
      <c r="B7325" s="35" t="s">
        <v>462</v>
      </c>
      <c r="C7325" s="35" t="s">
        <v>405</v>
      </c>
      <c r="D7325" s="35" t="s">
        <v>1453</v>
      </c>
      <c r="E7325" s="35" t="s">
        <v>1464</v>
      </c>
      <c r="F7325" s="35" t="s">
        <v>353</v>
      </c>
      <c r="G7325" s="35" t="s">
        <v>10</v>
      </c>
      <c r="H7325" s="35" t="s">
        <v>398</v>
      </c>
    </row>
    <row r="7326" spans="1:8">
      <c r="A7326" s="34">
        <v>2084054395</v>
      </c>
      <c r="B7326" s="35" t="s">
        <v>462</v>
      </c>
      <c r="C7326" s="35" t="s">
        <v>405</v>
      </c>
      <c r="D7326" s="35" t="s">
        <v>1453</v>
      </c>
      <c r="E7326" s="35" t="s">
        <v>1464</v>
      </c>
      <c r="F7326" s="35" t="s">
        <v>353</v>
      </c>
      <c r="G7326" s="35" t="s">
        <v>10</v>
      </c>
      <c r="H7326" s="35" t="s">
        <v>422</v>
      </c>
    </row>
    <row r="7327" spans="1:8">
      <c r="A7327" s="34">
        <v>2084054398</v>
      </c>
      <c r="B7327" s="35" t="s">
        <v>462</v>
      </c>
      <c r="C7327" s="35" t="s">
        <v>405</v>
      </c>
      <c r="D7327" s="35" t="s">
        <v>1453</v>
      </c>
      <c r="E7327" s="35" t="s">
        <v>1464</v>
      </c>
      <c r="F7327" s="35" t="s">
        <v>353</v>
      </c>
      <c r="G7327" s="35" t="s">
        <v>10</v>
      </c>
      <c r="H7327" s="35" t="s">
        <v>335</v>
      </c>
    </row>
    <row r="7328" spans="1:8">
      <c r="A7328" s="34">
        <v>2084054399</v>
      </c>
      <c r="B7328" s="35" t="s">
        <v>462</v>
      </c>
      <c r="C7328" s="35" t="s">
        <v>405</v>
      </c>
      <c r="D7328" s="35" t="s">
        <v>1453</v>
      </c>
      <c r="E7328" s="35" t="s">
        <v>1464</v>
      </c>
      <c r="F7328" s="35" t="s">
        <v>353</v>
      </c>
      <c r="G7328" s="35" t="s">
        <v>379</v>
      </c>
      <c r="H7328" s="35" t="s">
        <v>335</v>
      </c>
    </row>
    <row r="7329" spans="1:8">
      <c r="A7329" s="34">
        <v>2084054401</v>
      </c>
      <c r="B7329" s="35" t="s">
        <v>462</v>
      </c>
      <c r="C7329" s="35" t="s">
        <v>405</v>
      </c>
      <c r="D7329" s="35" t="s">
        <v>1453</v>
      </c>
      <c r="E7329" s="35" t="s">
        <v>1464</v>
      </c>
      <c r="F7329" s="35" t="s">
        <v>353</v>
      </c>
      <c r="G7329" s="35" t="s">
        <v>335</v>
      </c>
    </row>
    <row r="7330" spans="1:8">
      <c r="A7330" s="34">
        <v>2084054415</v>
      </c>
      <c r="B7330" s="35" t="s">
        <v>462</v>
      </c>
      <c r="C7330" s="35" t="s">
        <v>405</v>
      </c>
      <c r="D7330" s="35" t="s">
        <v>1453</v>
      </c>
      <c r="E7330" s="35" t="s">
        <v>1464</v>
      </c>
      <c r="F7330" s="35" t="s">
        <v>335</v>
      </c>
    </row>
    <row r="7331" spans="1:8">
      <c r="A7331" s="34">
        <v>2084283996</v>
      </c>
      <c r="B7331" s="35" t="s">
        <v>462</v>
      </c>
      <c r="C7331" s="35" t="s">
        <v>405</v>
      </c>
      <c r="D7331" s="35" t="s">
        <v>1453</v>
      </c>
      <c r="E7331" s="35" t="s">
        <v>1465</v>
      </c>
    </row>
    <row r="7332" spans="1:8">
      <c r="A7332" s="34">
        <v>2084230029</v>
      </c>
      <c r="B7332" s="35" t="s">
        <v>462</v>
      </c>
      <c r="C7332" s="35" t="s">
        <v>405</v>
      </c>
      <c r="D7332" s="35" t="s">
        <v>1453</v>
      </c>
      <c r="E7332" s="35" t="s">
        <v>1466</v>
      </c>
      <c r="F7332" s="35" t="s">
        <v>407</v>
      </c>
    </row>
    <row r="7333" spans="1:8">
      <c r="A7333" s="34">
        <v>2084230028</v>
      </c>
      <c r="B7333" s="35" t="s">
        <v>462</v>
      </c>
      <c r="C7333" s="35" t="s">
        <v>405</v>
      </c>
      <c r="D7333" s="35" t="s">
        <v>1453</v>
      </c>
      <c r="E7333" s="35" t="s">
        <v>1466</v>
      </c>
      <c r="F7333" s="35" t="s">
        <v>408</v>
      </c>
    </row>
    <row r="7334" spans="1:8">
      <c r="A7334" s="34">
        <v>2084230030</v>
      </c>
      <c r="B7334" s="35" t="s">
        <v>462</v>
      </c>
      <c r="C7334" s="35" t="s">
        <v>405</v>
      </c>
      <c r="D7334" s="35" t="s">
        <v>1453</v>
      </c>
      <c r="E7334" s="35" t="s">
        <v>1466</v>
      </c>
      <c r="F7334" s="35" t="s">
        <v>335</v>
      </c>
    </row>
    <row r="7335" spans="1:8">
      <c r="A7335" s="34">
        <v>2084243362</v>
      </c>
      <c r="B7335" s="35" t="s">
        <v>462</v>
      </c>
      <c r="C7335" s="35" t="s">
        <v>405</v>
      </c>
      <c r="D7335" s="35" t="s">
        <v>1453</v>
      </c>
      <c r="E7335" s="35" t="s">
        <v>1467</v>
      </c>
    </row>
    <row r="7336" spans="1:8">
      <c r="A7336" s="34">
        <v>2084024216</v>
      </c>
      <c r="B7336" s="35" t="s">
        <v>462</v>
      </c>
      <c r="C7336" s="35" t="s">
        <v>405</v>
      </c>
      <c r="D7336" s="35" t="s">
        <v>1468</v>
      </c>
      <c r="E7336" s="35" t="s">
        <v>1469</v>
      </c>
      <c r="F7336" s="35" t="s">
        <v>587</v>
      </c>
      <c r="G7336" s="35" t="s">
        <v>1470</v>
      </c>
      <c r="H7336" s="35" t="s">
        <v>907</v>
      </c>
    </row>
    <row r="7337" spans="1:8">
      <c r="A7337" s="34">
        <v>2084024212</v>
      </c>
      <c r="B7337" s="35" t="s">
        <v>462</v>
      </c>
      <c r="C7337" s="35" t="s">
        <v>405</v>
      </c>
      <c r="D7337" s="35" t="s">
        <v>1468</v>
      </c>
      <c r="E7337" s="35" t="s">
        <v>1469</v>
      </c>
      <c r="F7337" s="35" t="s">
        <v>587</v>
      </c>
      <c r="G7337" s="35" t="s">
        <v>1470</v>
      </c>
      <c r="H7337" s="35" t="s">
        <v>950</v>
      </c>
    </row>
    <row r="7338" spans="1:8">
      <c r="A7338" s="34">
        <v>2084024217</v>
      </c>
      <c r="B7338" s="35" t="s">
        <v>462</v>
      </c>
      <c r="C7338" s="35" t="s">
        <v>405</v>
      </c>
      <c r="D7338" s="35" t="s">
        <v>1468</v>
      </c>
      <c r="E7338" s="35" t="s">
        <v>1469</v>
      </c>
      <c r="F7338" s="35" t="s">
        <v>587</v>
      </c>
      <c r="G7338" s="35" t="s">
        <v>1470</v>
      </c>
      <c r="H7338" s="35" t="s">
        <v>951</v>
      </c>
    </row>
    <row r="7339" spans="1:8">
      <c r="A7339" s="34">
        <v>2084024215</v>
      </c>
      <c r="B7339" s="35" t="s">
        <v>462</v>
      </c>
      <c r="C7339" s="35" t="s">
        <v>405</v>
      </c>
      <c r="D7339" s="35" t="s">
        <v>1468</v>
      </c>
      <c r="E7339" s="35" t="s">
        <v>1469</v>
      </c>
      <c r="F7339" s="35" t="s">
        <v>587</v>
      </c>
      <c r="G7339" s="35" t="s">
        <v>1470</v>
      </c>
      <c r="H7339" s="35" t="s">
        <v>857</v>
      </c>
    </row>
    <row r="7340" spans="1:8">
      <c r="A7340" s="34">
        <v>2084024213</v>
      </c>
      <c r="B7340" s="35" t="s">
        <v>462</v>
      </c>
      <c r="C7340" s="35" t="s">
        <v>405</v>
      </c>
      <c r="D7340" s="35" t="s">
        <v>1468</v>
      </c>
      <c r="E7340" s="35" t="s">
        <v>1469</v>
      </c>
      <c r="F7340" s="35" t="s">
        <v>587</v>
      </c>
      <c r="G7340" s="35" t="s">
        <v>1470</v>
      </c>
      <c r="H7340" s="35" t="s">
        <v>910</v>
      </c>
    </row>
    <row r="7341" spans="1:8">
      <c r="A7341" s="34">
        <v>2084024219</v>
      </c>
      <c r="B7341" s="35" t="s">
        <v>462</v>
      </c>
      <c r="C7341" s="35" t="s">
        <v>405</v>
      </c>
      <c r="D7341" s="35" t="s">
        <v>1468</v>
      </c>
      <c r="E7341" s="35" t="s">
        <v>1469</v>
      </c>
      <c r="F7341" s="35" t="s">
        <v>587</v>
      </c>
      <c r="G7341" s="35" t="s">
        <v>1470</v>
      </c>
      <c r="H7341" s="35" t="s">
        <v>911</v>
      </c>
    </row>
    <row r="7342" spans="1:8">
      <c r="A7342" s="34">
        <v>2084024220</v>
      </c>
      <c r="B7342" s="35" t="s">
        <v>462</v>
      </c>
      <c r="C7342" s="35" t="s">
        <v>405</v>
      </c>
      <c r="D7342" s="35" t="s">
        <v>1468</v>
      </c>
      <c r="E7342" s="35" t="s">
        <v>1469</v>
      </c>
      <c r="F7342" s="35" t="s">
        <v>587</v>
      </c>
      <c r="G7342" s="35" t="s">
        <v>1470</v>
      </c>
      <c r="H7342" s="35" t="s">
        <v>859</v>
      </c>
    </row>
    <row r="7343" spans="1:8">
      <c r="A7343" s="34">
        <v>2084024218</v>
      </c>
      <c r="B7343" s="35" t="s">
        <v>462</v>
      </c>
      <c r="C7343" s="35" t="s">
        <v>405</v>
      </c>
      <c r="D7343" s="35" t="s">
        <v>1468</v>
      </c>
      <c r="E7343" s="35" t="s">
        <v>1469</v>
      </c>
      <c r="F7343" s="35" t="s">
        <v>587</v>
      </c>
      <c r="G7343" s="35" t="s">
        <v>1470</v>
      </c>
      <c r="H7343" s="35" t="s">
        <v>952</v>
      </c>
    </row>
    <row r="7344" spans="1:8">
      <c r="A7344" s="34">
        <v>2084024222</v>
      </c>
      <c r="B7344" s="35" t="s">
        <v>462</v>
      </c>
      <c r="C7344" s="35" t="s">
        <v>405</v>
      </c>
      <c r="D7344" s="35" t="s">
        <v>1468</v>
      </c>
      <c r="E7344" s="35" t="s">
        <v>1469</v>
      </c>
      <c r="F7344" s="35" t="s">
        <v>587</v>
      </c>
      <c r="G7344" s="35" t="s">
        <v>1470</v>
      </c>
      <c r="H7344" s="35" t="s">
        <v>953</v>
      </c>
    </row>
    <row r="7345" spans="1:8">
      <c r="A7345" s="34">
        <v>2084024214</v>
      </c>
      <c r="B7345" s="35" t="s">
        <v>462</v>
      </c>
      <c r="C7345" s="35" t="s">
        <v>405</v>
      </c>
      <c r="D7345" s="35" t="s">
        <v>1468</v>
      </c>
      <c r="E7345" s="35" t="s">
        <v>1469</v>
      </c>
      <c r="F7345" s="35" t="s">
        <v>587</v>
      </c>
      <c r="G7345" s="35" t="s">
        <v>1470</v>
      </c>
      <c r="H7345" s="35" t="s">
        <v>335</v>
      </c>
    </row>
    <row r="7346" spans="1:8">
      <c r="A7346" s="34">
        <v>2084283739</v>
      </c>
      <c r="B7346" s="35" t="s">
        <v>462</v>
      </c>
      <c r="C7346" s="35" t="s">
        <v>405</v>
      </c>
      <c r="D7346" s="35" t="s">
        <v>1468</v>
      </c>
      <c r="E7346" s="35" t="s">
        <v>1469</v>
      </c>
      <c r="F7346" s="35" t="s">
        <v>587</v>
      </c>
      <c r="G7346" s="35" t="s">
        <v>1471</v>
      </c>
      <c r="H7346" s="35" t="s">
        <v>907</v>
      </c>
    </row>
    <row r="7347" spans="1:8">
      <c r="A7347" s="34">
        <v>2084283740</v>
      </c>
      <c r="B7347" s="35" t="s">
        <v>462</v>
      </c>
      <c r="C7347" s="35" t="s">
        <v>405</v>
      </c>
      <c r="D7347" s="35" t="s">
        <v>1468</v>
      </c>
      <c r="E7347" s="35" t="s">
        <v>1469</v>
      </c>
      <c r="F7347" s="35" t="s">
        <v>587</v>
      </c>
      <c r="G7347" s="35" t="s">
        <v>1471</v>
      </c>
      <c r="H7347" s="35" t="s">
        <v>857</v>
      </c>
    </row>
    <row r="7348" spans="1:8">
      <c r="A7348" s="34">
        <v>2084283741</v>
      </c>
      <c r="B7348" s="35" t="s">
        <v>462</v>
      </c>
      <c r="C7348" s="35" t="s">
        <v>405</v>
      </c>
      <c r="D7348" s="35" t="s">
        <v>1468</v>
      </c>
      <c r="E7348" s="35" t="s">
        <v>1469</v>
      </c>
      <c r="F7348" s="35" t="s">
        <v>587</v>
      </c>
      <c r="G7348" s="35" t="s">
        <v>1471</v>
      </c>
      <c r="H7348" s="35" t="s">
        <v>859</v>
      </c>
    </row>
    <row r="7349" spans="1:8">
      <c r="A7349" s="34">
        <v>2084283742</v>
      </c>
      <c r="B7349" s="35" t="s">
        <v>462</v>
      </c>
      <c r="C7349" s="35" t="s">
        <v>405</v>
      </c>
      <c r="D7349" s="35" t="s">
        <v>1468</v>
      </c>
      <c r="E7349" s="35" t="s">
        <v>1469</v>
      </c>
      <c r="F7349" s="35" t="s">
        <v>587</v>
      </c>
      <c r="G7349" s="35" t="s">
        <v>1471</v>
      </c>
      <c r="H7349" s="35" t="s">
        <v>335</v>
      </c>
    </row>
    <row r="7350" spans="1:8">
      <c r="A7350" s="34">
        <v>2084283734</v>
      </c>
      <c r="B7350" s="35" t="s">
        <v>462</v>
      </c>
      <c r="C7350" s="35" t="s">
        <v>405</v>
      </c>
      <c r="D7350" s="35" t="s">
        <v>1468</v>
      </c>
      <c r="E7350" s="35" t="s">
        <v>1469</v>
      </c>
      <c r="F7350" s="35" t="s">
        <v>587</v>
      </c>
      <c r="G7350" s="35" t="s">
        <v>1472</v>
      </c>
      <c r="H7350" s="35" t="s">
        <v>907</v>
      </c>
    </row>
    <row r="7351" spans="1:8">
      <c r="A7351" s="34">
        <v>2084283735</v>
      </c>
      <c r="B7351" s="35" t="s">
        <v>462</v>
      </c>
      <c r="C7351" s="35" t="s">
        <v>405</v>
      </c>
      <c r="D7351" s="35" t="s">
        <v>1468</v>
      </c>
      <c r="E7351" s="35" t="s">
        <v>1469</v>
      </c>
      <c r="F7351" s="35" t="s">
        <v>587</v>
      </c>
      <c r="G7351" s="35" t="s">
        <v>1472</v>
      </c>
      <c r="H7351" s="35" t="s">
        <v>857</v>
      </c>
    </row>
    <row r="7352" spans="1:8">
      <c r="A7352" s="34">
        <v>2084283736</v>
      </c>
      <c r="B7352" s="35" t="s">
        <v>462</v>
      </c>
      <c r="C7352" s="35" t="s">
        <v>405</v>
      </c>
      <c r="D7352" s="35" t="s">
        <v>1468</v>
      </c>
      <c r="E7352" s="35" t="s">
        <v>1469</v>
      </c>
      <c r="F7352" s="35" t="s">
        <v>587</v>
      </c>
      <c r="G7352" s="35" t="s">
        <v>1472</v>
      </c>
      <c r="H7352" s="35" t="s">
        <v>859</v>
      </c>
    </row>
    <row r="7353" spans="1:8">
      <c r="A7353" s="34">
        <v>2084283737</v>
      </c>
      <c r="B7353" s="35" t="s">
        <v>462</v>
      </c>
      <c r="C7353" s="35" t="s">
        <v>405</v>
      </c>
      <c r="D7353" s="35" t="s">
        <v>1468</v>
      </c>
      <c r="E7353" s="35" t="s">
        <v>1469</v>
      </c>
      <c r="F7353" s="35" t="s">
        <v>587</v>
      </c>
      <c r="G7353" s="35" t="s">
        <v>1472</v>
      </c>
      <c r="H7353" s="35" t="s">
        <v>335</v>
      </c>
    </row>
    <row r="7354" spans="1:8">
      <c r="A7354" s="34">
        <v>2084283719</v>
      </c>
      <c r="B7354" s="35" t="s">
        <v>462</v>
      </c>
      <c r="C7354" s="35" t="s">
        <v>405</v>
      </c>
      <c r="D7354" s="35" t="s">
        <v>1468</v>
      </c>
      <c r="E7354" s="35" t="s">
        <v>1469</v>
      </c>
      <c r="F7354" s="35" t="s">
        <v>587</v>
      </c>
      <c r="G7354" s="35" t="s">
        <v>1473</v>
      </c>
      <c r="H7354" s="35" t="s">
        <v>907</v>
      </c>
    </row>
    <row r="7355" spans="1:8">
      <c r="A7355" s="34">
        <v>2084283720</v>
      </c>
      <c r="B7355" s="35" t="s">
        <v>462</v>
      </c>
      <c r="C7355" s="35" t="s">
        <v>405</v>
      </c>
      <c r="D7355" s="35" t="s">
        <v>1468</v>
      </c>
      <c r="E7355" s="35" t="s">
        <v>1469</v>
      </c>
      <c r="F7355" s="35" t="s">
        <v>587</v>
      </c>
      <c r="G7355" s="35" t="s">
        <v>1473</v>
      </c>
      <c r="H7355" s="35" t="s">
        <v>857</v>
      </c>
    </row>
    <row r="7356" spans="1:8">
      <c r="A7356" s="34">
        <v>2084283721</v>
      </c>
      <c r="B7356" s="35" t="s">
        <v>462</v>
      </c>
      <c r="C7356" s="35" t="s">
        <v>405</v>
      </c>
      <c r="D7356" s="35" t="s">
        <v>1468</v>
      </c>
      <c r="E7356" s="35" t="s">
        <v>1469</v>
      </c>
      <c r="F7356" s="35" t="s">
        <v>587</v>
      </c>
      <c r="G7356" s="35" t="s">
        <v>1473</v>
      </c>
      <c r="H7356" s="35" t="s">
        <v>859</v>
      </c>
    </row>
    <row r="7357" spans="1:8">
      <c r="A7357" s="34">
        <v>2084283722</v>
      </c>
      <c r="B7357" s="35" t="s">
        <v>462</v>
      </c>
      <c r="C7357" s="35" t="s">
        <v>405</v>
      </c>
      <c r="D7357" s="35" t="s">
        <v>1468</v>
      </c>
      <c r="E7357" s="35" t="s">
        <v>1469</v>
      </c>
      <c r="F7357" s="35" t="s">
        <v>587</v>
      </c>
      <c r="G7357" s="35" t="s">
        <v>1473</v>
      </c>
      <c r="H7357" s="35" t="s">
        <v>335</v>
      </c>
    </row>
    <row r="7358" spans="1:8">
      <c r="A7358" s="34">
        <v>2084283724</v>
      </c>
      <c r="B7358" s="35" t="s">
        <v>462</v>
      </c>
      <c r="C7358" s="35" t="s">
        <v>405</v>
      </c>
      <c r="D7358" s="35" t="s">
        <v>1468</v>
      </c>
      <c r="E7358" s="35" t="s">
        <v>1469</v>
      </c>
      <c r="F7358" s="35" t="s">
        <v>587</v>
      </c>
      <c r="G7358" s="35" t="s">
        <v>1474</v>
      </c>
      <c r="H7358" s="35" t="s">
        <v>907</v>
      </c>
    </row>
    <row r="7359" spans="1:8">
      <c r="A7359" s="34">
        <v>2084283725</v>
      </c>
      <c r="B7359" s="35" t="s">
        <v>462</v>
      </c>
      <c r="C7359" s="35" t="s">
        <v>405</v>
      </c>
      <c r="D7359" s="35" t="s">
        <v>1468</v>
      </c>
      <c r="E7359" s="35" t="s">
        <v>1469</v>
      </c>
      <c r="F7359" s="35" t="s">
        <v>587</v>
      </c>
      <c r="G7359" s="35" t="s">
        <v>1474</v>
      </c>
      <c r="H7359" s="35" t="s">
        <v>857</v>
      </c>
    </row>
    <row r="7360" spans="1:8">
      <c r="A7360" s="34">
        <v>2084283726</v>
      </c>
      <c r="B7360" s="35" t="s">
        <v>462</v>
      </c>
      <c r="C7360" s="35" t="s">
        <v>405</v>
      </c>
      <c r="D7360" s="35" t="s">
        <v>1468</v>
      </c>
      <c r="E7360" s="35" t="s">
        <v>1469</v>
      </c>
      <c r="F7360" s="35" t="s">
        <v>587</v>
      </c>
      <c r="G7360" s="35" t="s">
        <v>1474</v>
      </c>
      <c r="H7360" s="35" t="s">
        <v>859</v>
      </c>
    </row>
    <row r="7361" spans="1:8">
      <c r="A7361" s="34">
        <v>2084283727</v>
      </c>
      <c r="B7361" s="35" t="s">
        <v>462</v>
      </c>
      <c r="C7361" s="35" t="s">
        <v>405</v>
      </c>
      <c r="D7361" s="35" t="s">
        <v>1468</v>
      </c>
      <c r="E7361" s="35" t="s">
        <v>1469</v>
      </c>
      <c r="F7361" s="35" t="s">
        <v>587</v>
      </c>
      <c r="G7361" s="35" t="s">
        <v>1474</v>
      </c>
      <c r="H7361" s="35" t="s">
        <v>335</v>
      </c>
    </row>
    <row r="7362" spans="1:8">
      <c r="A7362" s="34">
        <v>2084283729</v>
      </c>
      <c r="B7362" s="35" t="s">
        <v>462</v>
      </c>
      <c r="C7362" s="35" t="s">
        <v>405</v>
      </c>
      <c r="D7362" s="35" t="s">
        <v>1468</v>
      </c>
      <c r="E7362" s="35" t="s">
        <v>1469</v>
      </c>
      <c r="F7362" s="35" t="s">
        <v>587</v>
      </c>
      <c r="G7362" s="35" t="s">
        <v>1475</v>
      </c>
    </row>
    <row r="7363" spans="1:8">
      <c r="A7363" s="34">
        <v>2084283728</v>
      </c>
      <c r="B7363" s="35" t="s">
        <v>462</v>
      </c>
      <c r="C7363" s="35" t="s">
        <v>405</v>
      </c>
      <c r="D7363" s="35" t="s">
        <v>1468</v>
      </c>
      <c r="E7363" s="35" t="s">
        <v>1469</v>
      </c>
      <c r="F7363" s="35" t="s">
        <v>587</v>
      </c>
      <c r="G7363" s="35" t="s">
        <v>1476</v>
      </c>
    </row>
    <row r="7364" spans="1:8">
      <c r="A7364" s="34">
        <v>2084286893</v>
      </c>
      <c r="B7364" s="35" t="s">
        <v>462</v>
      </c>
      <c r="C7364" s="35" t="s">
        <v>405</v>
      </c>
      <c r="D7364" s="35" t="s">
        <v>1468</v>
      </c>
      <c r="E7364" s="35" t="s">
        <v>1469</v>
      </c>
      <c r="F7364" s="35" t="s">
        <v>587</v>
      </c>
      <c r="G7364" s="35" t="s">
        <v>1477</v>
      </c>
      <c r="H7364" s="35" t="s">
        <v>907</v>
      </c>
    </row>
    <row r="7365" spans="1:8">
      <c r="A7365" s="34">
        <v>2084286894</v>
      </c>
      <c r="B7365" s="35" t="s">
        <v>462</v>
      </c>
      <c r="C7365" s="35" t="s">
        <v>405</v>
      </c>
      <c r="D7365" s="35" t="s">
        <v>1468</v>
      </c>
      <c r="E7365" s="35" t="s">
        <v>1469</v>
      </c>
      <c r="F7365" s="35" t="s">
        <v>587</v>
      </c>
      <c r="G7365" s="35" t="s">
        <v>1477</v>
      </c>
      <c r="H7365" s="35" t="s">
        <v>857</v>
      </c>
    </row>
    <row r="7366" spans="1:8">
      <c r="A7366" s="34">
        <v>2084286895</v>
      </c>
      <c r="B7366" s="35" t="s">
        <v>462</v>
      </c>
      <c r="C7366" s="35" t="s">
        <v>405</v>
      </c>
      <c r="D7366" s="35" t="s">
        <v>1468</v>
      </c>
      <c r="E7366" s="35" t="s">
        <v>1469</v>
      </c>
      <c r="F7366" s="35" t="s">
        <v>587</v>
      </c>
      <c r="G7366" s="35" t="s">
        <v>1477</v>
      </c>
      <c r="H7366" s="35" t="s">
        <v>859</v>
      </c>
    </row>
    <row r="7367" spans="1:8">
      <c r="A7367" s="34">
        <v>2084286896</v>
      </c>
      <c r="B7367" s="35" t="s">
        <v>462</v>
      </c>
      <c r="C7367" s="35" t="s">
        <v>405</v>
      </c>
      <c r="D7367" s="35" t="s">
        <v>1468</v>
      </c>
      <c r="E7367" s="35" t="s">
        <v>1469</v>
      </c>
      <c r="F7367" s="35" t="s">
        <v>587</v>
      </c>
      <c r="G7367" s="35" t="s">
        <v>1477</v>
      </c>
      <c r="H7367" s="35" t="s">
        <v>335</v>
      </c>
    </row>
    <row r="7368" spans="1:8">
      <c r="A7368" s="34">
        <v>2084024208</v>
      </c>
      <c r="B7368" s="35" t="s">
        <v>462</v>
      </c>
      <c r="C7368" s="35" t="s">
        <v>405</v>
      </c>
      <c r="D7368" s="35" t="s">
        <v>1468</v>
      </c>
      <c r="E7368" s="35" t="s">
        <v>1469</v>
      </c>
      <c r="F7368" s="35" t="s">
        <v>587</v>
      </c>
      <c r="G7368" s="35" t="s">
        <v>1478</v>
      </c>
    </row>
    <row r="7369" spans="1:8">
      <c r="A7369" s="34">
        <v>2084024250</v>
      </c>
      <c r="B7369" s="35" t="s">
        <v>462</v>
      </c>
      <c r="C7369" s="35" t="s">
        <v>405</v>
      </c>
      <c r="D7369" s="35" t="s">
        <v>1468</v>
      </c>
      <c r="E7369" s="35" t="s">
        <v>1469</v>
      </c>
      <c r="F7369" s="35" t="s">
        <v>587</v>
      </c>
      <c r="G7369" s="35" t="s">
        <v>1479</v>
      </c>
      <c r="H7369" s="35" t="s">
        <v>907</v>
      </c>
    </row>
    <row r="7370" spans="1:8">
      <c r="A7370" s="34">
        <v>2084024238</v>
      </c>
      <c r="B7370" s="35" t="s">
        <v>462</v>
      </c>
      <c r="C7370" s="35" t="s">
        <v>405</v>
      </c>
      <c r="D7370" s="35" t="s">
        <v>1468</v>
      </c>
      <c r="E7370" s="35" t="s">
        <v>1469</v>
      </c>
      <c r="F7370" s="35" t="s">
        <v>587</v>
      </c>
      <c r="G7370" s="35" t="s">
        <v>1479</v>
      </c>
      <c r="H7370" s="35" t="s">
        <v>857</v>
      </c>
    </row>
    <row r="7371" spans="1:8">
      <c r="A7371" s="34">
        <v>2084024242</v>
      </c>
      <c r="B7371" s="35" t="s">
        <v>462</v>
      </c>
      <c r="C7371" s="35" t="s">
        <v>405</v>
      </c>
      <c r="D7371" s="35" t="s">
        <v>1468</v>
      </c>
      <c r="E7371" s="35" t="s">
        <v>1469</v>
      </c>
      <c r="F7371" s="35" t="s">
        <v>587</v>
      </c>
      <c r="G7371" s="35" t="s">
        <v>1479</v>
      </c>
      <c r="H7371" s="35" t="s">
        <v>859</v>
      </c>
    </row>
    <row r="7372" spans="1:8">
      <c r="A7372" s="34">
        <v>2084024251</v>
      </c>
      <c r="B7372" s="35" t="s">
        <v>462</v>
      </c>
      <c r="C7372" s="35" t="s">
        <v>405</v>
      </c>
      <c r="D7372" s="35" t="s">
        <v>1468</v>
      </c>
      <c r="E7372" s="35" t="s">
        <v>1469</v>
      </c>
      <c r="F7372" s="35" t="s">
        <v>587</v>
      </c>
      <c r="G7372" s="35" t="s">
        <v>1479</v>
      </c>
      <c r="H7372" s="35" t="s">
        <v>335</v>
      </c>
    </row>
    <row r="7373" spans="1:8">
      <c r="A7373" s="34">
        <v>2084024211</v>
      </c>
      <c r="B7373" s="35" t="s">
        <v>462</v>
      </c>
      <c r="C7373" s="35" t="s">
        <v>405</v>
      </c>
      <c r="D7373" s="35" t="s">
        <v>1468</v>
      </c>
      <c r="E7373" s="35" t="s">
        <v>1469</v>
      </c>
      <c r="F7373" s="35" t="s">
        <v>587</v>
      </c>
      <c r="G7373" s="35" t="s">
        <v>1480</v>
      </c>
    </row>
    <row r="7374" spans="1:8">
      <c r="A7374" s="34">
        <v>2084024265</v>
      </c>
      <c r="B7374" s="35" t="s">
        <v>462</v>
      </c>
      <c r="C7374" s="35" t="s">
        <v>405</v>
      </c>
      <c r="D7374" s="35" t="s">
        <v>1468</v>
      </c>
      <c r="E7374" s="35" t="s">
        <v>1469</v>
      </c>
      <c r="F7374" s="35" t="s">
        <v>587</v>
      </c>
      <c r="G7374" s="35" t="s">
        <v>335</v>
      </c>
    </row>
    <row r="7375" spans="1:8">
      <c r="A7375" s="34">
        <v>2084051256</v>
      </c>
      <c r="B7375" s="35" t="s">
        <v>462</v>
      </c>
      <c r="C7375" s="35" t="s">
        <v>405</v>
      </c>
      <c r="D7375" s="35" t="s">
        <v>1468</v>
      </c>
      <c r="E7375" s="35" t="s">
        <v>1469</v>
      </c>
      <c r="F7375" s="35" t="s">
        <v>611</v>
      </c>
      <c r="G7375" s="35" t="s">
        <v>407</v>
      </c>
    </row>
    <row r="7376" spans="1:8">
      <c r="A7376" s="34">
        <v>2084051255</v>
      </c>
      <c r="B7376" s="35" t="s">
        <v>462</v>
      </c>
      <c r="C7376" s="35" t="s">
        <v>405</v>
      </c>
      <c r="D7376" s="35" t="s">
        <v>1468</v>
      </c>
      <c r="E7376" s="35" t="s">
        <v>1469</v>
      </c>
      <c r="F7376" s="35" t="s">
        <v>611</v>
      </c>
      <c r="G7376" s="35" t="s">
        <v>408</v>
      </c>
    </row>
    <row r="7377" spans="1:8">
      <c r="A7377" s="34">
        <v>2084028219</v>
      </c>
      <c r="B7377" s="35" t="s">
        <v>462</v>
      </c>
      <c r="C7377" s="35" t="s">
        <v>405</v>
      </c>
      <c r="D7377" s="35" t="s">
        <v>1468</v>
      </c>
      <c r="E7377" s="35" t="s">
        <v>1469</v>
      </c>
      <c r="F7377" s="35" t="s">
        <v>390</v>
      </c>
      <c r="G7377" s="35" t="s">
        <v>367</v>
      </c>
    </row>
    <row r="7378" spans="1:8">
      <c r="A7378" s="34">
        <v>2084028768</v>
      </c>
      <c r="B7378" s="35" t="s">
        <v>462</v>
      </c>
      <c r="C7378" s="35" t="s">
        <v>405</v>
      </c>
      <c r="D7378" s="35" t="s">
        <v>1468</v>
      </c>
      <c r="E7378" s="35" t="s">
        <v>1469</v>
      </c>
      <c r="F7378" s="35" t="s">
        <v>390</v>
      </c>
      <c r="G7378" s="35" t="s">
        <v>368</v>
      </c>
      <c r="H7378" s="35" t="s">
        <v>508</v>
      </c>
    </row>
    <row r="7379" spans="1:8">
      <c r="A7379" s="34">
        <v>2084029302</v>
      </c>
      <c r="B7379" s="35" t="s">
        <v>462</v>
      </c>
      <c r="C7379" s="35" t="s">
        <v>405</v>
      </c>
      <c r="D7379" s="35" t="s">
        <v>1468</v>
      </c>
      <c r="E7379" s="35" t="s">
        <v>1469</v>
      </c>
      <c r="F7379" s="35" t="s">
        <v>390</v>
      </c>
      <c r="G7379" s="35" t="s">
        <v>368</v>
      </c>
      <c r="H7379" s="35" t="s">
        <v>481</v>
      </c>
    </row>
    <row r="7380" spans="1:8">
      <c r="A7380" s="34">
        <v>2084051596</v>
      </c>
      <c r="B7380" s="35" t="s">
        <v>462</v>
      </c>
      <c r="C7380" s="35" t="s">
        <v>405</v>
      </c>
      <c r="D7380" s="35" t="s">
        <v>1468</v>
      </c>
      <c r="E7380" s="35" t="s">
        <v>1469</v>
      </c>
      <c r="F7380" s="35" t="s">
        <v>390</v>
      </c>
      <c r="G7380" s="35" t="s">
        <v>368</v>
      </c>
      <c r="H7380" s="35" t="s">
        <v>335</v>
      </c>
    </row>
    <row r="7381" spans="1:8">
      <c r="A7381" s="34">
        <v>2084027525</v>
      </c>
      <c r="B7381" s="35" t="s">
        <v>462</v>
      </c>
      <c r="C7381" s="35" t="s">
        <v>405</v>
      </c>
      <c r="D7381" s="35" t="s">
        <v>1468</v>
      </c>
      <c r="E7381" s="35" t="s">
        <v>1469</v>
      </c>
      <c r="F7381" s="35" t="s">
        <v>390</v>
      </c>
      <c r="G7381" s="35" t="s">
        <v>10</v>
      </c>
      <c r="H7381" s="35" t="s">
        <v>421</v>
      </c>
    </row>
    <row r="7382" spans="1:8">
      <c r="A7382" s="34">
        <v>2084027563</v>
      </c>
      <c r="B7382" s="35" t="s">
        <v>462</v>
      </c>
      <c r="C7382" s="35" t="s">
        <v>405</v>
      </c>
      <c r="D7382" s="35" t="s">
        <v>1468</v>
      </c>
      <c r="E7382" s="35" t="s">
        <v>1469</v>
      </c>
      <c r="F7382" s="35" t="s">
        <v>390</v>
      </c>
      <c r="G7382" s="35" t="s">
        <v>10</v>
      </c>
      <c r="H7382" s="35" t="s">
        <v>422</v>
      </c>
    </row>
    <row r="7383" spans="1:8">
      <c r="A7383" s="34">
        <v>2084051597</v>
      </c>
      <c r="B7383" s="35" t="s">
        <v>462</v>
      </c>
      <c r="C7383" s="35" t="s">
        <v>405</v>
      </c>
      <c r="D7383" s="35" t="s">
        <v>1468</v>
      </c>
      <c r="E7383" s="35" t="s">
        <v>1469</v>
      </c>
      <c r="F7383" s="35" t="s">
        <v>390</v>
      </c>
      <c r="G7383" s="35" t="s">
        <v>10</v>
      </c>
      <c r="H7383" s="35" t="s">
        <v>335</v>
      </c>
    </row>
    <row r="7384" spans="1:8">
      <c r="A7384" s="34">
        <v>2084051598</v>
      </c>
      <c r="B7384" s="35" t="s">
        <v>462</v>
      </c>
      <c r="C7384" s="35" t="s">
        <v>405</v>
      </c>
      <c r="D7384" s="35" t="s">
        <v>1468</v>
      </c>
      <c r="E7384" s="35" t="s">
        <v>1469</v>
      </c>
      <c r="F7384" s="35" t="s">
        <v>390</v>
      </c>
      <c r="G7384" s="35" t="s">
        <v>379</v>
      </c>
      <c r="H7384" s="35" t="s">
        <v>476</v>
      </c>
    </row>
    <row r="7385" spans="1:8">
      <c r="A7385" s="34">
        <v>2084051599</v>
      </c>
      <c r="B7385" s="35" t="s">
        <v>462</v>
      </c>
      <c r="C7385" s="35" t="s">
        <v>405</v>
      </c>
      <c r="D7385" s="35" t="s">
        <v>1468</v>
      </c>
      <c r="E7385" s="35" t="s">
        <v>1469</v>
      </c>
      <c r="F7385" s="35" t="s">
        <v>390</v>
      </c>
      <c r="G7385" s="35" t="s">
        <v>379</v>
      </c>
      <c r="H7385" s="35" t="s">
        <v>335</v>
      </c>
    </row>
    <row r="7386" spans="1:8">
      <c r="A7386" s="34">
        <v>2084051600</v>
      </c>
      <c r="B7386" s="35" t="s">
        <v>462</v>
      </c>
      <c r="C7386" s="35" t="s">
        <v>405</v>
      </c>
      <c r="D7386" s="35" t="s">
        <v>1468</v>
      </c>
      <c r="E7386" s="35" t="s">
        <v>1469</v>
      </c>
      <c r="F7386" s="35" t="s">
        <v>390</v>
      </c>
      <c r="G7386" s="35" t="s">
        <v>335</v>
      </c>
    </row>
    <row r="7387" spans="1:8">
      <c r="A7387" s="34">
        <v>2084051603</v>
      </c>
      <c r="B7387" s="35" t="s">
        <v>462</v>
      </c>
      <c r="C7387" s="35" t="s">
        <v>405</v>
      </c>
      <c r="D7387" s="35" t="s">
        <v>1468</v>
      </c>
      <c r="E7387" s="35" t="s">
        <v>1469</v>
      </c>
      <c r="F7387" s="35" t="s">
        <v>353</v>
      </c>
      <c r="G7387" s="35" t="s">
        <v>368</v>
      </c>
      <c r="H7387" s="35" t="s">
        <v>481</v>
      </c>
    </row>
    <row r="7388" spans="1:8">
      <c r="A7388" s="34">
        <v>2084051604</v>
      </c>
      <c r="B7388" s="35" t="s">
        <v>462</v>
      </c>
      <c r="C7388" s="35" t="s">
        <v>405</v>
      </c>
      <c r="D7388" s="35" t="s">
        <v>1468</v>
      </c>
      <c r="E7388" s="35" t="s">
        <v>1469</v>
      </c>
      <c r="F7388" s="35" t="s">
        <v>353</v>
      </c>
      <c r="G7388" s="35" t="s">
        <v>368</v>
      </c>
      <c r="H7388" s="35" t="s">
        <v>335</v>
      </c>
    </row>
    <row r="7389" spans="1:8">
      <c r="A7389" s="34">
        <v>2084051607</v>
      </c>
      <c r="B7389" s="35" t="s">
        <v>462</v>
      </c>
      <c r="C7389" s="35" t="s">
        <v>405</v>
      </c>
      <c r="D7389" s="35" t="s">
        <v>1468</v>
      </c>
      <c r="E7389" s="35" t="s">
        <v>1469</v>
      </c>
      <c r="F7389" s="35" t="s">
        <v>353</v>
      </c>
      <c r="G7389" s="35" t="s">
        <v>10</v>
      </c>
      <c r="H7389" s="35" t="s">
        <v>421</v>
      </c>
    </row>
    <row r="7390" spans="1:8">
      <c r="A7390" s="34">
        <v>2084051606</v>
      </c>
      <c r="B7390" s="35" t="s">
        <v>462</v>
      </c>
      <c r="C7390" s="35" t="s">
        <v>405</v>
      </c>
      <c r="D7390" s="35" t="s">
        <v>1468</v>
      </c>
      <c r="E7390" s="35" t="s">
        <v>1469</v>
      </c>
      <c r="F7390" s="35" t="s">
        <v>353</v>
      </c>
      <c r="G7390" s="35" t="s">
        <v>10</v>
      </c>
      <c r="H7390" s="35" t="s">
        <v>422</v>
      </c>
    </row>
    <row r="7391" spans="1:8">
      <c r="A7391" s="34">
        <v>2084051608</v>
      </c>
      <c r="B7391" s="35" t="s">
        <v>462</v>
      </c>
      <c r="C7391" s="35" t="s">
        <v>405</v>
      </c>
      <c r="D7391" s="35" t="s">
        <v>1468</v>
      </c>
      <c r="E7391" s="35" t="s">
        <v>1469</v>
      </c>
      <c r="F7391" s="35" t="s">
        <v>353</v>
      </c>
      <c r="G7391" s="35" t="s">
        <v>10</v>
      </c>
      <c r="H7391" s="35" t="s">
        <v>335</v>
      </c>
    </row>
    <row r="7392" spans="1:8">
      <c r="A7392" s="34">
        <v>2084051609</v>
      </c>
      <c r="B7392" s="35" t="s">
        <v>462</v>
      </c>
      <c r="C7392" s="35" t="s">
        <v>405</v>
      </c>
      <c r="D7392" s="35" t="s">
        <v>1468</v>
      </c>
      <c r="E7392" s="35" t="s">
        <v>1469</v>
      </c>
      <c r="F7392" s="35" t="s">
        <v>353</v>
      </c>
      <c r="G7392" s="35" t="s">
        <v>403</v>
      </c>
    </row>
    <row r="7393" spans="1:8">
      <c r="A7393" s="34">
        <v>2084051610</v>
      </c>
      <c r="B7393" s="35" t="s">
        <v>462</v>
      </c>
      <c r="C7393" s="35" t="s">
        <v>405</v>
      </c>
      <c r="D7393" s="35" t="s">
        <v>1468</v>
      </c>
      <c r="E7393" s="35" t="s">
        <v>1469</v>
      </c>
      <c r="F7393" s="35" t="s">
        <v>353</v>
      </c>
      <c r="G7393" s="35" t="s">
        <v>335</v>
      </c>
    </row>
    <row r="7394" spans="1:8">
      <c r="A7394" s="34">
        <v>2084213855</v>
      </c>
      <c r="B7394" s="35" t="s">
        <v>462</v>
      </c>
      <c r="C7394" s="35" t="s">
        <v>405</v>
      </c>
      <c r="D7394" s="35" t="s">
        <v>1468</v>
      </c>
      <c r="E7394" s="35" t="s">
        <v>1469</v>
      </c>
      <c r="F7394" s="35" t="s">
        <v>442</v>
      </c>
      <c r="G7394" s="35" t="s">
        <v>1481</v>
      </c>
      <c r="H7394" s="35" t="s">
        <v>1482</v>
      </c>
    </row>
    <row r="7395" spans="1:8">
      <c r="A7395" s="34">
        <v>2084213856</v>
      </c>
      <c r="B7395" s="35" t="s">
        <v>462</v>
      </c>
      <c r="C7395" s="35" t="s">
        <v>405</v>
      </c>
      <c r="D7395" s="35" t="s">
        <v>1468</v>
      </c>
      <c r="E7395" s="35" t="s">
        <v>1469</v>
      </c>
      <c r="F7395" s="35" t="s">
        <v>442</v>
      </c>
      <c r="G7395" s="35" t="s">
        <v>1481</v>
      </c>
      <c r="H7395" s="35" t="s">
        <v>1483</v>
      </c>
    </row>
    <row r="7396" spans="1:8">
      <c r="A7396" s="34">
        <v>2084213854</v>
      </c>
      <c r="B7396" s="35" t="s">
        <v>462</v>
      </c>
      <c r="C7396" s="35" t="s">
        <v>405</v>
      </c>
      <c r="D7396" s="35" t="s">
        <v>1468</v>
      </c>
      <c r="E7396" s="35" t="s">
        <v>1469</v>
      </c>
      <c r="F7396" s="35" t="s">
        <v>442</v>
      </c>
      <c r="G7396" s="35" t="s">
        <v>1481</v>
      </c>
      <c r="H7396" s="35" t="s">
        <v>1484</v>
      </c>
    </row>
    <row r="7397" spans="1:8">
      <c r="A7397" s="34">
        <v>2084213853</v>
      </c>
      <c r="B7397" s="35" t="s">
        <v>462</v>
      </c>
      <c r="C7397" s="35" t="s">
        <v>405</v>
      </c>
      <c r="D7397" s="35" t="s">
        <v>1468</v>
      </c>
      <c r="E7397" s="35" t="s">
        <v>1469</v>
      </c>
      <c r="F7397" s="35" t="s">
        <v>442</v>
      </c>
      <c r="G7397" s="35" t="s">
        <v>1481</v>
      </c>
      <c r="H7397" s="35" t="s">
        <v>1485</v>
      </c>
    </row>
    <row r="7398" spans="1:8">
      <c r="A7398" s="34">
        <v>2084213857</v>
      </c>
      <c r="B7398" s="35" t="s">
        <v>462</v>
      </c>
      <c r="C7398" s="35" t="s">
        <v>405</v>
      </c>
      <c r="D7398" s="35" t="s">
        <v>1468</v>
      </c>
      <c r="E7398" s="35" t="s">
        <v>1469</v>
      </c>
      <c r="F7398" s="35" t="s">
        <v>442</v>
      </c>
      <c r="G7398" s="35" t="s">
        <v>1481</v>
      </c>
      <c r="H7398" s="35" t="s">
        <v>1486</v>
      </c>
    </row>
    <row r="7399" spans="1:8">
      <c r="A7399" s="34">
        <v>2084213858</v>
      </c>
      <c r="B7399" s="35" t="s">
        <v>462</v>
      </c>
      <c r="C7399" s="35" t="s">
        <v>405</v>
      </c>
      <c r="D7399" s="35" t="s">
        <v>1468</v>
      </c>
      <c r="E7399" s="35" t="s">
        <v>1469</v>
      </c>
      <c r="F7399" s="35" t="s">
        <v>442</v>
      </c>
      <c r="G7399" s="35" t="s">
        <v>1481</v>
      </c>
      <c r="H7399" s="35" t="s">
        <v>335</v>
      </c>
    </row>
    <row r="7400" spans="1:8">
      <c r="A7400" s="34">
        <v>2084213851</v>
      </c>
      <c r="B7400" s="35" t="s">
        <v>462</v>
      </c>
      <c r="C7400" s="35" t="s">
        <v>405</v>
      </c>
      <c r="D7400" s="35" t="s">
        <v>1468</v>
      </c>
      <c r="E7400" s="35" t="s">
        <v>1469</v>
      </c>
      <c r="F7400" s="35" t="s">
        <v>442</v>
      </c>
      <c r="G7400" s="35" t="s">
        <v>1487</v>
      </c>
      <c r="H7400" s="35" t="s">
        <v>1482</v>
      </c>
    </row>
    <row r="7401" spans="1:8">
      <c r="A7401" s="34">
        <v>2084213850</v>
      </c>
      <c r="B7401" s="35" t="s">
        <v>462</v>
      </c>
      <c r="C7401" s="35" t="s">
        <v>405</v>
      </c>
      <c r="D7401" s="35" t="s">
        <v>1468</v>
      </c>
      <c r="E7401" s="35" t="s">
        <v>1469</v>
      </c>
      <c r="F7401" s="35" t="s">
        <v>442</v>
      </c>
      <c r="G7401" s="35" t="s">
        <v>1487</v>
      </c>
      <c r="H7401" s="35" t="s">
        <v>1484</v>
      </c>
    </row>
    <row r="7402" spans="1:8">
      <c r="A7402" s="34">
        <v>2084213849</v>
      </c>
      <c r="B7402" s="35" t="s">
        <v>462</v>
      </c>
      <c r="C7402" s="35" t="s">
        <v>405</v>
      </c>
      <c r="D7402" s="35" t="s">
        <v>1468</v>
      </c>
      <c r="E7402" s="35" t="s">
        <v>1469</v>
      </c>
      <c r="F7402" s="35" t="s">
        <v>442</v>
      </c>
      <c r="G7402" s="35" t="s">
        <v>1487</v>
      </c>
      <c r="H7402" s="35" t="s">
        <v>1478</v>
      </c>
    </row>
    <row r="7403" spans="1:8">
      <c r="A7403" s="34">
        <v>2084213848</v>
      </c>
      <c r="B7403" s="35" t="s">
        <v>462</v>
      </c>
      <c r="C7403" s="35" t="s">
        <v>405</v>
      </c>
      <c r="D7403" s="35" t="s">
        <v>1468</v>
      </c>
      <c r="E7403" s="35" t="s">
        <v>1469</v>
      </c>
      <c r="F7403" s="35" t="s">
        <v>442</v>
      </c>
      <c r="G7403" s="35" t="s">
        <v>1487</v>
      </c>
      <c r="H7403" s="35" t="s">
        <v>1485</v>
      </c>
    </row>
    <row r="7404" spans="1:8">
      <c r="A7404" s="34">
        <v>2084213852</v>
      </c>
      <c r="B7404" s="35" t="s">
        <v>462</v>
      </c>
      <c r="C7404" s="35" t="s">
        <v>405</v>
      </c>
      <c r="D7404" s="35" t="s">
        <v>1468</v>
      </c>
      <c r="E7404" s="35" t="s">
        <v>1469</v>
      </c>
      <c r="F7404" s="35" t="s">
        <v>442</v>
      </c>
      <c r="G7404" s="35" t="s">
        <v>1487</v>
      </c>
      <c r="H7404" s="35" t="s">
        <v>335</v>
      </c>
    </row>
    <row r="7405" spans="1:8">
      <c r="A7405" s="34">
        <v>2084243679</v>
      </c>
      <c r="B7405" s="35" t="s">
        <v>462</v>
      </c>
      <c r="C7405" s="35" t="s">
        <v>405</v>
      </c>
      <c r="D7405" s="35" t="s">
        <v>1468</v>
      </c>
      <c r="E7405" s="35" t="s">
        <v>1469</v>
      </c>
      <c r="F7405" s="35" t="s">
        <v>442</v>
      </c>
      <c r="G7405" s="35" t="s">
        <v>569</v>
      </c>
    </row>
    <row r="7406" spans="1:8">
      <c r="A7406" s="34">
        <v>2084051253</v>
      </c>
      <c r="B7406" s="35" t="s">
        <v>462</v>
      </c>
      <c r="C7406" s="35" t="s">
        <v>405</v>
      </c>
      <c r="D7406" s="35" t="s">
        <v>1468</v>
      </c>
      <c r="E7406" s="35" t="s">
        <v>1469</v>
      </c>
      <c r="F7406" s="35" t="s">
        <v>442</v>
      </c>
      <c r="G7406" s="35" t="s">
        <v>335</v>
      </c>
    </row>
    <row r="7407" spans="1:8">
      <c r="A7407" s="34">
        <v>2084048733</v>
      </c>
      <c r="B7407" s="35" t="s">
        <v>462</v>
      </c>
      <c r="C7407" s="35" t="s">
        <v>405</v>
      </c>
      <c r="D7407" s="35" t="s">
        <v>1468</v>
      </c>
      <c r="E7407" s="35" t="s">
        <v>1469</v>
      </c>
      <c r="F7407" s="35" t="s">
        <v>335</v>
      </c>
    </row>
    <row r="7408" spans="1:8">
      <c r="A7408" s="34">
        <v>2084243678</v>
      </c>
      <c r="B7408" s="35" t="s">
        <v>462</v>
      </c>
      <c r="C7408" s="35" t="s">
        <v>405</v>
      </c>
      <c r="D7408" s="35" t="s">
        <v>1468</v>
      </c>
      <c r="E7408" s="35" t="s">
        <v>1488</v>
      </c>
      <c r="F7408" s="35" t="s">
        <v>407</v>
      </c>
    </row>
    <row r="7409" spans="1:8">
      <c r="A7409" s="34">
        <v>2084243675</v>
      </c>
      <c r="B7409" s="35" t="s">
        <v>462</v>
      </c>
      <c r="C7409" s="35" t="s">
        <v>405</v>
      </c>
      <c r="D7409" s="35" t="s">
        <v>1468</v>
      </c>
      <c r="E7409" s="35" t="s">
        <v>1488</v>
      </c>
      <c r="F7409" s="35" t="s">
        <v>353</v>
      </c>
      <c r="G7409" s="35" t="s">
        <v>401</v>
      </c>
    </row>
    <row r="7410" spans="1:8">
      <c r="A7410" s="34">
        <v>2084243672</v>
      </c>
      <c r="B7410" s="35" t="s">
        <v>462</v>
      </c>
      <c r="C7410" s="35" t="s">
        <v>405</v>
      </c>
      <c r="D7410" s="35" t="s">
        <v>1468</v>
      </c>
      <c r="E7410" s="35" t="s">
        <v>1488</v>
      </c>
      <c r="F7410" s="35" t="s">
        <v>353</v>
      </c>
      <c r="G7410" s="35" t="s">
        <v>10</v>
      </c>
      <c r="H7410" s="35" t="s">
        <v>421</v>
      </c>
    </row>
    <row r="7411" spans="1:8">
      <c r="A7411" s="34">
        <v>2084243673</v>
      </c>
      <c r="B7411" s="35" t="s">
        <v>462</v>
      </c>
      <c r="C7411" s="35" t="s">
        <v>405</v>
      </c>
      <c r="D7411" s="35" t="s">
        <v>1468</v>
      </c>
      <c r="E7411" s="35" t="s">
        <v>1488</v>
      </c>
      <c r="F7411" s="35" t="s">
        <v>353</v>
      </c>
      <c r="G7411" s="35" t="s">
        <v>10</v>
      </c>
      <c r="H7411" s="35" t="s">
        <v>422</v>
      </c>
    </row>
    <row r="7412" spans="1:8">
      <c r="A7412" s="34">
        <v>2084243674</v>
      </c>
      <c r="B7412" s="35" t="s">
        <v>462</v>
      </c>
      <c r="C7412" s="35" t="s">
        <v>405</v>
      </c>
      <c r="D7412" s="35" t="s">
        <v>1468</v>
      </c>
      <c r="E7412" s="35" t="s">
        <v>1488</v>
      </c>
      <c r="F7412" s="35" t="s">
        <v>353</v>
      </c>
      <c r="G7412" s="35" t="s">
        <v>10</v>
      </c>
      <c r="H7412" s="35" t="s">
        <v>335</v>
      </c>
    </row>
    <row r="7413" spans="1:8">
      <c r="A7413" s="34">
        <v>2084243676</v>
      </c>
      <c r="B7413" s="35" t="s">
        <v>462</v>
      </c>
      <c r="C7413" s="35" t="s">
        <v>405</v>
      </c>
      <c r="D7413" s="35" t="s">
        <v>1468</v>
      </c>
      <c r="E7413" s="35" t="s">
        <v>1488</v>
      </c>
      <c r="F7413" s="35" t="s">
        <v>353</v>
      </c>
      <c r="G7413" s="35" t="s">
        <v>403</v>
      </c>
    </row>
    <row r="7414" spans="1:8">
      <c r="A7414" s="34">
        <v>2084243677</v>
      </c>
      <c r="B7414" s="35" t="s">
        <v>462</v>
      </c>
      <c r="C7414" s="35" t="s">
        <v>405</v>
      </c>
      <c r="D7414" s="35" t="s">
        <v>1468</v>
      </c>
      <c r="E7414" s="35" t="s">
        <v>1488</v>
      </c>
      <c r="F7414" s="35" t="s">
        <v>353</v>
      </c>
      <c r="G7414" s="35" t="s">
        <v>335</v>
      </c>
    </row>
    <row r="7415" spans="1:8">
      <c r="A7415" s="34">
        <v>2084244418</v>
      </c>
      <c r="B7415" s="35" t="s">
        <v>462</v>
      </c>
      <c r="C7415" s="35" t="s">
        <v>405</v>
      </c>
      <c r="D7415" s="35" t="s">
        <v>1468</v>
      </c>
      <c r="E7415" s="35" t="s">
        <v>1489</v>
      </c>
    </row>
    <row r="7416" spans="1:8">
      <c r="A7416" s="34">
        <v>2084230032</v>
      </c>
      <c r="B7416" s="35" t="s">
        <v>462</v>
      </c>
      <c r="C7416" s="35" t="s">
        <v>405</v>
      </c>
      <c r="D7416" s="35" t="s">
        <v>1468</v>
      </c>
      <c r="E7416" s="35" t="s">
        <v>1490</v>
      </c>
    </row>
    <row r="7417" spans="1:8">
      <c r="A7417" s="34">
        <v>2084200732</v>
      </c>
      <c r="B7417" s="35" t="s">
        <v>462</v>
      </c>
      <c r="C7417" s="35" t="s">
        <v>405</v>
      </c>
      <c r="D7417" s="35" t="s">
        <v>1468</v>
      </c>
      <c r="E7417" s="35" t="s">
        <v>1491</v>
      </c>
      <c r="F7417" s="35" t="s">
        <v>1492</v>
      </c>
      <c r="G7417" s="35" t="s">
        <v>407</v>
      </c>
    </row>
    <row r="7418" spans="1:8">
      <c r="A7418" s="34">
        <v>2084200733</v>
      </c>
      <c r="B7418" s="35" t="s">
        <v>462</v>
      </c>
      <c r="C7418" s="35" t="s">
        <v>405</v>
      </c>
      <c r="D7418" s="35" t="s">
        <v>1468</v>
      </c>
      <c r="E7418" s="35" t="s">
        <v>1491</v>
      </c>
      <c r="F7418" s="35" t="s">
        <v>1492</v>
      </c>
      <c r="G7418" s="35" t="s">
        <v>408</v>
      </c>
    </row>
    <row r="7419" spans="1:8">
      <c r="A7419" s="34">
        <v>2084200734</v>
      </c>
      <c r="B7419" s="35" t="s">
        <v>462</v>
      </c>
      <c r="C7419" s="35" t="s">
        <v>405</v>
      </c>
      <c r="D7419" s="35" t="s">
        <v>1468</v>
      </c>
      <c r="E7419" s="35" t="s">
        <v>1491</v>
      </c>
      <c r="F7419" s="35" t="s">
        <v>335</v>
      </c>
    </row>
    <row r="7420" spans="1:8">
      <c r="A7420" s="34">
        <v>2084298414</v>
      </c>
      <c r="B7420" s="35" t="s">
        <v>462</v>
      </c>
      <c r="C7420" s="35" t="s">
        <v>405</v>
      </c>
      <c r="D7420" s="35" t="s">
        <v>1468</v>
      </c>
      <c r="E7420" s="35" t="s">
        <v>1493</v>
      </c>
    </row>
    <row r="7421" spans="1:8">
      <c r="A7421" s="34">
        <v>2084207944</v>
      </c>
      <c r="B7421" s="35" t="s">
        <v>462</v>
      </c>
      <c r="C7421" s="35" t="s">
        <v>405</v>
      </c>
      <c r="D7421" s="35" t="s">
        <v>1468</v>
      </c>
      <c r="E7421" s="35" t="s">
        <v>1494</v>
      </c>
      <c r="F7421" s="35" t="s">
        <v>367</v>
      </c>
    </row>
    <row r="7422" spans="1:8">
      <c r="A7422" s="34">
        <v>2084207947</v>
      </c>
      <c r="B7422" s="35" t="s">
        <v>462</v>
      </c>
      <c r="C7422" s="35" t="s">
        <v>405</v>
      </c>
      <c r="D7422" s="35" t="s">
        <v>1468</v>
      </c>
      <c r="E7422" s="35" t="s">
        <v>1494</v>
      </c>
      <c r="F7422" s="35" t="s">
        <v>368</v>
      </c>
      <c r="G7422" s="35" t="s">
        <v>481</v>
      </c>
    </row>
    <row r="7423" spans="1:8">
      <c r="A7423" s="34">
        <v>2084207946</v>
      </c>
      <c r="B7423" s="35" t="s">
        <v>462</v>
      </c>
      <c r="C7423" s="35" t="s">
        <v>405</v>
      </c>
      <c r="D7423" s="35" t="s">
        <v>1468</v>
      </c>
      <c r="E7423" s="35" t="s">
        <v>1494</v>
      </c>
      <c r="F7423" s="35" t="s">
        <v>368</v>
      </c>
      <c r="G7423" s="35" t="s">
        <v>482</v>
      </c>
    </row>
    <row r="7424" spans="1:8">
      <c r="A7424" s="34">
        <v>2084207948</v>
      </c>
      <c r="B7424" s="35" t="s">
        <v>462</v>
      </c>
      <c r="C7424" s="35" t="s">
        <v>405</v>
      </c>
      <c r="D7424" s="35" t="s">
        <v>1468</v>
      </c>
      <c r="E7424" s="35" t="s">
        <v>1494</v>
      </c>
      <c r="F7424" s="35" t="s">
        <v>368</v>
      </c>
      <c r="G7424" s="35" t="s">
        <v>335</v>
      </c>
    </row>
    <row r="7425" spans="1:7">
      <c r="A7425" s="34">
        <v>2084207954</v>
      </c>
      <c r="B7425" s="35" t="s">
        <v>462</v>
      </c>
      <c r="C7425" s="35" t="s">
        <v>405</v>
      </c>
      <c r="D7425" s="35" t="s">
        <v>1468</v>
      </c>
      <c r="E7425" s="35" t="s">
        <v>1494</v>
      </c>
      <c r="F7425" s="35" t="s">
        <v>10</v>
      </c>
      <c r="G7425" s="35" t="s">
        <v>483</v>
      </c>
    </row>
    <row r="7426" spans="1:7">
      <c r="A7426" s="34">
        <v>2084207951</v>
      </c>
      <c r="B7426" s="35" t="s">
        <v>462</v>
      </c>
      <c r="C7426" s="35" t="s">
        <v>405</v>
      </c>
      <c r="D7426" s="35" t="s">
        <v>1468</v>
      </c>
      <c r="E7426" s="35" t="s">
        <v>1494</v>
      </c>
      <c r="F7426" s="35" t="s">
        <v>10</v>
      </c>
      <c r="G7426" s="35" t="s">
        <v>397</v>
      </c>
    </row>
    <row r="7427" spans="1:7">
      <c r="A7427" s="34">
        <v>2084207953</v>
      </c>
      <c r="B7427" s="35" t="s">
        <v>462</v>
      </c>
      <c r="C7427" s="35" t="s">
        <v>405</v>
      </c>
      <c r="D7427" s="35" t="s">
        <v>1468</v>
      </c>
      <c r="E7427" s="35" t="s">
        <v>1494</v>
      </c>
      <c r="F7427" s="35" t="s">
        <v>10</v>
      </c>
      <c r="G7427" s="35" t="s">
        <v>421</v>
      </c>
    </row>
    <row r="7428" spans="1:7">
      <c r="A7428" s="34">
        <v>2084207950</v>
      </c>
      <c r="B7428" s="35" t="s">
        <v>462</v>
      </c>
      <c r="C7428" s="35" t="s">
        <v>405</v>
      </c>
      <c r="D7428" s="35" t="s">
        <v>1468</v>
      </c>
      <c r="E7428" s="35" t="s">
        <v>1494</v>
      </c>
      <c r="F7428" s="35" t="s">
        <v>10</v>
      </c>
      <c r="G7428" s="35" t="s">
        <v>398</v>
      </c>
    </row>
    <row r="7429" spans="1:7">
      <c r="A7429" s="34">
        <v>2084207952</v>
      </c>
      <c r="B7429" s="35" t="s">
        <v>462</v>
      </c>
      <c r="C7429" s="35" t="s">
        <v>405</v>
      </c>
      <c r="D7429" s="35" t="s">
        <v>1468</v>
      </c>
      <c r="E7429" s="35" t="s">
        <v>1494</v>
      </c>
      <c r="F7429" s="35" t="s">
        <v>10</v>
      </c>
      <c r="G7429" s="35" t="s">
        <v>422</v>
      </c>
    </row>
    <row r="7430" spans="1:7">
      <c r="A7430" s="34">
        <v>2084207955</v>
      </c>
      <c r="B7430" s="35" t="s">
        <v>462</v>
      </c>
      <c r="C7430" s="35" t="s">
        <v>405</v>
      </c>
      <c r="D7430" s="35" t="s">
        <v>1468</v>
      </c>
      <c r="E7430" s="35" t="s">
        <v>1494</v>
      </c>
      <c r="F7430" s="35" t="s">
        <v>10</v>
      </c>
      <c r="G7430" s="35" t="s">
        <v>335</v>
      </c>
    </row>
    <row r="7431" spans="1:7">
      <c r="A7431" s="34">
        <v>2084207957</v>
      </c>
      <c r="B7431" s="35" t="s">
        <v>462</v>
      </c>
      <c r="C7431" s="35" t="s">
        <v>405</v>
      </c>
      <c r="D7431" s="35" t="s">
        <v>1468</v>
      </c>
      <c r="E7431" s="35" t="s">
        <v>1494</v>
      </c>
      <c r="F7431" s="35" t="s">
        <v>379</v>
      </c>
      <c r="G7431" s="35" t="s">
        <v>476</v>
      </c>
    </row>
    <row r="7432" spans="1:7">
      <c r="A7432" s="34">
        <v>2084207958</v>
      </c>
      <c r="B7432" s="35" t="s">
        <v>462</v>
      </c>
      <c r="C7432" s="35" t="s">
        <v>405</v>
      </c>
      <c r="D7432" s="35" t="s">
        <v>1468</v>
      </c>
      <c r="E7432" s="35" t="s">
        <v>1494</v>
      </c>
      <c r="F7432" s="35" t="s">
        <v>379</v>
      </c>
      <c r="G7432" s="35" t="s">
        <v>335</v>
      </c>
    </row>
    <row r="7433" spans="1:7">
      <c r="A7433" s="34">
        <v>2084207959</v>
      </c>
      <c r="B7433" s="35" t="s">
        <v>462</v>
      </c>
      <c r="C7433" s="35" t="s">
        <v>405</v>
      </c>
      <c r="D7433" s="35" t="s">
        <v>1468</v>
      </c>
      <c r="E7433" s="35" t="s">
        <v>1494</v>
      </c>
      <c r="F7433" s="35" t="s">
        <v>478</v>
      </c>
    </row>
    <row r="7434" spans="1:7">
      <c r="A7434" s="34">
        <v>2084207960</v>
      </c>
      <c r="B7434" s="35" t="s">
        <v>462</v>
      </c>
      <c r="C7434" s="35" t="s">
        <v>405</v>
      </c>
      <c r="D7434" s="35" t="s">
        <v>1468</v>
      </c>
      <c r="E7434" s="35" t="s">
        <v>1494</v>
      </c>
      <c r="F7434" s="35" t="s">
        <v>335</v>
      </c>
    </row>
    <row r="7435" spans="1:7">
      <c r="A7435" s="34">
        <v>2084301217</v>
      </c>
      <c r="B7435" s="35" t="s">
        <v>462</v>
      </c>
      <c r="C7435" s="35" t="s">
        <v>405</v>
      </c>
      <c r="D7435" s="35" t="s">
        <v>1468</v>
      </c>
      <c r="E7435" s="35" t="s">
        <v>1495</v>
      </c>
      <c r="F7435" s="35" t="s">
        <v>407</v>
      </c>
    </row>
    <row r="7436" spans="1:7">
      <c r="A7436" s="34">
        <v>2084301216</v>
      </c>
      <c r="B7436" s="35" t="s">
        <v>462</v>
      </c>
      <c r="C7436" s="35" t="s">
        <v>405</v>
      </c>
      <c r="D7436" s="35" t="s">
        <v>1468</v>
      </c>
      <c r="E7436" s="35" t="s">
        <v>1495</v>
      </c>
      <c r="F7436" s="35" t="s">
        <v>408</v>
      </c>
    </row>
    <row r="7437" spans="1:7">
      <c r="A7437" s="34">
        <v>2084284002</v>
      </c>
      <c r="B7437" s="35" t="s">
        <v>462</v>
      </c>
      <c r="C7437" s="35" t="s">
        <v>405</v>
      </c>
      <c r="D7437" s="35" t="s">
        <v>1468</v>
      </c>
      <c r="E7437" s="35" t="s">
        <v>1496</v>
      </c>
    </row>
    <row r="7438" spans="1:7">
      <c r="A7438" s="34">
        <v>2084298415</v>
      </c>
      <c r="B7438" s="35" t="s">
        <v>462</v>
      </c>
      <c r="C7438" s="35" t="s">
        <v>405</v>
      </c>
      <c r="D7438" s="35" t="s">
        <v>1468</v>
      </c>
      <c r="E7438" s="35" t="s">
        <v>1497</v>
      </c>
    </row>
    <row r="7439" spans="1:7">
      <c r="A7439" s="34">
        <v>2084207143</v>
      </c>
      <c r="B7439" s="35" t="s">
        <v>462</v>
      </c>
      <c r="C7439" s="35" t="s">
        <v>405</v>
      </c>
      <c r="D7439" s="35" t="s">
        <v>1468</v>
      </c>
      <c r="E7439" s="35" t="s">
        <v>1498</v>
      </c>
      <c r="F7439" s="35" t="s">
        <v>367</v>
      </c>
    </row>
    <row r="7440" spans="1:7">
      <c r="A7440" s="34">
        <v>2084207146</v>
      </c>
      <c r="B7440" s="35" t="s">
        <v>462</v>
      </c>
      <c r="C7440" s="35" t="s">
        <v>405</v>
      </c>
      <c r="D7440" s="35" t="s">
        <v>1468</v>
      </c>
      <c r="E7440" s="35" t="s">
        <v>1498</v>
      </c>
      <c r="F7440" s="35" t="s">
        <v>368</v>
      </c>
      <c r="G7440" s="35" t="s">
        <v>481</v>
      </c>
    </row>
    <row r="7441" spans="1:7">
      <c r="A7441" s="34">
        <v>2084207145</v>
      </c>
      <c r="B7441" s="35" t="s">
        <v>462</v>
      </c>
      <c r="C7441" s="35" t="s">
        <v>405</v>
      </c>
      <c r="D7441" s="35" t="s">
        <v>1468</v>
      </c>
      <c r="E7441" s="35" t="s">
        <v>1498</v>
      </c>
      <c r="F7441" s="35" t="s">
        <v>368</v>
      </c>
      <c r="G7441" s="35" t="s">
        <v>482</v>
      </c>
    </row>
    <row r="7442" spans="1:7">
      <c r="A7442" s="34">
        <v>2084207147</v>
      </c>
      <c r="B7442" s="35" t="s">
        <v>462</v>
      </c>
      <c r="C7442" s="35" t="s">
        <v>405</v>
      </c>
      <c r="D7442" s="35" t="s">
        <v>1468</v>
      </c>
      <c r="E7442" s="35" t="s">
        <v>1498</v>
      </c>
      <c r="F7442" s="35" t="s">
        <v>368</v>
      </c>
      <c r="G7442" s="35" t="s">
        <v>335</v>
      </c>
    </row>
    <row r="7443" spans="1:7">
      <c r="A7443" s="34">
        <v>2084207153</v>
      </c>
      <c r="B7443" s="35" t="s">
        <v>462</v>
      </c>
      <c r="C7443" s="35" t="s">
        <v>405</v>
      </c>
      <c r="D7443" s="35" t="s">
        <v>1468</v>
      </c>
      <c r="E7443" s="35" t="s">
        <v>1498</v>
      </c>
      <c r="F7443" s="35" t="s">
        <v>10</v>
      </c>
      <c r="G7443" s="35" t="s">
        <v>483</v>
      </c>
    </row>
    <row r="7444" spans="1:7">
      <c r="A7444" s="34">
        <v>2084207150</v>
      </c>
      <c r="B7444" s="35" t="s">
        <v>462</v>
      </c>
      <c r="C7444" s="35" t="s">
        <v>405</v>
      </c>
      <c r="D7444" s="35" t="s">
        <v>1468</v>
      </c>
      <c r="E7444" s="35" t="s">
        <v>1498</v>
      </c>
      <c r="F7444" s="35" t="s">
        <v>10</v>
      </c>
      <c r="G7444" s="35" t="s">
        <v>397</v>
      </c>
    </row>
    <row r="7445" spans="1:7">
      <c r="A7445" s="34">
        <v>2084207152</v>
      </c>
      <c r="B7445" s="35" t="s">
        <v>462</v>
      </c>
      <c r="C7445" s="35" t="s">
        <v>405</v>
      </c>
      <c r="D7445" s="35" t="s">
        <v>1468</v>
      </c>
      <c r="E7445" s="35" t="s">
        <v>1498</v>
      </c>
      <c r="F7445" s="35" t="s">
        <v>10</v>
      </c>
      <c r="G7445" s="35" t="s">
        <v>421</v>
      </c>
    </row>
    <row r="7446" spans="1:7">
      <c r="A7446" s="34">
        <v>2084207149</v>
      </c>
      <c r="B7446" s="35" t="s">
        <v>462</v>
      </c>
      <c r="C7446" s="35" t="s">
        <v>405</v>
      </c>
      <c r="D7446" s="35" t="s">
        <v>1468</v>
      </c>
      <c r="E7446" s="35" t="s">
        <v>1498</v>
      </c>
      <c r="F7446" s="35" t="s">
        <v>10</v>
      </c>
      <c r="G7446" s="35" t="s">
        <v>398</v>
      </c>
    </row>
    <row r="7447" spans="1:7">
      <c r="A7447" s="34">
        <v>2084207151</v>
      </c>
      <c r="B7447" s="35" t="s">
        <v>462</v>
      </c>
      <c r="C7447" s="35" t="s">
        <v>405</v>
      </c>
      <c r="D7447" s="35" t="s">
        <v>1468</v>
      </c>
      <c r="E7447" s="35" t="s">
        <v>1498</v>
      </c>
      <c r="F7447" s="35" t="s">
        <v>10</v>
      </c>
      <c r="G7447" s="35" t="s">
        <v>422</v>
      </c>
    </row>
    <row r="7448" spans="1:7">
      <c r="A7448" s="34">
        <v>2084207154</v>
      </c>
      <c r="B7448" s="35" t="s">
        <v>462</v>
      </c>
      <c r="C7448" s="35" t="s">
        <v>405</v>
      </c>
      <c r="D7448" s="35" t="s">
        <v>1468</v>
      </c>
      <c r="E7448" s="35" t="s">
        <v>1498</v>
      </c>
      <c r="F7448" s="35" t="s">
        <v>10</v>
      </c>
      <c r="G7448" s="35" t="s">
        <v>335</v>
      </c>
    </row>
    <row r="7449" spans="1:7">
      <c r="A7449" s="34">
        <v>2084207155</v>
      </c>
      <c r="B7449" s="35" t="s">
        <v>462</v>
      </c>
      <c r="C7449" s="35" t="s">
        <v>405</v>
      </c>
      <c r="D7449" s="35" t="s">
        <v>1468</v>
      </c>
      <c r="E7449" s="35" t="s">
        <v>1498</v>
      </c>
      <c r="F7449" s="35" t="s">
        <v>403</v>
      </c>
    </row>
    <row r="7450" spans="1:7">
      <c r="A7450" s="34">
        <v>2084207156</v>
      </c>
      <c r="B7450" s="35" t="s">
        <v>462</v>
      </c>
      <c r="C7450" s="35" t="s">
        <v>405</v>
      </c>
      <c r="D7450" s="35" t="s">
        <v>1468</v>
      </c>
      <c r="E7450" s="35" t="s">
        <v>1498</v>
      </c>
      <c r="F7450" s="35" t="s">
        <v>335</v>
      </c>
    </row>
    <row r="7451" spans="1:7">
      <c r="A7451" s="34">
        <v>2084050339</v>
      </c>
      <c r="B7451" s="35" t="s">
        <v>462</v>
      </c>
      <c r="C7451" s="35" t="s">
        <v>405</v>
      </c>
      <c r="D7451" s="35" t="s">
        <v>1468</v>
      </c>
      <c r="E7451" s="35" t="s">
        <v>1499</v>
      </c>
    </row>
    <row r="7452" spans="1:7">
      <c r="A7452" s="34">
        <v>2084260062</v>
      </c>
      <c r="B7452" s="35" t="s">
        <v>462</v>
      </c>
      <c r="C7452" s="35" t="s">
        <v>405</v>
      </c>
      <c r="D7452" s="35" t="s">
        <v>1468</v>
      </c>
      <c r="E7452" s="35" t="s">
        <v>1500</v>
      </c>
    </row>
    <row r="7453" spans="1:7">
      <c r="A7453" s="34">
        <v>2084284001</v>
      </c>
      <c r="B7453" s="35" t="s">
        <v>462</v>
      </c>
      <c r="C7453" s="35" t="s">
        <v>405</v>
      </c>
      <c r="D7453" s="35" t="s">
        <v>1468</v>
      </c>
      <c r="E7453" s="35" t="s">
        <v>1501</v>
      </c>
    </row>
    <row r="7454" spans="1:7">
      <c r="A7454" s="34">
        <v>2084283995</v>
      </c>
      <c r="B7454" s="35" t="s">
        <v>462</v>
      </c>
      <c r="C7454" s="35" t="s">
        <v>405</v>
      </c>
      <c r="D7454" s="35" t="s">
        <v>1468</v>
      </c>
      <c r="E7454" s="35" t="s">
        <v>1502</v>
      </c>
    </row>
    <row r="7455" spans="1:7">
      <c r="A7455" s="34">
        <v>2084050340</v>
      </c>
      <c r="B7455" s="35" t="s">
        <v>462</v>
      </c>
      <c r="C7455" s="35" t="s">
        <v>405</v>
      </c>
      <c r="D7455" s="35" t="s">
        <v>1468</v>
      </c>
      <c r="E7455" s="35" t="s">
        <v>1503</v>
      </c>
    </row>
    <row r="7456" spans="1:7">
      <c r="A7456" s="34">
        <v>2084301237</v>
      </c>
      <c r="B7456" s="35" t="s">
        <v>462</v>
      </c>
      <c r="C7456" s="35" t="s">
        <v>405</v>
      </c>
      <c r="D7456" s="35" t="s">
        <v>1504</v>
      </c>
      <c r="E7456" s="35" t="s">
        <v>1505</v>
      </c>
    </row>
    <row r="7457" spans="1:8">
      <c r="A7457" s="34">
        <v>2084308425</v>
      </c>
      <c r="B7457" s="35" t="s">
        <v>462</v>
      </c>
      <c r="C7457" s="35" t="s">
        <v>405</v>
      </c>
      <c r="D7457" s="35" t="s">
        <v>1504</v>
      </c>
      <c r="E7457" s="35" t="s">
        <v>1506</v>
      </c>
      <c r="F7457" s="35" t="s">
        <v>1507</v>
      </c>
      <c r="G7457" s="35" t="s">
        <v>1508</v>
      </c>
    </row>
    <row r="7458" spans="1:8">
      <c r="A7458" s="34">
        <v>2084308426</v>
      </c>
      <c r="B7458" s="35" t="s">
        <v>462</v>
      </c>
      <c r="C7458" s="35" t="s">
        <v>405</v>
      </c>
      <c r="D7458" s="35" t="s">
        <v>1504</v>
      </c>
      <c r="E7458" s="35" t="s">
        <v>1506</v>
      </c>
      <c r="F7458" s="35" t="s">
        <v>1507</v>
      </c>
      <c r="G7458" s="35" t="s">
        <v>1509</v>
      </c>
    </row>
    <row r="7459" spans="1:8">
      <c r="A7459" s="34">
        <v>2084308427</v>
      </c>
      <c r="B7459" s="35" t="s">
        <v>462</v>
      </c>
      <c r="C7459" s="35" t="s">
        <v>405</v>
      </c>
      <c r="D7459" s="35" t="s">
        <v>1504</v>
      </c>
      <c r="E7459" s="35" t="s">
        <v>1506</v>
      </c>
      <c r="F7459" s="35" t="s">
        <v>1507</v>
      </c>
      <c r="G7459" s="35" t="s">
        <v>1510</v>
      </c>
    </row>
    <row r="7460" spans="1:8">
      <c r="A7460" s="34">
        <v>2084308428</v>
      </c>
      <c r="B7460" s="35" t="s">
        <v>462</v>
      </c>
      <c r="C7460" s="35" t="s">
        <v>405</v>
      </c>
      <c r="D7460" s="35" t="s">
        <v>1504</v>
      </c>
      <c r="E7460" s="35" t="s">
        <v>1506</v>
      </c>
      <c r="F7460" s="35" t="s">
        <v>1507</v>
      </c>
      <c r="G7460" s="35" t="s">
        <v>1511</v>
      </c>
    </row>
    <row r="7461" spans="1:8">
      <c r="A7461" s="34">
        <v>2084308429</v>
      </c>
      <c r="B7461" s="35" t="s">
        <v>462</v>
      </c>
      <c r="C7461" s="35" t="s">
        <v>405</v>
      </c>
      <c r="D7461" s="35" t="s">
        <v>1504</v>
      </c>
      <c r="E7461" s="35" t="s">
        <v>1506</v>
      </c>
      <c r="F7461" s="35" t="s">
        <v>1507</v>
      </c>
      <c r="G7461" s="35" t="s">
        <v>335</v>
      </c>
    </row>
    <row r="7462" spans="1:8">
      <c r="A7462" s="34">
        <v>2084048734</v>
      </c>
      <c r="B7462" s="35" t="s">
        <v>462</v>
      </c>
      <c r="C7462" s="35" t="s">
        <v>405</v>
      </c>
      <c r="D7462" s="35" t="s">
        <v>1504</v>
      </c>
      <c r="E7462" s="35" t="s">
        <v>1506</v>
      </c>
      <c r="F7462" s="35" t="s">
        <v>335</v>
      </c>
    </row>
    <row r="7463" spans="1:8">
      <c r="A7463" s="34">
        <v>2084062409</v>
      </c>
      <c r="B7463" s="35" t="s">
        <v>462</v>
      </c>
      <c r="C7463" s="35" t="s">
        <v>405</v>
      </c>
      <c r="D7463" s="35" t="s">
        <v>1504</v>
      </c>
      <c r="E7463" s="35" t="s">
        <v>1512</v>
      </c>
      <c r="F7463" s="35" t="s">
        <v>10</v>
      </c>
      <c r="G7463" s="35" t="s">
        <v>550</v>
      </c>
    </row>
    <row r="7464" spans="1:8">
      <c r="A7464" s="34">
        <v>2084062404</v>
      </c>
      <c r="B7464" s="35" t="s">
        <v>462</v>
      </c>
      <c r="C7464" s="35" t="s">
        <v>405</v>
      </c>
      <c r="D7464" s="35" t="s">
        <v>1504</v>
      </c>
      <c r="E7464" s="35" t="s">
        <v>1512</v>
      </c>
      <c r="F7464" s="35" t="s">
        <v>10</v>
      </c>
      <c r="G7464" s="35" t="s">
        <v>1513</v>
      </c>
      <c r="H7464" s="35" t="s">
        <v>391</v>
      </c>
    </row>
    <row r="7465" spans="1:8">
      <c r="A7465" s="34">
        <v>2084062405</v>
      </c>
      <c r="B7465" s="35" t="s">
        <v>462</v>
      </c>
      <c r="C7465" s="35" t="s">
        <v>405</v>
      </c>
      <c r="D7465" s="35" t="s">
        <v>1504</v>
      </c>
      <c r="E7465" s="35" t="s">
        <v>1512</v>
      </c>
      <c r="F7465" s="35" t="s">
        <v>10</v>
      </c>
      <c r="G7465" s="35" t="s">
        <v>1513</v>
      </c>
      <c r="H7465" s="35" t="s">
        <v>392</v>
      </c>
    </row>
    <row r="7466" spans="1:8">
      <c r="A7466" s="34">
        <v>2084062406</v>
      </c>
      <c r="B7466" s="35" t="s">
        <v>462</v>
      </c>
      <c r="C7466" s="35" t="s">
        <v>405</v>
      </c>
      <c r="D7466" s="35" t="s">
        <v>1504</v>
      </c>
      <c r="E7466" s="35" t="s">
        <v>1512</v>
      </c>
      <c r="F7466" s="35" t="s">
        <v>10</v>
      </c>
      <c r="G7466" s="35" t="s">
        <v>1513</v>
      </c>
      <c r="H7466" s="35" t="s">
        <v>375</v>
      </c>
    </row>
    <row r="7467" spans="1:8">
      <c r="A7467" s="34">
        <v>2084062407</v>
      </c>
      <c r="B7467" s="35" t="s">
        <v>462</v>
      </c>
      <c r="C7467" s="35" t="s">
        <v>405</v>
      </c>
      <c r="D7467" s="35" t="s">
        <v>1504</v>
      </c>
      <c r="E7467" s="35" t="s">
        <v>1512</v>
      </c>
      <c r="F7467" s="35" t="s">
        <v>10</v>
      </c>
      <c r="G7467" s="35" t="s">
        <v>1513</v>
      </c>
      <c r="H7467" s="35" t="s">
        <v>376</v>
      </c>
    </row>
    <row r="7468" spans="1:8">
      <c r="A7468" s="34">
        <v>2084062408</v>
      </c>
      <c r="B7468" s="35" t="s">
        <v>462</v>
      </c>
      <c r="C7468" s="35" t="s">
        <v>405</v>
      </c>
      <c r="D7468" s="35" t="s">
        <v>1504</v>
      </c>
      <c r="E7468" s="35" t="s">
        <v>1512</v>
      </c>
      <c r="F7468" s="35" t="s">
        <v>10</v>
      </c>
      <c r="G7468" s="35" t="s">
        <v>1513</v>
      </c>
      <c r="H7468" s="35" t="s">
        <v>377</v>
      </c>
    </row>
    <row r="7469" spans="1:8">
      <c r="A7469" s="34">
        <v>2084062410</v>
      </c>
      <c r="B7469" s="35" t="s">
        <v>462</v>
      </c>
      <c r="C7469" s="35" t="s">
        <v>405</v>
      </c>
      <c r="D7469" s="35" t="s">
        <v>1504</v>
      </c>
      <c r="E7469" s="35" t="s">
        <v>1512</v>
      </c>
      <c r="F7469" s="35" t="s">
        <v>10</v>
      </c>
      <c r="G7469" s="35" t="s">
        <v>335</v>
      </c>
    </row>
    <row r="7470" spans="1:8">
      <c r="A7470" s="34">
        <v>2084062411</v>
      </c>
      <c r="B7470" s="35" t="s">
        <v>462</v>
      </c>
      <c r="C7470" s="35" t="s">
        <v>405</v>
      </c>
      <c r="D7470" s="35" t="s">
        <v>1504</v>
      </c>
      <c r="E7470" s="35" t="s">
        <v>1512</v>
      </c>
      <c r="F7470" s="35" t="s">
        <v>403</v>
      </c>
    </row>
    <row r="7471" spans="1:8">
      <c r="A7471" s="34">
        <v>2084062412</v>
      </c>
      <c r="B7471" s="35" t="s">
        <v>462</v>
      </c>
      <c r="C7471" s="35" t="s">
        <v>405</v>
      </c>
      <c r="D7471" s="35" t="s">
        <v>1504</v>
      </c>
      <c r="E7471" s="35" t="s">
        <v>1512</v>
      </c>
      <c r="F7471" s="35" t="s">
        <v>335</v>
      </c>
    </row>
    <row r="7472" spans="1:8">
      <c r="A7472" s="34">
        <v>2084284979</v>
      </c>
      <c r="B7472" s="35" t="s">
        <v>462</v>
      </c>
      <c r="C7472" s="35" t="s">
        <v>405</v>
      </c>
      <c r="D7472" s="35" t="s">
        <v>1504</v>
      </c>
      <c r="E7472" s="35" t="s">
        <v>1514</v>
      </c>
      <c r="F7472" s="35" t="s">
        <v>407</v>
      </c>
    </row>
    <row r="7473" spans="1:7">
      <c r="A7473" s="34">
        <v>2084284978</v>
      </c>
      <c r="B7473" s="35" t="s">
        <v>462</v>
      </c>
      <c r="C7473" s="35" t="s">
        <v>405</v>
      </c>
      <c r="D7473" s="35" t="s">
        <v>1504</v>
      </c>
      <c r="E7473" s="35" t="s">
        <v>1514</v>
      </c>
      <c r="F7473" s="35" t="s">
        <v>408</v>
      </c>
    </row>
    <row r="7474" spans="1:7">
      <c r="A7474" s="34">
        <v>2084056313</v>
      </c>
      <c r="B7474" s="35" t="s">
        <v>462</v>
      </c>
      <c r="C7474" s="35" t="s">
        <v>405</v>
      </c>
      <c r="D7474" s="35" t="s">
        <v>1504</v>
      </c>
      <c r="E7474" s="35" t="s">
        <v>1515</v>
      </c>
      <c r="F7474" s="35" t="s">
        <v>367</v>
      </c>
    </row>
    <row r="7475" spans="1:7">
      <c r="A7475" s="34">
        <v>2084056317</v>
      </c>
      <c r="B7475" s="35" t="s">
        <v>462</v>
      </c>
      <c r="C7475" s="35" t="s">
        <v>405</v>
      </c>
      <c r="D7475" s="35" t="s">
        <v>1504</v>
      </c>
      <c r="E7475" s="35" t="s">
        <v>1515</v>
      </c>
      <c r="F7475" s="35" t="s">
        <v>401</v>
      </c>
    </row>
    <row r="7476" spans="1:7">
      <c r="A7476" s="34">
        <v>2084056323</v>
      </c>
      <c r="B7476" s="35" t="s">
        <v>462</v>
      </c>
      <c r="C7476" s="35" t="s">
        <v>405</v>
      </c>
      <c r="D7476" s="35" t="s">
        <v>1504</v>
      </c>
      <c r="E7476" s="35" t="s">
        <v>1515</v>
      </c>
      <c r="F7476" s="35" t="s">
        <v>10</v>
      </c>
      <c r="G7476" s="35" t="s">
        <v>483</v>
      </c>
    </row>
    <row r="7477" spans="1:7">
      <c r="A7477" s="34">
        <v>2084056340</v>
      </c>
      <c r="B7477" s="35" t="s">
        <v>462</v>
      </c>
      <c r="C7477" s="35" t="s">
        <v>405</v>
      </c>
      <c r="D7477" s="35" t="s">
        <v>1504</v>
      </c>
      <c r="E7477" s="35" t="s">
        <v>1515</v>
      </c>
      <c r="F7477" s="35" t="s">
        <v>10</v>
      </c>
      <c r="G7477" s="35" t="s">
        <v>510</v>
      </c>
    </row>
    <row r="7478" spans="1:7">
      <c r="A7478" s="34">
        <v>2084056331</v>
      </c>
      <c r="B7478" s="35" t="s">
        <v>462</v>
      </c>
      <c r="C7478" s="35" t="s">
        <v>405</v>
      </c>
      <c r="D7478" s="35" t="s">
        <v>1504</v>
      </c>
      <c r="E7478" s="35" t="s">
        <v>1515</v>
      </c>
      <c r="F7478" s="35" t="s">
        <v>10</v>
      </c>
      <c r="G7478" s="35" t="s">
        <v>397</v>
      </c>
    </row>
    <row r="7479" spans="1:7">
      <c r="A7479" s="34">
        <v>2084056329</v>
      </c>
      <c r="B7479" s="35" t="s">
        <v>462</v>
      </c>
      <c r="C7479" s="35" t="s">
        <v>405</v>
      </c>
      <c r="D7479" s="35" t="s">
        <v>1504</v>
      </c>
      <c r="E7479" s="35" t="s">
        <v>1515</v>
      </c>
      <c r="F7479" s="35" t="s">
        <v>10</v>
      </c>
      <c r="G7479" s="35" t="s">
        <v>421</v>
      </c>
    </row>
    <row r="7480" spans="1:7">
      <c r="A7480" s="34">
        <v>2084056328</v>
      </c>
      <c r="B7480" s="35" t="s">
        <v>462</v>
      </c>
      <c r="C7480" s="35" t="s">
        <v>405</v>
      </c>
      <c r="D7480" s="35" t="s">
        <v>1504</v>
      </c>
      <c r="E7480" s="35" t="s">
        <v>1515</v>
      </c>
      <c r="F7480" s="35" t="s">
        <v>10</v>
      </c>
      <c r="G7480" s="35" t="s">
        <v>398</v>
      </c>
    </row>
    <row r="7481" spans="1:7">
      <c r="A7481" s="34">
        <v>2084056325</v>
      </c>
      <c r="B7481" s="35" t="s">
        <v>462</v>
      </c>
      <c r="C7481" s="35" t="s">
        <v>405</v>
      </c>
      <c r="D7481" s="35" t="s">
        <v>1504</v>
      </c>
      <c r="E7481" s="35" t="s">
        <v>1515</v>
      </c>
      <c r="F7481" s="35" t="s">
        <v>10</v>
      </c>
      <c r="G7481" s="35" t="s">
        <v>422</v>
      </c>
    </row>
    <row r="7482" spans="1:7">
      <c r="A7482" s="34">
        <v>2084056333</v>
      </c>
      <c r="B7482" s="35" t="s">
        <v>462</v>
      </c>
      <c r="C7482" s="35" t="s">
        <v>405</v>
      </c>
      <c r="D7482" s="35" t="s">
        <v>1504</v>
      </c>
      <c r="E7482" s="35" t="s">
        <v>1515</v>
      </c>
      <c r="F7482" s="35" t="s">
        <v>10</v>
      </c>
      <c r="G7482" s="35" t="s">
        <v>335</v>
      </c>
    </row>
    <row r="7483" spans="1:7">
      <c r="A7483" s="34">
        <v>2084056345</v>
      </c>
      <c r="B7483" s="35" t="s">
        <v>462</v>
      </c>
      <c r="C7483" s="35" t="s">
        <v>405</v>
      </c>
      <c r="D7483" s="35" t="s">
        <v>1504</v>
      </c>
      <c r="E7483" s="35" t="s">
        <v>1515</v>
      </c>
      <c r="F7483" s="35" t="s">
        <v>379</v>
      </c>
      <c r="G7483" s="35" t="s">
        <v>476</v>
      </c>
    </row>
    <row r="7484" spans="1:7">
      <c r="A7484" s="34">
        <v>2084056350</v>
      </c>
      <c r="B7484" s="35" t="s">
        <v>462</v>
      </c>
      <c r="C7484" s="35" t="s">
        <v>405</v>
      </c>
      <c r="D7484" s="35" t="s">
        <v>1504</v>
      </c>
      <c r="E7484" s="35" t="s">
        <v>1515</v>
      </c>
      <c r="F7484" s="35" t="s">
        <v>379</v>
      </c>
      <c r="G7484" s="35" t="s">
        <v>335</v>
      </c>
    </row>
    <row r="7485" spans="1:7">
      <c r="A7485" s="34">
        <v>2084061717</v>
      </c>
      <c r="B7485" s="35" t="s">
        <v>462</v>
      </c>
      <c r="C7485" s="35" t="s">
        <v>405</v>
      </c>
      <c r="D7485" s="35" t="s">
        <v>1504</v>
      </c>
      <c r="E7485" s="35" t="s">
        <v>1515</v>
      </c>
      <c r="F7485" s="35" t="s">
        <v>478</v>
      </c>
    </row>
    <row r="7486" spans="1:7">
      <c r="A7486" s="34">
        <v>2084056359</v>
      </c>
      <c r="B7486" s="35" t="s">
        <v>462</v>
      </c>
      <c r="C7486" s="35" t="s">
        <v>405</v>
      </c>
      <c r="D7486" s="35" t="s">
        <v>1504</v>
      </c>
      <c r="E7486" s="35" t="s">
        <v>1515</v>
      </c>
      <c r="F7486" s="35" t="s">
        <v>335</v>
      </c>
    </row>
    <row r="7487" spans="1:7">
      <c r="A7487" s="34">
        <v>2084062466</v>
      </c>
      <c r="B7487" s="35" t="s">
        <v>462</v>
      </c>
      <c r="C7487" s="35" t="s">
        <v>405</v>
      </c>
      <c r="D7487" s="35" t="s">
        <v>1504</v>
      </c>
      <c r="E7487" s="35" t="s">
        <v>1516</v>
      </c>
      <c r="F7487" s="35" t="s">
        <v>587</v>
      </c>
      <c r="G7487" s="35" t="s">
        <v>1424</v>
      </c>
    </row>
    <row r="7488" spans="1:7">
      <c r="A7488" s="34">
        <v>2084062462</v>
      </c>
      <c r="B7488" s="35" t="s">
        <v>462</v>
      </c>
      <c r="C7488" s="35" t="s">
        <v>405</v>
      </c>
      <c r="D7488" s="35" t="s">
        <v>1504</v>
      </c>
      <c r="E7488" s="35" t="s">
        <v>1516</v>
      </c>
      <c r="F7488" s="35" t="s">
        <v>587</v>
      </c>
      <c r="G7488" s="35" t="s">
        <v>907</v>
      </c>
    </row>
    <row r="7489" spans="1:7">
      <c r="A7489" s="34">
        <v>2084062463</v>
      </c>
      <c r="B7489" s="35" t="s">
        <v>462</v>
      </c>
      <c r="C7489" s="35" t="s">
        <v>405</v>
      </c>
      <c r="D7489" s="35" t="s">
        <v>1504</v>
      </c>
      <c r="E7489" s="35" t="s">
        <v>1516</v>
      </c>
      <c r="F7489" s="35" t="s">
        <v>587</v>
      </c>
      <c r="G7489" s="35" t="s">
        <v>588</v>
      </c>
    </row>
    <row r="7490" spans="1:7">
      <c r="A7490" s="34">
        <v>2084062464</v>
      </c>
      <c r="B7490" s="35" t="s">
        <v>462</v>
      </c>
      <c r="C7490" s="35" t="s">
        <v>405</v>
      </c>
      <c r="D7490" s="35" t="s">
        <v>1504</v>
      </c>
      <c r="E7490" s="35" t="s">
        <v>1516</v>
      </c>
      <c r="F7490" s="35" t="s">
        <v>587</v>
      </c>
      <c r="G7490" s="35" t="s">
        <v>911</v>
      </c>
    </row>
    <row r="7491" spans="1:7">
      <c r="A7491" s="34">
        <v>2084062465</v>
      </c>
      <c r="B7491" s="35" t="s">
        <v>462</v>
      </c>
      <c r="C7491" s="35" t="s">
        <v>405</v>
      </c>
      <c r="D7491" s="35" t="s">
        <v>1504</v>
      </c>
      <c r="E7491" s="35" t="s">
        <v>1516</v>
      </c>
      <c r="F7491" s="35" t="s">
        <v>587</v>
      </c>
      <c r="G7491" s="35" t="s">
        <v>859</v>
      </c>
    </row>
    <row r="7492" spans="1:7">
      <c r="A7492" s="34">
        <v>2084062467</v>
      </c>
      <c r="B7492" s="35" t="s">
        <v>462</v>
      </c>
      <c r="C7492" s="35" t="s">
        <v>405</v>
      </c>
      <c r="D7492" s="35" t="s">
        <v>1504</v>
      </c>
      <c r="E7492" s="35" t="s">
        <v>1516</v>
      </c>
      <c r="F7492" s="35" t="s">
        <v>587</v>
      </c>
      <c r="G7492" s="35" t="s">
        <v>952</v>
      </c>
    </row>
    <row r="7493" spans="1:7">
      <c r="A7493" s="34">
        <v>2084062468</v>
      </c>
      <c r="B7493" s="35" t="s">
        <v>462</v>
      </c>
      <c r="C7493" s="35" t="s">
        <v>405</v>
      </c>
      <c r="D7493" s="35" t="s">
        <v>1504</v>
      </c>
      <c r="E7493" s="35" t="s">
        <v>1516</v>
      </c>
      <c r="F7493" s="35" t="s">
        <v>587</v>
      </c>
      <c r="G7493" s="35" t="s">
        <v>953</v>
      </c>
    </row>
    <row r="7494" spans="1:7">
      <c r="A7494" s="34">
        <v>2084062469</v>
      </c>
      <c r="B7494" s="35" t="s">
        <v>462</v>
      </c>
      <c r="C7494" s="35" t="s">
        <v>405</v>
      </c>
      <c r="D7494" s="35" t="s">
        <v>1504</v>
      </c>
      <c r="E7494" s="35" t="s">
        <v>1516</v>
      </c>
      <c r="F7494" s="35" t="s">
        <v>587</v>
      </c>
      <c r="G7494" s="35" t="s">
        <v>335</v>
      </c>
    </row>
    <row r="7495" spans="1:7">
      <c r="A7495" s="34">
        <v>2084048735</v>
      </c>
      <c r="B7495" s="35" t="s">
        <v>462</v>
      </c>
      <c r="C7495" s="35" t="s">
        <v>405</v>
      </c>
      <c r="D7495" s="35" t="s">
        <v>1504</v>
      </c>
      <c r="E7495" s="35" t="s">
        <v>1516</v>
      </c>
      <c r="F7495" s="35" t="s">
        <v>335</v>
      </c>
    </row>
    <row r="7496" spans="1:7">
      <c r="A7496" s="34">
        <v>2084062415</v>
      </c>
      <c r="B7496" s="35" t="s">
        <v>462</v>
      </c>
      <c r="C7496" s="35" t="s">
        <v>405</v>
      </c>
      <c r="D7496" s="35" t="s">
        <v>1504</v>
      </c>
      <c r="E7496" s="35" t="s">
        <v>1517</v>
      </c>
      <c r="F7496" s="35" t="s">
        <v>368</v>
      </c>
      <c r="G7496" s="35" t="s">
        <v>481</v>
      </c>
    </row>
    <row r="7497" spans="1:7">
      <c r="A7497" s="34">
        <v>2084062414</v>
      </c>
      <c r="B7497" s="35" t="s">
        <v>462</v>
      </c>
      <c r="C7497" s="35" t="s">
        <v>405</v>
      </c>
      <c r="D7497" s="35" t="s">
        <v>1504</v>
      </c>
      <c r="E7497" s="35" t="s">
        <v>1517</v>
      </c>
      <c r="F7497" s="35" t="s">
        <v>368</v>
      </c>
      <c r="G7497" s="35" t="s">
        <v>482</v>
      </c>
    </row>
    <row r="7498" spans="1:7">
      <c r="A7498" s="34">
        <v>2084062416</v>
      </c>
      <c r="B7498" s="35" t="s">
        <v>462</v>
      </c>
      <c r="C7498" s="35" t="s">
        <v>405</v>
      </c>
      <c r="D7498" s="35" t="s">
        <v>1504</v>
      </c>
      <c r="E7498" s="35" t="s">
        <v>1517</v>
      </c>
      <c r="F7498" s="35" t="s">
        <v>368</v>
      </c>
      <c r="G7498" s="35" t="s">
        <v>335</v>
      </c>
    </row>
    <row r="7499" spans="1:7">
      <c r="A7499" s="34">
        <v>2084062423</v>
      </c>
      <c r="B7499" s="35" t="s">
        <v>462</v>
      </c>
      <c r="C7499" s="35" t="s">
        <v>405</v>
      </c>
      <c r="D7499" s="35" t="s">
        <v>1504</v>
      </c>
      <c r="E7499" s="35" t="s">
        <v>1517</v>
      </c>
      <c r="F7499" s="35" t="s">
        <v>10</v>
      </c>
      <c r="G7499" s="35" t="s">
        <v>483</v>
      </c>
    </row>
    <row r="7500" spans="1:7">
      <c r="A7500" s="34">
        <v>2084062418</v>
      </c>
      <c r="B7500" s="35" t="s">
        <v>462</v>
      </c>
      <c r="C7500" s="35" t="s">
        <v>405</v>
      </c>
      <c r="D7500" s="35" t="s">
        <v>1504</v>
      </c>
      <c r="E7500" s="35" t="s">
        <v>1517</v>
      </c>
      <c r="F7500" s="35" t="s">
        <v>10</v>
      </c>
      <c r="G7500" s="35" t="s">
        <v>510</v>
      </c>
    </row>
    <row r="7501" spans="1:7">
      <c r="A7501" s="34">
        <v>2084062420</v>
      </c>
      <c r="B7501" s="35" t="s">
        <v>462</v>
      </c>
      <c r="C7501" s="35" t="s">
        <v>405</v>
      </c>
      <c r="D7501" s="35" t="s">
        <v>1504</v>
      </c>
      <c r="E7501" s="35" t="s">
        <v>1517</v>
      </c>
      <c r="F7501" s="35" t="s">
        <v>10</v>
      </c>
      <c r="G7501" s="35" t="s">
        <v>397</v>
      </c>
    </row>
    <row r="7502" spans="1:7">
      <c r="A7502" s="34">
        <v>2084062422</v>
      </c>
      <c r="B7502" s="35" t="s">
        <v>462</v>
      </c>
      <c r="C7502" s="35" t="s">
        <v>405</v>
      </c>
      <c r="D7502" s="35" t="s">
        <v>1504</v>
      </c>
      <c r="E7502" s="35" t="s">
        <v>1517</v>
      </c>
      <c r="F7502" s="35" t="s">
        <v>10</v>
      </c>
      <c r="G7502" s="35" t="s">
        <v>421</v>
      </c>
    </row>
    <row r="7503" spans="1:7">
      <c r="A7503" s="34">
        <v>2084062419</v>
      </c>
      <c r="B7503" s="35" t="s">
        <v>462</v>
      </c>
      <c r="C7503" s="35" t="s">
        <v>405</v>
      </c>
      <c r="D7503" s="35" t="s">
        <v>1504</v>
      </c>
      <c r="E7503" s="35" t="s">
        <v>1517</v>
      </c>
      <c r="F7503" s="35" t="s">
        <v>10</v>
      </c>
      <c r="G7503" s="35" t="s">
        <v>398</v>
      </c>
    </row>
    <row r="7504" spans="1:7">
      <c r="A7504" s="34">
        <v>2084062421</v>
      </c>
      <c r="B7504" s="35" t="s">
        <v>462</v>
      </c>
      <c r="C7504" s="35" t="s">
        <v>405</v>
      </c>
      <c r="D7504" s="35" t="s">
        <v>1504</v>
      </c>
      <c r="E7504" s="35" t="s">
        <v>1517</v>
      </c>
      <c r="F7504" s="35" t="s">
        <v>10</v>
      </c>
      <c r="G7504" s="35" t="s">
        <v>422</v>
      </c>
    </row>
    <row r="7505" spans="1:7">
      <c r="A7505" s="34">
        <v>2084062424</v>
      </c>
      <c r="B7505" s="35" t="s">
        <v>462</v>
      </c>
      <c r="C7505" s="35" t="s">
        <v>405</v>
      </c>
      <c r="D7505" s="35" t="s">
        <v>1504</v>
      </c>
      <c r="E7505" s="35" t="s">
        <v>1517</v>
      </c>
      <c r="F7505" s="35" t="s">
        <v>10</v>
      </c>
      <c r="G7505" s="35" t="s">
        <v>335</v>
      </c>
    </row>
    <row r="7506" spans="1:7">
      <c r="A7506" s="34">
        <v>2084062426</v>
      </c>
      <c r="B7506" s="35" t="s">
        <v>462</v>
      </c>
      <c r="C7506" s="35" t="s">
        <v>405</v>
      </c>
      <c r="D7506" s="35" t="s">
        <v>1504</v>
      </c>
      <c r="E7506" s="35" t="s">
        <v>1517</v>
      </c>
      <c r="F7506" s="35" t="s">
        <v>379</v>
      </c>
      <c r="G7506" s="35" t="s">
        <v>476</v>
      </c>
    </row>
    <row r="7507" spans="1:7">
      <c r="A7507" s="34">
        <v>2084062427</v>
      </c>
      <c r="B7507" s="35" t="s">
        <v>462</v>
      </c>
      <c r="C7507" s="35" t="s">
        <v>405</v>
      </c>
      <c r="D7507" s="35" t="s">
        <v>1504</v>
      </c>
      <c r="E7507" s="35" t="s">
        <v>1517</v>
      </c>
      <c r="F7507" s="35" t="s">
        <v>379</v>
      </c>
      <c r="G7507" s="35" t="s">
        <v>335</v>
      </c>
    </row>
    <row r="7508" spans="1:7">
      <c r="A7508" s="34">
        <v>2084062428</v>
      </c>
      <c r="B7508" s="35" t="s">
        <v>462</v>
      </c>
      <c r="C7508" s="35" t="s">
        <v>405</v>
      </c>
      <c r="D7508" s="35" t="s">
        <v>1504</v>
      </c>
      <c r="E7508" s="35" t="s">
        <v>1517</v>
      </c>
      <c r="F7508" s="35" t="s">
        <v>478</v>
      </c>
    </row>
    <row r="7509" spans="1:7">
      <c r="A7509" s="34">
        <v>2084062429</v>
      </c>
      <c r="B7509" s="35" t="s">
        <v>462</v>
      </c>
      <c r="C7509" s="35" t="s">
        <v>405</v>
      </c>
      <c r="D7509" s="35" t="s">
        <v>1504</v>
      </c>
      <c r="E7509" s="35" t="s">
        <v>1517</v>
      </c>
      <c r="F7509" s="35" t="s">
        <v>335</v>
      </c>
    </row>
    <row r="7510" spans="1:7">
      <c r="A7510" s="34">
        <v>2084255837</v>
      </c>
      <c r="B7510" s="35" t="s">
        <v>462</v>
      </c>
      <c r="C7510" s="35" t="s">
        <v>405</v>
      </c>
      <c r="D7510" s="35" t="s">
        <v>1504</v>
      </c>
      <c r="E7510" s="35" t="s">
        <v>1518</v>
      </c>
      <c r="F7510" s="35" t="s">
        <v>407</v>
      </c>
    </row>
    <row r="7511" spans="1:7">
      <c r="A7511" s="34">
        <v>2084255836</v>
      </c>
      <c r="B7511" s="35" t="s">
        <v>462</v>
      </c>
      <c r="C7511" s="35" t="s">
        <v>405</v>
      </c>
      <c r="D7511" s="35" t="s">
        <v>1504</v>
      </c>
      <c r="E7511" s="35" t="s">
        <v>1518</v>
      </c>
      <c r="F7511" s="35" t="s">
        <v>408</v>
      </c>
    </row>
    <row r="7512" spans="1:7">
      <c r="A7512" s="34">
        <v>2084226816</v>
      </c>
      <c r="B7512" s="35" t="s">
        <v>462</v>
      </c>
      <c r="C7512" s="35" t="s">
        <v>405</v>
      </c>
      <c r="D7512" s="35" t="s">
        <v>1504</v>
      </c>
      <c r="E7512" s="35" t="s">
        <v>1519</v>
      </c>
      <c r="F7512" s="35" t="s">
        <v>475</v>
      </c>
    </row>
    <row r="7513" spans="1:7">
      <c r="A7513" s="34">
        <v>2084226818</v>
      </c>
      <c r="B7513" s="35" t="s">
        <v>462</v>
      </c>
      <c r="C7513" s="35" t="s">
        <v>405</v>
      </c>
      <c r="D7513" s="35" t="s">
        <v>1504</v>
      </c>
      <c r="E7513" s="35" t="s">
        <v>1519</v>
      </c>
      <c r="F7513" s="35" t="s">
        <v>442</v>
      </c>
      <c r="G7513" s="35" t="s">
        <v>504</v>
      </c>
    </row>
    <row r="7514" spans="1:7">
      <c r="A7514" s="34">
        <v>2084226819</v>
      </c>
      <c r="B7514" s="35" t="s">
        <v>462</v>
      </c>
      <c r="C7514" s="35" t="s">
        <v>405</v>
      </c>
      <c r="D7514" s="35" t="s">
        <v>1504</v>
      </c>
      <c r="E7514" s="35" t="s">
        <v>1519</v>
      </c>
      <c r="F7514" s="35" t="s">
        <v>442</v>
      </c>
      <c r="G7514" s="35" t="s">
        <v>589</v>
      </c>
    </row>
    <row r="7515" spans="1:7">
      <c r="A7515" s="34">
        <v>2084226820</v>
      </c>
      <c r="B7515" s="35" t="s">
        <v>462</v>
      </c>
      <c r="C7515" s="35" t="s">
        <v>405</v>
      </c>
      <c r="D7515" s="35" t="s">
        <v>1504</v>
      </c>
      <c r="E7515" s="35" t="s">
        <v>1519</v>
      </c>
      <c r="F7515" s="35" t="s">
        <v>442</v>
      </c>
      <c r="G7515" s="35" t="s">
        <v>335</v>
      </c>
    </row>
    <row r="7516" spans="1:7">
      <c r="A7516" s="34">
        <v>2084226821</v>
      </c>
      <c r="B7516" s="35" t="s">
        <v>462</v>
      </c>
      <c r="C7516" s="35" t="s">
        <v>405</v>
      </c>
      <c r="D7516" s="35" t="s">
        <v>1504</v>
      </c>
      <c r="E7516" s="35" t="s">
        <v>1519</v>
      </c>
      <c r="F7516" s="35" t="s">
        <v>335</v>
      </c>
    </row>
    <row r="7517" spans="1:7">
      <c r="A7517" s="34">
        <v>2084062170</v>
      </c>
      <c r="B7517" s="35" t="s">
        <v>462</v>
      </c>
      <c r="C7517" s="35" t="s">
        <v>405</v>
      </c>
      <c r="D7517" s="35" t="s">
        <v>1504</v>
      </c>
      <c r="E7517" s="35" t="s">
        <v>1520</v>
      </c>
      <c r="F7517" s="35" t="s">
        <v>484</v>
      </c>
    </row>
    <row r="7518" spans="1:7">
      <c r="A7518" s="34">
        <v>2084062171</v>
      </c>
      <c r="B7518" s="35" t="s">
        <v>462</v>
      </c>
      <c r="C7518" s="35" t="s">
        <v>405</v>
      </c>
      <c r="D7518" s="35" t="s">
        <v>1504</v>
      </c>
      <c r="E7518" s="35" t="s">
        <v>1520</v>
      </c>
      <c r="F7518" s="35" t="s">
        <v>335</v>
      </c>
    </row>
    <row r="7519" spans="1:7">
      <c r="A7519" s="34">
        <v>2084033996</v>
      </c>
      <c r="B7519" s="35" t="s">
        <v>462</v>
      </c>
      <c r="C7519" s="35" t="s">
        <v>405</v>
      </c>
      <c r="D7519" s="35" t="s">
        <v>1504</v>
      </c>
      <c r="E7519" s="35" t="s">
        <v>1521</v>
      </c>
      <c r="F7519" s="35" t="s">
        <v>537</v>
      </c>
    </row>
    <row r="7520" spans="1:7">
      <c r="A7520" s="34">
        <v>2084036139</v>
      </c>
      <c r="B7520" s="35" t="s">
        <v>462</v>
      </c>
      <c r="C7520" s="35" t="s">
        <v>405</v>
      </c>
      <c r="D7520" s="35" t="s">
        <v>1504</v>
      </c>
      <c r="E7520" s="35" t="s">
        <v>1521</v>
      </c>
      <c r="F7520" s="35" t="s">
        <v>569</v>
      </c>
    </row>
    <row r="7521" spans="1:7">
      <c r="A7521" s="34">
        <v>2084048736</v>
      </c>
      <c r="B7521" s="35" t="s">
        <v>462</v>
      </c>
      <c r="C7521" s="35" t="s">
        <v>405</v>
      </c>
      <c r="D7521" s="35" t="s">
        <v>1504</v>
      </c>
      <c r="E7521" s="35" t="s">
        <v>1521</v>
      </c>
      <c r="F7521" s="35" t="s">
        <v>335</v>
      </c>
    </row>
    <row r="7522" spans="1:7">
      <c r="A7522" s="34">
        <v>2084211722</v>
      </c>
      <c r="B7522" s="35" t="s">
        <v>462</v>
      </c>
      <c r="C7522" s="35" t="s">
        <v>405</v>
      </c>
      <c r="D7522" s="35" t="s">
        <v>1504</v>
      </c>
      <c r="E7522" s="35" t="s">
        <v>1522</v>
      </c>
      <c r="F7522" s="35" t="s">
        <v>367</v>
      </c>
    </row>
    <row r="7523" spans="1:7">
      <c r="A7523" s="34">
        <v>2084211725</v>
      </c>
      <c r="B7523" s="35" t="s">
        <v>462</v>
      </c>
      <c r="C7523" s="35" t="s">
        <v>405</v>
      </c>
      <c r="D7523" s="35" t="s">
        <v>1504</v>
      </c>
      <c r="E7523" s="35" t="s">
        <v>1522</v>
      </c>
      <c r="F7523" s="35" t="s">
        <v>368</v>
      </c>
      <c r="G7523" s="35" t="s">
        <v>481</v>
      </c>
    </row>
    <row r="7524" spans="1:7">
      <c r="A7524" s="34">
        <v>2084211724</v>
      </c>
      <c r="B7524" s="35" t="s">
        <v>462</v>
      </c>
      <c r="C7524" s="35" t="s">
        <v>405</v>
      </c>
      <c r="D7524" s="35" t="s">
        <v>1504</v>
      </c>
      <c r="E7524" s="35" t="s">
        <v>1522</v>
      </c>
      <c r="F7524" s="35" t="s">
        <v>368</v>
      </c>
      <c r="G7524" s="35" t="s">
        <v>482</v>
      </c>
    </row>
    <row r="7525" spans="1:7">
      <c r="A7525" s="34">
        <v>2084211726</v>
      </c>
      <c r="B7525" s="35" t="s">
        <v>462</v>
      </c>
      <c r="C7525" s="35" t="s">
        <v>405</v>
      </c>
      <c r="D7525" s="35" t="s">
        <v>1504</v>
      </c>
      <c r="E7525" s="35" t="s">
        <v>1522</v>
      </c>
      <c r="F7525" s="35" t="s">
        <v>368</v>
      </c>
      <c r="G7525" s="35" t="s">
        <v>335</v>
      </c>
    </row>
    <row r="7526" spans="1:7">
      <c r="A7526" s="34">
        <v>2084211732</v>
      </c>
      <c r="B7526" s="35" t="s">
        <v>462</v>
      </c>
      <c r="C7526" s="35" t="s">
        <v>405</v>
      </c>
      <c r="D7526" s="35" t="s">
        <v>1504</v>
      </c>
      <c r="E7526" s="35" t="s">
        <v>1522</v>
      </c>
      <c r="F7526" s="35" t="s">
        <v>10</v>
      </c>
      <c r="G7526" s="35" t="s">
        <v>483</v>
      </c>
    </row>
    <row r="7527" spans="1:7">
      <c r="A7527" s="34">
        <v>2084211729</v>
      </c>
      <c r="B7527" s="35" t="s">
        <v>462</v>
      </c>
      <c r="C7527" s="35" t="s">
        <v>405</v>
      </c>
      <c r="D7527" s="35" t="s">
        <v>1504</v>
      </c>
      <c r="E7527" s="35" t="s">
        <v>1522</v>
      </c>
      <c r="F7527" s="35" t="s">
        <v>10</v>
      </c>
      <c r="G7527" s="35" t="s">
        <v>397</v>
      </c>
    </row>
    <row r="7528" spans="1:7">
      <c r="A7528" s="34">
        <v>2084211731</v>
      </c>
      <c r="B7528" s="35" t="s">
        <v>462</v>
      </c>
      <c r="C7528" s="35" t="s">
        <v>405</v>
      </c>
      <c r="D7528" s="35" t="s">
        <v>1504</v>
      </c>
      <c r="E7528" s="35" t="s">
        <v>1522</v>
      </c>
      <c r="F7528" s="35" t="s">
        <v>10</v>
      </c>
      <c r="G7528" s="35" t="s">
        <v>421</v>
      </c>
    </row>
    <row r="7529" spans="1:7">
      <c r="A7529" s="34">
        <v>2084211728</v>
      </c>
      <c r="B7529" s="35" t="s">
        <v>462</v>
      </c>
      <c r="C7529" s="35" t="s">
        <v>405</v>
      </c>
      <c r="D7529" s="35" t="s">
        <v>1504</v>
      </c>
      <c r="E7529" s="35" t="s">
        <v>1522</v>
      </c>
      <c r="F7529" s="35" t="s">
        <v>10</v>
      </c>
      <c r="G7529" s="35" t="s">
        <v>398</v>
      </c>
    </row>
    <row r="7530" spans="1:7">
      <c r="A7530" s="34">
        <v>2084211730</v>
      </c>
      <c r="B7530" s="35" t="s">
        <v>462</v>
      </c>
      <c r="C7530" s="35" t="s">
        <v>405</v>
      </c>
      <c r="D7530" s="35" t="s">
        <v>1504</v>
      </c>
      <c r="E7530" s="35" t="s">
        <v>1522</v>
      </c>
      <c r="F7530" s="35" t="s">
        <v>10</v>
      </c>
      <c r="G7530" s="35" t="s">
        <v>422</v>
      </c>
    </row>
    <row r="7531" spans="1:7">
      <c r="A7531" s="34">
        <v>2084211733</v>
      </c>
      <c r="B7531" s="35" t="s">
        <v>462</v>
      </c>
      <c r="C7531" s="35" t="s">
        <v>405</v>
      </c>
      <c r="D7531" s="35" t="s">
        <v>1504</v>
      </c>
      <c r="E7531" s="35" t="s">
        <v>1522</v>
      </c>
      <c r="F7531" s="35" t="s">
        <v>10</v>
      </c>
      <c r="G7531" s="35" t="s">
        <v>335</v>
      </c>
    </row>
    <row r="7532" spans="1:7">
      <c r="A7532" s="34">
        <v>2084211735</v>
      </c>
      <c r="B7532" s="35" t="s">
        <v>462</v>
      </c>
      <c r="C7532" s="35" t="s">
        <v>405</v>
      </c>
      <c r="D7532" s="35" t="s">
        <v>1504</v>
      </c>
      <c r="E7532" s="35" t="s">
        <v>1522</v>
      </c>
      <c r="F7532" s="35" t="s">
        <v>379</v>
      </c>
      <c r="G7532" s="35" t="s">
        <v>476</v>
      </c>
    </row>
    <row r="7533" spans="1:7">
      <c r="A7533" s="34">
        <v>2084211736</v>
      </c>
      <c r="B7533" s="35" t="s">
        <v>462</v>
      </c>
      <c r="C7533" s="35" t="s">
        <v>405</v>
      </c>
      <c r="D7533" s="35" t="s">
        <v>1504</v>
      </c>
      <c r="E7533" s="35" t="s">
        <v>1522</v>
      </c>
      <c r="F7533" s="35" t="s">
        <v>379</v>
      </c>
      <c r="G7533" s="35" t="s">
        <v>335</v>
      </c>
    </row>
    <row r="7534" spans="1:7">
      <c r="A7534" s="34">
        <v>2084211737</v>
      </c>
      <c r="B7534" s="35" t="s">
        <v>462</v>
      </c>
      <c r="C7534" s="35" t="s">
        <v>405</v>
      </c>
      <c r="D7534" s="35" t="s">
        <v>1504</v>
      </c>
      <c r="E7534" s="35" t="s">
        <v>1522</v>
      </c>
      <c r="F7534" s="35" t="s">
        <v>478</v>
      </c>
    </row>
    <row r="7535" spans="1:7">
      <c r="A7535" s="34">
        <v>2084211738</v>
      </c>
      <c r="B7535" s="35" t="s">
        <v>462</v>
      </c>
      <c r="C7535" s="35" t="s">
        <v>405</v>
      </c>
      <c r="D7535" s="35" t="s">
        <v>1504</v>
      </c>
      <c r="E7535" s="35" t="s">
        <v>1522</v>
      </c>
      <c r="F7535" s="35" t="s">
        <v>335</v>
      </c>
    </row>
    <row r="7536" spans="1:7">
      <c r="A7536" s="34">
        <v>2084230033</v>
      </c>
      <c r="B7536" s="35" t="s">
        <v>462</v>
      </c>
      <c r="C7536" s="35" t="s">
        <v>405</v>
      </c>
      <c r="D7536" s="35" t="s">
        <v>1504</v>
      </c>
      <c r="E7536" s="35" t="s">
        <v>1523</v>
      </c>
    </row>
    <row r="7537" spans="1:7">
      <c r="A7537" s="34">
        <v>2084298417</v>
      </c>
      <c r="B7537" s="35" t="s">
        <v>462</v>
      </c>
      <c r="C7537" s="35" t="s">
        <v>405</v>
      </c>
      <c r="D7537" s="35" t="s">
        <v>1504</v>
      </c>
      <c r="E7537" s="35" t="s">
        <v>1524</v>
      </c>
      <c r="F7537" s="35" t="s">
        <v>367</v>
      </c>
    </row>
    <row r="7538" spans="1:7">
      <c r="A7538" s="34">
        <v>2084298418</v>
      </c>
      <c r="B7538" s="35" t="s">
        <v>462</v>
      </c>
      <c r="C7538" s="35" t="s">
        <v>405</v>
      </c>
      <c r="D7538" s="35" t="s">
        <v>1504</v>
      </c>
      <c r="E7538" s="35" t="s">
        <v>1524</v>
      </c>
      <c r="F7538" s="35" t="s">
        <v>401</v>
      </c>
    </row>
    <row r="7539" spans="1:7">
      <c r="A7539" s="34">
        <v>2084298419</v>
      </c>
      <c r="B7539" s="35" t="s">
        <v>462</v>
      </c>
      <c r="C7539" s="35" t="s">
        <v>405</v>
      </c>
      <c r="D7539" s="35" t="s">
        <v>1504</v>
      </c>
      <c r="E7539" s="35" t="s">
        <v>1524</v>
      </c>
      <c r="F7539" s="35" t="s">
        <v>402</v>
      </c>
    </row>
    <row r="7540" spans="1:7">
      <c r="A7540" s="34">
        <v>2084298420</v>
      </c>
      <c r="B7540" s="35" t="s">
        <v>462</v>
      </c>
      <c r="C7540" s="35" t="s">
        <v>405</v>
      </c>
      <c r="D7540" s="35" t="s">
        <v>1504</v>
      </c>
      <c r="E7540" s="35" t="s">
        <v>1524</v>
      </c>
      <c r="F7540" s="35" t="s">
        <v>476</v>
      </c>
    </row>
    <row r="7541" spans="1:7">
      <c r="A7541" s="34">
        <v>2084298421</v>
      </c>
      <c r="B7541" s="35" t="s">
        <v>462</v>
      </c>
      <c r="C7541" s="35" t="s">
        <v>405</v>
      </c>
      <c r="D7541" s="35" t="s">
        <v>1504</v>
      </c>
      <c r="E7541" s="35" t="s">
        <v>1524</v>
      </c>
      <c r="F7541" s="35" t="s">
        <v>477</v>
      </c>
    </row>
    <row r="7542" spans="1:7">
      <c r="A7542" s="34">
        <v>2084298422</v>
      </c>
      <c r="B7542" s="35" t="s">
        <v>462</v>
      </c>
      <c r="C7542" s="35" t="s">
        <v>405</v>
      </c>
      <c r="D7542" s="35" t="s">
        <v>1504</v>
      </c>
      <c r="E7542" s="35" t="s">
        <v>1524</v>
      </c>
      <c r="F7542" s="35" t="s">
        <v>478</v>
      </c>
    </row>
    <row r="7543" spans="1:7">
      <c r="A7543" s="34">
        <v>2084298423</v>
      </c>
      <c r="B7543" s="35" t="s">
        <v>462</v>
      </c>
      <c r="C7543" s="35" t="s">
        <v>405</v>
      </c>
      <c r="D7543" s="35" t="s">
        <v>1504</v>
      </c>
      <c r="E7543" s="35" t="s">
        <v>1524</v>
      </c>
      <c r="F7543" s="35" t="s">
        <v>335</v>
      </c>
    </row>
    <row r="7544" spans="1:7">
      <c r="A7544" s="34">
        <v>2084230547</v>
      </c>
      <c r="B7544" s="35" t="s">
        <v>462</v>
      </c>
      <c r="C7544" s="35" t="s">
        <v>405</v>
      </c>
      <c r="D7544" s="35" t="s">
        <v>1525</v>
      </c>
      <c r="E7544" s="35" t="s">
        <v>1526</v>
      </c>
    </row>
    <row r="7545" spans="1:7">
      <c r="A7545" s="34">
        <v>2084244055</v>
      </c>
      <c r="B7545" s="35" t="s">
        <v>462</v>
      </c>
      <c r="C7545" s="35" t="s">
        <v>405</v>
      </c>
      <c r="D7545" s="35" t="s">
        <v>1525</v>
      </c>
      <c r="E7545" s="35" t="s">
        <v>1527</v>
      </c>
    </row>
    <row r="7546" spans="1:7">
      <c r="A7546" s="34">
        <v>2084308448</v>
      </c>
      <c r="B7546" s="35" t="s">
        <v>462</v>
      </c>
      <c r="C7546" s="35" t="s">
        <v>405</v>
      </c>
      <c r="D7546" s="35" t="s">
        <v>1525</v>
      </c>
      <c r="E7546" s="35" t="s">
        <v>1528</v>
      </c>
      <c r="F7546" s="35" t="s">
        <v>390</v>
      </c>
      <c r="G7546" s="35" t="s">
        <v>588</v>
      </c>
    </row>
    <row r="7547" spans="1:7">
      <c r="A7547" s="34">
        <v>2084308449</v>
      </c>
      <c r="B7547" s="35" t="s">
        <v>462</v>
      </c>
      <c r="C7547" s="35" t="s">
        <v>405</v>
      </c>
      <c r="D7547" s="35" t="s">
        <v>1525</v>
      </c>
      <c r="E7547" s="35" t="s">
        <v>1528</v>
      </c>
      <c r="F7547" s="35" t="s">
        <v>390</v>
      </c>
      <c r="G7547" s="35" t="s">
        <v>857</v>
      </c>
    </row>
    <row r="7548" spans="1:7">
      <c r="A7548" s="34">
        <v>2084308450</v>
      </c>
      <c r="B7548" s="35" t="s">
        <v>462</v>
      </c>
      <c r="C7548" s="35" t="s">
        <v>405</v>
      </c>
      <c r="D7548" s="35" t="s">
        <v>1525</v>
      </c>
      <c r="E7548" s="35" t="s">
        <v>1528</v>
      </c>
      <c r="F7548" s="35" t="s">
        <v>390</v>
      </c>
      <c r="G7548" s="35" t="s">
        <v>858</v>
      </c>
    </row>
    <row r="7549" spans="1:7">
      <c r="A7549" s="34">
        <v>2084308451</v>
      </c>
      <c r="B7549" s="35" t="s">
        <v>462</v>
      </c>
      <c r="C7549" s="35" t="s">
        <v>405</v>
      </c>
      <c r="D7549" s="35" t="s">
        <v>1525</v>
      </c>
      <c r="E7549" s="35" t="s">
        <v>1528</v>
      </c>
      <c r="F7549" s="35" t="s">
        <v>390</v>
      </c>
      <c r="G7549" s="35" t="s">
        <v>1529</v>
      </c>
    </row>
    <row r="7550" spans="1:7">
      <c r="A7550" s="34">
        <v>2084308578</v>
      </c>
      <c r="B7550" s="35" t="s">
        <v>462</v>
      </c>
      <c r="C7550" s="35" t="s">
        <v>405</v>
      </c>
      <c r="D7550" s="35" t="s">
        <v>1525</v>
      </c>
      <c r="E7550" s="35" t="s">
        <v>1528</v>
      </c>
      <c r="F7550" s="35" t="s">
        <v>390</v>
      </c>
      <c r="G7550" s="35" t="s">
        <v>859</v>
      </c>
    </row>
    <row r="7551" spans="1:7">
      <c r="A7551" s="34">
        <v>2084308452</v>
      </c>
      <c r="B7551" s="35" t="s">
        <v>462</v>
      </c>
      <c r="C7551" s="35" t="s">
        <v>405</v>
      </c>
      <c r="D7551" s="35" t="s">
        <v>1525</v>
      </c>
      <c r="E7551" s="35" t="s">
        <v>1528</v>
      </c>
      <c r="F7551" s="35" t="s">
        <v>390</v>
      </c>
      <c r="G7551" s="35" t="s">
        <v>504</v>
      </c>
    </row>
    <row r="7552" spans="1:7">
      <c r="A7552" s="34">
        <v>2084308453</v>
      </c>
      <c r="B7552" s="35" t="s">
        <v>462</v>
      </c>
      <c r="C7552" s="35" t="s">
        <v>405</v>
      </c>
      <c r="D7552" s="35" t="s">
        <v>1525</v>
      </c>
      <c r="E7552" s="35" t="s">
        <v>1528</v>
      </c>
      <c r="F7552" s="35" t="s">
        <v>390</v>
      </c>
      <c r="G7552" s="35" t="s">
        <v>335</v>
      </c>
    </row>
    <row r="7553" spans="1:7">
      <c r="A7553" s="34">
        <v>2084308446</v>
      </c>
      <c r="B7553" s="35" t="s">
        <v>462</v>
      </c>
      <c r="C7553" s="35" t="s">
        <v>405</v>
      </c>
      <c r="D7553" s="35" t="s">
        <v>1525</v>
      </c>
      <c r="E7553" s="35" t="s">
        <v>1528</v>
      </c>
      <c r="F7553" s="35" t="s">
        <v>353</v>
      </c>
      <c r="G7553" s="35" t="s">
        <v>475</v>
      </c>
    </row>
    <row r="7554" spans="1:7">
      <c r="A7554" s="34">
        <v>2084308445</v>
      </c>
      <c r="B7554" s="35" t="s">
        <v>462</v>
      </c>
      <c r="C7554" s="35" t="s">
        <v>405</v>
      </c>
      <c r="D7554" s="35" t="s">
        <v>1525</v>
      </c>
      <c r="E7554" s="35" t="s">
        <v>1528</v>
      </c>
      <c r="F7554" s="35" t="s">
        <v>353</v>
      </c>
      <c r="G7554" s="35" t="s">
        <v>504</v>
      </c>
    </row>
    <row r="7555" spans="1:7">
      <c r="A7555" s="34">
        <v>2084308447</v>
      </c>
      <c r="B7555" s="35" t="s">
        <v>462</v>
      </c>
      <c r="C7555" s="35" t="s">
        <v>405</v>
      </c>
      <c r="D7555" s="35" t="s">
        <v>1525</v>
      </c>
      <c r="E7555" s="35" t="s">
        <v>1528</v>
      </c>
      <c r="F7555" s="35" t="s">
        <v>353</v>
      </c>
      <c r="G7555" s="35" t="s">
        <v>335</v>
      </c>
    </row>
    <row r="7556" spans="1:7">
      <c r="A7556" s="34">
        <v>2084205178</v>
      </c>
      <c r="B7556" s="35" t="s">
        <v>462</v>
      </c>
      <c r="C7556" s="35" t="s">
        <v>405</v>
      </c>
      <c r="D7556" s="35" t="s">
        <v>1525</v>
      </c>
      <c r="E7556" s="35" t="s">
        <v>1530</v>
      </c>
      <c r="F7556" s="35" t="s">
        <v>484</v>
      </c>
    </row>
    <row r="7557" spans="1:7">
      <c r="A7557" s="34">
        <v>2084229257</v>
      </c>
      <c r="B7557" s="35" t="s">
        <v>462</v>
      </c>
      <c r="C7557" s="35" t="s">
        <v>405</v>
      </c>
      <c r="D7557" s="35" t="s">
        <v>1525</v>
      </c>
      <c r="E7557" s="35" t="s">
        <v>1530</v>
      </c>
      <c r="F7557" s="35" t="s">
        <v>407</v>
      </c>
    </row>
    <row r="7558" spans="1:7">
      <c r="A7558" s="34">
        <v>2084229258</v>
      </c>
      <c r="B7558" s="35" t="s">
        <v>462</v>
      </c>
      <c r="C7558" s="35" t="s">
        <v>405</v>
      </c>
      <c r="D7558" s="35" t="s">
        <v>1525</v>
      </c>
      <c r="E7558" s="35" t="s">
        <v>1530</v>
      </c>
      <c r="F7558" s="35" t="s">
        <v>353</v>
      </c>
      <c r="G7558" s="35" t="s">
        <v>401</v>
      </c>
    </row>
    <row r="7559" spans="1:7">
      <c r="A7559" s="34">
        <v>2084229259</v>
      </c>
      <c r="B7559" s="35" t="s">
        <v>462</v>
      </c>
      <c r="C7559" s="35" t="s">
        <v>405</v>
      </c>
      <c r="D7559" s="35" t="s">
        <v>1525</v>
      </c>
      <c r="E7559" s="35" t="s">
        <v>1530</v>
      </c>
      <c r="F7559" s="35" t="s">
        <v>353</v>
      </c>
      <c r="G7559" s="35" t="s">
        <v>402</v>
      </c>
    </row>
    <row r="7560" spans="1:7">
      <c r="A7560" s="34">
        <v>2084229260</v>
      </c>
      <c r="B7560" s="35" t="s">
        <v>462</v>
      </c>
      <c r="C7560" s="35" t="s">
        <v>405</v>
      </c>
      <c r="D7560" s="35" t="s">
        <v>1525</v>
      </c>
      <c r="E7560" s="35" t="s">
        <v>1530</v>
      </c>
      <c r="F7560" s="35" t="s">
        <v>353</v>
      </c>
      <c r="G7560" s="35" t="s">
        <v>403</v>
      </c>
    </row>
    <row r="7561" spans="1:7">
      <c r="A7561" s="34">
        <v>2084229261</v>
      </c>
      <c r="B7561" s="35" t="s">
        <v>462</v>
      </c>
      <c r="C7561" s="35" t="s">
        <v>405</v>
      </c>
      <c r="D7561" s="35" t="s">
        <v>1525</v>
      </c>
      <c r="E7561" s="35" t="s">
        <v>1530</v>
      </c>
      <c r="F7561" s="35" t="s">
        <v>353</v>
      </c>
      <c r="G7561" s="35" t="s">
        <v>335</v>
      </c>
    </row>
    <row r="7562" spans="1:7">
      <c r="A7562" s="34">
        <v>2084205179</v>
      </c>
      <c r="B7562" s="35" t="s">
        <v>462</v>
      </c>
      <c r="C7562" s="35" t="s">
        <v>405</v>
      </c>
      <c r="D7562" s="35" t="s">
        <v>1525</v>
      </c>
      <c r="E7562" s="35" t="s">
        <v>1530</v>
      </c>
      <c r="F7562" s="35" t="s">
        <v>335</v>
      </c>
    </row>
    <row r="7563" spans="1:7">
      <c r="A7563" s="34">
        <v>2084200717</v>
      </c>
      <c r="B7563" s="35" t="s">
        <v>462</v>
      </c>
      <c r="C7563" s="35" t="s">
        <v>405</v>
      </c>
      <c r="D7563" s="35" t="s">
        <v>1525</v>
      </c>
      <c r="E7563" s="35" t="s">
        <v>1531</v>
      </c>
      <c r="F7563" s="35" t="s">
        <v>557</v>
      </c>
      <c r="G7563" s="35" t="s">
        <v>407</v>
      </c>
    </row>
    <row r="7564" spans="1:7">
      <c r="A7564" s="34">
        <v>2084200718</v>
      </c>
      <c r="B7564" s="35" t="s">
        <v>462</v>
      </c>
      <c r="C7564" s="35" t="s">
        <v>405</v>
      </c>
      <c r="D7564" s="35" t="s">
        <v>1525</v>
      </c>
      <c r="E7564" s="35" t="s">
        <v>1531</v>
      </c>
      <c r="F7564" s="35" t="s">
        <v>557</v>
      </c>
      <c r="G7564" s="35" t="s">
        <v>408</v>
      </c>
    </row>
    <row r="7565" spans="1:7">
      <c r="A7565" s="34">
        <v>2084200719</v>
      </c>
      <c r="B7565" s="35" t="s">
        <v>462</v>
      </c>
      <c r="C7565" s="35" t="s">
        <v>405</v>
      </c>
      <c r="D7565" s="35" t="s">
        <v>1525</v>
      </c>
      <c r="E7565" s="35" t="s">
        <v>1531</v>
      </c>
      <c r="F7565" s="35" t="s">
        <v>335</v>
      </c>
    </row>
    <row r="7566" spans="1:7">
      <c r="A7566" s="34">
        <v>2084055652</v>
      </c>
      <c r="B7566" s="35" t="s">
        <v>462</v>
      </c>
      <c r="C7566" s="35" t="s">
        <v>405</v>
      </c>
      <c r="D7566" s="35" t="s">
        <v>1525</v>
      </c>
      <c r="E7566" s="35" t="s">
        <v>1532</v>
      </c>
      <c r="F7566" s="35" t="s">
        <v>367</v>
      </c>
    </row>
    <row r="7567" spans="1:7">
      <c r="A7567" s="34">
        <v>2084055654</v>
      </c>
      <c r="B7567" s="35" t="s">
        <v>462</v>
      </c>
      <c r="C7567" s="35" t="s">
        <v>405</v>
      </c>
      <c r="D7567" s="35" t="s">
        <v>1525</v>
      </c>
      <c r="E7567" s="35" t="s">
        <v>1532</v>
      </c>
      <c r="F7567" s="35" t="s">
        <v>368</v>
      </c>
      <c r="G7567" s="35" t="s">
        <v>481</v>
      </c>
    </row>
    <row r="7568" spans="1:7">
      <c r="A7568" s="34">
        <v>2084055655</v>
      </c>
      <c r="B7568" s="35" t="s">
        <v>462</v>
      </c>
      <c r="C7568" s="35" t="s">
        <v>405</v>
      </c>
      <c r="D7568" s="35" t="s">
        <v>1525</v>
      </c>
      <c r="E7568" s="35" t="s">
        <v>1532</v>
      </c>
      <c r="F7568" s="35" t="s">
        <v>368</v>
      </c>
      <c r="G7568" s="35" t="s">
        <v>335</v>
      </c>
    </row>
    <row r="7569" spans="1:7">
      <c r="A7569" s="34">
        <v>2084055661</v>
      </c>
      <c r="B7569" s="35" t="s">
        <v>462</v>
      </c>
      <c r="C7569" s="35" t="s">
        <v>405</v>
      </c>
      <c r="D7569" s="35" t="s">
        <v>1525</v>
      </c>
      <c r="E7569" s="35" t="s">
        <v>1532</v>
      </c>
      <c r="F7569" s="35" t="s">
        <v>10</v>
      </c>
      <c r="G7569" s="35" t="s">
        <v>483</v>
      </c>
    </row>
    <row r="7570" spans="1:7">
      <c r="A7570" s="34">
        <v>2084055658</v>
      </c>
      <c r="B7570" s="35" t="s">
        <v>462</v>
      </c>
      <c r="C7570" s="35" t="s">
        <v>405</v>
      </c>
      <c r="D7570" s="35" t="s">
        <v>1525</v>
      </c>
      <c r="E7570" s="35" t="s">
        <v>1532</v>
      </c>
      <c r="F7570" s="35" t="s">
        <v>10</v>
      </c>
      <c r="G7570" s="35" t="s">
        <v>397</v>
      </c>
    </row>
    <row r="7571" spans="1:7">
      <c r="A7571" s="34">
        <v>2084055660</v>
      </c>
      <c r="B7571" s="35" t="s">
        <v>462</v>
      </c>
      <c r="C7571" s="35" t="s">
        <v>405</v>
      </c>
      <c r="D7571" s="35" t="s">
        <v>1525</v>
      </c>
      <c r="E7571" s="35" t="s">
        <v>1532</v>
      </c>
      <c r="F7571" s="35" t="s">
        <v>10</v>
      </c>
      <c r="G7571" s="35" t="s">
        <v>421</v>
      </c>
    </row>
    <row r="7572" spans="1:7">
      <c r="A7572" s="34">
        <v>2084055657</v>
      </c>
      <c r="B7572" s="35" t="s">
        <v>462</v>
      </c>
      <c r="C7572" s="35" t="s">
        <v>405</v>
      </c>
      <c r="D7572" s="35" t="s">
        <v>1525</v>
      </c>
      <c r="E7572" s="35" t="s">
        <v>1532</v>
      </c>
      <c r="F7572" s="35" t="s">
        <v>10</v>
      </c>
      <c r="G7572" s="35" t="s">
        <v>398</v>
      </c>
    </row>
    <row r="7573" spans="1:7">
      <c r="A7573" s="34">
        <v>2084055659</v>
      </c>
      <c r="B7573" s="35" t="s">
        <v>462</v>
      </c>
      <c r="C7573" s="35" t="s">
        <v>405</v>
      </c>
      <c r="D7573" s="35" t="s">
        <v>1525</v>
      </c>
      <c r="E7573" s="35" t="s">
        <v>1532</v>
      </c>
      <c r="F7573" s="35" t="s">
        <v>10</v>
      </c>
      <c r="G7573" s="35" t="s">
        <v>422</v>
      </c>
    </row>
    <row r="7574" spans="1:7">
      <c r="A7574" s="34">
        <v>2084055662</v>
      </c>
      <c r="B7574" s="35" t="s">
        <v>462</v>
      </c>
      <c r="C7574" s="35" t="s">
        <v>405</v>
      </c>
      <c r="D7574" s="35" t="s">
        <v>1525</v>
      </c>
      <c r="E7574" s="35" t="s">
        <v>1532</v>
      </c>
      <c r="F7574" s="35" t="s">
        <v>10</v>
      </c>
      <c r="G7574" s="35" t="s">
        <v>335</v>
      </c>
    </row>
    <row r="7575" spans="1:7">
      <c r="A7575" s="34">
        <v>2084055664</v>
      </c>
      <c r="B7575" s="35" t="s">
        <v>462</v>
      </c>
      <c r="C7575" s="35" t="s">
        <v>405</v>
      </c>
      <c r="D7575" s="35" t="s">
        <v>1525</v>
      </c>
      <c r="E7575" s="35" t="s">
        <v>1532</v>
      </c>
      <c r="F7575" s="35" t="s">
        <v>379</v>
      </c>
      <c r="G7575" s="35" t="s">
        <v>476</v>
      </c>
    </row>
    <row r="7576" spans="1:7">
      <c r="A7576" s="34">
        <v>2084055665</v>
      </c>
      <c r="B7576" s="35" t="s">
        <v>462</v>
      </c>
      <c r="C7576" s="35" t="s">
        <v>405</v>
      </c>
      <c r="D7576" s="35" t="s">
        <v>1525</v>
      </c>
      <c r="E7576" s="35" t="s">
        <v>1532</v>
      </c>
      <c r="F7576" s="35" t="s">
        <v>379</v>
      </c>
      <c r="G7576" s="35" t="s">
        <v>335</v>
      </c>
    </row>
    <row r="7577" spans="1:7">
      <c r="A7577" s="34">
        <v>2084061718</v>
      </c>
      <c r="B7577" s="35" t="s">
        <v>462</v>
      </c>
      <c r="C7577" s="35" t="s">
        <v>405</v>
      </c>
      <c r="D7577" s="35" t="s">
        <v>1525</v>
      </c>
      <c r="E7577" s="35" t="s">
        <v>1532</v>
      </c>
      <c r="F7577" s="35" t="s">
        <v>478</v>
      </c>
    </row>
    <row r="7578" spans="1:7">
      <c r="A7578" s="34">
        <v>2084061724</v>
      </c>
      <c r="B7578" s="35" t="s">
        <v>462</v>
      </c>
      <c r="C7578" s="35" t="s">
        <v>405</v>
      </c>
      <c r="D7578" s="35" t="s">
        <v>1525</v>
      </c>
      <c r="E7578" s="35" t="s">
        <v>1532</v>
      </c>
      <c r="F7578" s="35" t="s">
        <v>611</v>
      </c>
      <c r="G7578" s="35" t="s">
        <v>804</v>
      </c>
    </row>
    <row r="7579" spans="1:7">
      <c r="A7579" s="34">
        <v>2084061725</v>
      </c>
      <c r="B7579" s="35" t="s">
        <v>462</v>
      </c>
      <c r="C7579" s="35" t="s">
        <v>405</v>
      </c>
      <c r="D7579" s="35" t="s">
        <v>1525</v>
      </c>
      <c r="E7579" s="35" t="s">
        <v>1532</v>
      </c>
      <c r="F7579" s="35" t="s">
        <v>611</v>
      </c>
      <c r="G7579" s="35" t="s">
        <v>335</v>
      </c>
    </row>
    <row r="7580" spans="1:7">
      <c r="A7580" s="34">
        <v>2084061721</v>
      </c>
      <c r="B7580" s="35" t="s">
        <v>462</v>
      </c>
      <c r="C7580" s="35" t="s">
        <v>405</v>
      </c>
      <c r="D7580" s="35" t="s">
        <v>1525</v>
      </c>
      <c r="E7580" s="35" t="s">
        <v>1532</v>
      </c>
      <c r="F7580" s="35" t="s">
        <v>442</v>
      </c>
      <c r="G7580" s="35" t="s">
        <v>335</v>
      </c>
    </row>
    <row r="7581" spans="1:7">
      <c r="A7581" s="34">
        <v>2084061720</v>
      </c>
      <c r="B7581" s="35" t="s">
        <v>462</v>
      </c>
      <c r="C7581" s="35" t="s">
        <v>405</v>
      </c>
      <c r="D7581" s="35" t="s">
        <v>1525</v>
      </c>
      <c r="E7581" s="35" t="s">
        <v>1532</v>
      </c>
      <c r="F7581" s="35" t="s">
        <v>442</v>
      </c>
      <c r="G7581" s="35" t="s">
        <v>445</v>
      </c>
    </row>
    <row r="7582" spans="1:7">
      <c r="A7582" s="34">
        <v>2084055666</v>
      </c>
      <c r="B7582" s="35" t="s">
        <v>462</v>
      </c>
      <c r="C7582" s="35" t="s">
        <v>405</v>
      </c>
      <c r="D7582" s="35" t="s">
        <v>1525</v>
      </c>
      <c r="E7582" s="35" t="s">
        <v>1532</v>
      </c>
      <c r="F7582" s="35" t="s">
        <v>335</v>
      </c>
    </row>
    <row r="7583" spans="1:7">
      <c r="A7583" s="34">
        <v>2084308652</v>
      </c>
      <c r="B7583" s="35" t="s">
        <v>462</v>
      </c>
      <c r="C7583" s="35" t="s">
        <v>405</v>
      </c>
      <c r="D7583" s="35" t="s">
        <v>1525</v>
      </c>
      <c r="E7583" s="35" t="s">
        <v>1533</v>
      </c>
      <c r="F7583" s="35" t="s">
        <v>475</v>
      </c>
    </row>
    <row r="7584" spans="1:7">
      <c r="A7584" s="34">
        <v>2084308653</v>
      </c>
      <c r="B7584" s="35" t="s">
        <v>462</v>
      </c>
      <c r="C7584" s="35" t="s">
        <v>405</v>
      </c>
      <c r="D7584" s="35" t="s">
        <v>1525</v>
      </c>
      <c r="E7584" s="35" t="s">
        <v>1533</v>
      </c>
      <c r="F7584" s="35" t="s">
        <v>367</v>
      </c>
    </row>
    <row r="7585" spans="1:8">
      <c r="A7585" s="34">
        <v>2084308654</v>
      </c>
      <c r="B7585" s="35" t="s">
        <v>462</v>
      </c>
      <c r="C7585" s="35" t="s">
        <v>405</v>
      </c>
      <c r="D7585" s="35" t="s">
        <v>1525</v>
      </c>
      <c r="E7585" s="35" t="s">
        <v>1533</v>
      </c>
      <c r="F7585" s="35" t="s">
        <v>401</v>
      </c>
    </row>
    <row r="7586" spans="1:8">
      <c r="A7586" s="34">
        <v>2084308655</v>
      </c>
      <c r="B7586" s="35" t="s">
        <v>462</v>
      </c>
      <c r="C7586" s="35" t="s">
        <v>405</v>
      </c>
      <c r="D7586" s="35" t="s">
        <v>1525</v>
      </c>
      <c r="E7586" s="35" t="s">
        <v>1533</v>
      </c>
      <c r="F7586" s="35" t="s">
        <v>402</v>
      </c>
    </row>
    <row r="7587" spans="1:8">
      <c r="A7587" s="34">
        <v>2084308657</v>
      </c>
      <c r="B7587" s="35" t="s">
        <v>462</v>
      </c>
      <c r="C7587" s="35" t="s">
        <v>405</v>
      </c>
      <c r="D7587" s="35" t="s">
        <v>1525</v>
      </c>
      <c r="E7587" s="35" t="s">
        <v>1533</v>
      </c>
      <c r="F7587" s="35" t="s">
        <v>476</v>
      </c>
    </row>
    <row r="7588" spans="1:8">
      <c r="A7588" s="34">
        <v>2084308656</v>
      </c>
      <c r="B7588" s="35" t="s">
        <v>462</v>
      </c>
      <c r="C7588" s="35" t="s">
        <v>405</v>
      </c>
      <c r="D7588" s="35" t="s">
        <v>1525</v>
      </c>
      <c r="E7588" s="35" t="s">
        <v>1533</v>
      </c>
      <c r="F7588" s="35" t="s">
        <v>477</v>
      </c>
    </row>
    <row r="7589" spans="1:8">
      <c r="A7589" s="34">
        <v>2084308658</v>
      </c>
      <c r="B7589" s="35" t="s">
        <v>462</v>
      </c>
      <c r="C7589" s="35" t="s">
        <v>405</v>
      </c>
      <c r="D7589" s="35" t="s">
        <v>1525</v>
      </c>
      <c r="E7589" s="35" t="s">
        <v>1533</v>
      </c>
      <c r="F7589" s="35" t="s">
        <v>478</v>
      </c>
    </row>
    <row r="7590" spans="1:8">
      <c r="A7590" s="34">
        <v>2084308659</v>
      </c>
      <c r="B7590" s="35" t="s">
        <v>462</v>
      </c>
      <c r="C7590" s="35" t="s">
        <v>405</v>
      </c>
      <c r="D7590" s="35" t="s">
        <v>1525</v>
      </c>
      <c r="E7590" s="35" t="s">
        <v>1533</v>
      </c>
      <c r="F7590" s="35" t="s">
        <v>484</v>
      </c>
    </row>
    <row r="7591" spans="1:8">
      <c r="A7591" s="34">
        <v>2084308660</v>
      </c>
      <c r="B7591" s="35" t="s">
        <v>462</v>
      </c>
      <c r="C7591" s="35" t="s">
        <v>405</v>
      </c>
      <c r="D7591" s="35" t="s">
        <v>1525</v>
      </c>
      <c r="E7591" s="35" t="s">
        <v>1533</v>
      </c>
      <c r="F7591" s="35" t="s">
        <v>335</v>
      </c>
    </row>
    <row r="7592" spans="1:8">
      <c r="A7592" s="34">
        <v>2084230026</v>
      </c>
      <c r="B7592" s="35" t="s">
        <v>462</v>
      </c>
      <c r="C7592" s="35" t="s">
        <v>405</v>
      </c>
      <c r="D7592" s="35" t="s">
        <v>1525</v>
      </c>
      <c r="E7592" s="35" t="s">
        <v>1534</v>
      </c>
    </row>
    <row r="7593" spans="1:8">
      <c r="A7593" s="34">
        <v>2084260063</v>
      </c>
      <c r="B7593" s="35" t="s">
        <v>462</v>
      </c>
      <c r="C7593" s="35" t="s">
        <v>405</v>
      </c>
      <c r="D7593" s="35" t="s">
        <v>1525</v>
      </c>
      <c r="E7593" s="35" t="s">
        <v>1535</v>
      </c>
    </row>
    <row r="7594" spans="1:8">
      <c r="A7594" s="34">
        <v>2084261355</v>
      </c>
      <c r="B7594" s="35" t="s">
        <v>462</v>
      </c>
      <c r="C7594" s="35" t="s">
        <v>405</v>
      </c>
      <c r="D7594" s="35" t="s">
        <v>1525</v>
      </c>
      <c r="E7594" s="35" t="s">
        <v>1536</v>
      </c>
    </row>
    <row r="7595" spans="1:8">
      <c r="A7595" s="34">
        <v>2084193028</v>
      </c>
      <c r="B7595" s="35" t="s">
        <v>462</v>
      </c>
      <c r="C7595" s="35" t="s">
        <v>405</v>
      </c>
      <c r="D7595" s="35" t="s">
        <v>1525</v>
      </c>
      <c r="E7595" s="35" t="s">
        <v>1537</v>
      </c>
      <c r="F7595" s="35" t="s">
        <v>390</v>
      </c>
      <c r="G7595" s="35" t="s">
        <v>367</v>
      </c>
    </row>
    <row r="7596" spans="1:8">
      <c r="A7596" s="34">
        <v>2084193031</v>
      </c>
      <c r="B7596" s="35" t="s">
        <v>462</v>
      </c>
      <c r="C7596" s="35" t="s">
        <v>405</v>
      </c>
      <c r="D7596" s="35" t="s">
        <v>1525</v>
      </c>
      <c r="E7596" s="35" t="s">
        <v>1537</v>
      </c>
      <c r="F7596" s="35" t="s">
        <v>390</v>
      </c>
      <c r="G7596" s="35" t="s">
        <v>368</v>
      </c>
      <c r="H7596" s="35" t="s">
        <v>481</v>
      </c>
    </row>
    <row r="7597" spans="1:8">
      <c r="A7597" s="34">
        <v>2084193030</v>
      </c>
      <c r="B7597" s="35" t="s">
        <v>462</v>
      </c>
      <c r="C7597" s="35" t="s">
        <v>405</v>
      </c>
      <c r="D7597" s="35" t="s">
        <v>1525</v>
      </c>
      <c r="E7597" s="35" t="s">
        <v>1537</v>
      </c>
      <c r="F7597" s="35" t="s">
        <v>390</v>
      </c>
      <c r="G7597" s="35" t="s">
        <v>368</v>
      </c>
      <c r="H7597" s="35" t="s">
        <v>482</v>
      </c>
    </row>
    <row r="7598" spans="1:8">
      <c r="A7598" s="34">
        <v>2084193032</v>
      </c>
      <c r="B7598" s="35" t="s">
        <v>462</v>
      </c>
      <c r="C7598" s="35" t="s">
        <v>405</v>
      </c>
      <c r="D7598" s="35" t="s">
        <v>1525</v>
      </c>
      <c r="E7598" s="35" t="s">
        <v>1537</v>
      </c>
      <c r="F7598" s="35" t="s">
        <v>390</v>
      </c>
      <c r="G7598" s="35" t="s">
        <v>368</v>
      </c>
      <c r="H7598" s="35" t="s">
        <v>335</v>
      </c>
    </row>
    <row r="7599" spans="1:8">
      <c r="A7599" s="34">
        <v>2084193038</v>
      </c>
      <c r="B7599" s="35" t="s">
        <v>462</v>
      </c>
      <c r="C7599" s="35" t="s">
        <v>405</v>
      </c>
      <c r="D7599" s="35" t="s">
        <v>1525</v>
      </c>
      <c r="E7599" s="35" t="s">
        <v>1537</v>
      </c>
      <c r="F7599" s="35" t="s">
        <v>390</v>
      </c>
      <c r="G7599" s="35" t="s">
        <v>10</v>
      </c>
      <c r="H7599" s="35" t="s">
        <v>483</v>
      </c>
    </row>
    <row r="7600" spans="1:8">
      <c r="A7600" s="34">
        <v>2084193035</v>
      </c>
      <c r="B7600" s="35" t="s">
        <v>462</v>
      </c>
      <c r="C7600" s="35" t="s">
        <v>405</v>
      </c>
      <c r="D7600" s="35" t="s">
        <v>1525</v>
      </c>
      <c r="E7600" s="35" t="s">
        <v>1537</v>
      </c>
      <c r="F7600" s="35" t="s">
        <v>390</v>
      </c>
      <c r="G7600" s="35" t="s">
        <v>10</v>
      </c>
      <c r="H7600" s="35" t="s">
        <v>397</v>
      </c>
    </row>
    <row r="7601" spans="1:8">
      <c r="A7601" s="34">
        <v>2084193037</v>
      </c>
      <c r="B7601" s="35" t="s">
        <v>462</v>
      </c>
      <c r="C7601" s="35" t="s">
        <v>405</v>
      </c>
      <c r="D7601" s="35" t="s">
        <v>1525</v>
      </c>
      <c r="E7601" s="35" t="s">
        <v>1537</v>
      </c>
      <c r="F7601" s="35" t="s">
        <v>390</v>
      </c>
      <c r="G7601" s="35" t="s">
        <v>10</v>
      </c>
      <c r="H7601" s="35" t="s">
        <v>421</v>
      </c>
    </row>
    <row r="7602" spans="1:8">
      <c r="A7602" s="34">
        <v>2084193034</v>
      </c>
      <c r="B7602" s="35" t="s">
        <v>462</v>
      </c>
      <c r="C7602" s="35" t="s">
        <v>405</v>
      </c>
      <c r="D7602" s="35" t="s">
        <v>1525</v>
      </c>
      <c r="E7602" s="35" t="s">
        <v>1537</v>
      </c>
      <c r="F7602" s="35" t="s">
        <v>390</v>
      </c>
      <c r="G7602" s="35" t="s">
        <v>10</v>
      </c>
      <c r="H7602" s="35" t="s">
        <v>398</v>
      </c>
    </row>
    <row r="7603" spans="1:8">
      <c r="A7603" s="34">
        <v>2084193036</v>
      </c>
      <c r="B7603" s="35" t="s">
        <v>462</v>
      </c>
      <c r="C7603" s="35" t="s">
        <v>405</v>
      </c>
      <c r="D7603" s="35" t="s">
        <v>1525</v>
      </c>
      <c r="E7603" s="35" t="s">
        <v>1537</v>
      </c>
      <c r="F7603" s="35" t="s">
        <v>390</v>
      </c>
      <c r="G7603" s="35" t="s">
        <v>10</v>
      </c>
      <c r="H7603" s="35" t="s">
        <v>422</v>
      </c>
    </row>
    <row r="7604" spans="1:8">
      <c r="A7604" s="34">
        <v>2084193039</v>
      </c>
      <c r="B7604" s="35" t="s">
        <v>462</v>
      </c>
      <c r="C7604" s="35" t="s">
        <v>405</v>
      </c>
      <c r="D7604" s="35" t="s">
        <v>1525</v>
      </c>
      <c r="E7604" s="35" t="s">
        <v>1537</v>
      </c>
      <c r="F7604" s="35" t="s">
        <v>390</v>
      </c>
      <c r="G7604" s="35" t="s">
        <v>10</v>
      </c>
      <c r="H7604" s="35" t="s">
        <v>335</v>
      </c>
    </row>
    <row r="7605" spans="1:8">
      <c r="A7605" s="34">
        <v>2084193042</v>
      </c>
      <c r="B7605" s="35" t="s">
        <v>462</v>
      </c>
      <c r="C7605" s="35" t="s">
        <v>405</v>
      </c>
      <c r="D7605" s="35" t="s">
        <v>1525</v>
      </c>
      <c r="E7605" s="35" t="s">
        <v>1537</v>
      </c>
      <c r="F7605" s="35" t="s">
        <v>390</v>
      </c>
      <c r="G7605" s="35" t="s">
        <v>379</v>
      </c>
      <c r="H7605" s="35" t="s">
        <v>545</v>
      </c>
    </row>
    <row r="7606" spans="1:8">
      <c r="A7606" s="34">
        <v>2084193041</v>
      </c>
      <c r="B7606" s="35" t="s">
        <v>462</v>
      </c>
      <c r="C7606" s="35" t="s">
        <v>405</v>
      </c>
      <c r="D7606" s="35" t="s">
        <v>1525</v>
      </c>
      <c r="E7606" s="35" t="s">
        <v>1537</v>
      </c>
      <c r="F7606" s="35" t="s">
        <v>390</v>
      </c>
      <c r="G7606" s="35" t="s">
        <v>379</v>
      </c>
      <c r="H7606" s="35" t="s">
        <v>476</v>
      </c>
    </row>
    <row r="7607" spans="1:8">
      <c r="A7607" s="34">
        <v>2084193043</v>
      </c>
      <c r="B7607" s="35" t="s">
        <v>462</v>
      </c>
      <c r="C7607" s="35" t="s">
        <v>405</v>
      </c>
      <c r="D7607" s="35" t="s">
        <v>1525</v>
      </c>
      <c r="E7607" s="35" t="s">
        <v>1537</v>
      </c>
      <c r="F7607" s="35" t="s">
        <v>390</v>
      </c>
      <c r="G7607" s="35" t="s">
        <v>379</v>
      </c>
      <c r="H7607" s="35" t="s">
        <v>335</v>
      </c>
    </row>
    <row r="7608" spans="1:8">
      <c r="A7608" s="34">
        <v>2084194492</v>
      </c>
      <c r="B7608" s="35" t="s">
        <v>462</v>
      </c>
      <c r="C7608" s="35" t="s">
        <v>405</v>
      </c>
      <c r="D7608" s="35" t="s">
        <v>1525</v>
      </c>
      <c r="E7608" s="35" t="s">
        <v>1537</v>
      </c>
      <c r="F7608" s="35" t="s">
        <v>390</v>
      </c>
      <c r="G7608" s="35" t="s">
        <v>478</v>
      </c>
    </row>
    <row r="7609" spans="1:8">
      <c r="A7609" s="34">
        <v>2084193044</v>
      </c>
      <c r="B7609" s="35" t="s">
        <v>462</v>
      </c>
      <c r="C7609" s="35" t="s">
        <v>405</v>
      </c>
      <c r="D7609" s="35" t="s">
        <v>1525</v>
      </c>
      <c r="E7609" s="35" t="s">
        <v>1537</v>
      </c>
      <c r="F7609" s="35" t="s">
        <v>390</v>
      </c>
      <c r="G7609" s="35" t="s">
        <v>335</v>
      </c>
    </row>
    <row r="7610" spans="1:8">
      <c r="A7610" s="34">
        <v>2084193046</v>
      </c>
      <c r="B7610" s="35" t="s">
        <v>462</v>
      </c>
      <c r="C7610" s="35" t="s">
        <v>405</v>
      </c>
      <c r="D7610" s="35" t="s">
        <v>1525</v>
      </c>
      <c r="E7610" s="35" t="s">
        <v>1537</v>
      </c>
      <c r="F7610" s="35" t="s">
        <v>353</v>
      </c>
      <c r="G7610" s="35" t="s">
        <v>367</v>
      </c>
    </row>
    <row r="7611" spans="1:8">
      <c r="A7611" s="34">
        <v>2084193047</v>
      </c>
      <c r="B7611" s="35" t="s">
        <v>462</v>
      </c>
      <c r="C7611" s="35" t="s">
        <v>405</v>
      </c>
      <c r="D7611" s="35" t="s">
        <v>1525</v>
      </c>
      <c r="E7611" s="35" t="s">
        <v>1537</v>
      </c>
      <c r="F7611" s="35" t="s">
        <v>353</v>
      </c>
      <c r="G7611" s="35" t="s">
        <v>401</v>
      </c>
    </row>
    <row r="7612" spans="1:8">
      <c r="A7612" s="34">
        <v>2084193048</v>
      </c>
      <c r="B7612" s="35" t="s">
        <v>462</v>
      </c>
      <c r="C7612" s="35" t="s">
        <v>405</v>
      </c>
      <c r="D7612" s="35" t="s">
        <v>1525</v>
      </c>
      <c r="E7612" s="35" t="s">
        <v>1537</v>
      </c>
      <c r="F7612" s="35" t="s">
        <v>353</v>
      </c>
      <c r="G7612" s="35" t="s">
        <v>402</v>
      </c>
    </row>
    <row r="7613" spans="1:8">
      <c r="A7613" s="34">
        <v>2084193049</v>
      </c>
      <c r="B7613" s="35" t="s">
        <v>462</v>
      </c>
      <c r="C7613" s="35" t="s">
        <v>405</v>
      </c>
      <c r="D7613" s="35" t="s">
        <v>1525</v>
      </c>
      <c r="E7613" s="35" t="s">
        <v>1537</v>
      </c>
      <c r="F7613" s="35" t="s">
        <v>353</v>
      </c>
      <c r="G7613" s="35" t="s">
        <v>403</v>
      </c>
    </row>
    <row r="7614" spans="1:8">
      <c r="A7614" s="34">
        <v>2084193050</v>
      </c>
      <c r="B7614" s="35" t="s">
        <v>462</v>
      </c>
      <c r="C7614" s="35" t="s">
        <v>405</v>
      </c>
      <c r="D7614" s="35" t="s">
        <v>1525</v>
      </c>
      <c r="E7614" s="35" t="s">
        <v>1537</v>
      </c>
      <c r="F7614" s="35" t="s">
        <v>353</v>
      </c>
      <c r="G7614" s="35" t="s">
        <v>335</v>
      </c>
    </row>
    <row r="7615" spans="1:8">
      <c r="A7615" s="34">
        <v>2084193051</v>
      </c>
      <c r="B7615" s="35" t="s">
        <v>462</v>
      </c>
      <c r="C7615" s="35" t="s">
        <v>405</v>
      </c>
      <c r="D7615" s="35" t="s">
        <v>1525</v>
      </c>
      <c r="E7615" s="35" t="s">
        <v>1537</v>
      </c>
      <c r="F7615" s="35" t="s">
        <v>335</v>
      </c>
    </row>
    <row r="7616" spans="1:8">
      <c r="A7616" s="34">
        <v>2084238784</v>
      </c>
      <c r="B7616" s="35" t="s">
        <v>462</v>
      </c>
      <c r="C7616" s="35" t="s">
        <v>405</v>
      </c>
      <c r="D7616" s="35" t="s">
        <v>1525</v>
      </c>
      <c r="E7616" s="35" t="s">
        <v>1538</v>
      </c>
      <c r="F7616" s="35" t="s">
        <v>390</v>
      </c>
      <c r="G7616" s="35" t="s">
        <v>367</v>
      </c>
    </row>
    <row r="7617" spans="1:7">
      <c r="A7617" s="34">
        <v>2084238785</v>
      </c>
      <c r="B7617" s="35" t="s">
        <v>462</v>
      </c>
      <c r="C7617" s="35" t="s">
        <v>405</v>
      </c>
      <c r="D7617" s="35" t="s">
        <v>1525</v>
      </c>
      <c r="E7617" s="35" t="s">
        <v>1538</v>
      </c>
      <c r="F7617" s="35" t="s">
        <v>390</v>
      </c>
      <c r="G7617" s="35" t="s">
        <v>401</v>
      </c>
    </row>
    <row r="7618" spans="1:7">
      <c r="A7618" s="34">
        <v>2084238788</v>
      </c>
      <c r="B7618" s="35" t="s">
        <v>462</v>
      </c>
      <c r="C7618" s="35" t="s">
        <v>405</v>
      </c>
      <c r="D7618" s="35" t="s">
        <v>1525</v>
      </c>
      <c r="E7618" s="35" t="s">
        <v>1538</v>
      </c>
      <c r="F7618" s="35" t="s">
        <v>390</v>
      </c>
      <c r="G7618" s="35" t="s">
        <v>402</v>
      </c>
    </row>
    <row r="7619" spans="1:7">
      <c r="A7619" s="34">
        <v>2084238787</v>
      </c>
      <c r="B7619" s="35" t="s">
        <v>462</v>
      </c>
      <c r="C7619" s="35" t="s">
        <v>405</v>
      </c>
      <c r="D7619" s="35" t="s">
        <v>1525</v>
      </c>
      <c r="E7619" s="35" t="s">
        <v>1538</v>
      </c>
      <c r="F7619" s="35" t="s">
        <v>390</v>
      </c>
      <c r="G7619" s="35" t="s">
        <v>403</v>
      </c>
    </row>
    <row r="7620" spans="1:7">
      <c r="A7620" s="34">
        <v>2084238786</v>
      </c>
      <c r="B7620" s="35" t="s">
        <v>462</v>
      </c>
      <c r="C7620" s="35" t="s">
        <v>405</v>
      </c>
      <c r="D7620" s="35" t="s">
        <v>1525</v>
      </c>
      <c r="E7620" s="35" t="s">
        <v>1538</v>
      </c>
      <c r="F7620" s="35" t="s">
        <v>390</v>
      </c>
      <c r="G7620" s="35" t="s">
        <v>478</v>
      </c>
    </row>
    <row r="7621" spans="1:7">
      <c r="A7621" s="34">
        <v>2084238789</v>
      </c>
      <c r="B7621" s="35" t="s">
        <v>462</v>
      </c>
      <c r="C7621" s="35" t="s">
        <v>405</v>
      </c>
      <c r="D7621" s="35" t="s">
        <v>1525</v>
      </c>
      <c r="E7621" s="35" t="s">
        <v>1538</v>
      </c>
      <c r="F7621" s="35" t="s">
        <v>390</v>
      </c>
      <c r="G7621" s="35" t="s">
        <v>335</v>
      </c>
    </row>
    <row r="7622" spans="1:7">
      <c r="A7622" s="34">
        <v>2084238790</v>
      </c>
      <c r="B7622" s="35" t="s">
        <v>462</v>
      </c>
      <c r="C7622" s="35" t="s">
        <v>405</v>
      </c>
      <c r="D7622" s="35" t="s">
        <v>1525</v>
      </c>
      <c r="E7622" s="35" t="s">
        <v>1538</v>
      </c>
      <c r="F7622" s="35" t="s">
        <v>335</v>
      </c>
    </row>
    <row r="7623" spans="1:7">
      <c r="A7623" s="34">
        <v>2084050349</v>
      </c>
      <c r="B7623" s="35" t="s">
        <v>462</v>
      </c>
      <c r="C7623" s="35" t="s">
        <v>405</v>
      </c>
      <c r="D7623" s="35" t="s">
        <v>1525</v>
      </c>
      <c r="E7623" s="35" t="s">
        <v>1539</v>
      </c>
    </row>
    <row r="7624" spans="1:7">
      <c r="A7624" s="34">
        <v>2084028190</v>
      </c>
      <c r="B7624" s="35" t="s">
        <v>462</v>
      </c>
      <c r="C7624" s="35" t="s">
        <v>405</v>
      </c>
      <c r="D7624" s="35" t="s">
        <v>1525</v>
      </c>
      <c r="E7624" s="35" t="s">
        <v>1540</v>
      </c>
      <c r="F7624" s="35" t="s">
        <v>367</v>
      </c>
    </row>
    <row r="7625" spans="1:7">
      <c r="A7625" s="34">
        <v>2084029303</v>
      </c>
      <c r="B7625" s="35" t="s">
        <v>462</v>
      </c>
      <c r="C7625" s="35" t="s">
        <v>405</v>
      </c>
      <c r="D7625" s="35" t="s">
        <v>1525</v>
      </c>
      <c r="E7625" s="35" t="s">
        <v>1540</v>
      </c>
      <c r="F7625" s="35" t="s">
        <v>368</v>
      </c>
      <c r="G7625" s="35" t="s">
        <v>481</v>
      </c>
    </row>
    <row r="7626" spans="1:7">
      <c r="A7626" s="34">
        <v>2084028769</v>
      </c>
      <c r="B7626" s="35" t="s">
        <v>462</v>
      </c>
      <c r="C7626" s="35" t="s">
        <v>405</v>
      </c>
      <c r="D7626" s="35" t="s">
        <v>1525</v>
      </c>
      <c r="E7626" s="35" t="s">
        <v>1540</v>
      </c>
      <c r="F7626" s="35" t="s">
        <v>368</v>
      </c>
      <c r="G7626" s="35" t="s">
        <v>482</v>
      </c>
    </row>
    <row r="7627" spans="1:7">
      <c r="A7627" s="34">
        <v>2084029861</v>
      </c>
      <c r="B7627" s="35" t="s">
        <v>462</v>
      </c>
      <c r="C7627" s="35" t="s">
        <v>405</v>
      </c>
      <c r="D7627" s="35" t="s">
        <v>1525</v>
      </c>
      <c r="E7627" s="35" t="s">
        <v>1540</v>
      </c>
      <c r="F7627" s="35" t="s">
        <v>368</v>
      </c>
      <c r="G7627" s="35" t="s">
        <v>494</v>
      </c>
    </row>
    <row r="7628" spans="1:7">
      <c r="A7628" s="34">
        <v>2084246806</v>
      </c>
      <c r="B7628" s="35" t="s">
        <v>462</v>
      </c>
      <c r="C7628" s="35" t="s">
        <v>405</v>
      </c>
      <c r="D7628" s="35" t="s">
        <v>1525</v>
      </c>
      <c r="E7628" s="35" t="s">
        <v>1540</v>
      </c>
      <c r="F7628" s="35" t="s">
        <v>368</v>
      </c>
      <c r="G7628" s="35" t="s">
        <v>335</v>
      </c>
    </row>
    <row r="7629" spans="1:7">
      <c r="A7629" s="34">
        <v>2084027811</v>
      </c>
      <c r="B7629" s="35" t="s">
        <v>462</v>
      </c>
      <c r="C7629" s="35" t="s">
        <v>405</v>
      </c>
      <c r="D7629" s="35" t="s">
        <v>1525</v>
      </c>
      <c r="E7629" s="35" t="s">
        <v>1540</v>
      </c>
      <c r="F7629" s="35" t="s">
        <v>10</v>
      </c>
      <c r="G7629" s="35" t="s">
        <v>510</v>
      </c>
    </row>
    <row r="7630" spans="1:7">
      <c r="A7630" s="34">
        <v>2084027281</v>
      </c>
      <c r="B7630" s="35" t="s">
        <v>462</v>
      </c>
      <c r="C7630" s="35" t="s">
        <v>405</v>
      </c>
      <c r="D7630" s="35" t="s">
        <v>1525</v>
      </c>
      <c r="E7630" s="35" t="s">
        <v>1540</v>
      </c>
      <c r="F7630" s="35" t="s">
        <v>10</v>
      </c>
      <c r="G7630" s="35" t="s">
        <v>397</v>
      </c>
    </row>
    <row r="7631" spans="1:7">
      <c r="A7631" s="34">
        <v>2084027394</v>
      </c>
      <c r="B7631" s="35" t="s">
        <v>462</v>
      </c>
      <c r="C7631" s="35" t="s">
        <v>405</v>
      </c>
      <c r="D7631" s="35" t="s">
        <v>1525</v>
      </c>
      <c r="E7631" s="35" t="s">
        <v>1540</v>
      </c>
      <c r="F7631" s="35" t="s">
        <v>10</v>
      </c>
      <c r="G7631" s="35" t="s">
        <v>515</v>
      </c>
    </row>
    <row r="7632" spans="1:7">
      <c r="A7632" s="34">
        <v>2084027204</v>
      </c>
      <c r="B7632" s="35" t="s">
        <v>462</v>
      </c>
      <c r="C7632" s="35" t="s">
        <v>405</v>
      </c>
      <c r="D7632" s="35" t="s">
        <v>1525</v>
      </c>
      <c r="E7632" s="35" t="s">
        <v>1540</v>
      </c>
      <c r="F7632" s="35" t="s">
        <v>10</v>
      </c>
      <c r="G7632" s="35" t="s">
        <v>398</v>
      </c>
    </row>
    <row r="7633" spans="1:7">
      <c r="A7633" s="34">
        <v>2084027356</v>
      </c>
      <c r="B7633" s="35" t="s">
        <v>462</v>
      </c>
      <c r="C7633" s="35" t="s">
        <v>405</v>
      </c>
      <c r="D7633" s="35" t="s">
        <v>1525</v>
      </c>
      <c r="E7633" s="35" t="s">
        <v>1540</v>
      </c>
      <c r="F7633" s="35" t="s">
        <v>10</v>
      </c>
      <c r="G7633" s="35" t="s">
        <v>518</v>
      </c>
    </row>
    <row r="7634" spans="1:7">
      <c r="A7634" s="34">
        <v>2084027442</v>
      </c>
      <c r="B7634" s="35" t="s">
        <v>462</v>
      </c>
      <c r="C7634" s="35" t="s">
        <v>405</v>
      </c>
      <c r="D7634" s="35" t="s">
        <v>1525</v>
      </c>
      <c r="E7634" s="35" t="s">
        <v>1540</v>
      </c>
      <c r="F7634" s="35" t="s">
        <v>10</v>
      </c>
      <c r="G7634" s="35" t="s">
        <v>512</v>
      </c>
    </row>
    <row r="7635" spans="1:7">
      <c r="A7635" s="34">
        <v>2084027526</v>
      </c>
      <c r="B7635" s="35" t="s">
        <v>462</v>
      </c>
      <c r="C7635" s="35" t="s">
        <v>405</v>
      </c>
      <c r="D7635" s="35" t="s">
        <v>1525</v>
      </c>
      <c r="E7635" s="35" t="s">
        <v>1540</v>
      </c>
      <c r="F7635" s="35" t="s">
        <v>10</v>
      </c>
      <c r="G7635" s="35" t="s">
        <v>421</v>
      </c>
    </row>
    <row r="7636" spans="1:7">
      <c r="A7636" s="34">
        <v>2084027564</v>
      </c>
      <c r="B7636" s="35" t="s">
        <v>462</v>
      </c>
      <c r="C7636" s="35" t="s">
        <v>405</v>
      </c>
      <c r="D7636" s="35" t="s">
        <v>1525</v>
      </c>
      <c r="E7636" s="35" t="s">
        <v>1540</v>
      </c>
      <c r="F7636" s="35" t="s">
        <v>10</v>
      </c>
      <c r="G7636" s="35" t="s">
        <v>422</v>
      </c>
    </row>
    <row r="7637" spans="1:7">
      <c r="A7637" s="34">
        <v>2084027318</v>
      </c>
      <c r="B7637" s="35" t="s">
        <v>462</v>
      </c>
      <c r="C7637" s="35" t="s">
        <v>405</v>
      </c>
      <c r="D7637" s="35" t="s">
        <v>1525</v>
      </c>
      <c r="E7637" s="35" t="s">
        <v>1540</v>
      </c>
      <c r="F7637" s="35" t="s">
        <v>10</v>
      </c>
      <c r="G7637" s="35" t="s">
        <v>509</v>
      </c>
    </row>
    <row r="7638" spans="1:7">
      <c r="A7638" s="34">
        <v>2084027845</v>
      </c>
      <c r="B7638" s="35" t="s">
        <v>462</v>
      </c>
      <c r="C7638" s="35" t="s">
        <v>405</v>
      </c>
      <c r="D7638" s="35" t="s">
        <v>1525</v>
      </c>
      <c r="E7638" s="35" t="s">
        <v>1540</v>
      </c>
      <c r="F7638" s="35" t="s">
        <v>10</v>
      </c>
      <c r="G7638" s="35" t="s">
        <v>511</v>
      </c>
    </row>
    <row r="7639" spans="1:7">
      <c r="A7639" s="34">
        <v>2084027602</v>
      </c>
      <c r="B7639" s="35" t="s">
        <v>462</v>
      </c>
      <c r="C7639" s="35" t="s">
        <v>405</v>
      </c>
      <c r="D7639" s="35" t="s">
        <v>1525</v>
      </c>
      <c r="E7639" s="35" t="s">
        <v>1540</v>
      </c>
      <c r="F7639" s="35" t="s">
        <v>10</v>
      </c>
      <c r="G7639" s="35" t="s">
        <v>513</v>
      </c>
    </row>
    <row r="7640" spans="1:7">
      <c r="A7640" s="34">
        <v>2084027961</v>
      </c>
      <c r="B7640" s="35" t="s">
        <v>462</v>
      </c>
      <c r="C7640" s="35" t="s">
        <v>405</v>
      </c>
      <c r="D7640" s="35" t="s">
        <v>1525</v>
      </c>
      <c r="E7640" s="35" t="s">
        <v>1540</v>
      </c>
      <c r="F7640" s="35" t="s">
        <v>10</v>
      </c>
      <c r="G7640" s="35" t="s">
        <v>420</v>
      </c>
    </row>
    <row r="7641" spans="1:7">
      <c r="A7641" s="34">
        <v>2084027737</v>
      </c>
      <c r="B7641" s="35" t="s">
        <v>462</v>
      </c>
      <c r="C7641" s="35" t="s">
        <v>405</v>
      </c>
      <c r="D7641" s="35" t="s">
        <v>1525</v>
      </c>
      <c r="E7641" s="35" t="s">
        <v>1540</v>
      </c>
      <c r="F7641" s="35" t="s">
        <v>10</v>
      </c>
      <c r="G7641" s="35" t="s">
        <v>516</v>
      </c>
    </row>
    <row r="7642" spans="1:7">
      <c r="A7642" s="34">
        <v>2084027747</v>
      </c>
      <c r="B7642" s="35" t="s">
        <v>462</v>
      </c>
      <c r="C7642" s="35" t="s">
        <v>405</v>
      </c>
      <c r="D7642" s="35" t="s">
        <v>1525</v>
      </c>
      <c r="E7642" s="35" t="s">
        <v>1540</v>
      </c>
      <c r="F7642" s="35" t="s">
        <v>10</v>
      </c>
      <c r="G7642" s="35" t="s">
        <v>519</v>
      </c>
    </row>
    <row r="7643" spans="1:7">
      <c r="A7643" s="34">
        <v>2084027923</v>
      </c>
      <c r="B7643" s="35" t="s">
        <v>462</v>
      </c>
      <c r="C7643" s="35" t="s">
        <v>405</v>
      </c>
      <c r="D7643" s="35" t="s">
        <v>1525</v>
      </c>
      <c r="E7643" s="35" t="s">
        <v>1540</v>
      </c>
      <c r="F7643" s="35" t="s">
        <v>10</v>
      </c>
      <c r="G7643" s="35" t="s">
        <v>544</v>
      </c>
    </row>
    <row r="7644" spans="1:7">
      <c r="A7644" s="34">
        <v>2084246807</v>
      </c>
      <c r="B7644" s="35" t="s">
        <v>462</v>
      </c>
      <c r="C7644" s="35" t="s">
        <v>405</v>
      </c>
      <c r="D7644" s="35" t="s">
        <v>1525</v>
      </c>
      <c r="E7644" s="35" t="s">
        <v>1540</v>
      </c>
      <c r="F7644" s="35" t="s">
        <v>10</v>
      </c>
      <c r="G7644" s="35" t="s">
        <v>335</v>
      </c>
    </row>
    <row r="7645" spans="1:7">
      <c r="A7645" s="34">
        <v>2084027999</v>
      </c>
      <c r="B7645" s="35" t="s">
        <v>462</v>
      </c>
      <c r="C7645" s="35" t="s">
        <v>405</v>
      </c>
      <c r="D7645" s="35" t="s">
        <v>1525</v>
      </c>
      <c r="E7645" s="35" t="s">
        <v>1540</v>
      </c>
      <c r="F7645" s="35" t="s">
        <v>379</v>
      </c>
      <c r="G7645" s="35" t="s">
        <v>520</v>
      </c>
    </row>
    <row r="7646" spans="1:7">
      <c r="A7646" s="34">
        <v>2084028152</v>
      </c>
      <c r="B7646" s="35" t="s">
        <v>462</v>
      </c>
      <c r="C7646" s="35" t="s">
        <v>405</v>
      </c>
      <c r="D7646" s="35" t="s">
        <v>1525</v>
      </c>
      <c r="E7646" s="35" t="s">
        <v>1540</v>
      </c>
      <c r="F7646" s="35" t="s">
        <v>379</v>
      </c>
      <c r="G7646" s="35" t="s">
        <v>522</v>
      </c>
    </row>
    <row r="7647" spans="1:7">
      <c r="A7647" s="34">
        <v>2084028404</v>
      </c>
      <c r="B7647" s="35" t="s">
        <v>462</v>
      </c>
      <c r="C7647" s="35" t="s">
        <v>405</v>
      </c>
      <c r="D7647" s="35" t="s">
        <v>1525</v>
      </c>
      <c r="E7647" s="35" t="s">
        <v>1540</v>
      </c>
      <c r="F7647" s="35" t="s">
        <v>379</v>
      </c>
      <c r="G7647" s="35" t="s">
        <v>523</v>
      </c>
    </row>
    <row r="7648" spans="1:7">
      <c r="A7648" s="34">
        <v>2084028253</v>
      </c>
      <c r="B7648" s="35" t="s">
        <v>462</v>
      </c>
      <c r="C7648" s="35" t="s">
        <v>405</v>
      </c>
      <c r="D7648" s="35" t="s">
        <v>1525</v>
      </c>
      <c r="E7648" s="35" t="s">
        <v>1540</v>
      </c>
      <c r="F7648" s="35" t="s">
        <v>379</v>
      </c>
      <c r="G7648" s="35" t="s">
        <v>525</v>
      </c>
    </row>
    <row r="7649" spans="1:7">
      <c r="A7649" s="34">
        <v>2084028442</v>
      </c>
      <c r="B7649" s="35" t="s">
        <v>462</v>
      </c>
      <c r="C7649" s="35" t="s">
        <v>405</v>
      </c>
      <c r="D7649" s="35" t="s">
        <v>1525</v>
      </c>
      <c r="E7649" s="35" t="s">
        <v>1540</v>
      </c>
      <c r="F7649" s="35" t="s">
        <v>379</v>
      </c>
      <c r="G7649" s="35" t="s">
        <v>526</v>
      </c>
    </row>
    <row r="7650" spans="1:7">
      <c r="A7650" s="34">
        <v>2084028337</v>
      </c>
      <c r="B7650" s="35" t="s">
        <v>462</v>
      </c>
      <c r="C7650" s="35" t="s">
        <v>405</v>
      </c>
      <c r="D7650" s="35" t="s">
        <v>1525</v>
      </c>
      <c r="E7650" s="35" t="s">
        <v>1540</v>
      </c>
      <c r="F7650" s="35" t="s">
        <v>379</v>
      </c>
      <c r="G7650" s="35" t="s">
        <v>527</v>
      </c>
    </row>
    <row r="7651" spans="1:7">
      <c r="A7651" s="34">
        <v>2084028490</v>
      </c>
      <c r="B7651" s="35" t="s">
        <v>462</v>
      </c>
      <c r="C7651" s="35" t="s">
        <v>405</v>
      </c>
      <c r="D7651" s="35" t="s">
        <v>1525</v>
      </c>
      <c r="E7651" s="35" t="s">
        <v>1540</v>
      </c>
      <c r="F7651" s="35" t="s">
        <v>379</v>
      </c>
      <c r="G7651" s="35" t="s">
        <v>528</v>
      </c>
    </row>
    <row r="7652" spans="1:7">
      <c r="A7652" s="34">
        <v>2084028366</v>
      </c>
      <c r="B7652" s="35" t="s">
        <v>462</v>
      </c>
      <c r="C7652" s="35" t="s">
        <v>405</v>
      </c>
      <c r="D7652" s="35" t="s">
        <v>1525</v>
      </c>
      <c r="E7652" s="35" t="s">
        <v>1540</v>
      </c>
      <c r="F7652" s="35" t="s">
        <v>379</v>
      </c>
      <c r="G7652" s="35" t="s">
        <v>548</v>
      </c>
    </row>
    <row r="7653" spans="1:7">
      <c r="A7653" s="34">
        <v>2084028045</v>
      </c>
      <c r="B7653" s="35" t="s">
        <v>462</v>
      </c>
      <c r="C7653" s="35" t="s">
        <v>405</v>
      </c>
      <c r="D7653" s="35" t="s">
        <v>1525</v>
      </c>
      <c r="E7653" s="35" t="s">
        <v>1540</v>
      </c>
      <c r="F7653" s="35" t="s">
        <v>379</v>
      </c>
      <c r="G7653" s="35" t="s">
        <v>521</v>
      </c>
    </row>
    <row r="7654" spans="1:7">
      <c r="A7654" s="34">
        <v>2084028137</v>
      </c>
      <c r="B7654" s="35" t="s">
        <v>462</v>
      </c>
      <c r="C7654" s="35" t="s">
        <v>405</v>
      </c>
      <c r="D7654" s="35" t="s">
        <v>1525</v>
      </c>
      <c r="E7654" s="35" t="s">
        <v>1540</v>
      </c>
      <c r="F7654" s="35" t="s">
        <v>379</v>
      </c>
      <c r="G7654" s="35" t="s">
        <v>524</v>
      </c>
    </row>
    <row r="7655" spans="1:7">
      <c r="A7655" s="34">
        <v>2084246808</v>
      </c>
      <c r="B7655" s="35" t="s">
        <v>462</v>
      </c>
      <c r="C7655" s="35" t="s">
        <v>405</v>
      </c>
      <c r="D7655" s="35" t="s">
        <v>1525</v>
      </c>
      <c r="E7655" s="35" t="s">
        <v>1540</v>
      </c>
      <c r="F7655" s="35" t="s">
        <v>379</v>
      </c>
      <c r="G7655" s="35" t="s">
        <v>335</v>
      </c>
    </row>
    <row r="7656" spans="1:7">
      <c r="A7656" s="34">
        <v>2084246810</v>
      </c>
      <c r="B7656" s="35" t="s">
        <v>462</v>
      </c>
      <c r="C7656" s="35" t="s">
        <v>405</v>
      </c>
      <c r="D7656" s="35" t="s">
        <v>1525</v>
      </c>
      <c r="E7656" s="35" t="s">
        <v>1540</v>
      </c>
      <c r="F7656" s="35" t="s">
        <v>533</v>
      </c>
      <c r="G7656" s="35" t="s">
        <v>811</v>
      </c>
    </row>
    <row r="7657" spans="1:7">
      <c r="A7657" s="34">
        <v>2084027160</v>
      </c>
      <c r="B7657" s="35" t="s">
        <v>462</v>
      </c>
      <c r="C7657" s="35" t="s">
        <v>405</v>
      </c>
      <c r="D7657" s="35" t="s">
        <v>1525</v>
      </c>
      <c r="E7657" s="35" t="s">
        <v>1540</v>
      </c>
      <c r="F7657" s="35" t="s">
        <v>533</v>
      </c>
      <c r="G7657" s="35" t="s">
        <v>536</v>
      </c>
    </row>
    <row r="7658" spans="1:7">
      <c r="A7658" s="34">
        <v>2084030118</v>
      </c>
      <c r="B7658" s="35" t="s">
        <v>462</v>
      </c>
      <c r="C7658" s="35" t="s">
        <v>405</v>
      </c>
      <c r="D7658" s="35" t="s">
        <v>1525</v>
      </c>
      <c r="E7658" s="35" t="s">
        <v>1540</v>
      </c>
      <c r="F7658" s="35" t="s">
        <v>533</v>
      </c>
      <c r="G7658" s="35" t="s">
        <v>813</v>
      </c>
    </row>
    <row r="7659" spans="1:7">
      <c r="A7659" s="34">
        <v>2084030150</v>
      </c>
      <c r="B7659" s="35" t="s">
        <v>462</v>
      </c>
      <c r="C7659" s="35" t="s">
        <v>405</v>
      </c>
      <c r="D7659" s="35" t="s">
        <v>1525</v>
      </c>
      <c r="E7659" s="35" t="s">
        <v>1540</v>
      </c>
      <c r="F7659" s="35" t="s">
        <v>533</v>
      </c>
      <c r="G7659" s="35" t="s">
        <v>814</v>
      </c>
    </row>
    <row r="7660" spans="1:7">
      <c r="A7660" s="34">
        <v>2084030082</v>
      </c>
      <c r="B7660" s="35" t="s">
        <v>462</v>
      </c>
      <c r="C7660" s="35" t="s">
        <v>405</v>
      </c>
      <c r="D7660" s="35" t="s">
        <v>1525</v>
      </c>
      <c r="E7660" s="35" t="s">
        <v>1540</v>
      </c>
      <c r="F7660" s="35" t="s">
        <v>533</v>
      </c>
      <c r="G7660" s="35" t="s">
        <v>812</v>
      </c>
    </row>
    <row r="7661" spans="1:7">
      <c r="A7661" s="34">
        <v>2084246809</v>
      </c>
      <c r="B7661" s="35" t="s">
        <v>462</v>
      </c>
      <c r="C7661" s="35" t="s">
        <v>405</v>
      </c>
      <c r="D7661" s="35" t="s">
        <v>1525</v>
      </c>
      <c r="E7661" s="35" t="s">
        <v>1540</v>
      </c>
      <c r="F7661" s="35" t="s">
        <v>530</v>
      </c>
      <c r="G7661" s="35" t="s">
        <v>811</v>
      </c>
    </row>
    <row r="7662" spans="1:7">
      <c r="A7662" s="34">
        <v>2084028580</v>
      </c>
      <c r="B7662" s="35" t="s">
        <v>462</v>
      </c>
      <c r="C7662" s="35" t="s">
        <v>405</v>
      </c>
      <c r="D7662" s="35" t="s">
        <v>1525</v>
      </c>
      <c r="E7662" s="35" t="s">
        <v>1540</v>
      </c>
      <c r="F7662" s="35" t="s">
        <v>530</v>
      </c>
      <c r="G7662" s="35" t="s">
        <v>813</v>
      </c>
    </row>
    <row r="7663" spans="1:7">
      <c r="A7663" s="34">
        <v>2084028618</v>
      </c>
      <c r="B7663" s="35" t="s">
        <v>462</v>
      </c>
      <c r="C7663" s="35" t="s">
        <v>405</v>
      </c>
      <c r="D7663" s="35" t="s">
        <v>1525</v>
      </c>
      <c r="E7663" s="35" t="s">
        <v>1540</v>
      </c>
      <c r="F7663" s="35" t="s">
        <v>530</v>
      </c>
      <c r="G7663" s="35" t="s">
        <v>814</v>
      </c>
    </row>
    <row r="7664" spans="1:7">
      <c r="A7664" s="34">
        <v>2084048738</v>
      </c>
      <c r="B7664" s="35" t="s">
        <v>462</v>
      </c>
      <c r="C7664" s="35" t="s">
        <v>405</v>
      </c>
      <c r="D7664" s="35" t="s">
        <v>1525</v>
      </c>
      <c r="E7664" s="35" t="s">
        <v>1540</v>
      </c>
      <c r="F7664" s="35" t="s">
        <v>335</v>
      </c>
    </row>
    <row r="7665" spans="1:8">
      <c r="A7665" s="34">
        <v>2084313157</v>
      </c>
      <c r="B7665" s="35" t="s">
        <v>462</v>
      </c>
      <c r="C7665" s="35" t="s">
        <v>405</v>
      </c>
      <c r="D7665" s="35" t="s">
        <v>1525</v>
      </c>
      <c r="E7665" s="35" t="s">
        <v>1541</v>
      </c>
    </row>
    <row r="7666" spans="1:8">
      <c r="A7666" s="34">
        <v>2084061994</v>
      </c>
      <c r="B7666" s="35" t="s">
        <v>462</v>
      </c>
      <c r="C7666" s="35" t="s">
        <v>405</v>
      </c>
      <c r="D7666" s="35" t="s">
        <v>1525</v>
      </c>
      <c r="E7666" s="35" t="s">
        <v>1542</v>
      </c>
      <c r="F7666" s="35" t="s">
        <v>475</v>
      </c>
    </row>
    <row r="7667" spans="1:8">
      <c r="A7667" s="34">
        <v>2084061973</v>
      </c>
      <c r="B7667" s="35" t="s">
        <v>462</v>
      </c>
      <c r="C7667" s="35" t="s">
        <v>405</v>
      </c>
      <c r="D7667" s="35" t="s">
        <v>1525</v>
      </c>
      <c r="E7667" s="35" t="s">
        <v>1542</v>
      </c>
      <c r="F7667" s="35" t="s">
        <v>390</v>
      </c>
      <c r="G7667" s="35" t="s">
        <v>368</v>
      </c>
      <c r="H7667" s="35" t="s">
        <v>481</v>
      </c>
    </row>
    <row r="7668" spans="1:8">
      <c r="A7668" s="34">
        <v>2084061972</v>
      </c>
      <c r="B7668" s="35" t="s">
        <v>462</v>
      </c>
      <c r="C7668" s="35" t="s">
        <v>405</v>
      </c>
      <c r="D7668" s="35" t="s">
        <v>1525</v>
      </c>
      <c r="E7668" s="35" t="s">
        <v>1542</v>
      </c>
      <c r="F7668" s="35" t="s">
        <v>390</v>
      </c>
      <c r="G7668" s="35" t="s">
        <v>368</v>
      </c>
      <c r="H7668" s="35" t="s">
        <v>482</v>
      </c>
    </row>
    <row r="7669" spans="1:8">
      <c r="A7669" s="34">
        <v>2084061974</v>
      </c>
      <c r="B7669" s="35" t="s">
        <v>462</v>
      </c>
      <c r="C7669" s="35" t="s">
        <v>405</v>
      </c>
      <c r="D7669" s="35" t="s">
        <v>1525</v>
      </c>
      <c r="E7669" s="35" t="s">
        <v>1542</v>
      </c>
      <c r="F7669" s="35" t="s">
        <v>390</v>
      </c>
      <c r="G7669" s="35" t="s">
        <v>368</v>
      </c>
      <c r="H7669" s="35" t="s">
        <v>335</v>
      </c>
    </row>
    <row r="7670" spans="1:8">
      <c r="A7670" s="34">
        <v>2084061980</v>
      </c>
      <c r="B7670" s="35" t="s">
        <v>462</v>
      </c>
      <c r="C7670" s="35" t="s">
        <v>405</v>
      </c>
      <c r="D7670" s="35" t="s">
        <v>1525</v>
      </c>
      <c r="E7670" s="35" t="s">
        <v>1542</v>
      </c>
      <c r="F7670" s="35" t="s">
        <v>390</v>
      </c>
      <c r="G7670" s="35" t="s">
        <v>10</v>
      </c>
      <c r="H7670" s="35" t="s">
        <v>483</v>
      </c>
    </row>
    <row r="7671" spans="1:8">
      <c r="A7671" s="34">
        <v>2084061977</v>
      </c>
      <c r="B7671" s="35" t="s">
        <v>462</v>
      </c>
      <c r="C7671" s="35" t="s">
        <v>405</v>
      </c>
      <c r="D7671" s="35" t="s">
        <v>1525</v>
      </c>
      <c r="E7671" s="35" t="s">
        <v>1542</v>
      </c>
      <c r="F7671" s="35" t="s">
        <v>390</v>
      </c>
      <c r="G7671" s="35" t="s">
        <v>10</v>
      </c>
      <c r="H7671" s="35" t="s">
        <v>397</v>
      </c>
    </row>
    <row r="7672" spans="1:8">
      <c r="A7672" s="34">
        <v>2084061979</v>
      </c>
      <c r="B7672" s="35" t="s">
        <v>462</v>
      </c>
      <c r="C7672" s="35" t="s">
        <v>405</v>
      </c>
      <c r="D7672" s="35" t="s">
        <v>1525</v>
      </c>
      <c r="E7672" s="35" t="s">
        <v>1542</v>
      </c>
      <c r="F7672" s="35" t="s">
        <v>390</v>
      </c>
      <c r="G7672" s="35" t="s">
        <v>10</v>
      </c>
      <c r="H7672" s="35" t="s">
        <v>421</v>
      </c>
    </row>
    <row r="7673" spans="1:8">
      <c r="A7673" s="34">
        <v>2084061976</v>
      </c>
      <c r="B7673" s="35" t="s">
        <v>462</v>
      </c>
      <c r="C7673" s="35" t="s">
        <v>405</v>
      </c>
      <c r="D7673" s="35" t="s">
        <v>1525</v>
      </c>
      <c r="E7673" s="35" t="s">
        <v>1542</v>
      </c>
      <c r="F7673" s="35" t="s">
        <v>390</v>
      </c>
      <c r="G7673" s="35" t="s">
        <v>10</v>
      </c>
      <c r="H7673" s="35" t="s">
        <v>398</v>
      </c>
    </row>
    <row r="7674" spans="1:8">
      <c r="A7674" s="34">
        <v>2084061978</v>
      </c>
      <c r="B7674" s="35" t="s">
        <v>462</v>
      </c>
      <c r="C7674" s="35" t="s">
        <v>405</v>
      </c>
      <c r="D7674" s="35" t="s">
        <v>1525</v>
      </c>
      <c r="E7674" s="35" t="s">
        <v>1542</v>
      </c>
      <c r="F7674" s="35" t="s">
        <v>390</v>
      </c>
      <c r="G7674" s="35" t="s">
        <v>10</v>
      </c>
      <c r="H7674" s="35" t="s">
        <v>422</v>
      </c>
    </row>
    <row r="7675" spans="1:8">
      <c r="A7675" s="34">
        <v>2084061981</v>
      </c>
      <c r="B7675" s="35" t="s">
        <v>462</v>
      </c>
      <c r="C7675" s="35" t="s">
        <v>405</v>
      </c>
      <c r="D7675" s="35" t="s">
        <v>1525</v>
      </c>
      <c r="E7675" s="35" t="s">
        <v>1542</v>
      </c>
      <c r="F7675" s="35" t="s">
        <v>390</v>
      </c>
      <c r="G7675" s="35" t="s">
        <v>10</v>
      </c>
      <c r="H7675" s="35" t="s">
        <v>335</v>
      </c>
    </row>
    <row r="7676" spans="1:8">
      <c r="A7676" s="34">
        <v>2084061984</v>
      </c>
      <c r="B7676" s="35" t="s">
        <v>462</v>
      </c>
      <c r="C7676" s="35" t="s">
        <v>405</v>
      </c>
      <c r="D7676" s="35" t="s">
        <v>1525</v>
      </c>
      <c r="E7676" s="35" t="s">
        <v>1542</v>
      </c>
      <c r="F7676" s="35" t="s">
        <v>390</v>
      </c>
      <c r="G7676" s="35" t="s">
        <v>379</v>
      </c>
      <c r="H7676" s="35" t="s">
        <v>335</v>
      </c>
    </row>
    <row r="7677" spans="1:8">
      <c r="A7677" s="34">
        <v>2084061983</v>
      </c>
      <c r="B7677" s="35" t="s">
        <v>462</v>
      </c>
      <c r="C7677" s="35" t="s">
        <v>405</v>
      </c>
      <c r="D7677" s="35" t="s">
        <v>1525</v>
      </c>
      <c r="E7677" s="35" t="s">
        <v>1542</v>
      </c>
      <c r="F7677" s="35" t="s">
        <v>390</v>
      </c>
      <c r="G7677" s="35" t="s">
        <v>379</v>
      </c>
      <c r="H7677" s="35" t="s">
        <v>476</v>
      </c>
    </row>
    <row r="7678" spans="1:8">
      <c r="A7678" s="34">
        <v>2084061985</v>
      </c>
      <c r="B7678" s="35" t="s">
        <v>462</v>
      </c>
      <c r="C7678" s="35" t="s">
        <v>405</v>
      </c>
      <c r="D7678" s="35" t="s">
        <v>1525</v>
      </c>
      <c r="E7678" s="35" t="s">
        <v>1542</v>
      </c>
      <c r="F7678" s="35" t="s">
        <v>390</v>
      </c>
      <c r="G7678" s="35" t="s">
        <v>478</v>
      </c>
    </row>
    <row r="7679" spans="1:8">
      <c r="A7679" s="34">
        <v>2084061986</v>
      </c>
      <c r="B7679" s="35" t="s">
        <v>462</v>
      </c>
      <c r="C7679" s="35" t="s">
        <v>405</v>
      </c>
      <c r="D7679" s="35" t="s">
        <v>1525</v>
      </c>
      <c r="E7679" s="35" t="s">
        <v>1542</v>
      </c>
      <c r="F7679" s="35" t="s">
        <v>390</v>
      </c>
      <c r="G7679" s="35" t="s">
        <v>335</v>
      </c>
    </row>
    <row r="7680" spans="1:8">
      <c r="A7680" s="34">
        <v>2084061993</v>
      </c>
      <c r="B7680" s="35" t="s">
        <v>462</v>
      </c>
      <c r="C7680" s="35" t="s">
        <v>405</v>
      </c>
      <c r="D7680" s="35" t="s">
        <v>1525</v>
      </c>
      <c r="E7680" s="35" t="s">
        <v>1542</v>
      </c>
      <c r="F7680" s="35" t="s">
        <v>335</v>
      </c>
    </row>
    <row r="7681" spans="1:7">
      <c r="A7681" s="34">
        <v>2084062089</v>
      </c>
      <c r="B7681" s="35" t="s">
        <v>462</v>
      </c>
      <c r="C7681" s="35" t="s">
        <v>405</v>
      </c>
      <c r="D7681" s="35" t="s">
        <v>1525</v>
      </c>
      <c r="E7681" s="35" t="s">
        <v>1543</v>
      </c>
      <c r="F7681" s="35" t="s">
        <v>368</v>
      </c>
      <c r="G7681" s="35" t="s">
        <v>481</v>
      </c>
    </row>
    <row r="7682" spans="1:7">
      <c r="A7682" s="34">
        <v>2084062088</v>
      </c>
      <c r="B7682" s="35" t="s">
        <v>462</v>
      </c>
      <c r="C7682" s="35" t="s">
        <v>405</v>
      </c>
      <c r="D7682" s="35" t="s">
        <v>1525</v>
      </c>
      <c r="E7682" s="35" t="s">
        <v>1543</v>
      </c>
      <c r="F7682" s="35" t="s">
        <v>368</v>
      </c>
      <c r="G7682" s="35" t="s">
        <v>482</v>
      </c>
    </row>
    <row r="7683" spans="1:7">
      <c r="A7683" s="34">
        <v>2084062090</v>
      </c>
      <c r="B7683" s="35" t="s">
        <v>462</v>
      </c>
      <c r="C7683" s="35" t="s">
        <v>405</v>
      </c>
      <c r="D7683" s="35" t="s">
        <v>1525</v>
      </c>
      <c r="E7683" s="35" t="s">
        <v>1543</v>
      </c>
      <c r="F7683" s="35" t="s">
        <v>368</v>
      </c>
      <c r="G7683" s="35" t="s">
        <v>335</v>
      </c>
    </row>
    <row r="7684" spans="1:7">
      <c r="A7684" s="34">
        <v>2084062097</v>
      </c>
      <c r="B7684" s="35" t="s">
        <v>462</v>
      </c>
      <c r="C7684" s="35" t="s">
        <v>405</v>
      </c>
      <c r="D7684" s="35" t="s">
        <v>1525</v>
      </c>
      <c r="E7684" s="35" t="s">
        <v>1543</v>
      </c>
      <c r="F7684" s="35" t="s">
        <v>10</v>
      </c>
      <c r="G7684" s="35" t="s">
        <v>483</v>
      </c>
    </row>
    <row r="7685" spans="1:7">
      <c r="A7685" s="34">
        <v>2084062092</v>
      </c>
      <c r="B7685" s="35" t="s">
        <v>462</v>
      </c>
      <c r="C7685" s="35" t="s">
        <v>405</v>
      </c>
      <c r="D7685" s="35" t="s">
        <v>1525</v>
      </c>
      <c r="E7685" s="35" t="s">
        <v>1543</v>
      </c>
      <c r="F7685" s="35" t="s">
        <v>10</v>
      </c>
      <c r="G7685" s="35" t="s">
        <v>510</v>
      </c>
    </row>
    <row r="7686" spans="1:7">
      <c r="A7686" s="34">
        <v>2084062094</v>
      </c>
      <c r="B7686" s="35" t="s">
        <v>462</v>
      </c>
      <c r="C7686" s="35" t="s">
        <v>405</v>
      </c>
      <c r="D7686" s="35" t="s">
        <v>1525</v>
      </c>
      <c r="E7686" s="35" t="s">
        <v>1543</v>
      </c>
      <c r="F7686" s="35" t="s">
        <v>10</v>
      </c>
      <c r="G7686" s="35" t="s">
        <v>397</v>
      </c>
    </row>
    <row r="7687" spans="1:7">
      <c r="A7687" s="34">
        <v>2084062096</v>
      </c>
      <c r="B7687" s="35" t="s">
        <v>462</v>
      </c>
      <c r="C7687" s="35" t="s">
        <v>405</v>
      </c>
      <c r="D7687" s="35" t="s">
        <v>1525</v>
      </c>
      <c r="E7687" s="35" t="s">
        <v>1543</v>
      </c>
      <c r="F7687" s="35" t="s">
        <v>10</v>
      </c>
      <c r="G7687" s="35" t="s">
        <v>421</v>
      </c>
    </row>
    <row r="7688" spans="1:7">
      <c r="A7688" s="34">
        <v>2084062093</v>
      </c>
      <c r="B7688" s="35" t="s">
        <v>462</v>
      </c>
      <c r="C7688" s="35" t="s">
        <v>405</v>
      </c>
      <c r="D7688" s="35" t="s">
        <v>1525</v>
      </c>
      <c r="E7688" s="35" t="s">
        <v>1543</v>
      </c>
      <c r="F7688" s="35" t="s">
        <v>10</v>
      </c>
      <c r="G7688" s="35" t="s">
        <v>398</v>
      </c>
    </row>
    <row r="7689" spans="1:7">
      <c r="A7689" s="34">
        <v>2084062095</v>
      </c>
      <c r="B7689" s="35" t="s">
        <v>462</v>
      </c>
      <c r="C7689" s="35" t="s">
        <v>405</v>
      </c>
      <c r="D7689" s="35" t="s">
        <v>1525</v>
      </c>
      <c r="E7689" s="35" t="s">
        <v>1543</v>
      </c>
      <c r="F7689" s="35" t="s">
        <v>10</v>
      </c>
      <c r="G7689" s="35" t="s">
        <v>422</v>
      </c>
    </row>
    <row r="7690" spans="1:7">
      <c r="A7690" s="34">
        <v>2084062098</v>
      </c>
      <c r="B7690" s="35" t="s">
        <v>462</v>
      </c>
      <c r="C7690" s="35" t="s">
        <v>405</v>
      </c>
      <c r="D7690" s="35" t="s">
        <v>1525</v>
      </c>
      <c r="E7690" s="35" t="s">
        <v>1543</v>
      </c>
      <c r="F7690" s="35" t="s">
        <v>10</v>
      </c>
      <c r="G7690" s="35" t="s">
        <v>335</v>
      </c>
    </row>
    <row r="7691" spans="1:7">
      <c r="A7691" s="34">
        <v>2084062100</v>
      </c>
      <c r="B7691" s="35" t="s">
        <v>462</v>
      </c>
      <c r="C7691" s="35" t="s">
        <v>405</v>
      </c>
      <c r="D7691" s="35" t="s">
        <v>1525</v>
      </c>
      <c r="E7691" s="35" t="s">
        <v>1543</v>
      </c>
      <c r="F7691" s="35" t="s">
        <v>379</v>
      </c>
      <c r="G7691" s="35" t="s">
        <v>476</v>
      </c>
    </row>
    <row r="7692" spans="1:7">
      <c r="A7692" s="34">
        <v>2084062101</v>
      </c>
      <c r="B7692" s="35" t="s">
        <v>462</v>
      </c>
      <c r="C7692" s="35" t="s">
        <v>405</v>
      </c>
      <c r="D7692" s="35" t="s">
        <v>1525</v>
      </c>
      <c r="E7692" s="35" t="s">
        <v>1543</v>
      </c>
      <c r="F7692" s="35" t="s">
        <v>379</v>
      </c>
      <c r="G7692" s="35" t="s">
        <v>335</v>
      </c>
    </row>
    <row r="7693" spans="1:7">
      <c r="A7693" s="34">
        <v>2084062102</v>
      </c>
      <c r="B7693" s="35" t="s">
        <v>462</v>
      </c>
      <c r="C7693" s="35" t="s">
        <v>405</v>
      </c>
      <c r="D7693" s="35" t="s">
        <v>1525</v>
      </c>
      <c r="E7693" s="35" t="s">
        <v>1543</v>
      </c>
      <c r="F7693" s="35" t="s">
        <v>478</v>
      </c>
    </row>
    <row r="7694" spans="1:7">
      <c r="A7694" s="34">
        <v>2084062103</v>
      </c>
      <c r="B7694" s="35" t="s">
        <v>462</v>
      </c>
      <c r="C7694" s="35" t="s">
        <v>405</v>
      </c>
      <c r="D7694" s="35" t="s">
        <v>1525</v>
      </c>
      <c r="E7694" s="35" t="s">
        <v>1543</v>
      </c>
      <c r="F7694" s="35" t="s">
        <v>335</v>
      </c>
    </row>
    <row r="7695" spans="1:7">
      <c r="A7695" s="34">
        <v>2084298425</v>
      </c>
      <c r="B7695" s="35" t="s">
        <v>462</v>
      </c>
      <c r="C7695" s="35" t="s">
        <v>405</v>
      </c>
      <c r="D7695" s="35" t="s">
        <v>1525</v>
      </c>
      <c r="E7695" s="35" t="s">
        <v>1544</v>
      </c>
      <c r="F7695" s="35" t="s">
        <v>407</v>
      </c>
    </row>
    <row r="7696" spans="1:7">
      <c r="A7696" s="34">
        <v>2084298426</v>
      </c>
      <c r="B7696" s="35" t="s">
        <v>462</v>
      </c>
      <c r="C7696" s="35" t="s">
        <v>405</v>
      </c>
      <c r="D7696" s="35" t="s">
        <v>1525</v>
      </c>
      <c r="E7696" s="35" t="s">
        <v>1544</v>
      </c>
      <c r="F7696" s="35" t="s">
        <v>408</v>
      </c>
    </row>
    <row r="7697" spans="1:8">
      <c r="A7697" s="34">
        <v>2084050351</v>
      </c>
      <c r="B7697" s="35" t="s">
        <v>462</v>
      </c>
      <c r="C7697" s="35" t="s">
        <v>405</v>
      </c>
      <c r="D7697" s="35" t="s">
        <v>1525</v>
      </c>
      <c r="E7697" s="35" t="s">
        <v>1545</v>
      </c>
    </row>
    <row r="7698" spans="1:8">
      <c r="A7698" s="34">
        <v>2084305455</v>
      </c>
      <c r="B7698" s="35" t="s">
        <v>462</v>
      </c>
      <c r="C7698" s="35" t="s">
        <v>405</v>
      </c>
      <c r="D7698" s="35" t="s">
        <v>1525</v>
      </c>
      <c r="E7698" s="35" t="s">
        <v>1546</v>
      </c>
      <c r="F7698" s="35" t="s">
        <v>390</v>
      </c>
      <c r="G7698" s="35" t="s">
        <v>367</v>
      </c>
    </row>
    <row r="7699" spans="1:8">
      <c r="A7699" s="34">
        <v>2084305456</v>
      </c>
      <c r="B7699" s="35" t="s">
        <v>462</v>
      </c>
      <c r="C7699" s="35" t="s">
        <v>405</v>
      </c>
      <c r="D7699" s="35" t="s">
        <v>1525</v>
      </c>
      <c r="E7699" s="35" t="s">
        <v>1546</v>
      </c>
      <c r="F7699" s="35" t="s">
        <v>390</v>
      </c>
      <c r="G7699" s="35" t="s">
        <v>401</v>
      </c>
    </row>
    <row r="7700" spans="1:8">
      <c r="A7700" s="34">
        <v>2084305457</v>
      </c>
      <c r="B7700" s="35" t="s">
        <v>462</v>
      </c>
      <c r="C7700" s="35" t="s">
        <v>405</v>
      </c>
      <c r="D7700" s="35" t="s">
        <v>1525</v>
      </c>
      <c r="E7700" s="35" t="s">
        <v>1546</v>
      </c>
      <c r="F7700" s="35" t="s">
        <v>390</v>
      </c>
      <c r="G7700" s="35" t="s">
        <v>402</v>
      </c>
    </row>
    <row r="7701" spans="1:8">
      <c r="A7701" s="34">
        <v>2084305458</v>
      </c>
      <c r="B7701" s="35" t="s">
        <v>462</v>
      </c>
      <c r="C7701" s="35" t="s">
        <v>405</v>
      </c>
      <c r="D7701" s="35" t="s">
        <v>1525</v>
      </c>
      <c r="E7701" s="35" t="s">
        <v>1546</v>
      </c>
      <c r="F7701" s="35" t="s">
        <v>390</v>
      </c>
      <c r="G7701" s="35" t="s">
        <v>476</v>
      </c>
    </row>
    <row r="7702" spans="1:8">
      <c r="A7702" s="34">
        <v>2084305459</v>
      </c>
      <c r="B7702" s="35" t="s">
        <v>462</v>
      </c>
      <c r="C7702" s="35" t="s">
        <v>405</v>
      </c>
      <c r="D7702" s="35" t="s">
        <v>1525</v>
      </c>
      <c r="E7702" s="35" t="s">
        <v>1546</v>
      </c>
      <c r="F7702" s="35" t="s">
        <v>390</v>
      </c>
      <c r="G7702" s="35" t="s">
        <v>477</v>
      </c>
    </row>
    <row r="7703" spans="1:8">
      <c r="A7703" s="34">
        <v>2084305460</v>
      </c>
      <c r="B7703" s="35" t="s">
        <v>462</v>
      </c>
      <c r="C7703" s="35" t="s">
        <v>405</v>
      </c>
      <c r="D7703" s="35" t="s">
        <v>1525</v>
      </c>
      <c r="E7703" s="35" t="s">
        <v>1546</v>
      </c>
      <c r="F7703" s="35" t="s">
        <v>390</v>
      </c>
      <c r="G7703" s="35" t="s">
        <v>1547</v>
      </c>
    </row>
    <row r="7704" spans="1:8">
      <c r="A7704" s="34">
        <v>2084305461</v>
      </c>
      <c r="B7704" s="35" t="s">
        <v>462</v>
      </c>
      <c r="C7704" s="35" t="s">
        <v>405</v>
      </c>
      <c r="D7704" s="35" t="s">
        <v>1525</v>
      </c>
      <c r="E7704" s="35" t="s">
        <v>1546</v>
      </c>
      <c r="F7704" s="35" t="s">
        <v>390</v>
      </c>
      <c r="G7704" s="35" t="s">
        <v>335</v>
      </c>
    </row>
    <row r="7705" spans="1:8">
      <c r="A7705" s="34">
        <v>2084305453</v>
      </c>
      <c r="B7705" s="35" t="s">
        <v>462</v>
      </c>
      <c r="C7705" s="35" t="s">
        <v>405</v>
      </c>
      <c r="D7705" s="35" t="s">
        <v>1525</v>
      </c>
      <c r="E7705" s="35" t="s">
        <v>1546</v>
      </c>
      <c r="F7705" s="35" t="s">
        <v>408</v>
      </c>
    </row>
    <row r="7706" spans="1:8">
      <c r="A7706" s="34">
        <v>2084050674</v>
      </c>
      <c r="B7706" s="35" t="s">
        <v>462</v>
      </c>
      <c r="C7706" s="35" t="s">
        <v>405</v>
      </c>
      <c r="D7706" s="35" t="s">
        <v>1548</v>
      </c>
      <c r="E7706" s="35" t="s">
        <v>1549</v>
      </c>
      <c r="F7706" s="35" t="s">
        <v>390</v>
      </c>
      <c r="G7706" s="35" t="s">
        <v>368</v>
      </c>
      <c r="H7706" s="35" t="s">
        <v>481</v>
      </c>
    </row>
    <row r="7707" spans="1:8">
      <c r="A7707" s="34">
        <v>2084050675</v>
      </c>
      <c r="B7707" s="35" t="s">
        <v>462</v>
      </c>
      <c r="C7707" s="35" t="s">
        <v>405</v>
      </c>
      <c r="D7707" s="35" t="s">
        <v>1548</v>
      </c>
      <c r="E7707" s="35" t="s">
        <v>1549</v>
      </c>
      <c r="F7707" s="35" t="s">
        <v>390</v>
      </c>
      <c r="G7707" s="35" t="s">
        <v>368</v>
      </c>
      <c r="H7707" s="35" t="s">
        <v>335</v>
      </c>
    </row>
    <row r="7708" spans="1:8">
      <c r="A7708" s="34">
        <v>2084050678</v>
      </c>
      <c r="B7708" s="35" t="s">
        <v>462</v>
      </c>
      <c r="C7708" s="35" t="s">
        <v>405</v>
      </c>
      <c r="D7708" s="35" t="s">
        <v>1548</v>
      </c>
      <c r="E7708" s="35" t="s">
        <v>1549</v>
      </c>
      <c r="F7708" s="35" t="s">
        <v>390</v>
      </c>
      <c r="G7708" s="35" t="s">
        <v>10</v>
      </c>
      <c r="H7708" s="35" t="s">
        <v>509</v>
      </c>
    </row>
    <row r="7709" spans="1:8">
      <c r="A7709" s="34">
        <v>2084050677</v>
      </c>
      <c r="B7709" s="35" t="s">
        <v>462</v>
      </c>
      <c r="C7709" s="35" t="s">
        <v>405</v>
      </c>
      <c r="D7709" s="35" t="s">
        <v>1548</v>
      </c>
      <c r="E7709" s="35" t="s">
        <v>1549</v>
      </c>
      <c r="F7709" s="35" t="s">
        <v>390</v>
      </c>
      <c r="G7709" s="35" t="s">
        <v>10</v>
      </c>
      <c r="H7709" s="35" t="s">
        <v>622</v>
      </c>
    </row>
    <row r="7710" spans="1:8">
      <c r="A7710" s="34">
        <v>2084050679</v>
      </c>
      <c r="B7710" s="35" t="s">
        <v>462</v>
      </c>
      <c r="C7710" s="35" t="s">
        <v>405</v>
      </c>
      <c r="D7710" s="35" t="s">
        <v>1548</v>
      </c>
      <c r="E7710" s="35" t="s">
        <v>1549</v>
      </c>
      <c r="F7710" s="35" t="s">
        <v>390</v>
      </c>
      <c r="G7710" s="35" t="s">
        <v>10</v>
      </c>
      <c r="H7710" s="35" t="s">
        <v>335</v>
      </c>
    </row>
    <row r="7711" spans="1:8">
      <c r="A7711" s="34">
        <v>2084050681</v>
      </c>
      <c r="B7711" s="35" t="s">
        <v>462</v>
      </c>
      <c r="C7711" s="35" t="s">
        <v>405</v>
      </c>
      <c r="D7711" s="35" t="s">
        <v>1548</v>
      </c>
      <c r="E7711" s="35" t="s">
        <v>1549</v>
      </c>
      <c r="F7711" s="35" t="s">
        <v>390</v>
      </c>
      <c r="G7711" s="35" t="s">
        <v>379</v>
      </c>
      <c r="H7711" s="35" t="s">
        <v>476</v>
      </c>
    </row>
    <row r="7712" spans="1:8">
      <c r="A7712" s="34">
        <v>2084050682</v>
      </c>
      <c r="B7712" s="35" t="s">
        <v>462</v>
      </c>
      <c r="C7712" s="35" t="s">
        <v>405</v>
      </c>
      <c r="D7712" s="35" t="s">
        <v>1548</v>
      </c>
      <c r="E7712" s="35" t="s">
        <v>1549</v>
      </c>
      <c r="F7712" s="35" t="s">
        <v>390</v>
      </c>
      <c r="G7712" s="35" t="s">
        <v>379</v>
      </c>
      <c r="H7712" s="35" t="s">
        <v>335</v>
      </c>
    </row>
    <row r="7713" spans="1:7">
      <c r="A7713" s="34">
        <v>2084050672</v>
      </c>
      <c r="B7713" s="35" t="s">
        <v>462</v>
      </c>
      <c r="C7713" s="35" t="s">
        <v>405</v>
      </c>
      <c r="D7713" s="35" t="s">
        <v>1548</v>
      </c>
      <c r="E7713" s="35" t="s">
        <v>1549</v>
      </c>
      <c r="F7713" s="35" t="s">
        <v>390</v>
      </c>
      <c r="G7713" s="35" t="s">
        <v>478</v>
      </c>
    </row>
    <row r="7714" spans="1:7">
      <c r="A7714" s="34">
        <v>2084050683</v>
      </c>
      <c r="B7714" s="35" t="s">
        <v>462</v>
      </c>
      <c r="C7714" s="35" t="s">
        <v>405</v>
      </c>
      <c r="D7714" s="35" t="s">
        <v>1548</v>
      </c>
      <c r="E7714" s="35" t="s">
        <v>1549</v>
      </c>
      <c r="F7714" s="35" t="s">
        <v>390</v>
      </c>
      <c r="G7714" s="35" t="s">
        <v>335</v>
      </c>
    </row>
    <row r="7715" spans="1:7">
      <c r="A7715" s="34">
        <v>2084030699</v>
      </c>
      <c r="B7715" s="35" t="s">
        <v>462</v>
      </c>
      <c r="C7715" s="35" t="s">
        <v>405</v>
      </c>
      <c r="D7715" s="35" t="s">
        <v>1548</v>
      </c>
      <c r="E7715" s="35" t="s">
        <v>1549</v>
      </c>
      <c r="F7715" s="35" t="s">
        <v>353</v>
      </c>
      <c r="G7715" s="35" t="s">
        <v>481</v>
      </c>
    </row>
    <row r="7716" spans="1:7">
      <c r="A7716" s="34">
        <v>2084031597</v>
      </c>
      <c r="B7716" s="35" t="s">
        <v>462</v>
      </c>
      <c r="C7716" s="35" t="s">
        <v>405</v>
      </c>
      <c r="D7716" s="35" t="s">
        <v>1548</v>
      </c>
      <c r="E7716" s="35" t="s">
        <v>1549</v>
      </c>
      <c r="F7716" s="35" t="s">
        <v>353</v>
      </c>
      <c r="G7716" s="35" t="s">
        <v>483</v>
      </c>
    </row>
    <row r="7717" spans="1:7">
      <c r="A7717" s="34">
        <v>2084031477</v>
      </c>
      <c r="B7717" s="35" t="s">
        <v>462</v>
      </c>
      <c r="C7717" s="35" t="s">
        <v>405</v>
      </c>
      <c r="D7717" s="35" t="s">
        <v>1548</v>
      </c>
      <c r="E7717" s="35" t="s">
        <v>1549</v>
      </c>
      <c r="F7717" s="35" t="s">
        <v>353</v>
      </c>
      <c r="G7717" s="35" t="s">
        <v>482</v>
      </c>
    </row>
    <row r="7718" spans="1:7">
      <c r="A7718" s="34">
        <v>2084030276</v>
      </c>
      <c r="B7718" s="35" t="s">
        <v>462</v>
      </c>
      <c r="C7718" s="35" t="s">
        <v>405</v>
      </c>
      <c r="D7718" s="35" t="s">
        <v>1548</v>
      </c>
      <c r="E7718" s="35" t="s">
        <v>1549</v>
      </c>
      <c r="F7718" s="35" t="s">
        <v>353</v>
      </c>
      <c r="G7718" s="35" t="s">
        <v>493</v>
      </c>
    </row>
    <row r="7719" spans="1:7">
      <c r="A7719" s="34">
        <v>2084031388</v>
      </c>
      <c r="B7719" s="35" t="s">
        <v>462</v>
      </c>
      <c r="C7719" s="35" t="s">
        <v>405</v>
      </c>
      <c r="D7719" s="35" t="s">
        <v>1548</v>
      </c>
      <c r="E7719" s="35" t="s">
        <v>1549</v>
      </c>
      <c r="F7719" s="35" t="s">
        <v>353</v>
      </c>
      <c r="G7719" s="35" t="s">
        <v>494</v>
      </c>
    </row>
    <row r="7720" spans="1:7">
      <c r="A7720" s="34">
        <v>2084050669</v>
      </c>
      <c r="B7720" s="35" t="s">
        <v>462</v>
      </c>
      <c r="C7720" s="35" t="s">
        <v>405</v>
      </c>
      <c r="D7720" s="35" t="s">
        <v>1548</v>
      </c>
      <c r="E7720" s="35" t="s">
        <v>1549</v>
      </c>
      <c r="F7720" s="35" t="s">
        <v>353</v>
      </c>
      <c r="G7720" s="35" t="s">
        <v>403</v>
      </c>
    </row>
    <row r="7721" spans="1:7">
      <c r="A7721" s="34">
        <v>2084031537</v>
      </c>
      <c r="B7721" s="35" t="s">
        <v>462</v>
      </c>
      <c r="C7721" s="35" t="s">
        <v>405</v>
      </c>
      <c r="D7721" s="35" t="s">
        <v>1548</v>
      </c>
      <c r="E7721" s="35" t="s">
        <v>1549</v>
      </c>
      <c r="F7721" s="35" t="s">
        <v>353</v>
      </c>
      <c r="G7721" s="35" t="s">
        <v>397</v>
      </c>
    </row>
    <row r="7722" spans="1:7">
      <c r="A7722" s="34">
        <v>2084030399</v>
      </c>
      <c r="B7722" s="35" t="s">
        <v>462</v>
      </c>
      <c r="C7722" s="35" t="s">
        <v>405</v>
      </c>
      <c r="D7722" s="35" t="s">
        <v>1548</v>
      </c>
      <c r="E7722" s="35" t="s">
        <v>1549</v>
      </c>
      <c r="F7722" s="35" t="s">
        <v>353</v>
      </c>
      <c r="G7722" s="35" t="s">
        <v>421</v>
      </c>
    </row>
    <row r="7723" spans="1:7">
      <c r="A7723" s="34">
        <v>2084031567</v>
      </c>
      <c r="B7723" s="35" t="s">
        <v>462</v>
      </c>
      <c r="C7723" s="35" t="s">
        <v>405</v>
      </c>
      <c r="D7723" s="35" t="s">
        <v>1548</v>
      </c>
      <c r="E7723" s="35" t="s">
        <v>1549</v>
      </c>
      <c r="F7723" s="35" t="s">
        <v>353</v>
      </c>
      <c r="G7723" s="35" t="s">
        <v>398</v>
      </c>
    </row>
    <row r="7724" spans="1:7">
      <c r="A7724" s="34">
        <v>2084030338</v>
      </c>
      <c r="B7724" s="35" t="s">
        <v>462</v>
      </c>
      <c r="C7724" s="35" t="s">
        <v>405</v>
      </c>
      <c r="D7724" s="35" t="s">
        <v>1548</v>
      </c>
      <c r="E7724" s="35" t="s">
        <v>1549</v>
      </c>
      <c r="F7724" s="35" t="s">
        <v>353</v>
      </c>
      <c r="G7724" s="35" t="s">
        <v>422</v>
      </c>
    </row>
    <row r="7725" spans="1:7">
      <c r="A7725" s="34">
        <v>2084050670</v>
      </c>
      <c r="B7725" s="35" t="s">
        <v>462</v>
      </c>
      <c r="C7725" s="35" t="s">
        <v>405</v>
      </c>
      <c r="D7725" s="35" t="s">
        <v>1548</v>
      </c>
      <c r="E7725" s="35" t="s">
        <v>1549</v>
      </c>
      <c r="F7725" s="35" t="s">
        <v>353</v>
      </c>
      <c r="G7725" s="35" t="s">
        <v>335</v>
      </c>
    </row>
    <row r="7726" spans="1:7">
      <c r="A7726" s="34">
        <v>2084048643</v>
      </c>
      <c r="B7726" s="35" t="s">
        <v>462</v>
      </c>
      <c r="C7726" s="35" t="s">
        <v>405</v>
      </c>
      <c r="D7726" s="35" t="s">
        <v>1548</v>
      </c>
      <c r="E7726" s="35" t="s">
        <v>1549</v>
      </c>
      <c r="F7726" s="35" t="s">
        <v>335</v>
      </c>
    </row>
    <row r="7727" spans="1:7">
      <c r="A7727" s="34">
        <v>2084030688</v>
      </c>
      <c r="B7727" s="35" t="s">
        <v>462</v>
      </c>
      <c r="C7727" s="35" t="s">
        <v>405</v>
      </c>
      <c r="D7727" s="35" t="s">
        <v>1548</v>
      </c>
      <c r="E7727" s="35" t="s">
        <v>1550</v>
      </c>
      <c r="F7727" s="35" t="s">
        <v>353</v>
      </c>
      <c r="G7727" s="35" t="s">
        <v>481</v>
      </c>
    </row>
    <row r="7728" spans="1:7">
      <c r="A7728" s="34">
        <v>2084031586</v>
      </c>
      <c r="B7728" s="35" t="s">
        <v>462</v>
      </c>
      <c r="C7728" s="35" t="s">
        <v>405</v>
      </c>
      <c r="D7728" s="35" t="s">
        <v>1548</v>
      </c>
      <c r="E7728" s="35" t="s">
        <v>1550</v>
      </c>
      <c r="F7728" s="35" t="s">
        <v>353</v>
      </c>
      <c r="G7728" s="35" t="s">
        <v>483</v>
      </c>
    </row>
    <row r="7729" spans="1:7">
      <c r="A7729" s="34">
        <v>2084031475</v>
      </c>
      <c r="B7729" s="35" t="s">
        <v>462</v>
      </c>
      <c r="C7729" s="35" t="s">
        <v>405</v>
      </c>
      <c r="D7729" s="35" t="s">
        <v>1548</v>
      </c>
      <c r="E7729" s="35" t="s">
        <v>1550</v>
      </c>
      <c r="F7729" s="35" t="s">
        <v>353</v>
      </c>
      <c r="G7729" s="35" t="s">
        <v>482</v>
      </c>
    </row>
    <row r="7730" spans="1:7">
      <c r="A7730" s="34">
        <v>2084030251</v>
      </c>
      <c r="B7730" s="35" t="s">
        <v>462</v>
      </c>
      <c r="C7730" s="35" t="s">
        <v>405</v>
      </c>
      <c r="D7730" s="35" t="s">
        <v>1548</v>
      </c>
      <c r="E7730" s="35" t="s">
        <v>1550</v>
      </c>
      <c r="F7730" s="35" t="s">
        <v>353</v>
      </c>
      <c r="G7730" s="35" t="s">
        <v>493</v>
      </c>
    </row>
    <row r="7731" spans="1:7">
      <c r="A7731" s="34">
        <v>2084031386</v>
      </c>
      <c r="B7731" s="35" t="s">
        <v>462</v>
      </c>
      <c r="C7731" s="35" t="s">
        <v>405</v>
      </c>
      <c r="D7731" s="35" t="s">
        <v>1548</v>
      </c>
      <c r="E7731" s="35" t="s">
        <v>1550</v>
      </c>
      <c r="F7731" s="35" t="s">
        <v>353</v>
      </c>
      <c r="G7731" s="35" t="s">
        <v>494</v>
      </c>
    </row>
    <row r="7732" spans="1:7">
      <c r="A7732" s="34">
        <v>2084051257</v>
      </c>
      <c r="B7732" s="35" t="s">
        <v>462</v>
      </c>
      <c r="C7732" s="35" t="s">
        <v>405</v>
      </c>
      <c r="D7732" s="35" t="s">
        <v>1548</v>
      </c>
      <c r="E7732" s="35" t="s">
        <v>1550</v>
      </c>
      <c r="F7732" s="35" t="s">
        <v>353</v>
      </c>
      <c r="G7732" s="35" t="s">
        <v>403</v>
      </c>
    </row>
    <row r="7733" spans="1:7">
      <c r="A7733" s="34">
        <v>2084031534</v>
      </c>
      <c r="B7733" s="35" t="s">
        <v>462</v>
      </c>
      <c r="C7733" s="35" t="s">
        <v>405</v>
      </c>
      <c r="D7733" s="35" t="s">
        <v>1548</v>
      </c>
      <c r="E7733" s="35" t="s">
        <v>1550</v>
      </c>
      <c r="F7733" s="35" t="s">
        <v>353</v>
      </c>
      <c r="G7733" s="35" t="s">
        <v>397</v>
      </c>
    </row>
    <row r="7734" spans="1:7">
      <c r="A7734" s="34">
        <v>2084030397</v>
      </c>
      <c r="B7734" s="35" t="s">
        <v>462</v>
      </c>
      <c r="C7734" s="35" t="s">
        <v>405</v>
      </c>
      <c r="D7734" s="35" t="s">
        <v>1548</v>
      </c>
      <c r="E7734" s="35" t="s">
        <v>1550</v>
      </c>
      <c r="F7734" s="35" t="s">
        <v>353</v>
      </c>
      <c r="G7734" s="35" t="s">
        <v>421</v>
      </c>
    </row>
    <row r="7735" spans="1:7">
      <c r="A7735" s="34">
        <v>2084031562</v>
      </c>
      <c r="B7735" s="35" t="s">
        <v>462</v>
      </c>
      <c r="C7735" s="35" t="s">
        <v>405</v>
      </c>
      <c r="D7735" s="35" t="s">
        <v>1548</v>
      </c>
      <c r="E7735" s="35" t="s">
        <v>1550</v>
      </c>
      <c r="F7735" s="35" t="s">
        <v>353</v>
      </c>
      <c r="G7735" s="35" t="s">
        <v>398</v>
      </c>
    </row>
    <row r="7736" spans="1:7">
      <c r="A7736" s="34">
        <v>2084030336</v>
      </c>
      <c r="B7736" s="35" t="s">
        <v>462</v>
      </c>
      <c r="C7736" s="35" t="s">
        <v>405</v>
      </c>
      <c r="D7736" s="35" t="s">
        <v>1548</v>
      </c>
      <c r="E7736" s="35" t="s">
        <v>1550</v>
      </c>
      <c r="F7736" s="35" t="s">
        <v>353</v>
      </c>
      <c r="G7736" s="35" t="s">
        <v>422</v>
      </c>
    </row>
    <row r="7737" spans="1:7">
      <c r="A7737" s="34">
        <v>2084051258</v>
      </c>
      <c r="B7737" s="35" t="s">
        <v>462</v>
      </c>
      <c r="C7737" s="35" t="s">
        <v>405</v>
      </c>
      <c r="D7737" s="35" t="s">
        <v>1548</v>
      </c>
      <c r="E7737" s="35" t="s">
        <v>1550</v>
      </c>
      <c r="F7737" s="35" t="s">
        <v>353</v>
      </c>
      <c r="G7737" s="35" t="s">
        <v>335</v>
      </c>
    </row>
    <row r="7738" spans="1:7">
      <c r="A7738" s="34">
        <v>2084048740</v>
      </c>
      <c r="B7738" s="35" t="s">
        <v>462</v>
      </c>
      <c r="C7738" s="35" t="s">
        <v>405</v>
      </c>
      <c r="D7738" s="35" t="s">
        <v>1548</v>
      </c>
      <c r="E7738" s="35" t="s">
        <v>1550</v>
      </c>
      <c r="F7738" s="35" t="s">
        <v>335</v>
      </c>
    </row>
    <row r="7739" spans="1:7">
      <c r="A7739" s="34">
        <v>2084050352</v>
      </c>
      <c r="B7739" s="35" t="s">
        <v>462</v>
      </c>
      <c r="C7739" s="35" t="s">
        <v>405</v>
      </c>
      <c r="D7739" s="35" t="s">
        <v>1548</v>
      </c>
      <c r="E7739" s="35" t="s">
        <v>1551</v>
      </c>
    </row>
    <row r="7740" spans="1:7">
      <c r="A7740" s="34">
        <v>2084259332</v>
      </c>
      <c r="B7740" s="35" t="s">
        <v>462</v>
      </c>
      <c r="C7740" s="35" t="s">
        <v>405</v>
      </c>
      <c r="D7740" s="35" t="s">
        <v>1548</v>
      </c>
      <c r="E7740" s="35" t="s">
        <v>1552</v>
      </c>
      <c r="F7740" s="35" t="s">
        <v>367</v>
      </c>
    </row>
    <row r="7741" spans="1:7">
      <c r="A7741" s="34">
        <v>2084259333</v>
      </c>
      <c r="B7741" s="35" t="s">
        <v>462</v>
      </c>
      <c r="C7741" s="35" t="s">
        <v>405</v>
      </c>
      <c r="D7741" s="35" t="s">
        <v>1548</v>
      </c>
      <c r="E7741" s="35" t="s">
        <v>1552</v>
      </c>
      <c r="F7741" s="35" t="s">
        <v>401</v>
      </c>
    </row>
    <row r="7742" spans="1:7">
      <c r="A7742" s="34">
        <v>2084259334</v>
      </c>
      <c r="B7742" s="35" t="s">
        <v>462</v>
      </c>
      <c r="C7742" s="35" t="s">
        <v>405</v>
      </c>
      <c r="D7742" s="35" t="s">
        <v>1548</v>
      </c>
      <c r="E7742" s="35" t="s">
        <v>1552</v>
      </c>
      <c r="F7742" s="35" t="s">
        <v>402</v>
      </c>
    </row>
    <row r="7743" spans="1:7">
      <c r="A7743" s="34">
        <v>2084259335</v>
      </c>
      <c r="B7743" s="35" t="s">
        <v>462</v>
      </c>
      <c r="C7743" s="35" t="s">
        <v>405</v>
      </c>
      <c r="D7743" s="35" t="s">
        <v>1548</v>
      </c>
      <c r="E7743" s="35" t="s">
        <v>1552</v>
      </c>
      <c r="F7743" s="35" t="s">
        <v>403</v>
      </c>
    </row>
    <row r="7744" spans="1:7">
      <c r="A7744" s="34">
        <v>2084259336</v>
      </c>
      <c r="B7744" s="35" t="s">
        <v>462</v>
      </c>
      <c r="C7744" s="35" t="s">
        <v>405</v>
      </c>
      <c r="D7744" s="35" t="s">
        <v>1548</v>
      </c>
      <c r="E7744" s="35" t="s">
        <v>1552</v>
      </c>
      <c r="F7744" s="35" t="s">
        <v>335</v>
      </c>
    </row>
    <row r="7745" spans="1:6">
      <c r="A7745" s="34">
        <v>2084284016</v>
      </c>
      <c r="B7745" s="35" t="s">
        <v>462</v>
      </c>
      <c r="C7745" s="35" t="s">
        <v>405</v>
      </c>
      <c r="D7745" s="35" t="s">
        <v>1548</v>
      </c>
      <c r="E7745" s="35" t="s">
        <v>1553</v>
      </c>
      <c r="F7745" s="35" t="s">
        <v>407</v>
      </c>
    </row>
    <row r="7746" spans="1:6">
      <c r="A7746" s="34">
        <v>2084284015</v>
      </c>
      <c r="B7746" s="35" t="s">
        <v>462</v>
      </c>
      <c r="C7746" s="35" t="s">
        <v>405</v>
      </c>
      <c r="D7746" s="35" t="s">
        <v>1548</v>
      </c>
      <c r="E7746" s="35" t="s">
        <v>1553</v>
      </c>
      <c r="F7746" s="35" t="s">
        <v>408</v>
      </c>
    </row>
    <row r="7747" spans="1:6">
      <c r="A7747" s="34">
        <v>2084259186</v>
      </c>
      <c r="B7747" s="35" t="s">
        <v>462</v>
      </c>
      <c r="C7747" s="35" t="s">
        <v>405</v>
      </c>
      <c r="D7747" s="35" t="s">
        <v>1548</v>
      </c>
      <c r="E7747" s="35" t="s">
        <v>1554</v>
      </c>
      <c r="F7747" s="35" t="s">
        <v>407</v>
      </c>
    </row>
    <row r="7748" spans="1:6">
      <c r="A7748" s="34">
        <v>2084230039</v>
      </c>
      <c r="B7748" s="35" t="s">
        <v>462</v>
      </c>
      <c r="C7748" s="35" t="s">
        <v>405</v>
      </c>
      <c r="D7748" s="35" t="s">
        <v>1548</v>
      </c>
      <c r="E7748" s="35" t="s">
        <v>1555</v>
      </c>
    </row>
    <row r="7749" spans="1:6">
      <c r="A7749" s="34">
        <v>2084057469</v>
      </c>
      <c r="B7749" s="35" t="s">
        <v>462</v>
      </c>
      <c r="C7749" s="35" t="s">
        <v>1556</v>
      </c>
      <c r="D7749" s="35" t="s">
        <v>954</v>
      </c>
      <c r="E7749" s="35" t="s">
        <v>1557</v>
      </c>
      <c r="F7749" s="35" t="s">
        <v>391</v>
      </c>
    </row>
    <row r="7750" spans="1:6">
      <c r="A7750" s="34">
        <v>2084057470</v>
      </c>
      <c r="B7750" s="35" t="s">
        <v>462</v>
      </c>
      <c r="C7750" s="35" t="s">
        <v>1556</v>
      </c>
      <c r="D7750" s="35" t="s">
        <v>954</v>
      </c>
      <c r="E7750" s="35" t="s">
        <v>1557</v>
      </c>
      <c r="F7750" s="35" t="s">
        <v>392</v>
      </c>
    </row>
    <row r="7751" spans="1:6">
      <c r="A7751" s="34">
        <v>2084057471</v>
      </c>
      <c r="B7751" s="35" t="s">
        <v>462</v>
      </c>
      <c r="C7751" s="35" t="s">
        <v>1556</v>
      </c>
      <c r="D7751" s="35" t="s">
        <v>954</v>
      </c>
      <c r="E7751" s="35" t="s">
        <v>1557</v>
      </c>
      <c r="F7751" s="35" t="s">
        <v>375</v>
      </c>
    </row>
    <row r="7752" spans="1:6">
      <c r="A7752" s="34">
        <v>2084057472</v>
      </c>
      <c r="B7752" s="35" t="s">
        <v>462</v>
      </c>
      <c r="C7752" s="35" t="s">
        <v>1556</v>
      </c>
      <c r="D7752" s="35" t="s">
        <v>954</v>
      </c>
      <c r="E7752" s="35" t="s">
        <v>1557</v>
      </c>
      <c r="F7752" s="35" t="s">
        <v>376</v>
      </c>
    </row>
    <row r="7753" spans="1:6">
      <c r="A7753" s="34">
        <v>2084057473</v>
      </c>
      <c r="B7753" s="35" t="s">
        <v>462</v>
      </c>
      <c r="C7753" s="35" t="s">
        <v>1556</v>
      </c>
      <c r="D7753" s="35" t="s">
        <v>954</v>
      </c>
      <c r="E7753" s="35" t="s">
        <v>1557</v>
      </c>
      <c r="F7753" s="35" t="s">
        <v>377</v>
      </c>
    </row>
    <row r="7754" spans="1:6">
      <c r="A7754" s="34">
        <v>2084028191</v>
      </c>
      <c r="B7754" s="35" t="s">
        <v>462</v>
      </c>
      <c r="C7754" s="35" t="s">
        <v>1556</v>
      </c>
      <c r="D7754" s="35" t="s">
        <v>954</v>
      </c>
      <c r="E7754" s="35" t="s">
        <v>1557</v>
      </c>
      <c r="F7754" s="35" t="s">
        <v>335</v>
      </c>
    </row>
    <row r="7755" spans="1:6">
      <c r="A7755" s="34">
        <v>2084007185</v>
      </c>
      <c r="B7755" s="35" t="s">
        <v>462</v>
      </c>
      <c r="C7755" s="35" t="s">
        <v>1556</v>
      </c>
      <c r="D7755" s="35" t="s">
        <v>954</v>
      </c>
      <c r="E7755" s="35" t="s">
        <v>1558</v>
      </c>
    </row>
    <row r="7756" spans="1:6">
      <c r="A7756" s="34">
        <v>2084007186</v>
      </c>
      <c r="B7756" s="35" t="s">
        <v>462</v>
      </c>
      <c r="C7756" s="35" t="s">
        <v>1556</v>
      </c>
      <c r="D7756" s="35" t="s">
        <v>954</v>
      </c>
      <c r="E7756" s="35" t="s">
        <v>1559</v>
      </c>
    </row>
    <row r="7757" spans="1:6">
      <c r="A7757" s="34">
        <v>2084309557</v>
      </c>
      <c r="B7757" s="35" t="s">
        <v>462</v>
      </c>
      <c r="C7757" s="35" t="s">
        <v>1556</v>
      </c>
      <c r="D7757" s="35" t="s">
        <v>954</v>
      </c>
      <c r="E7757" s="35" t="s">
        <v>1560</v>
      </c>
      <c r="F7757" s="35" t="s">
        <v>391</v>
      </c>
    </row>
    <row r="7758" spans="1:6">
      <c r="A7758" s="34">
        <v>2084309558</v>
      </c>
      <c r="B7758" s="35" t="s">
        <v>462</v>
      </c>
      <c r="C7758" s="35" t="s">
        <v>1556</v>
      </c>
      <c r="D7758" s="35" t="s">
        <v>954</v>
      </c>
      <c r="E7758" s="35" t="s">
        <v>1560</v>
      </c>
      <c r="F7758" s="35" t="s">
        <v>392</v>
      </c>
    </row>
    <row r="7759" spans="1:6">
      <c r="A7759" s="34">
        <v>2084309559</v>
      </c>
      <c r="B7759" s="35" t="s">
        <v>462</v>
      </c>
      <c r="C7759" s="35" t="s">
        <v>1556</v>
      </c>
      <c r="D7759" s="35" t="s">
        <v>954</v>
      </c>
      <c r="E7759" s="35" t="s">
        <v>1560</v>
      </c>
      <c r="F7759" s="35" t="s">
        <v>375</v>
      </c>
    </row>
    <row r="7760" spans="1:6">
      <c r="A7760" s="34">
        <v>2084309560</v>
      </c>
      <c r="B7760" s="35" t="s">
        <v>462</v>
      </c>
      <c r="C7760" s="35" t="s">
        <v>1556</v>
      </c>
      <c r="D7760" s="35" t="s">
        <v>954</v>
      </c>
      <c r="E7760" s="35" t="s">
        <v>1560</v>
      </c>
      <c r="F7760" s="35" t="s">
        <v>376</v>
      </c>
    </row>
    <row r="7761" spans="1:6">
      <c r="A7761" s="34">
        <v>2084309561</v>
      </c>
      <c r="B7761" s="35" t="s">
        <v>462</v>
      </c>
      <c r="C7761" s="35" t="s">
        <v>1556</v>
      </c>
      <c r="D7761" s="35" t="s">
        <v>954</v>
      </c>
      <c r="E7761" s="35" t="s">
        <v>1560</v>
      </c>
      <c r="F7761" s="35" t="s">
        <v>377</v>
      </c>
    </row>
    <row r="7762" spans="1:6">
      <c r="A7762" s="34">
        <v>2084309726</v>
      </c>
      <c r="B7762" s="35" t="s">
        <v>462</v>
      </c>
      <c r="C7762" s="35" t="s">
        <v>1556</v>
      </c>
      <c r="D7762" s="35" t="s">
        <v>954</v>
      </c>
      <c r="E7762" s="35" t="s">
        <v>1561</v>
      </c>
      <c r="F7762" s="35" t="s">
        <v>391</v>
      </c>
    </row>
    <row r="7763" spans="1:6">
      <c r="A7763" s="34">
        <v>2084309727</v>
      </c>
      <c r="B7763" s="35" t="s">
        <v>462</v>
      </c>
      <c r="C7763" s="35" t="s">
        <v>1556</v>
      </c>
      <c r="D7763" s="35" t="s">
        <v>954</v>
      </c>
      <c r="E7763" s="35" t="s">
        <v>1561</v>
      </c>
      <c r="F7763" s="35" t="s">
        <v>392</v>
      </c>
    </row>
    <row r="7764" spans="1:6">
      <c r="A7764" s="34">
        <v>2084309728</v>
      </c>
      <c r="B7764" s="35" t="s">
        <v>462</v>
      </c>
      <c r="C7764" s="35" t="s">
        <v>1556</v>
      </c>
      <c r="D7764" s="35" t="s">
        <v>954</v>
      </c>
      <c r="E7764" s="35" t="s">
        <v>1561</v>
      </c>
      <c r="F7764" s="35" t="s">
        <v>375</v>
      </c>
    </row>
    <row r="7765" spans="1:6">
      <c r="A7765" s="34">
        <v>2084309729</v>
      </c>
      <c r="B7765" s="35" t="s">
        <v>462</v>
      </c>
      <c r="C7765" s="35" t="s">
        <v>1556</v>
      </c>
      <c r="D7765" s="35" t="s">
        <v>954</v>
      </c>
      <c r="E7765" s="35" t="s">
        <v>1561</v>
      </c>
      <c r="F7765" s="35" t="s">
        <v>376</v>
      </c>
    </row>
    <row r="7766" spans="1:6">
      <c r="A7766" s="34">
        <v>2084309730</v>
      </c>
      <c r="B7766" s="35" t="s">
        <v>462</v>
      </c>
      <c r="C7766" s="35" t="s">
        <v>1556</v>
      </c>
      <c r="D7766" s="35" t="s">
        <v>954</v>
      </c>
      <c r="E7766" s="35" t="s">
        <v>1561</v>
      </c>
      <c r="F7766" s="35" t="s">
        <v>377</v>
      </c>
    </row>
    <row r="7767" spans="1:6">
      <c r="A7767" s="34">
        <v>2084052236</v>
      </c>
      <c r="B7767" s="35" t="s">
        <v>462</v>
      </c>
      <c r="C7767" s="35" t="s">
        <v>1556</v>
      </c>
      <c r="D7767" s="35" t="s">
        <v>954</v>
      </c>
      <c r="E7767" s="35" t="s">
        <v>1562</v>
      </c>
      <c r="F7767" s="35" t="s">
        <v>391</v>
      </c>
    </row>
    <row r="7768" spans="1:6">
      <c r="A7768" s="34">
        <v>2084052237</v>
      </c>
      <c r="B7768" s="35" t="s">
        <v>462</v>
      </c>
      <c r="C7768" s="35" t="s">
        <v>1556</v>
      </c>
      <c r="D7768" s="35" t="s">
        <v>954</v>
      </c>
      <c r="E7768" s="35" t="s">
        <v>1562</v>
      </c>
      <c r="F7768" s="35" t="s">
        <v>392</v>
      </c>
    </row>
    <row r="7769" spans="1:6">
      <c r="A7769" s="34">
        <v>2084052238</v>
      </c>
      <c r="B7769" s="35" t="s">
        <v>462</v>
      </c>
      <c r="C7769" s="35" t="s">
        <v>1556</v>
      </c>
      <c r="D7769" s="35" t="s">
        <v>954</v>
      </c>
      <c r="E7769" s="35" t="s">
        <v>1562</v>
      </c>
      <c r="F7769" s="35" t="s">
        <v>375</v>
      </c>
    </row>
    <row r="7770" spans="1:6">
      <c r="A7770" s="34">
        <v>2084052239</v>
      </c>
      <c r="B7770" s="35" t="s">
        <v>462</v>
      </c>
      <c r="C7770" s="35" t="s">
        <v>1556</v>
      </c>
      <c r="D7770" s="35" t="s">
        <v>954</v>
      </c>
      <c r="E7770" s="35" t="s">
        <v>1562</v>
      </c>
      <c r="F7770" s="35" t="s">
        <v>376</v>
      </c>
    </row>
    <row r="7771" spans="1:6">
      <c r="A7771" s="34">
        <v>2084052240</v>
      </c>
      <c r="B7771" s="35" t="s">
        <v>462</v>
      </c>
      <c r="C7771" s="35" t="s">
        <v>1556</v>
      </c>
      <c r="D7771" s="35" t="s">
        <v>954</v>
      </c>
      <c r="E7771" s="35" t="s">
        <v>1562</v>
      </c>
      <c r="F7771" s="35" t="s">
        <v>377</v>
      </c>
    </row>
    <row r="7772" spans="1:6">
      <c r="A7772" s="34">
        <v>2084309731</v>
      </c>
      <c r="B7772" s="35" t="s">
        <v>462</v>
      </c>
      <c r="C7772" s="35" t="s">
        <v>1556</v>
      </c>
      <c r="D7772" s="35" t="s">
        <v>954</v>
      </c>
      <c r="E7772" s="35" t="s">
        <v>1563</v>
      </c>
      <c r="F7772" s="35" t="s">
        <v>391</v>
      </c>
    </row>
    <row r="7773" spans="1:6">
      <c r="A7773" s="34">
        <v>2084309732</v>
      </c>
      <c r="B7773" s="35" t="s">
        <v>462</v>
      </c>
      <c r="C7773" s="35" t="s">
        <v>1556</v>
      </c>
      <c r="D7773" s="35" t="s">
        <v>954</v>
      </c>
      <c r="E7773" s="35" t="s">
        <v>1563</v>
      </c>
      <c r="F7773" s="35" t="s">
        <v>392</v>
      </c>
    </row>
    <row r="7774" spans="1:6">
      <c r="A7774" s="34">
        <v>2084309733</v>
      </c>
      <c r="B7774" s="35" t="s">
        <v>462</v>
      </c>
      <c r="C7774" s="35" t="s">
        <v>1556</v>
      </c>
      <c r="D7774" s="35" t="s">
        <v>954</v>
      </c>
      <c r="E7774" s="35" t="s">
        <v>1563</v>
      </c>
      <c r="F7774" s="35" t="s">
        <v>375</v>
      </c>
    </row>
    <row r="7775" spans="1:6">
      <c r="A7775" s="34">
        <v>2084309734</v>
      </c>
      <c r="B7775" s="35" t="s">
        <v>462</v>
      </c>
      <c r="C7775" s="35" t="s">
        <v>1556</v>
      </c>
      <c r="D7775" s="35" t="s">
        <v>954</v>
      </c>
      <c r="E7775" s="35" t="s">
        <v>1563</v>
      </c>
      <c r="F7775" s="35" t="s">
        <v>376</v>
      </c>
    </row>
    <row r="7776" spans="1:6">
      <c r="A7776" s="34">
        <v>2084309735</v>
      </c>
      <c r="B7776" s="35" t="s">
        <v>462</v>
      </c>
      <c r="C7776" s="35" t="s">
        <v>1556</v>
      </c>
      <c r="D7776" s="35" t="s">
        <v>954</v>
      </c>
      <c r="E7776" s="35" t="s">
        <v>1563</v>
      </c>
      <c r="F7776" s="35" t="s">
        <v>377</v>
      </c>
    </row>
    <row r="7777" spans="1:6">
      <c r="A7777" s="34">
        <v>2084309721</v>
      </c>
      <c r="B7777" s="35" t="s">
        <v>462</v>
      </c>
      <c r="C7777" s="35" t="s">
        <v>1556</v>
      </c>
      <c r="D7777" s="35" t="s">
        <v>954</v>
      </c>
      <c r="E7777" s="35" t="s">
        <v>1564</v>
      </c>
      <c r="F7777" s="35" t="s">
        <v>391</v>
      </c>
    </row>
    <row r="7778" spans="1:6">
      <c r="A7778" s="34">
        <v>2084309722</v>
      </c>
      <c r="B7778" s="35" t="s">
        <v>462</v>
      </c>
      <c r="C7778" s="35" t="s">
        <v>1556</v>
      </c>
      <c r="D7778" s="35" t="s">
        <v>954</v>
      </c>
      <c r="E7778" s="35" t="s">
        <v>1564</v>
      </c>
      <c r="F7778" s="35" t="s">
        <v>392</v>
      </c>
    </row>
    <row r="7779" spans="1:6">
      <c r="A7779" s="34">
        <v>2084309723</v>
      </c>
      <c r="B7779" s="35" t="s">
        <v>462</v>
      </c>
      <c r="C7779" s="35" t="s">
        <v>1556</v>
      </c>
      <c r="D7779" s="35" t="s">
        <v>954</v>
      </c>
      <c r="E7779" s="35" t="s">
        <v>1564</v>
      </c>
      <c r="F7779" s="35" t="s">
        <v>375</v>
      </c>
    </row>
    <row r="7780" spans="1:6">
      <c r="A7780" s="34">
        <v>2084309724</v>
      </c>
      <c r="B7780" s="35" t="s">
        <v>462</v>
      </c>
      <c r="C7780" s="35" t="s">
        <v>1556</v>
      </c>
      <c r="D7780" s="35" t="s">
        <v>954</v>
      </c>
      <c r="E7780" s="35" t="s">
        <v>1564</v>
      </c>
      <c r="F7780" s="35" t="s">
        <v>376</v>
      </c>
    </row>
    <row r="7781" spans="1:6">
      <c r="A7781" s="34">
        <v>2084309725</v>
      </c>
      <c r="B7781" s="35" t="s">
        <v>462</v>
      </c>
      <c r="C7781" s="35" t="s">
        <v>1556</v>
      </c>
      <c r="D7781" s="35" t="s">
        <v>954</v>
      </c>
      <c r="E7781" s="35" t="s">
        <v>1564</v>
      </c>
      <c r="F7781" s="35" t="s">
        <v>377</v>
      </c>
    </row>
    <row r="7782" spans="1:6">
      <c r="A7782" s="34">
        <v>2084007189</v>
      </c>
      <c r="B7782" s="35" t="s">
        <v>462</v>
      </c>
      <c r="C7782" s="35" t="s">
        <v>1556</v>
      </c>
      <c r="D7782" s="35" t="s">
        <v>954</v>
      </c>
      <c r="E7782" s="35" t="s">
        <v>1565</v>
      </c>
    </row>
    <row r="7783" spans="1:6">
      <c r="A7783" s="34">
        <v>2084228092</v>
      </c>
      <c r="B7783" s="35" t="s">
        <v>462</v>
      </c>
      <c r="C7783" s="35" t="s">
        <v>1556</v>
      </c>
      <c r="D7783" s="35" t="s">
        <v>954</v>
      </c>
      <c r="E7783" s="35" t="s">
        <v>1566</v>
      </c>
      <c r="F7783" s="35" t="s">
        <v>1567</v>
      </c>
    </row>
    <row r="7784" spans="1:6">
      <c r="A7784" s="34">
        <v>2084228093</v>
      </c>
      <c r="B7784" s="35" t="s">
        <v>462</v>
      </c>
      <c r="C7784" s="35" t="s">
        <v>1556</v>
      </c>
      <c r="D7784" s="35" t="s">
        <v>954</v>
      </c>
      <c r="E7784" s="35" t="s">
        <v>1566</v>
      </c>
      <c r="F7784" s="35" t="s">
        <v>1568</v>
      </c>
    </row>
    <row r="7785" spans="1:6">
      <c r="A7785" s="34">
        <v>2084228094</v>
      </c>
      <c r="B7785" s="35" t="s">
        <v>462</v>
      </c>
      <c r="C7785" s="35" t="s">
        <v>1556</v>
      </c>
      <c r="D7785" s="35" t="s">
        <v>954</v>
      </c>
      <c r="E7785" s="35" t="s">
        <v>1566</v>
      </c>
      <c r="F7785" s="35" t="s">
        <v>1569</v>
      </c>
    </row>
    <row r="7786" spans="1:6">
      <c r="A7786" s="34">
        <v>2084228095</v>
      </c>
      <c r="B7786" s="35" t="s">
        <v>462</v>
      </c>
      <c r="C7786" s="35" t="s">
        <v>1556</v>
      </c>
      <c r="D7786" s="35" t="s">
        <v>954</v>
      </c>
      <c r="E7786" s="35" t="s">
        <v>1566</v>
      </c>
      <c r="F7786" s="35" t="s">
        <v>1570</v>
      </c>
    </row>
    <row r="7787" spans="1:6">
      <c r="A7787" s="34">
        <v>2084228102</v>
      </c>
      <c r="B7787" s="35" t="s">
        <v>462</v>
      </c>
      <c r="C7787" s="35" t="s">
        <v>1556</v>
      </c>
      <c r="D7787" s="35" t="s">
        <v>954</v>
      </c>
      <c r="E7787" s="35" t="s">
        <v>1566</v>
      </c>
      <c r="F7787" s="35" t="s">
        <v>1571</v>
      </c>
    </row>
    <row r="7788" spans="1:6">
      <c r="A7788" s="34">
        <v>2084228096</v>
      </c>
      <c r="B7788" s="35" t="s">
        <v>462</v>
      </c>
      <c r="C7788" s="35" t="s">
        <v>1556</v>
      </c>
      <c r="D7788" s="35" t="s">
        <v>954</v>
      </c>
      <c r="E7788" s="35" t="s">
        <v>1566</v>
      </c>
      <c r="F7788" s="35" t="s">
        <v>1572</v>
      </c>
    </row>
    <row r="7789" spans="1:6">
      <c r="A7789" s="34">
        <v>2084228097</v>
      </c>
      <c r="B7789" s="35" t="s">
        <v>462</v>
      </c>
      <c r="C7789" s="35" t="s">
        <v>1556</v>
      </c>
      <c r="D7789" s="35" t="s">
        <v>954</v>
      </c>
      <c r="E7789" s="35" t="s">
        <v>1566</v>
      </c>
      <c r="F7789" s="35" t="s">
        <v>1573</v>
      </c>
    </row>
    <row r="7790" spans="1:6">
      <c r="A7790" s="34">
        <v>2084228098</v>
      </c>
      <c r="B7790" s="35" t="s">
        <v>462</v>
      </c>
      <c r="C7790" s="35" t="s">
        <v>1556</v>
      </c>
      <c r="D7790" s="35" t="s">
        <v>954</v>
      </c>
      <c r="E7790" s="35" t="s">
        <v>1566</v>
      </c>
      <c r="F7790" s="35" t="s">
        <v>1574</v>
      </c>
    </row>
    <row r="7791" spans="1:6">
      <c r="A7791" s="34">
        <v>2084228099</v>
      </c>
      <c r="B7791" s="35" t="s">
        <v>462</v>
      </c>
      <c r="C7791" s="35" t="s">
        <v>1556</v>
      </c>
      <c r="D7791" s="35" t="s">
        <v>954</v>
      </c>
      <c r="E7791" s="35" t="s">
        <v>1566</v>
      </c>
      <c r="F7791" s="35" t="s">
        <v>1575</v>
      </c>
    </row>
    <row r="7792" spans="1:6">
      <c r="A7792" s="34">
        <v>2084228101</v>
      </c>
      <c r="B7792" s="35" t="s">
        <v>462</v>
      </c>
      <c r="C7792" s="35" t="s">
        <v>1556</v>
      </c>
      <c r="D7792" s="35" t="s">
        <v>954</v>
      </c>
      <c r="E7792" s="35" t="s">
        <v>1566</v>
      </c>
      <c r="F7792" s="35" t="s">
        <v>1576</v>
      </c>
    </row>
    <row r="7793" spans="1:7">
      <c r="A7793" s="34">
        <v>2084228100</v>
      </c>
      <c r="B7793" s="35" t="s">
        <v>462</v>
      </c>
      <c r="C7793" s="35" t="s">
        <v>1556</v>
      </c>
      <c r="D7793" s="35" t="s">
        <v>954</v>
      </c>
      <c r="E7793" s="35" t="s">
        <v>1566</v>
      </c>
      <c r="F7793" s="35" t="s">
        <v>1577</v>
      </c>
    </row>
    <row r="7794" spans="1:7">
      <c r="A7794" s="34">
        <v>2084228103</v>
      </c>
      <c r="B7794" s="35" t="s">
        <v>462</v>
      </c>
      <c r="C7794" s="35" t="s">
        <v>1556</v>
      </c>
      <c r="D7794" s="35" t="s">
        <v>954</v>
      </c>
      <c r="E7794" s="35" t="s">
        <v>1566</v>
      </c>
      <c r="F7794" s="35" t="s">
        <v>335</v>
      </c>
    </row>
    <row r="7795" spans="1:7">
      <c r="A7795" s="34">
        <v>2084057474</v>
      </c>
      <c r="B7795" s="35" t="s">
        <v>462</v>
      </c>
      <c r="C7795" s="35" t="s">
        <v>1556</v>
      </c>
      <c r="D7795" s="35" t="s">
        <v>368</v>
      </c>
      <c r="E7795" s="35" t="s">
        <v>956</v>
      </c>
      <c r="F7795" s="35" t="s">
        <v>391</v>
      </c>
    </row>
    <row r="7796" spans="1:7">
      <c r="A7796" s="34">
        <v>2084057475</v>
      </c>
      <c r="B7796" s="35" t="s">
        <v>462</v>
      </c>
      <c r="C7796" s="35" t="s">
        <v>1556</v>
      </c>
      <c r="D7796" s="35" t="s">
        <v>368</v>
      </c>
      <c r="E7796" s="35" t="s">
        <v>956</v>
      </c>
      <c r="F7796" s="35" t="s">
        <v>392</v>
      </c>
    </row>
    <row r="7797" spans="1:7">
      <c r="A7797" s="34">
        <v>2084057476</v>
      </c>
      <c r="B7797" s="35" t="s">
        <v>462</v>
      </c>
      <c r="C7797" s="35" t="s">
        <v>1556</v>
      </c>
      <c r="D7797" s="35" t="s">
        <v>368</v>
      </c>
      <c r="E7797" s="35" t="s">
        <v>956</v>
      </c>
      <c r="F7797" s="35" t="s">
        <v>375</v>
      </c>
    </row>
    <row r="7798" spans="1:7">
      <c r="A7798" s="34">
        <v>2084057477</v>
      </c>
      <c r="B7798" s="35" t="s">
        <v>462</v>
      </c>
      <c r="C7798" s="35" t="s">
        <v>1556</v>
      </c>
      <c r="D7798" s="35" t="s">
        <v>368</v>
      </c>
      <c r="E7798" s="35" t="s">
        <v>956</v>
      </c>
      <c r="F7798" s="35" t="s">
        <v>376</v>
      </c>
    </row>
    <row r="7799" spans="1:7">
      <c r="A7799" s="34">
        <v>2084057478</v>
      </c>
      <c r="B7799" s="35" t="s">
        <v>462</v>
      </c>
      <c r="C7799" s="35" t="s">
        <v>1556</v>
      </c>
      <c r="D7799" s="35" t="s">
        <v>368</v>
      </c>
      <c r="E7799" s="35" t="s">
        <v>956</v>
      </c>
      <c r="F7799" s="35" t="s">
        <v>377</v>
      </c>
    </row>
    <row r="7800" spans="1:7">
      <c r="A7800" s="34">
        <v>2084057479</v>
      </c>
      <c r="B7800" s="35" t="s">
        <v>462</v>
      </c>
      <c r="C7800" s="35" t="s">
        <v>1556</v>
      </c>
      <c r="D7800" s="35" t="s">
        <v>368</v>
      </c>
      <c r="E7800" s="35" t="s">
        <v>552</v>
      </c>
      <c r="F7800" s="35" t="s">
        <v>1578</v>
      </c>
      <c r="G7800" s="35" t="s">
        <v>391</v>
      </c>
    </row>
    <row r="7801" spans="1:7">
      <c r="A7801" s="34">
        <v>2084057480</v>
      </c>
      <c r="B7801" s="35" t="s">
        <v>462</v>
      </c>
      <c r="C7801" s="35" t="s">
        <v>1556</v>
      </c>
      <c r="D7801" s="35" t="s">
        <v>368</v>
      </c>
      <c r="E7801" s="35" t="s">
        <v>552</v>
      </c>
      <c r="F7801" s="35" t="s">
        <v>1578</v>
      </c>
      <c r="G7801" s="35" t="s">
        <v>392</v>
      </c>
    </row>
    <row r="7802" spans="1:7">
      <c r="A7802" s="34">
        <v>2084057481</v>
      </c>
      <c r="B7802" s="35" t="s">
        <v>462</v>
      </c>
      <c r="C7802" s="35" t="s">
        <v>1556</v>
      </c>
      <c r="D7802" s="35" t="s">
        <v>368</v>
      </c>
      <c r="E7802" s="35" t="s">
        <v>552</v>
      </c>
      <c r="F7802" s="35" t="s">
        <v>1578</v>
      </c>
      <c r="G7802" s="35" t="s">
        <v>375</v>
      </c>
    </row>
    <row r="7803" spans="1:7">
      <c r="A7803" s="34">
        <v>2084057482</v>
      </c>
      <c r="B7803" s="35" t="s">
        <v>462</v>
      </c>
      <c r="C7803" s="35" t="s">
        <v>1556</v>
      </c>
      <c r="D7803" s="35" t="s">
        <v>368</v>
      </c>
      <c r="E7803" s="35" t="s">
        <v>552</v>
      </c>
      <c r="F7803" s="35" t="s">
        <v>1578</v>
      </c>
      <c r="G7803" s="35" t="s">
        <v>376</v>
      </c>
    </row>
    <row r="7804" spans="1:7">
      <c r="A7804" s="34">
        <v>2084057483</v>
      </c>
      <c r="B7804" s="35" t="s">
        <v>462</v>
      </c>
      <c r="C7804" s="35" t="s">
        <v>1556</v>
      </c>
      <c r="D7804" s="35" t="s">
        <v>368</v>
      </c>
      <c r="E7804" s="35" t="s">
        <v>552</v>
      </c>
      <c r="F7804" s="35" t="s">
        <v>1578</v>
      </c>
      <c r="G7804" s="35" t="s">
        <v>377</v>
      </c>
    </row>
    <row r="7805" spans="1:7">
      <c r="A7805" s="34">
        <v>2084052540</v>
      </c>
      <c r="B7805" s="35" t="s">
        <v>462</v>
      </c>
      <c r="C7805" s="35" t="s">
        <v>1556</v>
      </c>
      <c r="D7805" s="35" t="s">
        <v>368</v>
      </c>
      <c r="E7805" s="35" t="s">
        <v>552</v>
      </c>
      <c r="F7805" s="35" t="s">
        <v>1579</v>
      </c>
    </row>
    <row r="7806" spans="1:7">
      <c r="A7806" s="34">
        <v>2084052541</v>
      </c>
      <c r="B7806" s="35" t="s">
        <v>462</v>
      </c>
      <c r="C7806" s="35" t="s">
        <v>1556</v>
      </c>
      <c r="D7806" s="35" t="s">
        <v>368</v>
      </c>
      <c r="E7806" s="35" t="s">
        <v>552</v>
      </c>
      <c r="F7806" s="35" t="s">
        <v>1580</v>
      </c>
    </row>
    <row r="7807" spans="1:7">
      <c r="A7807" s="34">
        <v>2084054381</v>
      </c>
      <c r="B7807" s="35" t="s">
        <v>462</v>
      </c>
      <c r="C7807" s="35" t="s">
        <v>1556</v>
      </c>
      <c r="D7807" s="35" t="s">
        <v>368</v>
      </c>
      <c r="E7807" s="35" t="s">
        <v>552</v>
      </c>
      <c r="F7807" s="35" t="s">
        <v>1581</v>
      </c>
      <c r="G7807" s="35" t="s">
        <v>391</v>
      </c>
    </row>
    <row r="7808" spans="1:7">
      <c r="A7808" s="34">
        <v>2084054382</v>
      </c>
      <c r="B7808" s="35" t="s">
        <v>462</v>
      </c>
      <c r="C7808" s="35" t="s">
        <v>1556</v>
      </c>
      <c r="D7808" s="35" t="s">
        <v>368</v>
      </c>
      <c r="E7808" s="35" t="s">
        <v>552</v>
      </c>
      <c r="F7808" s="35" t="s">
        <v>1581</v>
      </c>
      <c r="G7808" s="35" t="s">
        <v>392</v>
      </c>
    </row>
    <row r="7809" spans="1:7">
      <c r="A7809" s="34">
        <v>2084054383</v>
      </c>
      <c r="B7809" s="35" t="s">
        <v>462</v>
      </c>
      <c r="C7809" s="35" t="s">
        <v>1556</v>
      </c>
      <c r="D7809" s="35" t="s">
        <v>368</v>
      </c>
      <c r="E7809" s="35" t="s">
        <v>552</v>
      </c>
      <c r="F7809" s="35" t="s">
        <v>1581</v>
      </c>
      <c r="G7809" s="35" t="s">
        <v>375</v>
      </c>
    </row>
    <row r="7810" spans="1:7">
      <c r="A7810" s="34">
        <v>2084054384</v>
      </c>
      <c r="B7810" s="35" t="s">
        <v>462</v>
      </c>
      <c r="C7810" s="35" t="s">
        <v>1556</v>
      </c>
      <c r="D7810" s="35" t="s">
        <v>368</v>
      </c>
      <c r="E7810" s="35" t="s">
        <v>552</v>
      </c>
      <c r="F7810" s="35" t="s">
        <v>1581</v>
      </c>
      <c r="G7810" s="35" t="s">
        <v>376</v>
      </c>
    </row>
    <row r="7811" spans="1:7">
      <c r="A7811" s="34">
        <v>2084054385</v>
      </c>
      <c r="B7811" s="35" t="s">
        <v>462</v>
      </c>
      <c r="C7811" s="35" t="s">
        <v>1556</v>
      </c>
      <c r="D7811" s="35" t="s">
        <v>368</v>
      </c>
      <c r="E7811" s="35" t="s">
        <v>552</v>
      </c>
      <c r="F7811" s="35" t="s">
        <v>1581</v>
      </c>
      <c r="G7811" s="35" t="s">
        <v>377</v>
      </c>
    </row>
    <row r="7812" spans="1:7">
      <c r="A7812" s="34">
        <v>2084054843</v>
      </c>
      <c r="B7812" s="35" t="s">
        <v>462</v>
      </c>
      <c r="C7812" s="35" t="s">
        <v>1556</v>
      </c>
      <c r="D7812" s="35" t="s">
        <v>368</v>
      </c>
      <c r="E7812" s="35" t="s">
        <v>1408</v>
      </c>
      <c r="F7812" s="35" t="s">
        <v>391</v>
      </c>
    </row>
    <row r="7813" spans="1:7">
      <c r="A7813" s="34">
        <v>2084054844</v>
      </c>
      <c r="B7813" s="35" t="s">
        <v>462</v>
      </c>
      <c r="C7813" s="35" t="s">
        <v>1556</v>
      </c>
      <c r="D7813" s="35" t="s">
        <v>368</v>
      </c>
      <c r="E7813" s="35" t="s">
        <v>1408</v>
      </c>
      <c r="F7813" s="35" t="s">
        <v>392</v>
      </c>
    </row>
    <row r="7814" spans="1:7">
      <c r="A7814" s="34">
        <v>2084054845</v>
      </c>
      <c r="B7814" s="35" t="s">
        <v>462</v>
      </c>
      <c r="C7814" s="35" t="s">
        <v>1556</v>
      </c>
      <c r="D7814" s="35" t="s">
        <v>368</v>
      </c>
      <c r="E7814" s="35" t="s">
        <v>1408</v>
      </c>
      <c r="F7814" s="35" t="s">
        <v>375</v>
      </c>
    </row>
    <row r="7815" spans="1:7">
      <c r="A7815" s="34">
        <v>2084054846</v>
      </c>
      <c r="B7815" s="35" t="s">
        <v>462</v>
      </c>
      <c r="C7815" s="35" t="s">
        <v>1556</v>
      </c>
      <c r="D7815" s="35" t="s">
        <v>368</v>
      </c>
      <c r="E7815" s="35" t="s">
        <v>1408</v>
      </c>
      <c r="F7815" s="35" t="s">
        <v>376</v>
      </c>
    </row>
    <row r="7816" spans="1:7">
      <c r="A7816" s="34">
        <v>2084054847</v>
      </c>
      <c r="B7816" s="35" t="s">
        <v>462</v>
      </c>
      <c r="C7816" s="35" t="s">
        <v>1556</v>
      </c>
      <c r="D7816" s="35" t="s">
        <v>368</v>
      </c>
      <c r="E7816" s="35" t="s">
        <v>1408</v>
      </c>
      <c r="F7816" s="35" t="s">
        <v>377</v>
      </c>
    </row>
    <row r="7817" spans="1:7">
      <c r="A7817" s="34">
        <v>2084064438</v>
      </c>
      <c r="B7817" s="35" t="s">
        <v>462</v>
      </c>
      <c r="C7817" s="35" t="s">
        <v>1556</v>
      </c>
      <c r="D7817" s="35" t="s">
        <v>368</v>
      </c>
      <c r="E7817" s="35" t="s">
        <v>1582</v>
      </c>
    </row>
    <row r="7818" spans="1:7">
      <c r="A7818" s="34">
        <v>2084050488</v>
      </c>
      <c r="B7818" s="35" t="s">
        <v>462</v>
      </c>
      <c r="C7818" s="35" t="s">
        <v>1556</v>
      </c>
      <c r="D7818" s="35" t="s">
        <v>368</v>
      </c>
      <c r="E7818" s="35" t="s">
        <v>1583</v>
      </c>
      <c r="F7818" s="35" t="s">
        <v>1584</v>
      </c>
      <c r="G7818" s="35" t="s">
        <v>391</v>
      </c>
    </row>
    <row r="7819" spans="1:7">
      <c r="A7819" s="34">
        <v>2084050489</v>
      </c>
      <c r="B7819" s="35" t="s">
        <v>462</v>
      </c>
      <c r="C7819" s="35" t="s">
        <v>1556</v>
      </c>
      <c r="D7819" s="35" t="s">
        <v>368</v>
      </c>
      <c r="E7819" s="35" t="s">
        <v>1583</v>
      </c>
      <c r="F7819" s="35" t="s">
        <v>1584</v>
      </c>
      <c r="G7819" s="35" t="s">
        <v>392</v>
      </c>
    </row>
    <row r="7820" spans="1:7">
      <c r="A7820" s="34">
        <v>2084050490</v>
      </c>
      <c r="B7820" s="35" t="s">
        <v>462</v>
      </c>
      <c r="C7820" s="35" t="s">
        <v>1556</v>
      </c>
      <c r="D7820" s="35" t="s">
        <v>368</v>
      </c>
      <c r="E7820" s="35" t="s">
        <v>1583</v>
      </c>
      <c r="F7820" s="35" t="s">
        <v>1584</v>
      </c>
      <c r="G7820" s="35" t="s">
        <v>375</v>
      </c>
    </row>
    <row r="7821" spans="1:7">
      <c r="A7821" s="34">
        <v>2084050491</v>
      </c>
      <c r="B7821" s="35" t="s">
        <v>462</v>
      </c>
      <c r="C7821" s="35" t="s">
        <v>1556</v>
      </c>
      <c r="D7821" s="35" t="s">
        <v>368</v>
      </c>
      <c r="E7821" s="35" t="s">
        <v>1583</v>
      </c>
      <c r="F7821" s="35" t="s">
        <v>1584</v>
      </c>
      <c r="G7821" s="35" t="s">
        <v>376</v>
      </c>
    </row>
    <row r="7822" spans="1:7">
      <c r="A7822" s="34">
        <v>2084050492</v>
      </c>
      <c r="B7822" s="35" t="s">
        <v>462</v>
      </c>
      <c r="C7822" s="35" t="s">
        <v>1556</v>
      </c>
      <c r="D7822" s="35" t="s">
        <v>368</v>
      </c>
      <c r="E7822" s="35" t="s">
        <v>1583</v>
      </c>
      <c r="F7822" s="35" t="s">
        <v>1584</v>
      </c>
      <c r="G7822" s="35" t="s">
        <v>377</v>
      </c>
    </row>
    <row r="7823" spans="1:7">
      <c r="A7823" s="34">
        <v>2084243901</v>
      </c>
      <c r="B7823" s="35" t="s">
        <v>462</v>
      </c>
      <c r="C7823" s="35" t="s">
        <v>1556</v>
      </c>
      <c r="D7823" s="35" t="s">
        <v>368</v>
      </c>
      <c r="E7823" s="35" t="s">
        <v>1585</v>
      </c>
    </row>
    <row r="7824" spans="1:7">
      <c r="A7824" s="34">
        <v>2084243900</v>
      </c>
      <c r="B7824" s="35" t="s">
        <v>462</v>
      </c>
      <c r="C7824" s="35" t="s">
        <v>1556</v>
      </c>
      <c r="D7824" s="35" t="s">
        <v>368</v>
      </c>
      <c r="E7824" s="35" t="s">
        <v>1586</v>
      </c>
    </row>
    <row r="7825" spans="1:6">
      <c r="A7825" s="34">
        <v>2084005208</v>
      </c>
      <c r="B7825" s="35" t="s">
        <v>462</v>
      </c>
      <c r="C7825" s="35" t="s">
        <v>1556</v>
      </c>
      <c r="D7825" s="35" t="s">
        <v>368</v>
      </c>
      <c r="E7825" s="35" t="s">
        <v>335</v>
      </c>
    </row>
    <row r="7826" spans="1:6">
      <c r="A7826" s="34">
        <v>2084064207</v>
      </c>
      <c r="B7826" s="35" t="s">
        <v>462</v>
      </c>
      <c r="C7826" s="35" t="s">
        <v>1556</v>
      </c>
      <c r="D7826" s="35" t="s">
        <v>1587</v>
      </c>
      <c r="E7826" s="35" t="s">
        <v>391</v>
      </c>
    </row>
    <row r="7827" spans="1:6">
      <c r="A7827" s="34">
        <v>2084064208</v>
      </c>
      <c r="B7827" s="35" t="s">
        <v>462</v>
      </c>
      <c r="C7827" s="35" t="s">
        <v>1556</v>
      </c>
      <c r="D7827" s="35" t="s">
        <v>1587</v>
      </c>
      <c r="E7827" s="35" t="s">
        <v>392</v>
      </c>
    </row>
    <row r="7828" spans="1:6">
      <c r="A7828" s="34">
        <v>2084064209</v>
      </c>
      <c r="B7828" s="35" t="s">
        <v>462</v>
      </c>
      <c r="C7828" s="35" t="s">
        <v>1556</v>
      </c>
      <c r="D7828" s="35" t="s">
        <v>1587</v>
      </c>
      <c r="E7828" s="35" t="s">
        <v>375</v>
      </c>
    </row>
    <row r="7829" spans="1:6">
      <c r="A7829" s="34">
        <v>2084064210</v>
      </c>
      <c r="B7829" s="35" t="s">
        <v>462</v>
      </c>
      <c r="C7829" s="35" t="s">
        <v>1556</v>
      </c>
      <c r="D7829" s="35" t="s">
        <v>1587</v>
      </c>
      <c r="E7829" s="35" t="s">
        <v>376</v>
      </c>
    </row>
    <row r="7830" spans="1:6">
      <c r="A7830" s="34">
        <v>2084064211</v>
      </c>
      <c r="B7830" s="35" t="s">
        <v>462</v>
      </c>
      <c r="C7830" s="35" t="s">
        <v>1556</v>
      </c>
      <c r="D7830" s="35" t="s">
        <v>1587</v>
      </c>
      <c r="E7830" s="35" t="s">
        <v>377</v>
      </c>
    </row>
    <row r="7831" spans="1:6">
      <c r="A7831" s="34">
        <v>2084027846</v>
      </c>
      <c r="B7831" s="35" t="s">
        <v>462</v>
      </c>
      <c r="C7831" s="35" t="s">
        <v>1556</v>
      </c>
      <c r="D7831" s="35" t="s">
        <v>1588</v>
      </c>
      <c r="E7831" s="35" t="s">
        <v>1589</v>
      </c>
    </row>
    <row r="7832" spans="1:6">
      <c r="A7832" s="34">
        <v>2084027603</v>
      </c>
      <c r="B7832" s="35" t="s">
        <v>462</v>
      </c>
      <c r="C7832" s="35" t="s">
        <v>1556</v>
      </c>
      <c r="D7832" s="35" t="s">
        <v>1590</v>
      </c>
      <c r="E7832" s="35" t="s">
        <v>1591</v>
      </c>
      <c r="F7832" s="35" t="s">
        <v>1592</v>
      </c>
    </row>
    <row r="7833" spans="1:6">
      <c r="A7833" s="34">
        <v>2084064245</v>
      </c>
      <c r="B7833" s="35" t="s">
        <v>462</v>
      </c>
      <c r="C7833" s="35" t="s">
        <v>1556</v>
      </c>
      <c r="D7833" s="35" t="s">
        <v>1590</v>
      </c>
      <c r="E7833" s="35" t="s">
        <v>1593</v>
      </c>
      <c r="F7833" s="35" t="s">
        <v>391</v>
      </c>
    </row>
    <row r="7834" spans="1:6">
      <c r="A7834" s="34">
        <v>2084064246</v>
      </c>
      <c r="B7834" s="35" t="s">
        <v>462</v>
      </c>
      <c r="C7834" s="35" t="s">
        <v>1556</v>
      </c>
      <c r="D7834" s="35" t="s">
        <v>1590</v>
      </c>
      <c r="E7834" s="35" t="s">
        <v>1593</v>
      </c>
      <c r="F7834" s="35" t="s">
        <v>392</v>
      </c>
    </row>
    <row r="7835" spans="1:6">
      <c r="A7835" s="34">
        <v>2084064247</v>
      </c>
      <c r="B7835" s="35" t="s">
        <v>462</v>
      </c>
      <c r="C7835" s="35" t="s">
        <v>1556</v>
      </c>
      <c r="D7835" s="35" t="s">
        <v>1590</v>
      </c>
      <c r="E7835" s="35" t="s">
        <v>1593</v>
      </c>
      <c r="F7835" s="35" t="s">
        <v>375</v>
      </c>
    </row>
    <row r="7836" spans="1:6">
      <c r="A7836" s="34">
        <v>2084064248</v>
      </c>
      <c r="B7836" s="35" t="s">
        <v>462</v>
      </c>
      <c r="C7836" s="35" t="s">
        <v>1556</v>
      </c>
      <c r="D7836" s="35" t="s">
        <v>1590</v>
      </c>
      <c r="E7836" s="35" t="s">
        <v>1593</v>
      </c>
      <c r="F7836" s="35" t="s">
        <v>376</v>
      </c>
    </row>
    <row r="7837" spans="1:6">
      <c r="A7837" s="34">
        <v>2084064249</v>
      </c>
      <c r="B7837" s="35" t="s">
        <v>462</v>
      </c>
      <c r="C7837" s="35" t="s">
        <v>1556</v>
      </c>
      <c r="D7837" s="35" t="s">
        <v>1590</v>
      </c>
      <c r="E7837" s="35" t="s">
        <v>1593</v>
      </c>
      <c r="F7837" s="35" t="s">
        <v>377</v>
      </c>
    </row>
    <row r="7838" spans="1:6">
      <c r="A7838" s="34">
        <v>2084064251</v>
      </c>
      <c r="B7838" s="35" t="s">
        <v>462</v>
      </c>
      <c r="C7838" s="35" t="s">
        <v>1556</v>
      </c>
      <c r="D7838" s="35" t="s">
        <v>1590</v>
      </c>
      <c r="E7838" s="35" t="s">
        <v>1594</v>
      </c>
      <c r="F7838" s="35" t="s">
        <v>391</v>
      </c>
    </row>
    <row r="7839" spans="1:6">
      <c r="A7839" s="34">
        <v>2084064252</v>
      </c>
      <c r="B7839" s="35" t="s">
        <v>462</v>
      </c>
      <c r="C7839" s="35" t="s">
        <v>1556</v>
      </c>
      <c r="D7839" s="35" t="s">
        <v>1590</v>
      </c>
      <c r="E7839" s="35" t="s">
        <v>1594</v>
      </c>
      <c r="F7839" s="35" t="s">
        <v>392</v>
      </c>
    </row>
    <row r="7840" spans="1:6">
      <c r="A7840" s="34">
        <v>2084064254</v>
      </c>
      <c r="B7840" s="35" t="s">
        <v>462</v>
      </c>
      <c r="C7840" s="35" t="s">
        <v>1556</v>
      </c>
      <c r="D7840" s="35" t="s">
        <v>1590</v>
      </c>
      <c r="E7840" s="35" t="s">
        <v>1594</v>
      </c>
      <c r="F7840" s="35" t="s">
        <v>375</v>
      </c>
    </row>
    <row r="7841" spans="1:6">
      <c r="A7841" s="34">
        <v>2084064255</v>
      </c>
      <c r="B7841" s="35" t="s">
        <v>462</v>
      </c>
      <c r="C7841" s="35" t="s">
        <v>1556</v>
      </c>
      <c r="D7841" s="35" t="s">
        <v>1590</v>
      </c>
      <c r="E7841" s="35" t="s">
        <v>1594</v>
      </c>
      <c r="F7841" s="35" t="s">
        <v>376</v>
      </c>
    </row>
    <row r="7842" spans="1:6">
      <c r="A7842" s="34">
        <v>2084064256</v>
      </c>
      <c r="B7842" s="35" t="s">
        <v>462</v>
      </c>
      <c r="C7842" s="35" t="s">
        <v>1556</v>
      </c>
      <c r="D7842" s="35" t="s">
        <v>1590</v>
      </c>
      <c r="E7842" s="35" t="s">
        <v>1594</v>
      </c>
      <c r="F7842" s="35" t="s">
        <v>377</v>
      </c>
    </row>
    <row r="7843" spans="1:6">
      <c r="A7843" s="34">
        <v>2084054035</v>
      </c>
      <c r="B7843" s="35" t="s">
        <v>462</v>
      </c>
      <c r="C7843" s="35" t="s">
        <v>1556</v>
      </c>
      <c r="D7843" s="35" t="s">
        <v>1590</v>
      </c>
      <c r="E7843" s="35" t="s">
        <v>1595</v>
      </c>
    </row>
    <row r="7844" spans="1:6">
      <c r="A7844" s="34">
        <v>2084064264</v>
      </c>
      <c r="B7844" s="35" t="s">
        <v>462</v>
      </c>
      <c r="C7844" s="35" t="s">
        <v>1556</v>
      </c>
      <c r="D7844" s="35" t="s">
        <v>430</v>
      </c>
      <c r="E7844" s="35" t="s">
        <v>391</v>
      </c>
    </row>
    <row r="7845" spans="1:6">
      <c r="A7845" s="34">
        <v>2084064265</v>
      </c>
      <c r="B7845" s="35" t="s">
        <v>462</v>
      </c>
      <c r="C7845" s="35" t="s">
        <v>1556</v>
      </c>
      <c r="D7845" s="35" t="s">
        <v>430</v>
      </c>
      <c r="E7845" s="35" t="s">
        <v>392</v>
      </c>
    </row>
    <row r="7846" spans="1:6">
      <c r="A7846" s="34">
        <v>2084064266</v>
      </c>
      <c r="B7846" s="35" t="s">
        <v>462</v>
      </c>
      <c r="C7846" s="35" t="s">
        <v>1556</v>
      </c>
      <c r="D7846" s="35" t="s">
        <v>430</v>
      </c>
      <c r="E7846" s="35" t="s">
        <v>375</v>
      </c>
    </row>
    <row r="7847" spans="1:6">
      <c r="A7847" s="34">
        <v>2084064267</v>
      </c>
      <c r="B7847" s="35" t="s">
        <v>462</v>
      </c>
      <c r="C7847" s="35" t="s">
        <v>1556</v>
      </c>
      <c r="D7847" s="35" t="s">
        <v>430</v>
      </c>
      <c r="E7847" s="35" t="s">
        <v>376</v>
      </c>
    </row>
    <row r="7848" spans="1:6">
      <c r="A7848" s="34">
        <v>2084064268</v>
      </c>
      <c r="B7848" s="35" t="s">
        <v>462</v>
      </c>
      <c r="C7848" s="35" t="s">
        <v>1556</v>
      </c>
      <c r="D7848" s="35" t="s">
        <v>430</v>
      </c>
      <c r="E7848" s="35" t="s">
        <v>377</v>
      </c>
    </row>
    <row r="7849" spans="1:6">
      <c r="A7849" s="34">
        <v>2084064259</v>
      </c>
      <c r="B7849" s="35" t="s">
        <v>462</v>
      </c>
      <c r="C7849" s="35" t="s">
        <v>1556</v>
      </c>
      <c r="D7849" s="35" t="s">
        <v>1596</v>
      </c>
      <c r="E7849" s="35" t="s">
        <v>391</v>
      </c>
    </row>
    <row r="7850" spans="1:6">
      <c r="A7850" s="34">
        <v>2084064260</v>
      </c>
      <c r="B7850" s="35" t="s">
        <v>462</v>
      </c>
      <c r="C7850" s="35" t="s">
        <v>1556</v>
      </c>
      <c r="D7850" s="35" t="s">
        <v>1596</v>
      </c>
      <c r="E7850" s="35" t="s">
        <v>392</v>
      </c>
    </row>
    <row r="7851" spans="1:6">
      <c r="A7851" s="34">
        <v>2084064261</v>
      </c>
      <c r="B7851" s="35" t="s">
        <v>462</v>
      </c>
      <c r="C7851" s="35" t="s">
        <v>1556</v>
      </c>
      <c r="D7851" s="35" t="s">
        <v>1596</v>
      </c>
      <c r="E7851" s="35" t="s">
        <v>375</v>
      </c>
    </row>
    <row r="7852" spans="1:6">
      <c r="A7852" s="34">
        <v>2084064262</v>
      </c>
      <c r="B7852" s="35" t="s">
        <v>462</v>
      </c>
      <c r="C7852" s="35" t="s">
        <v>1556</v>
      </c>
      <c r="D7852" s="35" t="s">
        <v>1596</v>
      </c>
      <c r="E7852" s="35" t="s">
        <v>376</v>
      </c>
    </row>
    <row r="7853" spans="1:6">
      <c r="A7853" s="34">
        <v>2084064263</v>
      </c>
      <c r="B7853" s="35" t="s">
        <v>462</v>
      </c>
      <c r="C7853" s="35" t="s">
        <v>1556</v>
      </c>
      <c r="D7853" s="35" t="s">
        <v>1596</v>
      </c>
      <c r="E7853" s="35" t="s">
        <v>377</v>
      </c>
    </row>
    <row r="7854" spans="1:6">
      <c r="A7854" s="34">
        <v>2084007130</v>
      </c>
      <c r="B7854" s="35" t="s">
        <v>462</v>
      </c>
      <c r="C7854" s="35" t="s">
        <v>1556</v>
      </c>
      <c r="D7854" s="35" t="s">
        <v>1597</v>
      </c>
      <c r="E7854" s="35" t="s">
        <v>1598</v>
      </c>
    </row>
    <row r="7855" spans="1:6">
      <c r="A7855" s="34">
        <v>2084007134</v>
      </c>
      <c r="B7855" s="35" t="s">
        <v>462</v>
      </c>
      <c r="C7855" s="35" t="s">
        <v>1556</v>
      </c>
      <c r="D7855" s="35" t="s">
        <v>1597</v>
      </c>
      <c r="E7855" s="35" t="s">
        <v>1599</v>
      </c>
    </row>
    <row r="7856" spans="1:6">
      <c r="A7856" s="34">
        <v>2084050493</v>
      </c>
      <c r="B7856" s="35" t="s">
        <v>462</v>
      </c>
      <c r="C7856" s="35" t="s">
        <v>1556</v>
      </c>
      <c r="D7856" s="35" t="s">
        <v>1597</v>
      </c>
      <c r="E7856" s="35" t="s">
        <v>1593</v>
      </c>
      <c r="F7856" s="35" t="s">
        <v>391</v>
      </c>
    </row>
    <row r="7857" spans="1:6">
      <c r="A7857" s="34">
        <v>2084050494</v>
      </c>
      <c r="B7857" s="35" t="s">
        <v>462</v>
      </c>
      <c r="C7857" s="35" t="s">
        <v>1556</v>
      </c>
      <c r="D7857" s="35" t="s">
        <v>1597</v>
      </c>
      <c r="E7857" s="35" t="s">
        <v>1593</v>
      </c>
      <c r="F7857" s="35" t="s">
        <v>392</v>
      </c>
    </row>
    <row r="7858" spans="1:6">
      <c r="A7858" s="34">
        <v>2084050495</v>
      </c>
      <c r="B7858" s="35" t="s">
        <v>462</v>
      </c>
      <c r="C7858" s="35" t="s">
        <v>1556</v>
      </c>
      <c r="D7858" s="35" t="s">
        <v>1597</v>
      </c>
      <c r="E7858" s="35" t="s">
        <v>1593</v>
      </c>
      <c r="F7858" s="35" t="s">
        <v>375</v>
      </c>
    </row>
    <row r="7859" spans="1:6">
      <c r="A7859" s="34">
        <v>2084050496</v>
      </c>
      <c r="B7859" s="35" t="s">
        <v>462</v>
      </c>
      <c r="C7859" s="35" t="s">
        <v>1556</v>
      </c>
      <c r="D7859" s="35" t="s">
        <v>1597</v>
      </c>
      <c r="E7859" s="35" t="s">
        <v>1593</v>
      </c>
      <c r="F7859" s="35" t="s">
        <v>376</v>
      </c>
    </row>
    <row r="7860" spans="1:6">
      <c r="A7860" s="34">
        <v>2084050497</v>
      </c>
      <c r="B7860" s="35" t="s">
        <v>462</v>
      </c>
      <c r="C7860" s="35" t="s">
        <v>1556</v>
      </c>
      <c r="D7860" s="35" t="s">
        <v>1597</v>
      </c>
      <c r="E7860" s="35" t="s">
        <v>1593</v>
      </c>
      <c r="F7860" s="35" t="s">
        <v>377</v>
      </c>
    </row>
    <row r="7861" spans="1:6">
      <c r="A7861" s="34">
        <v>2084064212</v>
      </c>
      <c r="B7861" s="35" t="s">
        <v>462</v>
      </c>
      <c r="C7861" s="35" t="s">
        <v>1556</v>
      </c>
      <c r="D7861" s="35" t="s">
        <v>1597</v>
      </c>
      <c r="E7861" s="35" t="s">
        <v>1594</v>
      </c>
      <c r="F7861" s="35" t="s">
        <v>391</v>
      </c>
    </row>
    <row r="7862" spans="1:6">
      <c r="A7862" s="34">
        <v>2084064213</v>
      </c>
      <c r="B7862" s="35" t="s">
        <v>462</v>
      </c>
      <c r="C7862" s="35" t="s">
        <v>1556</v>
      </c>
      <c r="D7862" s="35" t="s">
        <v>1597</v>
      </c>
      <c r="E7862" s="35" t="s">
        <v>1594</v>
      </c>
      <c r="F7862" s="35" t="s">
        <v>392</v>
      </c>
    </row>
    <row r="7863" spans="1:6">
      <c r="A7863" s="34">
        <v>2084064214</v>
      </c>
      <c r="B7863" s="35" t="s">
        <v>462</v>
      </c>
      <c r="C7863" s="35" t="s">
        <v>1556</v>
      </c>
      <c r="D7863" s="35" t="s">
        <v>1597</v>
      </c>
      <c r="E7863" s="35" t="s">
        <v>1594</v>
      </c>
      <c r="F7863" s="35" t="s">
        <v>375</v>
      </c>
    </row>
    <row r="7864" spans="1:6">
      <c r="A7864" s="34">
        <v>2084064215</v>
      </c>
      <c r="B7864" s="35" t="s">
        <v>462</v>
      </c>
      <c r="C7864" s="35" t="s">
        <v>1556</v>
      </c>
      <c r="D7864" s="35" t="s">
        <v>1597</v>
      </c>
      <c r="E7864" s="35" t="s">
        <v>1594</v>
      </c>
      <c r="F7864" s="35" t="s">
        <v>376</v>
      </c>
    </row>
    <row r="7865" spans="1:6">
      <c r="A7865" s="34">
        <v>2084064216</v>
      </c>
      <c r="B7865" s="35" t="s">
        <v>462</v>
      </c>
      <c r="C7865" s="35" t="s">
        <v>1556</v>
      </c>
      <c r="D7865" s="35" t="s">
        <v>1597</v>
      </c>
      <c r="E7865" s="35" t="s">
        <v>1594</v>
      </c>
      <c r="F7865" s="35" t="s">
        <v>377</v>
      </c>
    </row>
    <row r="7866" spans="1:6">
      <c r="A7866" s="34">
        <v>2084064217</v>
      </c>
      <c r="B7866" s="35" t="s">
        <v>462</v>
      </c>
      <c r="C7866" s="35" t="s">
        <v>1556</v>
      </c>
      <c r="D7866" s="35" t="s">
        <v>1597</v>
      </c>
      <c r="E7866" s="35" t="s">
        <v>1600</v>
      </c>
      <c r="F7866" s="35" t="s">
        <v>391</v>
      </c>
    </row>
    <row r="7867" spans="1:6">
      <c r="A7867" s="34">
        <v>2084064218</v>
      </c>
      <c r="B7867" s="35" t="s">
        <v>462</v>
      </c>
      <c r="C7867" s="35" t="s">
        <v>1556</v>
      </c>
      <c r="D7867" s="35" t="s">
        <v>1597</v>
      </c>
      <c r="E7867" s="35" t="s">
        <v>1600</v>
      </c>
      <c r="F7867" s="35" t="s">
        <v>392</v>
      </c>
    </row>
    <row r="7868" spans="1:6">
      <c r="A7868" s="34">
        <v>2084064219</v>
      </c>
      <c r="B7868" s="35" t="s">
        <v>462</v>
      </c>
      <c r="C7868" s="35" t="s">
        <v>1556</v>
      </c>
      <c r="D7868" s="35" t="s">
        <v>1597</v>
      </c>
      <c r="E7868" s="35" t="s">
        <v>1600</v>
      </c>
      <c r="F7868" s="35" t="s">
        <v>375</v>
      </c>
    </row>
    <row r="7869" spans="1:6">
      <c r="A7869" s="34">
        <v>2084064220</v>
      </c>
      <c r="B7869" s="35" t="s">
        <v>462</v>
      </c>
      <c r="C7869" s="35" t="s">
        <v>1556</v>
      </c>
      <c r="D7869" s="35" t="s">
        <v>1597</v>
      </c>
      <c r="E7869" s="35" t="s">
        <v>1600</v>
      </c>
      <c r="F7869" s="35" t="s">
        <v>376</v>
      </c>
    </row>
    <row r="7870" spans="1:6">
      <c r="A7870" s="34">
        <v>2084064221</v>
      </c>
      <c r="B7870" s="35" t="s">
        <v>462</v>
      </c>
      <c r="C7870" s="35" t="s">
        <v>1556</v>
      </c>
      <c r="D7870" s="35" t="s">
        <v>1597</v>
      </c>
      <c r="E7870" s="35" t="s">
        <v>1600</v>
      </c>
      <c r="F7870" s="35" t="s">
        <v>377</v>
      </c>
    </row>
    <row r="7871" spans="1:6">
      <c r="A7871" s="34">
        <v>2084027443</v>
      </c>
      <c r="B7871" s="35" t="s">
        <v>462</v>
      </c>
      <c r="C7871" s="35" t="s">
        <v>1556</v>
      </c>
      <c r="D7871" s="35" t="s">
        <v>1601</v>
      </c>
      <c r="E7871" s="35" t="s">
        <v>1591</v>
      </c>
      <c r="F7871" s="35" t="s">
        <v>1602</v>
      </c>
    </row>
    <row r="7872" spans="1:6">
      <c r="A7872" s="34">
        <v>2084057484</v>
      </c>
      <c r="B7872" s="35" t="s">
        <v>462</v>
      </c>
      <c r="C7872" s="35" t="s">
        <v>1556</v>
      </c>
      <c r="D7872" s="35" t="s">
        <v>1601</v>
      </c>
      <c r="E7872" s="35" t="s">
        <v>1593</v>
      </c>
      <c r="F7872" s="35" t="s">
        <v>391</v>
      </c>
    </row>
    <row r="7873" spans="1:6">
      <c r="A7873" s="34">
        <v>2084057485</v>
      </c>
      <c r="B7873" s="35" t="s">
        <v>462</v>
      </c>
      <c r="C7873" s="35" t="s">
        <v>1556</v>
      </c>
      <c r="D7873" s="35" t="s">
        <v>1601</v>
      </c>
      <c r="E7873" s="35" t="s">
        <v>1593</v>
      </c>
      <c r="F7873" s="35" t="s">
        <v>392</v>
      </c>
    </row>
    <row r="7874" spans="1:6">
      <c r="A7874" s="34">
        <v>2084057486</v>
      </c>
      <c r="B7874" s="35" t="s">
        <v>462</v>
      </c>
      <c r="C7874" s="35" t="s">
        <v>1556</v>
      </c>
      <c r="D7874" s="35" t="s">
        <v>1601</v>
      </c>
      <c r="E7874" s="35" t="s">
        <v>1593</v>
      </c>
      <c r="F7874" s="35" t="s">
        <v>375</v>
      </c>
    </row>
    <row r="7875" spans="1:6">
      <c r="A7875" s="34">
        <v>2084057487</v>
      </c>
      <c r="B7875" s="35" t="s">
        <v>462</v>
      </c>
      <c r="C7875" s="35" t="s">
        <v>1556</v>
      </c>
      <c r="D7875" s="35" t="s">
        <v>1601</v>
      </c>
      <c r="E7875" s="35" t="s">
        <v>1593</v>
      </c>
      <c r="F7875" s="35" t="s">
        <v>376</v>
      </c>
    </row>
    <row r="7876" spans="1:6">
      <c r="A7876" s="34">
        <v>2084057488</v>
      </c>
      <c r="B7876" s="35" t="s">
        <v>462</v>
      </c>
      <c r="C7876" s="35" t="s">
        <v>1556</v>
      </c>
      <c r="D7876" s="35" t="s">
        <v>1601</v>
      </c>
      <c r="E7876" s="35" t="s">
        <v>1593</v>
      </c>
      <c r="F7876" s="35" t="s">
        <v>377</v>
      </c>
    </row>
    <row r="7877" spans="1:6">
      <c r="A7877" s="34">
        <v>2084064234</v>
      </c>
      <c r="B7877" s="35" t="s">
        <v>462</v>
      </c>
      <c r="C7877" s="35" t="s">
        <v>1556</v>
      </c>
      <c r="D7877" s="35" t="s">
        <v>1601</v>
      </c>
      <c r="E7877" s="35" t="s">
        <v>1594</v>
      </c>
      <c r="F7877" s="35" t="s">
        <v>391</v>
      </c>
    </row>
    <row r="7878" spans="1:6">
      <c r="A7878" s="34">
        <v>2084064236</v>
      </c>
      <c r="B7878" s="35" t="s">
        <v>462</v>
      </c>
      <c r="C7878" s="35" t="s">
        <v>1556</v>
      </c>
      <c r="D7878" s="35" t="s">
        <v>1601</v>
      </c>
      <c r="E7878" s="35" t="s">
        <v>1594</v>
      </c>
      <c r="F7878" s="35" t="s">
        <v>392</v>
      </c>
    </row>
    <row r="7879" spans="1:6">
      <c r="A7879" s="34">
        <v>2084064237</v>
      </c>
      <c r="B7879" s="35" t="s">
        <v>462</v>
      </c>
      <c r="C7879" s="35" t="s">
        <v>1556</v>
      </c>
      <c r="D7879" s="35" t="s">
        <v>1601</v>
      </c>
      <c r="E7879" s="35" t="s">
        <v>1594</v>
      </c>
      <c r="F7879" s="35" t="s">
        <v>375</v>
      </c>
    </row>
    <row r="7880" spans="1:6">
      <c r="A7880" s="34">
        <v>2084064238</v>
      </c>
      <c r="B7880" s="35" t="s">
        <v>462</v>
      </c>
      <c r="C7880" s="35" t="s">
        <v>1556</v>
      </c>
      <c r="D7880" s="35" t="s">
        <v>1601</v>
      </c>
      <c r="E7880" s="35" t="s">
        <v>1594</v>
      </c>
      <c r="F7880" s="35" t="s">
        <v>376</v>
      </c>
    </row>
    <row r="7881" spans="1:6">
      <c r="A7881" s="34">
        <v>2084064239</v>
      </c>
      <c r="B7881" s="35" t="s">
        <v>462</v>
      </c>
      <c r="C7881" s="35" t="s">
        <v>1556</v>
      </c>
      <c r="D7881" s="35" t="s">
        <v>1601</v>
      </c>
      <c r="E7881" s="35" t="s">
        <v>1594</v>
      </c>
      <c r="F7881" s="35" t="s">
        <v>377</v>
      </c>
    </row>
    <row r="7882" spans="1:6">
      <c r="A7882" s="34">
        <v>2084064240</v>
      </c>
      <c r="B7882" s="35" t="s">
        <v>462</v>
      </c>
      <c r="C7882" s="35" t="s">
        <v>1556</v>
      </c>
      <c r="D7882" s="35" t="s">
        <v>1601</v>
      </c>
      <c r="E7882" s="35" t="s">
        <v>1600</v>
      </c>
      <c r="F7882" s="35" t="s">
        <v>391</v>
      </c>
    </row>
    <row r="7883" spans="1:6">
      <c r="A7883" s="34">
        <v>2084064241</v>
      </c>
      <c r="B7883" s="35" t="s">
        <v>462</v>
      </c>
      <c r="C7883" s="35" t="s">
        <v>1556</v>
      </c>
      <c r="D7883" s="35" t="s">
        <v>1601</v>
      </c>
      <c r="E7883" s="35" t="s">
        <v>1600</v>
      </c>
      <c r="F7883" s="35" t="s">
        <v>392</v>
      </c>
    </row>
    <row r="7884" spans="1:6">
      <c r="A7884" s="34">
        <v>2084064242</v>
      </c>
      <c r="B7884" s="35" t="s">
        <v>462</v>
      </c>
      <c r="C7884" s="35" t="s">
        <v>1556</v>
      </c>
      <c r="D7884" s="35" t="s">
        <v>1601</v>
      </c>
      <c r="E7884" s="35" t="s">
        <v>1600</v>
      </c>
      <c r="F7884" s="35" t="s">
        <v>375</v>
      </c>
    </row>
    <row r="7885" spans="1:6">
      <c r="A7885" s="34">
        <v>2084064243</v>
      </c>
      <c r="B7885" s="35" t="s">
        <v>462</v>
      </c>
      <c r="C7885" s="35" t="s">
        <v>1556</v>
      </c>
      <c r="D7885" s="35" t="s">
        <v>1601</v>
      </c>
      <c r="E7885" s="35" t="s">
        <v>1600</v>
      </c>
      <c r="F7885" s="35" t="s">
        <v>376</v>
      </c>
    </row>
    <row r="7886" spans="1:6">
      <c r="A7886" s="34">
        <v>2084064244</v>
      </c>
      <c r="B7886" s="35" t="s">
        <v>462</v>
      </c>
      <c r="C7886" s="35" t="s">
        <v>1556</v>
      </c>
      <c r="D7886" s="35" t="s">
        <v>1601</v>
      </c>
      <c r="E7886" s="35" t="s">
        <v>1600</v>
      </c>
      <c r="F7886" s="35" t="s">
        <v>377</v>
      </c>
    </row>
    <row r="7887" spans="1:6">
      <c r="A7887" s="34">
        <v>2084231770</v>
      </c>
      <c r="B7887" s="35" t="s">
        <v>462</v>
      </c>
      <c r="C7887" s="35" t="s">
        <v>1556</v>
      </c>
      <c r="D7887" s="35" t="s">
        <v>1603</v>
      </c>
      <c r="E7887" s="35" t="s">
        <v>1591</v>
      </c>
      <c r="F7887" s="35" t="s">
        <v>391</v>
      </c>
    </row>
    <row r="7888" spans="1:6">
      <c r="A7888" s="34">
        <v>2084231771</v>
      </c>
      <c r="B7888" s="35" t="s">
        <v>462</v>
      </c>
      <c r="C7888" s="35" t="s">
        <v>1556</v>
      </c>
      <c r="D7888" s="35" t="s">
        <v>1603</v>
      </c>
      <c r="E7888" s="35" t="s">
        <v>1591</v>
      </c>
      <c r="F7888" s="35" t="s">
        <v>392</v>
      </c>
    </row>
    <row r="7889" spans="1:6">
      <c r="A7889" s="34">
        <v>2084231772</v>
      </c>
      <c r="B7889" s="35" t="s">
        <v>462</v>
      </c>
      <c r="C7889" s="35" t="s">
        <v>1556</v>
      </c>
      <c r="D7889" s="35" t="s">
        <v>1603</v>
      </c>
      <c r="E7889" s="35" t="s">
        <v>1591</v>
      </c>
      <c r="F7889" s="35" t="s">
        <v>375</v>
      </c>
    </row>
    <row r="7890" spans="1:6">
      <c r="A7890" s="34">
        <v>2084231773</v>
      </c>
      <c r="B7890" s="35" t="s">
        <v>462</v>
      </c>
      <c r="C7890" s="35" t="s">
        <v>1556</v>
      </c>
      <c r="D7890" s="35" t="s">
        <v>1603</v>
      </c>
      <c r="E7890" s="35" t="s">
        <v>1591</v>
      </c>
      <c r="F7890" s="35" t="s">
        <v>376</v>
      </c>
    </row>
    <row r="7891" spans="1:6">
      <c r="A7891" s="34">
        <v>2084231774</v>
      </c>
      <c r="B7891" s="35" t="s">
        <v>462</v>
      </c>
      <c r="C7891" s="35" t="s">
        <v>1556</v>
      </c>
      <c r="D7891" s="35" t="s">
        <v>1603</v>
      </c>
      <c r="E7891" s="35" t="s">
        <v>1591</v>
      </c>
      <c r="F7891" s="35" t="s">
        <v>377</v>
      </c>
    </row>
    <row r="7892" spans="1:6">
      <c r="A7892" s="34">
        <v>2084231776</v>
      </c>
      <c r="B7892" s="35" t="s">
        <v>462</v>
      </c>
      <c r="C7892" s="35" t="s">
        <v>1556</v>
      </c>
      <c r="D7892" s="35" t="s">
        <v>1603</v>
      </c>
      <c r="E7892" s="35" t="s">
        <v>1593</v>
      </c>
      <c r="F7892" s="35" t="s">
        <v>391</v>
      </c>
    </row>
    <row r="7893" spans="1:6">
      <c r="A7893" s="34">
        <v>2084231777</v>
      </c>
      <c r="B7893" s="35" t="s">
        <v>462</v>
      </c>
      <c r="C7893" s="35" t="s">
        <v>1556</v>
      </c>
      <c r="D7893" s="35" t="s">
        <v>1603</v>
      </c>
      <c r="E7893" s="35" t="s">
        <v>1593</v>
      </c>
      <c r="F7893" s="35" t="s">
        <v>392</v>
      </c>
    </row>
    <row r="7894" spans="1:6">
      <c r="A7894" s="34">
        <v>2084231778</v>
      </c>
      <c r="B7894" s="35" t="s">
        <v>462</v>
      </c>
      <c r="C7894" s="35" t="s">
        <v>1556</v>
      </c>
      <c r="D7894" s="35" t="s">
        <v>1603</v>
      </c>
      <c r="E7894" s="35" t="s">
        <v>1593</v>
      </c>
      <c r="F7894" s="35" t="s">
        <v>375</v>
      </c>
    </row>
    <row r="7895" spans="1:6">
      <c r="A7895" s="34">
        <v>2084231779</v>
      </c>
      <c r="B7895" s="35" t="s">
        <v>462</v>
      </c>
      <c r="C7895" s="35" t="s">
        <v>1556</v>
      </c>
      <c r="D7895" s="35" t="s">
        <v>1603</v>
      </c>
      <c r="E7895" s="35" t="s">
        <v>1593</v>
      </c>
      <c r="F7895" s="35" t="s">
        <v>376</v>
      </c>
    </row>
    <row r="7896" spans="1:6">
      <c r="A7896" s="34">
        <v>2084231780</v>
      </c>
      <c r="B7896" s="35" t="s">
        <v>462</v>
      </c>
      <c r="C7896" s="35" t="s">
        <v>1556</v>
      </c>
      <c r="D7896" s="35" t="s">
        <v>1603</v>
      </c>
      <c r="E7896" s="35" t="s">
        <v>1593</v>
      </c>
      <c r="F7896" s="35" t="s">
        <v>377</v>
      </c>
    </row>
    <row r="7897" spans="1:6">
      <c r="A7897" s="34">
        <v>2084231782</v>
      </c>
      <c r="B7897" s="35" t="s">
        <v>462</v>
      </c>
      <c r="C7897" s="35" t="s">
        <v>1556</v>
      </c>
      <c r="D7897" s="35" t="s">
        <v>1603</v>
      </c>
      <c r="E7897" s="35" t="s">
        <v>1594</v>
      </c>
      <c r="F7897" s="35" t="s">
        <v>391</v>
      </c>
    </row>
    <row r="7898" spans="1:6">
      <c r="A7898" s="34">
        <v>2084231783</v>
      </c>
      <c r="B7898" s="35" t="s">
        <v>462</v>
      </c>
      <c r="C7898" s="35" t="s">
        <v>1556</v>
      </c>
      <c r="D7898" s="35" t="s">
        <v>1603</v>
      </c>
      <c r="E7898" s="35" t="s">
        <v>1594</v>
      </c>
      <c r="F7898" s="35" t="s">
        <v>392</v>
      </c>
    </row>
    <row r="7899" spans="1:6">
      <c r="A7899" s="34">
        <v>2084231784</v>
      </c>
      <c r="B7899" s="35" t="s">
        <v>462</v>
      </c>
      <c r="C7899" s="35" t="s">
        <v>1556</v>
      </c>
      <c r="D7899" s="35" t="s">
        <v>1603</v>
      </c>
      <c r="E7899" s="35" t="s">
        <v>1594</v>
      </c>
      <c r="F7899" s="35" t="s">
        <v>375</v>
      </c>
    </row>
    <row r="7900" spans="1:6">
      <c r="A7900" s="34">
        <v>2084231785</v>
      </c>
      <c r="B7900" s="35" t="s">
        <v>462</v>
      </c>
      <c r="C7900" s="35" t="s">
        <v>1556</v>
      </c>
      <c r="D7900" s="35" t="s">
        <v>1603</v>
      </c>
      <c r="E7900" s="35" t="s">
        <v>1594</v>
      </c>
      <c r="F7900" s="35" t="s">
        <v>376</v>
      </c>
    </row>
    <row r="7901" spans="1:6">
      <c r="A7901" s="34">
        <v>2084231786</v>
      </c>
      <c r="B7901" s="35" t="s">
        <v>462</v>
      </c>
      <c r="C7901" s="35" t="s">
        <v>1556</v>
      </c>
      <c r="D7901" s="35" t="s">
        <v>1603</v>
      </c>
      <c r="E7901" s="35" t="s">
        <v>1594</v>
      </c>
      <c r="F7901" s="35" t="s">
        <v>377</v>
      </c>
    </row>
    <row r="7902" spans="1:6">
      <c r="A7902" s="34">
        <v>2084231788</v>
      </c>
      <c r="B7902" s="35" t="s">
        <v>462</v>
      </c>
      <c r="C7902" s="35" t="s">
        <v>1556</v>
      </c>
      <c r="D7902" s="35" t="s">
        <v>1603</v>
      </c>
      <c r="E7902" s="35" t="s">
        <v>1600</v>
      </c>
      <c r="F7902" s="35" t="s">
        <v>391</v>
      </c>
    </row>
    <row r="7903" spans="1:6">
      <c r="A7903" s="34">
        <v>2084231789</v>
      </c>
      <c r="B7903" s="35" t="s">
        <v>462</v>
      </c>
      <c r="C7903" s="35" t="s">
        <v>1556</v>
      </c>
      <c r="D7903" s="35" t="s">
        <v>1603</v>
      </c>
      <c r="E7903" s="35" t="s">
        <v>1600</v>
      </c>
      <c r="F7903" s="35" t="s">
        <v>392</v>
      </c>
    </row>
    <row r="7904" spans="1:6">
      <c r="A7904" s="34">
        <v>2084231790</v>
      </c>
      <c r="B7904" s="35" t="s">
        <v>462</v>
      </c>
      <c r="C7904" s="35" t="s">
        <v>1556</v>
      </c>
      <c r="D7904" s="35" t="s">
        <v>1603</v>
      </c>
      <c r="E7904" s="35" t="s">
        <v>1600</v>
      </c>
      <c r="F7904" s="35" t="s">
        <v>375</v>
      </c>
    </row>
    <row r="7905" spans="1:8">
      <c r="A7905" s="34">
        <v>2084231791</v>
      </c>
      <c r="B7905" s="35" t="s">
        <v>462</v>
      </c>
      <c r="C7905" s="35" t="s">
        <v>1556</v>
      </c>
      <c r="D7905" s="35" t="s">
        <v>1603</v>
      </c>
      <c r="E7905" s="35" t="s">
        <v>1600</v>
      </c>
      <c r="F7905" s="35" t="s">
        <v>376</v>
      </c>
    </row>
    <row r="7906" spans="1:8">
      <c r="A7906" s="34">
        <v>2084231792</v>
      </c>
      <c r="B7906" s="35" t="s">
        <v>462</v>
      </c>
      <c r="C7906" s="35" t="s">
        <v>1556</v>
      </c>
      <c r="D7906" s="35" t="s">
        <v>1603</v>
      </c>
      <c r="E7906" s="35" t="s">
        <v>1600</v>
      </c>
      <c r="F7906" s="35" t="s">
        <v>377</v>
      </c>
    </row>
    <row r="7907" spans="1:8">
      <c r="A7907" s="34">
        <v>2084027282</v>
      </c>
      <c r="B7907" s="35" t="s">
        <v>462</v>
      </c>
      <c r="C7907" s="35" t="s">
        <v>1556</v>
      </c>
      <c r="D7907" s="35" t="s">
        <v>1604</v>
      </c>
      <c r="E7907" s="35" t="s">
        <v>1120</v>
      </c>
    </row>
    <row r="7908" spans="1:8">
      <c r="A7908" s="34">
        <v>2084051290</v>
      </c>
      <c r="B7908" s="35" t="s">
        <v>462</v>
      </c>
      <c r="C7908" s="35" t="s">
        <v>1556</v>
      </c>
      <c r="D7908" s="35" t="s">
        <v>1604</v>
      </c>
      <c r="E7908" s="35" t="s">
        <v>1594</v>
      </c>
      <c r="F7908" s="35" t="s">
        <v>1605</v>
      </c>
      <c r="G7908" s="35" t="s">
        <v>1606</v>
      </c>
      <c r="H7908" s="35" t="s">
        <v>1607</v>
      </c>
    </row>
    <row r="7909" spans="1:8">
      <c r="A7909" s="34">
        <v>2084051293</v>
      </c>
      <c r="B7909" s="35" t="s">
        <v>462</v>
      </c>
      <c r="C7909" s="35" t="s">
        <v>1556</v>
      </c>
      <c r="D7909" s="35" t="s">
        <v>1604</v>
      </c>
      <c r="E7909" s="35" t="s">
        <v>1594</v>
      </c>
      <c r="F7909" s="35" t="s">
        <v>1605</v>
      </c>
      <c r="G7909" s="35" t="s">
        <v>1606</v>
      </c>
      <c r="H7909" s="35" t="s">
        <v>1608</v>
      </c>
    </row>
    <row r="7910" spans="1:8">
      <c r="A7910" s="34">
        <v>2084051291</v>
      </c>
      <c r="B7910" s="35" t="s">
        <v>462</v>
      </c>
      <c r="C7910" s="35" t="s">
        <v>1556</v>
      </c>
      <c r="D7910" s="35" t="s">
        <v>1604</v>
      </c>
      <c r="E7910" s="35" t="s">
        <v>1594</v>
      </c>
      <c r="F7910" s="35" t="s">
        <v>1605</v>
      </c>
      <c r="G7910" s="35" t="s">
        <v>1606</v>
      </c>
      <c r="H7910" s="35" t="s">
        <v>1609</v>
      </c>
    </row>
    <row r="7911" spans="1:8">
      <c r="A7911" s="34">
        <v>2084051292</v>
      </c>
      <c r="B7911" s="35" t="s">
        <v>462</v>
      </c>
      <c r="C7911" s="35" t="s">
        <v>1556</v>
      </c>
      <c r="D7911" s="35" t="s">
        <v>1604</v>
      </c>
      <c r="E7911" s="35" t="s">
        <v>1594</v>
      </c>
      <c r="F7911" s="35" t="s">
        <v>1605</v>
      </c>
      <c r="G7911" s="35" t="s">
        <v>1606</v>
      </c>
      <c r="H7911" s="35" t="s">
        <v>1610</v>
      </c>
    </row>
    <row r="7912" spans="1:8">
      <c r="A7912" s="34">
        <v>2084051294</v>
      </c>
      <c r="B7912" s="35" t="s">
        <v>462</v>
      </c>
      <c r="C7912" s="35" t="s">
        <v>1556</v>
      </c>
      <c r="D7912" s="35" t="s">
        <v>1604</v>
      </c>
      <c r="E7912" s="35" t="s">
        <v>1594</v>
      </c>
      <c r="F7912" s="35" t="s">
        <v>1605</v>
      </c>
      <c r="G7912" s="35" t="s">
        <v>1606</v>
      </c>
      <c r="H7912" s="35" t="s">
        <v>335</v>
      </c>
    </row>
    <row r="7913" spans="1:8">
      <c r="A7913" s="34">
        <v>2084051295</v>
      </c>
      <c r="B7913" s="35" t="s">
        <v>462</v>
      </c>
      <c r="C7913" s="35" t="s">
        <v>1556</v>
      </c>
      <c r="D7913" s="35" t="s">
        <v>1604</v>
      </c>
      <c r="E7913" s="35" t="s">
        <v>1594</v>
      </c>
      <c r="F7913" s="35" t="s">
        <v>1605</v>
      </c>
      <c r="G7913" s="35" t="s">
        <v>1611</v>
      </c>
    </row>
    <row r="7914" spans="1:8">
      <c r="A7914" s="34">
        <v>2084051284</v>
      </c>
      <c r="B7914" s="35" t="s">
        <v>462</v>
      </c>
      <c r="C7914" s="35" t="s">
        <v>1556</v>
      </c>
      <c r="D7914" s="35" t="s">
        <v>1604</v>
      </c>
      <c r="E7914" s="35" t="s">
        <v>1594</v>
      </c>
      <c r="F7914" s="35" t="s">
        <v>1605</v>
      </c>
      <c r="G7914" s="35" t="s">
        <v>1612</v>
      </c>
      <c r="H7914" s="35" t="s">
        <v>1607</v>
      </c>
    </row>
    <row r="7915" spans="1:8">
      <c r="A7915" s="34">
        <v>2084051287</v>
      </c>
      <c r="B7915" s="35" t="s">
        <v>462</v>
      </c>
      <c r="C7915" s="35" t="s">
        <v>1556</v>
      </c>
      <c r="D7915" s="35" t="s">
        <v>1604</v>
      </c>
      <c r="E7915" s="35" t="s">
        <v>1594</v>
      </c>
      <c r="F7915" s="35" t="s">
        <v>1605</v>
      </c>
      <c r="G7915" s="35" t="s">
        <v>1612</v>
      </c>
      <c r="H7915" s="35" t="s">
        <v>1608</v>
      </c>
    </row>
    <row r="7916" spans="1:8">
      <c r="A7916" s="34">
        <v>2084051285</v>
      </c>
      <c r="B7916" s="35" t="s">
        <v>462</v>
      </c>
      <c r="C7916" s="35" t="s">
        <v>1556</v>
      </c>
      <c r="D7916" s="35" t="s">
        <v>1604</v>
      </c>
      <c r="E7916" s="35" t="s">
        <v>1594</v>
      </c>
      <c r="F7916" s="35" t="s">
        <v>1605</v>
      </c>
      <c r="G7916" s="35" t="s">
        <v>1612</v>
      </c>
      <c r="H7916" s="35" t="s">
        <v>1609</v>
      </c>
    </row>
    <row r="7917" spans="1:8">
      <c r="A7917" s="34">
        <v>2084051286</v>
      </c>
      <c r="B7917" s="35" t="s">
        <v>462</v>
      </c>
      <c r="C7917" s="35" t="s">
        <v>1556</v>
      </c>
      <c r="D7917" s="35" t="s">
        <v>1604</v>
      </c>
      <c r="E7917" s="35" t="s">
        <v>1594</v>
      </c>
      <c r="F7917" s="35" t="s">
        <v>1605</v>
      </c>
      <c r="G7917" s="35" t="s">
        <v>1612</v>
      </c>
      <c r="H7917" s="35" t="s">
        <v>1610</v>
      </c>
    </row>
    <row r="7918" spans="1:8">
      <c r="A7918" s="34">
        <v>2084051288</v>
      </c>
      <c r="B7918" s="35" t="s">
        <v>462</v>
      </c>
      <c r="C7918" s="35" t="s">
        <v>1556</v>
      </c>
      <c r="D7918" s="35" t="s">
        <v>1604</v>
      </c>
      <c r="E7918" s="35" t="s">
        <v>1594</v>
      </c>
      <c r="F7918" s="35" t="s">
        <v>1605</v>
      </c>
      <c r="G7918" s="35" t="s">
        <v>1612</v>
      </c>
      <c r="H7918" s="35" t="s">
        <v>335</v>
      </c>
    </row>
    <row r="7919" spans="1:8">
      <c r="A7919" s="34">
        <v>2084051296</v>
      </c>
      <c r="B7919" s="35" t="s">
        <v>462</v>
      </c>
      <c r="C7919" s="35" t="s">
        <v>1556</v>
      </c>
      <c r="D7919" s="35" t="s">
        <v>1604</v>
      </c>
      <c r="E7919" s="35" t="s">
        <v>1594</v>
      </c>
      <c r="F7919" s="35" t="s">
        <v>1605</v>
      </c>
      <c r="G7919" s="35" t="s">
        <v>335</v>
      </c>
    </row>
    <row r="7920" spans="1:8">
      <c r="A7920" s="34">
        <v>2084051305</v>
      </c>
      <c r="B7920" s="35" t="s">
        <v>462</v>
      </c>
      <c r="C7920" s="35" t="s">
        <v>1556</v>
      </c>
      <c r="D7920" s="35" t="s">
        <v>1604</v>
      </c>
      <c r="E7920" s="35" t="s">
        <v>1594</v>
      </c>
      <c r="F7920" s="35" t="s">
        <v>1613</v>
      </c>
      <c r="G7920" s="35" t="s">
        <v>1606</v>
      </c>
      <c r="H7920" s="35" t="s">
        <v>1607</v>
      </c>
    </row>
    <row r="7921" spans="1:8">
      <c r="A7921" s="34">
        <v>2084051308</v>
      </c>
      <c r="B7921" s="35" t="s">
        <v>462</v>
      </c>
      <c r="C7921" s="35" t="s">
        <v>1556</v>
      </c>
      <c r="D7921" s="35" t="s">
        <v>1604</v>
      </c>
      <c r="E7921" s="35" t="s">
        <v>1594</v>
      </c>
      <c r="F7921" s="35" t="s">
        <v>1613</v>
      </c>
      <c r="G7921" s="35" t="s">
        <v>1606</v>
      </c>
      <c r="H7921" s="35" t="s">
        <v>1608</v>
      </c>
    </row>
    <row r="7922" spans="1:8">
      <c r="A7922" s="34">
        <v>2084051306</v>
      </c>
      <c r="B7922" s="35" t="s">
        <v>462</v>
      </c>
      <c r="C7922" s="35" t="s">
        <v>1556</v>
      </c>
      <c r="D7922" s="35" t="s">
        <v>1604</v>
      </c>
      <c r="E7922" s="35" t="s">
        <v>1594</v>
      </c>
      <c r="F7922" s="35" t="s">
        <v>1613</v>
      </c>
      <c r="G7922" s="35" t="s">
        <v>1606</v>
      </c>
      <c r="H7922" s="35" t="s">
        <v>1609</v>
      </c>
    </row>
    <row r="7923" spans="1:8">
      <c r="A7923" s="34">
        <v>2084051307</v>
      </c>
      <c r="B7923" s="35" t="s">
        <v>462</v>
      </c>
      <c r="C7923" s="35" t="s">
        <v>1556</v>
      </c>
      <c r="D7923" s="35" t="s">
        <v>1604</v>
      </c>
      <c r="E7923" s="35" t="s">
        <v>1594</v>
      </c>
      <c r="F7923" s="35" t="s">
        <v>1613</v>
      </c>
      <c r="G7923" s="35" t="s">
        <v>1606</v>
      </c>
      <c r="H7923" s="35" t="s">
        <v>1610</v>
      </c>
    </row>
    <row r="7924" spans="1:8">
      <c r="A7924" s="34">
        <v>2084051309</v>
      </c>
      <c r="B7924" s="35" t="s">
        <v>462</v>
      </c>
      <c r="C7924" s="35" t="s">
        <v>1556</v>
      </c>
      <c r="D7924" s="35" t="s">
        <v>1604</v>
      </c>
      <c r="E7924" s="35" t="s">
        <v>1594</v>
      </c>
      <c r="F7924" s="35" t="s">
        <v>1613</v>
      </c>
      <c r="G7924" s="35" t="s">
        <v>1606</v>
      </c>
      <c r="H7924" s="35" t="s">
        <v>335</v>
      </c>
    </row>
    <row r="7925" spans="1:8">
      <c r="A7925" s="34">
        <v>2084051310</v>
      </c>
      <c r="B7925" s="35" t="s">
        <v>462</v>
      </c>
      <c r="C7925" s="35" t="s">
        <v>1556</v>
      </c>
      <c r="D7925" s="35" t="s">
        <v>1604</v>
      </c>
      <c r="E7925" s="35" t="s">
        <v>1594</v>
      </c>
      <c r="F7925" s="35" t="s">
        <v>1613</v>
      </c>
      <c r="G7925" s="35" t="s">
        <v>1611</v>
      </c>
    </row>
    <row r="7926" spans="1:8">
      <c r="A7926" s="34">
        <v>2084051299</v>
      </c>
      <c r="B7926" s="35" t="s">
        <v>462</v>
      </c>
      <c r="C7926" s="35" t="s">
        <v>1556</v>
      </c>
      <c r="D7926" s="35" t="s">
        <v>1604</v>
      </c>
      <c r="E7926" s="35" t="s">
        <v>1594</v>
      </c>
      <c r="F7926" s="35" t="s">
        <v>1613</v>
      </c>
      <c r="G7926" s="35" t="s">
        <v>1612</v>
      </c>
      <c r="H7926" s="35" t="s">
        <v>1607</v>
      </c>
    </row>
    <row r="7927" spans="1:8">
      <c r="A7927" s="34">
        <v>2084051302</v>
      </c>
      <c r="B7927" s="35" t="s">
        <v>462</v>
      </c>
      <c r="C7927" s="35" t="s">
        <v>1556</v>
      </c>
      <c r="D7927" s="35" t="s">
        <v>1604</v>
      </c>
      <c r="E7927" s="35" t="s">
        <v>1594</v>
      </c>
      <c r="F7927" s="35" t="s">
        <v>1613</v>
      </c>
      <c r="G7927" s="35" t="s">
        <v>1612</v>
      </c>
      <c r="H7927" s="35" t="s">
        <v>1608</v>
      </c>
    </row>
    <row r="7928" spans="1:8">
      <c r="A7928" s="34">
        <v>2084051300</v>
      </c>
      <c r="B7928" s="35" t="s">
        <v>462</v>
      </c>
      <c r="C7928" s="35" t="s">
        <v>1556</v>
      </c>
      <c r="D7928" s="35" t="s">
        <v>1604</v>
      </c>
      <c r="E7928" s="35" t="s">
        <v>1594</v>
      </c>
      <c r="F7928" s="35" t="s">
        <v>1613</v>
      </c>
      <c r="G7928" s="35" t="s">
        <v>1612</v>
      </c>
      <c r="H7928" s="35" t="s">
        <v>1609</v>
      </c>
    </row>
    <row r="7929" spans="1:8">
      <c r="A7929" s="34">
        <v>2084051301</v>
      </c>
      <c r="B7929" s="35" t="s">
        <v>462</v>
      </c>
      <c r="C7929" s="35" t="s">
        <v>1556</v>
      </c>
      <c r="D7929" s="35" t="s">
        <v>1604</v>
      </c>
      <c r="E7929" s="35" t="s">
        <v>1594</v>
      </c>
      <c r="F7929" s="35" t="s">
        <v>1613</v>
      </c>
      <c r="G7929" s="35" t="s">
        <v>1612</v>
      </c>
      <c r="H7929" s="35" t="s">
        <v>1610</v>
      </c>
    </row>
    <row r="7930" spans="1:8">
      <c r="A7930" s="34">
        <v>2084051303</v>
      </c>
      <c r="B7930" s="35" t="s">
        <v>462</v>
      </c>
      <c r="C7930" s="35" t="s">
        <v>1556</v>
      </c>
      <c r="D7930" s="35" t="s">
        <v>1604</v>
      </c>
      <c r="E7930" s="35" t="s">
        <v>1594</v>
      </c>
      <c r="F7930" s="35" t="s">
        <v>1613</v>
      </c>
      <c r="G7930" s="35" t="s">
        <v>1612</v>
      </c>
      <c r="H7930" s="35" t="s">
        <v>335</v>
      </c>
    </row>
    <row r="7931" spans="1:8">
      <c r="A7931" s="34">
        <v>2084051311</v>
      </c>
      <c r="B7931" s="35" t="s">
        <v>462</v>
      </c>
      <c r="C7931" s="35" t="s">
        <v>1556</v>
      </c>
      <c r="D7931" s="35" t="s">
        <v>1604</v>
      </c>
      <c r="E7931" s="35" t="s">
        <v>1594</v>
      </c>
      <c r="F7931" s="35" t="s">
        <v>1613</v>
      </c>
      <c r="G7931" s="35" t="s">
        <v>335</v>
      </c>
    </row>
    <row r="7932" spans="1:8">
      <c r="A7932" s="34">
        <v>2084051320</v>
      </c>
      <c r="B7932" s="35" t="s">
        <v>462</v>
      </c>
      <c r="C7932" s="35" t="s">
        <v>1556</v>
      </c>
      <c r="D7932" s="35" t="s">
        <v>1604</v>
      </c>
      <c r="E7932" s="35" t="s">
        <v>1594</v>
      </c>
      <c r="F7932" s="35" t="s">
        <v>1614</v>
      </c>
      <c r="G7932" s="35" t="s">
        <v>1606</v>
      </c>
      <c r="H7932" s="35" t="s">
        <v>1607</v>
      </c>
    </row>
    <row r="7933" spans="1:8">
      <c r="A7933" s="34">
        <v>2084051323</v>
      </c>
      <c r="B7933" s="35" t="s">
        <v>462</v>
      </c>
      <c r="C7933" s="35" t="s">
        <v>1556</v>
      </c>
      <c r="D7933" s="35" t="s">
        <v>1604</v>
      </c>
      <c r="E7933" s="35" t="s">
        <v>1594</v>
      </c>
      <c r="F7933" s="35" t="s">
        <v>1614</v>
      </c>
      <c r="G7933" s="35" t="s">
        <v>1606</v>
      </c>
      <c r="H7933" s="35" t="s">
        <v>1608</v>
      </c>
    </row>
    <row r="7934" spans="1:8">
      <c r="A7934" s="34">
        <v>2084051321</v>
      </c>
      <c r="B7934" s="35" t="s">
        <v>462</v>
      </c>
      <c r="C7934" s="35" t="s">
        <v>1556</v>
      </c>
      <c r="D7934" s="35" t="s">
        <v>1604</v>
      </c>
      <c r="E7934" s="35" t="s">
        <v>1594</v>
      </c>
      <c r="F7934" s="35" t="s">
        <v>1614</v>
      </c>
      <c r="G7934" s="35" t="s">
        <v>1606</v>
      </c>
      <c r="H7934" s="35" t="s">
        <v>1609</v>
      </c>
    </row>
    <row r="7935" spans="1:8">
      <c r="A7935" s="34">
        <v>2084051322</v>
      </c>
      <c r="B7935" s="35" t="s">
        <v>462</v>
      </c>
      <c r="C7935" s="35" t="s">
        <v>1556</v>
      </c>
      <c r="D7935" s="35" t="s">
        <v>1604</v>
      </c>
      <c r="E7935" s="35" t="s">
        <v>1594</v>
      </c>
      <c r="F7935" s="35" t="s">
        <v>1614</v>
      </c>
      <c r="G7935" s="35" t="s">
        <v>1606</v>
      </c>
      <c r="H7935" s="35" t="s">
        <v>1610</v>
      </c>
    </row>
    <row r="7936" spans="1:8">
      <c r="A7936" s="34">
        <v>2084051324</v>
      </c>
      <c r="B7936" s="35" t="s">
        <v>462</v>
      </c>
      <c r="C7936" s="35" t="s">
        <v>1556</v>
      </c>
      <c r="D7936" s="35" t="s">
        <v>1604</v>
      </c>
      <c r="E7936" s="35" t="s">
        <v>1594</v>
      </c>
      <c r="F7936" s="35" t="s">
        <v>1614</v>
      </c>
      <c r="G7936" s="35" t="s">
        <v>1606</v>
      </c>
      <c r="H7936" s="35" t="s">
        <v>335</v>
      </c>
    </row>
    <row r="7937" spans="1:8">
      <c r="A7937" s="34">
        <v>2084051325</v>
      </c>
      <c r="B7937" s="35" t="s">
        <v>462</v>
      </c>
      <c r="C7937" s="35" t="s">
        <v>1556</v>
      </c>
      <c r="D7937" s="35" t="s">
        <v>1604</v>
      </c>
      <c r="E7937" s="35" t="s">
        <v>1594</v>
      </c>
      <c r="F7937" s="35" t="s">
        <v>1614</v>
      </c>
      <c r="G7937" s="35" t="s">
        <v>1611</v>
      </c>
    </row>
    <row r="7938" spans="1:8">
      <c r="A7938" s="34">
        <v>2084051314</v>
      </c>
      <c r="B7938" s="35" t="s">
        <v>462</v>
      </c>
      <c r="C7938" s="35" t="s">
        <v>1556</v>
      </c>
      <c r="D7938" s="35" t="s">
        <v>1604</v>
      </c>
      <c r="E7938" s="35" t="s">
        <v>1594</v>
      </c>
      <c r="F7938" s="35" t="s">
        <v>1614</v>
      </c>
      <c r="G7938" s="35" t="s">
        <v>1612</v>
      </c>
      <c r="H7938" s="35" t="s">
        <v>1607</v>
      </c>
    </row>
    <row r="7939" spans="1:8">
      <c r="A7939" s="34">
        <v>2084051317</v>
      </c>
      <c r="B7939" s="35" t="s">
        <v>462</v>
      </c>
      <c r="C7939" s="35" t="s">
        <v>1556</v>
      </c>
      <c r="D7939" s="35" t="s">
        <v>1604</v>
      </c>
      <c r="E7939" s="35" t="s">
        <v>1594</v>
      </c>
      <c r="F7939" s="35" t="s">
        <v>1614</v>
      </c>
      <c r="G7939" s="35" t="s">
        <v>1612</v>
      </c>
      <c r="H7939" s="35" t="s">
        <v>1608</v>
      </c>
    </row>
    <row r="7940" spans="1:8">
      <c r="A7940" s="34">
        <v>2084051315</v>
      </c>
      <c r="B7940" s="35" t="s">
        <v>462</v>
      </c>
      <c r="C7940" s="35" t="s">
        <v>1556</v>
      </c>
      <c r="D7940" s="35" t="s">
        <v>1604</v>
      </c>
      <c r="E7940" s="35" t="s">
        <v>1594</v>
      </c>
      <c r="F7940" s="35" t="s">
        <v>1614</v>
      </c>
      <c r="G7940" s="35" t="s">
        <v>1612</v>
      </c>
      <c r="H7940" s="35" t="s">
        <v>1609</v>
      </c>
    </row>
    <row r="7941" spans="1:8">
      <c r="A7941" s="34">
        <v>2084051316</v>
      </c>
      <c r="B7941" s="35" t="s">
        <v>462</v>
      </c>
      <c r="C7941" s="35" t="s">
        <v>1556</v>
      </c>
      <c r="D7941" s="35" t="s">
        <v>1604</v>
      </c>
      <c r="E7941" s="35" t="s">
        <v>1594</v>
      </c>
      <c r="F7941" s="35" t="s">
        <v>1614</v>
      </c>
      <c r="G7941" s="35" t="s">
        <v>1612</v>
      </c>
      <c r="H7941" s="35" t="s">
        <v>1610</v>
      </c>
    </row>
    <row r="7942" spans="1:8">
      <c r="A7942" s="34">
        <v>2084051318</v>
      </c>
      <c r="B7942" s="35" t="s">
        <v>462</v>
      </c>
      <c r="C7942" s="35" t="s">
        <v>1556</v>
      </c>
      <c r="D7942" s="35" t="s">
        <v>1604</v>
      </c>
      <c r="E7942" s="35" t="s">
        <v>1594</v>
      </c>
      <c r="F7942" s="35" t="s">
        <v>1614</v>
      </c>
      <c r="G7942" s="35" t="s">
        <v>1612</v>
      </c>
      <c r="H7942" s="35" t="s">
        <v>335</v>
      </c>
    </row>
    <row r="7943" spans="1:8">
      <c r="A7943" s="34">
        <v>2084051326</v>
      </c>
      <c r="B7943" s="35" t="s">
        <v>462</v>
      </c>
      <c r="C7943" s="35" t="s">
        <v>1556</v>
      </c>
      <c r="D7943" s="35" t="s">
        <v>1604</v>
      </c>
      <c r="E7943" s="35" t="s">
        <v>1594</v>
      </c>
      <c r="F7943" s="35" t="s">
        <v>1614</v>
      </c>
      <c r="G7943" s="35" t="s">
        <v>335</v>
      </c>
    </row>
    <row r="7944" spans="1:8">
      <c r="A7944" s="34">
        <v>2084051336</v>
      </c>
      <c r="B7944" s="35" t="s">
        <v>462</v>
      </c>
      <c r="C7944" s="35" t="s">
        <v>1556</v>
      </c>
      <c r="D7944" s="35" t="s">
        <v>1604</v>
      </c>
      <c r="E7944" s="35" t="s">
        <v>1594</v>
      </c>
      <c r="F7944" s="35" t="s">
        <v>1615</v>
      </c>
      <c r="G7944" s="35" t="s">
        <v>1606</v>
      </c>
      <c r="H7944" s="35" t="s">
        <v>1607</v>
      </c>
    </row>
    <row r="7945" spans="1:8">
      <c r="A7945" s="34">
        <v>2084051339</v>
      </c>
      <c r="B7945" s="35" t="s">
        <v>462</v>
      </c>
      <c r="C7945" s="35" t="s">
        <v>1556</v>
      </c>
      <c r="D7945" s="35" t="s">
        <v>1604</v>
      </c>
      <c r="E7945" s="35" t="s">
        <v>1594</v>
      </c>
      <c r="F7945" s="35" t="s">
        <v>1615</v>
      </c>
      <c r="G7945" s="35" t="s">
        <v>1606</v>
      </c>
      <c r="H7945" s="35" t="s">
        <v>1608</v>
      </c>
    </row>
    <row r="7946" spans="1:8">
      <c r="A7946" s="34">
        <v>2084051337</v>
      </c>
      <c r="B7946" s="35" t="s">
        <v>462</v>
      </c>
      <c r="C7946" s="35" t="s">
        <v>1556</v>
      </c>
      <c r="D7946" s="35" t="s">
        <v>1604</v>
      </c>
      <c r="E7946" s="35" t="s">
        <v>1594</v>
      </c>
      <c r="F7946" s="35" t="s">
        <v>1615</v>
      </c>
      <c r="G7946" s="35" t="s">
        <v>1606</v>
      </c>
      <c r="H7946" s="35" t="s">
        <v>1609</v>
      </c>
    </row>
    <row r="7947" spans="1:8">
      <c r="A7947" s="34">
        <v>2084051338</v>
      </c>
      <c r="B7947" s="35" t="s">
        <v>462</v>
      </c>
      <c r="C7947" s="35" t="s">
        <v>1556</v>
      </c>
      <c r="D7947" s="35" t="s">
        <v>1604</v>
      </c>
      <c r="E7947" s="35" t="s">
        <v>1594</v>
      </c>
      <c r="F7947" s="35" t="s">
        <v>1615</v>
      </c>
      <c r="G7947" s="35" t="s">
        <v>1606</v>
      </c>
      <c r="H7947" s="35" t="s">
        <v>1610</v>
      </c>
    </row>
    <row r="7948" spans="1:8">
      <c r="A7948" s="34">
        <v>2084051340</v>
      </c>
      <c r="B7948" s="35" t="s">
        <v>462</v>
      </c>
      <c r="C7948" s="35" t="s">
        <v>1556</v>
      </c>
      <c r="D7948" s="35" t="s">
        <v>1604</v>
      </c>
      <c r="E7948" s="35" t="s">
        <v>1594</v>
      </c>
      <c r="F7948" s="35" t="s">
        <v>1615</v>
      </c>
      <c r="G7948" s="35" t="s">
        <v>1606</v>
      </c>
      <c r="H7948" s="35" t="s">
        <v>335</v>
      </c>
    </row>
    <row r="7949" spans="1:8">
      <c r="A7949" s="34">
        <v>2084051341</v>
      </c>
      <c r="B7949" s="35" t="s">
        <v>462</v>
      </c>
      <c r="C7949" s="35" t="s">
        <v>1556</v>
      </c>
      <c r="D7949" s="35" t="s">
        <v>1604</v>
      </c>
      <c r="E7949" s="35" t="s">
        <v>1594</v>
      </c>
      <c r="F7949" s="35" t="s">
        <v>1615</v>
      </c>
      <c r="G7949" s="35" t="s">
        <v>1611</v>
      </c>
    </row>
    <row r="7950" spans="1:8">
      <c r="A7950" s="34">
        <v>2084051330</v>
      </c>
      <c r="B7950" s="35" t="s">
        <v>462</v>
      </c>
      <c r="C7950" s="35" t="s">
        <v>1556</v>
      </c>
      <c r="D7950" s="35" t="s">
        <v>1604</v>
      </c>
      <c r="E7950" s="35" t="s">
        <v>1594</v>
      </c>
      <c r="F7950" s="35" t="s">
        <v>1615</v>
      </c>
      <c r="G7950" s="35" t="s">
        <v>1612</v>
      </c>
      <c r="H7950" s="35" t="s">
        <v>1607</v>
      </c>
    </row>
    <row r="7951" spans="1:8">
      <c r="A7951" s="34">
        <v>2084051333</v>
      </c>
      <c r="B7951" s="35" t="s">
        <v>462</v>
      </c>
      <c r="C7951" s="35" t="s">
        <v>1556</v>
      </c>
      <c r="D7951" s="35" t="s">
        <v>1604</v>
      </c>
      <c r="E7951" s="35" t="s">
        <v>1594</v>
      </c>
      <c r="F7951" s="35" t="s">
        <v>1615</v>
      </c>
      <c r="G7951" s="35" t="s">
        <v>1612</v>
      </c>
      <c r="H7951" s="35" t="s">
        <v>1608</v>
      </c>
    </row>
    <row r="7952" spans="1:8">
      <c r="A7952" s="34">
        <v>2084051331</v>
      </c>
      <c r="B7952" s="35" t="s">
        <v>462</v>
      </c>
      <c r="C7952" s="35" t="s">
        <v>1556</v>
      </c>
      <c r="D7952" s="35" t="s">
        <v>1604</v>
      </c>
      <c r="E7952" s="35" t="s">
        <v>1594</v>
      </c>
      <c r="F7952" s="35" t="s">
        <v>1615</v>
      </c>
      <c r="G7952" s="35" t="s">
        <v>1612</v>
      </c>
      <c r="H7952" s="35" t="s">
        <v>1609</v>
      </c>
    </row>
    <row r="7953" spans="1:8">
      <c r="A7953" s="34">
        <v>2084051332</v>
      </c>
      <c r="B7953" s="35" t="s">
        <v>462</v>
      </c>
      <c r="C7953" s="35" t="s">
        <v>1556</v>
      </c>
      <c r="D7953" s="35" t="s">
        <v>1604</v>
      </c>
      <c r="E7953" s="35" t="s">
        <v>1594</v>
      </c>
      <c r="F7953" s="35" t="s">
        <v>1615</v>
      </c>
      <c r="G7953" s="35" t="s">
        <v>1612</v>
      </c>
      <c r="H7953" s="35" t="s">
        <v>1610</v>
      </c>
    </row>
    <row r="7954" spans="1:8">
      <c r="A7954" s="34">
        <v>2084051334</v>
      </c>
      <c r="B7954" s="35" t="s">
        <v>462</v>
      </c>
      <c r="C7954" s="35" t="s">
        <v>1556</v>
      </c>
      <c r="D7954" s="35" t="s">
        <v>1604</v>
      </c>
      <c r="E7954" s="35" t="s">
        <v>1594</v>
      </c>
      <c r="F7954" s="35" t="s">
        <v>1615</v>
      </c>
      <c r="G7954" s="35" t="s">
        <v>1612</v>
      </c>
      <c r="H7954" s="35" t="s">
        <v>335</v>
      </c>
    </row>
    <row r="7955" spans="1:8">
      <c r="A7955" s="34">
        <v>2084051342</v>
      </c>
      <c r="B7955" s="35" t="s">
        <v>462</v>
      </c>
      <c r="C7955" s="35" t="s">
        <v>1556</v>
      </c>
      <c r="D7955" s="35" t="s">
        <v>1604</v>
      </c>
      <c r="E7955" s="35" t="s">
        <v>1594</v>
      </c>
      <c r="F7955" s="35" t="s">
        <v>1615</v>
      </c>
      <c r="G7955" s="35" t="s">
        <v>335</v>
      </c>
    </row>
    <row r="7956" spans="1:8">
      <c r="A7956" s="34">
        <v>2084051351</v>
      </c>
      <c r="B7956" s="35" t="s">
        <v>462</v>
      </c>
      <c r="C7956" s="35" t="s">
        <v>1556</v>
      </c>
      <c r="D7956" s="35" t="s">
        <v>1604</v>
      </c>
      <c r="E7956" s="35" t="s">
        <v>1594</v>
      </c>
      <c r="F7956" s="35" t="s">
        <v>1616</v>
      </c>
      <c r="G7956" s="35" t="s">
        <v>1606</v>
      </c>
      <c r="H7956" s="35" t="s">
        <v>1607</v>
      </c>
    </row>
    <row r="7957" spans="1:8">
      <c r="A7957" s="34">
        <v>2084051354</v>
      </c>
      <c r="B7957" s="35" t="s">
        <v>462</v>
      </c>
      <c r="C7957" s="35" t="s">
        <v>1556</v>
      </c>
      <c r="D7957" s="35" t="s">
        <v>1604</v>
      </c>
      <c r="E7957" s="35" t="s">
        <v>1594</v>
      </c>
      <c r="F7957" s="35" t="s">
        <v>1616</v>
      </c>
      <c r="G7957" s="35" t="s">
        <v>1606</v>
      </c>
      <c r="H7957" s="35" t="s">
        <v>1608</v>
      </c>
    </row>
    <row r="7958" spans="1:8">
      <c r="A7958" s="34">
        <v>2084051352</v>
      </c>
      <c r="B7958" s="35" t="s">
        <v>462</v>
      </c>
      <c r="C7958" s="35" t="s">
        <v>1556</v>
      </c>
      <c r="D7958" s="35" t="s">
        <v>1604</v>
      </c>
      <c r="E7958" s="35" t="s">
        <v>1594</v>
      </c>
      <c r="F7958" s="35" t="s">
        <v>1616</v>
      </c>
      <c r="G7958" s="35" t="s">
        <v>1606</v>
      </c>
      <c r="H7958" s="35" t="s">
        <v>1609</v>
      </c>
    </row>
    <row r="7959" spans="1:8">
      <c r="A7959" s="34">
        <v>2084051353</v>
      </c>
      <c r="B7959" s="35" t="s">
        <v>462</v>
      </c>
      <c r="C7959" s="35" t="s">
        <v>1556</v>
      </c>
      <c r="D7959" s="35" t="s">
        <v>1604</v>
      </c>
      <c r="E7959" s="35" t="s">
        <v>1594</v>
      </c>
      <c r="F7959" s="35" t="s">
        <v>1616</v>
      </c>
      <c r="G7959" s="35" t="s">
        <v>1606</v>
      </c>
      <c r="H7959" s="35" t="s">
        <v>1610</v>
      </c>
    </row>
    <row r="7960" spans="1:8">
      <c r="A7960" s="34">
        <v>2084051355</v>
      </c>
      <c r="B7960" s="35" t="s">
        <v>462</v>
      </c>
      <c r="C7960" s="35" t="s">
        <v>1556</v>
      </c>
      <c r="D7960" s="35" t="s">
        <v>1604</v>
      </c>
      <c r="E7960" s="35" t="s">
        <v>1594</v>
      </c>
      <c r="F7960" s="35" t="s">
        <v>1616</v>
      </c>
      <c r="G7960" s="35" t="s">
        <v>1606</v>
      </c>
      <c r="H7960" s="35" t="s">
        <v>335</v>
      </c>
    </row>
    <row r="7961" spans="1:8">
      <c r="A7961" s="34">
        <v>2084051356</v>
      </c>
      <c r="B7961" s="35" t="s">
        <v>462</v>
      </c>
      <c r="C7961" s="35" t="s">
        <v>1556</v>
      </c>
      <c r="D7961" s="35" t="s">
        <v>1604</v>
      </c>
      <c r="E7961" s="35" t="s">
        <v>1594</v>
      </c>
      <c r="F7961" s="35" t="s">
        <v>1616</v>
      </c>
      <c r="G7961" s="35" t="s">
        <v>1611</v>
      </c>
    </row>
    <row r="7962" spans="1:8">
      <c r="A7962" s="34">
        <v>2084051345</v>
      </c>
      <c r="B7962" s="35" t="s">
        <v>462</v>
      </c>
      <c r="C7962" s="35" t="s">
        <v>1556</v>
      </c>
      <c r="D7962" s="35" t="s">
        <v>1604</v>
      </c>
      <c r="E7962" s="35" t="s">
        <v>1594</v>
      </c>
      <c r="F7962" s="35" t="s">
        <v>1616</v>
      </c>
      <c r="G7962" s="35" t="s">
        <v>1612</v>
      </c>
      <c r="H7962" s="35" t="s">
        <v>1607</v>
      </c>
    </row>
    <row r="7963" spans="1:8">
      <c r="A7963" s="34">
        <v>2084051348</v>
      </c>
      <c r="B7963" s="35" t="s">
        <v>462</v>
      </c>
      <c r="C7963" s="35" t="s">
        <v>1556</v>
      </c>
      <c r="D7963" s="35" t="s">
        <v>1604</v>
      </c>
      <c r="E7963" s="35" t="s">
        <v>1594</v>
      </c>
      <c r="F7963" s="35" t="s">
        <v>1616</v>
      </c>
      <c r="G7963" s="35" t="s">
        <v>1612</v>
      </c>
      <c r="H7963" s="35" t="s">
        <v>1608</v>
      </c>
    </row>
    <row r="7964" spans="1:8">
      <c r="A7964" s="34">
        <v>2084051346</v>
      </c>
      <c r="B7964" s="35" t="s">
        <v>462</v>
      </c>
      <c r="C7964" s="35" t="s">
        <v>1556</v>
      </c>
      <c r="D7964" s="35" t="s">
        <v>1604</v>
      </c>
      <c r="E7964" s="35" t="s">
        <v>1594</v>
      </c>
      <c r="F7964" s="35" t="s">
        <v>1616</v>
      </c>
      <c r="G7964" s="35" t="s">
        <v>1612</v>
      </c>
      <c r="H7964" s="35" t="s">
        <v>1609</v>
      </c>
    </row>
    <row r="7965" spans="1:8">
      <c r="A7965" s="34">
        <v>2084051347</v>
      </c>
      <c r="B7965" s="35" t="s">
        <v>462</v>
      </c>
      <c r="C7965" s="35" t="s">
        <v>1556</v>
      </c>
      <c r="D7965" s="35" t="s">
        <v>1604</v>
      </c>
      <c r="E7965" s="35" t="s">
        <v>1594</v>
      </c>
      <c r="F7965" s="35" t="s">
        <v>1616</v>
      </c>
      <c r="G7965" s="35" t="s">
        <v>1612</v>
      </c>
      <c r="H7965" s="35" t="s">
        <v>1610</v>
      </c>
    </row>
    <row r="7966" spans="1:8">
      <c r="A7966" s="34">
        <v>2084051349</v>
      </c>
      <c r="B7966" s="35" t="s">
        <v>462</v>
      </c>
      <c r="C7966" s="35" t="s">
        <v>1556</v>
      </c>
      <c r="D7966" s="35" t="s">
        <v>1604</v>
      </c>
      <c r="E7966" s="35" t="s">
        <v>1594</v>
      </c>
      <c r="F7966" s="35" t="s">
        <v>1616</v>
      </c>
      <c r="G7966" s="35" t="s">
        <v>1612</v>
      </c>
      <c r="H7966" s="35" t="s">
        <v>335</v>
      </c>
    </row>
    <row r="7967" spans="1:8">
      <c r="A7967" s="34">
        <v>2084051357</v>
      </c>
      <c r="B7967" s="35" t="s">
        <v>462</v>
      </c>
      <c r="C7967" s="35" t="s">
        <v>1556</v>
      </c>
      <c r="D7967" s="35" t="s">
        <v>1604</v>
      </c>
      <c r="E7967" s="35" t="s">
        <v>1594</v>
      </c>
      <c r="F7967" s="35" t="s">
        <v>1616</v>
      </c>
      <c r="G7967" s="35" t="s">
        <v>335</v>
      </c>
    </row>
    <row r="7968" spans="1:8">
      <c r="A7968" s="34">
        <v>2084054032</v>
      </c>
      <c r="B7968" s="35" t="s">
        <v>462</v>
      </c>
      <c r="C7968" s="35" t="s">
        <v>1556</v>
      </c>
      <c r="D7968" s="35" t="s">
        <v>1604</v>
      </c>
      <c r="E7968" s="35" t="s">
        <v>1595</v>
      </c>
    </row>
    <row r="7969" spans="1:6">
      <c r="A7969" s="34">
        <v>2084007145</v>
      </c>
      <c r="B7969" s="35" t="s">
        <v>462</v>
      </c>
      <c r="C7969" s="35" t="s">
        <v>1556</v>
      </c>
      <c r="D7969" s="35" t="s">
        <v>1432</v>
      </c>
      <c r="E7969" s="35" t="s">
        <v>1599</v>
      </c>
    </row>
    <row r="7970" spans="1:6">
      <c r="A7970" s="34">
        <v>2084007144</v>
      </c>
      <c r="B7970" s="35" t="s">
        <v>462</v>
      </c>
      <c r="C7970" s="35" t="s">
        <v>1556</v>
      </c>
      <c r="D7970" s="35" t="s">
        <v>1432</v>
      </c>
      <c r="E7970" s="35" t="s">
        <v>1120</v>
      </c>
    </row>
    <row r="7971" spans="1:6">
      <c r="A7971" s="34">
        <v>2084233247</v>
      </c>
      <c r="B7971" s="35" t="s">
        <v>462</v>
      </c>
      <c r="C7971" s="35" t="s">
        <v>1556</v>
      </c>
      <c r="D7971" s="35" t="s">
        <v>1432</v>
      </c>
      <c r="E7971" s="35" t="s">
        <v>1594</v>
      </c>
      <c r="F7971" s="35" t="s">
        <v>391</v>
      </c>
    </row>
    <row r="7972" spans="1:6">
      <c r="A7972" s="34">
        <v>2084233248</v>
      </c>
      <c r="B7972" s="35" t="s">
        <v>462</v>
      </c>
      <c r="C7972" s="35" t="s">
        <v>1556</v>
      </c>
      <c r="D7972" s="35" t="s">
        <v>1432</v>
      </c>
      <c r="E7972" s="35" t="s">
        <v>1594</v>
      </c>
      <c r="F7972" s="35" t="s">
        <v>392</v>
      </c>
    </row>
    <row r="7973" spans="1:6">
      <c r="A7973" s="34">
        <v>2084233249</v>
      </c>
      <c r="B7973" s="35" t="s">
        <v>462</v>
      </c>
      <c r="C7973" s="35" t="s">
        <v>1556</v>
      </c>
      <c r="D7973" s="35" t="s">
        <v>1432</v>
      </c>
      <c r="E7973" s="35" t="s">
        <v>1594</v>
      </c>
      <c r="F7973" s="35" t="s">
        <v>375</v>
      </c>
    </row>
    <row r="7974" spans="1:6">
      <c r="A7974" s="34">
        <v>2084233250</v>
      </c>
      <c r="B7974" s="35" t="s">
        <v>462</v>
      </c>
      <c r="C7974" s="35" t="s">
        <v>1556</v>
      </c>
      <c r="D7974" s="35" t="s">
        <v>1432</v>
      </c>
      <c r="E7974" s="35" t="s">
        <v>1594</v>
      </c>
      <c r="F7974" s="35" t="s">
        <v>376</v>
      </c>
    </row>
    <row r="7975" spans="1:6">
      <c r="A7975" s="34">
        <v>2084233251</v>
      </c>
      <c r="B7975" s="35" t="s">
        <v>462</v>
      </c>
      <c r="C7975" s="35" t="s">
        <v>1556</v>
      </c>
      <c r="D7975" s="35" t="s">
        <v>1432</v>
      </c>
      <c r="E7975" s="35" t="s">
        <v>1594</v>
      </c>
      <c r="F7975" s="35" t="s">
        <v>377</v>
      </c>
    </row>
    <row r="7976" spans="1:6">
      <c r="A7976" s="34">
        <v>2084054036</v>
      </c>
      <c r="B7976" s="35" t="s">
        <v>462</v>
      </c>
      <c r="C7976" s="35" t="s">
        <v>1556</v>
      </c>
      <c r="D7976" s="35" t="s">
        <v>1432</v>
      </c>
      <c r="E7976" s="35" t="s">
        <v>1595</v>
      </c>
    </row>
    <row r="7977" spans="1:6">
      <c r="A7977" s="34">
        <v>2084064258</v>
      </c>
      <c r="B7977" s="35" t="s">
        <v>462</v>
      </c>
      <c r="C7977" s="35" t="s">
        <v>1556</v>
      </c>
      <c r="D7977" s="35" t="s">
        <v>1617</v>
      </c>
    </row>
    <row r="7978" spans="1:6">
      <c r="A7978" s="34">
        <v>2084064257</v>
      </c>
      <c r="B7978" s="35" t="s">
        <v>462</v>
      </c>
      <c r="C7978" s="35" t="s">
        <v>1556</v>
      </c>
      <c r="D7978" s="35" t="s">
        <v>372</v>
      </c>
    </row>
    <row r="7979" spans="1:6">
      <c r="A7979" s="34">
        <v>2084243344</v>
      </c>
      <c r="B7979" s="35" t="s">
        <v>462</v>
      </c>
      <c r="C7979" s="35" t="s">
        <v>1556</v>
      </c>
      <c r="D7979" s="35" t="s">
        <v>1618</v>
      </c>
    </row>
    <row r="7980" spans="1:6">
      <c r="A7980" s="34">
        <v>2084224573</v>
      </c>
      <c r="B7980" s="35" t="s">
        <v>462</v>
      </c>
      <c r="C7980" s="35" t="s">
        <v>1556</v>
      </c>
      <c r="D7980" s="35" t="s">
        <v>530</v>
      </c>
      <c r="E7980" s="35" t="s">
        <v>1619</v>
      </c>
      <c r="F7980" s="35" t="s">
        <v>391</v>
      </c>
    </row>
    <row r="7981" spans="1:6">
      <c r="A7981" s="34">
        <v>2084224574</v>
      </c>
      <c r="B7981" s="35" t="s">
        <v>462</v>
      </c>
      <c r="C7981" s="35" t="s">
        <v>1556</v>
      </c>
      <c r="D7981" s="35" t="s">
        <v>530</v>
      </c>
      <c r="E7981" s="35" t="s">
        <v>1619</v>
      </c>
      <c r="F7981" s="35" t="s">
        <v>392</v>
      </c>
    </row>
    <row r="7982" spans="1:6">
      <c r="A7982" s="34">
        <v>2084224575</v>
      </c>
      <c r="B7982" s="35" t="s">
        <v>462</v>
      </c>
      <c r="C7982" s="35" t="s">
        <v>1556</v>
      </c>
      <c r="D7982" s="35" t="s">
        <v>530</v>
      </c>
      <c r="E7982" s="35" t="s">
        <v>1619</v>
      </c>
      <c r="F7982" s="35" t="s">
        <v>375</v>
      </c>
    </row>
    <row r="7983" spans="1:6">
      <c r="A7983" s="34">
        <v>2084224576</v>
      </c>
      <c r="B7983" s="35" t="s">
        <v>462</v>
      </c>
      <c r="C7983" s="35" t="s">
        <v>1556</v>
      </c>
      <c r="D7983" s="35" t="s">
        <v>530</v>
      </c>
      <c r="E7983" s="35" t="s">
        <v>1619</v>
      </c>
      <c r="F7983" s="35" t="s">
        <v>376</v>
      </c>
    </row>
    <row r="7984" spans="1:6">
      <c r="A7984" s="34">
        <v>2084224577</v>
      </c>
      <c r="B7984" s="35" t="s">
        <v>462</v>
      </c>
      <c r="C7984" s="35" t="s">
        <v>1556</v>
      </c>
      <c r="D7984" s="35" t="s">
        <v>530</v>
      </c>
      <c r="E7984" s="35" t="s">
        <v>1619</v>
      </c>
      <c r="F7984" s="35" t="s">
        <v>377</v>
      </c>
    </row>
    <row r="7985" spans="1:7">
      <c r="A7985" s="34">
        <v>2084224578</v>
      </c>
      <c r="B7985" s="35" t="s">
        <v>462</v>
      </c>
      <c r="C7985" s="35" t="s">
        <v>1556</v>
      </c>
      <c r="D7985" s="35" t="s">
        <v>530</v>
      </c>
      <c r="E7985" s="35" t="s">
        <v>1620</v>
      </c>
      <c r="F7985" s="35" t="s">
        <v>391</v>
      </c>
    </row>
    <row r="7986" spans="1:7">
      <c r="A7986" s="34">
        <v>2084224579</v>
      </c>
      <c r="B7986" s="35" t="s">
        <v>462</v>
      </c>
      <c r="C7986" s="35" t="s">
        <v>1556</v>
      </c>
      <c r="D7986" s="35" t="s">
        <v>530</v>
      </c>
      <c r="E7986" s="35" t="s">
        <v>1620</v>
      </c>
      <c r="F7986" s="35" t="s">
        <v>392</v>
      </c>
    </row>
    <row r="7987" spans="1:7">
      <c r="A7987" s="34">
        <v>2084224580</v>
      </c>
      <c r="B7987" s="35" t="s">
        <v>462</v>
      </c>
      <c r="C7987" s="35" t="s">
        <v>1556</v>
      </c>
      <c r="D7987" s="35" t="s">
        <v>530</v>
      </c>
      <c r="E7987" s="35" t="s">
        <v>1620</v>
      </c>
      <c r="F7987" s="35" t="s">
        <v>375</v>
      </c>
    </row>
    <row r="7988" spans="1:7">
      <c r="A7988" s="34">
        <v>2084224581</v>
      </c>
      <c r="B7988" s="35" t="s">
        <v>462</v>
      </c>
      <c r="C7988" s="35" t="s">
        <v>1556</v>
      </c>
      <c r="D7988" s="35" t="s">
        <v>530</v>
      </c>
      <c r="E7988" s="35" t="s">
        <v>1620</v>
      </c>
      <c r="F7988" s="35" t="s">
        <v>376</v>
      </c>
    </row>
    <row r="7989" spans="1:7">
      <c r="A7989" s="34">
        <v>2084224582</v>
      </c>
      <c r="B7989" s="35" t="s">
        <v>462</v>
      </c>
      <c r="C7989" s="35" t="s">
        <v>1556</v>
      </c>
      <c r="D7989" s="35" t="s">
        <v>530</v>
      </c>
      <c r="E7989" s="35" t="s">
        <v>1620</v>
      </c>
      <c r="F7989" s="35" t="s">
        <v>377</v>
      </c>
    </row>
    <row r="7990" spans="1:7">
      <c r="A7990" s="34">
        <v>2084224583</v>
      </c>
      <c r="B7990" s="35" t="s">
        <v>462</v>
      </c>
      <c r="C7990" s="35" t="s">
        <v>1556</v>
      </c>
      <c r="D7990" s="35" t="s">
        <v>530</v>
      </c>
      <c r="E7990" s="35" t="s">
        <v>1621</v>
      </c>
      <c r="F7990" s="35" t="s">
        <v>391</v>
      </c>
    </row>
    <row r="7991" spans="1:7">
      <c r="A7991" s="34">
        <v>2084224584</v>
      </c>
      <c r="B7991" s="35" t="s">
        <v>462</v>
      </c>
      <c r="C7991" s="35" t="s">
        <v>1556</v>
      </c>
      <c r="D7991" s="35" t="s">
        <v>530</v>
      </c>
      <c r="E7991" s="35" t="s">
        <v>1621</v>
      </c>
      <c r="F7991" s="35" t="s">
        <v>392</v>
      </c>
    </row>
    <row r="7992" spans="1:7">
      <c r="A7992" s="34">
        <v>2084224585</v>
      </c>
      <c r="B7992" s="35" t="s">
        <v>462</v>
      </c>
      <c r="C7992" s="35" t="s">
        <v>1556</v>
      </c>
      <c r="D7992" s="35" t="s">
        <v>530</v>
      </c>
      <c r="E7992" s="35" t="s">
        <v>1621</v>
      </c>
      <c r="F7992" s="35" t="s">
        <v>375</v>
      </c>
    </row>
    <row r="7993" spans="1:7">
      <c r="A7993" s="34">
        <v>2084224586</v>
      </c>
      <c r="B7993" s="35" t="s">
        <v>462</v>
      </c>
      <c r="C7993" s="35" t="s">
        <v>1556</v>
      </c>
      <c r="D7993" s="35" t="s">
        <v>530</v>
      </c>
      <c r="E7993" s="35" t="s">
        <v>1621</v>
      </c>
      <c r="F7993" s="35" t="s">
        <v>376</v>
      </c>
    </row>
    <row r="7994" spans="1:7">
      <c r="A7994" s="34">
        <v>2084224587</v>
      </c>
      <c r="B7994" s="35" t="s">
        <v>462</v>
      </c>
      <c r="C7994" s="35" t="s">
        <v>1556</v>
      </c>
      <c r="D7994" s="35" t="s">
        <v>530</v>
      </c>
      <c r="E7994" s="35" t="s">
        <v>1621</v>
      </c>
      <c r="F7994" s="35" t="s">
        <v>377</v>
      </c>
    </row>
    <row r="7995" spans="1:7">
      <c r="A7995" s="34">
        <v>2084222251</v>
      </c>
      <c r="B7995" s="35" t="s">
        <v>462</v>
      </c>
      <c r="C7995" s="35" t="s">
        <v>1556</v>
      </c>
      <c r="D7995" s="35" t="s">
        <v>1622</v>
      </c>
      <c r="E7995" s="35" t="s">
        <v>1619</v>
      </c>
      <c r="F7995" s="35" t="s">
        <v>1623</v>
      </c>
      <c r="G7995" s="35" t="s">
        <v>391</v>
      </c>
    </row>
    <row r="7996" spans="1:7">
      <c r="A7996" s="34">
        <v>2084222252</v>
      </c>
      <c r="B7996" s="35" t="s">
        <v>462</v>
      </c>
      <c r="C7996" s="35" t="s">
        <v>1556</v>
      </c>
      <c r="D7996" s="35" t="s">
        <v>1622</v>
      </c>
      <c r="E7996" s="35" t="s">
        <v>1619</v>
      </c>
      <c r="F7996" s="35" t="s">
        <v>1623</v>
      </c>
      <c r="G7996" s="35" t="s">
        <v>392</v>
      </c>
    </row>
    <row r="7997" spans="1:7">
      <c r="A7997" s="34">
        <v>2084222253</v>
      </c>
      <c r="B7997" s="35" t="s">
        <v>462</v>
      </c>
      <c r="C7997" s="35" t="s">
        <v>1556</v>
      </c>
      <c r="D7997" s="35" t="s">
        <v>1622</v>
      </c>
      <c r="E7997" s="35" t="s">
        <v>1619</v>
      </c>
      <c r="F7997" s="35" t="s">
        <v>1623</v>
      </c>
      <c r="G7997" s="35" t="s">
        <v>375</v>
      </c>
    </row>
    <row r="7998" spans="1:7">
      <c r="A7998" s="34">
        <v>2084222254</v>
      </c>
      <c r="B7998" s="35" t="s">
        <v>462</v>
      </c>
      <c r="C7998" s="35" t="s">
        <v>1556</v>
      </c>
      <c r="D7998" s="35" t="s">
        <v>1622</v>
      </c>
      <c r="E7998" s="35" t="s">
        <v>1619</v>
      </c>
      <c r="F7998" s="35" t="s">
        <v>1623</v>
      </c>
      <c r="G7998" s="35" t="s">
        <v>376</v>
      </c>
    </row>
    <row r="7999" spans="1:7">
      <c r="A7999" s="34">
        <v>2084222255</v>
      </c>
      <c r="B7999" s="35" t="s">
        <v>462</v>
      </c>
      <c r="C7999" s="35" t="s">
        <v>1556</v>
      </c>
      <c r="D7999" s="35" t="s">
        <v>1622</v>
      </c>
      <c r="E7999" s="35" t="s">
        <v>1619</v>
      </c>
      <c r="F7999" s="35" t="s">
        <v>1623</v>
      </c>
      <c r="G7999" s="35" t="s">
        <v>377</v>
      </c>
    </row>
    <row r="8000" spans="1:7">
      <c r="A8000" s="34">
        <v>2084222256</v>
      </c>
      <c r="B8000" s="35" t="s">
        <v>462</v>
      </c>
      <c r="C8000" s="35" t="s">
        <v>1556</v>
      </c>
      <c r="D8000" s="35" t="s">
        <v>1622</v>
      </c>
      <c r="E8000" s="35" t="s">
        <v>1619</v>
      </c>
      <c r="F8000" s="35" t="s">
        <v>1624</v>
      </c>
      <c r="G8000" s="35" t="s">
        <v>391</v>
      </c>
    </row>
    <row r="8001" spans="1:7">
      <c r="A8001" s="34">
        <v>2084222257</v>
      </c>
      <c r="B8001" s="35" t="s">
        <v>462</v>
      </c>
      <c r="C8001" s="35" t="s">
        <v>1556</v>
      </c>
      <c r="D8001" s="35" t="s">
        <v>1622</v>
      </c>
      <c r="E8001" s="35" t="s">
        <v>1619</v>
      </c>
      <c r="F8001" s="35" t="s">
        <v>1624</v>
      </c>
      <c r="G8001" s="35" t="s">
        <v>392</v>
      </c>
    </row>
    <row r="8002" spans="1:7">
      <c r="A8002" s="34">
        <v>2084222258</v>
      </c>
      <c r="B8002" s="35" t="s">
        <v>462</v>
      </c>
      <c r="C8002" s="35" t="s">
        <v>1556</v>
      </c>
      <c r="D8002" s="35" t="s">
        <v>1622</v>
      </c>
      <c r="E8002" s="35" t="s">
        <v>1619</v>
      </c>
      <c r="F8002" s="35" t="s">
        <v>1624</v>
      </c>
      <c r="G8002" s="35" t="s">
        <v>375</v>
      </c>
    </row>
    <row r="8003" spans="1:7">
      <c r="A8003" s="34">
        <v>2084222259</v>
      </c>
      <c r="B8003" s="35" t="s">
        <v>462</v>
      </c>
      <c r="C8003" s="35" t="s">
        <v>1556</v>
      </c>
      <c r="D8003" s="35" t="s">
        <v>1622</v>
      </c>
      <c r="E8003" s="35" t="s">
        <v>1619</v>
      </c>
      <c r="F8003" s="35" t="s">
        <v>1624</v>
      </c>
      <c r="G8003" s="35" t="s">
        <v>376</v>
      </c>
    </row>
    <row r="8004" spans="1:7">
      <c r="A8004" s="34">
        <v>2084222260</v>
      </c>
      <c r="B8004" s="35" t="s">
        <v>462</v>
      </c>
      <c r="C8004" s="35" t="s">
        <v>1556</v>
      </c>
      <c r="D8004" s="35" t="s">
        <v>1622</v>
      </c>
      <c r="E8004" s="35" t="s">
        <v>1619</v>
      </c>
      <c r="F8004" s="35" t="s">
        <v>1624</v>
      </c>
      <c r="G8004" s="35" t="s">
        <v>377</v>
      </c>
    </row>
    <row r="8005" spans="1:7">
      <c r="A8005" s="34">
        <v>2084222261</v>
      </c>
      <c r="B8005" s="35" t="s">
        <v>462</v>
      </c>
      <c r="C8005" s="35" t="s">
        <v>1556</v>
      </c>
      <c r="D8005" s="35" t="s">
        <v>1622</v>
      </c>
      <c r="E8005" s="35" t="s">
        <v>1619</v>
      </c>
      <c r="F8005" s="35" t="s">
        <v>1625</v>
      </c>
      <c r="G8005" s="35" t="s">
        <v>391</v>
      </c>
    </row>
    <row r="8006" spans="1:7">
      <c r="A8006" s="34">
        <v>2084222262</v>
      </c>
      <c r="B8006" s="35" t="s">
        <v>462</v>
      </c>
      <c r="C8006" s="35" t="s">
        <v>1556</v>
      </c>
      <c r="D8006" s="35" t="s">
        <v>1622</v>
      </c>
      <c r="E8006" s="35" t="s">
        <v>1619</v>
      </c>
      <c r="F8006" s="35" t="s">
        <v>1625</v>
      </c>
      <c r="G8006" s="35" t="s">
        <v>392</v>
      </c>
    </row>
    <row r="8007" spans="1:7">
      <c r="A8007" s="34">
        <v>2084222263</v>
      </c>
      <c r="B8007" s="35" t="s">
        <v>462</v>
      </c>
      <c r="C8007" s="35" t="s">
        <v>1556</v>
      </c>
      <c r="D8007" s="35" t="s">
        <v>1622</v>
      </c>
      <c r="E8007" s="35" t="s">
        <v>1619</v>
      </c>
      <c r="F8007" s="35" t="s">
        <v>1625</v>
      </c>
      <c r="G8007" s="35" t="s">
        <v>375</v>
      </c>
    </row>
    <row r="8008" spans="1:7">
      <c r="A8008" s="34">
        <v>2084222264</v>
      </c>
      <c r="B8008" s="35" t="s">
        <v>462</v>
      </c>
      <c r="C8008" s="35" t="s">
        <v>1556</v>
      </c>
      <c r="D8008" s="35" t="s">
        <v>1622</v>
      </c>
      <c r="E8008" s="35" t="s">
        <v>1619</v>
      </c>
      <c r="F8008" s="35" t="s">
        <v>1625</v>
      </c>
      <c r="G8008" s="35" t="s">
        <v>376</v>
      </c>
    </row>
    <row r="8009" spans="1:7">
      <c r="A8009" s="34">
        <v>2084222265</v>
      </c>
      <c r="B8009" s="35" t="s">
        <v>462</v>
      </c>
      <c r="C8009" s="35" t="s">
        <v>1556</v>
      </c>
      <c r="D8009" s="35" t="s">
        <v>1622</v>
      </c>
      <c r="E8009" s="35" t="s">
        <v>1619</v>
      </c>
      <c r="F8009" s="35" t="s">
        <v>1625</v>
      </c>
      <c r="G8009" s="35" t="s">
        <v>377</v>
      </c>
    </row>
    <row r="8010" spans="1:7">
      <c r="A8010" s="34">
        <v>2084222266</v>
      </c>
      <c r="B8010" s="35" t="s">
        <v>462</v>
      </c>
      <c r="C8010" s="35" t="s">
        <v>1556</v>
      </c>
      <c r="D8010" s="35" t="s">
        <v>1622</v>
      </c>
      <c r="E8010" s="35" t="s">
        <v>1619</v>
      </c>
      <c r="F8010" s="35" t="s">
        <v>1626</v>
      </c>
      <c r="G8010" s="35" t="s">
        <v>391</v>
      </c>
    </row>
    <row r="8011" spans="1:7">
      <c r="A8011" s="34">
        <v>2084222267</v>
      </c>
      <c r="B8011" s="35" t="s">
        <v>462</v>
      </c>
      <c r="C8011" s="35" t="s">
        <v>1556</v>
      </c>
      <c r="D8011" s="35" t="s">
        <v>1622</v>
      </c>
      <c r="E8011" s="35" t="s">
        <v>1619</v>
      </c>
      <c r="F8011" s="35" t="s">
        <v>1626</v>
      </c>
      <c r="G8011" s="35" t="s">
        <v>392</v>
      </c>
    </row>
    <row r="8012" spans="1:7">
      <c r="A8012" s="34">
        <v>2084222268</v>
      </c>
      <c r="B8012" s="35" t="s">
        <v>462</v>
      </c>
      <c r="C8012" s="35" t="s">
        <v>1556</v>
      </c>
      <c r="D8012" s="35" t="s">
        <v>1622</v>
      </c>
      <c r="E8012" s="35" t="s">
        <v>1619</v>
      </c>
      <c r="F8012" s="35" t="s">
        <v>1626</v>
      </c>
      <c r="G8012" s="35" t="s">
        <v>375</v>
      </c>
    </row>
    <row r="8013" spans="1:7">
      <c r="A8013" s="34">
        <v>2084222269</v>
      </c>
      <c r="B8013" s="35" t="s">
        <v>462</v>
      </c>
      <c r="C8013" s="35" t="s">
        <v>1556</v>
      </c>
      <c r="D8013" s="35" t="s">
        <v>1622</v>
      </c>
      <c r="E8013" s="35" t="s">
        <v>1619</v>
      </c>
      <c r="F8013" s="35" t="s">
        <v>1626</v>
      </c>
      <c r="G8013" s="35" t="s">
        <v>376</v>
      </c>
    </row>
    <row r="8014" spans="1:7">
      <c r="A8014" s="34">
        <v>2084222270</v>
      </c>
      <c r="B8014" s="35" t="s">
        <v>462</v>
      </c>
      <c r="C8014" s="35" t="s">
        <v>1556</v>
      </c>
      <c r="D8014" s="35" t="s">
        <v>1622</v>
      </c>
      <c r="E8014" s="35" t="s">
        <v>1619</v>
      </c>
      <c r="F8014" s="35" t="s">
        <v>1626</v>
      </c>
      <c r="G8014" s="35" t="s">
        <v>377</v>
      </c>
    </row>
    <row r="8015" spans="1:7">
      <c r="A8015" s="34">
        <v>2084007171</v>
      </c>
      <c r="B8015" s="35" t="s">
        <v>462</v>
      </c>
      <c r="C8015" s="35" t="s">
        <v>1556</v>
      </c>
      <c r="D8015" s="35" t="s">
        <v>1622</v>
      </c>
      <c r="E8015" s="35" t="s">
        <v>1619</v>
      </c>
      <c r="F8015" s="35" t="s">
        <v>335</v>
      </c>
    </row>
    <row r="8016" spans="1:7">
      <c r="A8016" s="34">
        <v>2084222271</v>
      </c>
      <c r="B8016" s="35" t="s">
        <v>462</v>
      </c>
      <c r="C8016" s="35" t="s">
        <v>1556</v>
      </c>
      <c r="D8016" s="35" t="s">
        <v>1622</v>
      </c>
      <c r="E8016" s="35" t="s">
        <v>1620</v>
      </c>
      <c r="F8016" s="35" t="s">
        <v>1623</v>
      </c>
      <c r="G8016" s="35" t="s">
        <v>391</v>
      </c>
    </row>
    <row r="8017" spans="1:7">
      <c r="A8017" s="34">
        <v>2084222272</v>
      </c>
      <c r="B8017" s="35" t="s">
        <v>462</v>
      </c>
      <c r="C8017" s="35" t="s">
        <v>1556</v>
      </c>
      <c r="D8017" s="35" t="s">
        <v>1622</v>
      </c>
      <c r="E8017" s="35" t="s">
        <v>1620</v>
      </c>
      <c r="F8017" s="35" t="s">
        <v>1623</v>
      </c>
      <c r="G8017" s="35" t="s">
        <v>392</v>
      </c>
    </row>
    <row r="8018" spans="1:7">
      <c r="A8018" s="34">
        <v>2084222273</v>
      </c>
      <c r="B8018" s="35" t="s">
        <v>462</v>
      </c>
      <c r="C8018" s="35" t="s">
        <v>1556</v>
      </c>
      <c r="D8018" s="35" t="s">
        <v>1622</v>
      </c>
      <c r="E8018" s="35" t="s">
        <v>1620</v>
      </c>
      <c r="F8018" s="35" t="s">
        <v>1623</v>
      </c>
      <c r="G8018" s="35" t="s">
        <v>375</v>
      </c>
    </row>
    <row r="8019" spans="1:7">
      <c r="A8019" s="34">
        <v>2084222274</v>
      </c>
      <c r="B8019" s="35" t="s">
        <v>462</v>
      </c>
      <c r="C8019" s="35" t="s">
        <v>1556</v>
      </c>
      <c r="D8019" s="35" t="s">
        <v>1622</v>
      </c>
      <c r="E8019" s="35" t="s">
        <v>1620</v>
      </c>
      <c r="F8019" s="35" t="s">
        <v>1623</v>
      </c>
      <c r="G8019" s="35" t="s">
        <v>376</v>
      </c>
    </row>
    <row r="8020" spans="1:7">
      <c r="A8020" s="34">
        <v>2084222275</v>
      </c>
      <c r="B8020" s="35" t="s">
        <v>462</v>
      </c>
      <c r="C8020" s="35" t="s">
        <v>1556</v>
      </c>
      <c r="D8020" s="35" t="s">
        <v>1622</v>
      </c>
      <c r="E8020" s="35" t="s">
        <v>1620</v>
      </c>
      <c r="F8020" s="35" t="s">
        <v>1623</v>
      </c>
      <c r="G8020" s="35" t="s">
        <v>377</v>
      </c>
    </row>
    <row r="8021" spans="1:7">
      <c r="A8021" s="34">
        <v>2084222276</v>
      </c>
      <c r="B8021" s="35" t="s">
        <v>462</v>
      </c>
      <c r="C8021" s="35" t="s">
        <v>1556</v>
      </c>
      <c r="D8021" s="35" t="s">
        <v>1622</v>
      </c>
      <c r="E8021" s="35" t="s">
        <v>1620</v>
      </c>
      <c r="F8021" s="35" t="s">
        <v>1624</v>
      </c>
      <c r="G8021" s="35" t="s">
        <v>391</v>
      </c>
    </row>
    <row r="8022" spans="1:7">
      <c r="A8022" s="34">
        <v>2084222277</v>
      </c>
      <c r="B8022" s="35" t="s">
        <v>462</v>
      </c>
      <c r="C8022" s="35" t="s">
        <v>1556</v>
      </c>
      <c r="D8022" s="35" t="s">
        <v>1622</v>
      </c>
      <c r="E8022" s="35" t="s">
        <v>1620</v>
      </c>
      <c r="F8022" s="35" t="s">
        <v>1624</v>
      </c>
      <c r="G8022" s="35" t="s">
        <v>392</v>
      </c>
    </row>
    <row r="8023" spans="1:7">
      <c r="A8023" s="34">
        <v>2084222278</v>
      </c>
      <c r="B8023" s="35" t="s">
        <v>462</v>
      </c>
      <c r="C8023" s="35" t="s">
        <v>1556</v>
      </c>
      <c r="D8023" s="35" t="s">
        <v>1622</v>
      </c>
      <c r="E8023" s="35" t="s">
        <v>1620</v>
      </c>
      <c r="F8023" s="35" t="s">
        <v>1624</v>
      </c>
      <c r="G8023" s="35" t="s">
        <v>375</v>
      </c>
    </row>
    <row r="8024" spans="1:7">
      <c r="A8024" s="34">
        <v>2084222279</v>
      </c>
      <c r="B8024" s="35" t="s">
        <v>462</v>
      </c>
      <c r="C8024" s="35" t="s">
        <v>1556</v>
      </c>
      <c r="D8024" s="35" t="s">
        <v>1622</v>
      </c>
      <c r="E8024" s="35" t="s">
        <v>1620</v>
      </c>
      <c r="F8024" s="35" t="s">
        <v>1624</v>
      </c>
      <c r="G8024" s="35" t="s">
        <v>376</v>
      </c>
    </row>
    <row r="8025" spans="1:7">
      <c r="A8025" s="34">
        <v>2084222280</v>
      </c>
      <c r="B8025" s="35" t="s">
        <v>462</v>
      </c>
      <c r="C8025" s="35" t="s">
        <v>1556</v>
      </c>
      <c r="D8025" s="35" t="s">
        <v>1622</v>
      </c>
      <c r="E8025" s="35" t="s">
        <v>1620</v>
      </c>
      <c r="F8025" s="35" t="s">
        <v>1624</v>
      </c>
      <c r="G8025" s="35" t="s">
        <v>377</v>
      </c>
    </row>
    <row r="8026" spans="1:7">
      <c r="A8026" s="34">
        <v>2084222281</v>
      </c>
      <c r="B8026" s="35" t="s">
        <v>462</v>
      </c>
      <c r="C8026" s="35" t="s">
        <v>1556</v>
      </c>
      <c r="D8026" s="35" t="s">
        <v>1622</v>
      </c>
      <c r="E8026" s="35" t="s">
        <v>1620</v>
      </c>
      <c r="F8026" s="35" t="s">
        <v>1625</v>
      </c>
      <c r="G8026" s="35" t="s">
        <v>391</v>
      </c>
    </row>
    <row r="8027" spans="1:7">
      <c r="A8027" s="34">
        <v>2084222282</v>
      </c>
      <c r="B8027" s="35" t="s">
        <v>462</v>
      </c>
      <c r="C8027" s="35" t="s">
        <v>1556</v>
      </c>
      <c r="D8027" s="35" t="s">
        <v>1622</v>
      </c>
      <c r="E8027" s="35" t="s">
        <v>1620</v>
      </c>
      <c r="F8027" s="35" t="s">
        <v>1625</v>
      </c>
      <c r="G8027" s="35" t="s">
        <v>392</v>
      </c>
    </row>
    <row r="8028" spans="1:7">
      <c r="A8028" s="34">
        <v>2084222283</v>
      </c>
      <c r="B8028" s="35" t="s">
        <v>462</v>
      </c>
      <c r="C8028" s="35" t="s">
        <v>1556</v>
      </c>
      <c r="D8028" s="35" t="s">
        <v>1622</v>
      </c>
      <c r="E8028" s="35" t="s">
        <v>1620</v>
      </c>
      <c r="F8028" s="35" t="s">
        <v>1625</v>
      </c>
      <c r="G8028" s="35" t="s">
        <v>375</v>
      </c>
    </row>
    <row r="8029" spans="1:7">
      <c r="A8029" s="34">
        <v>2084222284</v>
      </c>
      <c r="B8029" s="35" t="s">
        <v>462</v>
      </c>
      <c r="C8029" s="35" t="s">
        <v>1556</v>
      </c>
      <c r="D8029" s="35" t="s">
        <v>1622</v>
      </c>
      <c r="E8029" s="35" t="s">
        <v>1620</v>
      </c>
      <c r="F8029" s="35" t="s">
        <v>1625</v>
      </c>
      <c r="G8029" s="35" t="s">
        <v>376</v>
      </c>
    </row>
    <row r="8030" spans="1:7">
      <c r="A8030" s="34">
        <v>2084222285</v>
      </c>
      <c r="B8030" s="35" t="s">
        <v>462</v>
      </c>
      <c r="C8030" s="35" t="s">
        <v>1556</v>
      </c>
      <c r="D8030" s="35" t="s">
        <v>1622</v>
      </c>
      <c r="E8030" s="35" t="s">
        <v>1620</v>
      </c>
      <c r="F8030" s="35" t="s">
        <v>1625</v>
      </c>
      <c r="G8030" s="35" t="s">
        <v>377</v>
      </c>
    </row>
    <row r="8031" spans="1:7">
      <c r="A8031" s="34">
        <v>2084222286</v>
      </c>
      <c r="B8031" s="35" t="s">
        <v>462</v>
      </c>
      <c r="C8031" s="35" t="s">
        <v>1556</v>
      </c>
      <c r="D8031" s="35" t="s">
        <v>1622</v>
      </c>
      <c r="E8031" s="35" t="s">
        <v>1620</v>
      </c>
      <c r="F8031" s="35" t="s">
        <v>1626</v>
      </c>
      <c r="G8031" s="35" t="s">
        <v>391</v>
      </c>
    </row>
    <row r="8032" spans="1:7">
      <c r="A8032" s="34">
        <v>2084222287</v>
      </c>
      <c r="B8032" s="35" t="s">
        <v>462</v>
      </c>
      <c r="C8032" s="35" t="s">
        <v>1556</v>
      </c>
      <c r="D8032" s="35" t="s">
        <v>1622</v>
      </c>
      <c r="E8032" s="35" t="s">
        <v>1620</v>
      </c>
      <c r="F8032" s="35" t="s">
        <v>1626</v>
      </c>
      <c r="G8032" s="35" t="s">
        <v>392</v>
      </c>
    </row>
    <row r="8033" spans="1:7">
      <c r="A8033" s="34">
        <v>2084222288</v>
      </c>
      <c r="B8033" s="35" t="s">
        <v>462</v>
      </c>
      <c r="C8033" s="35" t="s">
        <v>1556</v>
      </c>
      <c r="D8033" s="35" t="s">
        <v>1622</v>
      </c>
      <c r="E8033" s="35" t="s">
        <v>1620</v>
      </c>
      <c r="F8033" s="35" t="s">
        <v>1626</v>
      </c>
      <c r="G8033" s="35" t="s">
        <v>375</v>
      </c>
    </row>
    <row r="8034" spans="1:7">
      <c r="A8034" s="34">
        <v>2084222289</v>
      </c>
      <c r="B8034" s="35" t="s">
        <v>462</v>
      </c>
      <c r="C8034" s="35" t="s">
        <v>1556</v>
      </c>
      <c r="D8034" s="35" t="s">
        <v>1622</v>
      </c>
      <c r="E8034" s="35" t="s">
        <v>1620</v>
      </c>
      <c r="F8034" s="35" t="s">
        <v>1626</v>
      </c>
      <c r="G8034" s="35" t="s">
        <v>376</v>
      </c>
    </row>
    <row r="8035" spans="1:7">
      <c r="A8035" s="34">
        <v>2084222290</v>
      </c>
      <c r="B8035" s="35" t="s">
        <v>462</v>
      </c>
      <c r="C8035" s="35" t="s">
        <v>1556</v>
      </c>
      <c r="D8035" s="35" t="s">
        <v>1622</v>
      </c>
      <c r="E8035" s="35" t="s">
        <v>1620</v>
      </c>
      <c r="F8035" s="35" t="s">
        <v>1626</v>
      </c>
      <c r="G8035" s="35" t="s">
        <v>377</v>
      </c>
    </row>
    <row r="8036" spans="1:7">
      <c r="A8036" s="34">
        <v>2084054014</v>
      </c>
      <c r="B8036" s="35" t="s">
        <v>462</v>
      </c>
      <c r="C8036" s="35" t="s">
        <v>1556</v>
      </c>
      <c r="D8036" s="35" t="s">
        <v>1622</v>
      </c>
      <c r="E8036" s="35" t="s">
        <v>1620</v>
      </c>
      <c r="F8036" s="35" t="s">
        <v>335</v>
      </c>
    </row>
    <row r="8037" spans="1:7">
      <c r="A8037" s="34">
        <v>2084222291</v>
      </c>
      <c r="B8037" s="35" t="s">
        <v>462</v>
      </c>
      <c r="C8037" s="35" t="s">
        <v>1556</v>
      </c>
      <c r="D8037" s="35" t="s">
        <v>1622</v>
      </c>
      <c r="E8037" s="35" t="s">
        <v>1621</v>
      </c>
      <c r="F8037" s="35" t="s">
        <v>1623</v>
      </c>
      <c r="G8037" s="35" t="s">
        <v>391</v>
      </c>
    </row>
    <row r="8038" spans="1:7">
      <c r="A8038" s="34">
        <v>2084222292</v>
      </c>
      <c r="B8038" s="35" t="s">
        <v>462</v>
      </c>
      <c r="C8038" s="35" t="s">
        <v>1556</v>
      </c>
      <c r="D8038" s="35" t="s">
        <v>1622</v>
      </c>
      <c r="E8038" s="35" t="s">
        <v>1621</v>
      </c>
      <c r="F8038" s="35" t="s">
        <v>1623</v>
      </c>
      <c r="G8038" s="35" t="s">
        <v>392</v>
      </c>
    </row>
    <row r="8039" spans="1:7">
      <c r="A8039" s="34">
        <v>2084222293</v>
      </c>
      <c r="B8039" s="35" t="s">
        <v>462</v>
      </c>
      <c r="C8039" s="35" t="s">
        <v>1556</v>
      </c>
      <c r="D8039" s="35" t="s">
        <v>1622</v>
      </c>
      <c r="E8039" s="35" t="s">
        <v>1621</v>
      </c>
      <c r="F8039" s="35" t="s">
        <v>1623</v>
      </c>
      <c r="G8039" s="35" t="s">
        <v>375</v>
      </c>
    </row>
    <row r="8040" spans="1:7">
      <c r="A8040" s="34">
        <v>2084222294</v>
      </c>
      <c r="B8040" s="35" t="s">
        <v>462</v>
      </c>
      <c r="C8040" s="35" t="s">
        <v>1556</v>
      </c>
      <c r="D8040" s="35" t="s">
        <v>1622</v>
      </c>
      <c r="E8040" s="35" t="s">
        <v>1621</v>
      </c>
      <c r="F8040" s="35" t="s">
        <v>1623</v>
      </c>
      <c r="G8040" s="35" t="s">
        <v>376</v>
      </c>
    </row>
    <row r="8041" spans="1:7">
      <c r="A8041" s="34">
        <v>2084222295</v>
      </c>
      <c r="B8041" s="35" t="s">
        <v>462</v>
      </c>
      <c r="C8041" s="35" t="s">
        <v>1556</v>
      </c>
      <c r="D8041" s="35" t="s">
        <v>1622</v>
      </c>
      <c r="E8041" s="35" t="s">
        <v>1621</v>
      </c>
      <c r="F8041" s="35" t="s">
        <v>1623</v>
      </c>
      <c r="G8041" s="35" t="s">
        <v>377</v>
      </c>
    </row>
    <row r="8042" spans="1:7">
      <c r="A8042" s="34">
        <v>2084222296</v>
      </c>
      <c r="B8042" s="35" t="s">
        <v>462</v>
      </c>
      <c r="C8042" s="35" t="s">
        <v>1556</v>
      </c>
      <c r="D8042" s="35" t="s">
        <v>1622</v>
      </c>
      <c r="E8042" s="35" t="s">
        <v>1621</v>
      </c>
      <c r="F8042" s="35" t="s">
        <v>1624</v>
      </c>
      <c r="G8042" s="35" t="s">
        <v>391</v>
      </c>
    </row>
    <row r="8043" spans="1:7">
      <c r="A8043" s="34">
        <v>2084222297</v>
      </c>
      <c r="B8043" s="35" t="s">
        <v>462</v>
      </c>
      <c r="C8043" s="35" t="s">
        <v>1556</v>
      </c>
      <c r="D8043" s="35" t="s">
        <v>1622</v>
      </c>
      <c r="E8043" s="35" t="s">
        <v>1621</v>
      </c>
      <c r="F8043" s="35" t="s">
        <v>1624</v>
      </c>
      <c r="G8043" s="35" t="s">
        <v>392</v>
      </c>
    </row>
    <row r="8044" spans="1:7">
      <c r="A8044" s="34">
        <v>2084222298</v>
      </c>
      <c r="B8044" s="35" t="s">
        <v>462</v>
      </c>
      <c r="C8044" s="35" t="s">
        <v>1556</v>
      </c>
      <c r="D8044" s="35" t="s">
        <v>1622</v>
      </c>
      <c r="E8044" s="35" t="s">
        <v>1621</v>
      </c>
      <c r="F8044" s="35" t="s">
        <v>1624</v>
      </c>
      <c r="G8044" s="35" t="s">
        <v>375</v>
      </c>
    </row>
    <row r="8045" spans="1:7">
      <c r="A8045" s="34">
        <v>2084222299</v>
      </c>
      <c r="B8045" s="35" t="s">
        <v>462</v>
      </c>
      <c r="C8045" s="35" t="s">
        <v>1556</v>
      </c>
      <c r="D8045" s="35" t="s">
        <v>1622</v>
      </c>
      <c r="E8045" s="35" t="s">
        <v>1621</v>
      </c>
      <c r="F8045" s="35" t="s">
        <v>1624</v>
      </c>
      <c r="G8045" s="35" t="s">
        <v>376</v>
      </c>
    </row>
    <row r="8046" spans="1:7">
      <c r="A8046" s="34">
        <v>2084222300</v>
      </c>
      <c r="B8046" s="35" t="s">
        <v>462</v>
      </c>
      <c r="C8046" s="35" t="s">
        <v>1556</v>
      </c>
      <c r="D8046" s="35" t="s">
        <v>1622</v>
      </c>
      <c r="E8046" s="35" t="s">
        <v>1621</v>
      </c>
      <c r="F8046" s="35" t="s">
        <v>1624</v>
      </c>
      <c r="G8046" s="35" t="s">
        <v>377</v>
      </c>
    </row>
    <row r="8047" spans="1:7">
      <c r="A8047" s="34">
        <v>2084222301</v>
      </c>
      <c r="B8047" s="35" t="s">
        <v>462</v>
      </c>
      <c r="C8047" s="35" t="s">
        <v>1556</v>
      </c>
      <c r="D8047" s="35" t="s">
        <v>1622</v>
      </c>
      <c r="E8047" s="35" t="s">
        <v>1621</v>
      </c>
      <c r="F8047" s="35" t="s">
        <v>1625</v>
      </c>
      <c r="G8047" s="35" t="s">
        <v>391</v>
      </c>
    </row>
    <row r="8048" spans="1:7">
      <c r="A8048" s="34">
        <v>2084222302</v>
      </c>
      <c r="B8048" s="35" t="s">
        <v>462</v>
      </c>
      <c r="C8048" s="35" t="s">
        <v>1556</v>
      </c>
      <c r="D8048" s="35" t="s">
        <v>1622</v>
      </c>
      <c r="E8048" s="35" t="s">
        <v>1621</v>
      </c>
      <c r="F8048" s="35" t="s">
        <v>1625</v>
      </c>
      <c r="G8048" s="35" t="s">
        <v>392</v>
      </c>
    </row>
    <row r="8049" spans="1:7">
      <c r="A8049" s="34">
        <v>2084222303</v>
      </c>
      <c r="B8049" s="35" t="s">
        <v>462</v>
      </c>
      <c r="C8049" s="35" t="s">
        <v>1556</v>
      </c>
      <c r="D8049" s="35" t="s">
        <v>1622</v>
      </c>
      <c r="E8049" s="35" t="s">
        <v>1621</v>
      </c>
      <c r="F8049" s="35" t="s">
        <v>1625</v>
      </c>
      <c r="G8049" s="35" t="s">
        <v>375</v>
      </c>
    </row>
    <row r="8050" spans="1:7">
      <c r="A8050" s="34">
        <v>2084222304</v>
      </c>
      <c r="B8050" s="35" t="s">
        <v>462</v>
      </c>
      <c r="C8050" s="35" t="s">
        <v>1556</v>
      </c>
      <c r="D8050" s="35" t="s">
        <v>1622</v>
      </c>
      <c r="E8050" s="35" t="s">
        <v>1621</v>
      </c>
      <c r="F8050" s="35" t="s">
        <v>1625</v>
      </c>
      <c r="G8050" s="35" t="s">
        <v>376</v>
      </c>
    </row>
    <row r="8051" spans="1:7">
      <c r="A8051" s="34">
        <v>2084222305</v>
      </c>
      <c r="B8051" s="35" t="s">
        <v>462</v>
      </c>
      <c r="C8051" s="35" t="s">
        <v>1556</v>
      </c>
      <c r="D8051" s="35" t="s">
        <v>1622</v>
      </c>
      <c r="E8051" s="35" t="s">
        <v>1621</v>
      </c>
      <c r="F8051" s="35" t="s">
        <v>1625</v>
      </c>
      <c r="G8051" s="35" t="s">
        <v>377</v>
      </c>
    </row>
    <row r="8052" spans="1:7">
      <c r="A8052" s="34">
        <v>2084007175</v>
      </c>
      <c r="B8052" s="35" t="s">
        <v>462</v>
      </c>
      <c r="C8052" s="35" t="s">
        <v>1556</v>
      </c>
      <c r="D8052" s="35" t="s">
        <v>1622</v>
      </c>
      <c r="E8052" s="35" t="s">
        <v>1621</v>
      </c>
      <c r="F8052" s="35" t="s">
        <v>335</v>
      </c>
    </row>
    <row r="8053" spans="1:7">
      <c r="A8053" s="34">
        <v>2084224588</v>
      </c>
      <c r="B8053" s="35" t="s">
        <v>462</v>
      </c>
      <c r="C8053" s="35" t="s">
        <v>1556</v>
      </c>
      <c r="D8053" s="35" t="s">
        <v>1627</v>
      </c>
      <c r="E8053" s="35" t="s">
        <v>391</v>
      </c>
    </row>
    <row r="8054" spans="1:7">
      <c r="A8054" s="34">
        <v>2084224589</v>
      </c>
      <c r="B8054" s="35" t="s">
        <v>462</v>
      </c>
      <c r="C8054" s="35" t="s">
        <v>1556</v>
      </c>
      <c r="D8054" s="35" t="s">
        <v>1627</v>
      </c>
      <c r="E8054" s="35" t="s">
        <v>392</v>
      </c>
    </row>
    <row r="8055" spans="1:7">
      <c r="A8055" s="34">
        <v>2084224590</v>
      </c>
      <c r="B8055" s="35" t="s">
        <v>462</v>
      </c>
      <c r="C8055" s="35" t="s">
        <v>1556</v>
      </c>
      <c r="D8055" s="35" t="s">
        <v>1627</v>
      </c>
      <c r="E8055" s="35" t="s">
        <v>375</v>
      </c>
    </row>
    <row r="8056" spans="1:7">
      <c r="A8056" s="34">
        <v>2084224591</v>
      </c>
      <c r="B8056" s="35" t="s">
        <v>462</v>
      </c>
      <c r="C8056" s="35" t="s">
        <v>1556</v>
      </c>
      <c r="D8056" s="35" t="s">
        <v>1627</v>
      </c>
      <c r="E8056" s="35" t="s">
        <v>376</v>
      </c>
    </row>
    <row r="8057" spans="1:7">
      <c r="A8057" s="34">
        <v>2084224592</v>
      </c>
      <c r="B8057" s="35" t="s">
        <v>462</v>
      </c>
      <c r="C8057" s="35" t="s">
        <v>1556</v>
      </c>
      <c r="D8057" s="35" t="s">
        <v>1627</v>
      </c>
      <c r="E8057" s="35" t="s">
        <v>377</v>
      </c>
    </row>
    <row r="8058" spans="1:7">
      <c r="A8058" s="34">
        <v>2084036974</v>
      </c>
      <c r="B8058" s="35" t="s">
        <v>462</v>
      </c>
      <c r="C8058" s="35" t="s">
        <v>1556</v>
      </c>
      <c r="D8058" s="35" t="s">
        <v>1628</v>
      </c>
      <c r="E8058" s="35" t="s">
        <v>1629</v>
      </c>
    </row>
    <row r="8059" spans="1:7">
      <c r="A8059" s="34">
        <v>2084036975</v>
      </c>
      <c r="B8059" s="35" t="s">
        <v>462</v>
      </c>
      <c r="C8059" s="35" t="s">
        <v>1556</v>
      </c>
      <c r="D8059" s="35" t="s">
        <v>1628</v>
      </c>
      <c r="E8059" s="35" t="s">
        <v>1630</v>
      </c>
    </row>
    <row r="8060" spans="1:7">
      <c r="A8060" s="34">
        <v>2084036966</v>
      </c>
      <c r="B8060" s="35" t="s">
        <v>462</v>
      </c>
      <c r="C8060" s="35" t="s">
        <v>1556</v>
      </c>
      <c r="D8060" s="35" t="s">
        <v>1628</v>
      </c>
      <c r="E8060" s="35" t="s">
        <v>1631</v>
      </c>
    </row>
    <row r="8061" spans="1:7">
      <c r="A8061" s="34">
        <v>2084036978</v>
      </c>
      <c r="B8061" s="35" t="s">
        <v>462</v>
      </c>
      <c r="C8061" s="35" t="s">
        <v>1556</v>
      </c>
      <c r="D8061" s="35" t="s">
        <v>1628</v>
      </c>
      <c r="E8061" s="35" t="s">
        <v>1632</v>
      </c>
    </row>
    <row r="8062" spans="1:7">
      <c r="A8062" s="34">
        <v>2084036977</v>
      </c>
      <c r="B8062" s="35" t="s">
        <v>462</v>
      </c>
      <c r="C8062" s="35" t="s">
        <v>1556</v>
      </c>
      <c r="D8062" s="35" t="s">
        <v>1628</v>
      </c>
      <c r="E8062" s="35" t="s">
        <v>1633</v>
      </c>
    </row>
    <row r="8063" spans="1:7">
      <c r="A8063" s="34">
        <v>2084036973</v>
      </c>
      <c r="B8063" s="35" t="s">
        <v>462</v>
      </c>
      <c r="C8063" s="35" t="s">
        <v>1556</v>
      </c>
      <c r="D8063" s="35" t="s">
        <v>1628</v>
      </c>
      <c r="E8063" s="35" t="s">
        <v>1634</v>
      </c>
    </row>
    <row r="8064" spans="1:7">
      <c r="A8064" s="34">
        <v>2084036976</v>
      </c>
      <c r="B8064" s="35" t="s">
        <v>462</v>
      </c>
      <c r="C8064" s="35" t="s">
        <v>1556</v>
      </c>
      <c r="D8064" s="35" t="s">
        <v>1628</v>
      </c>
      <c r="E8064" s="35" t="s">
        <v>1635</v>
      </c>
    </row>
    <row r="8065" spans="1:6">
      <c r="A8065" s="34">
        <v>2084036972</v>
      </c>
      <c r="B8065" s="35" t="s">
        <v>462</v>
      </c>
      <c r="C8065" s="35" t="s">
        <v>1556</v>
      </c>
      <c r="D8065" s="35" t="s">
        <v>1628</v>
      </c>
      <c r="E8065" s="35" t="s">
        <v>1636</v>
      </c>
    </row>
    <row r="8066" spans="1:6">
      <c r="A8066" s="34">
        <v>2084036967</v>
      </c>
      <c r="B8066" s="35" t="s">
        <v>462</v>
      </c>
      <c r="C8066" s="35" t="s">
        <v>1556</v>
      </c>
      <c r="D8066" s="35" t="s">
        <v>1628</v>
      </c>
      <c r="E8066" s="35" t="s">
        <v>1637</v>
      </c>
    </row>
    <row r="8067" spans="1:6">
      <c r="A8067" s="34">
        <v>2084036968</v>
      </c>
      <c r="B8067" s="35" t="s">
        <v>462</v>
      </c>
      <c r="C8067" s="35" t="s">
        <v>1556</v>
      </c>
      <c r="D8067" s="35" t="s">
        <v>1628</v>
      </c>
      <c r="E8067" s="35" t="s">
        <v>1638</v>
      </c>
    </row>
    <row r="8068" spans="1:6">
      <c r="A8068" s="34">
        <v>2084036969</v>
      </c>
      <c r="B8068" s="35" t="s">
        <v>462</v>
      </c>
      <c r="C8068" s="35" t="s">
        <v>1556</v>
      </c>
      <c r="D8068" s="35" t="s">
        <v>1628</v>
      </c>
      <c r="E8068" s="35" t="s">
        <v>1639</v>
      </c>
    </row>
    <row r="8069" spans="1:6">
      <c r="A8069" s="34">
        <v>2084057500</v>
      </c>
      <c r="B8069" s="35" t="s">
        <v>462</v>
      </c>
      <c r="C8069" s="35" t="s">
        <v>1556</v>
      </c>
      <c r="D8069" s="35" t="s">
        <v>1628</v>
      </c>
      <c r="E8069" s="35" t="s">
        <v>429</v>
      </c>
      <c r="F8069" s="35" t="s">
        <v>1640</v>
      </c>
    </row>
    <row r="8070" spans="1:6">
      <c r="A8070" s="34">
        <v>2084057501</v>
      </c>
      <c r="B8070" s="35" t="s">
        <v>462</v>
      </c>
      <c r="C8070" s="35" t="s">
        <v>1556</v>
      </c>
      <c r="D8070" s="35" t="s">
        <v>1628</v>
      </c>
      <c r="E8070" s="35" t="s">
        <v>429</v>
      </c>
      <c r="F8070" s="35" t="s">
        <v>1641</v>
      </c>
    </row>
    <row r="8071" spans="1:6">
      <c r="A8071" s="34">
        <v>2084057502</v>
      </c>
      <c r="B8071" s="35" t="s">
        <v>462</v>
      </c>
      <c r="C8071" s="35" t="s">
        <v>1556</v>
      </c>
      <c r="D8071" s="35" t="s">
        <v>1628</v>
      </c>
      <c r="E8071" s="35" t="s">
        <v>429</v>
      </c>
      <c r="F8071" s="35" t="s">
        <v>1642</v>
      </c>
    </row>
    <row r="8072" spans="1:6">
      <c r="A8072" s="34">
        <v>2084057503</v>
      </c>
      <c r="B8072" s="35" t="s">
        <v>462</v>
      </c>
      <c r="C8072" s="35" t="s">
        <v>1556</v>
      </c>
      <c r="D8072" s="35" t="s">
        <v>1628</v>
      </c>
      <c r="E8072" s="35" t="s">
        <v>429</v>
      </c>
      <c r="F8072" s="35" t="s">
        <v>1643</v>
      </c>
    </row>
    <row r="8073" spans="1:6">
      <c r="A8073" s="34">
        <v>2084057504</v>
      </c>
      <c r="B8073" s="35" t="s">
        <v>462</v>
      </c>
      <c r="C8073" s="35" t="s">
        <v>1556</v>
      </c>
      <c r="D8073" s="35" t="s">
        <v>1628</v>
      </c>
      <c r="E8073" s="35" t="s">
        <v>429</v>
      </c>
      <c r="F8073" s="35" t="s">
        <v>1644</v>
      </c>
    </row>
    <row r="8074" spans="1:6">
      <c r="A8074" s="34">
        <v>2084057505</v>
      </c>
      <c r="B8074" s="35" t="s">
        <v>462</v>
      </c>
      <c r="C8074" s="35" t="s">
        <v>1556</v>
      </c>
      <c r="D8074" s="35" t="s">
        <v>1628</v>
      </c>
      <c r="E8074" s="35" t="s">
        <v>429</v>
      </c>
      <c r="F8074" s="35" t="s">
        <v>1645</v>
      </c>
    </row>
    <row r="8075" spans="1:6">
      <c r="A8075" s="34">
        <v>2084057506</v>
      </c>
      <c r="B8075" s="35" t="s">
        <v>462</v>
      </c>
      <c r="C8075" s="35" t="s">
        <v>1556</v>
      </c>
      <c r="D8075" s="35" t="s">
        <v>1628</v>
      </c>
      <c r="E8075" s="35" t="s">
        <v>429</v>
      </c>
      <c r="F8075" s="35" t="s">
        <v>1646</v>
      </c>
    </row>
    <row r="8076" spans="1:6">
      <c r="A8076" s="34">
        <v>2084057507</v>
      </c>
      <c r="B8076" s="35" t="s">
        <v>462</v>
      </c>
      <c r="C8076" s="35" t="s">
        <v>1556</v>
      </c>
      <c r="D8076" s="35" t="s">
        <v>1628</v>
      </c>
      <c r="E8076" s="35" t="s">
        <v>429</v>
      </c>
      <c r="F8076" s="35" t="s">
        <v>1647</v>
      </c>
    </row>
    <row r="8077" spans="1:6">
      <c r="A8077" s="34">
        <v>2084057508</v>
      </c>
      <c r="B8077" s="35" t="s">
        <v>462</v>
      </c>
      <c r="C8077" s="35" t="s">
        <v>1556</v>
      </c>
      <c r="D8077" s="35" t="s">
        <v>1628</v>
      </c>
      <c r="E8077" s="35" t="s">
        <v>429</v>
      </c>
      <c r="F8077" s="35" t="s">
        <v>1648</v>
      </c>
    </row>
    <row r="8078" spans="1:6">
      <c r="A8078" s="34">
        <v>2084057509</v>
      </c>
      <c r="B8078" s="35" t="s">
        <v>462</v>
      </c>
      <c r="C8078" s="35" t="s">
        <v>1556</v>
      </c>
      <c r="D8078" s="35" t="s">
        <v>1628</v>
      </c>
      <c r="E8078" s="35" t="s">
        <v>429</v>
      </c>
      <c r="F8078" s="35" t="s">
        <v>1649</v>
      </c>
    </row>
    <row r="8079" spans="1:6">
      <c r="A8079" s="34">
        <v>2084057510</v>
      </c>
      <c r="B8079" s="35" t="s">
        <v>462</v>
      </c>
      <c r="C8079" s="35" t="s">
        <v>1556</v>
      </c>
      <c r="D8079" s="35" t="s">
        <v>1628</v>
      </c>
      <c r="E8079" s="35" t="s">
        <v>429</v>
      </c>
      <c r="F8079" s="35" t="s">
        <v>1650</v>
      </c>
    </row>
    <row r="8080" spans="1:6">
      <c r="A8080" s="34">
        <v>2084224603</v>
      </c>
      <c r="B8080" s="35" t="s">
        <v>462</v>
      </c>
      <c r="C8080" s="35" t="s">
        <v>1556</v>
      </c>
      <c r="D8080" s="35" t="s">
        <v>1651</v>
      </c>
      <c r="E8080" s="35" t="s">
        <v>391</v>
      </c>
    </row>
    <row r="8081" spans="1:5">
      <c r="A8081" s="34">
        <v>2084224604</v>
      </c>
      <c r="B8081" s="35" t="s">
        <v>462</v>
      </c>
      <c r="C8081" s="35" t="s">
        <v>1556</v>
      </c>
      <c r="D8081" s="35" t="s">
        <v>1651</v>
      </c>
      <c r="E8081" s="35" t="s">
        <v>392</v>
      </c>
    </row>
    <row r="8082" spans="1:5">
      <c r="A8082" s="34">
        <v>2084224605</v>
      </c>
      <c r="B8082" s="35" t="s">
        <v>462</v>
      </c>
      <c r="C8082" s="35" t="s">
        <v>1556</v>
      </c>
      <c r="D8082" s="35" t="s">
        <v>1651</v>
      </c>
      <c r="E8082" s="35" t="s">
        <v>375</v>
      </c>
    </row>
    <row r="8083" spans="1:5">
      <c r="A8083" s="34">
        <v>2084224606</v>
      </c>
      <c r="B8083" s="35" t="s">
        <v>462</v>
      </c>
      <c r="C8083" s="35" t="s">
        <v>1556</v>
      </c>
      <c r="D8083" s="35" t="s">
        <v>1651</v>
      </c>
      <c r="E8083" s="35" t="s">
        <v>376</v>
      </c>
    </row>
    <row r="8084" spans="1:5">
      <c r="A8084" s="34">
        <v>2084224607</v>
      </c>
      <c r="B8084" s="35" t="s">
        <v>462</v>
      </c>
      <c r="C8084" s="35" t="s">
        <v>1556</v>
      </c>
      <c r="D8084" s="35" t="s">
        <v>1651</v>
      </c>
      <c r="E8084" s="35" t="s">
        <v>377</v>
      </c>
    </row>
    <row r="8085" spans="1:5">
      <c r="A8085" s="34">
        <v>2084224593</v>
      </c>
      <c r="B8085" s="35" t="s">
        <v>462</v>
      </c>
      <c r="C8085" s="35" t="s">
        <v>1556</v>
      </c>
      <c r="D8085" s="35" t="s">
        <v>1652</v>
      </c>
      <c r="E8085" s="35" t="s">
        <v>391</v>
      </c>
    </row>
    <row r="8086" spans="1:5">
      <c r="A8086" s="34">
        <v>2084224594</v>
      </c>
      <c r="B8086" s="35" t="s">
        <v>462</v>
      </c>
      <c r="C8086" s="35" t="s">
        <v>1556</v>
      </c>
      <c r="D8086" s="35" t="s">
        <v>1652</v>
      </c>
      <c r="E8086" s="35" t="s">
        <v>392</v>
      </c>
    </row>
    <row r="8087" spans="1:5">
      <c r="A8087" s="34">
        <v>2084224595</v>
      </c>
      <c r="B8087" s="35" t="s">
        <v>462</v>
      </c>
      <c r="C8087" s="35" t="s">
        <v>1556</v>
      </c>
      <c r="D8087" s="35" t="s">
        <v>1652</v>
      </c>
      <c r="E8087" s="35" t="s">
        <v>375</v>
      </c>
    </row>
    <row r="8088" spans="1:5">
      <c r="A8088" s="34">
        <v>2084224596</v>
      </c>
      <c r="B8088" s="35" t="s">
        <v>462</v>
      </c>
      <c r="C8088" s="35" t="s">
        <v>1556</v>
      </c>
      <c r="D8088" s="35" t="s">
        <v>1652</v>
      </c>
      <c r="E8088" s="35" t="s">
        <v>376</v>
      </c>
    </row>
    <row r="8089" spans="1:5">
      <c r="A8089" s="34">
        <v>2084224597</v>
      </c>
      <c r="B8089" s="35" t="s">
        <v>462</v>
      </c>
      <c r="C8089" s="35" t="s">
        <v>1556</v>
      </c>
      <c r="D8089" s="35" t="s">
        <v>1652</v>
      </c>
      <c r="E8089" s="35" t="s">
        <v>377</v>
      </c>
    </row>
    <row r="8090" spans="1:5">
      <c r="A8090" s="34">
        <v>2084007163</v>
      </c>
      <c r="B8090" s="35" t="s">
        <v>462</v>
      </c>
      <c r="C8090" s="35" t="s">
        <v>1556</v>
      </c>
      <c r="D8090" s="35" t="s">
        <v>1653</v>
      </c>
    </row>
    <row r="8091" spans="1:5">
      <c r="A8091" s="34">
        <v>2084047537</v>
      </c>
      <c r="B8091" s="35" t="s">
        <v>462</v>
      </c>
      <c r="C8091" s="35" t="s">
        <v>1556</v>
      </c>
      <c r="D8091" s="35" t="s">
        <v>1654</v>
      </c>
    </row>
    <row r="8092" spans="1:5">
      <c r="A8092" s="34">
        <v>2084028000</v>
      </c>
      <c r="B8092" s="35" t="s">
        <v>462</v>
      </c>
      <c r="C8092" s="35" t="s">
        <v>1556</v>
      </c>
      <c r="D8092" s="35" t="s">
        <v>1655</v>
      </c>
      <c r="E8092" s="35" t="s">
        <v>1656</v>
      </c>
    </row>
    <row r="8093" spans="1:5">
      <c r="A8093" s="34">
        <v>2084224598</v>
      </c>
      <c r="B8093" s="35" t="s">
        <v>462</v>
      </c>
      <c r="C8093" s="35" t="s">
        <v>1556</v>
      </c>
      <c r="D8093" s="35" t="s">
        <v>1657</v>
      </c>
      <c r="E8093" s="35" t="s">
        <v>391</v>
      </c>
    </row>
    <row r="8094" spans="1:5">
      <c r="A8094" s="34">
        <v>2084224599</v>
      </c>
      <c r="B8094" s="35" t="s">
        <v>462</v>
      </c>
      <c r="C8094" s="35" t="s">
        <v>1556</v>
      </c>
      <c r="D8094" s="35" t="s">
        <v>1657</v>
      </c>
      <c r="E8094" s="35" t="s">
        <v>392</v>
      </c>
    </row>
    <row r="8095" spans="1:5">
      <c r="A8095" s="34">
        <v>2084224600</v>
      </c>
      <c r="B8095" s="35" t="s">
        <v>462</v>
      </c>
      <c r="C8095" s="35" t="s">
        <v>1556</v>
      </c>
      <c r="D8095" s="35" t="s">
        <v>1657</v>
      </c>
      <c r="E8095" s="35" t="s">
        <v>375</v>
      </c>
    </row>
    <row r="8096" spans="1:5">
      <c r="A8096" s="34">
        <v>2084224601</v>
      </c>
      <c r="B8096" s="35" t="s">
        <v>462</v>
      </c>
      <c r="C8096" s="35" t="s">
        <v>1556</v>
      </c>
      <c r="D8096" s="35" t="s">
        <v>1657</v>
      </c>
      <c r="E8096" s="35" t="s">
        <v>376</v>
      </c>
    </row>
    <row r="8097" spans="1:6">
      <c r="A8097" s="34">
        <v>2084224602</v>
      </c>
      <c r="B8097" s="35" t="s">
        <v>462</v>
      </c>
      <c r="C8097" s="35" t="s">
        <v>1556</v>
      </c>
      <c r="D8097" s="35" t="s">
        <v>1657</v>
      </c>
      <c r="E8097" s="35" t="s">
        <v>377</v>
      </c>
    </row>
    <row r="8098" spans="1:6">
      <c r="A8098" s="34">
        <v>2084246107</v>
      </c>
      <c r="B8098" s="35" t="s">
        <v>462</v>
      </c>
      <c r="C8098" s="35" t="s">
        <v>1556</v>
      </c>
      <c r="D8098" s="35" t="s">
        <v>1658</v>
      </c>
    </row>
    <row r="8099" spans="1:6">
      <c r="A8099" s="34">
        <v>2084027161</v>
      </c>
      <c r="B8099" s="35" t="s">
        <v>462</v>
      </c>
      <c r="C8099" s="35" t="s">
        <v>1556</v>
      </c>
      <c r="D8099" s="35" t="s">
        <v>533</v>
      </c>
      <c r="E8099" s="35" t="s">
        <v>1659</v>
      </c>
      <c r="F8099" s="35" t="s">
        <v>1660</v>
      </c>
    </row>
    <row r="8100" spans="1:6">
      <c r="A8100" s="34">
        <v>2084030090</v>
      </c>
      <c r="B8100" s="35" t="s">
        <v>462</v>
      </c>
      <c r="C8100" s="35" t="s">
        <v>1556</v>
      </c>
      <c r="D8100" s="35" t="s">
        <v>533</v>
      </c>
      <c r="E8100" s="35" t="s">
        <v>1619</v>
      </c>
      <c r="F8100" s="35" t="s">
        <v>1661</v>
      </c>
    </row>
    <row r="8101" spans="1:6">
      <c r="A8101" s="34">
        <v>2084054012</v>
      </c>
      <c r="B8101" s="35" t="s">
        <v>462</v>
      </c>
      <c r="C8101" s="35" t="s">
        <v>1556</v>
      </c>
      <c r="D8101" s="35" t="s">
        <v>533</v>
      </c>
      <c r="E8101" s="35" t="s">
        <v>811</v>
      </c>
    </row>
    <row r="8102" spans="1:6">
      <c r="A8102" s="34">
        <v>2084030151</v>
      </c>
      <c r="B8102" s="35" t="s">
        <v>462</v>
      </c>
      <c r="C8102" s="35" t="s">
        <v>1556</v>
      </c>
      <c r="D8102" s="35" t="s">
        <v>533</v>
      </c>
      <c r="E8102" s="35" t="s">
        <v>1621</v>
      </c>
      <c r="F8102" s="35" t="s">
        <v>1662</v>
      </c>
    </row>
    <row r="8103" spans="1:6">
      <c r="A8103" s="34">
        <v>2084030083</v>
      </c>
      <c r="B8103" s="35" t="s">
        <v>462</v>
      </c>
      <c r="C8103" s="35" t="s">
        <v>1556</v>
      </c>
      <c r="D8103" s="35" t="s">
        <v>533</v>
      </c>
      <c r="E8103" s="35" t="s">
        <v>1663</v>
      </c>
      <c r="F8103" s="35" t="s">
        <v>1664</v>
      </c>
    </row>
    <row r="8104" spans="1:6">
      <c r="A8104" s="34">
        <v>2084064270</v>
      </c>
      <c r="B8104" s="35" t="s">
        <v>462</v>
      </c>
      <c r="C8104" s="35" t="s">
        <v>1556</v>
      </c>
      <c r="D8104" s="35" t="s">
        <v>1665</v>
      </c>
      <c r="E8104" s="35" t="s">
        <v>1666</v>
      </c>
      <c r="F8104" s="35" t="s">
        <v>1667</v>
      </c>
    </row>
    <row r="8105" spans="1:6">
      <c r="A8105" s="34">
        <v>2084064271</v>
      </c>
      <c r="B8105" s="35" t="s">
        <v>462</v>
      </c>
      <c r="C8105" s="35" t="s">
        <v>1556</v>
      </c>
      <c r="D8105" s="35" t="s">
        <v>1665</v>
      </c>
      <c r="E8105" s="35" t="s">
        <v>1666</v>
      </c>
      <c r="F8105" s="35" t="s">
        <v>1668</v>
      </c>
    </row>
    <row r="8106" spans="1:6">
      <c r="A8106" s="34">
        <v>2084064269</v>
      </c>
      <c r="B8106" s="35" t="s">
        <v>462</v>
      </c>
      <c r="C8106" s="35" t="s">
        <v>1556</v>
      </c>
      <c r="D8106" s="35" t="s">
        <v>1665</v>
      </c>
      <c r="E8106" s="35" t="s">
        <v>1666</v>
      </c>
      <c r="F8106" s="35" t="s">
        <v>1669</v>
      </c>
    </row>
    <row r="8107" spans="1:6">
      <c r="A8107" s="34">
        <v>2084064272</v>
      </c>
      <c r="B8107" s="35" t="s">
        <v>462</v>
      </c>
      <c r="C8107" s="35" t="s">
        <v>1556</v>
      </c>
      <c r="D8107" s="35" t="s">
        <v>1665</v>
      </c>
      <c r="E8107" s="35" t="s">
        <v>1666</v>
      </c>
      <c r="F8107" s="35" t="s">
        <v>1670</v>
      </c>
    </row>
    <row r="8108" spans="1:6">
      <c r="A8108" s="34">
        <v>2084064273</v>
      </c>
      <c r="B8108" s="35" t="s">
        <v>462</v>
      </c>
      <c r="C8108" s="35" t="s">
        <v>1556</v>
      </c>
      <c r="D8108" s="35" t="s">
        <v>1665</v>
      </c>
      <c r="E8108" s="35" t="s">
        <v>1666</v>
      </c>
      <c r="F8108" s="35" t="s">
        <v>335</v>
      </c>
    </row>
    <row r="8109" spans="1:6">
      <c r="A8109" s="34">
        <v>2084061200</v>
      </c>
      <c r="B8109" s="35" t="s">
        <v>462</v>
      </c>
      <c r="C8109" s="35" t="s">
        <v>1556</v>
      </c>
      <c r="D8109" s="35" t="s">
        <v>1665</v>
      </c>
      <c r="E8109" s="35" t="s">
        <v>1671</v>
      </c>
    </row>
    <row r="8110" spans="1:6">
      <c r="A8110" s="34">
        <v>2084064274</v>
      </c>
      <c r="B8110" s="35" t="s">
        <v>462</v>
      </c>
      <c r="C8110" s="35" t="s">
        <v>1556</v>
      </c>
      <c r="D8110" s="35" t="s">
        <v>1665</v>
      </c>
      <c r="E8110" s="35" t="s">
        <v>1672</v>
      </c>
    </row>
    <row r="8111" spans="1:6">
      <c r="A8111" s="34">
        <v>2084061199</v>
      </c>
      <c r="B8111" s="35" t="s">
        <v>462</v>
      </c>
      <c r="C8111" s="35" t="s">
        <v>1556</v>
      </c>
      <c r="D8111" s="35" t="s">
        <v>1665</v>
      </c>
      <c r="E8111" s="35" t="s">
        <v>1673</v>
      </c>
    </row>
    <row r="8112" spans="1:6">
      <c r="A8112" s="34">
        <v>2084064288</v>
      </c>
      <c r="B8112" s="35" t="s">
        <v>462</v>
      </c>
      <c r="C8112" s="35" t="s">
        <v>1556</v>
      </c>
      <c r="D8112" s="35" t="s">
        <v>1665</v>
      </c>
      <c r="E8112" s="35" t="s">
        <v>1674</v>
      </c>
      <c r="F8112" s="35" t="s">
        <v>1675</v>
      </c>
    </row>
    <row r="8113" spans="1:6">
      <c r="A8113" s="34">
        <v>2084064291</v>
      </c>
      <c r="B8113" s="35" t="s">
        <v>462</v>
      </c>
      <c r="C8113" s="35" t="s">
        <v>1556</v>
      </c>
      <c r="D8113" s="35" t="s">
        <v>1665</v>
      </c>
      <c r="E8113" s="35" t="s">
        <v>1674</v>
      </c>
      <c r="F8113" s="35" t="s">
        <v>1676</v>
      </c>
    </row>
    <row r="8114" spans="1:6">
      <c r="A8114" s="34">
        <v>2084064290</v>
      </c>
      <c r="B8114" s="35" t="s">
        <v>462</v>
      </c>
      <c r="C8114" s="35" t="s">
        <v>1556</v>
      </c>
      <c r="D8114" s="35" t="s">
        <v>1665</v>
      </c>
      <c r="E8114" s="35" t="s">
        <v>1674</v>
      </c>
      <c r="F8114" s="35" t="s">
        <v>1677</v>
      </c>
    </row>
    <row r="8115" spans="1:6">
      <c r="A8115" s="34">
        <v>2084064281</v>
      </c>
      <c r="B8115" s="35" t="s">
        <v>462</v>
      </c>
      <c r="C8115" s="35" t="s">
        <v>1556</v>
      </c>
      <c r="D8115" s="35" t="s">
        <v>1665</v>
      </c>
      <c r="E8115" s="35" t="s">
        <v>1674</v>
      </c>
      <c r="F8115" s="35" t="s">
        <v>1678</v>
      </c>
    </row>
    <row r="8116" spans="1:6">
      <c r="A8116" s="34">
        <v>2084064285</v>
      </c>
      <c r="B8116" s="35" t="s">
        <v>462</v>
      </c>
      <c r="C8116" s="35" t="s">
        <v>1556</v>
      </c>
      <c r="D8116" s="35" t="s">
        <v>1665</v>
      </c>
      <c r="E8116" s="35" t="s">
        <v>1674</v>
      </c>
      <c r="F8116" s="35" t="s">
        <v>1679</v>
      </c>
    </row>
    <row r="8117" spans="1:6">
      <c r="A8117" s="34">
        <v>2084064284</v>
      </c>
      <c r="B8117" s="35" t="s">
        <v>462</v>
      </c>
      <c r="C8117" s="35" t="s">
        <v>1556</v>
      </c>
      <c r="D8117" s="35" t="s">
        <v>1665</v>
      </c>
      <c r="E8117" s="35" t="s">
        <v>1674</v>
      </c>
      <c r="F8117" s="35" t="s">
        <v>1680</v>
      </c>
    </row>
    <row r="8118" spans="1:6">
      <c r="A8118" s="34">
        <v>2084064283</v>
      </c>
      <c r="B8118" s="35" t="s">
        <v>462</v>
      </c>
      <c r="C8118" s="35" t="s">
        <v>1556</v>
      </c>
      <c r="D8118" s="35" t="s">
        <v>1665</v>
      </c>
      <c r="E8118" s="35" t="s">
        <v>1674</v>
      </c>
      <c r="F8118" s="35" t="s">
        <v>1681</v>
      </c>
    </row>
    <row r="8119" spans="1:6">
      <c r="A8119" s="34">
        <v>2084064286</v>
      </c>
      <c r="B8119" s="35" t="s">
        <v>462</v>
      </c>
      <c r="C8119" s="35" t="s">
        <v>1556</v>
      </c>
      <c r="D8119" s="35" t="s">
        <v>1665</v>
      </c>
      <c r="E8119" s="35" t="s">
        <v>1674</v>
      </c>
      <c r="F8119" s="35" t="s">
        <v>1682</v>
      </c>
    </row>
    <row r="8120" spans="1:6">
      <c r="A8120" s="34">
        <v>2084064282</v>
      </c>
      <c r="B8120" s="35" t="s">
        <v>462</v>
      </c>
      <c r="C8120" s="35" t="s">
        <v>1556</v>
      </c>
      <c r="D8120" s="35" t="s">
        <v>1665</v>
      </c>
      <c r="E8120" s="35" t="s">
        <v>1674</v>
      </c>
      <c r="F8120" s="35" t="s">
        <v>1683</v>
      </c>
    </row>
    <row r="8121" spans="1:6">
      <c r="A8121" s="34">
        <v>2084064289</v>
      </c>
      <c r="B8121" s="35" t="s">
        <v>462</v>
      </c>
      <c r="C8121" s="35" t="s">
        <v>1556</v>
      </c>
      <c r="D8121" s="35" t="s">
        <v>1665</v>
      </c>
      <c r="E8121" s="35" t="s">
        <v>1674</v>
      </c>
      <c r="F8121" s="35" t="s">
        <v>1684</v>
      </c>
    </row>
    <row r="8122" spans="1:6">
      <c r="A8122" s="34">
        <v>2084064280</v>
      </c>
      <c r="B8122" s="35" t="s">
        <v>462</v>
      </c>
      <c r="C8122" s="35" t="s">
        <v>1556</v>
      </c>
      <c r="D8122" s="35" t="s">
        <v>1665</v>
      </c>
      <c r="E8122" s="35" t="s">
        <v>1674</v>
      </c>
      <c r="F8122" s="35" t="s">
        <v>1685</v>
      </c>
    </row>
    <row r="8123" spans="1:6">
      <c r="A8123" s="34">
        <v>2084064287</v>
      </c>
      <c r="B8123" s="35" t="s">
        <v>462</v>
      </c>
      <c r="C8123" s="35" t="s">
        <v>1556</v>
      </c>
      <c r="D8123" s="35" t="s">
        <v>1665</v>
      </c>
      <c r="E8123" s="35" t="s">
        <v>1674</v>
      </c>
      <c r="F8123" s="35" t="s">
        <v>1686</v>
      </c>
    </row>
    <row r="8124" spans="1:6">
      <c r="A8124" s="34">
        <v>2084064292</v>
      </c>
      <c r="B8124" s="35" t="s">
        <v>462</v>
      </c>
      <c r="C8124" s="35" t="s">
        <v>1556</v>
      </c>
      <c r="D8124" s="35" t="s">
        <v>1665</v>
      </c>
      <c r="E8124" s="35" t="s">
        <v>1674</v>
      </c>
      <c r="F8124" s="35" t="s">
        <v>335</v>
      </c>
    </row>
    <row r="8125" spans="1:6">
      <c r="A8125" s="34">
        <v>2084005915</v>
      </c>
      <c r="B8125" s="35" t="s">
        <v>462</v>
      </c>
      <c r="C8125" s="35" t="s">
        <v>1556</v>
      </c>
      <c r="D8125" s="35" t="s">
        <v>1665</v>
      </c>
      <c r="E8125" s="35" t="s">
        <v>1687</v>
      </c>
    </row>
    <row r="8126" spans="1:6">
      <c r="A8126" s="34">
        <v>2084037009</v>
      </c>
      <c r="B8126" s="35" t="s">
        <v>462</v>
      </c>
      <c r="C8126" s="35" t="s">
        <v>1556</v>
      </c>
      <c r="D8126" s="35" t="s">
        <v>1665</v>
      </c>
      <c r="E8126" s="35" t="s">
        <v>622</v>
      </c>
    </row>
    <row r="8127" spans="1:6">
      <c r="A8127" s="34">
        <v>2084037006</v>
      </c>
      <c r="B8127" s="35" t="s">
        <v>462</v>
      </c>
      <c r="C8127" s="35" t="s">
        <v>1556</v>
      </c>
      <c r="D8127" s="35" t="s">
        <v>1665</v>
      </c>
      <c r="E8127" s="35" t="s">
        <v>401</v>
      </c>
    </row>
    <row r="8128" spans="1:6">
      <c r="A8128" s="34">
        <v>2084037007</v>
      </c>
      <c r="B8128" s="35" t="s">
        <v>462</v>
      </c>
      <c r="C8128" s="35" t="s">
        <v>1556</v>
      </c>
      <c r="D8128" s="35" t="s">
        <v>1665</v>
      </c>
      <c r="E8128" s="35" t="s">
        <v>1688</v>
      </c>
    </row>
    <row r="8129" spans="1:8">
      <c r="A8129" s="34">
        <v>2084037010</v>
      </c>
      <c r="B8129" s="35" t="s">
        <v>462</v>
      </c>
      <c r="C8129" s="35" t="s">
        <v>1556</v>
      </c>
      <c r="D8129" s="35" t="s">
        <v>1665</v>
      </c>
      <c r="E8129" s="35" t="s">
        <v>476</v>
      </c>
    </row>
    <row r="8130" spans="1:8">
      <c r="A8130" s="34">
        <v>2084037011</v>
      </c>
      <c r="B8130" s="35" t="s">
        <v>462</v>
      </c>
      <c r="C8130" s="35" t="s">
        <v>1556</v>
      </c>
      <c r="D8130" s="35" t="s">
        <v>1665</v>
      </c>
      <c r="E8130" s="35" t="s">
        <v>477</v>
      </c>
    </row>
    <row r="8131" spans="1:8">
      <c r="A8131" s="34">
        <v>2084037008</v>
      </c>
      <c r="B8131" s="35" t="s">
        <v>462</v>
      </c>
      <c r="C8131" s="35" t="s">
        <v>1556</v>
      </c>
      <c r="D8131" s="35" t="s">
        <v>1665</v>
      </c>
      <c r="E8131" s="35" t="s">
        <v>478</v>
      </c>
    </row>
    <row r="8132" spans="1:8">
      <c r="A8132" s="34">
        <v>2084005917</v>
      </c>
      <c r="B8132" s="35" t="s">
        <v>462</v>
      </c>
      <c r="C8132" s="35" t="s">
        <v>1556</v>
      </c>
      <c r="D8132" s="35" t="s">
        <v>1665</v>
      </c>
      <c r="E8132" s="35" t="s">
        <v>335</v>
      </c>
    </row>
    <row r="8133" spans="1:8">
      <c r="A8133" s="34">
        <v>2084007161</v>
      </c>
      <c r="B8133" s="35" t="s">
        <v>462</v>
      </c>
      <c r="C8133" s="35" t="s">
        <v>1556</v>
      </c>
      <c r="D8133" s="35" t="s">
        <v>1689</v>
      </c>
    </row>
    <row r="8134" spans="1:8">
      <c r="A8134" s="34">
        <v>2084211760</v>
      </c>
      <c r="B8134" s="35" t="s">
        <v>462</v>
      </c>
      <c r="C8134" s="35" t="s">
        <v>1556</v>
      </c>
      <c r="D8134" s="35" t="s">
        <v>384</v>
      </c>
      <c r="E8134" s="35" t="s">
        <v>1690</v>
      </c>
      <c r="F8134" s="35" t="s">
        <v>1691</v>
      </c>
      <c r="G8134" s="35" t="s">
        <v>1692</v>
      </c>
      <c r="H8134" s="35" t="s">
        <v>1693</v>
      </c>
    </row>
    <row r="8135" spans="1:8">
      <c r="A8135" s="34">
        <v>2084211761</v>
      </c>
      <c r="B8135" s="35" t="s">
        <v>462</v>
      </c>
      <c r="C8135" s="35" t="s">
        <v>1556</v>
      </c>
      <c r="D8135" s="35" t="s">
        <v>384</v>
      </c>
      <c r="E8135" s="35" t="s">
        <v>1690</v>
      </c>
      <c r="F8135" s="35" t="s">
        <v>1691</v>
      </c>
      <c r="G8135" s="35" t="s">
        <v>1692</v>
      </c>
      <c r="H8135" s="35">
        <v>70</v>
      </c>
    </row>
    <row r="8136" spans="1:8">
      <c r="A8136" s="34">
        <v>2084211762</v>
      </c>
      <c r="B8136" s="35" t="s">
        <v>462</v>
      </c>
      <c r="C8136" s="35" t="s">
        <v>1556</v>
      </c>
      <c r="D8136" s="35" t="s">
        <v>384</v>
      </c>
      <c r="E8136" s="35" t="s">
        <v>1690</v>
      </c>
      <c r="F8136" s="35" t="s">
        <v>1691</v>
      </c>
      <c r="G8136" s="35" t="s">
        <v>1692</v>
      </c>
      <c r="H8136" s="35">
        <v>75</v>
      </c>
    </row>
    <row r="8137" spans="1:8">
      <c r="A8137" s="34">
        <v>2084211763</v>
      </c>
      <c r="B8137" s="35" t="s">
        <v>462</v>
      </c>
      <c r="C8137" s="35" t="s">
        <v>1556</v>
      </c>
      <c r="D8137" s="35" t="s">
        <v>384</v>
      </c>
      <c r="E8137" s="35" t="s">
        <v>1690</v>
      </c>
      <c r="F8137" s="35" t="s">
        <v>1691</v>
      </c>
      <c r="G8137" s="35" t="s">
        <v>1692</v>
      </c>
      <c r="H8137" s="35" t="s">
        <v>1694</v>
      </c>
    </row>
    <row r="8138" spans="1:8">
      <c r="A8138" s="34">
        <v>2084211765</v>
      </c>
      <c r="B8138" s="35" t="s">
        <v>462</v>
      </c>
      <c r="C8138" s="35" t="s">
        <v>1556</v>
      </c>
      <c r="D8138" s="35" t="s">
        <v>384</v>
      </c>
      <c r="E8138" s="35" t="s">
        <v>1690</v>
      </c>
      <c r="F8138" s="35" t="s">
        <v>1691</v>
      </c>
      <c r="G8138" s="35" t="s">
        <v>1695</v>
      </c>
      <c r="H8138" s="35" t="s">
        <v>1693</v>
      </c>
    </row>
    <row r="8139" spans="1:8">
      <c r="A8139" s="34">
        <v>2084211766</v>
      </c>
      <c r="B8139" s="35" t="s">
        <v>462</v>
      </c>
      <c r="C8139" s="35" t="s">
        <v>1556</v>
      </c>
      <c r="D8139" s="35" t="s">
        <v>384</v>
      </c>
      <c r="E8139" s="35" t="s">
        <v>1690</v>
      </c>
      <c r="F8139" s="35" t="s">
        <v>1691</v>
      </c>
      <c r="G8139" s="35" t="s">
        <v>1695</v>
      </c>
      <c r="H8139" s="35">
        <v>70</v>
      </c>
    </row>
    <row r="8140" spans="1:8">
      <c r="A8140" s="34">
        <v>2084211767</v>
      </c>
      <c r="B8140" s="35" t="s">
        <v>462</v>
      </c>
      <c r="C8140" s="35" t="s">
        <v>1556</v>
      </c>
      <c r="D8140" s="35" t="s">
        <v>384</v>
      </c>
      <c r="E8140" s="35" t="s">
        <v>1690</v>
      </c>
      <c r="F8140" s="35" t="s">
        <v>1691</v>
      </c>
      <c r="G8140" s="35" t="s">
        <v>1695</v>
      </c>
      <c r="H8140" s="35">
        <v>75</v>
      </c>
    </row>
    <row r="8141" spans="1:8">
      <c r="A8141" s="34">
        <v>2084211768</v>
      </c>
      <c r="B8141" s="35" t="s">
        <v>462</v>
      </c>
      <c r="C8141" s="35" t="s">
        <v>1556</v>
      </c>
      <c r="D8141" s="35" t="s">
        <v>384</v>
      </c>
      <c r="E8141" s="35" t="s">
        <v>1690</v>
      </c>
      <c r="F8141" s="35" t="s">
        <v>1691</v>
      </c>
      <c r="G8141" s="35" t="s">
        <v>1695</v>
      </c>
      <c r="H8141" s="35" t="s">
        <v>1694</v>
      </c>
    </row>
    <row r="8142" spans="1:8">
      <c r="A8142" s="34">
        <v>2084211771</v>
      </c>
      <c r="B8142" s="35" t="s">
        <v>462</v>
      </c>
      <c r="C8142" s="35" t="s">
        <v>1556</v>
      </c>
      <c r="D8142" s="35" t="s">
        <v>384</v>
      </c>
      <c r="E8142" s="35" t="s">
        <v>1690</v>
      </c>
      <c r="F8142" s="35" t="s">
        <v>1691</v>
      </c>
      <c r="G8142" s="35" t="s">
        <v>1696</v>
      </c>
      <c r="H8142" s="35" t="s">
        <v>1693</v>
      </c>
    </row>
    <row r="8143" spans="1:8">
      <c r="A8143" s="34">
        <v>2084211772</v>
      </c>
      <c r="B8143" s="35" t="s">
        <v>462</v>
      </c>
      <c r="C8143" s="35" t="s">
        <v>1556</v>
      </c>
      <c r="D8143" s="35" t="s">
        <v>384</v>
      </c>
      <c r="E8143" s="35" t="s">
        <v>1690</v>
      </c>
      <c r="F8143" s="35" t="s">
        <v>1691</v>
      </c>
      <c r="G8143" s="35" t="s">
        <v>1696</v>
      </c>
      <c r="H8143" s="35">
        <v>70</v>
      </c>
    </row>
    <row r="8144" spans="1:8">
      <c r="A8144" s="34">
        <v>2084211773</v>
      </c>
      <c r="B8144" s="35" t="s">
        <v>462</v>
      </c>
      <c r="C8144" s="35" t="s">
        <v>1556</v>
      </c>
      <c r="D8144" s="35" t="s">
        <v>384</v>
      </c>
      <c r="E8144" s="35" t="s">
        <v>1690</v>
      </c>
      <c r="F8144" s="35" t="s">
        <v>1691</v>
      </c>
      <c r="G8144" s="35" t="s">
        <v>1696</v>
      </c>
      <c r="H8144" s="35">
        <v>75</v>
      </c>
    </row>
    <row r="8145" spans="1:8">
      <c r="A8145" s="34">
        <v>2084211775</v>
      </c>
      <c r="B8145" s="35" t="s">
        <v>462</v>
      </c>
      <c r="C8145" s="35" t="s">
        <v>1556</v>
      </c>
      <c r="D8145" s="35" t="s">
        <v>384</v>
      </c>
      <c r="E8145" s="35" t="s">
        <v>1690</v>
      </c>
      <c r="F8145" s="35" t="s">
        <v>1691</v>
      </c>
      <c r="G8145" s="35" t="s">
        <v>1696</v>
      </c>
      <c r="H8145" s="35" t="s">
        <v>1694</v>
      </c>
    </row>
    <row r="8146" spans="1:8">
      <c r="A8146" s="34">
        <v>2084211777</v>
      </c>
      <c r="B8146" s="35" t="s">
        <v>462</v>
      </c>
      <c r="C8146" s="35" t="s">
        <v>1556</v>
      </c>
      <c r="D8146" s="35" t="s">
        <v>384</v>
      </c>
      <c r="E8146" s="35" t="s">
        <v>1690</v>
      </c>
      <c r="F8146" s="35" t="s">
        <v>1691</v>
      </c>
      <c r="G8146" s="35" t="s">
        <v>1697</v>
      </c>
      <c r="H8146" s="35" t="s">
        <v>1693</v>
      </c>
    </row>
    <row r="8147" spans="1:8">
      <c r="A8147" s="34">
        <v>2084211779</v>
      </c>
      <c r="B8147" s="35" t="s">
        <v>462</v>
      </c>
      <c r="C8147" s="35" t="s">
        <v>1556</v>
      </c>
      <c r="D8147" s="35" t="s">
        <v>384</v>
      </c>
      <c r="E8147" s="35" t="s">
        <v>1690</v>
      </c>
      <c r="F8147" s="35" t="s">
        <v>1691</v>
      </c>
      <c r="G8147" s="35" t="s">
        <v>1697</v>
      </c>
      <c r="H8147" s="35">
        <v>70</v>
      </c>
    </row>
    <row r="8148" spans="1:8">
      <c r="A8148" s="34">
        <v>2084211780</v>
      </c>
      <c r="B8148" s="35" t="s">
        <v>462</v>
      </c>
      <c r="C8148" s="35" t="s">
        <v>1556</v>
      </c>
      <c r="D8148" s="35" t="s">
        <v>384</v>
      </c>
      <c r="E8148" s="35" t="s">
        <v>1690</v>
      </c>
      <c r="F8148" s="35" t="s">
        <v>1691</v>
      </c>
      <c r="G8148" s="35" t="s">
        <v>1697</v>
      </c>
      <c r="H8148" s="35">
        <v>75</v>
      </c>
    </row>
    <row r="8149" spans="1:8">
      <c r="A8149" s="34">
        <v>2084211781</v>
      </c>
      <c r="B8149" s="35" t="s">
        <v>462</v>
      </c>
      <c r="C8149" s="35" t="s">
        <v>1556</v>
      </c>
      <c r="D8149" s="35" t="s">
        <v>384</v>
      </c>
      <c r="E8149" s="35" t="s">
        <v>1690</v>
      </c>
      <c r="F8149" s="35" t="s">
        <v>1691</v>
      </c>
      <c r="G8149" s="35" t="s">
        <v>1697</v>
      </c>
      <c r="H8149" s="35" t="s">
        <v>1694</v>
      </c>
    </row>
    <row r="8150" spans="1:8">
      <c r="A8150" s="34">
        <v>2084211785</v>
      </c>
      <c r="B8150" s="35" t="s">
        <v>462</v>
      </c>
      <c r="C8150" s="35" t="s">
        <v>1556</v>
      </c>
      <c r="D8150" s="35" t="s">
        <v>384</v>
      </c>
      <c r="E8150" s="35" t="s">
        <v>1690</v>
      </c>
      <c r="F8150" s="35" t="s">
        <v>1691</v>
      </c>
      <c r="G8150" s="35" t="s">
        <v>1698</v>
      </c>
      <c r="H8150" s="35" t="s">
        <v>1693</v>
      </c>
    </row>
    <row r="8151" spans="1:8">
      <c r="A8151" s="34">
        <v>2084211786</v>
      </c>
      <c r="B8151" s="35" t="s">
        <v>462</v>
      </c>
      <c r="C8151" s="35" t="s">
        <v>1556</v>
      </c>
      <c r="D8151" s="35" t="s">
        <v>384</v>
      </c>
      <c r="E8151" s="35" t="s">
        <v>1690</v>
      </c>
      <c r="F8151" s="35" t="s">
        <v>1691</v>
      </c>
      <c r="G8151" s="35" t="s">
        <v>1698</v>
      </c>
      <c r="H8151" s="35">
        <v>70</v>
      </c>
    </row>
    <row r="8152" spans="1:8">
      <c r="A8152" s="34">
        <v>2084211787</v>
      </c>
      <c r="B8152" s="35" t="s">
        <v>462</v>
      </c>
      <c r="C8152" s="35" t="s">
        <v>1556</v>
      </c>
      <c r="D8152" s="35" t="s">
        <v>384</v>
      </c>
      <c r="E8152" s="35" t="s">
        <v>1690</v>
      </c>
      <c r="F8152" s="35" t="s">
        <v>1691</v>
      </c>
      <c r="G8152" s="35" t="s">
        <v>1698</v>
      </c>
      <c r="H8152" s="35">
        <v>75</v>
      </c>
    </row>
    <row r="8153" spans="1:8">
      <c r="A8153" s="34">
        <v>2084211789</v>
      </c>
      <c r="B8153" s="35" t="s">
        <v>462</v>
      </c>
      <c r="C8153" s="35" t="s">
        <v>1556</v>
      </c>
      <c r="D8153" s="35" t="s">
        <v>384</v>
      </c>
      <c r="E8153" s="35" t="s">
        <v>1690</v>
      </c>
      <c r="F8153" s="35" t="s">
        <v>1691</v>
      </c>
      <c r="G8153" s="35" t="s">
        <v>1698</v>
      </c>
      <c r="H8153" s="35" t="s">
        <v>1694</v>
      </c>
    </row>
    <row r="8154" spans="1:8">
      <c r="A8154" s="34">
        <v>2084053142</v>
      </c>
      <c r="B8154" s="35" t="s">
        <v>462</v>
      </c>
      <c r="C8154" s="35" t="s">
        <v>1556</v>
      </c>
      <c r="D8154" s="35" t="s">
        <v>384</v>
      </c>
      <c r="E8154" s="35" t="s">
        <v>1690</v>
      </c>
      <c r="F8154" s="35" t="s">
        <v>335</v>
      </c>
    </row>
    <row r="8155" spans="1:8">
      <c r="A8155" s="34">
        <v>2084053135</v>
      </c>
      <c r="B8155" s="35" t="s">
        <v>462</v>
      </c>
      <c r="C8155" s="35" t="s">
        <v>1556</v>
      </c>
      <c r="D8155" s="35" t="s">
        <v>384</v>
      </c>
      <c r="E8155" s="35" t="s">
        <v>1699</v>
      </c>
      <c r="F8155" s="35" t="s">
        <v>391</v>
      </c>
    </row>
    <row r="8156" spans="1:8">
      <c r="A8156" s="34">
        <v>2084053136</v>
      </c>
      <c r="B8156" s="35" t="s">
        <v>462</v>
      </c>
      <c r="C8156" s="35" t="s">
        <v>1556</v>
      </c>
      <c r="D8156" s="35" t="s">
        <v>384</v>
      </c>
      <c r="E8156" s="35" t="s">
        <v>1699</v>
      </c>
      <c r="F8156" s="35" t="s">
        <v>392</v>
      </c>
    </row>
    <row r="8157" spans="1:8">
      <c r="A8157" s="34">
        <v>2084053137</v>
      </c>
      <c r="B8157" s="35" t="s">
        <v>462</v>
      </c>
      <c r="C8157" s="35" t="s">
        <v>1556</v>
      </c>
      <c r="D8157" s="35" t="s">
        <v>384</v>
      </c>
      <c r="E8157" s="35" t="s">
        <v>1699</v>
      </c>
      <c r="F8157" s="35" t="s">
        <v>375</v>
      </c>
    </row>
    <row r="8158" spans="1:8">
      <c r="A8158" s="34">
        <v>2084053138</v>
      </c>
      <c r="B8158" s="35" t="s">
        <v>462</v>
      </c>
      <c r="C8158" s="35" t="s">
        <v>1556</v>
      </c>
      <c r="D8158" s="35" t="s">
        <v>384</v>
      </c>
      <c r="E8158" s="35" t="s">
        <v>1699</v>
      </c>
      <c r="F8158" s="35" t="s">
        <v>376</v>
      </c>
    </row>
    <row r="8159" spans="1:8">
      <c r="A8159" s="34">
        <v>2084053139</v>
      </c>
      <c r="B8159" s="35" t="s">
        <v>462</v>
      </c>
      <c r="C8159" s="35" t="s">
        <v>1556</v>
      </c>
      <c r="D8159" s="35" t="s">
        <v>384</v>
      </c>
      <c r="E8159" s="35" t="s">
        <v>1699</v>
      </c>
      <c r="F8159" s="35" t="s">
        <v>377</v>
      </c>
    </row>
    <row r="8160" spans="1:8">
      <c r="A8160" s="34">
        <v>2084053122</v>
      </c>
      <c r="B8160" s="35" t="s">
        <v>462</v>
      </c>
      <c r="C8160" s="35" t="s">
        <v>1556</v>
      </c>
      <c r="D8160" s="35" t="s">
        <v>384</v>
      </c>
      <c r="E8160" s="35" t="s">
        <v>1700</v>
      </c>
      <c r="F8160" s="35" t="s">
        <v>391</v>
      </c>
    </row>
    <row r="8161" spans="1:7">
      <c r="A8161" s="34">
        <v>2084053123</v>
      </c>
      <c r="B8161" s="35" t="s">
        <v>462</v>
      </c>
      <c r="C8161" s="35" t="s">
        <v>1556</v>
      </c>
      <c r="D8161" s="35" t="s">
        <v>384</v>
      </c>
      <c r="E8161" s="35" t="s">
        <v>1700</v>
      </c>
      <c r="F8161" s="35" t="s">
        <v>392</v>
      </c>
    </row>
    <row r="8162" spans="1:7">
      <c r="A8162" s="34">
        <v>2084053124</v>
      </c>
      <c r="B8162" s="35" t="s">
        <v>462</v>
      </c>
      <c r="C8162" s="35" t="s">
        <v>1556</v>
      </c>
      <c r="D8162" s="35" t="s">
        <v>384</v>
      </c>
      <c r="E8162" s="35" t="s">
        <v>1700</v>
      </c>
      <c r="F8162" s="35" t="s">
        <v>375</v>
      </c>
    </row>
    <row r="8163" spans="1:7">
      <c r="A8163" s="34">
        <v>2084053125</v>
      </c>
      <c r="B8163" s="35" t="s">
        <v>462</v>
      </c>
      <c r="C8163" s="35" t="s">
        <v>1556</v>
      </c>
      <c r="D8163" s="35" t="s">
        <v>384</v>
      </c>
      <c r="E8163" s="35" t="s">
        <v>1700</v>
      </c>
      <c r="F8163" s="35" t="s">
        <v>376</v>
      </c>
    </row>
    <row r="8164" spans="1:7">
      <c r="A8164" s="34">
        <v>2084053126</v>
      </c>
      <c r="B8164" s="35" t="s">
        <v>462</v>
      </c>
      <c r="C8164" s="35" t="s">
        <v>1556</v>
      </c>
      <c r="D8164" s="35" t="s">
        <v>384</v>
      </c>
      <c r="E8164" s="35" t="s">
        <v>1700</v>
      </c>
      <c r="F8164" s="35" t="s">
        <v>377</v>
      </c>
    </row>
    <row r="8165" spans="1:7">
      <c r="A8165" s="34">
        <v>2084211739</v>
      </c>
      <c r="B8165" s="35" t="s">
        <v>462</v>
      </c>
      <c r="C8165" s="35" t="s">
        <v>1556</v>
      </c>
      <c r="D8165" s="35" t="s">
        <v>384</v>
      </c>
      <c r="E8165" s="35" t="s">
        <v>1701</v>
      </c>
      <c r="F8165" s="35" t="s">
        <v>1692</v>
      </c>
      <c r="G8165" s="35" t="s">
        <v>1693</v>
      </c>
    </row>
    <row r="8166" spans="1:7">
      <c r="A8166" s="34">
        <v>2084211740</v>
      </c>
      <c r="B8166" s="35" t="s">
        <v>462</v>
      </c>
      <c r="C8166" s="35" t="s">
        <v>1556</v>
      </c>
      <c r="D8166" s="35" t="s">
        <v>384</v>
      </c>
      <c r="E8166" s="35" t="s">
        <v>1701</v>
      </c>
      <c r="F8166" s="35" t="s">
        <v>1692</v>
      </c>
      <c r="G8166" s="35">
        <v>70</v>
      </c>
    </row>
    <row r="8167" spans="1:7">
      <c r="A8167" s="34">
        <v>2084211741</v>
      </c>
      <c r="B8167" s="35" t="s">
        <v>462</v>
      </c>
      <c r="C8167" s="35" t="s">
        <v>1556</v>
      </c>
      <c r="D8167" s="35" t="s">
        <v>384</v>
      </c>
      <c r="E8167" s="35" t="s">
        <v>1701</v>
      </c>
      <c r="F8167" s="35" t="s">
        <v>1692</v>
      </c>
      <c r="G8167" s="35">
        <v>75</v>
      </c>
    </row>
    <row r="8168" spans="1:7">
      <c r="A8168" s="34">
        <v>2084211742</v>
      </c>
      <c r="B8168" s="35" t="s">
        <v>462</v>
      </c>
      <c r="C8168" s="35" t="s">
        <v>1556</v>
      </c>
      <c r="D8168" s="35" t="s">
        <v>384</v>
      </c>
      <c r="E8168" s="35" t="s">
        <v>1701</v>
      </c>
      <c r="F8168" s="35" t="s">
        <v>1692</v>
      </c>
      <c r="G8168" s="35" t="s">
        <v>1694</v>
      </c>
    </row>
    <row r="8169" spans="1:7">
      <c r="A8169" s="34">
        <v>2084211743</v>
      </c>
      <c r="B8169" s="35" t="s">
        <v>462</v>
      </c>
      <c r="C8169" s="35" t="s">
        <v>1556</v>
      </c>
      <c r="D8169" s="35" t="s">
        <v>384</v>
      </c>
      <c r="E8169" s="35" t="s">
        <v>1701</v>
      </c>
      <c r="F8169" s="35" t="s">
        <v>1695</v>
      </c>
      <c r="G8169" s="35" t="s">
        <v>1693</v>
      </c>
    </row>
    <row r="8170" spans="1:7">
      <c r="A8170" s="34">
        <v>2084211744</v>
      </c>
      <c r="B8170" s="35" t="s">
        <v>462</v>
      </c>
      <c r="C8170" s="35" t="s">
        <v>1556</v>
      </c>
      <c r="D8170" s="35" t="s">
        <v>384</v>
      </c>
      <c r="E8170" s="35" t="s">
        <v>1701</v>
      </c>
      <c r="F8170" s="35" t="s">
        <v>1695</v>
      </c>
      <c r="G8170" s="35">
        <v>70</v>
      </c>
    </row>
    <row r="8171" spans="1:7">
      <c r="A8171" s="34">
        <v>2084211745</v>
      </c>
      <c r="B8171" s="35" t="s">
        <v>462</v>
      </c>
      <c r="C8171" s="35" t="s">
        <v>1556</v>
      </c>
      <c r="D8171" s="35" t="s">
        <v>384</v>
      </c>
      <c r="E8171" s="35" t="s">
        <v>1701</v>
      </c>
      <c r="F8171" s="35" t="s">
        <v>1695</v>
      </c>
      <c r="G8171" s="35">
        <v>75</v>
      </c>
    </row>
    <row r="8172" spans="1:7">
      <c r="A8172" s="34">
        <v>2084211746</v>
      </c>
      <c r="B8172" s="35" t="s">
        <v>462</v>
      </c>
      <c r="C8172" s="35" t="s">
        <v>1556</v>
      </c>
      <c r="D8172" s="35" t="s">
        <v>384</v>
      </c>
      <c r="E8172" s="35" t="s">
        <v>1701</v>
      </c>
      <c r="F8172" s="35" t="s">
        <v>1695</v>
      </c>
      <c r="G8172" s="35" t="s">
        <v>1694</v>
      </c>
    </row>
    <row r="8173" spans="1:7">
      <c r="A8173" s="34">
        <v>2084211747</v>
      </c>
      <c r="B8173" s="35" t="s">
        <v>462</v>
      </c>
      <c r="C8173" s="35" t="s">
        <v>1556</v>
      </c>
      <c r="D8173" s="35" t="s">
        <v>384</v>
      </c>
      <c r="E8173" s="35" t="s">
        <v>1701</v>
      </c>
      <c r="F8173" s="35" t="s">
        <v>1696</v>
      </c>
      <c r="G8173" s="35" t="s">
        <v>1693</v>
      </c>
    </row>
    <row r="8174" spans="1:7">
      <c r="A8174" s="34">
        <v>2084211748</v>
      </c>
      <c r="B8174" s="35" t="s">
        <v>462</v>
      </c>
      <c r="C8174" s="35" t="s">
        <v>1556</v>
      </c>
      <c r="D8174" s="35" t="s">
        <v>384</v>
      </c>
      <c r="E8174" s="35" t="s">
        <v>1701</v>
      </c>
      <c r="F8174" s="35" t="s">
        <v>1696</v>
      </c>
      <c r="G8174" s="35">
        <v>70</v>
      </c>
    </row>
    <row r="8175" spans="1:7">
      <c r="A8175" s="34">
        <v>2084211749</v>
      </c>
      <c r="B8175" s="35" t="s">
        <v>462</v>
      </c>
      <c r="C8175" s="35" t="s">
        <v>1556</v>
      </c>
      <c r="D8175" s="35" t="s">
        <v>384</v>
      </c>
      <c r="E8175" s="35" t="s">
        <v>1701</v>
      </c>
      <c r="F8175" s="35" t="s">
        <v>1696</v>
      </c>
      <c r="G8175" s="35">
        <v>75</v>
      </c>
    </row>
    <row r="8176" spans="1:7">
      <c r="A8176" s="34">
        <v>2084211750</v>
      </c>
      <c r="B8176" s="35" t="s">
        <v>462</v>
      </c>
      <c r="C8176" s="35" t="s">
        <v>1556</v>
      </c>
      <c r="D8176" s="35" t="s">
        <v>384</v>
      </c>
      <c r="E8176" s="35" t="s">
        <v>1701</v>
      </c>
      <c r="F8176" s="35" t="s">
        <v>1696</v>
      </c>
      <c r="G8176" s="35" t="s">
        <v>1694</v>
      </c>
    </row>
    <row r="8177" spans="1:7">
      <c r="A8177" s="34">
        <v>2084211751</v>
      </c>
      <c r="B8177" s="35" t="s">
        <v>462</v>
      </c>
      <c r="C8177" s="35" t="s">
        <v>1556</v>
      </c>
      <c r="D8177" s="35" t="s">
        <v>384</v>
      </c>
      <c r="E8177" s="35" t="s">
        <v>1701</v>
      </c>
      <c r="F8177" s="35" t="s">
        <v>1697</v>
      </c>
      <c r="G8177" s="35" t="s">
        <v>1693</v>
      </c>
    </row>
    <row r="8178" spans="1:7">
      <c r="A8178" s="34">
        <v>2084211752</v>
      </c>
      <c r="B8178" s="35" t="s">
        <v>462</v>
      </c>
      <c r="C8178" s="35" t="s">
        <v>1556</v>
      </c>
      <c r="D8178" s="35" t="s">
        <v>384</v>
      </c>
      <c r="E8178" s="35" t="s">
        <v>1701</v>
      </c>
      <c r="F8178" s="35" t="s">
        <v>1697</v>
      </c>
      <c r="G8178" s="35">
        <v>70</v>
      </c>
    </row>
    <row r="8179" spans="1:7">
      <c r="A8179" s="34">
        <v>2084211753</v>
      </c>
      <c r="B8179" s="35" t="s">
        <v>462</v>
      </c>
      <c r="C8179" s="35" t="s">
        <v>1556</v>
      </c>
      <c r="D8179" s="35" t="s">
        <v>384</v>
      </c>
      <c r="E8179" s="35" t="s">
        <v>1701</v>
      </c>
      <c r="F8179" s="35" t="s">
        <v>1697</v>
      </c>
      <c r="G8179" s="35">
        <v>75</v>
      </c>
    </row>
    <row r="8180" spans="1:7">
      <c r="A8180" s="34">
        <v>2084211754</v>
      </c>
      <c r="B8180" s="35" t="s">
        <v>462</v>
      </c>
      <c r="C8180" s="35" t="s">
        <v>1556</v>
      </c>
      <c r="D8180" s="35" t="s">
        <v>384</v>
      </c>
      <c r="E8180" s="35" t="s">
        <v>1701</v>
      </c>
      <c r="F8180" s="35" t="s">
        <v>1697</v>
      </c>
      <c r="G8180" s="35" t="s">
        <v>1694</v>
      </c>
    </row>
    <row r="8181" spans="1:7">
      <c r="A8181" s="34">
        <v>2084211755</v>
      </c>
      <c r="B8181" s="35" t="s">
        <v>462</v>
      </c>
      <c r="C8181" s="35" t="s">
        <v>1556</v>
      </c>
      <c r="D8181" s="35" t="s">
        <v>384</v>
      </c>
      <c r="E8181" s="35" t="s">
        <v>1701</v>
      </c>
      <c r="F8181" s="35" t="s">
        <v>1698</v>
      </c>
      <c r="G8181" s="35" t="s">
        <v>1693</v>
      </c>
    </row>
    <row r="8182" spans="1:7">
      <c r="A8182" s="34">
        <v>2084211756</v>
      </c>
      <c r="B8182" s="35" t="s">
        <v>462</v>
      </c>
      <c r="C8182" s="35" t="s">
        <v>1556</v>
      </c>
      <c r="D8182" s="35" t="s">
        <v>384</v>
      </c>
      <c r="E8182" s="35" t="s">
        <v>1701</v>
      </c>
      <c r="F8182" s="35" t="s">
        <v>1698</v>
      </c>
      <c r="G8182" s="35">
        <v>70</v>
      </c>
    </row>
    <row r="8183" spans="1:7">
      <c r="A8183" s="34">
        <v>2084211757</v>
      </c>
      <c r="B8183" s="35" t="s">
        <v>462</v>
      </c>
      <c r="C8183" s="35" t="s">
        <v>1556</v>
      </c>
      <c r="D8183" s="35" t="s">
        <v>384</v>
      </c>
      <c r="E8183" s="35" t="s">
        <v>1701</v>
      </c>
      <c r="F8183" s="35" t="s">
        <v>1698</v>
      </c>
      <c r="G8183" s="35">
        <v>75</v>
      </c>
    </row>
    <row r="8184" spans="1:7">
      <c r="A8184" s="34">
        <v>2084211758</v>
      </c>
      <c r="B8184" s="35" t="s">
        <v>462</v>
      </c>
      <c r="C8184" s="35" t="s">
        <v>1556</v>
      </c>
      <c r="D8184" s="35" t="s">
        <v>384</v>
      </c>
      <c r="E8184" s="35" t="s">
        <v>1701</v>
      </c>
      <c r="F8184" s="35" t="s">
        <v>1698</v>
      </c>
      <c r="G8184" s="35" t="s">
        <v>1694</v>
      </c>
    </row>
    <row r="8185" spans="1:7">
      <c r="A8185" s="34">
        <v>2084243525</v>
      </c>
      <c r="B8185" s="35" t="s">
        <v>462</v>
      </c>
      <c r="C8185" s="35" t="s">
        <v>1556</v>
      </c>
      <c r="D8185" s="35" t="s">
        <v>384</v>
      </c>
      <c r="E8185" s="35" t="s">
        <v>1701</v>
      </c>
      <c r="F8185" s="35" t="s">
        <v>1702</v>
      </c>
      <c r="G8185" s="35" t="s">
        <v>1703</v>
      </c>
    </row>
    <row r="8186" spans="1:7">
      <c r="A8186" s="34">
        <v>2084243526</v>
      </c>
      <c r="B8186" s="35" t="s">
        <v>462</v>
      </c>
      <c r="C8186" s="35" t="s">
        <v>1556</v>
      </c>
      <c r="D8186" s="35" t="s">
        <v>384</v>
      </c>
      <c r="E8186" s="35" t="s">
        <v>1701</v>
      </c>
      <c r="F8186" s="35" t="s">
        <v>1702</v>
      </c>
      <c r="G8186" s="35" t="s">
        <v>1704</v>
      </c>
    </row>
    <row r="8187" spans="1:7">
      <c r="A8187" s="34">
        <v>2084243527</v>
      </c>
      <c r="B8187" s="35" t="s">
        <v>462</v>
      </c>
      <c r="C8187" s="35" t="s">
        <v>1556</v>
      </c>
      <c r="D8187" s="35" t="s">
        <v>384</v>
      </c>
      <c r="E8187" s="35" t="s">
        <v>1701</v>
      </c>
      <c r="F8187" s="35" t="s">
        <v>1702</v>
      </c>
      <c r="G8187" s="35" t="s">
        <v>1705</v>
      </c>
    </row>
    <row r="8188" spans="1:7">
      <c r="A8188" s="34">
        <v>2084243528</v>
      </c>
      <c r="B8188" s="35" t="s">
        <v>462</v>
      </c>
      <c r="C8188" s="35" t="s">
        <v>1556</v>
      </c>
      <c r="D8188" s="35" t="s">
        <v>384</v>
      </c>
      <c r="E8188" s="35" t="s">
        <v>1701</v>
      </c>
      <c r="F8188" s="35" t="s">
        <v>1702</v>
      </c>
      <c r="G8188" s="35" t="s">
        <v>1706</v>
      </c>
    </row>
    <row r="8189" spans="1:7">
      <c r="A8189" s="34">
        <v>2084053088</v>
      </c>
      <c r="B8189" s="35" t="s">
        <v>462</v>
      </c>
      <c r="C8189" s="35" t="s">
        <v>1556</v>
      </c>
      <c r="D8189" s="35" t="s">
        <v>384</v>
      </c>
      <c r="E8189" s="35" t="s">
        <v>1701</v>
      </c>
      <c r="F8189" s="35" t="s">
        <v>1707</v>
      </c>
    </row>
    <row r="8190" spans="1:7">
      <c r="A8190" s="34">
        <v>2084053089</v>
      </c>
      <c r="B8190" s="35" t="s">
        <v>462</v>
      </c>
      <c r="C8190" s="35" t="s">
        <v>1556</v>
      </c>
      <c r="D8190" s="35" t="s">
        <v>384</v>
      </c>
      <c r="E8190" s="35" t="s">
        <v>1701</v>
      </c>
      <c r="F8190" s="35" t="s">
        <v>1708</v>
      </c>
    </row>
    <row r="8191" spans="1:7">
      <c r="A8191" s="34">
        <v>2084053090</v>
      </c>
      <c r="B8191" s="35" t="s">
        <v>462</v>
      </c>
      <c r="C8191" s="35" t="s">
        <v>1556</v>
      </c>
      <c r="D8191" s="35" t="s">
        <v>384</v>
      </c>
      <c r="E8191" s="35" t="s">
        <v>1701</v>
      </c>
      <c r="F8191" s="35" t="s">
        <v>335</v>
      </c>
    </row>
    <row r="8192" spans="1:7">
      <c r="A8192" s="34">
        <v>2084053116</v>
      </c>
      <c r="B8192" s="35" t="s">
        <v>462</v>
      </c>
      <c r="C8192" s="35" t="s">
        <v>1556</v>
      </c>
      <c r="D8192" s="35" t="s">
        <v>384</v>
      </c>
      <c r="E8192" s="35" t="s">
        <v>1709</v>
      </c>
      <c r="F8192" s="35" t="s">
        <v>391</v>
      </c>
    </row>
    <row r="8193" spans="1:7">
      <c r="A8193" s="34">
        <v>2084053117</v>
      </c>
      <c r="B8193" s="35" t="s">
        <v>462</v>
      </c>
      <c r="C8193" s="35" t="s">
        <v>1556</v>
      </c>
      <c r="D8193" s="35" t="s">
        <v>384</v>
      </c>
      <c r="E8193" s="35" t="s">
        <v>1709</v>
      </c>
      <c r="F8193" s="35" t="s">
        <v>392</v>
      </c>
    </row>
    <row r="8194" spans="1:7">
      <c r="A8194" s="34">
        <v>2084053118</v>
      </c>
      <c r="B8194" s="35" t="s">
        <v>462</v>
      </c>
      <c r="C8194" s="35" t="s">
        <v>1556</v>
      </c>
      <c r="D8194" s="35" t="s">
        <v>384</v>
      </c>
      <c r="E8194" s="35" t="s">
        <v>1709</v>
      </c>
      <c r="F8194" s="35" t="s">
        <v>375</v>
      </c>
    </row>
    <row r="8195" spans="1:7">
      <c r="A8195" s="34">
        <v>2084053119</v>
      </c>
      <c r="B8195" s="35" t="s">
        <v>462</v>
      </c>
      <c r="C8195" s="35" t="s">
        <v>1556</v>
      </c>
      <c r="D8195" s="35" t="s">
        <v>384</v>
      </c>
      <c r="E8195" s="35" t="s">
        <v>1709</v>
      </c>
      <c r="F8195" s="35" t="s">
        <v>376</v>
      </c>
    </row>
    <row r="8196" spans="1:7">
      <c r="A8196" s="34">
        <v>2084053120</v>
      </c>
      <c r="B8196" s="35" t="s">
        <v>462</v>
      </c>
      <c r="C8196" s="35" t="s">
        <v>1556</v>
      </c>
      <c r="D8196" s="35" t="s">
        <v>384</v>
      </c>
      <c r="E8196" s="35" t="s">
        <v>1709</v>
      </c>
      <c r="F8196" s="35" t="s">
        <v>377</v>
      </c>
    </row>
    <row r="8197" spans="1:7">
      <c r="A8197" s="34">
        <v>2084053129</v>
      </c>
      <c r="B8197" s="35" t="s">
        <v>462</v>
      </c>
      <c r="C8197" s="35" t="s">
        <v>1556</v>
      </c>
      <c r="D8197" s="35" t="s">
        <v>384</v>
      </c>
      <c r="E8197" s="35" t="s">
        <v>1710</v>
      </c>
      <c r="F8197" s="35" t="s">
        <v>391</v>
      </c>
    </row>
    <row r="8198" spans="1:7">
      <c r="A8198" s="34">
        <v>2084053130</v>
      </c>
      <c r="B8198" s="35" t="s">
        <v>462</v>
      </c>
      <c r="C8198" s="35" t="s">
        <v>1556</v>
      </c>
      <c r="D8198" s="35" t="s">
        <v>384</v>
      </c>
      <c r="E8198" s="35" t="s">
        <v>1710</v>
      </c>
      <c r="F8198" s="35" t="s">
        <v>392</v>
      </c>
    </row>
    <row r="8199" spans="1:7">
      <c r="A8199" s="34">
        <v>2084053131</v>
      </c>
      <c r="B8199" s="35" t="s">
        <v>462</v>
      </c>
      <c r="C8199" s="35" t="s">
        <v>1556</v>
      </c>
      <c r="D8199" s="35" t="s">
        <v>384</v>
      </c>
      <c r="E8199" s="35" t="s">
        <v>1710</v>
      </c>
      <c r="F8199" s="35" t="s">
        <v>375</v>
      </c>
    </row>
    <row r="8200" spans="1:7">
      <c r="A8200" s="34">
        <v>2084053132</v>
      </c>
      <c r="B8200" s="35" t="s">
        <v>462</v>
      </c>
      <c r="C8200" s="35" t="s">
        <v>1556</v>
      </c>
      <c r="D8200" s="35" t="s">
        <v>384</v>
      </c>
      <c r="E8200" s="35" t="s">
        <v>1710</v>
      </c>
      <c r="F8200" s="35" t="s">
        <v>376</v>
      </c>
    </row>
    <row r="8201" spans="1:7">
      <c r="A8201" s="34">
        <v>2084053133</v>
      </c>
      <c r="B8201" s="35" t="s">
        <v>462</v>
      </c>
      <c r="C8201" s="35" t="s">
        <v>1556</v>
      </c>
      <c r="D8201" s="35" t="s">
        <v>384</v>
      </c>
      <c r="E8201" s="35" t="s">
        <v>1710</v>
      </c>
      <c r="F8201" s="35" t="s">
        <v>377</v>
      </c>
    </row>
    <row r="8202" spans="1:7">
      <c r="A8202" s="34">
        <v>2084053092</v>
      </c>
      <c r="B8202" s="35" t="s">
        <v>462</v>
      </c>
      <c r="C8202" s="35" t="s">
        <v>1556</v>
      </c>
      <c r="D8202" s="35" t="s">
        <v>384</v>
      </c>
      <c r="E8202" s="35" t="s">
        <v>1711</v>
      </c>
      <c r="F8202" s="35" t="s">
        <v>391</v>
      </c>
    </row>
    <row r="8203" spans="1:7">
      <c r="A8203" s="34">
        <v>2084211810</v>
      </c>
      <c r="B8203" s="35" t="s">
        <v>462</v>
      </c>
      <c r="C8203" s="35" t="s">
        <v>1556</v>
      </c>
      <c r="D8203" s="35" t="s">
        <v>384</v>
      </c>
      <c r="E8203" s="35" t="s">
        <v>1711</v>
      </c>
      <c r="F8203" s="35" t="s">
        <v>1613</v>
      </c>
      <c r="G8203" s="35" t="s">
        <v>1712</v>
      </c>
    </row>
    <row r="8204" spans="1:7">
      <c r="A8204" s="34">
        <v>2084211813</v>
      </c>
      <c r="B8204" s="35" t="s">
        <v>462</v>
      </c>
      <c r="C8204" s="35" t="s">
        <v>1556</v>
      </c>
      <c r="D8204" s="35" t="s">
        <v>384</v>
      </c>
      <c r="E8204" s="35" t="s">
        <v>1711</v>
      </c>
      <c r="F8204" s="35" t="s">
        <v>1613</v>
      </c>
      <c r="G8204" s="35" t="s">
        <v>1713</v>
      </c>
    </row>
    <row r="8205" spans="1:7">
      <c r="A8205" s="34">
        <v>2084211814</v>
      </c>
      <c r="B8205" s="35" t="s">
        <v>462</v>
      </c>
      <c r="C8205" s="35" t="s">
        <v>1556</v>
      </c>
      <c r="D8205" s="35" t="s">
        <v>384</v>
      </c>
      <c r="E8205" s="35" t="s">
        <v>1711</v>
      </c>
      <c r="F8205" s="35" t="s">
        <v>1613</v>
      </c>
      <c r="G8205" s="35" t="s">
        <v>1714</v>
      </c>
    </row>
    <row r="8206" spans="1:7">
      <c r="A8206" s="34">
        <v>2084211811</v>
      </c>
      <c r="B8206" s="35" t="s">
        <v>462</v>
      </c>
      <c r="C8206" s="35" t="s">
        <v>1556</v>
      </c>
      <c r="D8206" s="35" t="s">
        <v>384</v>
      </c>
      <c r="E8206" s="35" t="s">
        <v>1711</v>
      </c>
      <c r="F8206" s="35" t="s">
        <v>1613</v>
      </c>
      <c r="G8206" s="35" t="s">
        <v>1715</v>
      </c>
    </row>
    <row r="8207" spans="1:7">
      <c r="A8207" s="34">
        <v>2084211815</v>
      </c>
      <c r="B8207" s="35" t="s">
        <v>462</v>
      </c>
      <c r="C8207" s="35" t="s">
        <v>1556</v>
      </c>
      <c r="D8207" s="35" t="s">
        <v>384</v>
      </c>
      <c r="E8207" s="35" t="s">
        <v>1711</v>
      </c>
      <c r="F8207" s="35" t="s">
        <v>1613</v>
      </c>
      <c r="G8207" s="35" t="s">
        <v>1716</v>
      </c>
    </row>
    <row r="8208" spans="1:7">
      <c r="A8208" s="34">
        <v>2084211816</v>
      </c>
      <c r="B8208" s="35" t="s">
        <v>462</v>
      </c>
      <c r="C8208" s="35" t="s">
        <v>1556</v>
      </c>
      <c r="D8208" s="35" t="s">
        <v>384</v>
      </c>
      <c r="E8208" s="35" t="s">
        <v>1711</v>
      </c>
      <c r="F8208" s="35" t="s">
        <v>1613</v>
      </c>
      <c r="G8208" s="35" t="s">
        <v>335</v>
      </c>
    </row>
    <row r="8209" spans="1:7">
      <c r="A8209" s="34">
        <v>2084211818</v>
      </c>
      <c r="B8209" s="35" t="s">
        <v>462</v>
      </c>
      <c r="C8209" s="35" t="s">
        <v>1556</v>
      </c>
      <c r="D8209" s="35" t="s">
        <v>384</v>
      </c>
      <c r="E8209" s="35" t="s">
        <v>1711</v>
      </c>
      <c r="F8209" s="35" t="s">
        <v>1614</v>
      </c>
      <c r="G8209" s="35" t="s">
        <v>1712</v>
      </c>
    </row>
    <row r="8210" spans="1:7">
      <c r="A8210" s="34">
        <v>2084211820</v>
      </c>
      <c r="B8210" s="35" t="s">
        <v>462</v>
      </c>
      <c r="C8210" s="35" t="s">
        <v>1556</v>
      </c>
      <c r="D8210" s="35" t="s">
        <v>384</v>
      </c>
      <c r="E8210" s="35" t="s">
        <v>1711</v>
      </c>
      <c r="F8210" s="35" t="s">
        <v>1614</v>
      </c>
      <c r="G8210" s="35" t="s">
        <v>1713</v>
      </c>
    </row>
    <row r="8211" spans="1:7">
      <c r="A8211" s="34">
        <v>2084211821</v>
      </c>
      <c r="B8211" s="35" t="s">
        <v>462</v>
      </c>
      <c r="C8211" s="35" t="s">
        <v>1556</v>
      </c>
      <c r="D8211" s="35" t="s">
        <v>384</v>
      </c>
      <c r="E8211" s="35" t="s">
        <v>1711</v>
      </c>
      <c r="F8211" s="35" t="s">
        <v>1614</v>
      </c>
      <c r="G8211" s="35" t="s">
        <v>1714</v>
      </c>
    </row>
    <row r="8212" spans="1:7">
      <c r="A8212" s="34">
        <v>2084211819</v>
      </c>
      <c r="B8212" s="35" t="s">
        <v>462</v>
      </c>
      <c r="C8212" s="35" t="s">
        <v>1556</v>
      </c>
      <c r="D8212" s="35" t="s">
        <v>384</v>
      </c>
      <c r="E8212" s="35" t="s">
        <v>1711</v>
      </c>
      <c r="F8212" s="35" t="s">
        <v>1614</v>
      </c>
      <c r="G8212" s="35" t="s">
        <v>1715</v>
      </c>
    </row>
    <row r="8213" spans="1:7">
      <c r="A8213" s="34">
        <v>2084211822</v>
      </c>
      <c r="B8213" s="35" t="s">
        <v>462</v>
      </c>
      <c r="C8213" s="35" t="s">
        <v>1556</v>
      </c>
      <c r="D8213" s="35" t="s">
        <v>384</v>
      </c>
      <c r="E8213" s="35" t="s">
        <v>1711</v>
      </c>
      <c r="F8213" s="35" t="s">
        <v>1614</v>
      </c>
      <c r="G8213" s="35" t="s">
        <v>1716</v>
      </c>
    </row>
    <row r="8214" spans="1:7">
      <c r="A8214" s="34">
        <v>2084211823</v>
      </c>
      <c r="B8214" s="35" t="s">
        <v>462</v>
      </c>
      <c r="C8214" s="35" t="s">
        <v>1556</v>
      </c>
      <c r="D8214" s="35" t="s">
        <v>384</v>
      </c>
      <c r="E8214" s="35" t="s">
        <v>1711</v>
      </c>
      <c r="F8214" s="35" t="s">
        <v>1614</v>
      </c>
      <c r="G8214" s="35" t="s">
        <v>335</v>
      </c>
    </row>
    <row r="8215" spans="1:7">
      <c r="A8215" s="34">
        <v>2084211824</v>
      </c>
      <c r="B8215" s="35" t="s">
        <v>462</v>
      </c>
      <c r="C8215" s="35" t="s">
        <v>1556</v>
      </c>
      <c r="D8215" s="35" t="s">
        <v>384</v>
      </c>
      <c r="E8215" s="35" t="s">
        <v>1711</v>
      </c>
      <c r="F8215" s="35" t="s">
        <v>1615</v>
      </c>
      <c r="G8215" s="35" t="s">
        <v>1712</v>
      </c>
    </row>
    <row r="8216" spans="1:7">
      <c r="A8216" s="34">
        <v>2084211826</v>
      </c>
      <c r="B8216" s="35" t="s">
        <v>462</v>
      </c>
      <c r="C8216" s="35" t="s">
        <v>1556</v>
      </c>
      <c r="D8216" s="35" t="s">
        <v>384</v>
      </c>
      <c r="E8216" s="35" t="s">
        <v>1711</v>
      </c>
      <c r="F8216" s="35" t="s">
        <v>1615</v>
      </c>
      <c r="G8216" s="35" t="s">
        <v>1713</v>
      </c>
    </row>
    <row r="8217" spans="1:7">
      <c r="A8217" s="34">
        <v>2084211827</v>
      </c>
      <c r="B8217" s="35" t="s">
        <v>462</v>
      </c>
      <c r="C8217" s="35" t="s">
        <v>1556</v>
      </c>
      <c r="D8217" s="35" t="s">
        <v>384</v>
      </c>
      <c r="E8217" s="35" t="s">
        <v>1711</v>
      </c>
      <c r="F8217" s="35" t="s">
        <v>1615</v>
      </c>
      <c r="G8217" s="35" t="s">
        <v>1714</v>
      </c>
    </row>
    <row r="8218" spans="1:7">
      <c r="A8218" s="34">
        <v>2084211825</v>
      </c>
      <c r="B8218" s="35" t="s">
        <v>462</v>
      </c>
      <c r="C8218" s="35" t="s">
        <v>1556</v>
      </c>
      <c r="D8218" s="35" t="s">
        <v>384</v>
      </c>
      <c r="E8218" s="35" t="s">
        <v>1711</v>
      </c>
      <c r="F8218" s="35" t="s">
        <v>1615</v>
      </c>
      <c r="G8218" s="35" t="s">
        <v>1715</v>
      </c>
    </row>
    <row r="8219" spans="1:7">
      <c r="A8219" s="34">
        <v>2084211828</v>
      </c>
      <c r="B8219" s="35" t="s">
        <v>462</v>
      </c>
      <c r="C8219" s="35" t="s">
        <v>1556</v>
      </c>
      <c r="D8219" s="35" t="s">
        <v>384</v>
      </c>
      <c r="E8219" s="35" t="s">
        <v>1711</v>
      </c>
      <c r="F8219" s="35" t="s">
        <v>1615</v>
      </c>
      <c r="G8219" s="35" t="s">
        <v>1716</v>
      </c>
    </row>
    <row r="8220" spans="1:7">
      <c r="A8220" s="34">
        <v>2084211829</v>
      </c>
      <c r="B8220" s="35" t="s">
        <v>462</v>
      </c>
      <c r="C8220" s="35" t="s">
        <v>1556</v>
      </c>
      <c r="D8220" s="35" t="s">
        <v>384</v>
      </c>
      <c r="E8220" s="35" t="s">
        <v>1711</v>
      </c>
      <c r="F8220" s="35" t="s">
        <v>1615</v>
      </c>
      <c r="G8220" s="35" t="s">
        <v>335</v>
      </c>
    </row>
    <row r="8221" spans="1:7">
      <c r="A8221" s="34">
        <v>2084211830</v>
      </c>
      <c r="B8221" s="35" t="s">
        <v>462</v>
      </c>
      <c r="C8221" s="35" t="s">
        <v>1556</v>
      </c>
      <c r="D8221" s="35" t="s">
        <v>384</v>
      </c>
      <c r="E8221" s="35" t="s">
        <v>1711</v>
      </c>
      <c r="F8221" s="35" t="s">
        <v>1616</v>
      </c>
      <c r="G8221" s="35" t="s">
        <v>1712</v>
      </c>
    </row>
    <row r="8222" spans="1:7">
      <c r="A8222" s="34">
        <v>2084211832</v>
      </c>
      <c r="B8222" s="35" t="s">
        <v>462</v>
      </c>
      <c r="C8222" s="35" t="s">
        <v>1556</v>
      </c>
      <c r="D8222" s="35" t="s">
        <v>384</v>
      </c>
      <c r="E8222" s="35" t="s">
        <v>1711</v>
      </c>
      <c r="F8222" s="35" t="s">
        <v>1616</v>
      </c>
      <c r="G8222" s="35" t="s">
        <v>1713</v>
      </c>
    </row>
    <row r="8223" spans="1:7">
      <c r="A8223" s="34">
        <v>2084211833</v>
      </c>
      <c r="B8223" s="35" t="s">
        <v>462</v>
      </c>
      <c r="C8223" s="35" t="s">
        <v>1556</v>
      </c>
      <c r="D8223" s="35" t="s">
        <v>384</v>
      </c>
      <c r="E8223" s="35" t="s">
        <v>1711</v>
      </c>
      <c r="F8223" s="35" t="s">
        <v>1616</v>
      </c>
      <c r="G8223" s="35" t="s">
        <v>1714</v>
      </c>
    </row>
    <row r="8224" spans="1:7">
      <c r="A8224" s="34">
        <v>2084211831</v>
      </c>
      <c r="B8224" s="35" t="s">
        <v>462</v>
      </c>
      <c r="C8224" s="35" t="s">
        <v>1556</v>
      </c>
      <c r="D8224" s="35" t="s">
        <v>384</v>
      </c>
      <c r="E8224" s="35" t="s">
        <v>1711</v>
      </c>
      <c r="F8224" s="35" t="s">
        <v>1616</v>
      </c>
      <c r="G8224" s="35" t="s">
        <v>1715</v>
      </c>
    </row>
    <row r="8225" spans="1:7">
      <c r="A8225" s="34">
        <v>2084211834</v>
      </c>
      <c r="B8225" s="35" t="s">
        <v>462</v>
      </c>
      <c r="C8225" s="35" t="s">
        <v>1556</v>
      </c>
      <c r="D8225" s="35" t="s">
        <v>384</v>
      </c>
      <c r="E8225" s="35" t="s">
        <v>1711</v>
      </c>
      <c r="F8225" s="35" t="s">
        <v>1616</v>
      </c>
      <c r="G8225" s="35" t="s">
        <v>1716</v>
      </c>
    </row>
    <row r="8226" spans="1:7">
      <c r="A8226" s="34">
        <v>2084211835</v>
      </c>
      <c r="B8226" s="35" t="s">
        <v>462</v>
      </c>
      <c r="C8226" s="35" t="s">
        <v>1556</v>
      </c>
      <c r="D8226" s="35" t="s">
        <v>384</v>
      </c>
      <c r="E8226" s="35" t="s">
        <v>1711</v>
      </c>
      <c r="F8226" s="35" t="s">
        <v>1616</v>
      </c>
      <c r="G8226" s="35" t="s">
        <v>335</v>
      </c>
    </row>
    <row r="8227" spans="1:7">
      <c r="A8227" s="34">
        <v>2084211791</v>
      </c>
      <c r="B8227" s="35" t="s">
        <v>462</v>
      </c>
      <c r="C8227" s="35" t="s">
        <v>1556</v>
      </c>
      <c r="D8227" s="35" t="s">
        <v>384</v>
      </c>
      <c r="E8227" s="35" t="s">
        <v>1711</v>
      </c>
      <c r="F8227" s="35" t="s">
        <v>1717</v>
      </c>
    </row>
    <row r="8228" spans="1:7">
      <c r="A8228" s="34">
        <v>2084243340</v>
      </c>
      <c r="B8228" s="35" t="s">
        <v>462</v>
      </c>
      <c r="C8228" s="35" t="s">
        <v>1556</v>
      </c>
      <c r="D8228" s="35" t="s">
        <v>384</v>
      </c>
      <c r="E8228" s="35" t="s">
        <v>1718</v>
      </c>
    </row>
    <row r="8229" spans="1:7">
      <c r="A8229" s="34">
        <v>2084053110</v>
      </c>
      <c r="B8229" s="35" t="s">
        <v>462</v>
      </c>
      <c r="C8229" s="35" t="s">
        <v>1556</v>
      </c>
      <c r="D8229" s="35" t="s">
        <v>384</v>
      </c>
      <c r="E8229" s="35" t="s">
        <v>1719</v>
      </c>
      <c r="F8229" s="35" t="s">
        <v>391</v>
      </c>
    </row>
    <row r="8230" spans="1:7">
      <c r="A8230" s="34">
        <v>2084053111</v>
      </c>
      <c r="B8230" s="35" t="s">
        <v>462</v>
      </c>
      <c r="C8230" s="35" t="s">
        <v>1556</v>
      </c>
      <c r="D8230" s="35" t="s">
        <v>384</v>
      </c>
      <c r="E8230" s="35" t="s">
        <v>1719</v>
      </c>
      <c r="F8230" s="35" t="s">
        <v>392</v>
      </c>
    </row>
    <row r="8231" spans="1:7">
      <c r="A8231" s="34">
        <v>2084053112</v>
      </c>
      <c r="B8231" s="35" t="s">
        <v>462</v>
      </c>
      <c r="C8231" s="35" t="s">
        <v>1556</v>
      </c>
      <c r="D8231" s="35" t="s">
        <v>384</v>
      </c>
      <c r="E8231" s="35" t="s">
        <v>1719</v>
      </c>
      <c r="F8231" s="35" t="s">
        <v>375</v>
      </c>
    </row>
    <row r="8232" spans="1:7">
      <c r="A8232" s="34">
        <v>2084053113</v>
      </c>
      <c r="B8232" s="35" t="s">
        <v>462</v>
      </c>
      <c r="C8232" s="35" t="s">
        <v>1556</v>
      </c>
      <c r="D8232" s="35" t="s">
        <v>384</v>
      </c>
      <c r="E8232" s="35" t="s">
        <v>1719</v>
      </c>
      <c r="F8232" s="35" t="s">
        <v>376</v>
      </c>
    </row>
    <row r="8233" spans="1:7">
      <c r="A8233" s="34">
        <v>2084053114</v>
      </c>
      <c r="B8233" s="35" t="s">
        <v>462</v>
      </c>
      <c r="C8233" s="35" t="s">
        <v>1556</v>
      </c>
      <c r="D8233" s="35" t="s">
        <v>384</v>
      </c>
      <c r="E8233" s="35" t="s">
        <v>1719</v>
      </c>
      <c r="F8233" s="35" t="s">
        <v>377</v>
      </c>
    </row>
    <row r="8234" spans="1:7">
      <c r="A8234" s="34">
        <v>2084053098</v>
      </c>
      <c r="B8234" s="35" t="s">
        <v>462</v>
      </c>
      <c r="C8234" s="35" t="s">
        <v>1556</v>
      </c>
      <c r="D8234" s="35" t="s">
        <v>384</v>
      </c>
      <c r="E8234" s="35" t="s">
        <v>1720</v>
      </c>
      <c r="F8234" s="35" t="s">
        <v>391</v>
      </c>
    </row>
    <row r="8235" spans="1:7">
      <c r="A8235" s="34">
        <v>2084053099</v>
      </c>
      <c r="B8235" s="35" t="s">
        <v>462</v>
      </c>
      <c r="C8235" s="35" t="s">
        <v>1556</v>
      </c>
      <c r="D8235" s="35" t="s">
        <v>384</v>
      </c>
      <c r="E8235" s="35" t="s">
        <v>1720</v>
      </c>
      <c r="F8235" s="35" t="s">
        <v>392</v>
      </c>
    </row>
    <row r="8236" spans="1:7">
      <c r="A8236" s="34">
        <v>2084053100</v>
      </c>
      <c r="B8236" s="35" t="s">
        <v>462</v>
      </c>
      <c r="C8236" s="35" t="s">
        <v>1556</v>
      </c>
      <c r="D8236" s="35" t="s">
        <v>384</v>
      </c>
      <c r="E8236" s="35" t="s">
        <v>1720</v>
      </c>
      <c r="F8236" s="35" t="s">
        <v>375</v>
      </c>
    </row>
    <row r="8237" spans="1:7">
      <c r="A8237" s="34">
        <v>2084053101</v>
      </c>
      <c r="B8237" s="35" t="s">
        <v>462</v>
      </c>
      <c r="C8237" s="35" t="s">
        <v>1556</v>
      </c>
      <c r="D8237" s="35" t="s">
        <v>384</v>
      </c>
      <c r="E8237" s="35" t="s">
        <v>1720</v>
      </c>
      <c r="F8237" s="35" t="s">
        <v>376</v>
      </c>
    </row>
    <row r="8238" spans="1:7">
      <c r="A8238" s="34">
        <v>2084053102</v>
      </c>
      <c r="B8238" s="35" t="s">
        <v>462</v>
      </c>
      <c r="C8238" s="35" t="s">
        <v>1556</v>
      </c>
      <c r="D8238" s="35" t="s">
        <v>384</v>
      </c>
      <c r="E8238" s="35" t="s">
        <v>1720</v>
      </c>
      <c r="F8238" s="35" t="s">
        <v>377</v>
      </c>
    </row>
    <row r="8239" spans="1:7">
      <c r="A8239" s="34">
        <v>2084053145</v>
      </c>
      <c r="B8239" s="35" t="s">
        <v>462</v>
      </c>
      <c r="C8239" s="35" t="s">
        <v>1556</v>
      </c>
      <c r="D8239" s="35" t="s">
        <v>384</v>
      </c>
      <c r="E8239" s="35" t="s">
        <v>1721</v>
      </c>
      <c r="F8239" s="35" t="s">
        <v>1701</v>
      </c>
      <c r="G8239" s="35" t="s">
        <v>1722</v>
      </c>
    </row>
    <row r="8240" spans="1:7">
      <c r="A8240" s="34">
        <v>2084053146</v>
      </c>
      <c r="B8240" s="35" t="s">
        <v>462</v>
      </c>
      <c r="C8240" s="35" t="s">
        <v>1556</v>
      </c>
      <c r="D8240" s="35" t="s">
        <v>384</v>
      </c>
      <c r="E8240" s="35" t="s">
        <v>1721</v>
      </c>
      <c r="F8240" s="35" t="s">
        <v>1701</v>
      </c>
      <c r="G8240" s="35" t="s">
        <v>1723</v>
      </c>
    </row>
    <row r="8241" spans="1:7">
      <c r="A8241" s="34">
        <v>2084053147</v>
      </c>
      <c r="B8241" s="35" t="s">
        <v>462</v>
      </c>
      <c r="C8241" s="35" t="s">
        <v>1556</v>
      </c>
      <c r="D8241" s="35" t="s">
        <v>384</v>
      </c>
      <c r="E8241" s="35" t="s">
        <v>1721</v>
      </c>
      <c r="F8241" s="35" t="s">
        <v>1701</v>
      </c>
      <c r="G8241" s="35" t="s">
        <v>1724</v>
      </c>
    </row>
    <row r="8242" spans="1:7">
      <c r="A8242" s="34">
        <v>2084053148</v>
      </c>
      <c r="B8242" s="35" t="s">
        <v>462</v>
      </c>
      <c r="C8242" s="35" t="s">
        <v>1556</v>
      </c>
      <c r="D8242" s="35" t="s">
        <v>384</v>
      </c>
      <c r="E8242" s="35" t="s">
        <v>1721</v>
      </c>
      <c r="F8242" s="35" t="s">
        <v>1701</v>
      </c>
      <c r="G8242" s="35" t="s">
        <v>1725</v>
      </c>
    </row>
    <row r="8243" spans="1:7">
      <c r="A8243" s="34">
        <v>2084053149</v>
      </c>
      <c r="B8243" s="35" t="s">
        <v>462</v>
      </c>
      <c r="C8243" s="35" t="s">
        <v>1556</v>
      </c>
      <c r="D8243" s="35" t="s">
        <v>384</v>
      </c>
      <c r="E8243" s="35" t="s">
        <v>1721</v>
      </c>
      <c r="F8243" s="35" t="s">
        <v>1701</v>
      </c>
      <c r="G8243" s="35" t="s">
        <v>1726</v>
      </c>
    </row>
    <row r="8244" spans="1:7">
      <c r="A8244" s="34">
        <v>2084053151</v>
      </c>
      <c r="B8244" s="35" t="s">
        <v>462</v>
      </c>
      <c r="C8244" s="35" t="s">
        <v>1556</v>
      </c>
      <c r="D8244" s="35" t="s">
        <v>384</v>
      </c>
      <c r="E8244" s="35" t="s">
        <v>1721</v>
      </c>
      <c r="F8244" s="35" t="s">
        <v>1727</v>
      </c>
      <c r="G8244" s="35" t="s">
        <v>391</v>
      </c>
    </row>
    <row r="8245" spans="1:7">
      <c r="A8245" s="34">
        <v>2084053152</v>
      </c>
      <c r="B8245" s="35" t="s">
        <v>462</v>
      </c>
      <c r="C8245" s="35" t="s">
        <v>1556</v>
      </c>
      <c r="D8245" s="35" t="s">
        <v>384</v>
      </c>
      <c r="E8245" s="35" t="s">
        <v>1721</v>
      </c>
      <c r="F8245" s="35" t="s">
        <v>1727</v>
      </c>
      <c r="G8245" s="35" t="s">
        <v>392</v>
      </c>
    </row>
    <row r="8246" spans="1:7">
      <c r="A8246" s="34">
        <v>2084053153</v>
      </c>
      <c r="B8246" s="35" t="s">
        <v>462</v>
      </c>
      <c r="C8246" s="35" t="s">
        <v>1556</v>
      </c>
      <c r="D8246" s="35" t="s">
        <v>384</v>
      </c>
      <c r="E8246" s="35" t="s">
        <v>1721</v>
      </c>
      <c r="F8246" s="35" t="s">
        <v>1727</v>
      </c>
      <c r="G8246" s="35" t="s">
        <v>375</v>
      </c>
    </row>
    <row r="8247" spans="1:7">
      <c r="A8247" s="34">
        <v>2084053154</v>
      </c>
      <c r="B8247" s="35" t="s">
        <v>462</v>
      </c>
      <c r="C8247" s="35" t="s">
        <v>1556</v>
      </c>
      <c r="D8247" s="35" t="s">
        <v>384</v>
      </c>
      <c r="E8247" s="35" t="s">
        <v>1721</v>
      </c>
      <c r="F8247" s="35" t="s">
        <v>1727</v>
      </c>
      <c r="G8247" s="35" t="s">
        <v>376</v>
      </c>
    </row>
    <row r="8248" spans="1:7">
      <c r="A8248" s="34">
        <v>2084053155</v>
      </c>
      <c r="B8248" s="35" t="s">
        <v>462</v>
      </c>
      <c r="C8248" s="35" t="s">
        <v>1556</v>
      </c>
      <c r="D8248" s="35" t="s">
        <v>384</v>
      </c>
      <c r="E8248" s="35" t="s">
        <v>1721</v>
      </c>
      <c r="F8248" s="35" t="s">
        <v>1727</v>
      </c>
      <c r="G8248" s="35" t="s">
        <v>377</v>
      </c>
    </row>
    <row r="8249" spans="1:7">
      <c r="A8249" s="34">
        <v>2084243341</v>
      </c>
      <c r="B8249" s="35" t="s">
        <v>462</v>
      </c>
      <c r="C8249" s="35" t="s">
        <v>1556</v>
      </c>
      <c r="D8249" s="35" t="s">
        <v>384</v>
      </c>
      <c r="E8249" s="35" t="s">
        <v>1721</v>
      </c>
      <c r="F8249" s="35" t="s">
        <v>1728</v>
      </c>
    </row>
    <row r="8250" spans="1:7">
      <c r="A8250" s="34">
        <v>2084053168</v>
      </c>
      <c r="B8250" s="35" t="s">
        <v>462</v>
      </c>
      <c r="C8250" s="35" t="s">
        <v>1556</v>
      </c>
      <c r="D8250" s="35" t="s">
        <v>384</v>
      </c>
      <c r="E8250" s="35" t="s">
        <v>1721</v>
      </c>
      <c r="F8250" s="35" t="s">
        <v>1729</v>
      </c>
      <c r="G8250" s="35" t="s">
        <v>1722</v>
      </c>
    </row>
    <row r="8251" spans="1:7">
      <c r="A8251" s="34">
        <v>2084053169</v>
      </c>
      <c r="B8251" s="35" t="s">
        <v>462</v>
      </c>
      <c r="C8251" s="35" t="s">
        <v>1556</v>
      </c>
      <c r="D8251" s="35" t="s">
        <v>384</v>
      </c>
      <c r="E8251" s="35" t="s">
        <v>1721</v>
      </c>
      <c r="F8251" s="35" t="s">
        <v>1729</v>
      </c>
      <c r="G8251" s="35" t="s">
        <v>1723</v>
      </c>
    </row>
    <row r="8252" spans="1:7">
      <c r="A8252" s="34">
        <v>2084053170</v>
      </c>
      <c r="B8252" s="35" t="s">
        <v>462</v>
      </c>
      <c r="C8252" s="35" t="s">
        <v>1556</v>
      </c>
      <c r="D8252" s="35" t="s">
        <v>384</v>
      </c>
      <c r="E8252" s="35" t="s">
        <v>1721</v>
      </c>
      <c r="F8252" s="35" t="s">
        <v>1729</v>
      </c>
      <c r="G8252" s="35" t="s">
        <v>1724</v>
      </c>
    </row>
    <row r="8253" spans="1:7">
      <c r="A8253" s="34">
        <v>2084053171</v>
      </c>
      <c r="B8253" s="35" t="s">
        <v>462</v>
      </c>
      <c r="C8253" s="35" t="s">
        <v>1556</v>
      </c>
      <c r="D8253" s="35" t="s">
        <v>384</v>
      </c>
      <c r="E8253" s="35" t="s">
        <v>1721</v>
      </c>
      <c r="F8253" s="35" t="s">
        <v>1729</v>
      </c>
      <c r="G8253" s="35" t="s">
        <v>1725</v>
      </c>
    </row>
    <row r="8254" spans="1:7">
      <c r="A8254" s="34">
        <v>2084053172</v>
      </c>
      <c r="B8254" s="35" t="s">
        <v>462</v>
      </c>
      <c r="C8254" s="35" t="s">
        <v>1556</v>
      </c>
      <c r="D8254" s="35" t="s">
        <v>384</v>
      </c>
      <c r="E8254" s="35" t="s">
        <v>1721</v>
      </c>
      <c r="F8254" s="35" t="s">
        <v>1729</v>
      </c>
      <c r="G8254" s="35" t="s">
        <v>1726</v>
      </c>
    </row>
    <row r="8255" spans="1:7">
      <c r="A8255" s="34">
        <v>2084243342</v>
      </c>
      <c r="B8255" s="35" t="s">
        <v>462</v>
      </c>
      <c r="C8255" s="35" t="s">
        <v>1556</v>
      </c>
      <c r="D8255" s="35" t="s">
        <v>384</v>
      </c>
      <c r="E8255" s="35" t="s">
        <v>1721</v>
      </c>
      <c r="F8255" s="35" t="s">
        <v>1730</v>
      </c>
    </row>
    <row r="8256" spans="1:7">
      <c r="A8256" s="34">
        <v>2084053156</v>
      </c>
      <c r="B8256" s="35" t="s">
        <v>462</v>
      </c>
      <c r="C8256" s="35" t="s">
        <v>1556</v>
      </c>
      <c r="D8256" s="35" t="s">
        <v>384</v>
      </c>
      <c r="E8256" s="35" t="s">
        <v>1721</v>
      </c>
      <c r="F8256" s="35" t="s">
        <v>335</v>
      </c>
    </row>
    <row r="8257" spans="1:7">
      <c r="A8257" s="34">
        <v>2084053157</v>
      </c>
      <c r="B8257" s="35" t="s">
        <v>462</v>
      </c>
      <c r="C8257" s="35" t="s">
        <v>1556</v>
      </c>
      <c r="D8257" s="35" t="s">
        <v>384</v>
      </c>
      <c r="E8257" s="35" t="s">
        <v>1731</v>
      </c>
    </row>
    <row r="8258" spans="1:7">
      <c r="A8258" s="34">
        <v>2084061635</v>
      </c>
      <c r="B8258" s="35" t="s">
        <v>462</v>
      </c>
      <c r="C8258" s="35" t="s">
        <v>1556</v>
      </c>
      <c r="D8258" s="35" t="s">
        <v>384</v>
      </c>
      <c r="E8258" s="35" t="s">
        <v>1732</v>
      </c>
    </row>
    <row r="8259" spans="1:7">
      <c r="A8259" s="34">
        <v>2084245568</v>
      </c>
      <c r="B8259" s="35" t="s">
        <v>462</v>
      </c>
      <c r="C8259" s="35" t="s">
        <v>1556</v>
      </c>
      <c r="D8259" s="35" t="s">
        <v>384</v>
      </c>
      <c r="E8259" s="35" t="s">
        <v>386</v>
      </c>
    </row>
    <row r="8260" spans="1:7">
      <c r="A8260" s="34">
        <v>2084053158</v>
      </c>
      <c r="B8260" s="35" t="s">
        <v>462</v>
      </c>
      <c r="C8260" s="35" t="s">
        <v>1556</v>
      </c>
      <c r="D8260" s="35" t="s">
        <v>384</v>
      </c>
      <c r="E8260" s="35" t="s">
        <v>335</v>
      </c>
    </row>
    <row r="8261" spans="1:7">
      <c r="A8261" s="34">
        <v>2084053160</v>
      </c>
      <c r="B8261" s="35" t="s">
        <v>462</v>
      </c>
      <c r="C8261" s="35" t="s">
        <v>1556</v>
      </c>
      <c r="D8261" s="35" t="s">
        <v>1733</v>
      </c>
    </row>
    <row r="8262" spans="1:7">
      <c r="A8262" s="34">
        <v>2084051841</v>
      </c>
      <c r="B8262" s="35" t="s">
        <v>462</v>
      </c>
      <c r="C8262" s="35" t="s">
        <v>1556</v>
      </c>
      <c r="D8262" s="35" t="s">
        <v>1734</v>
      </c>
      <c r="E8262" s="35" t="s">
        <v>1735</v>
      </c>
      <c r="F8262" s="35" t="s">
        <v>391</v>
      </c>
    </row>
    <row r="8263" spans="1:7">
      <c r="A8263" s="34">
        <v>2084211837</v>
      </c>
      <c r="B8263" s="35" t="s">
        <v>462</v>
      </c>
      <c r="C8263" s="35" t="s">
        <v>1556</v>
      </c>
      <c r="D8263" s="35" t="s">
        <v>1734</v>
      </c>
      <c r="E8263" s="35" t="s">
        <v>1735</v>
      </c>
      <c r="F8263" s="35" t="s">
        <v>1613</v>
      </c>
      <c r="G8263" s="35" t="s">
        <v>1736</v>
      </c>
    </row>
    <row r="8264" spans="1:7">
      <c r="A8264" s="34">
        <v>2084211838</v>
      </c>
      <c r="B8264" s="35" t="s">
        <v>462</v>
      </c>
      <c r="C8264" s="35" t="s">
        <v>1556</v>
      </c>
      <c r="D8264" s="35" t="s">
        <v>1734</v>
      </c>
      <c r="E8264" s="35" t="s">
        <v>1735</v>
      </c>
      <c r="F8264" s="35" t="s">
        <v>1613</v>
      </c>
      <c r="G8264" s="35" t="s">
        <v>1737</v>
      </c>
    </row>
    <row r="8265" spans="1:7">
      <c r="A8265" s="34">
        <v>2084211840</v>
      </c>
      <c r="B8265" s="35" t="s">
        <v>462</v>
      </c>
      <c r="C8265" s="35" t="s">
        <v>1556</v>
      </c>
      <c r="D8265" s="35" t="s">
        <v>1734</v>
      </c>
      <c r="E8265" s="35" t="s">
        <v>1735</v>
      </c>
      <c r="F8265" s="35" t="s">
        <v>1613</v>
      </c>
      <c r="G8265" s="35" t="s">
        <v>1738</v>
      </c>
    </row>
    <row r="8266" spans="1:7">
      <c r="A8266" s="34">
        <v>2084211841</v>
      </c>
      <c r="B8266" s="35" t="s">
        <v>462</v>
      </c>
      <c r="C8266" s="35" t="s">
        <v>1556</v>
      </c>
      <c r="D8266" s="35" t="s">
        <v>1734</v>
      </c>
      <c r="E8266" s="35" t="s">
        <v>1735</v>
      </c>
      <c r="F8266" s="35" t="s">
        <v>1613</v>
      </c>
      <c r="G8266" s="35" t="s">
        <v>1739</v>
      </c>
    </row>
    <row r="8267" spans="1:7">
      <c r="A8267" s="34">
        <v>2084211843</v>
      </c>
      <c r="B8267" s="35" t="s">
        <v>462</v>
      </c>
      <c r="C8267" s="35" t="s">
        <v>1556</v>
      </c>
      <c r="D8267" s="35" t="s">
        <v>1734</v>
      </c>
      <c r="E8267" s="35" t="s">
        <v>1735</v>
      </c>
      <c r="F8267" s="35" t="s">
        <v>1613</v>
      </c>
      <c r="G8267" s="35" t="s">
        <v>1740</v>
      </c>
    </row>
    <row r="8268" spans="1:7">
      <c r="A8268" s="34">
        <v>2084211846</v>
      </c>
      <c r="B8268" s="35" t="s">
        <v>462</v>
      </c>
      <c r="C8268" s="35" t="s">
        <v>1556</v>
      </c>
      <c r="D8268" s="35" t="s">
        <v>1734</v>
      </c>
      <c r="E8268" s="35" t="s">
        <v>1735</v>
      </c>
      <c r="F8268" s="35" t="s">
        <v>1613</v>
      </c>
      <c r="G8268" s="35" t="s">
        <v>1741</v>
      </c>
    </row>
    <row r="8269" spans="1:7">
      <c r="A8269" s="34">
        <v>2084211851</v>
      </c>
      <c r="B8269" s="35" t="s">
        <v>462</v>
      </c>
      <c r="C8269" s="35" t="s">
        <v>1556</v>
      </c>
      <c r="D8269" s="35" t="s">
        <v>1734</v>
      </c>
      <c r="E8269" s="35" t="s">
        <v>1735</v>
      </c>
      <c r="F8269" s="35" t="s">
        <v>1614</v>
      </c>
      <c r="G8269" s="35" t="s">
        <v>1736</v>
      </c>
    </row>
    <row r="8270" spans="1:7">
      <c r="A8270" s="34">
        <v>2084211852</v>
      </c>
      <c r="B8270" s="35" t="s">
        <v>462</v>
      </c>
      <c r="C8270" s="35" t="s">
        <v>1556</v>
      </c>
      <c r="D8270" s="35" t="s">
        <v>1734</v>
      </c>
      <c r="E8270" s="35" t="s">
        <v>1735</v>
      </c>
      <c r="F8270" s="35" t="s">
        <v>1614</v>
      </c>
      <c r="G8270" s="35" t="s">
        <v>1737</v>
      </c>
    </row>
    <row r="8271" spans="1:7">
      <c r="A8271" s="34">
        <v>2084211853</v>
      </c>
      <c r="B8271" s="35" t="s">
        <v>462</v>
      </c>
      <c r="C8271" s="35" t="s">
        <v>1556</v>
      </c>
      <c r="D8271" s="35" t="s">
        <v>1734</v>
      </c>
      <c r="E8271" s="35" t="s">
        <v>1735</v>
      </c>
      <c r="F8271" s="35" t="s">
        <v>1614</v>
      </c>
      <c r="G8271" s="35" t="s">
        <v>1738</v>
      </c>
    </row>
    <row r="8272" spans="1:7">
      <c r="A8272" s="34">
        <v>2084211854</v>
      </c>
      <c r="B8272" s="35" t="s">
        <v>462</v>
      </c>
      <c r="C8272" s="35" t="s">
        <v>1556</v>
      </c>
      <c r="D8272" s="35" t="s">
        <v>1734</v>
      </c>
      <c r="E8272" s="35" t="s">
        <v>1735</v>
      </c>
      <c r="F8272" s="35" t="s">
        <v>1614</v>
      </c>
      <c r="G8272" s="35" t="s">
        <v>1739</v>
      </c>
    </row>
    <row r="8273" spans="1:7">
      <c r="A8273" s="34">
        <v>2084211856</v>
      </c>
      <c r="B8273" s="35" t="s">
        <v>462</v>
      </c>
      <c r="C8273" s="35" t="s">
        <v>1556</v>
      </c>
      <c r="D8273" s="35" t="s">
        <v>1734</v>
      </c>
      <c r="E8273" s="35" t="s">
        <v>1735</v>
      </c>
      <c r="F8273" s="35" t="s">
        <v>1614</v>
      </c>
      <c r="G8273" s="35" t="s">
        <v>1740</v>
      </c>
    </row>
    <row r="8274" spans="1:7">
      <c r="A8274" s="34">
        <v>2084211859</v>
      </c>
      <c r="B8274" s="35" t="s">
        <v>462</v>
      </c>
      <c r="C8274" s="35" t="s">
        <v>1556</v>
      </c>
      <c r="D8274" s="35" t="s">
        <v>1734</v>
      </c>
      <c r="E8274" s="35" t="s">
        <v>1735</v>
      </c>
      <c r="F8274" s="35" t="s">
        <v>1614</v>
      </c>
      <c r="G8274" s="35" t="s">
        <v>1741</v>
      </c>
    </row>
    <row r="8275" spans="1:7">
      <c r="A8275" s="34">
        <v>2084211862</v>
      </c>
      <c r="B8275" s="35" t="s">
        <v>462</v>
      </c>
      <c r="C8275" s="35" t="s">
        <v>1556</v>
      </c>
      <c r="D8275" s="35" t="s">
        <v>1734</v>
      </c>
      <c r="E8275" s="35" t="s">
        <v>1735</v>
      </c>
      <c r="F8275" s="35" t="s">
        <v>1615</v>
      </c>
      <c r="G8275" s="35" t="s">
        <v>1736</v>
      </c>
    </row>
    <row r="8276" spans="1:7">
      <c r="A8276" s="34">
        <v>2084211863</v>
      </c>
      <c r="B8276" s="35" t="s">
        <v>462</v>
      </c>
      <c r="C8276" s="35" t="s">
        <v>1556</v>
      </c>
      <c r="D8276" s="35" t="s">
        <v>1734</v>
      </c>
      <c r="E8276" s="35" t="s">
        <v>1735</v>
      </c>
      <c r="F8276" s="35" t="s">
        <v>1615</v>
      </c>
      <c r="G8276" s="35" t="s">
        <v>1737</v>
      </c>
    </row>
    <row r="8277" spans="1:7">
      <c r="A8277" s="34">
        <v>2084211864</v>
      </c>
      <c r="B8277" s="35" t="s">
        <v>462</v>
      </c>
      <c r="C8277" s="35" t="s">
        <v>1556</v>
      </c>
      <c r="D8277" s="35" t="s">
        <v>1734</v>
      </c>
      <c r="E8277" s="35" t="s">
        <v>1735</v>
      </c>
      <c r="F8277" s="35" t="s">
        <v>1615</v>
      </c>
      <c r="G8277" s="35" t="s">
        <v>1738</v>
      </c>
    </row>
    <row r="8278" spans="1:7">
      <c r="A8278" s="34">
        <v>2084211866</v>
      </c>
      <c r="B8278" s="35" t="s">
        <v>462</v>
      </c>
      <c r="C8278" s="35" t="s">
        <v>1556</v>
      </c>
      <c r="D8278" s="35" t="s">
        <v>1734</v>
      </c>
      <c r="E8278" s="35" t="s">
        <v>1735</v>
      </c>
      <c r="F8278" s="35" t="s">
        <v>1615</v>
      </c>
      <c r="G8278" s="35" t="s">
        <v>1739</v>
      </c>
    </row>
    <row r="8279" spans="1:7">
      <c r="A8279" s="34">
        <v>2084211867</v>
      </c>
      <c r="B8279" s="35" t="s">
        <v>462</v>
      </c>
      <c r="C8279" s="35" t="s">
        <v>1556</v>
      </c>
      <c r="D8279" s="35" t="s">
        <v>1734</v>
      </c>
      <c r="E8279" s="35" t="s">
        <v>1735</v>
      </c>
      <c r="F8279" s="35" t="s">
        <v>1615</v>
      </c>
      <c r="G8279" s="35" t="s">
        <v>1740</v>
      </c>
    </row>
    <row r="8280" spans="1:7">
      <c r="A8280" s="34">
        <v>2084211869</v>
      </c>
      <c r="B8280" s="35" t="s">
        <v>462</v>
      </c>
      <c r="C8280" s="35" t="s">
        <v>1556</v>
      </c>
      <c r="D8280" s="35" t="s">
        <v>1734</v>
      </c>
      <c r="E8280" s="35" t="s">
        <v>1735</v>
      </c>
      <c r="F8280" s="35" t="s">
        <v>1615</v>
      </c>
      <c r="G8280" s="35" t="s">
        <v>1741</v>
      </c>
    </row>
    <row r="8281" spans="1:7">
      <c r="A8281" s="34">
        <v>2084211872</v>
      </c>
      <c r="B8281" s="35" t="s">
        <v>462</v>
      </c>
      <c r="C8281" s="35" t="s">
        <v>1556</v>
      </c>
      <c r="D8281" s="35" t="s">
        <v>1734</v>
      </c>
      <c r="E8281" s="35" t="s">
        <v>1735</v>
      </c>
      <c r="F8281" s="35" t="s">
        <v>1616</v>
      </c>
      <c r="G8281" s="35" t="s">
        <v>1736</v>
      </c>
    </row>
    <row r="8282" spans="1:7">
      <c r="A8282" s="34">
        <v>2084211873</v>
      </c>
      <c r="B8282" s="35" t="s">
        <v>462</v>
      </c>
      <c r="C8282" s="35" t="s">
        <v>1556</v>
      </c>
      <c r="D8282" s="35" t="s">
        <v>1734</v>
      </c>
      <c r="E8282" s="35" t="s">
        <v>1735</v>
      </c>
      <c r="F8282" s="35" t="s">
        <v>1616</v>
      </c>
      <c r="G8282" s="35" t="s">
        <v>1737</v>
      </c>
    </row>
    <row r="8283" spans="1:7">
      <c r="A8283" s="34">
        <v>2084211875</v>
      </c>
      <c r="B8283" s="35" t="s">
        <v>462</v>
      </c>
      <c r="C8283" s="35" t="s">
        <v>1556</v>
      </c>
      <c r="D8283" s="35" t="s">
        <v>1734</v>
      </c>
      <c r="E8283" s="35" t="s">
        <v>1735</v>
      </c>
      <c r="F8283" s="35" t="s">
        <v>1616</v>
      </c>
      <c r="G8283" s="35" t="s">
        <v>1738</v>
      </c>
    </row>
    <row r="8284" spans="1:7">
      <c r="A8284" s="34">
        <v>2084211876</v>
      </c>
      <c r="B8284" s="35" t="s">
        <v>462</v>
      </c>
      <c r="C8284" s="35" t="s">
        <v>1556</v>
      </c>
      <c r="D8284" s="35" t="s">
        <v>1734</v>
      </c>
      <c r="E8284" s="35" t="s">
        <v>1735</v>
      </c>
      <c r="F8284" s="35" t="s">
        <v>1616</v>
      </c>
      <c r="G8284" s="35" t="s">
        <v>1739</v>
      </c>
    </row>
    <row r="8285" spans="1:7">
      <c r="A8285" s="34">
        <v>2084211877</v>
      </c>
      <c r="B8285" s="35" t="s">
        <v>462</v>
      </c>
      <c r="C8285" s="35" t="s">
        <v>1556</v>
      </c>
      <c r="D8285" s="35" t="s">
        <v>1734</v>
      </c>
      <c r="E8285" s="35" t="s">
        <v>1735</v>
      </c>
      <c r="F8285" s="35" t="s">
        <v>1616</v>
      </c>
      <c r="G8285" s="35" t="s">
        <v>1740</v>
      </c>
    </row>
    <row r="8286" spans="1:7">
      <c r="A8286" s="34">
        <v>2084211879</v>
      </c>
      <c r="B8286" s="35" t="s">
        <v>462</v>
      </c>
      <c r="C8286" s="35" t="s">
        <v>1556</v>
      </c>
      <c r="D8286" s="35" t="s">
        <v>1734</v>
      </c>
      <c r="E8286" s="35" t="s">
        <v>1735</v>
      </c>
      <c r="F8286" s="35" t="s">
        <v>1616</v>
      </c>
      <c r="G8286" s="35" t="s">
        <v>1741</v>
      </c>
    </row>
    <row r="8287" spans="1:7">
      <c r="A8287" s="34">
        <v>2084051846</v>
      </c>
      <c r="B8287" s="35" t="s">
        <v>462</v>
      </c>
      <c r="C8287" s="35" t="s">
        <v>1556</v>
      </c>
      <c r="D8287" s="35" t="s">
        <v>1734</v>
      </c>
      <c r="E8287" s="35" t="s">
        <v>530</v>
      </c>
      <c r="F8287" s="35" t="s">
        <v>391</v>
      </c>
    </row>
    <row r="8288" spans="1:7">
      <c r="A8288" s="34">
        <v>2084051847</v>
      </c>
      <c r="B8288" s="35" t="s">
        <v>462</v>
      </c>
      <c r="C8288" s="35" t="s">
        <v>1556</v>
      </c>
      <c r="D8288" s="35" t="s">
        <v>1734</v>
      </c>
      <c r="E8288" s="35" t="s">
        <v>530</v>
      </c>
      <c r="F8288" s="35" t="s">
        <v>392</v>
      </c>
    </row>
    <row r="8289" spans="1:6">
      <c r="A8289" s="34">
        <v>2084051848</v>
      </c>
      <c r="B8289" s="35" t="s">
        <v>462</v>
      </c>
      <c r="C8289" s="35" t="s">
        <v>1556</v>
      </c>
      <c r="D8289" s="35" t="s">
        <v>1734</v>
      </c>
      <c r="E8289" s="35" t="s">
        <v>530</v>
      </c>
      <c r="F8289" s="35" t="s">
        <v>375</v>
      </c>
    </row>
    <row r="8290" spans="1:6">
      <c r="A8290" s="34">
        <v>2084051849</v>
      </c>
      <c r="B8290" s="35" t="s">
        <v>462</v>
      </c>
      <c r="C8290" s="35" t="s">
        <v>1556</v>
      </c>
      <c r="D8290" s="35" t="s">
        <v>1734</v>
      </c>
      <c r="E8290" s="35" t="s">
        <v>530</v>
      </c>
      <c r="F8290" s="35" t="s">
        <v>376</v>
      </c>
    </row>
    <row r="8291" spans="1:6">
      <c r="A8291" s="34">
        <v>2084051850</v>
      </c>
      <c r="B8291" s="35" t="s">
        <v>462</v>
      </c>
      <c r="C8291" s="35" t="s">
        <v>1556</v>
      </c>
      <c r="D8291" s="35" t="s">
        <v>1734</v>
      </c>
      <c r="E8291" s="35" t="s">
        <v>530</v>
      </c>
      <c r="F8291" s="35" t="s">
        <v>377</v>
      </c>
    </row>
    <row r="8292" spans="1:6">
      <c r="A8292" s="34">
        <v>2084211794</v>
      </c>
      <c r="B8292" s="35" t="s">
        <v>462</v>
      </c>
      <c r="C8292" s="35" t="s">
        <v>1556</v>
      </c>
      <c r="D8292" s="35" t="s">
        <v>1734</v>
      </c>
      <c r="E8292" s="35" t="s">
        <v>1742</v>
      </c>
    </row>
    <row r="8293" spans="1:6">
      <c r="A8293" s="34">
        <v>2084211795</v>
      </c>
      <c r="B8293" s="35" t="s">
        <v>462</v>
      </c>
      <c r="C8293" s="35" t="s">
        <v>1556</v>
      </c>
      <c r="D8293" s="35" t="s">
        <v>1734</v>
      </c>
      <c r="E8293" s="35" t="s">
        <v>1707</v>
      </c>
    </row>
    <row r="8294" spans="1:6">
      <c r="A8294" s="34">
        <v>2084211797</v>
      </c>
      <c r="B8294" s="35" t="s">
        <v>462</v>
      </c>
      <c r="C8294" s="35" t="s">
        <v>1556</v>
      </c>
      <c r="D8294" s="35" t="s">
        <v>1734</v>
      </c>
      <c r="E8294" s="35" t="s">
        <v>1743</v>
      </c>
    </row>
    <row r="8295" spans="1:6">
      <c r="A8295" s="34">
        <v>2084051839</v>
      </c>
      <c r="B8295" s="35" t="s">
        <v>462</v>
      </c>
      <c r="C8295" s="35" t="s">
        <v>1556</v>
      </c>
      <c r="D8295" s="35" t="s">
        <v>1734</v>
      </c>
      <c r="E8295" s="35" t="s">
        <v>335</v>
      </c>
    </row>
    <row r="8296" spans="1:6">
      <c r="A8296" s="34">
        <v>2084006323</v>
      </c>
      <c r="B8296" s="35" t="s">
        <v>462</v>
      </c>
      <c r="C8296" s="35" t="s">
        <v>1556</v>
      </c>
      <c r="D8296" s="35" t="s">
        <v>1744</v>
      </c>
      <c r="E8296" s="35" t="s">
        <v>384</v>
      </c>
      <c r="F8296" s="35" t="s">
        <v>1730</v>
      </c>
    </row>
    <row r="8297" spans="1:6">
      <c r="A8297" s="34">
        <v>2084053163</v>
      </c>
      <c r="B8297" s="35" t="s">
        <v>462</v>
      </c>
      <c r="C8297" s="35" t="s">
        <v>1556</v>
      </c>
      <c r="D8297" s="35" t="s">
        <v>1744</v>
      </c>
      <c r="E8297" s="35" t="s">
        <v>384</v>
      </c>
      <c r="F8297" s="35" t="s">
        <v>1745</v>
      </c>
    </row>
    <row r="8298" spans="1:6">
      <c r="A8298" s="34">
        <v>2084006321</v>
      </c>
      <c r="B8298" s="35" t="s">
        <v>462</v>
      </c>
      <c r="C8298" s="35" t="s">
        <v>1556</v>
      </c>
      <c r="D8298" s="35" t="s">
        <v>1744</v>
      </c>
      <c r="E8298" s="35" t="s">
        <v>384</v>
      </c>
      <c r="F8298" s="35" t="s">
        <v>1746</v>
      </c>
    </row>
    <row r="8299" spans="1:6">
      <c r="A8299" s="34">
        <v>2084006320</v>
      </c>
      <c r="B8299" s="35" t="s">
        <v>462</v>
      </c>
      <c r="C8299" s="35" t="s">
        <v>1556</v>
      </c>
      <c r="D8299" s="35" t="s">
        <v>1744</v>
      </c>
      <c r="E8299" s="35" t="s">
        <v>384</v>
      </c>
      <c r="F8299" s="35" t="s">
        <v>1747</v>
      </c>
    </row>
    <row r="8300" spans="1:6">
      <c r="A8300" s="34">
        <v>2084006319</v>
      </c>
      <c r="B8300" s="35" t="s">
        <v>462</v>
      </c>
      <c r="C8300" s="35" t="s">
        <v>1556</v>
      </c>
      <c r="D8300" s="35" t="s">
        <v>1744</v>
      </c>
      <c r="E8300" s="35" t="s">
        <v>384</v>
      </c>
      <c r="F8300" s="35" t="s">
        <v>1748</v>
      </c>
    </row>
    <row r="8301" spans="1:6">
      <c r="A8301" s="34">
        <v>2084006322</v>
      </c>
      <c r="B8301" s="35" t="s">
        <v>462</v>
      </c>
      <c r="C8301" s="35" t="s">
        <v>1556</v>
      </c>
      <c r="D8301" s="35" t="s">
        <v>1744</v>
      </c>
      <c r="E8301" s="35" t="s">
        <v>384</v>
      </c>
      <c r="F8301" s="35" t="s">
        <v>335</v>
      </c>
    </row>
    <row r="8302" spans="1:6">
      <c r="A8302" s="34">
        <v>2084006310</v>
      </c>
      <c r="B8302" s="35" t="s">
        <v>462</v>
      </c>
      <c r="C8302" s="35" t="s">
        <v>1556</v>
      </c>
      <c r="D8302" s="35" t="s">
        <v>1744</v>
      </c>
      <c r="E8302" s="35" t="s">
        <v>402</v>
      </c>
    </row>
    <row r="8303" spans="1:6">
      <c r="A8303" s="34">
        <v>2084006312</v>
      </c>
      <c r="B8303" s="35" t="s">
        <v>462</v>
      </c>
      <c r="C8303" s="35" t="s">
        <v>1556</v>
      </c>
      <c r="D8303" s="35" t="s">
        <v>1744</v>
      </c>
      <c r="E8303" s="35" t="s">
        <v>1749</v>
      </c>
    </row>
    <row r="8304" spans="1:6">
      <c r="A8304" s="34">
        <v>2084006315</v>
      </c>
      <c r="B8304" s="35" t="s">
        <v>462</v>
      </c>
      <c r="C8304" s="35" t="s">
        <v>1556</v>
      </c>
      <c r="D8304" s="35" t="s">
        <v>1744</v>
      </c>
      <c r="E8304" s="35" t="s">
        <v>379</v>
      </c>
      <c r="F8304" s="35" t="s">
        <v>476</v>
      </c>
    </row>
    <row r="8305" spans="1:6">
      <c r="A8305" s="34">
        <v>2084006314</v>
      </c>
      <c r="B8305" s="35" t="s">
        <v>462</v>
      </c>
      <c r="C8305" s="35" t="s">
        <v>1556</v>
      </c>
      <c r="D8305" s="35" t="s">
        <v>1744</v>
      </c>
      <c r="E8305" s="35" t="s">
        <v>379</v>
      </c>
      <c r="F8305" s="35" t="s">
        <v>1750</v>
      </c>
    </row>
    <row r="8306" spans="1:6">
      <c r="A8306" s="34">
        <v>2084006316</v>
      </c>
      <c r="B8306" s="35" t="s">
        <v>462</v>
      </c>
      <c r="C8306" s="35" t="s">
        <v>1556</v>
      </c>
      <c r="D8306" s="35" t="s">
        <v>1744</v>
      </c>
      <c r="E8306" s="35" t="s">
        <v>379</v>
      </c>
      <c r="F8306" s="35" t="s">
        <v>335</v>
      </c>
    </row>
    <row r="8307" spans="1:6">
      <c r="A8307" s="34">
        <v>24214</v>
      </c>
      <c r="B8307" s="35" t="s">
        <v>462</v>
      </c>
      <c r="C8307" s="35" t="s">
        <v>1556</v>
      </c>
      <c r="D8307" s="35" t="s">
        <v>1744</v>
      </c>
      <c r="E8307" s="35" t="s">
        <v>478</v>
      </c>
    </row>
    <row r="8308" spans="1:6">
      <c r="A8308" s="34">
        <v>2084006313</v>
      </c>
      <c r="B8308" s="35" t="s">
        <v>462</v>
      </c>
      <c r="C8308" s="35" t="s">
        <v>1556</v>
      </c>
      <c r="D8308" s="35" t="s">
        <v>1744</v>
      </c>
      <c r="E8308" s="35" t="s">
        <v>335</v>
      </c>
    </row>
    <row r="8309" spans="1:6">
      <c r="A8309" s="34">
        <v>23316</v>
      </c>
      <c r="B8309" s="35" t="s">
        <v>462</v>
      </c>
      <c r="C8309" s="35" t="s">
        <v>1556</v>
      </c>
      <c r="D8309" s="35" t="s">
        <v>335</v>
      </c>
    </row>
    <row r="8310" spans="1:6">
      <c r="A8310" s="34">
        <v>2084051008</v>
      </c>
      <c r="B8310" s="35" t="s">
        <v>462</v>
      </c>
      <c r="C8310" s="35" t="s">
        <v>1751</v>
      </c>
      <c r="D8310" s="35" t="s">
        <v>1752</v>
      </c>
      <c r="E8310" s="35" t="s">
        <v>1753</v>
      </c>
    </row>
    <row r="8311" spans="1:6">
      <c r="A8311" s="34">
        <v>2084051002</v>
      </c>
      <c r="B8311" s="35" t="s">
        <v>462</v>
      </c>
      <c r="C8311" s="35" t="s">
        <v>1751</v>
      </c>
      <c r="D8311" s="35" t="s">
        <v>1752</v>
      </c>
      <c r="E8311" s="35" t="s">
        <v>1754</v>
      </c>
      <c r="F8311" s="35" t="s">
        <v>335</v>
      </c>
    </row>
    <row r="8312" spans="1:6">
      <c r="A8312" s="34">
        <v>2084050998</v>
      </c>
      <c r="B8312" s="35" t="s">
        <v>462</v>
      </c>
      <c r="C8312" s="35" t="s">
        <v>1751</v>
      </c>
      <c r="D8312" s="35" t="s">
        <v>1752</v>
      </c>
      <c r="E8312" s="35" t="s">
        <v>1754</v>
      </c>
      <c r="F8312" s="35" t="s">
        <v>1755</v>
      </c>
    </row>
    <row r="8313" spans="1:6">
      <c r="A8313" s="34">
        <v>2084050997</v>
      </c>
      <c r="B8313" s="35" t="s">
        <v>462</v>
      </c>
      <c r="C8313" s="35" t="s">
        <v>1751</v>
      </c>
      <c r="D8313" s="35" t="s">
        <v>1752</v>
      </c>
      <c r="E8313" s="35" t="s">
        <v>1754</v>
      </c>
      <c r="F8313" s="35" t="s">
        <v>1756</v>
      </c>
    </row>
    <row r="8314" spans="1:6">
      <c r="A8314" s="34">
        <v>2084051000</v>
      </c>
      <c r="B8314" s="35" t="s">
        <v>462</v>
      </c>
      <c r="C8314" s="35" t="s">
        <v>1751</v>
      </c>
      <c r="D8314" s="35" t="s">
        <v>1752</v>
      </c>
      <c r="E8314" s="35" t="s">
        <v>1754</v>
      </c>
      <c r="F8314" s="35" t="s">
        <v>1757</v>
      </c>
    </row>
    <row r="8315" spans="1:6">
      <c r="A8315" s="34">
        <v>2084050999</v>
      </c>
      <c r="B8315" s="35" t="s">
        <v>462</v>
      </c>
      <c r="C8315" s="35" t="s">
        <v>1751</v>
      </c>
      <c r="D8315" s="35" t="s">
        <v>1752</v>
      </c>
      <c r="E8315" s="35" t="s">
        <v>1754</v>
      </c>
      <c r="F8315" s="35" t="s">
        <v>1758</v>
      </c>
    </row>
    <row r="8316" spans="1:6">
      <c r="A8316" s="34">
        <v>2084051001</v>
      </c>
      <c r="B8316" s="35" t="s">
        <v>462</v>
      </c>
      <c r="C8316" s="35" t="s">
        <v>1751</v>
      </c>
      <c r="D8316" s="35" t="s">
        <v>1752</v>
      </c>
      <c r="E8316" s="35" t="s">
        <v>1754</v>
      </c>
      <c r="F8316" s="35" t="s">
        <v>1759</v>
      </c>
    </row>
    <row r="8317" spans="1:6">
      <c r="A8317" s="34">
        <v>2084051006</v>
      </c>
      <c r="B8317" s="35" t="s">
        <v>462</v>
      </c>
      <c r="C8317" s="35" t="s">
        <v>1751</v>
      </c>
      <c r="D8317" s="35" t="s">
        <v>1752</v>
      </c>
      <c r="E8317" s="35" t="s">
        <v>1760</v>
      </c>
      <c r="F8317" s="35" t="s">
        <v>1761</v>
      </c>
    </row>
    <row r="8318" spans="1:6">
      <c r="A8318" s="34">
        <v>2084051005</v>
      </c>
      <c r="B8318" s="35" t="s">
        <v>462</v>
      </c>
      <c r="C8318" s="35" t="s">
        <v>1751</v>
      </c>
      <c r="D8318" s="35" t="s">
        <v>1752</v>
      </c>
      <c r="E8318" s="35" t="s">
        <v>1760</v>
      </c>
      <c r="F8318" s="35" t="s">
        <v>1762</v>
      </c>
    </row>
    <row r="8319" spans="1:6">
      <c r="A8319" s="34">
        <v>2084051004</v>
      </c>
      <c r="B8319" s="35" t="s">
        <v>462</v>
      </c>
      <c r="C8319" s="35" t="s">
        <v>1751</v>
      </c>
      <c r="D8319" s="35" t="s">
        <v>1752</v>
      </c>
      <c r="E8319" s="35" t="s">
        <v>1760</v>
      </c>
      <c r="F8319" s="35" t="s">
        <v>383</v>
      </c>
    </row>
    <row r="8320" spans="1:6">
      <c r="A8320" s="34">
        <v>2084051007</v>
      </c>
      <c r="B8320" s="35" t="s">
        <v>462</v>
      </c>
      <c r="C8320" s="35" t="s">
        <v>1751</v>
      </c>
      <c r="D8320" s="35" t="s">
        <v>1752</v>
      </c>
      <c r="E8320" s="35" t="s">
        <v>1760</v>
      </c>
      <c r="F8320" s="35" t="s">
        <v>335</v>
      </c>
    </row>
    <row r="8321" spans="1:6">
      <c r="A8321" s="34">
        <v>2084051009</v>
      </c>
      <c r="B8321" s="35" t="s">
        <v>462</v>
      </c>
      <c r="C8321" s="35" t="s">
        <v>1751</v>
      </c>
      <c r="D8321" s="35" t="s">
        <v>1752</v>
      </c>
      <c r="E8321" s="35" t="s">
        <v>335</v>
      </c>
    </row>
    <row r="8322" spans="1:6">
      <c r="A8322" s="34">
        <v>2084050993</v>
      </c>
      <c r="B8322" s="35" t="s">
        <v>462</v>
      </c>
      <c r="C8322" s="35" t="s">
        <v>1751</v>
      </c>
      <c r="D8322" s="35" t="s">
        <v>1763</v>
      </c>
      <c r="E8322" s="35" t="s">
        <v>1753</v>
      </c>
    </row>
    <row r="8323" spans="1:6">
      <c r="A8323" s="34">
        <v>2084050983</v>
      </c>
      <c r="B8323" s="35" t="s">
        <v>462</v>
      </c>
      <c r="C8323" s="35" t="s">
        <v>1751</v>
      </c>
      <c r="D8323" s="35" t="s">
        <v>1763</v>
      </c>
      <c r="E8323" s="35" t="s">
        <v>1754</v>
      </c>
      <c r="F8323" s="35" t="s">
        <v>1755</v>
      </c>
    </row>
    <row r="8324" spans="1:6">
      <c r="A8324" s="34">
        <v>2084050982</v>
      </c>
      <c r="B8324" s="35" t="s">
        <v>462</v>
      </c>
      <c r="C8324" s="35" t="s">
        <v>1751</v>
      </c>
      <c r="D8324" s="35" t="s">
        <v>1763</v>
      </c>
      <c r="E8324" s="35" t="s">
        <v>1754</v>
      </c>
      <c r="F8324" s="35" t="s">
        <v>1756</v>
      </c>
    </row>
    <row r="8325" spans="1:6">
      <c r="A8325" s="34">
        <v>2084050985</v>
      </c>
      <c r="B8325" s="35" t="s">
        <v>462</v>
      </c>
      <c r="C8325" s="35" t="s">
        <v>1751</v>
      </c>
      <c r="D8325" s="35" t="s">
        <v>1763</v>
      </c>
      <c r="E8325" s="35" t="s">
        <v>1754</v>
      </c>
      <c r="F8325" s="35" t="s">
        <v>1757</v>
      </c>
    </row>
    <row r="8326" spans="1:6">
      <c r="A8326" s="34">
        <v>2084050984</v>
      </c>
      <c r="B8326" s="35" t="s">
        <v>462</v>
      </c>
      <c r="C8326" s="35" t="s">
        <v>1751</v>
      </c>
      <c r="D8326" s="35" t="s">
        <v>1763</v>
      </c>
      <c r="E8326" s="35" t="s">
        <v>1754</v>
      </c>
      <c r="F8326" s="35" t="s">
        <v>1758</v>
      </c>
    </row>
    <row r="8327" spans="1:6">
      <c r="A8327" s="34">
        <v>2084050986</v>
      </c>
      <c r="B8327" s="35" t="s">
        <v>462</v>
      </c>
      <c r="C8327" s="35" t="s">
        <v>1751</v>
      </c>
      <c r="D8327" s="35" t="s">
        <v>1763</v>
      </c>
      <c r="E8327" s="35" t="s">
        <v>1754</v>
      </c>
      <c r="F8327" s="35" t="s">
        <v>1759</v>
      </c>
    </row>
    <row r="8328" spans="1:6">
      <c r="A8328" s="34">
        <v>2084050987</v>
      </c>
      <c r="B8328" s="35" t="s">
        <v>462</v>
      </c>
      <c r="C8328" s="35" t="s">
        <v>1751</v>
      </c>
      <c r="D8328" s="35" t="s">
        <v>1763</v>
      </c>
      <c r="E8328" s="35" t="s">
        <v>1754</v>
      </c>
      <c r="F8328" s="35" t="s">
        <v>335</v>
      </c>
    </row>
    <row r="8329" spans="1:6">
      <c r="A8329" s="34">
        <v>2084050991</v>
      </c>
      <c r="B8329" s="35" t="s">
        <v>462</v>
      </c>
      <c r="C8329" s="35" t="s">
        <v>1751</v>
      </c>
      <c r="D8329" s="35" t="s">
        <v>1763</v>
      </c>
      <c r="E8329" s="35" t="s">
        <v>1760</v>
      </c>
      <c r="F8329" s="35" t="s">
        <v>1761</v>
      </c>
    </row>
    <row r="8330" spans="1:6">
      <c r="A8330" s="34">
        <v>2084050990</v>
      </c>
      <c r="B8330" s="35" t="s">
        <v>462</v>
      </c>
      <c r="C8330" s="35" t="s">
        <v>1751</v>
      </c>
      <c r="D8330" s="35" t="s">
        <v>1763</v>
      </c>
      <c r="E8330" s="35" t="s">
        <v>1760</v>
      </c>
      <c r="F8330" s="35" t="s">
        <v>1762</v>
      </c>
    </row>
    <row r="8331" spans="1:6">
      <c r="A8331" s="34">
        <v>2084050989</v>
      </c>
      <c r="B8331" s="35" t="s">
        <v>462</v>
      </c>
      <c r="C8331" s="35" t="s">
        <v>1751</v>
      </c>
      <c r="D8331" s="35" t="s">
        <v>1763</v>
      </c>
      <c r="E8331" s="35" t="s">
        <v>1760</v>
      </c>
      <c r="F8331" s="35" t="s">
        <v>383</v>
      </c>
    </row>
    <row r="8332" spans="1:6">
      <c r="A8332" s="34">
        <v>2084050992</v>
      </c>
      <c r="B8332" s="35" t="s">
        <v>462</v>
      </c>
      <c r="C8332" s="35" t="s">
        <v>1751</v>
      </c>
      <c r="D8332" s="35" t="s">
        <v>1763</v>
      </c>
      <c r="E8332" s="35" t="s">
        <v>1760</v>
      </c>
      <c r="F8332" s="35" t="s">
        <v>335</v>
      </c>
    </row>
    <row r="8333" spans="1:6">
      <c r="A8333" s="34">
        <v>2084050995</v>
      </c>
      <c r="B8333" s="35" t="s">
        <v>462</v>
      </c>
      <c r="C8333" s="35" t="s">
        <v>1751</v>
      </c>
      <c r="D8333" s="35" t="s">
        <v>1763</v>
      </c>
      <c r="E8333" s="35" t="s">
        <v>335</v>
      </c>
    </row>
    <row r="8334" spans="1:6">
      <c r="A8334" s="34">
        <v>2084051023</v>
      </c>
      <c r="B8334" s="35" t="s">
        <v>462</v>
      </c>
      <c r="C8334" s="35" t="s">
        <v>1751</v>
      </c>
      <c r="D8334" s="35" t="s">
        <v>1764</v>
      </c>
      <c r="E8334" s="35" t="s">
        <v>1753</v>
      </c>
    </row>
    <row r="8335" spans="1:6">
      <c r="A8335" s="34">
        <v>2084051013</v>
      </c>
      <c r="B8335" s="35" t="s">
        <v>462</v>
      </c>
      <c r="C8335" s="35" t="s">
        <v>1751</v>
      </c>
      <c r="D8335" s="35" t="s">
        <v>1764</v>
      </c>
      <c r="E8335" s="35" t="s">
        <v>1754</v>
      </c>
      <c r="F8335" s="35" t="s">
        <v>1755</v>
      </c>
    </row>
    <row r="8336" spans="1:6">
      <c r="A8336" s="34">
        <v>2084051012</v>
      </c>
      <c r="B8336" s="35" t="s">
        <v>462</v>
      </c>
      <c r="C8336" s="35" t="s">
        <v>1751</v>
      </c>
      <c r="D8336" s="35" t="s">
        <v>1764</v>
      </c>
      <c r="E8336" s="35" t="s">
        <v>1754</v>
      </c>
      <c r="F8336" s="35" t="s">
        <v>1756</v>
      </c>
    </row>
    <row r="8337" spans="1:6">
      <c r="A8337" s="34">
        <v>2084051015</v>
      </c>
      <c r="B8337" s="35" t="s">
        <v>462</v>
      </c>
      <c r="C8337" s="35" t="s">
        <v>1751</v>
      </c>
      <c r="D8337" s="35" t="s">
        <v>1764</v>
      </c>
      <c r="E8337" s="35" t="s">
        <v>1754</v>
      </c>
      <c r="F8337" s="35" t="s">
        <v>1757</v>
      </c>
    </row>
    <row r="8338" spans="1:6">
      <c r="A8338" s="34">
        <v>2084051014</v>
      </c>
      <c r="B8338" s="35" t="s">
        <v>462</v>
      </c>
      <c r="C8338" s="35" t="s">
        <v>1751</v>
      </c>
      <c r="D8338" s="35" t="s">
        <v>1764</v>
      </c>
      <c r="E8338" s="35" t="s">
        <v>1754</v>
      </c>
      <c r="F8338" s="35" t="s">
        <v>1758</v>
      </c>
    </row>
    <row r="8339" spans="1:6">
      <c r="A8339" s="34">
        <v>2084051016</v>
      </c>
      <c r="B8339" s="35" t="s">
        <v>462</v>
      </c>
      <c r="C8339" s="35" t="s">
        <v>1751</v>
      </c>
      <c r="D8339" s="35" t="s">
        <v>1764</v>
      </c>
      <c r="E8339" s="35" t="s">
        <v>1754</v>
      </c>
      <c r="F8339" s="35" t="s">
        <v>1759</v>
      </c>
    </row>
    <row r="8340" spans="1:6">
      <c r="A8340" s="34">
        <v>2084051017</v>
      </c>
      <c r="B8340" s="35" t="s">
        <v>462</v>
      </c>
      <c r="C8340" s="35" t="s">
        <v>1751</v>
      </c>
      <c r="D8340" s="35" t="s">
        <v>1764</v>
      </c>
      <c r="E8340" s="35" t="s">
        <v>1754</v>
      </c>
      <c r="F8340" s="35" t="s">
        <v>335</v>
      </c>
    </row>
    <row r="8341" spans="1:6">
      <c r="A8341" s="34">
        <v>2084051021</v>
      </c>
      <c r="B8341" s="35" t="s">
        <v>462</v>
      </c>
      <c r="C8341" s="35" t="s">
        <v>1751</v>
      </c>
      <c r="D8341" s="35" t="s">
        <v>1764</v>
      </c>
      <c r="E8341" s="35" t="s">
        <v>1760</v>
      </c>
      <c r="F8341" s="35" t="s">
        <v>1761</v>
      </c>
    </row>
    <row r="8342" spans="1:6">
      <c r="A8342" s="34">
        <v>2084051020</v>
      </c>
      <c r="B8342" s="35" t="s">
        <v>462</v>
      </c>
      <c r="C8342" s="35" t="s">
        <v>1751</v>
      </c>
      <c r="D8342" s="35" t="s">
        <v>1764</v>
      </c>
      <c r="E8342" s="35" t="s">
        <v>1760</v>
      </c>
      <c r="F8342" s="35" t="s">
        <v>1762</v>
      </c>
    </row>
    <row r="8343" spans="1:6">
      <c r="A8343" s="34">
        <v>2084051019</v>
      </c>
      <c r="B8343" s="35" t="s">
        <v>462</v>
      </c>
      <c r="C8343" s="35" t="s">
        <v>1751</v>
      </c>
      <c r="D8343" s="35" t="s">
        <v>1764</v>
      </c>
      <c r="E8343" s="35" t="s">
        <v>1760</v>
      </c>
      <c r="F8343" s="35" t="s">
        <v>383</v>
      </c>
    </row>
    <row r="8344" spans="1:6">
      <c r="A8344" s="34">
        <v>2084051022</v>
      </c>
      <c r="B8344" s="35" t="s">
        <v>462</v>
      </c>
      <c r="C8344" s="35" t="s">
        <v>1751</v>
      </c>
      <c r="D8344" s="35" t="s">
        <v>1764</v>
      </c>
      <c r="E8344" s="35" t="s">
        <v>1760</v>
      </c>
      <c r="F8344" s="35" t="s">
        <v>335</v>
      </c>
    </row>
    <row r="8345" spans="1:6">
      <c r="A8345" s="34">
        <v>2084051024</v>
      </c>
      <c r="B8345" s="35" t="s">
        <v>462</v>
      </c>
      <c r="C8345" s="35" t="s">
        <v>1751</v>
      </c>
      <c r="D8345" s="35" t="s">
        <v>1764</v>
      </c>
      <c r="E8345" s="35" t="s">
        <v>335</v>
      </c>
    </row>
    <row r="8346" spans="1:6">
      <c r="A8346" s="34">
        <v>2084007482</v>
      </c>
      <c r="B8346" s="35" t="s">
        <v>462</v>
      </c>
      <c r="C8346" s="35" t="s">
        <v>1751</v>
      </c>
      <c r="D8346" s="35" t="s">
        <v>859</v>
      </c>
    </row>
    <row r="8347" spans="1:6">
      <c r="A8347" s="34">
        <v>2084008312</v>
      </c>
      <c r="B8347" s="35" t="s">
        <v>462</v>
      </c>
      <c r="C8347" s="35" t="s">
        <v>1751</v>
      </c>
      <c r="D8347" s="35" t="s">
        <v>1424</v>
      </c>
    </row>
    <row r="8348" spans="1:6">
      <c r="A8348" s="34">
        <v>2084008347</v>
      </c>
      <c r="B8348" s="35" t="s">
        <v>462</v>
      </c>
      <c r="C8348" s="35" t="s">
        <v>1751</v>
      </c>
      <c r="D8348" s="35" t="s">
        <v>1284</v>
      </c>
    </row>
    <row r="8349" spans="1:6">
      <c r="A8349" s="34">
        <v>2084008318</v>
      </c>
      <c r="B8349" s="35" t="s">
        <v>462</v>
      </c>
      <c r="C8349" s="35" t="s">
        <v>1751</v>
      </c>
      <c r="D8349" s="35" t="s">
        <v>951</v>
      </c>
    </row>
    <row r="8350" spans="1:6">
      <c r="A8350" s="34">
        <v>2084008307</v>
      </c>
      <c r="B8350" s="35" t="s">
        <v>462</v>
      </c>
      <c r="C8350" s="35" t="s">
        <v>1751</v>
      </c>
      <c r="D8350" s="35" t="s">
        <v>1765</v>
      </c>
    </row>
    <row r="8351" spans="1:6">
      <c r="A8351" s="34">
        <v>2084008306</v>
      </c>
      <c r="B8351" s="35" t="s">
        <v>462</v>
      </c>
      <c r="C8351" s="35" t="s">
        <v>1751</v>
      </c>
      <c r="D8351" s="35" t="s">
        <v>1766</v>
      </c>
    </row>
    <row r="8352" spans="1:6">
      <c r="A8352" s="34">
        <v>2084008333</v>
      </c>
      <c r="B8352" s="35" t="s">
        <v>462</v>
      </c>
      <c r="C8352" s="35" t="s">
        <v>1751</v>
      </c>
      <c r="D8352" s="35" t="s">
        <v>910</v>
      </c>
    </row>
    <row r="8353" spans="1:5">
      <c r="A8353" s="34">
        <v>2084008310</v>
      </c>
      <c r="B8353" s="35" t="s">
        <v>462</v>
      </c>
      <c r="C8353" s="35" t="s">
        <v>1751</v>
      </c>
      <c r="D8353" s="35" t="s">
        <v>911</v>
      </c>
    </row>
    <row r="8354" spans="1:5">
      <c r="A8354" s="34">
        <v>2084008348</v>
      </c>
      <c r="B8354" s="35" t="s">
        <v>462</v>
      </c>
      <c r="C8354" s="35" t="s">
        <v>1751</v>
      </c>
      <c r="D8354" s="35" t="s">
        <v>1767</v>
      </c>
    </row>
    <row r="8355" spans="1:5">
      <c r="A8355" s="34">
        <v>2084050512</v>
      </c>
      <c r="B8355" s="35" t="s">
        <v>462</v>
      </c>
      <c r="C8355" s="35" t="s">
        <v>1751</v>
      </c>
      <c r="D8355" s="35" t="s">
        <v>952</v>
      </c>
    </row>
    <row r="8356" spans="1:5">
      <c r="A8356" s="34">
        <v>2084008316</v>
      </c>
      <c r="B8356" s="35" t="s">
        <v>462</v>
      </c>
      <c r="C8356" s="35" t="s">
        <v>1751</v>
      </c>
      <c r="D8356" s="35" t="s">
        <v>1425</v>
      </c>
    </row>
    <row r="8357" spans="1:5">
      <c r="A8357" s="34">
        <v>2084008317</v>
      </c>
      <c r="B8357" s="35" t="s">
        <v>462</v>
      </c>
      <c r="C8357" s="35" t="s">
        <v>1751</v>
      </c>
      <c r="D8357" s="35" t="s">
        <v>1768</v>
      </c>
    </row>
    <row r="8358" spans="1:5">
      <c r="A8358" s="34">
        <v>2084023781</v>
      </c>
      <c r="B8358" s="35" t="s">
        <v>462</v>
      </c>
      <c r="C8358" s="35" t="s">
        <v>1769</v>
      </c>
      <c r="D8358" s="35" t="s">
        <v>1770</v>
      </c>
    </row>
    <row r="8359" spans="1:5">
      <c r="A8359" s="34">
        <v>2084007838</v>
      </c>
      <c r="B8359" s="35" t="s">
        <v>462</v>
      </c>
      <c r="C8359" s="35" t="s">
        <v>1769</v>
      </c>
      <c r="D8359" s="35" t="s">
        <v>1771</v>
      </c>
      <c r="E8359" s="35" t="s">
        <v>788</v>
      </c>
    </row>
    <row r="8360" spans="1:5">
      <c r="A8360" s="34">
        <v>2084007839</v>
      </c>
      <c r="B8360" s="35" t="s">
        <v>462</v>
      </c>
      <c r="C8360" s="35" t="s">
        <v>1769</v>
      </c>
      <c r="D8360" s="35" t="s">
        <v>1771</v>
      </c>
      <c r="E8360" s="35" t="s">
        <v>789</v>
      </c>
    </row>
    <row r="8361" spans="1:5">
      <c r="A8361" s="34">
        <v>2084007840</v>
      </c>
      <c r="B8361" s="35" t="s">
        <v>462</v>
      </c>
      <c r="C8361" s="35" t="s">
        <v>1769</v>
      </c>
      <c r="D8361" s="35" t="s">
        <v>1771</v>
      </c>
      <c r="E8361" s="35" t="s">
        <v>790</v>
      </c>
    </row>
    <row r="8362" spans="1:5">
      <c r="A8362" s="34">
        <v>2084007841</v>
      </c>
      <c r="B8362" s="35" t="s">
        <v>462</v>
      </c>
      <c r="C8362" s="35" t="s">
        <v>1769</v>
      </c>
      <c r="D8362" s="35" t="s">
        <v>1771</v>
      </c>
      <c r="E8362" s="35" t="s">
        <v>791</v>
      </c>
    </row>
    <row r="8363" spans="1:5">
      <c r="A8363" s="34">
        <v>2084007842</v>
      </c>
      <c r="B8363" s="35" t="s">
        <v>462</v>
      </c>
      <c r="C8363" s="35" t="s">
        <v>1769</v>
      </c>
      <c r="D8363" s="35" t="s">
        <v>1771</v>
      </c>
      <c r="E8363" s="35" t="s">
        <v>792</v>
      </c>
    </row>
    <row r="8364" spans="1:5">
      <c r="A8364" s="34">
        <v>2084007843</v>
      </c>
      <c r="B8364" s="35" t="s">
        <v>462</v>
      </c>
      <c r="C8364" s="35" t="s">
        <v>1769</v>
      </c>
      <c r="D8364" s="35" t="s">
        <v>1771</v>
      </c>
      <c r="E8364" s="35" t="s">
        <v>793</v>
      </c>
    </row>
    <row r="8365" spans="1:5">
      <c r="A8365" s="34">
        <v>2084007844</v>
      </c>
      <c r="B8365" s="35" t="s">
        <v>462</v>
      </c>
      <c r="C8365" s="35" t="s">
        <v>1769</v>
      </c>
      <c r="D8365" s="35" t="s">
        <v>1771</v>
      </c>
      <c r="E8365" s="35" t="s">
        <v>876</v>
      </c>
    </row>
    <row r="8366" spans="1:5">
      <c r="A8366" s="34">
        <v>2084007845</v>
      </c>
      <c r="B8366" s="35" t="s">
        <v>462</v>
      </c>
      <c r="C8366" s="35" t="s">
        <v>1769</v>
      </c>
      <c r="D8366" s="35" t="s">
        <v>1771</v>
      </c>
      <c r="E8366" s="35" t="s">
        <v>877</v>
      </c>
    </row>
    <row r="8367" spans="1:5">
      <c r="A8367" s="34">
        <v>2084007846</v>
      </c>
      <c r="B8367" s="35" t="s">
        <v>462</v>
      </c>
      <c r="C8367" s="35" t="s">
        <v>1769</v>
      </c>
      <c r="D8367" s="35" t="s">
        <v>1771</v>
      </c>
      <c r="E8367" s="35" t="s">
        <v>1772</v>
      </c>
    </row>
    <row r="8368" spans="1:5">
      <c r="A8368" s="34">
        <v>2084059584</v>
      </c>
      <c r="B8368" s="35" t="s">
        <v>462</v>
      </c>
      <c r="C8368" s="35" t="s">
        <v>1769</v>
      </c>
      <c r="D8368" s="35" t="s">
        <v>1773</v>
      </c>
      <c r="E8368" s="35" t="s">
        <v>356</v>
      </c>
    </row>
    <row r="8369" spans="1:6">
      <c r="A8369" s="34">
        <v>2084224466</v>
      </c>
      <c r="B8369" s="35" t="s">
        <v>462</v>
      </c>
      <c r="C8369" s="35" t="s">
        <v>1769</v>
      </c>
      <c r="D8369" s="35" t="s">
        <v>1773</v>
      </c>
      <c r="E8369" s="35" t="s">
        <v>492</v>
      </c>
      <c r="F8369" s="35" t="s">
        <v>788</v>
      </c>
    </row>
    <row r="8370" spans="1:6">
      <c r="A8370" s="34">
        <v>2084224467</v>
      </c>
      <c r="B8370" s="35" t="s">
        <v>462</v>
      </c>
      <c r="C8370" s="35" t="s">
        <v>1769</v>
      </c>
      <c r="D8370" s="35" t="s">
        <v>1773</v>
      </c>
      <c r="E8370" s="35" t="s">
        <v>492</v>
      </c>
      <c r="F8370" s="35" t="s">
        <v>789</v>
      </c>
    </row>
    <row r="8371" spans="1:6">
      <c r="A8371" s="34">
        <v>2084224468</v>
      </c>
      <c r="B8371" s="35" t="s">
        <v>462</v>
      </c>
      <c r="C8371" s="35" t="s">
        <v>1769</v>
      </c>
      <c r="D8371" s="35" t="s">
        <v>1773</v>
      </c>
      <c r="E8371" s="35" t="s">
        <v>492</v>
      </c>
      <c r="F8371" s="35" t="s">
        <v>790</v>
      </c>
    </row>
    <row r="8372" spans="1:6">
      <c r="A8372" s="34">
        <v>2084224469</v>
      </c>
      <c r="B8372" s="35" t="s">
        <v>462</v>
      </c>
      <c r="C8372" s="35" t="s">
        <v>1769</v>
      </c>
      <c r="D8372" s="35" t="s">
        <v>1773</v>
      </c>
      <c r="E8372" s="35" t="s">
        <v>492</v>
      </c>
      <c r="F8372" s="35" t="s">
        <v>791</v>
      </c>
    </row>
    <row r="8373" spans="1:6">
      <c r="A8373" s="34">
        <v>2084224470</v>
      </c>
      <c r="B8373" s="35" t="s">
        <v>462</v>
      </c>
      <c r="C8373" s="35" t="s">
        <v>1769</v>
      </c>
      <c r="D8373" s="35" t="s">
        <v>1773</v>
      </c>
      <c r="E8373" s="35" t="s">
        <v>492</v>
      </c>
      <c r="F8373" s="35" t="s">
        <v>792</v>
      </c>
    </row>
    <row r="8374" spans="1:6">
      <c r="A8374" s="34">
        <v>2084224471</v>
      </c>
      <c r="B8374" s="35" t="s">
        <v>462</v>
      </c>
      <c r="C8374" s="35" t="s">
        <v>1769</v>
      </c>
      <c r="D8374" s="35" t="s">
        <v>1773</v>
      </c>
      <c r="E8374" s="35" t="s">
        <v>492</v>
      </c>
      <c r="F8374" s="35" t="s">
        <v>793</v>
      </c>
    </row>
    <row r="8375" spans="1:6">
      <c r="A8375" s="34">
        <v>2084224472</v>
      </c>
      <c r="B8375" s="35" t="s">
        <v>462</v>
      </c>
      <c r="C8375" s="35" t="s">
        <v>1769</v>
      </c>
      <c r="D8375" s="35" t="s">
        <v>1773</v>
      </c>
      <c r="E8375" s="35" t="s">
        <v>492</v>
      </c>
      <c r="F8375" s="35" t="s">
        <v>876</v>
      </c>
    </row>
    <row r="8376" spans="1:6">
      <c r="A8376" s="34">
        <v>2084224473</v>
      </c>
      <c r="B8376" s="35" t="s">
        <v>462</v>
      </c>
      <c r="C8376" s="35" t="s">
        <v>1769</v>
      </c>
      <c r="D8376" s="35" t="s">
        <v>1773</v>
      </c>
      <c r="E8376" s="35" t="s">
        <v>492</v>
      </c>
      <c r="F8376" s="35" t="s">
        <v>877</v>
      </c>
    </row>
    <row r="8377" spans="1:6">
      <c r="A8377" s="34">
        <v>2084224474</v>
      </c>
      <c r="B8377" s="35" t="s">
        <v>462</v>
      </c>
      <c r="C8377" s="35" t="s">
        <v>1769</v>
      </c>
      <c r="D8377" s="35" t="s">
        <v>1773</v>
      </c>
      <c r="E8377" s="35" t="s">
        <v>492</v>
      </c>
      <c r="F8377" s="35" t="s">
        <v>1772</v>
      </c>
    </row>
    <row r="8378" spans="1:6">
      <c r="A8378" s="34">
        <v>2084007241</v>
      </c>
      <c r="B8378" s="35" t="s">
        <v>462</v>
      </c>
      <c r="C8378" s="35" t="s">
        <v>1769</v>
      </c>
      <c r="D8378" s="35" t="s">
        <v>1773</v>
      </c>
      <c r="E8378" s="35" t="s">
        <v>1774</v>
      </c>
    </row>
    <row r="8379" spans="1:6">
      <c r="A8379" s="34">
        <v>2084224475</v>
      </c>
      <c r="B8379" s="35" t="s">
        <v>462</v>
      </c>
      <c r="C8379" s="35" t="s">
        <v>1769</v>
      </c>
      <c r="D8379" s="35" t="s">
        <v>1773</v>
      </c>
      <c r="E8379" s="35" t="s">
        <v>1775</v>
      </c>
      <c r="F8379" s="35" t="s">
        <v>788</v>
      </c>
    </row>
    <row r="8380" spans="1:6">
      <c r="A8380" s="34">
        <v>2084224476</v>
      </c>
      <c r="B8380" s="35" t="s">
        <v>462</v>
      </c>
      <c r="C8380" s="35" t="s">
        <v>1769</v>
      </c>
      <c r="D8380" s="35" t="s">
        <v>1773</v>
      </c>
      <c r="E8380" s="35" t="s">
        <v>1775</v>
      </c>
      <c r="F8380" s="35" t="s">
        <v>789</v>
      </c>
    </row>
    <row r="8381" spans="1:6">
      <c r="A8381" s="34">
        <v>2084224477</v>
      </c>
      <c r="B8381" s="35" t="s">
        <v>462</v>
      </c>
      <c r="C8381" s="35" t="s">
        <v>1769</v>
      </c>
      <c r="D8381" s="35" t="s">
        <v>1773</v>
      </c>
      <c r="E8381" s="35" t="s">
        <v>1775</v>
      </c>
      <c r="F8381" s="35" t="s">
        <v>790</v>
      </c>
    </row>
    <row r="8382" spans="1:6">
      <c r="A8382" s="34">
        <v>2084224478</v>
      </c>
      <c r="B8382" s="35" t="s">
        <v>462</v>
      </c>
      <c r="C8382" s="35" t="s">
        <v>1769</v>
      </c>
      <c r="D8382" s="35" t="s">
        <v>1773</v>
      </c>
      <c r="E8382" s="35" t="s">
        <v>1775</v>
      </c>
      <c r="F8382" s="35" t="s">
        <v>791</v>
      </c>
    </row>
    <row r="8383" spans="1:6">
      <c r="A8383" s="34">
        <v>2084224479</v>
      </c>
      <c r="B8383" s="35" t="s">
        <v>462</v>
      </c>
      <c r="C8383" s="35" t="s">
        <v>1769</v>
      </c>
      <c r="D8383" s="35" t="s">
        <v>1773</v>
      </c>
      <c r="E8383" s="35" t="s">
        <v>1775</v>
      </c>
      <c r="F8383" s="35" t="s">
        <v>792</v>
      </c>
    </row>
    <row r="8384" spans="1:6">
      <c r="A8384" s="34">
        <v>2084224480</v>
      </c>
      <c r="B8384" s="35" t="s">
        <v>462</v>
      </c>
      <c r="C8384" s="35" t="s">
        <v>1769</v>
      </c>
      <c r="D8384" s="35" t="s">
        <v>1773</v>
      </c>
      <c r="E8384" s="35" t="s">
        <v>1775</v>
      </c>
      <c r="F8384" s="35" t="s">
        <v>793</v>
      </c>
    </row>
    <row r="8385" spans="1:6">
      <c r="A8385" s="34">
        <v>2084224481</v>
      </c>
      <c r="B8385" s="35" t="s">
        <v>462</v>
      </c>
      <c r="C8385" s="35" t="s">
        <v>1769</v>
      </c>
      <c r="D8385" s="35" t="s">
        <v>1773</v>
      </c>
      <c r="E8385" s="35" t="s">
        <v>1775</v>
      </c>
      <c r="F8385" s="35" t="s">
        <v>876</v>
      </c>
    </row>
    <row r="8386" spans="1:6">
      <c r="A8386" s="34">
        <v>2084224482</v>
      </c>
      <c r="B8386" s="35" t="s">
        <v>462</v>
      </c>
      <c r="C8386" s="35" t="s">
        <v>1769</v>
      </c>
      <c r="D8386" s="35" t="s">
        <v>1773</v>
      </c>
      <c r="E8386" s="35" t="s">
        <v>1775</v>
      </c>
      <c r="F8386" s="35" t="s">
        <v>877</v>
      </c>
    </row>
    <row r="8387" spans="1:6">
      <c r="A8387" s="34">
        <v>2084224483</v>
      </c>
      <c r="B8387" s="35" t="s">
        <v>462</v>
      </c>
      <c r="C8387" s="35" t="s">
        <v>1769</v>
      </c>
      <c r="D8387" s="35" t="s">
        <v>1773</v>
      </c>
      <c r="E8387" s="35" t="s">
        <v>1775</v>
      </c>
      <c r="F8387" s="35" t="s">
        <v>1772</v>
      </c>
    </row>
    <row r="8388" spans="1:6">
      <c r="A8388" s="34">
        <v>2084224484</v>
      </c>
      <c r="B8388" s="35" t="s">
        <v>462</v>
      </c>
      <c r="C8388" s="35" t="s">
        <v>1769</v>
      </c>
      <c r="D8388" s="35" t="s">
        <v>1773</v>
      </c>
      <c r="E8388" s="35" t="s">
        <v>1776</v>
      </c>
      <c r="F8388" s="35" t="s">
        <v>788</v>
      </c>
    </row>
    <row r="8389" spans="1:6">
      <c r="A8389" s="34">
        <v>2084224485</v>
      </c>
      <c r="B8389" s="35" t="s">
        <v>462</v>
      </c>
      <c r="C8389" s="35" t="s">
        <v>1769</v>
      </c>
      <c r="D8389" s="35" t="s">
        <v>1773</v>
      </c>
      <c r="E8389" s="35" t="s">
        <v>1776</v>
      </c>
      <c r="F8389" s="35" t="s">
        <v>789</v>
      </c>
    </row>
    <row r="8390" spans="1:6">
      <c r="A8390" s="34">
        <v>2084224486</v>
      </c>
      <c r="B8390" s="35" t="s">
        <v>462</v>
      </c>
      <c r="C8390" s="35" t="s">
        <v>1769</v>
      </c>
      <c r="D8390" s="35" t="s">
        <v>1773</v>
      </c>
      <c r="E8390" s="35" t="s">
        <v>1776</v>
      </c>
      <c r="F8390" s="35" t="s">
        <v>790</v>
      </c>
    </row>
    <row r="8391" spans="1:6">
      <c r="A8391" s="34">
        <v>2084224487</v>
      </c>
      <c r="B8391" s="35" t="s">
        <v>462</v>
      </c>
      <c r="C8391" s="35" t="s">
        <v>1769</v>
      </c>
      <c r="D8391" s="35" t="s">
        <v>1773</v>
      </c>
      <c r="E8391" s="35" t="s">
        <v>1776</v>
      </c>
      <c r="F8391" s="35" t="s">
        <v>791</v>
      </c>
    </row>
    <row r="8392" spans="1:6">
      <c r="A8392" s="34">
        <v>2084224488</v>
      </c>
      <c r="B8392" s="35" t="s">
        <v>462</v>
      </c>
      <c r="C8392" s="35" t="s">
        <v>1769</v>
      </c>
      <c r="D8392" s="35" t="s">
        <v>1773</v>
      </c>
      <c r="E8392" s="35" t="s">
        <v>1776</v>
      </c>
      <c r="F8392" s="35" t="s">
        <v>792</v>
      </c>
    </row>
    <row r="8393" spans="1:6">
      <c r="A8393" s="34">
        <v>2084224489</v>
      </c>
      <c r="B8393" s="35" t="s">
        <v>462</v>
      </c>
      <c r="C8393" s="35" t="s">
        <v>1769</v>
      </c>
      <c r="D8393" s="35" t="s">
        <v>1773</v>
      </c>
      <c r="E8393" s="35" t="s">
        <v>1776</v>
      </c>
      <c r="F8393" s="35" t="s">
        <v>793</v>
      </c>
    </row>
    <row r="8394" spans="1:6">
      <c r="A8394" s="34">
        <v>2084224490</v>
      </c>
      <c r="B8394" s="35" t="s">
        <v>462</v>
      </c>
      <c r="C8394" s="35" t="s">
        <v>1769</v>
      </c>
      <c r="D8394" s="35" t="s">
        <v>1773</v>
      </c>
      <c r="E8394" s="35" t="s">
        <v>1776</v>
      </c>
      <c r="F8394" s="35" t="s">
        <v>876</v>
      </c>
    </row>
    <row r="8395" spans="1:6">
      <c r="A8395" s="34">
        <v>2084224491</v>
      </c>
      <c r="B8395" s="35" t="s">
        <v>462</v>
      </c>
      <c r="C8395" s="35" t="s">
        <v>1769</v>
      </c>
      <c r="D8395" s="35" t="s">
        <v>1773</v>
      </c>
      <c r="E8395" s="35" t="s">
        <v>1776</v>
      </c>
      <c r="F8395" s="35" t="s">
        <v>877</v>
      </c>
    </row>
    <row r="8396" spans="1:6">
      <c r="A8396" s="34">
        <v>2084224492</v>
      </c>
      <c r="B8396" s="35" t="s">
        <v>462</v>
      </c>
      <c r="C8396" s="35" t="s">
        <v>1769</v>
      </c>
      <c r="D8396" s="35" t="s">
        <v>1773</v>
      </c>
      <c r="E8396" s="35" t="s">
        <v>1776</v>
      </c>
      <c r="F8396" s="35" t="s">
        <v>1772</v>
      </c>
    </row>
    <row r="8397" spans="1:6">
      <c r="A8397" s="34">
        <v>2084224493</v>
      </c>
      <c r="B8397" s="35" t="s">
        <v>462</v>
      </c>
      <c r="C8397" s="35" t="s">
        <v>1769</v>
      </c>
      <c r="D8397" s="35" t="s">
        <v>1773</v>
      </c>
      <c r="E8397" s="35" t="s">
        <v>1132</v>
      </c>
      <c r="F8397" s="35" t="s">
        <v>788</v>
      </c>
    </row>
    <row r="8398" spans="1:6">
      <c r="A8398" s="34">
        <v>2084224494</v>
      </c>
      <c r="B8398" s="35" t="s">
        <v>462</v>
      </c>
      <c r="C8398" s="35" t="s">
        <v>1769</v>
      </c>
      <c r="D8398" s="35" t="s">
        <v>1773</v>
      </c>
      <c r="E8398" s="35" t="s">
        <v>1132</v>
      </c>
      <c r="F8398" s="35" t="s">
        <v>789</v>
      </c>
    </row>
    <row r="8399" spans="1:6">
      <c r="A8399" s="34">
        <v>2084224495</v>
      </c>
      <c r="B8399" s="35" t="s">
        <v>462</v>
      </c>
      <c r="C8399" s="35" t="s">
        <v>1769</v>
      </c>
      <c r="D8399" s="35" t="s">
        <v>1773</v>
      </c>
      <c r="E8399" s="35" t="s">
        <v>1132</v>
      </c>
      <c r="F8399" s="35" t="s">
        <v>790</v>
      </c>
    </row>
    <row r="8400" spans="1:6">
      <c r="A8400" s="34">
        <v>2084224496</v>
      </c>
      <c r="B8400" s="35" t="s">
        <v>462</v>
      </c>
      <c r="C8400" s="35" t="s">
        <v>1769</v>
      </c>
      <c r="D8400" s="35" t="s">
        <v>1773</v>
      </c>
      <c r="E8400" s="35" t="s">
        <v>1132</v>
      </c>
      <c r="F8400" s="35" t="s">
        <v>791</v>
      </c>
    </row>
    <row r="8401" spans="1:6">
      <c r="A8401" s="34">
        <v>2084224497</v>
      </c>
      <c r="B8401" s="35" t="s">
        <v>462</v>
      </c>
      <c r="C8401" s="35" t="s">
        <v>1769</v>
      </c>
      <c r="D8401" s="35" t="s">
        <v>1773</v>
      </c>
      <c r="E8401" s="35" t="s">
        <v>1132</v>
      </c>
      <c r="F8401" s="35" t="s">
        <v>792</v>
      </c>
    </row>
    <row r="8402" spans="1:6">
      <c r="A8402" s="34">
        <v>2084224498</v>
      </c>
      <c r="B8402" s="35" t="s">
        <v>462</v>
      </c>
      <c r="C8402" s="35" t="s">
        <v>1769</v>
      </c>
      <c r="D8402" s="35" t="s">
        <v>1773</v>
      </c>
      <c r="E8402" s="35" t="s">
        <v>1132</v>
      </c>
      <c r="F8402" s="35" t="s">
        <v>793</v>
      </c>
    </row>
    <row r="8403" spans="1:6">
      <c r="A8403" s="34">
        <v>2084224499</v>
      </c>
      <c r="B8403" s="35" t="s">
        <v>462</v>
      </c>
      <c r="C8403" s="35" t="s">
        <v>1769</v>
      </c>
      <c r="D8403" s="35" t="s">
        <v>1773</v>
      </c>
      <c r="E8403" s="35" t="s">
        <v>1132</v>
      </c>
      <c r="F8403" s="35" t="s">
        <v>876</v>
      </c>
    </row>
    <row r="8404" spans="1:6">
      <c r="A8404" s="34">
        <v>2084224500</v>
      </c>
      <c r="B8404" s="35" t="s">
        <v>462</v>
      </c>
      <c r="C8404" s="35" t="s">
        <v>1769</v>
      </c>
      <c r="D8404" s="35" t="s">
        <v>1773</v>
      </c>
      <c r="E8404" s="35" t="s">
        <v>1132</v>
      </c>
      <c r="F8404" s="35" t="s">
        <v>877</v>
      </c>
    </row>
    <row r="8405" spans="1:6">
      <c r="A8405" s="34">
        <v>2084224501</v>
      </c>
      <c r="B8405" s="35" t="s">
        <v>462</v>
      </c>
      <c r="C8405" s="35" t="s">
        <v>1769</v>
      </c>
      <c r="D8405" s="35" t="s">
        <v>1773</v>
      </c>
      <c r="E8405" s="35" t="s">
        <v>1132</v>
      </c>
      <c r="F8405" s="35" t="s">
        <v>1772</v>
      </c>
    </row>
    <row r="8406" spans="1:6">
      <c r="A8406" s="34">
        <v>2084224555</v>
      </c>
      <c r="B8406" s="35" t="s">
        <v>462</v>
      </c>
      <c r="C8406" s="35" t="s">
        <v>1769</v>
      </c>
      <c r="D8406" s="35" t="s">
        <v>1773</v>
      </c>
      <c r="E8406" s="35" t="s">
        <v>1777</v>
      </c>
      <c r="F8406" s="35" t="s">
        <v>788</v>
      </c>
    </row>
    <row r="8407" spans="1:6">
      <c r="A8407" s="34">
        <v>2084224556</v>
      </c>
      <c r="B8407" s="35" t="s">
        <v>462</v>
      </c>
      <c r="C8407" s="35" t="s">
        <v>1769</v>
      </c>
      <c r="D8407" s="35" t="s">
        <v>1773</v>
      </c>
      <c r="E8407" s="35" t="s">
        <v>1777</v>
      </c>
      <c r="F8407" s="35" t="s">
        <v>789</v>
      </c>
    </row>
    <row r="8408" spans="1:6">
      <c r="A8408" s="34">
        <v>2084224557</v>
      </c>
      <c r="B8408" s="35" t="s">
        <v>462</v>
      </c>
      <c r="C8408" s="35" t="s">
        <v>1769</v>
      </c>
      <c r="D8408" s="35" t="s">
        <v>1773</v>
      </c>
      <c r="E8408" s="35" t="s">
        <v>1777</v>
      </c>
      <c r="F8408" s="35" t="s">
        <v>790</v>
      </c>
    </row>
    <row r="8409" spans="1:6">
      <c r="A8409" s="34">
        <v>2084224558</v>
      </c>
      <c r="B8409" s="35" t="s">
        <v>462</v>
      </c>
      <c r="C8409" s="35" t="s">
        <v>1769</v>
      </c>
      <c r="D8409" s="35" t="s">
        <v>1773</v>
      </c>
      <c r="E8409" s="35" t="s">
        <v>1777</v>
      </c>
      <c r="F8409" s="35" t="s">
        <v>791</v>
      </c>
    </row>
    <row r="8410" spans="1:6">
      <c r="A8410" s="34">
        <v>2084224559</v>
      </c>
      <c r="B8410" s="35" t="s">
        <v>462</v>
      </c>
      <c r="C8410" s="35" t="s">
        <v>1769</v>
      </c>
      <c r="D8410" s="35" t="s">
        <v>1773</v>
      </c>
      <c r="E8410" s="35" t="s">
        <v>1777</v>
      </c>
      <c r="F8410" s="35" t="s">
        <v>792</v>
      </c>
    </row>
    <row r="8411" spans="1:6">
      <c r="A8411" s="34">
        <v>2084224560</v>
      </c>
      <c r="B8411" s="35" t="s">
        <v>462</v>
      </c>
      <c r="C8411" s="35" t="s">
        <v>1769</v>
      </c>
      <c r="D8411" s="35" t="s">
        <v>1773</v>
      </c>
      <c r="E8411" s="35" t="s">
        <v>1777</v>
      </c>
      <c r="F8411" s="35" t="s">
        <v>793</v>
      </c>
    </row>
    <row r="8412" spans="1:6">
      <c r="A8412" s="34">
        <v>2084224561</v>
      </c>
      <c r="B8412" s="35" t="s">
        <v>462</v>
      </c>
      <c r="C8412" s="35" t="s">
        <v>1769</v>
      </c>
      <c r="D8412" s="35" t="s">
        <v>1773</v>
      </c>
      <c r="E8412" s="35" t="s">
        <v>1777</v>
      </c>
      <c r="F8412" s="35" t="s">
        <v>876</v>
      </c>
    </row>
    <row r="8413" spans="1:6">
      <c r="A8413" s="34">
        <v>2084224562</v>
      </c>
      <c r="B8413" s="35" t="s">
        <v>462</v>
      </c>
      <c r="C8413" s="35" t="s">
        <v>1769</v>
      </c>
      <c r="D8413" s="35" t="s">
        <v>1773</v>
      </c>
      <c r="E8413" s="35" t="s">
        <v>1777</v>
      </c>
      <c r="F8413" s="35" t="s">
        <v>877</v>
      </c>
    </row>
    <row r="8414" spans="1:6">
      <c r="A8414" s="34">
        <v>2084224563</v>
      </c>
      <c r="B8414" s="35" t="s">
        <v>462</v>
      </c>
      <c r="C8414" s="35" t="s">
        <v>1769</v>
      </c>
      <c r="D8414" s="35" t="s">
        <v>1773</v>
      </c>
      <c r="E8414" s="35" t="s">
        <v>1777</v>
      </c>
      <c r="F8414" s="35" t="s">
        <v>1772</v>
      </c>
    </row>
    <row r="8415" spans="1:6">
      <c r="A8415" s="34">
        <v>2084007806</v>
      </c>
      <c r="B8415" s="35" t="s">
        <v>462</v>
      </c>
      <c r="C8415" s="35" t="s">
        <v>1769</v>
      </c>
      <c r="D8415" s="35" t="s">
        <v>1773</v>
      </c>
      <c r="E8415" s="35" t="s">
        <v>1778</v>
      </c>
    </row>
    <row r="8416" spans="1:6">
      <c r="A8416" s="34">
        <v>2084259137</v>
      </c>
      <c r="B8416" s="35" t="s">
        <v>462</v>
      </c>
      <c r="C8416" s="35" t="s">
        <v>1769</v>
      </c>
      <c r="D8416" s="35" t="s">
        <v>1773</v>
      </c>
      <c r="E8416" s="35" t="s">
        <v>1779</v>
      </c>
    </row>
    <row r="8417" spans="1:6">
      <c r="A8417" s="34">
        <v>2084224564</v>
      </c>
      <c r="B8417" s="35" t="s">
        <v>462</v>
      </c>
      <c r="C8417" s="35" t="s">
        <v>1769</v>
      </c>
      <c r="D8417" s="35" t="s">
        <v>1773</v>
      </c>
      <c r="E8417" s="35" t="s">
        <v>1274</v>
      </c>
      <c r="F8417" s="35" t="s">
        <v>788</v>
      </c>
    </row>
    <row r="8418" spans="1:6">
      <c r="A8418" s="34">
        <v>2084224565</v>
      </c>
      <c r="B8418" s="35" t="s">
        <v>462</v>
      </c>
      <c r="C8418" s="35" t="s">
        <v>1769</v>
      </c>
      <c r="D8418" s="35" t="s">
        <v>1773</v>
      </c>
      <c r="E8418" s="35" t="s">
        <v>1274</v>
      </c>
      <c r="F8418" s="35" t="s">
        <v>789</v>
      </c>
    </row>
    <row r="8419" spans="1:6">
      <c r="A8419" s="34">
        <v>2084224566</v>
      </c>
      <c r="B8419" s="35" t="s">
        <v>462</v>
      </c>
      <c r="C8419" s="35" t="s">
        <v>1769</v>
      </c>
      <c r="D8419" s="35" t="s">
        <v>1773</v>
      </c>
      <c r="E8419" s="35" t="s">
        <v>1274</v>
      </c>
      <c r="F8419" s="35" t="s">
        <v>790</v>
      </c>
    </row>
    <row r="8420" spans="1:6">
      <c r="A8420" s="34">
        <v>2084224567</v>
      </c>
      <c r="B8420" s="35" t="s">
        <v>462</v>
      </c>
      <c r="C8420" s="35" t="s">
        <v>1769</v>
      </c>
      <c r="D8420" s="35" t="s">
        <v>1773</v>
      </c>
      <c r="E8420" s="35" t="s">
        <v>1274</v>
      </c>
      <c r="F8420" s="35" t="s">
        <v>791</v>
      </c>
    </row>
    <row r="8421" spans="1:6">
      <c r="A8421" s="34">
        <v>2084224568</v>
      </c>
      <c r="B8421" s="35" t="s">
        <v>462</v>
      </c>
      <c r="C8421" s="35" t="s">
        <v>1769</v>
      </c>
      <c r="D8421" s="35" t="s">
        <v>1773</v>
      </c>
      <c r="E8421" s="35" t="s">
        <v>1274</v>
      </c>
      <c r="F8421" s="35" t="s">
        <v>792</v>
      </c>
    </row>
    <row r="8422" spans="1:6">
      <c r="A8422" s="34">
        <v>2084224569</v>
      </c>
      <c r="B8422" s="35" t="s">
        <v>462</v>
      </c>
      <c r="C8422" s="35" t="s">
        <v>1769</v>
      </c>
      <c r="D8422" s="35" t="s">
        <v>1773</v>
      </c>
      <c r="E8422" s="35" t="s">
        <v>1274</v>
      </c>
      <c r="F8422" s="35" t="s">
        <v>793</v>
      </c>
    </row>
    <row r="8423" spans="1:6">
      <c r="A8423" s="34">
        <v>2084224570</v>
      </c>
      <c r="B8423" s="35" t="s">
        <v>462</v>
      </c>
      <c r="C8423" s="35" t="s">
        <v>1769</v>
      </c>
      <c r="D8423" s="35" t="s">
        <v>1773</v>
      </c>
      <c r="E8423" s="35" t="s">
        <v>1274</v>
      </c>
      <c r="F8423" s="35" t="s">
        <v>876</v>
      </c>
    </row>
    <row r="8424" spans="1:6">
      <c r="A8424" s="34">
        <v>2084224571</v>
      </c>
      <c r="B8424" s="35" t="s">
        <v>462</v>
      </c>
      <c r="C8424" s="35" t="s">
        <v>1769</v>
      </c>
      <c r="D8424" s="35" t="s">
        <v>1773</v>
      </c>
      <c r="E8424" s="35" t="s">
        <v>1274</v>
      </c>
      <c r="F8424" s="35" t="s">
        <v>877</v>
      </c>
    </row>
    <row r="8425" spans="1:6">
      <c r="A8425" s="34">
        <v>2084224572</v>
      </c>
      <c r="B8425" s="35" t="s">
        <v>462</v>
      </c>
      <c r="C8425" s="35" t="s">
        <v>1769</v>
      </c>
      <c r="D8425" s="35" t="s">
        <v>1773</v>
      </c>
      <c r="E8425" s="35" t="s">
        <v>1274</v>
      </c>
      <c r="F8425" s="35" t="s">
        <v>1772</v>
      </c>
    </row>
    <row r="8426" spans="1:6">
      <c r="A8426" s="34">
        <v>2084007808</v>
      </c>
      <c r="B8426" s="35" t="s">
        <v>462</v>
      </c>
      <c r="C8426" s="35" t="s">
        <v>1769</v>
      </c>
      <c r="D8426" s="35" t="s">
        <v>1773</v>
      </c>
      <c r="E8426" s="35" t="s">
        <v>1780</v>
      </c>
    </row>
    <row r="8427" spans="1:6">
      <c r="A8427" s="34">
        <v>2084007239</v>
      </c>
      <c r="B8427" s="35" t="s">
        <v>462</v>
      </c>
      <c r="C8427" s="35" t="s">
        <v>1769</v>
      </c>
      <c r="D8427" s="35" t="s">
        <v>1773</v>
      </c>
      <c r="E8427" s="35" t="s">
        <v>364</v>
      </c>
    </row>
    <row r="8428" spans="1:6">
      <c r="A8428" s="34">
        <v>2084242959</v>
      </c>
      <c r="B8428" s="35" t="s">
        <v>462</v>
      </c>
      <c r="C8428" s="35" t="s">
        <v>1769</v>
      </c>
      <c r="D8428" s="35" t="s">
        <v>1773</v>
      </c>
      <c r="E8428" s="35" t="s">
        <v>429</v>
      </c>
      <c r="F8428" s="35" t="s">
        <v>788</v>
      </c>
    </row>
    <row r="8429" spans="1:6">
      <c r="A8429" s="34">
        <v>2084242960</v>
      </c>
      <c r="B8429" s="35" t="s">
        <v>462</v>
      </c>
      <c r="C8429" s="35" t="s">
        <v>1769</v>
      </c>
      <c r="D8429" s="35" t="s">
        <v>1773</v>
      </c>
      <c r="E8429" s="35" t="s">
        <v>429</v>
      </c>
      <c r="F8429" s="35" t="s">
        <v>789</v>
      </c>
    </row>
    <row r="8430" spans="1:6">
      <c r="A8430" s="34">
        <v>2084242961</v>
      </c>
      <c r="B8430" s="35" t="s">
        <v>462</v>
      </c>
      <c r="C8430" s="35" t="s">
        <v>1769</v>
      </c>
      <c r="D8430" s="35" t="s">
        <v>1773</v>
      </c>
      <c r="E8430" s="35" t="s">
        <v>429</v>
      </c>
      <c r="F8430" s="35" t="s">
        <v>790</v>
      </c>
    </row>
    <row r="8431" spans="1:6">
      <c r="A8431" s="34">
        <v>2084242962</v>
      </c>
      <c r="B8431" s="35" t="s">
        <v>462</v>
      </c>
      <c r="C8431" s="35" t="s">
        <v>1769</v>
      </c>
      <c r="D8431" s="35" t="s">
        <v>1773</v>
      </c>
      <c r="E8431" s="35" t="s">
        <v>429</v>
      </c>
      <c r="F8431" s="35" t="s">
        <v>791</v>
      </c>
    </row>
    <row r="8432" spans="1:6">
      <c r="A8432" s="34">
        <v>2084242963</v>
      </c>
      <c r="B8432" s="35" t="s">
        <v>462</v>
      </c>
      <c r="C8432" s="35" t="s">
        <v>1769</v>
      </c>
      <c r="D8432" s="35" t="s">
        <v>1773</v>
      </c>
      <c r="E8432" s="35" t="s">
        <v>429</v>
      </c>
      <c r="F8432" s="35" t="s">
        <v>792</v>
      </c>
    </row>
    <row r="8433" spans="1:6">
      <c r="A8433" s="34">
        <v>2084242964</v>
      </c>
      <c r="B8433" s="35" t="s">
        <v>462</v>
      </c>
      <c r="C8433" s="35" t="s">
        <v>1769</v>
      </c>
      <c r="D8433" s="35" t="s">
        <v>1773</v>
      </c>
      <c r="E8433" s="35" t="s">
        <v>429</v>
      </c>
      <c r="F8433" s="35" t="s">
        <v>793</v>
      </c>
    </row>
    <row r="8434" spans="1:6">
      <c r="A8434" s="34">
        <v>2084242965</v>
      </c>
      <c r="B8434" s="35" t="s">
        <v>462</v>
      </c>
      <c r="C8434" s="35" t="s">
        <v>1769</v>
      </c>
      <c r="D8434" s="35" t="s">
        <v>1773</v>
      </c>
      <c r="E8434" s="35" t="s">
        <v>429</v>
      </c>
      <c r="F8434" s="35" t="s">
        <v>876</v>
      </c>
    </row>
    <row r="8435" spans="1:6">
      <c r="A8435" s="34">
        <v>2084242966</v>
      </c>
      <c r="B8435" s="35" t="s">
        <v>462</v>
      </c>
      <c r="C8435" s="35" t="s">
        <v>1769</v>
      </c>
      <c r="D8435" s="35" t="s">
        <v>1773</v>
      </c>
      <c r="E8435" s="35" t="s">
        <v>429</v>
      </c>
      <c r="F8435" s="35" t="s">
        <v>877</v>
      </c>
    </row>
    <row r="8436" spans="1:6">
      <c r="A8436" s="34">
        <v>2084242967</v>
      </c>
      <c r="B8436" s="35" t="s">
        <v>462</v>
      </c>
      <c r="C8436" s="35" t="s">
        <v>1769</v>
      </c>
      <c r="D8436" s="35" t="s">
        <v>1773</v>
      </c>
      <c r="E8436" s="35" t="s">
        <v>429</v>
      </c>
      <c r="F8436" s="35" t="s">
        <v>1772</v>
      </c>
    </row>
    <row r="8437" spans="1:6">
      <c r="A8437" s="34">
        <v>2084259210</v>
      </c>
      <c r="B8437" s="35" t="s">
        <v>462</v>
      </c>
      <c r="C8437" s="35" t="s">
        <v>1769</v>
      </c>
      <c r="D8437" s="35" t="s">
        <v>1781</v>
      </c>
      <c r="E8437" s="35" t="s">
        <v>788</v>
      </c>
    </row>
    <row r="8438" spans="1:6">
      <c r="A8438" s="34">
        <v>2084259211</v>
      </c>
      <c r="B8438" s="35" t="s">
        <v>462</v>
      </c>
      <c r="C8438" s="35" t="s">
        <v>1769</v>
      </c>
      <c r="D8438" s="35" t="s">
        <v>1781</v>
      </c>
      <c r="E8438" s="35" t="s">
        <v>789</v>
      </c>
    </row>
    <row r="8439" spans="1:6">
      <c r="A8439" s="34">
        <v>2084259212</v>
      </c>
      <c r="B8439" s="35" t="s">
        <v>462</v>
      </c>
      <c r="C8439" s="35" t="s">
        <v>1769</v>
      </c>
      <c r="D8439" s="35" t="s">
        <v>1781</v>
      </c>
      <c r="E8439" s="35" t="s">
        <v>790</v>
      </c>
    </row>
    <row r="8440" spans="1:6">
      <c r="A8440" s="34">
        <v>2084259213</v>
      </c>
      <c r="B8440" s="35" t="s">
        <v>462</v>
      </c>
      <c r="C8440" s="35" t="s">
        <v>1769</v>
      </c>
      <c r="D8440" s="35" t="s">
        <v>1781</v>
      </c>
      <c r="E8440" s="35" t="s">
        <v>791</v>
      </c>
    </row>
    <row r="8441" spans="1:6">
      <c r="A8441" s="34">
        <v>2084259214</v>
      </c>
      <c r="B8441" s="35" t="s">
        <v>462</v>
      </c>
      <c r="C8441" s="35" t="s">
        <v>1769</v>
      </c>
      <c r="D8441" s="35" t="s">
        <v>1781</v>
      </c>
      <c r="E8441" s="35" t="s">
        <v>792</v>
      </c>
    </row>
    <row r="8442" spans="1:6">
      <c r="A8442" s="34">
        <v>2084259215</v>
      </c>
      <c r="B8442" s="35" t="s">
        <v>462</v>
      </c>
      <c r="C8442" s="35" t="s">
        <v>1769</v>
      </c>
      <c r="D8442" s="35" t="s">
        <v>1781</v>
      </c>
      <c r="E8442" s="35" t="s">
        <v>793</v>
      </c>
    </row>
    <row r="8443" spans="1:6">
      <c r="A8443" s="34">
        <v>2084259216</v>
      </c>
      <c r="B8443" s="35" t="s">
        <v>462</v>
      </c>
      <c r="C8443" s="35" t="s">
        <v>1769</v>
      </c>
      <c r="D8443" s="35" t="s">
        <v>1781</v>
      </c>
      <c r="E8443" s="35" t="s">
        <v>876</v>
      </c>
    </row>
    <row r="8444" spans="1:6">
      <c r="A8444" s="34">
        <v>2084259217</v>
      </c>
      <c r="B8444" s="35" t="s">
        <v>462</v>
      </c>
      <c r="C8444" s="35" t="s">
        <v>1769</v>
      </c>
      <c r="D8444" s="35" t="s">
        <v>1781</v>
      </c>
      <c r="E8444" s="35" t="s">
        <v>877</v>
      </c>
    </row>
    <row r="8445" spans="1:6">
      <c r="A8445" s="34">
        <v>2084259218</v>
      </c>
      <c r="B8445" s="35" t="s">
        <v>462</v>
      </c>
      <c r="C8445" s="35" t="s">
        <v>1769</v>
      </c>
      <c r="D8445" s="35" t="s">
        <v>1781</v>
      </c>
      <c r="E8445" s="35" t="s">
        <v>1772</v>
      </c>
    </row>
    <row r="8446" spans="1:6">
      <c r="A8446" s="34">
        <v>2084237627</v>
      </c>
      <c r="B8446" s="35" t="s">
        <v>462</v>
      </c>
      <c r="C8446" s="35" t="s">
        <v>1769</v>
      </c>
      <c r="D8446" s="35" t="s">
        <v>1782</v>
      </c>
      <c r="E8446" s="35" t="s">
        <v>1783</v>
      </c>
      <c r="F8446" s="35" t="s">
        <v>1784</v>
      </c>
    </row>
    <row r="8447" spans="1:6">
      <c r="A8447" s="34">
        <v>2084237628</v>
      </c>
      <c r="B8447" s="35" t="s">
        <v>462</v>
      </c>
      <c r="C8447" s="35" t="s">
        <v>1769</v>
      </c>
      <c r="D8447" s="35" t="s">
        <v>1782</v>
      </c>
      <c r="E8447" s="35" t="s">
        <v>1783</v>
      </c>
      <c r="F8447" s="35" t="s">
        <v>1785</v>
      </c>
    </row>
    <row r="8448" spans="1:6">
      <c r="A8448" s="34">
        <v>2084237630</v>
      </c>
      <c r="B8448" s="35" t="s">
        <v>462</v>
      </c>
      <c r="C8448" s="35" t="s">
        <v>1769</v>
      </c>
      <c r="D8448" s="35" t="s">
        <v>1782</v>
      </c>
      <c r="E8448" s="35" t="s">
        <v>1783</v>
      </c>
      <c r="F8448" s="35" t="s">
        <v>1786</v>
      </c>
    </row>
    <row r="8449" spans="1:6">
      <c r="A8449" s="34">
        <v>2084237629</v>
      </c>
      <c r="B8449" s="35" t="s">
        <v>462</v>
      </c>
      <c r="C8449" s="35" t="s">
        <v>1769</v>
      </c>
      <c r="D8449" s="35" t="s">
        <v>1782</v>
      </c>
      <c r="E8449" s="35" t="s">
        <v>1783</v>
      </c>
      <c r="F8449" s="35" t="s">
        <v>1787</v>
      </c>
    </row>
    <row r="8450" spans="1:6">
      <c r="A8450" s="34">
        <v>2084237622</v>
      </c>
      <c r="B8450" s="35" t="s">
        <v>462</v>
      </c>
      <c r="C8450" s="35" t="s">
        <v>1769</v>
      </c>
      <c r="D8450" s="35" t="s">
        <v>1782</v>
      </c>
      <c r="E8450" s="35" t="s">
        <v>1783</v>
      </c>
      <c r="F8450" s="35" t="s">
        <v>1788</v>
      </c>
    </row>
    <row r="8451" spans="1:6">
      <c r="A8451" s="34">
        <v>2084237621</v>
      </c>
      <c r="B8451" s="35" t="s">
        <v>462</v>
      </c>
      <c r="C8451" s="35" t="s">
        <v>1769</v>
      </c>
      <c r="D8451" s="35" t="s">
        <v>1782</v>
      </c>
      <c r="E8451" s="35" t="s">
        <v>1783</v>
      </c>
      <c r="F8451" s="35" t="s">
        <v>1789</v>
      </c>
    </row>
    <row r="8452" spans="1:6">
      <c r="A8452" s="34">
        <v>2084237625</v>
      </c>
      <c r="B8452" s="35" t="s">
        <v>462</v>
      </c>
      <c r="C8452" s="35" t="s">
        <v>1769</v>
      </c>
      <c r="D8452" s="35" t="s">
        <v>1782</v>
      </c>
      <c r="E8452" s="35" t="s">
        <v>1783</v>
      </c>
      <c r="F8452" s="35" t="s">
        <v>1790</v>
      </c>
    </row>
    <row r="8453" spans="1:6">
      <c r="A8453" s="34">
        <v>2084237624</v>
      </c>
      <c r="B8453" s="35" t="s">
        <v>462</v>
      </c>
      <c r="C8453" s="35" t="s">
        <v>1769</v>
      </c>
      <c r="D8453" s="35" t="s">
        <v>1782</v>
      </c>
      <c r="E8453" s="35" t="s">
        <v>1783</v>
      </c>
      <c r="F8453" s="35" t="s">
        <v>1791</v>
      </c>
    </row>
    <row r="8454" spans="1:6">
      <c r="A8454" s="34">
        <v>2084237623</v>
      </c>
      <c r="B8454" s="35" t="s">
        <v>462</v>
      </c>
      <c r="C8454" s="35" t="s">
        <v>1769</v>
      </c>
      <c r="D8454" s="35" t="s">
        <v>1782</v>
      </c>
      <c r="E8454" s="35" t="s">
        <v>1783</v>
      </c>
      <c r="F8454" s="35" t="s">
        <v>1792</v>
      </c>
    </row>
    <row r="8455" spans="1:6">
      <c r="A8455" s="34">
        <v>2084237626</v>
      </c>
      <c r="B8455" s="35" t="s">
        <v>462</v>
      </c>
      <c r="C8455" s="35" t="s">
        <v>1769</v>
      </c>
      <c r="D8455" s="35" t="s">
        <v>1782</v>
      </c>
      <c r="E8455" s="35" t="s">
        <v>1783</v>
      </c>
      <c r="F8455" s="35" t="s">
        <v>1793</v>
      </c>
    </row>
    <row r="8456" spans="1:6">
      <c r="A8456" s="34">
        <v>2084237631</v>
      </c>
      <c r="B8456" s="35" t="s">
        <v>462</v>
      </c>
      <c r="C8456" s="35" t="s">
        <v>1769</v>
      </c>
      <c r="D8456" s="35" t="s">
        <v>1782</v>
      </c>
      <c r="E8456" s="35" t="s">
        <v>1783</v>
      </c>
      <c r="F8456" s="35" t="s">
        <v>335</v>
      </c>
    </row>
    <row r="8457" spans="1:6">
      <c r="A8457" s="34">
        <v>2084237638</v>
      </c>
      <c r="B8457" s="35" t="s">
        <v>462</v>
      </c>
      <c r="C8457" s="35" t="s">
        <v>1769</v>
      </c>
      <c r="D8457" s="35" t="s">
        <v>1782</v>
      </c>
      <c r="E8457" s="35" t="s">
        <v>1794</v>
      </c>
      <c r="F8457" s="35" t="s">
        <v>1784</v>
      </c>
    </row>
    <row r="8458" spans="1:6">
      <c r="A8458" s="34">
        <v>2084237639</v>
      </c>
      <c r="B8458" s="35" t="s">
        <v>462</v>
      </c>
      <c r="C8458" s="35" t="s">
        <v>1769</v>
      </c>
      <c r="D8458" s="35" t="s">
        <v>1782</v>
      </c>
      <c r="E8458" s="35" t="s">
        <v>1794</v>
      </c>
      <c r="F8458" s="35" t="s">
        <v>1785</v>
      </c>
    </row>
    <row r="8459" spans="1:6">
      <c r="A8459" s="34">
        <v>2084237641</v>
      </c>
      <c r="B8459" s="35" t="s">
        <v>462</v>
      </c>
      <c r="C8459" s="35" t="s">
        <v>1769</v>
      </c>
      <c r="D8459" s="35" t="s">
        <v>1782</v>
      </c>
      <c r="E8459" s="35" t="s">
        <v>1794</v>
      </c>
      <c r="F8459" s="35" t="s">
        <v>1786</v>
      </c>
    </row>
    <row r="8460" spans="1:6">
      <c r="A8460" s="34">
        <v>2084237640</v>
      </c>
      <c r="B8460" s="35" t="s">
        <v>462</v>
      </c>
      <c r="C8460" s="35" t="s">
        <v>1769</v>
      </c>
      <c r="D8460" s="35" t="s">
        <v>1782</v>
      </c>
      <c r="E8460" s="35" t="s">
        <v>1794</v>
      </c>
      <c r="F8460" s="35" t="s">
        <v>1787</v>
      </c>
    </row>
    <row r="8461" spans="1:6">
      <c r="A8461" s="34">
        <v>2084237633</v>
      </c>
      <c r="B8461" s="35" t="s">
        <v>462</v>
      </c>
      <c r="C8461" s="35" t="s">
        <v>1769</v>
      </c>
      <c r="D8461" s="35" t="s">
        <v>1782</v>
      </c>
      <c r="E8461" s="35" t="s">
        <v>1794</v>
      </c>
      <c r="F8461" s="35" t="s">
        <v>1788</v>
      </c>
    </row>
    <row r="8462" spans="1:6">
      <c r="A8462" s="34">
        <v>2084237632</v>
      </c>
      <c r="B8462" s="35" t="s">
        <v>462</v>
      </c>
      <c r="C8462" s="35" t="s">
        <v>1769</v>
      </c>
      <c r="D8462" s="35" t="s">
        <v>1782</v>
      </c>
      <c r="E8462" s="35" t="s">
        <v>1794</v>
      </c>
      <c r="F8462" s="35" t="s">
        <v>1789</v>
      </c>
    </row>
    <row r="8463" spans="1:6">
      <c r="A8463" s="34">
        <v>2084237636</v>
      </c>
      <c r="B8463" s="35" t="s">
        <v>462</v>
      </c>
      <c r="C8463" s="35" t="s">
        <v>1769</v>
      </c>
      <c r="D8463" s="35" t="s">
        <v>1782</v>
      </c>
      <c r="E8463" s="35" t="s">
        <v>1794</v>
      </c>
      <c r="F8463" s="35" t="s">
        <v>1790</v>
      </c>
    </row>
    <row r="8464" spans="1:6">
      <c r="A8464" s="34">
        <v>2084237635</v>
      </c>
      <c r="B8464" s="35" t="s">
        <v>462</v>
      </c>
      <c r="C8464" s="35" t="s">
        <v>1769</v>
      </c>
      <c r="D8464" s="35" t="s">
        <v>1782</v>
      </c>
      <c r="E8464" s="35" t="s">
        <v>1794</v>
      </c>
      <c r="F8464" s="35" t="s">
        <v>1791</v>
      </c>
    </row>
    <row r="8465" spans="1:6">
      <c r="A8465" s="34">
        <v>2084237634</v>
      </c>
      <c r="B8465" s="35" t="s">
        <v>462</v>
      </c>
      <c r="C8465" s="35" t="s">
        <v>1769</v>
      </c>
      <c r="D8465" s="35" t="s">
        <v>1782</v>
      </c>
      <c r="E8465" s="35" t="s">
        <v>1794</v>
      </c>
      <c r="F8465" s="35" t="s">
        <v>1792</v>
      </c>
    </row>
    <row r="8466" spans="1:6">
      <c r="A8466" s="34">
        <v>2084237637</v>
      </c>
      <c r="B8466" s="35" t="s">
        <v>462</v>
      </c>
      <c r="C8466" s="35" t="s">
        <v>1769</v>
      </c>
      <c r="D8466" s="35" t="s">
        <v>1782</v>
      </c>
      <c r="E8466" s="35" t="s">
        <v>1794</v>
      </c>
      <c r="F8466" s="35" t="s">
        <v>1793</v>
      </c>
    </row>
    <row r="8467" spans="1:6">
      <c r="A8467" s="34">
        <v>2084237642</v>
      </c>
      <c r="B8467" s="35" t="s">
        <v>462</v>
      </c>
      <c r="C8467" s="35" t="s">
        <v>1769</v>
      </c>
      <c r="D8467" s="35" t="s">
        <v>1782</v>
      </c>
      <c r="E8467" s="35" t="s">
        <v>1794</v>
      </c>
      <c r="F8467" s="35" t="s">
        <v>335</v>
      </c>
    </row>
    <row r="8468" spans="1:6">
      <c r="A8468" s="34">
        <v>2084237705</v>
      </c>
      <c r="B8468" s="35" t="s">
        <v>462</v>
      </c>
      <c r="C8468" s="35" t="s">
        <v>1769</v>
      </c>
      <c r="D8468" s="35" t="s">
        <v>1782</v>
      </c>
      <c r="E8468" s="35" t="s">
        <v>1795</v>
      </c>
      <c r="F8468" s="35" t="s">
        <v>1784</v>
      </c>
    </row>
    <row r="8469" spans="1:6">
      <c r="A8469" s="34">
        <v>2084237706</v>
      </c>
      <c r="B8469" s="35" t="s">
        <v>462</v>
      </c>
      <c r="C8469" s="35" t="s">
        <v>1769</v>
      </c>
      <c r="D8469" s="35" t="s">
        <v>1782</v>
      </c>
      <c r="E8469" s="35" t="s">
        <v>1795</v>
      </c>
      <c r="F8469" s="35" t="s">
        <v>1785</v>
      </c>
    </row>
    <row r="8470" spans="1:6">
      <c r="A8470" s="34">
        <v>2084237708</v>
      </c>
      <c r="B8470" s="35" t="s">
        <v>462</v>
      </c>
      <c r="C8470" s="35" t="s">
        <v>1769</v>
      </c>
      <c r="D8470" s="35" t="s">
        <v>1782</v>
      </c>
      <c r="E8470" s="35" t="s">
        <v>1795</v>
      </c>
      <c r="F8470" s="35" t="s">
        <v>1786</v>
      </c>
    </row>
    <row r="8471" spans="1:6">
      <c r="A8471" s="34">
        <v>2084237707</v>
      </c>
      <c r="B8471" s="35" t="s">
        <v>462</v>
      </c>
      <c r="C8471" s="35" t="s">
        <v>1769</v>
      </c>
      <c r="D8471" s="35" t="s">
        <v>1782</v>
      </c>
      <c r="E8471" s="35" t="s">
        <v>1795</v>
      </c>
      <c r="F8471" s="35" t="s">
        <v>1787</v>
      </c>
    </row>
    <row r="8472" spans="1:6">
      <c r="A8472" s="34">
        <v>2084237700</v>
      </c>
      <c r="B8472" s="35" t="s">
        <v>462</v>
      </c>
      <c r="C8472" s="35" t="s">
        <v>1769</v>
      </c>
      <c r="D8472" s="35" t="s">
        <v>1782</v>
      </c>
      <c r="E8472" s="35" t="s">
        <v>1795</v>
      </c>
      <c r="F8472" s="35" t="s">
        <v>1788</v>
      </c>
    </row>
    <row r="8473" spans="1:6">
      <c r="A8473" s="34">
        <v>2084237699</v>
      </c>
      <c r="B8473" s="35" t="s">
        <v>462</v>
      </c>
      <c r="C8473" s="35" t="s">
        <v>1769</v>
      </c>
      <c r="D8473" s="35" t="s">
        <v>1782</v>
      </c>
      <c r="E8473" s="35" t="s">
        <v>1795</v>
      </c>
      <c r="F8473" s="35" t="s">
        <v>1789</v>
      </c>
    </row>
    <row r="8474" spans="1:6">
      <c r="A8474" s="34">
        <v>2084237703</v>
      </c>
      <c r="B8474" s="35" t="s">
        <v>462</v>
      </c>
      <c r="C8474" s="35" t="s">
        <v>1769</v>
      </c>
      <c r="D8474" s="35" t="s">
        <v>1782</v>
      </c>
      <c r="E8474" s="35" t="s">
        <v>1795</v>
      </c>
      <c r="F8474" s="35" t="s">
        <v>1790</v>
      </c>
    </row>
    <row r="8475" spans="1:6">
      <c r="A8475" s="34">
        <v>2084237702</v>
      </c>
      <c r="B8475" s="35" t="s">
        <v>462</v>
      </c>
      <c r="C8475" s="35" t="s">
        <v>1769</v>
      </c>
      <c r="D8475" s="35" t="s">
        <v>1782</v>
      </c>
      <c r="E8475" s="35" t="s">
        <v>1795</v>
      </c>
      <c r="F8475" s="35" t="s">
        <v>1791</v>
      </c>
    </row>
    <row r="8476" spans="1:6">
      <c r="A8476" s="34">
        <v>2084237701</v>
      </c>
      <c r="B8476" s="35" t="s">
        <v>462</v>
      </c>
      <c r="C8476" s="35" t="s">
        <v>1769</v>
      </c>
      <c r="D8476" s="35" t="s">
        <v>1782</v>
      </c>
      <c r="E8476" s="35" t="s">
        <v>1795</v>
      </c>
      <c r="F8476" s="35" t="s">
        <v>1792</v>
      </c>
    </row>
    <row r="8477" spans="1:6">
      <c r="A8477" s="34">
        <v>2084237704</v>
      </c>
      <c r="B8477" s="35" t="s">
        <v>462</v>
      </c>
      <c r="C8477" s="35" t="s">
        <v>1769</v>
      </c>
      <c r="D8477" s="35" t="s">
        <v>1782</v>
      </c>
      <c r="E8477" s="35" t="s">
        <v>1795</v>
      </c>
      <c r="F8477" s="35" t="s">
        <v>1793</v>
      </c>
    </row>
    <row r="8478" spans="1:6">
      <c r="A8478" s="34">
        <v>2084237709</v>
      </c>
      <c r="B8478" s="35" t="s">
        <v>462</v>
      </c>
      <c r="C8478" s="35" t="s">
        <v>1769</v>
      </c>
      <c r="D8478" s="35" t="s">
        <v>1782</v>
      </c>
      <c r="E8478" s="35" t="s">
        <v>1795</v>
      </c>
      <c r="F8478" s="35" t="s">
        <v>335</v>
      </c>
    </row>
    <row r="8479" spans="1:6">
      <c r="A8479" s="34">
        <v>2084237716</v>
      </c>
      <c r="B8479" s="35" t="s">
        <v>462</v>
      </c>
      <c r="C8479" s="35" t="s">
        <v>1769</v>
      </c>
      <c r="D8479" s="35" t="s">
        <v>1782</v>
      </c>
      <c r="E8479" s="35" t="s">
        <v>1796</v>
      </c>
      <c r="F8479" s="35" t="s">
        <v>1784</v>
      </c>
    </row>
    <row r="8480" spans="1:6">
      <c r="A8480" s="34">
        <v>2084237717</v>
      </c>
      <c r="B8480" s="35" t="s">
        <v>462</v>
      </c>
      <c r="C8480" s="35" t="s">
        <v>1769</v>
      </c>
      <c r="D8480" s="35" t="s">
        <v>1782</v>
      </c>
      <c r="E8480" s="35" t="s">
        <v>1796</v>
      </c>
      <c r="F8480" s="35" t="s">
        <v>1785</v>
      </c>
    </row>
    <row r="8481" spans="1:6">
      <c r="A8481" s="34">
        <v>2084237719</v>
      </c>
      <c r="B8481" s="35" t="s">
        <v>462</v>
      </c>
      <c r="C8481" s="35" t="s">
        <v>1769</v>
      </c>
      <c r="D8481" s="35" t="s">
        <v>1782</v>
      </c>
      <c r="E8481" s="35" t="s">
        <v>1796</v>
      </c>
      <c r="F8481" s="35" t="s">
        <v>1786</v>
      </c>
    </row>
    <row r="8482" spans="1:6">
      <c r="A8482" s="34">
        <v>2084237718</v>
      </c>
      <c r="B8482" s="35" t="s">
        <v>462</v>
      </c>
      <c r="C8482" s="35" t="s">
        <v>1769</v>
      </c>
      <c r="D8482" s="35" t="s">
        <v>1782</v>
      </c>
      <c r="E8482" s="35" t="s">
        <v>1796</v>
      </c>
      <c r="F8482" s="35" t="s">
        <v>1787</v>
      </c>
    </row>
    <row r="8483" spans="1:6">
      <c r="A8483" s="34">
        <v>2084237711</v>
      </c>
      <c r="B8483" s="35" t="s">
        <v>462</v>
      </c>
      <c r="C8483" s="35" t="s">
        <v>1769</v>
      </c>
      <c r="D8483" s="35" t="s">
        <v>1782</v>
      </c>
      <c r="E8483" s="35" t="s">
        <v>1796</v>
      </c>
      <c r="F8483" s="35" t="s">
        <v>1788</v>
      </c>
    </row>
    <row r="8484" spans="1:6">
      <c r="A8484" s="34">
        <v>2084237710</v>
      </c>
      <c r="B8484" s="35" t="s">
        <v>462</v>
      </c>
      <c r="C8484" s="35" t="s">
        <v>1769</v>
      </c>
      <c r="D8484" s="35" t="s">
        <v>1782</v>
      </c>
      <c r="E8484" s="35" t="s">
        <v>1796</v>
      </c>
      <c r="F8484" s="35" t="s">
        <v>1789</v>
      </c>
    </row>
    <row r="8485" spans="1:6">
      <c r="A8485" s="34">
        <v>2084237714</v>
      </c>
      <c r="B8485" s="35" t="s">
        <v>462</v>
      </c>
      <c r="C8485" s="35" t="s">
        <v>1769</v>
      </c>
      <c r="D8485" s="35" t="s">
        <v>1782</v>
      </c>
      <c r="E8485" s="35" t="s">
        <v>1796</v>
      </c>
      <c r="F8485" s="35" t="s">
        <v>1790</v>
      </c>
    </row>
    <row r="8486" spans="1:6">
      <c r="A8486" s="34">
        <v>2084237713</v>
      </c>
      <c r="B8486" s="35" t="s">
        <v>462</v>
      </c>
      <c r="C8486" s="35" t="s">
        <v>1769</v>
      </c>
      <c r="D8486" s="35" t="s">
        <v>1782</v>
      </c>
      <c r="E8486" s="35" t="s">
        <v>1796</v>
      </c>
      <c r="F8486" s="35" t="s">
        <v>1791</v>
      </c>
    </row>
    <row r="8487" spans="1:6">
      <c r="A8487" s="34">
        <v>2084237712</v>
      </c>
      <c r="B8487" s="35" t="s">
        <v>462</v>
      </c>
      <c r="C8487" s="35" t="s">
        <v>1769</v>
      </c>
      <c r="D8487" s="35" t="s">
        <v>1782</v>
      </c>
      <c r="E8487" s="35" t="s">
        <v>1796</v>
      </c>
      <c r="F8487" s="35" t="s">
        <v>1792</v>
      </c>
    </row>
    <row r="8488" spans="1:6">
      <c r="A8488" s="34">
        <v>2084237715</v>
      </c>
      <c r="B8488" s="35" t="s">
        <v>462</v>
      </c>
      <c r="C8488" s="35" t="s">
        <v>1769</v>
      </c>
      <c r="D8488" s="35" t="s">
        <v>1782</v>
      </c>
      <c r="E8488" s="35" t="s">
        <v>1796</v>
      </c>
      <c r="F8488" s="35" t="s">
        <v>1793</v>
      </c>
    </row>
    <row r="8489" spans="1:6">
      <c r="A8489" s="34">
        <v>2084237720</v>
      </c>
      <c r="B8489" s="35" t="s">
        <v>462</v>
      </c>
      <c r="C8489" s="35" t="s">
        <v>1769</v>
      </c>
      <c r="D8489" s="35" t="s">
        <v>1782</v>
      </c>
      <c r="E8489" s="35" t="s">
        <v>1796</v>
      </c>
      <c r="F8489" s="35" t="s">
        <v>335</v>
      </c>
    </row>
    <row r="8490" spans="1:6">
      <c r="A8490" s="34">
        <v>2084237727</v>
      </c>
      <c r="B8490" s="35" t="s">
        <v>462</v>
      </c>
      <c r="C8490" s="35" t="s">
        <v>1769</v>
      </c>
      <c r="D8490" s="35" t="s">
        <v>1782</v>
      </c>
      <c r="E8490" s="35" t="s">
        <v>1797</v>
      </c>
      <c r="F8490" s="35" t="s">
        <v>1784</v>
      </c>
    </row>
    <row r="8491" spans="1:6">
      <c r="A8491" s="34">
        <v>2084237728</v>
      </c>
      <c r="B8491" s="35" t="s">
        <v>462</v>
      </c>
      <c r="C8491" s="35" t="s">
        <v>1769</v>
      </c>
      <c r="D8491" s="35" t="s">
        <v>1782</v>
      </c>
      <c r="E8491" s="35" t="s">
        <v>1797</v>
      </c>
      <c r="F8491" s="35" t="s">
        <v>1785</v>
      </c>
    </row>
    <row r="8492" spans="1:6">
      <c r="A8492" s="34">
        <v>2084237730</v>
      </c>
      <c r="B8492" s="35" t="s">
        <v>462</v>
      </c>
      <c r="C8492" s="35" t="s">
        <v>1769</v>
      </c>
      <c r="D8492" s="35" t="s">
        <v>1782</v>
      </c>
      <c r="E8492" s="35" t="s">
        <v>1797</v>
      </c>
      <c r="F8492" s="35" t="s">
        <v>1786</v>
      </c>
    </row>
    <row r="8493" spans="1:6">
      <c r="A8493" s="34">
        <v>2084237729</v>
      </c>
      <c r="B8493" s="35" t="s">
        <v>462</v>
      </c>
      <c r="C8493" s="35" t="s">
        <v>1769</v>
      </c>
      <c r="D8493" s="35" t="s">
        <v>1782</v>
      </c>
      <c r="E8493" s="35" t="s">
        <v>1797</v>
      </c>
      <c r="F8493" s="35" t="s">
        <v>1787</v>
      </c>
    </row>
    <row r="8494" spans="1:6">
      <c r="A8494" s="34">
        <v>2084237722</v>
      </c>
      <c r="B8494" s="35" t="s">
        <v>462</v>
      </c>
      <c r="C8494" s="35" t="s">
        <v>1769</v>
      </c>
      <c r="D8494" s="35" t="s">
        <v>1782</v>
      </c>
      <c r="E8494" s="35" t="s">
        <v>1797</v>
      </c>
      <c r="F8494" s="35" t="s">
        <v>1788</v>
      </c>
    </row>
    <row r="8495" spans="1:6">
      <c r="A8495" s="34">
        <v>2084237721</v>
      </c>
      <c r="B8495" s="35" t="s">
        <v>462</v>
      </c>
      <c r="C8495" s="35" t="s">
        <v>1769</v>
      </c>
      <c r="D8495" s="35" t="s">
        <v>1782</v>
      </c>
      <c r="E8495" s="35" t="s">
        <v>1797</v>
      </c>
      <c r="F8495" s="35" t="s">
        <v>1789</v>
      </c>
    </row>
    <row r="8496" spans="1:6">
      <c r="A8496" s="34">
        <v>2084237725</v>
      </c>
      <c r="B8496" s="35" t="s">
        <v>462</v>
      </c>
      <c r="C8496" s="35" t="s">
        <v>1769</v>
      </c>
      <c r="D8496" s="35" t="s">
        <v>1782</v>
      </c>
      <c r="E8496" s="35" t="s">
        <v>1797</v>
      </c>
      <c r="F8496" s="35" t="s">
        <v>1790</v>
      </c>
    </row>
    <row r="8497" spans="1:6">
      <c r="A8497" s="34">
        <v>2084237724</v>
      </c>
      <c r="B8497" s="35" t="s">
        <v>462</v>
      </c>
      <c r="C8497" s="35" t="s">
        <v>1769</v>
      </c>
      <c r="D8497" s="35" t="s">
        <v>1782</v>
      </c>
      <c r="E8497" s="35" t="s">
        <v>1797</v>
      </c>
      <c r="F8497" s="35" t="s">
        <v>1791</v>
      </c>
    </row>
    <row r="8498" spans="1:6">
      <c r="A8498" s="34">
        <v>2084237723</v>
      </c>
      <c r="B8498" s="35" t="s">
        <v>462</v>
      </c>
      <c r="C8498" s="35" t="s">
        <v>1769</v>
      </c>
      <c r="D8498" s="35" t="s">
        <v>1782</v>
      </c>
      <c r="E8498" s="35" t="s">
        <v>1797</v>
      </c>
      <c r="F8498" s="35" t="s">
        <v>1792</v>
      </c>
    </row>
    <row r="8499" spans="1:6">
      <c r="A8499" s="34">
        <v>2084237726</v>
      </c>
      <c r="B8499" s="35" t="s">
        <v>462</v>
      </c>
      <c r="C8499" s="35" t="s">
        <v>1769</v>
      </c>
      <c r="D8499" s="35" t="s">
        <v>1782</v>
      </c>
      <c r="E8499" s="35" t="s">
        <v>1797</v>
      </c>
      <c r="F8499" s="35" t="s">
        <v>1793</v>
      </c>
    </row>
    <row r="8500" spans="1:6">
      <c r="A8500" s="34">
        <v>2084237731</v>
      </c>
      <c r="B8500" s="35" t="s">
        <v>462</v>
      </c>
      <c r="C8500" s="35" t="s">
        <v>1769</v>
      </c>
      <c r="D8500" s="35" t="s">
        <v>1782</v>
      </c>
      <c r="E8500" s="35" t="s">
        <v>1797</v>
      </c>
      <c r="F8500" s="35" t="s">
        <v>335</v>
      </c>
    </row>
    <row r="8501" spans="1:6">
      <c r="A8501" s="34">
        <v>2084237738</v>
      </c>
      <c r="B8501" s="35" t="s">
        <v>462</v>
      </c>
      <c r="C8501" s="35" t="s">
        <v>1769</v>
      </c>
      <c r="D8501" s="35" t="s">
        <v>1782</v>
      </c>
      <c r="E8501" s="35" t="s">
        <v>1798</v>
      </c>
      <c r="F8501" s="35" t="s">
        <v>1784</v>
      </c>
    </row>
    <row r="8502" spans="1:6">
      <c r="A8502" s="34">
        <v>2084237739</v>
      </c>
      <c r="B8502" s="35" t="s">
        <v>462</v>
      </c>
      <c r="C8502" s="35" t="s">
        <v>1769</v>
      </c>
      <c r="D8502" s="35" t="s">
        <v>1782</v>
      </c>
      <c r="E8502" s="35" t="s">
        <v>1798</v>
      </c>
      <c r="F8502" s="35" t="s">
        <v>1785</v>
      </c>
    </row>
    <row r="8503" spans="1:6">
      <c r="A8503" s="34">
        <v>2084237741</v>
      </c>
      <c r="B8503" s="35" t="s">
        <v>462</v>
      </c>
      <c r="C8503" s="35" t="s">
        <v>1769</v>
      </c>
      <c r="D8503" s="35" t="s">
        <v>1782</v>
      </c>
      <c r="E8503" s="35" t="s">
        <v>1798</v>
      </c>
      <c r="F8503" s="35" t="s">
        <v>1786</v>
      </c>
    </row>
    <row r="8504" spans="1:6">
      <c r="A8504" s="34">
        <v>2084237740</v>
      </c>
      <c r="B8504" s="35" t="s">
        <v>462</v>
      </c>
      <c r="C8504" s="35" t="s">
        <v>1769</v>
      </c>
      <c r="D8504" s="35" t="s">
        <v>1782</v>
      </c>
      <c r="E8504" s="35" t="s">
        <v>1798</v>
      </c>
      <c r="F8504" s="35" t="s">
        <v>1787</v>
      </c>
    </row>
    <row r="8505" spans="1:6">
      <c r="A8505" s="34">
        <v>2084237733</v>
      </c>
      <c r="B8505" s="35" t="s">
        <v>462</v>
      </c>
      <c r="C8505" s="35" t="s">
        <v>1769</v>
      </c>
      <c r="D8505" s="35" t="s">
        <v>1782</v>
      </c>
      <c r="E8505" s="35" t="s">
        <v>1798</v>
      </c>
      <c r="F8505" s="35" t="s">
        <v>1788</v>
      </c>
    </row>
    <row r="8506" spans="1:6">
      <c r="A8506" s="34">
        <v>2084237732</v>
      </c>
      <c r="B8506" s="35" t="s">
        <v>462</v>
      </c>
      <c r="C8506" s="35" t="s">
        <v>1769</v>
      </c>
      <c r="D8506" s="35" t="s">
        <v>1782</v>
      </c>
      <c r="E8506" s="35" t="s">
        <v>1798</v>
      </c>
      <c r="F8506" s="35" t="s">
        <v>1789</v>
      </c>
    </row>
    <row r="8507" spans="1:6">
      <c r="A8507" s="34">
        <v>2084237736</v>
      </c>
      <c r="B8507" s="35" t="s">
        <v>462</v>
      </c>
      <c r="C8507" s="35" t="s">
        <v>1769</v>
      </c>
      <c r="D8507" s="35" t="s">
        <v>1782</v>
      </c>
      <c r="E8507" s="35" t="s">
        <v>1798</v>
      </c>
      <c r="F8507" s="35" t="s">
        <v>1790</v>
      </c>
    </row>
    <row r="8508" spans="1:6">
      <c r="A8508" s="34">
        <v>2084237735</v>
      </c>
      <c r="B8508" s="35" t="s">
        <v>462</v>
      </c>
      <c r="C8508" s="35" t="s">
        <v>1769</v>
      </c>
      <c r="D8508" s="35" t="s">
        <v>1782</v>
      </c>
      <c r="E8508" s="35" t="s">
        <v>1798</v>
      </c>
      <c r="F8508" s="35" t="s">
        <v>1791</v>
      </c>
    </row>
    <row r="8509" spans="1:6">
      <c r="A8509" s="34">
        <v>2084237734</v>
      </c>
      <c r="B8509" s="35" t="s">
        <v>462</v>
      </c>
      <c r="C8509" s="35" t="s">
        <v>1769</v>
      </c>
      <c r="D8509" s="35" t="s">
        <v>1782</v>
      </c>
      <c r="E8509" s="35" t="s">
        <v>1798</v>
      </c>
      <c r="F8509" s="35" t="s">
        <v>1792</v>
      </c>
    </row>
    <row r="8510" spans="1:6">
      <c r="A8510" s="34">
        <v>2084237737</v>
      </c>
      <c r="B8510" s="35" t="s">
        <v>462</v>
      </c>
      <c r="C8510" s="35" t="s">
        <v>1769</v>
      </c>
      <c r="D8510" s="35" t="s">
        <v>1782</v>
      </c>
      <c r="E8510" s="35" t="s">
        <v>1798</v>
      </c>
      <c r="F8510" s="35" t="s">
        <v>1793</v>
      </c>
    </row>
    <row r="8511" spans="1:6">
      <c r="A8511" s="34">
        <v>2084237742</v>
      </c>
      <c r="B8511" s="35" t="s">
        <v>462</v>
      </c>
      <c r="C8511" s="35" t="s">
        <v>1769</v>
      </c>
      <c r="D8511" s="35" t="s">
        <v>1782</v>
      </c>
      <c r="E8511" s="35" t="s">
        <v>1798</v>
      </c>
      <c r="F8511" s="35" t="s">
        <v>335</v>
      </c>
    </row>
    <row r="8512" spans="1:6">
      <c r="A8512" s="34">
        <v>2084237749</v>
      </c>
      <c r="B8512" s="35" t="s">
        <v>462</v>
      </c>
      <c r="C8512" s="35" t="s">
        <v>1769</v>
      </c>
      <c r="D8512" s="35" t="s">
        <v>1782</v>
      </c>
      <c r="E8512" s="35" t="s">
        <v>1799</v>
      </c>
      <c r="F8512" s="35" t="s">
        <v>1784</v>
      </c>
    </row>
    <row r="8513" spans="1:6">
      <c r="A8513" s="34">
        <v>2084237750</v>
      </c>
      <c r="B8513" s="35" t="s">
        <v>462</v>
      </c>
      <c r="C8513" s="35" t="s">
        <v>1769</v>
      </c>
      <c r="D8513" s="35" t="s">
        <v>1782</v>
      </c>
      <c r="E8513" s="35" t="s">
        <v>1799</v>
      </c>
      <c r="F8513" s="35" t="s">
        <v>1785</v>
      </c>
    </row>
    <row r="8514" spans="1:6">
      <c r="A8514" s="34">
        <v>2084237752</v>
      </c>
      <c r="B8514" s="35" t="s">
        <v>462</v>
      </c>
      <c r="C8514" s="35" t="s">
        <v>1769</v>
      </c>
      <c r="D8514" s="35" t="s">
        <v>1782</v>
      </c>
      <c r="E8514" s="35" t="s">
        <v>1799</v>
      </c>
      <c r="F8514" s="35" t="s">
        <v>1786</v>
      </c>
    </row>
    <row r="8515" spans="1:6">
      <c r="A8515" s="34">
        <v>2084237751</v>
      </c>
      <c r="B8515" s="35" t="s">
        <v>462</v>
      </c>
      <c r="C8515" s="35" t="s">
        <v>1769</v>
      </c>
      <c r="D8515" s="35" t="s">
        <v>1782</v>
      </c>
      <c r="E8515" s="35" t="s">
        <v>1799</v>
      </c>
      <c r="F8515" s="35" t="s">
        <v>1787</v>
      </c>
    </row>
    <row r="8516" spans="1:6">
      <c r="A8516" s="34">
        <v>2084237744</v>
      </c>
      <c r="B8516" s="35" t="s">
        <v>462</v>
      </c>
      <c r="C8516" s="35" t="s">
        <v>1769</v>
      </c>
      <c r="D8516" s="35" t="s">
        <v>1782</v>
      </c>
      <c r="E8516" s="35" t="s">
        <v>1799</v>
      </c>
      <c r="F8516" s="35" t="s">
        <v>1788</v>
      </c>
    </row>
    <row r="8517" spans="1:6">
      <c r="A8517" s="34">
        <v>2084237743</v>
      </c>
      <c r="B8517" s="35" t="s">
        <v>462</v>
      </c>
      <c r="C8517" s="35" t="s">
        <v>1769</v>
      </c>
      <c r="D8517" s="35" t="s">
        <v>1782</v>
      </c>
      <c r="E8517" s="35" t="s">
        <v>1799</v>
      </c>
      <c r="F8517" s="35" t="s">
        <v>1789</v>
      </c>
    </row>
    <row r="8518" spans="1:6">
      <c r="A8518" s="34">
        <v>2084237747</v>
      </c>
      <c r="B8518" s="35" t="s">
        <v>462</v>
      </c>
      <c r="C8518" s="35" t="s">
        <v>1769</v>
      </c>
      <c r="D8518" s="35" t="s">
        <v>1782</v>
      </c>
      <c r="E8518" s="35" t="s">
        <v>1799</v>
      </c>
      <c r="F8518" s="35" t="s">
        <v>1790</v>
      </c>
    </row>
    <row r="8519" spans="1:6">
      <c r="A8519" s="34">
        <v>2084237746</v>
      </c>
      <c r="B8519" s="35" t="s">
        <v>462</v>
      </c>
      <c r="C8519" s="35" t="s">
        <v>1769</v>
      </c>
      <c r="D8519" s="35" t="s">
        <v>1782</v>
      </c>
      <c r="E8519" s="35" t="s">
        <v>1799</v>
      </c>
      <c r="F8519" s="35" t="s">
        <v>1791</v>
      </c>
    </row>
    <row r="8520" spans="1:6">
      <c r="A8520" s="34">
        <v>2084237745</v>
      </c>
      <c r="B8520" s="35" t="s">
        <v>462</v>
      </c>
      <c r="C8520" s="35" t="s">
        <v>1769</v>
      </c>
      <c r="D8520" s="35" t="s">
        <v>1782</v>
      </c>
      <c r="E8520" s="35" t="s">
        <v>1799</v>
      </c>
      <c r="F8520" s="35" t="s">
        <v>1792</v>
      </c>
    </row>
    <row r="8521" spans="1:6">
      <c r="A8521" s="34">
        <v>2084237748</v>
      </c>
      <c r="B8521" s="35" t="s">
        <v>462</v>
      </c>
      <c r="C8521" s="35" t="s">
        <v>1769</v>
      </c>
      <c r="D8521" s="35" t="s">
        <v>1782</v>
      </c>
      <c r="E8521" s="35" t="s">
        <v>1799</v>
      </c>
      <c r="F8521" s="35" t="s">
        <v>1793</v>
      </c>
    </row>
    <row r="8522" spans="1:6">
      <c r="A8522" s="34">
        <v>2084237753</v>
      </c>
      <c r="B8522" s="35" t="s">
        <v>462</v>
      </c>
      <c r="C8522" s="35" t="s">
        <v>1769</v>
      </c>
      <c r="D8522" s="35" t="s">
        <v>1782</v>
      </c>
      <c r="E8522" s="35" t="s">
        <v>1799</v>
      </c>
      <c r="F8522" s="35" t="s">
        <v>335</v>
      </c>
    </row>
    <row r="8523" spans="1:6">
      <c r="A8523" s="34">
        <v>2084237760</v>
      </c>
      <c r="B8523" s="35" t="s">
        <v>462</v>
      </c>
      <c r="C8523" s="35" t="s">
        <v>1769</v>
      </c>
      <c r="D8523" s="35" t="s">
        <v>1782</v>
      </c>
      <c r="E8523" s="35" t="s">
        <v>1800</v>
      </c>
      <c r="F8523" s="35" t="s">
        <v>1784</v>
      </c>
    </row>
    <row r="8524" spans="1:6">
      <c r="A8524" s="34">
        <v>2084237761</v>
      </c>
      <c r="B8524" s="35" t="s">
        <v>462</v>
      </c>
      <c r="C8524" s="35" t="s">
        <v>1769</v>
      </c>
      <c r="D8524" s="35" t="s">
        <v>1782</v>
      </c>
      <c r="E8524" s="35" t="s">
        <v>1800</v>
      </c>
      <c r="F8524" s="35" t="s">
        <v>1785</v>
      </c>
    </row>
    <row r="8525" spans="1:6">
      <c r="A8525" s="34">
        <v>2084237763</v>
      </c>
      <c r="B8525" s="35" t="s">
        <v>462</v>
      </c>
      <c r="C8525" s="35" t="s">
        <v>1769</v>
      </c>
      <c r="D8525" s="35" t="s">
        <v>1782</v>
      </c>
      <c r="E8525" s="35" t="s">
        <v>1800</v>
      </c>
      <c r="F8525" s="35" t="s">
        <v>1786</v>
      </c>
    </row>
    <row r="8526" spans="1:6">
      <c r="A8526" s="34">
        <v>2084237762</v>
      </c>
      <c r="B8526" s="35" t="s">
        <v>462</v>
      </c>
      <c r="C8526" s="35" t="s">
        <v>1769</v>
      </c>
      <c r="D8526" s="35" t="s">
        <v>1782</v>
      </c>
      <c r="E8526" s="35" t="s">
        <v>1800</v>
      </c>
      <c r="F8526" s="35" t="s">
        <v>1787</v>
      </c>
    </row>
    <row r="8527" spans="1:6">
      <c r="A8527" s="34">
        <v>2084237755</v>
      </c>
      <c r="B8527" s="35" t="s">
        <v>462</v>
      </c>
      <c r="C8527" s="35" t="s">
        <v>1769</v>
      </c>
      <c r="D8527" s="35" t="s">
        <v>1782</v>
      </c>
      <c r="E8527" s="35" t="s">
        <v>1800</v>
      </c>
      <c r="F8527" s="35" t="s">
        <v>1788</v>
      </c>
    </row>
    <row r="8528" spans="1:6">
      <c r="A8528" s="34">
        <v>2084237754</v>
      </c>
      <c r="B8528" s="35" t="s">
        <v>462</v>
      </c>
      <c r="C8528" s="35" t="s">
        <v>1769</v>
      </c>
      <c r="D8528" s="35" t="s">
        <v>1782</v>
      </c>
      <c r="E8528" s="35" t="s">
        <v>1800</v>
      </c>
      <c r="F8528" s="35" t="s">
        <v>1789</v>
      </c>
    </row>
    <row r="8529" spans="1:6">
      <c r="A8529" s="34">
        <v>2084237758</v>
      </c>
      <c r="B8529" s="35" t="s">
        <v>462</v>
      </c>
      <c r="C8529" s="35" t="s">
        <v>1769</v>
      </c>
      <c r="D8529" s="35" t="s">
        <v>1782</v>
      </c>
      <c r="E8529" s="35" t="s">
        <v>1800</v>
      </c>
      <c r="F8529" s="35" t="s">
        <v>1790</v>
      </c>
    </row>
    <row r="8530" spans="1:6">
      <c r="A8530" s="34">
        <v>2084237757</v>
      </c>
      <c r="B8530" s="35" t="s">
        <v>462</v>
      </c>
      <c r="C8530" s="35" t="s">
        <v>1769</v>
      </c>
      <c r="D8530" s="35" t="s">
        <v>1782</v>
      </c>
      <c r="E8530" s="35" t="s">
        <v>1800</v>
      </c>
      <c r="F8530" s="35" t="s">
        <v>1791</v>
      </c>
    </row>
    <row r="8531" spans="1:6">
      <c r="A8531" s="34">
        <v>2084237756</v>
      </c>
      <c r="B8531" s="35" t="s">
        <v>462</v>
      </c>
      <c r="C8531" s="35" t="s">
        <v>1769</v>
      </c>
      <c r="D8531" s="35" t="s">
        <v>1782</v>
      </c>
      <c r="E8531" s="35" t="s">
        <v>1800</v>
      </c>
      <c r="F8531" s="35" t="s">
        <v>1792</v>
      </c>
    </row>
    <row r="8532" spans="1:6">
      <c r="A8532" s="34">
        <v>2084237759</v>
      </c>
      <c r="B8532" s="35" t="s">
        <v>462</v>
      </c>
      <c r="C8532" s="35" t="s">
        <v>1769</v>
      </c>
      <c r="D8532" s="35" t="s">
        <v>1782</v>
      </c>
      <c r="E8532" s="35" t="s">
        <v>1800</v>
      </c>
      <c r="F8532" s="35" t="s">
        <v>1793</v>
      </c>
    </row>
    <row r="8533" spans="1:6">
      <c r="A8533" s="34">
        <v>2084237764</v>
      </c>
      <c r="B8533" s="35" t="s">
        <v>462</v>
      </c>
      <c r="C8533" s="35" t="s">
        <v>1769</v>
      </c>
      <c r="D8533" s="35" t="s">
        <v>1782</v>
      </c>
      <c r="E8533" s="35" t="s">
        <v>1800</v>
      </c>
      <c r="F8533" s="35" t="s">
        <v>335</v>
      </c>
    </row>
    <row r="8534" spans="1:6">
      <c r="A8534" s="34">
        <v>2084237905</v>
      </c>
      <c r="B8534" s="35" t="s">
        <v>462</v>
      </c>
      <c r="C8534" s="35" t="s">
        <v>1769</v>
      </c>
      <c r="D8534" s="35" t="s">
        <v>1782</v>
      </c>
      <c r="E8534" s="35" t="s">
        <v>1801</v>
      </c>
      <c r="F8534" s="35" t="s">
        <v>1784</v>
      </c>
    </row>
    <row r="8535" spans="1:6">
      <c r="A8535" s="34">
        <v>2084237906</v>
      </c>
      <c r="B8535" s="35" t="s">
        <v>462</v>
      </c>
      <c r="C8535" s="35" t="s">
        <v>1769</v>
      </c>
      <c r="D8535" s="35" t="s">
        <v>1782</v>
      </c>
      <c r="E8535" s="35" t="s">
        <v>1801</v>
      </c>
      <c r="F8535" s="35" t="s">
        <v>1785</v>
      </c>
    </row>
    <row r="8536" spans="1:6">
      <c r="A8536" s="34">
        <v>2084237908</v>
      </c>
      <c r="B8536" s="35" t="s">
        <v>462</v>
      </c>
      <c r="C8536" s="35" t="s">
        <v>1769</v>
      </c>
      <c r="D8536" s="35" t="s">
        <v>1782</v>
      </c>
      <c r="E8536" s="35" t="s">
        <v>1801</v>
      </c>
      <c r="F8536" s="35" t="s">
        <v>1786</v>
      </c>
    </row>
    <row r="8537" spans="1:6">
      <c r="A8537" s="34">
        <v>2084237907</v>
      </c>
      <c r="B8537" s="35" t="s">
        <v>462</v>
      </c>
      <c r="C8537" s="35" t="s">
        <v>1769</v>
      </c>
      <c r="D8537" s="35" t="s">
        <v>1782</v>
      </c>
      <c r="E8537" s="35" t="s">
        <v>1801</v>
      </c>
      <c r="F8537" s="35" t="s">
        <v>1787</v>
      </c>
    </row>
    <row r="8538" spans="1:6">
      <c r="A8538" s="34">
        <v>2084237900</v>
      </c>
      <c r="B8538" s="35" t="s">
        <v>462</v>
      </c>
      <c r="C8538" s="35" t="s">
        <v>1769</v>
      </c>
      <c r="D8538" s="35" t="s">
        <v>1782</v>
      </c>
      <c r="E8538" s="35" t="s">
        <v>1801</v>
      </c>
      <c r="F8538" s="35" t="s">
        <v>1788</v>
      </c>
    </row>
    <row r="8539" spans="1:6">
      <c r="A8539" s="34">
        <v>2084237899</v>
      </c>
      <c r="B8539" s="35" t="s">
        <v>462</v>
      </c>
      <c r="C8539" s="35" t="s">
        <v>1769</v>
      </c>
      <c r="D8539" s="35" t="s">
        <v>1782</v>
      </c>
      <c r="E8539" s="35" t="s">
        <v>1801</v>
      </c>
      <c r="F8539" s="35" t="s">
        <v>1789</v>
      </c>
    </row>
    <row r="8540" spans="1:6">
      <c r="A8540" s="34">
        <v>2084237903</v>
      </c>
      <c r="B8540" s="35" t="s">
        <v>462</v>
      </c>
      <c r="C8540" s="35" t="s">
        <v>1769</v>
      </c>
      <c r="D8540" s="35" t="s">
        <v>1782</v>
      </c>
      <c r="E8540" s="35" t="s">
        <v>1801</v>
      </c>
      <c r="F8540" s="35" t="s">
        <v>1790</v>
      </c>
    </row>
    <row r="8541" spans="1:6">
      <c r="A8541" s="34">
        <v>2084237902</v>
      </c>
      <c r="B8541" s="35" t="s">
        <v>462</v>
      </c>
      <c r="C8541" s="35" t="s">
        <v>1769</v>
      </c>
      <c r="D8541" s="35" t="s">
        <v>1782</v>
      </c>
      <c r="E8541" s="35" t="s">
        <v>1801</v>
      </c>
      <c r="F8541" s="35" t="s">
        <v>1791</v>
      </c>
    </row>
    <row r="8542" spans="1:6">
      <c r="A8542" s="34">
        <v>2084237901</v>
      </c>
      <c r="B8542" s="35" t="s">
        <v>462</v>
      </c>
      <c r="C8542" s="35" t="s">
        <v>1769</v>
      </c>
      <c r="D8542" s="35" t="s">
        <v>1782</v>
      </c>
      <c r="E8542" s="35" t="s">
        <v>1801</v>
      </c>
      <c r="F8542" s="35" t="s">
        <v>1792</v>
      </c>
    </row>
    <row r="8543" spans="1:6">
      <c r="A8543" s="34">
        <v>2084237904</v>
      </c>
      <c r="B8543" s="35" t="s">
        <v>462</v>
      </c>
      <c r="C8543" s="35" t="s">
        <v>1769</v>
      </c>
      <c r="D8543" s="35" t="s">
        <v>1782</v>
      </c>
      <c r="E8543" s="35" t="s">
        <v>1801</v>
      </c>
      <c r="F8543" s="35" t="s">
        <v>1793</v>
      </c>
    </row>
    <row r="8544" spans="1:6">
      <c r="A8544" s="34">
        <v>2084237909</v>
      </c>
      <c r="B8544" s="35" t="s">
        <v>462</v>
      </c>
      <c r="C8544" s="35" t="s">
        <v>1769</v>
      </c>
      <c r="D8544" s="35" t="s">
        <v>1782</v>
      </c>
      <c r="E8544" s="35" t="s">
        <v>1801</v>
      </c>
      <c r="F8544" s="35" t="s">
        <v>335</v>
      </c>
    </row>
    <row r="8545" spans="1:6">
      <c r="A8545" s="34">
        <v>2084309035</v>
      </c>
      <c r="B8545" s="35" t="s">
        <v>462</v>
      </c>
      <c r="C8545" s="35" t="s">
        <v>1769</v>
      </c>
      <c r="D8545" s="35" t="s">
        <v>1802</v>
      </c>
      <c r="E8545" s="35" t="s">
        <v>1803</v>
      </c>
      <c r="F8545" s="35" t="s">
        <v>788</v>
      </c>
    </row>
    <row r="8546" spans="1:6">
      <c r="A8546" s="34">
        <v>2084309036</v>
      </c>
      <c r="B8546" s="35" t="s">
        <v>462</v>
      </c>
      <c r="C8546" s="35" t="s">
        <v>1769</v>
      </c>
      <c r="D8546" s="35" t="s">
        <v>1802</v>
      </c>
      <c r="E8546" s="35" t="s">
        <v>1803</v>
      </c>
      <c r="F8546" s="35" t="s">
        <v>789</v>
      </c>
    </row>
    <row r="8547" spans="1:6">
      <c r="A8547" s="34">
        <v>2084309037</v>
      </c>
      <c r="B8547" s="35" t="s">
        <v>462</v>
      </c>
      <c r="C8547" s="35" t="s">
        <v>1769</v>
      </c>
      <c r="D8547" s="35" t="s">
        <v>1802</v>
      </c>
      <c r="E8547" s="35" t="s">
        <v>1803</v>
      </c>
      <c r="F8547" s="35" t="s">
        <v>790</v>
      </c>
    </row>
    <row r="8548" spans="1:6">
      <c r="A8548" s="34">
        <v>2084309038</v>
      </c>
      <c r="B8548" s="35" t="s">
        <v>462</v>
      </c>
      <c r="C8548" s="35" t="s">
        <v>1769</v>
      </c>
      <c r="D8548" s="35" t="s">
        <v>1802</v>
      </c>
      <c r="E8548" s="35" t="s">
        <v>1803</v>
      </c>
      <c r="F8548" s="35" t="s">
        <v>791</v>
      </c>
    </row>
    <row r="8549" spans="1:6">
      <c r="A8549" s="34">
        <v>2084309039</v>
      </c>
      <c r="B8549" s="35" t="s">
        <v>462</v>
      </c>
      <c r="C8549" s="35" t="s">
        <v>1769</v>
      </c>
      <c r="D8549" s="35" t="s">
        <v>1802</v>
      </c>
      <c r="E8549" s="35" t="s">
        <v>1803</v>
      </c>
      <c r="F8549" s="35" t="s">
        <v>792</v>
      </c>
    </row>
    <row r="8550" spans="1:6">
      <c r="A8550" s="34">
        <v>2084309040</v>
      </c>
      <c r="B8550" s="35" t="s">
        <v>462</v>
      </c>
      <c r="C8550" s="35" t="s">
        <v>1769</v>
      </c>
      <c r="D8550" s="35" t="s">
        <v>1802</v>
      </c>
      <c r="E8550" s="35" t="s">
        <v>1803</v>
      </c>
      <c r="F8550" s="35" t="s">
        <v>793</v>
      </c>
    </row>
    <row r="8551" spans="1:6">
      <c r="A8551" s="34">
        <v>2084309041</v>
      </c>
      <c r="B8551" s="35" t="s">
        <v>462</v>
      </c>
      <c r="C8551" s="35" t="s">
        <v>1769</v>
      </c>
      <c r="D8551" s="35" t="s">
        <v>1802</v>
      </c>
      <c r="E8551" s="35" t="s">
        <v>1803</v>
      </c>
      <c r="F8551" s="35" t="s">
        <v>876</v>
      </c>
    </row>
    <row r="8552" spans="1:6">
      <c r="A8552" s="34">
        <v>2084309042</v>
      </c>
      <c r="B8552" s="35" t="s">
        <v>462</v>
      </c>
      <c r="C8552" s="35" t="s">
        <v>1769</v>
      </c>
      <c r="D8552" s="35" t="s">
        <v>1802</v>
      </c>
      <c r="E8552" s="35" t="s">
        <v>1803</v>
      </c>
      <c r="F8552" s="35" t="s">
        <v>877</v>
      </c>
    </row>
    <row r="8553" spans="1:6">
      <c r="A8553" s="34">
        <v>2084309043</v>
      </c>
      <c r="B8553" s="35" t="s">
        <v>462</v>
      </c>
      <c r="C8553" s="35" t="s">
        <v>1769</v>
      </c>
      <c r="D8553" s="35" t="s">
        <v>1802</v>
      </c>
      <c r="E8553" s="35" t="s">
        <v>1803</v>
      </c>
      <c r="F8553" s="35" t="s">
        <v>878</v>
      </c>
    </row>
    <row r="8554" spans="1:6">
      <c r="A8554" s="34">
        <v>2084309044</v>
      </c>
      <c r="B8554" s="35" t="s">
        <v>462</v>
      </c>
      <c r="C8554" s="35" t="s">
        <v>1769</v>
      </c>
      <c r="D8554" s="35" t="s">
        <v>1802</v>
      </c>
      <c r="E8554" s="35" t="s">
        <v>1803</v>
      </c>
      <c r="F8554" s="35" t="s">
        <v>879</v>
      </c>
    </row>
    <row r="8555" spans="1:6">
      <c r="A8555" s="34">
        <v>2084309045</v>
      </c>
      <c r="B8555" s="35" t="s">
        <v>462</v>
      </c>
      <c r="C8555" s="35" t="s">
        <v>1769</v>
      </c>
      <c r="D8555" s="35" t="s">
        <v>1802</v>
      </c>
      <c r="E8555" s="35" t="s">
        <v>1803</v>
      </c>
      <c r="F8555" s="35" t="s">
        <v>1804</v>
      </c>
    </row>
    <row r="8556" spans="1:6">
      <c r="A8556" s="34">
        <v>2084007856</v>
      </c>
      <c r="B8556" s="35" t="s">
        <v>462</v>
      </c>
      <c r="C8556" s="35" t="s">
        <v>1769</v>
      </c>
      <c r="D8556" s="35" t="s">
        <v>1802</v>
      </c>
      <c r="E8556" s="35" t="s">
        <v>1805</v>
      </c>
      <c r="F8556" s="35" t="s">
        <v>788</v>
      </c>
    </row>
    <row r="8557" spans="1:6">
      <c r="A8557" s="34">
        <v>2084007857</v>
      </c>
      <c r="B8557" s="35" t="s">
        <v>462</v>
      </c>
      <c r="C8557" s="35" t="s">
        <v>1769</v>
      </c>
      <c r="D8557" s="35" t="s">
        <v>1802</v>
      </c>
      <c r="E8557" s="35" t="s">
        <v>1805</v>
      </c>
      <c r="F8557" s="35" t="s">
        <v>789</v>
      </c>
    </row>
    <row r="8558" spans="1:6">
      <c r="A8558" s="34">
        <v>2084007858</v>
      </c>
      <c r="B8558" s="35" t="s">
        <v>462</v>
      </c>
      <c r="C8558" s="35" t="s">
        <v>1769</v>
      </c>
      <c r="D8558" s="35" t="s">
        <v>1802</v>
      </c>
      <c r="E8558" s="35" t="s">
        <v>1805</v>
      </c>
      <c r="F8558" s="35" t="s">
        <v>790</v>
      </c>
    </row>
    <row r="8559" spans="1:6">
      <c r="A8559" s="34">
        <v>2084007859</v>
      </c>
      <c r="B8559" s="35" t="s">
        <v>462</v>
      </c>
      <c r="C8559" s="35" t="s">
        <v>1769</v>
      </c>
      <c r="D8559" s="35" t="s">
        <v>1802</v>
      </c>
      <c r="E8559" s="35" t="s">
        <v>1805</v>
      </c>
      <c r="F8559" s="35" t="s">
        <v>791</v>
      </c>
    </row>
    <row r="8560" spans="1:6">
      <c r="A8560" s="34">
        <v>2084007860</v>
      </c>
      <c r="B8560" s="35" t="s">
        <v>462</v>
      </c>
      <c r="C8560" s="35" t="s">
        <v>1769</v>
      </c>
      <c r="D8560" s="35" t="s">
        <v>1802</v>
      </c>
      <c r="E8560" s="35" t="s">
        <v>1805</v>
      </c>
      <c r="F8560" s="35" t="s">
        <v>792</v>
      </c>
    </row>
    <row r="8561" spans="1:6">
      <c r="A8561" s="34">
        <v>2084007861</v>
      </c>
      <c r="B8561" s="35" t="s">
        <v>462</v>
      </c>
      <c r="C8561" s="35" t="s">
        <v>1769</v>
      </c>
      <c r="D8561" s="35" t="s">
        <v>1802</v>
      </c>
      <c r="E8561" s="35" t="s">
        <v>1805</v>
      </c>
      <c r="F8561" s="35" t="s">
        <v>793</v>
      </c>
    </row>
    <row r="8562" spans="1:6">
      <c r="A8562" s="34">
        <v>2084007862</v>
      </c>
      <c r="B8562" s="35" t="s">
        <v>462</v>
      </c>
      <c r="C8562" s="35" t="s">
        <v>1769</v>
      </c>
      <c r="D8562" s="35" t="s">
        <v>1802</v>
      </c>
      <c r="E8562" s="35" t="s">
        <v>1805</v>
      </c>
      <c r="F8562" s="35" t="s">
        <v>876</v>
      </c>
    </row>
    <row r="8563" spans="1:6">
      <c r="A8563" s="34">
        <v>2084007863</v>
      </c>
      <c r="B8563" s="35" t="s">
        <v>462</v>
      </c>
      <c r="C8563" s="35" t="s">
        <v>1769</v>
      </c>
      <c r="D8563" s="35" t="s">
        <v>1802</v>
      </c>
      <c r="E8563" s="35" t="s">
        <v>1805</v>
      </c>
      <c r="F8563" s="35" t="s">
        <v>877</v>
      </c>
    </row>
    <row r="8564" spans="1:6">
      <c r="A8564" s="34">
        <v>2084007864</v>
      </c>
      <c r="B8564" s="35" t="s">
        <v>462</v>
      </c>
      <c r="C8564" s="35" t="s">
        <v>1769</v>
      </c>
      <c r="D8564" s="35" t="s">
        <v>1802</v>
      </c>
      <c r="E8564" s="35" t="s">
        <v>1805</v>
      </c>
      <c r="F8564" s="35" t="s">
        <v>1772</v>
      </c>
    </row>
    <row r="8565" spans="1:6">
      <c r="A8565" s="34">
        <v>2084007865</v>
      </c>
      <c r="B8565" s="35" t="s">
        <v>462</v>
      </c>
      <c r="C8565" s="35" t="s">
        <v>1769</v>
      </c>
      <c r="D8565" s="35" t="s">
        <v>1802</v>
      </c>
      <c r="E8565" s="35" t="s">
        <v>1806</v>
      </c>
      <c r="F8565" s="35" t="s">
        <v>788</v>
      </c>
    </row>
    <row r="8566" spans="1:6">
      <c r="A8566" s="34">
        <v>2084007866</v>
      </c>
      <c r="B8566" s="35" t="s">
        <v>462</v>
      </c>
      <c r="C8566" s="35" t="s">
        <v>1769</v>
      </c>
      <c r="D8566" s="35" t="s">
        <v>1802</v>
      </c>
      <c r="E8566" s="35" t="s">
        <v>1806</v>
      </c>
      <c r="F8566" s="35" t="s">
        <v>789</v>
      </c>
    </row>
    <row r="8567" spans="1:6">
      <c r="A8567" s="34">
        <v>2084007867</v>
      </c>
      <c r="B8567" s="35" t="s">
        <v>462</v>
      </c>
      <c r="C8567" s="35" t="s">
        <v>1769</v>
      </c>
      <c r="D8567" s="35" t="s">
        <v>1802</v>
      </c>
      <c r="E8567" s="35" t="s">
        <v>1806</v>
      </c>
      <c r="F8567" s="35" t="s">
        <v>790</v>
      </c>
    </row>
    <row r="8568" spans="1:6">
      <c r="A8568" s="34">
        <v>2084007868</v>
      </c>
      <c r="B8568" s="35" t="s">
        <v>462</v>
      </c>
      <c r="C8568" s="35" t="s">
        <v>1769</v>
      </c>
      <c r="D8568" s="35" t="s">
        <v>1802</v>
      </c>
      <c r="E8568" s="35" t="s">
        <v>1806</v>
      </c>
      <c r="F8568" s="35" t="s">
        <v>791</v>
      </c>
    </row>
    <row r="8569" spans="1:6">
      <c r="A8569" s="34">
        <v>2084007869</v>
      </c>
      <c r="B8569" s="35" t="s">
        <v>462</v>
      </c>
      <c r="C8569" s="35" t="s">
        <v>1769</v>
      </c>
      <c r="D8569" s="35" t="s">
        <v>1802</v>
      </c>
      <c r="E8569" s="35" t="s">
        <v>1806</v>
      </c>
      <c r="F8569" s="35" t="s">
        <v>792</v>
      </c>
    </row>
    <row r="8570" spans="1:6">
      <c r="A8570" s="34">
        <v>2084007870</v>
      </c>
      <c r="B8570" s="35" t="s">
        <v>462</v>
      </c>
      <c r="C8570" s="35" t="s">
        <v>1769</v>
      </c>
      <c r="D8570" s="35" t="s">
        <v>1802</v>
      </c>
      <c r="E8570" s="35" t="s">
        <v>1806</v>
      </c>
      <c r="F8570" s="35" t="s">
        <v>793</v>
      </c>
    </row>
    <row r="8571" spans="1:6">
      <c r="A8571" s="34">
        <v>2084007881</v>
      </c>
      <c r="B8571" s="35" t="s">
        <v>462</v>
      </c>
      <c r="C8571" s="35" t="s">
        <v>1769</v>
      </c>
      <c r="D8571" s="35" t="s">
        <v>1802</v>
      </c>
      <c r="E8571" s="35" t="s">
        <v>1806</v>
      </c>
      <c r="F8571" s="35" t="s">
        <v>876</v>
      </c>
    </row>
    <row r="8572" spans="1:6">
      <c r="A8572" s="34">
        <v>2084007882</v>
      </c>
      <c r="B8572" s="35" t="s">
        <v>462</v>
      </c>
      <c r="C8572" s="35" t="s">
        <v>1769</v>
      </c>
      <c r="D8572" s="35" t="s">
        <v>1802</v>
      </c>
      <c r="E8572" s="35" t="s">
        <v>1806</v>
      </c>
      <c r="F8572" s="35" t="s">
        <v>877</v>
      </c>
    </row>
    <row r="8573" spans="1:6">
      <c r="A8573" s="34">
        <v>2084007871</v>
      </c>
      <c r="B8573" s="35" t="s">
        <v>462</v>
      </c>
      <c r="C8573" s="35" t="s">
        <v>1769</v>
      </c>
      <c r="D8573" s="35" t="s">
        <v>1802</v>
      </c>
      <c r="E8573" s="35" t="s">
        <v>1806</v>
      </c>
      <c r="F8573" s="35" t="s">
        <v>1772</v>
      </c>
    </row>
    <row r="8574" spans="1:6">
      <c r="A8574" s="34">
        <v>2084309034</v>
      </c>
      <c r="B8574" s="35" t="s">
        <v>462</v>
      </c>
      <c r="C8574" s="35" t="s">
        <v>1769</v>
      </c>
      <c r="D8574" s="35" t="s">
        <v>1802</v>
      </c>
      <c r="E8574" s="35" t="s">
        <v>1807</v>
      </c>
    </row>
    <row r="8575" spans="1:6">
      <c r="A8575" s="34">
        <v>2084007872</v>
      </c>
      <c r="B8575" s="35" t="s">
        <v>462</v>
      </c>
      <c r="C8575" s="35" t="s">
        <v>1769</v>
      </c>
      <c r="D8575" s="35" t="s">
        <v>1808</v>
      </c>
      <c r="E8575" s="35" t="s">
        <v>788</v>
      </c>
    </row>
    <row r="8576" spans="1:6">
      <c r="A8576" s="34">
        <v>2084007873</v>
      </c>
      <c r="B8576" s="35" t="s">
        <v>462</v>
      </c>
      <c r="C8576" s="35" t="s">
        <v>1769</v>
      </c>
      <c r="D8576" s="35" t="s">
        <v>1808</v>
      </c>
      <c r="E8576" s="35" t="s">
        <v>789</v>
      </c>
    </row>
    <row r="8577" spans="1:5">
      <c r="A8577" s="34">
        <v>2084007874</v>
      </c>
      <c r="B8577" s="35" t="s">
        <v>462</v>
      </c>
      <c r="C8577" s="35" t="s">
        <v>1769</v>
      </c>
      <c r="D8577" s="35" t="s">
        <v>1808</v>
      </c>
      <c r="E8577" s="35" t="s">
        <v>790</v>
      </c>
    </row>
    <row r="8578" spans="1:5">
      <c r="A8578" s="34">
        <v>2084007875</v>
      </c>
      <c r="B8578" s="35" t="s">
        <v>462</v>
      </c>
      <c r="C8578" s="35" t="s">
        <v>1769</v>
      </c>
      <c r="D8578" s="35" t="s">
        <v>1808</v>
      </c>
      <c r="E8578" s="35" t="s">
        <v>791</v>
      </c>
    </row>
    <row r="8579" spans="1:5">
      <c r="A8579" s="34">
        <v>2084007876</v>
      </c>
      <c r="B8579" s="35" t="s">
        <v>462</v>
      </c>
      <c r="C8579" s="35" t="s">
        <v>1769</v>
      </c>
      <c r="D8579" s="35" t="s">
        <v>1808</v>
      </c>
      <c r="E8579" s="35" t="s">
        <v>792</v>
      </c>
    </row>
    <row r="8580" spans="1:5">
      <c r="A8580" s="34">
        <v>2084007877</v>
      </c>
      <c r="B8580" s="35" t="s">
        <v>462</v>
      </c>
      <c r="C8580" s="35" t="s">
        <v>1769</v>
      </c>
      <c r="D8580" s="35" t="s">
        <v>1808</v>
      </c>
      <c r="E8580" s="35" t="s">
        <v>793</v>
      </c>
    </row>
    <row r="8581" spans="1:5">
      <c r="A8581" s="34">
        <v>2084007878</v>
      </c>
      <c r="B8581" s="35" t="s">
        <v>462</v>
      </c>
      <c r="C8581" s="35" t="s">
        <v>1769</v>
      </c>
      <c r="D8581" s="35" t="s">
        <v>1808</v>
      </c>
      <c r="E8581" s="35" t="s">
        <v>876</v>
      </c>
    </row>
    <row r="8582" spans="1:5">
      <c r="A8582" s="34">
        <v>2084007880</v>
      </c>
      <c r="B8582" s="35" t="s">
        <v>462</v>
      </c>
      <c r="C8582" s="35" t="s">
        <v>1769</v>
      </c>
      <c r="D8582" s="35" t="s">
        <v>1808</v>
      </c>
      <c r="E8582" s="35" t="s">
        <v>877</v>
      </c>
    </row>
    <row r="8583" spans="1:5">
      <c r="A8583" s="34">
        <v>2084007879</v>
      </c>
      <c r="B8583" s="35" t="s">
        <v>462</v>
      </c>
      <c r="C8583" s="35" t="s">
        <v>1769</v>
      </c>
      <c r="D8583" s="35" t="s">
        <v>1808</v>
      </c>
      <c r="E8583" s="35" t="s">
        <v>1772</v>
      </c>
    </row>
    <row r="8584" spans="1:5">
      <c r="A8584" s="34">
        <v>2084049327</v>
      </c>
      <c r="B8584" s="35" t="s">
        <v>462</v>
      </c>
      <c r="C8584" s="35" t="s">
        <v>1769</v>
      </c>
      <c r="D8584" s="35" t="s">
        <v>1809</v>
      </c>
      <c r="E8584" s="35" t="s">
        <v>788</v>
      </c>
    </row>
    <row r="8585" spans="1:5">
      <c r="A8585" s="34">
        <v>2084049328</v>
      </c>
      <c r="B8585" s="35" t="s">
        <v>462</v>
      </c>
      <c r="C8585" s="35" t="s">
        <v>1769</v>
      </c>
      <c r="D8585" s="35" t="s">
        <v>1809</v>
      </c>
      <c r="E8585" s="35" t="s">
        <v>789</v>
      </c>
    </row>
    <row r="8586" spans="1:5">
      <c r="A8586" s="34">
        <v>2084049329</v>
      </c>
      <c r="B8586" s="35" t="s">
        <v>462</v>
      </c>
      <c r="C8586" s="35" t="s">
        <v>1769</v>
      </c>
      <c r="D8586" s="35" t="s">
        <v>1809</v>
      </c>
      <c r="E8586" s="35" t="s">
        <v>790</v>
      </c>
    </row>
    <row r="8587" spans="1:5">
      <c r="A8587" s="34">
        <v>2084049330</v>
      </c>
      <c r="B8587" s="35" t="s">
        <v>462</v>
      </c>
      <c r="C8587" s="35" t="s">
        <v>1769</v>
      </c>
      <c r="D8587" s="35" t="s">
        <v>1809</v>
      </c>
      <c r="E8587" s="35" t="s">
        <v>791</v>
      </c>
    </row>
    <row r="8588" spans="1:5">
      <c r="A8588" s="34">
        <v>2084049331</v>
      </c>
      <c r="B8588" s="35" t="s">
        <v>462</v>
      </c>
      <c r="C8588" s="35" t="s">
        <v>1769</v>
      </c>
      <c r="D8588" s="35" t="s">
        <v>1809</v>
      </c>
      <c r="E8588" s="35" t="s">
        <v>792</v>
      </c>
    </row>
    <row r="8589" spans="1:5">
      <c r="A8589" s="34">
        <v>2084049332</v>
      </c>
      <c r="B8589" s="35" t="s">
        <v>462</v>
      </c>
      <c r="C8589" s="35" t="s">
        <v>1769</v>
      </c>
      <c r="D8589" s="35" t="s">
        <v>1809</v>
      </c>
      <c r="E8589" s="35" t="s">
        <v>793</v>
      </c>
    </row>
    <row r="8590" spans="1:5">
      <c r="A8590" s="34">
        <v>2084049333</v>
      </c>
      <c r="B8590" s="35" t="s">
        <v>462</v>
      </c>
      <c r="C8590" s="35" t="s">
        <v>1769</v>
      </c>
      <c r="D8590" s="35" t="s">
        <v>1809</v>
      </c>
      <c r="E8590" s="35" t="s">
        <v>876</v>
      </c>
    </row>
    <row r="8591" spans="1:5">
      <c r="A8591" s="34">
        <v>2084049334</v>
      </c>
      <c r="B8591" s="35" t="s">
        <v>462</v>
      </c>
      <c r="C8591" s="35" t="s">
        <v>1769</v>
      </c>
      <c r="D8591" s="35" t="s">
        <v>1809</v>
      </c>
      <c r="E8591" s="35" t="s">
        <v>877</v>
      </c>
    </row>
    <row r="8592" spans="1:5">
      <c r="A8592" s="34">
        <v>2084049335</v>
      </c>
      <c r="B8592" s="35" t="s">
        <v>462</v>
      </c>
      <c r="C8592" s="35" t="s">
        <v>1769</v>
      </c>
      <c r="D8592" s="35" t="s">
        <v>1809</v>
      </c>
      <c r="E8592" s="35" t="s">
        <v>1772</v>
      </c>
    </row>
    <row r="8593" spans="1:5">
      <c r="A8593" s="34">
        <v>2084023779</v>
      </c>
      <c r="B8593" s="35" t="s">
        <v>462</v>
      </c>
      <c r="C8593" s="35" t="s">
        <v>1769</v>
      </c>
      <c r="D8593" s="35" t="s">
        <v>1810</v>
      </c>
    </row>
    <row r="8594" spans="1:5">
      <c r="A8594" s="34">
        <v>2084005499</v>
      </c>
      <c r="B8594" s="35" t="s">
        <v>462</v>
      </c>
      <c r="C8594" s="35" t="s">
        <v>1769</v>
      </c>
      <c r="D8594" s="35" t="s">
        <v>335</v>
      </c>
    </row>
    <row r="8595" spans="1:5">
      <c r="A8595" s="34">
        <v>2084048833</v>
      </c>
      <c r="B8595" s="35" t="s">
        <v>462</v>
      </c>
      <c r="C8595" s="35" t="s">
        <v>1811</v>
      </c>
      <c r="D8595" s="35" t="s">
        <v>1812</v>
      </c>
    </row>
    <row r="8596" spans="1:5">
      <c r="A8596" s="34">
        <v>2084308407</v>
      </c>
      <c r="B8596" s="35" t="s">
        <v>462</v>
      </c>
      <c r="C8596" s="35" t="s">
        <v>1811</v>
      </c>
      <c r="D8596" s="35" t="s">
        <v>1813</v>
      </c>
      <c r="E8596" s="35" t="s">
        <v>1768</v>
      </c>
    </row>
    <row r="8597" spans="1:5">
      <c r="A8597" s="34">
        <v>2084308406</v>
      </c>
      <c r="B8597" s="35" t="s">
        <v>462</v>
      </c>
      <c r="C8597" s="35" t="s">
        <v>1811</v>
      </c>
      <c r="D8597" s="35" t="s">
        <v>1813</v>
      </c>
      <c r="E8597" s="35" t="s">
        <v>1814</v>
      </c>
    </row>
    <row r="8598" spans="1:5">
      <c r="A8598" s="34">
        <v>2084005473</v>
      </c>
      <c r="B8598" s="35" t="s">
        <v>462</v>
      </c>
      <c r="C8598" s="35" t="s">
        <v>1811</v>
      </c>
      <c r="D8598" s="35" t="s">
        <v>1815</v>
      </c>
    </row>
    <row r="8599" spans="1:5">
      <c r="A8599" s="34">
        <v>2084309301</v>
      </c>
      <c r="B8599" s="35" t="s">
        <v>462</v>
      </c>
      <c r="C8599" s="35" t="s">
        <v>1811</v>
      </c>
      <c r="D8599" s="35" t="s">
        <v>1816</v>
      </c>
      <c r="E8599" s="35" t="s">
        <v>1817</v>
      </c>
    </row>
    <row r="8600" spans="1:5">
      <c r="A8600" s="34">
        <v>2084309302</v>
      </c>
      <c r="B8600" s="35" t="s">
        <v>462</v>
      </c>
      <c r="C8600" s="35" t="s">
        <v>1811</v>
      </c>
      <c r="D8600" s="35" t="s">
        <v>1816</v>
      </c>
      <c r="E8600" s="35" t="s">
        <v>1818</v>
      </c>
    </row>
    <row r="8601" spans="1:5">
      <c r="A8601" s="34">
        <v>2084309303</v>
      </c>
      <c r="B8601" s="35" t="s">
        <v>462</v>
      </c>
      <c r="C8601" s="35" t="s">
        <v>1811</v>
      </c>
      <c r="D8601" s="35" t="s">
        <v>1816</v>
      </c>
      <c r="E8601" s="35" t="s">
        <v>1819</v>
      </c>
    </row>
    <row r="8602" spans="1:5">
      <c r="A8602" s="34">
        <v>2084309304</v>
      </c>
      <c r="B8602" s="35" t="s">
        <v>462</v>
      </c>
      <c r="C8602" s="35" t="s">
        <v>1811</v>
      </c>
      <c r="D8602" s="35" t="s">
        <v>1816</v>
      </c>
      <c r="E8602" s="35" t="s">
        <v>1820</v>
      </c>
    </row>
    <row r="8603" spans="1:5">
      <c r="A8603" s="34">
        <v>2084309305</v>
      </c>
      <c r="B8603" s="35" t="s">
        <v>462</v>
      </c>
      <c r="C8603" s="35" t="s">
        <v>1811</v>
      </c>
      <c r="D8603" s="35" t="s">
        <v>1821</v>
      </c>
      <c r="E8603" s="35" t="s">
        <v>1822</v>
      </c>
    </row>
    <row r="8604" spans="1:5">
      <c r="A8604" s="34">
        <v>2084309306</v>
      </c>
      <c r="B8604" s="35" t="s">
        <v>462</v>
      </c>
      <c r="C8604" s="35" t="s">
        <v>1811</v>
      </c>
      <c r="D8604" s="35" t="s">
        <v>1821</v>
      </c>
      <c r="E8604" s="35" t="s">
        <v>1823</v>
      </c>
    </row>
    <row r="8605" spans="1:5">
      <c r="A8605" s="34">
        <v>2084309307</v>
      </c>
      <c r="B8605" s="35" t="s">
        <v>462</v>
      </c>
      <c r="C8605" s="35" t="s">
        <v>1811</v>
      </c>
      <c r="D8605" s="35" t="s">
        <v>1824</v>
      </c>
      <c r="E8605" s="35" t="s">
        <v>1822</v>
      </c>
    </row>
    <row r="8606" spans="1:5">
      <c r="A8606" s="34">
        <v>2084309308</v>
      </c>
      <c r="B8606" s="35" t="s">
        <v>462</v>
      </c>
      <c r="C8606" s="35" t="s">
        <v>1811</v>
      </c>
      <c r="D8606" s="35" t="s">
        <v>1824</v>
      </c>
      <c r="E8606" s="35" t="s">
        <v>1823</v>
      </c>
    </row>
    <row r="8607" spans="1:5">
      <c r="A8607" s="34">
        <v>2084005461</v>
      </c>
      <c r="B8607" s="35" t="s">
        <v>462</v>
      </c>
      <c r="C8607" s="35" t="s">
        <v>1811</v>
      </c>
      <c r="D8607" s="35" t="s">
        <v>1825</v>
      </c>
    </row>
    <row r="8608" spans="1:5">
      <c r="A8608" s="34">
        <v>2084049725</v>
      </c>
      <c r="B8608" s="35" t="s">
        <v>462</v>
      </c>
      <c r="C8608" s="35" t="s">
        <v>1811</v>
      </c>
      <c r="D8608" s="35" t="s">
        <v>1826</v>
      </c>
      <c r="E8608" s="35" t="s">
        <v>1827</v>
      </c>
    </row>
    <row r="8609" spans="1:6">
      <c r="A8609" s="34">
        <v>2084309309</v>
      </c>
      <c r="B8609" s="35" t="s">
        <v>462</v>
      </c>
      <c r="C8609" s="35" t="s">
        <v>1811</v>
      </c>
      <c r="D8609" s="35" t="s">
        <v>1826</v>
      </c>
      <c r="E8609" s="35" t="s">
        <v>1828</v>
      </c>
      <c r="F8609" s="35" t="s">
        <v>1822</v>
      </c>
    </row>
    <row r="8610" spans="1:6">
      <c r="A8610" s="34">
        <v>2084309310</v>
      </c>
      <c r="B8610" s="35" t="s">
        <v>462</v>
      </c>
      <c r="C8610" s="35" t="s">
        <v>1811</v>
      </c>
      <c r="D8610" s="35" t="s">
        <v>1826</v>
      </c>
      <c r="E8610" s="35" t="s">
        <v>1828</v>
      </c>
      <c r="F8610" s="35" t="s">
        <v>1823</v>
      </c>
    </row>
    <row r="8611" spans="1:6">
      <c r="A8611" s="34">
        <v>2084005475</v>
      </c>
      <c r="B8611" s="35" t="s">
        <v>462</v>
      </c>
      <c r="C8611" s="35" t="s">
        <v>1811</v>
      </c>
      <c r="D8611" s="35" t="s">
        <v>1826</v>
      </c>
      <c r="E8611" s="35" t="s">
        <v>1829</v>
      </c>
    </row>
    <row r="8612" spans="1:6">
      <c r="A8612" s="34">
        <v>2084309311</v>
      </c>
      <c r="B8612" s="35" t="s">
        <v>462</v>
      </c>
      <c r="C8612" s="35" t="s">
        <v>1811</v>
      </c>
      <c r="D8612" s="35" t="s">
        <v>1826</v>
      </c>
      <c r="E8612" s="35" t="s">
        <v>1830</v>
      </c>
      <c r="F8612" s="35" t="s">
        <v>1822</v>
      </c>
    </row>
    <row r="8613" spans="1:6">
      <c r="A8613" s="34">
        <v>2084309312</v>
      </c>
      <c r="B8613" s="35" t="s">
        <v>462</v>
      </c>
      <c r="C8613" s="35" t="s">
        <v>1811</v>
      </c>
      <c r="D8613" s="35" t="s">
        <v>1826</v>
      </c>
      <c r="E8613" s="35" t="s">
        <v>1830</v>
      </c>
      <c r="F8613" s="35" t="s">
        <v>1823</v>
      </c>
    </row>
    <row r="8614" spans="1:6">
      <c r="A8614" s="34">
        <v>2084309313</v>
      </c>
      <c r="B8614" s="35" t="s">
        <v>462</v>
      </c>
      <c r="C8614" s="35" t="s">
        <v>1811</v>
      </c>
      <c r="D8614" s="35" t="s">
        <v>1826</v>
      </c>
      <c r="E8614" s="35" t="s">
        <v>1831</v>
      </c>
      <c r="F8614" s="35" t="s">
        <v>1822</v>
      </c>
    </row>
    <row r="8615" spans="1:6">
      <c r="A8615" s="34">
        <v>2084309314</v>
      </c>
      <c r="B8615" s="35" t="s">
        <v>462</v>
      </c>
      <c r="C8615" s="35" t="s">
        <v>1811</v>
      </c>
      <c r="D8615" s="35" t="s">
        <v>1826</v>
      </c>
      <c r="E8615" s="35" t="s">
        <v>1831</v>
      </c>
      <c r="F8615" s="35" t="s">
        <v>1823</v>
      </c>
    </row>
    <row r="8616" spans="1:6">
      <c r="A8616" s="34">
        <v>2084005478</v>
      </c>
      <c r="B8616" s="35" t="s">
        <v>462</v>
      </c>
      <c r="C8616" s="35" t="s">
        <v>1811</v>
      </c>
      <c r="D8616" s="35" t="s">
        <v>1826</v>
      </c>
      <c r="E8616" s="35" t="s">
        <v>335</v>
      </c>
    </row>
    <row r="8617" spans="1:6">
      <c r="A8617" s="34">
        <v>2084308408</v>
      </c>
      <c r="B8617" s="35" t="s">
        <v>462</v>
      </c>
      <c r="C8617" s="35" t="s">
        <v>1811</v>
      </c>
      <c r="D8617" s="35" t="s">
        <v>1832</v>
      </c>
      <c r="E8617" s="35" t="s">
        <v>1833</v>
      </c>
    </row>
    <row r="8618" spans="1:6">
      <c r="A8618" s="34">
        <v>2084308409</v>
      </c>
      <c r="B8618" s="35" t="s">
        <v>462</v>
      </c>
      <c r="C8618" s="35" t="s">
        <v>1811</v>
      </c>
      <c r="D8618" s="35" t="s">
        <v>1832</v>
      </c>
      <c r="E8618" s="35" t="s">
        <v>1834</v>
      </c>
    </row>
    <row r="8619" spans="1:6">
      <c r="A8619" s="34">
        <v>2084308410</v>
      </c>
      <c r="B8619" s="35" t="s">
        <v>462</v>
      </c>
      <c r="C8619" s="35" t="s">
        <v>1811</v>
      </c>
      <c r="D8619" s="35" t="s">
        <v>1832</v>
      </c>
      <c r="E8619" s="35" t="s">
        <v>1835</v>
      </c>
    </row>
    <row r="8620" spans="1:6">
      <c r="A8620" s="34">
        <v>2084308411</v>
      </c>
      <c r="B8620" s="35" t="s">
        <v>462</v>
      </c>
      <c r="C8620" s="35" t="s">
        <v>1811</v>
      </c>
      <c r="D8620" s="35" t="s">
        <v>1832</v>
      </c>
      <c r="E8620" s="35" t="s">
        <v>1836</v>
      </c>
    </row>
    <row r="8621" spans="1:6">
      <c r="A8621" s="34">
        <v>2084308412</v>
      </c>
      <c r="B8621" s="35" t="s">
        <v>462</v>
      </c>
      <c r="C8621" s="35" t="s">
        <v>1811</v>
      </c>
      <c r="D8621" s="35" t="s">
        <v>1832</v>
      </c>
      <c r="E8621" s="35" t="s">
        <v>335</v>
      </c>
    </row>
    <row r="8622" spans="1:6">
      <c r="A8622" s="34">
        <v>2084005464</v>
      </c>
      <c r="B8622" s="35" t="s">
        <v>462</v>
      </c>
      <c r="C8622" s="35" t="s">
        <v>1811</v>
      </c>
      <c r="D8622" s="35" t="s">
        <v>1837</v>
      </c>
    </row>
    <row r="8623" spans="1:6">
      <c r="A8623" s="34">
        <v>2084308413</v>
      </c>
      <c r="B8623" s="35" t="s">
        <v>462</v>
      </c>
      <c r="C8623" s="35" t="s">
        <v>1811</v>
      </c>
      <c r="D8623" s="35" t="s">
        <v>1838</v>
      </c>
      <c r="E8623" s="35" t="s">
        <v>1822</v>
      </c>
    </row>
    <row r="8624" spans="1:6">
      <c r="A8624" s="34">
        <v>2084308414</v>
      </c>
      <c r="B8624" s="35" t="s">
        <v>462</v>
      </c>
      <c r="C8624" s="35" t="s">
        <v>1811</v>
      </c>
      <c r="D8624" s="35" t="s">
        <v>1838</v>
      </c>
      <c r="E8624" s="35" t="s">
        <v>1823</v>
      </c>
    </row>
    <row r="8625" spans="1:6">
      <c r="A8625" s="34">
        <v>2084211807</v>
      </c>
      <c r="B8625" s="35" t="s">
        <v>462</v>
      </c>
      <c r="C8625" s="35" t="s">
        <v>1811</v>
      </c>
      <c r="D8625" s="35" t="s">
        <v>1839</v>
      </c>
      <c r="E8625" s="35" t="s">
        <v>1840</v>
      </c>
      <c r="F8625" s="35" t="s">
        <v>1841</v>
      </c>
    </row>
    <row r="8626" spans="1:6">
      <c r="A8626" s="34">
        <v>2084211808</v>
      </c>
      <c r="B8626" s="35" t="s">
        <v>462</v>
      </c>
      <c r="C8626" s="35" t="s">
        <v>1811</v>
      </c>
      <c r="D8626" s="35" t="s">
        <v>1839</v>
      </c>
      <c r="E8626" s="35" t="s">
        <v>1840</v>
      </c>
      <c r="F8626" s="35" t="s">
        <v>335</v>
      </c>
    </row>
    <row r="8627" spans="1:6">
      <c r="A8627" s="34">
        <v>2084211809</v>
      </c>
      <c r="B8627" s="35" t="s">
        <v>462</v>
      </c>
      <c r="C8627" s="35" t="s">
        <v>1811</v>
      </c>
      <c r="D8627" s="35" t="s">
        <v>1839</v>
      </c>
      <c r="E8627" s="35" t="s">
        <v>1842</v>
      </c>
    </row>
    <row r="8628" spans="1:6">
      <c r="A8628" s="34">
        <v>2084211812</v>
      </c>
      <c r="B8628" s="35" t="s">
        <v>462</v>
      </c>
      <c r="C8628" s="35" t="s">
        <v>1811</v>
      </c>
      <c r="D8628" s="35" t="s">
        <v>1839</v>
      </c>
      <c r="E8628" s="35" t="s">
        <v>1843</v>
      </c>
    </row>
    <row r="8629" spans="1:6">
      <c r="A8629" s="34">
        <v>2084211796</v>
      </c>
      <c r="B8629" s="35" t="s">
        <v>462</v>
      </c>
      <c r="C8629" s="35" t="s">
        <v>1811</v>
      </c>
      <c r="D8629" s="35" t="s">
        <v>1839</v>
      </c>
      <c r="E8629" s="35" t="s">
        <v>1844</v>
      </c>
      <c r="F8629" s="35" t="s">
        <v>1845</v>
      </c>
    </row>
    <row r="8630" spans="1:6">
      <c r="A8630" s="34">
        <v>2084211803</v>
      </c>
      <c r="B8630" s="35" t="s">
        <v>462</v>
      </c>
      <c r="C8630" s="35" t="s">
        <v>1811</v>
      </c>
      <c r="D8630" s="35" t="s">
        <v>1839</v>
      </c>
      <c r="E8630" s="35" t="s">
        <v>1844</v>
      </c>
      <c r="F8630" s="35" t="s">
        <v>1846</v>
      </c>
    </row>
    <row r="8631" spans="1:6">
      <c r="A8631" s="34">
        <v>2084211801</v>
      </c>
      <c r="B8631" s="35" t="s">
        <v>462</v>
      </c>
      <c r="C8631" s="35" t="s">
        <v>1811</v>
      </c>
      <c r="D8631" s="35" t="s">
        <v>1839</v>
      </c>
      <c r="E8631" s="35" t="s">
        <v>1844</v>
      </c>
      <c r="F8631" s="35" t="s">
        <v>1847</v>
      </c>
    </row>
    <row r="8632" spans="1:6">
      <c r="A8632" s="34">
        <v>2084211800</v>
      </c>
      <c r="B8632" s="35" t="s">
        <v>462</v>
      </c>
      <c r="C8632" s="35" t="s">
        <v>1811</v>
      </c>
      <c r="D8632" s="35" t="s">
        <v>1839</v>
      </c>
      <c r="E8632" s="35" t="s">
        <v>1844</v>
      </c>
      <c r="F8632" s="35" t="s">
        <v>1841</v>
      </c>
    </row>
    <row r="8633" spans="1:6">
      <c r="A8633" s="34">
        <v>2084211798</v>
      </c>
      <c r="B8633" s="35" t="s">
        <v>462</v>
      </c>
      <c r="C8633" s="35" t="s">
        <v>1811</v>
      </c>
      <c r="D8633" s="35" t="s">
        <v>1839</v>
      </c>
      <c r="E8633" s="35" t="s">
        <v>1844</v>
      </c>
      <c r="F8633" s="35" t="s">
        <v>1848</v>
      </c>
    </row>
    <row r="8634" spans="1:6">
      <c r="A8634" s="34">
        <v>2084211799</v>
      </c>
      <c r="B8634" s="35" t="s">
        <v>462</v>
      </c>
      <c r="C8634" s="35" t="s">
        <v>1811</v>
      </c>
      <c r="D8634" s="35" t="s">
        <v>1839</v>
      </c>
      <c r="E8634" s="35" t="s">
        <v>1844</v>
      </c>
      <c r="F8634" s="35" t="s">
        <v>1849</v>
      </c>
    </row>
    <row r="8635" spans="1:6">
      <c r="A8635" s="34">
        <v>2084211804</v>
      </c>
      <c r="B8635" s="35" t="s">
        <v>462</v>
      </c>
      <c r="C8635" s="35" t="s">
        <v>1811</v>
      </c>
      <c r="D8635" s="35" t="s">
        <v>1839</v>
      </c>
      <c r="E8635" s="35" t="s">
        <v>1844</v>
      </c>
      <c r="F8635" s="35" t="s">
        <v>335</v>
      </c>
    </row>
    <row r="8636" spans="1:6">
      <c r="A8636" s="34">
        <v>2084211774</v>
      </c>
      <c r="B8636" s="35" t="s">
        <v>462</v>
      </c>
      <c r="C8636" s="35" t="s">
        <v>1811</v>
      </c>
      <c r="D8636" s="35" t="s">
        <v>1839</v>
      </c>
      <c r="E8636" s="35" t="s">
        <v>1850</v>
      </c>
      <c r="F8636" s="35" t="s">
        <v>1845</v>
      </c>
    </row>
    <row r="8637" spans="1:6">
      <c r="A8637" s="34">
        <v>2084211790</v>
      </c>
      <c r="B8637" s="35" t="s">
        <v>462</v>
      </c>
      <c r="C8637" s="35" t="s">
        <v>1811</v>
      </c>
      <c r="D8637" s="35" t="s">
        <v>1839</v>
      </c>
      <c r="E8637" s="35" t="s">
        <v>1850</v>
      </c>
      <c r="F8637" s="35" t="s">
        <v>1846</v>
      </c>
    </row>
    <row r="8638" spans="1:6">
      <c r="A8638" s="34">
        <v>2084211788</v>
      </c>
      <c r="B8638" s="35" t="s">
        <v>462</v>
      </c>
      <c r="C8638" s="35" t="s">
        <v>1811</v>
      </c>
      <c r="D8638" s="35" t="s">
        <v>1839</v>
      </c>
      <c r="E8638" s="35" t="s">
        <v>1850</v>
      </c>
      <c r="F8638" s="35" t="s">
        <v>1847</v>
      </c>
    </row>
    <row r="8639" spans="1:6">
      <c r="A8639" s="34">
        <v>2084211784</v>
      </c>
      <c r="B8639" s="35" t="s">
        <v>462</v>
      </c>
      <c r="C8639" s="35" t="s">
        <v>1811</v>
      </c>
      <c r="D8639" s="35" t="s">
        <v>1839</v>
      </c>
      <c r="E8639" s="35" t="s">
        <v>1850</v>
      </c>
      <c r="F8639" s="35" t="s">
        <v>1841</v>
      </c>
    </row>
    <row r="8640" spans="1:6">
      <c r="A8640" s="34">
        <v>2084211778</v>
      </c>
      <c r="B8640" s="35" t="s">
        <v>462</v>
      </c>
      <c r="C8640" s="35" t="s">
        <v>1811</v>
      </c>
      <c r="D8640" s="35" t="s">
        <v>1839</v>
      </c>
      <c r="E8640" s="35" t="s">
        <v>1850</v>
      </c>
      <c r="F8640" s="35" t="s">
        <v>1848</v>
      </c>
    </row>
    <row r="8641" spans="1:6">
      <c r="A8641" s="34">
        <v>2084211782</v>
      </c>
      <c r="B8641" s="35" t="s">
        <v>462</v>
      </c>
      <c r="C8641" s="35" t="s">
        <v>1811</v>
      </c>
      <c r="D8641" s="35" t="s">
        <v>1839</v>
      </c>
      <c r="E8641" s="35" t="s">
        <v>1850</v>
      </c>
      <c r="F8641" s="35" t="s">
        <v>1849</v>
      </c>
    </row>
    <row r="8642" spans="1:6">
      <c r="A8642" s="34">
        <v>2084211792</v>
      </c>
      <c r="B8642" s="35" t="s">
        <v>462</v>
      </c>
      <c r="C8642" s="35" t="s">
        <v>1811</v>
      </c>
      <c r="D8642" s="35" t="s">
        <v>1839</v>
      </c>
      <c r="E8642" s="35" t="s">
        <v>1850</v>
      </c>
      <c r="F8642" s="35" t="s">
        <v>335</v>
      </c>
    </row>
    <row r="8643" spans="1:6">
      <c r="A8643" s="34">
        <v>2084211817</v>
      </c>
      <c r="B8643" s="35" t="s">
        <v>462</v>
      </c>
      <c r="C8643" s="35" t="s">
        <v>1811</v>
      </c>
      <c r="D8643" s="35" t="s">
        <v>1839</v>
      </c>
      <c r="E8643" s="35" t="s">
        <v>335</v>
      </c>
    </row>
    <row r="8644" spans="1:6">
      <c r="A8644" s="34">
        <v>2084005462</v>
      </c>
      <c r="B8644" s="35" t="s">
        <v>462</v>
      </c>
      <c r="C8644" s="35" t="s">
        <v>1811</v>
      </c>
      <c r="D8644" s="35" t="s">
        <v>1851</v>
      </c>
    </row>
    <row r="8645" spans="1:6">
      <c r="A8645" s="34">
        <v>2084308415</v>
      </c>
      <c r="B8645" s="35" t="s">
        <v>462</v>
      </c>
      <c r="C8645" s="35" t="s">
        <v>1811</v>
      </c>
      <c r="D8645" s="35" t="s">
        <v>1852</v>
      </c>
      <c r="E8645" s="35" t="s">
        <v>1822</v>
      </c>
    </row>
    <row r="8646" spans="1:6">
      <c r="A8646" s="34">
        <v>2084308416</v>
      </c>
      <c r="B8646" s="35" t="s">
        <v>462</v>
      </c>
      <c r="C8646" s="35" t="s">
        <v>1811</v>
      </c>
      <c r="D8646" s="35" t="s">
        <v>1852</v>
      </c>
      <c r="E8646" s="35" t="s">
        <v>1823</v>
      </c>
    </row>
    <row r="8647" spans="1:6">
      <c r="A8647" s="34">
        <v>2084050139</v>
      </c>
      <c r="B8647" s="35" t="s">
        <v>462</v>
      </c>
      <c r="C8647" s="35" t="s">
        <v>1811</v>
      </c>
      <c r="D8647" s="35" t="s">
        <v>1853</v>
      </c>
      <c r="E8647" s="35" t="s">
        <v>1854</v>
      </c>
    </row>
    <row r="8648" spans="1:6">
      <c r="A8648" s="34">
        <v>2084048862</v>
      </c>
      <c r="B8648" s="35" t="s">
        <v>462</v>
      </c>
      <c r="C8648" s="35" t="s">
        <v>1811</v>
      </c>
      <c r="D8648" s="35" t="s">
        <v>1853</v>
      </c>
      <c r="E8648" s="35" t="s">
        <v>1855</v>
      </c>
    </row>
    <row r="8649" spans="1:6">
      <c r="A8649" s="34">
        <v>2084048865</v>
      </c>
      <c r="B8649" s="35" t="s">
        <v>462</v>
      </c>
      <c r="C8649" s="35" t="s">
        <v>1811</v>
      </c>
      <c r="D8649" s="35" t="s">
        <v>1853</v>
      </c>
      <c r="E8649" s="35" t="s">
        <v>1856</v>
      </c>
    </row>
    <row r="8650" spans="1:6">
      <c r="A8650" s="34">
        <v>2084048863</v>
      </c>
      <c r="B8650" s="35" t="s">
        <v>462</v>
      </c>
      <c r="C8650" s="35" t="s">
        <v>1811</v>
      </c>
      <c r="D8650" s="35" t="s">
        <v>1853</v>
      </c>
      <c r="E8650" s="35" t="s">
        <v>1857</v>
      </c>
    </row>
    <row r="8651" spans="1:6">
      <c r="A8651" s="34">
        <v>2084050138</v>
      </c>
      <c r="B8651" s="35" t="s">
        <v>462</v>
      </c>
      <c r="C8651" s="35" t="s">
        <v>1811</v>
      </c>
      <c r="D8651" s="35" t="s">
        <v>1853</v>
      </c>
      <c r="E8651" s="35" t="s">
        <v>1858</v>
      </c>
    </row>
    <row r="8652" spans="1:6">
      <c r="A8652" s="34">
        <v>2084048864</v>
      </c>
      <c r="B8652" s="35" t="s">
        <v>462</v>
      </c>
      <c r="C8652" s="35" t="s">
        <v>1811</v>
      </c>
      <c r="D8652" s="35" t="s">
        <v>1853</v>
      </c>
      <c r="E8652" s="35" t="s">
        <v>1859</v>
      </c>
    </row>
    <row r="8653" spans="1:6">
      <c r="A8653" s="34">
        <v>2084048860</v>
      </c>
      <c r="B8653" s="35" t="s">
        <v>462</v>
      </c>
      <c r="C8653" s="35" t="s">
        <v>1811</v>
      </c>
      <c r="D8653" s="35" t="s">
        <v>1853</v>
      </c>
      <c r="E8653" s="35" t="s">
        <v>1860</v>
      </c>
    </row>
    <row r="8654" spans="1:6">
      <c r="A8654" s="34">
        <v>2084048866</v>
      </c>
      <c r="B8654" s="35" t="s">
        <v>462</v>
      </c>
      <c r="C8654" s="35" t="s">
        <v>1811</v>
      </c>
      <c r="D8654" s="35" t="s">
        <v>1853</v>
      </c>
      <c r="E8654" s="35" t="s">
        <v>335</v>
      </c>
    </row>
    <row r="8655" spans="1:6">
      <c r="A8655" s="34">
        <v>2084311308</v>
      </c>
      <c r="B8655" s="35" t="s">
        <v>462</v>
      </c>
      <c r="C8655" s="35" t="s">
        <v>1811</v>
      </c>
      <c r="D8655" s="35" t="s">
        <v>1861</v>
      </c>
      <c r="E8655" s="35" t="s">
        <v>335</v>
      </c>
    </row>
    <row r="8656" spans="1:6">
      <c r="A8656" s="34">
        <v>2084311306</v>
      </c>
      <c r="B8656" s="35" t="s">
        <v>462</v>
      </c>
      <c r="C8656" s="35" t="s">
        <v>1811</v>
      </c>
      <c r="D8656" s="35" t="s">
        <v>1861</v>
      </c>
      <c r="E8656" s="35" t="s">
        <v>1862</v>
      </c>
    </row>
    <row r="8657" spans="1:6">
      <c r="A8657" s="34">
        <v>2084311307</v>
      </c>
      <c r="B8657" s="35" t="s">
        <v>462</v>
      </c>
      <c r="C8657" s="35" t="s">
        <v>1811</v>
      </c>
      <c r="D8657" s="35" t="s">
        <v>1861</v>
      </c>
      <c r="E8657" s="35" t="s">
        <v>1863</v>
      </c>
    </row>
    <row r="8658" spans="1:6">
      <c r="A8658" s="34">
        <v>2084005474</v>
      </c>
      <c r="B8658" s="35" t="s">
        <v>462</v>
      </c>
      <c r="C8658" s="35" t="s">
        <v>1811</v>
      </c>
      <c r="D8658" s="35" t="s">
        <v>335</v>
      </c>
    </row>
    <row r="8659" spans="1:6">
      <c r="A8659" s="34">
        <v>2084292116</v>
      </c>
      <c r="B8659" s="35" t="s">
        <v>462</v>
      </c>
      <c r="C8659" s="35" t="s">
        <v>1864</v>
      </c>
      <c r="D8659" s="35" t="s">
        <v>1865</v>
      </c>
      <c r="E8659" s="35" t="s">
        <v>390</v>
      </c>
      <c r="F8659" s="35" t="s">
        <v>1866</v>
      </c>
    </row>
    <row r="8660" spans="1:6">
      <c r="A8660" s="34">
        <v>2084292117</v>
      </c>
      <c r="B8660" s="35" t="s">
        <v>462</v>
      </c>
      <c r="C8660" s="35" t="s">
        <v>1864</v>
      </c>
      <c r="D8660" s="35" t="s">
        <v>1865</v>
      </c>
      <c r="E8660" s="35" t="s">
        <v>390</v>
      </c>
      <c r="F8660" s="35" t="s">
        <v>1867</v>
      </c>
    </row>
    <row r="8661" spans="1:6">
      <c r="A8661" s="34">
        <v>2084292118</v>
      </c>
      <c r="B8661" s="35" t="s">
        <v>462</v>
      </c>
      <c r="C8661" s="35" t="s">
        <v>1864</v>
      </c>
      <c r="D8661" s="35" t="s">
        <v>1865</v>
      </c>
      <c r="E8661" s="35" t="s">
        <v>390</v>
      </c>
      <c r="F8661" s="35" t="s">
        <v>1868</v>
      </c>
    </row>
    <row r="8662" spans="1:6">
      <c r="A8662" s="34">
        <v>2084292119</v>
      </c>
      <c r="B8662" s="35" t="s">
        <v>462</v>
      </c>
      <c r="C8662" s="35" t="s">
        <v>1864</v>
      </c>
      <c r="D8662" s="35" t="s">
        <v>1865</v>
      </c>
      <c r="E8662" s="35" t="s">
        <v>390</v>
      </c>
      <c r="F8662" s="35" t="s">
        <v>1869</v>
      </c>
    </row>
    <row r="8663" spans="1:6">
      <c r="A8663" s="34">
        <v>2084292120</v>
      </c>
      <c r="B8663" s="35" t="s">
        <v>462</v>
      </c>
      <c r="C8663" s="35" t="s">
        <v>1864</v>
      </c>
      <c r="D8663" s="35" t="s">
        <v>1865</v>
      </c>
      <c r="E8663" s="35" t="s">
        <v>390</v>
      </c>
      <c r="F8663" s="35" t="s">
        <v>1870</v>
      </c>
    </row>
    <row r="8664" spans="1:6">
      <c r="A8664" s="34">
        <v>2084292137</v>
      </c>
      <c r="B8664" s="35" t="s">
        <v>462</v>
      </c>
      <c r="C8664" s="35" t="s">
        <v>1864</v>
      </c>
      <c r="D8664" s="35" t="s">
        <v>1865</v>
      </c>
      <c r="E8664" s="35" t="s">
        <v>390</v>
      </c>
      <c r="F8664" s="35" t="s">
        <v>335</v>
      </c>
    </row>
    <row r="8665" spans="1:6">
      <c r="A8665" s="34">
        <v>2084292126</v>
      </c>
      <c r="B8665" s="35" t="s">
        <v>462</v>
      </c>
      <c r="C8665" s="35" t="s">
        <v>1864</v>
      </c>
      <c r="D8665" s="35" t="s">
        <v>1865</v>
      </c>
      <c r="E8665" s="35" t="s">
        <v>353</v>
      </c>
      <c r="F8665" s="35" t="s">
        <v>1866</v>
      </c>
    </row>
    <row r="8666" spans="1:6">
      <c r="A8666" s="34">
        <v>2084292127</v>
      </c>
      <c r="B8666" s="35" t="s">
        <v>462</v>
      </c>
      <c r="C8666" s="35" t="s">
        <v>1864</v>
      </c>
      <c r="D8666" s="35" t="s">
        <v>1865</v>
      </c>
      <c r="E8666" s="35" t="s">
        <v>353</v>
      </c>
      <c r="F8666" s="35" t="s">
        <v>1867</v>
      </c>
    </row>
    <row r="8667" spans="1:6">
      <c r="A8667" s="34">
        <v>2084292128</v>
      </c>
      <c r="B8667" s="35" t="s">
        <v>462</v>
      </c>
      <c r="C8667" s="35" t="s">
        <v>1864</v>
      </c>
      <c r="D8667" s="35" t="s">
        <v>1865</v>
      </c>
      <c r="E8667" s="35" t="s">
        <v>353</v>
      </c>
      <c r="F8667" s="35" t="s">
        <v>1868</v>
      </c>
    </row>
    <row r="8668" spans="1:6">
      <c r="A8668" s="34">
        <v>2084292129</v>
      </c>
      <c r="B8668" s="35" t="s">
        <v>462</v>
      </c>
      <c r="C8668" s="35" t="s">
        <v>1864</v>
      </c>
      <c r="D8668" s="35" t="s">
        <v>1865</v>
      </c>
      <c r="E8668" s="35" t="s">
        <v>353</v>
      </c>
      <c r="F8668" s="35" t="s">
        <v>1869</v>
      </c>
    </row>
    <row r="8669" spans="1:6">
      <c r="A8669" s="34">
        <v>2084292130</v>
      </c>
      <c r="B8669" s="35" t="s">
        <v>462</v>
      </c>
      <c r="C8669" s="35" t="s">
        <v>1864</v>
      </c>
      <c r="D8669" s="35" t="s">
        <v>1865</v>
      </c>
      <c r="E8669" s="35" t="s">
        <v>353</v>
      </c>
      <c r="F8669" s="35" t="s">
        <v>1870</v>
      </c>
    </row>
    <row r="8670" spans="1:6">
      <c r="A8670" s="34">
        <v>2084292136</v>
      </c>
      <c r="B8670" s="35" t="s">
        <v>462</v>
      </c>
      <c r="C8670" s="35" t="s">
        <v>1864</v>
      </c>
      <c r="D8670" s="35" t="s">
        <v>1865</v>
      </c>
      <c r="E8670" s="35" t="s">
        <v>353</v>
      </c>
      <c r="F8670" s="35" t="s">
        <v>335</v>
      </c>
    </row>
    <row r="8671" spans="1:6">
      <c r="A8671" s="34">
        <v>2084012475</v>
      </c>
      <c r="B8671" s="35" t="s">
        <v>462</v>
      </c>
      <c r="C8671" s="35" t="s">
        <v>1864</v>
      </c>
      <c r="D8671" s="35" t="s">
        <v>1871</v>
      </c>
    </row>
    <row r="8672" spans="1:6">
      <c r="A8672" s="34">
        <v>2084012476</v>
      </c>
      <c r="B8672" s="35" t="s">
        <v>462</v>
      </c>
      <c r="C8672" s="35" t="s">
        <v>1864</v>
      </c>
      <c r="D8672" s="35" t="s">
        <v>1872</v>
      </c>
    </row>
    <row r="8673" spans="1:6">
      <c r="A8673" s="34">
        <v>2084047082</v>
      </c>
      <c r="B8673" s="35" t="s">
        <v>462</v>
      </c>
      <c r="C8673" s="35" t="s">
        <v>1864</v>
      </c>
      <c r="D8673" s="35" t="s">
        <v>1873</v>
      </c>
      <c r="E8673" s="35" t="s">
        <v>1874</v>
      </c>
    </row>
    <row r="8674" spans="1:6">
      <c r="A8674" s="34">
        <v>2084047084</v>
      </c>
      <c r="B8674" s="35" t="s">
        <v>462</v>
      </c>
      <c r="C8674" s="35" t="s">
        <v>1864</v>
      </c>
      <c r="D8674" s="35" t="s">
        <v>1873</v>
      </c>
      <c r="E8674" s="35" t="s">
        <v>1875</v>
      </c>
    </row>
    <row r="8675" spans="1:6">
      <c r="A8675" s="34">
        <v>2084047085</v>
      </c>
      <c r="B8675" s="35" t="s">
        <v>462</v>
      </c>
      <c r="C8675" s="35" t="s">
        <v>1864</v>
      </c>
      <c r="D8675" s="35" t="s">
        <v>1873</v>
      </c>
      <c r="E8675" s="35" t="s">
        <v>304</v>
      </c>
    </row>
    <row r="8676" spans="1:6">
      <c r="A8676" s="34">
        <v>2084045073</v>
      </c>
      <c r="B8676" s="35" t="s">
        <v>462</v>
      </c>
      <c r="C8676" s="35" t="s">
        <v>1864</v>
      </c>
      <c r="D8676" s="35" t="s">
        <v>1876</v>
      </c>
    </row>
    <row r="8677" spans="1:6">
      <c r="A8677" s="34">
        <v>2084061202</v>
      </c>
      <c r="B8677" s="35" t="s">
        <v>462</v>
      </c>
      <c r="C8677" s="35" t="s">
        <v>1864</v>
      </c>
      <c r="D8677" s="35" t="s">
        <v>1877</v>
      </c>
    </row>
    <row r="8678" spans="1:6">
      <c r="A8678" s="34">
        <v>2084061203</v>
      </c>
      <c r="B8678" s="35" t="s">
        <v>462</v>
      </c>
      <c r="C8678" s="35" t="s">
        <v>1864</v>
      </c>
      <c r="D8678" s="35" t="s">
        <v>1878</v>
      </c>
    </row>
    <row r="8679" spans="1:6">
      <c r="A8679" s="34">
        <v>2084315665</v>
      </c>
      <c r="B8679" s="35" t="s">
        <v>462</v>
      </c>
      <c r="C8679" s="35" t="s">
        <v>1864</v>
      </c>
      <c r="D8679" s="35" t="s">
        <v>1879</v>
      </c>
      <c r="E8679" s="35" t="s">
        <v>390</v>
      </c>
      <c r="F8679" s="35" t="s">
        <v>1880</v>
      </c>
    </row>
    <row r="8680" spans="1:6">
      <c r="A8680" s="34">
        <v>2084315666</v>
      </c>
      <c r="B8680" s="35" t="s">
        <v>462</v>
      </c>
      <c r="C8680" s="35" t="s">
        <v>1864</v>
      </c>
      <c r="D8680" s="35" t="s">
        <v>1879</v>
      </c>
      <c r="E8680" s="35" t="s">
        <v>390</v>
      </c>
      <c r="F8680" s="35" t="s">
        <v>1881</v>
      </c>
    </row>
    <row r="8681" spans="1:6">
      <c r="A8681" s="34">
        <v>2084315663</v>
      </c>
      <c r="B8681" s="35" t="s">
        <v>462</v>
      </c>
      <c r="C8681" s="35" t="s">
        <v>1864</v>
      </c>
      <c r="D8681" s="35" t="s">
        <v>1879</v>
      </c>
      <c r="E8681" s="35" t="s">
        <v>353</v>
      </c>
      <c r="F8681" s="35" t="s">
        <v>1880</v>
      </c>
    </row>
    <row r="8682" spans="1:6">
      <c r="A8682" s="34">
        <v>2084315664</v>
      </c>
      <c r="B8682" s="35" t="s">
        <v>462</v>
      </c>
      <c r="C8682" s="35" t="s">
        <v>1864</v>
      </c>
      <c r="D8682" s="35" t="s">
        <v>1879</v>
      </c>
      <c r="E8682" s="35" t="s">
        <v>353</v>
      </c>
      <c r="F8682" s="35" t="s">
        <v>1881</v>
      </c>
    </row>
    <row r="8683" spans="1:6">
      <c r="A8683" s="34">
        <v>2084045162</v>
      </c>
      <c r="B8683" s="35" t="s">
        <v>462</v>
      </c>
      <c r="C8683" s="35" t="s">
        <v>1864</v>
      </c>
      <c r="D8683" s="35" t="s">
        <v>1882</v>
      </c>
    </row>
    <row r="8684" spans="1:6">
      <c r="A8684" s="34">
        <v>2084243504</v>
      </c>
      <c r="B8684" s="35" t="s">
        <v>462</v>
      </c>
      <c r="C8684" s="35" t="s">
        <v>1864</v>
      </c>
      <c r="D8684" s="35" t="s">
        <v>750</v>
      </c>
      <c r="E8684" s="35" t="s">
        <v>390</v>
      </c>
      <c r="F8684" s="35" t="s">
        <v>1883</v>
      </c>
    </row>
    <row r="8685" spans="1:6">
      <c r="A8685" s="34">
        <v>2084006700</v>
      </c>
      <c r="B8685" s="35" t="s">
        <v>462</v>
      </c>
      <c r="C8685" s="35" t="s">
        <v>1864</v>
      </c>
      <c r="D8685" s="35" t="s">
        <v>750</v>
      </c>
      <c r="E8685" s="35" t="s">
        <v>390</v>
      </c>
      <c r="F8685" s="35" t="s">
        <v>1884</v>
      </c>
    </row>
    <row r="8686" spans="1:6">
      <c r="A8686" s="34">
        <v>2084006699</v>
      </c>
      <c r="B8686" s="35" t="s">
        <v>462</v>
      </c>
      <c r="C8686" s="35" t="s">
        <v>1864</v>
      </c>
      <c r="D8686" s="35" t="s">
        <v>750</v>
      </c>
      <c r="E8686" s="35" t="s">
        <v>390</v>
      </c>
      <c r="F8686" s="35" t="s">
        <v>1885</v>
      </c>
    </row>
    <row r="8687" spans="1:6">
      <c r="A8687" s="34">
        <v>2084006719</v>
      </c>
      <c r="B8687" s="35" t="s">
        <v>462</v>
      </c>
      <c r="C8687" s="35" t="s">
        <v>1864</v>
      </c>
      <c r="D8687" s="35" t="s">
        <v>750</v>
      </c>
      <c r="E8687" s="35" t="s">
        <v>390</v>
      </c>
      <c r="F8687" s="35" t="s">
        <v>1886</v>
      </c>
    </row>
    <row r="8688" spans="1:6">
      <c r="A8688" s="34">
        <v>2084006692</v>
      </c>
      <c r="B8688" s="35" t="s">
        <v>462</v>
      </c>
      <c r="C8688" s="35" t="s">
        <v>1864</v>
      </c>
      <c r="D8688" s="35" t="s">
        <v>750</v>
      </c>
      <c r="E8688" s="35" t="s">
        <v>390</v>
      </c>
      <c r="F8688" s="35" t="s">
        <v>1887</v>
      </c>
    </row>
    <row r="8689" spans="1:6">
      <c r="A8689" s="34">
        <v>2084243503</v>
      </c>
      <c r="B8689" s="35" t="s">
        <v>462</v>
      </c>
      <c r="C8689" s="35" t="s">
        <v>1864</v>
      </c>
      <c r="D8689" s="35" t="s">
        <v>750</v>
      </c>
      <c r="E8689" s="35" t="s">
        <v>390</v>
      </c>
      <c r="F8689" s="35" t="s">
        <v>1888</v>
      </c>
    </row>
    <row r="8690" spans="1:6">
      <c r="A8690" s="34">
        <v>2084006694</v>
      </c>
      <c r="B8690" s="35" t="s">
        <v>462</v>
      </c>
      <c r="C8690" s="35" t="s">
        <v>1864</v>
      </c>
      <c r="D8690" s="35" t="s">
        <v>750</v>
      </c>
      <c r="E8690" s="35" t="s">
        <v>390</v>
      </c>
      <c r="F8690" s="35" t="s">
        <v>1889</v>
      </c>
    </row>
    <row r="8691" spans="1:6">
      <c r="A8691" s="34">
        <v>2084006693</v>
      </c>
      <c r="B8691" s="35" t="s">
        <v>462</v>
      </c>
      <c r="C8691" s="35" t="s">
        <v>1864</v>
      </c>
      <c r="D8691" s="35" t="s">
        <v>750</v>
      </c>
      <c r="E8691" s="35" t="s">
        <v>390</v>
      </c>
      <c r="F8691" s="35" t="s">
        <v>1890</v>
      </c>
    </row>
    <row r="8692" spans="1:6">
      <c r="A8692" s="34">
        <v>2084006695</v>
      </c>
      <c r="B8692" s="35" t="s">
        <v>462</v>
      </c>
      <c r="C8692" s="35" t="s">
        <v>1864</v>
      </c>
      <c r="D8692" s="35" t="s">
        <v>750</v>
      </c>
      <c r="E8692" s="35" t="s">
        <v>390</v>
      </c>
      <c r="F8692" s="35" t="s">
        <v>1891</v>
      </c>
    </row>
    <row r="8693" spans="1:6">
      <c r="A8693" s="34">
        <v>2084006691</v>
      </c>
      <c r="B8693" s="35" t="s">
        <v>462</v>
      </c>
      <c r="C8693" s="35" t="s">
        <v>1864</v>
      </c>
      <c r="D8693" s="35" t="s">
        <v>750</v>
      </c>
      <c r="E8693" s="35" t="s">
        <v>390</v>
      </c>
      <c r="F8693" s="35" t="s">
        <v>1349</v>
      </c>
    </row>
    <row r="8694" spans="1:6">
      <c r="A8694" s="34">
        <v>2084006690</v>
      </c>
      <c r="B8694" s="35" t="s">
        <v>462</v>
      </c>
      <c r="C8694" s="35" t="s">
        <v>1864</v>
      </c>
      <c r="D8694" s="35" t="s">
        <v>750</v>
      </c>
      <c r="E8694" s="35" t="s">
        <v>390</v>
      </c>
      <c r="F8694" s="35" t="s">
        <v>335</v>
      </c>
    </row>
    <row r="8695" spans="1:6">
      <c r="A8695" s="34">
        <v>2084243529</v>
      </c>
      <c r="B8695" s="35" t="s">
        <v>462</v>
      </c>
      <c r="C8695" s="35" t="s">
        <v>1864</v>
      </c>
      <c r="D8695" s="35" t="s">
        <v>750</v>
      </c>
      <c r="E8695" s="35" t="s">
        <v>353</v>
      </c>
      <c r="F8695" s="35" t="s">
        <v>1883</v>
      </c>
    </row>
    <row r="8696" spans="1:6">
      <c r="A8696" s="34">
        <v>2084006701</v>
      </c>
      <c r="B8696" s="35" t="s">
        <v>462</v>
      </c>
      <c r="C8696" s="35" t="s">
        <v>1864</v>
      </c>
      <c r="D8696" s="35" t="s">
        <v>750</v>
      </c>
      <c r="E8696" s="35" t="s">
        <v>353</v>
      </c>
      <c r="F8696" s="35" t="s">
        <v>1884</v>
      </c>
    </row>
    <row r="8697" spans="1:6">
      <c r="A8697" s="34">
        <v>2084006698</v>
      </c>
      <c r="B8697" s="35" t="s">
        <v>462</v>
      </c>
      <c r="C8697" s="35" t="s">
        <v>1864</v>
      </c>
      <c r="D8697" s="35" t="s">
        <v>750</v>
      </c>
      <c r="E8697" s="35" t="s">
        <v>353</v>
      </c>
      <c r="F8697" s="35" t="s">
        <v>1885</v>
      </c>
    </row>
    <row r="8698" spans="1:6">
      <c r="A8698" s="34">
        <v>2084006697</v>
      </c>
      <c r="B8698" s="35" t="s">
        <v>462</v>
      </c>
      <c r="C8698" s="35" t="s">
        <v>1864</v>
      </c>
      <c r="D8698" s="35" t="s">
        <v>750</v>
      </c>
      <c r="E8698" s="35" t="s">
        <v>353</v>
      </c>
      <c r="F8698" s="35" t="s">
        <v>1886</v>
      </c>
    </row>
    <row r="8699" spans="1:6">
      <c r="A8699" s="34">
        <v>2084006688</v>
      </c>
      <c r="B8699" s="35" t="s">
        <v>462</v>
      </c>
      <c r="C8699" s="35" t="s">
        <v>1864</v>
      </c>
      <c r="D8699" s="35" t="s">
        <v>750</v>
      </c>
      <c r="E8699" s="35" t="s">
        <v>353</v>
      </c>
      <c r="F8699" s="35" t="s">
        <v>1887</v>
      </c>
    </row>
    <row r="8700" spans="1:6">
      <c r="A8700" s="34">
        <v>2084006696</v>
      </c>
      <c r="B8700" s="35" t="s">
        <v>462</v>
      </c>
      <c r="C8700" s="35" t="s">
        <v>1864</v>
      </c>
      <c r="D8700" s="35" t="s">
        <v>750</v>
      </c>
      <c r="E8700" s="35" t="s">
        <v>353</v>
      </c>
      <c r="F8700" s="35" t="s">
        <v>1888</v>
      </c>
    </row>
    <row r="8701" spans="1:6">
      <c r="A8701" s="34">
        <v>2084006687</v>
      </c>
      <c r="B8701" s="35" t="s">
        <v>462</v>
      </c>
      <c r="C8701" s="35" t="s">
        <v>1864</v>
      </c>
      <c r="D8701" s="35" t="s">
        <v>750</v>
      </c>
      <c r="E8701" s="35" t="s">
        <v>353</v>
      </c>
      <c r="F8701" s="35" t="s">
        <v>1889</v>
      </c>
    </row>
    <row r="8702" spans="1:6">
      <c r="A8702" s="34">
        <v>2084006686</v>
      </c>
      <c r="B8702" s="35" t="s">
        <v>462</v>
      </c>
      <c r="C8702" s="35" t="s">
        <v>1864</v>
      </c>
      <c r="D8702" s="35" t="s">
        <v>750</v>
      </c>
      <c r="E8702" s="35" t="s">
        <v>353</v>
      </c>
      <c r="F8702" s="35" t="s">
        <v>1890</v>
      </c>
    </row>
    <row r="8703" spans="1:6">
      <c r="A8703" s="34">
        <v>2084006689</v>
      </c>
      <c r="B8703" s="35" t="s">
        <v>462</v>
      </c>
      <c r="C8703" s="35" t="s">
        <v>1864</v>
      </c>
      <c r="D8703" s="35" t="s">
        <v>750</v>
      </c>
      <c r="E8703" s="35" t="s">
        <v>353</v>
      </c>
      <c r="F8703" s="35" t="s">
        <v>1891</v>
      </c>
    </row>
    <row r="8704" spans="1:6">
      <c r="A8704" s="34">
        <v>2084006685</v>
      </c>
      <c r="B8704" s="35" t="s">
        <v>462</v>
      </c>
      <c r="C8704" s="35" t="s">
        <v>1864</v>
      </c>
      <c r="D8704" s="35" t="s">
        <v>750</v>
      </c>
      <c r="E8704" s="35" t="s">
        <v>353</v>
      </c>
      <c r="F8704" s="35" t="s">
        <v>1349</v>
      </c>
    </row>
    <row r="8705" spans="1:6">
      <c r="A8705" s="34">
        <v>2084006684</v>
      </c>
      <c r="B8705" s="35" t="s">
        <v>462</v>
      </c>
      <c r="C8705" s="35" t="s">
        <v>1864</v>
      </c>
      <c r="D8705" s="35" t="s">
        <v>750</v>
      </c>
      <c r="E8705" s="35" t="s">
        <v>353</v>
      </c>
      <c r="F8705" s="35" t="s">
        <v>335</v>
      </c>
    </row>
    <row r="8706" spans="1:6">
      <c r="A8706" s="34">
        <v>2084224828</v>
      </c>
      <c r="B8706" s="35" t="s">
        <v>462</v>
      </c>
      <c r="C8706" s="35" t="s">
        <v>1864</v>
      </c>
      <c r="D8706" s="35" t="s">
        <v>1507</v>
      </c>
      <c r="E8706" s="35" t="s">
        <v>390</v>
      </c>
      <c r="F8706" s="35" t="s">
        <v>452</v>
      </c>
    </row>
    <row r="8707" spans="1:6">
      <c r="A8707" s="34">
        <v>2084224829</v>
      </c>
      <c r="B8707" s="35" t="s">
        <v>462</v>
      </c>
      <c r="C8707" s="35" t="s">
        <v>1864</v>
      </c>
      <c r="D8707" s="35" t="s">
        <v>1507</v>
      </c>
      <c r="E8707" s="35" t="s">
        <v>390</v>
      </c>
      <c r="F8707" s="35" t="s">
        <v>453</v>
      </c>
    </row>
    <row r="8708" spans="1:6">
      <c r="A8708" s="34">
        <v>2084224830</v>
      </c>
      <c r="B8708" s="35" t="s">
        <v>462</v>
      </c>
      <c r="C8708" s="35" t="s">
        <v>1864</v>
      </c>
      <c r="D8708" s="35" t="s">
        <v>1507</v>
      </c>
      <c r="E8708" s="35" t="s">
        <v>390</v>
      </c>
      <c r="F8708" s="35" t="s">
        <v>335</v>
      </c>
    </row>
    <row r="8709" spans="1:6">
      <c r="A8709" s="34">
        <v>2084224824</v>
      </c>
      <c r="B8709" s="35" t="s">
        <v>462</v>
      </c>
      <c r="C8709" s="35" t="s">
        <v>1864</v>
      </c>
      <c r="D8709" s="35" t="s">
        <v>1507</v>
      </c>
      <c r="E8709" s="35" t="s">
        <v>353</v>
      </c>
      <c r="F8709" s="35" t="s">
        <v>452</v>
      </c>
    </row>
    <row r="8710" spans="1:6">
      <c r="A8710" s="34">
        <v>2084224825</v>
      </c>
      <c r="B8710" s="35" t="s">
        <v>462</v>
      </c>
      <c r="C8710" s="35" t="s">
        <v>1864</v>
      </c>
      <c r="D8710" s="35" t="s">
        <v>1507</v>
      </c>
      <c r="E8710" s="35" t="s">
        <v>353</v>
      </c>
      <c r="F8710" s="35" t="s">
        <v>453</v>
      </c>
    </row>
    <row r="8711" spans="1:6">
      <c r="A8711" s="34">
        <v>2084224826</v>
      </c>
      <c r="B8711" s="35" t="s">
        <v>462</v>
      </c>
      <c r="C8711" s="35" t="s">
        <v>1864</v>
      </c>
      <c r="D8711" s="35" t="s">
        <v>1507</v>
      </c>
      <c r="E8711" s="35" t="s">
        <v>353</v>
      </c>
      <c r="F8711" s="35" t="s">
        <v>335</v>
      </c>
    </row>
    <row r="8712" spans="1:6">
      <c r="A8712" s="34">
        <v>2084224832</v>
      </c>
      <c r="B8712" s="35" t="s">
        <v>462</v>
      </c>
      <c r="C8712" s="35" t="s">
        <v>1864</v>
      </c>
      <c r="D8712" s="35" t="s">
        <v>1507</v>
      </c>
      <c r="E8712" s="35" t="s">
        <v>396</v>
      </c>
      <c r="F8712" s="35" t="s">
        <v>452</v>
      </c>
    </row>
    <row r="8713" spans="1:6">
      <c r="A8713" s="34">
        <v>2084224833</v>
      </c>
      <c r="B8713" s="35" t="s">
        <v>462</v>
      </c>
      <c r="C8713" s="35" t="s">
        <v>1864</v>
      </c>
      <c r="D8713" s="35" t="s">
        <v>1507</v>
      </c>
      <c r="E8713" s="35" t="s">
        <v>396</v>
      </c>
      <c r="F8713" s="35" t="s">
        <v>453</v>
      </c>
    </row>
    <row r="8714" spans="1:6">
      <c r="A8714" s="34">
        <v>2084224834</v>
      </c>
      <c r="B8714" s="35" t="s">
        <v>462</v>
      </c>
      <c r="C8714" s="35" t="s">
        <v>1864</v>
      </c>
      <c r="D8714" s="35" t="s">
        <v>1507</v>
      </c>
      <c r="E8714" s="35" t="s">
        <v>396</v>
      </c>
      <c r="F8714" s="35" t="s">
        <v>335</v>
      </c>
    </row>
    <row r="8715" spans="1:6">
      <c r="A8715" s="34">
        <v>2084018499</v>
      </c>
      <c r="B8715" s="35" t="s">
        <v>462</v>
      </c>
      <c r="C8715" s="35" t="s">
        <v>1864</v>
      </c>
      <c r="D8715" s="35" t="s">
        <v>1892</v>
      </c>
    </row>
    <row r="8716" spans="1:6">
      <c r="A8716" s="34">
        <v>2084012473</v>
      </c>
      <c r="B8716" s="35" t="s">
        <v>462</v>
      </c>
      <c r="C8716" s="35" t="s">
        <v>1864</v>
      </c>
      <c r="D8716" s="35" t="s">
        <v>1893</v>
      </c>
      <c r="E8716" s="35" t="s">
        <v>407</v>
      </c>
    </row>
    <row r="8717" spans="1:6">
      <c r="A8717" s="34">
        <v>2084012472</v>
      </c>
      <c r="B8717" s="35" t="s">
        <v>462</v>
      </c>
      <c r="C8717" s="35" t="s">
        <v>1864</v>
      </c>
      <c r="D8717" s="35" t="s">
        <v>1893</v>
      </c>
      <c r="E8717" s="35" t="s">
        <v>408</v>
      </c>
    </row>
    <row r="8718" spans="1:6">
      <c r="A8718" s="34">
        <v>2084049723</v>
      </c>
      <c r="B8718" s="35" t="s">
        <v>462</v>
      </c>
      <c r="C8718" s="35" t="s">
        <v>1864</v>
      </c>
      <c r="D8718" s="35" t="s">
        <v>1894</v>
      </c>
    </row>
    <row r="8719" spans="1:6">
      <c r="A8719" s="34">
        <v>2084036146</v>
      </c>
      <c r="B8719" s="35" t="s">
        <v>462</v>
      </c>
      <c r="C8719" s="35" t="s">
        <v>1864</v>
      </c>
      <c r="D8719" s="35" t="s">
        <v>1895</v>
      </c>
      <c r="E8719" s="35" t="s">
        <v>1896</v>
      </c>
    </row>
    <row r="8720" spans="1:6">
      <c r="A8720" s="34">
        <v>2084006470</v>
      </c>
      <c r="B8720" s="35" t="s">
        <v>462</v>
      </c>
      <c r="C8720" s="35" t="s">
        <v>1864</v>
      </c>
      <c r="D8720" s="35" t="s">
        <v>1897</v>
      </c>
      <c r="E8720" s="35" t="s">
        <v>408</v>
      </c>
    </row>
    <row r="8721" spans="1:7">
      <c r="A8721" s="34">
        <v>2084006439</v>
      </c>
      <c r="B8721" s="35" t="s">
        <v>462</v>
      </c>
      <c r="C8721" s="35" t="s">
        <v>1864</v>
      </c>
      <c r="D8721" s="35" t="s">
        <v>1897</v>
      </c>
      <c r="E8721" s="35" t="s">
        <v>407</v>
      </c>
    </row>
    <row r="8722" spans="1:7">
      <c r="A8722" s="34">
        <v>2084012474</v>
      </c>
      <c r="B8722" s="35" t="s">
        <v>462</v>
      </c>
      <c r="C8722" s="35" t="s">
        <v>1864</v>
      </c>
      <c r="D8722" s="35" t="s">
        <v>1898</v>
      </c>
    </row>
    <row r="8723" spans="1:7">
      <c r="A8723" s="34">
        <v>2084214909</v>
      </c>
      <c r="B8723" s="35" t="s">
        <v>462</v>
      </c>
      <c r="C8723" s="35" t="s">
        <v>1864</v>
      </c>
      <c r="D8723" s="35" t="s">
        <v>1203</v>
      </c>
      <c r="E8723" s="35" t="s">
        <v>390</v>
      </c>
      <c r="F8723" s="35" t="s">
        <v>1899</v>
      </c>
    </row>
    <row r="8724" spans="1:7">
      <c r="A8724" s="34">
        <v>2084214912</v>
      </c>
      <c r="B8724" s="35" t="s">
        <v>462</v>
      </c>
      <c r="C8724" s="35" t="s">
        <v>1864</v>
      </c>
      <c r="D8724" s="35" t="s">
        <v>1203</v>
      </c>
      <c r="E8724" s="35" t="s">
        <v>390</v>
      </c>
      <c r="F8724" s="35" t="s">
        <v>1900</v>
      </c>
      <c r="G8724" s="35" t="s">
        <v>1680</v>
      </c>
    </row>
    <row r="8725" spans="1:7">
      <c r="A8725" s="34">
        <v>2084214913</v>
      </c>
      <c r="B8725" s="35" t="s">
        <v>462</v>
      </c>
      <c r="C8725" s="35" t="s">
        <v>1864</v>
      </c>
      <c r="D8725" s="35" t="s">
        <v>1203</v>
      </c>
      <c r="E8725" s="35" t="s">
        <v>390</v>
      </c>
      <c r="F8725" s="35" t="s">
        <v>1900</v>
      </c>
      <c r="G8725" s="35" t="s">
        <v>1684</v>
      </c>
    </row>
    <row r="8726" spans="1:7">
      <c r="A8726" s="34">
        <v>2084214911</v>
      </c>
      <c r="B8726" s="35" t="s">
        <v>462</v>
      </c>
      <c r="C8726" s="35" t="s">
        <v>1864</v>
      </c>
      <c r="D8726" s="35" t="s">
        <v>1203</v>
      </c>
      <c r="E8726" s="35" t="s">
        <v>390</v>
      </c>
      <c r="F8726" s="35" t="s">
        <v>1900</v>
      </c>
      <c r="G8726" s="35" t="s">
        <v>1685</v>
      </c>
    </row>
    <row r="8727" spans="1:7">
      <c r="A8727" s="34">
        <v>2084214914</v>
      </c>
      <c r="B8727" s="35" t="s">
        <v>462</v>
      </c>
      <c r="C8727" s="35" t="s">
        <v>1864</v>
      </c>
      <c r="D8727" s="35" t="s">
        <v>1203</v>
      </c>
      <c r="E8727" s="35" t="s">
        <v>390</v>
      </c>
      <c r="F8727" s="35" t="s">
        <v>1900</v>
      </c>
      <c r="G8727" s="35" t="s">
        <v>335</v>
      </c>
    </row>
    <row r="8728" spans="1:7">
      <c r="A8728" s="34">
        <v>2084214915</v>
      </c>
      <c r="B8728" s="35" t="s">
        <v>462</v>
      </c>
      <c r="C8728" s="35" t="s">
        <v>1864</v>
      </c>
      <c r="D8728" s="35" t="s">
        <v>1203</v>
      </c>
      <c r="E8728" s="35" t="s">
        <v>390</v>
      </c>
      <c r="F8728" s="35" t="s">
        <v>335</v>
      </c>
    </row>
    <row r="8729" spans="1:7">
      <c r="A8729" s="34">
        <v>2084214916</v>
      </c>
      <c r="B8729" s="35" t="s">
        <v>462</v>
      </c>
      <c r="C8729" s="35" t="s">
        <v>1864</v>
      </c>
      <c r="D8729" s="35" t="s">
        <v>1203</v>
      </c>
      <c r="E8729" s="35" t="s">
        <v>353</v>
      </c>
      <c r="F8729" s="35" t="s">
        <v>1899</v>
      </c>
    </row>
    <row r="8730" spans="1:7">
      <c r="A8730" s="34">
        <v>2084214919</v>
      </c>
      <c r="B8730" s="35" t="s">
        <v>462</v>
      </c>
      <c r="C8730" s="35" t="s">
        <v>1864</v>
      </c>
      <c r="D8730" s="35" t="s">
        <v>1203</v>
      </c>
      <c r="E8730" s="35" t="s">
        <v>353</v>
      </c>
      <c r="F8730" s="35" t="s">
        <v>1900</v>
      </c>
      <c r="G8730" s="35" t="s">
        <v>1680</v>
      </c>
    </row>
    <row r="8731" spans="1:7">
      <c r="A8731" s="34">
        <v>2084214920</v>
      </c>
      <c r="B8731" s="35" t="s">
        <v>462</v>
      </c>
      <c r="C8731" s="35" t="s">
        <v>1864</v>
      </c>
      <c r="D8731" s="35" t="s">
        <v>1203</v>
      </c>
      <c r="E8731" s="35" t="s">
        <v>353</v>
      </c>
      <c r="F8731" s="35" t="s">
        <v>1900</v>
      </c>
      <c r="G8731" s="35" t="s">
        <v>1684</v>
      </c>
    </row>
    <row r="8732" spans="1:7">
      <c r="A8732" s="34">
        <v>2084214918</v>
      </c>
      <c r="B8732" s="35" t="s">
        <v>462</v>
      </c>
      <c r="C8732" s="35" t="s">
        <v>1864</v>
      </c>
      <c r="D8732" s="35" t="s">
        <v>1203</v>
      </c>
      <c r="E8732" s="35" t="s">
        <v>353</v>
      </c>
      <c r="F8732" s="35" t="s">
        <v>1900</v>
      </c>
      <c r="G8732" s="35" t="s">
        <v>1685</v>
      </c>
    </row>
    <row r="8733" spans="1:7">
      <c r="A8733" s="34">
        <v>2084214921</v>
      </c>
      <c r="B8733" s="35" t="s">
        <v>462</v>
      </c>
      <c r="C8733" s="35" t="s">
        <v>1864</v>
      </c>
      <c r="D8733" s="35" t="s">
        <v>1203</v>
      </c>
      <c r="E8733" s="35" t="s">
        <v>353</v>
      </c>
      <c r="F8733" s="35" t="s">
        <v>1900</v>
      </c>
      <c r="G8733" s="35" t="s">
        <v>335</v>
      </c>
    </row>
    <row r="8734" spans="1:7">
      <c r="A8734" s="34">
        <v>2084214922</v>
      </c>
      <c r="B8734" s="35" t="s">
        <v>462</v>
      </c>
      <c r="C8734" s="35" t="s">
        <v>1864</v>
      </c>
      <c r="D8734" s="35" t="s">
        <v>1203</v>
      </c>
      <c r="E8734" s="35" t="s">
        <v>353</v>
      </c>
      <c r="F8734" s="35" t="s">
        <v>335</v>
      </c>
    </row>
    <row r="8735" spans="1:7">
      <c r="A8735" s="34">
        <v>2084214891</v>
      </c>
      <c r="B8735" s="35" t="s">
        <v>462</v>
      </c>
      <c r="C8735" s="35" t="s">
        <v>1864</v>
      </c>
      <c r="D8735" s="35" t="s">
        <v>1901</v>
      </c>
      <c r="E8735" s="35" t="s">
        <v>390</v>
      </c>
      <c r="F8735" s="35" t="s">
        <v>1902</v>
      </c>
    </row>
    <row r="8736" spans="1:7">
      <c r="A8736" s="34">
        <v>2084214895</v>
      </c>
      <c r="B8736" s="35" t="s">
        <v>462</v>
      </c>
      <c r="C8736" s="35" t="s">
        <v>1864</v>
      </c>
      <c r="D8736" s="35" t="s">
        <v>1901</v>
      </c>
      <c r="E8736" s="35" t="s">
        <v>390</v>
      </c>
      <c r="F8736" s="35" t="s">
        <v>339</v>
      </c>
      <c r="G8736" s="35" t="s">
        <v>1903</v>
      </c>
    </row>
    <row r="8737" spans="1:7">
      <c r="A8737" s="34">
        <v>2084214896</v>
      </c>
      <c r="B8737" s="35" t="s">
        <v>462</v>
      </c>
      <c r="C8737" s="35" t="s">
        <v>1864</v>
      </c>
      <c r="D8737" s="35" t="s">
        <v>1901</v>
      </c>
      <c r="E8737" s="35" t="s">
        <v>390</v>
      </c>
      <c r="F8737" s="35" t="s">
        <v>339</v>
      </c>
      <c r="G8737" s="35" t="s">
        <v>1904</v>
      </c>
    </row>
    <row r="8738" spans="1:7">
      <c r="A8738" s="34">
        <v>2084214894</v>
      </c>
      <c r="B8738" s="35" t="s">
        <v>462</v>
      </c>
      <c r="C8738" s="35" t="s">
        <v>1864</v>
      </c>
      <c r="D8738" s="35" t="s">
        <v>1901</v>
      </c>
      <c r="E8738" s="35" t="s">
        <v>390</v>
      </c>
      <c r="F8738" s="35" t="s">
        <v>339</v>
      </c>
      <c r="G8738" s="35" t="s">
        <v>1905</v>
      </c>
    </row>
    <row r="8739" spans="1:7">
      <c r="A8739" s="34">
        <v>2084214893</v>
      </c>
      <c r="B8739" s="35" t="s">
        <v>462</v>
      </c>
      <c r="C8739" s="35" t="s">
        <v>1864</v>
      </c>
      <c r="D8739" s="35" t="s">
        <v>1901</v>
      </c>
      <c r="E8739" s="35" t="s">
        <v>390</v>
      </c>
      <c r="F8739" s="35" t="s">
        <v>339</v>
      </c>
      <c r="G8739" s="35" t="s">
        <v>1610</v>
      </c>
    </row>
    <row r="8740" spans="1:7">
      <c r="A8740" s="34">
        <v>2084214897</v>
      </c>
      <c r="B8740" s="35" t="s">
        <v>462</v>
      </c>
      <c r="C8740" s="35" t="s">
        <v>1864</v>
      </c>
      <c r="D8740" s="35" t="s">
        <v>1901</v>
      </c>
      <c r="E8740" s="35" t="s">
        <v>390</v>
      </c>
      <c r="F8740" s="35" t="s">
        <v>339</v>
      </c>
      <c r="G8740" s="35" t="s">
        <v>335</v>
      </c>
    </row>
    <row r="8741" spans="1:7">
      <c r="A8741" s="34">
        <v>2084214900</v>
      </c>
      <c r="B8741" s="35" t="s">
        <v>462</v>
      </c>
      <c r="C8741" s="35" t="s">
        <v>1864</v>
      </c>
      <c r="D8741" s="35" t="s">
        <v>1901</v>
      </c>
      <c r="E8741" s="35" t="s">
        <v>390</v>
      </c>
      <c r="F8741" s="35" t="s">
        <v>1906</v>
      </c>
    </row>
    <row r="8742" spans="1:7">
      <c r="A8742" s="34">
        <v>2084214899</v>
      </c>
      <c r="B8742" s="35" t="s">
        <v>462</v>
      </c>
      <c r="C8742" s="35" t="s">
        <v>1864</v>
      </c>
      <c r="D8742" s="35" t="s">
        <v>1901</v>
      </c>
      <c r="E8742" s="35" t="s">
        <v>390</v>
      </c>
      <c r="F8742" s="35" t="s">
        <v>1907</v>
      </c>
    </row>
    <row r="8743" spans="1:7">
      <c r="A8743" s="34">
        <v>2084214898</v>
      </c>
      <c r="B8743" s="35" t="s">
        <v>462</v>
      </c>
      <c r="C8743" s="35" t="s">
        <v>1864</v>
      </c>
      <c r="D8743" s="35" t="s">
        <v>1901</v>
      </c>
      <c r="E8743" s="35" t="s">
        <v>390</v>
      </c>
      <c r="F8743" s="35" t="s">
        <v>1908</v>
      </c>
    </row>
    <row r="8744" spans="1:7">
      <c r="A8744" s="34">
        <v>2084214901</v>
      </c>
      <c r="B8744" s="35" t="s">
        <v>462</v>
      </c>
      <c r="C8744" s="35" t="s">
        <v>1864</v>
      </c>
      <c r="D8744" s="35" t="s">
        <v>1901</v>
      </c>
      <c r="E8744" s="35" t="s">
        <v>390</v>
      </c>
      <c r="F8744" s="35" t="s">
        <v>335</v>
      </c>
    </row>
    <row r="8745" spans="1:7">
      <c r="A8745" s="34">
        <v>2084214902</v>
      </c>
      <c r="B8745" s="35" t="s">
        <v>462</v>
      </c>
      <c r="C8745" s="35" t="s">
        <v>1864</v>
      </c>
      <c r="D8745" s="35" t="s">
        <v>1901</v>
      </c>
      <c r="E8745" s="35" t="s">
        <v>353</v>
      </c>
      <c r="F8745" s="35" t="s">
        <v>1902</v>
      </c>
    </row>
    <row r="8746" spans="1:7">
      <c r="A8746" s="34">
        <v>2084214904</v>
      </c>
      <c r="B8746" s="35" t="s">
        <v>462</v>
      </c>
      <c r="C8746" s="35" t="s">
        <v>1864</v>
      </c>
      <c r="D8746" s="35" t="s">
        <v>1901</v>
      </c>
      <c r="E8746" s="35" t="s">
        <v>353</v>
      </c>
      <c r="F8746" s="35" t="s">
        <v>339</v>
      </c>
      <c r="G8746" s="35" t="s">
        <v>1610</v>
      </c>
    </row>
    <row r="8747" spans="1:7">
      <c r="A8747" s="34">
        <v>2084214905</v>
      </c>
      <c r="B8747" s="35" t="s">
        <v>462</v>
      </c>
      <c r="C8747" s="35" t="s">
        <v>1864</v>
      </c>
      <c r="D8747" s="35" t="s">
        <v>1901</v>
      </c>
      <c r="E8747" s="35" t="s">
        <v>353</v>
      </c>
      <c r="F8747" s="35" t="s">
        <v>339</v>
      </c>
      <c r="G8747" s="35" t="s">
        <v>335</v>
      </c>
    </row>
    <row r="8748" spans="1:7">
      <c r="A8748" s="34">
        <v>2084214907</v>
      </c>
      <c r="B8748" s="35" t="s">
        <v>462</v>
      </c>
      <c r="C8748" s="35" t="s">
        <v>1864</v>
      </c>
      <c r="D8748" s="35" t="s">
        <v>1901</v>
      </c>
      <c r="E8748" s="35" t="s">
        <v>353</v>
      </c>
      <c r="F8748" s="35" t="s">
        <v>1906</v>
      </c>
    </row>
    <row r="8749" spans="1:7">
      <c r="A8749" s="34">
        <v>2084214906</v>
      </c>
      <c r="B8749" s="35" t="s">
        <v>462</v>
      </c>
      <c r="C8749" s="35" t="s">
        <v>1864</v>
      </c>
      <c r="D8749" s="35" t="s">
        <v>1901</v>
      </c>
      <c r="E8749" s="35" t="s">
        <v>353</v>
      </c>
      <c r="F8749" s="35" t="s">
        <v>1907</v>
      </c>
    </row>
    <row r="8750" spans="1:7">
      <c r="A8750" s="34">
        <v>2084214908</v>
      </c>
      <c r="B8750" s="35" t="s">
        <v>462</v>
      </c>
      <c r="C8750" s="35" t="s">
        <v>1864</v>
      </c>
      <c r="D8750" s="35" t="s">
        <v>1901</v>
      </c>
      <c r="E8750" s="35" t="s">
        <v>353</v>
      </c>
      <c r="F8750" s="35" t="s">
        <v>335</v>
      </c>
    </row>
    <row r="8751" spans="1:7">
      <c r="A8751" s="34">
        <v>2084246782</v>
      </c>
      <c r="B8751" s="35" t="s">
        <v>462</v>
      </c>
      <c r="C8751" s="35" t="s">
        <v>1864</v>
      </c>
      <c r="D8751" s="35" t="s">
        <v>1909</v>
      </c>
      <c r="E8751" s="35" t="s">
        <v>407</v>
      </c>
    </row>
    <row r="8752" spans="1:7">
      <c r="A8752" s="34">
        <v>2084246781</v>
      </c>
      <c r="B8752" s="35" t="s">
        <v>462</v>
      </c>
      <c r="C8752" s="35" t="s">
        <v>1864</v>
      </c>
      <c r="D8752" s="35" t="s">
        <v>1909</v>
      </c>
      <c r="E8752" s="35" t="s">
        <v>408</v>
      </c>
    </row>
    <row r="8753" spans="1:7">
      <c r="A8753" s="34">
        <v>2084006442</v>
      </c>
      <c r="B8753" s="35" t="s">
        <v>462</v>
      </c>
      <c r="C8753" s="35" t="s">
        <v>1864</v>
      </c>
      <c r="D8753" s="35" t="s">
        <v>1910</v>
      </c>
      <c r="E8753" s="35" t="s">
        <v>407</v>
      </c>
    </row>
    <row r="8754" spans="1:7">
      <c r="A8754" s="34">
        <v>2084006473</v>
      </c>
      <c r="B8754" s="35" t="s">
        <v>462</v>
      </c>
      <c r="C8754" s="35" t="s">
        <v>1864</v>
      </c>
      <c r="D8754" s="35" t="s">
        <v>1910</v>
      </c>
      <c r="E8754" s="35" t="s">
        <v>408</v>
      </c>
    </row>
    <row r="8755" spans="1:7">
      <c r="A8755" s="34">
        <v>2084006466</v>
      </c>
      <c r="B8755" s="35" t="s">
        <v>462</v>
      </c>
      <c r="C8755" s="35" t="s">
        <v>1864</v>
      </c>
      <c r="D8755" s="35" t="s">
        <v>1911</v>
      </c>
      <c r="E8755" s="35" t="s">
        <v>1912</v>
      </c>
    </row>
    <row r="8756" spans="1:7">
      <c r="A8756" s="34">
        <v>2084006465</v>
      </c>
      <c r="B8756" s="35" t="s">
        <v>462</v>
      </c>
      <c r="C8756" s="35" t="s">
        <v>1864</v>
      </c>
      <c r="D8756" s="35" t="s">
        <v>1911</v>
      </c>
      <c r="E8756" s="35" t="s">
        <v>1913</v>
      </c>
    </row>
    <row r="8757" spans="1:7">
      <c r="A8757" s="34">
        <v>2084006464</v>
      </c>
      <c r="B8757" s="35" t="s">
        <v>462</v>
      </c>
      <c r="C8757" s="35" t="s">
        <v>1864</v>
      </c>
      <c r="D8757" s="35" t="s">
        <v>1914</v>
      </c>
      <c r="E8757" s="35" t="s">
        <v>390</v>
      </c>
      <c r="F8757" s="35" t="s">
        <v>1915</v>
      </c>
    </row>
    <row r="8758" spans="1:7">
      <c r="A8758" s="34">
        <v>2084006463</v>
      </c>
      <c r="B8758" s="35" t="s">
        <v>462</v>
      </c>
      <c r="C8758" s="35" t="s">
        <v>1864</v>
      </c>
      <c r="D8758" s="35" t="s">
        <v>1914</v>
      </c>
      <c r="E8758" s="35" t="s">
        <v>390</v>
      </c>
      <c r="F8758" s="35" t="s">
        <v>1913</v>
      </c>
    </row>
    <row r="8759" spans="1:7">
      <c r="A8759" s="34">
        <v>2084228104</v>
      </c>
      <c r="B8759" s="35" t="s">
        <v>462</v>
      </c>
      <c r="C8759" s="35" t="s">
        <v>1864</v>
      </c>
      <c r="D8759" s="35" t="s">
        <v>1914</v>
      </c>
      <c r="E8759" s="35" t="s">
        <v>390</v>
      </c>
      <c r="F8759" s="35" t="s">
        <v>1916</v>
      </c>
      <c r="G8759" s="35" t="s">
        <v>1567</v>
      </c>
    </row>
    <row r="8760" spans="1:7">
      <c r="A8760" s="34">
        <v>2084228105</v>
      </c>
      <c r="B8760" s="35" t="s">
        <v>462</v>
      </c>
      <c r="C8760" s="35" t="s">
        <v>1864</v>
      </c>
      <c r="D8760" s="35" t="s">
        <v>1914</v>
      </c>
      <c r="E8760" s="35" t="s">
        <v>390</v>
      </c>
      <c r="F8760" s="35" t="s">
        <v>1916</v>
      </c>
      <c r="G8760" s="35" t="s">
        <v>1568</v>
      </c>
    </row>
    <row r="8761" spans="1:7">
      <c r="A8761" s="34">
        <v>2084228106</v>
      </c>
      <c r="B8761" s="35" t="s">
        <v>462</v>
      </c>
      <c r="C8761" s="35" t="s">
        <v>1864</v>
      </c>
      <c r="D8761" s="35" t="s">
        <v>1914</v>
      </c>
      <c r="E8761" s="35" t="s">
        <v>390</v>
      </c>
      <c r="F8761" s="35" t="s">
        <v>1916</v>
      </c>
      <c r="G8761" s="35" t="s">
        <v>1569</v>
      </c>
    </row>
    <row r="8762" spans="1:7">
      <c r="A8762" s="34">
        <v>2084228107</v>
      </c>
      <c r="B8762" s="35" t="s">
        <v>462</v>
      </c>
      <c r="C8762" s="35" t="s">
        <v>1864</v>
      </c>
      <c r="D8762" s="35" t="s">
        <v>1914</v>
      </c>
      <c r="E8762" s="35" t="s">
        <v>390</v>
      </c>
      <c r="F8762" s="35" t="s">
        <v>1916</v>
      </c>
      <c r="G8762" s="35" t="s">
        <v>1570</v>
      </c>
    </row>
    <row r="8763" spans="1:7">
      <c r="A8763" s="34">
        <v>2084228114</v>
      </c>
      <c r="B8763" s="35" t="s">
        <v>462</v>
      </c>
      <c r="C8763" s="35" t="s">
        <v>1864</v>
      </c>
      <c r="D8763" s="35" t="s">
        <v>1914</v>
      </c>
      <c r="E8763" s="35" t="s">
        <v>390</v>
      </c>
      <c r="F8763" s="35" t="s">
        <v>1916</v>
      </c>
      <c r="G8763" s="35" t="s">
        <v>1571</v>
      </c>
    </row>
    <row r="8764" spans="1:7">
      <c r="A8764" s="34">
        <v>2084228108</v>
      </c>
      <c r="B8764" s="35" t="s">
        <v>462</v>
      </c>
      <c r="C8764" s="35" t="s">
        <v>1864</v>
      </c>
      <c r="D8764" s="35" t="s">
        <v>1914</v>
      </c>
      <c r="E8764" s="35" t="s">
        <v>390</v>
      </c>
      <c r="F8764" s="35" t="s">
        <v>1916</v>
      </c>
      <c r="G8764" s="35" t="s">
        <v>1572</v>
      </c>
    </row>
    <row r="8765" spans="1:7">
      <c r="A8765" s="34">
        <v>2084228109</v>
      </c>
      <c r="B8765" s="35" t="s">
        <v>462</v>
      </c>
      <c r="C8765" s="35" t="s">
        <v>1864</v>
      </c>
      <c r="D8765" s="35" t="s">
        <v>1914</v>
      </c>
      <c r="E8765" s="35" t="s">
        <v>390</v>
      </c>
      <c r="F8765" s="35" t="s">
        <v>1916</v>
      </c>
      <c r="G8765" s="35" t="s">
        <v>1573</v>
      </c>
    </row>
    <row r="8766" spans="1:7">
      <c r="A8766" s="34">
        <v>2084228110</v>
      </c>
      <c r="B8766" s="35" t="s">
        <v>462</v>
      </c>
      <c r="C8766" s="35" t="s">
        <v>1864</v>
      </c>
      <c r="D8766" s="35" t="s">
        <v>1914</v>
      </c>
      <c r="E8766" s="35" t="s">
        <v>390</v>
      </c>
      <c r="F8766" s="35" t="s">
        <v>1916</v>
      </c>
      <c r="G8766" s="35" t="s">
        <v>1574</v>
      </c>
    </row>
    <row r="8767" spans="1:7">
      <c r="A8767" s="34">
        <v>2084228111</v>
      </c>
      <c r="B8767" s="35" t="s">
        <v>462</v>
      </c>
      <c r="C8767" s="35" t="s">
        <v>1864</v>
      </c>
      <c r="D8767" s="35" t="s">
        <v>1914</v>
      </c>
      <c r="E8767" s="35" t="s">
        <v>390</v>
      </c>
      <c r="F8767" s="35" t="s">
        <v>1916</v>
      </c>
      <c r="G8767" s="35" t="s">
        <v>1575</v>
      </c>
    </row>
    <row r="8768" spans="1:7">
      <c r="A8768" s="34">
        <v>2084228113</v>
      </c>
      <c r="B8768" s="35" t="s">
        <v>462</v>
      </c>
      <c r="C8768" s="35" t="s">
        <v>1864</v>
      </c>
      <c r="D8768" s="35" t="s">
        <v>1914</v>
      </c>
      <c r="E8768" s="35" t="s">
        <v>390</v>
      </c>
      <c r="F8768" s="35" t="s">
        <v>1916</v>
      </c>
      <c r="G8768" s="35" t="s">
        <v>1576</v>
      </c>
    </row>
    <row r="8769" spans="1:7">
      <c r="A8769" s="34">
        <v>2084228112</v>
      </c>
      <c r="B8769" s="35" t="s">
        <v>462</v>
      </c>
      <c r="C8769" s="35" t="s">
        <v>1864</v>
      </c>
      <c r="D8769" s="35" t="s">
        <v>1914</v>
      </c>
      <c r="E8769" s="35" t="s">
        <v>390</v>
      </c>
      <c r="F8769" s="35" t="s">
        <v>1916</v>
      </c>
      <c r="G8769" s="35" t="s">
        <v>1577</v>
      </c>
    </row>
    <row r="8770" spans="1:7">
      <c r="A8770" s="34">
        <v>2084228115</v>
      </c>
      <c r="B8770" s="35" t="s">
        <v>462</v>
      </c>
      <c r="C8770" s="35" t="s">
        <v>1864</v>
      </c>
      <c r="D8770" s="35" t="s">
        <v>1914</v>
      </c>
      <c r="E8770" s="35" t="s">
        <v>390</v>
      </c>
      <c r="F8770" s="35" t="s">
        <v>1916</v>
      </c>
      <c r="G8770" s="35" t="s">
        <v>335</v>
      </c>
    </row>
    <row r="8771" spans="1:7">
      <c r="A8771" s="34">
        <v>2084006472</v>
      </c>
      <c r="B8771" s="35" t="s">
        <v>462</v>
      </c>
      <c r="C8771" s="35" t="s">
        <v>1864</v>
      </c>
      <c r="D8771" s="35" t="s">
        <v>1914</v>
      </c>
      <c r="E8771" s="35" t="s">
        <v>408</v>
      </c>
    </row>
    <row r="8772" spans="1:7">
      <c r="A8772" s="34">
        <v>2084214884</v>
      </c>
      <c r="B8772" s="35" t="s">
        <v>462</v>
      </c>
      <c r="C8772" s="35" t="s">
        <v>1864</v>
      </c>
      <c r="D8772" s="35" t="s">
        <v>1917</v>
      </c>
      <c r="E8772" s="35" t="s">
        <v>390</v>
      </c>
      <c r="F8772" s="35" t="s">
        <v>1761</v>
      </c>
    </row>
    <row r="8773" spans="1:7">
      <c r="A8773" s="34">
        <v>2084214885</v>
      </c>
      <c r="B8773" s="35" t="s">
        <v>462</v>
      </c>
      <c r="C8773" s="35" t="s">
        <v>1864</v>
      </c>
      <c r="D8773" s="35" t="s">
        <v>1917</v>
      </c>
      <c r="E8773" s="35" t="s">
        <v>390</v>
      </c>
      <c r="F8773" s="35" t="s">
        <v>1918</v>
      </c>
    </row>
    <row r="8774" spans="1:7">
      <c r="A8774" s="34">
        <v>2084214881</v>
      </c>
      <c r="B8774" s="35" t="s">
        <v>462</v>
      </c>
      <c r="C8774" s="35" t="s">
        <v>1864</v>
      </c>
      <c r="D8774" s="35" t="s">
        <v>1917</v>
      </c>
      <c r="E8774" s="35" t="s">
        <v>390</v>
      </c>
      <c r="F8774" s="35" t="s">
        <v>1900</v>
      </c>
      <c r="G8774" s="35" t="s">
        <v>1757</v>
      </c>
    </row>
    <row r="8775" spans="1:7">
      <c r="A8775" s="34">
        <v>2084214887</v>
      </c>
      <c r="B8775" s="35" t="s">
        <v>462</v>
      </c>
      <c r="C8775" s="35" t="s">
        <v>1864</v>
      </c>
      <c r="D8775" s="35" t="s">
        <v>1917</v>
      </c>
      <c r="E8775" s="35" t="s">
        <v>390</v>
      </c>
      <c r="F8775" s="35" t="s">
        <v>1900</v>
      </c>
      <c r="G8775" s="35" t="s">
        <v>1919</v>
      </c>
    </row>
    <row r="8776" spans="1:7">
      <c r="A8776" s="34">
        <v>2084214880</v>
      </c>
      <c r="B8776" s="35" t="s">
        <v>462</v>
      </c>
      <c r="C8776" s="35" t="s">
        <v>1864</v>
      </c>
      <c r="D8776" s="35" t="s">
        <v>1917</v>
      </c>
      <c r="E8776" s="35" t="s">
        <v>390</v>
      </c>
      <c r="F8776" s="35" t="s">
        <v>1900</v>
      </c>
      <c r="G8776" s="35" t="s">
        <v>1758</v>
      </c>
    </row>
    <row r="8777" spans="1:7">
      <c r="A8777" s="34">
        <v>2084214882</v>
      </c>
      <c r="B8777" s="35" t="s">
        <v>462</v>
      </c>
      <c r="C8777" s="35" t="s">
        <v>1864</v>
      </c>
      <c r="D8777" s="35" t="s">
        <v>1917</v>
      </c>
      <c r="E8777" s="35" t="s">
        <v>390</v>
      </c>
      <c r="F8777" s="35" t="s">
        <v>1900</v>
      </c>
      <c r="G8777" s="35" t="s">
        <v>1759</v>
      </c>
    </row>
    <row r="8778" spans="1:7">
      <c r="A8778" s="34">
        <v>2084214883</v>
      </c>
      <c r="B8778" s="35" t="s">
        <v>462</v>
      </c>
      <c r="C8778" s="35" t="s">
        <v>1864</v>
      </c>
      <c r="D8778" s="35" t="s">
        <v>1917</v>
      </c>
      <c r="E8778" s="35" t="s">
        <v>390</v>
      </c>
      <c r="F8778" s="35" t="s">
        <v>1900</v>
      </c>
      <c r="G8778" s="35" t="s">
        <v>335</v>
      </c>
    </row>
    <row r="8779" spans="1:7">
      <c r="A8779" s="34">
        <v>2084214886</v>
      </c>
      <c r="B8779" s="35" t="s">
        <v>462</v>
      </c>
      <c r="C8779" s="35" t="s">
        <v>1864</v>
      </c>
      <c r="D8779" s="35" t="s">
        <v>1917</v>
      </c>
      <c r="E8779" s="35" t="s">
        <v>390</v>
      </c>
      <c r="F8779" s="35" t="s">
        <v>335</v>
      </c>
    </row>
    <row r="8780" spans="1:7">
      <c r="A8780" s="34">
        <v>2084214889</v>
      </c>
      <c r="B8780" s="35" t="s">
        <v>462</v>
      </c>
      <c r="C8780" s="35" t="s">
        <v>1864</v>
      </c>
      <c r="D8780" s="35" t="s">
        <v>1917</v>
      </c>
      <c r="E8780" s="35" t="s">
        <v>353</v>
      </c>
      <c r="F8780" s="35" t="s">
        <v>1761</v>
      </c>
    </row>
    <row r="8781" spans="1:7">
      <c r="A8781" s="34">
        <v>2084214888</v>
      </c>
      <c r="B8781" s="35" t="s">
        <v>462</v>
      </c>
      <c r="C8781" s="35" t="s">
        <v>1864</v>
      </c>
      <c r="D8781" s="35" t="s">
        <v>1917</v>
      </c>
      <c r="E8781" s="35" t="s">
        <v>353</v>
      </c>
      <c r="F8781" s="35" t="s">
        <v>1920</v>
      </c>
    </row>
    <row r="8782" spans="1:7">
      <c r="A8782" s="34">
        <v>2084214890</v>
      </c>
      <c r="B8782" s="35" t="s">
        <v>462</v>
      </c>
      <c r="C8782" s="35" t="s">
        <v>1864</v>
      </c>
      <c r="D8782" s="35" t="s">
        <v>1917</v>
      </c>
      <c r="E8782" s="35" t="s">
        <v>353</v>
      </c>
      <c r="F8782" s="35" t="s">
        <v>335</v>
      </c>
    </row>
    <row r="8783" spans="1:7">
      <c r="A8783" s="34">
        <v>44164</v>
      </c>
      <c r="B8783" s="35" t="s">
        <v>462</v>
      </c>
      <c r="C8783" s="35" t="s">
        <v>1864</v>
      </c>
      <c r="D8783" s="35" t="s">
        <v>335</v>
      </c>
    </row>
    <row r="8784" spans="1:7">
      <c r="A8784" s="34">
        <v>2084057464</v>
      </c>
      <c r="B8784" s="35" t="s">
        <v>462</v>
      </c>
      <c r="C8784" s="35" t="s">
        <v>1921</v>
      </c>
      <c r="D8784" s="35" t="s">
        <v>954</v>
      </c>
      <c r="E8784" s="35" t="s">
        <v>1557</v>
      </c>
      <c r="F8784" s="35" t="s">
        <v>391</v>
      </c>
    </row>
    <row r="8785" spans="1:6">
      <c r="A8785" s="34">
        <v>2084057465</v>
      </c>
      <c r="B8785" s="35" t="s">
        <v>462</v>
      </c>
      <c r="C8785" s="35" t="s">
        <v>1921</v>
      </c>
      <c r="D8785" s="35" t="s">
        <v>954</v>
      </c>
      <c r="E8785" s="35" t="s">
        <v>1557</v>
      </c>
      <c r="F8785" s="35" t="s">
        <v>392</v>
      </c>
    </row>
    <row r="8786" spans="1:6">
      <c r="A8786" s="34">
        <v>2084057466</v>
      </c>
      <c r="B8786" s="35" t="s">
        <v>462</v>
      </c>
      <c r="C8786" s="35" t="s">
        <v>1921</v>
      </c>
      <c r="D8786" s="35" t="s">
        <v>954</v>
      </c>
      <c r="E8786" s="35" t="s">
        <v>1557</v>
      </c>
      <c r="F8786" s="35" t="s">
        <v>375</v>
      </c>
    </row>
    <row r="8787" spans="1:6">
      <c r="A8787" s="34">
        <v>2084057467</v>
      </c>
      <c r="B8787" s="35" t="s">
        <v>462</v>
      </c>
      <c r="C8787" s="35" t="s">
        <v>1921</v>
      </c>
      <c r="D8787" s="35" t="s">
        <v>954</v>
      </c>
      <c r="E8787" s="35" t="s">
        <v>1557</v>
      </c>
      <c r="F8787" s="35" t="s">
        <v>376</v>
      </c>
    </row>
    <row r="8788" spans="1:6">
      <c r="A8788" s="34">
        <v>2084057468</v>
      </c>
      <c r="B8788" s="35" t="s">
        <v>462</v>
      </c>
      <c r="C8788" s="35" t="s">
        <v>1921</v>
      </c>
      <c r="D8788" s="35" t="s">
        <v>954</v>
      </c>
      <c r="E8788" s="35" t="s">
        <v>1557</v>
      </c>
      <c r="F8788" s="35" t="s">
        <v>377</v>
      </c>
    </row>
    <row r="8789" spans="1:6">
      <c r="A8789" s="34">
        <v>2084007101</v>
      </c>
      <c r="B8789" s="35" t="s">
        <v>462</v>
      </c>
      <c r="C8789" s="35" t="s">
        <v>1921</v>
      </c>
      <c r="D8789" s="35" t="s">
        <v>954</v>
      </c>
      <c r="E8789" s="35" t="s">
        <v>1558</v>
      </c>
    </row>
    <row r="8790" spans="1:6">
      <c r="A8790" s="34">
        <v>2084309716</v>
      </c>
      <c r="B8790" s="35" t="s">
        <v>462</v>
      </c>
      <c r="C8790" s="35" t="s">
        <v>1921</v>
      </c>
      <c r="D8790" s="35" t="s">
        <v>954</v>
      </c>
      <c r="E8790" s="35" t="s">
        <v>1561</v>
      </c>
      <c r="F8790" s="35" t="s">
        <v>391</v>
      </c>
    </row>
    <row r="8791" spans="1:6">
      <c r="A8791" s="34">
        <v>2084309717</v>
      </c>
      <c r="B8791" s="35" t="s">
        <v>462</v>
      </c>
      <c r="C8791" s="35" t="s">
        <v>1921</v>
      </c>
      <c r="D8791" s="35" t="s">
        <v>954</v>
      </c>
      <c r="E8791" s="35" t="s">
        <v>1561</v>
      </c>
      <c r="F8791" s="35" t="s">
        <v>392</v>
      </c>
    </row>
    <row r="8792" spans="1:6">
      <c r="A8792" s="34">
        <v>2084309718</v>
      </c>
      <c r="B8792" s="35" t="s">
        <v>462</v>
      </c>
      <c r="C8792" s="35" t="s">
        <v>1921</v>
      </c>
      <c r="D8792" s="35" t="s">
        <v>954</v>
      </c>
      <c r="E8792" s="35" t="s">
        <v>1561</v>
      </c>
      <c r="F8792" s="35" t="s">
        <v>375</v>
      </c>
    </row>
    <row r="8793" spans="1:6">
      <c r="A8793" s="34">
        <v>2084309719</v>
      </c>
      <c r="B8793" s="35" t="s">
        <v>462</v>
      </c>
      <c r="C8793" s="35" t="s">
        <v>1921</v>
      </c>
      <c r="D8793" s="35" t="s">
        <v>954</v>
      </c>
      <c r="E8793" s="35" t="s">
        <v>1561</v>
      </c>
      <c r="F8793" s="35" t="s">
        <v>376</v>
      </c>
    </row>
    <row r="8794" spans="1:6">
      <c r="A8794" s="34">
        <v>2084309720</v>
      </c>
      <c r="B8794" s="35" t="s">
        <v>462</v>
      </c>
      <c r="C8794" s="35" t="s">
        <v>1921</v>
      </c>
      <c r="D8794" s="35" t="s">
        <v>954</v>
      </c>
      <c r="E8794" s="35" t="s">
        <v>1561</v>
      </c>
      <c r="F8794" s="35" t="s">
        <v>377</v>
      </c>
    </row>
    <row r="8795" spans="1:6">
      <c r="A8795" s="34">
        <v>2084052230</v>
      </c>
      <c r="B8795" s="35" t="s">
        <v>462</v>
      </c>
      <c r="C8795" s="35" t="s">
        <v>1921</v>
      </c>
      <c r="D8795" s="35" t="s">
        <v>954</v>
      </c>
      <c r="E8795" s="35" t="s">
        <v>1562</v>
      </c>
      <c r="F8795" s="35" t="s">
        <v>391</v>
      </c>
    </row>
    <row r="8796" spans="1:6">
      <c r="A8796" s="34">
        <v>2084052231</v>
      </c>
      <c r="B8796" s="35" t="s">
        <v>462</v>
      </c>
      <c r="C8796" s="35" t="s">
        <v>1921</v>
      </c>
      <c r="D8796" s="35" t="s">
        <v>954</v>
      </c>
      <c r="E8796" s="35" t="s">
        <v>1562</v>
      </c>
      <c r="F8796" s="35" t="s">
        <v>392</v>
      </c>
    </row>
    <row r="8797" spans="1:6">
      <c r="A8797" s="34">
        <v>2084052232</v>
      </c>
      <c r="B8797" s="35" t="s">
        <v>462</v>
      </c>
      <c r="C8797" s="35" t="s">
        <v>1921</v>
      </c>
      <c r="D8797" s="35" t="s">
        <v>954</v>
      </c>
      <c r="E8797" s="35" t="s">
        <v>1562</v>
      </c>
      <c r="F8797" s="35" t="s">
        <v>375</v>
      </c>
    </row>
    <row r="8798" spans="1:6">
      <c r="A8798" s="34">
        <v>2084052233</v>
      </c>
      <c r="B8798" s="35" t="s">
        <v>462</v>
      </c>
      <c r="C8798" s="35" t="s">
        <v>1921</v>
      </c>
      <c r="D8798" s="35" t="s">
        <v>954</v>
      </c>
      <c r="E8798" s="35" t="s">
        <v>1562</v>
      </c>
      <c r="F8798" s="35" t="s">
        <v>376</v>
      </c>
    </row>
    <row r="8799" spans="1:6">
      <c r="A8799" s="34">
        <v>2084052234</v>
      </c>
      <c r="B8799" s="35" t="s">
        <v>462</v>
      </c>
      <c r="C8799" s="35" t="s">
        <v>1921</v>
      </c>
      <c r="D8799" s="35" t="s">
        <v>954</v>
      </c>
      <c r="E8799" s="35" t="s">
        <v>1562</v>
      </c>
      <c r="F8799" s="35" t="s">
        <v>377</v>
      </c>
    </row>
    <row r="8800" spans="1:6">
      <c r="A8800" s="34">
        <v>2084309736</v>
      </c>
      <c r="B8800" s="35" t="s">
        <v>462</v>
      </c>
      <c r="C8800" s="35" t="s">
        <v>1921</v>
      </c>
      <c r="D8800" s="35" t="s">
        <v>954</v>
      </c>
      <c r="E8800" s="35" t="s">
        <v>1563</v>
      </c>
      <c r="F8800" s="35" t="s">
        <v>391</v>
      </c>
    </row>
    <row r="8801" spans="1:7">
      <c r="A8801" s="34">
        <v>2084309737</v>
      </c>
      <c r="B8801" s="35" t="s">
        <v>462</v>
      </c>
      <c r="C8801" s="35" t="s">
        <v>1921</v>
      </c>
      <c r="D8801" s="35" t="s">
        <v>954</v>
      </c>
      <c r="E8801" s="35" t="s">
        <v>1563</v>
      </c>
      <c r="F8801" s="35" t="s">
        <v>392</v>
      </c>
    </row>
    <row r="8802" spans="1:7">
      <c r="A8802" s="34">
        <v>2084309738</v>
      </c>
      <c r="B8802" s="35" t="s">
        <v>462</v>
      </c>
      <c r="C8802" s="35" t="s">
        <v>1921</v>
      </c>
      <c r="D8802" s="35" t="s">
        <v>954</v>
      </c>
      <c r="E8802" s="35" t="s">
        <v>1563</v>
      </c>
      <c r="F8802" s="35" t="s">
        <v>375</v>
      </c>
    </row>
    <row r="8803" spans="1:7">
      <c r="A8803" s="34">
        <v>2084309739</v>
      </c>
      <c r="B8803" s="35" t="s">
        <v>462</v>
      </c>
      <c r="C8803" s="35" t="s">
        <v>1921</v>
      </c>
      <c r="D8803" s="35" t="s">
        <v>954</v>
      </c>
      <c r="E8803" s="35" t="s">
        <v>1563</v>
      </c>
      <c r="F8803" s="35" t="s">
        <v>376</v>
      </c>
    </row>
    <row r="8804" spans="1:7">
      <c r="A8804" s="34">
        <v>2084309740</v>
      </c>
      <c r="B8804" s="35" t="s">
        <v>462</v>
      </c>
      <c r="C8804" s="35" t="s">
        <v>1921</v>
      </c>
      <c r="D8804" s="35" t="s">
        <v>954</v>
      </c>
      <c r="E8804" s="35" t="s">
        <v>1563</v>
      </c>
      <c r="F8804" s="35" t="s">
        <v>377</v>
      </c>
    </row>
    <row r="8805" spans="1:7">
      <c r="A8805" s="34">
        <v>2084309711</v>
      </c>
      <c r="B8805" s="35" t="s">
        <v>462</v>
      </c>
      <c r="C8805" s="35" t="s">
        <v>1921</v>
      </c>
      <c r="D8805" s="35" t="s">
        <v>954</v>
      </c>
      <c r="E8805" s="35" t="s">
        <v>1564</v>
      </c>
      <c r="F8805" s="35" t="s">
        <v>391</v>
      </c>
    </row>
    <row r="8806" spans="1:7">
      <c r="A8806" s="34">
        <v>2084309712</v>
      </c>
      <c r="B8806" s="35" t="s">
        <v>462</v>
      </c>
      <c r="C8806" s="35" t="s">
        <v>1921</v>
      </c>
      <c r="D8806" s="35" t="s">
        <v>954</v>
      </c>
      <c r="E8806" s="35" t="s">
        <v>1564</v>
      </c>
      <c r="F8806" s="35" t="s">
        <v>392</v>
      </c>
    </row>
    <row r="8807" spans="1:7">
      <c r="A8807" s="34">
        <v>2084309713</v>
      </c>
      <c r="B8807" s="35" t="s">
        <v>462</v>
      </c>
      <c r="C8807" s="35" t="s">
        <v>1921</v>
      </c>
      <c r="D8807" s="35" t="s">
        <v>954</v>
      </c>
      <c r="E8807" s="35" t="s">
        <v>1564</v>
      </c>
      <c r="F8807" s="35" t="s">
        <v>375</v>
      </c>
    </row>
    <row r="8808" spans="1:7">
      <c r="A8808" s="34">
        <v>2084309714</v>
      </c>
      <c r="B8808" s="35" t="s">
        <v>462</v>
      </c>
      <c r="C8808" s="35" t="s">
        <v>1921</v>
      </c>
      <c r="D8808" s="35" t="s">
        <v>954</v>
      </c>
      <c r="E8808" s="35" t="s">
        <v>1564</v>
      </c>
      <c r="F8808" s="35" t="s">
        <v>376</v>
      </c>
    </row>
    <row r="8809" spans="1:7">
      <c r="A8809" s="34">
        <v>2084309715</v>
      </c>
      <c r="B8809" s="35" t="s">
        <v>462</v>
      </c>
      <c r="C8809" s="35" t="s">
        <v>1921</v>
      </c>
      <c r="D8809" s="35" t="s">
        <v>954</v>
      </c>
      <c r="E8809" s="35" t="s">
        <v>1564</v>
      </c>
      <c r="F8809" s="35" t="s">
        <v>377</v>
      </c>
    </row>
    <row r="8810" spans="1:7">
      <c r="A8810" s="34">
        <v>2084008982</v>
      </c>
      <c r="B8810" s="35" t="s">
        <v>462</v>
      </c>
      <c r="C8810" s="35" t="s">
        <v>1921</v>
      </c>
      <c r="D8810" s="35" t="s">
        <v>954</v>
      </c>
      <c r="E8810" s="35" t="s">
        <v>1922</v>
      </c>
    </row>
    <row r="8811" spans="1:7">
      <c r="A8811" s="34">
        <v>2084007100</v>
      </c>
      <c r="B8811" s="35" t="s">
        <v>462</v>
      </c>
      <c r="C8811" s="35" t="s">
        <v>1921</v>
      </c>
      <c r="D8811" s="35" t="s">
        <v>954</v>
      </c>
      <c r="E8811" s="35" t="s">
        <v>1559</v>
      </c>
    </row>
    <row r="8812" spans="1:7">
      <c r="A8812" s="34">
        <v>2084007103</v>
      </c>
      <c r="B8812" s="35" t="s">
        <v>462</v>
      </c>
      <c r="C8812" s="35" t="s">
        <v>1921</v>
      </c>
      <c r="D8812" s="35" t="s">
        <v>954</v>
      </c>
      <c r="E8812" s="35" t="s">
        <v>1565</v>
      </c>
    </row>
    <row r="8813" spans="1:7">
      <c r="A8813" s="34">
        <v>2084244252</v>
      </c>
      <c r="B8813" s="35" t="s">
        <v>462</v>
      </c>
      <c r="C8813" s="35" t="s">
        <v>1921</v>
      </c>
      <c r="D8813" s="35" t="s">
        <v>368</v>
      </c>
      <c r="E8813" s="35" t="s">
        <v>552</v>
      </c>
      <c r="F8813" s="35" t="s">
        <v>1578</v>
      </c>
      <c r="G8813" s="35" t="s">
        <v>391</v>
      </c>
    </row>
    <row r="8814" spans="1:7">
      <c r="A8814" s="34">
        <v>2084050107</v>
      </c>
      <c r="B8814" s="35" t="s">
        <v>462</v>
      </c>
      <c r="C8814" s="35" t="s">
        <v>1921</v>
      </c>
      <c r="D8814" s="35" t="s">
        <v>368</v>
      </c>
      <c r="E8814" s="35" t="s">
        <v>552</v>
      </c>
      <c r="F8814" s="35" t="s">
        <v>1578</v>
      </c>
      <c r="G8814" s="35" t="s">
        <v>392</v>
      </c>
    </row>
    <row r="8815" spans="1:7">
      <c r="A8815" s="34">
        <v>2084050108</v>
      </c>
      <c r="B8815" s="35" t="s">
        <v>462</v>
      </c>
      <c r="C8815" s="35" t="s">
        <v>1921</v>
      </c>
      <c r="D8815" s="35" t="s">
        <v>368</v>
      </c>
      <c r="E8815" s="35" t="s">
        <v>552</v>
      </c>
      <c r="F8815" s="35" t="s">
        <v>1578</v>
      </c>
      <c r="G8815" s="35" t="s">
        <v>375</v>
      </c>
    </row>
    <row r="8816" spans="1:7">
      <c r="A8816" s="34">
        <v>2084050109</v>
      </c>
      <c r="B8816" s="35" t="s">
        <v>462</v>
      </c>
      <c r="C8816" s="35" t="s">
        <v>1921</v>
      </c>
      <c r="D8816" s="35" t="s">
        <v>368</v>
      </c>
      <c r="E8816" s="35" t="s">
        <v>552</v>
      </c>
      <c r="F8816" s="35" t="s">
        <v>1578</v>
      </c>
      <c r="G8816" s="35" t="s">
        <v>376</v>
      </c>
    </row>
    <row r="8817" spans="1:7">
      <c r="A8817" s="34">
        <v>2084050124</v>
      </c>
      <c r="B8817" s="35" t="s">
        <v>462</v>
      </c>
      <c r="C8817" s="35" t="s">
        <v>1921</v>
      </c>
      <c r="D8817" s="35" t="s">
        <v>368</v>
      </c>
      <c r="E8817" s="35" t="s">
        <v>552</v>
      </c>
      <c r="F8817" s="35" t="s">
        <v>1578</v>
      </c>
      <c r="G8817" s="35" t="s">
        <v>377</v>
      </c>
    </row>
    <row r="8818" spans="1:7">
      <c r="A8818" s="34">
        <v>2084052528</v>
      </c>
      <c r="B8818" s="35" t="s">
        <v>462</v>
      </c>
      <c r="C8818" s="35" t="s">
        <v>1921</v>
      </c>
      <c r="D8818" s="35" t="s">
        <v>368</v>
      </c>
      <c r="E8818" s="35" t="s">
        <v>552</v>
      </c>
      <c r="F8818" s="35" t="s">
        <v>1923</v>
      </c>
      <c r="G8818" s="35" t="s">
        <v>391</v>
      </c>
    </row>
    <row r="8819" spans="1:7">
      <c r="A8819" s="34">
        <v>2084052529</v>
      </c>
      <c r="B8819" s="35" t="s">
        <v>462</v>
      </c>
      <c r="C8819" s="35" t="s">
        <v>1921</v>
      </c>
      <c r="D8819" s="35" t="s">
        <v>368</v>
      </c>
      <c r="E8819" s="35" t="s">
        <v>552</v>
      </c>
      <c r="F8819" s="35" t="s">
        <v>1923</v>
      </c>
      <c r="G8819" s="35" t="s">
        <v>392</v>
      </c>
    </row>
    <row r="8820" spans="1:7">
      <c r="A8820" s="34">
        <v>2084052530</v>
      </c>
      <c r="B8820" s="35" t="s">
        <v>462</v>
      </c>
      <c r="C8820" s="35" t="s">
        <v>1921</v>
      </c>
      <c r="D8820" s="35" t="s">
        <v>368</v>
      </c>
      <c r="E8820" s="35" t="s">
        <v>552</v>
      </c>
      <c r="F8820" s="35" t="s">
        <v>1923</v>
      </c>
      <c r="G8820" s="35" t="s">
        <v>375</v>
      </c>
    </row>
    <row r="8821" spans="1:7">
      <c r="A8821" s="34">
        <v>2084052531</v>
      </c>
      <c r="B8821" s="35" t="s">
        <v>462</v>
      </c>
      <c r="C8821" s="35" t="s">
        <v>1921</v>
      </c>
      <c r="D8821" s="35" t="s">
        <v>368</v>
      </c>
      <c r="E8821" s="35" t="s">
        <v>552</v>
      </c>
      <c r="F8821" s="35" t="s">
        <v>1923</v>
      </c>
      <c r="G8821" s="35" t="s">
        <v>376</v>
      </c>
    </row>
    <row r="8822" spans="1:7">
      <c r="A8822" s="34">
        <v>2084052532</v>
      </c>
      <c r="B8822" s="35" t="s">
        <v>462</v>
      </c>
      <c r="C8822" s="35" t="s">
        <v>1921</v>
      </c>
      <c r="D8822" s="35" t="s">
        <v>368</v>
      </c>
      <c r="E8822" s="35" t="s">
        <v>552</v>
      </c>
      <c r="F8822" s="35" t="s">
        <v>1923</v>
      </c>
      <c r="G8822" s="35" t="s">
        <v>377</v>
      </c>
    </row>
    <row r="8823" spans="1:7">
      <c r="A8823" s="34">
        <v>2084052534</v>
      </c>
      <c r="B8823" s="35" t="s">
        <v>462</v>
      </c>
      <c r="C8823" s="35" t="s">
        <v>1921</v>
      </c>
      <c r="D8823" s="35" t="s">
        <v>368</v>
      </c>
      <c r="E8823" s="35" t="s">
        <v>552</v>
      </c>
      <c r="F8823" s="35" t="s">
        <v>1091</v>
      </c>
      <c r="G8823" s="35" t="s">
        <v>391</v>
      </c>
    </row>
    <row r="8824" spans="1:7">
      <c r="A8824" s="34">
        <v>2084052535</v>
      </c>
      <c r="B8824" s="35" t="s">
        <v>462</v>
      </c>
      <c r="C8824" s="35" t="s">
        <v>1921</v>
      </c>
      <c r="D8824" s="35" t="s">
        <v>368</v>
      </c>
      <c r="E8824" s="35" t="s">
        <v>552</v>
      </c>
      <c r="F8824" s="35" t="s">
        <v>1091</v>
      </c>
      <c r="G8824" s="35" t="s">
        <v>392</v>
      </c>
    </row>
    <row r="8825" spans="1:7">
      <c r="A8825" s="34">
        <v>2084052536</v>
      </c>
      <c r="B8825" s="35" t="s">
        <v>462</v>
      </c>
      <c r="C8825" s="35" t="s">
        <v>1921</v>
      </c>
      <c r="D8825" s="35" t="s">
        <v>368</v>
      </c>
      <c r="E8825" s="35" t="s">
        <v>552</v>
      </c>
      <c r="F8825" s="35" t="s">
        <v>1091</v>
      </c>
      <c r="G8825" s="35" t="s">
        <v>375</v>
      </c>
    </row>
    <row r="8826" spans="1:7">
      <c r="A8826" s="34">
        <v>2084052537</v>
      </c>
      <c r="B8826" s="35" t="s">
        <v>462</v>
      </c>
      <c r="C8826" s="35" t="s">
        <v>1921</v>
      </c>
      <c r="D8826" s="35" t="s">
        <v>368</v>
      </c>
      <c r="E8826" s="35" t="s">
        <v>552</v>
      </c>
      <c r="F8826" s="35" t="s">
        <v>1091</v>
      </c>
      <c r="G8826" s="35" t="s">
        <v>376</v>
      </c>
    </row>
    <row r="8827" spans="1:7">
      <c r="A8827" s="34">
        <v>2084052538</v>
      </c>
      <c r="B8827" s="35" t="s">
        <v>462</v>
      </c>
      <c r="C8827" s="35" t="s">
        <v>1921</v>
      </c>
      <c r="D8827" s="35" t="s">
        <v>368</v>
      </c>
      <c r="E8827" s="35" t="s">
        <v>552</v>
      </c>
      <c r="F8827" s="35" t="s">
        <v>1091</v>
      </c>
      <c r="G8827" s="35" t="s">
        <v>377</v>
      </c>
    </row>
    <row r="8828" spans="1:7">
      <c r="A8828" s="34">
        <v>2084054375</v>
      </c>
      <c r="B8828" s="35" t="s">
        <v>462</v>
      </c>
      <c r="C8828" s="35" t="s">
        <v>1921</v>
      </c>
      <c r="D8828" s="35" t="s">
        <v>368</v>
      </c>
      <c r="E8828" s="35" t="s">
        <v>552</v>
      </c>
      <c r="F8828" s="35" t="s">
        <v>1581</v>
      </c>
      <c r="G8828" s="35" t="s">
        <v>391</v>
      </c>
    </row>
    <row r="8829" spans="1:7">
      <c r="A8829" s="34">
        <v>2084054376</v>
      </c>
      <c r="B8829" s="35" t="s">
        <v>462</v>
      </c>
      <c r="C8829" s="35" t="s">
        <v>1921</v>
      </c>
      <c r="D8829" s="35" t="s">
        <v>368</v>
      </c>
      <c r="E8829" s="35" t="s">
        <v>552</v>
      </c>
      <c r="F8829" s="35" t="s">
        <v>1581</v>
      </c>
      <c r="G8829" s="35" t="s">
        <v>392</v>
      </c>
    </row>
    <row r="8830" spans="1:7">
      <c r="A8830" s="34">
        <v>2084054377</v>
      </c>
      <c r="B8830" s="35" t="s">
        <v>462</v>
      </c>
      <c r="C8830" s="35" t="s">
        <v>1921</v>
      </c>
      <c r="D8830" s="35" t="s">
        <v>368</v>
      </c>
      <c r="E8830" s="35" t="s">
        <v>552</v>
      </c>
      <c r="F8830" s="35" t="s">
        <v>1581</v>
      </c>
      <c r="G8830" s="35" t="s">
        <v>375</v>
      </c>
    </row>
    <row r="8831" spans="1:7">
      <c r="A8831" s="34">
        <v>2084054378</v>
      </c>
      <c r="B8831" s="35" t="s">
        <v>462</v>
      </c>
      <c r="C8831" s="35" t="s">
        <v>1921</v>
      </c>
      <c r="D8831" s="35" t="s">
        <v>368</v>
      </c>
      <c r="E8831" s="35" t="s">
        <v>552</v>
      </c>
      <c r="F8831" s="35" t="s">
        <v>1581</v>
      </c>
      <c r="G8831" s="35" t="s">
        <v>376</v>
      </c>
    </row>
    <row r="8832" spans="1:7">
      <c r="A8832" s="34">
        <v>2084054379</v>
      </c>
      <c r="B8832" s="35" t="s">
        <v>462</v>
      </c>
      <c r="C8832" s="35" t="s">
        <v>1921</v>
      </c>
      <c r="D8832" s="35" t="s">
        <v>368</v>
      </c>
      <c r="E8832" s="35" t="s">
        <v>552</v>
      </c>
      <c r="F8832" s="35" t="s">
        <v>1581</v>
      </c>
      <c r="G8832" s="35" t="s">
        <v>377</v>
      </c>
    </row>
    <row r="8833" spans="1:6">
      <c r="A8833" s="34">
        <v>2084054837</v>
      </c>
      <c r="B8833" s="35" t="s">
        <v>462</v>
      </c>
      <c r="C8833" s="35" t="s">
        <v>1921</v>
      </c>
      <c r="D8833" s="35" t="s">
        <v>368</v>
      </c>
      <c r="E8833" s="35" t="s">
        <v>1408</v>
      </c>
      <c r="F8833" s="35" t="s">
        <v>391</v>
      </c>
    </row>
    <row r="8834" spans="1:6">
      <c r="A8834" s="34">
        <v>2084054838</v>
      </c>
      <c r="B8834" s="35" t="s">
        <v>462</v>
      </c>
      <c r="C8834" s="35" t="s">
        <v>1921</v>
      </c>
      <c r="D8834" s="35" t="s">
        <v>368</v>
      </c>
      <c r="E8834" s="35" t="s">
        <v>1408</v>
      </c>
      <c r="F8834" s="35" t="s">
        <v>392</v>
      </c>
    </row>
    <row r="8835" spans="1:6">
      <c r="A8835" s="34">
        <v>2084054839</v>
      </c>
      <c r="B8835" s="35" t="s">
        <v>462</v>
      </c>
      <c r="C8835" s="35" t="s">
        <v>1921</v>
      </c>
      <c r="D8835" s="35" t="s">
        <v>368</v>
      </c>
      <c r="E8835" s="35" t="s">
        <v>1408</v>
      </c>
      <c r="F8835" s="35" t="s">
        <v>375</v>
      </c>
    </row>
    <row r="8836" spans="1:6">
      <c r="A8836" s="34">
        <v>2084054840</v>
      </c>
      <c r="B8836" s="35" t="s">
        <v>462</v>
      </c>
      <c r="C8836" s="35" t="s">
        <v>1921</v>
      </c>
      <c r="D8836" s="35" t="s">
        <v>368</v>
      </c>
      <c r="E8836" s="35" t="s">
        <v>1408</v>
      </c>
      <c r="F8836" s="35" t="s">
        <v>376</v>
      </c>
    </row>
    <row r="8837" spans="1:6">
      <c r="A8837" s="34">
        <v>2084054841</v>
      </c>
      <c r="B8837" s="35" t="s">
        <v>462</v>
      </c>
      <c r="C8837" s="35" t="s">
        <v>1921</v>
      </c>
      <c r="D8837" s="35" t="s">
        <v>368</v>
      </c>
      <c r="E8837" s="35" t="s">
        <v>1408</v>
      </c>
      <c r="F8837" s="35" t="s">
        <v>377</v>
      </c>
    </row>
    <row r="8838" spans="1:6">
      <c r="A8838" s="34">
        <v>2084057415</v>
      </c>
      <c r="B8838" s="35" t="s">
        <v>462</v>
      </c>
      <c r="C8838" s="35" t="s">
        <v>1921</v>
      </c>
      <c r="D8838" s="35" t="s">
        <v>368</v>
      </c>
      <c r="E8838" s="35" t="s">
        <v>1924</v>
      </c>
      <c r="F8838" s="35" t="s">
        <v>391</v>
      </c>
    </row>
    <row r="8839" spans="1:6">
      <c r="A8839" s="34">
        <v>2084057416</v>
      </c>
      <c r="B8839" s="35" t="s">
        <v>462</v>
      </c>
      <c r="C8839" s="35" t="s">
        <v>1921</v>
      </c>
      <c r="D8839" s="35" t="s">
        <v>368</v>
      </c>
      <c r="E8839" s="35" t="s">
        <v>1924</v>
      </c>
      <c r="F8839" s="35" t="s">
        <v>392</v>
      </c>
    </row>
    <row r="8840" spans="1:6">
      <c r="A8840" s="34">
        <v>2084057417</v>
      </c>
      <c r="B8840" s="35" t="s">
        <v>462</v>
      </c>
      <c r="C8840" s="35" t="s">
        <v>1921</v>
      </c>
      <c r="D8840" s="35" t="s">
        <v>368</v>
      </c>
      <c r="E8840" s="35" t="s">
        <v>1924</v>
      </c>
      <c r="F8840" s="35" t="s">
        <v>375</v>
      </c>
    </row>
    <row r="8841" spans="1:6">
      <c r="A8841" s="34">
        <v>2084057418</v>
      </c>
      <c r="B8841" s="35" t="s">
        <v>462</v>
      </c>
      <c r="C8841" s="35" t="s">
        <v>1921</v>
      </c>
      <c r="D8841" s="35" t="s">
        <v>368</v>
      </c>
      <c r="E8841" s="35" t="s">
        <v>1924</v>
      </c>
      <c r="F8841" s="35" t="s">
        <v>376</v>
      </c>
    </row>
    <row r="8842" spans="1:6">
      <c r="A8842" s="34">
        <v>2084057419</v>
      </c>
      <c r="B8842" s="35" t="s">
        <v>462</v>
      </c>
      <c r="C8842" s="35" t="s">
        <v>1921</v>
      </c>
      <c r="D8842" s="35" t="s">
        <v>368</v>
      </c>
      <c r="E8842" s="35" t="s">
        <v>1924</v>
      </c>
      <c r="F8842" s="35" t="s">
        <v>377</v>
      </c>
    </row>
    <row r="8843" spans="1:6">
      <c r="A8843" s="34">
        <v>2084064202</v>
      </c>
      <c r="B8843" s="35" t="s">
        <v>462</v>
      </c>
      <c r="C8843" s="35" t="s">
        <v>1921</v>
      </c>
      <c r="D8843" s="35" t="s">
        <v>368</v>
      </c>
      <c r="E8843" s="35" t="s">
        <v>1925</v>
      </c>
      <c r="F8843" s="35" t="s">
        <v>391</v>
      </c>
    </row>
    <row r="8844" spans="1:6">
      <c r="A8844" s="34">
        <v>2084064203</v>
      </c>
      <c r="B8844" s="35" t="s">
        <v>462</v>
      </c>
      <c r="C8844" s="35" t="s">
        <v>1921</v>
      </c>
      <c r="D8844" s="35" t="s">
        <v>368</v>
      </c>
      <c r="E8844" s="35" t="s">
        <v>1925</v>
      </c>
      <c r="F8844" s="35" t="s">
        <v>392</v>
      </c>
    </row>
    <row r="8845" spans="1:6">
      <c r="A8845" s="34">
        <v>2084064204</v>
      </c>
      <c r="B8845" s="35" t="s">
        <v>462</v>
      </c>
      <c r="C8845" s="35" t="s">
        <v>1921</v>
      </c>
      <c r="D8845" s="35" t="s">
        <v>368</v>
      </c>
      <c r="E8845" s="35" t="s">
        <v>1925</v>
      </c>
      <c r="F8845" s="35" t="s">
        <v>375</v>
      </c>
    </row>
    <row r="8846" spans="1:6">
      <c r="A8846" s="34">
        <v>2084064205</v>
      </c>
      <c r="B8846" s="35" t="s">
        <v>462</v>
      </c>
      <c r="C8846" s="35" t="s">
        <v>1921</v>
      </c>
      <c r="D8846" s="35" t="s">
        <v>368</v>
      </c>
      <c r="E8846" s="35" t="s">
        <v>1925</v>
      </c>
      <c r="F8846" s="35" t="s">
        <v>376</v>
      </c>
    </row>
    <row r="8847" spans="1:6">
      <c r="A8847" s="34">
        <v>2084064206</v>
      </c>
      <c r="B8847" s="35" t="s">
        <v>462</v>
      </c>
      <c r="C8847" s="35" t="s">
        <v>1921</v>
      </c>
      <c r="D8847" s="35" t="s">
        <v>368</v>
      </c>
      <c r="E8847" s="35" t="s">
        <v>1925</v>
      </c>
      <c r="F8847" s="35" t="s">
        <v>377</v>
      </c>
    </row>
    <row r="8848" spans="1:6">
      <c r="A8848" s="34">
        <v>2084052334</v>
      </c>
      <c r="B8848" s="35" t="s">
        <v>462</v>
      </c>
      <c r="C8848" s="35" t="s">
        <v>1921</v>
      </c>
      <c r="D8848" s="35" t="s">
        <v>368</v>
      </c>
      <c r="E8848" s="35" t="s">
        <v>572</v>
      </c>
      <c r="F8848" s="35" t="s">
        <v>391</v>
      </c>
    </row>
    <row r="8849" spans="1:6">
      <c r="A8849" s="34">
        <v>2084052335</v>
      </c>
      <c r="B8849" s="35" t="s">
        <v>462</v>
      </c>
      <c r="C8849" s="35" t="s">
        <v>1921</v>
      </c>
      <c r="D8849" s="35" t="s">
        <v>368</v>
      </c>
      <c r="E8849" s="35" t="s">
        <v>572</v>
      </c>
      <c r="F8849" s="35" t="s">
        <v>392</v>
      </c>
    </row>
    <row r="8850" spans="1:6">
      <c r="A8850" s="34">
        <v>2084052336</v>
      </c>
      <c r="B8850" s="35" t="s">
        <v>462</v>
      </c>
      <c r="C8850" s="35" t="s">
        <v>1921</v>
      </c>
      <c r="D8850" s="35" t="s">
        <v>368</v>
      </c>
      <c r="E8850" s="35" t="s">
        <v>572</v>
      </c>
      <c r="F8850" s="35" t="s">
        <v>375</v>
      </c>
    </row>
    <row r="8851" spans="1:6">
      <c r="A8851" s="34">
        <v>2084052337</v>
      </c>
      <c r="B8851" s="35" t="s">
        <v>462</v>
      </c>
      <c r="C8851" s="35" t="s">
        <v>1921</v>
      </c>
      <c r="D8851" s="35" t="s">
        <v>368</v>
      </c>
      <c r="E8851" s="35" t="s">
        <v>572</v>
      </c>
      <c r="F8851" s="35" t="s">
        <v>376</v>
      </c>
    </row>
    <row r="8852" spans="1:6">
      <c r="A8852" s="34">
        <v>2084052338</v>
      </c>
      <c r="B8852" s="35" t="s">
        <v>462</v>
      </c>
      <c r="C8852" s="35" t="s">
        <v>1921</v>
      </c>
      <c r="D8852" s="35" t="s">
        <v>368</v>
      </c>
      <c r="E8852" s="35" t="s">
        <v>572</v>
      </c>
      <c r="F8852" s="35" t="s">
        <v>377</v>
      </c>
    </row>
    <row r="8853" spans="1:6">
      <c r="A8853" s="34">
        <v>2084243909</v>
      </c>
      <c r="B8853" s="35" t="s">
        <v>462</v>
      </c>
      <c r="C8853" s="35" t="s">
        <v>1921</v>
      </c>
      <c r="D8853" s="35" t="s">
        <v>368</v>
      </c>
      <c r="E8853" s="35" t="s">
        <v>1926</v>
      </c>
      <c r="F8853" s="35" t="s">
        <v>391</v>
      </c>
    </row>
    <row r="8854" spans="1:6">
      <c r="A8854" s="34">
        <v>2084243910</v>
      </c>
      <c r="B8854" s="35" t="s">
        <v>462</v>
      </c>
      <c r="C8854" s="35" t="s">
        <v>1921</v>
      </c>
      <c r="D8854" s="35" t="s">
        <v>368</v>
      </c>
      <c r="E8854" s="35" t="s">
        <v>1926</v>
      </c>
      <c r="F8854" s="35" t="s">
        <v>392</v>
      </c>
    </row>
    <row r="8855" spans="1:6">
      <c r="A8855" s="34">
        <v>2084243911</v>
      </c>
      <c r="B8855" s="35" t="s">
        <v>462</v>
      </c>
      <c r="C8855" s="35" t="s">
        <v>1921</v>
      </c>
      <c r="D8855" s="35" t="s">
        <v>368</v>
      </c>
      <c r="E8855" s="35" t="s">
        <v>1926</v>
      </c>
      <c r="F8855" s="35" t="s">
        <v>375</v>
      </c>
    </row>
    <row r="8856" spans="1:6">
      <c r="A8856" s="34">
        <v>2084243912</v>
      </c>
      <c r="B8856" s="35" t="s">
        <v>462</v>
      </c>
      <c r="C8856" s="35" t="s">
        <v>1921</v>
      </c>
      <c r="D8856" s="35" t="s">
        <v>368</v>
      </c>
      <c r="E8856" s="35" t="s">
        <v>1926</v>
      </c>
      <c r="F8856" s="35" t="s">
        <v>376</v>
      </c>
    </row>
    <row r="8857" spans="1:6">
      <c r="A8857" s="34">
        <v>2084243913</v>
      </c>
      <c r="B8857" s="35" t="s">
        <v>462</v>
      </c>
      <c r="C8857" s="35" t="s">
        <v>1921</v>
      </c>
      <c r="D8857" s="35" t="s">
        <v>368</v>
      </c>
      <c r="E8857" s="35" t="s">
        <v>1926</v>
      </c>
      <c r="F8857" s="35" t="s">
        <v>377</v>
      </c>
    </row>
    <row r="8858" spans="1:6">
      <c r="A8858" s="34">
        <v>2084243903</v>
      </c>
      <c r="B8858" s="35" t="s">
        <v>462</v>
      </c>
      <c r="C8858" s="35" t="s">
        <v>1921</v>
      </c>
      <c r="D8858" s="35" t="s">
        <v>368</v>
      </c>
      <c r="E8858" s="35" t="s">
        <v>1927</v>
      </c>
      <c r="F8858" s="35" t="s">
        <v>391</v>
      </c>
    </row>
    <row r="8859" spans="1:6">
      <c r="A8859" s="34">
        <v>2084243904</v>
      </c>
      <c r="B8859" s="35" t="s">
        <v>462</v>
      </c>
      <c r="C8859" s="35" t="s">
        <v>1921</v>
      </c>
      <c r="D8859" s="35" t="s">
        <v>368</v>
      </c>
      <c r="E8859" s="35" t="s">
        <v>1927</v>
      </c>
      <c r="F8859" s="35" t="s">
        <v>392</v>
      </c>
    </row>
    <row r="8860" spans="1:6">
      <c r="A8860" s="34">
        <v>2084243905</v>
      </c>
      <c r="B8860" s="35" t="s">
        <v>462</v>
      </c>
      <c r="C8860" s="35" t="s">
        <v>1921</v>
      </c>
      <c r="D8860" s="35" t="s">
        <v>368</v>
      </c>
      <c r="E8860" s="35" t="s">
        <v>1927</v>
      </c>
      <c r="F8860" s="35" t="s">
        <v>375</v>
      </c>
    </row>
    <row r="8861" spans="1:6">
      <c r="A8861" s="34">
        <v>2084243906</v>
      </c>
      <c r="B8861" s="35" t="s">
        <v>462</v>
      </c>
      <c r="C8861" s="35" t="s">
        <v>1921</v>
      </c>
      <c r="D8861" s="35" t="s">
        <v>368</v>
      </c>
      <c r="E8861" s="35" t="s">
        <v>1927</v>
      </c>
      <c r="F8861" s="35" t="s">
        <v>376</v>
      </c>
    </row>
    <row r="8862" spans="1:6">
      <c r="A8862" s="34">
        <v>2084243907</v>
      </c>
      <c r="B8862" s="35" t="s">
        <v>462</v>
      </c>
      <c r="C8862" s="35" t="s">
        <v>1921</v>
      </c>
      <c r="D8862" s="35" t="s">
        <v>368</v>
      </c>
      <c r="E8862" s="35" t="s">
        <v>1927</v>
      </c>
      <c r="F8862" s="35" t="s">
        <v>377</v>
      </c>
    </row>
    <row r="8863" spans="1:6">
      <c r="A8863" s="34">
        <v>2084245290</v>
      </c>
      <c r="B8863" s="35" t="s">
        <v>462</v>
      </c>
      <c r="C8863" s="35" t="s">
        <v>1921</v>
      </c>
      <c r="D8863" s="35" t="s">
        <v>368</v>
      </c>
      <c r="E8863" s="35" t="s">
        <v>1928</v>
      </c>
    </row>
    <row r="8864" spans="1:6">
      <c r="A8864" s="34">
        <v>2084227369</v>
      </c>
      <c r="B8864" s="35" t="s">
        <v>462</v>
      </c>
      <c r="C8864" s="35" t="s">
        <v>1921</v>
      </c>
      <c r="D8864" s="35" t="s">
        <v>368</v>
      </c>
      <c r="E8864" s="35" t="s">
        <v>1929</v>
      </c>
      <c r="F8864" s="35" t="s">
        <v>391</v>
      </c>
    </row>
    <row r="8865" spans="1:6">
      <c r="A8865" s="34">
        <v>2084227370</v>
      </c>
      <c r="B8865" s="35" t="s">
        <v>462</v>
      </c>
      <c r="C8865" s="35" t="s">
        <v>1921</v>
      </c>
      <c r="D8865" s="35" t="s">
        <v>368</v>
      </c>
      <c r="E8865" s="35" t="s">
        <v>1929</v>
      </c>
      <c r="F8865" s="35" t="s">
        <v>392</v>
      </c>
    </row>
    <row r="8866" spans="1:6">
      <c r="A8866" s="34">
        <v>2084227371</v>
      </c>
      <c r="B8866" s="35" t="s">
        <v>462</v>
      </c>
      <c r="C8866" s="35" t="s">
        <v>1921</v>
      </c>
      <c r="D8866" s="35" t="s">
        <v>368</v>
      </c>
      <c r="E8866" s="35" t="s">
        <v>1929</v>
      </c>
      <c r="F8866" s="35" t="s">
        <v>375</v>
      </c>
    </row>
    <row r="8867" spans="1:6">
      <c r="A8867" s="34">
        <v>2084227372</v>
      </c>
      <c r="B8867" s="35" t="s">
        <v>462</v>
      </c>
      <c r="C8867" s="35" t="s">
        <v>1921</v>
      </c>
      <c r="D8867" s="35" t="s">
        <v>368</v>
      </c>
      <c r="E8867" s="35" t="s">
        <v>1929</v>
      </c>
      <c r="F8867" s="35" t="s">
        <v>376</v>
      </c>
    </row>
    <row r="8868" spans="1:6">
      <c r="A8868" s="34">
        <v>2084227373</v>
      </c>
      <c r="B8868" s="35" t="s">
        <v>462</v>
      </c>
      <c r="C8868" s="35" t="s">
        <v>1921</v>
      </c>
      <c r="D8868" s="35" t="s">
        <v>368</v>
      </c>
      <c r="E8868" s="35" t="s">
        <v>1929</v>
      </c>
      <c r="F8868" s="35" t="s">
        <v>377</v>
      </c>
    </row>
    <row r="8869" spans="1:6">
      <c r="A8869" s="34">
        <v>2084064197</v>
      </c>
      <c r="B8869" s="35" t="s">
        <v>462</v>
      </c>
      <c r="C8869" s="35" t="s">
        <v>1921</v>
      </c>
      <c r="D8869" s="35" t="s">
        <v>368</v>
      </c>
      <c r="E8869" s="35" t="s">
        <v>1583</v>
      </c>
      <c r="F8869" s="35" t="s">
        <v>391</v>
      </c>
    </row>
    <row r="8870" spans="1:6">
      <c r="A8870" s="34">
        <v>2084064198</v>
      </c>
      <c r="B8870" s="35" t="s">
        <v>462</v>
      </c>
      <c r="C8870" s="35" t="s">
        <v>1921</v>
      </c>
      <c r="D8870" s="35" t="s">
        <v>368</v>
      </c>
      <c r="E8870" s="35" t="s">
        <v>1583</v>
      </c>
      <c r="F8870" s="35" t="s">
        <v>392</v>
      </c>
    </row>
    <row r="8871" spans="1:6">
      <c r="A8871" s="34">
        <v>2084064199</v>
      </c>
      <c r="B8871" s="35" t="s">
        <v>462</v>
      </c>
      <c r="C8871" s="35" t="s">
        <v>1921</v>
      </c>
      <c r="D8871" s="35" t="s">
        <v>368</v>
      </c>
      <c r="E8871" s="35" t="s">
        <v>1583</v>
      </c>
      <c r="F8871" s="35" t="s">
        <v>375</v>
      </c>
    </row>
    <row r="8872" spans="1:6">
      <c r="A8872" s="34">
        <v>2084064200</v>
      </c>
      <c r="B8872" s="35" t="s">
        <v>462</v>
      </c>
      <c r="C8872" s="35" t="s">
        <v>1921</v>
      </c>
      <c r="D8872" s="35" t="s">
        <v>368</v>
      </c>
      <c r="E8872" s="35" t="s">
        <v>1583</v>
      </c>
      <c r="F8872" s="35" t="s">
        <v>376</v>
      </c>
    </row>
    <row r="8873" spans="1:6">
      <c r="A8873" s="34">
        <v>2084064201</v>
      </c>
      <c r="B8873" s="35" t="s">
        <v>462</v>
      </c>
      <c r="C8873" s="35" t="s">
        <v>1921</v>
      </c>
      <c r="D8873" s="35" t="s">
        <v>368</v>
      </c>
      <c r="E8873" s="35" t="s">
        <v>1583</v>
      </c>
      <c r="F8873" s="35" t="s">
        <v>377</v>
      </c>
    </row>
    <row r="8874" spans="1:6">
      <c r="A8874" s="34">
        <v>2084007105</v>
      </c>
      <c r="B8874" s="35" t="s">
        <v>462</v>
      </c>
      <c r="C8874" s="35" t="s">
        <v>1921</v>
      </c>
      <c r="D8874" s="35" t="s">
        <v>368</v>
      </c>
      <c r="E8874" s="35" t="s">
        <v>335</v>
      </c>
    </row>
    <row r="8875" spans="1:6">
      <c r="A8875" s="34">
        <v>2084007052</v>
      </c>
      <c r="B8875" s="35" t="s">
        <v>462</v>
      </c>
      <c r="C8875" s="35" t="s">
        <v>1921</v>
      </c>
      <c r="D8875" s="35" t="s">
        <v>509</v>
      </c>
    </row>
    <row r="8876" spans="1:6">
      <c r="A8876" s="34">
        <v>2084064186</v>
      </c>
      <c r="B8876" s="35" t="s">
        <v>462</v>
      </c>
      <c r="C8876" s="35" t="s">
        <v>1921</v>
      </c>
      <c r="D8876" s="35" t="s">
        <v>1590</v>
      </c>
      <c r="E8876" s="35" t="s">
        <v>391</v>
      </c>
    </row>
    <row r="8877" spans="1:6">
      <c r="A8877" s="34">
        <v>2084064187</v>
      </c>
      <c r="B8877" s="35" t="s">
        <v>462</v>
      </c>
      <c r="C8877" s="35" t="s">
        <v>1921</v>
      </c>
      <c r="D8877" s="35" t="s">
        <v>1590</v>
      </c>
      <c r="E8877" s="35" t="s">
        <v>392</v>
      </c>
    </row>
    <row r="8878" spans="1:6">
      <c r="A8878" s="34">
        <v>2084064188</v>
      </c>
      <c r="B8878" s="35" t="s">
        <v>462</v>
      </c>
      <c r="C8878" s="35" t="s">
        <v>1921</v>
      </c>
      <c r="D8878" s="35" t="s">
        <v>1590</v>
      </c>
      <c r="E8878" s="35" t="s">
        <v>375</v>
      </c>
    </row>
    <row r="8879" spans="1:6">
      <c r="A8879" s="34">
        <v>2084064189</v>
      </c>
      <c r="B8879" s="35" t="s">
        <v>462</v>
      </c>
      <c r="C8879" s="35" t="s">
        <v>1921</v>
      </c>
      <c r="D8879" s="35" t="s">
        <v>1590</v>
      </c>
      <c r="E8879" s="35" t="s">
        <v>376</v>
      </c>
    </row>
    <row r="8880" spans="1:6">
      <c r="A8880" s="34">
        <v>2084064190</v>
      </c>
      <c r="B8880" s="35" t="s">
        <v>462</v>
      </c>
      <c r="C8880" s="35" t="s">
        <v>1921</v>
      </c>
      <c r="D8880" s="35" t="s">
        <v>1590</v>
      </c>
      <c r="E8880" s="35" t="s">
        <v>377</v>
      </c>
    </row>
    <row r="8881" spans="1:7">
      <c r="A8881" s="34">
        <v>2084064191</v>
      </c>
      <c r="B8881" s="35" t="s">
        <v>462</v>
      </c>
      <c r="C8881" s="35" t="s">
        <v>1921</v>
      </c>
      <c r="D8881" s="35" t="s">
        <v>430</v>
      </c>
      <c r="E8881" s="35" t="s">
        <v>391</v>
      </c>
    </row>
    <row r="8882" spans="1:7">
      <c r="A8882" s="34">
        <v>2084064192</v>
      </c>
      <c r="B8882" s="35" t="s">
        <v>462</v>
      </c>
      <c r="C8882" s="35" t="s">
        <v>1921</v>
      </c>
      <c r="D8882" s="35" t="s">
        <v>430</v>
      </c>
      <c r="E8882" s="35" t="s">
        <v>392</v>
      </c>
    </row>
    <row r="8883" spans="1:7">
      <c r="A8883" s="34">
        <v>2084064193</v>
      </c>
      <c r="B8883" s="35" t="s">
        <v>462</v>
      </c>
      <c r="C8883" s="35" t="s">
        <v>1921</v>
      </c>
      <c r="D8883" s="35" t="s">
        <v>430</v>
      </c>
      <c r="E8883" s="35" t="s">
        <v>375</v>
      </c>
    </row>
    <row r="8884" spans="1:7">
      <c r="A8884" s="34">
        <v>2084064194</v>
      </c>
      <c r="B8884" s="35" t="s">
        <v>462</v>
      </c>
      <c r="C8884" s="35" t="s">
        <v>1921</v>
      </c>
      <c r="D8884" s="35" t="s">
        <v>430</v>
      </c>
      <c r="E8884" s="35" t="s">
        <v>376</v>
      </c>
    </row>
    <row r="8885" spans="1:7">
      <c r="A8885" s="34">
        <v>2084064195</v>
      </c>
      <c r="B8885" s="35" t="s">
        <v>462</v>
      </c>
      <c r="C8885" s="35" t="s">
        <v>1921</v>
      </c>
      <c r="D8885" s="35" t="s">
        <v>430</v>
      </c>
      <c r="E8885" s="35" t="s">
        <v>377</v>
      </c>
    </row>
    <row r="8886" spans="1:7">
      <c r="A8886" s="34">
        <v>2084057459</v>
      </c>
      <c r="B8886" s="35" t="s">
        <v>462</v>
      </c>
      <c r="C8886" s="35" t="s">
        <v>1921</v>
      </c>
      <c r="D8886" s="35" t="s">
        <v>1596</v>
      </c>
      <c r="E8886" s="35" t="s">
        <v>391</v>
      </c>
    </row>
    <row r="8887" spans="1:7">
      <c r="A8887" s="34">
        <v>2084057460</v>
      </c>
      <c r="B8887" s="35" t="s">
        <v>462</v>
      </c>
      <c r="C8887" s="35" t="s">
        <v>1921</v>
      </c>
      <c r="D8887" s="35" t="s">
        <v>1596</v>
      </c>
      <c r="E8887" s="35" t="s">
        <v>392</v>
      </c>
    </row>
    <row r="8888" spans="1:7">
      <c r="A8888" s="34">
        <v>2084057461</v>
      </c>
      <c r="B8888" s="35" t="s">
        <v>462</v>
      </c>
      <c r="C8888" s="35" t="s">
        <v>1921</v>
      </c>
      <c r="D8888" s="35" t="s">
        <v>1596</v>
      </c>
      <c r="E8888" s="35" t="s">
        <v>375</v>
      </c>
    </row>
    <row r="8889" spans="1:7">
      <c r="A8889" s="34">
        <v>2084057462</v>
      </c>
      <c r="B8889" s="35" t="s">
        <v>462</v>
      </c>
      <c r="C8889" s="35" t="s">
        <v>1921</v>
      </c>
      <c r="D8889" s="35" t="s">
        <v>1596</v>
      </c>
      <c r="E8889" s="35" t="s">
        <v>376</v>
      </c>
    </row>
    <row r="8890" spans="1:7">
      <c r="A8890" s="34">
        <v>2084057463</v>
      </c>
      <c r="B8890" s="35" t="s">
        <v>462</v>
      </c>
      <c r="C8890" s="35" t="s">
        <v>1921</v>
      </c>
      <c r="D8890" s="35" t="s">
        <v>1596</v>
      </c>
      <c r="E8890" s="35" t="s">
        <v>377</v>
      </c>
    </row>
    <row r="8891" spans="1:7">
      <c r="A8891" s="34">
        <v>2084064176</v>
      </c>
      <c r="B8891" s="35" t="s">
        <v>462</v>
      </c>
      <c r="C8891" s="35" t="s">
        <v>1921</v>
      </c>
      <c r="D8891" s="35" t="s">
        <v>1930</v>
      </c>
      <c r="E8891" s="35" t="s">
        <v>1593</v>
      </c>
      <c r="F8891" s="35" t="s">
        <v>1931</v>
      </c>
      <c r="G8891" s="35" t="s">
        <v>391</v>
      </c>
    </row>
    <row r="8892" spans="1:7">
      <c r="A8892" s="34">
        <v>2084064177</v>
      </c>
      <c r="B8892" s="35" t="s">
        <v>462</v>
      </c>
      <c r="C8892" s="35" t="s">
        <v>1921</v>
      </c>
      <c r="D8892" s="35" t="s">
        <v>1930</v>
      </c>
      <c r="E8892" s="35" t="s">
        <v>1593</v>
      </c>
      <c r="F8892" s="35" t="s">
        <v>1931</v>
      </c>
      <c r="G8892" s="35" t="s">
        <v>392</v>
      </c>
    </row>
    <row r="8893" spans="1:7">
      <c r="A8893" s="34">
        <v>2084064178</v>
      </c>
      <c r="B8893" s="35" t="s">
        <v>462</v>
      </c>
      <c r="C8893" s="35" t="s">
        <v>1921</v>
      </c>
      <c r="D8893" s="35" t="s">
        <v>1930</v>
      </c>
      <c r="E8893" s="35" t="s">
        <v>1593</v>
      </c>
      <c r="F8893" s="35" t="s">
        <v>1931</v>
      </c>
      <c r="G8893" s="35" t="s">
        <v>375</v>
      </c>
    </row>
    <row r="8894" spans="1:7">
      <c r="A8894" s="34">
        <v>2084064179</v>
      </c>
      <c r="B8894" s="35" t="s">
        <v>462</v>
      </c>
      <c r="C8894" s="35" t="s">
        <v>1921</v>
      </c>
      <c r="D8894" s="35" t="s">
        <v>1930</v>
      </c>
      <c r="E8894" s="35" t="s">
        <v>1593</v>
      </c>
      <c r="F8894" s="35" t="s">
        <v>1931</v>
      </c>
      <c r="G8894" s="35" t="s">
        <v>376</v>
      </c>
    </row>
    <row r="8895" spans="1:7">
      <c r="A8895" s="34">
        <v>2084064180</v>
      </c>
      <c r="B8895" s="35" t="s">
        <v>462</v>
      </c>
      <c r="C8895" s="35" t="s">
        <v>1921</v>
      </c>
      <c r="D8895" s="35" t="s">
        <v>1930</v>
      </c>
      <c r="E8895" s="35" t="s">
        <v>1593</v>
      </c>
      <c r="F8895" s="35" t="s">
        <v>1931</v>
      </c>
      <c r="G8895" s="35" t="s">
        <v>377</v>
      </c>
    </row>
    <row r="8896" spans="1:7">
      <c r="A8896" s="34">
        <v>2084232860</v>
      </c>
      <c r="B8896" s="35" t="s">
        <v>462</v>
      </c>
      <c r="C8896" s="35" t="s">
        <v>1921</v>
      </c>
      <c r="D8896" s="35" t="s">
        <v>1930</v>
      </c>
      <c r="E8896" s="35" t="s">
        <v>1593</v>
      </c>
      <c r="F8896" s="35" t="s">
        <v>1932</v>
      </c>
      <c r="G8896" s="35" t="s">
        <v>391</v>
      </c>
    </row>
    <row r="8897" spans="1:7">
      <c r="A8897" s="34">
        <v>2084232861</v>
      </c>
      <c r="B8897" s="35" t="s">
        <v>462</v>
      </c>
      <c r="C8897" s="35" t="s">
        <v>1921</v>
      </c>
      <c r="D8897" s="35" t="s">
        <v>1930</v>
      </c>
      <c r="E8897" s="35" t="s">
        <v>1593</v>
      </c>
      <c r="F8897" s="35" t="s">
        <v>1932</v>
      </c>
      <c r="G8897" s="35" t="s">
        <v>392</v>
      </c>
    </row>
    <row r="8898" spans="1:7">
      <c r="A8898" s="34">
        <v>2084232862</v>
      </c>
      <c r="B8898" s="35" t="s">
        <v>462</v>
      </c>
      <c r="C8898" s="35" t="s">
        <v>1921</v>
      </c>
      <c r="D8898" s="35" t="s">
        <v>1930</v>
      </c>
      <c r="E8898" s="35" t="s">
        <v>1593</v>
      </c>
      <c r="F8898" s="35" t="s">
        <v>1932</v>
      </c>
      <c r="G8898" s="35" t="s">
        <v>375</v>
      </c>
    </row>
    <row r="8899" spans="1:7">
      <c r="A8899" s="34">
        <v>2084232863</v>
      </c>
      <c r="B8899" s="35" t="s">
        <v>462</v>
      </c>
      <c r="C8899" s="35" t="s">
        <v>1921</v>
      </c>
      <c r="D8899" s="35" t="s">
        <v>1930</v>
      </c>
      <c r="E8899" s="35" t="s">
        <v>1593</v>
      </c>
      <c r="F8899" s="35" t="s">
        <v>1932</v>
      </c>
      <c r="G8899" s="35" t="s">
        <v>376</v>
      </c>
    </row>
    <row r="8900" spans="1:7">
      <c r="A8900" s="34">
        <v>2084232864</v>
      </c>
      <c r="B8900" s="35" t="s">
        <v>462</v>
      </c>
      <c r="C8900" s="35" t="s">
        <v>1921</v>
      </c>
      <c r="D8900" s="35" t="s">
        <v>1930</v>
      </c>
      <c r="E8900" s="35" t="s">
        <v>1593</v>
      </c>
      <c r="F8900" s="35" t="s">
        <v>1932</v>
      </c>
      <c r="G8900" s="35" t="s">
        <v>377</v>
      </c>
    </row>
    <row r="8901" spans="1:7">
      <c r="A8901" s="34">
        <v>2084232854</v>
      </c>
      <c r="B8901" s="35" t="s">
        <v>462</v>
      </c>
      <c r="C8901" s="35" t="s">
        <v>1921</v>
      </c>
      <c r="D8901" s="35" t="s">
        <v>1930</v>
      </c>
      <c r="E8901" s="35" t="s">
        <v>1593</v>
      </c>
      <c r="F8901" s="35" t="s">
        <v>1933</v>
      </c>
      <c r="G8901" s="35" t="s">
        <v>391</v>
      </c>
    </row>
    <row r="8902" spans="1:7">
      <c r="A8902" s="34">
        <v>2084232855</v>
      </c>
      <c r="B8902" s="35" t="s">
        <v>462</v>
      </c>
      <c r="C8902" s="35" t="s">
        <v>1921</v>
      </c>
      <c r="D8902" s="35" t="s">
        <v>1930</v>
      </c>
      <c r="E8902" s="35" t="s">
        <v>1593</v>
      </c>
      <c r="F8902" s="35" t="s">
        <v>1933</v>
      </c>
      <c r="G8902" s="35" t="s">
        <v>392</v>
      </c>
    </row>
    <row r="8903" spans="1:7">
      <c r="A8903" s="34">
        <v>2084232856</v>
      </c>
      <c r="B8903" s="35" t="s">
        <v>462</v>
      </c>
      <c r="C8903" s="35" t="s">
        <v>1921</v>
      </c>
      <c r="D8903" s="35" t="s">
        <v>1930</v>
      </c>
      <c r="E8903" s="35" t="s">
        <v>1593</v>
      </c>
      <c r="F8903" s="35" t="s">
        <v>1933</v>
      </c>
      <c r="G8903" s="35" t="s">
        <v>375</v>
      </c>
    </row>
    <row r="8904" spans="1:7">
      <c r="A8904" s="34">
        <v>2084232857</v>
      </c>
      <c r="B8904" s="35" t="s">
        <v>462</v>
      </c>
      <c r="C8904" s="35" t="s">
        <v>1921</v>
      </c>
      <c r="D8904" s="35" t="s">
        <v>1930</v>
      </c>
      <c r="E8904" s="35" t="s">
        <v>1593</v>
      </c>
      <c r="F8904" s="35" t="s">
        <v>1933</v>
      </c>
      <c r="G8904" s="35" t="s">
        <v>376</v>
      </c>
    </row>
    <row r="8905" spans="1:7">
      <c r="A8905" s="34">
        <v>2084232858</v>
      </c>
      <c r="B8905" s="35" t="s">
        <v>462</v>
      </c>
      <c r="C8905" s="35" t="s">
        <v>1921</v>
      </c>
      <c r="D8905" s="35" t="s">
        <v>1930</v>
      </c>
      <c r="E8905" s="35" t="s">
        <v>1593</v>
      </c>
      <c r="F8905" s="35" t="s">
        <v>1933</v>
      </c>
      <c r="G8905" s="35" t="s">
        <v>377</v>
      </c>
    </row>
    <row r="8906" spans="1:7">
      <c r="A8906" s="34">
        <v>2084232866</v>
      </c>
      <c r="B8906" s="35" t="s">
        <v>462</v>
      </c>
      <c r="C8906" s="35" t="s">
        <v>1921</v>
      </c>
      <c r="D8906" s="35" t="s">
        <v>1930</v>
      </c>
      <c r="E8906" s="35" t="s">
        <v>1593</v>
      </c>
      <c r="F8906" s="35" t="s">
        <v>1934</v>
      </c>
      <c r="G8906" s="35" t="s">
        <v>391</v>
      </c>
    </row>
    <row r="8907" spans="1:7">
      <c r="A8907" s="34">
        <v>2084232867</v>
      </c>
      <c r="B8907" s="35" t="s">
        <v>462</v>
      </c>
      <c r="C8907" s="35" t="s">
        <v>1921</v>
      </c>
      <c r="D8907" s="35" t="s">
        <v>1930</v>
      </c>
      <c r="E8907" s="35" t="s">
        <v>1593</v>
      </c>
      <c r="F8907" s="35" t="s">
        <v>1934</v>
      </c>
      <c r="G8907" s="35" t="s">
        <v>392</v>
      </c>
    </row>
    <row r="8908" spans="1:7">
      <c r="A8908" s="34">
        <v>2084232868</v>
      </c>
      <c r="B8908" s="35" t="s">
        <v>462</v>
      </c>
      <c r="C8908" s="35" t="s">
        <v>1921</v>
      </c>
      <c r="D8908" s="35" t="s">
        <v>1930</v>
      </c>
      <c r="E8908" s="35" t="s">
        <v>1593</v>
      </c>
      <c r="F8908" s="35" t="s">
        <v>1934</v>
      </c>
      <c r="G8908" s="35" t="s">
        <v>375</v>
      </c>
    </row>
    <row r="8909" spans="1:7">
      <c r="A8909" s="34">
        <v>2084232869</v>
      </c>
      <c r="B8909" s="35" t="s">
        <v>462</v>
      </c>
      <c r="C8909" s="35" t="s">
        <v>1921</v>
      </c>
      <c r="D8909" s="35" t="s">
        <v>1930</v>
      </c>
      <c r="E8909" s="35" t="s">
        <v>1593</v>
      </c>
      <c r="F8909" s="35" t="s">
        <v>1934</v>
      </c>
      <c r="G8909" s="35" t="s">
        <v>376</v>
      </c>
    </row>
    <row r="8910" spans="1:7">
      <c r="A8910" s="34">
        <v>2084232870</v>
      </c>
      <c r="B8910" s="35" t="s">
        <v>462</v>
      </c>
      <c r="C8910" s="35" t="s">
        <v>1921</v>
      </c>
      <c r="D8910" s="35" t="s">
        <v>1930</v>
      </c>
      <c r="E8910" s="35" t="s">
        <v>1593</v>
      </c>
      <c r="F8910" s="35" t="s">
        <v>1934</v>
      </c>
      <c r="G8910" s="35" t="s">
        <v>377</v>
      </c>
    </row>
    <row r="8911" spans="1:7">
      <c r="A8911" s="34">
        <v>2084232889</v>
      </c>
      <c r="B8911" s="35" t="s">
        <v>462</v>
      </c>
      <c r="C8911" s="35" t="s">
        <v>1921</v>
      </c>
      <c r="D8911" s="35" t="s">
        <v>1930</v>
      </c>
      <c r="E8911" s="35" t="s">
        <v>1593</v>
      </c>
      <c r="F8911" s="35" t="s">
        <v>1935</v>
      </c>
    </row>
    <row r="8912" spans="1:7">
      <c r="A8912" s="34">
        <v>2084064181</v>
      </c>
      <c r="B8912" s="35" t="s">
        <v>462</v>
      </c>
      <c r="C8912" s="35" t="s">
        <v>1921</v>
      </c>
      <c r="D8912" s="35" t="s">
        <v>1930</v>
      </c>
      <c r="E8912" s="35" t="s">
        <v>1594</v>
      </c>
      <c r="F8912" s="35" t="s">
        <v>1936</v>
      </c>
      <c r="G8912" s="35" t="s">
        <v>391</v>
      </c>
    </row>
    <row r="8913" spans="1:7">
      <c r="A8913" s="34">
        <v>2084064182</v>
      </c>
      <c r="B8913" s="35" t="s">
        <v>462</v>
      </c>
      <c r="C8913" s="35" t="s">
        <v>1921</v>
      </c>
      <c r="D8913" s="35" t="s">
        <v>1930</v>
      </c>
      <c r="E8913" s="35" t="s">
        <v>1594</v>
      </c>
      <c r="F8913" s="35" t="s">
        <v>1936</v>
      </c>
      <c r="G8913" s="35" t="s">
        <v>392</v>
      </c>
    </row>
    <row r="8914" spans="1:7">
      <c r="A8914" s="34">
        <v>2084064183</v>
      </c>
      <c r="B8914" s="35" t="s">
        <v>462</v>
      </c>
      <c r="C8914" s="35" t="s">
        <v>1921</v>
      </c>
      <c r="D8914" s="35" t="s">
        <v>1930</v>
      </c>
      <c r="E8914" s="35" t="s">
        <v>1594</v>
      </c>
      <c r="F8914" s="35" t="s">
        <v>1936</v>
      </c>
      <c r="G8914" s="35" t="s">
        <v>375</v>
      </c>
    </row>
    <row r="8915" spans="1:7">
      <c r="A8915" s="34">
        <v>2084064184</v>
      </c>
      <c r="B8915" s="35" t="s">
        <v>462</v>
      </c>
      <c r="C8915" s="35" t="s">
        <v>1921</v>
      </c>
      <c r="D8915" s="35" t="s">
        <v>1930</v>
      </c>
      <c r="E8915" s="35" t="s">
        <v>1594</v>
      </c>
      <c r="F8915" s="35" t="s">
        <v>1936</v>
      </c>
      <c r="G8915" s="35" t="s">
        <v>376</v>
      </c>
    </row>
    <row r="8916" spans="1:7">
      <c r="A8916" s="34">
        <v>2084064185</v>
      </c>
      <c r="B8916" s="35" t="s">
        <v>462</v>
      </c>
      <c r="C8916" s="35" t="s">
        <v>1921</v>
      </c>
      <c r="D8916" s="35" t="s">
        <v>1930</v>
      </c>
      <c r="E8916" s="35" t="s">
        <v>1594</v>
      </c>
      <c r="F8916" s="35" t="s">
        <v>1936</v>
      </c>
      <c r="G8916" s="35" t="s">
        <v>377</v>
      </c>
    </row>
    <row r="8917" spans="1:7">
      <c r="A8917" s="34">
        <v>2084232818</v>
      </c>
      <c r="B8917" s="35" t="s">
        <v>462</v>
      </c>
      <c r="C8917" s="35" t="s">
        <v>1921</v>
      </c>
      <c r="D8917" s="35" t="s">
        <v>1930</v>
      </c>
      <c r="E8917" s="35" t="s">
        <v>1594</v>
      </c>
      <c r="F8917" s="35" t="s">
        <v>1513</v>
      </c>
      <c r="G8917" s="35" t="s">
        <v>391</v>
      </c>
    </row>
    <row r="8918" spans="1:7">
      <c r="A8918" s="34">
        <v>2084232819</v>
      </c>
      <c r="B8918" s="35" t="s">
        <v>462</v>
      </c>
      <c r="C8918" s="35" t="s">
        <v>1921</v>
      </c>
      <c r="D8918" s="35" t="s">
        <v>1930</v>
      </c>
      <c r="E8918" s="35" t="s">
        <v>1594</v>
      </c>
      <c r="F8918" s="35" t="s">
        <v>1513</v>
      </c>
      <c r="G8918" s="35" t="s">
        <v>392</v>
      </c>
    </row>
    <row r="8919" spans="1:7">
      <c r="A8919" s="34">
        <v>2084232820</v>
      </c>
      <c r="B8919" s="35" t="s">
        <v>462</v>
      </c>
      <c r="C8919" s="35" t="s">
        <v>1921</v>
      </c>
      <c r="D8919" s="35" t="s">
        <v>1930</v>
      </c>
      <c r="E8919" s="35" t="s">
        <v>1594</v>
      </c>
      <c r="F8919" s="35" t="s">
        <v>1513</v>
      </c>
      <c r="G8919" s="35" t="s">
        <v>375</v>
      </c>
    </row>
    <row r="8920" spans="1:7">
      <c r="A8920" s="34">
        <v>2084232821</v>
      </c>
      <c r="B8920" s="35" t="s">
        <v>462</v>
      </c>
      <c r="C8920" s="35" t="s">
        <v>1921</v>
      </c>
      <c r="D8920" s="35" t="s">
        <v>1930</v>
      </c>
      <c r="E8920" s="35" t="s">
        <v>1594</v>
      </c>
      <c r="F8920" s="35" t="s">
        <v>1513</v>
      </c>
      <c r="G8920" s="35" t="s">
        <v>376</v>
      </c>
    </row>
    <row r="8921" spans="1:7">
      <c r="A8921" s="34">
        <v>2084232822</v>
      </c>
      <c r="B8921" s="35" t="s">
        <v>462</v>
      </c>
      <c r="C8921" s="35" t="s">
        <v>1921</v>
      </c>
      <c r="D8921" s="35" t="s">
        <v>1930</v>
      </c>
      <c r="E8921" s="35" t="s">
        <v>1594</v>
      </c>
      <c r="F8921" s="35" t="s">
        <v>1513</v>
      </c>
      <c r="G8921" s="35" t="s">
        <v>377</v>
      </c>
    </row>
    <row r="8922" spans="1:7">
      <c r="A8922" s="34">
        <v>2084232824</v>
      </c>
      <c r="B8922" s="35" t="s">
        <v>462</v>
      </c>
      <c r="C8922" s="35" t="s">
        <v>1921</v>
      </c>
      <c r="D8922" s="35" t="s">
        <v>1930</v>
      </c>
      <c r="E8922" s="35" t="s">
        <v>1594</v>
      </c>
      <c r="F8922" s="35" t="s">
        <v>1933</v>
      </c>
      <c r="G8922" s="35" t="s">
        <v>391</v>
      </c>
    </row>
    <row r="8923" spans="1:7">
      <c r="A8923" s="34">
        <v>2084232825</v>
      </c>
      <c r="B8923" s="35" t="s">
        <v>462</v>
      </c>
      <c r="C8923" s="35" t="s">
        <v>1921</v>
      </c>
      <c r="D8923" s="35" t="s">
        <v>1930</v>
      </c>
      <c r="E8923" s="35" t="s">
        <v>1594</v>
      </c>
      <c r="F8923" s="35" t="s">
        <v>1933</v>
      </c>
      <c r="G8923" s="35" t="s">
        <v>392</v>
      </c>
    </row>
    <row r="8924" spans="1:7">
      <c r="A8924" s="34">
        <v>2084232826</v>
      </c>
      <c r="B8924" s="35" t="s">
        <v>462</v>
      </c>
      <c r="C8924" s="35" t="s">
        <v>1921</v>
      </c>
      <c r="D8924" s="35" t="s">
        <v>1930</v>
      </c>
      <c r="E8924" s="35" t="s">
        <v>1594</v>
      </c>
      <c r="F8924" s="35" t="s">
        <v>1933</v>
      </c>
      <c r="G8924" s="35" t="s">
        <v>375</v>
      </c>
    </row>
    <row r="8925" spans="1:7">
      <c r="A8925" s="34">
        <v>2084232827</v>
      </c>
      <c r="B8925" s="35" t="s">
        <v>462</v>
      </c>
      <c r="C8925" s="35" t="s">
        <v>1921</v>
      </c>
      <c r="D8925" s="35" t="s">
        <v>1930</v>
      </c>
      <c r="E8925" s="35" t="s">
        <v>1594</v>
      </c>
      <c r="F8925" s="35" t="s">
        <v>1933</v>
      </c>
      <c r="G8925" s="35" t="s">
        <v>376</v>
      </c>
    </row>
    <row r="8926" spans="1:7">
      <c r="A8926" s="34">
        <v>2084232828</v>
      </c>
      <c r="B8926" s="35" t="s">
        <v>462</v>
      </c>
      <c r="C8926" s="35" t="s">
        <v>1921</v>
      </c>
      <c r="D8926" s="35" t="s">
        <v>1930</v>
      </c>
      <c r="E8926" s="35" t="s">
        <v>1594</v>
      </c>
      <c r="F8926" s="35" t="s">
        <v>1933</v>
      </c>
      <c r="G8926" s="35" t="s">
        <v>377</v>
      </c>
    </row>
    <row r="8927" spans="1:7">
      <c r="A8927" s="34">
        <v>2084232830</v>
      </c>
      <c r="B8927" s="35" t="s">
        <v>462</v>
      </c>
      <c r="C8927" s="35" t="s">
        <v>1921</v>
      </c>
      <c r="D8927" s="35" t="s">
        <v>1930</v>
      </c>
      <c r="E8927" s="35" t="s">
        <v>1594</v>
      </c>
      <c r="F8927" s="35" t="s">
        <v>1934</v>
      </c>
      <c r="G8927" s="35" t="s">
        <v>391</v>
      </c>
    </row>
    <row r="8928" spans="1:7">
      <c r="A8928" s="34">
        <v>2084232831</v>
      </c>
      <c r="B8928" s="35" t="s">
        <v>462</v>
      </c>
      <c r="C8928" s="35" t="s">
        <v>1921</v>
      </c>
      <c r="D8928" s="35" t="s">
        <v>1930</v>
      </c>
      <c r="E8928" s="35" t="s">
        <v>1594</v>
      </c>
      <c r="F8928" s="35" t="s">
        <v>1934</v>
      </c>
      <c r="G8928" s="35" t="s">
        <v>392</v>
      </c>
    </row>
    <row r="8929" spans="1:7">
      <c r="A8929" s="34">
        <v>2084232832</v>
      </c>
      <c r="B8929" s="35" t="s">
        <v>462</v>
      </c>
      <c r="C8929" s="35" t="s">
        <v>1921</v>
      </c>
      <c r="D8929" s="35" t="s">
        <v>1930</v>
      </c>
      <c r="E8929" s="35" t="s">
        <v>1594</v>
      </c>
      <c r="F8929" s="35" t="s">
        <v>1934</v>
      </c>
      <c r="G8929" s="35" t="s">
        <v>375</v>
      </c>
    </row>
    <row r="8930" spans="1:7">
      <c r="A8930" s="34">
        <v>2084232833</v>
      </c>
      <c r="B8930" s="35" t="s">
        <v>462</v>
      </c>
      <c r="C8930" s="35" t="s">
        <v>1921</v>
      </c>
      <c r="D8930" s="35" t="s">
        <v>1930</v>
      </c>
      <c r="E8930" s="35" t="s">
        <v>1594</v>
      </c>
      <c r="F8930" s="35" t="s">
        <v>1934</v>
      </c>
      <c r="G8930" s="35" t="s">
        <v>376</v>
      </c>
    </row>
    <row r="8931" spans="1:7">
      <c r="A8931" s="34">
        <v>2084232834</v>
      </c>
      <c r="B8931" s="35" t="s">
        <v>462</v>
      </c>
      <c r="C8931" s="35" t="s">
        <v>1921</v>
      </c>
      <c r="D8931" s="35" t="s">
        <v>1930</v>
      </c>
      <c r="E8931" s="35" t="s">
        <v>1594</v>
      </c>
      <c r="F8931" s="35" t="s">
        <v>1934</v>
      </c>
      <c r="G8931" s="35" t="s">
        <v>377</v>
      </c>
    </row>
    <row r="8932" spans="1:7">
      <c r="A8932" s="34">
        <v>2084232891</v>
      </c>
      <c r="B8932" s="35" t="s">
        <v>462</v>
      </c>
      <c r="C8932" s="35" t="s">
        <v>1921</v>
      </c>
      <c r="D8932" s="35" t="s">
        <v>1930</v>
      </c>
      <c r="E8932" s="35" t="s">
        <v>1594</v>
      </c>
      <c r="F8932" s="35" t="s">
        <v>1932</v>
      </c>
      <c r="G8932" s="35" t="s">
        <v>391</v>
      </c>
    </row>
    <row r="8933" spans="1:7">
      <c r="A8933" s="34">
        <v>2084232892</v>
      </c>
      <c r="B8933" s="35" t="s">
        <v>462</v>
      </c>
      <c r="C8933" s="35" t="s">
        <v>1921</v>
      </c>
      <c r="D8933" s="35" t="s">
        <v>1930</v>
      </c>
      <c r="E8933" s="35" t="s">
        <v>1594</v>
      </c>
      <c r="F8933" s="35" t="s">
        <v>1932</v>
      </c>
      <c r="G8933" s="35" t="s">
        <v>392</v>
      </c>
    </row>
    <row r="8934" spans="1:7">
      <c r="A8934" s="34">
        <v>2084232893</v>
      </c>
      <c r="B8934" s="35" t="s">
        <v>462</v>
      </c>
      <c r="C8934" s="35" t="s">
        <v>1921</v>
      </c>
      <c r="D8934" s="35" t="s">
        <v>1930</v>
      </c>
      <c r="E8934" s="35" t="s">
        <v>1594</v>
      </c>
      <c r="F8934" s="35" t="s">
        <v>1932</v>
      </c>
      <c r="G8934" s="35" t="s">
        <v>375</v>
      </c>
    </row>
    <row r="8935" spans="1:7">
      <c r="A8935" s="34">
        <v>2084232894</v>
      </c>
      <c r="B8935" s="35" t="s">
        <v>462</v>
      </c>
      <c r="C8935" s="35" t="s">
        <v>1921</v>
      </c>
      <c r="D8935" s="35" t="s">
        <v>1930</v>
      </c>
      <c r="E8935" s="35" t="s">
        <v>1594</v>
      </c>
      <c r="F8935" s="35" t="s">
        <v>1932</v>
      </c>
      <c r="G8935" s="35" t="s">
        <v>376</v>
      </c>
    </row>
    <row r="8936" spans="1:7">
      <c r="A8936" s="34">
        <v>2084232895</v>
      </c>
      <c r="B8936" s="35" t="s">
        <v>462</v>
      </c>
      <c r="C8936" s="35" t="s">
        <v>1921</v>
      </c>
      <c r="D8936" s="35" t="s">
        <v>1930</v>
      </c>
      <c r="E8936" s="35" t="s">
        <v>1594</v>
      </c>
      <c r="F8936" s="35" t="s">
        <v>1932</v>
      </c>
      <c r="G8936" s="35" t="s">
        <v>377</v>
      </c>
    </row>
    <row r="8937" spans="1:7">
      <c r="A8937" s="34">
        <v>2084054038</v>
      </c>
      <c r="B8937" s="35" t="s">
        <v>462</v>
      </c>
      <c r="C8937" s="35" t="s">
        <v>1921</v>
      </c>
      <c r="D8937" s="35" t="s">
        <v>1930</v>
      </c>
      <c r="E8937" s="35" t="s">
        <v>1595</v>
      </c>
    </row>
    <row r="8938" spans="1:7">
      <c r="A8938" s="34">
        <v>2084233242</v>
      </c>
      <c r="B8938" s="35" t="s">
        <v>462</v>
      </c>
      <c r="C8938" s="35" t="s">
        <v>1921</v>
      </c>
      <c r="D8938" s="35" t="s">
        <v>1432</v>
      </c>
      <c r="E8938" s="35" t="s">
        <v>1593</v>
      </c>
      <c r="F8938" s="35" t="s">
        <v>391</v>
      </c>
    </row>
    <row r="8939" spans="1:7">
      <c r="A8939" s="34">
        <v>2084233243</v>
      </c>
      <c r="B8939" s="35" t="s">
        <v>462</v>
      </c>
      <c r="C8939" s="35" t="s">
        <v>1921</v>
      </c>
      <c r="D8939" s="35" t="s">
        <v>1432</v>
      </c>
      <c r="E8939" s="35" t="s">
        <v>1593</v>
      </c>
      <c r="F8939" s="35" t="s">
        <v>392</v>
      </c>
    </row>
    <row r="8940" spans="1:7">
      <c r="A8940" s="34">
        <v>2084233244</v>
      </c>
      <c r="B8940" s="35" t="s">
        <v>462</v>
      </c>
      <c r="C8940" s="35" t="s">
        <v>1921</v>
      </c>
      <c r="D8940" s="35" t="s">
        <v>1432</v>
      </c>
      <c r="E8940" s="35" t="s">
        <v>1593</v>
      </c>
      <c r="F8940" s="35" t="s">
        <v>375</v>
      </c>
    </row>
    <row r="8941" spans="1:7">
      <c r="A8941" s="34">
        <v>2084233245</v>
      </c>
      <c r="B8941" s="35" t="s">
        <v>462</v>
      </c>
      <c r="C8941" s="35" t="s">
        <v>1921</v>
      </c>
      <c r="D8941" s="35" t="s">
        <v>1432</v>
      </c>
      <c r="E8941" s="35" t="s">
        <v>1593</v>
      </c>
      <c r="F8941" s="35" t="s">
        <v>376</v>
      </c>
    </row>
    <row r="8942" spans="1:7">
      <c r="A8942" s="34">
        <v>2084233246</v>
      </c>
      <c r="B8942" s="35" t="s">
        <v>462</v>
      </c>
      <c r="C8942" s="35" t="s">
        <v>1921</v>
      </c>
      <c r="D8942" s="35" t="s">
        <v>1432</v>
      </c>
      <c r="E8942" s="35" t="s">
        <v>1593</v>
      </c>
      <c r="F8942" s="35" t="s">
        <v>377</v>
      </c>
    </row>
    <row r="8943" spans="1:7">
      <c r="A8943" s="34">
        <v>2084233237</v>
      </c>
      <c r="B8943" s="35" t="s">
        <v>462</v>
      </c>
      <c r="C8943" s="35" t="s">
        <v>1921</v>
      </c>
      <c r="D8943" s="35" t="s">
        <v>1432</v>
      </c>
      <c r="E8943" s="35" t="s">
        <v>1594</v>
      </c>
      <c r="F8943" s="35" t="s">
        <v>391</v>
      </c>
    </row>
    <row r="8944" spans="1:7">
      <c r="A8944" s="34">
        <v>2084233238</v>
      </c>
      <c r="B8944" s="35" t="s">
        <v>462</v>
      </c>
      <c r="C8944" s="35" t="s">
        <v>1921</v>
      </c>
      <c r="D8944" s="35" t="s">
        <v>1432</v>
      </c>
      <c r="E8944" s="35" t="s">
        <v>1594</v>
      </c>
      <c r="F8944" s="35" t="s">
        <v>392</v>
      </c>
    </row>
    <row r="8945" spans="1:8">
      <c r="A8945" s="34">
        <v>2084233239</v>
      </c>
      <c r="B8945" s="35" t="s">
        <v>462</v>
      </c>
      <c r="C8945" s="35" t="s">
        <v>1921</v>
      </c>
      <c r="D8945" s="35" t="s">
        <v>1432</v>
      </c>
      <c r="E8945" s="35" t="s">
        <v>1594</v>
      </c>
      <c r="F8945" s="35" t="s">
        <v>375</v>
      </c>
    </row>
    <row r="8946" spans="1:8">
      <c r="A8946" s="34">
        <v>2084233240</v>
      </c>
      <c r="B8946" s="35" t="s">
        <v>462</v>
      </c>
      <c r="C8946" s="35" t="s">
        <v>1921</v>
      </c>
      <c r="D8946" s="35" t="s">
        <v>1432</v>
      </c>
      <c r="E8946" s="35" t="s">
        <v>1594</v>
      </c>
      <c r="F8946" s="35" t="s">
        <v>376</v>
      </c>
    </row>
    <row r="8947" spans="1:8">
      <c r="A8947" s="34">
        <v>2084233241</v>
      </c>
      <c r="B8947" s="35" t="s">
        <v>462</v>
      </c>
      <c r="C8947" s="35" t="s">
        <v>1921</v>
      </c>
      <c r="D8947" s="35" t="s">
        <v>1432</v>
      </c>
      <c r="E8947" s="35" t="s">
        <v>1594</v>
      </c>
      <c r="F8947" s="35" t="s">
        <v>377</v>
      </c>
    </row>
    <row r="8948" spans="1:8">
      <c r="A8948" s="34">
        <v>2084064171</v>
      </c>
      <c r="B8948" s="35" t="s">
        <v>462</v>
      </c>
      <c r="C8948" s="35" t="s">
        <v>1921</v>
      </c>
      <c r="D8948" s="35" t="s">
        <v>1604</v>
      </c>
      <c r="E8948" s="35" t="s">
        <v>1593</v>
      </c>
      <c r="F8948" s="35" t="s">
        <v>391</v>
      </c>
    </row>
    <row r="8949" spans="1:8">
      <c r="A8949" s="34">
        <v>2084064172</v>
      </c>
      <c r="B8949" s="35" t="s">
        <v>462</v>
      </c>
      <c r="C8949" s="35" t="s">
        <v>1921</v>
      </c>
      <c r="D8949" s="35" t="s">
        <v>1604</v>
      </c>
      <c r="E8949" s="35" t="s">
        <v>1593</v>
      </c>
      <c r="F8949" s="35" t="s">
        <v>392</v>
      </c>
    </row>
    <row r="8950" spans="1:8">
      <c r="A8950" s="34">
        <v>2084064173</v>
      </c>
      <c r="B8950" s="35" t="s">
        <v>462</v>
      </c>
      <c r="C8950" s="35" t="s">
        <v>1921</v>
      </c>
      <c r="D8950" s="35" t="s">
        <v>1604</v>
      </c>
      <c r="E8950" s="35" t="s">
        <v>1593</v>
      </c>
      <c r="F8950" s="35" t="s">
        <v>375</v>
      </c>
    </row>
    <row r="8951" spans="1:8">
      <c r="A8951" s="34">
        <v>2084064174</v>
      </c>
      <c r="B8951" s="35" t="s">
        <v>462</v>
      </c>
      <c r="C8951" s="35" t="s">
        <v>1921</v>
      </c>
      <c r="D8951" s="35" t="s">
        <v>1604</v>
      </c>
      <c r="E8951" s="35" t="s">
        <v>1593</v>
      </c>
      <c r="F8951" s="35" t="s">
        <v>376</v>
      </c>
    </row>
    <row r="8952" spans="1:8">
      <c r="A8952" s="34">
        <v>2084064175</v>
      </c>
      <c r="B8952" s="35" t="s">
        <v>462</v>
      </c>
      <c r="C8952" s="35" t="s">
        <v>1921</v>
      </c>
      <c r="D8952" s="35" t="s">
        <v>1604</v>
      </c>
      <c r="E8952" s="35" t="s">
        <v>1593</v>
      </c>
      <c r="F8952" s="35" t="s">
        <v>377</v>
      </c>
    </row>
    <row r="8953" spans="1:8">
      <c r="A8953" s="34">
        <v>2084051369</v>
      </c>
      <c r="B8953" s="35" t="s">
        <v>462</v>
      </c>
      <c r="C8953" s="35" t="s">
        <v>1921</v>
      </c>
      <c r="D8953" s="35" t="s">
        <v>1604</v>
      </c>
      <c r="E8953" s="35" t="s">
        <v>1594</v>
      </c>
      <c r="F8953" s="35" t="s">
        <v>1605</v>
      </c>
      <c r="G8953" s="35" t="s">
        <v>1606</v>
      </c>
      <c r="H8953" s="35" t="s">
        <v>1607</v>
      </c>
    </row>
    <row r="8954" spans="1:8">
      <c r="A8954" s="34">
        <v>2084051372</v>
      </c>
      <c r="B8954" s="35" t="s">
        <v>462</v>
      </c>
      <c r="C8954" s="35" t="s">
        <v>1921</v>
      </c>
      <c r="D8954" s="35" t="s">
        <v>1604</v>
      </c>
      <c r="E8954" s="35" t="s">
        <v>1594</v>
      </c>
      <c r="F8954" s="35" t="s">
        <v>1605</v>
      </c>
      <c r="G8954" s="35" t="s">
        <v>1606</v>
      </c>
      <c r="H8954" s="35" t="s">
        <v>1608</v>
      </c>
    </row>
    <row r="8955" spans="1:8">
      <c r="A8955" s="34">
        <v>2084051370</v>
      </c>
      <c r="B8955" s="35" t="s">
        <v>462</v>
      </c>
      <c r="C8955" s="35" t="s">
        <v>1921</v>
      </c>
      <c r="D8955" s="35" t="s">
        <v>1604</v>
      </c>
      <c r="E8955" s="35" t="s">
        <v>1594</v>
      </c>
      <c r="F8955" s="35" t="s">
        <v>1605</v>
      </c>
      <c r="G8955" s="35" t="s">
        <v>1606</v>
      </c>
      <c r="H8955" s="35" t="s">
        <v>1609</v>
      </c>
    </row>
    <row r="8956" spans="1:8">
      <c r="A8956" s="34">
        <v>2084051371</v>
      </c>
      <c r="B8956" s="35" t="s">
        <v>462</v>
      </c>
      <c r="C8956" s="35" t="s">
        <v>1921</v>
      </c>
      <c r="D8956" s="35" t="s">
        <v>1604</v>
      </c>
      <c r="E8956" s="35" t="s">
        <v>1594</v>
      </c>
      <c r="F8956" s="35" t="s">
        <v>1605</v>
      </c>
      <c r="G8956" s="35" t="s">
        <v>1606</v>
      </c>
      <c r="H8956" s="35" t="s">
        <v>1610</v>
      </c>
    </row>
    <row r="8957" spans="1:8">
      <c r="A8957" s="34">
        <v>2084051373</v>
      </c>
      <c r="B8957" s="35" t="s">
        <v>462</v>
      </c>
      <c r="C8957" s="35" t="s">
        <v>1921</v>
      </c>
      <c r="D8957" s="35" t="s">
        <v>1604</v>
      </c>
      <c r="E8957" s="35" t="s">
        <v>1594</v>
      </c>
      <c r="F8957" s="35" t="s">
        <v>1605</v>
      </c>
      <c r="G8957" s="35" t="s">
        <v>1606</v>
      </c>
      <c r="H8957" s="35" t="s">
        <v>335</v>
      </c>
    </row>
    <row r="8958" spans="1:8">
      <c r="A8958" s="34">
        <v>2084051374</v>
      </c>
      <c r="B8958" s="35" t="s">
        <v>462</v>
      </c>
      <c r="C8958" s="35" t="s">
        <v>1921</v>
      </c>
      <c r="D8958" s="35" t="s">
        <v>1604</v>
      </c>
      <c r="E8958" s="35" t="s">
        <v>1594</v>
      </c>
      <c r="F8958" s="35" t="s">
        <v>1605</v>
      </c>
      <c r="G8958" s="35" t="s">
        <v>1611</v>
      </c>
    </row>
    <row r="8959" spans="1:8">
      <c r="A8959" s="34">
        <v>2084051363</v>
      </c>
      <c r="B8959" s="35" t="s">
        <v>462</v>
      </c>
      <c r="C8959" s="35" t="s">
        <v>1921</v>
      </c>
      <c r="D8959" s="35" t="s">
        <v>1604</v>
      </c>
      <c r="E8959" s="35" t="s">
        <v>1594</v>
      </c>
      <c r="F8959" s="35" t="s">
        <v>1605</v>
      </c>
      <c r="G8959" s="35" t="s">
        <v>1612</v>
      </c>
      <c r="H8959" s="35" t="s">
        <v>1607</v>
      </c>
    </row>
    <row r="8960" spans="1:8">
      <c r="A8960" s="34">
        <v>2084051366</v>
      </c>
      <c r="B8960" s="35" t="s">
        <v>462</v>
      </c>
      <c r="C8960" s="35" t="s">
        <v>1921</v>
      </c>
      <c r="D8960" s="35" t="s">
        <v>1604</v>
      </c>
      <c r="E8960" s="35" t="s">
        <v>1594</v>
      </c>
      <c r="F8960" s="35" t="s">
        <v>1605</v>
      </c>
      <c r="G8960" s="35" t="s">
        <v>1612</v>
      </c>
      <c r="H8960" s="35" t="s">
        <v>1608</v>
      </c>
    </row>
    <row r="8961" spans="1:8">
      <c r="A8961" s="34">
        <v>2084051364</v>
      </c>
      <c r="B8961" s="35" t="s">
        <v>462</v>
      </c>
      <c r="C8961" s="35" t="s">
        <v>1921</v>
      </c>
      <c r="D8961" s="35" t="s">
        <v>1604</v>
      </c>
      <c r="E8961" s="35" t="s">
        <v>1594</v>
      </c>
      <c r="F8961" s="35" t="s">
        <v>1605</v>
      </c>
      <c r="G8961" s="35" t="s">
        <v>1612</v>
      </c>
      <c r="H8961" s="35" t="s">
        <v>1609</v>
      </c>
    </row>
    <row r="8962" spans="1:8">
      <c r="A8962" s="34">
        <v>2084051365</v>
      </c>
      <c r="B8962" s="35" t="s">
        <v>462</v>
      </c>
      <c r="C8962" s="35" t="s">
        <v>1921</v>
      </c>
      <c r="D8962" s="35" t="s">
        <v>1604</v>
      </c>
      <c r="E8962" s="35" t="s">
        <v>1594</v>
      </c>
      <c r="F8962" s="35" t="s">
        <v>1605</v>
      </c>
      <c r="G8962" s="35" t="s">
        <v>1612</v>
      </c>
      <c r="H8962" s="35" t="s">
        <v>1610</v>
      </c>
    </row>
    <row r="8963" spans="1:8">
      <c r="A8963" s="34">
        <v>2084051367</v>
      </c>
      <c r="B8963" s="35" t="s">
        <v>462</v>
      </c>
      <c r="C8963" s="35" t="s">
        <v>1921</v>
      </c>
      <c r="D8963" s="35" t="s">
        <v>1604</v>
      </c>
      <c r="E8963" s="35" t="s">
        <v>1594</v>
      </c>
      <c r="F8963" s="35" t="s">
        <v>1605</v>
      </c>
      <c r="G8963" s="35" t="s">
        <v>1612</v>
      </c>
      <c r="H8963" s="35" t="s">
        <v>335</v>
      </c>
    </row>
    <row r="8964" spans="1:8">
      <c r="A8964" s="34">
        <v>2084051375</v>
      </c>
      <c r="B8964" s="35" t="s">
        <v>462</v>
      </c>
      <c r="C8964" s="35" t="s">
        <v>1921</v>
      </c>
      <c r="D8964" s="35" t="s">
        <v>1604</v>
      </c>
      <c r="E8964" s="35" t="s">
        <v>1594</v>
      </c>
      <c r="F8964" s="35" t="s">
        <v>1605</v>
      </c>
      <c r="G8964" s="35" t="s">
        <v>335</v>
      </c>
    </row>
    <row r="8965" spans="1:8">
      <c r="A8965" s="34">
        <v>2084051384</v>
      </c>
      <c r="B8965" s="35" t="s">
        <v>462</v>
      </c>
      <c r="C8965" s="35" t="s">
        <v>1921</v>
      </c>
      <c r="D8965" s="35" t="s">
        <v>1604</v>
      </c>
      <c r="E8965" s="35" t="s">
        <v>1594</v>
      </c>
      <c r="F8965" s="35" t="s">
        <v>1613</v>
      </c>
      <c r="G8965" s="35" t="s">
        <v>1606</v>
      </c>
      <c r="H8965" s="35" t="s">
        <v>1607</v>
      </c>
    </row>
    <row r="8966" spans="1:8">
      <c r="A8966" s="34">
        <v>2084051387</v>
      </c>
      <c r="B8966" s="35" t="s">
        <v>462</v>
      </c>
      <c r="C8966" s="35" t="s">
        <v>1921</v>
      </c>
      <c r="D8966" s="35" t="s">
        <v>1604</v>
      </c>
      <c r="E8966" s="35" t="s">
        <v>1594</v>
      </c>
      <c r="F8966" s="35" t="s">
        <v>1613</v>
      </c>
      <c r="G8966" s="35" t="s">
        <v>1606</v>
      </c>
      <c r="H8966" s="35" t="s">
        <v>1608</v>
      </c>
    </row>
    <row r="8967" spans="1:8">
      <c r="A8967" s="34">
        <v>2084051385</v>
      </c>
      <c r="B8967" s="35" t="s">
        <v>462</v>
      </c>
      <c r="C8967" s="35" t="s">
        <v>1921</v>
      </c>
      <c r="D8967" s="35" t="s">
        <v>1604</v>
      </c>
      <c r="E8967" s="35" t="s">
        <v>1594</v>
      </c>
      <c r="F8967" s="35" t="s">
        <v>1613</v>
      </c>
      <c r="G8967" s="35" t="s">
        <v>1606</v>
      </c>
      <c r="H8967" s="35" t="s">
        <v>1609</v>
      </c>
    </row>
    <row r="8968" spans="1:8">
      <c r="A8968" s="34">
        <v>2084051386</v>
      </c>
      <c r="B8968" s="35" t="s">
        <v>462</v>
      </c>
      <c r="C8968" s="35" t="s">
        <v>1921</v>
      </c>
      <c r="D8968" s="35" t="s">
        <v>1604</v>
      </c>
      <c r="E8968" s="35" t="s">
        <v>1594</v>
      </c>
      <c r="F8968" s="35" t="s">
        <v>1613</v>
      </c>
      <c r="G8968" s="35" t="s">
        <v>1606</v>
      </c>
      <c r="H8968" s="35" t="s">
        <v>1610</v>
      </c>
    </row>
    <row r="8969" spans="1:8">
      <c r="A8969" s="34">
        <v>2084051388</v>
      </c>
      <c r="B8969" s="35" t="s">
        <v>462</v>
      </c>
      <c r="C8969" s="35" t="s">
        <v>1921</v>
      </c>
      <c r="D8969" s="35" t="s">
        <v>1604</v>
      </c>
      <c r="E8969" s="35" t="s">
        <v>1594</v>
      </c>
      <c r="F8969" s="35" t="s">
        <v>1613</v>
      </c>
      <c r="G8969" s="35" t="s">
        <v>1606</v>
      </c>
      <c r="H8969" s="35" t="s">
        <v>335</v>
      </c>
    </row>
    <row r="8970" spans="1:8">
      <c r="A8970" s="34">
        <v>2084051389</v>
      </c>
      <c r="B8970" s="35" t="s">
        <v>462</v>
      </c>
      <c r="C8970" s="35" t="s">
        <v>1921</v>
      </c>
      <c r="D8970" s="35" t="s">
        <v>1604</v>
      </c>
      <c r="E8970" s="35" t="s">
        <v>1594</v>
      </c>
      <c r="F8970" s="35" t="s">
        <v>1613</v>
      </c>
      <c r="G8970" s="35" t="s">
        <v>1611</v>
      </c>
    </row>
    <row r="8971" spans="1:8">
      <c r="A8971" s="34">
        <v>2084051378</v>
      </c>
      <c r="B8971" s="35" t="s">
        <v>462</v>
      </c>
      <c r="C8971" s="35" t="s">
        <v>1921</v>
      </c>
      <c r="D8971" s="35" t="s">
        <v>1604</v>
      </c>
      <c r="E8971" s="35" t="s">
        <v>1594</v>
      </c>
      <c r="F8971" s="35" t="s">
        <v>1613</v>
      </c>
      <c r="G8971" s="35" t="s">
        <v>1612</v>
      </c>
      <c r="H8971" s="35" t="s">
        <v>1607</v>
      </c>
    </row>
    <row r="8972" spans="1:8">
      <c r="A8972" s="34">
        <v>2084051381</v>
      </c>
      <c r="B8972" s="35" t="s">
        <v>462</v>
      </c>
      <c r="C8972" s="35" t="s">
        <v>1921</v>
      </c>
      <c r="D8972" s="35" t="s">
        <v>1604</v>
      </c>
      <c r="E8972" s="35" t="s">
        <v>1594</v>
      </c>
      <c r="F8972" s="35" t="s">
        <v>1613</v>
      </c>
      <c r="G8972" s="35" t="s">
        <v>1612</v>
      </c>
      <c r="H8972" s="35" t="s">
        <v>1608</v>
      </c>
    </row>
    <row r="8973" spans="1:8">
      <c r="A8973" s="34">
        <v>2084051379</v>
      </c>
      <c r="B8973" s="35" t="s">
        <v>462</v>
      </c>
      <c r="C8973" s="35" t="s">
        <v>1921</v>
      </c>
      <c r="D8973" s="35" t="s">
        <v>1604</v>
      </c>
      <c r="E8973" s="35" t="s">
        <v>1594</v>
      </c>
      <c r="F8973" s="35" t="s">
        <v>1613</v>
      </c>
      <c r="G8973" s="35" t="s">
        <v>1612</v>
      </c>
      <c r="H8973" s="35" t="s">
        <v>1609</v>
      </c>
    </row>
    <row r="8974" spans="1:8">
      <c r="A8974" s="34">
        <v>2084051380</v>
      </c>
      <c r="B8974" s="35" t="s">
        <v>462</v>
      </c>
      <c r="C8974" s="35" t="s">
        <v>1921</v>
      </c>
      <c r="D8974" s="35" t="s">
        <v>1604</v>
      </c>
      <c r="E8974" s="35" t="s">
        <v>1594</v>
      </c>
      <c r="F8974" s="35" t="s">
        <v>1613</v>
      </c>
      <c r="G8974" s="35" t="s">
        <v>1612</v>
      </c>
      <c r="H8974" s="35" t="s">
        <v>1610</v>
      </c>
    </row>
    <row r="8975" spans="1:8">
      <c r="A8975" s="34">
        <v>2084051382</v>
      </c>
      <c r="B8975" s="35" t="s">
        <v>462</v>
      </c>
      <c r="C8975" s="35" t="s">
        <v>1921</v>
      </c>
      <c r="D8975" s="35" t="s">
        <v>1604</v>
      </c>
      <c r="E8975" s="35" t="s">
        <v>1594</v>
      </c>
      <c r="F8975" s="35" t="s">
        <v>1613</v>
      </c>
      <c r="G8975" s="35" t="s">
        <v>1612</v>
      </c>
      <c r="H8975" s="35" t="s">
        <v>335</v>
      </c>
    </row>
    <row r="8976" spans="1:8">
      <c r="A8976" s="34">
        <v>2084051390</v>
      </c>
      <c r="B8976" s="35" t="s">
        <v>462</v>
      </c>
      <c r="C8976" s="35" t="s">
        <v>1921</v>
      </c>
      <c r="D8976" s="35" t="s">
        <v>1604</v>
      </c>
      <c r="E8976" s="35" t="s">
        <v>1594</v>
      </c>
      <c r="F8976" s="35" t="s">
        <v>1613</v>
      </c>
      <c r="G8976" s="35" t="s">
        <v>335</v>
      </c>
    </row>
    <row r="8977" spans="1:8">
      <c r="A8977" s="34">
        <v>2084051399</v>
      </c>
      <c r="B8977" s="35" t="s">
        <v>462</v>
      </c>
      <c r="C8977" s="35" t="s">
        <v>1921</v>
      </c>
      <c r="D8977" s="35" t="s">
        <v>1604</v>
      </c>
      <c r="E8977" s="35" t="s">
        <v>1594</v>
      </c>
      <c r="F8977" s="35" t="s">
        <v>1614</v>
      </c>
      <c r="G8977" s="35" t="s">
        <v>1606</v>
      </c>
      <c r="H8977" s="35" t="s">
        <v>1607</v>
      </c>
    </row>
    <row r="8978" spans="1:8">
      <c r="A8978" s="34">
        <v>2084051402</v>
      </c>
      <c r="B8978" s="35" t="s">
        <v>462</v>
      </c>
      <c r="C8978" s="35" t="s">
        <v>1921</v>
      </c>
      <c r="D8978" s="35" t="s">
        <v>1604</v>
      </c>
      <c r="E8978" s="35" t="s">
        <v>1594</v>
      </c>
      <c r="F8978" s="35" t="s">
        <v>1614</v>
      </c>
      <c r="G8978" s="35" t="s">
        <v>1606</v>
      </c>
      <c r="H8978" s="35" t="s">
        <v>1608</v>
      </c>
    </row>
    <row r="8979" spans="1:8">
      <c r="A8979" s="34">
        <v>2084051400</v>
      </c>
      <c r="B8979" s="35" t="s">
        <v>462</v>
      </c>
      <c r="C8979" s="35" t="s">
        <v>1921</v>
      </c>
      <c r="D8979" s="35" t="s">
        <v>1604</v>
      </c>
      <c r="E8979" s="35" t="s">
        <v>1594</v>
      </c>
      <c r="F8979" s="35" t="s">
        <v>1614</v>
      </c>
      <c r="G8979" s="35" t="s">
        <v>1606</v>
      </c>
      <c r="H8979" s="35" t="s">
        <v>1609</v>
      </c>
    </row>
    <row r="8980" spans="1:8">
      <c r="A8980" s="34">
        <v>2084051401</v>
      </c>
      <c r="B8980" s="35" t="s">
        <v>462</v>
      </c>
      <c r="C8980" s="35" t="s">
        <v>1921</v>
      </c>
      <c r="D8980" s="35" t="s">
        <v>1604</v>
      </c>
      <c r="E8980" s="35" t="s">
        <v>1594</v>
      </c>
      <c r="F8980" s="35" t="s">
        <v>1614</v>
      </c>
      <c r="G8980" s="35" t="s">
        <v>1606</v>
      </c>
      <c r="H8980" s="35" t="s">
        <v>1610</v>
      </c>
    </row>
    <row r="8981" spans="1:8">
      <c r="A8981" s="34">
        <v>2084051403</v>
      </c>
      <c r="B8981" s="35" t="s">
        <v>462</v>
      </c>
      <c r="C8981" s="35" t="s">
        <v>1921</v>
      </c>
      <c r="D8981" s="35" t="s">
        <v>1604</v>
      </c>
      <c r="E8981" s="35" t="s">
        <v>1594</v>
      </c>
      <c r="F8981" s="35" t="s">
        <v>1614</v>
      </c>
      <c r="G8981" s="35" t="s">
        <v>1606</v>
      </c>
      <c r="H8981" s="35" t="s">
        <v>335</v>
      </c>
    </row>
    <row r="8982" spans="1:8">
      <c r="A8982" s="34">
        <v>2084051404</v>
      </c>
      <c r="B8982" s="35" t="s">
        <v>462</v>
      </c>
      <c r="C8982" s="35" t="s">
        <v>1921</v>
      </c>
      <c r="D8982" s="35" t="s">
        <v>1604</v>
      </c>
      <c r="E8982" s="35" t="s">
        <v>1594</v>
      </c>
      <c r="F8982" s="35" t="s">
        <v>1614</v>
      </c>
      <c r="G8982" s="35" t="s">
        <v>1611</v>
      </c>
    </row>
    <row r="8983" spans="1:8">
      <c r="A8983" s="34">
        <v>2084051393</v>
      </c>
      <c r="B8983" s="35" t="s">
        <v>462</v>
      </c>
      <c r="C8983" s="35" t="s">
        <v>1921</v>
      </c>
      <c r="D8983" s="35" t="s">
        <v>1604</v>
      </c>
      <c r="E8983" s="35" t="s">
        <v>1594</v>
      </c>
      <c r="F8983" s="35" t="s">
        <v>1614</v>
      </c>
      <c r="G8983" s="35" t="s">
        <v>1612</v>
      </c>
      <c r="H8983" s="35" t="s">
        <v>1607</v>
      </c>
    </row>
    <row r="8984" spans="1:8">
      <c r="A8984" s="34">
        <v>2084051396</v>
      </c>
      <c r="B8984" s="35" t="s">
        <v>462</v>
      </c>
      <c r="C8984" s="35" t="s">
        <v>1921</v>
      </c>
      <c r="D8984" s="35" t="s">
        <v>1604</v>
      </c>
      <c r="E8984" s="35" t="s">
        <v>1594</v>
      </c>
      <c r="F8984" s="35" t="s">
        <v>1614</v>
      </c>
      <c r="G8984" s="35" t="s">
        <v>1612</v>
      </c>
      <c r="H8984" s="35" t="s">
        <v>1608</v>
      </c>
    </row>
    <row r="8985" spans="1:8">
      <c r="A8985" s="34">
        <v>2084051394</v>
      </c>
      <c r="B8985" s="35" t="s">
        <v>462</v>
      </c>
      <c r="C8985" s="35" t="s">
        <v>1921</v>
      </c>
      <c r="D8985" s="35" t="s">
        <v>1604</v>
      </c>
      <c r="E8985" s="35" t="s">
        <v>1594</v>
      </c>
      <c r="F8985" s="35" t="s">
        <v>1614</v>
      </c>
      <c r="G8985" s="35" t="s">
        <v>1612</v>
      </c>
      <c r="H8985" s="35" t="s">
        <v>1609</v>
      </c>
    </row>
    <row r="8986" spans="1:8">
      <c r="A8986" s="34">
        <v>2084051395</v>
      </c>
      <c r="B8986" s="35" t="s">
        <v>462</v>
      </c>
      <c r="C8986" s="35" t="s">
        <v>1921</v>
      </c>
      <c r="D8986" s="35" t="s">
        <v>1604</v>
      </c>
      <c r="E8986" s="35" t="s">
        <v>1594</v>
      </c>
      <c r="F8986" s="35" t="s">
        <v>1614</v>
      </c>
      <c r="G8986" s="35" t="s">
        <v>1612</v>
      </c>
      <c r="H8986" s="35" t="s">
        <v>1610</v>
      </c>
    </row>
    <row r="8987" spans="1:8">
      <c r="A8987" s="34">
        <v>2084051397</v>
      </c>
      <c r="B8987" s="35" t="s">
        <v>462</v>
      </c>
      <c r="C8987" s="35" t="s">
        <v>1921</v>
      </c>
      <c r="D8987" s="35" t="s">
        <v>1604</v>
      </c>
      <c r="E8987" s="35" t="s">
        <v>1594</v>
      </c>
      <c r="F8987" s="35" t="s">
        <v>1614</v>
      </c>
      <c r="G8987" s="35" t="s">
        <v>1612</v>
      </c>
      <c r="H8987" s="35" t="s">
        <v>335</v>
      </c>
    </row>
    <row r="8988" spans="1:8">
      <c r="A8988" s="34">
        <v>2084051405</v>
      </c>
      <c r="B8988" s="35" t="s">
        <v>462</v>
      </c>
      <c r="C8988" s="35" t="s">
        <v>1921</v>
      </c>
      <c r="D8988" s="35" t="s">
        <v>1604</v>
      </c>
      <c r="E8988" s="35" t="s">
        <v>1594</v>
      </c>
      <c r="F8988" s="35" t="s">
        <v>1614</v>
      </c>
      <c r="G8988" s="35" t="s">
        <v>335</v>
      </c>
    </row>
    <row r="8989" spans="1:8">
      <c r="A8989" s="34">
        <v>2084051414</v>
      </c>
      <c r="B8989" s="35" t="s">
        <v>462</v>
      </c>
      <c r="C8989" s="35" t="s">
        <v>1921</v>
      </c>
      <c r="D8989" s="35" t="s">
        <v>1604</v>
      </c>
      <c r="E8989" s="35" t="s">
        <v>1594</v>
      </c>
      <c r="F8989" s="35" t="s">
        <v>1615</v>
      </c>
      <c r="G8989" s="35" t="s">
        <v>1606</v>
      </c>
      <c r="H8989" s="35" t="s">
        <v>1607</v>
      </c>
    </row>
    <row r="8990" spans="1:8">
      <c r="A8990" s="34">
        <v>2084051417</v>
      </c>
      <c r="B8990" s="35" t="s">
        <v>462</v>
      </c>
      <c r="C8990" s="35" t="s">
        <v>1921</v>
      </c>
      <c r="D8990" s="35" t="s">
        <v>1604</v>
      </c>
      <c r="E8990" s="35" t="s">
        <v>1594</v>
      </c>
      <c r="F8990" s="35" t="s">
        <v>1615</v>
      </c>
      <c r="G8990" s="35" t="s">
        <v>1606</v>
      </c>
      <c r="H8990" s="35" t="s">
        <v>1608</v>
      </c>
    </row>
    <row r="8991" spans="1:8">
      <c r="A8991" s="34">
        <v>2084051415</v>
      </c>
      <c r="B8991" s="35" t="s">
        <v>462</v>
      </c>
      <c r="C8991" s="35" t="s">
        <v>1921</v>
      </c>
      <c r="D8991" s="35" t="s">
        <v>1604</v>
      </c>
      <c r="E8991" s="35" t="s">
        <v>1594</v>
      </c>
      <c r="F8991" s="35" t="s">
        <v>1615</v>
      </c>
      <c r="G8991" s="35" t="s">
        <v>1606</v>
      </c>
      <c r="H8991" s="35" t="s">
        <v>1609</v>
      </c>
    </row>
    <row r="8992" spans="1:8">
      <c r="A8992" s="34">
        <v>2084051416</v>
      </c>
      <c r="B8992" s="35" t="s">
        <v>462</v>
      </c>
      <c r="C8992" s="35" t="s">
        <v>1921</v>
      </c>
      <c r="D8992" s="35" t="s">
        <v>1604</v>
      </c>
      <c r="E8992" s="35" t="s">
        <v>1594</v>
      </c>
      <c r="F8992" s="35" t="s">
        <v>1615</v>
      </c>
      <c r="G8992" s="35" t="s">
        <v>1606</v>
      </c>
      <c r="H8992" s="35" t="s">
        <v>1610</v>
      </c>
    </row>
    <row r="8993" spans="1:8">
      <c r="A8993" s="34">
        <v>2084051418</v>
      </c>
      <c r="B8993" s="35" t="s">
        <v>462</v>
      </c>
      <c r="C8993" s="35" t="s">
        <v>1921</v>
      </c>
      <c r="D8993" s="35" t="s">
        <v>1604</v>
      </c>
      <c r="E8993" s="35" t="s">
        <v>1594</v>
      </c>
      <c r="F8993" s="35" t="s">
        <v>1615</v>
      </c>
      <c r="G8993" s="35" t="s">
        <v>1606</v>
      </c>
      <c r="H8993" s="35" t="s">
        <v>335</v>
      </c>
    </row>
    <row r="8994" spans="1:8">
      <c r="A8994" s="34">
        <v>2084051419</v>
      </c>
      <c r="B8994" s="35" t="s">
        <v>462</v>
      </c>
      <c r="C8994" s="35" t="s">
        <v>1921</v>
      </c>
      <c r="D8994" s="35" t="s">
        <v>1604</v>
      </c>
      <c r="E8994" s="35" t="s">
        <v>1594</v>
      </c>
      <c r="F8994" s="35" t="s">
        <v>1615</v>
      </c>
      <c r="G8994" s="35" t="s">
        <v>1611</v>
      </c>
    </row>
    <row r="8995" spans="1:8">
      <c r="A8995" s="34">
        <v>2084051408</v>
      </c>
      <c r="B8995" s="35" t="s">
        <v>462</v>
      </c>
      <c r="C8995" s="35" t="s">
        <v>1921</v>
      </c>
      <c r="D8995" s="35" t="s">
        <v>1604</v>
      </c>
      <c r="E8995" s="35" t="s">
        <v>1594</v>
      </c>
      <c r="F8995" s="35" t="s">
        <v>1615</v>
      </c>
      <c r="G8995" s="35" t="s">
        <v>1612</v>
      </c>
      <c r="H8995" s="35" t="s">
        <v>1607</v>
      </c>
    </row>
    <row r="8996" spans="1:8">
      <c r="A8996" s="34">
        <v>2084051411</v>
      </c>
      <c r="B8996" s="35" t="s">
        <v>462</v>
      </c>
      <c r="C8996" s="35" t="s">
        <v>1921</v>
      </c>
      <c r="D8996" s="35" t="s">
        <v>1604</v>
      </c>
      <c r="E8996" s="35" t="s">
        <v>1594</v>
      </c>
      <c r="F8996" s="35" t="s">
        <v>1615</v>
      </c>
      <c r="G8996" s="35" t="s">
        <v>1612</v>
      </c>
      <c r="H8996" s="35" t="s">
        <v>1608</v>
      </c>
    </row>
    <row r="8997" spans="1:8">
      <c r="A8997" s="34">
        <v>2084051409</v>
      </c>
      <c r="B8997" s="35" t="s">
        <v>462</v>
      </c>
      <c r="C8997" s="35" t="s">
        <v>1921</v>
      </c>
      <c r="D8997" s="35" t="s">
        <v>1604</v>
      </c>
      <c r="E8997" s="35" t="s">
        <v>1594</v>
      </c>
      <c r="F8997" s="35" t="s">
        <v>1615</v>
      </c>
      <c r="G8997" s="35" t="s">
        <v>1612</v>
      </c>
      <c r="H8997" s="35" t="s">
        <v>1609</v>
      </c>
    </row>
    <row r="8998" spans="1:8">
      <c r="A8998" s="34">
        <v>2084051410</v>
      </c>
      <c r="B8998" s="35" t="s">
        <v>462</v>
      </c>
      <c r="C8998" s="35" t="s">
        <v>1921</v>
      </c>
      <c r="D8998" s="35" t="s">
        <v>1604</v>
      </c>
      <c r="E8998" s="35" t="s">
        <v>1594</v>
      </c>
      <c r="F8998" s="35" t="s">
        <v>1615</v>
      </c>
      <c r="G8998" s="35" t="s">
        <v>1612</v>
      </c>
      <c r="H8998" s="35" t="s">
        <v>1610</v>
      </c>
    </row>
    <row r="8999" spans="1:8">
      <c r="A8999" s="34">
        <v>2084051412</v>
      </c>
      <c r="B8999" s="35" t="s">
        <v>462</v>
      </c>
      <c r="C8999" s="35" t="s">
        <v>1921</v>
      </c>
      <c r="D8999" s="35" t="s">
        <v>1604</v>
      </c>
      <c r="E8999" s="35" t="s">
        <v>1594</v>
      </c>
      <c r="F8999" s="35" t="s">
        <v>1615</v>
      </c>
      <c r="G8999" s="35" t="s">
        <v>1612</v>
      </c>
      <c r="H8999" s="35" t="s">
        <v>335</v>
      </c>
    </row>
    <row r="9000" spans="1:8">
      <c r="A9000" s="34">
        <v>2084051420</v>
      </c>
      <c r="B9000" s="35" t="s">
        <v>462</v>
      </c>
      <c r="C9000" s="35" t="s">
        <v>1921</v>
      </c>
      <c r="D9000" s="35" t="s">
        <v>1604</v>
      </c>
      <c r="E9000" s="35" t="s">
        <v>1594</v>
      </c>
      <c r="F9000" s="35" t="s">
        <v>1615</v>
      </c>
      <c r="G9000" s="35" t="s">
        <v>335</v>
      </c>
    </row>
    <row r="9001" spans="1:8">
      <c r="A9001" s="34">
        <v>2084051429</v>
      </c>
      <c r="B9001" s="35" t="s">
        <v>462</v>
      </c>
      <c r="C9001" s="35" t="s">
        <v>1921</v>
      </c>
      <c r="D9001" s="35" t="s">
        <v>1604</v>
      </c>
      <c r="E9001" s="35" t="s">
        <v>1594</v>
      </c>
      <c r="F9001" s="35" t="s">
        <v>1616</v>
      </c>
      <c r="G9001" s="35" t="s">
        <v>1606</v>
      </c>
      <c r="H9001" s="35" t="s">
        <v>1607</v>
      </c>
    </row>
    <row r="9002" spans="1:8">
      <c r="A9002" s="34">
        <v>2084051432</v>
      </c>
      <c r="B9002" s="35" t="s">
        <v>462</v>
      </c>
      <c r="C9002" s="35" t="s">
        <v>1921</v>
      </c>
      <c r="D9002" s="35" t="s">
        <v>1604</v>
      </c>
      <c r="E9002" s="35" t="s">
        <v>1594</v>
      </c>
      <c r="F9002" s="35" t="s">
        <v>1616</v>
      </c>
      <c r="G9002" s="35" t="s">
        <v>1606</v>
      </c>
      <c r="H9002" s="35" t="s">
        <v>1608</v>
      </c>
    </row>
    <row r="9003" spans="1:8">
      <c r="A9003" s="34">
        <v>2084051430</v>
      </c>
      <c r="B9003" s="35" t="s">
        <v>462</v>
      </c>
      <c r="C9003" s="35" t="s">
        <v>1921</v>
      </c>
      <c r="D9003" s="35" t="s">
        <v>1604</v>
      </c>
      <c r="E9003" s="35" t="s">
        <v>1594</v>
      </c>
      <c r="F9003" s="35" t="s">
        <v>1616</v>
      </c>
      <c r="G9003" s="35" t="s">
        <v>1606</v>
      </c>
      <c r="H9003" s="35" t="s">
        <v>1609</v>
      </c>
    </row>
    <row r="9004" spans="1:8">
      <c r="A9004" s="34">
        <v>2084051431</v>
      </c>
      <c r="B9004" s="35" t="s">
        <v>462</v>
      </c>
      <c r="C9004" s="35" t="s">
        <v>1921</v>
      </c>
      <c r="D9004" s="35" t="s">
        <v>1604</v>
      </c>
      <c r="E9004" s="35" t="s">
        <v>1594</v>
      </c>
      <c r="F9004" s="35" t="s">
        <v>1616</v>
      </c>
      <c r="G9004" s="35" t="s">
        <v>1606</v>
      </c>
      <c r="H9004" s="35" t="s">
        <v>1610</v>
      </c>
    </row>
    <row r="9005" spans="1:8">
      <c r="A9005" s="34">
        <v>2084051433</v>
      </c>
      <c r="B9005" s="35" t="s">
        <v>462</v>
      </c>
      <c r="C9005" s="35" t="s">
        <v>1921</v>
      </c>
      <c r="D9005" s="35" t="s">
        <v>1604</v>
      </c>
      <c r="E9005" s="35" t="s">
        <v>1594</v>
      </c>
      <c r="F9005" s="35" t="s">
        <v>1616</v>
      </c>
      <c r="G9005" s="35" t="s">
        <v>1606</v>
      </c>
      <c r="H9005" s="35" t="s">
        <v>335</v>
      </c>
    </row>
    <row r="9006" spans="1:8">
      <c r="A9006" s="34">
        <v>2084051434</v>
      </c>
      <c r="B9006" s="35" t="s">
        <v>462</v>
      </c>
      <c r="C9006" s="35" t="s">
        <v>1921</v>
      </c>
      <c r="D9006" s="35" t="s">
        <v>1604</v>
      </c>
      <c r="E9006" s="35" t="s">
        <v>1594</v>
      </c>
      <c r="F9006" s="35" t="s">
        <v>1616</v>
      </c>
      <c r="G9006" s="35" t="s">
        <v>1611</v>
      </c>
    </row>
    <row r="9007" spans="1:8">
      <c r="A9007" s="34">
        <v>2084051423</v>
      </c>
      <c r="B9007" s="35" t="s">
        <v>462</v>
      </c>
      <c r="C9007" s="35" t="s">
        <v>1921</v>
      </c>
      <c r="D9007" s="35" t="s">
        <v>1604</v>
      </c>
      <c r="E9007" s="35" t="s">
        <v>1594</v>
      </c>
      <c r="F9007" s="35" t="s">
        <v>1616</v>
      </c>
      <c r="G9007" s="35" t="s">
        <v>1612</v>
      </c>
      <c r="H9007" s="35" t="s">
        <v>1607</v>
      </c>
    </row>
    <row r="9008" spans="1:8">
      <c r="A9008" s="34">
        <v>2084051426</v>
      </c>
      <c r="B9008" s="35" t="s">
        <v>462</v>
      </c>
      <c r="C9008" s="35" t="s">
        <v>1921</v>
      </c>
      <c r="D9008" s="35" t="s">
        <v>1604</v>
      </c>
      <c r="E9008" s="35" t="s">
        <v>1594</v>
      </c>
      <c r="F9008" s="35" t="s">
        <v>1616</v>
      </c>
      <c r="G9008" s="35" t="s">
        <v>1612</v>
      </c>
      <c r="H9008" s="35" t="s">
        <v>1608</v>
      </c>
    </row>
    <row r="9009" spans="1:8">
      <c r="A9009" s="34">
        <v>2084051424</v>
      </c>
      <c r="B9009" s="35" t="s">
        <v>462</v>
      </c>
      <c r="C9009" s="35" t="s">
        <v>1921</v>
      </c>
      <c r="D9009" s="35" t="s">
        <v>1604</v>
      </c>
      <c r="E9009" s="35" t="s">
        <v>1594</v>
      </c>
      <c r="F9009" s="35" t="s">
        <v>1616</v>
      </c>
      <c r="G9009" s="35" t="s">
        <v>1612</v>
      </c>
      <c r="H9009" s="35" t="s">
        <v>1609</v>
      </c>
    </row>
    <row r="9010" spans="1:8">
      <c r="A9010" s="34">
        <v>2084051425</v>
      </c>
      <c r="B9010" s="35" t="s">
        <v>462</v>
      </c>
      <c r="C9010" s="35" t="s">
        <v>1921</v>
      </c>
      <c r="D9010" s="35" t="s">
        <v>1604</v>
      </c>
      <c r="E9010" s="35" t="s">
        <v>1594</v>
      </c>
      <c r="F9010" s="35" t="s">
        <v>1616</v>
      </c>
      <c r="G9010" s="35" t="s">
        <v>1612</v>
      </c>
      <c r="H9010" s="35" t="s">
        <v>1610</v>
      </c>
    </row>
    <row r="9011" spans="1:8">
      <c r="A9011" s="34">
        <v>2084051427</v>
      </c>
      <c r="B9011" s="35" t="s">
        <v>462</v>
      </c>
      <c r="C9011" s="35" t="s">
        <v>1921</v>
      </c>
      <c r="D9011" s="35" t="s">
        <v>1604</v>
      </c>
      <c r="E9011" s="35" t="s">
        <v>1594</v>
      </c>
      <c r="F9011" s="35" t="s">
        <v>1616</v>
      </c>
      <c r="G9011" s="35" t="s">
        <v>1612</v>
      </c>
      <c r="H9011" s="35" t="s">
        <v>335</v>
      </c>
    </row>
    <row r="9012" spans="1:8">
      <c r="A9012" s="34">
        <v>2084051435</v>
      </c>
      <c r="B9012" s="35" t="s">
        <v>462</v>
      </c>
      <c r="C9012" s="35" t="s">
        <v>1921</v>
      </c>
      <c r="D9012" s="35" t="s">
        <v>1604</v>
      </c>
      <c r="E9012" s="35" t="s">
        <v>1594</v>
      </c>
      <c r="F9012" s="35" t="s">
        <v>1616</v>
      </c>
      <c r="G9012" s="35" t="s">
        <v>335</v>
      </c>
    </row>
    <row r="9013" spans="1:8">
      <c r="A9013" s="34">
        <v>2084054037</v>
      </c>
      <c r="B9013" s="35" t="s">
        <v>462</v>
      </c>
      <c r="C9013" s="35" t="s">
        <v>1921</v>
      </c>
      <c r="D9013" s="35" t="s">
        <v>1604</v>
      </c>
      <c r="E9013" s="35" t="s">
        <v>1595</v>
      </c>
    </row>
    <row r="9014" spans="1:8">
      <c r="A9014" s="34">
        <v>2084007047</v>
      </c>
      <c r="B9014" s="35" t="s">
        <v>462</v>
      </c>
      <c r="C9014" s="35" t="s">
        <v>1921</v>
      </c>
      <c r="D9014" s="35" t="s">
        <v>372</v>
      </c>
    </row>
    <row r="9015" spans="1:8">
      <c r="A9015" s="34">
        <v>2084213298</v>
      </c>
      <c r="B9015" s="35" t="s">
        <v>462</v>
      </c>
      <c r="C9015" s="35" t="s">
        <v>1921</v>
      </c>
      <c r="D9015" s="35" t="s">
        <v>557</v>
      </c>
      <c r="E9015" s="35" t="s">
        <v>694</v>
      </c>
      <c r="F9015" s="35" t="s">
        <v>558</v>
      </c>
    </row>
    <row r="9016" spans="1:8">
      <c r="A9016" s="34">
        <v>2084213299</v>
      </c>
      <c r="B9016" s="35" t="s">
        <v>462</v>
      </c>
      <c r="C9016" s="35" t="s">
        <v>1921</v>
      </c>
      <c r="D9016" s="35" t="s">
        <v>557</v>
      </c>
      <c r="E9016" s="35" t="s">
        <v>694</v>
      </c>
      <c r="F9016" s="35" t="s">
        <v>559</v>
      </c>
    </row>
    <row r="9017" spans="1:8">
      <c r="A9017" s="34">
        <v>2084213300</v>
      </c>
      <c r="B9017" s="35" t="s">
        <v>462</v>
      </c>
      <c r="C9017" s="35" t="s">
        <v>1921</v>
      </c>
      <c r="D9017" s="35" t="s">
        <v>557</v>
      </c>
      <c r="E9017" s="35" t="s">
        <v>694</v>
      </c>
      <c r="F9017" s="35" t="s">
        <v>560</v>
      </c>
    </row>
    <row r="9018" spans="1:8">
      <c r="A9018" s="34">
        <v>2084213301</v>
      </c>
      <c r="B9018" s="35" t="s">
        <v>462</v>
      </c>
      <c r="C9018" s="35" t="s">
        <v>1921</v>
      </c>
      <c r="D9018" s="35" t="s">
        <v>557</v>
      </c>
      <c r="E9018" s="35" t="s">
        <v>694</v>
      </c>
      <c r="F9018" s="35" t="s">
        <v>561</v>
      </c>
    </row>
    <row r="9019" spans="1:8">
      <c r="A9019" s="34">
        <v>2084213302</v>
      </c>
      <c r="B9019" s="35" t="s">
        <v>462</v>
      </c>
      <c r="C9019" s="35" t="s">
        <v>1921</v>
      </c>
      <c r="D9019" s="35" t="s">
        <v>557</v>
      </c>
      <c r="E9019" s="35" t="s">
        <v>694</v>
      </c>
      <c r="F9019" s="35" t="s">
        <v>562</v>
      </c>
    </row>
    <row r="9020" spans="1:8">
      <c r="A9020" s="34">
        <v>2084213303</v>
      </c>
      <c r="B9020" s="35" t="s">
        <v>462</v>
      </c>
      <c r="C9020" s="35" t="s">
        <v>1921</v>
      </c>
      <c r="D9020" s="35" t="s">
        <v>557</v>
      </c>
      <c r="E9020" s="35" t="s">
        <v>694</v>
      </c>
      <c r="F9020" s="35" t="s">
        <v>563</v>
      </c>
    </row>
    <row r="9021" spans="1:8">
      <c r="A9021" s="34">
        <v>2084213304</v>
      </c>
      <c r="B9021" s="35" t="s">
        <v>462</v>
      </c>
      <c r="C9021" s="35" t="s">
        <v>1921</v>
      </c>
      <c r="D9021" s="35" t="s">
        <v>557</v>
      </c>
      <c r="E9021" s="35" t="s">
        <v>694</v>
      </c>
      <c r="F9021" s="35" t="s">
        <v>564</v>
      </c>
    </row>
    <row r="9022" spans="1:8">
      <c r="A9022" s="34">
        <v>2084213305</v>
      </c>
      <c r="B9022" s="35" t="s">
        <v>462</v>
      </c>
      <c r="C9022" s="35" t="s">
        <v>1921</v>
      </c>
      <c r="D9022" s="35" t="s">
        <v>557</v>
      </c>
      <c r="E9022" s="35" t="s">
        <v>694</v>
      </c>
      <c r="F9022" s="35" t="s">
        <v>1937</v>
      </c>
    </row>
    <row r="9023" spans="1:8">
      <c r="A9023" s="34">
        <v>2084036979</v>
      </c>
      <c r="B9023" s="35" t="s">
        <v>462</v>
      </c>
      <c r="C9023" s="35" t="s">
        <v>1921</v>
      </c>
      <c r="D9023" s="35" t="s">
        <v>557</v>
      </c>
      <c r="E9023" s="35" t="s">
        <v>1938</v>
      </c>
    </row>
    <row r="9024" spans="1:8">
      <c r="A9024" s="34">
        <v>2084036971</v>
      </c>
      <c r="B9024" s="35" t="s">
        <v>462</v>
      </c>
      <c r="C9024" s="35" t="s">
        <v>1921</v>
      </c>
      <c r="D9024" s="35" t="s">
        <v>557</v>
      </c>
      <c r="E9024" s="35" t="s">
        <v>1636</v>
      </c>
    </row>
    <row r="9025" spans="1:6">
      <c r="A9025" s="34">
        <v>2084213322</v>
      </c>
      <c r="B9025" s="35" t="s">
        <v>462</v>
      </c>
      <c r="C9025" s="35" t="s">
        <v>1921</v>
      </c>
      <c r="D9025" s="35" t="s">
        <v>557</v>
      </c>
      <c r="E9025" s="35" t="s">
        <v>1448</v>
      </c>
      <c r="F9025" s="35" t="s">
        <v>558</v>
      </c>
    </row>
    <row r="9026" spans="1:6">
      <c r="A9026" s="34">
        <v>2084213329</v>
      </c>
      <c r="B9026" s="35" t="s">
        <v>462</v>
      </c>
      <c r="C9026" s="35" t="s">
        <v>1921</v>
      </c>
      <c r="D9026" s="35" t="s">
        <v>557</v>
      </c>
      <c r="E9026" s="35" t="s">
        <v>1448</v>
      </c>
      <c r="F9026" s="35" t="s">
        <v>559</v>
      </c>
    </row>
    <row r="9027" spans="1:6">
      <c r="A9027" s="34">
        <v>2084213335</v>
      </c>
      <c r="B9027" s="35" t="s">
        <v>462</v>
      </c>
      <c r="C9027" s="35" t="s">
        <v>1921</v>
      </c>
      <c r="D9027" s="35" t="s">
        <v>557</v>
      </c>
      <c r="E9027" s="35" t="s">
        <v>1448</v>
      </c>
      <c r="F9027" s="35" t="s">
        <v>560</v>
      </c>
    </row>
    <row r="9028" spans="1:6">
      <c r="A9028" s="34">
        <v>2084213346</v>
      </c>
      <c r="B9028" s="35" t="s">
        <v>462</v>
      </c>
      <c r="C9028" s="35" t="s">
        <v>1921</v>
      </c>
      <c r="D9028" s="35" t="s">
        <v>557</v>
      </c>
      <c r="E9028" s="35" t="s">
        <v>1448</v>
      </c>
      <c r="F9028" s="35" t="s">
        <v>561</v>
      </c>
    </row>
    <row r="9029" spans="1:6">
      <c r="A9029" s="34">
        <v>2084213356</v>
      </c>
      <c r="B9029" s="35" t="s">
        <v>462</v>
      </c>
      <c r="C9029" s="35" t="s">
        <v>1921</v>
      </c>
      <c r="D9029" s="35" t="s">
        <v>557</v>
      </c>
      <c r="E9029" s="35" t="s">
        <v>1448</v>
      </c>
      <c r="F9029" s="35" t="s">
        <v>562</v>
      </c>
    </row>
    <row r="9030" spans="1:6">
      <c r="A9030" s="34">
        <v>2084213366</v>
      </c>
      <c r="B9030" s="35" t="s">
        <v>462</v>
      </c>
      <c r="C9030" s="35" t="s">
        <v>1921</v>
      </c>
      <c r="D9030" s="35" t="s">
        <v>557</v>
      </c>
      <c r="E9030" s="35" t="s">
        <v>1448</v>
      </c>
      <c r="F9030" s="35" t="s">
        <v>563</v>
      </c>
    </row>
    <row r="9031" spans="1:6">
      <c r="A9031" s="34">
        <v>2084213370</v>
      </c>
      <c r="B9031" s="35" t="s">
        <v>462</v>
      </c>
      <c r="C9031" s="35" t="s">
        <v>1921</v>
      </c>
      <c r="D9031" s="35" t="s">
        <v>557</v>
      </c>
      <c r="E9031" s="35" t="s">
        <v>1448</v>
      </c>
      <c r="F9031" s="35" t="s">
        <v>564</v>
      </c>
    </row>
    <row r="9032" spans="1:6">
      <c r="A9032" s="34">
        <v>2084213372</v>
      </c>
      <c r="B9032" s="35" t="s">
        <v>462</v>
      </c>
      <c r="C9032" s="35" t="s">
        <v>1921</v>
      </c>
      <c r="D9032" s="35" t="s">
        <v>557</v>
      </c>
      <c r="E9032" s="35" t="s">
        <v>1448</v>
      </c>
      <c r="F9032" s="35" t="s">
        <v>565</v>
      </c>
    </row>
    <row r="9033" spans="1:6">
      <c r="A9033" s="34">
        <v>2084213373</v>
      </c>
      <c r="B9033" s="35" t="s">
        <v>462</v>
      </c>
      <c r="C9033" s="35" t="s">
        <v>1921</v>
      </c>
      <c r="D9033" s="35" t="s">
        <v>557</v>
      </c>
      <c r="E9033" s="35" t="s">
        <v>1448</v>
      </c>
      <c r="F9033" s="35" t="s">
        <v>566</v>
      </c>
    </row>
    <row r="9034" spans="1:6">
      <c r="A9034" s="34">
        <v>2084213306</v>
      </c>
      <c r="B9034" s="35" t="s">
        <v>462</v>
      </c>
      <c r="C9034" s="35" t="s">
        <v>1921</v>
      </c>
      <c r="D9034" s="35" t="s">
        <v>557</v>
      </c>
      <c r="E9034" s="35" t="s">
        <v>1454</v>
      </c>
      <c r="F9034" s="35" t="s">
        <v>558</v>
      </c>
    </row>
    <row r="9035" spans="1:6">
      <c r="A9035" s="34">
        <v>2084213307</v>
      </c>
      <c r="B9035" s="35" t="s">
        <v>462</v>
      </c>
      <c r="C9035" s="35" t="s">
        <v>1921</v>
      </c>
      <c r="D9035" s="35" t="s">
        <v>557</v>
      </c>
      <c r="E9035" s="35" t="s">
        <v>1454</v>
      </c>
      <c r="F9035" s="35" t="s">
        <v>559</v>
      </c>
    </row>
    <row r="9036" spans="1:6">
      <c r="A9036" s="34">
        <v>2084213308</v>
      </c>
      <c r="B9036" s="35" t="s">
        <v>462</v>
      </c>
      <c r="C9036" s="35" t="s">
        <v>1921</v>
      </c>
      <c r="D9036" s="35" t="s">
        <v>557</v>
      </c>
      <c r="E9036" s="35" t="s">
        <v>1454</v>
      </c>
      <c r="F9036" s="35" t="s">
        <v>560</v>
      </c>
    </row>
    <row r="9037" spans="1:6">
      <c r="A9037" s="34">
        <v>2084213309</v>
      </c>
      <c r="B9037" s="35" t="s">
        <v>462</v>
      </c>
      <c r="C9037" s="35" t="s">
        <v>1921</v>
      </c>
      <c r="D9037" s="35" t="s">
        <v>557</v>
      </c>
      <c r="E9037" s="35" t="s">
        <v>1454</v>
      </c>
      <c r="F9037" s="35" t="s">
        <v>561</v>
      </c>
    </row>
    <row r="9038" spans="1:6">
      <c r="A9038" s="34">
        <v>2084213310</v>
      </c>
      <c r="B9038" s="35" t="s">
        <v>462</v>
      </c>
      <c r="C9038" s="35" t="s">
        <v>1921</v>
      </c>
      <c r="D9038" s="35" t="s">
        <v>557</v>
      </c>
      <c r="E9038" s="35" t="s">
        <v>1454</v>
      </c>
      <c r="F9038" s="35" t="s">
        <v>562</v>
      </c>
    </row>
    <row r="9039" spans="1:6">
      <c r="A9039" s="34">
        <v>2084213311</v>
      </c>
      <c r="B9039" s="35" t="s">
        <v>462</v>
      </c>
      <c r="C9039" s="35" t="s">
        <v>1921</v>
      </c>
      <c r="D9039" s="35" t="s">
        <v>557</v>
      </c>
      <c r="E9039" s="35" t="s">
        <v>1454</v>
      </c>
      <c r="F9039" s="35" t="s">
        <v>563</v>
      </c>
    </row>
    <row r="9040" spans="1:6">
      <c r="A9040" s="34">
        <v>2084213312</v>
      </c>
      <c r="B9040" s="35" t="s">
        <v>462</v>
      </c>
      <c r="C9040" s="35" t="s">
        <v>1921</v>
      </c>
      <c r="D9040" s="35" t="s">
        <v>557</v>
      </c>
      <c r="E9040" s="35" t="s">
        <v>1454</v>
      </c>
      <c r="F9040" s="35" t="s">
        <v>564</v>
      </c>
    </row>
    <row r="9041" spans="1:6">
      <c r="A9041" s="34">
        <v>2084213313</v>
      </c>
      <c r="B9041" s="35" t="s">
        <v>462</v>
      </c>
      <c r="C9041" s="35" t="s">
        <v>1921</v>
      </c>
      <c r="D9041" s="35" t="s">
        <v>557</v>
      </c>
      <c r="E9041" s="35" t="s">
        <v>1454</v>
      </c>
      <c r="F9041" s="35" t="s">
        <v>565</v>
      </c>
    </row>
    <row r="9042" spans="1:6">
      <c r="A9042" s="34">
        <v>2084213314</v>
      </c>
      <c r="B9042" s="35" t="s">
        <v>462</v>
      </c>
      <c r="C9042" s="35" t="s">
        <v>1921</v>
      </c>
      <c r="D9042" s="35" t="s">
        <v>557</v>
      </c>
      <c r="E9042" s="35" t="s">
        <v>1454</v>
      </c>
      <c r="F9042" s="35" t="s">
        <v>566</v>
      </c>
    </row>
    <row r="9043" spans="1:6">
      <c r="A9043" s="34">
        <v>2084050498</v>
      </c>
      <c r="B9043" s="35" t="s">
        <v>462</v>
      </c>
      <c r="C9043" s="35" t="s">
        <v>1921</v>
      </c>
      <c r="D9043" s="35" t="s">
        <v>557</v>
      </c>
      <c r="E9043" s="35" t="s">
        <v>1464</v>
      </c>
      <c r="F9043" s="35" t="s">
        <v>1939</v>
      </c>
    </row>
    <row r="9044" spans="1:6">
      <c r="A9044" s="34">
        <v>2084050499</v>
      </c>
      <c r="B9044" s="35" t="s">
        <v>462</v>
      </c>
      <c r="C9044" s="35" t="s">
        <v>1921</v>
      </c>
      <c r="D9044" s="35" t="s">
        <v>557</v>
      </c>
      <c r="E9044" s="35" t="s">
        <v>1464</v>
      </c>
      <c r="F9044" s="35" t="s">
        <v>1940</v>
      </c>
    </row>
    <row r="9045" spans="1:6">
      <c r="A9045" s="34">
        <v>2084050500</v>
      </c>
      <c r="B9045" s="35" t="s">
        <v>462</v>
      </c>
      <c r="C9045" s="35" t="s">
        <v>1921</v>
      </c>
      <c r="D9045" s="35" t="s">
        <v>557</v>
      </c>
      <c r="E9045" s="35" t="s">
        <v>1464</v>
      </c>
      <c r="F9045" s="35" t="s">
        <v>559</v>
      </c>
    </row>
    <row r="9046" spans="1:6">
      <c r="A9046" s="34">
        <v>2084050501</v>
      </c>
      <c r="B9046" s="35" t="s">
        <v>462</v>
      </c>
      <c r="C9046" s="35" t="s">
        <v>1921</v>
      </c>
      <c r="D9046" s="35" t="s">
        <v>557</v>
      </c>
      <c r="E9046" s="35" t="s">
        <v>1464</v>
      </c>
      <c r="F9046" s="35" t="s">
        <v>560</v>
      </c>
    </row>
    <row r="9047" spans="1:6">
      <c r="A9047" s="34">
        <v>2084050502</v>
      </c>
      <c r="B9047" s="35" t="s">
        <v>462</v>
      </c>
      <c r="C9047" s="35" t="s">
        <v>1921</v>
      </c>
      <c r="D9047" s="35" t="s">
        <v>557</v>
      </c>
      <c r="E9047" s="35" t="s">
        <v>1464</v>
      </c>
      <c r="F9047" s="35" t="s">
        <v>561</v>
      </c>
    </row>
    <row r="9048" spans="1:6">
      <c r="A9048" s="34">
        <v>2084050503</v>
      </c>
      <c r="B9048" s="35" t="s">
        <v>462</v>
      </c>
      <c r="C9048" s="35" t="s">
        <v>1921</v>
      </c>
      <c r="D9048" s="35" t="s">
        <v>557</v>
      </c>
      <c r="E9048" s="35" t="s">
        <v>1464</v>
      </c>
      <c r="F9048" s="35" t="s">
        <v>562</v>
      </c>
    </row>
    <row r="9049" spans="1:6">
      <c r="A9049" s="34">
        <v>2084050504</v>
      </c>
      <c r="B9049" s="35" t="s">
        <v>462</v>
      </c>
      <c r="C9049" s="35" t="s">
        <v>1921</v>
      </c>
      <c r="D9049" s="35" t="s">
        <v>557</v>
      </c>
      <c r="E9049" s="35" t="s">
        <v>1464</v>
      </c>
      <c r="F9049" s="35" t="s">
        <v>563</v>
      </c>
    </row>
    <row r="9050" spans="1:6">
      <c r="A9050" s="34">
        <v>2084050505</v>
      </c>
      <c r="B9050" s="35" t="s">
        <v>462</v>
      </c>
      <c r="C9050" s="35" t="s">
        <v>1921</v>
      </c>
      <c r="D9050" s="35" t="s">
        <v>557</v>
      </c>
      <c r="E9050" s="35" t="s">
        <v>1464</v>
      </c>
      <c r="F9050" s="35" t="s">
        <v>564</v>
      </c>
    </row>
    <row r="9051" spans="1:6">
      <c r="A9051" s="34">
        <v>2084050506</v>
      </c>
      <c r="B9051" s="35" t="s">
        <v>462</v>
      </c>
      <c r="C9051" s="35" t="s">
        <v>1921</v>
      </c>
      <c r="D9051" s="35" t="s">
        <v>557</v>
      </c>
      <c r="E9051" s="35" t="s">
        <v>1464</v>
      </c>
      <c r="F9051" s="35" t="s">
        <v>565</v>
      </c>
    </row>
    <row r="9052" spans="1:6">
      <c r="A9052" s="34">
        <v>2084050507</v>
      </c>
      <c r="B9052" s="35" t="s">
        <v>462</v>
      </c>
      <c r="C9052" s="35" t="s">
        <v>1921</v>
      </c>
      <c r="D9052" s="35" t="s">
        <v>557</v>
      </c>
      <c r="E9052" s="35" t="s">
        <v>1464</v>
      </c>
      <c r="F9052" s="35" t="s">
        <v>1941</v>
      </c>
    </row>
    <row r="9053" spans="1:6">
      <c r="A9053" s="34">
        <v>2084050508</v>
      </c>
      <c r="B9053" s="35" t="s">
        <v>462</v>
      </c>
      <c r="C9053" s="35" t="s">
        <v>1921</v>
      </c>
      <c r="D9053" s="35" t="s">
        <v>557</v>
      </c>
      <c r="E9053" s="35" t="s">
        <v>1464</v>
      </c>
      <c r="F9053" s="35" t="s">
        <v>1942</v>
      </c>
    </row>
    <row r="9054" spans="1:6">
      <c r="A9054" s="34">
        <v>2084057489</v>
      </c>
      <c r="B9054" s="35" t="s">
        <v>462</v>
      </c>
      <c r="C9054" s="35" t="s">
        <v>1921</v>
      </c>
      <c r="D9054" s="35" t="s">
        <v>557</v>
      </c>
      <c r="E9054" s="35" t="s">
        <v>429</v>
      </c>
      <c r="F9054" s="35" t="s">
        <v>1943</v>
      </c>
    </row>
    <row r="9055" spans="1:6">
      <c r="A9055" s="34">
        <v>2084057490</v>
      </c>
      <c r="B9055" s="35" t="s">
        <v>462</v>
      </c>
      <c r="C9055" s="35" t="s">
        <v>1921</v>
      </c>
      <c r="D9055" s="35" t="s">
        <v>557</v>
      </c>
      <c r="E9055" s="35" t="s">
        <v>429</v>
      </c>
      <c r="F9055" s="35" t="s">
        <v>1944</v>
      </c>
    </row>
    <row r="9056" spans="1:6">
      <c r="A9056" s="34">
        <v>2084057491</v>
      </c>
      <c r="B9056" s="35" t="s">
        <v>462</v>
      </c>
      <c r="C9056" s="35" t="s">
        <v>1921</v>
      </c>
      <c r="D9056" s="35" t="s">
        <v>557</v>
      </c>
      <c r="E9056" s="35" t="s">
        <v>429</v>
      </c>
      <c r="F9056" s="35" t="s">
        <v>1945</v>
      </c>
    </row>
    <row r="9057" spans="1:6">
      <c r="A9057" s="34">
        <v>2084057492</v>
      </c>
      <c r="B9057" s="35" t="s">
        <v>462</v>
      </c>
      <c r="C9057" s="35" t="s">
        <v>1921</v>
      </c>
      <c r="D9057" s="35" t="s">
        <v>557</v>
      </c>
      <c r="E9057" s="35" t="s">
        <v>429</v>
      </c>
      <c r="F9057" s="35" t="s">
        <v>1946</v>
      </c>
    </row>
    <row r="9058" spans="1:6">
      <c r="A9058" s="34">
        <v>2084057493</v>
      </c>
      <c r="B9058" s="35" t="s">
        <v>462</v>
      </c>
      <c r="C9058" s="35" t="s">
        <v>1921</v>
      </c>
      <c r="D9058" s="35" t="s">
        <v>557</v>
      </c>
      <c r="E9058" s="35" t="s">
        <v>429</v>
      </c>
      <c r="F9058" s="35" t="s">
        <v>1947</v>
      </c>
    </row>
    <row r="9059" spans="1:6">
      <c r="A9059" s="34">
        <v>2084057494</v>
      </c>
      <c r="B9059" s="35" t="s">
        <v>462</v>
      </c>
      <c r="C9059" s="35" t="s">
        <v>1921</v>
      </c>
      <c r="D9059" s="35" t="s">
        <v>557</v>
      </c>
      <c r="E9059" s="35" t="s">
        <v>429</v>
      </c>
      <c r="F9059" s="35" t="s">
        <v>1948</v>
      </c>
    </row>
    <row r="9060" spans="1:6">
      <c r="A9060" s="34">
        <v>2084057495</v>
      </c>
      <c r="B9060" s="35" t="s">
        <v>462</v>
      </c>
      <c r="C9060" s="35" t="s">
        <v>1921</v>
      </c>
      <c r="D9060" s="35" t="s">
        <v>557</v>
      </c>
      <c r="E9060" s="35" t="s">
        <v>429</v>
      </c>
      <c r="F9060" s="35" t="s">
        <v>1949</v>
      </c>
    </row>
    <row r="9061" spans="1:6">
      <c r="A9061" s="34">
        <v>2084057496</v>
      </c>
      <c r="B9061" s="35" t="s">
        <v>462</v>
      </c>
      <c r="C9061" s="35" t="s">
        <v>1921</v>
      </c>
      <c r="D9061" s="35" t="s">
        <v>557</v>
      </c>
      <c r="E9061" s="35" t="s">
        <v>429</v>
      </c>
      <c r="F9061" s="35" t="s">
        <v>1950</v>
      </c>
    </row>
    <row r="9062" spans="1:6">
      <c r="A9062" s="34">
        <v>2084057497</v>
      </c>
      <c r="B9062" s="35" t="s">
        <v>462</v>
      </c>
      <c r="C9062" s="35" t="s">
        <v>1921</v>
      </c>
      <c r="D9062" s="35" t="s">
        <v>557</v>
      </c>
      <c r="E9062" s="35" t="s">
        <v>429</v>
      </c>
      <c r="F9062" s="35" t="s">
        <v>1951</v>
      </c>
    </row>
    <row r="9063" spans="1:6">
      <c r="A9063" s="34">
        <v>2084057498</v>
      </c>
      <c r="B9063" s="35" t="s">
        <v>462</v>
      </c>
      <c r="C9063" s="35" t="s">
        <v>1921</v>
      </c>
      <c r="D9063" s="35" t="s">
        <v>557</v>
      </c>
      <c r="E9063" s="35" t="s">
        <v>429</v>
      </c>
      <c r="F9063" s="35" t="s">
        <v>1952</v>
      </c>
    </row>
    <row r="9064" spans="1:6">
      <c r="A9064" s="34">
        <v>2084057499</v>
      </c>
      <c r="B9064" s="35" t="s">
        <v>462</v>
      </c>
      <c r="C9064" s="35" t="s">
        <v>1921</v>
      </c>
      <c r="D9064" s="35" t="s">
        <v>557</v>
      </c>
      <c r="E9064" s="35" t="s">
        <v>429</v>
      </c>
      <c r="F9064" s="35" t="s">
        <v>1942</v>
      </c>
    </row>
    <row r="9065" spans="1:6">
      <c r="A9065" s="34">
        <v>2084224617</v>
      </c>
      <c r="B9065" s="35" t="s">
        <v>462</v>
      </c>
      <c r="C9065" s="35" t="s">
        <v>1921</v>
      </c>
      <c r="D9065" s="35" t="s">
        <v>1627</v>
      </c>
      <c r="E9065" s="35" t="s">
        <v>391</v>
      </c>
    </row>
    <row r="9066" spans="1:6">
      <c r="A9066" s="34">
        <v>2084224618</v>
      </c>
      <c r="B9066" s="35" t="s">
        <v>462</v>
      </c>
      <c r="C9066" s="35" t="s">
        <v>1921</v>
      </c>
      <c r="D9066" s="35" t="s">
        <v>1627</v>
      </c>
      <c r="E9066" s="35" t="s">
        <v>392</v>
      </c>
    </row>
    <row r="9067" spans="1:6">
      <c r="A9067" s="34">
        <v>2084224619</v>
      </c>
      <c r="B9067" s="35" t="s">
        <v>462</v>
      </c>
      <c r="C9067" s="35" t="s">
        <v>1921</v>
      </c>
      <c r="D9067" s="35" t="s">
        <v>1627</v>
      </c>
      <c r="E9067" s="35" t="s">
        <v>375</v>
      </c>
    </row>
    <row r="9068" spans="1:6">
      <c r="A9068" s="34">
        <v>2084224620</v>
      </c>
      <c r="B9068" s="35" t="s">
        <v>462</v>
      </c>
      <c r="C9068" s="35" t="s">
        <v>1921</v>
      </c>
      <c r="D9068" s="35" t="s">
        <v>1627</v>
      </c>
      <c r="E9068" s="35" t="s">
        <v>376</v>
      </c>
    </row>
    <row r="9069" spans="1:6">
      <c r="A9069" s="34">
        <v>2084224621</v>
      </c>
      <c r="B9069" s="35" t="s">
        <v>462</v>
      </c>
      <c r="C9069" s="35" t="s">
        <v>1921</v>
      </c>
      <c r="D9069" s="35" t="s">
        <v>1627</v>
      </c>
      <c r="E9069" s="35" t="s">
        <v>377</v>
      </c>
    </row>
    <row r="9070" spans="1:6">
      <c r="A9070" s="34">
        <v>2084224679</v>
      </c>
      <c r="B9070" s="35" t="s">
        <v>462</v>
      </c>
      <c r="C9070" s="35" t="s">
        <v>1921</v>
      </c>
      <c r="D9070" s="35" t="s">
        <v>1651</v>
      </c>
      <c r="E9070" s="35" t="s">
        <v>391</v>
      </c>
    </row>
    <row r="9071" spans="1:6">
      <c r="A9071" s="34">
        <v>2084224680</v>
      </c>
      <c r="B9071" s="35" t="s">
        <v>462</v>
      </c>
      <c r="C9071" s="35" t="s">
        <v>1921</v>
      </c>
      <c r="D9071" s="35" t="s">
        <v>1651</v>
      </c>
      <c r="E9071" s="35" t="s">
        <v>392</v>
      </c>
    </row>
    <row r="9072" spans="1:6">
      <c r="A9072" s="34">
        <v>2084224681</v>
      </c>
      <c r="B9072" s="35" t="s">
        <v>462</v>
      </c>
      <c r="C9072" s="35" t="s">
        <v>1921</v>
      </c>
      <c r="D9072" s="35" t="s">
        <v>1651</v>
      </c>
      <c r="E9072" s="35" t="s">
        <v>375</v>
      </c>
    </row>
    <row r="9073" spans="1:6">
      <c r="A9073" s="34">
        <v>2084224682</v>
      </c>
      <c r="B9073" s="35" t="s">
        <v>462</v>
      </c>
      <c r="C9073" s="35" t="s">
        <v>1921</v>
      </c>
      <c r="D9073" s="35" t="s">
        <v>1651</v>
      </c>
      <c r="E9073" s="35" t="s">
        <v>376</v>
      </c>
    </row>
    <row r="9074" spans="1:6">
      <c r="A9074" s="34">
        <v>2084224683</v>
      </c>
      <c r="B9074" s="35" t="s">
        <v>462</v>
      </c>
      <c r="C9074" s="35" t="s">
        <v>1921</v>
      </c>
      <c r="D9074" s="35" t="s">
        <v>1651</v>
      </c>
      <c r="E9074" s="35" t="s">
        <v>377</v>
      </c>
    </row>
    <row r="9075" spans="1:6">
      <c r="A9075" s="34">
        <v>2084224622</v>
      </c>
      <c r="B9075" s="35" t="s">
        <v>462</v>
      </c>
      <c r="C9075" s="35" t="s">
        <v>1921</v>
      </c>
      <c r="D9075" s="35" t="s">
        <v>1657</v>
      </c>
      <c r="E9075" s="35" t="s">
        <v>391</v>
      </c>
    </row>
    <row r="9076" spans="1:6">
      <c r="A9076" s="34">
        <v>2084224623</v>
      </c>
      <c r="B9076" s="35" t="s">
        <v>462</v>
      </c>
      <c r="C9076" s="35" t="s">
        <v>1921</v>
      </c>
      <c r="D9076" s="35" t="s">
        <v>1657</v>
      </c>
      <c r="E9076" s="35" t="s">
        <v>392</v>
      </c>
    </row>
    <row r="9077" spans="1:6">
      <c r="A9077" s="34">
        <v>2084224624</v>
      </c>
      <c r="B9077" s="35" t="s">
        <v>462</v>
      </c>
      <c r="C9077" s="35" t="s">
        <v>1921</v>
      </c>
      <c r="D9077" s="35" t="s">
        <v>1657</v>
      </c>
      <c r="E9077" s="35" t="s">
        <v>375</v>
      </c>
    </row>
    <row r="9078" spans="1:6">
      <c r="A9078" s="34">
        <v>2084224625</v>
      </c>
      <c r="B9078" s="35" t="s">
        <v>462</v>
      </c>
      <c r="C9078" s="35" t="s">
        <v>1921</v>
      </c>
      <c r="D9078" s="35" t="s">
        <v>1657</v>
      </c>
      <c r="E9078" s="35" t="s">
        <v>376</v>
      </c>
    </row>
    <row r="9079" spans="1:6">
      <c r="A9079" s="34">
        <v>2084224635</v>
      </c>
      <c r="B9079" s="35" t="s">
        <v>462</v>
      </c>
      <c r="C9079" s="35" t="s">
        <v>1921</v>
      </c>
      <c r="D9079" s="35" t="s">
        <v>1657</v>
      </c>
      <c r="E9079" s="35" t="s">
        <v>377</v>
      </c>
    </row>
    <row r="9080" spans="1:6">
      <c r="A9080" s="34">
        <v>2084224612</v>
      </c>
      <c r="B9080" s="35" t="s">
        <v>462</v>
      </c>
      <c r="C9080" s="35" t="s">
        <v>1921</v>
      </c>
      <c r="D9080" s="35" t="s">
        <v>1652</v>
      </c>
      <c r="E9080" s="35" t="s">
        <v>391</v>
      </c>
    </row>
    <row r="9081" spans="1:6">
      <c r="A9081" s="34">
        <v>2084224613</v>
      </c>
      <c r="B9081" s="35" t="s">
        <v>462</v>
      </c>
      <c r="C9081" s="35" t="s">
        <v>1921</v>
      </c>
      <c r="D9081" s="35" t="s">
        <v>1652</v>
      </c>
      <c r="E9081" s="35" t="s">
        <v>392</v>
      </c>
    </row>
    <row r="9082" spans="1:6">
      <c r="A9082" s="34">
        <v>2084224614</v>
      </c>
      <c r="B9082" s="35" t="s">
        <v>462</v>
      </c>
      <c r="C9082" s="35" t="s">
        <v>1921</v>
      </c>
      <c r="D9082" s="35" t="s">
        <v>1652</v>
      </c>
      <c r="E9082" s="35" t="s">
        <v>375</v>
      </c>
    </row>
    <row r="9083" spans="1:6">
      <c r="A9083" s="34">
        <v>2084224615</v>
      </c>
      <c r="B9083" s="35" t="s">
        <v>462</v>
      </c>
      <c r="C9083" s="35" t="s">
        <v>1921</v>
      </c>
      <c r="D9083" s="35" t="s">
        <v>1652</v>
      </c>
      <c r="E9083" s="35" t="s">
        <v>376</v>
      </c>
    </row>
    <row r="9084" spans="1:6">
      <c r="A9084" s="34">
        <v>2084224616</v>
      </c>
      <c r="B9084" s="35" t="s">
        <v>462</v>
      </c>
      <c r="C9084" s="35" t="s">
        <v>1921</v>
      </c>
      <c r="D9084" s="35" t="s">
        <v>1652</v>
      </c>
      <c r="E9084" s="35" t="s">
        <v>377</v>
      </c>
    </row>
    <row r="9085" spans="1:6">
      <c r="A9085" s="34">
        <v>2084047538</v>
      </c>
      <c r="B9085" s="35" t="s">
        <v>462</v>
      </c>
      <c r="C9085" s="35" t="s">
        <v>1921</v>
      </c>
      <c r="D9085" s="35" t="s">
        <v>1069</v>
      </c>
    </row>
    <row r="9086" spans="1:6">
      <c r="A9086" s="34">
        <v>2084246078</v>
      </c>
      <c r="B9086" s="35" t="s">
        <v>462</v>
      </c>
      <c r="C9086" s="35" t="s">
        <v>1921</v>
      </c>
      <c r="D9086" s="35" t="s">
        <v>1658</v>
      </c>
    </row>
    <row r="9087" spans="1:6">
      <c r="A9087" s="34">
        <v>2084224608</v>
      </c>
      <c r="B9087" s="35" t="s">
        <v>462</v>
      </c>
      <c r="C9087" s="35" t="s">
        <v>1921</v>
      </c>
      <c r="D9087" s="35" t="s">
        <v>533</v>
      </c>
      <c r="E9087" s="35" t="s">
        <v>1953</v>
      </c>
      <c r="F9087" s="35" t="s">
        <v>374</v>
      </c>
    </row>
    <row r="9088" spans="1:6">
      <c r="A9088" s="34">
        <v>2084224609</v>
      </c>
      <c r="B9088" s="35" t="s">
        <v>462</v>
      </c>
      <c r="C9088" s="35" t="s">
        <v>1921</v>
      </c>
      <c r="D9088" s="35" t="s">
        <v>533</v>
      </c>
      <c r="E9088" s="35" t="s">
        <v>1953</v>
      </c>
      <c r="F9088" s="35" t="s">
        <v>375</v>
      </c>
    </row>
    <row r="9089" spans="1:6">
      <c r="A9089" s="34">
        <v>2084224610</v>
      </c>
      <c r="B9089" s="35" t="s">
        <v>462</v>
      </c>
      <c r="C9089" s="35" t="s">
        <v>1921</v>
      </c>
      <c r="D9089" s="35" t="s">
        <v>533</v>
      </c>
      <c r="E9089" s="35" t="s">
        <v>1953</v>
      </c>
      <c r="F9089" s="35" t="s">
        <v>376</v>
      </c>
    </row>
    <row r="9090" spans="1:6">
      <c r="A9090" s="34">
        <v>2084224611</v>
      </c>
      <c r="B9090" s="35" t="s">
        <v>462</v>
      </c>
      <c r="C9090" s="35" t="s">
        <v>1921</v>
      </c>
      <c r="D9090" s="35" t="s">
        <v>533</v>
      </c>
      <c r="E9090" s="35" t="s">
        <v>1953</v>
      </c>
      <c r="F9090" s="35" t="s">
        <v>377</v>
      </c>
    </row>
    <row r="9091" spans="1:6">
      <c r="A9091" s="34">
        <v>2084007111</v>
      </c>
      <c r="B9091" s="35" t="s">
        <v>462</v>
      </c>
      <c r="C9091" s="35" t="s">
        <v>1921</v>
      </c>
      <c r="D9091" s="35" t="s">
        <v>533</v>
      </c>
      <c r="E9091" s="35" t="s">
        <v>1954</v>
      </c>
    </row>
    <row r="9092" spans="1:6">
      <c r="A9092" s="34">
        <v>2084053269</v>
      </c>
      <c r="B9092" s="35" t="s">
        <v>462</v>
      </c>
      <c r="C9092" s="35" t="s">
        <v>1921</v>
      </c>
      <c r="D9092" s="35" t="s">
        <v>384</v>
      </c>
      <c r="E9092" s="35" t="s">
        <v>1699</v>
      </c>
      <c r="F9092" s="35" t="s">
        <v>391</v>
      </c>
    </row>
    <row r="9093" spans="1:6">
      <c r="A9093" s="34">
        <v>2084053270</v>
      </c>
      <c r="B9093" s="35" t="s">
        <v>462</v>
      </c>
      <c r="C9093" s="35" t="s">
        <v>1921</v>
      </c>
      <c r="D9093" s="35" t="s">
        <v>384</v>
      </c>
      <c r="E9093" s="35" t="s">
        <v>1699</v>
      </c>
      <c r="F9093" s="35" t="s">
        <v>392</v>
      </c>
    </row>
    <row r="9094" spans="1:6">
      <c r="A9094" s="34">
        <v>2084053271</v>
      </c>
      <c r="B9094" s="35" t="s">
        <v>462</v>
      </c>
      <c r="C9094" s="35" t="s">
        <v>1921</v>
      </c>
      <c r="D9094" s="35" t="s">
        <v>384</v>
      </c>
      <c r="E9094" s="35" t="s">
        <v>1699</v>
      </c>
      <c r="F9094" s="35" t="s">
        <v>375</v>
      </c>
    </row>
    <row r="9095" spans="1:6">
      <c r="A9095" s="34">
        <v>2084053272</v>
      </c>
      <c r="B9095" s="35" t="s">
        <v>462</v>
      </c>
      <c r="C9095" s="35" t="s">
        <v>1921</v>
      </c>
      <c r="D9095" s="35" t="s">
        <v>384</v>
      </c>
      <c r="E9095" s="35" t="s">
        <v>1699</v>
      </c>
      <c r="F9095" s="35" t="s">
        <v>376</v>
      </c>
    </row>
    <row r="9096" spans="1:6">
      <c r="A9096" s="34">
        <v>2084053273</v>
      </c>
      <c r="B9096" s="35" t="s">
        <v>462</v>
      </c>
      <c r="C9096" s="35" t="s">
        <v>1921</v>
      </c>
      <c r="D9096" s="35" t="s">
        <v>384</v>
      </c>
      <c r="E9096" s="35" t="s">
        <v>1699</v>
      </c>
      <c r="F9096" s="35" t="s">
        <v>377</v>
      </c>
    </row>
    <row r="9097" spans="1:6">
      <c r="A9097" s="34">
        <v>2084053070</v>
      </c>
      <c r="B9097" s="35" t="s">
        <v>462</v>
      </c>
      <c r="C9097" s="35" t="s">
        <v>1921</v>
      </c>
      <c r="D9097" s="35" t="s">
        <v>384</v>
      </c>
      <c r="E9097" s="35" t="s">
        <v>1955</v>
      </c>
      <c r="F9097" s="35" t="s">
        <v>391</v>
      </c>
    </row>
    <row r="9098" spans="1:6">
      <c r="A9098" s="34">
        <v>2084053071</v>
      </c>
      <c r="B9098" s="35" t="s">
        <v>462</v>
      </c>
      <c r="C9098" s="35" t="s">
        <v>1921</v>
      </c>
      <c r="D9098" s="35" t="s">
        <v>384</v>
      </c>
      <c r="E9098" s="35" t="s">
        <v>1955</v>
      </c>
      <c r="F9098" s="35" t="s">
        <v>392</v>
      </c>
    </row>
    <row r="9099" spans="1:6">
      <c r="A9099" s="34">
        <v>2084053072</v>
      </c>
      <c r="B9099" s="35" t="s">
        <v>462</v>
      </c>
      <c r="C9099" s="35" t="s">
        <v>1921</v>
      </c>
      <c r="D9099" s="35" t="s">
        <v>384</v>
      </c>
      <c r="E9099" s="35" t="s">
        <v>1955</v>
      </c>
      <c r="F9099" s="35" t="s">
        <v>375</v>
      </c>
    </row>
    <row r="9100" spans="1:6">
      <c r="A9100" s="34">
        <v>2084053073</v>
      </c>
      <c r="B9100" s="35" t="s">
        <v>462</v>
      </c>
      <c r="C9100" s="35" t="s">
        <v>1921</v>
      </c>
      <c r="D9100" s="35" t="s">
        <v>384</v>
      </c>
      <c r="E9100" s="35" t="s">
        <v>1955</v>
      </c>
      <c r="F9100" s="35" t="s">
        <v>376</v>
      </c>
    </row>
    <row r="9101" spans="1:6">
      <c r="A9101" s="34">
        <v>2084053074</v>
      </c>
      <c r="B9101" s="35" t="s">
        <v>462</v>
      </c>
      <c r="C9101" s="35" t="s">
        <v>1921</v>
      </c>
      <c r="D9101" s="35" t="s">
        <v>384</v>
      </c>
      <c r="E9101" s="35" t="s">
        <v>1955</v>
      </c>
      <c r="F9101" s="35" t="s">
        <v>377</v>
      </c>
    </row>
    <row r="9102" spans="1:6">
      <c r="A9102" s="34">
        <v>2084053076</v>
      </c>
      <c r="B9102" s="35" t="s">
        <v>462</v>
      </c>
      <c r="C9102" s="35" t="s">
        <v>1921</v>
      </c>
      <c r="D9102" s="35" t="s">
        <v>384</v>
      </c>
      <c r="E9102" s="35" t="s">
        <v>1956</v>
      </c>
      <c r="F9102" s="35" t="s">
        <v>391</v>
      </c>
    </row>
    <row r="9103" spans="1:6">
      <c r="A9103" s="34">
        <v>2084053077</v>
      </c>
      <c r="B9103" s="35" t="s">
        <v>462</v>
      </c>
      <c r="C9103" s="35" t="s">
        <v>1921</v>
      </c>
      <c r="D9103" s="35" t="s">
        <v>384</v>
      </c>
      <c r="E9103" s="35" t="s">
        <v>1956</v>
      </c>
      <c r="F9103" s="35" t="s">
        <v>392</v>
      </c>
    </row>
    <row r="9104" spans="1:6">
      <c r="A9104" s="34">
        <v>2084053078</v>
      </c>
      <c r="B9104" s="35" t="s">
        <v>462</v>
      </c>
      <c r="C9104" s="35" t="s">
        <v>1921</v>
      </c>
      <c r="D9104" s="35" t="s">
        <v>384</v>
      </c>
      <c r="E9104" s="35" t="s">
        <v>1956</v>
      </c>
      <c r="F9104" s="35" t="s">
        <v>375</v>
      </c>
    </row>
    <row r="9105" spans="1:6">
      <c r="A9105" s="34">
        <v>2084053079</v>
      </c>
      <c r="B9105" s="35" t="s">
        <v>462</v>
      </c>
      <c r="C9105" s="35" t="s">
        <v>1921</v>
      </c>
      <c r="D9105" s="35" t="s">
        <v>384</v>
      </c>
      <c r="E9105" s="35" t="s">
        <v>1956</v>
      </c>
      <c r="F9105" s="35" t="s">
        <v>376</v>
      </c>
    </row>
    <row r="9106" spans="1:6">
      <c r="A9106" s="34">
        <v>2084053080</v>
      </c>
      <c r="B9106" s="35" t="s">
        <v>462</v>
      </c>
      <c r="C9106" s="35" t="s">
        <v>1921</v>
      </c>
      <c r="D9106" s="35" t="s">
        <v>384</v>
      </c>
      <c r="E9106" s="35" t="s">
        <v>1956</v>
      </c>
      <c r="F9106" s="35" t="s">
        <v>377</v>
      </c>
    </row>
    <row r="9107" spans="1:6">
      <c r="A9107" s="34">
        <v>2084053064</v>
      </c>
      <c r="B9107" s="35" t="s">
        <v>462</v>
      </c>
      <c r="C9107" s="35" t="s">
        <v>1921</v>
      </c>
      <c r="D9107" s="35" t="s">
        <v>384</v>
      </c>
      <c r="E9107" s="35" t="s">
        <v>1957</v>
      </c>
      <c r="F9107" s="35" t="s">
        <v>391</v>
      </c>
    </row>
    <row r="9108" spans="1:6">
      <c r="A9108" s="34">
        <v>2084053065</v>
      </c>
      <c r="B9108" s="35" t="s">
        <v>462</v>
      </c>
      <c r="C9108" s="35" t="s">
        <v>1921</v>
      </c>
      <c r="D9108" s="35" t="s">
        <v>384</v>
      </c>
      <c r="E9108" s="35" t="s">
        <v>1957</v>
      </c>
      <c r="F9108" s="35" t="s">
        <v>392</v>
      </c>
    </row>
    <row r="9109" spans="1:6">
      <c r="A9109" s="34">
        <v>2084053066</v>
      </c>
      <c r="B9109" s="35" t="s">
        <v>462</v>
      </c>
      <c r="C9109" s="35" t="s">
        <v>1921</v>
      </c>
      <c r="D9109" s="35" t="s">
        <v>384</v>
      </c>
      <c r="E9109" s="35" t="s">
        <v>1957</v>
      </c>
      <c r="F9109" s="35" t="s">
        <v>375</v>
      </c>
    </row>
    <row r="9110" spans="1:6">
      <c r="A9110" s="34">
        <v>2084053067</v>
      </c>
      <c r="B9110" s="35" t="s">
        <v>462</v>
      </c>
      <c r="C9110" s="35" t="s">
        <v>1921</v>
      </c>
      <c r="D9110" s="35" t="s">
        <v>384</v>
      </c>
      <c r="E9110" s="35" t="s">
        <v>1957</v>
      </c>
      <c r="F9110" s="35" t="s">
        <v>376</v>
      </c>
    </row>
    <row r="9111" spans="1:6">
      <c r="A9111" s="34">
        <v>2084053068</v>
      </c>
      <c r="B9111" s="35" t="s">
        <v>462</v>
      </c>
      <c r="C9111" s="35" t="s">
        <v>1921</v>
      </c>
      <c r="D9111" s="35" t="s">
        <v>384</v>
      </c>
      <c r="E9111" s="35" t="s">
        <v>1957</v>
      </c>
      <c r="F9111" s="35" t="s">
        <v>377</v>
      </c>
    </row>
    <row r="9112" spans="1:6">
      <c r="A9112" s="34">
        <v>2084061633</v>
      </c>
      <c r="B9112" s="35" t="s">
        <v>462</v>
      </c>
      <c r="C9112" s="35" t="s">
        <v>1921</v>
      </c>
      <c r="D9112" s="35" t="s">
        <v>384</v>
      </c>
      <c r="E9112" s="35" t="s">
        <v>1958</v>
      </c>
    </row>
    <row r="9113" spans="1:6">
      <c r="A9113" s="34">
        <v>2084245567</v>
      </c>
      <c r="B9113" s="35" t="s">
        <v>462</v>
      </c>
      <c r="C9113" s="35" t="s">
        <v>1921</v>
      </c>
      <c r="D9113" s="35" t="s">
        <v>384</v>
      </c>
      <c r="E9113" s="35" t="s">
        <v>386</v>
      </c>
    </row>
    <row r="9114" spans="1:6">
      <c r="A9114" s="34">
        <v>2084246749</v>
      </c>
      <c r="B9114" s="35" t="s">
        <v>462</v>
      </c>
      <c r="C9114" s="35" t="s">
        <v>1921</v>
      </c>
      <c r="D9114" s="35" t="s">
        <v>384</v>
      </c>
      <c r="E9114" s="35" t="s">
        <v>335</v>
      </c>
    </row>
    <row r="9115" spans="1:6">
      <c r="A9115" s="34">
        <v>2084006762</v>
      </c>
      <c r="B9115" s="35" t="s">
        <v>462</v>
      </c>
      <c r="C9115" s="35" t="s">
        <v>1921</v>
      </c>
      <c r="D9115" s="35" t="s">
        <v>1749</v>
      </c>
    </row>
    <row r="9116" spans="1:6">
      <c r="A9116" s="34">
        <v>2084005922</v>
      </c>
      <c r="B9116" s="35" t="s">
        <v>462</v>
      </c>
      <c r="C9116" s="35" t="s">
        <v>1921</v>
      </c>
      <c r="D9116" s="35" t="s">
        <v>1665</v>
      </c>
      <c r="E9116" s="35" t="s">
        <v>1959</v>
      </c>
    </row>
    <row r="9117" spans="1:6">
      <c r="A9117" s="34">
        <v>2084005921</v>
      </c>
      <c r="B9117" s="35" t="s">
        <v>462</v>
      </c>
      <c r="C9117" s="35" t="s">
        <v>1921</v>
      </c>
      <c r="D9117" s="35" t="s">
        <v>1665</v>
      </c>
      <c r="E9117" s="35" t="s">
        <v>1960</v>
      </c>
    </row>
    <row r="9118" spans="1:6">
      <c r="A9118" s="34">
        <v>2084005923</v>
      </c>
      <c r="B9118" s="35" t="s">
        <v>462</v>
      </c>
      <c r="C9118" s="35" t="s">
        <v>1921</v>
      </c>
      <c r="D9118" s="35" t="s">
        <v>1665</v>
      </c>
      <c r="E9118" s="35" t="s">
        <v>335</v>
      </c>
    </row>
    <row r="9119" spans="1:6">
      <c r="A9119" s="34">
        <v>2084051834</v>
      </c>
      <c r="B9119" s="35" t="s">
        <v>462</v>
      </c>
      <c r="C9119" s="35" t="s">
        <v>1921</v>
      </c>
      <c r="D9119" s="35" t="s">
        <v>1734</v>
      </c>
      <c r="E9119" s="35" t="s">
        <v>374</v>
      </c>
    </row>
    <row r="9120" spans="1:6">
      <c r="A9120" s="34">
        <v>2084051835</v>
      </c>
      <c r="B9120" s="35" t="s">
        <v>462</v>
      </c>
      <c r="C9120" s="35" t="s">
        <v>1921</v>
      </c>
      <c r="D9120" s="35" t="s">
        <v>1734</v>
      </c>
      <c r="E9120" s="35" t="s">
        <v>375</v>
      </c>
    </row>
    <row r="9121" spans="1:6">
      <c r="A9121" s="34">
        <v>2084051836</v>
      </c>
      <c r="B9121" s="35" t="s">
        <v>462</v>
      </c>
      <c r="C9121" s="35" t="s">
        <v>1921</v>
      </c>
      <c r="D9121" s="35" t="s">
        <v>1734</v>
      </c>
      <c r="E9121" s="35" t="s">
        <v>393</v>
      </c>
    </row>
    <row r="9122" spans="1:6">
      <c r="A9122" s="34">
        <v>2084207680</v>
      </c>
      <c r="B9122" s="35" t="s">
        <v>462</v>
      </c>
      <c r="C9122" s="35" t="s">
        <v>1921</v>
      </c>
      <c r="D9122" s="35" t="s">
        <v>335</v>
      </c>
    </row>
    <row r="9123" spans="1:6">
      <c r="A9123" s="34">
        <v>2084008300</v>
      </c>
      <c r="B9123" s="35" t="s">
        <v>462</v>
      </c>
      <c r="C9123" s="35" t="s">
        <v>1961</v>
      </c>
      <c r="D9123" s="35" t="s">
        <v>907</v>
      </c>
    </row>
    <row r="9124" spans="1:6">
      <c r="A9124" s="34">
        <v>2084008334</v>
      </c>
      <c r="B9124" s="35" t="s">
        <v>462</v>
      </c>
      <c r="C9124" s="35" t="s">
        <v>1961</v>
      </c>
      <c r="D9124" s="35" t="s">
        <v>910</v>
      </c>
    </row>
    <row r="9125" spans="1:6">
      <c r="A9125" s="34">
        <v>2084008303</v>
      </c>
      <c r="B9125" s="35" t="s">
        <v>462</v>
      </c>
      <c r="C9125" s="35" t="s">
        <v>1961</v>
      </c>
      <c r="D9125" s="35" t="s">
        <v>1425</v>
      </c>
    </row>
    <row r="9126" spans="1:6">
      <c r="A9126" s="34">
        <v>2084008299</v>
      </c>
      <c r="B9126" s="35" t="s">
        <v>462</v>
      </c>
      <c r="C9126" s="35" t="s">
        <v>1961</v>
      </c>
      <c r="D9126" s="35" t="s">
        <v>1424</v>
      </c>
    </row>
    <row r="9127" spans="1:6">
      <c r="A9127" s="34">
        <v>2084008301</v>
      </c>
      <c r="B9127" s="35" t="s">
        <v>462</v>
      </c>
      <c r="C9127" s="35" t="s">
        <v>1961</v>
      </c>
      <c r="D9127" s="35" t="s">
        <v>588</v>
      </c>
    </row>
    <row r="9128" spans="1:6">
      <c r="A9128" s="34">
        <v>2084008304</v>
      </c>
      <c r="B9128" s="35" t="s">
        <v>462</v>
      </c>
      <c r="C9128" s="35" t="s">
        <v>1961</v>
      </c>
      <c r="D9128" s="35" t="s">
        <v>951</v>
      </c>
    </row>
    <row r="9129" spans="1:6">
      <c r="A9129" s="34">
        <v>2084008302</v>
      </c>
      <c r="B9129" s="35" t="s">
        <v>462</v>
      </c>
      <c r="C9129" s="35" t="s">
        <v>1961</v>
      </c>
      <c r="D9129" s="35" t="s">
        <v>857</v>
      </c>
    </row>
    <row r="9130" spans="1:6">
      <c r="A9130" s="34">
        <v>2084008298</v>
      </c>
      <c r="B9130" s="35" t="s">
        <v>462</v>
      </c>
      <c r="C9130" s="35" t="s">
        <v>1961</v>
      </c>
      <c r="D9130" s="35" t="s">
        <v>911</v>
      </c>
    </row>
    <row r="9131" spans="1:6">
      <c r="A9131" s="34">
        <v>2084008349</v>
      </c>
      <c r="B9131" s="35" t="s">
        <v>462</v>
      </c>
      <c r="C9131" s="35" t="s">
        <v>1961</v>
      </c>
      <c r="D9131" s="35" t="s">
        <v>1767</v>
      </c>
    </row>
    <row r="9132" spans="1:6">
      <c r="A9132" s="34">
        <v>2084314061</v>
      </c>
      <c r="B9132" s="35" t="s">
        <v>462</v>
      </c>
      <c r="C9132" s="35" t="s">
        <v>1962</v>
      </c>
      <c r="D9132" s="35" t="s">
        <v>1773</v>
      </c>
      <c r="E9132" s="35" t="s">
        <v>1963</v>
      </c>
      <c r="F9132" s="35" t="s">
        <v>875</v>
      </c>
    </row>
    <row r="9133" spans="1:6">
      <c r="A9133" s="34">
        <v>2084314062</v>
      </c>
      <c r="B9133" s="35" t="s">
        <v>462</v>
      </c>
      <c r="C9133" s="35" t="s">
        <v>1962</v>
      </c>
      <c r="D9133" s="35" t="s">
        <v>1773</v>
      </c>
      <c r="E9133" s="35" t="s">
        <v>1963</v>
      </c>
      <c r="F9133" s="35" t="s">
        <v>793</v>
      </c>
    </row>
    <row r="9134" spans="1:6">
      <c r="A9134" s="34">
        <v>2084314063</v>
      </c>
      <c r="B9134" s="35" t="s">
        <v>462</v>
      </c>
      <c r="C9134" s="35" t="s">
        <v>1962</v>
      </c>
      <c r="D9134" s="35" t="s">
        <v>1773</v>
      </c>
      <c r="E9134" s="35" t="s">
        <v>1963</v>
      </c>
      <c r="F9134" s="35" t="s">
        <v>876</v>
      </c>
    </row>
    <row r="9135" spans="1:6">
      <c r="A9135" s="34">
        <v>2084314064</v>
      </c>
      <c r="B9135" s="35" t="s">
        <v>462</v>
      </c>
      <c r="C9135" s="35" t="s">
        <v>1962</v>
      </c>
      <c r="D9135" s="35" t="s">
        <v>1773</v>
      </c>
      <c r="E9135" s="35" t="s">
        <v>1963</v>
      </c>
      <c r="F9135" s="35" t="s">
        <v>877</v>
      </c>
    </row>
    <row r="9136" spans="1:6">
      <c r="A9136" s="34">
        <v>2084314065</v>
      </c>
      <c r="B9136" s="35" t="s">
        <v>462</v>
      </c>
      <c r="C9136" s="35" t="s">
        <v>1962</v>
      </c>
      <c r="D9136" s="35" t="s">
        <v>1773</v>
      </c>
      <c r="E9136" s="35" t="s">
        <v>1963</v>
      </c>
      <c r="F9136" s="35" t="s">
        <v>878</v>
      </c>
    </row>
    <row r="9137" spans="1:6">
      <c r="A9137" s="34">
        <v>2084314076</v>
      </c>
      <c r="B9137" s="35" t="s">
        <v>462</v>
      </c>
      <c r="C9137" s="35" t="s">
        <v>1962</v>
      </c>
      <c r="D9137" s="35" t="s">
        <v>1773</v>
      </c>
      <c r="E9137" s="35" t="s">
        <v>1963</v>
      </c>
      <c r="F9137" s="35" t="s">
        <v>879</v>
      </c>
    </row>
    <row r="9138" spans="1:6">
      <c r="A9138" s="34">
        <v>2084314067</v>
      </c>
      <c r="B9138" s="35" t="s">
        <v>462</v>
      </c>
      <c r="C9138" s="35" t="s">
        <v>1962</v>
      </c>
      <c r="D9138" s="35" t="s">
        <v>1773</v>
      </c>
      <c r="E9138" s="35" t="s">
        <v>1963</v>
      </c>
      <c r="F9138" s="35" t="s">
        <v>880</v>
      </c>
    </row>
    <row r="9139" spans="1:6">
      <c r="A9139" s="34">
        <v>2084314068</v>
      </c>
      <c r="B9139" s="35" t="s">
        <v>462</v>
      </c>
      <c r="C9139" s="35" t="s">
        <v>1962</v>
      </c>
      <c r="D9139" s="35" t="s">
        <v>1773</v>
      </c>
      <c r="E9139" s="35" t="s">
        <v>1963</v>
      </c>
      <c r="F9139" s="35" t="s">
        <v>881</v>
      </c>
    </row>
    <row r="9140" spans="1:6">
      <c r="A9140" s="34">
        <v>2084314071</v>
      </c>
      <c r="B9140" s="35" t="s">
        <v>462</v>
      </c>
      <c r="C9140" s="35" t="s">
        <v>1962</v>
      </c>
      <c r="D9140" s="35" t="s">
        <v>1773</v>
      </c>
      <c r="E9140" s="35" t="s">
        <v>1963</v>
      </c>
      <c r="F9140" s="35" t="s">
        <v>882</v>
      </c>
    </row>
    <row r="9141" spans="1:6">
      <c r="A9141" s="34">
        <v>2084314070</v>
      </c>
      <c r="B9141" s="35" t="s">
        <v>462</v>
      </c>
      <c r="C9141" s="35" t="s">
        <v>1962</v>
      </c>
      <c r="D9141" s="35" t="s">
        <v>1773</v>
      </c>
      <c r="E9141" s="35" t="s">
        <v>1963</v>
      </c>
      <c r="F9141" s="35" t="s">
        <v>883</v>
      </c>
    </row>
    <row r="9142" spans="1:6">
      <c r="A9142" s="34">
        <v>2084314072</v>
      </c>
      <c r="B9142" s="35" t="s">
        <v>462</v>
      </c>
      <c r="C9142" s="35" t="s">
        <v>1962</v>
      </c>
      <c r="D9142" s="35" t="s">
        <v>1773</v>
      </c>
      <c r="E9142" s="35" t="s">
        <v>1963</v>
      </c>
      <c r="F9142" s="35" t="s">
        <v>1964</v>
      </c>
    </row>
    <row r="9143" spans="1:6">
      <c r="A9143" s="34">
        <v>2084314073</v>
      </c>
      <c r="B9143" s="35" t="s">
        <v>462</v>
      </c>
      <c r="C9143" s="35" t="s">
        <v>1962</v>
      </c>
      <c r="D9143" s="35" t="s">
        <v>1773</v>
      </c>
      <c r="E9143" s="35" t="s">
        <v>1963</v>
      </c>
      <c r="F9143" s="35" t="s">
        <v>1965</v>
      </c>
    </row>
    <row r="9144" spans="1:6">
      <c r="A9144" s="34">
        <v>2084314075</v>
      </c>
      <c r="B9144" s="35" t="s">
        <v>462</v>
      </c>
      <c r="C9144" s="35" t="s">
        <v>1962</v>
      </c>
      <c r="D9144" s="35" t="s">
        <v>1773</v>
      </c>
      <c r="E9144" s="35" t="s">
        <v>1963</v>
      </c>
      <c r="F9144" s="35" t="s">
        <v>1966</v>
      </c>
    </row>
    <row r="9145" spans="1:6">
      <c r="A9145" s="34">
        <v>2084056569</v>
      </c>
      <c r="B9145" s="35" t="s">
        <v>462</v>
      </c>
      <c r="C9145" s="35" t="s">
        <v>1962</v>
      </c>
      <c r="D9145" s="35" t="s">
        <v>1773</v>
      </c>
      <c r="E9145" s="35" t="s">
        <v>492</v>
      </c>
      <c r="F9145" s="35" t="s">
        <v>875</v>
      </c>
    </row>
    <row r="9146" spans="1:6">
      <c r="A9146" s="34">
        <v>2084056570</v>
      </c>
      <c r="B9146" s="35" t="s">
        <v>462</v>
      </c>
      <c r="C9146" s="35" t="s">
        <v>1962</v>
      </c>
      <c r="D9146" s="35" t="s">
        <v>1773</v>
      </c>
      <c r="E9146" s="35" t="s">
        <v>492</v>
      </c>
      <c r="F9146" s="35" t="s">
        <v>793</v>
      </c>
    </row>
    <row r="9147" spans="1:6">
      <c r="A9147" s="34">
        <v>2084056571</v>
      </c>
      <c r="B9147" s="35" t="s">
        <v>462</v>
      </c>
      <c r="C9147" s="35" t="s">
        <v>1962</v>
      </c>
      <c r="D9147" s="35" t="s">
        <v>1773</v>
      </c>
      <c r="E9147" s="35" t="s">
        <v>492</v>
      </c>
      <c r="F9147" s="35" t="s">
        <v>876</v>
      </c>
    </row>
    <row r="9148" spans="1:6">
      <c r="A9148" s="34">
        <v>2084056572</v>
      </c>
      <c r="B9148" s="35" t="s">
        <v>462</v>
      </c>
      <c r="C9148" s="35" t="s">
        <v>1962</v>
      </c>
      <c r="D9148" s="35" t="s">
        <v>1773</v>
      </c>
      <c r="E9148" s="35" t="s">
        <v>492</v>
      </c>
      <c r="F9148" s="35" t="s">
        <v>877</v>
      </c>
    </row>
    <row r="9149" spans="1:6">
      <c r="A9149" s="34">
        <v>2084056573</v>
      </c>
      <c r="B9149" s="35" t="s">
        <v>462</v>
      </c>
      <c r="C9149" s="35" t="s">
        <v>1962</v>
      </c>
      <c r="D9149" s="35" t="s">
        <v>1773</v>
      </c>
      <c r="E9149" s="35" t="s">
        <v>492</v>
      </c>
      <c r="F9149" s="35" t="s">
        <v>878</v>
      </c>
    </row>
    <row r="9150" spans="1:6">
      <c r="A9150" s="34">
        <v>2084056574</v>
      </c>
      <c r="B9150" s="35" t="s">
        <v>462</v>
      </c>
      <c r="C9150" s="35" t="s">
        <v>1962</v>
      </c>
      <c r="D9150" s="35" t="s">
        <v>1773</v>
      </c>
      <c r="E9150" s="35" t="s">
        <v>492</v>
      </c>
      <c r="F9150" s="35" t="s">
        <v>879</v>
      </c>
    </row>
    <row r="9151" spans="1:6">
      <c r="A9151" s="34">
        <v>2084056575</v>
      </c>
      <c r="B9151" s="35" t="s">
        <v>462</v>
      </c>
      <c r="C9151" s="35" t="s">
        <v>1962</v>
      </c>
      <c r="D9151" s="35" t="s">
        <v>1773</v>
      </c>
      <c r="E9151" s="35" t="s">
        <v>492</v>
      </c>
      <c r="F9151" s="35" t="s">
        <v>880</v>
      </c>
    </row>
    <row r="9152" spans="1:6">
      <c r="A9152" s="34">
        <v>2084056576</v>
      </c>
      <c r="B9152" s="35" t="s">
        <v>462</v>
      </c>
      <c r="C9152" s="35" t="s">
        <v>1962</v>
      </c>
      <c r="D9152" s="35" t="s">
        <v>1773</v>
      </c>
      <c r="E9152" s="35" t="s">
        <v>492</v>
      </c>
      <c r="F9152" s="35" t="s">
        <v>881</v>
      </c>
    </row>
    <row r="9153" spans="1:6">
      <c r="A9153" s="34">
        <v>2084056577</v>
      </c>
      <c r="B9153" s="35" t="s">
        <v>462</v>
      </c>
      <c r="C9153" s="35" t="s">
        <v>1962</v>
      </c>
      <c r="D9153" s="35" t="s">
        <v>1773</v>
      </c>
      <c r="E9153" s="35" t="s">
        <v>492</v>
      </c>
      <c r="F9153" s="35" t="s">
        <v>882</v>
      </c>
    </row>
    <row r="9154" spans="1:6">
      <c r="A9154" s="34">
        <v>2084056578</v>
      </c>
      <c r="B9154" s="35" t="s">
        <v>462</v>
      </c>
      <c r="C9154" s="35" t="s">
        <v>1962</v>
      </c>
      <c r="D9154" s="35" t="s">
        <v>1773</v>
      </c>
      <c r="E9154" s="35" t="s">
        <v>492</v>
      </c>
      <c r="F9154" s="35" t="s">
        <v>883</v>
      </c>
    </row>
    <row r="9155" spans="1:6">
      <c r="A9155" s="34">
        <v>2084056579</v>
      </c>
      <c r="B9155" s="35" t="s">
        <v>462</v>
      </c>
      <c r="C9155" s="35" t="s">
        <v>1962</v>
      </c>
      <c r="D9155" s="35" t="s">
        <v>1773</v>
      </c>
      <c r="E9155" s="35" t="s">
        <v>492</v>
      </c>
      <c r="F9155" s="35" t="s">
        <v>1964</v>
      </c>
    </row>
    <row r="9156" spans="1:6">
      <c r="A9156" s="34">
        <v>2084056580</v>
      </c>
      <c r="B9156" s="35" t="s">
        <v>462</v>
      </c>
      <c r="C9156" s="35" t="s">
        <v>1962</v>
      </c>
      <c r="D9156" s="35" t="s">
        <v>1773</v>
      </c>
      <c r="E9156" s="35" t="s">
        <v>492</v>
      </c>
      <c r="F9156" s="35" t="s">
        <v>1965</v>
      </c>
    </row>
    <row r="9157" spans="1:6">
      <c r="A9157" s="34">
        <v>2084056581</v>
      </c>
      <c r="B9157" s="35" t="s">
        <v>462</v>
      </c>
      <c r="C9157" s="35" t="s">
        <v>1962</v>
      </c>
      <c r="D9157" s="35" t="s">
        <v>1773</v>
      </c>
      <c r="E9157" s="35" t="s">
        <v>492</v>
      </c>
      <c r="F9157" s="35" t="s">
        <v>1966</v>
      </c>
    </row>
    <row r="9158" spans="1:6">
      <c r="A9158" s="34">
        <v>2084314077</v>
      </c>
      <c r="B9158" s="35" t="s">
        <v>462</v>
      </c>
      <c r="C9158" s="35" t="s">
        <v>1962</v>
      </c>
      <c r="D9158" s="35" t="s">
        <v>1773</v>
      </c>
      <c r="E9158" s="35" t="s">
        <v>767</v>
      </c>
      <c r="F9158" s="35" t="s">
        <v>1967</v>
      </c>
    </row>
    <row r="9159" spans="1:6">
      <c r="A9159" s="34">
        <v>2084314078</v>
      </c>
      <c r="B9159" s="35" t="s">
        <v>462</v>
      </c>
      <c r="C9159" s="35" t="s">
        <v>1962</v>
      </c>
      <c r="D9159" s="35" t="s">
        <v>1773</v>
      </c>
      <c r="E9159" s="35" t="s">
        <v>767</v>
      </c>
      <c r="F9159" s="35" t="s">
        <v>1968</v>
      </c>
    </row>
    <row r="9160" spans="1:6">
      <c r="A9160" s="34">
        <v>2084314079</v>
      </c>
      <c r="B9160" s="35" t="s">
        <v>462</v>
      </c>
      <c r="C9160" s="35" t="s">
        <v>1962</v>
      </c>
      <c r="D9160" s="35" t="s">
        <v>1773</v>
      </c>
      <c r="E9160" s="35" t="s">
        <v>767</v>
      </c>
      <c r="F9160" s="35" t="s">
        <v>1969</v>
      </c>
    </row>
    <row r="9161" spans="1:6">
      <c r="A9161" s="34">
        <v>2084314080</v>
      </c>
      <c r="B9161" s="35" t="s">
        <v>462</v>
      </c>
      <c r="C9161" s="35" t="s">
        <v>1962</v>
      </c>
      <c r="D9161" s="35" t="s">
        <v>1773</v>
      </c>
      <c r="E9161" s="35" t="s">
        <v>767</v>
      </c>
      <c r="F9161" s="35" t="s">
        <v>1970</v>
      </c>
    </row>
    <row r="9162" spans="1:6">
      <c r="A9162" s="34">
        <v>2084314081</v>
      </c>
      <c r="B9162" s="35" t="s">
        <v>462</v>
      </c>
      <c r="C9162" s="35" t="s">
        <v>1962</v>
      </c>
      <c r="D9162" s="35" t="s">
        <v>1773</v>
      </c>
      <c r="E9162" s="35" t="s">
        <v>767</v>
      </c>
      <c r="F9162" s="35" t="s">
        <v>1971</v>
      </c>
    </row>
    <row r="9163" spans="1:6">
      <c r="A9163" s="34">
        <v>2084314082</v>
      </c>
      <c r="B9163" s="35" t="s">
        <v>462</v>
      </c>
      <c r="C9163" s="35" t="s">
        <v>1962</v>
      </c>
      <c r="D9163" s="35" t="s">
        <v>1773</v>
      </c>
      <c r="E9163" s="35" t="s">
        <v>767</v>
      </c>
      <c r="F9163" s="35" t="s">
        <v>1972</v>
      </c>
    </row>
    <row r="9164" spans="1:6">
      <c r="A9164" s="34">
        <v>2084314083</v>
      </c>
      <c r="B9164" s="35" t="s">
        <v>462</v>
      </c>
      <c r="C9164" s="35" t="s">
        <v>1962</v>
      </c>
      <c r="D9164" s="35" t="s">
        <v>1773</v>
      </c>
      <c r="E9164" s="35" t="s">
        <v>767</v>
      </c>
      <c r="F9164" s="35" t="s">
        <v>1973</v>
      </c>
    </row>
    <row r="9165" spans="1:6">
      <c r="A9165" s="34">
        <v>2084314086</v>
      </c>
      <c r="B9165" s="35" t="s">
        <v>462</v>
      </c>
      <c r="C9165" s="35" t="s">
        <v>1962</v>
      </c>
      <c r="D9165" s="35" t="s">
        <v>1773</v>
      </c>
      <c r="E9165" s="35" t="s">
        <v>767</v>
      </c>
      <c r="F9165" s="35" t="s">
        <v>1974</v>
      </c>
    </row>
    <row r="9166" spans="1:6">
      <c r="A9166" s="34">
        <v>2084314088</v>
      </c>
      <c r="B9166" s="35" t="s">
        <v>462</v>
      </c>
      <c r="C9166" s="35" t="s">
        <v>1962</v>
      </c>
      <c r="D9166" s="35" t="s">
        <v>1773</v>
      </c>
      <c r="E9166" s="35" t="s">
        <v>767</v>
      </c>
      <c r="F9166" s="35" t="s">
        <v>1975</v>
      </c>
    </row>
    <row r="9167" spans="1:6">
      <c r="A9167" s="34">
        <v>2084314089</v>
      </c>
      <c r="B9167" s="35" t="s">
        <v>462</v>
      </c>
      <c r="C9167" s="35" t="s">
        <v>1962</v>
      </c>
      <c r="D9167" s="35" t="s">
        <v>1773</v>
      </c>
      <c r="E9167" s="35" t="s">
        <v>1976</v>
      </c>
      <c r="F9167" s="35" t="s">
        <v>875</v>
      </c>
    </row>
    <row r="9168" spans="1:6">
      <c r="A9168" s="34">
        <v>2084314090</v>
      </c>
      <c r="B9168" s="35" t="s">
        <v>462</v>
      </c>
      <c r="C9168" s="35" t="s">
        <v>1962</v>
      </c>
      <c r="D9168" s="35" t="s">
        <v>1773</v>
      </c>
      <c r="E9168" s="35" t="s">
        <v>1976</v>
      </c>
      <c r="F9168" s="35" t="s">
        <v>793</v>
      </c>
    </row>
    <row r="9169" spans="1:6">
      <c r="A9169" s="34">
        <v>2084314091</v>
      </c>
      <c r="B9169" s="35" t="s">
        <v>462</v>
      </c>
      <c r="C9169" s="35" t="s">
        <v>1962</v>
      </c>
      <c r="D9169" s="35" t="s">
        <v>1773</v>
      </c>
      <c r="E9169" s="35" t="s">
        <v>1976</v>
      </c>
      <c r="F9169" s="35" t="s">
        <v>876</v>
      </c>
    </row>
    <row r="9170" spans="1:6">
      <c r="A9170" s="34">
        <v>2084314092</v>
      </c>
      <c r="B9170" s="35" t="s">
        <v>462</v>
      </c>
      <c r="C9170" s="35" t="s">
        <v>1962</v>
      </c>
      <c r="D9170" s="35" t="s">
        <v>1773</v>
      </c>
      <c r="E9170" s="35" t="s">
        <v>1976</v>
      </c>
      <c r="F9170" s="35" t="s">
        <v>877</v>
      </c>
    </row>
    <row r="9171" spans="1:6">
      <c r="A9171" s="34">
        <v>2084314093</v>
      </c>
      <c r="B9171" s="35" t="s">
        <v>462</v>
      </c>
      <c r="C9171" s="35" t="s">
        <v>1962</v>
      </c>
      <c r="D9171" s="35" t="s">
        <v>1773</v>
      </c>
      <c r="E9171" s="35" t="s">
        <v>1976</v>
      </c>
      <c r="F9171" s="35" t="s">
        <v>878</v>
      </c>
    </row>
    <row r="9172" spans="1:6">
      <c r="A9172" s="34">
        <v>2084314066</v>
      </c>
      <c r="B9172" s="35" t="s">
        <v>462</v>
      </c>
      <c r="C9172" s="35" t="s">
        <v>1962</v>
      </c>
      <c r="D9172" s="35" t="s">
        <v>1773</v>
      </c>
      <c r="E9172" s="35" t="s">
        <v>1976</v>
      </c>
      <c r="F9172" s="35" t="s">
        <v>879</v>
      </c>
    </row>
    <row r="9173" spans="1:6">
      <c r="A9173" s="34">
        <v>2084314094</v>
      </c>
      <c r="B9173" s="35" t="s">
        <v>462</v>
      </c>
      <c r="C9173" s="35" t="s">
        <v>1962</v>
      </c>
      <c r="D9173" s="35" t="s">
        <v>1773</v>
      </c>
      <c r="E9173" s="35" t="s">
        <v>1976</v>
      </c>
      <c r="F9173" s="35" t="s">
        <v>880</v>
      </c>
    </row>
    <row r="9174" spans="1:6">
      <c r="A9174" s="34">
        <v>2084314095</v>
      </c>
      <c r="B9174" s="35" t="s">
        <v>462</v>
      </c>
      <c r="C9174" s="35" t="s">
        <v>1962</v>
      </c>
      <c r="D9174" s="35" t="s">
        <v>1773</v>
      </c>
      <c r="E9174" s="35" t="s">
        <v>1976</v>
      </c>
      <c r="F9174" s="35" t="s">
        <v>881</v>
      </c>
    </row>
    <row r="9175" spans="1:6">
      <c r="A9175" s="34">
        <v>2084314069</v>
      </c>
      <c r="B9175" s="35" t="s">
        <v>462</v>
      </c>
      <c r="C9175" s="35" t="s">
        <v>1962</v>
      </c>
      <c r="D9175" s="35" t="s">
        <v>1773</v>
      </c>
      <c r="E9175" s="35" t="s">
        <v>1976</v>
      </c>
      <c r="F9175" s="35" t="s">
        <v>882</v>
      </c>
    </row>
    <row r="9176" spans="1:6">
      <c r="A9176" s="34">
        <v>2084314096</v>
      </c>
      <c r="B9176" s="35" t="s">
        <v>462</v>
      </c>
      <c r="C9176" s="35" t="s">
        <v>1962</v>
      </c>
      <c r="D9176" s="35" t="s">
        <v>1773</v>
      </c>
      <c r="E9176" s="35" t="s">
        <v>1976</v>
      </c>
      <c r="F9176" s="35" t="s">
        <v>883</v>
      </c>
    </row>
    <row r="9177" spans="1:6">
      <c r="A9177" s="34">
        <v>2084314097</v>
      </c>
      <c r="B9177" s="35" t="s">
        <v>462</v>
      </c>
      <c r="C9177" s="35" t="s">
        <v>1962</v>
      </c>
      <c r="D9177" s="35" t="s">
        <v>1773</v>
      </c>
      <c r="E9177" s="35" t="s">
        <v>1976</v>
      </c>
      <c r="F9177" s="35" t="s">
        <v>1964</v>
      </c>
    </row>
    <row r="9178" spans="1:6">
      <c r="A9178" s="34">
        <v>2084314098</v>
      </c>
      <c r="B9178" s="35" t="s">
        <v>462</v>
      </c>
      <c r="C9178" s="35" t="s">
        <v>1962</v>
      </c>
      <c r="D9178" s="35" t="s">
        <v>1773</v>
      </c>
      <c r="E9178" s="35" t="s">
        <v>1976</v>
      </c>
      <c r="F9178" s="35" t="s">
        <v>1965</v>
      </c>
    </row>
    <row r="9179" spans="1:6">
      <c r="A9179" s="34">
        <v>2084314099</v>
      </c>
      <c r="B9179" s="35" t="s">
        <v>462</v>
      </c>
      <c r="C9179" s="35" t="s">
        <v>1962</v>
      </c>
      <c r="D9179" s="35" t="s">
        <v>1773</v>
      </c>
      <c r="E9179" s="35" t="s">
        <v>1976</v>
      </c>
      <c r="F9179" s="35" t="s">
        <v>1966</v>
      </c>
    </row>
    <row r="9180" spans="1:6">
      <c r="A9180" s="34">
        <v>2084056556</v>
      </c>
      <c r="B9180" s="35" t="s">
        <v>462</v>
      </c>
      <c r="C9180" s="35" t="s">
        <v>1962</v>
      </c>
      <c r="D9180" s="35" t="s">
        <v>1773</v>
      </c>
      <c r="E9180" s="35" t="s">
        <v>1775</v>
      </c>
      <c r="F9180" s="35" t="s">
        <v>875</v>
      </c>
    </row>
    <row r="9181" spans="1:6">
      <c r="A9181" s="34">
        <v>2084056557</v>
      </c>
      <c r="B9181" s="35" t="s">
        <v>462</v>
      </c>
      <c r="C9181" s="35" t="s">
        <v>1962</v>
      </c>
      <c r="D9181" s="35" t="s">
        <v>1773</v>
      </c>
      <c r="E9181" s="35" t="s">
        <v>1775</v>
      </c>
      <c r="F9181" s="35" t="s">
        <v>793</v>
      </c>
    </row>
    <row r="9182" spans="1:6">
      <c r="A9182" s="34">
        <v>2084056558</v>
      </c>
      <c r="B9182" s="35" t="s">
        <v>462</v>
      </c>
      <c r="C9182" s="35" t="s">
        <v>1962</v>
      </c>
      <c r="D9182" s="35" t="s">
        <v>1773</v>
      </c>
      <c r="E9182" s="35" t="s">
        <v>1775</v>
      </c>
      <c r="F9182" s="35" t="s">
        <v>876</v>
      </c>
    </row>
    <row r="9183" spans="1:6">
      <c r="A9183" s="34">
        <v>2084056559</v>
      </c>
      <c r="B9183" s="35" t="s">
        <v>462</v>
      </c>
      <c r="C9183" s="35" t="s">
        <v>1962</v>
      </c>
      <c r="D9183" s="35" t="s">
        <v>1773</v>
      </c>
      <c r="E9183" s="35" t="s">
        <v>1775</v>
      </c>
      <c r="F9183" s="35" t="s">
        <v>877</v>
      </c>
    </row>
    <row r="9184" spans="1:6">
      <c r="A9184" s="34">
        <v>2084056560</v>
      </c>
      <c r="B9184" s="35" t="s">
        <v>462</v>
      </c>
      <c r="C9184" s="35" t="s">
        <v>1962</v>
      </c>
      <c r="D9184" s="35" t="s">
        <v>1773</v>
      </c>
      <c r="E9184" s="35" t="s">
        <v>1775</v>
      </c>
      <c r="F9184" s="35" t="s">
        <v>878</v>
      </c>
    </row>
    <row r="9185" spans="1:6">
      <c r="A9185" s="34">
        <v>2084056561</v>
      </c>
      <c r="B9185" s="35" t="s">
        <v>462</v>
      </c>
      <c r="C9185" s="35" t="s">
        <v>1962</v>
      </c>
      <c r="D9185" s="35" t="s">
        <v>1773</v>
      </c>
      <c r="E9185" s="35" t="s">
        <v>1775</v>
      </c>
      <c r="F9185" s="35" t="s">
        <v>879</v>
      </c>
    </row>
    <row r="9186" spans="1:6">
      <c r="A9186" s="34">
        <v>2084056562</v>
      </c>
      <c r="B9186" s="35" t="s">
        <v>462</v>
      </c>
      <c r="C9186" s="35" t="s">
        <v>1962</v>
      </c>
      <c r="D9186" s="35" t="s">
        <v>1773</v>
      </c>
      <c r="E9186" s="35" t="s">
        <v>1775</v>
      </c>
      <c r="F9186" s="35" t="s">
        <v>880</v>
      </c>
    </row>
    <row r="9187" spans="1:6">
      <c r="A9187" s="34">
        <v>2084056563</v>
      </c>
      <c r="B9187" s="35" t="s">
        <v>462</v>
      </c>
      <c r="C9187" s="35" t="s">
        <v>1962</v>
      </c>
      <c r="D9187" s="35" t="s">
        <v>1773</v>
      </c>
      <c r="E9187" s="35" t="s">
        <v>1775</v>
      </c>
      <c r="F9187" s="35" t="s">
        <v>881</v>
      </c>
    </row>
    <row r="9188" spans="1:6">
      <c r="A9188" s="34">
        <v>2084056564</v>
      </c>
      <c r="B9188" s="35" t="s">
        <v>462</v>
      </c>
      <c r="C9188" s="35" t="s">
        <v>1962</v>
      </c>
      <c r="D9188" s="35" t="s">
        <v>1773</v>
      </c>
      <c r="E9188" s="35" t="s">
        <v>1775</v>
      </c>
      <c r="F9188" s="35" t="s">
        <v>882</v>
      </c>
    </row>
    <row r="9189" spans="1:6">
      <c r="A9189" s="34">
        <v>2084056565</v>
      </c>
      <c r="B9189" s="35" t="s">
        <v>462</v>
      </c>
      <c r="C9189" s="35" t="s">
        <v>1962</v>
      </c>
      <c r="D9189" s="35" t="s">
        <v>1773</v>
      </c>
      <c r="E9189" s="35" t="s">
        <v>1775</v>
      </c>
      <c r="F9189" s="35" t="s">
        <v>883</v>
      </c>
    </row>
    <row r="9190" spans="1:6">
      <c r="A9190" s="34">
        <v>2084056566</v>
      </c>
      <c r="B9190" s="35" t="s">
        <v>462</v>
      </c>
      <c r="C9190" s="35" t="s">
        <v>1962</v>
      </c>
      <c r="D9190" s="35" t="s">
        <v>1773</v>
      </c>
      <c r="E9190" s="35" t="s">
        <v>1775</v>
      </c>
      <c r="F9190" s="35" t="s">
        <v>1964</v>
      </c>
    </row>
    <row r="9191" spans="1:6">
      <c r="A9191" s="34">
        <v>2084056567</v>
      </c>
      <c r="B9191" s="35" t="s">
        <v>462</v>
      </c>
      <c r="C9191" s="35" t="s">
        <v>1962</v>
      </c>
      <c r="D9191" s="35" t="s">
        <v>1773</v>
      </c>
      <c r="E9191" s="35" t="s">
        <v>1775</v>
      </c>
      <c r="F9191" s="35" t="s">
        <v>1965</v>
      </c>
    </row>
    <row r="9192" spans="1:6">
      <c r="A9192" s="34">
        <v>2084056568</v>
      </c>
      <c r="B9192" s="35" t="s">
        <v>462</v>
      </c>
      <c r="C9192" s="35" t="s">
        <v>1962</v>
      </c>
      <c r="D9192" s="35" t="s">
        <v>1773</v>
      </c>
      <c r="E9192" s="35" t="s">
        <v>1775</v>
      </c>
      <c r="F9192" s="35" t="s">
        <v>1966</v>
      </c>
    </row>
    <row r="9193" spans="1:6">
      <c r="A9193" s="34">
        <v>2084314100</v>
      </c>
      <c r="B9193" s="35" t="s">
        <v>462</v>
      </c>
      <c r="C9193" s="35" t="s">
        <v>1962</v>
      </c>
      <c r="D9193" s="35" t="s">
        <v>1773</v>
      </c>
      <c r="E9193" s="35" t="s">
        <v>1776</v>
      </c>
      <c r="F9193" s="35" t="s">
        <v>875</v>
      </c>
    </row>
    <row r="9194" spans="1:6">
      <c r="A9194" s="34">
        <v>2084314101</v>
      </c>
      <c r="B9194" s="35" t="s">
        <v>462</v>
      </c>
      <c r="C9194" s="35" t="s">
        <v>1962</v>
      </c>
      <c r="D9194" s="35" t="s">
        <v>1773</v>
      </c>
      <c r="E9194" s="35" t="s">
        <v>1776</v>
      </c>
      <c r="F9194" s="35" t="s">
        <v>793</v>
      </c>
    </row>
    <row r="9195" spans="1:6">
      <c r="A9195" s="34">
        <v>2084314102</v>
      </c>
      <c r="B9195" s="35" t="s">
        <v>462</v>
      </c>
      <c r="C9195" s="35" t="s">
        <v>1962</v>
      </c>
      <c r="D9195" s="35" t="s">
        <v>1773</v>
      </c>
      <c r="E9195" s="35" t="s">
        <v>1776</v>
      </c>
      <c r="F9195" s="35" t="s">
        <v>876</v>
      </c>
    </row>
    <row r="9196" spans="1:6">
      <c r="A9196" s="34">
        <v>2084314103</v>
      </c>
      <c r="B9196" s="35" t="s">
        <v>462</v>
      </c>
      <c r="C9196" s="35" t="s">
        <v>1962</v>
      </c>
      <c r="D9196" s="35" t="s">
        <v>1773</v>
      </c>
      <c r="E9196" s="35" t="s">
        <v>1776</v>
      </c>
      <c r="F9196" s="35" t="s">
        <v>877</v>
      </c>
    </row>
    <row r="9197" spans="1:6">
      <c r="A9197" s="34">
        <v>2084314104</v>
      </c>
      <c r="B9197" s="35" t="s">
        <v>462</v>
      </c>
      <c r="C9197" s="35" t="s">
        <v>1962</v>
      </c>
      <c r="D9197" s="35" t="s">
        <v>1773</v>
      </c>
      <c r="E9197" s="35" t="s">
        <v>1776</v>
      </c>
      <c r="F9197" s="35" t="s">
        <v>878</v>
      </c>
    </row>
    <row r="9198" spans="1:6">
      <c r="A9198" s="34">
        <v>2084314105</v>
      </c>
      <c r="B9198" s="35" t="s">
        <v>462</v>
      </c>
      <c r="C9198" s="35" t="s">
        <v>1962</v>
      </c>
      <c r="D9198" s="35" t="s">
        <v>1773</v>
      </c>
      <c r="E9198" s="35" t="s">
        <v>1776</v>
      </c>
      <c r="F9198" s="35" t="s">
        <v>879</v>
      </c>
    </row>
    <row r="9199" spans="1:6">
      <c r="A9199" s="34">
        <v>2084314106</v>
      </c>
      <c r="B9199" s="35" t="s">
        <v>462</v>
      </c>
      <c r="C9199" s="35" t="s">
        <v>1962</v>
      </c>
      <c r="D9199" s="35" t="s">
        <v>1773</v>
      </c>
      <c r="E9199" s="35" t="s">
        <v>1776</v>
      </c>
      <c r="F9199" s="35" t="s">
        <v>880</v>
      </c>
    </row>
    <row r="9200" spans="1:6">
      <c r="A9200" s="34">
        <v>2084314107</v>
      </c>
      <c r="B9200" s="35" t="s">
        <v>462</v>
      </c>
      <c r="C9200" s="35" t="s">
        <v>1962</v>
      </c>
      <c r="D9200" s="35" t="s">
        <v>1773</v>
      </c>
      <c r="E9200" s="35" t="s">
        <v>1776</v>
      </c>
      <c r="F9200" s="35" t="s">
        <v>881</v>
      </c>
    </row>
    <row r="9201" spans="1:6">
      <c r="A9201" s="34">
        <v>2084314108</v>
      </c>
      <c r="B9201" s="35" t="s">
        <v>462</v>
      </c>
      <c r="C9201" s="35" t="s">
        <v>1962</v>
      </c>
      <c r="D9201" s="35" t="s">
        <v>1773</v>
      </c>
      <c r="E9201" s="35" t="s">
        <v>1776</v>
      </c>
      <c r="F9201" s="35" t="s">
        <v>882</v>
      </c>
    </row>
    <row r="9202" spans="1:6">
      <c r="A9202" s="34">
        <v>2084314109</v>
      </c>
      <c r="B9202" s="35" t="s">
        <v>462</v>
      </c>
      <c r="C9202" s="35" t="s">
        <v>1962</v>
      </c>
      <c r="D9202" s="35" t="s">
        <v>1773</v>
      </c>
      <c r="E9202" s="35" t="s">
        <v>1776</v>
      </c>
      <c r="F9202" s="35" t="s">
        <v>883</v>
      </c>
    </row>
    <row r="9203" spans="1:6">
      <c r="A9203" s="34">
        <v>2084314110</v>
      </c>
      <c r="B9203" s="35" t="s">
        <v>462</v>
      </c>
      <c r="C9203" s="35" t="s">
        <v>1962</v>
      </c>
      <c r="D9203" s="35" t="s">
        <v>1773</v>
      </c>
      <c r="E9203" s="35" t="s">
        <v>1776</v>
      </c>
      <c r="F9203" s="35" t="s">
        <v>1964</v>
      </c>
    </row>
    <row r="9204" spans="1:6">
      <c r="A9204" s="34">
        <v>2084314111</v>
      </c>
      <c r="B9204" s="35" t="s">
        <v>462</v>
      </c>
      <c r="C9204" s="35" t="s">
        <v>1962</v>
      </c>
      <c r="D9204" s="35" t="s">
        <v>1773</v>
      </c>
      <c r="E9204" s="35" t="s">
        <v>1776</v>
      </c>
      <c r="F9204" s="35" t="s">
        <v>1965</v>
      </c>
    </row>
    <row r="9205" spans="1:6">
      <c r="A9205" s="34">
        <v>2084314112</v>
      </c>
      <c r="B9205" s="35" t="s">
        <v>462</v>
      </c>
      <c r="C9205" s="35" t="s">
        <v>1962</v>
      </c>
      <c r="D9205" s="35" t="s">
        <v>1773</v>
      </c>
      <c r="E9205" s="35" t="s">
        <v>1776</v>
      </c>
      <c r="F9205" s="35" t="s">
        <v>1966</v>
      </c>
    </row>
    <row r="9206" spans="1:6">
      <c r="A9206" s="34">
        <v>2084007828</v>
      </c>
      <c r="B9206" s="35" t="s">
        <v>462</v>
      </c>
      <c r="C9206" s="35" t="s">
        <v>1962</v>
      </c>
      <c r="D9206" s="35" t="s">
        <v>1773</v>
      </c>
      <c r="E9206" s="35" t="s">
        <v>1132</v>
      </c>
      <c r="F9206" s="35" t="s">
        <v>875</v>
      </c>
    </row>
    <row r="9207" spans="1:6">
      <c r="A9207" s="34">
        <v>2084007830</v>
      </c>
      <c r="B9207" s="35" t="s">
        <v>462</v>
      </c>
      <c r="C9207" s="35" t="s">
        <v>1962</v>
      </c>
      <c r="D9207" s="35" t="s">
        <v>1773</v>
      </c>
      <c r="E9207" s="35" t="s">
        <v>1132</v>
      </c>
      <c r="F9207" s="35" t="s">
        <v>793</v>
      </c>
    </row>
    <row r="9208" spans="1:6">
      <c r="A9208" s="34">
        <v>2084007831</v>
      </c>
      <c r="B9208" s="35" t="s">
        <v>462</v>
      </c>
      <c r="C9208" s="35" t="s">
        <v>1962</v>
      </c>
      <c r="D9208" s="35" t="s">
        <v>1773</v>
      </c>
      <c r="E9208" s="35" t="s">
        <v>1132</v>
      </c>
      <c r="F9208" s="35" t="s">
        <v>876</v>
      </c>
    </row>
    <row r="9209" spans="1:6">
      <c r="A9209" s="34">
        <v>2084007832</v>
      </c>
      <c r="B9209" s="35" t="s">
        <v>462</v>
      </c>
      <c r="C9209" s="35" t="s">
        <v>1962</v>
      </c>
      <c r="D9209" s="35" t="s">
        <v>1773</v>
      </c>
      <c r="E9209" s="35" t="s">
        <v>1132</v>
      </c>
      <c r="F9209" s="35" t="s">
        <v>877</v>
      </c>
    </row>
    <row r="9210" spans="1:6">
      <c r="A9210" s="34">
        <v>2084007833</v>
      </c>
      <c r="B9210" s="35" t="s">
        <v>462</v>
      </c>
      <c r="C9210" s="35" t="s">
        <v>1962</v>
      </c>
      <c r="D9210" s="35" t="s">
        <v>1773</v>
      </c>
      <c r="E9210" s="35" t="s">
        <v>1132</v>
      </c>
      <c r="F9210" s="35" t="s">
        <v>878</v>
      </c>
    </row>
    <row r="9211" spans="1:6">
      <c r="A9211" s="34">
        <v>2084007834</v>
      </c>
      <c r="B9211" s="35" t="s">
        <v>462</v>
      </c>
      <c r="C9211" s="35" t="s">
        <v>1962</v>
      </c>
      <c r="D9211" s="35" t="s">
        <v>1773</v>
      </c>
      <c r="E9211" s="35" t="s">
        <v>1132</v>
      </c>
      <c r="F9211" s="35" t="s">
        <v>879</v>
      </c>
    </row>
    <row r="9212" spans="1:6">
      <c r="A9212" s="34">
        <v>2084007835</v>
      </c>
      <c r="B9212" s="35" t="s">
        <v>462</v>
      </c>
      <c r="C9212" s="35" t="s">
        <v>1962</v>
      </c>
      <c r="D9212" s="35" t="s">
        <v>1773</v>
      </c>
      <c r="E9212" s="35" t="s">
        <v>1132</v>
      </c>
      <c r="F9212" s="35" t="s">
        <v>880</v>
      </c>
    </row>
    <row r="9213" spans="1:6">
      <c r="A9213" s="34">
        <v>2084007836</v>
      </c>
      <c r="B9213" s="35" t="s">
        <v>462</v>
      </c>
      <c r="C9213" s="35" t="s">
        <v>1962</v>
      </c>
      <c r="D9213" s="35" t="s">
        <v>1773</v>
      </c>
      <c r="E9213" s="35" t="s">
        <v>1132</v>
      </c>
      <c r="F9213" s="35" t="s">
        <v>881</v>
      </c>
    </row>
    <row r="9214" spans="1:6">
      <c r="A9214" s="34">
        <v>2084023604</v>
      </c>
      <c r="B9214" s="35" t="s">
        <v>462</v>
      </c>
      <c r="C9214" s="35" t="s">
        <v>1962</v>
      </c>
      <c r="D9214" s="35" t="s">
        <v>1773</v>
      </c>
      <c r="E9214" s="35" t="s">
        <v>1132</v>
      </c>
      <c r="F9214" s="35" t="s">
        <v>882</v>
      </c>
    </row>
    <row r="9215" spans="1:6">
      <c r="A9215" s="34">
        <v>2084023605</v>
      </c>
      <c r="B9215" s="35" t="s">
        <v>462</v>
      </c>
      <c r="C9215" s="35" t="s">
        <v>1962</v>
      </c>
      <c r="D9215" s="35" t="s">
        <v>1773</v>
      </c>
      <c r="E9215" s="35" t="s">
        <v>1132</v>
      </c>
      <c r="F9215" s="35" t="s">
        <v>883</v>
      </c>
    </row>
    <row r="9216" spans="1:6">
      <c r="A9216" s="34">
        <v>2084023606</v>
      </c>
      <c r="B9216" s="35" t="s">
        <v>462</v>
      </c>
      <c r="C9216" s="35" t="s">
        <v>1962</v>
      </c>
      <c r="D9216" s="35" t="s">
        <v>1773</v>
      </c>
      <c r="E9216" s="35" t="s">
        <v>1132</v>
      </c>
      <c r="F9216" s="35" t="s">
        <v>1964</v>
      </c>
    </row>
    <row r="9217" spans="1:6">
      <c r="A9217" s="34">
        <v>2084231298</v>
      </c>
      <c r="B9217" s="35" t="s">
        <v>462</v>
      </c>
      <c r="C9217" s="35" t="s">
        <v>1962</v>
      </c>
      <c r="D9217" s="35" t="s">
        <v>1773</v>
      </c>
      <c r="E9217" s="35" t="s">
        <v>1132</v>
      </c>
      <c r="F9217" s="35" t="s">
        <v>1965</v>
      </c>
    </row>
    <row r="9218" spans="1:6">
      <c r="A9218" s="34">
        <v>2084023607</v>
      </c>
      <c r="B9218" s="35" t="s">
        <v>462</v>
      </c>
      <c r="C9218" s="35" t="s">
        <v>1962</v>
      </c>
      <c r="D9218" s="35" t="s">
        <v>1773</v>
      </c>
      <c r="E9218" s="35" t="s">
        <v>1132</v>
      </c>
      <c r="F9218" s="35" t="s">
        <v>1966</v>
      </c>
    </row>
    <row r="9219" spans="1:6">
      <c r="A9219" s="34">
        <v>2084056582</v>
      </c>
      <c r="B9219" s="35" t="s">
        <v>462</v>
      </c>
      <c r="C9219" s="35" t="s">
        <v>1962</v>
      </c>
      <c r="D9219" s="35" t="s">
        <v>1773</v>
      </c>
      <c r="E9219" s="35" t="s">
        <v>1777</v>
      </c>
      <c r="F9219" s="35" t="s">
        <v>875</v>
      </c>
    </row>
    <row r="9220" spans="1:6">
      <c r="A9220" s="34">
        <v>2084056583</v>
      </c>
      <c r="B9220" s="35" t="s">
        <v>462</v>
      </c>
      <c r="C9220" s="35" t="s">
        <v>1962</v>
      </c>
      <c r="D9220" s="35" t="s">
        <v>1773</v>
      </c>
      <c r="E9220" s="35" t="s">
        <v>1777</v>
      </c>
      <c r="F9220" s="35" t="s">
        <v>793</v>
      </c>
    </row>
    <row r="9221" spans="1:6">
      <c r="A9221" s="34">
        <v>2084056584</v>
      </c>
      <c r="B9221" s="35" t="s">
        <v>462</v>
      </c>
      <c r="C9221" s="35" t="s">
        <v>1962</v>
      </c>
      <c r="D9221" s="35" t="s">
        <v>1773</v>
      </c>
      <c r="E9221" s="35" t="s">
        <v>1777</v>
      </c>
      <c r="F9221" s="35" t="s">
        <v>876</v>
      </c>
    </row>
    <row r="9222" spans="1:6">
      <c r="A9222" s="34">
        <v>2084056585</v>
      </c>
      <c r="B9222" s="35" t="s">
        <v>462</v>
      </c>
      <c r="C9222" s="35" t="s">
        <v>1962</v>
      </c>
      <c r="D9222" s="35" t="s">
        <v>1773</v>
      </c>
      <c r="E9222" s="35" t="s">
        <v>1777</v>
      </c>
      <c r="F9222" s="35" t="s">
        <v>877</v>
      </c>
    </row>
    <row r="9223" spans="1:6">
      <c r="A9223" s="34">
        <v>2084056586</v>
      </c>
      <c r="B9223" s="35" t="s">
        <v>462</v>
      </c>
      <c r="C9223" s="35" t="s">
        <v>1962</v>
      </c>
      <c r="D9223" s="35" t="s">
        <v>1773</v>
      </c>
      <c r="E9223" s="35" t="s">
        <v>1777</v>
      </c>
      <c r="F9223" s="35" t="s">
        <v>878</v>
      </c>
    </row>
    <row r="9224" spans="1:6">
      <c r="A9224" s="34">
        <v>2084056587</v>
      </c>
      <c r="B9224" s="35" t="s">
        <v>462</v>
      </c>
      <c r="C9224" s="35" t="s">
        <v>1962</v>
      </c>
      <c r="D9224" s="35" t="s">
        <v>1773</v>
      </c>
      <c r="E9224" s="35" t="s">
        <v>1777</v>
      </c>
      <c r="F9224" s="35" t="s">
        <v>879</v>
      </c>
    </row>
    <row r="9225" spans="1:6">
      <c r="A9225" s="34">
        <v>2084056588</v>
      </c>
      <c r="B9225" s="35" t="s">
        <v>462</v>
      </c>
      <c r="C9225" s="35" t="s">
        <v>1962</v>
      </c>
      <c r="D9225" s="35" t="s">
        <v>1773</v>
      </c>
      <c r="E9225" s="35" t="s">
        <v>1777</v>
      </c>
      <c r="F9225" s="35" t="s">
        <v>880</v>
      </c>
    </row>
    <row r="9226" spans="1:6">
      <c r="A9226" s="34">
        <v>2084056589</v>
      </c>
      <c r="B9226" s="35" t="s">
        <v>462</v>
      </c>
      <c r="C9226" s="35" t="s">
        <v>1962</v>
      </c>
      <c r="D9226" s="35" t="s">
        <v>1773</v>
      </c>
      <c r="E9226" s="35" t="s">
        <v>1777</v>
      </c>
      <c r="F9226" s="35" t="s">
        <v>881</v>
      </c>
    </row>
    <row r="9227" spans="1:6">
      <c r="A9227" s="34">
        <v>2084056590</v>
      </c>
      <c r="B9227" s="35" t="s">
        <v>462</v>
      </c>
      <c r="C9227" s="35" t="s">
        <v>1962</v>
      </c>
      <c r="D9227" s="35" t="s">
        <v>1773</v>
      </c>
      <c r="E9227" s="35" t="s">
        <v>1777</v>
      </c>
      <c r="F9227" s="35" t="s">
        <v>882</v>
      </c>
    </row>
    <row r="9228" spans="1:6">
      <c r="A9228" s="34">
        <v>2084056591</v>
      </c>
      <c r="B9228" s="35" t="s">
        <v>462</v>
      </c>
      <c r="C9228" s="35" t="s">
        <v>1962</v>
      </c>
      <c r="D9228" s="35" t="s">
        <v>1773</v>
      </c>
      <c r="E9228" s="35" t="s">
        <v>1777</v>
      </c>
      <c r="F9228" s="35" t="s">
        <v>883</v>
      </c>
    </row>
    <row r="9229" spans="1:6">
      <c r="A9229" s="34">
        <v>2084056592</v>
      </c>
      <c r="B9229" s="35" t="s">
        <v>462</v>
      </c>
      <c r="C9229" s="35" t="s">
        <v>1962</v>
      </c>
      <c r="D9229" s="35" t="s">
        <v>1773</v>
      </c>
      <c r="E9229" s="35" t="s">
        <v>1777</v>
      </c>
      <c r="F9229" s="35" t="s">
        <v>1964</v>
      </c>
    </row>
    <row r="9230" spans="1:6">
      <c r="A9230" s="34">
        <v>2084056593</v>
      </c>
      <c r="B9230" s="35" t="s">
        <v>462</v>
      </c>
      <c r="C9230" s="35" t="s">
        <v>1962</v>
      </c>
      <c r="D9230" s="35" t="s">
        <v>1773</v>
      </c>
      <c r="E9230" s="35" t="s">
        <v>1777</v>
      </c>
      <c r="F9230" s="35" t="s">
        <v>1965</v>
      </c>
    </row>
    <row r="9231" spans="1:6">
      <c r="A9231" s="34">
        <v>2084056594</v>
      </c>
      <c r="B9231" s="35" t="s">
        <v>462</v>
      </c>
      <c r="C9231" s="35" t="s">
        <v>1962</v>
      </c>
      <c r="D9231" s="35" t="s">
        <v>1773</v>
      </c>
      <c r="E9231" s="35" t="s">
        <v>1777</v>
      </c>
      <c r="F9231" s="35" t="s">
        <v>1966</v>
      </c>
    </row>
    <row r="9232" spans="1:6">
      <c r="A9232" s="34">
        <v>2084056595</v>
      </c>
      <c r="B9232" s="35" t="s">
        <v>462</v>
      </c>
      <c r="C9232" s="35" t="s">
        <v>1962</v>
      </c>
      <c r="D9232" s="35" t="s">
        <v>1773</v>
      </c>
      <c r="E9232" s="35" t="s">
        <v>1977</v>
      </c>
      <c r="F9232" s="35" t="s">
        <v>875</v>
      </c>
    </row>
    <row r="9233" spans="1:6">
      <c r="A9233" s="34">
        <v>2084056596</v>
      </c>
      <c r="B9233" s="35" t="s">
        <v>462</v>
      </c>
      <c r="C9233" s="35" t="s">
        <v>1962</v>
      </c>
      <c r="D9233" s="35" t="s">
        <v>1773</v>
      </c>
      <c r="E9233" s="35" t="s">
        <v>1977</v>
      </c>
      <c r="F9233" s="35" t="s">
        <v>793</v>
      </c>
    </row>
    <row r="9234" spans="1:6">
      <c r="A9234" s="34">
        <v>2084056597</v>
      </c>
      <c r="B9234" s="35" t="s">
        <v>462</v>
      </c>
      <c r="C9234" s="35" t="s">
        <v>1962</v>
      </c>
      <c r="D9234" s="35" t="s">
        <v>1773</v>
      </c>
      <c r="E9234" s="35" t="s">
        <v>1977</v>
      </c>
      <c r="F9234" s="35" t="s">
        <v>876</v>
      </c>
    </row>
    <row r="9235" spans="1:6">
      <c r="A9235" s="34">
        <v>2084056598</v>
      </c>
      <c r="B9235" s="35" t="s">
        <v>462</v>
      </c>
      <c r="C9235" s="35" t="s">
        <v>1962</v>
      </c>
      <c r="D9235" s="35" t="s">
        <v>1773</v>
      </c>
      <c r="E9235" s="35" t="s">
        <v>1977</v>
      </c>
      <c r="F9235" s="35" t="s">
        <v>877</v>
      </c>
    </row>
    <row r="9236" spans="1:6">
      <c r="A9236" s="34">
        <v>2084056599</v>
      </c>
      <c r="B9236" s="35" t="s">
        <v>462</v>
      </c>
      <c r="C9236" s="35" t="s">
        <v>1962</v>
      </c>
      <c r="D9236" s="35" t="s">
        <v>1773</v>
      </c>
      <c r="E9236" s="35" t="s">
        <v>1977</v>
      </c>
      <c r="F9236" s="35" t="s">
        <v>878</v>
      </c>
    </row>
    <row r="9237" spans="1:6">
      <c r="A9237" s="34">
        <v>2084056600</v>
      </c>
      <c r="B9237" s="35" t="s">
        <v>462</v>
      </c>
      <c r="C9237" s="35" t="s">
        <v>1962</v>
      </c>
      <c r="D9237" s="35" t="s">
        <v>1773</v>
      </c>
      <c r="E9237" s="35" t="s">
        <v>1977</v>
      </c>
      <c r="F9237" s="35" t="s">
        <v>879</v>
      </c>
    </row>
    <row r="9238" spans="1:6">
      <c r="A9238" s="34">
        <v>2084056601</v>
      </c>
      <c r="B9238" s="35" t="s">
        <v>462</v>
      </c>
      <c r="C9238" s="35" t="s">
        <v>1962</v>
      </c>
      <c r="D9238" s="35" t="s">
        <v>1773</v>
      </c>
      <c r="E9238" s="35" t="s">
        <v>1977</v>
      </c>
      <c r="F9238" s="35" t="s">
        <v>880</v>
      </c>
    </row>
    <row r="9239" spans="1:6">
      <c r="A9239" s="34">
        <v>2084056602</v>
      </c>
      <c r="B9239" s="35" t="s">
        <v>462</v>
      </c>
      <c r="C9239" s="35" t="s">
        <v>1962</v>
      </c>
      <c r="D9239" s="35" t="s">
        <v>1773</v>
      </c>
      <c r="E9239" s="35" t="s">
        <v>1977</v>
      </c>
      <c r="F9239" s="35" t="s">
        <v>881</v>
      </c>
    </row>
    <row r="9240" spans="1:6">
      <c r="A9240" s="34">
        <v>2084056603</v>
      </c>
      <c r="B9240" s="35" t="s">
        <v>462</v>
      </c>
      <c r="C9240" s="35" t="s">
        <v>1962</v>
      </c>
      <c r="D9240" s="35" t="s">
        <v>1773</v>
      </c>
      <c r="E9240" s="35" t="s">
        <v>1977</v>
      </c>
      <c r="F9240" s="35" t="s">
        <v>882</v>
      </c>
    </row>
    <row r="9241" spans="1:6">
      <c r="A9241" s="34">
        <v>2084056604</v>
      </c>
      <c r="B9241" s="35" t="s">
        <v>462</v>
      </c>
      <c r="C9241" s="35" t="s">
        <v>1962</v>
      </c>
      <c r="D9241" s="35" t="s">
        <v>1773</v>
      </c>
      <c r="E9241" s="35" t="s">
        <v>1977</v>
      </c>
      <c r="F9241" s="35" t="s">
        <v>883</v>
      </c>
    </row>
    <row r="9242" spans="1:6">
      <c r="A9242" s="34">
        <v>2084056605</v>
      </c>
      <c r="B9242" s="35" t="s">
        <v>462</v>
      </c>
      <c r="C9242" s="35" t="s">
        <v>1962</v>
      </c>
      <c r="D9242" s="35" t="s">
        <v>1773</v>
      </c>
      <c r="E9242" s="35" t="s">
        <v>1977</v>
      </c>
      <c r="F9242" s="35" t="s">
        <v>1964</v>
      </c>
    </row>
    <row r="9243" spans="1:6">
      <c r="A9243" s="34">
        <v>2084056606</v>
      </c>
      <c r="B9243" s="35" t="s">
        <v>462</v>
      </c>
      <c r="C9243" s="35" t="s">
        <v>1962</v>
      </c>
      <c r="D9243" s="35" t="s">
        <v>1773</v>
      </c>
      <c r="E9243" s="35" t="s">
        <v>1977</v>
      </c>
      <c r="F9243" s="35" t="s">
        <v>1965</v>
      </c>
    </row>
    <row r="9244" spans="1:6">
      <c r="A9244" s="34">
        <v>2084056607</v>
      </c>
      <c r="B9244" s="35" t="s">
        <v>462</v>
      </c>
      <c r="C9244" s="35" t="s">
        <v>1962</v>
      </c>
      <c r="D9244" s="35" t="s">
        <v>1773</v>
      </c>
      <c r="E9244" s="35" t="s">
        <v>1977</v>
      </c>
      <c r="F9244" s="35" t="s">
        <v>1966</v>
      </c>
    </row>
    <row r="9245" spans="1:6">
      <c r="A9245" s="34">
        <v>2084314113</v>
      </c>
      <c r="B9245" s="35" t="s">
        <v>462</v>
      </c>
      <c r="C9245" s="35" t="s">
        <v>1962</v>
      </c>
      <c r="D9245" s="35" t="s">
        <v>1773</v>
      </c>
      <c r="E9245" s="35" t="s">
        <v>1978</v>
      </c>
      <c r="F9245" s="35" t="s">
        <v>1979</v>
      </c>
    </row>
    <row r="9246" spans="1:6">
      <c r="A9246" s="34">
        <v>2084314114</v>
      </c>
      <c r="B9246" s="35" t="s">
        <v>462</v>
      </c>
      <c r="C9246" s="35" t="s">
        <v>1962</v>
      </c>
      <c r="D9246" s="35" t="s">
        <v>1773</v>
      </c>
      <c r="E9246" s="35" t="s">
        <v>1978</v>
      </c>
      <c r="F9246" s="35" t="s">
        <v>1980</v>
      </c>
    </row>
    <row r="9247" spans="1:6">
      <c r="A9247" s="34">
        <v>2084314115</v>
      </c>
      <c r="B9247" s="35" t="s">
        <v>462</v>
      </c>
      <c r="C9247" s="35" t="s">
        <v>1962</v>
      </c>
      <c r="D9247" s="35" t="s">
        <v>1773</v>
      </c>
      <c r="E9247" s="35" t="s">
        <v>1978</v>
      </c>
      <c r="F9247" s="35" t="s">
        <v>1969</v>
      </c>
    </row>
    <row r="9248" spans="1:6">
      <c r="A9248" s="34">
        <v>2084314116</v>
      </c>
      <c r="B9248" s="35" t="s">
        <v>462</v>
      </c>
      <c r="C9248" s="35" t="s">
        <v>1962</v>
      </c>
      <c r="D9248" s="35" t="s">
        <v>1773</v>
      </c>
      <c r="E9248" s="35" t="s">
        <v>1978</v>
      </c>
      <c r="F9248" s="35" t="s">
        <v>1981</v>
      </c>
    </row>
    <row r="9249" spans="1:6">
      <c r="A9249" s="34">
        <v>2084314117</v>
      </c>
      <c r="B9249" s="35" t="s">
        <v>462</v>
      </c>
      <c r="C9249" s="35" t="s">
        <v>1962</v>
      </c>
      <c r="D9249" s="35" t="s">
        <v>1773</v>
      </c>
      <c r="E9249" s="35" t="s">
        <v>1978</v>
      </c>
      <c r="F9249" s="35" t="s">
        <v>1982</v>
      </c>
    </row>
    <row r="9250" spans="1:6">
      <c r="A9250" s="34">
        <v>2084314118</v>
      </c>
      <c r="B9250" s="35" t="s">
        <v>462</v>
      </c>
      <c r="C9250" s="35" t="s">
        <v>1962</v>
      </c>
      <c r="D9250" s="35" t="s">
        <v>1773</v>
      </c>
      <c r="E9250" s="35" t="s">
        <v>1978</v>
      </c>
      <c r="F9250" s="35" t="s">
        <v>1983</v>
      </c>
    </row>
    <row r="9251" spans="1:6">
      <c r="A9251" s="34">
        <v>2084314119</v>
      </c>
      <c r="B9251" s="35" t="s">
        <v>462</v>
      </c>
      <c r="C9251" s="35" t="s">
        <v>1962</v>
      </c>
      <c r="D9251" s="35" t="s">
        <v>1773</v>
      </c>
      <c r="E9251" s="35" t="s">
        <v>1978</v>
      </c>
      <c r="F9251" s="35" t="s">
        <v>1984</v>
      </c>
    </row>
    <row r="9252" spans="1:6">
      <c r="A9252" s="34">
        <v>2084314120</v>
      </c>
      <c r="B9252" s="35" t="s">
        <v>462</v>
      </c>
      <c r="C9252" s="35" t="s">
        <v>1962</v>
      </c>
      <c r="D9252" s="35" t="s">
        <v>1773</v>
      </c>
      <c r="E9252" s="35" t="s">
        <v>1978</v>
      </c>
      <c r="F9252" s="35" t="s">
        <v>1985</v>
      </c>
    </row>
    <row r="9253" spans="1:6">
      <c r="A9253" s="34">
        <v>2084056608</v>
      </c>
      <c r="B9253" s="35" t="s">
        <v>462</v>
      </c>
      <c r="C9253" s="35" t="s">
        <v>1962</v>
      </c>
      <c r="D9253" s="35" t="s">
        <v>1773</v>
      </c>
      <c r="E9253" s="35" t="s">
        <v>1274</v>
      </c>
      <c r="F9253" s="35" t="s">
        <v>875</v>
      </c>
    </row>
    <row r="9254" spans="1:6">
      <c r="A9254" s="34">
        <v>2084056609</v>
      </c>
      <c r="B9254" s="35" t="s">
        <v>462</v>
      </c>
      <c r="C9254" s="35" t="s">
        <v>1962</v>
      </c>
      <c r="D9254" s="35" t="s">
        <v>1773</v>
      </c>
      <c r="E9254" s="35" t="s">
        <v>1274</v>
      </c>
      <c r="F9254" s="35" t="s">
        <v>793</v>
      </c>
    </row>
    <row r="9255" spans="1:6">
      <c r="A9255" s="34">
        <v>2084056610</v>
      </c>
      <c r="B9255" s="35" t="s">
        <v>462</v>
      </c>
      <c r="C9255" s="35" t="s">
        <v>1962</v>
      </c>
      <c r="D9255" s="35" t="s">
        <v>1773</v>
      </c>
      <c r="E9255" s="35" t="s">
        <v>1274</v>
      </c>
      <c r="F9255" s="35" t="s">
        <v>876</v>
      </c>
    </row>
    <row r="9256" spans="1:6">
      <c r="A9256" s="34">
        <v>2084056611</v>
      </c>
      <c r="B9256" s="35" t="s">
        <v>462</v>
      </c>
      <c r="C9256" s="35" t="s">
        <v>1962</v>
      </c>
      <c r="D9256" s="35" t="s">
        <v>1773</v>
      </c>
      <c r="E9256" s="35" t="s">
        <v>1274</v>
      </c>
      <c r="F9256" s="35" t="s">
        <v>877</v>
      </c>
    </row>
    <row r="9257" spans="1:6">
      <c r="A9257" s="34">
        <v>2084056612</v>
      </c>
      <c r="B9257" s="35" t="s">
        <v>462</v>
      </c>
      <c r="C9257" s="35" t="s">
        <v>1962</v>
      </c>
      <c r="D9257" s="35" t="s">
        <v>1773</v>
      </c>
      <c r="E9257" s="35" t="s">
        <v>1274</v>
      </c>
      <c r="F9257" s="35" t="s">
        <v>878</v>
      </c>
    </row>
    <row r="9258" spans="1:6">
      <c r="A9258" s="34">
        <v>2084056613</v>
      </c>
      <c r="B9258" s="35" t="s">
        <v>462</v>
      </c>
      <c r="C9258" s="35" t="s">
        <v>1962</v>
      </c>
      <c r="D9258" s="35" t="s">
        <v>1773</v>
      </c>
      <c r="E9258" s="35" t="s">
        <v>1274</v>
      </c>
      <c r="F9258" s="35" t="s">
        <v>879</v>
      </c>
    </row>
    <row r="9259" spans="1:6">
      <c r="A9259" s="34">
        <v>2084056614</v>
      </c>
      <c r="B9259" s="35" t="s">
        <v>462</v>
      </c>
      <c r="C9259" s="35" t="s">
        <v>1962</v>
      </c>
      <c r="D9259" s="35" t="s">
        <v>1773</v>
      </c>
      <c r="E9259" s="35" t="s">
        <v>1274</v>
      </c>
      <c r="F9259" s="35" t="s">
        <v>880</v>
      </c>
    </row>
    <row r="9260" spans="1:6">
      <c r="A9260" s="34">
        <v>2084056615</v>
      </c>
      <c r="B9260" s="35" t="s">
        <v>462</v>
      </c>
      <c r="C9260" s="35" t="s">
        <v>1962</v>
      </c>
      <c r="D9260" s="35" t="s">
        <v>1773</v>
      </c>
      <c r="E9260" s="35" t="s">
        <v>1274</v>
      </c>
      <c r="F9260" s="35" t="s">
        <v>881</v>
      </c>
    </row>
    <row r="9261" spans="1:6">
      <c r="A9261" s="34">
        <v>2084056616</v>
      </c>
      <c r="B9261" s="35" t="s">
        <v>462</v>
      </c>
      <c r="C9261" s="35" t="s">
        <v>1962</v>
      </c>
      <c r="D9261" s="35" t="s">
        <v>1773</v>
      </c>
      <c r="E9261" s="35" t="s">
        <v>1274</v>
      </c>
      <c r="F9261" s="35" t="s">
        <v>882</v>
      </c>
    </row>
    <row r="9262" spans="1:6">
      <c r="A9262" s="34">
        <v>2084056617</v>
      </c>
      <c r="B9262" s="35" t="s">
        <v>462</v>
      </c>
      <c r="C9262" s="35" t="s">
        <v>1962</v>
      </c>
      <c r="D9262" s="35" t="s">
        <v>1773</v>
      </c>
      <c r="E9262" s="35" t="s">
        <v>1274</v>
      </c>
      <c r="F9262" s="35" t="s">
        <v>883</v>
      </c>
    </row>
    <row r="9263" spans="1:6">
      <c r="A9263" s="34">
        <v>2084056618</v>
      </c>
      <c r="B9263" s="35" t="s">
        <v>462</v>
      </c>
      <c r="C9263" s="35" t="s">
        <v>1962</v>
      </c>
      <c r="D9263" s="35" t="s">
        <v>1773</v>
      </c>
      <c r="E9263" s="35" t="s">
        <v>1274</v>
      </c>
      <c r="F9263" s="35" t="s">
        <v>1964</v>
      </c>
    </row>
    <row r="9264" spans="1:6">
      <c r="A9264" s="34">
        <v>2084056619</v>
      </c>
      <c r="B9264" s="35" t="s">
        <v>462</v>
      </c>
      <c r="C9264" s="35" t="s">
        <v>1962</v>
      </c>
      <c r="D9264" s="35" t="s">
        <v>1773</v>
      </c>
      <c r="E9264" s="35" t="s">
        <v>1274</v>
      </c>
      <c r="F9264" s="35" t="s">
        <v>1965</v>
      </c>
    </row>
    <row r="9265" spans="1:6">
      <c r="A9265" s="34">
        <v>2084056620</v>
      </c>
      <c r="B9265" s="35" t="s">
        <v>462</v>
      </c>
      <c r="C9265" s="35" t="s">
        <v>1962</v>
      </c>
      <c r="D9265" s="35" t="s">
        <v>1773</v>
      </c>
      <c r="E9265" s="35" t="s">
        <v>1274</v>
      </c>
      <c r="F9265" s="35" t="s">
        <v>1966</v>
      </c>
    </row>
    <row r="9266" spans="1:6">
      <c r="A9266" s="34">
        <v>2084314121</v>
      </c>
      <c r="B9266" s="35" t="s">
        <v>462</v>
      </c>
      <c r="C9266" s="35" t="s">
        <v>1962</v>
      </c>
      <c r="D9266" s="35" t="s">
        <v>1773</v>
      </c>
      <c r="E9266" s="35" t="s">
        <v>1986</v>
      </c>
      <c r="F9266" s="35" t="s">
        <v>875</v>
      </c>
    </row>
    <row r="9267" spans="1:6">
      <c r="A9267" s="34">
        <v>2084314122</v>
      </c>
      <c r="B9267" s="35" t="s">
        <v>462</v>
      </c>
      <c r="C9267" s="35" t="s">
        <v>1962</v>
      </c>
      <c r="D9267" s="35" t="s">
        <v>1773</v>
      </c>
      <c r="E9267" s="35" t="s">
        <v>1986</v>
      </c>
      <c r="F9267" s="35" t="s">
        <v>793</v>
      </c>
    </row>
    <row r="9268" spans="1:6">
      <c r="A9268" s="34">
        <v>2084314123</v>
      </c>
      <c r="B9268" s="35" t="s">
        <v>462</v>
      </c>
      <c r="C9268" s="35" t="s">
        <v>1962</v>
      </c>
      <c r="D9268" s="35" t="s">
        <v>1773</v>
      </c>
      <c r="E9268" s="35" t="s">
        <v>1986</v>
      </c>
      <c r="F9268" s="35" t="s">
        <v>876</v>
      </c>
    </row>
    <row r="9269" spans="1:6">
      <c r="A9269" s="34">
        <v>2084314124</v>
      </c>
      <c r="B9269" s="35" t="s">
        <v>462</v>
      </c>
      <c r="C9269" s="35" t="s">
        <v>1962</v>
      </c>
      <c r="D9269" s="35" t="s">
        <v>1773</v>
      </c>
      <c r="E9269" s="35" t="s">
        <v>1986</v>
      </c>
      <c r="F9269" s="35" t="s">
        <v>877</v>
      </c>
    </row>
    <row r="9270" spans="1:6">
      <c r="A9270" s="34">
        <v>2084314125</v>
      </c>
      <c r="B9270" s="35" t="s">
        <v>462</v>
      </c>
      <c r="C9270" s="35" t="s">
        <v>1962</v>
      </c>
      <c r="D9270" s="35" t="s">
        <v>1773</v>
      </c>
      <c r="E9270" s="35" t="s">
        <v>1986</v>
      </c>
      <c r="F9270" s="35" t="s">
        <v>878</v>
      </c>
    </row>
    <row r="9271" spans="1:6">
      <c r="A9271" s="34">
        <v>2084314126</v>
      </c>
      <c r="B9271" s="35" t="s">
        <v>462</v>
      </c>
      <c r="C9271" s="35" t="s">
        <v>1962</v>
      </c>
      <c r="D9271" s="35" t="s">
        <v>1773</v>
      </c>
      <c r="E9271" s="35" t="s">
        <v>1986</v>
      </c>
      <c r="F9271" s="35" t="s">
        <v>879</v>
      </c>
    </row>
    <row r="9272" spans="1:6">
      <c r="A9272" s="34">
        <v>2084314127</v>
      </c>
      <c r="B9272" s="35" t="s">
        <v>462</v>
      </c>
      <c r="C9272" s="35" t="s">
        <v>1962</v>
      </c>
      <c r="D9272" s="35" t="s">
        <v>1773</v>
      </c>
      <c r="E9272" s="35" t="s">
        <v>1986</v>
      </c>
      <c r="F9272" s="35" t="s">
        <v>880</v>
      </c>
    </row>
    <row r="9273" spans="1:6">
      <c r="A9273" s="34">
        <v>2084314128</v>
      </c>
      <c r="B9273" s="35" t="s">
        <v>462</v>
      </c>
      <c r="C9273" s="35" t="s">
        <v>1962</v>
      </c>
      <c r="D9273" s="35" t="s">
        <v>1773</v>
      </c>
      <c r="E9273" s="35" t="s">
        <v>1986</v>
      </c>
      <c r="F9273" s="35" t="s">
        <v>881</v>
      </c>
    </row>
    <row r="9274" spans="1:6">
      <c r="A9274" s="34">
        <v>2084314129</v>
      </c>
      <c r="B9274" s="35" t="s">
        <v>462</v>
      </c>
      <c r="C9274" s="35" t="s">
        <v>1962</v>
      </c>
      <c r="D9274" s="35" t="s">
        <v>1773</v>
      </c>
      <c r="E9274" s="35" t="s">
        <v>1986</v>
      </c>
      <c r="F9274" s="35" t="s">
        <v>882</v>
      </c>
    </row>
    <row r="9275" spans="1:6">
      <c r="A9275" s="34">
        <v>2084314130</v>
      </c>
      <c r="B9275" s="35" t="s">
        <v>462</v>
      </c>
      <c r="C9275" s="35" t="s">
        <v>1962</v>
      </c>
      <c r="D9275" s="35" t="s">
        <v>1773</v>
      </c>
      <c r="E9275" s="35" t="s">
        <v>1986</v>
      </c>
      <c r="F9275" s="35" t="s">
        <v>883</v>
      </c>
    </row>
    <row r="9276" spans="1:6">
      <c r="A9276" s="34">
        <v>2084314131</v>
      </c>
      <c r="B9276" s="35" t="s">
        <v>462</v>
      </c>
      <c r="C9276" s="35" t="s">
        <v>1962</v>
      </c>
      <c r="D9276" s="35" t="s">
        <v>1773</v>
      </c>
      <c r="E9276" s="35" t="s">
        <v>1986</v>
      </c>
      <c r="F9276" s="35" t="s">
        <v>1964</v>
      </c>
    </row>
    <row r="9277" spans="1:6">
      <c r="A9277" s="34">
        <v>2084314132</v>
      </c>
      <c r="B9277" s="35" t="s">
        <v>462</v>
      </c>
      <c r="C9277" s="35" t="s">
        <v>1962</v>
      </c>
      <c r="D9277" s="35" t="s">
        <v>1773</v>
      </c>
      <c r="E9277" s="35" t="s">
        <v>1986</v>
      </c>
      <c r="F9277" s="35" t="s">
        <v>1965</v>
      </c>
    </row>
    <row r="9278" spans="1:6">
      <c r="A9278" s="34">
        <v>2084314133</v>
      </c>
      <c r="B9278" s="35" t="s">
        <v>462</v>
      </c>
      <c r="C9278" s="35" t="s">
        <v>1962</v>
      </c>
      <c r="D9278" s="35" t="s">
        <v>1773</v>
      </c>
      <c r="E9278" s="35" t="s">
        <v>1986</v>
      </c>
      <c r="F9278" s="35" t="s">
        <v>1966</v>
      </c>
    </row>
    <row r="9279" spans="1:6">
      <c r="A9279" s="34">
        <v>2084056621</v>
      </c>
      <c r="B9279" s="35" t="s">
        <v>462</v>
      </c>
      <c r="C9279" s="35" t="s">
        <v>1962</v>
      </c>
      <c r="D9279" s="35" t="s">
        <v>1773</v>
      </c>
      <c r="E9279" s="35" t="s">
        <v>1987</v>
      </c>
      <c r="F9279" s="35" t="s">
        <v>875</v>
      </c>
    </row>
    <row r="9280" spans="1:6">
      <c r="A9280" s="34">
        <v>2084056622</v>
      </c>
      <c r="B9280" s="35" t="s">
        <v>462</v>
      </c>
      <c r="C9280" s="35" t="s">
        <v>1962</v>
      </c>
      <c r="D9280" s="35" t="s">
        <v>1773</v>
      </c>
      <c r="E9280" s="35" t="s">
        <v>1987</v>
      </c>
      <c r="F9280" s="35" t="s">
        <v>793</v>
      </c>
    </row>
    <row r="9281" spans="1:6">
      <c r="A9281" s="34">
        <v>2084056623</v>
      </c>
      <c r="B9281" s="35" t="s">
        <v>462</v>
      </c>
      <c r="C9281" s="35" t="s">
        <v>1962</v>
      </c>
      <c r="D9281" s="35" t="s">
        <v>1773</v>
      </c>
      <c r="E9281" s="35" t="s">
        <v>1987</v>
      </c>
      <c r="F9281" s="35" t="s">
        <v>876</v>
      </c>
    </row>
    <row r="9282" spans="1:6">
      <c r="A9282" s="34">
        <v>2084056624</v>
      </c>
      <c r="B9282" s="35" t="s">
        <v>462</v>
      </c>
      <c r="C9282" s="35" t="s">
        <v>1962</v>
      </c>
      <c r="D9282" s="35" t="s">
        <v>1773</v>
      </c>
      <c r="E9282" s="35" t="s">
        <v>1987</v>
      </c>
      <c r="F9282" s="35" t="s">
        <v>877</v>
      </c>
    </row>
    <row r="9283" spans="1:6">
      <c r="A9283" s="34">
        <v>2084056625</v>
      </c>
      <c r="B9283" s="35" t="s">
        <v>462</v>
      </c>
      <c r="C9283" s="35" t="s">
        <v>1962</v>
      </c>
      <c r="D9283" s="35" t="s">
        <v>1773</v>
      </c>
      <c r="E9283" s="35" t="s">
        <v>1987</v>
      </c>
      <c r="F9283" s="35" t="s">
        <v>878</v>
      </c>
    </row>
    <row r="9284" spans="1:6">
      <c r="A9284" s="34">
        <v>2084056626</v>
      </c>
      <c r="B9284" s="35" t="s">
        <v>462</v>
      </c>
      <c r="C9284" s="35" t="s">
        <v>1962</v>
      </c>
      <c r="D9284" s="35" t="s">
        <v>1773</v>
      </c>
      <c r="E9284" s="35" t="s">
        <v>1987</v>
      </c>
      <c r="F9284" s="35" t="s">
        <v>879</v>
      </c>
    </row>
    <row r="9285" spans="1:6">
      <c r="A9285" s="34">
        <v>2084056627</v>
      </c>
      <c r="B9285" s="35" t="s">
        <v>462</v>
      </c>
      <c r="C9285" s="35" t="s">
        <v>1962</v>
      </c>
      <c r="D9285" s="35" t="s">
        <v>1773</v>
      </c>
      <c r="E9285" s="35" t="s">
        <v>1987</v>
      </c>
      <c r="F9285" s="35" t="s">
        <v>880</v>
      </c>
    </row>
    <row r="9286" spans="1:6">
      <c r="A9286" s="34">
        <v>2084056628</v>
      </c>
      <c r="B9286" s="35" t="s">
        <v>462</v>
      </c>
      <c r="C9286" s="35" t="s">
        <v>1962</v>
      </c>
      <c r="D9286" s="35" t="s">
        <v>1773</v>
      </c>
      <c r="E9286" s="35" t="s">
        <v>1987</v>
      </c>
      <c r="F9286" s="35" t="s">
        <v>881</v>
      </c>
    </row>
    <row r="9287" spans="1:6">
      <c r="A9287" s="34">
        <v>2084056629</v>
      </c>
      <c r="B9287" s="35" t="s">
        <v>462</v>
      </c>
      <c r="C9287" s="35" t="s">
        <v>1962</v>
      </c>
      <c r="D9287" s="35" t="s">
        <v>1773</v>
      </c>
      <c r="E9287" s="35" t="s">
        <v>1987</v>
      </c>
      <c r="F9287" s="35" t="s">
        <v>882</v>
      </c>
    </row>
    <row r="9288" spans="1:6">
      <c r="A9288" s="34">
        <v>2084056630</v>
      </c>
      <c r="B9288" s="35" t="s">
        <v>462</v>
      </c>
      <c r="C9288" s="35" t="s">
        <v>1962</v>
      </c>
      <c r="D9288" s="35" t="s">
        <v>1773</v>
      </c>
      <c r="E9288" s="35" t="s">
        <v>1987</v>
      </c>
      <c r="F9288" s="35" t="s">
        <v>883</v>
      </c>
    </row>
    <row r="9289" spans="1:6">
      <c r="A9289" s="34">
        <v>2084056631</v>
      </c>
      <c r="B9289" s="35" t="s">
        <v>462</v>
      </c>
      <c r="C9289" s="35" t="s">
        <v>1962</v>
      </c>
      <c r="D9289" s="35" t="s">
        <v>1773</v>
      </c>
      <c r="E9289" s="35" t="s">
        <v>1987</v>
      </c>
      <c r="F9289" s="35" t="s">
        <v>1964</v>
      </c>
    </row>
    <row r="9290" spans="1:6">
      <c r="A9290" s="34">
        <v>2084056632</v>
      </c>
      <c r="B9290" s="35" t="s">
        <v>462</v>
      </c>
      <c r="C9290" s="35" t="s">
        <v>1962</v>
      </c>
      <c r="D9290" s="35" t="s">
        <v>1773</v>
      </c>
      <c r="E9290" s="35" t="s">
        <v>1987</v>
      </c>
      <c r="F9290" s="35" t="s">
        <v>1965</v>
      </c>
    </row>
    <row r="9291" spans="1:6">
      <c r="A9291" s="34">
        <v>2084056633</v>
      </c>
      <c r="B9291" s="35" t="s">
        <v>462</v>
      </c>
      <c r="C9291" s="35" t="s">
        <v>1962</v>
      </c>
      <c r="D9291" s="35" t="s">
        <v>1773</v>
      </c>
      <c r="E9291" s="35" t="s">
        <v>1987</v>
      </c>
      <c r="F9291" s="35" t="s">
        <v>1966</v>
      </c>
    </row>
    <row r="9292" spans="1:6">
      <c r="A9292" s="34">
        <v>2084223936</v>
      </c>
      <c r="B9292" s="35" t="s">
        <v>462</v>
      </c>
      <c r="C9292" s="35" t="s">
        <v>1962</v>
      </c>
      <c r="D9292" s="35" t="s">
        <v>1773</v>
      </c>
      <c r="E9292" s="35" t="s">
        <v>429</v>
      </c>
      <c r="F9292" s="35" t="s">
        <v>875</v>
      </c>
    </row>
    <row r="9293" spans="1:6">
      <c r="A9293" s="34">
        <v>2084223937</v>
      </c>
      <c r="B9293" s="35" t="s">
        <v>462</v>
      </c>
      <c r="C9293" s="35" t="s">
        <v>1962</v>
      </c>
      <c r="D9293" s="35" t="s">
        <v>1773</v>
      </c>
      <c r="E9293" s="35" t="s">
        <v>429</v>
      </c>
      <c r="F9293" s="35" t="s">
        <v>793</v>
      </c>
    </row>
    <row r="9294" spans="1:6">
      <c r="A9294" s="34">
        <v>2084223938</v>
      </c>
      <c r="B9294" s="35" t="s">
        <v>462</v>
      </c>
      <c r="C9294" s="35" t="s">
        <v>1962</v>
      </c>
      <c r="D9294" s="35" t="s">
        <v>1773</v>
      </c>
      <c r="E9294" s="35" t="s">
        <v>429</v>
      </c>
      <c r="F9294" s="35" t="s">
        <v>876</v>
      </c>
    </row>
    <row r="9295" spans="1:6">
      <c r="A9295" s="34">
        <v>2084223939</v>
      </c>
      <c r="B9295" s="35" t="s">
        <v>462</v>
      </c>
      <c r="C9295" s="35" t="s">
        <v>1962</v>
      </c>
      <c r="D9295" s="35" t="s">
        <v>1773</v>
      </c>
      <c r="E9295" s="35" t="s">
        <v>429</v>
      </c>
      <c r="F9295" s="35" t="s">
        <v>877</v>
      </c>
    </row>
    <row r="9296" spans="1:6">
      <c r="A9296" s="34">
        <v>2084223940</v>
      </c>
      <c r="B9296" s="35" t="s">
        <v>462</v>
      </c>
      <c r="C9296" s="35" t="s">
        <v>1962</v>
      </c>
      <c r="D9296" s="35" t="s">
        <v>1773</v>
      </c>
      <c r="E9296" s="35" t="s">
        <v>429</v>
      </c>
      <c r="F9296" s="35" t="s">
        <v>878</v>
      </c>
    </row>
    <row r="9297" spans="1:6">
      <c r="A9297" s="34">
        <v>2084223941</v>
      </c>
      <c r="B9297" s="35" t="s">
        <v>462</v>
      </c>
      <c r="C9297" s="35" t="s">
        <v>1962</v>
      </c>
      <c r="D9297" s="35" t="s">
        <v>1773</v>
      </c>
      <c r="E9297" s="35" t="s">
        <v>429</v>
      </c>
      <c r="F9297" s="35" t="s">
        <v>879</v>
      </c>
    </row>
    <row r="9298" spans="1:6">
      <c r="A9298" s="34">
        <v>2084223942</v>
      </c>
      <c r="B9298" s="35" t="s">
        <v>462</v>
      </c>
      <c r="C9298" s="35" t="s">
        <v>1962</v>
      </c>
      <c r="D9298" s="35" t="s">
        <v>1773</v>
      </c>
      <c r="E9298" s="35" t="s">
        <v>429</v>
      </c>
      <c r="F9298" s="35" t="s">
        <v>880</v>
      </c>
    </row>
    <row r="9299" spans="1:6">
      <c r="A9299" s="34">
        <v>2084223943</v>
      </c>
      <c r="B9299" s="35" t="s">
        <v>462</v>
      </c>
      <c r="C9299" s="35" t="s">
        <v>1962</v>
      </c>
      <c r="D9299" s="35" t="s">
        <v>1773</v>
      </c>
      <c r="E9299" s="35" t="s">
        <v>429</v>
      </c>
      <c r="F9299" s="35" t="s">
        <v>881</v>
      </c>
    </row>
    <row r="9300" spans="1:6">
      <c r="A9300" s="34">
        <v>2084223944</v>
      </c>
      <c r="B9300" s="35" t="s">
        <v>462</v>
      </c>
      <c r="C9300" s="35" t="s">
        <v>1962</v>
      </c>
      <c r="D9300" s="35" t="s">
        <v>1773</v>
      </c>
      <c r="E9300" s="35" t="s">
        <v>429</v>
      </c>
      <c r="F9300" s="35" t="s">
        <v>882</v>
      </c>
    </row>
    <row r="9301" spans="1:6">
      <c r="A9301" s="34">
        <v>2084223946</v>
      </c>
      <c r="B9301" s="35" t="s">
        <v>462</v>
      </c>
      <c r="C9301" s="35" t="s">
        <v>1962</v>
      </c>
      <c r="D9301" s="35" t="s">
        <v>1773</v>
      </c>
      <c r="E9301" s="35" t="s">
        <v>429</v>
      </c>
      <c r="F9301" s="35" t="s">
        <v>883</v>
      </c>
    </row>
    <row r="9302" spans="1:6">
      <c r="A9302" s="34">
        <v>2084223947</v>
      </c>
      <c r="B9302" s="35" t="s">
        <v>462</v>
      </c>
      <c r="C9302" s="35" t="s">
        <v>1962</v>
      </c>
      <c r="D9302" s="35" t="s">
        <v>1773</v>
      </c>
      <c r="E9302" s="35" t="s">
        <v>429</v>
      </c>
      <c r="F9302" s="35" t="s">
        <v>1964</v>
      </c>
    </row>
    <row r="9303" spans="1:6">
      <c r="A9303" s="34">
        <v>2084223949</v>
      </c>
      <c r="B9303" s="35" t="s">
        <v>462</v>
      </c>
      <c r="C9303" s="35" t="s">
        <v>1962</v>
      </c>
      <c r="D9303" s="35" t="s">
        <v>1773</v>
      </c>
      <c r="E9303" s="35" t="s">
        <v>429</v>
      </c>
      <c r="F9303" s="35" t="s">
        <v>1965</v>
      </c>
    </row>
    <row r="9304" spans="1:6">
      <c r="A9304" s="34">
        <v>2084223951</v>
      </c>
      <c r="B9304" s="35" t="s">
        <v>462</v>
      </c>
      <c r="C9304" s="35" t="s">
        <v>1962</v>
      </c>
      <c r="D9304" s="35" t="s">
        <v>1773</v>
      </c>
      <c r="E9304" s="35" t="s">
        <v>429</v>
      </c>
      <c r="F9304" s="35" t="s">
        <v>1966</v>
      </c>
    </row>
    <row r="9305" spans="1:6">
      <c r="A9305" s="34">
        <v>2084213375</v>
      </c>
      <c r="B9305" s="35" t="s">
        <v>462</v>
      </c>
      <c r="C9305" s="35" t="s">
        <v>1962</v>
      </c>
      <c r="D9305" s="35" t="s">
        <v>1771</v>
      </c>
      <c r="E9305" s="35" t="s">
        <v>875</v>
      </c>
    </row>
    <row r="9306" spans="1:6">
      <c r="A9306" s="34">
        <v>2084213376</v>
      </c>
      <c r="B9306" s="35" t="s">
        <v>462</v>
      </c>
      <c r="C9306" s="35" t="s">
        <v>1962</v>
      </c>
      <c r="D9306" s="35" t="s">
        <v>1771</v>
      </c>
      <c r="E9306" s="35" t="s">
        <v>793</v>
      </c>
    </row>
    <row r="9307" spans="1:6">
      <c r="A9307" s="34">
        <v>2084213377</v>
      </c>
      <c r="B9307" s="35" t="s">
        <v>462</v>
      </c>
      <c r="C9307" s="35" t="s">
        <v>1962</v>
      </c>
      <c r="D9307" s="35" t="s">
        <v>1771</v>
      </c>
      <c r="E9307" s="35" t="s">
        <v>876</v>
      </c>
    </row>
    <row r="9308" spans="1:6">
      <c r="A9308" s="34">
        <v>2084213378</v>
      </c>
      <c r="B9308" s="35" t="s">
        <v>462</v>
      </c>
      <c r="C9308" s="35" t="s">
        <v>1962</v>
      </c>
      <c r="D9308" s="35" t="s">
        <v>1771</v>
      </c>
      <c r="E9308" s="35" t="s">
        <v>877</v>
      </c>
    </row>
    <row r="9309" spans="1:6">
      <c r="A9309" s="34">
        <v>2084213380</v>
      </c>
      <c r="B9309" s="35" t="s">
        <v>462</v>
      </c>
      <c r="C9309" s="35" t="s">
        <v>1962</v>
      </c>
      <c r="D9309" s="35" t="s">
        <v>1771</v>
      </c>
      <c r="E9309" s="35" t="s">
        <v>878</v>
      </c>
    </row>
    <row r="9310" spans="1:6">
      <c r="A9310" s="34">
        <v>2084213381</v>
      </c>
      <c r="B9310" s="35" t="s">
        <v>462</v>
      </c>
      <c r="C9310" s="35" t="s">
        <v>1962</v>
      </c>
      <c r="D9310" s="35" t="s">
        <v>1771</v>
      </c>
      <c r="E9310" s="35" t="s">
        <v>879</v>
      </c>
    </row>
    <row r="9311" spans="1:6">
      <c r="A9311" s="34">
        <v>2084213382</v>
      </c>
      <c r="B9311" s="35" t="s">
        <v>462</v>
      </c>
      <c r="C9311" s="35" t="s">
        <v>1962</v>
      </c>
      <c r="D9311" s="35" t="s">
        <v>1771</v>
      </c>
      <c r="E9311" s="35" t="s">
        <v>880</v>
      </c>
    </row>
    <row r="9312" spans="1:6">
      <c r="A9312" s="34">
        <v>2084213383</v>
      </c>
      <c r="B9312" s="35" t="s">
        <v>462</v>
      </c>
      <c r="C9312" s="35" t="s">
        <v>1962</v>
      </c>
      <c r="D9312" s="35" t="s">
        <v>1771</v>
      </c>
      <c r="E9312" s="35" t="s">
        <v>881</v>
      </c>
    </row>
    <row r="9313" spans="1:6">
      <c r="A9313" s="34">
        <v>2084213384</v>
      </c>
      <c r="B9313" s="35" t="s">
        <v>462</v>
      </c>
      <c r="C9313" s="35" t="s">
        <v>1962</v>
      </c>
      <c r="D9313" s="35" t="s">
        <v>1771</v>
      </c>
      <c r="E9313" s="35" t="s">
        <v>1457</v>
      </c>
    </row>
    <row r="9314" spans="1:6">
      <c r="A9314" s="34">
        <v>2084223953</v>
      </c>
      <c r="B9314" s="35" t="s">
        <v>462</v>
      </c>
      <c r="C9314" s="35" t="s">
        <v>1962</v>
      </c>
      <c r="D9314" s="35" t="s">
        <v>1802</v>
      </c>
      <c r="E9314" s="35" t="s">
        <v>339</v>
      </c>
      <c r="F9314" s="35" t="s">
        <v>875</v>
      </c>
    </row>
    <row r="9315" spans="1:6">
      <c r="A9315" s="34">
        <v>2084223954</v>
      </c>
      <c r="B9315" s="35" t="s">
        <v>462</v>
      </c>
      <c r="C9315" s="35" t="s">
        <v>1962</v>
      </c>
      <c r="D9315" s="35" t="s">
        <v>1802</v>
      </c>
      <c r="E9315" s="35" t="s">
        <v>339</v>
      </c>
      <c r="F9315" s="35" t="s">
        <v>793</v>
      </c>
    </row>
    <row r="9316" spans="1:6">
      <c r="A9316" s="34">
        <v>2084223955</v>
      </c>
      <c r="B9316" s="35" t="s">
        <v>462</v>
      </c>
      <c r="C9316" s="35" t="s">
        <v>1962</v>
      </c>
      <c r="D9316" s="35" t="s">
        <v>1802</v>
      </c>
      <c r="E9316" s="35" t="s">
        <v>339</v>
      </c>
      <c r="F9316" s="35" t="s">
        <v>876</v>
      </c>
    </row>
    <row r="9317" spans="1:6">
      <c r="A9317" s="34">
        <v>2084223956</v>
      </c>
      <c r="B9317" s="35" t="s">
        <v>462</v>
      </c>
      <c r="C9317" s="35" t="s">
        <v>1962</v>
      </c>
      <c r="D9317" s="35" t="s">
        <v>1802</v>
      </c>
      <c r="E9317" s="35" t="s">
        <v>339</v>
      </c>
      <c r="F9317" s="35" t="s">
        <v>877</v>
      </c>
    </row>
    <row r="9318" spans="1:6">
      <c r="A9318" s="34">
        <v>2084223957</v>
      </c>
      <c r="B9318" s="35" t="s">
        <v>462</v>
      </c>
      <c r="C9318" s="35" t="s">
        <v>1962</v>
      </c>
      <c r="D9318" s="35" t="s">
        <v>1802</v>
      </c>
      <c r="E9318" s="35" t="s">
        <v>339</v>
      </c>
      <c r="F9318" s="35" t="s">
        <v>878</v>
      </c>
    </row>
    <row r="9319" spans="1:6">
      <c r="A9319" s="34">
        <v>2084223958</v>
      </c>
      <c r="B9319" s="35" t="s">
        <v>462</v>
      </c>
      <c r="C9319" s="35" t="s">
        <v>1962</v>
      </c>
      <c r="D9319" s="35" t="s">
        <v>1802</v>
      </c>
      <c r="E9319" s="35" t="s">
        <v>339</v>
      </c>
      <c r="F9319" s="35" t="s">
        <v>879</v>
      </c>
    </row>
    <row r="9320" spans="1:6">
      <c r="A9320" s="34">
        <v>2084223959</v>
      </c>
      <c r="B9320" s="35" t="s">
        <v>462</v>
      </c>
      <c r="C9320" s="35" t="s">
        <v>1962</v>
      </c>
      <c r="D9320" s="35" t="s">
        <v>1802</v>
      </c>
      <c r="E9320" s="35" t="s">
        <v>339</v>
      </c>
      <c r="F9320" s="35" t="s">
        <v>880</v>
      </c>
    </row>
    <row r="9321" spans="1:6">
      <c r="A9321" s="34">
        <v>2084223960</v>
      </c>
      <c r="B9321" s="35" t="s">
        <v>462</v>
      </c>
      <c r="C9321" s="35" t="s">
        <v>1962</v>
      </c>
      <c r="D9321" s="35" t="s">
        <v>1802</v>
      </c>
      <c r="E9321" s="35" t="s">
        <v>339</v>
      </c>
      <c r="F9321" s="35" t="s">
        <v>881</v>
      </c>
    </row>
    <row r="9322" spans="1:6">
      <c r="A9322" s="34">
        <v>2084223961</v>
      </c>
      <c r="B9322" s="35" t="s">
        <v>462</v>
      </c>
      <c r="C9322" s="35" t="s">
        <v>1962</v>
      </c>
      <c r="D9322" s="35" t="s">
        <v>1802</v>
      </c>
      <c r="E9322" s="35" t="s">
        <v>339</v>
      </c>
      <c r="F9322" s="35" t="s">
        <v>882</v>
      </c>
    </row>
    <row r="9323" spans="1:6">
      <c r="A9323" s="34">
        <v>2084223962</v>
      </c>
      <c r="B9323" s="35" t="s">
        <v>462</v>
      </c>
      <c r="C9323" s="35" t="s">
        <v>1962</v>
      </c>
      <c r="D9323" s="35" t="s">
        <v>1802</v>
      </c>
      <c r="E9323" s="35" t="s">
        <v>339</v>
      </c>
      <c r="F9323" s="35" t="s">
        <v>883</v>
      </c>
    </row>
    <row r="9324" spans="1:6">
      <c r="A9324" s="34">
        <v>2084223963</v>
      </c>
      <c r="B9324" s="35" t="s">
        <v>462</v>
      </c>
      <c r="C9324" s="35" t="s">
        <v>1962</v>
      </c>
      <c r="D9324" s="35" t="s">
        <v>1802</v>
      </c>
      <c r="E9324" s="35" t="s">
        <v>339</v>
      </c>
      <c r="F9324" s="35" t="s">
        <v>1964</v>
      </c>
    </row>
    <row r="9325" spans="1:6">
      <c r="A9325" s="34">
        <v>2084223964</v>
      </c>
      <c r="B9325" s="35" t="s">
        <v>462</v>
      </c>
      <c r="C9325" s="35" t="s">
        <v>1962</v>
      </c>
      <c r="D9325" s="35" t="s">
        <v>1802</v>
      </c>
      <c r="E9325" s="35" t="s">
        <v>339</v>
      </c>
      <c r="F9325" s="35" t="s">
        <v>1965</v>
      </c>
    </row>
    <row r="9326" spans="1:6">
      <c r="A9326" s="34">
        <v>2084223965</v>
      </c>
      <c r="B9326" s="35" t="s">
        <v>462</v>
      </c>
      <c r="C9326" s="35" t="s">
        <v>1962</v>
      </c>
      <c r="D9326" s="35" t="s">
        <v>1802</v>
      </c>
      <c r="E9326" s="35" t="s">
        <v>339</v>
      </c>
      <c r="F9326" s="35" t="s">
        <v>1966</v>
      </c>
    </row>
    <row r="9327" spans="1:6">
      <c r="A9327" s="34">
        <v>2084237255</v>
      </c>
      <c r="B9327" s="35" t="s">
        <v>462</v>
      </c>
      <c r="C9327" s="35" t="s">
        <v>1962</v>
      </c>
      <c r="D9327" s="35" t="s">
        <v>1802</v>
      </c>
      <c r="E9327" s="35" t="s">
        <v>1988</v>
      </c>
      <c r="F9327" s="35" t="s">
        <v>875</v>
      </c>
    </row>
    <row r="9328" spans="1:6">
      <c r="A9328" s="34">
        <v>2084237256</v>
      </c>
      <c r="B9328" s="35" t="s">
        <v>462</v>
      </c>
      <c r="C9328" s="35" t="s">
        <v>1962</v>
      </c>
      <c r="D9328" s="35" t="s">
        <v>1802</v>
      </c>
      <c r="E9328" s="35" t="s">
        <v>1988</v>
      </c>
      <c r="F9328" s="35" t="s">
        <v>793</v>
      </c>
    </row>
    <row r="9329" spans="1:6">
      <c r="A9329" s="34">
        <v>2084237257</v>
      </c>
      <c r="B9329" s="35" t="s">
        <v>462</v>
      </c>
      <c r="C9329" s="35" t="s">
        <v>1962</v>
      </c>
      <c r="D9329" s="35" t="s">
        <v>1802</v>
      </c>
      <c r="E9329" s="35" t="s">
        <v>1988</v>
      </c>
      <c r="F9329" s="35" t="s">
        <v>876</v>
      </c>
    </row>
    <row r="9330" spans="1:6">
      <c r="A9330" s="34">
        <v>2084237258</v>
      </c>
      <c r="B9330" s="35" t="s">
        <v>462</v>
      </c>
      <c r="C9330" s="35" t="s">
        <v>1962</v>
      </c>
      <c r="D9330" s="35" t="s">
        <v>1802</v>
      </c>
      <c r="E9330" s="35" t="s">
        <v>1988</v>
      </c>
      <c r="F9330" s="35" t="s">
        <v>877</v>
      </c>
    </row>
    <row r="9331" spans="1:6">
      <c r="A9331" s="34">
        <v>2084237259</v>
      </c>
      <c r="B9331" s="35" t="s">
        <v>462</v>
      </c>
      <c r="C9331" s="35" t="s">
        <v>1962</v>
      </c>
      <c r="D9331" s="35" t="s">
        <v>1802</v>
      </c>
      <c r="E9331" s="35" t="s">
        <v>1988</v>
      </c>
      <c r="F9331" s="35" t="s">
        <v>878</v>
      </c>
    </row>
    <row r="9332" spans="1:6">
      <c r="A9332" s="34">
        <v>2084237260</v>
      </c>
      <c r="B9332" s="35" t="s">
        <v>462</v>
      </c>
      <c r="C9332" s="35" t="s">
        <v>1962</v>
      </c>
      <c r="D9332" s="35" t="s">
        <v>1802</v>
      </c>
      <c r="E9332" s="35" t="s">
        <v>1988</v>
      </c>
      <c r="F9332" s="35" t="s">
        <v>879</v>
      </c>
    </row>
    <row r="9333" spans="1:6">
      <c r="A9333" s="34">
        <v>2084237261</v>
      </c>
      <c r="B9333" s="35" t="s">
        <v>462</v>
      </c>
      <c r="C9333" s="35" t="s">
        <v>1962</v>
      </c>
      <c r="D9333" s="35" t="s">
        <v>1802</v>
      </c>
      <c r="E9333" s="35" t="s">
        <v>1988</v>
      </c>
      <c r="F9333" s="35" t="s">
        <v>880</v>
      </c>
    </row>
    <row r="9334" spans="1:6">
      <c r="A9334" s="34">
        <v>2084237262</v>
      </c>
      <c r="B9334" s="35" t="s">
        <v>462</v>
      </c>
      <c r="C9334" s="35" t="s">
        <v>1962</v>
      </c>
      <c r="D9334" s="35" t="s">
        <v>1802</v>
      </c>
      <c r="E9334" s="35" t="s">
        <v>1988</v>
      </c>
      <c r="F9334" s="35" t="s">
        <v>881</v>
      </c>
    </row>
    <row r="9335" spans="1:6">
      <c r="A9335" s="34">
        <v>2084237263</v>
      </c>
      <c r="B9335" s="35" t="s">
        <v>462</v>
      </c>
      <c r="C9335" s="35" t="s">
        <v>1962</v>
      </c>
      <c r="D9335" s="35" t="s">
        <v>1802</v>
      </c>
      <c r="E9335" s="35" t="s">
        <v>1988</v>
      </c>
      <c r="F9335" s="35" t="s">
        <v>882</v>
      </c>
    </row>
    <row r="9336" spans="1:6">
      <c r="A9336" s="34">
        <v>2084237264</v>
      </c>
      <c r="B9336" s="35" t="s">
        <v>462</v>
      </c>
      <c r="C9336" s="35" t="s">
        <v>1962</v>
      </c>
      <c r="D9336" s="35" t="s">
        <v>1802</v>
      </c>
      <c r="E9336" s="35" t="s">
        <v>1988</v>
      </c>
      <c r="F9336" s="35" t="s">
        <v>883</v>
      </c>
    </row>
    <row r="9337" spans="1:6">
      <c r="A9337" s="34">
        <v>2084237265</v>
      </c>
      <c r="B9337" s="35" t="s">
        <v>462</v>
      </c>
      <c r="C9337" s="35" t="s">
        <v>1962</v>
      </c>
      <c r="D9337" s="35" t="s">
        <v>1802</v>
      </c>
      <c r="E9337" s="35" t="s">
        <v>1988</v>
      </c>
      <c r="F9337" s="35" t="s">
        <v>1964</v>
      </c>
    </row>
    <row r="9338" spans="1:6">
      <c r="A9338" s="34">
        <v>2084237266</v>
      </c>
      <c r="B9338" s="35" t="s">
        <v>462</v>
      </c>
      <c r="C9338" s="35" t="s">
        <v>1962</v>
      </c>
      <c r="D9338" s="35" t="s">
        <v>1802</v>
      </c>
      <c r="E9338" s="35" t="s">
        <v>1988</v>
      </c>
      <c r="F9338" s="35" t="s">
        <v>1965</v>
      </c>
    </row>
    <row r="9339" spans="1:6">
      <c r="A9339" s="34">
        <v>2084237267</v>
      </c>
      <c r="B9339" s="35" t="s">
        <v>462</v>
      </c>
      <c r="C9339" s="35" t="s">
        <v>1962</v>
      </c>
      <c r="D9339" s="35" t="s">
        <v>1802</v>
      </c>
      <c r="E9339" s="35" t="s">
        <v>1988</v>
      </c>
      <c r="F9339" s="35" t="s">
        <v>1966</v>
      </c>
    </row>
    <row r="9340" spans="1:6">
      <c r="A9340" s="34">
        <v>2084237241</v>
      </c>
      <c r="B9340" s="35" t="s">
        <v>462</v>
      </c>
      <c r="C9340" s="35" t="s">
        <v>1962</v>
      </c>
      <c r="D9340" s="35" t="s">
        <v>1802</v>
      </c>
      <c r="E9340" s="35" t="s">
        <v>1989</v>
      </c>
      <c r="F9340" s="35" t="s">
        <v>875</v>
      </c>
    </row>
    <row r="9341" spans="1:6">
      <c r="A9341" s="34">
        <v>2084237242</v>
      </c>
      <c r="B9341" s="35" t="s">
        <v>462</v>
      </c>
      <c r="C9341" s="35" t="s">
        <v>1962</v>
      </c>
      <c r="D9341" s="35" t="s">
        <v>1802</v>
      </c>
      <c r="E9341" s="35" t="s">
        <v>1989</v>
      </c>
      <c r="F9341" s="35" t="s">
        <v>793</v>
      </c>
    </row>
    <row r="9342" spans="1:6">
      <c r="A9342" s="34">
        <v>2084237243</v>
      </c>
      <c r="B9342" s="35" t="s">
        <v>462</v>
      </c>
      <c r="C9342" s="35" t="s">
        <v>1962</v>
      </c>
      <c r="D9342" s="35" t="s">
        <v>1802</v>
      </c>
      <c r="E9342" s="35" t="s">
        <v>1989</v>
      </c>
      <c r="F9342" s="35" t="s">
        <v>876</v>
      </c>
    </row>
    <row r="9343" spans="1:6">
      <c r="A9343" s="34">
        <v>2084237244</v>
      </c>
      <c r="B9343" s="35" t="s">
        <v>462</v>
      </c>
      <c r="C9343" s="35" t="s">
        <v>1962</v>
      </c>
      <c r="D9343" s="35" t="s">
        <v>1802</v>
      </c>
      <c r="E9343" s="35" t="s">
        <v>1989</v>
      </c>
      <c r="F9343" s="35" t="s">
        <v>877</v>
      </c>
    </row>
    <row r="9344" spans="1:6">
      <c r="A9344" s="34">
        <v>2084237245</v>
      </c>
      <c r="B9344" s="35" t="s">
        <v>462</v>
      </c>
      <c r="C9344" s="35" t="s">
        <v>1962</v>
      </c>
      <c r="D9344" s="35" t="s">
        <v>1802</v>
      </c>
      <c r="E9344" s="35" t="s">
        <v>1989</v>
      </c>
      <c r="F9344" s="35" t="s">
        <v>878</v>
      </c>
    </row>
    <row r="9345" spans="1:6">
      <c r="A9345" s="34">
        <v>2084237246</v>
      </c>
      <c r="B9345" s="35" t="s">
        <v>462</v>
      </c>
      <c r="C9345" s="35" t="s">
        <v>1962</v>
      </c>
      <c r="D9345" s="35" t="s">
        <v>1802</v>
      </c>
      <c r="E9345" s="35" t="s">
        <v>1989</v>
      </c>
      <c r="F9345" s="35" t="s">
        <v>879</v>
      </c>
    </row>
    <row r="9346" spans="1:6">
      <c r="A9346" s="34">
        <v>2084237247</v>
      </c>
      <c r="B9346" s="35" t="s">
        <v>462</v>
      </c>
      <c r="C9346" s="35" t="s">
        <v>1962</v>
      </c>
      <c r="D9346" s="35" t="s">
        <v>1802</v>
      </c>
      <c r="E9346" s="35" t="s">
        <v>1989</v>
      </c>
      <c r="F9346" s="35" t="s">
        <v>880</v>
      </c>
    </row>
    <row r="9347" spans="1:6">
      <c r="A9347" s="34">
        <v>2084237248</v>
      </c>
      <c r="B9347" s="35" t="s">
        <v>462</v>
      </c>
      <c r="C9347" s="35" t="s">
        <v>1962</v>
      </c>
      <c r="D9347" s="35" t="s">
        <v>1802</v>
      </c>
      <c r="E9347" s="35" t="s">
        <v>1989</v>
      </c>
      <c r="F9347" s="35" t="s">
        <v>881</v>
      </c>
    </row>
    <row r="9348" spans="1:6">
      <c r="A9348" s="34">
        <v>2084237249</v>
      </c>
      <c r="B9348" s="35" t="s">
        <v>462</v>
      </c>
      <c r="C9348" s="35" t="s">
        <v>1962</v>
      </c>
      <c r="D9348" s="35" t="s">
        <v>1802</v>
      </c>
      <c r="E9348" s="35" t="s">
        <v>1989</v>
      </c>
      <c r="F9348" s="35" t="s">
        <v>882</v>
      </c>
    </row>
    <row r="9349" spans="1:6">
      <c r="A9349" s="34">
        <v>2084237250</v>
      </c>
      <c r="B9349" s="35" t="s">
        <v>462</v>
      </c>
      <c r="C9349" s="35" t="s">
        <v>1962</v>
      </c>
      <c r="D9349" s="35" t="s">
        <v>1802</v>
      </c>
      <c r="E9349" s="35" t="s">
        <v>1989</v>
      </c>
      <c r="F9349" s="35" t="s">
        <v>883</v>
      </c>
    </row>
    <row r="9350" spans="1:6">
      <c r="A9350" s="34">
        <v>2084237251</v>
      </c>
      <c r="B9350" s="35" t="s">
        <v>462</v>
      </c>
      <c r="C9350" s="35" t="s">
        <v>1962</v>
      </c>
      <c r="D9350" s="35" t="s">
        <v>1802</v>
      </c>
      <c r="E9350" s="35" t="s">
        <v>1989</v>
      </c>
      <c r="F9350" s="35" t="s">
        <v>1964</v>
      </c>
    </row>
    <row r="9351" spans="1:6">
      <c r="A9351" s="34">
        <v>2084237252</v>
      </c>
      <c r="B9351" s="35" t="s">
        <v>462</v>
      </c>
      <c r="C9351" s="35" t="s">
        <v>1962</v>
      </c>
      <c r="D9351" s="35" t="s">
        <v>1802</v>
      </c>
      <c r="E9351" s="35" t="s">
        <v>1989</v>
      </c>
      <c r="F9351" s="35" t="s">
        <v>1965</v>
      </c>
    </row>
    <row r="9352" spans="1:6">
      <c r="A9352" s="34">
        <v>2084237253</v>
      </c>
      <c r="B9352" s="35" t="s">
        <v>462</v>
      </c>
      <c r="C9352" s="35" t="s">
        <v>1962</v>
      </c>
      <c r="D9352" s="35" t="s">
        <v>1802</v>
      </c>
      <c r="E9352" s="35" t="s">
        <v>1989</v>
      </c>
      <c r="F9352" s="35" t="s">
        <v>1966</v>
      </c>
    </row>
    <row r="9353" spans="1:6">
      <c r="A9353" s="34">
        <v>2084007827</v>
      </c>
      <c r="B9353" s="35" t="s">
        <v>462</v>
      </c>
      <c r="C9353" s="35" t="s">
        <v>1962</v>
      </c>
      <c r="D9353" s="35" t="s">
        <v>1802</v>
      </c>
      <c r="E9353" s="35" t="s">
        <v>1990</v>
      </c>
    </row>
    <row r="9354" spans="1:6">
      <c r="A9354" s="34">
        <v>2084242184</v>
      </c>
      <c r="B9354" s="35" t="s">
        <v>462</v>
      </c>
      <c r="C9354" s="35" t="s">
        <v>1962</v>
      </c>
      <c r="D9354" s="35" t="s">
        <v>1802</v>
      </c>
      <c r="E9354" s="35" t="s">
        <v>815</v>
      </c>
      <c r="F9354" s="35" t="s">
        <v>1991</v>
      </c>
    </row>
    <row r="9355" spans="1:6">
      <c r="A9355" s="34">
        <v>2084242185</v>
      </c>
      <c r="B9355" s="35" t="s">
        <v>462</v>
      </c>
      <c r="C9355" s="35" t="s">
        <v>1962</v>
      </c>
      <c r="D9355" s="35" t="s">
        <v>1802</v>
      </c>
      <c r="E9355" s="35" t="s">
        <v>815</v>
      </c>
      <c r="F9355" s="35" t="s">
        <v>650</v>
      </c>
    </row>
    <row r="9356" spans="1:6">
      <c r="A9356" s="34">
        <v>2084242186</v>
      </c>
      <c r="B9356" s="35" t="s">
        <v>462</v>
      </c>
      <c r="C9356" s="35" t="s">
        <v>1962</v>
      </c>
      <c r="D9356" s="35" t="s">
        <v>1802</v>
      </c>
      <c r="E9356" s="35" t="s">
        <v>815</v>
      </c>
      <c r="F9356" s="35" t="s">
        <v>651</v>
      </c>
    </row>
    <row r="9357" spans="1:6">
      <c r="A9357" s="34">
        <v>2084242187</v>
      </c>
      <c r="B9357" s="35" t="s">
        <v>462</v>
      </c>
      <c r="C9357" s="35" t="s">
        <v>1962</v>
      </c>
      <c r="D9357" s="35" t="s">
        <v>1802</v>
      </c>
      <c r="E9357" s="35" t="s">
        <v>815</v>
      </c>
      <c r="F9357" s="35" t="s">
        <v>652</v>
      </c>
    </row>
    <row r="9358" spans="1:6">
      <c r="A9358" s="34">
        <v>2084242188</v>
      </c>
      <c r="B9358" s="35" t="s">
        <v>462</v>
      </c>
      <c r="C9358" s="35" t="s">
        <v>1962</v>
      </c>
      <c r="D9358" s="35" t="s">
        <v>1802</v>
      </c>
      <c r="E9358" s="35" t="s">
        <v>815</v>
      </c>
      <c r="F9358" s="35" t="s">
        <v>653</v>
      </c>
    </row>
    <row r="9359" spans="1:6">
      <c r="A9359" s="34">
        <v>2084242189</v>
      </c>
      <c r="B9359" s="35" t="s">
        <v>462</v>
      </c>
      <c r="C9359" s="35" t="s">
        <v>1962</v>
      </c>
      <c r="D9359" s="35" t="s">
        <v>1802</v>
      </c>
      <c r="E9359" s="35" t="s">
        <v>815</v>
      </c>
      <c r="F9359" s="35" t="s">
        <v>654</v>
      </c>
    </row>
    <row r="9360" spans="1:6">
      <c r="A9360" s="34">
        <v>2084242190</v>
      </c>
      <c r="B9360" s="35" t="s">
        <v>462</v>
      </c>
      <c r="C9360" s="35" t="s">
        <v>1962</v>
      </c>
      <c r="D9360" s="35" t="s">
        <v>1802</v>
      </c>
      <c r="E9360" s="35" t="s">
        <v>815</v>
      </c>
      <c r="F9360" s="35" t="s">
        <v>655</v>
      </c>
    </row>
    <row r="9361" spans="1:6">
      <c r="A9361" s="34">
        <v>2084242191</v>
      </c>
      <c r="B9361" s="35" t="s">
        <v>462</v>
      </c>
      <c r="C9361" s="35" t="s">
        <v>1962</v>
      </c>
      <c r="D9361" s="35" t="s">
        <v>1802</v>
      </c>
      <c r="E9361" s="35" t="s">
        <v>815</v>
      </c>
      <c r="F9361" s="35" t="s">
        <v>656</v>
      </c>
    </row>
    <row r="9362" spans="1:6">
      <c r="A9362" s="34">
        <v>2084242192</v>
      </c>
      <c r="B9362" s="35" t="s">
        <v>462</v>
      </c>
      <c r="C9362" s="35" t="s">
        <v>1962</v>
      </c>
      <c r="D9362" s="35" t="s">
        <v>1802</v>
      </c>
      <c r="E9362" s="35" t="s">
        <v>815</v>
      </c>
      <c r="F9362" s="35" t="s">
        <v>657</v>
      </c>
    </row>
    <row r="9363" spans="1:6">
      <c r="A9363" s="34">
        <v>2084007817</v>
      </c>
      <c r="B9363" s="35" t="s">
        <v>462</v>
      </c>
      <c r="C9363" s="35" t="s">
        <v>1962</v>
      </c>
      <c r="D9363" s="35" t="s">
        <v>1802</v>
      </c>
      <c r="E9363" s="35" t="s">
        <v>1992</v>
      </c>
    </row>
    <row r="9364" spans="1:6">
      <c r="A9364" s="34">
        <v>2084242193</v>
      </c>
      <c r="B9364" s="35" t="s">
        <v>462</v>
      </c>
      <c r="C9364" s="35" t="s">
        <v>1962</v>
      </c>
      <c r="D9364" s="35" t="s">
        <v>1802</v>
      </c>
      <c r="E9364" s="35" t="s">
        <v>1993</v>
      </c>
      <c r="F9364" s="35" t="s">
        <v>1991</v>
      </c>
    </row>
    <row r="9365" spans="1:6">
      <c r="A9365" s="34">
        <v>2084242194</v>
      </c>
      <c r="B9365" s="35" t="s">
        <v>462</v>
      </c>
      <c r="C9365" s="35" t="s">
        <v>1962</v>
      </c>
      <c r="D9365" s="35" t="s">
        <v>1802</v>
      </c>
      <c r="E9365" s="35" t="s">
        <v>1993</v>
      </c>
      <c r="F9365" s="35" t="s">
        <v>650</v>
      </c>
    </row>
    <row r="9366" spans="1:6">
      <c r="A9366" s="34">
        <v>2084242195</v>
      </c>
      <c r="B9366" s="35" t="s">
        <v>462</v>
      </c>
      <c r="C9366" s="35" t="s">
        <v>1962</v>
      </c>
      <c r="D9366" s="35" t="s">
        <v>1802</v>
      </c>
      <c r="E9366" s="35" t="s">
        <v>1993</v>
      </c>
      <c r="F9366" s="35" t="s">
        <v>651</v>
      </c>
    </row>
    <row r="9367" spans="1:6">
      <c r="A9367" s="34">
        <v>2084242196</v>
      </c>
      <c r="B9367" s="35" t="s">
        <v>462</v>
      </c>
      <c r="C9367" s="35" t="s">
        <v>1962</v>
      </c>
      <c r="D9367" s="35" t="s">
        <v>1802</v>
      </c>
      <c r="E9367" s="35" t="s">
        <v>1993</v>
      </c>
      <c r="F9367" s="35" t="s">
        <v>652</v>
      </c>
    </row>
    <row r="9368" spans="1:6">
      <c r="A9368" s="34">
        <v>2084242197</v>
      </c>
      <c r="B9368" s="35" t="s">
        <v>462</v>
      </c>
      <c r="C9368" s="35" t="s">
        <v>1962</v>
      </c>
      <c r="D9368" s="35" t="s">
        <v>1802</v>
      </c>
      <c r="E9368" s="35" t="s">
        <v>1993</v>
      </c>
      <c r="F9368" s="35" t="s">
        <v>653</v>
      </c>
    </row>
    <row r="9369" spans="1:6">
      <c r="A9369" s="34">
        <v>2084242198</v>
      </c>
      <c r="B9369" s="35" t="s">
        <v>462</v>
      </c>
      <c r="C9369" s="35" t="s">
        <v>1962</v>
      </c>
      <c r="D9369" s="35" t="s">
        <v>1802</v>
      </c>
      <c r="E9369" s="35" t="s">
        <v>1993</v>
      </c>
      <c r="F9369" s="35" t="s">
        <v>654</v>
      </c>
    </row>
    <row r="9370" spans="1:6">
      <c r="A9370" s="34">
        <v>2084242199</v>
      </c>
      <c r="B9370" s="35" t="s">
        <v>462</v>
      </c>
      <c r="C9370" s="35" t="s">
        <v>1962</v>
      </c>
      <c r="D9370" s="35" t="s">
        <v>1802</v>
      </c>
      <c r="E9370" s="35" t="s">
        <v>1993</v>
      </c>
      <c r="F9370" s="35" t="s">
        <v>655</v>
      </c>
    </row>
    <row r="9371" spans="1:6">
      <c r="A9371" s="34">
        <v>2084242200</v>
      </c>
      <c r="B9371" s="35" t="s">
        <v>462</v>
      </c>
      <c r="C9371" s="35" t="s">
        <v>1962</v>
      </c>
      <c r="D9371" s="35" t="s">
        <v>1802</v>
      </c>
      <c r="E9371" s="35" t="s">
        <v>1993</v>
      </c>
      <c r="F9371" s="35" t="s">
        <v>656</v>
      </c>
    </row>
    <row r="9372" spans="1:6">
      <c r="A9372" s="34">
        <v>2084242201</v>
      </c>
      <c r="B9372" s="35" t="s">
        <v>462</v>
      </c>
      <c r="C9372" s="35" t="s">
        <v>1962</v>
      </c>
      <c r="D9372" s="35" t="s">
        <v>1802</v>
      </c>
      <c r="E9372" s="35" t="s">
        <v>1993</v>
      </c>
      <c r="F9372" s="35" t="s">
        <v>657</v>
      </c>
    </row>
    <row r="9373" spans="1:6">
      <c r="A9373" s="34">
        <v>2084007821</v>
      </c>
      <c r="B9373" s="35" t="s">
        <v>462</v>
      </c>
      <c r="C9373" s="35" t="s">
        <v>1962</v>
      </c>
      <c r="D9373" s="35" t="s">
        <v>1802</v>
      </c>
      <c r="E9373" s="35" t="s">
        <v>1994</v>
      </c>
    </row>
    <row r="9374" spans="1:6">
      <c r="A9374" s="34">
        <v>2084242175</v>
      </c>
      <c r="B9374" s="35" t="s">
        <v>462</v>
      </c>
      <c r="C9374" s="35" t="s">
        <v>1962</v>
      </c>
      <c r="D9374" s="35" t="s">
        <v>1802</v>
      </c>
      <c r="E9374" s="35" t="s">
        <v>1072</v>
      </c>
      <c r="F9374" s="35" t="s">
        <v>1991</v>
      </c>
    </row>
    <row r="9375" spans="1:6">
      <c r="A9375" s="34">
        <v>2084242176</v>
      </c>
      <c r="B9375" s="35" t="s">
        <v>462</v>
      </c>
      <c r="C9375" s="35" t="s">
        <v>1962</v>
      </c>
      <c r="D9375" s="35" t="s">
        <v>1802</v>
      </c>
      <c r="E9375" s="35" t="s">
        <v>1072</v>
      </c>
      <c r="F9375" s="35" t="s">
        <v>650</v>
      </c>
    </row>
    <row r="9376" spans="1:6">
      <c r="A9376" s="34">
        <v>2084242177</v>
      </c>
      <c r="B9376" s="35" t="s">
        <v>462</v>
      </c>
      <c r="C9376" s="35" t="s">
        <v>1962</v>
      </c>
      <c r="D9376" s="35" t="s">
        <v>1802</v>
      </c>
      <c r="E9376" s="35" t="s">
        <v>1072</v>
      </c>
      <c r="F9376" s="35" t="s">
        <v>651</v>
      </c>
    </row>
    <row r="9377" spans="1:6">
      <c r="A9377" s="34">
        <v>2084242178</v>
      </c>
      <c r="B9377" s="35" t="s">
        <v>462</v>
      </c>
      <c r="C9377" s="35" t="s">
        <v>1962</v>
      </c>
      <c r="D9377" s="35" t="s">
        <v>1802</v>
      </c>
      <c r="E9377" s="35" t="s">
        <v>1072</v>
      </c>
      <c r="F9377" s="35" t="s">
        <v>652</v>
      </c>
    </row>
    <row r="9378" spans="1:6">
      <c r="A9378" s="34">
        <v>2084242179</v>
      </c>
      <c r="B9378" s="35" t="s">
        <v>462</v>
      </c>
      <c r="C9378" s="35" t="s">
        <v>1962</v>
      </c>
      <c r="D9378" s="35" t="s">
        <v>1802</v>
      </c>
      <c r="E9378" s="35" t="s">
        <v>1072</v>
      </c>
      <c r="F9378" s="35" t="s">
        <v>653</v>
      </c>
    </row>
    <row r="9379" spans="1:6">
      <c r="A9379" s="34">
        <v>2084242180</v>
      </c>
      <c r="B9379" s="35" t="s">
        <v>462</v>
      </c>
      <c r="C9379" s="35" t="s">
        <v>1962</v>
      </c>
      <c r="D9379" s="35" t="s">
        <v>1802</v>
      </c>
      <c r="E9379" s="35" t="s">
        <v>1072</v>
      </c>
      <c r="F9379" s="35" t="s">
        <v>654</v>
      </c>
    </row>
    <row r="9380" spans="1:6">
      <c r="A9380" s="34">
        <v>2084242181</v>
      </c>
      <c r="B9380" s="35" t="s">
        <v>462</v>
      </c>
      <c r="C9380" s="35" t="s">
        <v>1962</v>
      </c>
      <c r="D9380" s="35" t="s">
        <v>1802</v>
      </c>
      <c r="E9380" s="35" t="s">
        <v>1072</v>
      </c>
      <c r="F9380" s="35" t="s">
        <v>655</v>
      </c>
    </row>
    <row r="9381" spans="1:6">
      <c r="A9381" s="34">
        <v>2084242182</v>
      </c>
      <c r="B9381" s="35" t="s">
        <v>462</v>
      </c>
      <c r="C9381" s="35" t="s">
        <v>1962</v>
      </c>
      <c r="D9381" s="35" t="s">
        <v>1802</v>
      </c>
      <c r="E9381" s="35" t="s">
        <v>1072</v>
      </c>
      <c r="F9381" s="35" t="s">
        <v>656</v>
      </c>
    </row>
    <row r="9382" spans="1:6">
      <c r="A9382" s="34">
        <v>2084242183</v>
      </c>
      <c r="B9382" s="35" t="s">
        <v>462</v>
      </c>
      <c r="C9382" s="35" t="s">
        <v>1962</v>
      </c>
      <c r="D9382" s="35" t="s">
        <v>1802</v>
      </c>
      <c r="E9382" s="35" t="s">
        <v>1072</v>
      </c>
      <c r="F9382" s="35" t="s">
        <v>657</v>
      </c>
    </row>
    <row r="9383" spans="1:6">
      <c r="A9383" s="34">
        <v>2084007822</v>
      </c>
      <c r="B9383" s="35" t="s">
        <v>462</v>
      </c>
      <c r="C9383" s="35" t="s">
        <v>1962</v>
      </c>
      <c r="D9383" s="35" t="s">
        <v>1802</v>
      </c>
      <c r="E9383" s="35" t="s">
        <v>1995</v>
      </c>
    </row>
    <row r="9384" spans="1:6">
      <c r="A9384" s="34">
        <v>2084242167</v>
      </c>
      <c r="B9384" s="35" t="s">
        <v>462</v>
      </c>
      <c r="C9384" s="35" t="s">
        <v>1962</v>
      </c>
      <c r="D9384" s="35" t="s">
        <v>1802</v>
      </c>
      <c r="E9384" s="35" t="s">
        <v>1996</v>
      </c>
      <c r="F9384" s="35" t="s">
        <v>1997</v>
      </c>
    </row>
    <row r="9385" spans="1:6">
      <c r="A9385" s="34">
        <v>2084242168</v>
      </c>
      <c r="B9385" s="35" t="s">
        <v>462</v>
      </c>
      <c r="C9385" s="35" t="s">
        <v>1962</v>
      </c>
      <c r="D9385" s="35" t="s">
        <v>1802</v>
      </c>
      <c r="E9385" s="35" t="s">
        <v>1996</v>
      </c>
      <c r="F9385" s="35" t="s">
        <v>1998</v>
      </c>
    </row>
    <row r="9386" spans="1:6">
      <c r="A9386" s="34">
        <v>2084242169</v>
      </c>
      <c r="B9386" s="35" t="s">
        <v>462</v>
      </c>
      <c r="C9386" s="35" t="s">
        <v>1962</v>
      </c>
      <c r="D9386" s="35" t="s">
        <v>1802</v>
      </c>
      <c r="E9386" s="35" t="s">
        <v>1996</v>
      </c>
      <c r="F9386" s="35" t="s">
        <v>1999</v>
      </c>
    </row>
    <row r="9387" spans="1:6">
      <c r="A9387" s="34">
        <v>2084242170</v>
      </c>
      <c r="B9387" s="35" t="s">
        <v>462</v>
      </c>
      <c r="C9387" s="35" t="s">
        <v>1962</v>
      </c>
      <c r="D9387" s="35" t="s">
        <v>1802</v>
      </c>
      <c r="E9387" s="35" t="s">
        <v>1996</v>
      </c>
      <c r="F9387" s="35" t="s">
        <v>1107</v>
      </c>
    </row>
    <row r="9388" spans="1:6">
      <c r="A9388" s="34">
        <v>2084242171</v>
      </c>
      <c r="B9388" s="35" t="s">
        <v>462</v>
      </c>
      <c r="C9388" s="35" t="s">
        <v>1962</v>
      </c>
      <c r="D9388" s="35" t="s">
        <v>1802</v>
      </c>
      <c r="E9388" s="35" t="s">
        <v>1996</v>
      </c>
      <c r="F9388" s="35" t="s">
        <v>1109</v>
      </c>
    </row>
    <row r="9389" spans="1:6">
      <c r="A9389" s="34">
        <v>2084242172</v>
      </c>
      <c r="B9389" s="35" t="s">
        <v>462</v>
      </c>
      <c r="C9389" s="35" t="s">
        <v>1962</v>
      </c>
      <c r="D9389" s="35" t="s">
        <v>1802</v>
      </c>
      <c r="E9389" s="35" t="s">
        <v>1996</v>
      </c>
      <c r="F9389" s="35" t="s">
        <v>1111</v>
      </c>
    </row>
    <row r="9390" spans="1:6">
      <c r="A9390" s="34">
        <v>2084242173</v>
      </c>
      <c r="B9390" s="35" t="s">
        <v>462</v>
      </c>
      <c r="C9390" s="35" t="s">
        <v>1962</v>
      </c>
      <c r="D9390" s="35" t="s">
        <v>1802</v>
      </c>
      <c r="E9390" s="35" t="s">
        <v>1996</v>
      </c>
      <c r="F9390" s="35" t="s">
        <v>2000</v>
      </c>
    </row>
    <row r="9391" spans="1:6">
      <c r="A9391" s="34">
        <v>2084242174</v>
      </c>
      <c r="B9391" s="35" t="s">
        <v>462</v>
      </c>
      <c r="C9391" s="35" t="s">
        <v>1962</v>
      </c>
      <c r="D9391" s="35" t="s">
        <v>1802</v>
      </c>
      <c r="E9391" s="35" t="s">
        <v>1996</v>
      </c>
      <c r="F9391" s="35" t="s">
        <v>2001</v>
      </c>
    </row>
    <row r="9392" spans="1:6">
      <c r="A9392" s="34">
        <v>2084007820</v>
      </c>
      <c r="B9392" s="35" t="s">
        <v>462</v>
      </c>
      <c r="C9392" s="35" t="s">
        <v>1962</v>
      </c>
      <c r="D9392" s="35" t="s">
        <v>1802</v>
      </c>
      <c r="E9392" s="35" t="s">
        <v>2002</v>
      </c>
    </row>
    <row r="9393" spans="1:6">
      <c r="A9393" s="34">
        <v>2084242126</v>
      </c>
      <c r="B9393" s="35" t="s">
        <v>462</v>
      </c>
      <c r="C9393" s="35" t="s">
        <v>1962</v>
      </c>
      <c r="D9393" s="35" t="s">
        <v>1802</v>
      </c>
      <c r="E9393" s="35" t="s">
        <v>2003</v>
      </c>
      <c r="F9393" s="35" t="s">
        <v>892</v>
      </c>
    </row>
    <row r="9394" spans="1:6">
      <c r="A9394" s="34">
        <v>2084242127</v>
      </c>
      <c r="B9394" s="35" t="s">
        <v>462</v>
      </c>
      <c r="C9394" s="35" t="s">
        <v>1962</v>
      </c>
      <c r="D9394" s="35" t="s">
        <v>1802</v>
      </c>
      <c r="E9394" s="35" t="s">
        <v>2003</v>
      </c>
      <c r="F9394" s="35" t="s">
        <v>893</v>
      </c>
    </row>
    <row r="9395" spans="1:6">
      <c r="A9395" s="34">
        <v>2084242128</v>
      </c>
      <c r="B9395" s="35" t="s">
        <v>462</v>
      </c>
      <c r="C9395" s="35" t="s">
        <v>1962</v>
      </c>
      <c r="D9395" s="35" t="s">
        <v>1802</v>
      </c>
      <c r="E9395" s="35" t="s">
        <v>2003</v>
      </c>
      <c r="F9395" s="35" t="s">
        <v>894</v>
      </c>
    </row>
    <row r="9396" spans="1:6">
      <c r="A9396" s="34">
        <v>2084242129</v>
      </c>
      <c r="B9396" s="35" t="s">
        <v>462</v>
      </c>
      <c r="C9396" s="35" t="s">
        <v>1962</v>
      </c>
      <c r="D9396" s="35" t="s">
        <v>1802</v>
      </c>
      <c r="E9396" s="35" t="s">
        <v>2003</v>
      </c>
      <c r="F9396" s="35" t="s">
        <v>648</v>
      </c>
    </row>
    <row r="9397" spans="1:6">
      <c r="A9397" s="34">
        <v>2084242130</v>
      </c>
      <c r="B9397" s="35" t="s">
        <v>462</v>
      </c>
      <c r="C9397" s="35" t="s">
        <v>1962</v>
      </c>
      <c r="D9397" s="35" t="s">
        <v>1802</v>
      </c>
      <c r="E9397" s="35" t="s">
        <v>2003</v>
      </c>
      <c r="F9397" s="35" t="s">
        <v>649</v>
      </c>
    </row>
    <row r="9398" spans="1:6">
      <c r="A9398" s="34">
        <v>2084242131</v>
      </c>
      <c r="B9398" s="35" t="s">
        <v>462</v>
      </c>
      <c r="C9398" s="35" t="s">
        <v>1962</v>
      </c>
      <c r="D9398" s="35" t="s">
        <v>1802</v>
      </c>
      <c r="E9398" s="35" t="s">
        <v>2003</v>
      </c>
      <c r="F9398" s="35" t="s">
        <v>650</v>
      </c>
    </row>
    <row r="9399" spans="1:6">
      <c r="A9399" s="34">
        <v>2084242132</v>
      </c>
      <c r="B9399" s="35" t="s">
        <v>462</v>
      </c>
      <c r="C9399" s="35" t="s">
        <v>1962</v>
      </c>
      <c r="D9399" s="35" t="s">
        <v>1802</v>
      </c>
      <c r="E9399" s="35" t="s">
        <v>2003</v>
      </c>
      <c r="F9399" s="35" t="s">
        <v>651</v>
      </c>
    </row>
    <row r="9400" spans="1:6">
      <c r="A9400" s="34">
        <v>2084242133</v>
      </c>
      <c r="B9400" s="35" t="s">
        <v>462</v>
      </c>
      <c r="C9400" s="35" t="s">
        <v>1962</v>
      </c>
      <c r="D9400" s="35" t="s">
        <v>1802</v>
      </c>
      <c r="E9400" s="35" t="s">
        <v>2003</v>
      </c>
      <c r="F9400" s="35" t="s">
        <v>652</v>
      </c>
    </row>
    <row r="9401" spans="1:6">
      <c r="A9401" s="34">
        <v>2084242134</v>
      </c>
      <c r="B9401" s="35" t="s">
        <v>462</v>
      </c>
      <c r="C9401" s="35" t="s">
        <v>1962</v>
      </c>
      <c r="D9401" s="35" t="s">
        <v>1802</v>
      </c>
      <c r="E9401" s="35" t="s">
        <v>2003</v>
      </c>
      <c r="F9401" s="35" t="s">
        <v>653</v>
      </c>
    </row>
    <row r="9402" spans="1:6">
      <c r="A9402" s="34">
        <v>2084242135</v>
      </c>
      <c r="B9402" s="35" t="s">
        <v>462</v>
      </c>
      <c r="C9402" s="35" t="s">
        <v>1962</v>
      </c>
      <c r="D9402" s="35" t="s">
        <v>1802</v>
      </c>
      <c r="E9402" s="35" t="s">
        <v>2003</v>
      </c>
      <c r="F9402" s="35" t="s">
        <v>654</v>
      </c>
    </row>
    <row r="9403" spans="1:6">
      <c r="A9403" s="34">
        <v>2084242136</v>
      </c>
      <c r="B9403" s="35" t="s">
        <v>462</v>
      </c>
      <c r="C9403" s="35" t="s">
        <v>1962</v>
      </c>
      <c r="D9403" s="35" t="s">
        <v>1802</v>
      </c>
      <c r="E9403" s="35" t="s">
        <v>2003</v>
      </c>
      <c r="F9403" s="35" t="s">
        <v>655</v>
      </c>
    </row>
    <row r="9404" spans="1:6">
      <c r="A9404" s="34">
        <v>2084242137</v>
      </c>
      <c r="B9404" s="35" t="s">
        <v>462</v>
      </c>
      <c r="C9404" s="35" t="s">
        <v>1962</v>
      </c>
      <c r="D9404" s="35" t="s">
        <v>1802</v>
      </c>
      <c r="E9404" s="35" t="s">
        <v>2003</v>
      </c>
      <c r="F9404" s="35" t="s">
        <v>656</v>
      </c>
    </row>
    <row r="9405" spans="1:6">
      <c r="A9405" s="34">
        <v>2084242138</v>
      </c>
      <c r="B9405" s="35" t="s">
        <v>462</v>
      </c>
      <c r="C9405" s="35" t="s">
        <v>1962</v>
      </c>
      <c r="D9405" s="35" t="s">
        <v>1802</v>
      </c>
      <c r="E9405" s="35" t="s">
        <v>2003</v>
      </c>
      <c r="F9405" s="35" t="s">
        <v>657</v>
      </c>
    </row>
    <row r="9406" spans="1:6">
      <c r="A9406" s="34">
        <v>2084237297</v>
      </c>
      <c r="B9406" s="35" t="s">
        <v>462</v>
      </c>
      <c r="C9406" s="35" t="s">
        <v>1962</v>
      </c>
      <c r="D9406" s="35" t="s">
        <v>2004</v>
      </c>
      <c r="E9406" s="35" t="s">
        <v>875</v>
      </c>
    </row>
    <row r="9407" spans="1:6">
      <c r="A9407" s="34">
        <v>2084237298</v>
      </c>
      <c r="B9407" s="35" t="s">
        <v>462</v>
      </c>
      <c r="C9407" s="35" t="s">
        <v>1962</v>
      </c>
      <c r="D9407" s="35" t="s">
        <v>2004</v>
      </c>
      <c r="E9407" s="35" t="s">
        <v>793</v>
      </c>
    </row>
    <row r="9408" spans="1:6">
      <c r="A9408" s="34">
        <v>2084237299</v>
      </c>
      <c r="B9408" s="35" t="s">
        <v>462</v>
      </c>
      <c r="C9408" s="35" t="s">
        <v>1962</v>
      </c>
      <c r="D9408" s="35" t="s">
        <v>2004</v>
      </c>
      <c r="E9408" s="35" t="s">
        <v>876</v>
      </c>
    </row>
    <row r="9409" spans="1:5">
      <c r="A9409" s="34">
        <v>2084237300</v>
      </c>
      <c r="B9409" s="35" t="s">
        <v>462</v>
      </c>
      <c r="C9409" s="35" t="s">
        <v>1962</v>
      </c>
      <c r="D9409" s="35" t="s">
        <v>2004</v>
      </c>
      <c r="E9409" s="35" t="s">
        <v>877</v>
      </c>
    </row>
    <row r="9410" spans="1:5">
      <c r="A9410" s="34">
        <v>2084237301</v>
      </c>
      <c r="B9410" s="35" t="s">
        <v>462</v>
      </c>
      <c r="C9410" s="35" t="s">
        <v>1962</v>
      </c>
      <c r="D9410" s="35" t="s">
        <v>2004</v>
      </c>
      <c r="E9410" s="35" t="s">
        <v>878</v>
      </c>
    </row>
    <row r="9411" spans="1:5">
      <c r="A9411" s="34">
        <v>2084237302</v>
      </c>
      <c r="B9411" s="35" t="s">
        <v>462</v>
      </c>
      <c r="C9411" s="35" t="s">
        <v>1962</v>
      </c>
      <c r="D9411" s="35" t="s">
        <v>2004</v>
      </c>
      <c r="E9411" s="35" t="s">
        <v>879</v>
      </c>
    </row>
    <row r="9412" spans="1:5">
      <c r="A9412" s="34">
        <v>2084237303</v>
      </c>
      <c r="B9412" s="35" t="s">
        <v>462</v>
      </c>
      <c r="C9412" s="35" t="s">
        <v>1962</v>
      </c>
      <c r="D9412" s="35" t="s">
        <v>2004</v>
      </c>
      <c r="E9412" s="35" t="s">
        <v>880</v>
      </c>
    </row>
    <row r="9413" spans="1:5">
      <c r="A9413" s="34">
        <v>2084237304</v>
      </c>
      <c r="B9413" s="35" t="s">
        <v>462</v>
      </c>
      <c r="C9413" s="35" t="s">
        <v>1962</v>
      </c>
      <c r="D9413" s="35" t="s">
        <v>2004</v>
      </c>
      <c r="E9413" s="35" t="s">
        <v>881</v>
      </c>
    </row>
    <row r="9414" spans="1:5">
      <c r="A9414" s="34">
        <v>2084237305</v>
      </c>
      <c r="B9414" s="35" t="s">
        <v>462</v>
      </c>
      <c r="C9414" s="35" t="s">
        <v>1962</v>
      </c>
      <c r="D9414" s="35" t="s">
        <v>2004</v>
      </c>
      <c r="E9414" s="35" t="s">
        <v>882</v>
      </c>
    </row>
    <row r="9415" spans="1:5">
      <c r="A9415" s="34">
        <v>2084237306</v>
      </c>
      <c r="B9415" s="35" t="s">
        <v>462</v>
      </c>
      <c r="C9415" s="35" t="s">
        <v>1962</v>
      </c>
      <c r="D9415" s="35" t="s">
        <v>2004</v>
      </c>
      <c r="E9415" s="35" t="s">
        <v>883</v>
      </c>
    </row>
    <row r="9416" spans="1:5">
      <c r="A9416" s="34">
        <v>2084237307</v>
      </c>
      <c r="B9416" s="35" t="s">
        <v>462</v>
      </c>
      <c r="C9416" s="35" t="s">
        <v>1962</v>
      </c>
      <c r="D9416" s="35" t="s">
        <v>2004</v>
      </c>
      <c r="E9416" s="35" t="s">
        <v>1964</v>
      </c>
    </row>
    <row r="9417" spans="1:5">
      <c r="A9417" s="34">
        <v>2084237308</v>
      </c>
      <c r="B9417" s="35" t="s">
        <v>462</v>
      </c>
      <c r="C9417" s="35" t="s">
        <v>1962</v>
      </c>
      <c r="D9417" s="35" t="s">
        <v>2004</v>
      </c>
      <c r="E9417" s="35" t="s">
        <v>1965</v>
      </c>
    </row>
    <row r="9418" spans="1:5">
      <c r="A9418" s="34">
        <v>2084237309</v>
      </c>
      <c r="B9418" s="35" t="s">
        <v>462</v>
      </c>
      <c r="C9418" s="35" t="s">
        <v>1962</v>
      </c>
      <c r="D9418" s="35" t="s">
        <v>2004</v>
      </c>
      <c r="E9418" s="35" t="s">
        <v>1966</v>
      </c>
    </row>
    <row r="9419" spans="1:5">
      <c r="A9419" s="34">
        <v>2084049485</v>
      </c>
      <c r="B9419" s="35" t="s">
        <v>462</v>
      </c>
      <c r="C9419" s="35" t="s">
        <v>1962</v>
      </c>
      <c r="D9419" s="35" t="s">
        <v>2005</v>
      </c>
      <c r="E9419" s="35" t="s">
        <v>875</v>
      </c>
    </row>
    <row r="9420" spans="1:5">
      <c r="A9420" s="34">
        <v>2084049486</v>
      </c>
      <c r="B9420" s="35" t="s">
        <v>462</v>
      </c>
      <c r="C9420" s="35" t="s">
        <v>1962</v>
      </c>
      <c r="D9420" s="35" t="s">
        <v>2005</v>
      </c>
      <c r="E9420" s="35" t="s">
        <v>793</v>
      </c>
    </row>
    <row r="9421" spans="1:5">
      <c r="A9421" s="34">
        <v>2084049487</v>
      </c>
      <c r="B9421" s="35" t="s">
        <v>462</v>
      </c>
      <c r="C9421" s="35" t="s">
        <v>1962</v>
      </c>
      <c r="D9421" s="35" t="s">
        <v>2005</v>
      </c>
      <c r="E9421" s="35" t="s">
        <v>876</v>
      </c>
    </row>
    <row r="9422" spans="1:5">
      <c r="A9422" s="34">
        <v>2084049488</v>
      </c>
      <c r="B9422" s="35" t="s">
        <v>462</v>
      </c>
      <c r="C9422" s="35" t="s">
        <v>1962</v>
      </c>
      <c r="D9422" s="35" t="s">
        <v>2005</v>
      </c>
      <c r="E9422" s="35" t="s">
        <v>877</v>
      </c>
    </row>
    <row r="9423" spans="1:5">
      <c r="A9423" s="34">
        <v>2084049489</v>
      </c>
      <c r="B9423" s="35" t="s">
        <v>462</v>
      </c>
      <c r="C9423" s="35" t="s">
        <v>1962</v>
      </c>
      <c r="D9423" s="35" t="s">
        <v>2005</v>
      </c>
      <c r="E9423" s="35" t="s">
        <v>878</v>
      </c>
    </row>
    <row r="9424" spans="1:5">
      <c r="A9424" s="34">
        <v>2084049490</v>
      </c>
      <c r="B9424" s="35" t="s">
        <v>462</v>
      </c>
      <c r="C9424" s="35" t="s">
        <v>1962</v>
      </c>
      <c r="D9424" s="35" t="s">
        <v>2005</v>
      </c>
      <c r="E9424" s="35" t="s">
        <v>879</v>
      </c>
    </row>
    <row r="9425" spans="1:5">
      <c r="A9425" s="34">
        <v>2084049491</v>
      </c>
      <c r="B9425" s="35" t="s">
        <v>462</v>
      </c>
      <c r="C9425" s="35" t="s">
        <v>1962</v>
      </c>
      <c r="D9425" s="35" t="s">
        <v>2005</v>
      </c>
      <c r="E9425" s="35" t="s">
        <v>880</v>
      </c>
    </row>
    <row r="9426" spans="1:5">
      <c r="A9426" s="34">
        <v>2084049492</v>
      </c>
      <c r="B9426" s="35" t="s">
        <v>462</v>
      </c>
      <c r="C9426" s="35" t="s">
        <v>1962</v>
      </c>
      <c r="D9426" s="35" t="s">
        <v>2005</v>
      </c>
      <c r="E9426" s="35" t="s">
        <v>881</v>
      </c>
    </row>
    <row r="9427" spans="1:5">
      <c r="A9427" s="34">
        <v>2084049493</v>
      </c>
      <c r="B9427" s="35" t="s">
        <v>462</v>
      </c>
      <c r="C9427" s="35" t="s">
        <v>1962</v>
      </c>
      <c r="D9427" s="35" t="s">
        <v>2005</v>
      </c>
      <c r="E9427" s="35" t="s">
        <v>1457</v>
      </c>
    </row>
    <row r="9428" spans="1:5">
      <c r="A9428" s="34">
        <v>2084232920</v>
      </c>
      <c r="B9428" s="35" t="s">
        <v>462</v>
      </c>
      <c r="C9428" s="35" t="s">
        <v>1962</v>
      </c>
      <c r="D9428" s="35" t="s">
        <v>2006</v>
      </c>
      <c r="E9428" s="35" t="s">
        <v>875</v>
      </c>
    </row>
    <row r="9429" spans="1:5">
      <c r="A9429" s="34">
        <v>2084232921</v>
      </c>
      <c r="B9429" s="35" t="s">
        <v>462</v>
      </c>
      <c r="C9429" s="35" t="s">
        <v>1962</v>
      </c>
      <c r="D9429" s="35" t="s">
        <v>2006</v>
      </c>
      <c r="E9429" s="35" t="s">
        <v>793</v>
      </c>
    </row>
    <row r="9430" spans="1:5">
      <c r="A9430" s="34">
        <v>2084232922</v>
      </c>
      <c r="B9430" s="35" t="s">
        <v>462</v>
      </c>
      <c r="C9430" s="35" t="s">
        <v>1962</v>
      </c>
      <c r="D9430" s="35" t="s">
        <v>2006</v>
      </c>
      <c r="E9430" s="35" t="s">
        <v>876</v>
      </c>
    </row>
    <row r="9431" spans="1:5">
      <c r="A9431" s="34">
        <v>2084232923</v>
      </c>
      <c r="B9431" s="35" t="s">
        <v>462</v>
      </c>
      <c r="C9431" s="35" t="s">
        <v>1962</v>
      </c>
      <c r="D9431" s="35" t="s">
        <v>2006</v>
      </c>
      <c r="E9431" s="35" t="s">
        <v>877</v>
      </c>
    </row>
    <row r="9432" spans="1:5">
      <c r="A9432" s="34">
        <v>2084232924</v>
      </c>
      <c r="B9432" s="35" t="s">
        <v>462</v>
      </c>
      <c r="C9432" s="35" t="s">
        <v>1962</v>
      </c>
      <c r="D9432" s="35" t="s">
        <v>2006</v>
      </c>
      <c r="E9432" s="35" t="s">
        <v>878</v>
      </c>
    </row>
    <row r="9433" spans="1:5">
      <c r="A9433" s="34">
        <v>2084232925</v>
      </c>
      <c r="B9433" s="35" t="s">
        <v>462</v>
      </c>
      <c r="C9433" s="35" t="s">
        <v>1962</v>
      </c>
      <c r="D9433" s="35" t="s">
        <v>2006</v>
      </c>
      <c r="E9433" s="35" t="s">
        <v>879</v>
      </c>
    </row>
    <row r="9434" spans="1:5">
      <c r="A9434" s="34">
        <v>2084232926</v>
      </c>
      <c r="B9434" s="35" t="s">
        <v>462</v>
      </c>
      <c r="C9434" s="35" t="s">
        <v>1962</v>
      </c>
      <c r="D9434" s="35" t="s">
        <v>2006</v>
      </c>
      <c r="E9434" s="35" t="s">
        <v>880</v>
      </c>
    </row>
    <row r="9435" spans="1:5">
      <c r="A9435" s="34">
        <v>2084232927</v>
      </c>
      <c r="B9435" s="35" t="s">
        <v>462</v>
      </c>
      <c r="C9435" s="35" t="s">
        <v>1962</v>
      </c>
      <c r="D9435" s="35" t="s">
        <v>2006</v>
      </c>
      <c r="E9435" s="35" t="s">
        <v>881</v>
      </c>
    </row>
    <row r="9436" spans="1:5">
      <c r="A9436" s="34">
        <v>2084232928</v>
      </c>
      <c r="B9436" s="35" t="s">
        <v>462</v>
      </c>
      <c r="C9436" s="35" t="s">
        <v>1962</v>
      </c>
      <c r="D9436" s="35" t="s">
        <v>2006</v>
      </c>
      <c r="E9436" s="35" t="s">
        <v>882</v>
      </c>
    </row>
    <row r="9437" spans="1:5">
      <c r="A9437" s="34">
        <v>2084232929</v>
      </c>
      <c r="B9437" s="35" t="s">
        <v>462</v>
      </c>
      <c r="C9437" s="35" t="s">
        <v>1962</v>
      </c>
      <c r="D9437" s="35" t="s">
        <v>2006</v>
      </c>
      <c r="E9437" s="35" t="s">
        <v>883</v>
      </c>
    </row>
    <row r="9438" spans="1:5">
      <c r="A9438" s="34">
        <v>2084232930</v>
      </c>
      <c r="B9438" s="35" t="s">
        <v>462</v>
      </c>
      <c r="C9438" s="35" t="s">
        <v>1962</v>
      </c>
      <c r="D9438" s="35" t="s">
        <v>2006</v>
      </c>
      <c r="E9438" s="35" t="s">
        <v>884</v>
      </c>
    </row>
    <row r="9439" spans="1:5">
      <c r="A9439" s="34">
        <v>2084062283</v>
      </c>
      <c r="B9439" s="35" t="s">
        <v>462</v>
      </c>
      <c r="C9439" s="35" t="s">
        <v>1962</v>
      </c>
      <c r="D9439" s="35" t="s">
        <v>2007</v>
      </c>
      <c r="E9439" s="35" t="s">
        <v>875</v>
      </c>
    </row>
    <row r="9440" spans="1:5">
      <c r="A9440" s="34">
        <v>2084062284</v>
      </c>
      <c r="B9440" s="35" t="s">
        <v>462</v>
      </c>
      <c r="C9440" s="35" t="s">
        <v>1962</v>
      </c>
      <c r="D9440" s="35" t="s">
        <v>2007</v>
      </c>
      <c r="E9440" s="35" t="s">
        <v>793</v>
      </c>
    </row>
    <row r="9441" spans="1:5">
      <c r="A9441" s="34">
        <v>2084062285</v>
      </c>
      <c r="B9441" s="35" t="s">
        <v>462</v>
      </c>
      <c r="C9441" s="35" t="s">
        <v>1962</v>
      </c>
      <c r="D9441" s="35" t="s">
        <v>2007</v>
      </c>
      <c r="E9441" s="35" t="s">
        <v>876</v>
      </c>
    </row>
    <row r="9442" spans="1:5">
      <c r="A9442" s="34">
        <v>2084062286</v>
      </c>
      <c r="B9442" s="35" t="s">
        <v>462</v>
      </c>
      <c r="C9442" s="35" t="s">
        <v>1962</v>
      </c>
      <c r="D9442" s="35" t="s">
        <v>2007</v>
      </c>
      <c r="E9442" s="35" t="s">
        <v>877</v>
      </c>
    </row>
    <row r="9443" spans="1:5">
      <c r="A9443" s="34">
        <v>2084062287</v>
      </c>
      <c r="B9443" s="35" t="s">
        <v>462</v>
      </c>
      <c r="C9443" s="35" t="s">
        <v>1962</v>
      </c>
      <c r="D9443" s="35" t="s">
        <v>2007</v>
      </c>
      <c r="E9443" s="35" t="s">
        <v>878</v>
      </c>
    </row>
    <row r="9444" spans="1:5">
      <c r="A9444" s="34">
        <v>2084062288</v>
      </c>
      <c r="B9444" s="35" t="s">
        <v>462</v>
      </c>
      <c r="C9444" s="35" t="s">
        <v>1962</v>
      </c>
      <c r="D9444" s="35" t="s">
        <v>2007</v>
      </c>
      <c r="E9444" s="35" t="s">
        <v>879</v>
      </c>
    </row>
    <row r="9445" spans="1:5">
      <c r="A9445" s="34">
        <v>2084062289</v>
      </c>
      <c r="B9445" s="35" t="s">
        <v>462</v>
      </c>
      <c r="C9445" s="35" t="s">
        <v>1962</v>
      </c>
      <c r="D9445" s="35" t="s">
        <v>2007</v>
      </c>
      <c r="E9445" s="35" t="s">
        <v>880</v>
      </c>
    </row>
    <row r="9446" spans="1:5">
      <c r="A9446" s="34">
        <v>2084062290</v>
      </c>
      <c r="B9446" s="35" t="s">
        <v>462</v>
      </c>
      <c r="C9446" s="35" t="s">
        <v>1962</v>
      </c>
      <c r="D9446" s="35" t="s">
        <v>2007</v>
      </c>
      <c r="E9446" s="35" t="s">
        <v>881</v>
      </c>
    </row>
    <row r="9447" spans="1:5">
      <c r="A9447" s="34">
        <v>2084062291</v>
      </c>
      <c r="B9447" s="35" t="s">
        <v>462</v>
      </c>
      <c r="C9447" s="35" t="s">
        <v>1962</v>
      </c>
      <c r="D9447" s="35" t="s">
        <v>2007</v>
      </c>
      <c r="E9447" s="35" t="s">
        <v>882</v>
      </c>
    </row>
    <row r="9448" spans="1:5">
      <c r="A9448" s="34">
        <v>2084062292</v>
      </c>
      <c r="B9448" s="35" t="s">
        <v>462</v>
      </c>
      <c r="C9448" s="35" t="s">
        <v>1962</v>
      </c>
      <c r="D9448" s="35" t="s">
        <v>2007</v>
      </c>
      <c r="E9448" s="35" t="s">
        <v>883</v>
      </c>
    </row>
    <row r="9449" spans="1:5">
      <c r="A9449" s="34">
        <v>2084062293</v>
      </c>
      <c r="B9449" s="35" t="s">
        <v>462</v>
      </c>
      <c r="C9449" s="35" t="s">
        <v>1962</v>
      </c>
      <c r="D9449" s="35" t="s">
        <v>2007</v>
      </c>
      <c r="E9449" s="35" t="s">
        <v>884</v>
      </c>
    </row>
    <row r="9450" spans="1:5">
      <c r="A9450" s="34">
        <v>2084023778</v>
      </c>
      <c r="B9450" s="35" t="s">
        <v>462</v>
      </c>
      <c r="C9450" s="35" t="s">
        <v>1962</v>
      </c>
      <c r="D9450" s="35" t="s">
        <v>1810</v>
      </c>
    </row>
    <row r="9451" spans="1:5">
      <c r="A9451" s="34">
        <v>2084005486</v>
      </c>
      <c r="B9451" s="35" t="s">
        <v>462</v>
      </c>
      <c r="C9451" s="35" t="s">
        <v>1962</v>
      </c>
      <c r="D9451" s="35" t="s">
        <v>335</v>
      </c>
    </row>
    <row r="9452" spans="1:5">
      <c r="A9452" s="34">
        <v>2084045098</v>
      </c>
      <c r="B9452" s="35" t="s">
        <v>462</v>
      </c>
      <c r="C9452" s="35" t="s">
        <v>2008</v>
      </c>
      <c r="D9452" s="35" t="s">
        <v>304</v>
      </c>
    </row>
    <row r="9453" spans="1:5">
      <c r="A9453" s="34">
        <v>2084045102</v>
      </c>
      <c r="B9453" s="35" t="s">
        <v>462</v>
      </c>
      <c r="C9453" s="35" t="s">
        <v>2008</v>
      </c>
      <c r="D9453" s="35" t="s">
        <v>2009</v>
      </c>
    </row>
    <row r="9454" spans="1:5">
      <c r="A9454" s="34">
        <v>2084045101</v>
      </c>
      <c r="B9454" s="35" t="s">
        <v>462</v>
      </c>
      <c r="C9454" s="35" t="s">
        <v>2008</v>
      </c>
      <c r="D9454" s="35" t="s">
        <v>2010</v>
      </c>
    </row>
    <row r="9455" spans="1:5">
      <c r="A9455" s="34">
        <v>2084045100</v>
      </c>
      <c r="B9455" s="35" t="s">
        <v>462</v>
      </c>
      <c r="C9455" s="35" t="s">
        <v>2008</v>
      </c>
      <c r="D9455" s="35" t="s">
        <v>2011</v>
      </c>
    </row>
    <row r="9456" spans="1:5">
      <c r="A9456" s="34">
        <v>2084045103</v>
      </c>
      <c r="B9456" s="35" t="s">
        <v>462</v>
      </c>
      <c r="C9456" s="35" t="s">
        <v>2008</v>
      </c>
      <c r="D9456" s="35" t="s">
        <v>1842</v>
      </c>
    </row>
    <row r="9457" spans="1:6">
      <c r="A9457" s="34">
        <v>2084211881</v>
      </c>
      <c r="B9457" s="35" t="s">
        <v>462</v>
      </c>
      <c r="C9457" s="35" t="s">
        <v>2008</v>
      </c>
      <c r="D9457" s="35" t="s">
        <v>1839</v>
      </c>
      <c r="E9457" s="35" t="s">
        <v>1840</v>
      </c>
      <c r="F9457" s="35" t="s">
        <v>1841</v>
      </c>
    </row>
    <row r="9458" spans="1:6">
      <c r="A9458" s="34">
        <v>2084211882</v>
      </c>
      <c r="B9458" s="35" t="s">
        <v>462</v>
      </c>
      <c r="C9458" s="35" t="s">
        <v>2008</v>
      </c>
      <c r="D9458" s="35" t="s">
        <v>1839</v>
      </c>
      <c r="E9458" s="35" t="s">
        <v>1840</v>
      </c>
      <c r="F9458" s="35" t="s">
        <v>335</v>
      </c>
    </row>
    <row r="9459" spans="1:6">
      <c r="A9459" s="34">
        <v>2084211883</v>
      </c>
      <c r="B9459" s="35" t="s">
        <v>462</v>
      </c>
      <c r="C9459" s="35" t="s">
        <v>2008</v>
      </c>
      <c r="D9459" s="35" t="s">
        <v>1839</v>
      </c>
      <c r="E9459" s="35" t="s">
        <v>1842</v>
      </c>
    </row>
    <row r="9460" spans="1:6">
      <c r="A9460" s="34">
        <v>2084211885</v>
      </c>
      <c r="B9460" s="35" t="s">
        <v>462</v>
      </c>
      <c r="C9460" s="35" t="s">
        <v>2008</v>
      </c>
      <c r="D9460" s="35" t="s">
        <v>1839</v>
      </c>
      <c r="E9460" s="35" t="s">
        <v>1843</v>
      </c>
    </row>
    <row r="9461" spans="1:6">
      <c r="A9461" s="34">
        <v>2084211858</v>
      </c>
      <c r="B9461" s="35" t="s">
        <v>462</v>
      </c>
      <c r="C9461" s="35" t="s">
        <v>2008</v>
      </c>
      <c r="D9461" s="35" t="s">
        <v>1839</v>
      </c>
      <c r="E9461" s="35" t="s">
        <v>1844</v>
      </c>
      <c r="F9461" s="35" t="s">
        <v>1845</v>
      </c>
    </row>
    <row r="9462" spans="1:6">
      <c r="A9462" s="34">
        <v>2084211871</v>
      </c>
      <c r="B9462" s="35" t="s">
        <v>462</v>
      </c>
      <c r="C9462" s="35" t="s">
        <v>2008</v>
      </c>
      <c r="D9462" s="35" t="s">
        <v>1839</v>
      </c>
      <c r="E9462" s="35" t="s">
        <v>1844</v>
      </c>
      <c r="F9462" s="35" t="s">
        <v>1846</v>
      </c>
    </row>
    <row r="9463" spans="1:6">
      <c r="A9463" s="34">
        <v>2084211870</v>
      </c>
      <c r="B9463" s="35" t="s">
        <v>462</v>
      </c>
      <c r="C9463" s="35" t="s">
        <v>2008</v>
      </c>
      <c r="D9463" s="35" t="s">
        <v>1839</v>
      </c>
      <c r="E9463" s="35" t="s">
        <v>1844</v>
      </c>
      <c r="F9463" s="35" t="s">
        <v>1847</v>
      </c>
    </row>
    <row r="9464" spans="1:6">
      <c r="A9464" s="34">
        <v>2084211865</v>
      </c>
      <c r="B9464" s="35" t="s">
        <v>462</v>
      </c>
      <c r="C9464" s="35" t="s">
        <v>2008</v>
      </c>
      <c r="D9464" s="35" t="s">
        <v>1839</v>
      </c>
      <c r="E9464" s="35" t="s">
        <v>1844</v>
      </c>
      <c r="F9464" s="35" t="s">
        <v>1841</v>
      </c>
    </row>
    <row r="9465" spans="1:6">
      <c r="A9465" s="34">
        <v>2084211860</v>
      </c>
      <c r="B9465" s="35" t="s">
        <v>462</v>
      </c>
      <c r="C9465" s="35" t="s">
        <v>2008</v>
      </c>
      <c r="D9465" s="35" t="s">
        <v>1839</v>
      </c>
      <c r="E9465" s="35" t="s">
        <v>1844</v>
      </c>
      <c r="F9465" s="35" t="s">
        <v>1848</v>
      </c>
    </row>
    <row r="9466" spans="1:6">
      <c r="A9466" s="34">
        <v>2084211861</v>
      </c>
      <c r="B9466" s="35" t="s">
        <v>462</v>
      </c>
      <c r="C9466" s="35" t="s">
        <v>2008</v>
      </c>
      <c r="D9466" s="35" t="s">
        <v>1839</v>
      </c>
      <c r="E9466" s="35" t="s">
        <v>1844</v>
      </c>
      <c r="F9466" s="35" t="s">
        <v>1849</v>
      </c>
    </row>
    <row r="9467" spans="1:6">
      <c r="A9467" s="34">
        <v>2084211874</v>
      </c>
      <c r="B9467" s="35" t="s">
        <v>462</v>
      </c>
      <c r="C9467" s="35" t="s">
        <v>2008</v>
      </c>
      <c r="D9467" s="35" t="s">
        <v>1839</v>
      </c>
      <c r="E9467" s="35" t="s">
        <v>1844</v>
      </c>
      <c r="F9467" s="35" t="s">
        <v>335</v>
      </c>
    </row>
    <row r="9468" spans="1:6">
      <c r="A9468" s="34">
        <v>2084211839</v>
      </c>
      <c r="B9468" s="35" t="s">
        <v>462</v>
      </c>
      <c r="C9468" s="35" t="s">
        <v>2008</v>
      </c>
      <c r="D9468" s="35" t="s">
        <v>1839</v>
      </c>
      <c r="E9468" s="35" t="s">
        <v>1850</v>
      </c>
      <c r="F9468" s="35" t="s">
        <v>1845</v>
      </c>
    </row>
    <row r="9469" spans="1:6">
      <c r="A9469" s="34">
        <v>2084211849</v>
      </c>
      <c r="B9469" s="35" t="s">
        <v>462</v>
      </c>
      <c r="C9469" s="35" t="s">
        <v>2008</v>
      </c>
      <c r="D9469" s="35" t="s">
        <v>1839</v>
      </c>
      <c r="E9469" s="35" t="s">
        <v>1850</v>
      </c>
      <c r="F9469" s="35" t="s">
        <v>1846</v>
      </c>
    </row>
    <row r="9470" spans="1:6">
      <c r="A9470" s="34">
        <v>2084211848</v>
      </c>
      <c r="B9470" s="35" t="s">
        <v>462</v>
      </c>
      <c r="C9470" s="35" t="s">
        <v>2008</v>
      </c>
      <c r="D9470" s="35" t="s">
        <v>1839</v>
      </c>
      <c r="E9470" s="35" t="s">
        <v>1850</v>
      </c>
      <c r="F9470" s="35" t="s">
        <v>1847</v>
      </c>
    </row>
    <row r="9471" spans="1:6">
      <c r="A9471" s="34">
        <v>2084211847</v>
      </c>
      <c r="B9471" s="35" t="s">
        <v>462</v>
      </c>
      <c r="C9471" s="35" t="s">
        <v>2008</v>
      </c>
      <c r="D9471" s="35" t="s">
        <v>1839</v>
      </c>
      <c r="E9471" s="35" t="s">
        <v>1850</v>
      </c>
      <c r="F9471" s="35" t="s">
        <v>1841</v>
      </c>
    </row>
    <row r="9472" spans="1:6">
      <c r="A9472" s="34">
        <v>2084211842</v>
      </c>
      <c r="B9472" s="35" t="s">
        <v>462</v>
      </c>
      <c r="C9472" s="35" t="s">
        <v>2008</v>
      </c>
      <c r="D9472" s="35" t="s">
        <v>1839</v>
      </c>
      <c r="E9472" s="35" t="s">
        <v>1850</v>
      </c>
      <c r="F9472" s="35" t="s">
        <v>1848</v>
      </c>
    </row>
    <row r="9473" spans="1:6">
      <c r="A9473" s="34">
        <v>2084211844</v>
      </c>
      <c r="B9473" s="35" t="s">
        <v>462</v>
      </c>
      <c r="C9473" s="35" t="s">
        <v>2008</v>
      </c>
      <c r="D9473" s="35" t="s">
        <v>1839</v>
      </c>
      <c r="E9473" s="35" t="s">
        <v>1850</v>
      </c>
      <c r="F9473" s="35" t="s">
        <v>1849</v>
      </c>
    </row>
    <row r="9474" spans="1:6">
      <c r="A9474" s="34">
        <v>2084211850</v>
      </c>
      <c r="B9474" s="35" t="s">
        <v>462</v>
      </c>
      <c r="C9474" s="35" t="s">
        <v>2008</v>
      </c>
      <c r="D9474" s="35" t="s">
        <v>1839</v>
      </c>
      <c r="E9474" s="35" t="s">
        <v>1850</v>
      </c>
      <c r="F9474" s="35" t="s">
        <v>335</v>
      </c>
    </row>
    <row r="9475" spans="1:6">
      <c r="A9475" s="34">
        <v>2084211886</v>
      </c>
      <c r="B9475" s="35" t="s">
        <v>462</v>
      </c>
      <c r="C9475" s="35" t="s">
        <v>2008</v>
      </c>
      <c r="D9475" s="35" t="s">
        <v>1839</v>
      </c>
      <c r="E9475" s="35" t="s">
        <v>335</v>
      </c>
    </row>
    <row r="9476" spans="1:6">
      <c r="A9476" s="34">
        <v>2084059848</v>
      </c>
      <c r="B9476" s="35" t="s">
        <v>462</v>
      </c>
      <c r="C9476" s="35" t="s">
        <v>2008</v>
      </c>
      <c r="D9476" s="35" t="s">
        <v>2012</v>
      </c>
    </row>
    <row r="9477" spans="1:6">
      <c r="A9477" s="34">
        <v>2084061632</v>
      </c>
      <c r="B9477" s="35" t="s">
        <v>462</v>
      </c>
      <c r="C9477" s="35" t="s">
        <v>2008</v>
      </c>
      <c r="D9477" s="35" t="s">
        <v>1853</v>
      </c>
      <c r="E9477" s="35" t="s">
        <v>335</v>
      </c>
    </row>
    <row r="9478" spans="1:6">
      <c r="A9478" s="34">
        <v>2084233230</v>
      </c>
      <c r="B9478" s="35" t="s">
        <v>462</v>
      </c>
      <c r="C9478" s="35" t="s">
        <v>2013</v>
      </c>
      <c r="D9478" s="35" t="s">
        <v>1424</v>
      </c>
    </row>
    <row r="9479" spans="1:6">
      <c r="A9479" s="34">
        <v>2084233235</v>
      </c>
      <c r="B9479" s="35" t="s">
        <v>462</v>
      </c>
      <c r="C9479" s="35" t="s">
        <v>2013</v>
      </c>
      <c r="D9479" s="35" t="s">
        <v>2014</v>
      </c>
    </row>
    <row r="9480" spans="1:6">
      <c r="A9480" s="34">
        <v>2084233231</v>
      </c>
      <c r="B9480" s="35" t="s">
        <v>462</v>
      </c>
      <c r="C9480" s="35" t="s">
        <v>2013</v>
      </c>
      <c r="D9480" s="35" t="s">
        <v>907</v>
      </c>
    </row>
    <row r="9481" spans="1:6">
      <c r="A9481" s="34">
        <v>2084233232</v>
      </c>
      <c r="B9481" s="35" t="s">
        <v>462</v>
      </c>
      <c r="C9481" s="35" t="s">
        <v>2013</v>
      </c>
      <c r="D9481" s="35" t="s">
        <v>588</v>
      </c>
    </row>
    <row r="9482" spans="1:6">
      <c r="A9482" s="34">
        <v>2084233234</v>
      </c>
      <c r="B9482" s="35" t="s">
        <v>462</v>
      </c>
      <c r="C9482" s="35" t="s">
        <v>2013</v>
      </c>
      <c r="D9482" s="35" t="s">
        <v>911</v>
      </c>
    </row>
    <row r="9483" spans="1:6">
      <c r="A9483" s="34">
        <v>2084235254</v>
      </c>
      <c r="B9483" s="35" t="s">
        <v>462</v>
      </c>
      <c r="C9483" s="35" t="s">
        <v>2013</v>
      </c>
      <c r="D9483" s="35" t="s">
        <v>2015</v>
      </c>
    </row>
    <row r="9484" spans="1:6">
      <c r="A9484" s="34">
        <v>2084233233</v>
      </c>
      <c r="B9484" s="35" t="s">
        <v>462</v>
      </c>
      <c r="C9484" s="35" t="s">
        <v>2013</v>
      </c>
      <c r="D9484" s="35" t="s">
        <v>1425</v>
      </c>
    </row>
    <row r="9485" spans="1:6">
      <c r="A9485" s="34">
        <v>2084214423</v>
      </c>
      <c r="B9485" s="35" t="s">
        <v>462</v>
      </c>
      <c r="C9485" s="35" t="s">
        <v>2016</v>
      </c>
      <c r="D9485" s="35" t="s">
        <v>405</v>
      </c>
      <c r="E9485" s="35" t="s">
        <v>2017</v>
      </c>
      <c r="F9485" s="35" t="s">
        <v>2018</v>
      </c>
    </row>
    <row r="9486" spans="1:6">
      <c r="A9486" s="34">
        <v>2084214421</v>
      </c>
      <c r="B9486" s="35" t="s">
        <v>462</v>
      </c>
      <c r="C9486" s="35" t="s">
        <v>2016</v>
      </c>
      <c r="D9486" s="35" t="s">
        <v>405</v>
      </c>
      <c r="E9486" s="35" t="s">
        <v>2017</v>
      </c>
      <c r="F9486" s="35" t="s">
        <v>2019</v>
      </c>
    </row>
    <row r="9487" spans="1:6">
      <c r="A9487" s="34">
        <v>2084214422</v>
      </c>
      <c r="B9487" s="35" t="s">
        <v>462</v>
      </c>
      <c r="C9487" s="35" t="s">
        <v>2016</v>
      </c>
      <c r="D9487" s="35" t="s">
        <v>405</v>
      </c>
      <c r="E9487" s="35" t="s">
        <v>2017</v>
      </c>
      <c r="F9487" s="35" t="s">
        <v>2020</v>
      </c>
    </row>
    <row r="9488" spans="1:6">
      <c r="A9488" s="34">
        <v>2084238682</v>
      </c>
      <c r="B9488" s="35" t="s">
        <v>462</v>
      </c>
      <c r="C9488" s="35" t="s">
        <v>2016</v>
      </c>
      <c r="D9488" s="35" t="s">
        <v>405</v>
      </c>
      <c r="E9488" s="35" t="s">
        <v>2021</v>
      </c>
    </row>
    <row r="9489" spans="1:7">
      <c r="A9489" s="34">
        <v>2084206295</v>
      </c>
      <c r="B9489" s="35" t="s">
        <v>462</v>
      </c>
      <c r="C9489" s="35" t="s">
        <v>2016</v>
      </c>
      <c r="D9489" s="35" t="s">
        <v>405</v>
      </c>
      <c r="E9489" s="35" t="s">
        <v>2022</v>
      </c>
      <c r="F9489" s="35" t="s">
        <v>401</v>
      </c>
    </row>
    <row r="9490" spans="1:7">
      <c r="A9490" s="34">
        <v>2084206301</v>
      </c>
      <c r="B9490" s="35" t="s">
        <v>462</v>
      </c>
      <c r="C9490" s="35" t="s">
        <v>2016</v>
      </c>
      <c r="D9490" s="35" t="s">
        <v>405</v>
      </c>
      <c r="E9490" s="35" t="s">
        <v>2022</v>
      </c>
      <c r="F9490" s="35" t="s">
        <v>10</v>
      </c>
      <c r="G9490" s="35" t="s">
        <v>493</v>
      </c>
    </row>
    <row r="9491" spans="1:7">
      <c r="A9491" s="34">
        <v>2084206298</v>
      </c>
      <c r="B9491" s="35" t="s">
        <v>462</v>
      </c>
      <c r="C9491" s="35" t="s">
        <v>2016</v>
      </c>
      <c r="D9491" s="35" t="s">
        <v>405</v>
      </c>
      <c r="E9491" s="35" t="s">
        <v>2022</v>
      </c>
      <c r="F9491" s="35" t="s">
        <v>10</v>
      </c>
      <c r="G9491" s="35" t="s">
        <v>397</v>
      </c>
    </row>
    <row r="9492" spans="1:7">
      <c r="A9492" s="34">
        <v>2084206300</v>
      </c>
      <c r="B9492" s="35" t="s">
        <v>462</v>
      </c>
      <c r="C9492" s="35" t="s">
        <v>2016</v>
      </c>
      <c r="D9492" s="35" t="s">
        <v>405</v>
      </c>
      <c r="E9492" s="35" t="s">
        <v>2022</v>
      </c>
      <c r="F9492" s="35" t="s">
        <v>10</v>
      </c>
      <c r="G9492" s="35" t="s">
        <v>421</v>
      </c>
    </row>
    <row r="9493" spans="1:7">
      <c r="A9493" s="34">
        <v>2084206297</v>
      </c>
      <c r="B9493" s="35" t="s">
        <v>462</v>
      </c>
      <c r="C9493" s="35" t="s">
        <v>2016</v>
      </c>
      <c r="D9493" s="35" t="s">
        <v>405</v>
      </c>
      <c r="E9493" s="35" t="s">
        <v>2022</v>
      </c>
      <c r="F9493" s="35" t="s">
        <v>10</v>
      </c>
      <c r="G9493" s="35" t="s">
        <v>398</v>
      </c>
    </row>
    <row r="9494" spans="1:7">
      <c r="A9494" s="34">
        <v>2084206299</v>
      </c>
      <c r="B9494" s="35" t="s">
        <v>462</v>
      </c>
      <c r="C9494" s="35" t="s">
        <v>2016</v>
      </c>
      <c r="D9494" s="35" t="s">
        <v>405</v>
      </c>
      <c r="E9494" s="35" t="s">
        <v>2022</v>
      </c>
      <c r="F9494" s="35" t="s">
        <v>10</v>
      </c>
      <c r="G9494" s="35" t="s">
        <v>422</v>
      </c>
    </row>
    <row r="9495" spans="1:7">
      <c r="A9495" s="34">
        <v>2084206302</v>
      </c>
      <c r="B9495" s="35" t="s">
        <v>462</v>
      </c>
      <c r="C9495" s="35" t="s">
        <v>2016</v>
      </c>
      <c r="D9495" s="35" t="s">
        <v>405</v>
      </c>
      <c r="E9495" s="35" t="s">
        <v>2022</v>
      </c>
      <c r="F9495" s="35" t="s">
        <v>10</v>
      </c>
      <c r="G9495" s="35" t="s">
        <v>335</v>
      </c>
    </row>
    <row r="9496" spans="1:7">
      <c r="A9496" s="34">
        <v>2084206304</v>
      </c>
      <c r="B9496" s="35" t="s">
        <v>462</v>
      </c>
      <c r="C9496" s="35" t="s">
        <v>2016</v>
      </c>
      <c r="D9496" s="35" t="s">
        <v>405</v>
      </c>
      <c r="E9496" s="35" t="s">
        <v>2022</v>
      </c>
      <c r="F9496" s="35" t="s">
        <v>379</v>
      </c>
      <c r="G9496" s="35" t="s">
        <v>476</v>
      </c>
    </row>
    <row r="9497" spans="1:7">
      <c r="A9497" s="34">
        <v>2084206305</v>
      </c>
      <c r="B9497" s="35" t="s">
        <v>462</v>
      </c>
      <c r="C9497" s="35" t="s">
        <v>2016</v>
      </c>
      <c r="D9497" s="35" t="s">
        <v>405</v>
      </c>
      <c r="E9497" s="35" t="s">
        <v>2022</v>
      </c>
      <c r="F9497" s="35" t="s">
        <v>379</v>
      </c>
      <c r="G9497" s="35" t="s">
        <v>335</v>
      </c>
    </row>
    <row r="9498" spans="1:7">
      <c r="A9498" s="34">
        <v>2084206306</v>
      </c>
      <c r="B9498" s="35" t="s">
        <v>462</v>
      </c>
      <c r="C9498" s="35" t="s">
        <v>2016</v>
      </c>
      <c r="D9498" s="35" t="s">
        <v>405</v>
      </c>
      <c r="E9498" s="35" t="s">
        <v>2022</v>
      </c>
      <c r="F9498" s="35" t="s">
        <v>478</v>
      </c>
    </row>
    <row r="9499" spans="1:7">
      <c r="A9499" s="34">
        <v>2084206307</v>
      </c>
      <c r="B9499" s="35" t="s">
        <v>462</v>
      </c>
      <c r="C9499" s="35" t="s">
        <v>2016</v>
      </c>
      <c r="D9499" s="35" t="s">
        <v>405</v>
      </c>
      <c r="E9499" s="35" t="s">
        <v>2022</v>
      </c>
      <c r="F9499" s="35" t="s">
        <v>335</v>
      </c>
    </row>
    <row r="9500" spans="1:7">
      <c r="A9500" s="34">
        <v>2084293016</v>
      </c>
      <c r="B9500" s="35" t="s">
        <v>462</v>
      </c>
      <c r="C9500" s="35" t="s">
        <v>2016</v>
      </c>
      <c r="D9500" s="35" t="s">
        <v>405</v>
      </c>
      <c r="E9500" s="35" t="s">
        <v>2023</v>
      </c>
    </row>
    <row r="9501" spans="1:7">
      <c r="A9501" s="34">
        <v>2084283086</v>
      </c>
      <c r="B9501" s="35" t="s">
        <v>462</v>
      </c>
      <c r="C9501" s="35" t="s">
        <v>2016</v>
      </c>
      <c r="D9501" s="35" t="s">
        <v>405</v>
      </c>
      <c r="E9501" s="35" t="s">
        <v>2024</v>
      </c>
    </row>
    <row r="9502" spans="1:7">
      <c r="A9502" s="34">
        <v>2084017692</v>
      </c>
      <c r="B9502" s="35" t="s">
        <v>462</v>
      </c>
      <c r="C9502" s="35" t="s">
        <v>2016</v>
      </c>
      <c r="D9502" s="35" t="s">
        <v>405</v>
      </c>
      <c r="E9502" s="35" t="s">
        <v>715</v>
      </c>
      <c r="F9502" s="35" t="s">
        <v>2025</v>
      </c>
      <c r="G9502" s="35" t="s">
        <v>481</v>
      </c>
    </row>
    <row r="9503" spans="1:7">
      <c r="A9503" s="34">
        <v>2084017758</v>
      </c>
      <c r="B9503" s="35" t="s">
        <v>462</v>
      </c>
      <c r="C9503" s="35" t="s">
        <v>2016</v>
      </c>
      <c r="D9503" s="35" t="s">
        <v>405</v>
      </c>
      <c r="E9503" s="35" t="s">
        <v>715</v>
      </c>
      <c r="F9503" s="35" t="s">
        <v>2025</v>
      </c>
      <c r="G9503" s="35" t="s">
        <v>509</v>
      </c>
    </row>
    <row r="9504" spans="1:7">
      <c r="A9504" s="34">
        <v>2084017203</v>
      </c>
      <c r="B9504" s="35" t="s">
        <v>462</v>
      </c>
      <c r="C9504" s="35" t="s">
        <v>2016</v>
      </c>
      <c r="D9504" s="35" t="s">
        <v>405</v>
      </c>
      <c r="E9504" s="35" t="s">
        <v>715</v>
      </c>
      <c r="F9504" s="35" t="s">
        <v>2025</v>
      </c>
      <c r="G9504" s="35" t="s">
        <v>493</v>
      </c>
    </row>
    <row r="9505" spans="1:7">
      <c r="A9505" s="34">
        <v>2084017803</v>
      </c>
      <c r="B9505" s="35" t="s">
        <v>462</v>
      </c>
      <c r="C9505" s="35" t="s">
        <v>2016</v>
      </c>
      <c r="D9505" s="35" t="s">
        <v>405</v>
      </c>
      <c r="E9505" s="35" t="s">
        <v>715</v>
      </c>
      <c r="F9505" s="35" t="s">
        <v>2025</v>
      </c>
      <c r="G9505" s="35" t="s">
        <v>568</v>
      </c>
    </row>
    <row r="9506" spans="1:7">
      <c r="A9506" s="34">
        <v>2084017783</v>
      </c>
      <c r="B9506" s="35" t="s">
        <v>462</v>
      </c>
      <c r="C9506" s="35" t="s">
        <v>2016</v>
      </c>
      <c r="D9506" s="35" t="s">
        <v>405</v>
      </c>
      <c r="E9506" s="35" t="s">
        <v>715</v>
      </c>
      <c r="F9506" s="35" t="s">
        <v>2025</v>
      </c>
      <c r="G9506" s="35" t="s">
        <v>622</v>
      </c>
    </row>
    <row r="9507" spans="1:7">
      <c r="A9507" s="34">
        <v>2084017731</v>
      </c>
      <c r="B9507" s="35" t="s">
        <v>462</v>
      </c>
      <c r="C9507" s="35" t="s">
        <v>2016</v>
      </c>
      <c r="D9507" s="35" t="s">
        <v>405</v>
      </c>
      <c r="E9507" s="35" t="s">
        <v>715</v>
      </c>
      <c r="F9507" s="35" t="s">
        <v>2025</v>
      </c>
      <c r="G9507" s="35" t="s">
        <v>397</v>
      </c>
    </row>
    <row r="9508" spans="1:7">
      <c r="A9508" s="34">
        <v>2084017707</v>
      </c>
      <c r="B9508" s="35" t="s">
        <v>462</v>
      </c>
      <c r="C9508" s="35" t="s">
        <v>2016</v>
      </c>
      <c r="D9508" s="35" t="s">
        <v>405</v>
      </c>
      <c r="E9508" s="35" t="s">
        <v>715</v>
      </c>
      <c r="F9508" s="35" t="s">
        <v>2025</v>
      </c>
      <c r="G9508" s="35" t="s">
        <v>398</v>
      </c>
    </row>
    <row r="9509" spans="1:7">
      <c r="A9509" s="34">
        <v>2084017308</v>
      </c>
      <c r="B9509" s="35" t="s">
        <v>462</v>
      </c>
      <c r="C9509" s="35" t="s">
        <v>2016</v>
      </c>
      <c r="D9509" s="35" t="s">
        <v>405</v>
      </c>
      <c r="E9509" s="35" t="s">
        <v>715</v>
      </c>
      <c r="F9509" s="35" t="s">
        <v>2025</v>
      </c>
      <c r="G9509" s="35" t="s">
        <v>476</v>
      </c>
    </row>
    <row r="9510" spans="1:7">
      <c r="A9510" s="34">
        <v>2084017276</v>
      </c>
      <c r="B9510" s="35" t="s">
        <v>462</v>
      </c>
      <c r="C9510" s="35" t="s">
        <v>2016</v>
      </c>
      <c r="D9510" s="35" t="s">
        <v>405</v>
      </c>
      <c r="E9510" s="35" t="s">
        <v>715</v>
      </c>
      <c r="F9510" s="35" t="s">
        <v>2025</v>
      </c>
      <c r="G9510" s="35" t="s">
        <v>477</v>
      </c>
    </row>
    <row r="9511" spans="1:7">
      <c r="A9511" s="34">
        <v>2084017323</v>
      </c>
      <c r="B9511" s="35" t="s">
        <v>462</v>
      </c>
      <c r="C9511" s="35" t="s">
        <v>2016</v>
      </c>
      <c r="D9511" s="35" t="s">
        <v>405</v>
      </c>
      <c r="E9511" s="35" t="s">
        <v>715</v>
      </c>
      <c r="F9511" s="35" t="s">
        <v>2025</v>
      </c>
      <c r="G9511" s="35" t="s">
        <v>2026</v>
      </c>
    </row>
    <row r="9512" spans="1:7">
      <c r="A9512" s="34">
        <v>2084017419</v>
      </c>
      <c r="B9512" s="35" t="s">
        <v>462</v>
      </c>
      <c r="C9512" s="35" t="s">
        <v>2016</v>
      </c>
      <c r="D9512" s="35" t="s">
        <v>405</v>
      </c>
      <c r="E9512" s="35" t="s">
        <v>715</v>
      </c>
      <c r="F9512" s="35" t="s">
        <v>2025</v>
      </c>
      <c r="G9512" s="35" t="s">
        <v>531</v>
      </c>
    </row>
    <row r="9513" spans="1:7">
      <c r="A9513" s="34">
        <v>2084017659</v>
      </c>
      <c r="B9513" s="35" t="s">
        <v>462</v>
      </c>
      <c r="C9513" s="35" t="s">
        <v>2016</v>
      </c>
      <c r="D9513" s="35" t="s">
        <v>405</v>
      </c>
      <c r="E9513" s="35" t="s">
        <v>715</v>
      </c>
      <c r="F9513" s="35" t="s">
        <v>2025</v>
      </c>
      <c r="G9513" s="35" t="s">
        <v>532</v>
      </c>
    </row>
    <row r="9514" spans="1:7">
      <c r="A9514" s="34">
        <v>2084017854</v>
      </c>
      <c r="B9514" s="35" t="s">
        <v>462</v>
      </c>
      <c r="C9514" s="35" t="s">
        <v>2016</v>
      </c>
      <c r="D9514" s="35" t="s">
        <v>405</v>
      </c>
      <c r="E9514" s="35" t="s">
        <v>715</v>
      </c>
      <c r="F9514" s="35" t="s">
        <v>2027</v>
      </c>
      <c r="G9514" s="35" t="s">
        <v>1069</v>
      </c>
    </row>
    <row r="9515" spans="1:7">
      <c r="A9515" s="34">
        <v>2084018096</v>
      </c>
      <c r="B9515" s="35" t="s">
        <v>462</v>
      </c>
      <c r="C9515" s="35" t="s">
        <v>2016</v>
      </c>
      <c r="D9515" s="35" t="s">
        <v>405</v>
      </c>
      <c r="E9515" s="35" t="s">
        <v>715</v>
      </c>
      <c r="F9515" s="35" t="s">
        <v>2027</v>
      </c>
      <c r="G9515" s="35" t="s">
        <v>495</v>
      </c>
    </row>
    <row r="9516" spans="1:7">
      <c r="A9516" s="34">
        <v>2084017863</v>
      </c>
      <c r="B9516" s="35" t="s">
        <v>462</v>
      </c>
      <c r="C9516" s="35" t="s">
        <v>2016</v>
      </c>
      <c r="D9516" s="35" t="s">
        <v>405</v>
      </c>
      <c r="E9516" s="35" t="s">
        <v>715</v>
      </c>
      <c r="F9516" s="35" t="s">
        <v>2027</v>
      </c>
      <c r="G9516" s="35" t="s">
        <v>545</v>
      </c>
    </row>
    <row r="9517" spans="1:7">
      <c r="A9517" s="34">
        <v>2084017827</v>
      </c>
      <c r="B9517" s="35" t="s">
        <v>462</v>
      </c>
      <c r="C9517" s="35" t="s">
        <v>2016</v>
      </c>
      <c r="D9517" s="35" t="s">
        <v>405</v>
      </c>
      <c r="E9517" s="35" t="s">
        <v>715</v>
      </c>
      <c r="F9517" s="35" t="s">
        <v>2027</v>
      </c>
      <c r="G9517" s="35" t="s">
        <v>481</v>
      </c>
    </row>
    <row r="9518" spans="1:7">
      <c r="A9518" s="34">
        <v>2084018088</v>
      </c>
      <c r="B9518" s="35" t="s">
        <v>462</v>
      </c>
      <c r="C9518" s="35" t="s">
        <v>2016</v>
      </c>
      <c r="D9518" s="35" t="s">
        <v>405</v>
      </c>
      <c r="E9518" s="35" t="s">
        <v>715</v>
      </c>
      <c r="F9518" s="35" t="s">
        <v>2027</v>
      </c>
      <c r="G9518" s="35" t="s">
        <v>493</v>
      </c>
    </row>
    <row r="9519" spans="1:7">
      <c r="A9519" s="34">
        <v>2084017971</v>
      </c>
      <c r="B9519" s="35" t="s">
        <v>462</v>
      </c>
      <c r="C9519" s="35" t="s">
        <v>2016</v>
      </c>
      <c r="D9519" s="35" t="s">
        <v>405</v>
      </c>
      <c r="E9519" s="35" t="s">
        <v>715</v>
      </c>
      <c r="F9519" s="35" t="s">
        <v>2027</v>
      </c>
      <c r="G9519" s="35" t="s">
        <v>494</v>
      </c>
    </row>
    <row r="9520" spans="1:7">
      <c r="A9520" s="34">
        <v>2084018025</v>
      </c>
      <c r="B9520" s="35" t="s">
        <v>462</v>
      </c>
      <c r="C9520" s="35" t="s">
        <v>2016</v>
      </c>
      <c r="D9520" s="35" t="s">
        <v>405</v>
      </c>
      <c r="E9520" s="35" t="s">
        <v>715</v>
      </c>
      <c r="F9520" s="35" t="s">
        <v>2027</v>
      </c>
      <c r="G9520" s="35" t="s">
        <v>397</v>
      </c>
    </row>
    <row r="9521" spans="1:7">
      <c r="A9521" s="34">
        <v>2084018061</v>
      </c>
      <c r="B9521" s="35" t="s">
        <v>462</v>
      </c>
      <c r="C9521" s="35" t="s">
        <v>2016</v>
      </c>
      <c r="D9521" s="35" t="s">
        <v>405</v>
      </c>
      <c r="E9521" s="35" t="s">
        <v>715</v>
      </c>
      <c r="F9521" s="35" t="s">
        <v>2027</v>
      </c>
      <c r="G9521" s="35" t="s">
        <v>421</v>
      </c>
    </row>
    <row r="9522" spans="1:7">
      <c r="A9522" s="34">
        <v>2084018022</v>
      </c>
      <c r="B9522" s="35" t="s">
        <v>462</v>
      </c>
      <c r="C9522" s="35" t="s">
        <v>2016</v>
      </c>
      <c r="D9522" s="35" t="s">
        <v>405</v>
      </c>
      <c r="E9522" s="35" t="s">
        <v>715</v>
      </c>
      <c r="F9522" s="35" t="s">
        <v>2027</v>
      </c>
      <c r="G9522" s="35" t="s">
        <v>398</v>
      </c>
    </row>
    <row r="9523" spans="1:7">
      <c r="A9523" s="34">
        <v>2084018043</v>
      </c>
      <c r="B9523" s="35" t="s">
        <v>462</v>
      </c>
      <c r="C9523" s="35" t="s">
        <v>2016</v>
      </c>
      <c r="D9523" s="35" t="s">
        <v>405</v>
      </c>
      <c r="E9523" s="35" t="s">
        <v>715</v>
      </c>
      <c r="F9523" s="35" t="s">
        <v>2027</v>
      </c>
      <c r="G9523" s="35" t="s">
        <v>422</v>
      </c>
    </row>
    <row r="9524" spans="1:7">
      <c r="A9524" s="34">
        <v>2084209430</v>
      </c>
      <c r="B9524" s="35" t="s">
        <v>462</v>
      </c>
      <c r="C9524" s="35" t="s">
        <v>2016</v>
      </c>
      <c r="D9524" s="35" t="s">
        <v>405</v>
      </c>
      <c r="E9524" s="35" t="s">
        <v>2028</v>
      </c>
      <c r="F9524" s="35" t="s">
        <v>401</v>
      </c>
    </row>
    <row r="9525" spans="1:7">
      <c r="A9525" s="34">
        <v>2084209436</v>
      </c>
      <c r="B9525" s="35" t="s">
        <v>462</v>
      </c>
      <c r="C9525" s="35" t="s">
        <v>2016</v>
      </c>
      <c r="D9525" s="35" t="s">
        <v>405</v>
      </c>
      <c r="E9525" s="35" t="s">
        <v>2028</v>
      </c>
      <c r="F9525" s="35" t="s">
        <v>10</v>
      </c>
      <c r="G9525" s="35" t="s">
        <v>493</v>
      </c>
    </row>
    <row r="9526" spans="1:7">
      <c r="A9526" s="34">
        <v>2084209433</v>
      </c>
      <c r="B9526" s="35" t="s">
        <v>462</v>
      </c>
      <c r="C9526" s="35" t="s">
        <v>2016</v>
      </c>
      <c r="D9526" s="35" t="s">
        <v>405</v>
      </c>
      <c r="E9526" s="35" t="s">
        <v>2028</v>
      </c>
      <c r="F9526" s="35" t="s">
        <v>10</v>
      </c>
      <c r="G9526" s="35" t="s">
        <v>397</v>
      </c>
    </row>
    <row r="9527" spans="1:7">
      <c r="A9527" s="34">
        <v>2084209435</v>
      </c>
      <c r="B9527" s="35" t="s">
        <v>462</v>
      </c>
      <c r="C9527" s="35" t="s">
        <v>2016</v>
      </c>
      <c r="D9527" s="35" t="s">
        <v>405</v>
      </c>
      <c r="E9527" s="35" t="s">
        <v>2028</v>
      </c>
      <c r="F9527" s="35" t="s">
        <v>10</v>
      </c>
      <c r="G9527" s="35" t="s">
        <v>421</v>
      </c>
    </row>
    <row r="9528" spans="1:7">
      <c r="A9528" s="34">
        <v>2084209432</v>
      </c>
      <c r="B9528" s="35" t="s">
        <v>462</v>
      </c>
      <c r="C9528" s="35" t="s">
        <v>2016</v>
      </c>
      <c r="D9528" s="35" t="s">
        <v>405</v>
      </c>
      <c r="E9528" s="35" t="s">
        <v>2028</v>
      </c>
      <c r="F9528" s="35" t="s">
        <v>10</v>
      </c>
      <c r="G9528" s="35" t="s">
        <v>398</v>
      </c>
    </row>
    <row r="9529" spans="1:7">
      <c r="A9529" s="34">
        <v>2084209434</v>
      </c>
      <c r="B9529" s="35" t="s">
        <v>462</v>
      </c>
      <c r="C9529" s="35" t="s">
        <v>2016</v>
      </c>
      <c r="D9529" s="35" t="s">
        <v>405</v>
      </c>
      <c r="E9529" s="35" t="s">
        <v>2028</v>
      </c>
      <c r="F9529" s="35" t="s">
        <v>10</v>
      </c>
      <c r="G9529" s="35" t="s">
        <v>422</v>
      </c>
    </row>
    <row r="9530" spans="1:7">
      <c r="A9530" s="34">
        <v>2084209437</v>
      </c>
      <c r="B9530" s="35" t="s">
        <v>462</v>
      </c>
      <c r="C9530" s="35" t="s">
        <v>2016</v>
      </c>
      <c r="D9530" s="35" t="s">
        <v>405</v>
      </c>
      <c r="E9530" s="35" t="s">
        <v>2028</v>
      </c>
      <c r="F9530" s="35" t="s">
        <v>10</v>
      </c>
      <c r="G9530" s="35" t="s">
        <v>335</v>
      </c>
    </row>
    <row r="9531" spans="1:7">
      <c r="A9531" s="34">
        <v>2084209440</v>
      </c>
      <c r="B9531" s="35" t="s">
        <v>462</v>
      </c>
      <c r="C9531" s="35" t="s">
        <v>2016</v>
      </c>
      <c r="D9531" s="35" t="s">
        <v>405</v>
      </c>
      <c r="E9531" s="35" t="s">
        <v>2028</v>
      </c>
      <c r="F9531" s="35" t="s">
        <v>379</v>
      </c>
      <c r="G9531" s="35" t="s">
        <v>545</v>
      </c>
    </row>
    <row r="9532" spans="1:7">
      <c r="A9532" s="34">
        <v>2084209439</v>
      </c>
      <c r="B9532" s="35" t="s">
        <v>462</v>
      </c>
      <c r="C9532" s="35" t="s">
        <v>2016</v>
      </c>
      <c r="D9532" s="35" t="s">
        <v>405</v>
      </c>
      <c r="E9532" s="35" t="s">
        <v>2028</v>
      </c>
      <c r="F9532" s="35" t="s">
        <v>379</v>
      </c>
      <c r="G9532" s="35" t="s">
        <v>476</v>
      </c>
    </row>
    <row r="9533" spans="1:7">
      <c r="A9533" s="34">
        <v>2084209441</v>
      </c>
      <c r="B9533" s="35" t="s">
        <v>462</v>
      </c>
      <c r="C9533" s="35" t="s">
        <v>2016</v>
      </c>
      <c r="D9533" s="35" t="s">
        <v>405</v>
      </c>
      <c r="E9533" s="35" t="s">
        <v>2028</v>
      </c>
      <c r="F9533" s="35" t="s">
        <v>379</v>
      </c>
      <c r="G9533" s="35" t="s">
        <v>335</v>
      </c>
    </row>
    <row r="9534" spans="1:7">
      <c r="A9534" s="34">
        <v>2084209442</v>
      </c>
      <c r="B9534" s="35" t="s">
        <v>462</v>
      </c>
      <c r="C9534" s="35" t="s">
        <v>2016</v>
      </c>
      <c r="D9534" s="35" t="s">
        <v>405</v>
      </c>
      <c r="E9534" s="35" t="s">
        <v>2028</v>
      </c>
      <c r="F9534" s="35" t="s">
        <v>478</v>
      </c>
    </row>
    <row r="9535" spans="1:7">
      <c r="A9535" s="34">
        <v>2084209443</v>
      </c>
      <c r="B9535" s="35" t="s">
        <v>462</v>
      </c>
      <c r="C9535" s="35" t="s">
        <v>2016</v>
      </c>
      <c r="D9535" s="35" t="s">
        <v>405</v>
      </c>
      <c r="E9535" s="35" t="s">
        <v>2028</v>
      </c>
      <c r="F9535" s="35" t="s">
        <v>335</v>
      </c>
    </row>
    <row r="9536" spans="1:7">
      <c r="A9536" s="34">
        <v>2084303239</v>
      </c>
      <c r="B9536" s="35" t="s">
        <v>462</v>
      </c>
      <c r="C9536" s="35" t="s">
        <v>2016</v>
      </c>
      <c r="D9536" s="35" t="s">
        <v>405</v>
      </c>
      <c r="E9536" s="35" t="s">
        <v>744</v>
      </c>
      <c r="F9536" s="35" t="s">
        <v>2019</v>
      </c>
    </row>
    <row r="9537" spans="1:7">
      <c r="A9537" s="34">
        <v>2084303238</v>
      </c>
      <c r="B9537" s="35" t="s">
        <v>462</v>
      </c>
      <c r="C9537" s="35" t="s">
        <v>2016</v>
      </c>
      <c r="D9537" s="35" t="s">
        <v>405</v>
      </c>
      <c r="E9537" s="35" t="s">
        <v>744</v>
      </c>
      <c r="F9537" s="35" t="s">
        <v>2020</v>
      </c>
    </row>
    <row r="9538" spans="1:7">
      <c r="A9538" s="34">
        <v>2084017693</v>
      </c>
      <c r="B9538" s="35" t="s">
        <v>462</v>
      </c>
      <c r="C9538" s="35" t="s">
        <v>2016</v>
      </c>
      <c r="D9538" s="35" t="s">
        <v>405</v>
      </c>
      <c r="E9538" s="35" t="s">
        <v>738</v>
      </c>
      <c r="F9538" s="35" t="s">
        <v>2025</v>
      </c>
      <c r="G9538" s="35" t="s">
        <v>481</v>
      </c>
    </row>
    <row r="9539" spans="1:7">
      <c r="A9539" s="34">
        <v>2084017759</v>
      </c>
      <c r="B9539" s="35" t="s">
        <v>462</v>
      </c>
      <c r="C9539" s="35" t="s">
        <v>2016</v>
      </c>
      <c r="D9539" s="35" t="s">
        <v>405</v>
      </c>
      <c r="E9539" s="35" t="s">
        <v>738</v>
      </c>
      <c r="F9539" s="35" t="s">
        <v>2025</v>
      </c>
      <c r="G9539" s="35" t="s">
        <v>509</v>
      </c>
    </row>
    <row r="9540" spans="1:7">
      <c r="A9540" s="34">
        <v>2084017204</v>
      </c>
      <c r="B9540" s="35" t="s">
        <v>462</v>
      </c>
      <c r="C9540" s="35" t="s">
        <v>2016</v>
      </c>
      <c r="D9540" s="35" t="s">
        <v>405</v>
      </c>
      <c r="E9540" s="35" t="s">
        <v>738</v>
      </c>
      <c r="F9540" s="35" t="s">
        <v>2025</v>
      </c>
      <c r="G9540" s="35" t="s">
        <v>493</v>
      </c>
    </row>
    <row r="9541" spans="1:7">
      <c r="A9541" s="34">
        <v>2084017732</v>
      </c>
      <c r="B9541" s="35" t="s">
        <v>462</v>
      </c>
      <c r="C9541" s="35" t="s">
        <v>2016</v>
      </c>
      <c r="D9541" s="35" t="s">
        <v>405</v>
      </c>
      <c r="E9541" s="35" t="s">
        <v>738</v>
      </c>
      <c r="F9541" s="35" t="s">
        <v>2025</v>
      </c>
      <c r="G9541" s="35" t="s">
        <v>397</v>
      </c>
    </row>
    <row r="9542" spans="1:7">
      <c r="A9542" s="34">
        <v>2084017805</v>
      </c>
      <c r="B9542" s="35" t="s">
        <v>462</v>
      </c>
      <c r="C9542" s="35" t="s">
        <v>2016</v>
      </c>
      <c r="D9542" s="35" t="s">
        <v>405</v>
      </c>
      <c r="E9542" s="35" t="s">
        <v>738</v>
      </c>
      <c r="F9542" s="35" t="s">
        <v>2025</v>
      </c>
      <c r="G9542" s="35" t="s">
        <v>515</v>
      </c>
    </row>
    <row r="9543" spans="1:7">
      <c r="A9543" s="34">
        <v>2084017784</v>
      </c>
      <c r="B9543" s="35" t="s">
        <v>462</v>
      </c>
      <c r="C9543" s="35" t="s">
        <v>2016</v>
      </c>
      <c r="D9543" s="35" t="s">
        <v>405</v>
      </c>
      <c r="E9543" s="35" t="s">
        <v>738</v>
      </c>
      <c r="F9543" s="35" t="s">
        <v>2025</v>
      </c>
      <c r="G9543" s="35" t="s">
        <v>1445</v>
      </c>
    </row>
    <row r="9544" spans="1:7">
      <c r="A9544" s="34">
        <v>2084017708</v>
      </c>
      <c r="B9544" s="35" t="s">
        <v>462</v>
      </c>
      <c r="C9544" s="35" t="s">
        <v>2016</v>
      </c>
      <c r="D9544" s="35" t="s">
        <v>405</v>
      </c>
      <c r="E9544" s="35" t="s">
        <v>738</v>
      </c>
      <c r="F9544" s="35" t="s">
        <v>2025</v>
      </c>
      <c r="G9544" s="35" t="s">
        <v>398</v>
      </c>
    </row>
    <row r="9545" spans="1:7">
      <c r="A9545" s="34">
        <v>2084017277</v>
      </c>
      <c r="B9545" s="35" t="s">
        <v>462</v>
      </c>
      <c r="C9545" s="35" t="s">
        <v>2016</v>
      </c>
      <c r="D9545" s="35" t="s">
        <v>405</v>
      </c>
      <c r="E9545" s="35" t="s">
        <v>738</v>
      </c>
      <c r="F9545" s="35" t="s">
        <v>2025</v>
      </c>
      <c r="G9545" s="35" t="s">
        <v>545</v>
      </c>
    </row>
    <row r="9546" spans="1:7">
      <c r="A9546" s="34">
        <v>2084017310</v>
      </c>
      <c r="B9546" s="35" t="s">
        <v>462</v>
      </c>
      <c r="C9546" s="35" t="s">
        <v>2016</v>
      </c>
      <c r="D9546" s="35" t="s">
        <v>405</v>
      </c>
      <c r="E9546" s="35" t="s">
        <v>738</v>
      </c>
      <c r="F9546" s="35" t="s">
        <v>2025</v>
      </c>
      <c r="G9546" s="35" t="s">
        <v>476</v>
      </c>
    </row>
    <row r="9547" spans="1:7">
      <c r="A9547" s="34">
        <v>2084017420</v>
      </c>
      <c r="B9547" s="35" t="s">
        <v>462</v>
      </c>
      <c r="C9547" s="35" t="s">
        <v>2016</v>
      </c>
      <c r="D9547" s="35" t="s">
        <v>405</v>
      </c>
      <c r="E9547" s="35" t="s">
        <v>738</v>
      </c>
      <c r="F9547" s="35" t="s">
        <v>2025</v>
      </c>
      <c r="G9547" s="35" t="s">
        <v>531</v>
      </c>
    </row>
    <row r="9548" spans="1:7">
      <c r="A9548" s="34">
        <v>2084017660</v>
      </c>
      <c r="B9548" s="35" t="s">
        <v>462</v>
      </c>
      <c r="C9548" s="35" t="s">
        <v>2016</v>
      </c>
      <c r="D9548" s="35" t="s">
        <v>405</v>
      </c>
      <c r="E9548" s="35" t="s">
        <v>738</v>
      </c>
      <c r="F9548" s="35" t="s">
        <v>2025</v>
      </c>
      <c r="G9548" s="35" t="s">
        <v>532</v>
      </c>
    </row>
    <row r="9549" spans="1:7">
      <c r="A9549" s="34">
        <v>2084017324</v>
      </c>
      <c r="B9549" s="35" t="s">
        <v>462</v>
      </c>
      <c r="C9549" s="35" t="s">
        <v>2016</v>
      </c>
      <c r="D9549" s="35" t="s">
        <v>405</v>
      </c>
      <c r="E9549" s="35" t="s">
        <v>738</v>
      </c>
      <c r="F9549" s="35" t="s">
        <v>2025</v>
      </c>
      <c r="G9549" s="35" t="s">
        <v>2026</v>
      </c>
    </row>
    <row r="9550" spans="1:7">
      <c r="A9550" s="34">
        <v>2084017828</v>
      </c>
      <c r="B9550" s="35" t="s">
        <v>462</v>
      </c>
      <c r="C9550" s="35" t="s">
        <v>2016</v>
      </c>
      <c r="D9550" s="35" t="s">
        <v>405</v>
      </c>
      <c r="E9550" s="35" t="s">
        <v>738</v>
      </c>
      <c r="F9550" s="35" t="s">
        <v>2027</v>
      </c>
      <c r="G9550" s="35" t="s">
        <v>481</v>
      </c>
    </row>
    <row r="9551" spans="1:7">
      <c r="A9551" s="34">
        <v>2084018089</v>
      </c>
      <c r="B9551" s="35" t="s">
        <v>462</v>
      </c>
      <c r="C9551" s="35" t="s">
        <v>2016</v>
      </c>
      <c r="D9551" s="35" t="s">
        <v>405</v>
      </c>
      <c r="E9551" s="35" t="s">
        <v>738</v>
      </c>
      <c r="F9551" s="35" t="s">
        <v>2027</v>
      </c>
      <c r="G9551" s="35" t="s">
        <v>493</v>
      </c>
    </row>
    <row r="9552" spans="1:7">
      <c r="A9552" s="34">
        <v>2084017972</v>
      </c>
      <c r="B9552" s="35" t="s">
        <v>462</v>
      </c>
      <c r="C9552" s="35" t="s">
        <v>2016</v>
      </c>
      <c r="D9552" s="35" t="s">
        <v>405</v>
      </c>
      <c r="E9552" s="35" t="s">
        <v>738</v>
      </c>
      <c r="F9552" s="35" t="s">
        <v>2027</v>
      </c>
      <c r="G9552" s="35" t="s">
        <v>494</v>
      </c>
    </row>
    <row r="9553" spans="1:7">
      <c r="A9553" s="34">
        <v>2084018026</v>
      </c>
      <c r="B9553" s="35" t="s">
        <v>462</v>
      </c>
      <c r="C9553" s="35" t="s">
        <v>2016</v>
      </c>
      <c r="D9553" s="35" t="s">
        <v>405</v>
      </c>
      <c r="E9553" s="35" t="s">
        <v>738</v>
      </c>
      <c r="F9553" s="35" t="s">
        <v>2027</v>
      </c>
      <c r="G9553" s="35" t="s">
        <v>397</v>
      </c>
    </row>
    <row r="9554" spans="1:7">
      <c r="A9554" s="34">
        <v>2084018062</v>
      </c>
      <c r="B9554" s="35" t="s">
        <v>462</v>
      </c>
      <c r="C9554" s="35" t="s">
        <v>2016</v>
      </c>
      <c r="D9554" s="35" t="s">
        <v>405</v>
      </c>
      <c r="E9554" s="35" t="s">
        <v>738</v>
      </c>
      <c r="F9554" s="35" t="s">
        <v>2027</v>
      </c>
      <c r="G9554" s="35" t="s">
        <v>421</v>
      </c>
    </row>
    <row r="9555" spans="1:7">
      <c r="A9555" s="34">
        <v>2084018023</v>
      </c>
      <c r="B9555" s="35" t="s">
        <v>462</v>
      </c>
      <c r="C9555" s="35" t="s">
        <v>2016</v>
      </c>
      <c r="D9555" s="35" t="s">
        <v>405</v>
      </c>
      <c r="E9555" s="35" t="s">
        <v>738</v>
      </c>
      <c r="F9555" s="35" t="s">
        <v>2027</v>
      </c>
      <c r="G9555" s="35" t="s">
        <v>398</v>
      </c>
    </row>
    <row r="9556" spans="1:7">
      <c r="A9556" s="34">
        <v>2084018044</v>
      </c>
      <c r="B9556" s="35" t="s">
        <v>462</v>
      </c>
      <c r="C9556" s="35" t="s">
        <v>2016</v>
      </c>
      <c r="D9556" s="35" t="s">
        <v>405</v>
      </c>
      <c r="E9556" s="35" t="s">
        <v>738</v>
      </c>
      <c r="F9556" s="35" t="s">
        <v>2027</v>
      </c>
      <c r="G9556" s="35" t="s">
        <v>422</v>
      </c>
    </row>
    <row r="9557" spans="1:7">
      <c r="A9557" s="34">
        <v>2084018097</v>
      </c>
      <c r="B9557" s="35" t="s">
        <v>462</v>
      </c>
      <c r="C9557" s="35" t="s">
        <v>2016</v>
      </c>
      <c r="D9557" s="35" t="s">
        <v>405</v>
      </c>
      <c r="E9557" s="35" t="s">
        <v>738</v>
      </c>
      <c r="F9557" s="35" t="s">
        <v>2027</v>
      </c>
      <c r="G9557" s="35" t="s">
        <v>495</v>
      </c>
    </row>
    <row r="9558" spans="1:7">
      <c r="A9558" s="34">
        <v>2084017864</v>
      </c>
      <c r="B9558" s="35" t="s">
        <v>462</v>
      </c>
      <c r="C9558" s="35" t="s">
        <v>2016</v>
      </c>
      <c r="D9558" s="35" t="s">
        <v>405</v>
      </c>
      <c r="E9558" s="35" t="s">
        <v>738</v>
      </c>
      <c r="F9558" s="35" t="s">
        <v>2027</v>
      </c>
      <c r="G9558" s="35" t="s">
        <v>545</v>
      </c>
    </row>
    <row r="9559" spans="1:7">
      <c r="A9559" s="34">
        <v>2084017855</v>
      </c>
      <c r="B9559" s="35" t="s">
        <v>462</v>
      </c>
      <c r="C9559" s="35" t="s">
        <v>2016</v>
      </c>
      <c r="D9559" s="35" t="s">
        <v>405</v>
      </c>
      <c r="E9559" s="35" t="s">
        <v>738</v>
      </c>
      <c r="F9559" s="35" t="s">
        <v>2027</v>
      </c>
      <c r="G9559" s="35" t="s">
        <v>1069</v>
      </c>
    </row>
    <row r="9560" spans="1:7">
      <c r="A9560" s="34">
        <v>2084017694</v>
      </c>
      <c r="B9560" s="35" t="s">
        <v>462</v>
      </c>
      <c r="C9560" s="35" t="s">
        <v>2016</v>
      </c>
      <c r="D9560" s="35" t="s">
        <v>405</v>
      </c>
      <c r="E9560" s="35" t="s">
        <v>2029</v>
      </c>
      <c r="F9560" s="35" t="s">
        <v>2025</v>
      </c>
      <c r="G9560" s="35" t="s">
        <v>481</v>
      </c>
    </row>
    <row r="9561" spans="1:7">
      <c r="A9561" s="34">
        <v>2084017760</v>
      </c>
      <c r="B9561" s="35" t="s">
        <v>462</v>
      </c>
      <c r="C9561" s="35" t="s">
        <v>2016</v>
      </c>
      <c r="D9561" s="35" t="s">
        <v>405</v>
      </c>
      <c r="E9561" s="35" t="s">
        <v>2029</v>
      </c>
      <c r="F9561" s="35" t="s">
        <v>2025</v>
      </c>
      <c r="G9561" s="35" t="s">
        <v>509</v>
      </c>
    </row>
    <row r="9562" spans="1:7">
      <c r="A9562" s="34">
        <v>2084017205</v>
      </c>
      <c r="B9562" s="35" t="s">
        <v>462</v>
      </c>
      <c r="C9562" s="35" t="s">
        <v>2016</v>
      </c>
      <c r="D9562" s="35" t="s">
        <v>405</v>
      </c>
      <c r="E9562" s="35" t="s">
        <v>2029</v>
      </c>
      <c r="F9562" s="35" t="s">
        <v>2025</v>
      </c>
      <c r="G9562" s="35" t="s">
        <v>493</v>
      </c>
    </row>
    <row r="9563" spans="1:7">
      <c r="A9563" s="34">
        <v>2084017733</v>
      </c>
      <c r="B9563" s="35" t="s">
        <v>462</v>
      </c>
      <c r="C9563" s="35" t="s">
        <v>2016</v>
      </c>
      <c r="D9563" s="35" t="s">
        <v>405</v>
      </c>
      <c r="E9563" s="35" t="s">
        <v>2029</v>
      </c>
      <c r="F9563" s="35" t="s">
        <v>2025</v>
      </c>
      <c r="G9563" s="35" t="s">
        <v>397</v>
      </c>
    </row>
    <row r="9564" spans="1:7">
      <c r="A9564" s="34">
        <v>2084017807</v>
      </c>
      <c r="B9564" s="35" t="s">
        <v>462</v>
      </c>
      <c r="C9564" s="35" t="s">
        <v>2016</v>
      </c>
      <c r="D9564" s="35" t="s">
        <v>405</v>
      </c>
      <c r="E9564" s="35" t="s">
        <v>2029</v>
      </c>
      <c r="F9564" s="35" t="s">
        <v>2025</v>
      </c>
      <c r="G9564" s="35" t="s">
        <v>515</v>
      </c>
    </row>
    <row r="9565" spans="1:7">
      <c r="A9565" s="34">
        <v>2084017785</v>
      </c>
      <c r="B9565" s="35" t="s">
        <v>462</v>
      </c>
      <c r="C9565" s="35" t="s">
        <v>2016</v>
      </c>
      <c r="D9565" s="35" t="s">
        <v>405</v>
      </c>
      <c r="E9565" s="35" t="s">
        <v>2029</v>
      </c>
      <c r="F9565" s="35" t="s">
        <v>2025</v>
      </c>
      <c r="G9565" s="35" t="s">
        <v>1445</v>
      </c>
    </row>
    <row r="9566" spans="1:7">
      <c r="A9566" s="34">
        <v>2084017709</v>
      </c>
      <c r="B9566" s="35" t="s">
        <v>462</v>
      </c>
      <c r="C9566" s="35" t="s">
        <v>2016</v>
      </c>
      <c r="D9566" s="35" t="s">
        <v>405</v>
      </c>
      <c r="E9566" s="35" t="s">
        <v>2029</v>
      </c>
      <c r="F9566" s="35" t="s">
        <v>2025</v>
      </c>
      <c r="G9566" s="35" t="s">
        <v>398</v>
      </c>
    </row>
    <row r="9567" spans="1:7">
      <c r="A9567" s="34">
        <v>2084017278</v>
      </c>
      <c r="B9567" s="35" t="s">
        <v>462</v>
      </c>
      <c r="C9567" s="35" t="s">
        <v>2016</v>
      </c>
      <c r="D9567" s="35" t="s">
        <v>405</v>
      </c>
      <c r="E9567" s="35" t="s">
        <v>2029</v>
      </c>
      <c r="F9567" s="35" t="s">
        <v>2025</v>
      </c>
      <c r="G9567" s="35" t="s">
        <v>545</v>
      </c>
    </row>
    <row r="9568" spans="1:7">
      <c r="A9568" s="34">
        <v>2084017312</v>
      </c>
      <c r="B9568" s="35" t="s">
        <v>462</v>
      </c>
      <c r="C9568" s="35" t="s">
        <v>2016</v>
      </c>
      <c r="D9568" s="35" t="s">
        <v>405</v>
      </c>
      <c r="E9568" s="35" t="s">
        <v>2029</v>
      </c>
      <c r="F9568" s="35" t="s">
        <v>2025</v>
      </c>
      <c r="G9568" s="35" t="s">
        <v>476</v>
      </c>
    </row>
    <row r="9569" spans="1:8">
      <c r="A9569" s="34">
        <v>2084017325</v>
      </c>
      <c r="B9569" s="35" t="s">
        <v>462</v>
      </c>
      <c r="C9569" s="35" t="s">
        <v>2016</v>
      </c>
      <c r="D9569" s="35" t="s">
        <v>405</v>
      </c>
      <c r="E9569" s="35" t="s">
        <v>2029</v>
      </c>
      <c r="F9569" s="35" t="s">
        <v>2025</v>
      </c>
      <c r="G9569" s="35" t="s">
        <v>2026</v>
      </c>
    </row>
    <row r="9570" spans="1:8">
      <c r="A9570" s="34">
        <v>2084017421</v>
      </c>
      <c r="B9570" s="35" t="s">
        <v>462</v>
      </c>
      <c r="C9570" s="35" t="s">
        <v>2016</v>
      </c>
      <c r="D9570" s="35" t="s">
        <v>405</v>
      </c>
      <c r="E9570" s="35" t="s">
        <v>2029</v>
      </c>
      <c r="F9570" s="35" t="s">
        <v>2025</v>
      </c>
      <c r="G9570" s="35" t="s">
        <v>531</v>
      </c>
    </row>
    <row r="9571" spans="1:8">
      <c r="A9571" s="34">
        <v>2084007354</v>
      </c>
      <c r="B9571" s="35" t="s">
        <v>462</v>
      </c>
      <c r="C9571" s="35" t="s">
        <v>2016</v>
      </c>
      <c r="D9571" s="35" t="s">
        <v>405</v>
      </c>
      <c r="E9571" s="35" t="s">
        <v>2029</v>
      </c>
      <c r="F9571" s="35" t="s">
        <v>2025</v>
      </c>
      <c r="G9571" s="35" t="s">
        <v>532</v>
      </c>
    </row>
    <row r="9572" spans="1:8">
      <c r="A9572" s="34">
        <v>2084017829</v>
      </c>
      <c r="B9572" s="35" t="s">
        <v>462</v>
      </c>
      <c r="C9572" s="35" t="s">
        <v>2016</v>
      </c>
      <c r="D9572" s="35" t="s">
        <v>405</v>
      </c>
      <c r="E9572" s="35" t="s">
        <v>2029</v>
      </c>
      <c r="F9572" s="35" t="s">
        <v>2027</v>
      </c>
      <c r="G9572" s="35" t="s">
        <v>481</v>
      </c>
    </row>
    <row r="9573" spans="1:8">
      <c r="A9573" s="34">
        <v>2084018090</v>
      </c>
      <c r="B9573" s="35" t="s">
        <v>462</v>
      </c>
      <c r="C9573" s="35" t="s">
        <v>2016</v>
      </c>
      <c r="D9573" s="35" t="s">
        <v>405</v>
      </c>
      <c r="E9573" s="35" t="s">
        <v>2029</v>
      </c>
      <c r="F9573" s="35" t="s">
        <v>2027</v>
      </c>
      <c r="G9573" s="35" t="s">
        <v>493</v>
      </c>
    </row>
    <row r="9574" spans="1:8">
      <c r="A9574" s="34">
        <v>2084017973</v>
      </c>
      <c r="B9574" s="35" t="s">
        <v>462</v>
      </c>
      <c r="C9574" s="35" t="s">
        <v>2016</v>
      </c>
      <c r="D9574" s="35" t="s">
        <v>405</v>
      </c>
      <c r="E9574" s="35" t="s">
        <v>2029</v>
      </c>
      <c r="F9574" s="35" t="s">
        <v>2027</v>
      </c>
      <c r="G9574" s="35" t="s">
        <v>494</v>
      </c>
    </row>
    <row r="9575" spans="1:8">
      <c r="A9575" s="34">
        <v>2084018027</v>
      </c>
      <c r="B9575" s="35" t="s">
        <v>462</v>
      </c>
      <c r="C9575" s="35" t="s">
        <v>2016</v>
      </c>
      <c r="D9575" s="35" t="s">
        <v>405</v>
      </c>
      <c r="E9575" s="35" t="s">
        <v>2029</v>
      </c>
      <c r="F9575" s="35" t="s">
        <v>2027</v>
      </c>
      <c r="G9575" s="35" t="s">
        <v>397</v>
      </c>
    </row>
    <row r="9576" spans="1:8">
      <c r="A9576" s="34">
        <v>2084018063</v>
      </c>
      <c r="B9576" s="35" t="s">
        <v>462</v>
      </c>
      <c r="C9576" s="35" t="s">
        <v>2016</v>
      </c>
      <c r="D9576" s="35" t="s">
        <v>405</v>
      </c>
      <c r="E9576" s="35" t="s">
        <v>2029</v>
      </c>
      <c r="F9576" s="35" t="s">
        <v>2027</v>
      </c>
      <c r="G9576" s="35" t="s">
        <v>421</v>
      </c>
    </row>
    <row r="9577" spans="1:8">
      <c r="A9577" s="34">
        <v>2084018014</v>
      </c>
      <c r="B9577" s="35" t="s">
        <v>462</v>
      </c>
      <c r="C9577" s="35" t="s">
        <v>2016</v>
      </c>
      <c r="D9577" s="35" t="s">
        <v>405</v>
      </c>
      <c r="E9577" s="35" t="s">
        <v>2029</v>
      </c>
      <c r="F9577" s="35" t="s">
        <v>2027</v>
      </c>
      <c r="G9577" s="35" t="s">
        <v>398</v>
      </c>
    </row>
    <row r="9578" spans="1:8">
      <c r="A9578" s="34">
        <v>2084018045</v>
      </c>
      <c r="B9578" s="35" t="s">
        <v>462</v>
      </c>
      <c r="C9578" s="35" t="s">
        <v>2016</v>
      </c>
      <c r="D9578" s="35" t="s">
        <v>405</v>
      </c>
      <c r="E9578" s="35" t="s">
        <v>2029</v>
      </c>
      <c r="F9578" s="35" t="s">
        <v>2027</v>
      </c>
      <c r="G9578" s="35" t="s">
        <v>422</v>
      </c>
    </row>
    <row r="9579" spans="1:8">
      <c r="A9579" s="34">
        <v>2084018098</v>
      </c>
      <c r="B9579" s="35" t="s">
        <v>462</v>
      </c>
      <c r="C9579" s="35" t="s">
        <v>2016</v>
      </c>
      <c r="D9579" s="35" t="s">
        <v>405</v>
      </c>
      <c r="E9579" s="35" t="s">
        <v>2029</v>
      </c>
      <c r="F9579" s="35" t="s">
        <v>2027</v>
      </c>
      <c r="G9579" s="35" t="s">
        <v>495</v>
      </c>
    </row>
    <row r="9580" spans="1:8">
      <c r="A9580" s="34">
        <v>2084017865</v>
      </c>
      <c r="B9580" s="35" t="s">
        <v>462</v>
      </c>
      <c r="C9580" s="35" t="s">
        <v>2016</v>
      </c>
      <c r="D9580" s="35" t="s">
        <v>405</v>
      </c>
      <c r="E9580" s="35" t="s">
        <v>2029</v>
      </c>
      <c r="F9580" s="35" t="s">
        <v>2027</v>
      </c>
      <c r="G9580" s="35" t="s">
        <v>545</v>
      </c>
    </row>
    <row r="9581" spans="1:8">
      <c r="A9581" s="34">
        <v>2084017856</v>
      </c>
      <c r="B9581" s="35" t="s">
        <v>462</v>
      </c>
      <c r="C9581" s="35" t="s">
        <v>2016</v>
      </c>
      <c r="D9581" s="35" t="s">
        <v>405</v>
      </c>
      <c r="E9581" s="35" t="s">
        <v>2029</v>
      </c>
      <c r="F9581" s="35" t="s">
        <v>2027</v>
      </c>
      <c r="G9581" s="35" t="s">
        <v>1069</v>
      </c>
    </row>
    <row r="9582" spans="1:8">
      <c r="A9582" s="34">
        <v>2084206310</v>
      </c>
      <c r="B9582" s="35" t="s">
        <v>462</v>
      </c>
      <c r="C9582" s="35" t="s">
        <v>2016</v>
      </c>
      <c r="D9582" s="35" t="s">
        <v>405</v>
      </c>
      <c r="E9582" s="35" t="s">
        <v>2030</v>
      </c>
      <c r="F9582" s="35" t="s">
        <v>2025</v>
      </c>
      <c r="G9582" s="35" t="s">
        <v>401</v>
      </c>
    </row>
    <row r="9583" spans="1:8">
      <c r="A9583" s="34">
        <v>2084206316</v>
      </c>
      <c r="B9583" s="35" t="s">
        <v>462</v>
      </c>
      <c r="C9583" s="35" t="s">
        <v>2016</v>
      </c>
      <c r="D9583" s="35" t="s">
        <v>405</v>
      </c>
      <c r="E9583" s="35" t="s">
        <v>2030</v>
      </c>
      <c r="F9583" s="35" t="s">
        <v>2025</v>
      </c>
      <c r="G9583" s="35" t="s">
        <v>10</v>
      </c>
      <c r="H9583" s="35" t="s">
        <v>493</v>
      </c>
    </row>
    <row r="9584" spans="1:8">
      <c r="A9584" s="34">
        <v>2084206313</v>
      </c>
      <c r="B9584" s="35" t="s">
        <v>462</v>
      </c>
      <c r="C9584" s="35" t="s">
        <v>2016</v>
      </c>
      <c r="D9584" s="35" t="s">
        <v>405</v>
      </c>
      <c r="E9584" s="35" t="s">
        <v>2030</v>
      </c>
      <c r="F9584" s="35" t="s">
        <v>2025</v>
      </c>
      <c r="G9584" s="35" t="s">
        <v>10</v>
      </c>
      <c r="H9584" s="35" t="s">
        <v>397</v>
      </c>
    </row>
    <row r="9585" spans="1:8">
      <c r="A9585" s="34">
        <v>2084206315</v>
      </c>
      <c r="B9585" s="35" t="s">
        <v>462</v>
      </c>
      <c r="C9585" s="35" t="s">
        <v>2016</v>
      </c>
      <c r="D9585" s="35" t="s">
        <v>405</v>
      </c>
      <c r="E9585" s="35" t="s">
        <v>2030</v>
      </c>
      <c r="F9585" s="35" t="s">
        <v>2025</v>
      </c>
      <c r="G9585" s="35" t="s">
        <v>10</v>
      </c>
      <c r="H9585" s="35" t="s">
        <v>421</v>
      </c>
    </row>
    <row r="9586" spans="1:8">
      <c r="A9586" s="34">
        <v>2084206312</v>
      </c>
      <c r="B9586" s="35" t="s">
        <v>462</v>
      </c>
      <c r="C9586" s="35" t="s">
        <v>2016</v>
      </c>
      <c r="D9586" s="35" t="s">
        <v>405</v>
      </c>
      <c r="E9586" s="35" t="s">
        <v>2030</v>
      </c>
      <c r="F9586" s="35" t="s">
        <v>2025</v>
      </c>
      <c r="G9586" s="35" t="s">
        <v>10</v>
      </c>
      <c r="H9586" s="35" t="s">
        <v>398</v>
      </c>
    </row>
    <row r="9587" spans="1:8">
      <c r="A9587" s="34">
        <v>2084206314</v>
      </c>
      <c r="B9587" s="35" t="s">
        <v>462</v>
      </c>
      <c r="C9587" s="35" t="s">
        <v>2016</v>
      </c>
      <c r="D9587" s="35" t="s">
        <v>405</v>
      </c>
      <c r="E9587" s="35" t="s">
        <v>2030</v>
      </c>
      <c r="F9587" s="35" t="s">
        <v>2025</v>
      </c>
      <c r="G9587" s="35" t="s">
        <v>10</v>
      </c>
      <c r="H9587" s="35" t="s">
        <v>422</v>
      </c>
    </row>
    <row r="9588" spans="1:8">
      <c r="A9588" s="34">
        <v>2084206317</v>
      </c>
      <c r="B9588" s="35" t="s">
        <v>462</v>
      </c>
      <c r="C9588" s="35" t="s">
        <v>2016</v>
      </c>
      <c r="D9588" s="35" t="s">
        <v>405</v>
      </c>
      <c r="E9588" s="35" t="s">
        <v>2030</v>
      </c>
      <c r="F9588" s="35" t="s">
        <v>2025</v>
      </c>
      <c r="G9588" s="35" t="s">
        <v>10</v>
      </c>
      <c r="H9588" s="35" t="s">
        <v>335</v>
      </c>
    </row>
    <row r="9589" spans="1:8">
      <c r="A9589" s="34">
        <v>2084206319</v>
      </c>
      <c r="B9589" s="35" t="s">
        <v>462</v>
      </c>
      <c r="C9589" s="35" t="s">
        <v>2016</v>
      </c>
      <c r="D9589" s="35" t="s">
        <v>405</v>
      </c>
      <c r="E9589" s="35" t="s">
        <v>2030</v>
      </c>
      <c r="F9589" s="35" t="s">
        <v>2025</v>
      </c>
      <c r="G9589" s="35" t="s">
        <v>379</v>
      </c>
      <c r="H9589" s="35" t="s">
        <v>476</v>
      </c>
    </row>
    <row r="9590" spans="1:8">
      <c r="A9590" s="34">
        <v>2084206320</v>
      </c>
      <c r="B9590" s="35" t="s">
        <v>462</v>
      </c>
      <c r="C9590" s="35" t="s">
        <v>2016</v>
      </c>
      <c r="D9590" s="35" t="s">
        <v>405</v>
      </c>
      <c r="E9590" s="35" t="s">
        <v>2030</v>
      </c>
      <c r="F9590" s="35" t="s">
        <v>2025</v>
      </c>
      <c r="G9590" s="35" t="s">
        <v>379</v>
      </c>
      <c r="H9590" s="35" t="s">
        <v>335</v>
      </c>
    </row>
    <row r="9591" spans="1:8">
      <c r="A9591" s="34">
        <v>2084206321</v>
      </c>
      <c r="B9591" s="35" t="s">
        <v>462</v>
      </c>
      <c r="C9591" s="35" t="s">
        <v>2016</v>
      </c>
      <c r="D9591" s="35" t="s">
        <v>405</v>
      </c>
      <c r="E9591" s="35" t="s">
        <v>2030</v>
      </c>
      <c r="F9591" s="35" t="s">
        <v>2025</v>
      </c>
      <c r="G9591" s="35" t="s">
        <v>478</v>
      </c>
    </row>
    <row r="9592" spans="1:8">
      <c r="A9592" s="34">
        <v>2084206322</v>
      </c>
      <c r="B9592" s="35" t="s">
        <v>462</v>
      </c>
      <c r="C9592" s="35" t="s">
        <v>2016</v>
      </c>
      <c r="D9592" s="35" t="s">
        <v>405</v>
      </c>
      <c r="E9592" s="35" t="s">
        <v>2030</v>
      </c>
      <c r="F9592" s="35" t="s">
        <v>2025</v>
      </c>
      <c r="G9592" s="35" t="s">
        <v>335</v>
      </c>
    </row>
    <row r="9593" spans="1:8">
      <c r="A9593" s="34">
        <v>2084206324</v>
      </c>
      <c r="B9593" s="35" t="s">
        <v>462</v>
      </c>
      <c r="C9593" s="35" t="s">
        <v>2016</v>
      </c>
      <c r="D9593" s="35" t="s">
        <v>405</v>
      </c>
      <c r="E9593" s="35" t="s">
        <v>2030</v>
      </c>
      <c r="F9593" s="35" t="s">
        <v>2027</v>
      </c>
      <c r="G9593" s="35" t="s">
        <v>401</v>
      </c>
    </row>
    <row r="9594" spans="1:8">
      <c r="A9594" s="34">
        <v>2084206330</v>
      </c>
      <c r="B9594" s="35" t="s">
        <v>462</v>
      </c>
      <c r="C9594" s="35" t="s">
        <v>2016</v>
      </c>
      <c r="D9594" s="35" t="s">
        <v>405</v>
      </c>
      <c r="E9594" s="35" t="s">
        <v>2030</v>
      </c>
      <c r="F9594" s="35" t="s">
        <v>2027</v>
      </c>
      <c r="G9594" s="35" t="s">
        <v>10</v>
      </c>
      <c r="H9594" s="35" t="s">
        <v>493</v>
      </c>
    </row>
    <row r="9595" spans="1:8">
      <c r="A9595" s="34">
        <v>2084206327</v>
      </c>
      <c r="B9595" s="35" t="s">
        <v>462</v>
      </c>
      <c r="C9595" s="35" t="s">
        <v>2016</v>
      </c>
      <c r="D9595" s="35" t="s">
        <v>405</v>
      </c>
      <c r="E9595" s="35" t="s">
        <v>2030</v>
      </c>
      <c r="F9595" s="35" t="s">
        <v>2027</v>
      </c>
      <c r="G9595" s="35" t="s">
        <v>10</v>
      </c>
      <c r="H9595" s="35" t="s">
        <v>397</v>
      </c>
    </row>
    <row r="9596" spans="1:8">
      <c r="A9596" s="34">
        <v>2084206329</v>
      </c>
      <c r="B9596" s="35" t="s">
        <v>462</v>
      </c>
      <c r="C9596" s="35" t="s">
        <v>2016</v>
      </c>
      <c r="D9596" s="35" t="s">
        <v>405</v>
      </c>
      <c r="E9596" s="35" t="s">
        <v>2030</v>
      </c>
      <c r="F9596" s="35" t="s">
        <v>2027</v>
      </c>
      <c r="G9596" s="35" t="s">
        <v>10</v>
      </c>
      <c r="H9596" s="35" t="s">
        <v>421</v>
      </c>
    </row>
    <row r="9597" spans="1:8">
      <c r="A9597" s="34">
        <v>2084206326</v>
      </c>
      <c r="B9597" s="35" t="s">
        <v>462</v>
      </c>
      <c r="C9597" s="35" t="s">
        <v>2016</v>
      </c>
      <c r="D9597" s="35" t="s">
        <v>405</v>
      </c>
      <c r="E9597" s="35" t="s">
        <v>2030</v>
      </c>
      <c r="F9597" s="35" t="s">
        <v>2027</v>
      </c>
      <c r="G9597" s="35" t="s">
        <v>10</v>
      </c>
      <c r="H9597" s="35" t="s">
        <v>398</v>
      </c>
    </row>
    <row r="9598" spans="1:8">
      <c r="A9598" s="34">
        <v>2084206328</v>
      </c>
      <c r="B9598" s="35" t="s">
        <v>462</v>
      </c>
      <c r="C9598" s="35" t="s">
        <v>2016</v>
      </c>
      <c r="D9598" s="35" t="s">
        <v>405</v>
      </c>
      <c r="E9598" s="35" t="s">
        <v>2030</v>
      </c>
      <c r="F9598" s="35" t="s">
        <v>2027</v>
      </c>
      <c r="G9598" s="35" t="s">
        <v>10</v>
      </c>
      <c r="H9598" s="35" t="s">
        <v>422</v>
      </c>
    </row>
    <row r="9599" spans="1:8">
      <c r="A9599" s="34">
        <v>2084206331</v>
      </c>
      <c r="B9599" s="35" t="s">
        <v>462</v>
      </c>
      <c r="C9599" s="35" t="s">
        <v>2016</v>
      </c>
      <c r="D9599" s="35" t="s">
        <v>405</v>
      </c>
      <c r="E9599" s="35" t="s">
        <v>2030</v>
      </c>
      <c r="F9599" s="35" t="s">
        <v>2027</v>
      </c>
      <c r="G9599" s="35" t="s">
        <v>10</v>
      </c>
      <c r="H9599" s="35" t="s">
        <v>335</v>
      </c>
    </row>
    <row r="9600" spans="1:8">
      <c r="A9600" s="34">
        <v>2084206332</v>
      </c>
      <c r="B9600" s="35" t="s">
        <v>462</v>
      </c>
      <c r="C9600" s="35" t="s">
        <v>2016</v>
      </c>
      <c r="D9600" s="35" t="s">
        <v>405</v>
      </c>
      <c r="E9600" s="35" t="s">
        <v>2030</v>
      </c>
      <c r="F9600" s="35" t="s">
        <v>2027</v>
      </c>
      <c r="G9600" s="35" t="s">
        <v>403</v>
      </c>
    </row>
    <row r="9601" spans="1:7">
      <c r="A9601" s="34">
        <v>2084206333</v>
      </c>
      <c r="B9601" s="35" t="s">
        <v>462</v>
      </c>
      <c r="C9601" s="35" t="s">
        <v>2016</v>
      </c>
      <c r="D9601" s="35" t="s">
        <v>405</v>
      </c>
      <c r="E9601" s="35" t="s">
        <v>2030</v>
      </c>
      <c r="F9601" s="35" t="s">
        <v>2027</v>
      </c>
      <c r="G9601" s="35" t="s">
        <v>335</v>
      </c>
    </row>
    <row r="9602" spans="1:7">
      <c r="A9602" s="34">
        <v>2084206334</v>
      </c>
      <c r="B9602" s="35" t="s">
        <v>462</v>
      </c>
      <c r="C9602" s="35" t="s">
        <v>2016</v>
      </c>
      <c r="D9602" s="35" t="s">
        <v>405</v>
      </c>
      <c r="E9602" s="35" t="s">
        <v>2030</v>
      </c>
      <c r="F9602" s="35" t="s">
        <v>335</v>
      </c>
    </row>
    <row r="9603" spans="1:7">
      <c r="A9603" s="34">
        <v>2084042192</v>
      </c>
      <c r="B9603" s="35" t="s">
        <v>462</v>
      </c>
      <c r="C9603" s="35" t="s">
        <v>2016</v>
      </c>
      <c r="D9603" s="35" t="s">
        <v>405</v>
      </c>
      <c r="E9603" s="35" t="s">
        <v>2031</v>
      </c>
      <c r="F9603" s="35" t="s">
        <v>2025</v>
      </c>
      <c r="G9603" s="35" t="s">
        <v>481</v>
      </c>
    </row>
    <row r="9604" spans="1:7">
      <c r="A9604" s="34">
        <v>2084042188</v>
      </c>
      <c r="B9604" s="35" t="s">
        <v>462</v>
      </c>
      <c r="C9604" s="35" t="s">
        <v>2016</v>
      </c>
      <c r="D9604" s="35" t="s">
        <v>405</v>
      </c>
      <c r="E9604" s="35" t="s">
        <v>2031</v>
      </c>
      <c r="F9604" s="35" t="s">
        <v>2025</v>
      </c>
      <c r="G9604" s="35" t="s">
        <v>509</v>
      </c>
    </row>
    <row r="9605" spans="1:7">
      <c r="A9605" s="34">
        <v>2084042196</v>
      </c>
      <c r="B9605" s="35" t="s">
        <v>462</v>
      </c>
      <c r="C9605" s="35" t="s">
        <v>2016</v>
      </c>
      <c r="D9605" s="35" t="s">
        <v>405</v>
      </c>
      <c r="E9605" s="35" t="s">
        <v>2031</v>
      </c>
      <c r="F9605" s="35" t="s">
        <v>2025</v>
      </c>
      <c r="G9605" s="35" t="s">
        <v>493</v>
      </c>
    </row>
    <row r="9606" spans="1:7">
      <c r="A9606" s="34">
        <v>2084042208</v>
      </c>
      <c r="B9606" s="35" t="s">
        <v>462</v>
      </c>
      <c r="C9606" s="35" t="s">
        <v>2016</v>
      </c>
      <c r="D9606" s="35" t="s">
        <v>405</v>
      </c>
      <c r="E9606" s="35" t="s">
        <v>2031</v>
      </c>
      <c r="F9606" s="35" t="s">
        <v>2025</v>
      </c>
      <c r="G9606" s="35" t="s">
        <v>397</v>
      </c>
    </row>
    <row r="9607" spans="1:7">
      <c r="A9607" s="34">
        <v>2084042212</v>
      </c>
      <c r="B9607" s="35" t="s">
        <v>462</v>
      </c>
      <c r="C9607" s="35" t="s">
        <v>2016</v>
      </c>
      <c r="D9607" s="35" t="s">
        <v>405</v>
      </c>
      <c r="E9607" s="35" t="s">
        <v>2031</v>
      </c>
      <c r="F9607" s="35" t="s">
        <v>2025</v>
      </c>
      <c r="G9607" s="35" t="s">
        <v>515</v>
      </c>
    </row>
    <row r="9608" spans="1:7">
      <c r="A9608" s="34">
        <v>2084042214</v>
      </c>
      <c r="B9608" s="35" t="s">
        <v>462</v>
      </c>
      <c r="C9608" s="35" t="s">
        <v>2016</v>
      </c>
      <c r="D9608" s="35" t="s">
        <v>405</v>
      </c>
      <c r="E9608" s="35" t="s">
        <v>2031</v>
      </c>
      <c r="F9608" s="35" t="s">
        <v>2025</v>
      </c>
      <c r="G9608" s="35" t="s">
        <v>1445</v>
      </c>
    </row>
    <row r="9609" spans="1:7">
      <c r="A9609" s="34">
        <v>2084042210</v>
      </c>
      <c r="B9609" s="35" t="s">
        <v>462</v>
      </c>
      <c r="C9609" s="35" t="s">
        <v>2016</v>
      </c>
      <c r="D9609" s="35" t="s">
        <v>405</v>
      </c>
      <c r="E9609" s="35" t="s">
        <v>2031</v>
      </c>
      <c r="F9609" s="35" t="s">
        <v>2025</v>
      </c>
      <c r="G9609" s="35" t="s">
        <v>398</v>
      </c>
    </row>
    <row r="9610" spans="1:7">
      <c r="A9610" s="34">
        <v>2084042190</v>
      </c>
      <c r="B9610" s="35" t="s">
        <v>462</v>
      </c>
      <c r="C9610" s="35" t="s">
        <v>2016</v>
      </c>
      <c r="D9610" s="35" t="s">
        <v>405</v>
      </c>
      <c r="E9610" s="35" t="s">
        <v>2031</v>
      </c>
      <c r="F9610" s="35" t="s">
        <v>2025</v>
      </c>
      <c r="G9610" s="35" t="s">
        <v>545</v>
      </c>
    </row>
    <row r="9611" spans="1:7">
      <c r="A9611" s="34">
        <v>2084042194</v>
      </c>
      <c r="B9611" s="35" t="s">
        <v>462</v>
      </c>
      <c r="C9611" s="35" t="s">
        <v>2016</v>
      </c>
      <c r="D9611" s="35" t="s">
        <v>405</v>
      </c>
      <c r="E9611" s="35" t="s">
        <v>2031</v>
      </c>
      <c r="F9611" s="35" t="s">
        <v>2025</v>
      </c>
      <c r="G9611" s="35" t="s">
        <v>476</v>
      </c>
    </row>
    <row r="9612" spans="1:7">
      <c r="A9612" s="34">
        <v>2084042204</v>
      </c>
      <c r="B9612" s="35" t="s">
        <v>462</v>
      </c>
      <c r="C9612" s="35" t="s">
        <v>2016</v>
      </c>
      <c r="D9612" s="35" t="s">
        <v>405</v>
      </c>
      <c r="E9612" s="35" t="s">
        <v>2031</v>
      </c>
      <c r="F9612" s="35" t="s">
        <v>2025</v>
      </c>
      <c r="G9612" s="35" t="s">
        <v>2032</v>
      </c>
    </row>
    <row r="9613" spans="1:7">
      <c r="A9613" s="34">
        <v>2084042198</v>
      </c>
      <c r="B9613" s="35" t="s">
        <v>462</v>
      </c>
      <c r="C9613" s="35" t="s">
        <v>2016</v>
      </c>
      <c r="D9613" s="35" t="s">
        <v>405</v>
      </c>
      <c r="E9613" s="35" t="s">
        <v>2031</v>
      </c>
      <c r="F9613" s="35" t="s">
        <v>2025</v>
      </c>
      <c r="G9613" s="35" t="s">
        <v>2026</v>
      </c>
    </row>
    <row r="9614" spans="1:7">
      <c r="A9614" s="34">
        <v>2084042200</v>
      </c>
      <c r="B9614" s="35" t="s">
        <v>462</v>
      </c>
      <c r="C9614" s="35" t="s">
        <v>2016</v>
      </c>
      <c r="D9614" s="35" t="s">
        <v>405</v>
      </c>
      <c r="E9614" s="35" t="s">
        <v>2031</v>
      </c>
      <c r="F9614" s="35" t="s">
        <v>2025</v>
      </c>
      <c r="G9614" s="35" t="s">
        <v>531</v>
      </c>
    </row>
    <row r="9615" spans="1:7">
      <c r="A9615" s="34">
        <v>2084042202</v>
      </c>
      <c r="B9615" s="35" t="s">
        <v>462</v>
      </c>
      <c r="C9615" s="35" t="s">
        <v>2016</v>
      </c>
      <c r="D9615" s="35" t="s">
        <v>405</v>
      </c>
      <c r="E9615" s="35" t="s">
        <v>2031</v>
      </c>
      <c r="F9615" s="35" t="s">
        <v>2025</v>
      </c>
      <c r="G9615" s="35" t="s">
        <v>532</v>
      </c>
    </row>
    <row r="9616" spans="1:7">
      <c r="A9616" s="34">
        <v>2084042217</v>
      </c>
      <c r="B9616" s="35" t="s">
        <v>462</v>
      </c>
      <c r="C9616" s="35" t="s">
        <v>2016</v>
      </c>
      <c r="D9616" s="35" t="s">
        <v>405</v>
      </c>
      <c r="E9616" s="35" t="s">
        <v>2031</v>
      </c>
      <c r="F9616" s="35" t="s">
        <v>2027</v>
      </c>
      <c r="G9616" s="35" t="s">
        <v>1069</v>
      </c>
    </row>
    <row r="9617" spans="1:7">
      <c r="A9617" s="34">
        <v>2084042219</v>
      </c>
      <c r="B9617" s="35" t="s">
        <v>462</v>
      </c>
      <c r="C9617" s="35" t="s">
        <v>2016</v>
      </c>
      <c r="D9617" s="35" t="s">
        <v>405</v>
      </c>
      <c r="E9617" s="35" t="s">
        <v>2031</v>
      </c>
      <c r="F9617" s="35" t="s">
        <v>2027</v>
      </c>
      <c r="G9617" s="35" t="s">
        <v>495</v>
      </c>
    </row>
    <row r="9618" spans="1:7">
      <c r="A9618" s="34">
        <v>2084042221</v>
      </c>
      <c r="B9618" s="35" t="s">
        <v>462</v>
      </c>
      <c r="C9618" s="35" t="s">
        <v>2016</v>
      </c>
      <c r="D9618" s="35" t="s">
        <v>405</v>
      </c>
      <c r="E9618" s="35" t="s">
        <v>2031</v>
      </c>
      <c r="F9618" s="35" t="s">
        <v>2027</v>
      </c>
      <c r="G9618" s="35" t="s">
        <v>545</v>
      </c>
    </row>
    <row r="9619" spans="1:7">
      <c r="A9619" s="34">
        <v>2084042223</v>
      </c>
      <c r="B9619" s="35" t="s">
        <v>462</v>
      </c>
      <c r="C9619" s="35" t="s">
        <v>2016</v>
      </c>
      <c r="D9619" s="35" t="s">
        <v>405</v>
      </c>
      <c r="E9619" s="35" t="s">
        <v>2031</v>
      </c>
      <c r="F9619" s="35" t="s">
        <v>2027</v>
      </c>
      <c r="G9619" s="35" t="s">
        <v>481</v>
      </c>
    </row>
    <row r="9620" spans="1:7">
      <c r="A9620" s="34">
        <v>2084042225</v>
      </c>
      <c r="B9620" s="35" t="s">
        <v>462</v>
      </c>
      <c r="C9620" s="35" t="s">
        <v>2016</v>
      </c>
      <c r="D9620" s="35" t="s">
        <v>405</v>
      </c>
      <c r="E9620" s="35" t="s">
        <v>2031</v>
      </c>
      <c r="F9620" s="35" t="s">
        <v>2027</v>
      </c>
      <c r="G9620" s="35" t="s">
        <v>493</v>
      </c>
    </row>
    <row r="9621" spans="1:7">
      <c r="A9621" s="34">
        <v>2084042227</v>
      </c>
      <c r="B9621" s="35" t="s">
        <v>462</v>
      </c>
      <c r="C9621" s="35" t="s">
        <v>2016</v>
      </c>
      <c r="D9621" s="35" t="s">
        <v>405</v>
      </c>
      <c r="E9621" s="35" t="s">
        <v>2031</v>
      </c>
      <c r="F9621" s="35" t="s">
        <v>2027</v>
      </c>
      <c r="G9621" s="35" t="s">
        <v>494</v>
      </c>
    </row>
    <row r="9622" spans="1:7">
      <c r="A9622" s="34">
        <v>2084042229</v>
      </c>
      <c r="B9622" s="35" t="s">
        <v>462</v>
      </c>
      <c r="C9622" s="35" t="s">
        <v>2016</v>
      </c>
      <c r="D9622" s="35" t="s">
        <v>405</v>
      </c>
      <c r="E9622" s="35" t="s">
        <v>2031</v>
      </c>
      <c r="F9622" s="35" t="s">
        <v>2027</v>
      </c>
      <c r="G9622" s="35" t="s">
        <v>397</v>
      </c>
    </row>
    <row r="9623" spans="1:7">
      <c r="A9623" s="34">
        <v>2084042235</v>
      </c>
      <c r="B9623" s="35" t="s">
        <v>462</v>
      </c>
      <c r="C9623" s="35" t="s">
        <v>2016</v>
      </c>
      <c r="D9623" s="35" t="s">
        <v>405</v>
      </c>
      <c r="E9623" s="35" t="s">
        <v>2031</v>
      </c>
      <c r="F9623" s="35" t="s">
        <v>2027</v>
      </c>
      <c r="G9623" s="35" t="s">
        <v>421</v>
      </c>
    </row>
    <row r="9624" spans="1:7">
      <c r="A9624" s="34">
        <v>2084042231</v>
      </c>
      <c r="B9624" s="35" t="s">
        <v>462</v>
      </c>
      <c r="C9624" s="35" t="s">
        <v>2016</v>
      </c>
      <c r="D9624" s="35" t="s">
        <v>405</v>
      </c>
      <c r="E9624" s="35" t="s">
        <v>2031</v>
      </c>
      <c r="F9624" s="35" t="s">
        <v>2027</v>
      </c>
      <c r="G9624" s="35" t="s">
        <v>398</v>
      </c>
    </row>
    <row r="9625" spans="1:7">
      <c r="A9625" s="34">
        <v>2084042233</v>
      </c>
      <c r="B9625" s="35" t="s">
        <v>462</v>
      </c>
      <c r="C9625" s="35" t="s">
        <v>2016</v>
      </c>
      <c r="D9625" s="35" t="s">
        <v>405</v>
      </c>
      <c r="E9625" s="35" t="s">
        <v>2031</v>
      </c>
      <c r="F9625" s="35" t="s">
        <v>2027</v>
      </c>
      <c r="G9625" s="35" t="s">
        <v>422</v>
      </c>
    </row>
    <row r="9626" spans="1:7">
      <c r="A9626" s="34">
        <v>2084048642</v>
      </c>
      <c r="B9626" s="35" t="s">
        <v>462</v>
      </c>
      <c r="C9626" s="35" t="s">
        <v>2016</v>
      </c>
      <c r="D9626" s="35" t="s">
        <v>405</v>
      </c>
      <c r="E9626" s="35" t="s">
        <v>2031</v>
      </c>
      <c r="F9626" s="35" t="s">
        <v>335</v>
      </c>
    </row>
    <row r="9627" spans="1:7">
      <c r="A9627" s="34">
        <v>2084293021</v>
      </c>
      <c r="B9627" s="35" t="s">
        <v>462</v>
      </c>
      <c r="C9627" s="35" t="s">
        <v>2016</v>
      </c>
      <c r="D9627" s="35" t="s">
        <v>405</v>
      </c>
      <c r="E9627" s="35" t="s">
        <v>2033</v>
      </c>
    </row>
    <row r="9628" spans="1:7">
      <c r="A9628" s="34">
        <v>2084062369</v>
      </c>
      <c r="B9628" s="35" t="s">
        <v>462</v>
      </c>
      <c r="C9628" s="35" t="s">
        <v>2016</v>
      </c>
      <c r="D9628" s="35" t="s">
        <v>405</v>
      </c>
      <c r="E9628" s="35" t="s">
        <v>751</v>
      </c>
      <c r="F9628" s="35" t="s">
        <v>2019</v>
      </c>
    </row>
    <row r="9629" spans="1:7">
      <c r="A9629" s="34">
        <v>2084062368</v>
      </c>
      <c r="B9629" s="35" t="s">
        <v>462</v>
      </c>
      <c r="C9629" s="35" t="s">
        <v>2016</v>
      </c>
      <c r="D9629" s="35" t="s">
        <v>405</v>
      </c>
      <c r="E9629" s="35" t="s">
        <v>751</v>
      </c>
      <c r="F9629" s="35" t="s">
        <v>2020</v>
      </c>
    </row>
    <row r="9630" spans="1:7">
      <c r="A9630" s="34">
        <v>2084194499</v>
      </c>
      <c r="B9630" s="35" t="s">
        <v>462</v>
      </c>
      <c r="C9630" s="35" t="s">
        <v>2016</v>
      </c>
      <c r="D9630" s="35" t="s">
        <v>405</v>
      </c>
      <c r="E9630" s="35" t="s">
        <v>780</v>
      </c>
      <c r="F9630" s="35" t="s">
        <v>2019</v>
      </c>
    </row>
    <row r="9631" spans="1:7">
      <c r="A9631" s="34">
        <v>2084194497</v>
      </c>
      <c r="B9631" s="35" t="s">
        <v>462</v>
      </c>
      <c r="C9631" s="35" t="s">
        <v>2016</v>
      </c>
      <c r="D9631" s="35" t="s">
        <v>405</v>
      </c>
      <c r="E9631" s="35" t="s">
        <v>780</v>
      </c>
      <c r="F9631" s="35" t="s">
        <v>2020</v>
      </c>
    </row>
    <row r="9632" spans="1:7">
      <c r="A9632" s="34">
        <v>2084232999</v>
      </c>
      <c r="B9632" s="35" t="s">
        <v>462</v>
      </c>
      <c r="C9632" s="35" t="s">
        <v>2016</v>
      </c>
      <c r="D9632" s="35" t="s">
        <v>405</v>
      </c>
      <c r="E9632" s="35" t="s">
        <v>838</v>
      </c>
      <c r="F9632" s="35" t="s">
        <v>2034</v>
      </c>
    </row>
    <row r="9633" spans="1:7">
      <c r="A9633" s="34">
        <v>2084233001</v>
      </c>
      <c r="B9633" s="35" t="s">
        <v>462</v>
      </c>
      <c r="C9633" s="35" t="s">
        <v>2016</v>
      </c>
      <c r="D9633" s="35" t="s">
        <v>405</v>
      </c>
      <c r="E9633" s="35" t="s">
        <v>838</v>
      </c>
      <c r="F9633" s="35" t="s">
        <v>2035</v>
      </c>
    </row>
    <row r="9634" spans="1:7">
      <c r="A9634" s="34">
        <v>2084233002</v>
      </c>
      <c r="B9634" s="35" t="s">
        <v>462</v>
      </c>
      <c r="C9634" s="35" t="s">
        <v>2016</v>
      </c>
      <c r="D9634" s="35" t="s">
        <v>405</v>
      </c>
      <c r="E9634" s="35" t="s">
        <v>838</v>
      </c>
      <c r="F9634" s="35" t="s">
        <v>2036</v>
      </c>
    </row>
    <row r="9635" spans="1:7">
      <c r="A9635" s="34">
        <v>2084233003</v>
      </c>
      <c r="B9635" s="35" t="s">
        <v>462</v>
      </c>
      <c r="C9635" s="35" t="s">
        <v>2016</v>
      </c>
      <c r="D9635" s="35" t="s">
        <v>405</v>
      </c>
      <c r="E9635" s="35" t="s">
        <v>838</v>
      </c>
      <c r="F9635" s="35" t="s">
        <v>2037</v>
      </c>
    </row>
    <row r="9636" spans="1:7">
      <c r="A9636" s="34">
        <v>2084233004</v>
      </c>
      <c r="B9636" s="35" t="s">
        <v>462</v>
      </c>
      <c r="C9636" s="35" t="s">
        <v>2016</v>
      </c>
      <c r="D9636" s="35" t="s">
        <v>405</v>
      </c>
      <c r="E9636" s="35" t="s">
        <v>838</v>
      </c>
      <c r="F9636" s="35" t="s">
        <v>2038</v>
      </c>
    </row>
    <row r="9637" spans="1:7">
      <c r="A9637" s="34">
        <v>2084233005</v>
      </c>
      <c r="B9637" s="35" t="s">
        <v>462</v>
      </c>
      <c r="C9637" s="35" t="s">
        <v>2016</v>
      </c>
      <c r="D9637" s="35" t="s">
        <v>405</v>
      </c>
      <c r="E9637" s="35" t="s">
        <v>838</v>
      </c>
      <c r="F9637" s="35" t="s">
        <v>2039</v>
      </c>
    </row>
    <row r="9638" spans="1:7">
      <c r="A9638" s="34">
        <v>2084233006</v>
      </c>
      <c r="B9638" s="35" t="s">
        <v>462</v>
      </c>
      <c r="C9638" s="35" t="s">
        <v>2016</v>
      </c>
      <c r="D9638" s="35" t="s">
        <v>405</v>
      </c>
      <c r="E9638" s="35" t="s">
        <v>838</v>
      </c>
      <c r="F9638" s="35" t="s">
        <v>2040</v>
      </c>
    </row>
    <row r="9639" spans="1:7">
      <c r="A9639" s="34">
        <v>2084233007</v>
      </c>
      <c r="B9639" s="35" t="s">
        <v>462</v>
      </c>
      <c r="C9639" s="35" t="s">
        <v>2016</v>
      </c>
      <c r="D9639" s="35" t="s">
        <v>405</v>
      </c>
      <c r="E9639" s="35" t="s">
        <v>838</v>
      </c>
      <c r="F9639" s="35" t="s">
        <v>2041</v>
      </c>
    </row>
    <row r="9640" spans="1:7">
      <c r="A9640" s="34">
        <v>2084017762</v>
      </c>
      <c r="B9640" s="35" t="s">
        <v>462</v>
      </c>
      <c r="C9640" s="35" t="s">
        <v>2016</v>
      </c>
      <c r="D9640" s="35" t="s">
        <v>405</v>
      </c>
      <c r="E9640" s="35" t="s">
        <v>886</v>
      </c>
      <c r="F9640" s="35" t="s">
        <v>2025</v>
      </c>
      <c r="G9640" s="35" t="s">
        <v>509</v>
      </c>
    </row>
    <row r="9641" spans="1:7">
      <c r="A9641" s="34">
        <v>2084017280</v>
      </c>
      <c r="B9641" s="35" t="s">
        <v>462</v>
      </c>
      <c r="C9641" s="35" t="s">
        <v>2016</v>
      </c>
      <c r="D9641" s="35" t="s">
        <v>405</v>
      </c>
      <c r="E9641" s="35" t="s">
        <v>886</v>
      </c>
      <c r="F9641" s="35" t="s">
        <v>2025</v>
      </c>
      <c r="G9641" s="35" t="s">
        <v>545</v>
      </c>
    </row>
    <row r="9642" spans="1:7">
      <c r="A9642" s="34">
        <v>2084017696</v>
      </c>
      <c r="B9642" s="35" t="s">
        <v>462</v>
      </c>
      <c r="C9642" s="35" t="s">
        <v>2016</v>
      </c>
      <c r="D9642" s="35" t="s">
        <v>405</v>
      </c>
      <c r="E9642" s="35" t="s">
        <v>886</v>
      </c>
      <c r="F9642" s="35" t="s">
        <v>2025</v>
      </c>
      <c r="G9642" s="35" t="s">
        <v>481</v>
      </c>
    </row>
    <row r="9643" spans="1:7">
      <c r="A9643" s="34">
        <v>2084017314</v>
      </c>
      <c r="B9643" s="35" t="s">
        <v>462</v>
      </c>
      <c r="C9643" s="35" t="s">
        <v>2016</v>
      </c>
      <c r="D9643" s="35" t="s">
        <v>405</v>
      </c>
      <c r="E9643" s="35" t="s">
        <v>886</v>
      </c>
      <c r="F9643" s="35" t="s">
        <v>2025</v>
      </c>
      <c r="G9643" s="35" t="s">
        <v>476</v>
      </c>
    </row>
    <row r="9644" spans="1:7">
      <c r="A9644" s="34">
        <v>2084017207</v>
      </c>
      <c r="B9644" s="35" t="s">
        <v>462</v>
      </c>
      <c r="C9644" s="35" t="s">
        <v>2016</v>
      </c>
      <c r="D9644" s="35" t="s">
        <v>405</v>
      </c>
      <c r="E9644" s="35" t="s">
        <v>886</v>
      </c>
      <c r="F9644" s="35" t="s">
        <v>2025</v>
      </c>
      <c r="G9644" s="35" t="s">
        <v>493</v>
      </c>
    </row>
    <row r="9645" spans="1:7">
      <c r="A9645" s="34">
        <v>2084017246</v>
      </c>
      <c r="B9645" s="35" t="s">
        <v>462</v>
      </c>
      <c r="C9645" s="35" t="s">
        <v>2016</v>
      </c>
      <c r="D9645" s="35" t="s">
        <v>405</v>
      </c>
      <c r="E9645" s="35" t="s">
        <v>886</v>
      </c>
      <c r="F9645" s="35" t="s">
        <v>2025</v>
      </c>
      <c r="G9645" s="35" t="s">
        <v>2032</v>
      </c>
    </row>
    <row r="9646" spans="1:7">
      <c r="A9646" s="34">
        <v>2084017328</v>
      </c>
      <c r="B9646" s="35" t="s">
        <v>462</v>
      </c>
      <c r="C9646" s="35" t="s">
        <v>2016</v>
      </c>
      <c r="D9646" s="35" t="s">
        <v>405</v>
      </c>
      <c r="E9646" s="35" t="s">
        <v>886</v>
      </c>
      <c r="F9646" s="35" t="s">
        <v>2025</v>
      </c>
      <c r="G9646" s="35" t="s">
        <v>2026</v>
      </c>
    </row>
    <row r="9647" spans="1:7">
      <c r="A9647" s="34">
        <v>2084017423</v>
      </c>
      <c r="B9647" s="35" t="s">
        <v>462</v>
      </c>
      <c r="C9647" s="35" t="s">
        <v>2016</v>
      </c>
      <c r="D9647" s="35" t="s">
        <v>405</v>
      </c>
      <c r="E9647" s="35" t="s">
        <v>886</v>
      </c>
      <c r="F9647" s="35" t="s">
        <v>2025</v>
      </c>
      <c r="G9647" s="35" t="s">
        <v>531</v>
      </c>
    </row>
    <row r="9648" spans="1:7">
      <c r="A9648" s="34">
        <v>2084007355</v>
      </c>
      <c r="B9648" s="35" t="s">
        <v>462</v>
      </c>
      <c r="C9648" s="35" t="s">
        <v>2016</v>
      </c>
      <c r="D9648" s="35" t="s">
        <v>405</v>
      </c>
      <c r="E9648" s="35" t="s">
        <v>886</v>
      </c>
      <c r="F9648" s="35" t="s">
        <v>2025</v>
      </c>
      <c r="G9648" s="35" t="s">
        <v>532</v>
      </c>
    </row>
    <row r="9649" spans="1:7">
      <c r="A9649" s="34">
        <v>2084017736</v>
      </c>
      <c r="B9649" s="35" t="s">
        <v>462</v>
      </c>
      <c r="C9649" s="35" t="s">
        <v>2016</v>
      </c>
      <c r="D9649" s="35" t="s">
        <v>405</v>
      </c>
      <c r="E9649" s="35" t="s">
        <v>886</v>
      </c>
      <c r="F9649" s="35" t="s">
        <v>2025</v>
      </c>
      <c r="G9649" s="35" t="s">
        <v>397</v>
      </c>
    </row>
    <row r="9650" spans="1:7">
      <c r="A9650" s="34">
        <v>2084017809</v>
      </c>
      <c r="B9650" s="35" t="s">
        <v>462</v>
      </c>
      <c r="C9650" s="35" t="s">
        <v>2016</v>
      </c>
      <c r="D9650" s="35" t="s">
        <v>405</v>
      </c>
      <c r="E9650" s="35" t="s">
        <v>886</v>
      </c>
      <c r="F9650" s="35" t="s">
        <v>2025</v>
      </c>
      <c r="G9650" s="35" t="s">
        <v>515</v>
      </c>
    </row>
    <row r="9651" spans="1:7">
      <c r="A9651" s="34">
        <v>2084017787</v>
      </c>
      <c r="B9651" s="35" t="s">
        <v>462</v>
      </c>
      <c r="C9651" s="35" t="s">
        <v>2016</v>
      </c>
      <c r="D9651" s="35" t="s">
        <v>405</v>
      </c>
      <c r="E9651" s="35" t="s">
        <v>886</v>
      </c>
      <c r="F9651" s="35" t="s">
        <v>2025</v>
      </c>
      <c r="G9651" s="35" t="s">
        <v>1445</v>
      </c>
    </row>
    <row r="9652" spans="1:7">
      <c r="A9652" s="34">
        <v>2084017711</v>
      </c>
      <c r="B9652" s="35" t="s">
        <v>462</v>
      </c>
      <c r="C9652" s="35" t="s">
        <v>2016</v>
      </c>
      <c r="D9652" s="35" t="s">
        <v>405</v>
      </c>
      <c r="E9652" s="35" t="s">
        <v>886</v>
      </c>
      <c r="F9652" s="35" t="s">
        <v>2025</v>
      </c>
      <c r="G9652" s="35" t="s">
        <v>398</v>
      </c>
    </row>
    <row r="9653" spans="1:7">
      <c r="A9653" s="34">
        <v>2084017858</v>
      </c>
      <c r="B9653" s="35" t="s">
        <v>462</v>
      </c>
      <c r="C9653" s="35" t="s">
        <v>2016</v>
      </c>
      <c r="D9653" s="35" t="s">
        <v>405</v>
      </c>
      <c r="E9653" s="35" t="s">
        <v>886</v>
      </c>
      <c r="F9653" s="35" t="s">
        <v>2027</v>
      </c>
      <c r="G9653" s="35" t="s">
        <v>1069</v>
      </c>
    </row>
    <row r="9654" spans="1:7">
      <c r="A9654" s="34">
        <v>2084018100</v>
      </c>
      <c r="B9654" s="35" t="s">
        <v>462</v>
      </c>
      <c r="C9654" s="35" t="s">
        <v>2016</v>
      </c>
      <c r="D9654" s="35" t="s">
        <v>405</v>
      </c>
      <c r="E9654" s="35" t="s">
        <v>886</v>
      </c>
      <c r="F9654" s="35" t="s">
        <v>2027</v>
      </c>
      <c r="G9654" s="35" t="s">
        <v>495</v>
      </c>
    </row>
    <row r="9655" spans="1:7">
      <c r="A9655" s="34">
        <v>2084017867</v>
      </c>
      <c r="B9655" s="35" t="s">
        <v>462</v>
      </c>
      <c r="C9655" s="35" t="s">
        <v>2016</v>
      </c>
      <c r="D9655" s="35" t="s">
        <v>405</v>
      </c>
      <c r="E9655" s="35" t="s">
        <v>886</v>
      </c>
      <c r="F9655" s="35" t="s">
        <v>2027</v>
      </c>
      <c r="G9655" s="35" t="s">
        <v>545</v>
      </c>
    </row>
    <row r="9656" spans="1:7">
      <c r="A9656" s="34">
        <v>2084017831</v>
      </c>
      <c r="B9656" s="35" t="s">
        <v>462</v>
      </c>
      <c r="C9656" s="35" t="s">
        <v>2016</v>
      </c>
      <c r="D9656" s="35" t="s">
        <v>405</v>
      </c>
      <c r="E9656" s="35" t="s">
        <v>886</v>
      </c>
      <c r="F9656" s="35" t="s">
        <v>2027</v>
      </c>
      <c r="G9656" s="35" t="s">
        <v>481</v>
      </c>
    </row>
    <row r="9657" spans="1:7">
      <c r="A9657" s="34">
        <v>2084018092</v>
      </c>
      <c r="B9657" s="35" t="s">
        <v>462</v>
      </c>
      <c r="C9657" s="35" t="s">
        <v>2016</v>
      </c>
      <c r="D9657" s="35" t="s">
        <v>405</v>
      </c>
      <c r="E9657" s="35" t="s">
        <v>886</v>
      </c>
      <c r="F9657" s="35" t="s">
        <v>2027</v>
      </c>
      <c r="G9657" s="35" t="s">
        <v>493</v>
      </c>
    </row>
    <row r="9658" spans="1:7">
      <c r="A9658" s="34">
        <v>2084017975</v>
      </c>
      <c r="B9658" s="35" t="s">
        <v>462</v>
      </c>
      <c r="C9658" s="35" t="s">
        <v>2016</v>
      </c>
      <c r="D9658" s="35" t="s">
        <v>405</v>
      </c>
      <c r="E9658" s="35" t="s">
        <v>886</v>
      </c>
      <c r="F9658" s="35" t="s">
        <v>2027</v>
      </c>
      <c r="G9658" s="35" t="s">
        <v>494</v>
      </c>
    </row>
    <row r="9659" spans="1:7">
      <c r="A9659" s="34">
        <v>2084018029</v>
      </c>
      <c r="B9659" s="35" t="s">
        <v>462</v>
      </c>
      <c r="C9659" s="35" t="s">
        <v>2016</v>
      </c>
      <c r="D9659" s="35" t="s">
        <v>405</v>
      </c>
      <c r="E9659" s="35" t="s">
        <v>886</v>
      </c>
      <c r="F9659" s="35" t="s">
        <v>2027</v>
      </c>
      <c r="G9659" s="35" t="s">
        <v>397</v>
      </c>
    </row>
    <row r="9660" spans="1:7">
      <c r="A9660" s="34">
        <v>2084018065</v>
      </c>
      <c r="B9660" s="35" t="s">
        <v>462</v>
      </c>
      <c r="C9660" s="35" t="s">
        <v>2016</v>
      </c>
      <c r="D9660" s="35" t="s">
        <v>405</v>
      </c>
      <c r="E9660" s="35" t="s">
        <v>886</v>
      </c>
      <c r="F9660" s="35" t="s">
        <v>2027</v>
      </c>
      <c r="G9660" s="35" t="s">
        <v>421</v>
      </c>
    </row>
    <row r="9661" spans="1:7">
      <c r="A9661" s="34">
        <v>2084018016</v>
      </c>
      <c r="B9661" s="35" t="s">
        <v>462</v>
      </c>
      <c r="C9661" s="35" t="s">
        <v>2016</v>
      </c>
      <c r="D9661" s="35" t="s">
        <v>405</v>
      </c>
      <c r="E9661" s="35" t="s">
        <v>886</v>
      </c>
      <c r="F9661" s="35" t="s">
        <v>2027</v>
      </c>
      <c r="G9661" s="35" t="s">
        <v>398</v>
      </c>
    </row>
    <row r="9662" spans="1:7">
      <c r="A9662" s="34">
        <v>2084018047</v>
      </c>
      <c r="B9662" s="35" t="s">
        <v>462</v>
      </c>
      <c r="C9662" s="35" t="s">
        <v>2016</v>
      </c>
      <c r="D9662" s="35" t="s">
        <v>405</v>
      </c>
      <c r="E9662" s="35" t="s">
        <v>886</v>
      </c>
      <c r="F9662" s="35" t="s">
        <v>2027</v>
      </c>
      <c r="G9662" s="35" t="s">
        <v>422</v>
      </c>
    </row>
    <row r="9663" spans="1:7">
      <c r="A9663" s="34">
        <v>2084283156</v>
      </c>
      <c r="B9663" s="35" t="s">
        <v>462</v>
      </c>
      <c r="C9663" s="35" t="s">
        <v>2016</v>
      </c>
      <c r="D9663" s="35" t="s">
        <v>405</v>
      </c>
      <c r="E9663" s="35" t="s">
        <v>889</v>
      </c>
      <c r="F9663" s="35" t="s">
        <v>2018</v>
      </c>
    </row>
    <row r="9664" spans="1:7">
      <c r="A9664" s="34">
        <v>2084283155</v>
      </c>
      <c r="B9664" s="35" t="s">
        <v>462</v>
      </c>
      <c r="C9664" s="35" t="s">
        <v>2016</v>
      </c>
      <c r="D9664" s="35" t="s">
        <v>405</v>
      </c>
      <c r="E9664" s="35" t="s">
        <v>889</v>
      </c>
      <c r="F9664" s="35" t="s">
        <v>2019</v>
      </c>
    </row>
    <row r="9665" spans="1:7">
      <c r="A9665" s="34">
        <v>2084283154</v>
      </c>
      <c r="B9665" s="35" t="s">
        <v>462</v>
      </c>
      <c r="C9665" s="35" t="s">
        <v>2016</v>
      </c>
      <c r="D9665" s="35" t="s">
        <v>405</v>
      </c>
      <c r="E9665" s="35" t="s">
        <v>889</v>
      </c>
      <c r="F9665" s="35" t="s">
        <v>2020</v>
      </c>
    </row>
    <row r="9666" spans="1:7">
      <c r="A9666" s="34">
        <v>2084293029</v>
      </c>
      <c r="B9666" s="35" t="s">
        <v>462</v>
      </c>
      <c r="C9666" s="35" t="s">
        <v>2016</v>
      </c>
      <c r="D9666" s="35" t="s">
        <v>405</v>
      </c>
      <c r="E9666" s="35" t="s">
        <v>2042</v>
      </c>
    </row>
    <row r="9667" spans="1:7">
      <c r="A9667" s="34">
        <v>2084017695</v>
      </c>
      <c r="B9667" s="35" t="s">
        <v>462</v>
      </c>
      <c r="C9667" s="35" t="s">
        <v>2016</v>
      </c>
      <c r="D9667" s="35" t="s">
        <v>405</v>
      </c>
      <c r="E9667" s="35" t="s">
        <v>810</v>
      </c>
      <c r="F9667" s="35" t="s">
        <v>2025</v>
      </c>
      <c r="G9667" s="35" t="s">
        <v>481</v>
      </c>
    </row>
    <row r="9668" spans="1:7">
      <c r="A9668" s="34">
        <v>2084017761</v>
      </c>
      <c r="B9668" s="35" t="s">
        <v>462</v>
      </c>
      <c r="C9668" s="35" t="s">
        <v>2016</v>
      </c>
      <c r="D9668" s="35" t="s">
        <v>405</v>
      </c>
      <c r="E9668" s="35" t="s">
        <v>810</v>
      </c>
      <c r="F9668" s="35" t="s">
        <v>2025</v>
      </c>
      <c r="G9668" s="35" t="s">
        <v>509</v>
      </c>
    </row>
    <row r="9669" spans="1:7">
      <c r="A9669" s="34">
        <v>2084017206</v>
      </c>
      <c r="B9669" s="35" t="s">
        <v>462</v>
      </c>
      <c r="C9669" s="35" t="s">
        <v>2016</v>
      </c>
      <c r="D9669" s="35" t="s">
        <v>405</v>
      </c>
      <c r="E9669" s="35" t="s">
        <v>810</v>
      </c>
      <c r="F9669" s="35" t="s">
        <v>2025</v>
      </c>
      <c r="G9669" s="35" t="s">
        <v>544</v>
      </c>
    </row>
    <row r="9670" spans="1:7">
      <c r="A9670" s="34">
        <v>2084017786</v>
      </c>
      <c r="B9670" s="35" t="s">
        <v>462</v>
      </c>
      <c r="C9670" s="35" t="s">
        <v>2016</v>
      </c>
      <c r="D9670" s="35" t="s">
        <v>405</v>
      </c>
      <c r="E9670" s="35" t="s">
        <v>810</v>
      </c>
      <c r="F9670" s="35" t="s">
        <v>2025</v>
      </c>
      <c r="G9670" s="35" t="s">
        <v>385</v>
      </c>
    </row>
    <row r="9671" spans="1:7">
      <c r="A9671" s="34">
        <v>2084017734</v>
      </c>
      <c r="B9671" s="35" t="s">
        <v>462</v>
      </c>
      <c r="C9671" s="35" t="s">
        <v>2016</v>
      </c>
      <c r="D9671" s="35" t="s">
        <v>405</v>
      </c>
      <c r="E9671" s="35" t="s">
        <v>810</v>
      </c>
      <c r="F9671" s="35" t="s">
        <v>2025</v>
      </c>
      <c r="G9671" s="35" t="s">
        <v>397</v>
      </c>
    </row>
    <row r="9672" spans="1:7">
      <c r="A9672" s="34">
        <v>2084017808</v>
      </c>
      <c r="B9672" s="35" t="s">
        <v>462</v>
      </c>
      <c r="C9672" s="35" t="s">
        <v>2016</v>
      </c>
      <c r="D9672" s="35" t="s">
        <v>405</v>
      </c>
      <c r="E9672" s="35" t="s">
        <v>810</v>
      </c>
      <c r="F9672" s="35" t="s">
        <v>2025</v>
      </c>
      <c r="G9672" s="35" t="s">
        <v>515</v>
      </c>
    </row>
    <row r="9673" spans="1:7">
      <c r="A9673" s="34">
        <v>2084017710</v>
      </c>
      <c r="B9673" s="35" t="s">
        <v>462</v>
      </c>
      <c r="C9673" s="35" t="s">
        <v>2016</v>
      </c>
      <c r="D9673" s="35" t="s">
        <v>405</v>
      </c>
      <c r="E9673" s="35" t="s">
        <v>810</v>
      </c>
      <c r="F9673" s="35" t="s">
        <v>2025</v>
      </c>
      <c r="G9673" s="35" t="s">
        <v>398</v>
      </c>
    </row>
    <row r="9674" spans="1:7">
      <c r="A9674" s="34">
        <v>2084017313</v>
      </c>
      <c r="B9674" s="35" t="s">
        <v>462</v>
      </c>
      <c r="C9674" s="35" t="s">
        <v>2016</v>
      </c>
      <c r="D9674" s="35" t="s">
        <v>405</v>
      </c>
      <c r="E9674" s="35" t="s">
        <v>810</v>
      </c>
      <c r="F9674" s="35" t="s">
        <v>2025</v>
      </c>
      <c r="G9674" s="35" t="s">
        <v>476</v>
      </c>
    </row>
    <row r="9675" spans="1:7">
      <c r="A9675" s="34">
        <v>2084298118</v>
      </c>
      <c r="B9675" s="35" t="s">
        <v>462</v>
      </c>
      <c r="C9675" s="35" t="s">
        <v>2016</v>
      </c>
      <c r="D9675" s="35" t="s">
        <v>405</v>
      </c>
      <c r="E9675" s="35" t="s">
        <v>810</v>
      </c>
      <c r="F9675" s="35" t="s">
        <v>2025</v>
      </c>
      <c r="G9675" s="35" t="s">
        <v>477</v>
      </c>
    </row>
    <row r="9676" spans="1:7">
      <c r="A9676" s="34">
        <v>2084017422</v>
      </c>
      <c r="B9676" s="35" t="s">
        <v>462</v>
      </c>
      <c r="C9676" s="35" t="s">
        <v>2016</v>
      </c>
      <c r="D9676" s="35" t="s">
        <v>405</v>
      </c>
      <c r="E9676" s="35" t="s">
        <v>810</v>
      </c>
      <c r="F9676" s="35" t="s">
        <v>2025</v>
      </c>
      <c r="G9676" s="35" t="s">
        <v>2043</v>
      </c>
    </row>
    <row r="9677" spans="1:7">
      <c r="A9677" s="34">
        <v>2084007364</v>
      </c>
      <c r="B9677" s="35" t="s">
        <v>462</v>
      </c>
      <c r="C9677" s="35" t="s">
        <v>2016</v>
      </c>
      <c r="D9677" s="35" t="s">
        <v>405</v>
      </c>
      <c r="E9677" s="35" t="s">
        <v>810</v>
      </c>
      <c r="F9677" s="35" t="s">
        <v>2025</v>
      </c>
      <c r="G9677" s="35" t="s">
        <v>532</v>
      </c>
    </row>
    <row r="9678" spans="1:7">
      <c r="A9678" s="34">
        <v>2084017327</v>
      </c>
      <c r="B9678" s="35" t="s">
        <v>462</v>
      </c>
      <c r="C9678" s="35" t="s">
        <v>2016</v>
      </c>
      <c r="D9678" s="35" t="s">
        <v>405</v>
      </c>
      <c r="E9678" s="35" t="s">
        <v>810</v>
      </c>
      <c r="F9678" s="35" t="s">
        <v>2025</v>
      </c>
      <c r="G9678" s="35" t="s">
        <v>2026</v>
      </c>
    </row>
    <row r="9679" spans="1:7">
      <c r="A9679" s="34">
        <v>2084017830</v>
      </c>
      <c r="B9679" s="35" t="s">
        <v>462</v>
      </c>
      <c r="C9679" s="35" t="s">
        <v>2016</v>
      </c>
      <c r="D9679" s="35" t="s">
        <v>405</v>
      </c>
      <c r="E9679" s="35" t="s">
        <v>810</v>
      </c>
      <c r="F9679" s="35" t="s">
        <v>2027</v>
      </c>
      <c r="G9679" s="35" t="s">
        <v>481</v>
      </c>
    </row>
    <row r="9680" spans="1:7">
      <c r="A9680" s="34">
        <v>2084017974</v>
      </c>
      <c r="B9680" s="35" t="s">
        <v>462</v>
      </c>
      <c r="C9680" s="35" t="s">
        <v>2016</v>
      </c>
      <c r="D9680" s="35" t="s">
        <v>405</v>
      </c>
      <c r="E9680" s="35" t="s">
        <v>810</v>
      </c>
      <c r="F9680" s="35" t="s">
        <v>2027</v>
      </c>
      <c r="G9680" s="35" t="s">
        <v>494</v>
      </c>
    </row>
    <row r="9681" spans="1:7">
      <c r="A9681" s="34">
        <v>2084018091</v>
      </c>
      <c r="B9681" s="35" t="s">
        <v>462</v>
      </c>
      <c r="C9681" s="35" t="s">
        <v>2016</v>
      </c>
      <c r="D9681" s="35" t="s">
        <v>405</v>
      </c>
      <c r="E9681" s="35" t="s">
        <v>810</v>
      </c>
      <c r="F9681" s="35" t="s">
        <v>2027</v>
      </c>
      <c r="G9681" s="35" t="s">
        <v>493</v>
      </c>
    </row>
    <row r="9682" spans="1:7">
      <c r="A9682" s="34">
        <v>2084018028</v>
      </c>
      <c r="B9682" s="35" t="s">
        <v>462</v>
      </c>
      <c r="C9682" s="35" t="s">
        <v>2016</v>
      </c>
      <c r="D9682" s="35" t="s">
        <v>405</v>
      </c>
      <c r="E9682" s="35" t="s">
        <v>810</v>
      </c>
      <c r="F9682" s="35" t="s">
        <v>2027</v>
      </c>
      <c r="G9682" s="35" t="s">
        <v>397</v>
      </c>
    </row>
    <row r="9683" spans="1:7">
      <c r="A9683" s="34">
        <v>2084018015</v>
      </c>
      <c r="B9683" s="35" t="s">
        <v>462</v>
      </c>
      <c r="C9683" s="35" t="s">
        <v>2016</v>
      </c>
      <c r="D9683" s="35" t="s">
        <v>405</v>
      </c>
      <c r="E9683" s="35" t="s">
        <v>810</v>
      </c>
      <c r="F9683" s="35" t="s">
        <v>2027</v>
      </c>
      <c r="G9683" s="35" t="s">
        <v>398</v>
      </c>
    </row>
    <row r="9684" spans="1:7">
      <c r="A9684" s="34">
        <v>2084018064</v>
      </c>
      <c r="B9684" s="35" t="s">
        <v>462</v>
      </c>
      <c r="C9684" s="35" t="s">
        <v>2016</v>
      </c>
      <c r="D9684" s="35" t="s">
        <v>405</v>
      </c>
      <c r="E9684" s="35" t="s">
        <v>810</v>
      </c>
      <c r="F9684" s="35" t="s">
        <v>2027</v>
      </c>
      <c r="G9684" s="35" t="s">
        <v>421</v>
      </c>
    </row>
    <row r="9685" spans="1:7">
      <c r="A9685" s="34">
        <v>2084018046</v>
      </c>
      <c r="B9685" s="35" t="s">
        <v>462</v>
      </c>
      <c r="C9685" s="35" t="s">
        <v>2016</v>
      </c>
      <c r="D9685" s="35" t="s">
        <v>405</v>
      </c>
      <c r="E9685" s="35" t="s">
        <v>810</v>
      </c>
      <c r="F9685" s="35" t="s">
        <v>2027</v>
      </c>
      <c r="G9685" s="35" t="s">
        <v>422</v>
      </c>
    </row>
    <row r="9686" spans="1:7">
      <c r="A9686" s="34">
        <v>2084018099</v>
      </c>
      <c r="B9686" s="35" t="s">
        <v>462</v>
      </c>
      <c r="C9686" s="35" t="s">
        <v>2016</v>
      </c>
      <c r="D9686" s="35" t="s">
        <v>405</v>
      </c>
      <c r="E9686" s="35" t="s">
        <v>810</v>
      </c>
      <c r="F9686" s="35" t="s">
        <v>2027</v>
      </c>
      <c r="G9686" s="35" t="s">
        <v>495</v>
      </c>
    </row>
    <row r="9687" spans="1:7">
      <c r="A9687" s="34">
        <v>2084017866</v>
      </c>
      <c r="B9687" s="35" t="s">
        <v>462</v>
      </c>
      <c r="C9687" s="35" t="s">
        <v>2016</v>
      </c>
      <c r="D9687" s="35" t="s">
        <v>405</v>
      </c>
      <c r="E9687" s="35" t="s">
        <v>810</v>
      </c>
      <c r="F9687" s="35" t="s">
        <v>2027</v>
      </c>
      <c r="G9687" s="35" t="s">
        <v>545</v>
      </c>
    </row>
    <row r="9688" spans="1:7">
      <c r="A9688" s="34">
        <v>2084017857</v>
      </c>
      <c r="B9688" s="35" t="s">
        <v>462</v>
      </c>
      <c r="C9688" s="35" t="s">
        <v>2016</v>
      </c>
      <c r="D9688" s="35" t="s">
        <v>405</v>
      </c>
      <c r="E9688" s="35" t="s">
        <v>810</v>
      </c>
      <c r="F9688" s="35" t="s">
        <v>2027</v>
      </c>
      <c r="G9688" s="35" t="s">
        <v>1069</v>
      </c>
    </row>
    <row r="9689" spans="1:7">
      <c r="A9689" s="34">
        <v>2084315875</v>
      </c>
      <c r="B9689" s="35" t="s">
        <v>462</v>
      </c>
      <c r="C9689" s="35" t="s">
        <v>2016</v>
      </c>
      <c r="D9689" s="35" t="s">
        <v>405</v>
      </c>
      <c r="E9689" s="35" t="s">
        <v>946</v>
      </c>
      <c r="F9689" s="35" t="s">
        <v>2019</v>
      </c>
    </row>
    <row r="9690" spans="1:7">
      <c r="A9690" s="34">
        <v>2084315876</v>
      </c>
      <c r="B9690" s="35" t="s">
        <v>462</v>
      </c>
      <c r="C9690" s="35" t="s">
        <v>2016</v>
      </c>
      <c r="D9690" s="35" t="s">
        <v>405</v>
      </c>
      <c r="E9690" s="35" t="s">
        <v>946</v>
      </c>
      <c r="F9690" s="35" t="s">
        <v>2020</v>
      </c>
    </row>
    <row r="9691" spans="1:7">
      <c r="A9691" s="34">
        <v>2084299002</v>
      </c>
      <c r="B9691" s="35" t="s">
        <v>462</v>
      </c>
      <c r="C9691" s="35" t="s">
        <v>2016</v>
      </c>
      <c r="D9691" s="35" t="s">
        <v>405</v>
      </c>
      <c r="E9691" s="35" t="s">
        <v>2044</v>
      </c>
    </row>
    <row r="9692" spans="1:7">
      <c r="A9692" s="34">
        <v>2084206735</v>
      </c>
      <c r="B9692" s="35" t="s">
        <v>462</v>
      </c>
      <c r="C9692" s="35" t="s">
        <v>2016</v>
      </c>
      <c r="D9692" s="35" t="s">
        <v>405</v>
      </c>
      <c r="E9692" s="35" t="s">
        <v>920</v>
      </c>
      <c r="F9692" s="35" t="s">
        <v>2019</v>
      </c>
    </row>
    <row r="9693" spans="1:7">
      <c r="A9693" s="34">
        <v>2084206734</v>
      </c>
      <c r="B9693" s="35" t="s">
        <v>462</v>
      </c>
      <c r="C9693" s="35" t="s">
        <v>2016</v>
      </c>
      <c r="D9693" s="35" t="s">
        <v>405</v>
      </c>
      <c r="E9693" s="35" t="s">
        <v>920</v>
      </c>
      <c r="F9693" s="35" t="s">
        <v>2020</v>
      </c>
    </row>
    <row r="9694" spans="1:7">
      <c r="A9694" s="34">
        <v>2084017697</v>
      </c>
      <c r="B9694" s="35" t="s">
        <v>462</v>
      </c>
      <c r="C9694" s="35" t="s">
        <v>2016</v>
      </c>
      <c r="D9694" s="35" t="s">
        <v>405</v>
      </c>
      <c r="E9694" s="35" t="s">
        <v>948</v>
      </c>
      <c r="F9694" s="35" t="s">
        <v>481</v>
      </c>
    </row>
    <row r="9695" spans="1:7">
      <c r="A9695" s="34">
        <v>2084017763</v>
      </c>
      <c r="B9695" s="35" t="s">
        <v>462</v>
      </c>
      <c r="C9695" s="35" t="s">
        <v>2016</v>
      </c>
      <c r="D9695" s="35" t="s">
        <v>405</v>
      </c>
      <c r="E9695" s="35" t="s">
        <v>948</v>
      </c>
      <c r="F9695" s="35" t="s">
        <v>509</v>
      </c>
    </row>
    <row r="9696" spans="1:7">
      <c r="A9696" s="34">
        <v>2084017208</v>
      </c>
      <c r="B9696" s="35" t="s">
        <v>462</v>
      </c>
      <c r="C9696" s="35" t="s">
        <v>2016</v>
      </c>
      <c r="D9696" s="35" t="s">
        <v>405</v>
      </c>
      <c r="E9696" s="35" t="s">
        <v>948</v>
      </c>
      <c r="F9696" s="35" t="s">
        <v>493</v>
      </c>
    </row>
    <row r="9697" spans="1:6">
      <c r="A9697" s="34">
        <v>2084017737</v>
      </c>
      <c r="B9697" s="35" t="s">
        <v>462</v>
      </c>
      <c r="C9697" s="35" t="s">
        <v>2016</v>
      </c>
      <c r="D9697" s="35" t="s">
        <v>405</v>
      </c>
      <c r="E9697" s="35" t="s">
        <v>948</v>
      </c>
      <c r="F9697" s="35" t="s">
        <v>397</v>
      </c>
    </row>
    <row r="9698" spans="1:6">
      <c r="A9698" s="34">
        <v>2084017810</v>
      </c>
      <c r="B9698" s="35" t="s">
        <v>462</v>
      </c>
      <c r="C9698" s="35" t="s">
        <v>2016</v>
      </c>
      <c r="D9698" s="35" t="s">
        <v>405</v>
      </c>
      <c r="E9698" s="35" t="s">
        <v>948</v>
      </c>
      <c r="F9698" s="35" t="s">
        <v>515</v>
      </c>
    </row>
    <row r="9699" spans="1:6">
      <c r="A9699" s="34">
        <v>2084017788</v>
      </c>
      <c r="B9699" s="35" t="s">
        <v>462</v>
      </c>
      <c r="C9699" s="35" t="s">
        <v>2016</v>
      </c>
      <c r="D9699" s="35" t="s">
        <v>405</v>
      </c>
      <c r="E9699" s="35" t="s">
        <v>948</v>
      </c>
      <c r="F9699" s="35" t="s">
        <v>1445</v>
      </c>
    </row>
    <row r="9700" spans="1:6">
      <c r="A9700" s="34">
        <v>2084017712</v>
      </c>
      <c r="B9700" s="35" t="s">
        <v>462</v>
      </c>
      <c r="C9700" s="35" t="s">
        <v>2016</v>
      </c>
      <c r="D9700" s="35" t="s">
        <v>405</v>
      </c>
      <c r="E9700" s="35" t="s">
        <v>948</v>
      </c>
      <c r="F9700" s="35" t="s">
        <v>398</v>
      </c>
    </row>
    <row r="9701" spans="1:6">
      <c r="A9701" s="34">
        <v>2084017315</v>
      </c>
      <c r="B9701" s="35" t="s">
        <v>462</v>
      </c>
      <c r="C9701" s="35" t="s">
        <v>2016</v>
      </c>
      <c r="D9701" s="35" t="s">
        <v>405</v>
      </c>
      <c r="E9701" s="35" t="s">
        <v>948</v>
      </c>
      <c r="F9701" s="35" t="s">
        <v>476</v>
      </c>
    </row>
    <row r="9702" spans="1:6">
      <c r="A9702" s="34">
        <v>2084297845</v>
      </c>
      <c r="B9702" s="35" t="s">
        <v>462</v>
      </c>
      <c r="C9702" s="35" t="s">
        <v>2016</v>
      </c>
      <c r="D9702" s="35" t="s">
        <v>405</v>
      </c>
      <c r="E9702" s="35" t="s">
        <v>948</v>
      </c>
      <c r="F9702" s="35" t="s">
        <v>477</v>
      </c>
    </row>
    <row r="9703" spans="1:6">
      <c r="A9703" s="34">
        <v>2084017247</v>
      </c>
      <c r="B9703" s="35" t="s">
        <v>462</v>
      </c>
      <c r="C9703" s="35" t="s">
        <v>2016</v>
      </c>
      <c r="D9703" s="35" t="s">
        <v>405</v>
      </c>
      <c r="E9703" s="35" t="s">
        <v>948</v>
      </c>
      <c r="F9703" s="35" t="s">
        <v>2032</v>
      </c>
    </row>
    <row r="9704" spans="1:6">
      <c r="A9704" s="34">
        <v>2084017253</v>
      </c>
      <c r="B9704" s="35" t="s">
        <v>462</v>
      </c>
      <c r="C9704" s="35" t="s">
        <v>2016</v>
      </c>
      <c r="D9704" s="35" t="s">
        <v>405</v>
      </c>
      <c r="E9704" s="35" t="s">
        <v>948</v>
      </c>
      <c r="F9704" s="35" t="s">
        <v>2045</v>
      </c>
    </row>
    <row r="9705" spans="1:6">
      <c r="A9705" s="34">
        <v>2084017330</v>
      </c>
      <c r="B9705" s="35" t="s">
        <v>462</v>
      </c>
      <c r="C9705" s="35" t="s">
        <v>2016</v>
      </c>
      <c r="D9705" s="35" t="s">
        <v>405</v>
      </c>
      <c r="E9705" s="35" t="s">
        <v>948</v>
      </c>
      <c r="F9705" s="35" t="s">
        <v>2026</v>
      </c>
    </row>
    <row r="9706" spans="1:6">
      <c r="A9706" s="34">
        <v>2084017424</v>
      </c>
      <c r="B9706" s="35" t="s">
        <v>462</v>
      </c>
      <c r="C9706" s="35" t="s">
        <v>2016</v>
      </c>
      <c r="D9706" s="35" t="s">
        <v>405</v>
      </c>
      <c r="E9706" s="35" t="s">
        <v>948</v>
      </c>
      <c r="F9706" s="35" t="s">
        <v>531</v>
      </c>
    </row>
    <row r="9707" spans="1:6">
      <c r="A9707" s="34">
        <v>2084007356</v>
      </c>
      <c r="B9707" s="35" t="s">
        <v>462</v>
      </c>
      <c r="C9707" s="35" t="s">
        <v>2016</v>
      </c>
      <c r="D9707" s="35" t="s">
        <v>405</v>
      </c>
      <c r="E9707" s="35" t="s">
        <v>948</v>
      </c>
      <c r="F9707" s="35" t="s">
        <v>532</v>
      </c>
    </row>
    <row r="9708" spans="1:6">
      <c r="A9708" s="34">
        <v>2084238607</v>
      </c>
      <c r="B9708" s="35" t="s">
        <v>462</v>
      </c>
      <c r="C9708" s="35" t="s">
        <v>2016</v>
      </c>
      <c r="D9708" s="35" t="s">
        <v>405</v>
      </c>
      <c r="E9708" s="35" t="s">
        <v>930</v>
      </c>
      <c r="F9708" s="35" t="s">
        <v>401</v>
      </c>
    </row>
    <row r="9709" spans="1:6">
      <c r="A9709" s="34">
        <v>2084238608</v>
      </c>
      <c r="B9709" s="35" t="s">
        <v>462</v>
      </c>
      <c r="C9709" s="35" t="s">
        <v>2016</v>
      </c>
      <c r="D9709" s="35" t="s">
        <v>405</v>
      </c>
      <c r="E9709" s="35" t="s">
        <v>930</v>
      </c>
      <c r="F9709" s="35" t="s">
        <v>402</v>
      </c>
    </row>
    <row r="9710" spans="1:6">
      <c r="A9710" s="34">
        <v>2084238610</v>
      </c>
      <c r="B9710" s="35" t="s">
        <v>462</v>
      </c>
      <c r="C9710" s="35" t="s">
        <v>2016</v>
      </c>
      <c r="D9710" s="35" t="s">
        <v>405</v>
      </c>
      <c r="E9710" s="35" t="s">
        <v>930</v>
      </c>
      <c r="F9710" s="35" t="s">
        <v>403</v>
      </c>
    </row>
    <row r="9711" spans="1:6">
      <c r="A9711" s="34">
        <v>2084238609</v>
      </c>
      <c r="B9711" s="35" t="s">
        <v>462</v>
      </c>
      <c r="C9711" s="35" t="s">
        <v>2016</v>
      </c>
      <c r="D9711" s="35" t="s">
        <v>405</v>
      </c>
      <c r="E9711" s="35" t="s">
        <v>930</v>
      </c>
      <c r="F9711" s="35" t="s">
        <v>478</v>
      </c>
    </row>
    <row r="9712" spans="1:6">
      <c r="A9712" s="34">
        <v>2084238611</v>
      </c>
      <c r="B9712" s="35" t="s">
        <v>462</v>
      </c>
      <c r="C9712" s="35" t="s">
        <v>2016</v>
      </c>
      <c r="D9712" s="35" t="s">
        <v>405</v>
      </c>
      <c r="E9712" s="35" t="s">
        <v>930</v>
      </c>
      <c r="F9712" s="35" t="s">
        <v>335</v>
      </c>
    </row>
    <row r="9713" spans="1:8">
      <c r="A9713" s="34">
        <v>2084301249</v>
      </c>
      <c r="B9713" s="35" t="s">
        <v>462</v>
      </c>
      <c r="C9713" s="35" t="s">
        <v>2016</v>
      </c>
      <c r="D9713" s="35" t="s">
        <v>405</v>
      </c>
      <c r="E9713" s="35" t="s">
        <v>2046</v>
      </c>
    </row>
    <row r="9714" spans="1:8">
      <c r="A9714" s="34">
        <v>2084238574</v>
      </c>
      <c r="B9714" s="35" t="s">
        <v>462</v>
      </c>
      <c r="C9714" s="35" t="s">
        <v>2016</v>
      </c>
      <c r="D9714" s="35" t="s">
        <v>405</v>
      </c>
      <c r="E9714" s="35" t="s">
        <v>2047</v>
      </c>
      <c r="F9714" s="35" t="s">
        <v>2018</v>
      </c>
    </row>
    <row r="9715" spans="1:8">
      <c r="A9715" s="34">
        <v>2084238576</v>
      </c>
      <c r="B9715" s="35" t="s">
        <v>462</v>
      </c>
      <c r="C9715" s="35" t="s">
        <v>2016</v>
      </c>
      <c r="D9715" s="35" t="s">
        <v>405</v>
      </c>
      <c r="E9715" s="35" t="s">
        <v>2047</v>
      </c>
      <c r="F9715" s="35" t="s">
        <v>2025</v>
      </c>
      <c r="G9715" s="35" t="s">
        <v>401</v>
      </c>
    </row>
    <row r="9716" spans="1:8">
      <c r="A9716" s="34">
        <v>2084238577</v>
      </c>
      <c r="B9716" s="35" t="s">
        <v>462</v>
      </c>
      <c r="C9716" s="35" t="s">
        <v>2016</v>
      </c>
      <c r="D9716" s="35" t="s">
        <v>405</v>
      </c>
      <c r="E9716" s="35" t="s">
        <v>2047</v>
      </c>
      <c r="F9716" s="35" t="s">
        <v>2025</v>
      </c>
      <c r="G9716" s="35" t="s">
        <v>402</v>
      </c>
    </row>
    <row r="9717" spans="1:8">
      <c r="A9717" s="34">
        <v>2084238579</v>
      </c>
      <c r="B9717" s="35" t="s">
        <v>462</v>
      </c>
      <c r="C9717" s="35" t="s">
        <v>2016</v>
      </c>
      <c r="D9717" s="35" t="s">
        <v>405</v>
      </c>
      <c r="E9717" s="35" t="s">
        <v>2047</v>
      </c>
      <c r="F9717" s="35" t="s">
        <v>2025</v>
      </c>
      <c r="G9717" s="35" t="s">
        <v>403</v>
      </c>
    </row>
    <row r="9718" spans="1:8">
      <c r="A9718" s="34">
        <v>2084238578</v>
      </c>
      <c r="B9718" s="35" t="s">
        <v>462</v>
      </c>
      <c r="C9718" s="35" t="s">
        <v>2016</v>
      </c>
      <c r="D9718" s="35" t="s">
        <v>405</v>
      </c>
      <c r="E9718" s="35" t="s">
        <v>2047</v>
      </c>
      <c r="F9718" s="35" t="s">
        <v>2025</v>
      </c>
      <c r="G9718" s="35" t="s">
        <v>478</v>
      </c>
    </row>
    <row r="9719" spans="1:8">
      <c r="A9719" s="34">
        <v>2084238580</v>
      </c>
      <c r="B9719" s="35" t="s">
        <v>462</v>
      </c>
      <c r="C9719" s="35" t="s">
        <v>2016</v>
      </c>
      <c r="D9719" s="35" t="s">
        <v>405</v>
      </c>
      <c r="E9719" s="35" t="s">
        <v>2047</v>
      </c>
      <c r="F9719" s="35" t="s">
        <v>2025</v>
      </c>
      <c r="G9719" s="35" t="s">
        <v>335</v>
      </c>
    </row>
    <row r="9720" spans="1:8">
      <c r="A9720" s="34">
        <v>2084238600</v>
      </c>
      <c r="B9720" s="35" t="s">
        <v>462</v>
      </c>
      <c r="C9720" s="35" t="s">
        <v>2016</v>
      </c>
      <c r="D9720" s="35" t="s">
        <v>405</v>
      </c>
      <c r="E9720" s="35" t="s">
        <v>2047</v>
      </c>
      <c r="F9720" s="35" t="s">
        <v>2027</v>
      </c>
      <c r="G9720" s="35" t="s">
        <v>401</v>
      </c>
    </row>
    <row r="9721" spans="1:8">
      <c r="A9721" s="34">
        <v>2084238601</v>
      </c>
      <c r="B9721" s="35" t="s">
        <v>462</v>
      </c>
      <c r="C9721" s="35" t="s">
        <v>2016</v>
      </c>
      <c r="D9721" s="35" t="s">
        <v>405</v>
      </c>
      <c r="E9721" s="35" t="s">
        <v>2047</v>
      </c>
      <c r="F9721" s="35" t="s">
        <v>2027</v>
      </c>
      <c r="G9721" s="35" t="s">
        <v>402</v>
      </c>
    </row>
    <row r="9722" spans="1:8">
      <c r="A9722" s="34">
        <v>2084238602</v>
      </c>
      <c r="B9722" s="35" t="s">
        <v>462</v>
      </c>
      <c r="C9722" s="35" t="s">
        <v>2016</v>
      </c>
      <c r="D9722" s="35" t="s">
        <v>405</v>
      </c>
      <c r="E9722" s="35" t="s">
        <v>2047</v>
      </c>
      <c r="F9722" s="35" t="s">
        <v>2027</v>
      </c>
      <c r="G9722" s="35" t="s">
        <v>403</v>
      </c>
    </row>
    <row r="9723" spans="1:8">
      <c r="A9723" s="34">
        <v>2084238603</v>
      </c>
      <c r="B9723" s="35" t="s">
        <v>462</v>
      </c>
      <c r="C9723" s="35" t="s">
        <v>2016</v>
      </c>
      <c r="D9723" s="35" t="s">
        <v>405</v>
      </c>
      <c r="E9723" s="35" t="s">
        <v>2047</v>
      </c>
      <c r="F9723" s="35" t="s">
        <v>2027</v>
      </c>
      <c r="G9723" s="35" t="s">
        <v>335</v>
      </c>
    </row>
    <row r="9724" spans="1:8">
      <c r="A9724" s="34">
        <v>2084238604</v>
      </c>
      <c r="B9724" s="35" t="s">
        <v>462</v>
      </c>
      <c r="C9724" s="35" t="s">
        <v>2016</v>
      </c>
      <c r="D9724" s="35" t="s">
        <v>405</v>
      </c>
      <c r="E9724" s="35" t="s">
        <v>2047</v>
      </c>
      <c r="F9724" s="35" t="s">
        <v>335</v>
      </c>
    </row>
    <row r="9725" spans="1:8">
      <c r="A9725" s="34">
        <v>2084205585</v>
      </c>
      <c r="B9725" s="35" t="s">
        <v>462</v>
      </c>
      <c r="C9725" s="35" t="s">
        <v>2016</v>
      </c>
      <c r="D9725" s="35" t="s">
        <v>405</v>
      </c>
      <c r="E9725" s="35" t="s">
        <v>2048</v>
      </c>
    </row>
    <row r="9726" spans="1:8">
      <c r="A9726" s="34">
        <v>2084293036</v>
      </c>
      <c r="B9726" s="35" t="s">
        <v>462</v>
      </c>
      <c r="C9726" s="35" t="s">
        <v>2016</v>
      </c>
      <c r="D9726" s="35" t="s">
        <v>405</v>
      </c>
      <c r="E9726" s="35" t="s">
        <v>2049</v>
      </c>
    </row>
    <row r="9727" spans="1:8">
      <c r="A9727" s="34">
        <v>2084205977</v>
      </c>
      <c r="B9727" s="35" t="s">
        <v>462</v>
      </c>
      <c r="C9727" s="35" t="s">
        <v>2016</v>
      </c>
      <c r="D9727" s="35" t="s">
        <v>405</v>
      </c>
      <c r="E9727" s="35" t="s">
        <v>2050</v>
      </c>
      <c r="F9727" s="35" t="s">
        <v>2025</v>
      </c>
      <c r="G9727" s="35" t="s">
        <v>401</v>
      </c>
    </row>
    <row r="9728" spans="1:8">
      <c r="A9728" s="34">
        <v>2084205983</v>
      </c>
      <c r="B9728" s="35" t="s">
        <v>462</v>
      </c>
      <c r="C9728" s="35" t="s">
        <v>2016</v>
      </c>
      <c r="D9728" s="35" t="s">
        <v>405</v>
      </c>
      <c r="E9728" s="35" t="s">
        <v>2050</v>
      </c>
      <c r="F9728" s="35" t="s">
        <v>2025</v>
      </c>
      <c r="G9728" s="35" t="s">
        <v>10</v>
      </c>
      <c r="H9728" s="35" t="s">
        <v>493</v>
      </c>
    </row>
    <row r="9729" spans="1:8">
      <c r="A9729" s="34">
        <v>2084205980</v>
      </c>
      <c r="B9729" s="35" t="s">
        <v>462</v>
      </c>
      <c r="C9729" s="35" t="s">
        <v>2016</v>
      </c>
      <c r="D9729" s="35" t="s">
        <v>405</v>
      </c>
      <c r="E9729" s="35" t="s">
        <v>2050</v>
      </c>
      <c r="F9729" s="35" t="s">
        <v>2025</v>
      </c>
      <c r="G9729" s="35" t="s">
        <v>10</v>
      </c>
      <c r="H9729" s="35" t="s">
        <v>397</v>
      </c>
    </row>
    <row r="9730" spans="1:8">
      <c r="A9730" s="34">
        <v>2084205982</v>
      </c>
      <c r="B9730" s="35" t="s">
        <v>462</v>
      </c>
      <c r="C9730" s="35" t="s">
        <v>2016</v>
      </c>
      <c r="D9730" s="35" t="s">
        <v>405</v>
      </c>
      <c r="E9730" s="35" t="s">
        <v>2050</v>
      </c>
      <c r="F9730" s="35" t="s">
        <v>2025</v>
      </c>
      <c r="G9730" s="35" t="s">
        <v>10</v>
      </c>
      <c r="H9730" s="35" t="s">
        <v>421</v>
      </c>
    </row>
    <row r="9731" spans="1:8">
      <c r="A9731" s="34">
        <v>2084205979</v>
      </c>
      <c r="B9731" s="35" t="s">
        <v>462</v>
      </c>
      <c r="C9731" s="35" t="s">
        <v>2016</v>
      </c>
      <c r="D9731" s="35" t="s">
        <v>405</v>
      </c>
      <c r="E9731" s="35" t="s">
        <v>2050</v>
      </c>
      <c r="F9731" s="35" t="s">
        <v>2025</v>
      </c>
      <c r="G9731" s="35" t="s">
        <v>10</v>
      </c>
      <c r="H9731" s="35" t="s">
        <v>398</v>
      </c>
    </row>
    <row r="9732" spans="1:8">
      <c r="A9732" s="34">
        <v>2084205981</v>
      </c>
      <c r="B9732" s="35" t="s">
        <v>462</v>
      </c>
      <c r="C9732" s="35" t="s">
        <v>2016</v>
      </c>
      <c r="D9732" s="35" t="s">
        <v>405</v>
      </c>
      <c r="E9732" s="35" t="s">
        <v>2050</v>
      </c>
      <c r="F9732" s="35" t="s">
        <v>2025</v>
      </c>
      <c r="G9732" s="35" t="s">
        <v>10</v>
      </c>
      <c r="H9732" s="35" t="s">
        <v>422</v>
      </c>
    </row>
    <row r="9733" spans="1:8">
      <c r="A9733" s="34">
        <v>2084205984</v>
      </c>
      <c r="B9733" s="35" t="s">
        <v>462</v>
      </c>
      <c r="C9733" s="35" t="s">
        <v>2016</v>
      </c>
      <c r="D9733" s="35" t="s">
        <v>405</v>
      </c>
      <c r="E9733" s="35" t="s">
        <v>2050</v>
      </c>
      <c r="F9733" s="35" t="s">
        <v>2025</v>
      </c>
      <c r="G9733" s="35" t="s">
        <v>10</v>
      </c>
      <c r="H9733" s="35" t="s">
        <v>335</v>
      </c>
    </row>
    <row r="9734" spans="1:8">
      <c r="A9734" s="34">
        <v>2084205986</v>
      </c>
      <c r="B9734" s="35" t="s">
        <v>462</v>
      </c>
      <c r="C9734" s="35" t="s">
        <v>2016</v>
      </c>
      <c r="D9734" s="35" t="s">
        <v>405</v>
      </c>
      <c r="E9734" s="35" t="s">
        <v>2050</v>
      </c>
      <c r="F9734" s="35" t="s">
        <v>2025</v>
      </c>
      <c r="G9734" s="35" t="s">
        <v>379</v>
      </c>
      <c r="H9734" s="35" t="s">
        <v>476</v>
      </c>
    </row>
    <row r="9735" spans="1:8">
      <c r="A9735" s="34">
        <v>2084205987</v>
      </c>
      <c r="B9735" s="35" t="s">
        <v>462</v>
      </c>
      <c r="C9735" s="35" t="s">
        <v>2016</v>
      </c>
      <c r="D9735" s="35" t="s">
        <v>405</v>
      </c>
      <c r="E9735" s="35" t="s">
        <v>2050</v>
      </c>
      <c r="F9735" s="35" t="s">
        <v>2025</v>
      </c>
      <c r="G9735" s="35" t="s">
        <v>379</v>
      </c>
      <c r="H9735" s="35" t="s">
        <v>335</v>
      </c>
    </row>
    <row r="9736" spans="1:8">
      <c r="A9736" s="34">
        <v>2084205988</v>
      </c>
      <c r="B9736" s="35" t="s">
        <v>462</v>
      </c>
      <c r="C9736" s="35" t="s">
        <v>2016</v>
      </c>
      <c r="D9736" s="35" t="s">
        <v>405</v>
      </c>
      <c r="E9736" s="35" t="s">
        <v>2050</v>
      </c>
      <c r="F9736" s="35" t="s">
        <v>2025</v>
      </c>
      <c r="G9736" s="35" t="s">
        <v>478</v>
      </c>
    </row>
    <row r="9737" spans="1:8">
      <c r="A9737" s="34">
        <v>2084205989</v>
      </c>
      <c r="B9737" s="35" t="s">
        <v>462</v>
      </c>
      <c r="C9737" s="35" t="s">
        <v>2016</v>
      </c>
      <c r="D9737" s="35" t="s">
        <v>405</v>
      </c>
      <c r="E9737" s="35" t="s">
        <v>2050</v>
      </c>
      <c r="F9737" s="35" t="s">
        <v>2025</v>
      </c>
      <c r="G9737" s="35" t="s">
        <v>335</v>
      </c>
    </row>
    <row r="9738" spans="1:8">
      <c r="A9738" s="34">
        <v>2084205991</v>
      </c>
      <c r="B9738" s="35" t="s">
        <v>462</v>
      </c>
      <c r="C9738" s="35" t="s">
        <v>2016</v>
      </c>
      <c r="D9738" s="35" t="s">
        <v>405</v>
      </c>
      <c r="E9738" s="35" t="s">
        <v>2050</v>
      </c>
      <c r="F9738" s="35" t="s">
        <v>2027</v>
      </c>
      <c r="G9738" s="35" t="s">
        <v>401</v>
      </c>
    </row>
    <row r="9739" spans="1:8">
      <c r="A9739" s="34">
        <v>2084205997</v>
      </c>
      <c r="B9739" s="35" t="s">
        <v>462</v>
      </c>
      <c r="C9739" s="35" t="s">
        <v>2016</v>
      </c>
      <c r="D9739" s="35" t="s">
        <v>405</v>
      </c>
      <c r="E9739" s="35" t="s">
        <v>2050</v>
      </c>
      <c r="F9739" s="35" t="s">
        <v>2027</v>
      </c>
      <c r="G9739" s="35" t="s">
        <v>10</v>
      </c>
      <c r="H9739" s="35" t="s">
        <v>493</v>
      </c>
    </row>
    <row r="9740" spans="1:8">
      <c r="A9740" s="34">
        <v>2084205994</v>
      </c>
      <c r="B9740" s="35" t="s">
        <v>462</v>
      </c>
      <c r="C9740" s="35" t="s">
        <v>2016</v>
      </c>
      <c r="D9740" s="35" t="s">
        <v>405</v>
      </c>
      <c r="E9740" s="35" t="s">
        <v>2050</v>
      </c>
      <c r="F9740" s="35" t="s">
        <v>2027</v>
      </c>
      <c r="G9740" s="35" t="s">
        <v>10</v>
      </c>
      <c r="H9740" s="35" t="s">
        <v>397</v>
      </c>
    </row>
    <row r="9741" spans="1:8">
      <c r="A9741" s="34">
        <v>2084205996</v>
      </c>
      <c r="B9741" s="35" t="s">
        <v>462</v>
      </c>
      <c r="C9741" s="35" t="s">
        <v>2016</v>
      </c>
      <c r="D9741" s="35" t="s">
        <v>405</v>
      </c>
      <c r="E9741" s="35" t="s">
        <v>2050</v>
      </c>
      <c r="F9741" s="35" t="s">
        <v>2027</v>
      </c>
      <c r="G9741" s="35" t="s">
        <v>10</v>
      </c>
      <c r="H9741" s="35" t="s">
        <v>421</v>
      </c>
    </row>
    <row r="9742" spans="1:8">
      <c r="A9742" s="34">
        <v>2084205993</v>
      </c>
      <c r="B9742" s="35" t="s">
        <v>462</v>
      </c>
      <c r="C9742" s="35" t="s">
        <v>2016</v>
      </c>
      <c r="D9742" s="35" t="s">
        <v>405</v>
      </c>
      <c r="E9742" s="35" t="s">
        <v>2050</v>
      </c>
      <c r="F9742" s="35" t="s">
        <v>2027</v>
      </c>
      <c r="G9742" s="35" t="s">
        <v>10</v>
      </c>
      <c r="H9742" s="35" t="s">
        <v>398</v>
      </c>
    </row>
    <row r="9743" spans="1:8">
      <c r="A9743" s="34">
        <v>2084205995</v>
      </c>
      <c r="B9743" s="35" t="s">
        <v>462</v>
      </c>
      <c r="C9743" s="35" t="s">
        <v>2016</v>
      </c>
      <c r="D9743" s="35" t="s">
        <v>405</v>
      </c>
      <c r="E9743" s="35" t="s">
        <v>2050</v>
      </c>
      <c r="F9743" s="35" t="s">
        <v>2027</v>
      </c>
      <c r="G9743" s="35" t="s">
        <v>10</v>
      </c>
      <c r="H9743" s="35" t="s">
        <v>422</v>
      </c>
    </row>
    <row r="9744" spans="1:8">
      <c r="A9744" s="34">
        <v>2084205998</v>
      </c>
      <c r="B9744" s="35" t="s">
        <v>462</v>
      </c>
      <c r="C9744" s="35" t="s">
        <v>2016</v>
      </c>
      <c r="D9744" s="35" t="s">
        <v>405</v>
      </c>
      <c r="E9744" s="35" t="s">
        <v>2050</v>
      </c>
      <c r="F9744" s="35" t="s">
        <v>2027</v>
      </c>
      <c r="G9744" s="35" t="s">
        <v>10</v>
      </c>
      <c r="H9744" s="35" t="s">
        <v>335</v>
      </c>
    </row>
    <row r="9745" spans="1:7">
      <c r="A9745" s="34">
        <v>2084205999</v>
      </c>
      <c r="B9745" s="35" t="s">
        <v>462</v>
      </c>
      <c r="C9745" s="35" t="s">
        <v>2016</v>
      </c>
      <c r="D9745" s="35" t="s">
        <v>405</v>
      </c>
      <c r="E9745" s="35" t="s">
        <v>2050</v>
      </c>
      <c r="F9745" s="35" t="s">
        <v>2027</v>
      </c>
      <c r="G9745" s="35" t="s">
        <v>403</v>
      </c>
    </row>
    <row r="9746" spans="1:7">
      <c r="A9746" s="34">
        <v>2084206000</v>
      </c>
      <c r="B9746" s="35" t="s">
        <v>462</v>
      </c>
      <c r="C9746" s="35" t="s">
        <v>2016</v>
      </c>
      <c r="D9746" s="35" t="s">
        <v>405</v>
      </c>
      <c r="E9746" s="35" t="s">
        <v>2050</v>
      </c>
      <c r="F9746" s="35" t="s">
        <v>2027</v>
      </c>
      <c r="G9746" s="35" t="s">
        <v>335</v>
      </c>
    </row>
    <row r="9747" spans="1:7">
      <c r="A9747" s="34">
        <v>2084206001</v>
      </c>
      <c r="B9747" s="35" t="s">
        <v>462</v>
      </c>
      <c r="C9747" s="35" t="s">
        <v>2016</v>
      </c>
      <c r="D9747" s="35" t="s">
        <v>405</v>
      </c>
      <c r="E9747" s="35" t="s">
        <v>2050</v>
      </c>
      <c r="F9747" s="35" t="s">
        <v>335</v>
      </c>
    </row>
    <row r="9748" spans="1:7">
      <c r="A9748" s="34">
        <v>2084017766</v>
      </c>
      <c r="B9748" s="35" t="s">
        <v>462</v>
      </c>
      <c r="C9748" s="35" t="s">
        <v>2016</v>
      </c>
      <c r="D9748" s="35" t="s">
        <v>405</v>
      </c>
      <c r="E9748" s="35" t="s">
        <v>2051</v>
      </c>
      <c r="F9748" s="35" t="s">
        <v>2025</v>
      </c>
      <c r="G9748" s="35" t="s">
        <v>509</v>
      </c>
    </row>
    <row r="9749" spans="1:7">
      <c r="A9749" s="34">
        <v>2084017283</v>
      </c>
      <c r="B9749" s="35" t="s">
        <v>462</v>
      </c>
      <c r="C9749" s="35" t="s">
        <v>2016</v>
      </c>
      <c r="D9749" s="35" t="s">
        <v>405</v>
      </c>
      <c r="E9749" s="35" t="s">
        <v>2051</v>
      </c>
      <c r="F9749" s="35" t="s">
        <v>2025</v>
      </c>
      <c r="G9749" s="35" t="s">
        <v>545</v>
      </c>
    </row>
    <row r="9750" spans="1:7">
      <c r="A9750" s="34">
        <v>2084017699</v>
      </c>
      <c r="B9750" s="35" t="s">
        <v>462</v>
      </c>
      <c r="C9750" s="35" t="s">
        <v>2016</v>
      </c>
      <c r="D9750" s="35" t="s">
        <v>405</v>
      </c>
      <c r="E9750" s="35" t="s">
        <v>2051</v>
      </c>
      <c r="F9750" s="35" t="s">
        <v>2025</v>
      </c>
      <c r="G9750" s="35" t="s">
        <v>481</v>
      </c>
    </row>
    <row r="9751" spans="1:7">
      <c r="A9751" s="34">
        <v>2084017317</v>
      </c>
      <c r="B9751" s="35" t="s">
        <v>462</v>
      </c>
      <c r="C9751" s="35" t="s">
        <v>2016</v>
      </c>
      <c r="D9751" s="35" t="s">
        <v>405</v>
      </c>
      <c r="E9751" s="35" t="s">
        <v>2051</v>
      </c>
      <c r="F9751" s="35" t="s">
        <v>2025</v>
      </c>
      <c r="G9751" s="35" t="s">
        <v>476</v>
      </c>
    </row>
    <row r="9752" spans="1:7">
      <c r="A9752" s="34">
        <v>2084017210</v>
      </c>
      <c r="B9752" s="35" t="s">
        <v>462</v>
      </c>
      <c r="C9752" s="35" t="s">
        <v>2016</v>
      </c>
      <c r="D9752" s="35" t="s">
        <v>405</v>
      </c>
      <c r="E9752" s="35" t="s">
        <v>2051</v>
      </c>
      <c r="F9752" s="35" t="s">
        <v>2025</v>
      </c>
      <c r="G9752" s="35" t="s">
        <v>493</v>
      </c>
    </row>
    <row r="9753" spans="1:7">
      <c r="A9753" s="34">
        <v>2084017249</v>
      </c>
      <c r="B9753" s="35" t="s">
        <v>462</v>
      </c>
      <c r="C9753" s="35" t="s">
        <v>2016</v>
      </c>
      <c r="D9753" s="35" t="s">
        <v>405</v>
      </c>
      <c r="E9753" s="35" t="s">
        <v>2051</v>
      </c>
      <c r="F9753" s="35" t="s">
        <v>2025</v>
      </c>
      <c r="G9753" s="35" t="s">
        <v>2032</v>
      </c>
    </row>
    <row r="9754" spans="1:7">
      <c r="A9754" s="34">
        <v>2084017333</v>
      </c>
      <c r="B9754" s="35" t="s">
        <v>462</v>
      </c>
      <c r="C9754" s="35" t="s">
        <v>2016</v>
      </c>
      <c r="D9754" s="35" t="s">
        <v>405</v>
      </c>
      <c r="E9754" s="35" t="s">
        <v>2051</v>
      </c>
      <c r="F9754" s="35" t="s">
        <v>2025</v>
      </c>
      <c r="G9754" s="35" t="s">
        <v>2026</v>
      </c>
    </row>
    <row r="9755" spans="1:7">
      <c r="A9755" s="34">
        <v>2084017427</v>
      </c>
      <c r="B9755" s="35" t="s">
        <v>462</v>
      </c>
      <c r="C9755" s="35" t="s">
        <v>2016</v>
      </c>
      <c r="D9755" s="35" t="s">
        <v>405</v>
      </c>
      <c r="E9755" s="35" t="s">
        <v>2051</v>
      </c>
      <c r="F9755" s="35" t="s">
        <v>2025</v>
      </c>
      <c r="G9755" s="35" t="s">
        <v>531</v>
      </c>
    </row>
    <row r="9756" spans="1:7">
      <c r="A9756" s="34">
        <v>2084007360</v>
      </c>
      <c r="B9756" s="35" t="s">
        <v>462</v>
      </c>
      <c r="C9756" s="35" t="s">
        <v>2016</v>
      </c>
      <c r="D9756" s="35" t="s">
        <v>405</v>
      </c>
      <c r="E9756" s="35" t="s">
        <v>2051</v>
      </c>
      <c r="F9756" s="35" t="s">
        <v>2025</v>
      </c>
      <c r="G9756" s="35" t="s">
        <v>532</v>
      </c>
    </row>
    <row r="9757" spans="1:7">
      <c r="A9757" s="34">
        <v>2084017739</v>
      </c>
      <c r="B9757" s="35" t="s">
        <v>462</v>
      </c>
      <c r="C9757" s="35" t="s">
        <v>2016</v>
      </c>
      <c r="D9757" s="35" t="s">
        <v>405</v>
      </c>
      <c r="E9757" s="35" t="s">
        <v>2051</v>
      </c>
      <c r="F9757" s="35" t="s">
        <v>2025</v>
      </c>
      <c r="G9757" s="35" t="s">
        <v>397</v>
      </c>
    </row>
    <row r="9758" spans="1:7">
      <c r="A9758" s="34">
        <v>2084017812</v>
      </c>
      <c r="B9758" s="35" t="s">
        <v>462</v>
      </c>
      <c r="C9758" s="35" t="s">
        <v>2016</v>
      </c>
      <c r="D9758" s="35" t="s">
        <v>405</v>
      </c>
      <c r="E9758" s="35" t="s">
        <v>2051</v>
      </c>
      <c r="F9758" s="35" t="s">
        <v>2025</v>
      </c>
      <c r="G9758" s="35" t="s">
        <v>515</v>
      </c>
    </row>
    <row r="9759" spans="1:7">
      <c r="A9759" s="34">
        <v>2084017714</v>
      </c>
      <c r="B9759" s="35" t="s">
        <v>462</v>
      </c>
      <c r="C9759" s="35" t="s">
        <v>2016</v>
      </c>
      <c r="D9759" s="35" t="s">
        <v>405</v>
      </c>
      <c r="E9759" s="35" t="s">
        <v>2051</v>
      </c>
      <c r="F9759" s="35" t="s">
        <v>2025</v>
      </c>
      <c r="G9759" s="35" t="s">
        <v>398</v>
      </c>
    </row>
    <row r="9760" spans="1:7">
      <c r="A9760" s="34">
        <v>2084017860</v>
      </c>
      <c r="B9760" s="35" t="s">
        <v>462</v>
      </c>
      <c r="C9760" s="35" t="s">
        <v>2016</v>
      </c>
      <c r="D9760" s="35" t="s">
        <v>405</v>
      </c>
      <c r="E9760" s="35" t="s">
        <v>2051</v>
      </c>
      <c r="F9760" s="35" t="s">
        <v>2027</v>
      </c>
      <c r="G9760" s="35" t="s">
        <v>1069</v>
      </c>
    </row>
    <row r="9761" spans="1:7">
      <c r="A9761" s="34">
        <v>2084018102</v>
      </c>
      <c r="B9761" s="35" t="s">
        <v>462</v>
      </c>
      <c r="C9761" s="35" t="s">
        <v>2016</v>
      </c>
      <c r="D9761" s="35" t="s">
        <v>405</v>
      </c>
      <c r="E9761" s="35" t="s">
        <v>2051</v>
      </c>
      <c r="F9761" s="35" t="s">
        <v>2027</v>
      </c>
      <c r="G9761" s="35" t="s">
        <v>495</v>
      </c>
    </row>
    <row r="9762" spans="1:7">
      <c r="A9762" s="34">
        <v>2084017869</v>
      </c>
      <c r="B9762" s="35" t="s">
        <v>462</v>
      </c>
      <c r="C9762" s="35" t="s">
        <v>2016</v>
      </c>
      <c r="D9762" s="35" t="s">
        <v>405</v>
      </c>
      <c r="E9762" s="35" t="s">
        <v>2051</v>
      </c>
      <c r="F9762" s="35" t="s">
        <v>2027</v>
      </c>
      <c r="G9762" s="35" t="s">
        <v>545</v>
      </c>
    </row>
    <row r="9763" spans="1:7">
      <c r="A9763" s="34">
        <v>2084017833</v>
      </c>
      <c r="B9763" s="35" t="s">
        <v>462</v>
      </c>
      <c r="C9763" s="35" t="s">
        <v>2016</v>
      </c>
      <c r="D9763" s="35" t="s">
        <v>405</v>
      </c>
      <c r="E9763" s="35" t="s">
        <v>2051</v>
      </c>
      <c r="F9763" s="35" t="s">
        <v>2027</v>
      </c>
      <c r="G9763" s="35" t="s">
        <v>481</v>
      </c>
    </row>
    <row r="9764" spans="1:7">
      <c r="A9764" s="34">
        <v>2084018094</v>
      </c>
      <c r="B9764" s="35" t="s">
        <v>462</v>
      </c>
      <c r="C9764" s="35" t="s">
        <v>2016</v>
      </c>
      <c r="D9764" s="35" t="s">
        <v>405</v>
      </c>
      <c r="E9764" s="35" t="s">
        <v>2051</v>
      </c>
      <c r="F9764" s="35" t="s">
        <v>2027</v>
      </c>
      <c r="G9764" s="35" t="s">
        <v>493</v>
      </c>
    </row>
    <row r="9765" spans="1:7">
      <c r="A9765" s="34">
        <v>2084017977</v>
      </c>
      <c r="B9765" s="35" t="s">
        <v>462</v>
      </c>
      <c r="C9765" s="35" t="s">
        <v>2016</v>
      </c>
      <c r="D9765" s="35" t="s">
        <v>405</v>
      </c>
      <c r="E9765" s="35" t="s">
        <v>2051</v>
      </c>
      <c r="F9765" s="35" t="s">
        <v>2027</v>
      </c>
      <c r="G9765" s="35" t="s">
        <v>494</v>
      </c>
    </row>
    <row r="9766" spans="1:7">
      <c r="A9766" s="34">
        <v>2084018031</v>
      </c>
      <c r="B9766" s="35" t="s">
        <v>462</v>
      </c>
      <c r="C9766" s="35" t="s">
        <v>2016</v>
      </c>
      <c r="D9766" s="35" t="s">
        <v>405</v>
      </c>
      <c r="E9766" s="35" t="s">
        <v>2051</v>
      </c>
      <c r="F9766" s="35" t="s">
        <v>2027</v>
      </c>
      <c r="G9766" s="35" t="s">
        <v>397</v>
      </c>
    </row>
    <row r="9767" spans="1:7">
      <c r="A9767" s="34">
        <v>2084018067</v>
      </c>
      <c r="B9767" s="35" t="s">
        <v>462</v>
      </c>
      <c r="C9767" s="35" t="s">
        <v>2016</v>
      </c>
      <c r="D9767" s="35" t="s">
        <v>405</v>
      </c>
      <c r="E9767" s="35" t="s">
        <v>2051</v>
      </c>
      <c r="F9767" s="35" t="s">
        <v>2027</v>
      </c>
      <c r="G9767" s="35" t="s">
        <v>421</v>
      </c>
    </row>
    <row r="9768" spans="1:7">
      <c r="A9768" s="34">
        <v>2084018018</v>
      </c>
      <c r="B9768" s="35" t="s">
        <v>462</v>
      </c>
      <c r="C9768" s="35" t="s">
        <v>2016</v>
      </c>
      <c r="D9768" s="35" t="s">
        <v>405</v>
      </c>
      <c r="E9768" s="35" t="s">
        <v>2051</v>
      </c>
      <c r="F9768" s="35" t="s">
        <v>2027</v>
      </c>
      <c r="G9768" s="35" t="s">
        <v>398</v>
      </c>
    </row>
    <row r="9769" spans="1:7">
      <c r="A9769" s="34">
        <v>2084018049</v>
      </c>
      <c r="B9769" s="35" t="s">
        <v>462</v>
      </c>
      <c r="C9769" s="35" t="s">
        <v>2016</v>
      </c>
      <c r="D9769" s="35" t="s">
        <v>405</v>
      </c>
      <c r="E9769" s="35" t="s">
        <v>2051</v>
      </c>
      <c r="F9769" s="35" t="s">
        <v>2027</v>
      </c>
      <c r="G9769" s="35" t="s">
        <v>422</v>
      </c>
    </row>
    <row r="9770" spans="1:7">
      <c r="A9770" s="34">
        <v>2084048711</v>
      </c>
      <c r="B9770" s="35" t="s">
        <v>462</v>
      </c>
      <c r="C9770" s="35" t="s">
        <v>2016</v>
      </c>
      <c r="D9770" s="35" t="s">
        <v>405</v>
      </c>
      <c r="E9770" s="35" t="s">
        <v>2051</v>
      </c>
      <c r="F9770" s="35" t="s">
        <v>335</v>
      </c>
    </row>
    <row r="9771" spans="1:7">
      <c r="A9771" s="34">
        <v>2084205422</v>
      </c>
      <c r="B9771" s="35" t="s">
        <v>462</v>
      </c>
      <c r="C9771" s="35" t="s">
        <v>2016</v>
      </c>
      <c r="D9771" s="35" t="s">
        <v>405</v>
      </c>
      <c r="E9771" s="35" t="s">
        <v>2052</v>
      </c>
      <c r="F9771" s="35" t="s">
        <v>475</v>
      </c>
    </row>
    <row r="9772" spans="1:7">
      <c r="A9772" s="34">
        <v>2084205408</v>
      </c>
      <c r="B9772" s="35" t="s">
        <v>462</v>
      </c>
      <c r="C9772" s="35" t="s">
        <v>2016</v>
      </c>
      <c r="D9772" s="35" t="s">
        <v>405</v>
      </c>
      <c r="E9772" s="35" t="s">
        <v>2052</v>
      </c>
      <c r="F9772" s="35" t="s">
        <v>401</v>
      </c>
    </row>
    <row r="9773" spans="1:7">
      <c r="A9773" s="34">
        <v>2084205414</v>
      </c>
      <c r="B9773" s="35" t="s">
        <v>462</v>
      </c>
      <c r="C9773" s="35" t="s">
        <v>2016</v>
      </c>
      <c r="D9773" s="35" t="s">
        <v>405</v>
      </c>
      <c r="E9773" s="35" t="s">
        <v>2052</v>
      </c>
      <c r="F9773" s="35" t="s">
        <v>10</v>
      </c>
      <c r="G9773" s="35" t="s">
        <v>493</v>
      </c>
    </row>
    <row r="9774" spans="1:7">
      <c r="A9774" s="34">
        <v>2084205411</v>
      </c>
      <c r="B9774" s="35" t="s">
        <v>462</v>
      </c>
      <c r="C9774" s="35" t="s">
        <v>2016</v>
      </c>
      <c r="D9774" s="35" t="s">
        <v>405</v>
      </c>
      <c r="E9774" s="35" t="s">
        <v>2052</v>
      </c>
      <c r="F9774" s="35" t="s">
        <v>10</v>
      </c>
      <c r="G9774" s="35" t="s">
        <v>397</v>
      </c>
    </row>
    <row r="9775" spans="1:7">
      <c r="A9775" s="34">
        <v>2084205413</v>
      </c>
      <c r="B9775" s="35" t="s">
        <v>462</v>
      </c>
      <c r="C9775" s="35" t="s">
        <v>2016</v>
      </c>
      <c r="D9775" s="35" t="s">
        <v>405</v>
      </c>
      <c r="E9775" s="35" t="s">
        <v>2052</v>
      </c>
      <c r="F9775" s="35" t="s">
        <v>10</v>
      </c>
      <c r="G9775" s="35" t="s">
        <v>421</v>
      </c>
    </row>
    <row r="9776" spans="1:7">
      <c r="A9776" s="34">
        <v>2084205410</v>
      </c>
      <c r="B9776" s="35" t="s">
        <v>462</v>
      </c>
      <c r="C9776" s="35" t="s">
        <v>2016</v>
      </c>
      <c r="D9776" s="35" t="s">
        <v>405</v>
      </c>
      <c r="E9776" s="35" t="s">
        <v>2052</v>
      </c>
      <c r="F9776" s="35" t="s">
        <v>10</v>
      </c>
      <c r="G9776" s="35" t="s">
        <v>398</v>
      </c>
    </row>
    <row r="9777" spans="1:7">
      <c r="A9777" s="34">
        <v>2084205412</v>
      </c>
      <c r="B9777" s="35" t="s">
        <v>462</v>
      </c>
      <c r="C9777" s="35" t="s">
        <v>2016</v>
      </c>
      <c r="D9777" s="35" t="s">
        <v>405</v>
      </c>
      <c r="E9777" s="35" t="s">
        <v>2052</v>
      </c>
      <c r="F9777" s="35" t="s">
        <v>10</v>
      </c>
      <c r="G9777" s="35" t="s">
        <v>422</v>
      </c>
    </row>
    <row r="9778" spans="1:7">
      <c r="A9778" s="34">
        <v>2084205415</v>
      </c>
      <c r="B9778" s="35" t="s">
        <v>462</v>
      </c>
      <c r="C9778" s="35" t="s">
        <v>2016</v>
      </c>
      <c r="D9778" s="35" t="s">
        <v>405</v>
      </c>
      <c r="E9778" s="35" t="s">
        <v>2052</v>
      </c>
      <c r="F9778" s="35" t="s">
        <v>10</v>
      </c>
      <c r="G9778" s="35" t="s">
        <v>335</v>
      </c>
    </row>
    <row r="9779" spans="1:7">
      <c r="A9779" s="34">
        <v>2084205418</v>
      </c>
      <c r="B9779" s="35" t="s">
        <v>462</v>
      </c>
      <c r="C9779" s="35" t="s">
        <v>2016</v>
      </c>
      <c r="D9779" s="35" t="s">
        <v>405</v>
      </c>
      <c r="E9779" s="35" t="s">
        <v>2052</v>
      </c>
      <c r="F9779" s="35" t="s">
        <v>379</v>
      </c>
      <c r="G9779" s="35" t="s">
        <v>545</v>
      </c>
    </row>
    <row r="9780" spans="1:7">
      <c r="A9780" s="34">
        <v>2084205417</v>
      </c>
      <c r="B9780" s="35" t="s">
        <v>462</v>
      </c>
      <c r="C9780" s="35" t="s">
        <v>2016</v>
      </c>
      <c r="D9780" s="35" t="s">
        <v>405</v>
      </c>
      <c r="E9780" s="35" t="s">
        <v>2052</v>
      </c>
      <c r="F9780" s="35" t="s">
        <v>379</v>
      </c>
      <c r="G9780" s="35" t="s">
        <v>476</v>
      </c>
    </row>
    <row r="9781" spans="1:7">
      <c r="A9781" s="34">
        <v>2084205419</v>
      </c>
      <c r="B9781" s="35" t="s">
        <v>462</v>
      </c>
      <c r="C9781" s="35" t="s">
        <v>2016</v>
      </c>
      <c r="D9781" s="35" t="s">
        <v>405</v>
      </c>
      <c r="E9781" s="35" t="s">
        <v>2052</v>
      </c>
      <c r="F9781" s="35" t="s">
        <v>379</v>
      </c>
      <c r="G9781" s="35" t="s">
        <v>335</v>
      </c>
    </row>
    <row r="9782" spans="1:7">
      <c r="A9782" s="34">
        <v>2084205420</v>
      </c>
      <c r="B9782" s="35" t="s">
        <v>462</v>
      </c>
      <c r="C9782" s="35" t="s">
        <v>2016</v>
      </c>
      <c r="D9782" s="35" t="s">
        <v>405</v>
      </c>
      <c r="E9782" s="35" t="s">
        <v>2052</v>
      </c>
      <c r="F9782" s="35" t="s">
        <v>478</v>
      </c>
    </row>
    <row r="9783" spans="1:7">
      <c r="A9783" s="34">
        <v>2084205421</v>
      </c>
      <c r="B9783" s="35" t="s">
        <v>462</v>
      </c>
      <c r="C9783" s="35" t="s">
        <v>2016</v>
      </c>
      <c r="D9783" s="35" t="s">
        <v>405</v>
      </c>
      <c r="E9783" s="35" t="s">
        <v>2052</v>
      </c>
      <c r="F9783" s="35" t="s">
        <v>335</v>
      </c>
    </row>
    <row r="9784" spans="1:7">
      <c r="A9784" s="34">
        <v>2084238562</v>
      </c>
      <c r="B9784" s="35" t="s">
        <v>462</v>
      </c>
      <c r="C9784" s="35" t="s">
        <v>2016</v>
      </c>
      <c r="D9784" s="35" t="s">
        <v>405</v>
      </c>
      <c r="E9784" s="35" t="s">
        <v>1074</v>
      </c>
      <c r="F9784" s="35" t="s">
        <v>2025</v>
      </c>
      <c r="G9784" s="35" t="s">
        <v>401</v>
      </c>
    </row>
    <row r="9785" spans="1:7">
      <c r="A9785" s="34">
        <v>2084238563</v>
      </c>
      <c r="B9785" s="35" t="s">
        <v>462</v>
      </c>
      <c r="C9785" s="35" t="s">
        <v>2016</v>
      </c>
      <c r="D9785" s="35" t="s">
        <v>405</v>
      </c>
      <c r="E9785" s="35" t="s">
        <v>1074</v>
      </c>
      <c r="F9785" s="35" t="s">
        <v>2025</v>
      </c>
      <c r="G9785" s="35" t="s">
        <v>402</v>
      </c>
    </row>
    <row r="9786" spans="1:7">
      <c r="A9786" s="34">
        <v>2084238564</v>
      </c>
      <c r="B9786" s="35" t="s">
        <v>462</v>
      </c>
      <c r="C9786" s="35" t="s">
        <v>2016</v>
      </c>
      <c r="D9786" s="35" t="s">
        <v>405</v>
      </c>
      <c r="E9786" s="35" t="s">
        <v>1074</v>
      </c>
      <c r="F9786" s="35" t="s">
        <v>2025</v>
      </c>
      <c r="G9786" s="35" t="s">
        <v>403</v>
      </c>
    </row>
    <row r="9787" spans="1:7">
      <c r="A9787" s="34">
        <v>2084238565</v>
      </c>
      <c r="B9787" s="35" t="s">
        <v>462</v>
      </c>
      <c r="C9787" s="35" t="s">
        <v>2016</v>
      </c>
      <c r="D9787" s="35" t="s">
        <v>405</v>
      </c>
      <c r="E9787" s="35" t="s">
        <v>1074</v>
      </c>
      <c r="F9787" s="35" t="s">
        <v>2025</v>
      </c>
      <c r="G9787" s="35" t="s">
        <v>478</v>
      </c>
    </row>
    <row r="9788" spans="1:7">
      <c r="A9788" s="34">
        <v>2084238566</v>
      </c>
      <c r="B9788" s="35" t="s">
        <v>462</v>
      </c>
      <c r="C9788" s="35" t="s">
        <v>2016</v>
      </c>
      <c r="D9788" s="35" t="s">
        <v>405</v>
      </c>
      <c r="E9788" s="35" t="s">
        <v>1074</v>
      </c>
      <c r="F9788" s="35" t="s">
        <v>2025</v>
      </c>
      <c r="G9788" s="35" t="s">
        <v>335</v>
      </c>
    </row>
    <row r="9789" spans="1:7">
      <c r="A9789" s="34">
        <v>2084238568</v>
      </c>
      <c r="B9789" s="35" t="s">
        <v>462</v>
      </c>
      <c r="C9789" s="35" t="s">
        <v>2016</v>
      </c>
      <c r="D9789" s="35" t="s">
        <v>405</v>
      </c>
      <c r="E9789" s="35" t="s">
        <v>1074</v>
      </c>
      <c r="F9789" s="35" t="s">
        <v>2027</v>
      </c>
      <c r="G9789" s="35" t="s">
        <v>401</v>
      </c>
    </row>
    <row r="9790" spans="1:7">
      <c r="A9790" s="34">
        <v>2084238569</v>
      </c>
      <c r="B9790" s="35" t="s">
        <v>462</v>
      </c>
      <c r="C9790" s="35" t="s">
        <v>2016</v>
      </c>
      <c r="D9790" s="35" t="s">
        <v>405</v>
      </c>
      <c r="E9790" s="35" t="s">
        <v>1074</v>
      </c>
      <c r="F9790" s="35" t="s">
        <v>2027</v>
      </c>
      <c r="G9790" s="35" t="s">
        <v>402</v>
      </c>
    </row>
    <row r="9791" spans="1:7">
      <c r="A9791" s="34">
        <v>2084238570</v>
      </c>
      <c r="B9791" s="35" t="s">
        <v>462</v>
      </c>
      <c r="C9791" s="35" t="s">
        <v>2016</v>
      </c>
      <c r="D9791" s="35" t="s">
        <v>405</v>
      </c>
      <c r="E9791" s="35" t="s">
        <v>1074</v>
      </c>
      <c r="F9791" s="35" t="s">
        <v>2027</v>
      </c>
      <c r="G9791" s="35" t="s">
        <v>403</v>
      </c>
    </row>
    <row r="9792" spans="1:7">
      <c r="A9792" s="34">
        <v>2084238571</v>
      </c>
      <c r="B9792" s="35" t="s">
        <v>462</v>
      </c>
      <c r="C9792" s="35" t="s">
        <v>2016</v>
      </c>
      <c r="D9792" s="35" t="s">
        <v>405</v>
      </c>
      <c r="E9792" s="35" t="s">
        <v>1074</v>
      </c>
      <c r="F9792" s="35" t="s">
        <v>2027</v>
      </c>
      <c r="G9792" s="35" t="s">
        <v>335</v>
      </c>
    </row>
    <row r="9793" spans="1:8">
      <c r="A9793" s="34">
        <v>2084301446</v>
      </c>
      <c r="B9793" s="35" t="s">
        <v>462</v>
      </c>
      <c r="C9793" s="35" t="s">
        <v>2016</v>
      </c>
      <c r="D9793" s="35" t="s">
        <v>405</v>
      </c>
      <c r="E9793" s="35" t="s">
        <v>2053</v>
      </c>
    </row>
    <row r="9794" spans="1:8">
      <c r="A9794" s="34">
        <v>2084205916</v>
      </c>
      <c r="B9794" s="35" t="s">
        <v>462</v>
      </c>
      <c r="C9794" s="35" t="s">
        <v>2016</v>
      </c>
      <c r="D9794" s="35" t="s">
        <v>405</v>
      </c>
      <c r="E9794" s="35" t="s">
        <v>2054</v>
      </c>
      <c r="F9794" s="35" t="s">
        <v>2025</v>
      </c>
      <c r="G9794" s="35" t="s">
        <v>401</v>
      </c>
    </row>
    <row r="9795" spans="1:8">
      <c r="A9795" s="34">
        <v>2084205917</v>
      </c>
      <c r="B9795" s="35" t="s">
        <v>462</v>
      </c>
      <c r="C9795" s="35" t="s">
        <v>2016</v>
      </c>
      <c r="D9795" s="35" t="s">
        <v>405</v>
      </c>
      <c r="E9795" s="35" t="s">
        <v>2054</v>
      </c>
      <c r="F9795" s="35" t="s">
        <v>2025</v>
      </c>
      <c r="G9795" s="35" t="s">
        <v>402</v>
      </c>
    </row>
    <row r="9796" spans="1:8">
      <c r="A9796" s="34">
        <v>2084205918</v>
      </c>
      <c r="B9796" s="35" t="s">
        <v>462</v>
      </c>
      <c r="C9796" s="35" t="s">
        <v>2016</v>
      </c>
      <c r="D9796" s="35" t="s">
        <v>405</v>
      </c>
      <c r="E9796" s="35" t="s">
        <v>2054</v>
      </c>
      <c r="F9796" s="35" t="s">
        <v>2025</v>
      </c>
      <c r="G9796" s="35" t="s">
        <v>403</v>
      </c>
    </row>
    <row r="9797" spans="1:8">
      <c r="A9797" s="34">
        <v>2084205919</v>
      </c>
      <c r="B9797" s="35" t="s">
        <v>462</v>
      </c>
      <c r="C9797" s="35" t="s">
        <v>2016</v>
      </c>
      <c r="D9797" s="35" t="s">
        <v>405</v>
      </c>
      <c r="E9797" s="35" t="s">
        <v>2054</v>
      </c>
      <c r="F9797" s="35" t="s">
        <v>2025</v>
      </c>
      <c r="G9797" s="35" t="s">
        <v>478</v>
      </c>
    </row>
    <row r="9798" spans="1:8">
      <c r="A9798" s="34">
        <v>2084205920</v>
      </c>
      <c r="B9798" s="35" t="s">
        <v>462</v>
      </c>
      <c r="C9798" s="35" t="s">
        <v>2016</v>
      </c>
      <c r="D9798" s="35" t="s">
        <v>405</v>
      </c>
      <c r="E9798" s="35" t="s">
        <v>2054</v>
      </c>
      <c r="F9798" s="35" t="s">
        <v>2025</v>
      </c>
      <c r="G9798" s="35" t="s">
        <v>335</v>
      </c>
    </row>
    <row r="9799" spans="1:8">
      <c r="A9799" s="34">
        <v>2084205922</v>
      </c>
      <c r="B9799" s="35" t="s">
        <v>462</v>
      </c>
      <c r="C9799" s="35" t="s">
        <v>2016</v>
      </c>
      <c r="D9799" s="35" t="s">
        <v>405</v>
      </c>
      <c r="E9799" s="35" t="s">
        <v>2054</v>
      </c>
      <c r="F9799" s="35" t="s">
        <v>2027</v>
      </c>
      <c r="G9799" s="35" t="s">
        <v>401</v>
      </c>
    </row>
    <row r="9800" spans="1:8">
      <c r="A9800" s="34">
        <v>2084205923</v>
      </c>
      <c r="B9800" s="35" t="s">
        <v>462</v>
      </c>
      <c r="C9800" s="35" t="s">
        <v>2016</v>
      </c>
      <c r="D9800" s="35" t="s">
        <v>405</v>
      </c>
      <c r="E9800" s="35" t="s">
        <v>2054</v>
      </c>
      <c r="F9800" s="35" t="s">
        <v>2027</v>
      </c>
      <c r="G9800" s="35" t="s">
        <v>402</v>
      </c>
    </row>
    <row r="9801" spans="1:8">
      <c r="A9801" s="34">
        <v>2084205924</v>
      </c>
      <c r="B9801" s="35" t="s">
        <v>462</v>
      </c>
      <c r="C9801" s="35" t="s">
        <v>2016</v>
      </c>
      <c r="D9801" s="35" t="s">
        <v>405</v>
      </c>
      <c r="E9801" s="35" t="s">
        <v>2054</v>
      </c>
      <c r="F9801" s="35" t="s">
        <v>2027</v>
      </c>
      <c r="G9801" s="35" t="s">
        <v>403</v>
      </c>
    </row>
    <row r="9802" spans="1:8">
      <c r="A9802" s="34">
        <v>2084205925</v>
      </c>
      <c r="B9802" s="35" t="s">
        <v>462</v>
      </c>
      <c r="C9802" s="35" t="s">
        <v>2016</v>
      </c>
      <c r="D9802" s="35" t="s">
        <v>405</v>
      </c>
      <c r="E9802" s="35" t="s">
        <v>2054</v>
      </c>
      <c r="F9802" s="35" t="s">
        <v>2027</v>
      </c>
      <c r="G9802" s="35" t="s">
        <v>335</v>
      </c>
    </row>
    <row r="9803" spans="1:8">
      <c r="A9803" s="34">
        <v>2084205926</v>
      </c>
      <c r="B9803" s="35" t="s">
        <v>462</v>
      </c>
      <c r="C9803" s="35" t="s">
        <v>2016</v>
      </c>
      <c r="D9803" s="35" t="s">
        <v>405</v>
      </c>
      <c r="E9803" s="35" t="s">
        <v>2054</v>
      </c>
      <c r="F9803" s="35" t="s">
        <v>335</v>
      </c>
    </row>
    <row r="9804" spans="1:8">
      <c r="A9804" s="34">
        <v>2084298345</v>
      </c>
      <c r="B9804" s="35" t="s">
        <v>462</v>
      </c>
      <c r="C9804" s="35" t="s">
        <v>2016</v>
      </c>
      <c r="D9804" s="35" t="s">
        <v>405</v>
      </c>
      <c r="E9804" s="35" t="s">
        <v>2055</v>
      </c>
    </row>
    <row r="9805" spans="1:8">
      <c r="A9805" s="34">
        <v>2084205587</v>
      </c>
      <c r="B9805" s="35" t="s">
        <v>462</v>
      </c>
      <c r="C9805" s="35" t="s">
        <v>2016</v>
      </c>
      <c r="D9805" s="35" t="s">
        <v>405</v>
      </c>
      <c r="E9805" s="35" t="s">
        <v>1193</v>
      </c>
      <c r="F9805" s="35" t="s">
        <v>2025</v>
      </c>
      <c r="G9805" s="35" t="s">
        <v>401</v>
      </c>
    </row>
    <row r="9806" spans="1:8">
      <c r="A9806" s="34">
        <v>2084205593</v>
      </c>
      <c r="B9806" s="35" t="s">
        <v>462</v>
      </c>
      <c r="C9806" s="35" t="s">
        <v>2016</v>
      </c>
      <c r="D9806" s="35" t="s">
        <v>405</v>
      </c>
      <c r="E9806" s="35" t="s">
        <v>1193</v>
      </c>
      <c r="F9806" s="35" t="s">
        <v>2025</v>
      </c>
      <c r="G9806" s="35" t="s">
        <v>10</v>
      </c>
      <c r="H9806" s="35" t="s">
        <v>493</v>
      </c>
    </row>
    <row r="9807" spans="1:8">
      <c r="A9807" s="34">
        <v>2084205590</v>
      </c>
      <c r="B9807" s="35" t="s">
        <v>462</v>
      </c>
      <c r="C9807" s="35" t="s">
        <v>2016</v>
      </c>
      <c r="D9807" s="35" t="s">
        <v>405</v>
      </c>
      <c r="E9807" s="35" t="s">
        <v>1193</v>
      </c>
      <c r="F9807" s="35" t="s">
        <v>2025</v>
      </c>
      <c r="G9807" s="35" t="s">
        <v>10</v>
      </c>
      <c r="H9807" s="35" t="s">
        <v>397</v>
      </c>
    </row>
    <row r="9808" spans="1:8">
      <c r="A9808" s="34">
        <v>2084205592</v>
      </c>
      <c r="B9808" s="35" t="s">
        <v>462</v>
      </c>
      <c r="C9808" s="35" t="s">
        <v>2016</v>
      </c>
      <c r="D9808" s="35" t="s">
        <v>405</v>
      </c>
      <c r="E9808" s="35" t="s">
        <v>1193</v>
      </c>
      <c r="F9808" s="35" t="s">
        <v>2025</v>
      </c>
      <c r="G9808" s="35" t="s">
        <v>10</v>
      </c>
      <c r="H9808" s="35" t="s">
        <v>421</v>
      </c>
    </row>
    <row r="9809" spans="1:8">
      <c r="A9809" s="34">
        <v>2084205589</v>
      </c>
      <c r="B9809" s="35" t="s">
        <v>462</v>
      </c>
      <c r="C9809" s="35" t="s">
        <v>2016</v>
      </c>
      <c r="D9809" s="35" t="s">
        <v>405</v>
      </c>
      <c r="E9809" s="35" t="s">
        <v>1193</v>
      </c>
      <c r="F9809" s="35" t="s">
        <v>2025</v>
      </c>
      <c r="G9809" s="35" t="s">
        <v>10</v>
      </c>
      <c r="H9809" s="35" t="s">
        <v>398</v>
      </c>
    </row>
    <row r="9810" spans="1:8">
      <c r="A9810" s="34">
        <v>2084205591</v>
      </c>
      <c r="B9810" s="35" t="s">
        <v>462</v>
      </c>
      <c r="C9810" s="35" t="s">
        <v>2016</v>
      </c>
      <c r="D9810" s="35" t="s">
        <v>405</v>
      </c>
      <c r="E9810" s="35" t="s">
        <v>1193</v>
      </c>
      <c r="F9810" s="35" t="s">
        <v>2025</v>
      </c>
      <c r="G9810" s="35" t="s">
        <v>10</v>
      </c>
      <c r="H9810" s="35" t="s">
        <v>422</v>
      </c>
    </row>
    <row r="9811" spans="1:8">
      <c r="A9811" s="34">
        <v>2084205594</v>
      </c>
      <c r="B9811" s="35" t="s">
        <v>462</v>
      </c>
      <c r="C9811" s="35" t="s">
        <v>2016</v>
      </c>
      <c r="D9811" s="35" t="s">
        <v>405</v>
      </c>
      <c r="E9811" s="35" t="s">
        <v>1193</v>
      </c>
      <c r="F9811" s="35" t="s">
        <v>2025</v>
      </c>
      <c r="G9811" s="35" t="s">
        <v>10</v>
      </c>
      <c r="H9811" s="35" t="s">
        <v>335</v>
      </c>
    </row>
    <row r="9812" spans="1:8">
      <c r="A9812" s="34">
        <v>2084205596</v>
      </c>
      <c r="B9812" s="35" t="s">
        <v>462</v>
      </c>
      <c r="C9812" s="35" t="s">
        <v>2016</v>
      </c>
      <c r="D9812" s="35" t="s">
        <v>405</v>
      </c>
      <c r="E9812" s="35" t="s">
        <v>1193</v>
      </c>
      <c r="F9812" s="35" t="s">
        <v>2025</v>
      </c>
      <c r="G9812" s="35" t="s">
        <v>379</v>
      </c>
      <c r="H9812" s="35" t="s">
        <v>476</v>
      </c>
    </row>
    <row r="9813" spans="1:8">
      <c r="A9813" s="34">
        <v>2084205597</v>
      </c>
      <c r="B9813" s="35" t="s">
        <v>462</v>
      </c>
      <c r="C9813" s="35" t="s">
        <v>2016</v>
      </c>
      <c r="D9813" s="35" t="s">
        <v>405</v>
      </c>
      <c r="E9813" s="35" t="s">
        <v>1193</v>
      </c>
      <c r="F9813" s="35" t="s">
        <v>2025</v>
      </c>
      <c r="G9813" s="35" t="s">
        <v>379</v>
      </c>
      <c r="H9813" s="35" t="s">
        <v>335</v>
      </c>
    </row>
    <row r="9814" spans="1:8">
      <c r="A9814" s="34">
        <v>2084205598</v>
      </c>
      <c r="B9814" s="35" t="s">
        <v>462</v>
      </c>
      <c r="C9814" s="35" t="s">
        <v>2016</v>
      </c>
      <c r="D9814" s="35" t="s">
        <v>405</v>
      </c>
      <c r="E9814" s="35" t="s">
        <v>1193</v>
      </c>
      <c r="F9814" s="35" t="s">
        <v>2025</v>
      </c>
      <c r="G9814" s="35" t="s">
        <v>478</v>
      </c>
    </row>
    <row r="9815" spans="1:8">
      <c r="A9815" s="34">
        <v>2084205599</v>
      </c>
      <c r="B9815" s="35" t="s">
        <v>462</v>
      </c>
      <c r="C9815" s="35" t="s">
        <v>2016</v>
      </c>
      <c r="D9815" s="35" t="s">
        <v>405</v>
      </c>
      <c r="E9815" s="35" t="s">
        <v>1193</v>
      </c>
      <c r="F9815" s="35" t="s">
        <v>2025</v>
      </c>
      <c r="G9815" s="35" t="s">
        <v>335</v>
      </c>
    </row>
    <row r="9816" spans="1:8">
      <c r="A9816" s="34">
        <v>2084205601</v>
      </c>
      <c r="B9816" s="35" t="s">
        <v>462</v>
      </c>
      <c r="C9816" s="35" t="s">
        <v>2016</v>
      </c>
      <c r="D9816" s="35" t="s">
        <v>405</v>
      </c>
      <c r="E9816" s="35" t="s">
        <v>1193</v>
      </c>
      <c r="F9816" s="35" t="s">
        <v>2027</v>
      </c>
      <c r="G9816" s="35" t="s">
        <v>401</v>
      </c>
    </row>
    <row r="9817" spans="1:8">
      <c r="A9817" s="34">
        <v>2084205607</v>
      </c>
      <c r="B9817" s="35" t="s">
        <v>462</v>
      </c>
      <c r="C9817" s="35" t="s">
        <v>2016</v>
      </c>
      <c r="D9817" s="35" t="s">
        <v>405</v>
      </c>
      <c r="E9817" s="35" t="s">
        <v>1193</v>
      </c>
      <c r="F9817" s="35" t="s">
        <v>2027</v>
      </c>
      <c r="G9817" s="35" t="s">
        <v>10</v>
      </c>
      <c r="H9817" s="35" t="s">
        <v>493</v>
      </c>
    </row>
    <row r="9818" spans="1:8">
      <c r="A9818" s="34">
        <v>2084205604</v>
      </c>
      <c r="B9818" s="35" t="s">
        <v>462</v>
      </c>
      <c r="C9818" s="35" t="s">
        <v>2016</v>
      </c>
      <c r="D9818" s="35" t="s">
        <v>405</v>
      </c>
      <c r="E9818" s="35" t="s">
        <v>1193</v>
      </c>
      <c r="F9818" s="35" t="s">
        <v>2027</v>
      </c>
      <c r="G9818" s="35" t="s">
        <v>10</v>
      </c>
      <c r="H9818" s="35" t="s">
        <v>397</v>
      </c>
    </row>
    <row r="9819" spans="1:8">
      <c r="A9819" s="34">
        <v>2084205606</v>
      </c>
      <c r="B9819" s="35" t="s">
        <v>462</v>
      </c>
      <c r="C9819" s="35" t="s">
        <v>2016</v>
      </c>
      <c r="D9819" s="35" t="s">
        <v>405</v>
      </c>
      <c r="E9819" s="35" t="s">
        <v>1193</v>
      </c>
      <c r="F9819" s="35" t="s">
        <v>2027</v>
      </c>
      <c r="G9819" s="35" t="s">
        <v>10</v>
      </c>
      <c r="H9819" s="35" t="s">
        <v>421</v>
      </c>
    </row>
    <row r="9820" spans="1:8">
      <c r="A9820" s="34">
        <v>2084205603</v>
      </c>
      <c r="B9820" s="35" t="s">
        <v>462</v>
      </c>
      <c r="C9820" s="35" t="s">
        <v>2016</v>
      </c>
      <c r="D9820" s="35" t="s">
        <v>405</v>
      </c>
      <c r="E9820" s="35" t="s">
        <v>1193</v>
      </c>
      <c r="F9820" s="35" t="s">
        <v>2027</v>
      </c>
      <c r="G9820" s="35" t="s">
        <v>10</v>
      </c>
      <c r="H9820" s="35" t="s">
        <v>398</v>
      </c>
    </row>
    <row r="9821" spans="1:8">
      <c r="A9821" s="34">
        <v>2084205605</v>
      </c>
      <c r="B9821" s="35" t="s">
        <v>462</v>
      </c>
      <c r="C9821" s="35" t="s">
        <v>2016</v>
      </c>
      <c r="D9821" s="35" t="s">
        <v>405</v>
      </c>
      <c r="E9821" s="35" t="s">
        <v>1193</v>
      </c>
      <c r="F9821" s="35" t="s">
        <v>2027</v>
      </c>
      <c r="G9821" s="35" t="s">
        <v>10</v>
      </c>
      <c r="H9821" s="35" t="s">
        <v>422</v>
      </c>
    </row>
    <row r="9822" spans="1:8">
      <c r="A9822" s="34">
        <v>2084205608</v>
      </c>
      <c r="B9822" s="35" t="s">
        <v>462</v>
      </c>
      <c r="C9822" s="35" t="s">
        <v>2016</v>
      </c>
      <c r="D9822" s="35" t="s">
        <v>405</v>
      </c>
      <c r="E9822" s="35" t="s">
        <v>1193</v>
      </c>
      <c r="F9822" s="35" t="s">
        <v>2027</v>
      </c>
      <c r="G9822" s="35" t="s">
        <v>10</v>
      </c>
      <c r="H9822" s="35" t="s">
        <v>335</v>
      </c>
    </row>
    <row r="9823" spans="1:8">
      <c r="A9823" s="34">
        <v>2084205609</v>
      </c>
      <c r="B9823" s="35" t="s">
        <v>462</v>
      </c>
      <c r="C9823" s="35" t="s">
        <v>2016</v>
      </c>
      <c r="D9823" s="35" t="s">
        <v>405</v>
      </c>
      <c r="E9823" s="35" t="s">
        <v>1193</v>
      </c>
      <c r="F9823" s="35" t="s">
        <v>2027</v>
      </c>
      <c r="G9823" s="35" t="s">
        <v>403</v>
      </c>
    </row>
    <row r="9824" spans="1:8">
      <c r="A9824" s="34">
        <v>2084205610</v>
      </c>
      <c r="B9824" s="35" t="s">
        <v>462</v>
      </c>
      <c r="C9824" s="35" t="s">
        <v>2016</v>
      </c>
      <c r="D9824" s="35" t="s">
        <v>405</v>
      </c>
      <c r="E9824" s="35" t="s">
        <v>1193</v>
      </c>
      <c r="F9824" s="35" t="s">
        <v>2027</v>
      </c>
      <c r="G9824" s="35" t="s">
        <v>335</v>
      </c>
    </row>
    <row r="9825" spans="1:8">
      <c r="A9825" s="34">
        <v>2084205746</v>
      </c>
      <c r="B9825" s="35" t="s">
        <v>462</v>
      </c>
      <c r="C9825" s="35" t="s">
        <v>2016</v>
      </c>
      <c r="D9825" s="35" t="s">
        <v>405</v>
      </c>
      <c r="E9825" s="35" t="s">
        <v>1199</v>
      </c>
      <c r="F9825" s="35" t="s">
        <v>401</v>
      </c>
    </row>
    <row r="9826" spans="1:8">
      <c r="A9826" s="34">
        <v>2084205752</v>
      </c>
      <c r="B9826" s="35" t="s">
        <v>462</v>
      </c>
      <c r="C9826" s="35" t="s">
        <v>2016</v>
      </c>
      <c r="D9826" s="35" t="s">
        <v>405</v>
      </c>
      <c r="E9826" s="35" t="s">
        <v>1199</v>
      </c>
      <c r="F9826" s="35" t="s">
        <v>10</v>
      </c>
      <c r="G9826" s="35" t="s">
        <v>493</v>
      </c>
    </row>
    <row r="9827" spans="1:8">
      <c r="A9827" s="34">
        <v>2084205749</v>
      </c>
      <c r="B9827" s="35" t="s">
        <v>462</v>
      </c>
      <c r="C9827" s="35" t="s">
        <v>2016</v>
      </c>
      <c r="D9827" s="35" t="s">
        <v>405</v>
      </c>
      <c r="E9827" s="35" t="s">
        <v>1199</v>
      </c>
      <c r="F9827" s="35" t="s">
        <v>10</v>
      </c>
      <c r="G9827" s="35" t="s">
        <v>397</v>
      </c>
    </row>
    <row r="9828" spans="1:8">
      <c r="A9828" s="34">
        <v>2084205751</v>
      </c>
      <c r="B9828" s="35" t="s">
        <v>462</v>
      </c>
      <c r="C9828" s="35" t="s">
        <v>2016</v>
      </c>
      <c r="D9828" s="35" t="s">
        <v>405</v>
      </c>
      <c r="E9828" s="35" t="s">
        <v>1199</v>
      </c>
      <c r="F9828" s="35" t="s">
        <v>10</v>
      </c>
      <c r="G9828" s="35" t="s">
        <v>421</v>
      </c>
    </row>
    <row r="9829" spans="1:8">
      <c r="A9829" s="34">
        <v>2084205748</v>
      </c>
      <c r="B9829" s="35" t="s">
        <v>462</v>
      </c>
      <c r="C9829" s="35" t="s">
        <v>2016</v>
      </c>
      <c r="D9829" s="35" t="s">
        <v>405</v>
      </c>
      <c r="E9829" s="35" t="s">
        <v>1199</v>
      </c>
      <c r="F9829" s="35" t="s">
        <v>10</v>
      </c>
      <c r="G9829" s="35" t="s">
        <v>398</v>
      </c>
    </row>
    <row r="9830" spans="1:8">
      <c r="A9830" s="34">
        <v>2084205750</v>
      </c>
      <c r="B9830" s="35" t="s">
        <v>462</v>
      </c>
      <c r="C9830" s="35" t="s">
        <v>2016</v>
      </c>
      <c r="D9830" s="35" t="s">
        <v>405</v>
      </c>
      <c r="E9830" s="35" t="s">
        <v>1199</v>
      </c>
      <c r="F9830" s="35" t="s">
        <v>10</v>
      </c>
      <c r="G9830" s="35" t="s">
        <v>422</v>
      </c>
    </row>
    <row r="9831" spans="1:8">
      <c r="A9831" s="34">
        <v>2084205753</v>
      </c>
      <c r="B9831" s="35" t="s">
        <v>462</v>
      </c>
      <c r="C9831" s="35" t="s">
        <v>2016</v>
      </c>
      <c r="D9831" s="35" t="s">
        <v>405</v>
      </c>
      <c r="E9831" s="35" t="s">
        <v>1199</v>
      </c>
      <c r="F9831" s="35" t="s">
        <v>10</v>
      </c>
      <c r="G9831" s="35" t="s">
        <v>335</v>
      </c>
    </row>
    <row r="9832" spans="1:8">
      <c r="A9832" s="34">
        <v>2084205755</v>
      </c>
      <c r="B9832" s="35" t="s">
        <v>462</v>
      </c>
      <c r="C9832" s="35" t="s">
        <v>2016</v>
      </c>
      <c r="D9832" s="35" t="s">
        <v>405</v>
      </c>
      <c r="E9832" s="35" t="s">
        <v>1199</v>
      </c>
      <c r="F9832" s="35" t="s">
        <v>379</v>
      </c>
      <c r="G9832" s="35" t="s">
        <v>476</v>
      </c>
    </row>
    <row r="9833" spans="1:8">
      <c r="A9833" s="34">
        <v>2084205756</v>
      </c>
      <c r="B9833" s="35" t="s">
        <v>462</v>
      </c>
      <c r="C9833" s="35" t="s">
        <v>2016</v>
      </c>
      <c r="D9833" s="35" t="s">
        <v>405</v>
      </c>
      <c r="E9833" s="35" t="s">
        <v>1199</v>
      </c>
      <c r="F9833" s="35" t="s">
        <v>379</v>
      </c>
      <c r="G9833" s="35" t="s">
        <v>335</v>
      </c>
    </row>
    <row r="9834" spans="1:8">
      <c r="A9834" s="34">
        <v>2084205757</v>
      </c>
      <c r="B9834" s="35" t="s">
        <v>462</v>
      </c>
      <c r="C9834" s="35" t="s">
        <v>2016</v>
      </c>
      <c r="D9834" s="35" t="s">
        <v>405</v>
      </c>
      <c r="E9834" s="35" t="s">
        <v>1199</v>
      </c>
      <c r="F9834" s="35" t="s">
        <v>478</v>
      </c>
    </row>
    <row r="9835" spans="1:8">
      <c r="A9835" s="34">
        <v>2084205758</v>
      </c>
      <c r="B9835" s="35" t="s">
        <v>462</v>
      </c>
      <c r="C9835" s="35" t="s">
        <v>2016</v>
      </c>
      <c r="D9835" s="35" t="s">
        <v>405</v>
      </c>
      <c r="E9835" s="35" t="s">
        <v>1199</v>
      </c>
      <c r="F9835" s="35" t="s">
        <v>335</v>
      </c>
    </row>
    <row r="9836" spans="1:8">
      <c r="A9836" s="34">
        <v>2084301241</v>
      </c>
      <c r="B9836" s="35" t="s">
        <v>462</v>
      </c>
      <c r="C9836" s="35" t="s">
        <v>2016</v>
      </c>
      <c r="D9836" s="35" t="s">
        <v>405</v>
      </c>
      <c r="E9836" s="35" t="s">
        <v>2056</v>
      </c>
    </row>
    <row r="9837" spans="1:8">
      <c r="A9837" s="34">
        <v>2084206917</v>
      </c>
      <c r="B9837" s="35" t="s">
        <v>462</v>
      </c>
      <c r="C9837" s="35" t="s">
        <v>2016</v>
      </c>
      <c r="D9837" s="35" t="s">
        <v>405</v>
      </c>
      <c r="E9837" s="35" t="s">
        <v>2057</v>
      </c>
      <c r="F9837" s="35" t="s">
        <v>2018</v>
      </c>
    </row>
    <row r="9838" spans="1:8">
      <c r="A9838" s="34">
        <v>2084206904</v>
      </c>
      <c r="B9838" s="35" t="s">
        <v>462</v>
      </c>
      <c r="C9838" s="35" t="s">
        <v>2016</v>
      </c>
      <c r="D9838" s="35" t="s">
        <v>405</v>
      </c>
      <c r="E9838" s="35" t="s">
        <v>2057</v>
      </c>
      <c r="F9838" s="35" t="s">
        <v>2025</v>
      </c>
      <c r="G9838" s="35" t="s">
        <v>401</v>
      </c>
    </row>
    <row r="9839" spans="1:8">
      <c r="A9839" s="34">
        <v>2084206910</v>
      </c>
      <c r="B9839" s="35" t="s">
        <v>462</v>
      </c>
      <c r="C9839" s="35" t="s">
        <v>2016</v>
      </c>
      <c r="D9839" s="35" t="s">
        <v>405</v>
      </c>
      <c r="E9839" s="35" t="s">
        <v>2057</v>
      </c>
      <c r="F9839" s="35" t="s">
        <v>2025</v>
      </c>
      <c r="G9839" s="35" t="s">
        <v>10</v>
      </c>
      <c r="H9839" s="35" t="s">
        <v>493</v>
      </c>
    </row>
    <row r="9840" spans="1:8">
      <c r="A9840" s="34">
        <v>2084206907</v>
      </c>
      <c r="B9840" s="35" t="s">
        <v>462</v>
      </c>
      <c r="C9840" s="35" t="s">
        <v>2016</v>
      </c>
      <c r="D9840" s="35" t="s">
        <v>405</v>
      </c>
      <c r="E9840" s="35" t="s">
        <v>2057</v>
      </c>
      <c r="F9840" s="35" t="s">
        <v>2025</v>
      </c>
      <c r="G9840" s="35" t="s">
        <v>10</v>
      </c>
      <c r="H9840" s="35" t="s">
        <v>397</v>
      </c>
    </row>
    <row r="9841" spans="1:8">
      <c r="A9841" s="34">
        <v>2084206909</v>
      </c>
      <c r="B9841" s="35" t="s">
        <v>462</v>
      </c>
      <c r="C9841" s="35" t="s">
        <v>2016</v>
      </c>
      <c r="D9841" s="35" t="s">
        <v>405</v>
      </c>
      <c r="E9841" s="35" t="s">
        <v>2057</v>
      </c>
      <c r="F9841" s="35" t="s">
        <v>2025</v>
      </c>
      <c r="G9841" s="35" t="s">
        <v>10</v>
      </c>
      <c r="H9841" s="35" t="s">
        <v>421</v>
      </c>
    </row>
    <row r="9842" spans="1:8">
      <c r="A9842" s="34">
        <v>2084206906</v>
      </c>
      <c r="B9842" s="35" t="s">
        <v>462</v>
      </c>
      <c r="C9842" s="35" t="s">
        <v>2016</v>
      </c>
      <c r="D9842" s="35" t="s">
        <v>405</v>
      </c>
      <c r="E9842" s="35" t="s">
        <v>2057</v>
      </c>
      <c r="F9842" s="35" t="s">
        <v>2025</v>
      </c>
      <c r="G9842" s="35" t="s">
        <v>10</v>
      </c>
      <c r="H9842" s="35" t="s">
        <v>398</v>
      </c>
    </row>
    <row r="9843" spans="1:8">
      <c r="A9843" s="34">
        <v>2084206908</v>
      </c>
      <c r="B9843" s="35" t="s">
        <v>462</v>
      </c>
      <c r="C9843" s="35" t="s">
        <v>2016</v>
      </c>
      <c r="D9843" s="35" t="s">
        <v>405</v>
      </c>
      <c r="E9843" s="35" t="s">
        <v>2057</v>
      </c>
      <c r="F9843" s="35" t="s">
        <v>2025</v>
      </c>
      <c r="G9843" s="35" t="s">
        <v>10</v>
      </c>
      <c r="H9843" s="35" t="s">
        <v>422</v>
      </c>
    </row>
    <row r="9844" spans="1:8">
      <c r="A9844" s="34">
        <v>2084206911</v>
      </c>
      <c r="B9844" s="35" t="s">
        <v>462</v>
      </c>
      <c r="C9844" s="35" t="s">
        <v>2016</v>
      </c>
      <c r="D9844" s="35" t="s">
        <v>405</v>
      </c>
      <c r="E9844" s="35" t="s">
        <v>2057</v>
      </c>
      <c r="F9844" s="35" t="s">
        <v>2025</v>
      </c>
      <c r="G9844" s="35" t="s">
        <v>10</v>
      </c>
      <c r="H9844" s="35" t="s">
        <v>335</v>
      </c>
    </row>
    <row r="9845" spans="1:8">
      <c r="A9845" s="34">
        <v>2084206913</v>
      </c>
      <c r="B9845" s="35" t="s">
        <v>462</v>
      </c>
      <c r="C9845" s="35" t="s">
        <v>2016</v>
      </c>
      <c r="D9845" s="35" t="s">
        <v>405</v>
      </c>
      <c r="E9845" s="35" t="s">
        <v>2057</v>
      </c>
      <c r="F9845" s="35" t="s">
        <v>2025</v>
      </c>
      <c r="G9845" s="35" t="s">
        <v>379</v>
      </c>
      <c r="H9845" s="35" t="s">
        <v>476</v>
      </c>
    </row>
    <row r="9846" spans="1:8">
      <c r="A9846" s="34">
        <v>2084206914</v>
      </c>
      <c r="B9846" s="35" t="s">
        <v>462</v>
      </c>
      <c r="C9846" s="35" t="s">
        <v>2016</v>
      </c>
      <c r="D9846" s="35" t="s">
        <v>405</v>
      </c>
      <c r="E9846" s="35" t="s">
        <v>2057</v>
      </c>
      <c r="F9846" s="35" t="s">
        <v>2025</v>
      </c>
      <c r="G9846" s="35" t="s">
        <v>379</v>
      </c>
      <c r="H9846" s="35" t="s">
        <v>335</v>
      </c>
    </row>
    <row r="9847" spans="1:8">
      <c r="A9847" s="34">
        <v>2084206915</v>
      </c>
      <c r="B9847" s="35" t="s">
        <v>462</v>
      </c>
      <c r="C9847" s="35" t="s">
        <v>2016</v>
      </c>
      <c r="D9847" s="35" t="s">
        <v>405</v>
      </c>
      <c r="E9847" s="35" t="s">
        <v>2057</v>
      </c>
      <c r="F9847" s="35" t="s">
        <v>2025</v>
      </c>
      <c r="G9847" s="35" t="s">
        <v>478</v>
      </c>
    </row>
    <row r="9848" spans="1:8">
      <c r="A9848" s="34">
        <v>2084206916</v>
      </c>
      <c r="B9848" s="35" t="s">
        <v>462</v>
      </c>
      <c r="C9848" s="35" t="s">
        <v>2016</v>
      </c>
      <c r="D9848" s="35" t="s">
        <v>405</v>
      </c>
      <c r="E9848" s="35" t="s">
        <v>2057</v>
      </c>
      <c r="F9848" s="35" t="s">
        <v>2025</v>
      </c>
      <c r="G9848" s="35" t="s">
        <v>335</v>
      </c>
    </row>
    <row r="9849" spans="1:8">
      <c r="A9849" s="34">
        <v>2084206918</v>
      </c>
      <c r="B9849" s="35" t="s">
        <v>462</v>
      </c>
      <c r="C9849" s="35" t="s">
        <v>2016</v>
      </c>
      <c r="D9849" s="35" t="s">
        <v>405</v>
      </c>
      <c r="E9849" s="35" t="s">
        <v>2057</v>
      </c>
      <c r="F9849" s="35" t="s">
        <v>335</v>
      </c>
    </row>
    <row r="9850" spans="1:8">
      <c r="A9850" s="34">
        <v>2084017767</v>
      </c>
      <c r="B9850" s="35" t="s">
        <v>462</v>
      </c>
      <c r="C9850" s="35" t="s">
        <v>2016</v>
      </c>
      <c r="D9850" s="35" t="s">
        <v>405</v>
      </c>
      <c r="E9850" s="35" t="s">
        <v>1182</v>
      </c>
      <c r="F9850" s="35" t="s">
        <v>2025</v>
      </c>
      <c r="G9850" s="35" t="s">
        <v>509</v>
      </c>
    </row>
    <row r="9851" spans="1:8">
      <c r="A9851" s="34">
        <v>2084017700</v>
      </c>
      <c r="B9851" s="35" t="s">
        <v>462</v>
      </c>
      <c r="C9851" s="35" t="s">
        <v>2016</v>
      </c>
      <c r="D9851" s="35" t="s">
        <v>405</v>
      </c>
      <c r="E9851" s="35" t="s">
        <v>1182</v>
      </c>
      <c r="F9851" s="35" t="s">
        <v>2025</v>
      </c>
      <c r="G9851" s="35" t="s">
        <v>481</v>
      </c>
    </row>
    <row r="9852" spans="1:8">
      <c r="A9852" s="34">
        <v>2084017318</v>
      </c>
      <c r="B9852" s="35" t="s">
        <v>462</v>
      </c>
      <c r="C9852" s="35" t="s">
        <v>2016</v>
      </c>
      <c r="D9852" s="35" t="s">
        <v>405</v>
      </c>
      <c r="E9852" s="35" t="s">
        <v>1182</v>
      </c>
      <c r="F9852" s="35" t="s">
        <v>2025</v>
      </c>
      <c r="G9852" s="35" t="s">
        <v>476</v>
      </c>
    </row>
    <row r="9853" spans="1:8">
      <c r="A9853" s="34">
        <v>2084017212</v>
      </c>
      <c r="B9853" s="35" t="s">
        <v>462</v>
      </c>
      <c r="C9853" s="35" t="s">
        <v>2016</v>
      </c>
      <c r="D9853" s="35" t="s">
        <v>405</v>
      </c>
      <c r="E9853" s="35" t="s">
        <v>1182</v>
      </c>
      <c r="F9853" s="35" t="s">
        <v>2025</v>
      </c>
      <c r="G9853" s="35" t="s">
        <v>493</v>
      </c>
    </row>
    <row r="9854" spans="1:8">
      <c r="A9854" s="34">
        <v>2084017334</v>
      </c>
      <c r="B9854" s="35" t="s">
        <v>462</v>
      </c>
      <c r="C9854" s="35" t="s">
        <v>2016</v>
      </c>
      <c r="D9854" s="35" t="s">
        <v>405</v>
      </c>
      <c r="E9854" s="35" t="s">
        <v>1182</v>
      </c>
      <c r="F9854" s="35" t="s">
        <v>2025</v>
      </c>
      <c r="G9854" s="35" t="s">
        <v>2026</v>
      </c>
    </row>
    <row r="9855" spans="1:8">
      <c r="A9855" s="34">
        <v>2084017429</v>
      </c>
      <c r="B9855" s="35" t="s">
        <v>462</v>
      </c>
      <c r="C9855" s="35" t="s">
        <v>2016</v>
      </c>
      <c r="D9855" s="35" t="s">
        <v>405</v>
      </c>
      <c r="E9855" s="35" t="s">
        <v>1182</v>
      </c>
      <c r="F9855" s="35" t="s">
        <v>2025</v>
      </c>
      <c r="G9855" s="35" t="s">
        <v>531</v>
      </c>
    </row>
    <row r="9856" spans="1:8">
      <c r="A9856" s="34">
        <v>2084019542</v>
      </c>
      <c r="B9856" s="35" t="s">
        <v>462</v>
      </c>
      <c r="C9856" s="35" t="s">
        <v>2016</v>
      </c>
      <c r="D9856" s="35" t="s">
        <v>405</v>
      </c>
      <c r="E9856" s="35" t="s">
        <v>1182</v>
      </c>
      <c r="F9856" s="35" t="s">
        <v>2025</v>
      </c>
      <c r="G9856" s="35" t="s">
        <v>532</v>
      </c>
    </row>
    <row r="9857" spans="1:7">
      <c r="A9857" s="34">
        <v>2084017740</v>
      </c>
      <c r="B9857" s="35" t="s">
        <v>462</v>
      </c>
      <c r="C9857" s="35" t="s">
        <v>2016</v>
      </c>
      <c r="D9857" s="35" t="s">
        <v>405</v>
      </c>
      <c r="E9857" s="35" t="s">
        <v>1182</v>
      </c>
      <c r="F9857" s="35" t="s">
        <v>2025</v>
      </c>
      <c r="G9857" s="35" t="s">
        <v>397</v>
      </c>
    </row>
    <row r="9858" spans="1:7">
      <c r="A9858" s="34">
        <v>2084017813</v>
      </c>
      <c r="B9858" s="35" t="s">
        <v>462</v>
      </c>
      <c r="C9858" s="35" t="s">
        <v>2016</v>
      </c>
      <c r="D9858" s="35" t="s">
        <v>405</v>
      </c>
      <c r="E9858" s="35" t="s">
        <v>1182</v>
      </c>
      <c r="F9858" s="35" t="s">
        <v>2025</v>
      </c>
      <c r="G9858" s="35" t="s">
        <v>515</v>
      </c>
    </row>
    <row r="9859" spans="1:7">
      <c r="A9859" s="34">
        <v>2084017791</v>
      </c>
      <c r="B9859" s="35" t="s">
        <v>462</v>
      </c>
      <c r="C9859" s="35" t="s">
        <v>2016</v>
      </c>
      <c r="D9859" s="35" t="s">
        <v>405</v>
      </c>
      <c r="E9859" s="35" t="s">
        <v>1182</v>
      </c>
      <c r="F9859" s="35" t="s">
        <v>2025</v>
      </c>
      <c r="G9859" s="35" t="s">
        <v>1445</v>
      </c>
    </row>
    <row r="9860" spans="1:7">
      <c r="A9860" s="34">
        <v>2084017716</v>
      </c>
      <c r="B9860" s="35" t="s">
        <v>462</v>
      </c>
      <c r="C9860" s="35" t="s">
        <v>2016</v>
      </c>
      <c r="D9860" s="35" t="s">
        <v>405</v>
      </c>
      <c r="E9860" s="35" t="s">
        <v>1182</v>
      </c>
      <c r="F9860" s="35" t="s">
        <v>2025</v>
      </c>
      <c r="G9860" s="35" t="s">
        <v>398</v>
      </c>
    </row>
    <row r="9861" spans="1:7">
      <c r="A9861" s="34">
        <v>2084017861</v>
      </c>
      <c r="B9861" s="35" t="s">
        <v>462</v>
      </c>
      <c r="C9861" s="35" t="s">
        <v>2016</v>
      </c>
      <c r="D9861" s="35" t="s">
        <v>405</v>
      </c>
      <c r="E9861" s="35" t="s">
        <v>1182</v>
      </c>
      <c r="F9861" s="35" t="s">
        <v>2027</v>
      </c>
      <c r="G9861" s="35" t="s">
        <v>1069</v>
      </c>
    </row>
    <row r="9862" spans="1:7">
      <c r="A9862" s="34">
        <v>2084018103</v>
      </c>
      <c r="B9862" s="35" t="s">
        <v>462</v>
      </c>
      <c r="C9862" s="35" t="s">
        <v>2016</v>
      </c>
      <c r="D9862" s="35" t="s">
        <v>405</v>
      </c>
      <c r="E9862" s="35" t="s">
        <v>1182</v>
      </c>
      <c r="F9862" s="35" t="s">
        <v>2027</v>
      </c>
      <c r="G9862" s="35" t="s">
        <v>495</v>
      </c>
    </row>
    <row r="9863" spans="1:7">
      <c r="A9863" s="34">
        <v>2084017870</v>
      </c>
      <c r="B9863" s="35" t="s">
        <v>462</v>
      </c>
      <c r="C9863" s="35" t="s">
        <v>2016</v>
      </c>
      <c r="D9863" s="35" t="s">
        <v>405</v>
      </c>
      <c r="E9863" s="35" t="s">
        <v>1182</v>
      </c>
      <c r="F9863" s="35" t="s">
        <v>2027</v>
      </c>
      <c r="G9863" s="35" t="s">
        <v>545</v>
      </c>
    </row>
    <row r="9864" spans="1:7">
      <c r="A9864" s="34">
        <v>2084017834</v>
      </c>
      <c r="B9864" s="35" t="s">
        <v>462</v>
      </c>
      <c r="C9864" s="35" t="s">
        <v>2016</v>
      </c>
      <c r="D9864" s="35" t="s">
        <v>405</v>
      </c>
      <c r="E9864" s="35" t="s">
        <v>1182</v>
      </c>
      <c r="F9864" s="35" t="s">
        <v>2027</v>
      </c>
      <c r="G9864" s="35" t="s">
        <v>481</v>
      </c>
    </row>
    <row r="9865" spans="1:7">
      <c r="A9865" s="34">
        <v>2084018095</v>
      </c>
      <c r="B9865" s="35" t="s">
        <v>462</v>
      </c>
      <c r="C9865" s="35" t="s">
        <v>2016</v>
      </c>
      <c r="D9865" s="35" t="s">
        <v>405</v>
      </c>
      <c r="E9865" s="35" t="s">
        <v>1182</v>
      </c>
      <c r="F9865" s="35" t="s">
        <v>2027</v>
      </c>
      <c r="G9865" s="35" t="s">
        <v>493</v>
      </c>
    </row>
    <row r="9866" spans="1:7">
      <c r="A9866" s="34">
        <v>2084017978</v>
      </c>
      <c r="B9866" s="35" t="s">
        <v>462</v>
      </c>
      <c r="C9866" s="35" t="s">
        <v>2016</v>
      </c>
      <c r="D9866" s="35" t="s">
        <v>405</v>
      </c>
      <c r="E9866" s="35" t="s">
        <v>1182</v>
      </c>
      <c r="F9866" s="35" t="s">
        <v>2027</v>
      </c>
      <c r="G9866" s="35" t="s">
        <v>494</v>
      </c>
    </row>
    <row r="9867" spans="1:7">
      <c r="A9867" s="34">
        <v>2084018032</v>
      </c>
      <c r="B9867" s="35" t="s">
        <v>462</v>
      </c>
      <c r="C9867" s="35" t="s">
        <v>2016</v>
      </c>
      <c r="D9867" s="35" t="s">
        <v>405</v>
      </c>
      <c r="E9867" s="35" t="s">
        <v>1182</v>
      </c>
      <c r="F9867" s="35" t="s">
        <v>2027</v>
      </c>
      <c r="G9867" s="35" t="s">
        <v>397</v>
      </c>
    </row>
    <row r="9868" spans="1:7">
      <c r="A9868" s="34">
        <v>2084018068</v>
      </c>
      <c r="B9868" s="35" t="s">
        <v>462</v>
      </c>
      <c r="C9868" s="35" t="s">
        <v>2016</v>
      </c>
      <c r="D9868" s="35" t="s">
        <v>405</v>
      </c>
      <c r="E9868" s="35" t="s">
        <v>1182</v>
      </c>
      <c r="F9868" s="35" t="s">
        <v>2027</v>
      </c>
      <c r="G9868" s="35" t="s">
        <v>421</v>
      </c>
    </row>
    <row r="9869" spans="1:7">
      <c r="A9869" s="34">
        <v>2084018019</v>
      </c>
      <c r="B9869" s="35" t="s">
        <v>462</v>
      </c>
      <c r="C9869" s="35" t="s">
        <v>2016</v>
      </c>
      <c r="D9869" s="35" t="s">
        <v>405</v>
      </c>
      <c r="E9869" s="35" t="s">
        <v>1182</v>
      </c>
      <c r="F9869" s="35" t="s">
        <v>2027</v>
      </c>
      <c r="G9869" s="35" t="s">
        <v>398</v>
      </c>
    </row>
    <row r="9870" spans="1:7">
      <c r="A9870" s="34">
        <v>2084018050</v>
      </c>
      <c r="B9870" s="35" t="s">
        <v>462</v>
      </c>
      <c r="C9870" s="35" t="s">
        <v>2016</v>
      </c>
      <c r="D9870" s="35" t="s">
        <v>405</v>
      </c>
      <c r="E9870" s="35" t="s">
        <v>1182</v>
      </c>
      <c r="F9870" s="35" t="s">
        <v>2027</v>
      </c>
      <c r="G9870" s="35" t="s">
        <v>422</v>
      </c>
    </row>
    <row r="9871" spans="1:7">
      <c r="A9871" s="34">
        <v>2084298341</v>
      </c>
      <c r="B9871" s="35" t="s">
        <v>462</v>
      </c>
      <c r="C9871" s="35" t="s">
        <v>2016</v>
      </c>
      <c r="D9871" s="35" t="s">
        <v>405</v>
      </c>
      <c r="E9871" s="35" t="s">
        <v>1273</v>
      </c>
      <c r="F9871" s="35" t="s">
        <v>2019</v>
      </c>
    </row>
    <row r="9872" spans="1:7">
      <c r="A9872" s="34">
        <v>2084298340</v>
      </c>
      <c r="B9872" s="35" t="s">
        <v>462</v>
      </c>
      <c r="C9872" s="35" t="s">
        <v>2016</v>
      </c>
      <c r="D9872" s="35" t="s">
        <v>405</v>
      </c>
      <c r="E9872" s="35" t="s">
        <v>1273</v>
      </c>
      <c r="F9872" s="35" t="s">
        <v>2020</v>
      </c>
    </row>
    <row r="9873" spans="1:7">
      <c r="A9873" s="34">
        <v>2084017769</v>
      </c>
      <c r="B9873" s="35" t="s">
        <v>462</v>
      </c>
      <c r="C9873" s="35" t="s">
        <v>2016</v>
      </c>
      <c r="D9873" s="35" t="s">
        <v>405</v>
      </c>
      <c r="E9873" s="35" t="s">
        <v>2058</v>
      </c>
      <c r="F9873" s="35" t="s">
        <v>2025</v>
      </c>
      <c r="G9873" s="35" t="s">
        <v>509</v>
      </c>
    </row>
    <row r="9874" spans="1:7">
      <c r="A9874" s="34">
        <v>2084017285</v>
      </c>
      <c r="B9874" s="35" t="s">
        <v>462</v>
      </c>
      <c r="C9874" s="35" t="s">
        <v>2016</v>
      </c>
      <c r="D9874" s="35" t="s">
        <v>405</v>
      </c>
      <c r="E9874" s="35" t="s">
        <v>2058</v>
      </c>
      <c r="F9874" s="35" t="s">
        <v>2025</v>
      </c>
      <c r="G9874" s="35" t="s">
        <v>545</v>
      </c>
    </row>
    <row r="9875" spans="1:7">
      <c r="A9875" s="34">
        <v>2084017701</v>
      </c>
      <c r="B9875" s="35" t="s">
        <v>462</v>
      </c>
      <c r="C9875" s="35" t="s">
        <v>2016</v>
      </c>
      <c r="D9875" s="35" t="s">
        <v>405</v>
      </c>
      <c r="E9875" s="35" t="s">
        <v>2058</v>
      </c>
      <c r="F9875" s="35" t="s">
        <v>2025</v>
      </c>
      <c r="G9875" s="35" t="s">
        <v>481</v>
      </c>
    </row>
    <row r="9876" spans="1:7">
      <c r="A9876" s="34">
        <v>2084017319</v>
      </c>
      <c r="B9876" s="35" t="s">
        <v>462</v>
      </c>
      <c r="C9876" s="35" t="s">
        <v>2016</v>
      </c>
      <c r="D9876" s="35" t="s">
        <v>405</v>
      </c>
      <c r="E9876" s="35" t="s">
        <v>2058</v>
      </c>
      <c r="F9876" s="35" t="s">
        <v>2025</v>
      </c>
      <c r="G9876" s="35" t="s">
        <v>476</v>
      </c>
    </row>
    <row r="9877" spans="1:7">
      <c r="A9877" s="34">
        <v>2084017213</v>
      </c>
      <c r="B9877" s="35" t="s">
        <v>462</v>
      </c>
      <c r="C9877" s="35" t="s">
        <v>2016</v>
      </c>
      <c r="D9877" s="35" t="s">
        <v>405</v>
      </c>
      <c r="E9877" s="35" t="s">
        <v>2058</v>
      </c>
      <c r="F9877" s="35" t="s">
        <v>2025</v>
      </c>
      <c r="G9877" s="35" t="s">
        <v>493</v>
      </c>
    </row>
    <row r="9878" spans="1:7">
      <c r="A9878" s="34">
        <v>2084017335</v>
      </c>
      <c r="B9878" s="35" t="s">
        <v>462</v>
      </c>
      <c r="C9878" s="35" t="s">
        <v>2016</v>
      </c>
      <c r="D9878" s="35" t="s">
        <v>405</v>
      </c>
      <c r="E9878" s="35" t="s">
        <v>2058</v>
      </c>
      <c r="F9878" s="35" t="s">
        <v>2025</v>
      </c>
      <c r="G9878" s="35" t="s">
        <v>2026</v>
      </c>
    </row>
    <row r="9879" spans="1:7">
      <c r="A9879" s="34">
        <v>2084017430</v>
      </c>
      <c r="B9879" s="35" t="s">
        <v>462</v>
      </c>
      <c r="C9879" s="35" t="s">
        <v>2016</v>
      </c>
      <c r="D9879" s="35" t="s">
        <v>405</v>
      </c>
      <c r="E9879" s="35" t="s">
        <v>2058</v>
      </c>
      <c r="F9879" s="35" t="s">
        <v>2025</v>
      </c>
      <c r="G9879" s="35" t="s">
        <v>531</v>
      </c>
    </row>
    <row r="9880" spans="1:7">
      <c r="A9880" s="34">
        <v>2084017671</v>
      </c>
      <c r="B9880" s="35" t="s">
        <v>462</v>
      </c>
      <c r="C9880" s="35" t="s">
        <v>2016</v>
      </c>
      <c r="D9880" s="35" t="s">
        <v>405</v>
      </c>
      <c r="E9880" s="35" t="s">
        <v>2058</v>
      </c>
      <c r="F9880" s="35" t="s">
        <v>2025</v>
      </c>
      <c r="G9880" s="35" t="s">
        <v>532</v>
      </c>
    </row>
    <row r="9881" spans="1:7">
      <c r="A9881" s="34">
        <v>2084017741</v>
      </c>
      <c r="B9881" s="35" t="s">
        <v>462</v>
      </c>
      <c r="C9881" s="35" t="s">
        <v>2016</v>
      </c>
      <c r="D9881" s="35" t="s">
        <v>405</v>
      </c>
      <c r="E9881" s="35" t="s">
        <v>2058</v>
      </c>
      <c r="F9881" s="35" t="s">
        <v>2025</v>
      </c>
      <c r="G9881" s="35" t="s">
        <v>397</v>
      </c>
    </row>
    <row r="9882" spans="1:7">
      <c r="A9882" s="34">
        <v>2084017814</v>
      </c>
      <c r="B9882" s="35" t="s">
        <v>462</v>
      </c>
      <c r="C9882" s="35" t="s">
        <v>2016</v>
      </c>
      <c r="D9882" s="35" t="s">
        <v>405</v>
      </c>
      <c r="E9882" s="35" t="s">
        <v>2058</v>
      </c>
      <c r="F9882" s="35" t="s">
        <v>2025</v>
      </c>
      <c r="G9882" s="35" t="s">
        <v>515</v>
      </c>
    </row>
    <row r="9883" spans="1:7">
      <c r="A9883" s="34">
        <v>2084017792</v>
      </c>
      <c r="B9883" s="35" t="s">
        <v>462</v>
      </c>
      <c r="C9883" s="35" t="s">
        <v>2016</v>
      </c>
      <c r="D9883" s="35" t="s">
        <v>405</v>
      </c>
      <c r="E9883" s="35" t="s">
        <v>2058</v>
      </c>
      <c r="F9883" s="35" t="s">
        <v>2025</v>
      </c>
      <c r="G9883" s="35" t="s">
        <v>1445</v>
      </c>
    </row>
    <row r="9884" spans="1:7">
      <c r="A9884" s="34">
        <v>2084017717</v>
      </c>
      <c r="B9884" s="35" t="s">
        <v>462</v>
      </c>
      <c r="C9884" s="35" t="s">
        <v>2016</v>
      </c>
      <c r="D9884" s="35" t="s">
        <v>405</v>
      </c>
      <c r="E9884" s="35" t="s">
        <v>2058</v>
      </c>
      <c r="F9884" s="35" t="s">
        <v>2025</v>
      </c>
      <c r="G9884" s="35" t="s">
        <v>398</v>
      </c>
    </row>
    <row r="9885" spans="1:7">
      <c r="A9885" s="34">
        <v>2084017845</v>
      </c>
      <c r="B9885" s="35" t="s">
        <v>462</v>
      </c>
      <c r="C9885" s="35" t="s">
        <v>2016</v>
      </c>
      <c r="D9885" s="35" t="s">
        <v>405</v>
      </c>
      <c r="E9885" s="35" t="s">
        <v>2058</v>
      </c>
      <c r="F9885" s="35" t="s">
        <v>2027</v>
      </c>
      <c r="G9885" s="35" t="s">
        <v>1069</v>
      </c>
    </row>
    <row r="9886" spans="1:7">
      <c r="A9886" s="34">
        <v>2084018104</v>
      </c>
      <c r="B9886" s="35" t="s">
        <v>462</v>
      </c>
      <c r="C9886" s="35" t="s">
        <v>2016</v>
      </c>
      <c r="D9886" s="35" t="s">
        <v>405</v>
      </c>
      <c r="E9886" s="35" t="s">
        <v>2058</v>
      </c>
      <c r="F9886" s="35" t="s">
        <v>2027</v>
      </c>
      <c r="G9886" s="35" t="s">
        <v>495</v>
      </c>
    </row>
    <row r="9887" spans="1:7">
      <c r="A9887" s="34">
        <v>2084017871</v>
      </c>
      <c r="B9887" s="35" t="s">
        <v>462</v>
      </c>
      <c r="C9887" s="35" t="s">
        <v>2016</v>
      </c>
      <c r="D9887" s="35" t="s">
        <v>405</v>
      </c>
      <c r="E9887" s="35" t="s">
        <v>2058</v>
      </c>
      <c r="F9887" s="35" t="s">
        <v>2027</v>
      </c>
      <c r="G9887" s="35" t="s">
        <v>545</v>
      </c>
    </row>
    <row r="9888" spans="1:7">
      <c r="A9888" s="34">
        <v>2084017835</v>
      </c>
      <c r="B9888" s="35" t="s">
        <v>462</v>
      </c>
      <c r="C9888" s="35" t="s">
        <v>2016</v>
      </c>
      <c r="D9888" s="35" t="s">
        <v>405</v>
      </c>
      <c r="E9888" s="35" t="s">
        <v>2058</v>
      </c>
      <c r="F9888" s="35" t="s">
        <v>2027</v>
      </c>
      <c r="G9888" s="35" t="s">
        <v>481</v>
      </c>
    </row>
    <row r="9889" spans="1:7">
      <c r="A9889" s="34">
        <v>2084018078</v>
      </c>
      <c r="B9889" s="35" t="s">
        <v>462</v>
      </c>
      <c r="C9889" s="35" t="s">
        <v>2016</v>
      </c>
      <c r="D9889" s="35" t="s">
        <v>405</v>
      </c>
      <c r="E9889" s="35" t="s">
        <v>2058</v>
      </c>
      <c r="F9889" s="35" t="s">
        <v>2027</v>
      </c>
      <c r="G9889" s="35" t="s">
        <v>493</v>
      </c>
    </row>
    <row r="9890" spans="1:7">
      <c r="A9890" s="34">
        <v>2084017979</v>
      </c>
      <c r="B9890" s="35" t="s">
        <v>462</v>
      </c>
      <c r="C9890" s="35" t="s">
        <v>2016</v>
      </c>
      <c r="D9890" s="35" t="s">
        <v>405</v>
      </c>
      <c r="E9890" s="35" t="s">
        <v>2058</v>
      </c>
      <c r="F9890" s="35" t="s">
        <v>2027</v>
      </c>
      <c r="G9890" s="35" t="s">
        <v>494</v>
      </c>
    </row>
    <row r="9891" spans="1:7">
      <c r="A9891" s="34">
        <v>2084018033</v>
      </c>
      <c r="B9891" s="35" t="s">
        <v>462</v>
      </c>
      <c r="C9891" s="35" t="s">
        <v>2016</v>
      </c>
      <c r="D9891" s="35" t="s">
        <v>405</v>
      </c>
      <c r="E9891" s="35" t="s">
        <v>2058</v>
      </c>
      <c r="F9891" s="35" t="s">
        <v>2027</v>
      </c>
      <c r="G9891" s="35" t="s">
        <v>397</v>
      </c>
    </row>
    <row r="9892" spans="1:7">
      <c r="A9892" s="34">
        <v>2084018069</v>
      </c>
      <c r="B9892" s="35" t="s">
        <v>462</v>
      </c>
      <c r="C9892" s="35" t="s">
        <v>2016</v>
      </c>
      <c r="D9892" s="35" t="s">
        <v>405</v>
      </c>
      <c r="E9892" s="35" t="s">
        <v>2058</v>
      </c>
      <c r="F9892" s="35" t="s">
        <v>2027</v>
      </c>
      <c r="G9892" s="35" t="s">
        <v>421</v>
      </c>
    </row>
    <row r="9893" spans="1:7">
      <c r="A9893" s="34">
        <v>2084018020</v>
      </c>
      <c r="B9893" s="35" t="s">
        <v>462</v>
      </c>
      <c r="C9893" s="35" t="s">
        <v>2016</v>
      </c>
      <c r="D9893" s="35" t="s">
        <v>405</v>
      </c>
      <c r="E9893" s="35" t="s">
        <v>2058</v>
      </c>
      <c r="F9893" s="35" t="s">
        <v>2027</v>
      </c>
      <c r="G9893" s="35" t="s">
        <v>398</v>
      </c>
    </row>
    <row r="9894" spans="1:7">
      <c r="A9894" s="34">
        <v>2084018051</v>
      </c>
      <c r="B9894" s="35" t="s">
        <v>462</v>
      </c>
      <c r="C9894" s="35" t="s">
        <v>2016</v>
      </c>
      <c r="D9894" s="35" t="s">
        <v>405</v>
      </c>
      <c r="E9894" s="35" t="s">
        <v>2058</v>
      </c>
      <c r="F9894" s="35" t="s">
        <v>2027</v>
      </c>
      <c r="G9894" s="35" t="s">
        <v>422</v>
      </c>
    </row>
    <row r="9895" spans="1:7">
      <c r="A9895" s="34">
        <v>2084048747</v>
      </c>
      <c r="B9895" s="35" t="s">
        <v>462</v>
      </c>
      <c r="C9895" s="35" t="s">
        <v>2016</v>
      </c>
      <c r="D9895" s="35" t="s">
        <v>405</v>
      </c>
      <c r="E9895" s="35" t="s">
        <v>2058</v>
      </c>
      <c r="F9895" s="35" t="s">
        <v>335</v>
      </c>
    </row>
    <row r="9896" spans="1:7">
      <c r="A9896" s="34">
        <v>2084017770</v>
      </c>
      <c r="B9896" s="35" t="s">
        <v>462</v>
      </c>
      <c r="C9896" s="35" t="s">
        <v>2016</v>
      </c>
      <c r="D9896" s="35" t="s">
        <v>405</v>
      </c>
      <c r="E9896" s="35" t="s">
        <v>1253</v>
      </c>
      <c r="F9896" s="35" t="s">
        <v>2025</v>
      </c>
      <c r="G9896" s="35" t="s">
        <v>509</v>
      </c>
    </row>
    <row r="9897" spans="1:7">
      <c r="A9897" s="34">
        <v>2084017702</v>
      </c>
      <c r="B9897" s="35" t="s">
        <v>462</v>
      </c>
      <c r="C9897" s="35" t="s">
        <v>2016</v>
      </c>
      <c r="D9897" s="35" t="s">
        <v>405</v>
      </c>
      <c r="E9897" s="35" t="s">
        <v>1253</v>
      </c>
      <c r="F9897" s="35" t="s">
        <v>2025</v>
      </c>
      <c r="G9897" s="35" t="s">
        <v>481</v>
      </c>
    </row>
    <row r="9898" spans="1:7">
      <c r="A9898" s="34">
        <v>2084017320</v>
      </c>
      <c r="B9898" s="35" t="s">
        <v>462</v>
      </c>
      <c r="C9898" s="35" t="s">
        <v>2016</v>
      </c>
      <c r="D9898" s="35" t="s">
        <v>405</v>
      </c>
      <c r="E9898" s="35" t="s">
        <v>1253</v>
      </c>
      <c r="F9898" s="35" t="s">
        <v>2025</v>
      </c>
      <c r="G9898" s="35" t="s">
        <v>476</v>
      </c>
    </row>
    <row r="9899" spans="1:7">
      <c r="A9899" s="34">
        <v>2084017214</v>
      </c>
      <c r="B9899" s="35" t="s">
        <v>462</v>
      </c>
      <c r="C9899" s="35" t="s">
        <v>2016</v>
      </c>
      <c r="D9899" s="35" t="s">
        <v>405</v>
      </c>
      <c r="E9899" s="35" t="s">
        <v>1253</v>
      </c>
      <c r="F9899" s="35" t="s">
        <v>2025</v>
      </c>
      <c r="G9899" s="35" t="s">
        <v>493</v>
      </c>
    </row>
    <row r="9900" spans="1:7">
      <c r="A9900" s="34">
        <v>2084017228</v>
      </c>
      <c r="B9900" s="35" t="s">
        <v>462</v>
      </c>
      <c r="C9900" s="35" t="s">
        <v>2016</v>
      </c>
      <c r="D9900" s="35" t="s">
        <v>405</v>
      </c>
      <c r="E9900" s="35" t="s">
        <v>1253</v>
      </c>
      <c r="F9900" s="35" t="s">
        <v>2025</v>
      </c>
      <c r="G9900" s="35" t="s">
        <v>2032</v>
      </c>
    </row>
    <row r="9901" spans="1:7">
      <c r="A9901" s="34">
        <v>2084017260</v>
      </c>
      <c r="B9901" s="35" t="s">
        <v>462</v>
      </c>
      <c r="C9901" s="35" t="s">
        <v>2016</v>
      </c>
      <c r="D9901" s="35" t="s">
        <v>405</v>
      </c>
      <c r="E9901" s="35" t="s">
        <v>1253</v>
      </c>
      <c r="F9901" s="35" t="s">
        <v>2025</v>
      </c>
      <c r="G9901" s="35" t="s">
        <v>2045</v>
      </c>
    </row>
    <row r="9902" spans="1:7">
      <c r="A9902" s="34">
        <v>2084017336</v>
      </c>
      <c r="B9902" s="35" t="s">
        <v>462</v>
      </c>
      <c r="C9902" s="35" t="s">
        <v>2016</v>
      </c>
      <c r="D9902" s="35" t="s">
        <v>405</v>
      </c>
      <c r="E9902" s="35" t="s">
        <v>1253</v>
      </c>
      <c r="F9902" s="35" t="s">
        <v>2025</v>
      </c>
      <c r="G9902" s="35" t="s">
        <v>2026</v>
      </c>
    </row>
    <row r="9903" spans="1:7">
      <c r="A9903" s="34">
        <v>2084017431</v>
      </c>
      <c r="B9903" s="35" t="s">
        <v>462</v>
      </c>
      <c r="C9903" s="35" t="s">
        <v>2016</v>
      </c>
      <c r="D9903" s="35" t="s">
        <v>405</v>
      </c>
      <c r="E9903" s="35" t="s">
        <v>1253</v>
      </c>
      <c r="F9903" s="35" t="s">
        <v>2025</v>
      </c>
      <c r="G9903" s="35" t="s">
        <v>531</v>
      </c>
    </row>
    <row r="9904" spans="1:7">
      <c r="A9904" s="34">
        <v>2084007361</v>
      </c>
      <c r="B9904" s="35" t="s">
        <v>462</v>
      </c>
      <c r="C9904" s="35" t="s">
        <v>2016</v>
      </c>
      <c r="D9904" s="35" t="s">
        <v>405</v>
      </c>
      <c r="E9904" s="35" t="s">
        <v>1253</v>
      </c>
      <c r="F9904" s="35" t="s">
        <v>2025</v>
      </c>
      <c r="G9904" s="35" t="s">
        <v>532</v>
      </c>
    </row>
    <row r="9905" spans="1:7">
      <c r="A9905" s="34">
        <v>2084017742</v>
      </c>
      <c r="B9905" s="35" t="s">
        <v>462</v>
      </c>
      <c r="C9905" s="35" t="s">
        <v>2016</v>
      </c>
      <c r="D9905" s="35" t="s">
        <v>405</v>
      </c>
      <c r="E9905" s="35" t="s">
        <v>1253</v>
      </c>
      <c r="F9905" s="35" t="s">
        <v>2025</v>
      </c>
      <c r="G9905" s="35" t="s">
        <v>397</v>
      </c>
    </row>
    <row r="9906" spans="1:7">
      <c r="A9906" s="34">
        <v>2084017815</v>
      </c>
      <c r="B9906" s="35" t="s">
        <v>462</v>
      </c>
      <c r="C9906" s="35" t="s">
        <v>2016</v>
      </c>
      <c r="D9906" s="35" t="s">
        <v>405</v>
      </c>
      <c r="E9906" s="35" t="s">
        <v>1253</v>
      </c>
      <c r="F9906" s="35" t="s">
        <v>2025</v>
      </c>
      <c r="G9906" s="35" t="s">
        <v>515</v>
      </c>
    </row>
    <row r="9907" spans="1:7">
      <c r="A9907" s="34">
        <v>2084017794</v>
      </c>
      <c r="B9907" s="35" t="s">
        <v>462</v>
      </c>
      <c r="C9907" s="35" t="s">
        <v>2016</v>
      </c>
      <c r="D9907" s="35" t="s">
        <v>405</v>
      </c>
      <c r="E9907" s="35" t="s">
        <v>1253</v>
      </c>
      <c r="F9907" s="35" t="s">
        <v>2025</v>
      </c>
      <c r="G9907" s="35" t="s">
        <v>1445</v>
      </c>
    </row>
    <row r="9908" spans="1:7">
      <c r="A9908" s="34">
        <v>2084017718</v>
      </c>
      <c r="B9908" s="35" t="s">
        <v>462</v>
      </c>
      <c r="C9908" s="35" t="s">
        <v>2016</v>
      </c>
      <c r="D9908" s="35" t="s">
        <v>405</v>
      </c>
      <c r="E9908" s="35" t="s">
        <v>1253</v>
      </c>
      <c r="F9908" s="35" t="s">
        <v>2025</v>
      </c>
      <c r="G9908" s="35" t="s">
        <v>398</v>
      </c>
    </row>
    <row r="9909" spans="1:7">
      <c r="A9909" s="34">
        <v>2084017846</v>
      </c>
      <c r="B9909" s="35" t="s">
        <v>462</v>
      </c>
      <c r="C9909" s="35" t="s">
        <v>2016</v>
      </c>
      <c r="D9909" s="35" t="s">
        <v>405</v>
      </c>
      <c r="E9909" s="35" t="s">
        <v>1253</v>
      </c>
      <c r="F9909" s="35" t="s">
        <v>2027</v>
      </c>
      <c r="G9909" s="35" t="s">
        <v>1069</v>
      </c>
    </row>
    <row r="9910" spans="1:7">
      <c r="A9910" s="34">
        <v>2084018105</v>
      </c>
      <c r="B9910" s="35" t="s">
        <v>462</v>
      </c>
      <c r="C9910" s="35" t="s">
        <v>2016</v>
      </c>
      <c r="D9910" s="35" t="s">
        <v>405</v>
      </c>
      <c r="E9910" s="35" t="s">
        <v>1253</v>
      </c>
      <c r="F9910" s="35" t="s">
        <v>2027</v>
      </c>
      <c r="G9910" s="35" t="s">
        <v>495</v>
      </c>
    </row>
    <row r="9911" spans="1:7">
      <c r="A9911" s="34">
        <v>2084017872</v>
      </c>
      <c r="B9911" s="35" t="s">
        <v>462</v>
      </c>
      <c r="C9911" s="35" t="s">
        <v>2016</v>
      </c>
      <c r="D9911" s="35" t="s">
        <v>405</v>
      </c>
      <c r="E9911" s="35" t="s">
        <v>1253</v>
      </c>
      <c r="F9911" s="35" t="s">
        <v>2027</v>
      </c>
      <c r="G9911" s="35" t="s">
        <v>545</v>
      </c>
    </row>
    <row r="9912" spans="1:7">
      <c r="A9912" s="34">
        <v>2084017836</v>
      </c>
      <c r="B9912" s="35" t="s">
        <v>462</v>
      </c>
      <c r="C9912" s="35" t="s">
        <v>2016</v>
      </c>
      <c r="D9912" s="35" t="s">
        <v>405</v>
      </c>
      <c r="E9912" s="35" t="s">
        <v>1253</v>
      </c>
      <c r="F9912" s="35" t="s">
        <v>2027</v>
      </c>
      <c r="G9912" s="35" t="s">
        <v>481</v>
      </c>
    </row>
    <row r="9913" spans="1:7">
      <c r="A9913" s="34">
        <v>2084018079</v>
      </c>
      <c r="B9913" s="35" t="s">
        <v>462</v>
      </c>
      <c r="C9913" s="35" t="s">
        <v>2016</v>
      </c>
      <c r="D9913" s="35" t="s">
        <v>405</v>
      </c>
      <c r="E9913" s="35" t="s">
        <v>1253</v>
      </c>
      <c r="F9913" s="35" t="s">
        <v>2027</v>
      </c>
      <c r="G9913" s="35" t="s">
        <v>493</v>
      </c>
    </row>
    <row r="9914" spans="1:7">
      <c r="A9914" s="34">
        <v>2084017980</v>
      </c>
      <c r="B9914" s="35" t="s">
        <v>462</v>
      </c>
      <c r="C9914" s="35" t="s">
        <v>2016</v>
      </c>
      <c r="D9914" s="35" t="s">
        <v>405</v>
      </c>
      <c r="E9914" s="35" t="s">
        <v>1253</v>
      </c>
      <c r="F9914" s="35" t="s">
        <v>2027</v>
      </c>
      <c r="G9914" s="35" t="s">
        <v>494</v>
      </c>
    </row>
    <row r="9915" spans="1:7">
      <c r="A9915" s="34">
        <v>2084018034</v>
      </c>
      <c r="B9915" s="35" t="s">
        <v>462</v>
      </c>
      <c r="C9915" s="35" t="s">
        <v>2016</v>
      </c>
      <c r="D9915" s="35" t="s">
        <v>405</v>
      </c>
      <c r="E9915" s="35" t="s">
        <v>1253</v>
      </c>
      <c r="F9915" s="35" t="s">
        <v>2027</v>
      </c>
      <c r="G9915" s="35" t="s">
        <v>397</v>
      </c>
    </row>
    <row r="9916" spans="1:7">
      <c r="A9916" s="34">
        <v>2084018070</v>
      </c>
      <c r="B9916" s="35" t="s">
        <v>462</v>
      </c>
      <c r="C9916" s="35" t="s">
        <v>2016</v>
      </c>
      <c r="D9916" s="35" t="s">
        <v>405</v>
      </c>
      <c r="E9916" s="35" t="s">
        <v>1253</v>
      </c>
      <c r="F9916" s="35" t="s">
        <v>2027</v>
      </c>
      <c r="G9916" s="35" t="s">
        <v>421</v>
      </c>
    </row>
    <row r="9917" spans="1:7">
      <c r="A9917" s="34">
        <v>2084018006</v>
      </c>
      <c r="B9917" s="35" t="s">
        <v>462</v>
      </c>
      <c r="C9917" s="35" t="s">
        <v>2016</v>
      </c>
      <c r="D9917" s="35" t="s">
        <v>405</v>
      </c>
      <c r="E9917" s="35" t="s">
        <v>1253</v>
      </c>
      <c r="F9917" s="35" t="s">
        <v>2027</v>
      </c>
      <c r="G9917" s="35" t="s">
        <v>398</v>
      </c>
    </row>
    <row r="9918" spans="1:7">
      <c r="A9918" s="34">
        <v>2084018052</v>
      </c>
      <c r="B9918" s="35" t="s">
        <v>462</v>
      </c>
      <c r="C9918" s="35" t="s">
        <v>2016</v>
      </c>
      <c r="D9918" s="35" t="s">
        <v>405</v>
      </c>
      <c r="E9918" s="35" t="s">
        <v>1253</v>
      </c>
      <c r="F9918" s="35" t="s">
        <v>2027</v>
      </c>
      <c r="G9918" s="35" t="s">
        <v>422</v>
      </c>
    </row>
    <row r="9919" spans="1:7">
      <c r="A9919" s="34">
        <v>2084297782</v>
      </c>
      <c r="B9919" s="35" t="s">
        <v>462</v>
      </c>
      <c r="C9919" s="35" t="s">
        <v>2016</v>
      </c>
      <c r="D9919" s="35" t="s">
        <v>405</v>
      </c>
      <c r="E9919" s="35" t="s">
        <v>2059</v>
      </c>
      <c r="F9919" s="35" t="s">
        <v>2018</v>
      </c>
    </row>
    <row r="9920" spans="1:7">
      <c r="A9920" s="34">
        <v>2084017771</v>
      </c>
      <c r="B9920" s="35" t="s">
        <v>462</v>
      </c>
      <c r="C9920" s="35" t="s">
        <v>2016</v>
      </c>
      <c r="D9920" s="35" t="s">
        <v>405</v>
      </c>
      <c r="E9920" s="35" t="s">
        <v>2059</v>
      </c>
      <c r="F9920" s="35" t="s">
        <v>2025</v>
      </c>
      <c r="G9920" s="35" t="s">
        <v>509</v>
      </c>
    </row>
    <row r="9921" spans="1:7">
      <c r="A9921" s="34">
        <v>2084017703</v>
      </c>
      <c r="B9921" s="35" t="s">
        <v>462</v>
      </c>
      <c r="C9921" s="35" t="s">
        <v>2016</v>
      </c>
      <c r="D9921" s="35" t="s">
        <v>405</v>
      </c>
      <c r="E9921" s="35" t="s">
        <v>2059</v>
      </c>
      <c r="F9921" s="35" t="s">
        <v>2025</v>
      </c>
      <c r="G9921" s="35" t="s">
        <v>481</v>
      </c>
    </row>
    <row r="9922" spans="1:7">
      <c r="A9922" s="34">
        <v>2084017321</v>
      </c>
      <c r="B9922" s="35" t="s">
        <v>462</v>
      </c>
      <c r="C9922" s="35" t="s">
        <v>2016</v>
      </c>
      <c r="D9922" s="35" t="s">
        <v>405</v>
      </c>
      <c r="E9922" s="35" t="s">
        <v>2059</v>
      </c>
      <c r="F9922" s="35" t="s">
        <v>2025</v>
      </c>
      <c r="G9922" s="35" t="s">
        <v>476</v>
      </c>
    </row>
    <row r="9923" spans="1:7">
      <c r="A9923" s="34">
        <v>2084017216</v>
      </c>
      <c r="B9923" s="35" t="s">
        <v>462</v>
      </c>
      <c r="C9923" s="35" t="s">
        <v>2016</v>
      </c>
      <c r="D9923" s="35" t="s">
        <v>405</v>
      </c>
      <c r="E9923" s="35" t="s">
        <v>2059</v>
      </c>
      <c r="F9923" s="35" t="s">
        <v>2025</v>
      </c>
      <c r="G9923" s="35" t="s">
        <v>493</v>
      </c>
    </row>
    <row r="9924" spans="1:7">
      <c r="A9924" s="34">
        <v>2084017261</v>
      </c>
      <c r="B9924" s="35" t="s">
        <v>462</v>
      </c>
      <c r="C9924" s="35" t="s">
        <v>2016</v>
      </c>
      <c r="D9924" s="35" t="s">
        <v>405</v>
      </c>
      <c r="E9924" s="35" t="s">
        <v>2059</v>
      </c>
      <c r="F9924" s="35" t="s">
        <v>2025</v>
      </c>
      <c r="G9924" s="35" t="s">
        <v>2045</v>
      </c>
    </row>
    <row r="9925" spans="1:7">
      <c r="A9925" s="34">
        <v>2084017229</v>
      </c>
      <c r="B9925" s="35" t="s">
        <v>462</v>
      </c>
      <c r="C9925" s="35" t="s">
        <v>2016</v>
      </c>
      <c r="D9925" s="35" t="s">
        <v>405</v>
      </c>
      <c r="E9925" s="35" t="s">
        <v>2059</v>
      </c>
      <c r="F9925" s="35" t="s">
        <v>2025</v>
      </c>
      <c r="G9925" s="35" t="s">
        <v>2060</v>
      </c>
    </row>
    <row r="9926" spans="1:7">
      <c r="A9926" s="34">
        <v>2084017337</v>
      </c>
      <c r="B9926" s="35" t="s">
        <v>462</v>
      </c>
      <c r="C9926" s="35" t="s">
        <v>2016</v>
      </c>
      <c r="D9926" s="35" t="s">
        <v>405</v>
      </c>
      <c r="E9926" s="35" t="s">
        <v>2059</v>
      </c>
      <c r="F9926" s="35" t="s">
        <v>2025</v>
      </c>
      <c r="G9926" s="35" t="s">
        <v>2026</v>
      </c>
    </row>
    <row r="9927" spans="1:7">
      <c r="A9927" s="34">
        <v>2084017432</v>
      </c>
      <c r="B9927" s="35" t="s">
        <v>462</v>
      </c>
      <c r="C9927" s="35" t="s">
        <v>2016</v>
      </c>
      <c r="D9927" s="35" t="s">
        <v>405</v>
      </c>
      <c r="E9927" s="35" t="s">
        <v>2059</v>
      </c>
      <c r="F9927" s="35" t="s">
        <v>2025</v>
      </c>
      <c r="G9927" s="35" t="s">
        <v>531</v>
      </c>
    </row>
    <row r="9928" spans="1:7">
      <c r="A9928" s="34">
        <v>2084007362</v>
      </c>
      <c r="B9928" s="35" t="s">
        <v>462</v>
      </c>
      <c r="C9928" s="35" t="s">
        <v>2016</v>
      </c>
      <c r="D9928" s="35" t="s">
        <v>405</v>
      </c>
      <c r="E9928" s="35" t="s">
        <v>2059</v>
      </c>
      <c r="F9928" s="35" t="s">
        <v>2025</v>
      </c>
      <c r="G9928" s="35" t="s">
        <v>532</v>
      </c>
    </row>
    <row r="9929" spans="1:7">
      <c r="A9929" s="34">
        <v>2084017743</v>
      </c>
      <c r="B9929" s="35" t="s">
        <v>462</v>
      </c>
      <c r="C9929" s="35" t="s">
        <v>2016</v>
      </c>
      <c r="D9929" s="35" t="s">
        <v>405</v>
      </c>
      <c r="E9929" s="35" t="s">
        <v>2059</v>
      </c>
      <c r="F9929" s="35" t="s">
        <v>2025</v>
      </c>
      <c r="G9929" s="35" t="s">
        <v>397</v>
      </c>
    </row>
    <row r="9930" spans="1:7">
      <c r="A9930" s="34">
        <v>2084017816</v>
      </c>
      <c r="B9930" s="35" t="s">
        <v>462</v>
      </c>
      <c r="C9930" s="35" t="s">
        <v>2016</v>
      </c>
      <c r="D9930" s="35" t="s">
        <v>405</v>
      </c>
      <c r="E9930" s="35" t="s">
        <v>2059</v>
      </c>
      <c r="F9930" s="35" t="s">
        <v>2025</v>
      </c>
      <c r="G9930" s="35" t="s">
        <v>515</v>
      </c>
    </row>
    <row r="9931" spans="1:7">
      <c r="A9931" s="34">
        <v>2084017795</v>
      </c>
      <c r="B9931" s="35" t="s">
        <v>462</v>
      </c>
      <c r="C9931" s="35" t="s">
        <v>2016</v>
      </c>
      <c r="D9931" s="35" t="s">
        <v>405</v>
      </c>
      <c r="E9931" s="35" t="s">
        <v>2059</v>
      </c>
      <c r="F9931" s="35" t="s">
        <v>2025</v>
      </c>
      <c r="G9931" s="35" t="s">
        <v>1445</v>
      </c>
    </row>
    <row r="9932" spans="1:7">
      <c r="A9932" s="34">
        <v>2084017720</v>
      </c>
      <c r="B9932" s="35" t="s">
        <v>462</v>
      </c>
      <c r="C9932" s="35" t="s">
        <v>2016</v>
      </c>
      <c r="D9932" s="35" t="s">
        <v>405</v>
      </c>
      <c r="E9932" s="35" t="s">
        <v>2059</v>
      </c>
      <c r="F9932" s="35" t="s">
        <v>2025</v>
      </c>
      <c r="G9932" s="35" t="s">
        <v>398</v>
      </c>
    </row>
    <row r="9933" spans="1:7">
      <c r="A9933" s="34">
        <v>2084017847</v>
      </c>
      <c r="B9933" s="35" t="s">
        <v>462</v>
      </c>
      <c r="C9933" s="35" t="s">
        <v>2016</v>
      </c>
      <c r="D9933" s="35" t="s">
        <v>405</v>
      </c>
      <c r="E9933" s="35" t="s">
        <v>2059</v>
      </c>
      <c r="F9933" s="35" t="s">
        <v>2027</v>
      </c>
      <c r="G9933" s="35" t="s">
        <v>1069</v>
      </c>
    </row>
    <row r="9934" spans="1:7">
      <c r="A9934" s="34">
        <v>2084018106</v>
      </c>
      <c r="B9934" s="35" t="s">
        <v>462</v>
      </c>
      <c r="C9934" s="35" t="s">
        <v>2016</v>
      </c>
      <c r="D9934" s="35" t="s">
        <v>405</v>
      </c>
      <c r="E9934" s="35" t="s">
        <v>2059</v>
      </c>
      <c r="F9934" s="35" t="s">
        <v>2027</v>
      </c>
      <c r="G9934" s="35" t="s">
        <v>495</v>
      </c>
    </row>
    <row r="9935" spans="1:7">
      <c r="A9935" s="34">
        <v>2084017873</v>
      </c>
      <c r="B9935" s="35" t="s">
        <v>462</v>
      </c>
      <c r="C9935" s="35" t="s">
        <v>2016</v>
      </c>
      <c r="D9935" s="35" t="s">
        <v>405</v>
      </c>
      <c r="E9935" s="35" t="s">
        <v>2059</v>
      </c>
      <c r="F9935" s="35" t="s">
        <v>2027</v>
      </c>
      <c r="G9935" s="35" t="s">
        <v>545</v>
      </c>
    </row>
    <row r="9936" spans="1:7">
      <c r="A9936" s="34">
        <v>2084017837</v>
      </c>
      <c r="B9936" s="35" t="s">
        <v>462</v>
      </c>
      <c r="C9936" s="35" t="s">
        <v>2016</v>
      </c>
      <c r="D9936" s="35" t="s">
        <v>405</v>
      </c>
      <c r="E9936" s="35" t="s">
        <v>2059</v>
      </c>
      <c r="F9936" s="35" t="s">
        <v>2027</v>
      </c>
      <c r="G9936" s="35" t="s">
        <v>481</v>
      </c>
    </row>
    <row r="9937" spans="1:8">
      <c r="A9937" s="34">
        <v>2084018080</v>
      </c>
      <c r="B9937" s="35" t="s">
        <v>462</v>
      </c>
      <c r="C9937" s="35" t="s">
        <v>2016</v>
      </c>
      <c r="D9937" s="35" t="s">
        <v>405</v>
      </c>
      <c r="E9937" s="35" t="s">
        <v>2059</v>
      </c>
      <c r="F9937" s="35" t="s">
        <v>2027</v>
      </c>
      <c r="G9937" s="35" t="s">
        <v>493</v>
      </c>
    </row>
    <row r="9938" spans="1:8">
      <c r="A9938" s="34">
        <v>2084017981</v>
      </c>
      <c r="B9938" s="35" t="s">
        <v>462</v>
      </c>
      <c r="C9938" s="35" t="s">
        <v>2016</v>
      </c>
      <c r="D9938" s="35" t="s">
        <v>405</v>
      </c>
      <c r="E9938" s="35" t="s">
        <v>2059</v>
      </c>
      <c r="F9938" s="35" t="s">
        <v>2027</v>
      </c>
      <c r="G9938" s="35" t="s">
        <v>494</v>
      </c>
    </row>
    <row r="9939" spans="1:8">
      <c r="A9939" s="34">
        <v>2084018035</v>
      </c>
      <c r="B9939" s="35" t="s">
        <v>462</v>
      </c>
      <c r="C9939" s="35" t="s">
        <v>2016</v>
      </c>
      <c r="D9939" s="35" t="s">
        <v>405</v>
      </c>
      <c r="E9939" s="35" t="s">
        <v>2059</v>
      </c>
      <c r="F9939" s="35" t="s">
        <v>2027</v>
      </c>
      <c r="G9939" s="35" t="s">
        <v>397</v>
      </c>
    </row>
    <row r="9940" spans="1:8">
      <c r="A9940" s="34">
        <v>2084018071</v>
      </c>
      <c r="B9940" s="35" t="s">
        <v>462</v>
      </c>
      <c r="C9940" s="35" t="s">
        <v>2016</v>
      </c>
      <c r="D9940" s="35" t="s">
        <v>405</v>
      </c>
      <c r="E9940" s="35" t="s">
        <v>2059</v>
      </c>
      <c r="F9940" s="35" t="s">
        <v>2027</v>
      </c>
      <c r="G9940" s="35" t="s">
        <v>421</v>
      </c>
    </row>
    <row r="9941" spans="1:8">
      <c r="A9941" s="34">
        <v>2084018007</v>
      </c>
      <c r="B9941" s="35" t="s">
        <v>462</v>
      </c>
      <c r="C9941" s="35" t="s">
        <v>2016</v>
      </c>
      <c r="D9941" s="35" t="s">
        <v>405</v>
      </c>
      <c r="E9941" s="35" t="s">
        <v>2059</v>
      </c>
      <c r="F9941" s="35" t="s">
        <v>2027</v>
      </c>
      <c r="G9941" s="35" t="s">
        <v>398</v>
      </c>
    </row>
    <row r="9942" spans="1:8">
      <c r="A9942" s="34">
        <v>2084018053</v>
      </c>
      <c r="B9942" s="35" t="s">
        <v>462</v>
      </c>
      <c r="C9942" s="35" t="s">
        <v>2016</v>
      </c>
      <c r="D9942" s="35" t="s">
        <v>405</v>
      </c>
      <c r="E9942" s="35" t="s">
        <v>2059</v>
      </c>
      <c r="F9942" s="35" t="s">
        <v>2027</v>
      </c>
      <c r="G9942" s="35" t="s">
        <v>422</v>
      </c>
    </row>
    <row r="9943" spans="1:8">
      <c r="A9943" s="34">
        <v>2084048760</v>
      </c>
      <c r="B9943" s="35" t="s">
        <v>462</v>
      </c>
      <c r="C9943" s="35" t="s">
        <v>2016</v>
      </c>
      <c r="D9943" s="35" t="s">
        <v>405</v>
      </c>
      <c r="E9943" s="35" t="s">
        <v>2059</v>
      </c>
      <c r="F9943" s="35" t="s">
        <v>335</v>
      </c>
    </row>
    <row r="9944" spans="1:8">
      <c r="A9944" s="34">
        <v>2084205929</v>
      </c>
      <c r="B9944" s="35" t="s">
        <v>462</v>
      </c>
      <c r="C9944" s="35" t="s">
        <v>2016</v>
      </c>
      <c r="D9944" s="35" t="s">
        <v>405</v>
      </c>
      <c r="E9944" s="35" t="s">
        <v>1262</v>
      </c>
      <c r="F9944" s="35" t="s">
        <v>2019</v>
      </c>
    </row>
    <row r="9945" spans="1:8">
      <c r="A9945" s="34">
        <v>2084205930</v>
      </c>
      <c r="B9945" s="35" t="s">
        <v>462</v>
      </c>
      <c r="C9945" s="35" t="s">
        <v>2016</v>
      </c>
      <c r="D9945" s="35" t="s">
        <v>405</v>
      </c>
      <c r="E9945" s="35" t="s">
        <v>1262</v>
      </c>
      <c r="F9945" s="35" t="s">
        <v>2020</v>
      </c>
    </row>
    <row r="9946" spans="1:8">
      <c r="A9946" s="34">
        <v>2084210456</v>
      </c>
      <c r="B9946" s="35" t="s">
        <v>462</v>
      </c>
      <c r="C9946" s="35" t="s">
        <v>2016</v>
      </c>
      <c r="D9946" s="35" t="s">
        <v>405</v>
      </c>
      <c r="E9946" s="35" t="s">
        <v>2061</v>
      </c>
      <c r="F9946" s="35" t="s">
        <v>2062</v>
      </c>
      <c r="G9946" s="35" t="s">
        <v>2063</v>
      </c>
    </row>
    <row r="9947" spans="1:8">
      <c r="A9947" s="34">
        <v>2084210457</v>
      </c>
      <c r="B9947" s="35" t="s">
        <v>462</v>
      </c>
      <c r="C9947" s="35" t="s">
        <v>2016</v>
      </c>
      <c r="D9947" s="35" t="s">
        <v>405</v>
      </c>
      <c r="E9947" s="35" t="s">
        <v>2061</v>
      </c>
      <c r="F9947" s="35" t="s">
        <v>2062</v>
      </c>
      <c r="G9947" s="35" t="s">
        <v>2064</v>
      </c>
    </row>
    <row r="9948" spans="1:8">
      <c r="A9948" s="34">
        <v>2084210458</v>
      </c>
      <c r="B9948" s="35" t="s">
        <v>462</v>
      </c>
      <c r="C9948" s="35" t="s">
        <v>2016</v>
      </c>
      <c r="D9948" s="35" t="s">
        <v>405</v>
      </c>
      <c r="E9948" s="35" t="s">
        <v>2061</v>
      </c>
      <c r="F9948" s="35" t="s">
        <v>2062</v>
      </c>
      <c r="G9948" s="35" t="s">
        <v>402</v>
      </c>
    </row>
    <row r="9949" spans="1:8">
      <c r="A9949" s="34">
        <v>2084210460</v>
      </c>
      <c r="B9949" s="35" t="s">
        <v>462</v>
      </c>
      <c r="C9949" s="35" t="s">
        <v>2016</v>
      </c>
      <c r="D9949" s="35" t="s">
        <v>405</v>
      </c>
      <c r="E9949" s="35" t="s">
        <v>2061</v>
      </c>
      <c r="F9949" s="35" t="s">
        <v>2062</v>
      </c>
      <c r="G9949" s="35" t="s">
        <v>379</v>
      </c>
      <c r="H9949" s="35" t="s">
        <v>476</v>
      </c>
    </row>
    <row r="9950" spans="1:8">
      <c r="A9950" s="34">
        <v>2084210461</v>
      </c>
      <c r="B9950" s="35" t="s">
        <v>462</v>
      </c>
      <c r="C9950" s="35" t="s">
        <v>2016</v>
      </c>
      <c r="D9950" s="35" t="s">
        <v>405</v>
      </c>
      <c r="E9950" s="35" t="s">
        <v>2061</v>
      </c>
      <c r="F9950" s="35" t="s">
        <v>2062</v>
      </c>
      <c r="G9950" s="35" t="s">
        <v>379</v>
      </c>
      <c r="H9950" s="35" t="s">
        <v>335</v>
      </c>
    </row>
    <row r="9951" spans="1:8">
      <c r="A9951" s="34">
        <v>2084210462</v>
      </c>
      <c r="B9951" s="35" t="s">
        <v>462</v>
      </c>
      <c r="C9951" s="35" t="s">
        <v>2016</v>
      </c>
      <c r="D9951" s="35" t="s">
        <v>405</v>
      </c>
      <c r="E9951" s="35" t="s">
        <v>2061</v>
      </c>
      <c r="F9951" s="35" t="s">
        <v>2062</v>
      </c>
      <c r="G9951" s="35" t="s">
        <v>335</v>
      </c>
    </row>
    <row r="9952" spans="1:8">
      <c r="A9952" s="34">
        <v>2084210400</v>
      </c>
      <c r="B9952" s="35" t="s">
        <v>462</v>
      </c>
      <c r="C9952" s="35" t="s">
        <v>2016</v>
      </c>
      <c r="D9952" s="35" t="s">
        <v>405</v>
      </c>
      <c r="E9952" s="35" t="s">
        <v>2061</v>
      </c>
      <c r="F9952" s="35" t="s">
        <v>2025</v>
      </c>
      <c r="G9952" s="35" t="s">
        <v>401</v>
      </c>
    </row>
    <row r="9953" spans="1:8">
      <c r="A9953" s="34">
        <v>2084210409</v>
      </c>
      <c r="B9953" s="35" t="s">
        <v>462</v>
      </c>
      <c r="C9953" s="35" t="s">
        <v>2016</v>
      </c>
      <c r="D9953" s="35" t="s">
        <v>405</v>
      </c>
      <c r="E9953" s="35" t="s">
        <v>2061</v>
      </c>
      <c r="F9953" s="35" t="s">
        <v>2025</v>
      </c>
      <c r="G9953" s="35" t="s">
        <v>10</v>
      </c>
      <c r="H9953" s="35" t="s">
        <v>493</v>
      </c>
    </row>
    <row r="9954" spans="1:8">
      <c r="A9954" s="34">
        <v>2084210403</v>
      </c>
      <c r="B9954" s="35" t="s">
        <v>462</v>
      </c>
      <c r="C9954" s="35" t="s">
        <v>2016</v>
      </c>
      <c r="D9954" s="35" t="s">
        <v>405</v>
      </c>
      <c r="E9954" s="35" t="s">
        <v>2061</v>
      </c>
      <c r="F9954" s="35" t="s">
        <v>2025</v>
      </c>
      <c r="G9954" s="35" t="s">
        <v>10</v>
      </c>
      <c r="H9954" s="35" t="s">
        <v>397</v>
      </c>
    </row>
    <row r="9955" spans="1:8">
      <c r="A9955" s="34">
        <v>2084210408</v>
      </c>
      <c r="B9955" s="35" t="s">
        <v>462</v>
      </c>
      <c r="C9955" s="35" t="s">
        <v>2016</v>
      </c>
      <c r="D9955" s="35" t="s">
        <v>405</v>
      </c>
      <c r="E9955" s="35" t="s">
        <v>2061</v>
      </c>
      <c r="F9955" s="35" t="s">
        <v>2025</v>
      </c>
      <c r="G9955" s="35" t="s">
        <v>10</v>
      </c>
      <c r="H9955" s="35" t="s">
        <v>421</v>
      </c>
    </row>
    <row r="9956" spans="1:8">
      <c r="A9956" s="34">
        <v>2084210402</v>
      </c>
      <c r="B9956" s="35" t="s">
        <v>462</v>
      </c>
      <c r="C9956" s="35" t="s">
        <v>2016</v>
      </c>
      <c r="D9956" s="35" t="s">
        <v>405</v>
      </c>
      <c r="E9956" s="35" t="s">
        <v>2061</v>
      </c>
      <c r="F9956" s="35" t="s">
        <v>2025</v>
      </c>
      <c r="G9956" s="35" t="s">
        <v>10</v>
      </c>
      <c r="H9956" s="35" t="s">
        <v>398</v>
      </c>
    </row>
    <row r="9957" spans="1:8">
      <c r="A9957" s="34">
        <v>2084210404</v>
      </c>
      <c r="B9957" s="35" t="s">
        <v>462</v>
      </c>
      <c r="C9957" s="35" t="s">
        <v>2016</v>
      </c>
      <c r="D9957" s="35" t="s">
        <v>405</v>
      </c>
      <c r="E9957" s="35" t="s">
        <v>2061</v>
      </c>
      <c r="F9957" s="35" t="s">
        <v>2025</v>
      </c>
      <c r="G9957" s="35" t="s">
        <v>10</v>
      </c>
      <c r="H9957" s="35" t="s">
        <v>422</v>
      </c>
    </row>
    <row r="9958" spans="1:8">
      <c r="A9958" s="34">
        <v>2084210410</v>
      </c>
      <c r="B9958" s="35" t="s">
        <v>462</v>
      </c>
      <c r="C9958" s="35" t="s">
        <v>2016</v>
      </c>
      <c r="D9958" s="35" t="s">
        <v>405</v>
      </c>
      <c r="E9958" s="35" t="s">
        <v>2061</v>
      </c>
      <c r="F9958" s="35" t="s">
        <v>2025</v>
      </c>
      <c r="G9958" s="35" t="s">
        <v>10</v>
      </c>
      <c r="H9958" s="35" t="s">
        <v>335</v>
      </c>
    </row>
    <row r="9959" spans="1:8">
      <c r="A9959" s="34">
        <v>2084210412</v>
      </c>
      <c r="B9959" s="35" t="s">
        <v>462</v>
      </c>
      <c r="C9959" s="35" t="s">
        <v>2016</v>
      </c>
      <c r="D9959" s="35" t="s">
        <v>405</v>
      </c>
      <c r="E9959" s="35" t="s">
        <v>2061</v>
      </c>
      <c r="F9959" s="35" t="s">
        <v>2025</v>
      </c>
      <c r="G9959" s="35" t="s">
        <v>379</v>
      </c>
      <c r="H9959" s="35" t="s">
        <v>476</v>
      </c>
    </row>
    <row r="9960" spans="1:8">
      <c r="A9960" s="34">
        <v>2084210413</v>
      </c>
      <c r="B9960" s="35" t="s">
        <v>462</v>
      </c>
      <c r="C9960" s="35" t="s">
        <v>2016</v>
      </c>
      <c r="D9960" s="35" t="s">
        <v>405</v>
      </c>
      <c r="E9960" s="35" t="s">
        <v>2061</v>
      </c>
      <c r="F9960" s="35" t="s">
        <v>2025</v>
      </c>
      <c r="G9960" s="35" t="s">
        <v>379</v>
      </c>
      <c r="H9960" s="35" t="s">
        <v>335</v>
      </c>
    </row>
    <row r="9961" spans="1:8">
      <c r="A9961" s="34">
        <v>2084210414</v>
      </c>
      <c r="B9961" s="35" t="s">
        <v>462</v>
      </c>
      <c r="C9961" s="35" t="s">
        <v>2016</v>
      </c>
      <c r="D9961" s="35" t="s">
        <v>405</v>
      </c>
      <c r="E9961" s="35" t="s">
        <v>2061</v>
      </c>
      <c r="F9961" s="35" t="s">
        <v>2025</v>
      </c>
      <c r="G9961" s="35" t="s">
        <v>478</v>
      </c>
    </row>
    <row r="9962" spans="1:8">
      <c r="A9962" s="34">
        <v>2084210415</v>
      </c>
      <c r="B9962" s="35" t="s">
        <v>462</v>
      </c>
      <c r="C9962" s="35" t="s">
        <v>2016</v>
      </c>
      <c r="D9962" s="35" t="s">
        <v>405</v>
      </c>
      <c r="E9962" s="35" t="s">
        <v>2061</v>
      </c>
      <c r="F9962" s="35" t="s">
        <v>2025</v>
      </c>
      <c r="G9962" s="35" t="s">
        <v>335</v>
      </c>
    </row>
    <row r="9963" spans="1:8">
      <c r="A9963" s="34">
        <v>2084210417</v>
      </c>
      <c r="B9963" s="35" t="s">
        <v>462</v>
      </c>
      <c r="C9963" s="35" t="s">
        <v>2016</v>
      </c>
      <c r="D9963" s="35" t="s">
        <v>405</v>
      </c>
      <c r="E9963" s="35" t="s">
        <v>2061</v>
      </c>
      <c r="F9963" s="35" t="s">
        <v>2027</v>
      </c>
      <c r="G9963" s="35" t="s">
        <v>401</v>
      </c>
    </row>
    <row r="9964" spans="1:8">
      <c r="A9964" s="34">
        <v>2084210451</v>
      </c>
      <c r="B9964" s="35" t="s">
        <v>462</v>
      </c>
      <c r="C9964" s="35" t="s">
        <v>2016</v>
      </c>
      <c r="D9964" s="35" t="s">
        <v>405</v>
      </c>
      <c r="E9964" s="35" t="s">
        <v>2061</v>
      </c>
      <c r="F9964" s="35" t="s">
        <v>2027</v>
      </c>
      <c r="G9964" s="35" t="s">
        <v>10</v>
      </c>
      <c r="H9964" s="35" t="s">
        <v>493</v>
      </c>
    </row>
    <row r="9965" spans="1:8">
      <c r="A9965" s="34">
        <v>2084210420</v>
      </c>
      <c r="B9965" s="35" t="s">
        <v>462</v>
      </c>
      <c r="C9965" s="35" t="s">
        <v>2016</v>
      </c>
      <c r="D9965" s="35" t="s">
        <v>405</v>
      </c>
      <c r="E9965" s="35" t="s">
        <v>2061</v>
      </c>
      <c r="F9965" s="35" t="s">
        <v>2027</v>
      </c>
      <c r="G9965" s="35" t="s">
        <v>10</v>
      </c>
      <c r="H9965" s="35" t="s">
        <v>397</v>
      </c>
    </row>
    <row r="9966" spans="1:8">
      <c r="A9966" s="34">
        <v>2084210450</v>
      </c>
      <c r="B9966" s="35" t="s">
        <v>462</v>
      </c>
      <c r="C9966" s="35" t="s">
        <v>2016</v>
      </c>
      <c r="D9966" s="35" t="s">
        <v>405</v>
      </c>
      <c r="E9966" s="35" t="s">
        <v>2061</v>
      </c>
      <c r="F9966" s="35" t="s">
        <v>2027</v>
      </c>
      <c r="G9966" s="35" t="s">
        <v>10</v>
      </c>
      <c r="H9966" s="35" t="s">
        <v>421</v>
      </c>
    </row>
    <row r="9967" spans="1:8">
      <c r="A9967" s="34">
        <v>2084210419</v>
      </c>
      <c r="B9967" s="35" t="s">
        <v>462</v>
      </c>
      <c r="C9967" s="35" t="s">
        <v>2016</v>
      </c>
      <c r="D9967" s="35" t="s">
        <v>405</v>
      </c>
      <c r="E9967" s="35" t="s">
        <v>2061</v>
      </c>
      <c r="F9967" s="35" t="s">
        <v>2027</v>
      </c>
      <c r="G9967" s="35" t="s">
        <v>10</v>
      </c>
      <c r="H9967" s="35" t="s">
        <v>398</v>
      </c>
    </row>
    <row r="9968" spans="1:8">
      <c r="A9968" s="34">
        <v>2084210449</v>
      </c>
      <c r="B9968" s="35" t="s">
        <v>462</v>
      </c>
      <c r="C9968" s="35" t="s">
        <v>2016</v>
      </c>
      <c r="D9968" s="35" t="s">
        <v>405</v>
      </c>
      <c r="E9968" s="35" t="s">
        <v>2061</v>
      </c>
      <c r="F9968" s="35" t="s">
        <v>2027</v>
      </c>
      <c r="G9968" s="35" t="s">
        <v>10</v>
      </c>
      <c r="H9968" s="35" t="s">
        <v>422</v>
      </c>
    </row>
    <row r="9969" spans="1:8">
      <c r="A9969" s="34">
        <v>2084210452</v>
      </c>
      <c r="B9969" s="35" t="s">
        <v>462</v>
      </c>
      <c r="C9969" s="35" t="s">
        <v>2016</v>
      </c>
      <c r="D9969" s="35" t="s">
        <v>405</v>
      </c>
      <c r="E9969" s="35" t="s">
        <v>2061</v>
      </c>
      <c r="F9969" s="35" t="s">
        <v>2027</v>
      </c>
      <c r="G9969" s="35" t="s">
        <v>10</v>
      </c>
      <c r="H9969" s="35" t="s">
        <v>335</v>
      </c>
    </row>
    <row r="9970" spans="1:8">
      <c r="A9970" s="34">
        <v>2084210453</v>
      </c>
      <c r="B9970" s="35" t="s">
        <v>462</v>
      </c>
      <c r="C9970" s="35" t="s">
        <v>2016</v>
      </c>
      <c r="D9970" s="35" t="s">
        <v>405</v>
      </c>
      <c r="E9970" s="35" t="s">
        <v>2061</v>
      </c>
      <c r="F9970" s="35" t="s">
        <v>2027</v>
      </c>
      <c r="G9970" s="35" t="s">
        <v>403</v>
      </c>
    </row>
    <row r="9971" spans="1:8">
      <c r="A9971" s="34">
        <v>2084210454</v>
      </c>
      <c r="B9971" s="35" t="s">
        <v>462</v>
      </c>
      <c r="C9971" s="35" t="s">
        <v>2016</v>
      </c>
      <c r="D9971" s="35" t="s">
        <v>405</v>
      </c>
      <c r="E9971" s="35" t="s">
        <v>2061</v>
      </c>
      <c r="F9971" s="35" t="s">
        <v>2027</v>
      </c>
      <c r="G9971" s="35" t="s">
        <v>335</v>
      </c>
    </row>
    <row r="9972" spans="1:8">
      <c r="A9972" s="34">
        <v>2084210463</v>
      </c>
      <c r="B9972" s="35" t="s">
        <v>462</v>
      </c>
      <c r="C9972" s="35" t="s">
        <v>2016</v>
      </c>
      <c r="D9972" s="35" t="s">
        <v>405</v>
      </c>
      <c r="E9972" s="35" t="s">
        <v>2061</v>
      </c>
      <c r="F9972" s="35" t="s">
        <v>335</v>
      </c>
    </row>
    <row r="9973" spans="1:8">
      <c r="A9973" s="34">
        <v>2084205424</v>
      </c>
      <c r="B9973" s="35" t="s">
        <v>462</v>
      </c>
      <c r="C9973" s="35" t="s">
        <v>2016</v>
      </c>
      <c r="D9973" s="35" t="s">
        <v>405</v>
      </c>
      <c r="E9973" s="35" t="s">
        <v>2065</v>
      </c>
      <c r="F9973" s="35" t="s">
        <v>2019</v>
      </c>
    </row>
    <row r="9974" spans="1:8">
      <c r="A9974" s="34">
        <v>2084205426</v>
      </c>
      <c r="B9974" s="35" t="s">
        <v>462</v>
      </c>
      <c r="C9974" s="35" t="s">
        <v>2016</v>
      </c>
      <c r="D9974" s="35" t="s">
        <v>405</v>
      </c>
      <c r="E9974" s="35" t="s">
        <v>2065</v>
      </c>
      <c r="F9974" s="35" t="s">
        <v>2027</v>
      </c>
      <c r="G9974" s="35" t="s">
        <v>401</v>
      </c>
    </row>
    <row r="9975" spans="1:8">
      <c r="A9975" s="34">
        <v>2084205432</v>
      </c>
      <c r="B9975" s="35" t="s">
        <v>462</v>
      </c>
      <c r="C9975" s="35" t="s">
        <v>2016</v>
      </c>
      <c r="D9975" s="35" t="s">
        <v>405</v>
      </c>
      <c r="E9975" s="35" t="s">
        <v>2065</v>
      </c>
      <c r="F9975" s="35" t="s">
        <v>2027</v>
      </c>
      <c r="G9975" s="35" t="s">
        <v>10</v>
      </c>
      <c r="H9975" s="35" t="s">
        <v>493</v>
      </c>
    </row>
    <row r="9976" spans="1:8">
      <c r="A9976" s="34">
        <v>2084205429</v>
      </c>
      <c r="B9976" s="35" t="s">
        <v>462</v>
      </c>
      <c r="C9976" s="35" t="s">
        <v>2016</v>
      </c>
      <c r="D9976" s="35" t="s">
        <v>405</v>
      </c>
      <c r="E9976" s="35" t="s">
        <v>2065</v>
      </c>
      <c r="F9976" s="35" t="s">
        <v>2027</v>
      </c>
      <c r="G9976" s="35" t="s">
        <v>10</v>
      </c>
      <c r="H9976" s="35" t="s">
        <v>397</v>
      </c>
    </row>
    <row r="9977" spans="1:8">
      <c r="A9977" s="34">
        <v>2084205431</v>
      </c>
      <c r="B9977" s="35" t="s">
        <v>462</v>
      </c>
      <c r="C9977" s="35" t="s">
        <v>2016</v>
      </c>
      <c r="D9977" s="35" t="s">
        <v>405</v>
      </c>
      <c r="E9977" s="35" t="s">
        <v>2065</v>
      </c>
      <c r="F9977" s="35" t="s">
        <v>2027</v>
      </c>
      <c r="G9977" s="35" t="s">
        <v>10</v>
      </c>
      <c r="H9977" s="35" t="s">
        <v>421</v>
      </c>
    </row>
    <row r="9978" spans="1:8">
      <c r="A9978" s="34">
        <v>2084205428</v>
      </c>
      <c r="B9978" s="35" t="s">
        <v>462</v>
      </c>
      <c r="C9978" s="35" t="s">
        <v>2016</v>
      </c>
      <c r="D9978" s="35" t="s">
        <v>405</v>
      </c>
      <c r="E9978" s="35" t="s">
        <v>2065</v>
      </c>
      <c r="F9978" s="35" t="s">
        <v>2027</v>
      </c>
      <c r="G9978" s="35" t="s">
        <v>10</v>
      </c>
      <c r="H9978" s="35" t="s">
        <v>398</v>
      </c>
    </row>
    <row r="9979" spans="1:8">
      <c r="A9979" s="34">
        <v>2084205430</v>
      </c>
      <c r="B9979" s="35" t="s">
        <v>462</v>
      </c>
      <c r="C9979" s="35" t="s">
        <v>2016</v>
      </c>
      <c r="D9979" s="35" t="s">
        <v>405</v>
      </c>
      <c r="E9979" s="35" t="s">
        <v>2065</v>
      </c>
      <c r="F9979" s="35" t="s">
        <v>2027</v>
      </c>
      <c r="G9979" s="35" t="s">
        <v>10</v>
      </c>
      <c r="H9979" s="35" t="s">
        <v>422</v>
      </c>
    </row>
    <row r="9980" spans="1:8">
      <c r="A9980" s="34">
        <v>2084205433</v>
      </c>
      <c r="B9980" s="35" t="s">
        <v>462</v>
      </c>
      <c r="C9980" s="35" t="s">
        <v>2016</v>
      </c>
      <c r="D9980" s="35" t="s">
        <v>405</v>
      </c>
      <c r="E9980" s="35" t="s">
        <v>2065</v>
      </c>
      <c r="F9980" s="35" t="s">
        <v>2027</v>
      </c>
      <c r="G9980" s="35" t="s">
        <v>10</v>
      </c>
      <c r="H9980" s="35" t="s">
        <v>335</v>
      </c>
    </row>
    <row r="9981" spans="1:8">
      <c r="A9981" s="34">
        <v>2084205434</v>
      </c>
      <c r="B9981" s="35" t="s">
        <v>462</v>
      </c>
      <c r="C9981" s="35" t="s">
        <v>2016</v>
      </c>
      <c r="D9981" s="35" t="s">
        <v>405</v>
      </c>
      <c r="E9981" s="35" t="s">
        <v>2065</v>
      </c>
      <c r="F9981" s="35" t="s">
        <v>2027</v>
      </c>
      <c r="G9981" s="35" t="s">
        <v>403</v>
      </c>
    </row>
    <row r="9982" spans="1:8">
      <c r="A9982" s="34">
        <v>2084205435</v>
      </c>
      <c r="B9982" s="35" t="s">
        <v>462</v>
      </c>
      <c r="C9982" s="35" t="s">
        <v>2016</v>
      </c>
      <c r="D9982" s="35" t="s">
        <v>405</v>
      </c>
      <c r="E9982" s="35" t="s">
        <v>2065</v>
      </c>
      <c r="F9982" s="35" t="s">
        <v>2027</v>
      </c>
      <c r="G9982" s="35" t="s">
        <v>335</v>
      </c>
    </row>
    <row r="9983" spans="1:8">
      <c r="A9983" s="34">
        <v>2084205436</v>
      </c>
      <c r="B9983" s="35" t="s">
        <v>462</v>
      </c>
      <c r="C9983" s="35" t="s">
        <v>2016</v>
      </c>
      <c r="D9983" s="35" t="s">
        <v>405</v>
      </c>
      <c r="E9983" s="35" t="s">
        <v>2065</v>
      </c>
      <c r="F9983" s="35" t="s">
        <v>335</v>
      </c>
    </row>
    <row r="9984" spans="1:8">
      <c r="A9984" s="34">
        <v>2084017764</v>
      </c>
      <c r="B9984" s="35" t="s">
        <v>462</v>
      </c>
      <c r="C9984" s="35" t="s">
        <v>2016</v>
      </c>
      <c r="D9984" s="35" t="s">
        <v>405</v>
      </c>
      <c r="E9984" s="35" t="s">
        <v>2066</v>
      </c>
      <c r="F9984" s="35" t="s">
        <v>2025</v>
      </c>
      <c r="G9984" s="35" t="s">
        <v>509</v>
      </c>
    </row>
    <row r="9985" spans="1:7">
      <c r="A9985" s="34">
        <v>2084017698</v>
      </c>
      <c r="B9985" s="35" t="s">
        <v>462</v>
      </c>
      <c r="C9985" s="35" t="s">
        <v>2016</v>
      </c>
      <c r="D9985" s="35" t="s">
        <v>405</v>
      </c>
      <c r="E9985" s="35" t="s">
        <v>2066</v>
      </c>
      <c r="F9985" s="35" t="s">
        <v>2025</v>
      </c>
      <c r="G9985" s="35" t="s">
        <v>481</v>
      </c>
    </row>
    <row r="9986" spans="1:7">
      <c r="A9986" s="34">
        <v>2084017316</v>
      </c>
      <c r="B9986" s="35" t="s">
        <v>462</v>
      </c>
      <c r="C9986" s="35" t="s">
        <v>2016</v>
      </c>
      <c r="D9986" s="35" t="s">
        <v>405</v>
      </c>
      <c r="E9986" s="35" t="s">
        <v>2066</v>
      </c>
      <c r="F9986" s="35" t="s">
        <v>2025</v>
      </c>
      <c r="G9986" s="35" t="s">
        <v>476</v>
      </c>
    </row>
    <row r="9987" spans="1:7">
      <c r="A9987" s="34">
        <v>2084017209</v>
      </c>
      <c r="B9987" s="35" t="s">
        <v>462</v>
      </c>
      <c r="C9987" s="35" t="s">
        <v>2016</v>
      </c>
      <c r="D9987" s="35" t="s">
        <v>405</v>
      </c>
      <c r="E9987" s="35" t="s">
        <v>2066</v>
      </c>
      <c r="F9987" s="35" t="s">
        <v>2025</v>
      </c>
      <c r="G9987" s="35" t="s">
        <v>493</v>
      </c>
    </row>
    <row r="9988" spans="1:7">
      <c r="A9988" s="34">
        <v>2084017332</v>
      </c>
      <c r="B9988" s="35" t="s">
        <v>462</v>
      </c>
      <c r="C9988" s="35" t="s">
        <v>2016</v>
      </c>
      <c r="D9988" s="35" t="s">
        <v>405</v>
      </c>
      <c r="E9988" s="35" t="s">
        <v>2066</v>
      </c>
      <c r="F9988" s="35" t="s">
        <v>2025</v>
      </c>
      <c r="G9988" s="35" t="s">
        <v>2026</v>
      </c>
    </row>
    <row r="9989" spans="1:7">
      <c r="A9989" s="34">
        <v>2084017425</v>
      </c>
      <c r="B9989" s="35" t="s">
        <v>462</v>
      </c>
      <c r="C9989" s="35" t="s">
        <v>2016</v>
      </c>
      <c r="D9989" s="35" t="s">
        <v>405</v>
      </c>
      <c r="E9989" s="35" t="s">
        <v>2066</v>
      </c>
      <c r="F9989" s="35" t="s">
        <v>2025</v>
      </c>
      <c r="G9989" s="35" t="s">
        <v>531</v>
      </c>
    </row>
    <row r="9990" spans="1:7">
      <c r="A9990" s="34">
        <v>2084017668</v>
      </c>
      <c r="B9990" s="35" t="s">
        <v>462</v>
      </c>
      <c r="C9990" s="35" t="s">
        <v>2016</v>
      </c>
      <c r="D9990" s="35" t="s">
        <v>405</v>
      </c>
      <c r="E9990" s="35" t="s">
        <v>2066</v>
      </c>
      <c r="F9990" s="35" t="s">
        <v>2025</v>
      </c>
      <c r="G9990" s="35" t="s">
        <v>532</v>
      </c>
    </row>
    <row r="9991" spans="1:7">
      <c r="A9991" s="34">
        <v>2084017738</v>
      </c>
      <c r="B9991" s="35" t="s">
        <v>462</v>
      </c>
      <c r="C9991" s="35" t="s">
        <v>2016</v>
      </c>
      <c r="D9991" s="35" t="s">
        <v>405</v>
      </c>
      <c r="E9991" s="35" t="s">
        <v>2066</v>
      </c>
      <c r="F9991" s="35" t="s">
        <v>2025</v>
      </c>
      <c r="G9991" s="35" t="s">
        <v>397</v>
      </c>
    </row>
    <row r="9992" spans="1:7">
      <c r="A9992" s="34">
        <v>2084017811</v>
      </c>
      <c r="B9992" s="35" t="s">
        <v>462</v>
      </c>
      <c r="C9992" s="35" t="s">
        <v>2016</v>
      </c>
      <c r="D9992" s="35" t="s">
        <v>405</v>
      </c>
      <c r="E9992" s="35" t="s">
        <v>2066</v>
      </c>
      <c r="F9992" s="35" t="s">
        <v>2025</v>
      </c>
      <c r="G9992" s="35" t="s">
        <v>515</v>
      </c>
    </row>
    <row r="9993" spans="1:7">
      <c r="A9993" s="34">
        <v>2084017789</v>
      </c>
      <c r="B9993" s="35" t="s">
        <v>462</v>
      </c>
      <c r="C9993" s="35" t="s">
        <v>2016</v>
      </c>
      <c r="D9993" s="35" t="s">
        <v>405</v>
      </c>
      <c r="E9993" s="35" t="s">
        <v>2066</v>
      </c>
      <c r="F9993" s="35" t="s">
        <v>2025</v>
      </c>
      <c r="G9993" s="35" t="s">
        <v>1445</v>
      </c>
    </row>
    <row r="9994" spans="1:7">
      <c r="A9994" s="34">
        <v>2084017713</v>
      </c>
      <c r="B9994" s="35" t="s">
        <v>462</v>
      </c>
      <c r="C9994" s="35" t="s">
        <v>2016</v>
      </c>
      <c r="D9994" s="35" t="s">
        <v>405</v>
      </c>
      <c r="E9994" s="35" t="s">
        <v>2066</v>
      </c>
      <c r="F9994" s="35" t="s">
        <v>2025</v>
      </c>
      <c r="G9994" s="35" t="s">
        <v>398</v>
      </c>
    </row>
    <row r="9995" spans="1:7">
      <c r="A9995" s="34">
        <v>2084017859</v>
      </c>
      <c r="B9995" s="35" t="s">
        <v>462</v>
      </c>
      <c r="C9995" s="35" t="s">
        <v>2016</v>
      </c>
      <c r="D9995" s="35" t="s">
        <v>405</v>
      </c>
      <c r="E9995" s="35" t="s">
        <v>2066</v>
      </c>
      <c r="F9995" s="35" t="s">
        <v>2027</v>
      </c>
      <c r="G9995" s="35" t="s">
        <v>1069</v>
      </c>
    </row>
    <row r="9996" spans="1:7">
      <c r="A9996" s="34">
        <v>2084018101</v>
      </c>
      <c r="B9996" s="35" t="s">
        <v>462</v>
      </c>
      <c r="C9996" s="35" t="s">
        <v>2016</v>
      </c>
      <c r="D9996" s="35" t="s">
        <v>405</v>
      </c>
      <c r="E9996" s="35" t="s">
        <v>2066</v>
      </c>
      <c r="F9996" s="35" t="s">
        <v>2027</v>
      </c>
      <c r="G9996" s="35" t="s">
        <v>495</v>
      </c>
    </row>
    <row r="9997" spans="1:7">
      <c r="A9997" s="34">
        <v>2084017868</v>
      </c>
      <c r="B9997" s="35" t="s">
        <v>462</v>
      </c>
      <c r="C9997" s="35" t="s">
        <v>2016</v>
      </c>
      <c r="D9997" s="35" t="s">
        <v>405</v>
      </c>
      <c r="E9997" s="35" t="s">
        <v>2066</v>
      </c>
      <c r="F9997" s="35" t="s">
        <v>2027</v>
      </c>
      <c r="G9997" s="35" t="s">
        <v>545</v>
      </c>
    </row>
    <row r="9998" spans="1:7">
      <c r="A9998" s="34">
        <v>2084017832</v>
      </c>
      <c r="B9998" s="35" t="s">
        <v>462</v>
      </c>
      <c r="C9998" s="35" t="s">
        <v>2016</v>
      </c>
      <c r="D9998" s="35" t="s">
        <v>405</v>
      </c>
      <c r="E9998" s="35" t="s">
        <v>2066</v>
      </c>
      <c r="F9998" s="35" t="s">
        <v>2027</v>
      </c>
      <c r="G9998" s="35" t="s">
        <v>481</v>
      </c>
    </row>
    <row r="9999" spans="1:7">
      <c r="A9999" s="34">
        <v>2084018093</v>
      </c>
      <c r="B9999" s="35" t="s">
        <v>462</v>
      </c>
      <c r="C9999" s="35" t="s">
        <v>2016</v>
      </c>
      <c r="D9999" s="35" t="s">
        <v>405</v>
      </c>
      <c r="E9999" s="35" t="s">
        <v>2066</v>
      </c>
      <c r="F9999" s="35" t="s">
        <v>2027</v>
      </c>
      <c r="G9999" s="35" t="s">
        <v>493</v>
      </c>
    </row>
    <row r="10000" spans="1:7">
      <c r="A10000" s="34">
        <v>2084017976</v>
      </c>
      <c r="B10000" s="35" t="s">
        <v>462</v>
      </c>
      <c r="C10000" s="35" t="s">
        <v>2016</v>
      </c>
      <c r="D10000" s="35" t="s">
        <v>405</v>
      </c>
      <c r="E10000" s="35" t="s">
        <v>2066</v>
      </c>
      <c r="F10000" s="35" t="s">
        <v>2027</v>
      </c>
      <c r="G10000" s="35" t="s">
        <v>494</v>
      </c>
    </row>
    <row r="10001" spans="1:7">
      <c r="A10001" s="34">
        <v>2084018030</v>
      </c>
      <c r="B10001" s="35" t="s">
        <v>462</v>
      </c>
      <c r="C10001" s="35" t="s">
        <v>2016</v>
      </c>
      <c r="D10001" s="35" t="s">
        <v>405</v>
      </c>
      <c r="E10001" s="35" t="s">
        <v>2066</v>
      </c>
      <c r="F10001" s="35" t="s">
        <v>2027</v>
      </c>
      <c r="G10001" s="35" t="s">
        <v>397</v>
      </c>
    </row>
    <row r="10002" spans="1:7">
      <c r="A10002" s="34">
        <v>2084018066</v>
      </c>
      <c r="B10002" s="35" t="s">
        <v>462</v>
      </c>
      <c r="C10002" s="35" t="s">
        <v>2016</v>
      </c>
      <c r="D10002" s="35" t="s">
        <v>405</v>
      </c>
      <c r="E10002" s="35" t="s">
        <v>2066</v>
      </c>
      <c r="F10002" s="35" t="s">
        <v>2027</v>
      </c>
      <c r="G10002" s="35" t="s">
        <v>421</v>
      </c>
    </row>
    <row r="10003" spans="1:7">
      <c r="A10003" s="34">
        <v>2084018017</v>
      </c>
      <c r="B10003" s="35" t="s">
        <v>462</v>
      </c>
      <c r="C10003" s="35" t="s">
        <v>2016</v>
      </c>
      <c r="D10003" s="35" t="s">
        <v>405</v>
      </c>
      <c r="E10003" s="35" t="s">
        <v>2066</v>
      </c>
      <c r="F10003" s="35" t="s">
        <v>2027</v>
      </c>
      <c r="G10003" s="35" t="s">
        <v>398</v>
      </c>
    </row>
    <row r="10004" spans="1:7">
      <c r="A10004" s="34">
        <v>2084018048</v>
      </c>
      <c r="B10004" s="35" t="s">
        <v>462</v>
      </c>
      <c r="C10004" s="35" t="s">
        <v>2016</v>
      </c>
      <c r="D10004" s="35" t="s">
        <v>405</v>
      </c>
      <c r="E10004" s="35" t="s">
        <v>2066</v>
      </c>
      <c r="F10004" s="35" t="s">
        <v>2027</v>
      </c>
      <c r="G10004" s="35" t="s">
        <v>422</v>
      </c>
    </row>
    <row r="10005" spans="1:7">
      <c r="A10005" s="34">
        <v>2084048689</v>
      </c>
      <c r="B10005" s="35" t="s">
        <v>462</v>
      </c>
      <c r="C10005" s="35" t="s">
        <v>2016</v>
      </c>
      <c r="D10005" s="35" t="s">
        <v>405</v>
      </c>
      <c r="E10005" s="35" t="s">
        <v>2066</v>
      </c>
      <c r="F10005" s="35" t="s">
        <v>335</v>
      </c>
    </row>
    <row r="10006" spans="1:7">
      <c r="A10006" s="34">
        <v>2084017772</v>
      </c>
      <c r="B10006" s="35" t="s">
        <v>462</v>
      </c>
      <c r="C10006" s="35" t="s">
        <v>2016</v>
      </c>
      <c r="D10006" s="35" t="s">
        <v>405</v>
      </c>
      <c r="E10006" s="35" t="s">
        <v>2067</v>
      </c>
      <c r="F10006" s="35" t="s">
        <v>2025</v>
      </c>
      <c r="G10006" s="35" t="s">
        <v>509</v>
      </c>
    </row>
    <row r="10007" spans="1:7">
      <c r="A10007" s="34">
        <v>2084017704</v>
      </c>
      <c r="B10007" s="35" t="s">
        <v>462</v>
      </c>
      <c r="C10007" s="35" t="s">
        <v>2016</v>
      </c>
      <c r="D10007" s="35" t="s">
        <v>405</v>
      </c>
      <c r="E10007" s="35" t="s">
        <v>2067</v>
      </c>
      <c r="F10007" s="35" t="s">
        <v>2025</v>
      </c>
      <c r="G10007" s="35" t="s">
        <v>481</v>
      </c>
    </row>
    <row r="10008" spans="1:7">
      <c r="A10008" s="34">
        <v>2084017305</v>
      </c>
      <c r="B10008" s="35" t="s">
        <v>462</v>
      </c>
      <c r="C10008" s="35" t="s">
        <v>2016</v>
      </c>
      <c r="D10008" s="35" t="s">
        <v>405</v>
      </c>
      <c r="E10008" s="35" t="s">
        <v>2067</v>
      </c>
      <c r="F10008" s="35" t="s">
        <v>2025</v>
      </c>
      <c r="G10008" s="35" t="s">
        <v>476</v>
      </c>
    </row>
    <row r="10009" spans="1:7">
      <c r="A10009" s="34">
        <v>2084017218</v>
      </c>
      <c r="B10009" s="35" t="s">
        <v>462</v>
      </c>
      <c r="C10009" s="35" t="s">
        <v>2016</v>
      </c>
      <c r="D10009" s="35" t="s">
        <v>405</v>
      </c>
      <c r="E10009" s="35" t="s">
        <v>2067</v>
      </c>
      <c r="F10009" s="35" t="s">
        <v>2025</v>
      </c>
      <c r="G10009" s="35" t="s">
        <v>493</v>
      </c>
    </row>
    <row r="10010" spans="1:7">
      <c r="A10010" s="34">
        <v>2084017338</v>
      </c>
      <c r="B10010" s="35" t="s">
        <v>462</v>
      </c>
      <c r="C10010" s="35" t="s">
        <v>2016</v>
      </c>
      <c r="D10010" s="35" t="s">
        <v>405</v>
      </c>
      <c r="E10010" s="35" t="s">
        <v>2067</v>
      </c>
      <c r="F10010" s="35" t="s">
        <v>2025</v>
      </c>
      <c r="G10010" s="35" t="s">
        <v>2026</v>
      </c>
    </row>
    <row r="10011" spans="1:7">
      <c r="A10011" s="34">
        <v>2084017433</v>
      </c>
      <c r="B10011" s="35" t="s">
        <v>462</v>
      </c>
      <c r="C10011" s="35" t="s">
        <v>2016</v>
      </c>
      <c r="D10011" s="35" t="s">
        <v>405</v>
      </c>
      <c r="E10011" s="35" t="s">
        <v>2067</v>
      </c>
      <c r="F10011" s="35" t="s">
        <v>2025</v>
      </c>
      <c r="G10011" s="35" t="s">
        <v>531</v>
      </c>
    </row>
    <row r="10012" spans="1:7">
      <c r="A10012" s="34">
        <v>2084017674</v>
      </c>
      <c r="B10012" s="35" t="s">
        <v>462</v>
      </c>
      <c r="C10012" s="35" t="s">
        <v>2016</v>
      </c>
      <c r="D10012" s="35" t="s">
        <v>405</v>
      </c>
      <c r="E10012" s="35" t="s">
        <v>2067</v>
      </c>
      <c r="F10012" s="35" t="s">
        <v>2025</v>
      </c>
      <c r="G10012" s="35" t="s">
        <v>532</v>
      </c>
    </row>
    <row r="10013" spans="1:7">
      <c r="A10013" s="34">
        <v>2084017744</v>
      </c>
      <c r="B10013" s="35" t="s">
        <v>462</v>
      </c>
      <c r="C10013" s="35" t="s">
        <v>2016</v>
      </c>
      <c r="D10013" s="35" t="s">
        <v>405</v>
      </c>
      <c r="E10013" s="35" t="s">
        <v>2067</v>
      </c>
      <c r="F10013" s="35" t="s">
        <v>2025</v>
      </c>
      <c r="G10013" s="35" t="s">
        <v>397</v>
      </c>
    </row>
    <row r="10014" spans="1:7">
      <c r="A10014" s="34">
        <v>2084017817</v>
      </c>
      <c r="B10014" s="35" t="s">
        <v>462</v>
      </c>
      <c r="C10014" s="35" t="s">
        <v>2016</v>
      </c>
      <c r="D10014" s="35" t="s">
        <v>405</v>
      </c>
      <c r="E10014" s="35" t="s">
        <v>2067</v>
      </c>
      <c r="F10014" s="35" t="s">
        <v>2025</v>
      </c>
      <c r="G10014" s="35" t="s">
        <v>515</v>
      </c>
    </row>
    <row r="10015" spans="1:7">
      <c r="A10015" s="34">
        <v>2084017796</v>
      </c>
      <c r="B10015" s="35" t="s">
        <v>462</v>
      </c>
      <c r="C10015" s="35" t="s">
        <v>2016</v>
      </c>
      <c r="D10015" s="35" t="s">
        <v>405</v>
      </c>
      <c r="E10015" s="35" t="s">
        <v>2067</v>
      </c>
      <c r="F10015" s="35" t="s">
        <v>2025</v>
      </c>
      <c r="G10015" s="35" t="s">
        <v>1445</v>
      </c>
    </row>
    <row r="10016" spans="1:7">
      <c r="A10016" s="34">
        <v>2084017722</v>
      </c>
      <c r="B10016" s="35" t="s">
        <v>462</v>
      </c>
      <c r="C10016" s="35" t="s">
        <v>2016</v>
      </c>
      <c r="D10016" s="35" t="s">
        <v>405</v>
      </c>
      <c r="E10016" s="35" t="s">
        <v>2067</v>
      </c>
      <c r="F10016" s="35" t="s">
        <v>2025</v>
      </c>
      <c r="G10016" s="35" t="s">
        <v>398</v>
      </c>
    </row>
    <row r="10017" spans="1:7">
      <c r="A10017" s="34">
        <v>2084018000</v>
      </c>
      <c r="B10017" s="35" t="s">
        <v>462</v>
      </c>
      <c r="C10017" s="35" t="s">
        <v>2016</v>
      </c>
      <c r="D10017" s="35" t="s">
        <v>405</v>
      </c>
      <c r="E10017" s="35" t="s">
        <v>2067</v>
      </c>
      <c r="F10017" s="35" t="s">
        <v>2020</v>
      </c>
    </row>
    <row r="10018" spans="1:7">
      <c r="A10018" s="34">
        <v>2084048769</v>
      </c>
      <c r="B10018" s="35" t="s">
        <v>462</v>
      </c>
      <c r="C10018" s="35" t="s">
        <v>2016</v>
      </c>
      <c r="D10018" s="35" t="s">
        <v>405</v>
      </c>
      <c r="E10018" s="35" t="s">
        <v>2067</v>
      </c>
      <c r="F10018" s="35" t="s">
        <v>335</v>
      </c>
    </row>
    <row r="10019" spans="1:7">
      <c r="A10019" s="34">
        <v>2084297919</v>
      </c>
      <c r="B10019" s="35" t="s">
        <v>462</v>
      </c>
      <c r="C10019" s="35" t="s">
        <v>2016</v>
      </c>
      <c r="D10019" s="35" t="s">
        <v>405</v>
      </c>
      <c r="E10019" s="35" t="s">
        <v>2068</v>
      </c>
    </row>
    <row r="10020" spans="1:7">
      <c r="A10020" s="34">
        <v>2084017773</v>
      </c>
      <c r="B10020" s="35" t="s">
        <v>462</v>
      </c>
      <c r="C10020" s="35" t="s">
        <v>2016</v>
      </c>
      <c r="D10020" s="35" t="s">
        <v>405</v>
      </c>
      <c r="E10020" s="35" t="s">
        <v>1323</v>
      </c>
      <c r="F10020" s="35" t="s">
        <v>2025</v>
      </c>
      <c r="G10020" s="35" t="s">
        <v>509</v>
      </c>
    </row>
    <row r="10021" spans="1:7">
      <c r="A10021" s="34">
        <v>2084017705</v>
      </c>
      <c r="B10021" s="35" t="s">
        <v>462</v>
      </c>
      <c r="C10021" s="35" t="s">
        <v>2016</v>
      </c>
      <c r="D10021" s="35" t="s">
        <v>405</v>
      </c>
      <c r="E10021" s="35" t="s">
        <v>1323</v>
      </c>
      <c r="F10021" s="35" t="s">
        <v>2025</v>
      </c>
      <c r="G10021" s="35" t="s">
        <v>481</v>
      </c>
    </row>
    <row r="10022" spans="1:7">
      <c r="A10022" s="34">
        <v>2084017306</v>
      </c>
      <c r="B10022" s="35" t="s">
        <v>462</v>
      </c>
      <c r="C10022" s="35" t="s">
        <v>2016</v>
      </c>
      <c r="D10022" s="35" t="s">
        <v>405</v>
      </c>
      <c r="E10022" s="35" t="s">
        <v>1323</v>
      </c>
      <c r="F10022" s="35" t="s">
        <v>2025</v>
      </c>
      <c r="G10022" s="35" t="s">
        <v>476</v>
      </c>
    </row>
    <row r="10023" spans="1:7">
      <c r="A10023" s="34">
        <v>2084017219</v>
      </c>
      <c r="B10023" s="35" t="s">
        <v>462</v>
      </c>
      <c r="C10023" s="35" t="s">
        <v>2016</v>
      </c>
      <c r="D10023" s="35" t="s">
        <v>405</v>
      </c>
      <c r="E10023" s="35" t="s">
        <v>1323</v>
      </c>
      <c r="F10023" s="35" t="s">
        <v>2025</v>
      </c>
      <c r="G10023" s="35" t="s">
        <v>493</v>
      </c>
    </row>
    <row r="10024" spans="1:7">
      <c r="A10024" s="34">
        <v>2084017339</v>
      </c>
      <c r="B10024" s="35" t="s">
        <v>462</v>
      </c>
      <c r="C10024" s="35" t="s">
        <v>2016</v>
      </c>
      <c r="D10024" s="35" t="s">
        <v>405</v>
      </c>
      <c r="E10024" s="35" t="s">
        <v>1323</v>
      </c>
      <c r="F10024" s="35" t="s">
        <v>2025</v>
      </c>
      <c r="G10024" s="35" t="s">
        <v>2026</v>
      </c>
    </row>
    <row r="10025" spans="1:7">
      <c r="A10025" s="34">
        <v>2084017434</v>
      </c>
      <c r="B10025" s="35" t="s">
        <v>462</v>
      </c>
      <c r="C10025" s="35" t="s">
        <v>2016</v>
      </c>
      <c r="D10025" s="35" t="s">
        <v>405</v>
      </c>
      <c r="E10025" s="35" t="s">
        <v>1323</v>
      </c>
      <c r="F10025" s="35" t="s">
        <v>2025</v>
      </c>
      <c r="G10025" s="35" t="s">
        <v>531</v>
      </c>
    </row>
    <row r="10026" spans="1:7">
      <c r="A10026" s="34">
        <v>2084017675</v>
      </c>
      <c r="B10026" s="35" t="s">
        <v>462</v>
      </c>
      <c r="C10026" s="35" t="s">
        <v>2016</v>
      </c>
      <c r="D10026" s="35" t="s">
        <v>405</v>
      </c>
      <c r="E10026" s="35" t="s">
        <v>1323</v>
      </c>
      <c r="F10026" s="35" t="s">
        <v>2025</v>
      </c>
      <c r="G10026" s="35" t="s">
        <v>532</v>
      </c>
    </row>
    <row r="10027" spans="1:7">
      <c r="A10027" s="34">
        <v>2084017745</v>
      </c>
      <c r="B10027" s="35" t="s">
        <v>462</v>
      </c>
      <c r="C10027" s="35" t="s">
        <v>2016</v>
      </c>
      <c r="D10027" s="35" t="s">
        <v>405</v>
      </c>
      <c r="E10027" s="35" t="s">
        <v>1323</v>
      </c>
      <c r="F10027" s="35" t="s">
        <v>2025</v>
      </c>
      <c r="G10027" s="35" t="s">
        <v>397</v>
      </c>
    </row>
    <row r="10028" spans="1:7">
      <c r="A10028" s="34">
        <v>2084017818</v>
      </c>
      <c r="B10028" s="35" t="s">
        <v>462</v>
      </c>
      <c r="C10028" s="35" t="s">
        <v>2016</v>
      </c>
      <c r="D10028" s="35" t="s">
        <v>405</v>
      </c>
      <c r="E10028" s="35" t="s">
        <v>1323</v>
      </c>
      <c r="F10028" s="35" t="s">
        <v>2025</v>
      </c>
      <c r="G10028" s="35" t="s">
        <v>515</v>
      </c>
    </row>
    <row r="10029" spans="1:7">
      <c r="A10029" s="34">
        <v>2084017798</v>
      </c>
      <c r="B10029" s="35" t="s">
        <v>462</v>
      </c>
      <c r="C10029" s="35" t="s">
        <v>2016</v>
      </c>
      <c r="D10029" s="35" t="s">
        <v>405</v>
      </c>
      <c r="E10029" s="35" t="s">
        <v>1323</v>
      </c>
      <c r="F10029" s="35" t="s">
        <v>2025</v>
      </c>
      <c r="G10029" s="35" t="s">
        <v>1445</v>
      </c>
    </row>
    <row r="10030" spans="1:7">
      <c r="A10030" s="34">
        <v>2084017723</v>
      </c>
      <c r="B10030" s="35" t="s">
        <v>462</v>
      </c>
      <c r="C10030" s="35" t="s">
        <v>2016</v>
      </c>
      <c r="D10030" s="35" t="s">
        <v>405</v>
      </c>
      <c r="E10030" s="35" t="s">
        <v>1323</v>
      </c>
      <c r="F10030" s="35" t="s">
        <v>2025</v>
      </c>
      <c r="G10030" s="35" t="s">
        <v>398</v>
      </c>
    </row>
    <row r="10031" spans="1:7">
      <c r="A10031" s="34">
        <v>2084017849</v>
      </c>
      <c r="B10031" s="35" t="s">
        <v>462</v>
      </c>
      <c r="C10031" s="35" t="s">
        <v>2016</v>
      </c>
      <c r="D10031" s="35" t="s">
        <v>405</v>
      </c>
      <c r="E10031" s="35" t="s">
        <v>1323</v>
      </c>
      <c r="F10031" s="35" t="s">
        <v>2027</v>
      </c>
      <c r="G10031" s="35" t="s">
        <v>1069</v>
      </c>
    </row>
    <row r="10032" spans="1:7">
      <c r="A10032" s="34">
        <v>2084018108</v>
      </c>
      <c r="B10032" s="35" t="s">
        <v>462</v>
      </c>
      <c r="C10032" s="35" t="s">
        <v>2016</v>
      </c>
      <c r="D10032" s="35" t="s">
        <v>405</v>
      </c>
      <c r="E10032" s="35" t="s">
        <v>1323</v>
      </c>
      <c r="F10032" s="35" t="s">
        <v>2027</v>
      </c>
      <c r="G10032" s="35" t="s">
        <v>495</v>
      </c>
    </row>
    <row r="10033" spans="1:7">
      <c r="A10033" s="34">
        <v>2084017875</v>
      </c>
      <c r="B10033" s="35" t="s">
        <v>462</v>
      </c>
      <c r="C10033" s="35" t="s">
        <v>2016</v>
      </c>
      <c r="D10033" s="35" t="s">
        <v>405</v>
      </c>
      <c r="E10033" s="35" t="s">
        <v>1323</v>
      </c>
      <c r="F10033" s="35" t="s">
        <v>2027</v>
      </c>
      <c r="G10033" s="35" t="s">
        <v>545</v>
      </c>
    </row>
    <row r="10034" spans="1:7">
      <c r="A10034" s="34">
        <v>2084017839</v>
      </c>
      <c r="B10034" s="35" t="s">
        <v>462</v>
      </c>
      <c r="C10034" s="35" t="s">
        <v>2016</v>
      </c>
      <c r="D10034" s="35" t="s">
        <v>405</v>
      </c>
      <c r="E10034" s="35" t="s">
        <v>1323</v>
      </c>
      <c r="F10034" s="35" t="s">
        <v>2027</v>
      </c>
      <c r="G10034" s="35" t="s">
        <v>481</v>
      </c>
    </row>
    <row r="10035" spans="1:7">
      <c r="A10035" s="34">
        <v>2084018082</v>
      </c>
      <c r="B10035" s="35" t="s">
        <v>462</v>
      </c>
      <c r="C10035" s="35" t="s">
        <v>2016</v>
      </c>
      <c r="D10035" s="35" t="s">
        <v>405</v>
      </c>
      <c r="E10035" s="35" t="s">
        <v>1323</v>
      </c>
      <c r="F10035" s="35" t="s">
        <v>2027</v>
      </c>
      <c r="G10035" s="35" t="s">
        <v>493</v>
      </c>
    </row>
    <row r="10036" spans="1:7">
      <c r="A10036" s="34">
        <v>2084017983</v>
      </c>
      <c r="B10036" s="35" t="s">
        <v>462</v>
      </c>
      <c r="C10036" s="35" t="s">
        <v>2016</v>
      </c>
      <c r="D10036" s="35" t="s">
        <v>405</v>
      </c>
      <c r="E10036" s="35" t="s">
        <v>1323</v>
      </c>
      <c r="F10036" s="35" t="s">
        <v>2027</v>
      </c>
      <c r="G10036" s="35" t="s">
        <v>494</v>
      </c>
    </row>
    <row r="10037" spans="1:7">
      <c r="A10037" s="34">
        <v>2084018037</v>
      </c>
      <c r="B10037" s="35" t="s">
        <v>462</v>
      </c>
      <c r="C10037" s="35" t="s">
        <v>2016</v>
      </c>
      <c r="D10037" s="35" t="s">
        <v>405</v>
      </c>
      <c r="E10037" s="35" t="s">
        <v>1323</v>
      </c>
      <c r="F10037" s="35" t="s">
        <v>2027</v>
      </c>
      <c r="G10037" s="35" t="s">
        <v>397</v>
      </c>
    </row>
    <row r="10038" spans="1:7">
      <c r="A10038" s="34">
        <v>2084018073</v>
      </c>
      <c r="B10038" s="35" t="s">
        <v>462</v>
      </c>
      <c r="C10038" s="35" t="s">
        <v>2016</v>
      </c>
      <c r="D10038" s="35" t="s">
        <v>405</v>
      </c>
      <c r="E10038" s="35" t="s">
        <v>1323</v>
      </c>
      <c r="F10038" s="35" t="s">
        <v>2027</v>
      </c>
      <c r="G10038" s="35" t="s">
        <v>421</v>
      </c>
    </row>
    <row r="10039" spans="1:7">
      <c r="A10039" s="34">
        <v>2084018009</v>
      </c>
      <c r="B10039" s="35" t="s">
        <v>462</v>
      </c>
      <c r="C10039" s="35" t="s">
        <v>2016</v>
      </c>
      <c r="D10039" s="35" t="s">
        <v>405</v>
      </c>
      <c r="E10039" s="35" t="s">
        <v>1323</v>
      </c>
      <c r="F10039" s="35" t="s">
        <v>2027</v>
      </c>
      <c r="G10039" s="35" t="s">
        <v>398</v>
      </c>
    </row>
    <row r="10040" spans="1:7">
      <c r="A10040" s="34">
        <v>2084018055</v>
      </c>
      <c r="B10040" s="35" t="s">
        <v>462</v>
      </c>
      <c r="C10040" s="35" t="s">
        <v>2016</v>
      </c>
      <c r="D10040" s="35" t="s">
        <v>405</v>
      </c>
      <c r="E10040" s="35" t="s">
        <v>1323</v>
      </c>
      <c r="F10040" s="35" t="s">
        <v>2027</v>
      </c>
      <c r="G10040" s="35" t="s">
        <v>422</v>
      </c>
    </row>
    <row r="10041" spans="1:7">
      <c r="A10041" s="34">
        <v>2084293058</v>
      </c>
      <c r="B10041" s="35" t="s">
        <v>462</v>
      </c>
      <c r="C10041" s="35" t="s">
        <v>2016</v>
      </c>
      <c r="D10041" s="35" t="s">
        <v>405</v>
      </c>
      <c r="E10041" s="35" t="s">
        <v>2069</v>
      </c>
    </row>
    <row r="10042" spans="1:7">
      <c r="A10042" s="34">
        <v>2084017682</v>
      </c>
      <c r="B10042" s="35" t="s">
        <v>462</v>
      </c>
      <c r="C10042" s="35" t="s">
        <v>2016</v>
      </c>
      <c r="D10042" s="35" t="s">
        <v>405</v>
      </c>
      <c r="E10042" s="35" t="s">
        <v>2070</v>
      </c>
      <c r="F10042" s="35" t="s">
        <v>2025</v>
      </c>
      <c r="G10042" s="35" t="s">
        <v>481</v>
      </c>
    </row>
    <row r="10043" spans="1:7">
      <c r="A10043" s="34">
        <v>2084017774</v>
      </c>
      <c r="B10043" s="35" t="s">
        <v>462</v>
      </c>
      <c r="C10043" s="35" t="s">
        <v>2016</v>
      </c>
      <c r="D10043" s="35" t="s">
        <v>405</v>
      </c>
      <c r="E10043" s="35" t="s">
        <v>2070</v>
      </c>
      <c r="F10043" s="35" t="s">
        <v>2025</v>
      </c>
      <c r="G10043" s="35" t="s">
        <v>509</v>
      </c>
    </row>
    <row r="10044" spans="1:7">
      <c r="A10044" s="34">
        <v>2084017220</v>
      </c>
      <c r="B10044" s="35" t="s">
        <v>462</v>
      </c>
      <c r="C10044" s="35" t="s">
        <v>2016</v>
      </c>
      <c r="D10044" s="35" t="s">
        <v>405</v>
      </c>
      <c r="E10044" s="35" t="s">
        <v>2070</v>
      </c>
      <c r="F10044" s="35" t="s">
        <v>2025</v>
      </c>
      <c r="G10044" s="35" t="s">
        <v>493</v>
      </c>
    </row>
    <row r="10045" spans="1:7">
      <c r="A10045" s="34">
        <v>2084017340</v>
      </c>
      <c r="B10045" s="35" t="s">
        <v>462</v>
      </c>
      <c r="C10045" s="35" t="s">
        <v>2016</v>
      </c>
      <c r="D10045" s="35" t="s">
        <v>405</v>
      </c>
      <c r="E10045" s="35" t="s">
        <v>2070</v>
      </c>
      <c r="F10045" s="35" t="s">
        <v>2025</v>
      </c>
      <c r="G10045" s="35" t="s">
        <v>2026</v>
      </c>
    </row>
    <row r="10046" spans="1:7">
      <c r="A10046" s="34">
        <v>2084017747</v>
      </c>
      <c r="B10046" s="35" t="s">
        <v>462</v>
      </c>
      <c r="C10046" s="35" t="s">
        <v>2016</v>
      </c>
      <c r="D10046" s="35" t="s">
        <v>405</v>
      </c>
      <c r="E10046" s="35" t="s">
        <v>2070</v>
      </c>
      <c r="F10046" s="35" t="s">
        <v>2025</v>
      </c>
      <c r="G10046" s="35" t="s">
        <v>397</v>
      </c>
    </row>
    <row r="10047" spans="1:7">
      <c r="A10047" s="34">
        <v>2084017819</v>
      </c>
      <c r="B10047" s="35" t="s">
        <v>462</v>
      </c>
      <c r="C10047" s="35" t="s">
        <v>2016</v>
      </c>
      <c r="D10047" s="35" t="s">
        <v>405</v>
      </c>
      <c r="E10047" s="35" t="s">
        <v>2070</v>
      </c>
      <c r="F10047" s="35" t="s">
        <v>2025</v>
      </c>
      <c r="G10047" s="35" t="s">
        <v>515</v>
      </c>
    </row>
    <row r="10048" spans="1:7">
      <c r="A10048" s="34">
        <v>2084017799</v>
      </c>
      <c r="B10048" s="35" t="s">
        <v>462</v>
      </c>
      <c r="C10048" s="35" t="s">
        <v>2016</v>
      </c>
      <c r="D10048" s="35" t="s">
        <v>405</v>
      </c>
      <c r="E10048" s="35" t="s">
        <v>2070</v>
      </c>
      <c r="F10048" s="35" t="s">
        <v>2025</v>
      </c>
      <c r="G10048" s="35" t="s">
        <v>1445</v>
      </c>
    </row>
    <row r="10049" spans="1:7">
      <c r="A10049" s="34">
        <v>2084017724</v>
      </c>
      <c r="B10049" s="35" t="s">
        <v>462</v>
      </c>
      <c r="C10049" s="35" t="s">
        <v>2016</v>
      </c>
      <c r="D10049" s="35" t="s">
        <v>405</v>
      </c>
      <c r="E10049" s="35" t="s">
        <v>2070</v>
      </c>
      <c r="F10049" s="35" t="s">
        <v>2025</v>
      </c>
      <c r="G10049" s="35" t="s">
        <v>398</v>
      </c>
    </row>
    <row r="10050" spans="1:7">
      <c r="A10050" s="34">
        <v>2084017298</v>
      </c>
      <c r="B10050" s="35" t="s">
        <v>462</v>
      </c>
      <c r="C10050" s="35" t="s">
        <v>2016</v>
      </c>
      <c r="D10050" s="35" t="s">
        <v>405</v>
      </c>
      <c r="E10050" s="35" t="s">
        <v>2070</v>
      </c>
      <c r="F10050" s="35" t="s">
        <v>2025</v>
      </c>
      <c r="G10050" s="35" t="s">
        <v>476</v>
      </c>
    </row>
    <row r="10051" spans="1:7">
      <c r="A10051" s="34">
        <v>2084017435</v>
      </c>
      <c r="B10051" s="35" t="s">
        <v>462</v>
      </c>
      <c r="C10051" s="35" t="s">
        <v>2016</v>
      </c>
      <c r="D10051" s="35" t="s">
        <v>405</v>
      </c>
      <c r="E10051" s="35" t="s">
        <v>2070</v>
      </c>
      <c r="F10051" s="35" t="s">
        <v>2025</v>
      </c>
      <c r="G10051" s="35" t="s">
        <v>531</v>
      </c>
    </row>
    <row r="10052" spans="1:7">
      <c r="A10052" s="34">
        <v>2084007363</v>
      </c>
      <c r="B10052" s="35" t="s">
        <v>462</v>
      </c>
      <c r="C10052" s="35" t="s">
        <v>2016</v>
      </c>
      <c r="D10052" s="35" t="s">
        <v>405</v>
      </c>
      <c r="E10052" s="35" t="s">
        <v>2070</v>
      </c>
      <c r="F10052" s="35" t="s">
        <v>2025</v>
      </c>
      <c r="G10052" s="35" t="s">
        <v>532</v>
      </c>
    </row>
    <row r="10053" spans="1:7">
      <c r="A10053" s="34">
        <v>2084048774</v>
      </c>
      <c r="B10053" s="35" t="s">
        <v>462</v>
      </c>
      <c r="C10053" s="35" t="s">
        <v>2016</v>
      </c>
      <c r="D10053" s="35" t="s">
        <v>405</v>
      </c>
      <c r="E10053" s="35" t="s">
        <v>2070</v>
      </c>
      <c r="F10053" s="35" t="s">
        <v>335</v>
      </c>
    </row>
    <row r="10054" spans="1:7">
      <c r="A10054" s="34">
        <v>2084048693</v>
      </c>
      <c r="B10054" s="35" t="s">
        <v>462</v>
      </c>
      <c r="C10054" s="35" t="s">
        <v>2016</v>
      </c>
      <c r="D10054" s="35" t="s">
        <v>405</v>
      </c>
      <c r="E10054" s="35" t="s">
        <v>2071</v>
      </c>
      <c r="F10054" s="35" t="s">
        <v>335</v>
      </c>
    </row>
    <row r="10055" spans="1:7">
      <c r="A10055" s="34">
        <v>2084017683</v>
      </c>
      <c r="B10055" s="35" t="s">
        <v>462</v>
      </c>
      <c r="C10055" s="35" t="s">
        <v>2016</v>
      </c>
      <c r="D10055" s="35" t="s">
        <v>405</v>
      </c>
      <c r="E10055" s="35" t="s">
        <v>2071</v>
      </c>
      <c r="F10055" s="35" t="s">
        <v>2025</v>
      </c>
      <c r="G10055" s="35" t="s">
        <v>481</v>
      </c>
    </row>
    <row r="10056" spans="1:7">
      <c r="A10056" s="34">
        <v>2084017775</v>
      </c>
      <c r="B10056" s="35" t="s">
        <v>462</v>
      </c>
      <c r="C10056" s="35" t="s">
        <v>2016</v>
      </c>
      <c r="D10056" s="35" t="s">
        <v>405</v>
      </c>
      <c r="E10056" s="35" t="s">
        <v>2071</v>
      </c>
      <c r="F10056" s="35" t="s">
        <v>2025</v>
      </c>
      <c r="G10056" s="35" t="s">
        <v>509</v>
      </c>
    </row>
    <row r="10057" spans="1:7">
      <c r="A10057" s="34">
        <v>2084017221</v>
      </c>
      <c r="B10057" s="35" t="s">
        <v>462</v>
      </c>
      <c r="C10057" s="35" t="s">
        <v>2016</v>
      </c>
      <c r="D10057" s="35" t="s">
        <v>405</v>
      </c>
      <c r="E10057" s="35" t="s">
        <v>2071</v>
      </c>
      <c r="F10057" s="35" t="s">
        <v>2025</v>
      </c>
      <c r="G10057" s="35" t="s">
        <v>493</v>
      </c>
    </row>
    <row r="10058" spans="1:7">
      <c r="A10058" s="34">
        <v>2084017341</v>
      </c>
      <c r="B10058" s="35" t="s">
        <v>462</v>
      </c>
      <c r="C10058" s="35" t="s">
        <v>2016</v>
      </c>
      <c r="D10058" s="35" t="s">
        <v>405</v>
      </c>
      <c r="E10058" s="35" t="s">
        <v>2071</v>
      </c>
      <c r="F10058" s="35" t="s">
        <v>2025</v>
      </c>
      <c r="G10058" s="35" t="s">
        <v>2026</v>
      </c>
    </row>
    <row r="10059" spans="1:7">
      <c r="A10059" s="34">
        <v>2084017749</v>
      </c>
      <c r="B10059" s="35" t="s">
        <v>462</v>
      </c>
      <c r="C10059" s="35" t="s">
        <v>2016</v>
      </c>
      <c r="D10059" s="35" t="s">
        <v>405</v>
      </c>
      <c r="E10059" s="35" t="s">
        <v>2071</v>
      </c>
      <c r="F10059" s="35" t="s">
        <v>2025</v>
      </c>
      <c r="G10059" s="35" t="s">
        <v>397</v>
      </c>
    </row>
    <row r="10060" spans="1:7">
      <c r="A10060" s="34">
        <v>2084017820</v>
      </c>
      <c r="B10060" s="35" t="s">
        <v>462</v>
      </c>
      <c r="C10060" s="35" t="s">
        <v>2016</v>
      </c>
      <c r="D10060" s="35" t="s">
        <v>405</v>
      </c>
      <c r="E10060" s="35" t="s">
        <v>2071</v>
      </c>
      <c r="F10060" s="35" t="s">
        <v>2025</v>
      </c>
      <c r="G10060" s="35" t="s">
        <v>515</v>
      </c>
    </row>
    <row r="10061" spans="1:7">
      <c r="A10061" s="34">
        <v>2084017800</v>
      </c>
      <c r="B10061" s="35" t="s">
        <v>462</v>
      </c>
      <c r="C10061" s="35" t="s">
        <v>2016</v>
      </c>
      <c r="D10061" s="35" t="s">
        <v>405</v>
      </c>
      <c r="E10061" s="35" t="s">
        <v>2071</v>
      </c>
      <c r="F10061" s="35" t="s">
        <v>2025</v>
      </c>
      <c r="G10061" s="35" t="s">
        <v>1445</v>
      </c>
    </row>
    <row r="10062" spans="1:7">
      <c r="A10062" s="34">
        <v>2084017725</v>
      </c>
      <c r="B10062" s="35" t="s">
        <v>462</v>
      </c>
      <c r="C10062" s="35" t="s">
        <v>2016</v>
      </c>
      <c r="D10062" s="35" t="s">
        <v>405</v>
      </c>
      <c r="E10062" s="35" t="s">
        <v>2071</v>
      </c>
      <c r="F10062" s="35" t="s">
        <v>2025</v>
      </c>
      <c r="G10062" s="35" t="s">
        <v>398</v>
      </c>
    </row>
    <row r="10063" spans="1:7">
      <c r="A10063" s="34">
        <v>2084017293</v>
      </c>
      <c r="B10063" s="35" t="s">
        <v>462</v>
      </c>
      <c r="C10063" s="35" t="s">
        <v>2016</v>
      </c>
      <c r="D10063" s="35" t="s">
        <v>405</v>
      </c>
      <c r="E10063" s="35" t="s">
        <v>2071</v>
      </c>
      <c r="F10063" s="35" t="s">
        <v>2025</v>
      </c>
      <c r="G10063" s="35" t="s">
        <v>545</v>
      </c>
    </row>
    <row r="10064" spans="1:7">
      <c r="A10064" s="34">
        <v>2084017299</v>
      </c>
      <c r="B10064" s="35" t="s">
        <v>462</v>
      </c>
      <c r="C10064" s="35" t="s">
        <v>2016</v>
      </c>
      <c r="D10064" s="35" t="s">
        <v>405</v>
      </c>
      <c r="E10064" s="35" t="s">
        <v>2071</v>
      </c>
      <c r="F10064" s="35" t="s">
        <v>2025</v>
      </c>
      <c r="G10064" s="35" t="s">
        <v>476</v>
      </c>
    </row>
    <row r="10065" spans="1:7">
      <c r="A10065" s="34">
        <v>2084017436</v>
      </c>
      <c r="B10065" s="35" t="s">
        <v>462</v>
      </c>
      <c r="C10065" s="35" t="s">
        <v>2016</v>
      </c>
      <c r="D10065" s="35" t="s">
        <v>405</v>
      </c>
      <c r="E10065" s="35" t="s">
        <v>2071</v>
      </c>
      <c r="F10065" s="35" t="s">
        <v>2025</v>
      </c>
      <c r="G10065" s="35" t="s">
        <v>531</v>
      </c>
    </row>
    <row r="10066" spans="1:7">
      <c r="A10066" s="34">
        <v>2084007357</v>
      </c>
      <c r="B10066" s="35" t="s">
        <v>462</v>
      </c>
      <c r="C10066" s="35" t="s">
        <v>2016</v>
      </c>
      <c r="D10066" s="35" t="s">
        <v>405</v>
      </c>
      <c r="E10066" s="35" t="s">
        <v>2071</v>
      </c>
      <c r="F10066" s="35" t="s">
        <v>2025</v>
      </c>
      <c r="G10066" s="35" t="s">
        <v>532</v>
      </c>
    </row>
    <row r="10067" spans="1:7">
      <c r="A10067" s="34">
        <v>2084017235</v>
      </c>
      <c r="B10067" s="35" t="s">
        <v>462</v>
      </c>
      <c r="C10067" s="35" t="s">
        <v>2016</v>
      </c>
      <c r="D10067" s="35" t="s">
        <v>405</v>
      </c>
      <c r="E10067" s="35" t="s">
        <v>2071</v>
      </c>
      <c r="F10067" s="35" t="s">
        <v>2025</v>
      </c>
      <c r="G10067" s="35" t="s">
        <v>2032</v>
      </c>
    </row>
    <row r="10068" spans="1:7">
      <c r="A10068" s="34">
        <v>2084017840</v>
      </c>
      <c r="B10068" s="35" t="s">
        <v>462</v>
      </c>
      <c r="C10068" s="35" t="s">
        <v>2016</v>
      </c>
      <c r="D10068" s="35" t="s">
        <v>405</v>
      </c>
      <c r="E10068" s="35" t="s">
        <v>2071</v>
      </c>
      <c r="F10068" s="35" t="s">
        <v>2027</v>
      </c>
      <c r="G10068" s="35" t="s">
        <v>481</v>
      </c>
    </row>
    <row r="10069" spans="1:7">
      <c r="A10069" s="34">
        <v>2084018083</v>
      </c>
      <c r="B10069" s="35" t="s">
        <v>462</v>
      </c>
      <c r="C10069" s="35" t="s">
        <v>2016</v>
      </c>
      <c r="D10069" s="35" t="s">
        <v>405</v>
      </c>
      <c r="E10069" s="35" t="s">
        <v>2071</v>
      </c>
      <c r="F10069" s="35" t="s">
        <v>2027</v>
      </c>
      <c r="G10069" s="35" t="s">
        <v>493</v>
      </c>
    </row>
    <row r="10070" spans="1:7">
      <c r="A10070" s="34">
        <v>2084017984</v>
      </c>
      <c r="B10070" s="35" t="s">
        <v>462</v>
      </c>
      <c r="C10070" s="35" t="s">
        <v>2016</v>
      </c>
      <c r="D10070" s="35" t="s">
        <v>405</v>
      </c>
      <c r="E10070" s="35" t="s">
        <v>2071</v>
      </c>
      <c r="F10070" s="35" t="s">
        <v>2027</v>
      </c>
      <c r="G10070" s="35" t="s">
        <v>494</v>
      </c>
    </row>
    <row r="10071" spans="1:7">
      <c r="A10071" s="34">
        <v>2084018038</v>
      </c>
      <c r="B10071" s="35" t="s">
        <v>462</v>
      </c>
      <c r="C10071" s="35" t="s">
        <v>2016</v>
      </c>
      <c r="D10071" s="35" t="s">
        <v>405</v>
      </c>
      <c r="E10071" s="35" t="s">
        <v>2071</v>
      </c>
      <c r="F10071" s="35" t="s">
        <v>2027</v>
      </c>
      <c r="G10071" s="35" t="s">
        <v>397</v>
      </c>
    </row>
    <row r="10072" spans="1:7">
      <c r="A10072" s="34">
        <v>2084018074</v>
      </c>
      <c r="B10072" s="35" t="s">
        <v>462</v>
      </c>
      <c r="C10072" s="35" t="s">
        <v>2016</v>
      </c>
      <c r="D10072" s="35" t="s">
        <v>405</v>
      </c>
      <c r="E10072" s="35" t="s">
        <v>2071</v>
      </c>
      <c r="F10072" s="35" t="s">
        <v>2027</v>
      </c>
      <c r="G10072" s="35" t="s">
        <v>421</v>
      </c>
    </row>
    <row r="10073" spans="1:7">
      <c r="A10073" s="34">
        <v>2084018010</v>
      </c>
      <c r="B10073" s="35" t="s">
        <v>462</v>
      </c>
      <c r="C10073" s="35" t="s">
        <v>2016</v>
      </c>
      <c r="D10073" s="35" t="s">
        <v>405</v>
      </c>
      <c r="E10073" s="35" t="s">
        <v>2071</v>
      </c>
      <c r="F10073" s="35" t="s">
        <v>2027</v>
      </c>
      <c r="G10073" s="35" t="s">
        <v>398</v>
      </c>
    </row>
    <row r="10074" spans="1:7">
      <c r="A10074" s="34">
        <v>2084018056</v>
      </c>
      <c r="B10074" s="35" t="s">
        <v>462</v>
      </c>
      <c r="C10074" s="35" t="s">
        <v>2016</v>
      </c>
      <c r="D10074" s="35" t="s">
        <v>405</v>
      </c>
      <c r="E10074" s="35" t="s">
        <v>2071</v>
      </c>
      <c r="F10074" s="35" t="s">
        <v>2027</v>
      </c>
      <c r="G10074" s="35" t="s">
        <v>422</v>
      </c>
    </row>
    <row r="10075" spans="1:7">
      <c r="A10075" s="34">
        <v>2084018109</v>
      </c>
      <c r="B10075" s="35" t="s">
        <v>462</v>
      </c>
      <c r="C10075" s="35" t="s">
        <v>2016</v>
      </c>
      <c r="D10075" s="35" t="s">
        <v>405</v>
      </c>
      <c r="E10075" s="35" t="s">
        <v>2071</v>
      </c>
      <c r="F10075" s="35" t="s">
        <v>2027</v>
      </c>
      <c r="G10075" s="35" t="s">
        <v>495</v>
      </c>
    </row>
    <row r="10076" spans="1:7">
      <c r="A10076" s="34">
        <v>2084017876</v>
      </c>
      <c r="B10076" s="35" t="s">
        <v>462</v>
      </c>
      <c r="C10076" s="35" t="s">
        <v>2016</v>
      </c>
      <c r="D10076" s="35" t="s">
        <v>405</v>
      </c>
      <c r="E10076" s="35" t="s">
        <v>2071</v>
      </c>
      <c r="F10076" s="35" t="s">
        <v>2027</v>
      </c>
      <c r="G10076" s="35" t="s">
        <v>545</v>
      </c>
    </row>
    <row r="10077" spans="1:7">
      <c r="A10077" s="34">
        <v>2084017850</v>
      </c>
      <c r="B10077" s="35" t="s">
        <v>462</v>
      </c>
      <c r="C10077" s="35" t="s">
        <v>2016</v>
      </c>
      <c r="D10077" s="35" t="s">
        <v>405</v>
      </c>
      <c r="E10077" s="35" t="s">
        <v>2071</v>
      </c>
      <c r="F10077" s="35" t="s">
        <v>2027</v>
      </c>
      <c r="G10077" s="35" t="s">
        <v>1069</v>
      </c>
    </row>
    <row r="10078" spans="1:7">
      <c r="A10078" s="34">
        <v>2084017685</v>
      </c>
      <c r="B10078" s="35" t="s">
        <v>462</v>
      </c>
      <c r="C10078" s="35" t="s">
        <v>2016</v>
      </c>
      <c r="D10078" s="35" t="s">
        <v>405</v>
      </c>
      <c r="E10078" s="35" t="s">
        <v>2072</v>
      </c>
      <c r="F10078" s="35" t="s">
        <v>2025</v>
      </c>
      <c r="G10078" s="35" t="s">
        <v>481</v>
      </c>
    </row>
    <row r="10079" spans="1:7">
      <c r="A10079" s="34">
        <v>2084017776</v>
      </c>
      <c r="B10079" s="35" t="s">
        <v>462</v>
      </c>
      <c r="C10079" s="35" t="s">
        <v>2016</v>
      </c>
      <c r="D10079" s="35" t="s">
        <v>405</v>
      </c>
      <c r="E10079" s="35" t="s">
        <v>2072</v>
      </c>
      <c r="F10079" s="35" t="s">
        <v>2025</v>
      </c>
      <c r="G10079" s="35" t="s">
        <v>509</v>
      </c>
    </row>
    <row r="10080" spans="1:7">
      <c r="A10080" s="34">
        <v>2084017222</v>
      </c>
      <c r="B10080" s="35" t="s">
        <v>462</v>
      </c>
      <c r="C10080" s="35" t="s">
        <v>2016</v>
      </c>
      <c r="D10080" s="35" t="s">
        <v>405</v>
      </c>
      <c r="E10080" s="35" t="s">
        <v>2072</v>
      </c>
      <c r="F10080" s="35" t="s">
        <v>2025</v>
      </c>
      <c r="G10080" s="35" t="s">
        <v>493</v>
      </c>
    </row>
    <row r="10081" spans="1:7">
      <c r="A10081" s="34">
        <v>2084017342</v>
      </c>
      <c r="B10081" s="35" t="s">
        <v>462</v>
      </c>
      <c r="C10081" s="35" t="s">
        <v>2016</v>
      </c>
      <c r="D10081" s="35" t="s">
        <v>405</v>
      </c>
      <c r="E10081" s="35" t="s">
        <v>2072</v>
      </c>
      <c r="F10081" s="35" t="s">
        <v>2025</v>
      </c>
      <c r="G10081" s="35" t="s">
        <v>2026</v>
      </c>
    </row>
    <row r="10082" spans="1:7">
      <c r="A10082" s="34">
        <v>2084017750</v>
      </c>
      <c r="B10082" s="35" t="s">
        <v>462</v>
      </c>
      <c r="C10082" s="35" t="s">
        <v>2016</v>
      </c>
      <c r="D10082" s="35" t="s">
        <v>405</v>
      </c>
      <c r="E10082" s="35" t="s">
        <v>2072</v>
      </c>
      <c r="F10082" s="35" t="s">
        <v>2025</v>
      </c>
      <c r="G10082" s="35" t="s">
        <v>397</v>
      </c>
    </row>
    <row r="10083" spans="1:7">
      <c r="A10083" s="34">
        <v>2084017821</v>
      </c>
      <c r="B10083" s="35" t="s">
        <v>462</v>
      </c>
      <c r="C10083" s="35" t="s">
        <v>2016</v>
      </c>
      <c r="D10083" s="35" t="s">
        <v>405</v>
      </c>
      <c r="E10083" s="35" t="s">
        <v>2072</v>
      </c>
      <c r="F10083" s="35" t="s">
        <v>2025</v>
      </c>
      <c r="G10083" s="35" t="s">
        <v>515</v>
      </c>
    </row>
    <row r="10084" spans="1:7">
      <c r="A10084" s="34">
        <v>2084017801</v>
      </c>
      <c r="B10084" s="35" t="s">
        <v>462</v>
      </c>
      <c r="C10084" s="35" t="s">
        <v>2016</v>
      </c>
      <c r="D10084" s="35" t="s">
        <v>405</v>
      </c>
      <c r="E10084" s="35" t="s">
        <v>2072</v>
      </c>
      <c r="F10084" s="35" t="s">
        <v>2025</v>
      </c>
      <c r="G10084" s="35" t="s">
        <v>1445</v>
      </c>
    </row>
    <row r="10085" spans="1:7">
      <c r="A10085" s="34">
        <v>2084017726</v>
      </c>
      <c r="B10085" s="35" t="s">
        <v>462</v>
      </c>
      <c r="C10085" s="35" t="s">
        <v>2016</v>
      </c>
      <c r="D10085" s="35" t="s">
        <v>405</v>
      </c>
      <c r="E10085" s="35" t="s">
        <v>2072</v>
      </c>
      <c r="F10085" s="35" t="s">
        <v>2025</v>
      </c>
      <c r="G10085" s="35" t="s">
        <v>398</v>
      </c>
    </row>
    <row r="10086" spans="1:7">
      <c r="A10086" s="34">
        <v>2084017294</v>
      </c>
      <c r="B10086" s="35" t="s">
        <v>462</v>
      </c>
      <c r="C10086" s="35" t="s">
        <v>2016</v>
      </c>
      <c r="D10086" s="35" t="s">
        <v>405</v>
      </c>
      <c r="E10086" s="35" t="s">
        <v>2072</v>
      </c>
      <c r="F10086" s="35" t="s">
        <v>2025</v>
      </c>
      <c r="G10086" s="35" t="s">
        <v>545</v>
      </c>
    </row>
    <row r="10087" spans="1:7">
      <c r="A10087" s="34">
        <v>2084017300</v>
      </c>
      <c r="B10087" s="35" t="s">
        <v>462</v>
      </c>
      <c r="C10087" s="35" t="s">
        <v>2016</v>
      </c>
      <c r="D10087" s="35" t="s">
        <v>405</v>
      </c>
      <c r="E10087" s="35" t="s">
        <v>2072</v>
      </c>
      <c r="F10087" s="35" t="s">
        <v>2025</v>
      </c>
      <c r="G10087" s="35" t="s">
        <v>476</v>
      </c>
    </row>
    <row r="10088" spans="1:7">
      <c r="A10088" s="34">
        <v>2084017437</v>
      </c>
      <c r="B10088" s="35" t="s">
        <v>462</v>
      </c>
      <c r="C10088" s="35" t="s">
        <v>2016</v>
      </c>
      <c r="D10088" s="35" t="s">
        <v>405</v>
      </c>
      <c r="E10088" s="35" t="s">
        <v>2072</v>
      </c>
      <c r="F10088" s="35" t="s">
        <v>2025</v>
      </c>
      <c r="G10088" s="35" t="s">
        <v>531</v>
      </c>
    </row>
    <row r="10089" spans="1:7">
      <c r="A10089" s="34">
        <v>2084007358</v>
      </c>
      <c r="B10089" s="35" t="s">
        <v>462</v>
      </c>
      <c r="C10089" s="35" t="s">
        <v>2016</v>
      </c>
      <c r="D10089" s="35" t="s">
        <v>405</v>
      </c>
      <c r="E10089" s="35" t="s">
        <v>2072</v>
      </c>
      <c r="F10089" s="35" t="s">
        <v>2025</v>
      </c>
      <c r="G10089" s="35" t="s">
        <v>532</v>
      </c>
    </row>
    <row r="10090" spans="1:7">
      <c r="A10090" s="34">
        <v>2084017841</v>
      </c>
      <c r="B10090" s="35" t="s">
        <v>462</v>
      </c>
      <c r="C10090" s="35" t="s">
        <v>2016</v>
      </c>
      <c r="D10090" s="35" t="s">
        <v>405</v>
      </c>
      <c r="E10090" s="35" t="s">
        <v>2072</v>
      </c>
      <c r="F10090" s="35" t="s">
        <v>2027</v>
      </c>
      <c r="G10090" s="35" t="s">
        <v>481</v>
      </c>
    </row>
    <row r="10091" spans="1:7">
      <c r="A10091" s="34">
        <v>2084018084</v>
      </c>
      <c r="B10091" s="35" t="s">
        <v>462</v>
      </c>
      <c r="C10091" s="35" t="s">
        <v>2016</v>
      </c>
      <c r="D10091" s="35" t="s">
        <v>405</v>
      </c>
      <c r="E10091" s="35" t="s">
        <v>2072</v>
      </c>
      <c r="F10091" s="35" t="s">
        <v>2027</v>
      </c>
      <c r="G10091" s="35" t="s">
        <v>493</v>
      </c>
    </row>
    <row r="10092" spans="1:7">
      <c r="A10092" s="34">
        <v>2084017985</v>
      </c>
      <c r="B10092" s="35" t="s">
        <v>462</v>
      </c>
      <c r="C10092" s="35" t="s">
        <v>2016</v>
      </c>
      <c r="D10092" s="35" t="s">
        <v>405</v>
      </c>
      <c r="E10092" s="35" t="s">
        <v>2072</v>
      </c>
      <c r="F10092" s="35" t="s">
        <v>2027</v>
      </c>
      <c r="G10092" s="35" t="s">
        <v>494</v>
      </c>
    </row>
    <row r="10093" spans="1:7">
      <c r="A10093" s="34">
        <v>2084018039</v>
      </c>
      <c r="B10093" s="35" t="s">
        <v>462</v>
      </c>
      <c r="C10093" s="35" t="s">
        <v>2016</v>
      </c>
      <c r="D10093" s="35" t="s">
        <v>405</v>
      </c>
      <c r="E10093" s="35" t="s">
        <v>2072</v>
      </c>
      <c r="F10093" s="35" t="s">
        <v>2027</v>
      </c>
      <c r="G10093" s="35" t="s">
        <v>397</v>
      </c>
    </row>
    <row r="10094" spans="1:7">
      <c r="A10094" s="34">
        <v>2084018075</v>
      </c>
      <c r="B10094" s="35" t="s">
        <v>462</v>
      </c>
      <c r="C10094" s="35" t="s">
        <v>2016</v>
      </c>
      <c r="D10094" s="35" t="s">
        <v>405</v>
      </c>
      <c r="E10094" s="35" t="s">
        <v>2072</v>
      </c>
      <c r="F10094" s="35" t="s">
        <v>2027</v>
      </c>
      <c r="G10094" s="35" t="s">
        <v>421</v>
      </c>
    </row>
    <row r="10095" spans="1:7">
      <c r="A10095" s="34">
        <v>2084018011</v>
      </c>
      <c r="B10095" s="35" t="s">
        <v>462</v>
      </c>
      <c r="C10095" s="35" t="s">
        <v>2016</v>
      </c>
      <c r="D10095" s="35" t="s">
        <v>405</v>
      </c>
      <c r="E10095" s="35" t="s">
        <v>2072</v>
      </c>
      <c r="F10095" s="35" t="s">
        <v>2027</v>
      </c>
      <c r="G10095" s="35" t="s">
        <v>398</v>
      </c>
    </row>
    <row r="10096" spans="1:7">
      <c r="A10096" s="34">
        <v>2084018057</v>
      </c>
      <c r="B10096" s="35" t="s">
        <v>462</v>
      </c>
      <c r="C10096" s="35" t="s">
        <v>2016</v>
      </c>
      <c r="D10096" s="35" t="s">
        <v>405</v>
      </c>
      <c r="E10096" s="35" t="s">
        <v>2072</v>
      </c>
      <c r="F10096" s="35" t="s">
        <v>2027</v>
      </c>
      <c r="G10096" s="35" t="s">
        <v>422</v>
      </c>
    </row>
    <row r="10097" spans="1:7">
      <c r="A10097" s="34">
        <v>2084018110</v>
      </c>
      <c r="B10097" s="35" t="s">
        <v>462</v>
      </c>
      <c r="C10097" s="35" t="s">
        <v>2016</v>
      </c>
      <c r="D10097" s="35" t="s">
        <v>405</v>
      </c>
      <c r="E10097" s="35" t="s">
        <v>2072</v>
      </c>
      <c r="F10097" s="35" t="s">
        <v>2027</v>
      </c>
      <c r="G10097" s="35" t="s">
        <v>495</v>
      </c>
    </row>
    <row r="10098" spans="1:7">
      <c r="A10098" s="34">
        <v>2084017877</v>
      </c>
      <c r="B10098" s="35" t="s">
        <v>462</v>
      </c>
      <c r="C10098" s="35" t="s">
        <v>2016</v>
      </c>
      <c r="D10098" s="35" t="s">
        <v>405</v>
      </c>
      <c r="E10098" s="35" t="s">
        <v>2072</v>
      </c>
      <c r="F10098" s="35" t="s">
        <v>2027</v>
      </c>
      <c r="G10098" s="35" t="s">
        <v>545</v>
      </c>
    </row>
    <row r="10099" spans="1:7">
      <c r="A10099" s="34">
        <v>2084017851</v>
      </c>
      <c r="B10099" s="35" t="s">
        <v>462</v>
      </c>
      <c r="C10099" s="35" t="s">
        <v>2016</v>
      </c>
      <c r="D10099" s="35" t="s">
        <v>405</v>
      </c>
      <c r="E10099" s="35" t="s">
        <v>2072</v>
      </c>
      <c r="F10099" s="35" t="s">
        <v>2027</v>
      </c>
      <c r="G10099" s="35" t="s">
        <v>1069</v>
      </c>
    </row>
    <row r="10100" spans="1:7">
      <c r="A10100" s="34">
        <v>2084048699</v>
      </c>
      <c r="B10100" s="35" t="s">
        <v>462</v>
      </c>
      <c r="C10100" s="35" t="s">
        <v>2016</v>
      </c>
      <c r="D10100" s="35" t="s">
        <v>405</v>
      </c>
      <c r="E10100" s="35" t="s">
        <v>2072</v>
      </c>
      <c r="F10100" s="35" t="s">
        <v>335</v>
      </c>
    </row>
    <row r="10101" spans="1:7">
      <c r="A10101" s="34">
        <v>2084017777</v>
      </c>
      <c r="B10101" s="35" t="s">
        <v>462</v>
      </c>
      <c r="C10101" s="35" t="s">
        <v>2016</v>
      </c>
      <c r="D10101" s="35" t="s">
        <v>405</v>
      </c>
      <c r="E10101" s="35" t="s">
        <v>2073</v>
      </c>
      <c r="F10101" s="35" t="s">
        <v>2025</v>
      </c>
      <c r="G10101" s="35" t="s">
        <v>509</v>
      </c>
    </row>
    <row r="10102" spans="1:7">
      <c r="A10102" s="34">
        <v>2084017687</v>
      </c>
      <c r="B10102" s="35" t="s">
        <v>462</v>
      </c>
      <c r="C10102" s="35" t="s">
        <v>2016</v>
      </c>
      <c r="D10102" s="35" t="s">
        <v>405</v>
      </c>
      <c r="E10102" s="35" t="s">
        <v>2073</v>
      </c>
      <c r="F10102" s="35" t="s">
        <v>2025</v>
      </c>
      <c r="G10102" s="35" t="s">
        <v>481</v>
      </c>
    </row>
    <row r="10103" spans="1:7">
      <c r="A10103" s="34">
        <v>2084017301</v>
      </c>
      <c r="B10103" s="35" t="s">
        <v>462</v>
      </c>
      <c r="C10103" s="35" t="s">
        <v>2016</v>
      </c>
      <c r="D10103" s="35" t="s">
        <v>405</v>
      </c>
      <c r="E10103" s="35" t="s">
        <v>2073</v>
      </c>
      <c r="F10103" s="35" t="s">
        <v>2025</v>
      </c>
      <c r="G10103" s="35" t="s">
        <v>476</v>
      </c>
    </row>
    <row r="10104" spans="1:7">
      <c r="A10104" s="34">
        <v>2084017223</v>
      </c>
      <c r="B10104" s="35" t="s">
        <v>462</v>
      </c>
      <c r="C10104" s="35" t="s">
        <v>2016</v>
      </c>
      <c r="D10104" s="35" t="s">
        <v>405</v>
      </c>
      <c r="E10104" s="35" t="s">
        <v>2073</v>
      </c>
      <c r="F10104" s="35" t="s">
        <v>2025</v>
      </c>
      <c r="G10104" s="35" t="s">
        <v>493</v>
      </c>
    </row>
    <row r="10105" spans="1:7">
      <c r="A10105" s="34">
        <v>2084017343</v>
      </c>
      <c r="B10105" s="35" t="s">
        <v>462</v>
      </c>
      <c r="C10105" s="35" t="s">
        <v>2016</v>
      </c>
      <c r="D10105" s="35" t="s">
        <v>405</v>
      </c>
      <c r="E10105" s="35" t="s">
        <v>2073</v>
      </c>
      <c r="F10105" s="35" t="s">
        <v>2025</v>
      </c>
      <c r="G10105" s="35" t="s">
        <v>2026</v>
      </c>
    </row>
    <row r="10106" spans="1:7">
      <c r="A10106" s="34">
        <v>2084017438</v>
      </c>
      <c r="B10106" s="35" t="s">
        <v>462</v>
      </c>
      <c r="C10106" s="35" t="s">
        <v>2016</v>
      </c>
      <c r="D10106" s="35" t="s">
        <v>405</v>
      </c>
      <c r="E10106" s="35" t="s">
        <v>2073</v>
      </c>
      <c r="F10106" s="35" t="s">
        <v>2025</v>
      </c>
      <c r="G10106" s="35" t="s">
        <v>531</v>
      </c>
    </row>
    <row r="10107" spans="1:7">
      <c r="A10107" s="34">
        <v>2084017679</v>
      </c>
      <c r="B10107" s="35" t="s">
        <v>462</v>
      </c>
      <c r="C10107" s="35" t="s">
        <v>2016</v>
      </c>
      <c r="D10107" s="35" t="s">
        <v>405</v>
      </c>
      <c r="E10107" s="35" t="s">
        <v>2073</v>
      </c>
      <c r="F10107" s="35" t="s">
        <v>2025</v>
      </c>
      <c r="G10107" s="35" t="s">
        <v>532</v>
      </c>
    </row>
    <row r="10108" spans="1:7">
      <c r="A10108" s="34">
        <v>2084017751</v>
      </c>
      <c r="B10108" s="35" t="s">
        <v>462</v>
      </c>
      <c r="C10108" s="35" t="s">
        <v>2016</v>
      </c>
      <c r="D10108" s="35" t="s">
        <v>405</v>
      </c>
      <c r="E10108" s="35" t="s">
        <v>2073</v>
      </c>
      <c r="F10108" s="35" t="s">
        <v>2025</v>
      </c>
      <c r="G10108" s="35" t="s">
        <v>397</v>
      </c>
    </row>
    <row r="10109" spans="1:7">
      <c r="A10109" s="34">
        <v>2084017822</v>
      </c>
      <c r="B10109" s="35" t="s">
        <v>462</v>
      </c>
      <c r="C10109" s="35" t="s">
        <v>2016</v>
      </c>
      <c r="D10109" s="35" t="s">
        <v>405</v>
      </c>
      <c r="E10109" s="35" t="s">
        <v>2073</v>
      </c>
      <c r="F10109" s="35" t="s">
        <v>2025</v>
      </c>
      <c r="G10109" s="35" t="s">
        <v>515</v>
      </c>
    </row>
    <row r="10110" spans="1:7">
      <c r="A10110" s="34">
        <v>2084017778</v>
      </c>
      <c r="B10110" s="35" t="s">
        <v>462</v>
      </c>
      <c r="C10110" s="35" t="s">
        <v>2016</v>
      </c>
      <c r="D10110" s="35" t="s">
        <v>405</v>
      </c>
      <c r="E10110" s="35" t="s">
        <v>2073</v>
      </c>
      <c r="F10110" s="35" t="s">
        <v>2025</v>
      </c>
      <c r="G10110" s="35" t="s">
        <v>1445</v>
      </c>
    </row>
    <row r="10111" spans="1:7">
      <c r="A10111" s="34">
        <v>2084017727</v>
      </c>
      <c r="B10111" s="35" t="s">
        <v>462</v>
      </c>
      <c r="C10111" s="35" t="s">
        <v>2016</v>
      </c>
      <c r="D10111" s="35" t="s">
        <v>405</v>
      </c>
      <c r="E10111" s="35" t="s">
        <v>2073</v>
      </c>
      <c r="F10111" s="35" t="s">
        <v>2025</v>
      </c>
      <c r="G10111" s="35" t="s">
        <v>398</v>
      </c>
    </row>
    <row r="10112" spans="1:7">
      <c r="A10112" s="34">
        <v>2084017852</v>
      </c>
      <c r="B10112" s="35" t="s">
        <v>462</v>
      </c>
      <c r="C10112" s="35" t="s">
        <v>2016</v>
      </c>
      <c r="D10112" s="35" t="s">
        <v>405</v>
      </c>
      <c r="E10112" s="35" t="s">
        <v>2073</v>
      </c>
      <c r="F10112" s="35" t="s">
        <v>2027</v>
      </c>
      <c r="G10112" s="35" t="s">
        <v>1069</v>
      </c>
    </row>
    <row r="10113" spans="1:7">
      <c r="A10113" s="34">
        <v>2084018111</v>
      </c>
      <c r="B10113" s="35" t="s">
        <v>462</v>
      </c>
      <c r="C10113" s="35" t="s">
        <v>2016</v>
      </c>
      <c r="D10113" s="35" t="s">
        <v>405</v>
      </c>
      <c r="E10113" s="35" t="s">
        <v>2073</v>
      </c>
      <c r="F10113" s="35" t="s">
        <v>2027</v>
      </c>
      <c r="G10113" s="35" t="s">
        <v>495</v>
      </c>
    </row>
    <row r="10114" spans="1:7">
      <c r="A10114" s="34">
        <v>2084017878</v>
      </c>
      <c r="B10114" s="35" t="s">
        <v>462</v>
      </c>
      <c r="C10114" s="35" t="s">
        <v>2016</v>
      </c>
      <c r="D10114" s="35" t="s">
        <v>405</v>
      </c>
      <c r="E10114" s="35" t="s">
        <v>2073</v>
      </c>
      <c r="F10114" s="35" t="s">
        <v>2027</v>
      </c>
      <c r="G10114" s="35" t="s">
        <v>545</v>
      </c>
    </row>
    <row r="10115" spans="1:7">
      <c r="A10115" s="34">
        <v>2084017842</v>
      </c>
      <c r="B10115" s="35" t="s">
        <v>462</v>
      </c>
      <c r="C10115" s="35" t="s">
        <v>2016</v>
      </c>
      <c r="D10115" s="35" t="s">
        <v>405</v>
      </c>
      <c r="E10115" s="35" t="s">
        <v>2073</v>
      </c>
      <c r="F10115" s="35" t="s">
        <v>2027</v>
      </c>
      <c r="G10115" s="35" t="s">
        <v>481</v>
      </c>
    </row>
    <row r="10116" spans="1:7">
      <c r="A10116" s="34">
        <v>2084018085</v>
      </c>
      <c r="B10116" s="35" t="s">
        <v>462</v>
      </c>
      <c r="C10116" s="35" t="s">
        <v>2016</v>
      </c>
      <c r="D10116" s="35" t="s">
        <v>405</v>
      </c>
      <c r="E10116" s="35" t="s">
        <v>2073</v>
      </c>
      <c r="F10116" s="35" t="s">
        <v>2027</v>
      </c>
      <c r="G10116" s="35" t="s">
        <v>493</v>
      </c>
    </row>
    <row r="10117" spans="1:7">
      <c r="A10117" s="34">
        <v>2084017986</v>
      </c>
      <c r="B10117" s="35" t="s">
        <v>462</v>
      </c>
      <c r="C10117" s="35" t="s">
        <v>2016</v>
      </c>
      <c r="D10117" s="35" t="s">
        <v>405</v>
      </c>
      <c r="E10117" s="35" t="s">
        <v>2073</v>
      </c>
      <c r="F10117" s="35" t="s">
        <v>2027</v>
      </c>
      <c r="G10117" s="35" t="s">
        <v>494</v>
      </c>
    </row>
    <row r="10118" spans="1:7">
      <c r="A10118" s="34">
        <v>2084018040</v>
      </c>
      <c r="B10118" s="35" t="s">
        <v>462</v>
      </c>
      <c r="C10118" s="35" t="s">
        <v>2016</v>
      </c>
      <c r="D10118" s="35" t="s">
        <v>405</v>
      </c>
      <c r="E10118" s="35" t="s">
        <v>2073</v>
      </c>
      <c r="F10118" s="35" t="s">
        <v>2027</v>
      </c>
      <c r="G10118" s="35" t="s">
        <v>397</v>
      </c>
    </row>
    <row r="10119" spans="1:7">
      <c r="A10119" s="34">
        <v>2084018076</v>
      </c>
      <c r="B10119" s="35" t="s">
        <v>462</v>
      </c>
      <c r="C10119" s="35" t="s">
        <v>2016</v>
      </c>
      <c r="D10119" s="35" t="s">
        <v>405</v>
      </c>
      <c r="E10119" s="35" t="s">
        <v>2073</v>
      </c>
      <c r="F10119" s="35" t="s">
        <v>2027</v>
      </c>
      <c r="G10119" s="35" t="s">
        <v>421</v>
      </c>
    </row>
    <row r="10120" spans="1:7">
      <c r="A10120" s="34">
        <v>2084018012</v>
      </c>
      <c r="B10120" s="35" t="s">
        <v>462</v>
      </c>
      <c r="C10120" s="35" t="s">
        <v>2016</v>
      </c>
      <c r="D10120" s="35" t="s">
        <v>405</v>
      </c>
      <c r="E10120" s="35" t="s">
        <v>2073</v>
      </c>
      <c r="F10120" s="35" t="s">
        <v>2027</v>
      </c>
      <c r="G10120" s="35" t="s">
        <v>398</v>
      </c>
    </row>
    <row r="10121" spans="1:7">
      <c r="A10121" s="34">
        <v>2084018058</v>
      </c>
      <c r="B10121" s="35" t="s">
        <v>462</v>
      </c>
      <c r="C10121" s="35" t="s">
        <v>2016</v>
      </c>
      <c r="D10121" s="35" t="s">
        <v>405</v>
      </c>
      <c r="E10121" s="35" t="s">
        <v>2073</v>
      </c>
      <c r="F10121" s="35" t="s">
        <v>2027</v>
      </c>
      <c r="G10121" s="35" t="s">
        <v>422</v>
      </c>
    </row>
    <row r="10122" spans="1:7">
      <c r="A10122" s="34">
        <v>2084048702</v>
      </c>
      <c r="B10122" s="35" t="s">
        <v>462</v>
      </c>
      <c r="C10122" s="35" t="s">
        <v>2016</v>
      </c>
      <c r="D10122" s="35" t="s">
        <v>405</v>
      </c>
      <c r="E10122" s="35" t="s">
        <v>2073</v>
      </c>
      <c r="F10122" s="35" t="s">
        <v>335</v>
      </c>
    </row>
    <row r="10123" spans="1:7">
      <c r="A10123" s="34">
        <v>2084237963</v>
      </c>
      <c r="B10123" s="35" t="s">
        <v>462</v>
      </c>
      <c r="C10123" s="35" t="s">
        <v>2016</v>
      </c>
      <c r="D10123" s="35" t="s">
        <v>405</v>
      </c>
      <c r="E10123" s="35" t="s">
        <v>1399</v>
      </c>
      <c r="F10123" s="35" t="s">
        <v>2062</v>
      </c>
      <c r="G10123" s="35" t="s">
        <v>2063</v>
      </c>
    </row>
    <row r="10124" spans="1:7">
      <c r="A10124" s="34">
        <v>2084237964</v>
      </c>
      <c r="B10124" s="35" t="s">
        <v>462</v>
      </c>
      <c r="C10124" s="35" t="s">
        <v>2016</v>
      </c>
      <c r="D10124" s="35" t="s">
        <v>405</v>
      </c>
      <c r="E10124" s="35" t="s">
        <v>1399</v>
      </c>
      <c r="F10124" s="35" t="s">
        <v>2062</v>
      </c>
      <c r="G10124" s="35" t="s">
        <v>402</v>
      </c>
    </row>
    <row r="10125" spans="1:7">
      <c r="A10125" s="34">
        <v>2084237965</v>
      </c>
      <c r="B10125" s="35" t="s">
        <v>462</v>
      </c>
      <c r="C10125" s="35" t="s">
        <v>2016</v>
      </c>
      <c r="D10125" s="35" t="s">
        <v>405</v>
      </c>
      <c r="E10125" s="35" t="s">
        <v>1399</v>
      </c>
      <c r="F10125" s="35" t="s">
        <v>2062</v>
      </c>
      <c r="G10125" s="35" t="s">
        <v>403</v>
      </c>
    </row>
    <row r="10126" spans="1:7">
      <c r="A10126" s="34">
        <v>2084237966</v>
      </c>
      <c r="B10126" s="35" t="s">
        <v>462</v>
      </c>
      <c r="C10126" s="35" t="s">
        <v>2016</v>
      </c>
      <c r="D10126" s="35" t="s">
        <v>405</v>
      </c>
      <c r="E10126" s="35" t="s">
        <v>1399</v>
      </c>
      <c r="F10126" s="35" t="s">
        <v>2062</v>
      </c>
      <c r="G10126" s="35" t="s">
        <v>335</v>
      </c>
    </row>
    <row r="10127" spans="1:7">
      <c r="A10127" s="34">
        <v>2084237952</v>
      </c>
      <c r="B10127" s="35" t="s">
        <v>462</v>
      </c>
      <c r="C10127" s="35" t="s">
        <v>2016</v>
      </c>
      <c r="D10127" s="35" t="s">
        <v>405</v>
      </c>
      <c r="E10127" s="35" t="s">
        <v>1399</v>
      </c>
      <c r="F10127" s="35" t="s">
        <v>2025</v>
      </c>
      <c r="G10127" s="35" t="s">
        <v>401</v>
      </c>
    </row>
    <row r="10128" spans="1:7">
      <c r="A10128" s="34">
        <v>2084237953</v>
      </c>
      <c r="B10128" s="35" t="s">
        <v>462</v>
      </c>
      <c r="C10128" s="35" t="s">
        <v>2016</v>
      </c>
      <c r="D10128" s="35" t="s">
        <v>405</v>
      </c>
      <c r="E10128" s="35" t="s">
        <v>1399</v>
      </c>
      <c r="F10128" s="35" t="s">
        <v>2025</v>
      </c>
      <c r="G10128" s="35" t="s">
        <v>402</v>
      </c>
    </row>
    <row r="10129" spans="1:9">
      <c r="A10129" s="34">
        <v>2084237954</v>
      </c>
      <c r="B10129" s="35" t="s">
        <v>462</v>
      </c>
      <c r="C10129" s="35" t="s">
        <v>2016</v>
      </c>
      <c r="D10129" s="35" t="s">
        <v>405</v>
      </c>
      <c r="E10129" s="35" t="s">
        <v>1399</v>
      </c>
      <c r="F10129" s="35" t="s">
        <v>2025</v>
      </c>
      <c r="G10129" s="35" t="s">
        <v>403</v>
      </c>
    </row>
    <row r="10130" spans="1:9">
      <c r="A10130" s="34">
        <v>2084237955</v>
      </c>
      <c r="B10130" s="35" t="s">
        <v>462</v>
      </c>
      <c r="C10130" s="35" t="s">
        <v>2016</v>
      </c>
      <c r="D10130" s="35" t="s">
        <v>405</v>
      </c>
      <c r="E10130" s="35" t="s">
        <v>1399</v>
      </c>
      <c r="F10130" s="35" t="s">
        <v>2025</v>
      </c>
      <c r="G10130" s="35" t="s">
        <v>478</v>
      </c>
    </row>
    <row r="10131" spans="1:9">
      <c r="A10131" s="34">
        <v>2084237956</v>
      </c>
      <c r="B10131" s="35" t="s">
        <v>462</v>
      </c>
      <c r="C10131" s="35" t="s">
        <v>2016</v>
      </c>
      <c r="D10131" s="35" t="s">
        <v>405</v>
      </c>
      <c r="E10131" s="35" t="s">
        <v>1399</v>
      </c>
      <c r="F10131" s="35" t="s">
        <v>2025</v>
      </c>
      <c r="G10131" s="35" t="s">
        <v>335</v>
      </c>
    </row>
    <row r="10132" spans="1:9">
      <c r="A10132" s="34">
        <v>2084237957</v>
      </c>
      <c r="B10132" s="35" t="s">
        <v>462</v>
      </c>
      <c r="C10132" s="35" t="s">
        <v>2016</v>
      </c>
      <c r="D10132" s="35" t="s">
        <v>405</v>
      </c>
      <c r="E10132" s="35" t="s">
        <v>1399</v>
      </c>
      <c r="F10132" s="35" t="s">
        <v>2027</v>
      </c>
      <c r="G10132" s="35" t="s">
        <v>401</v>
      </c>
    </row>
    <row r="10133" spans="1:9">
      <c r="A10133" s="34">
        <v>2084237959</v>
      </c>
      <c r="B10133" s="35" t="s">
        <v>462</v>
      </c>
      <c r="C10133" s="35" t="s">
        <v>2016</v>
      </c>
      <c r="D10133" s="35" t="s">
        <v>405</v>
      </c>
      <c r="E10133" s="35" t="s">
        <v>1399</v>
      </c>
      <c r="F10133" s="35" t="s">
        <v>2027</v>
      </c>
      <c r="G10133" s="35" t="s">
        <v>402</v>
      </c>
    </row>
    <row r="10134" spans="1:9">
      <c r="A10134" s="34">
        <v>2084237960</v>
      </c>
      <c r="B10134" s="35" t="s">
        <v>462</v>
      </c>
      <c r="C10134" s="35" t="s">
        <v>2016</v>
      </c>
      <c r="D10134" s="35" t="s">
        <v>405</v>
      </c>
      <c r="E10134" s="35" t="s">
        <v>1399</v>
      </c>
      <c r="F10134" s="35" t="s">
        <v>2027</v>
      </c>
      <c r="G10134" s="35" t="s">
        <v>403</v>
      </c>
    </row>
    <row r="10135" spans="1:9">
      <c r="A10135" s="34">
        <v>2084237961</v>
      </c>
      <c r="B10135" s="35" t="s">
        <v>462</v>
      </c>
      <c r="C10135" s="35" t="s">
        <v>2016</v>
      </c>
      <c r="D10135" s="35" t="s">
        <v>405</v>
      </c>
      <c r="E10135" s="35" t="s">
        <v>1399</v>
      </c>
      <c r="F10135" s="35" t="s">
        <v>2027</v>
      </c>
      <c r="G10135" s="35" t="s">
        <v>335</v>
      </c>
    </row>
    <row r="10136" spans="1:9">
      <c r="A10136" s="34">
        <v>2084237974</v>
      </c>
      <c r="B10136" s="35" t="s">
        <v>462</v>
      </c>
      <c r="C10136" s="35" t="s">
        <v>2016</v>
      </c>
      <c r="D10136" s="35" t="s">
        <v>405</v>
      </c>
      <c r="E10136" s="35" t="s">
        <v>2074</v>
      </c>
      <c r="F10136" s="35" t="s">
        <v>2062</v>
      </c>
      <c r="G10136" s="35" t="s">
        <v>2063</v>
      </c>
    </row>
    <row r="10137" spans="1:9">
      <c r="A10137" s="34">
        <v>2084237975</v>
      </c>
      <c r="B10137" s="35" t="s">
        <v>462</v>
      </c>
      <c r="C10137" s="35" t="s">
        <v>2016</v>
      </c>
      <c r="D10137" s="35" t="s">
        <v>405</v>
      </c>
      <c r="E10137" s="35" t="s">
        <v>2074</v>
      </c>
      <c r="F10137" s="35" t="s">
        <v>2062</v>
      </c>
      <c r="G10137" s="35" t="s">
        <v>402</v>
      </c>
    </row>
    <row r="10138" spans="1:9">
      <c r="A10138" s="34">
        <v>2084237976</v>
      </c>
      <c r="B10138" s="35" t="s">
        <v>462</v>
      </c>
      <c r="C10138" s="35" t="s">
        <v>2016</v>
      </c>
      <c r="D10138" s="35" t="s">
        <v>405</v>
      </c>
      <c r="E10138" s="35" t="s">
        <v>2074</v>
      </c>
      <c r="F10138" s="35" t="s">
        <v>2062</v>
      </c>
      <c r="G10138" s="35" t="s">
        <v>403</v>
      </c>
    </row>
    <row r="10139" spans="1:9">
      <c r="A10139" s="34">
        <v>2084237977</v>
      </c>
      <c r="B10139" s="35" t="s">
        <v>462</v>
      </c>
      <c r="C10139" s="35" t="s">
        <v>2016</v>
      </c>
      <c r="D10139" s="35" t="s">
        <v>405</v>
      </c>
      <c r="E10139" s="35" t="s">
        <v>2074</v>
      </c>
      <c r="F10139" s="35" t="s">
        <v>2062</v>
      </c>
      <c r="G10139" s="35" t="s">
        <v>335</v>
      </c>
    </row>
    <row r="10140" spans="1:9">
      <c r="A10140" s="34">
        <v>2084017688</v>
      </c>
      <c r="B10140" s="35" t="s">
        <v>462</v>
      </c>
      <c r="C10140" s="35" t="s">
        <v>2016</v>
      </c>
      <c r="D10140" s="35" t="s">
        <v>405</v>
      </c>
      <c r="E10140" s="35" t="s">
        <v>2074</v>
      </c>
      <c r="F10140" s="35" t="s">
        <v>2025</v>
      </c>
      <c r="G10140" s="35" t="s">
        <v>481</v>
      </c>
    </row>
    <row r="10141" spans="1:9">
      <c r="A10141" s="34">
        <v>2084017754</v>
      </c>
      <c r="B10141" s="35" t="s">
        <v>462</v>
      </c>
      <c r="C10141" s="35" t="s">
        <v>2016</v>
      </c>
      <c r="D10141" s="35" t="s">
        <v>405</v>
      </c>
      <c r="E10141" s="35" t="s">
        <v>2074</v>
      </c>
      <c r="F10141" s="35" t="s">
        <v>2025</v>
      </c>
      <c r="G10141" s="35" t="s">
        <v>10</v>
      </c>
      <c r="H10141" s="35" t="s">
        <v>509</v>
      </c>
    </row>
    <row r="10142" spans="1:9">
      <c r="A10142" s="34">
        <v>2084017224</v>
      </c>
      <c r="B10142" s="35" t="s">
        <v>462</v>
      </c>
      <c r="C10142" s="35" t="s">
        <v>2016</v>
      </c>
      <c r="D10142" s="35" t="s">
        <v>405</v>
      </c>
      <c r="E10142" s="35" t="s">
        <v>2074</v>
      </c>
      <c r="F10142" s="35" t="s">
        <v>2025</v>
      </c>
      <c r="G10142" s="35" t="s">
        <v>10</v>
      </c>
      <c r="H10142" s="35" t="s">
        <v>493</v>
      </c>
    </row>
    <row r="10143" spans="1:9">
      <c r="A10143" s="34">
        <v>2084221854</v>
      </c>
      <c r="B10143" s="35" t="s">
        <v>462</v>
      </c>
      <c r="C10143" s="35" t="s">
        <v>2016</v>
      </c>
      <c r="D10143" s="35" t="s">
        <v>405</v>
      </c>
      <c r="E10143" s="35" t="s">
        <v>2074</v>
      </c>
      <c r="F10143" s="35" t="s">
        <v>2025</v>
      </c>
      <c r="G10143" s="35" t="s">
        <v>10</v>
      </c>
      <c r="H10143" s="35" t="s">
        <v>373</v>
      </c>
      <c r="I10143" s="35" t="s">
        <v>2075</v>
      </c>
    </row>
    <row r="10144" spans="1:9">
      <c r="A10144" s="34">
        <v>2084221855</v>
      </c>
      <c r="B10144" s="35" t="s">
        <v>462</v>
      </c>
      <c r="C10144" s="35" t="s">
        <v>2016</v>
      </c>
      <c r="D10144" s="35" t="s">
        <v>405</v>
      </c>
      <c r="E10144" s="35" t="s">
        <v>2074</v>
      </c>
      <c r="F10144" s="35" t="s">
        <v>2025</v>
      </c>
      <c r="G10144" s="35" t="s">
        <v>10</v>
      </c>
      <c r="H10144" s="35" t="s">
        <v>373</v>
      </c>
      <c r="I10144" s="35" t="s">
        <v>2076</v>
      </c>
    </row>
    <row r="10145" spans="1:9">
      <c r="A10145" s="34">
        <v>2084221856</v>
      </c>
      <c r="B10145" s="35" t="s">
        <v>462</v>
      </c>
      <c r="C10145" s="35" t="s">
        <v>2016</v>
      </c>
      <c r="D10145" s="35" t="s">
        <v>405</v>
      </c>
      <c r="E10145" s="35" t="s">
        <v>2074</v>
      </c>
      <c r="F10145" s="35" t="s">
        <v>2025</v>
      </c>
      <c r="G10145" s="35" t="s">
        <v>10</v>
      </c>
      <c r="H10145" s="35" t="s">
        <v>373</v>
      </c>
      <c r="I10145" s="35" t="s">
        <v>2077</v>
      </c>
    </row>
    <row r="10146" spans="1:9">
      <c r="A10146" s="34">
        <v>2084221857</v>
      </c>
      <c r="B10146" s="35" t="s">
        <v>462</v>
      </c>
      <c r="C10146" s="35" t="s">
        <v>2016</v>
      </c>
      <c r="D10146" s="35" t="s">
        <v>405</v>
      </c>
      <c r="E10146" s="35" t="s">
        <v>2074</v>
      </c>
      <c r="F10146" s="35" t="s">
        <v>2025</v>
      </c>
      <c r="G10146" s="35" t="s">
        <v>10</v>
      </c>
      <c r="H10146" s="35" t="s">
        <v>373</v>
      </c>
      <c r="I10146" s="35" t="s">
        <v>2078</v>
      </c>
    </row>
    <row r="10147" spans="1:9">
      <c r="A10147" s="34">
        <v>2084221858</v>
      </c>
      <c r="B10147" s="35" t="s">
        <v>462</v>
      </c>
      <c r="C10147" s="35" t="s">
        <v>2016</v>
      </c>
      <c r="D10147" s="35" t="s">
        <v>405</v>
      </c>
      <c r="E10147" s="35" t="s">
        <v>2074</v>
      </c>
      <c r="F10147" s="35" t="s">
        <v>2025</v>
      </c>
      <c r="G10147" s="35" t="s">
        <v>10</v>
      </c>
      <c r="H10147" s="35" t="s">
        <v>373</v>
      </c>
      <c r="I10147" s="35" t="s">
        <v>2079</v>
      </c>
    </row>
    <row r="10148" spans="1:9">
      <c r="A10148" s="34">
        <v>2084221859</v>
      </c>
      <c r="B10148" s="35" t="s">
        <v>462</v>
      </c>
      <c r="C10148" s="35" t="s">
        <v>2016</v>
      </c>
      <c r="D10148" s="35" t="s">
        <v>405</v>
      </c>
      <c r="E10148" s="35" t="s">
        <v>2074</v>
      </c>
      <c r="F10148" s="35" t="s">
        <v>2025</v>
      </c>
      <c r="G10148" s="35" t="s">
        <v>10</v>
      </c>
      <c r="H10148" s="35" t="s">
        <v>373</v>
      </c>
      <c r="I10148" s="35" t="s">
        <v>2080</v>
      </c>
    </row>
    <row r="10149" spans="1:9">
      <c r="A10149" s="34">
        <v>2084221860</v>
      </c>
      <c r="B10149" s="35" t="s">
        <v>462</v>
      </c>
      <c r="C10149" s="35" t="s">
        <v>2016</v>
      </c>
      <c r="D10149" s="35" t="s">
        <v>405</v>
      </c>
      <c r="E10149" s="35" t="s">
        <v>2074</v>
      </c>
      <c r="F10149" s="35" t="s">
        <v>2025</v>
      </c>
      <c r="G10149" s="35" t="s">
        <v>10</v>
      </c>
      <c r="H10149" s="35" t="s">
        <v>373</v>
      </c>
      <c r="I10149" s="35" t="s">
        <v>2081</v>
      </c>
    </row>
    <row r="10150" spans="1:9">
      <c r="A10150" s="34">
        <v>2084017824</v>
      </c>
      <c r="B10150" s="35" t="s">
        <v>462</v>
      </c>
      <c r="C10150" s="35" t="s">
        <v>2016</v>
      </c>
      <c r="D10150" s="35" t="s">
        <v>405</v>
      </c>
      <c r="E10150" s="35" t="s">
        <v>2074</v>
      </c>
      <c r="F10150" s="35" t="s">
        <v>2025</v>
      </c>
      <c r="G10150" s="35" t="s">
        <v>10</v>
      </c>
      <c r="H10150" s="35" t="s">
        <v>515</v>
      </c>
    </row>
    <row r="10151" spans="1:9">
      <c r="A10151" s="34">
        <v>2084017779</v>
      </c>
      <c r="B10151" s="35" t="s">
        <v>462</v>
      </c>
      <c r="C10151" s="35" t="s">
        <v>2016</v>
      </c>
      <c r="D10151" s="35" t="s">
        <v>405</v>
      </c>
      <c r="E10151" s="35" t="s">
        <v>2074</v>
      </c>
      <c r="F10151" s="35" t="s">
        <v>2025</v>
      </c>
      <c r="G10151" s="35" t="s">
        <v>10</v>
      </c>
      <c r="H10151" s="35" t="s">
        <v>1445</v>
      </c>
    </row>
    <row r="10152" spans="1:9">
      <c r="A10152" s="34">
        <v>2084017728</v>
      </c>
      <c r="B10152" s="35" t="s">
        <v>462</v>
      </c>
      <c r="C10152" s="35" t="s">
        <v>2016</v>
      </c>
      <c r="D10152" s="35" t="s">
        <v>405</v>
      </c>
      <c r="E10152" s="35" t="s">
        <v>2074</v>
      </c>
      <c r="F10152" s="35" t="s">
        <v>2025</v>
      </c>
      <c r="G10152" s="35" t="s">
        <v>10</v>
      </c>
      <c r="H10152" s="35" t="s">
        <v>398</v>
      </c>
    </row>
    <row r="10153" spans="1:9">
      <c r="A10153" s="34">
        <v>2084237969</v>
      </c>
      <c r="B10153" s="35" t="s">
        <v>462</v>
      </c>
      <c r="C10153" s="35" t="s">
        <v>2016</v>
      </c>
      <c r="D10153" s="35" t="s">
        <v>405</v>
      </c>
      <c r="E10153" s="35" t="s">
        <v>2074</v>
      </c>
      <c r="F10153" s="35" t="s">
        <v>2025</v>
      </c>
      <c r="G10153" s="35" t="s">
        <v>10</v>
      </c>
      <c r="H10153" s="35" t="s">
        <v>335</v>
      </c>
    </row>
    <row r="10154" spans="1:9">
      <c r="A10154" s="34">
        <v>2084017296</v>
      </c>
      <c r="B10154" s="35" t="s">
        <v>462</v>
      </c>
      <c r="C10154" s="35" t="s">
        <v>2016</v>
      </c>
      <c r="D10154" s="35" t="s">
        <v>405</v>
      </c>
      <c r="E10154" s="35" t="s">
        <v>2074</v>
      </c>
      <c r="F10154" s="35" t="s">
        <v>2025</v>
      </c>
      <c r="G10154" s="35" t="s">
        <v>379</v>
      </c>
      <c r="H10154" s="35" t="s">
        <v>545</v>
      </c>
    </row>
    <row r="10155" spans="1:9">
      <c r="A10155" s="34">
        <v>2084017303</v>
      </c>
      <c r="B10155" s="35" t="s">
        <v>462</v>
      </c>
      <c r="C10155" s="35" t="s">
        <v>2016</v>
      </c>
      <c r="D10155" s="35" t="s">
        <v>405</v>
      </c>
      <c r="E10155" s="35" t="s">
        <v>2074</v>
      </c>
      <c r="F10155" s="35" t="s">
        <v>2025</v>
      </c>
      <c r="G10155" s="35" t="s">
        <v>379</v>
      </c>
      <c r="H10155" s="35" t="s">
        <v>476</v>
      </c>
    </row>
    <row r="10156" spans="1:9">
      <c r="A10156" s="34">
        <v>2084237971</v>
      </c>
      <c r="B10156" s="35" t="s">
        <v>462</v>
      </c>
      <c r="C10156" s="35" t="s">
        <v>2016</v>
      </c>
      <c r="D10156" s="35" t="s">
        <v>405</v>
      </c>
      <c r="E10156" s="35" t="s">
        <v>2074</v>
      </c>
      <c r="F10156" s="35" t="s">
        <v>2025</v>
      </c>
      <c r="G10156" s="35" t="s">
        <v>379</v>
      </c>
      <c r="H10156" s="35" t="s">
        <v>335</v>
      </c>
    </row>
    <row r="10157" spans="1:9">
      <c r="A10157" s="34">
        <v>2084017268</v>
      </c>
      <c r="B10157" s="35" t="s">
        <v>462</v>
      </c>
      <c r="C10157" s="35" t="s">
        <v>2016</v>
      </c>
      <c r="D10157" s="35" t="s">
        <v>405</v>
      </c>
      <c r="E10157" s="35" t="s">
        <v>2074</v>
      </c>
      <c r="F10157" s="35" t="s">
        <v>2025</v>
      </c>
      <c r="G10157" s="35" t="s">
        <v>2045</v>
      </c>
    </row>
    <row r="10158" spans="1:9">
      <c r="A10158" s="34">
        <v>2084017238</v>
      </c>
      <c r="B10158" s="35" t="s">
        <v>462</v>
      </c>
      <c r="C10158" s="35" t="s">
        <v>2016</v>
      </c>
      <c r="D10158" s="35" t="s">
        <v>405</v>
      </c>
      <c r="E10158" s="35" t="s">
        <v>2074</v>
      </c>
      <c r="F10158" s="35" t="s">
        <v>2025</v>
      </c>
      <c r="G10158" s="35" t="s">
        <v>2060</v>
      </c>
    </row>
    <row r="10159" spans="1:9">
      <c r="A10159" s="34">
        <v>2084017344</v>
      </c>
      <c r="B10159" s="35" t="s">
        <v>462</v>
      </c>
      <c r="C10159" s="35" t="s">
        <v>2016</v>
      </c>
      <c r="D10159" s="35" t="s">
        <v>405</v>
      </c>
      <c r="E10159" s="35" t="s">
        <v>2074</v>
      </c>
      <c r="F10159" s="35" t="s">
        <v>2025</v>
      </c>
      <c r="G10159" s="35" t="s">
        <v>2026</v>
      </c>
    </row>
    <row r="10160" spans="1:9">
      <c r="A10160" s="34">
        <v>2084017439</v>
      </c>
      <c r="B10160" s="35" t="s">
        <v>462</v>
      </c>
      <c r="C10160" s="35" t="s">
        <v>2016</v>
      </c>
      <c r="D10160" s="35" t="s">
        <v>405</v>
      </c>
      <c r="E10160" s="35" t="s">
        <v>2074</v>
      </c>
      <c r="F10160" s="35" t="s">
        <v>2025</v>
      </c>
      <c r="G10160" s="35" t="s">
        <v>531</v>
      </c>
    </row>
    <row r="10161" spans="1:7">
      <c r="A10161" s="34">
        <v>2084007359</v>
      </c>
      <c r="B10161" s="35" t="s">
        <v>462</v>
      </c>
      <c r="C10161" s="35" t="s">
        <v>2016</v>
      </c>
      <c r="D10161" s="35" t="s">
        <v>405</v>
      </c>
      <c r="E10161" s="35" t="s">
        <v>2074</v>
      </c>
      <c r="F10161" s="35" t="s">
        <v>2025</v>
      </c>
      <c r="G10161" s="35" t="s">
        <v>532</v>
      </c>
    </row>
    <row r="10162" spans="1:7">
      <c r="A10162" s="34">
        <v>2084237972</v>
      </c>
      <c r="B10162" s="35" t="s">
        <v>462</v>
      </c>
      <c r="C10162" s="35" t="s">
        <v>2016</v>
      </c>
      <c r="D10162" s="35" t="s">
        <v>405</v>
      </c>
      <c r="E10162" s="35" t="s">
        <v>2074</v>
      </c>
      <c r="F10162" s="35" t="s">
        <v>2025</v>
      </c>
      <c r="G10162" s="35" t="s">
        <v>335</v>
      </c>
    </row>
    <row r="10163" spans="1:7">
      <c r="A10163" s="34">
        <v>2084048706</v>
      </c>
      <c r="B10163" s="35" t="s">
        <v>462</v>
      </c>
      <c r="C10163" s="35" t="s">
        <v>2016</v>
      </c>
      <c r="D10163" s="35" t="s">
        <v>405</v>
      </c>
      <c r="E10163" s="35" t="s">
        <v>2074</v>
      </c>
      <c r="F10163" s="35" t="s">
        <v>335</v>
      </c>
    </row>
    <row r="10164" spans="1:7">
      <c r="A10164" s="34">
        <v>2084293062</v>
      </c>
      <c r="B10164" s="35" t="s">
        <v>462</v>
      </c>
      <c r="C10164" s="35" t="s">
        <v>2016</v>
      </c>
      <c r="D10164" s="35" t="s">
        <v>405</v>
      </c>
      <c r="E10164" s="35" t="s">
        <v>2082</v>
      </c>
    </row>
    <row r="10165" spans="1:7">
      <c r="A10165" s="34">
        <v>2084243363</v>
      </c>
      <c r="B10165" s="35" t="s">
        <v>462</v>
      </c>
      <c r="C10165" s="35" t="s">
        <v>2016</v>
      </c>
      <c r="D10165" s="35" t="s">
        <v>405</v>
      </c>
      <c r="E10165" s="35" t="s">
        <v>1418</v>
      </c>
      <c r="F10165" s="35" t="s">
        <v>2019</v>
      </c>
    </row>
    <row r="10166" spans="1:7">
      <c r="A10166" s="34">
        <v>2084243364</v>
      </c>
      <c r="B10166" s="35" t="s">
        <v>462</v>
      </c>
      <c r="C10166" s="35" t="s">
        <v>2016</v>
      </c>
      <c r="D10166" s="35" t="s">
        <v>405</v>
      </c>
      <c r="E10166" s="35" t="s">
        <v>1418</v>
      </c>
      <c r="F10166" s="35" t="s">
        <v>2020</v>
      </c>
    </row>
    <row r="10167" spans="1:7">
      <c r="A10167" s="34">
        <v>2084293071</v>
      </c>
      <c r="B10167" s="35" t="s">
        <v>462</v>
      </c>
      <c r="C10167" s="35" t="s">
        <v>2016</v>
      </c>
      <c r="D10167" s="35" t="s">
        <v>405</v>
      </c>
      <c r="E10167" s="35" t="s">
        <v>2083</v>
      </c>
    </row>
    <row r="10168" spans="1:7">
      <c r="A10168" s="34">
        <v>2084297778</v>
      </c>
      <c r="B10168" s="35" t="s">
        <v>462</v>
      </c>
      <c r="C10168" s="35" t="s">
        <v>2016</v>
      </c>
      <c r="D10168" s="35" t="s">
        <v>405</v>
      </c>
      <c r="E10168" s="35" t="s">
        <v>1447</v>
      </c>
      <c r="F10168" s="35" t="s">
        <v>2018</v>
      </c>
    </row>
    <row r="10169" spans="1:7">
      <c r="A10169" s="34">
        <v>2084017755</v>
      </c>
      <c r="B10169" s="35" t="s">
        <v>462</v>
      </c>
      <c r="C10169" s="35" t="s">
        <v>2016</v>
      </c>
      <c r="D10169" s="35" t="s">
        <v>405</v>
      </c>
      <c r="E10169" s="35" t="s">
        <v>1447</v>
      </c>
      <c r="F10169" s="35" t="s">
        <v>2025</v>
      </c>
      <c r="G10169" s="35" t="s">
        <v>509</v>
      </c>
    </row>
    <row r="10170" spans="1:7">
      <c r="A10170" s="34">
        <v>2084017297</v>
      </c>
      <c r="B10170" s="35" t="s">
        <v>462</v>
      </c>
      <c r="C10170" s="35" t="s">
        <v>2016</v>
      </c>
      <c r="D10170" s="35" t="s">
        <v>405</v>
      </c>
      <c r="E10170" s="35" t="s">
        <v>1447</v>
      </c>
      <c r="F10170" s="35" t="s">
        <v>2025</v>
      </c>
      <c r="G10170" s="35" t="s">
        <v>545</v>
      </c>
    </row>
    <row r="10171" spans="1:7">
      <c r="A10171" s="34">
        <v>2084017690</v>
      </c>
      <c r="B10171" s="35" t="s">
        <v>462</v>
      </c>
      <c r="C10171" s="35" t="s">
        <v>2016</v>
      </c>
      <c r="D10171" s="35" t="s">
        <v>405</v>
      </c>
      <c r="E10171" s="35" t="s">
        <v>1447</v>
      </c>
      <c r="F10171" s="35" t="s">
        <v>2025</v>
      </c>
      <c r="G10171" s="35" t="s">
        <v>481</v>
      </c>
    </row>
    <row r="10172" spans="1:7">
      <c r="A10172" s="34">
        <v>2084017304</v>
      </c>
      <c r="B10172" s="35" t="s">
        <v>462</v>
      </c>
      <c r="C10172" s="35" t="s">
        <v>2016</v>
      </c>
      <c r="D10172" s="35" t="s">
        <v>405</v>
      </c>
      <c r="E10172" s="35" t="s">
        <v>1447</v>
      </c>
      <c r="F10172" s="35" t="s">
        <v>2025</v>
      </c>
      <c r="G10172" s="35" t="s">
        <v>476</v>
      </c>
    </row>
    <row r="10173" spans="1:7">
      <c r="A10173" s="34">
        <v>2084017225</v>
      </c>
      <c r="B10173" s="35" t="s">
        <v>462</v>
      </c>
      <c r="C10173" s="35" t="s">
        <v>2016</v>
      </c>
      <c r="D10173" s="35" t="s">
        <v>405</v>
      </c>
      <c r="E10173" s="35" t="s">
        <v>1447</v>
      </c>
      <c r="F10173" s="35" t="s">
        <v>2025</v>
      </c>
      <c r="G10173" s="35" t="s">
        <v>493</v>
      </c>
    </row>
    <row r="10174" spans="1:7">
      <c r="A10174" s="34">
        <v>2084017239</v>
      </c>
      <c r="B10174" s="35" t="s">
        <v>462</v>
      </c>
      <c r="C10174" s="35" t="s">
        <v>2016</v>
      </c>
      <c r="D10174" s="35" t="s">
        <v>405</v>
      </c>
      <c r="E10174" s="35" t="s">
        <v>1447</v>
      </c>
      <c r="F10174" s="35" t="s">
        <v>2025</v>
      </c>
      <c r="G10174" s="35" t="s">
        <v>2032</v>
      </c>
    </row>
    <row r="10175" spans="1:7">
      <c r="A10175" s="34">
        <v>2084017345</v>
      </c>
      <c r="B10175" s="35" t="s">
        <v>462</v>
      </c>
      <c r="C10175" s="35" t="s">
        <v>2016</v>
      </c>
      <c r="D10175" s="35" t="s">
        <v>405</v>
      </c>
      <c r="E10175" s="35" t="s">
        <v>1447</v>
      </c>
      <c r="F10175" s="35" t="s">
        <v>2025</v>
      </c>
      <c r="G10175" s="35" t="s">
        <v>2026</v>
      </c>
    </row>
    <row r="10176" spans="1:7">
      <c r="A10176" s="34">
        <v>2084017440</v>
      </c>
      <c r="B10176" s="35" t="s">
        <v>462</v>
      </c>
      <c r="C10176" s="35" t="s">
        <v>2016</v>
      </c>
      <c r="D10176" s="35" t="s">
        <v>405</v>
      </c>
      <c r="E10176" s="35" t="s">
        <v>1447</v>
      </c>
      <c r="F10176" s="35" t="s">
        <v>2025</v>
      </c>
      <c r="G10176" s="35" t="s">
        <v>531</v>
      </c>
    </row>
    <row r="10177" spans="1:7">
      <c r="A10177" s="34">
        <v>2084017681</v>
      </c>
      <c r="B10177" s="35" t="s">
        <v>462</v>
      </c>
      <c r="C10177" s="35" t="s">
        <v>2016</v>
      </c>
      <c r="D10177" s="35" t="s">
        <v>405</v>
      </c>
      <c r="E10177" s="35" t="s">
        <v>1447</v>
      </c>
      <c r="F10177" s="35" t="s">
        <v>2025</v>
      </c>
      <c r="G10177" s="35" t="s">
        <v>532</v>
      </c>
    </row>
    <row r="10178" spans="1:7">
      <c r="A10178" s="34">
        <v>2084017753</v>
      </c>
      <c r="B10178" s="35" t="s">
        <v>462</v>
      </c>
      <c r="C10178" s="35" t="s">
        <v>2016</v>
      </c>
      <c r="D10178" s="35" t="s">
        <v>405</v>
      </c>
      <c r="E10178" s="35" t="s">
        <v>1447</v>
      </c>
      <c r="F10178" s="35" t="s">
        <v>2025</v>
      </c>
      <c r="G10178" s="35" t="s">
        <v>397</v>
      </c>
    </row>
    <row r="10179" spans="1:7">
      <c r="A10179" s="34">
        <v>2084017825</v>
      </c>
      <c r="B10179" s="35" t="s">
        <v>462</v>
      </c>
      <c r="C10179" s="35" t="s">
        <v>2016</v>
      </c>
      <c r="D10179" s="35" t="s">
        <v>405</v>
      </c>
      <c r="E10179" s="35" t="s">
        <v>1447</v>
      </c>
      <c r="F10179" s="35" t="s">
        <v>2025</v>
      </c>
      <c r="G10179" s="35" t="s">
        <v>515</v>
      </c>
    </row>
    <row r="10180" spans="1:7">
      <c r="A10180" s="34">
        <v>2084017780</v>
      </c>
      <c r="B10180" s="35" t="s">
        <v>462</v>
      </c>
      <c r="C10180" s="35" t="s">
        <v>2016</v>
      </c>
      <c r="D10180" s="35" t="s">
        <v>405</v>
      </c>
      <c r="E10180" s="35" t="s">
        <v>1447</v>
      </c>
      <c r="F10180" s="35" t="s">
        <v>2025</v>
      </c>
      <c r="G10180" s="35" t="s">
        <v>1445</v>
      </c>
    </row>
    <row r="10181" spans="1:7">
      <c r="A10181" s="34">
        <v>2084017729</v>
      </c>
      <c r="B10181" s="35" t="s">
        <v>462</v>
      </c>
      <c r="C10181" s="35" t="s">
        <v>2016</v>
      </c>
      <c r="D10181" s="35" t="s">
        <v>405</v>
      </c>
      <c r="E10181" s="35" t="s">
        <v>1447</v>
      </c>
      <c r="F10181" s="35" t="s">
        <v>2025</v>
      </c>
      <c r="G10181" s="35" t="s">
        <v>398</v>
      </c>
    </row>
    <row r="10182" spans="1:7">
      <c r="A10182" s="34">
        <v>2084017844</v>
      </c>
      <c r="B10182" s="35" t="s">
        <v>462</v>
      </c>
      <c r="C10182" s="35" t="s">
        <v>2016</v>
      </c>
      <c r="D10182" s="35" t="s">
        <v>405</v>
      </c>
      <c r="E10182" s="35" t="s">
        <v>1447</v>
      </c>
      <c r="F10182" s="35" t="s">
        <v>2027</v>
      </c>
      <c r="G10182" s="35" t="s">
        <v>1069</v>
      </c>
    </row>
    <row r="10183" spans="1:7">
      <c r="A10183" s="34">
        <v>2084018112</v>
      </c>
      <c r="B10183" s="35" t="s">
        <v>462</v>
      </c>
      <c r="C10183" s="35" t="s">
        <v>2016</v>
      </c>
      <c r="D10183" s="35" t="s">
        <v>405</v>
      </c>
      <c r="E10183" s="35" t="s">
        <v>1447</v>
      </c>
      <c r="F10183" s="35" t="s">
        <v>2027</v>
      </c>
      <c r="G10183" s="35" t="s">
        <v>495</v>
      </c>
    </row>
    <row r="10184" spans="1:7">
      <c r="A10184" s="34">
        <v>2084017879</v>
      </c>
      <c r="B10184" s="35" t="s">
        <v>462</v>
      </c>
      <c r="C10184" s="35" t="s">
        <v>2016</v>
      </c>
      <c r="D10184" s="35" t="s">
        <v>405</v>
      </c>
      <c r="E10184" s="35" t="s">
        <v>1447</v>
      </c>
      <c r="F10184" s="35" t="s">
        <v>2027</v>
      </c>
      <c r="G10184" s="35" t="s">
        <v>545</v>
      </c>
    </row>
    <row r="10185" spans="1:7">
      <c r="A10185" s="34">
        <v>2084017843</v>
      </c>
      <c r="B10185" s="35" t="s">
        <v>462</v>
      </c>
      <c r="C10185" s="35" t="s">
        <v>2016</v>
      </c>
      <c r="D10185" s="35" t="s">
        <v>405</v>
      </c>
      <c r="E10185" s="35" t="s">
        <v>1447</v>
      </c>
      <c r="F10185" s="35" t="s">
        <v>2027</v>
      </c>
      <c r="G10185" s="35" t="s">
        <v>481</v>
      </c>
    </row>
    <row r="10186" spans="1:7">
      <c r="A10186" s="34">
        <v>2084018086</v>
      </c>
      <c r="B10186" s="35" t="s">
        <v>462</v>
      </c>
      <c r="C10186" s="35" t="s">
        <v>2016</v>
      </c>
      <c r="D10186" s="35" t="s">
        <v>405</v>
      </c>
      <c r="E10186" s="35" t="s">
        <v>1447</v>
      </c>
      <c r="F10186" s="35" t="s">
        <v>2027</v>
      </c>
      <c r="G10186" s="35" t="s">
        <v>493</v>
      </c>
    </row>
    <row r="10187" spans="1:7">
      <c r="A10187" s="34">
        <v>2084017987</v>
      </c>
      <c r="B10187" s="35" t="s">
        <v>462</v>
      </c>
      <c r="C10187" s="35" t="s">
        <v>2016</v>
      </c>
      <c r="D10187" s="35" t="s">
        <v>405</v>
      </c>
      <c r="E10187" s="35" t="s">
        <v>1447</v>
      </c>
      <c r="F10187" s="35" t="s">
        <v>2027</v>
      </c>
      <c r="G10187" s="35" t="s">
        <v>494</v>
      </c>
    </row>
    <row r="10188" spans="1:7">
      <c r="A10188" s="34">
        <v>2084018041</v>
      </c>
      <c r="B10188" s="35" t="s">
        <v>462</v>
      </c>
      <c r="C10188" s="35" t="s">
        <v>2016</v>
      </c>
      <c r="D10188" s="35" t="s">
        <v>405</v>
      </c>
      <c r="E10188" s="35" t="s">
        <v>1447</v>
      </c>
      <c r="F10188" s="35" t="s">
        <v>2027</v>
      </c>
      <c r="G10188" s="35" t="s">
        <v>397</v>
      </c>
    </row>
    <row r="10189" spans="1:7">
      <c r="A10189" s="34">
        <v>2084018077</v>
      </c>
      <c r="B10189" s="35" t="s">
        <v>462</v>
      </c>
      <c r="C10189" s="35" t="s">
        <v>2016</v>
      </c>
      <c r="D10189" s="35" t="s">
        <v>405</v>
      </c>
      <c r="E10189" s="35" t="s">
        <v>1447</v>
      </c>
      <c r="F10189" s="35" t="s">
        <v>2027</v>
      </c>
      <c r="G10189" s="35" t="s">
        <v>421</v>
      </c>
    </row>
    <row r="10190" spans="1:7">
      <c r="A10190" s="34">
        <v>2084018013</v>
      </c>
      <c r="B10190" s="35" t="s">
        <v>462</v>
      </c>
      <c r="C10190" s="35" t="s">
        <v>2016</v>
      </c>
      <c r="D10190" s="35" t="s">
        <v>405</v>
      </c>
      <c r="E10190" s="35" t="s">
        <v>1447</v>
      </c>
      <c r="F10190" s="35" t="s">
        <v>2027</v>
      </c>
      <c r="G10190" s="35" t="s">
        <v>398</v>
      </c>
    </row>
    <row r="10191" spans="1:7">
      <c r="A10191" s="34">
        <v>2084018059</v>
      </c>
      <c r="B10191" s="35" t="s">
        <v>462</v>
      </c>
      <c r="C10191" s="35" t="s">
        <v>2016</v>
      </c>
      <c r="D10191" s="35" t="s">
        <v>405</v>
      </c>
      <c r="E10191" s="35" t="s">
        <v>1447</v>
      </c>
      <c r="F10191" s="35" t="s">
        <v>2027</v>
      </c>
      <c r="G10191" s="35" t="s">
        <v>422</v>
      </c>
    </row>
    <row r="10192" spans="1:7">
      <c r="A10192" s="34">
        <v>2084205933</v>
      </c>
      <c r="B10192" s="35" t="s">
        <v>462</v>
      </c>
      <c r="C10192" s="35" t="s">
        <v>2016</v>
      </c>
      <c r="D10192" s="35" t="s">
        <v>405</v>
      </c>
      <c r="E10192" s="35" t="s">
        <v>1464</v>
      </c>
      <c r="F10192" s="35" t="s">
        <v>2025</v>
      </c>
      <c r="G10192" s="35" t="s">
        <v>401</v>
      </c>
    </row>
    <row r="10193" spans="1:8">
      <c r="A10193" s="34">
        <v>2084205934</v>
      </c>
      <c r="B10193" s="35" t="s">
        <v>462</v>
      </c>
      <c r="C10193" s="35" t="s">
        <v>2016</v>
      </c>
      <c r="D10193" s="35" t="s">
        <v>405</v>
      </c>
      <c r="E10193" s="35" t="s">
        <v>1464</v>
      </c>
      <c r="F10193" s="35" t="s">
        <v>2025</v>
      </c>
      <c r="G10193" s="35" t="s">
        <v>402</v>
      </c>
    </row>
    <row r="10194" spans="1:8">
      <c r="A10194" s="34">
        <v>2084205936</v>
      </c>
      <c r="B10194" s="35" t="s">
        <v>462</v>
      </c>
      <c r="C10194" s="35" t="s">
        <v>2016</v>
      </c>
      <c r="D10194" s="35" t="s">
        <v>405</v>
      </c>
      <c r="E10194" s="35" t="s">
        <v>1464</v>
      </c>
      <c r="F10194" s="35" t="s">
        <v>2025</v>
      </c>
      <c r="G10194" s="35" t="s">
        <v>379</v>
      </c>
      <c r="H10194" s="35" t="s">
        <v>545</v>
      </c>
    </row>
    <row r="10195" spans="1:8">
      <c r="A10195" s="34">
        <v>2084205937</v>
      </c>
      <c r="B10195" s="35" t="s">
        <v>462</v>
      </c>
      <c r="C10195" s="35" t="s">
        <v>2016</v>
      </c>
      <c r="D10195" s="35" t="s">
        <v>405</v>
      </c>
      <c r="E10195" s="35" t="s">
        <v>1464</v>
      </c>
      <c r="F10195" s="35" t="s">
        <v>2025</v>
      </c>
      <c r="G10195" s="35" t="s">
        <v>379</v>
      </c>
      <c r="H10195" s="35" t="s">
        <v>335</v>
      </c>
    </row>
    <row r="10196" spans="1:8">
      <c r="A10196" s="34">
        <v>2084205938</v>
      </c>
      <c r="B10196" s="35" t="s">
        <v>462</v>
      </c>
      <c r="C10196" s="35" t="s">
        <v>2016</v>
      </c>
      <c r="D10196" s="35" t="s">
        <v>405</v>
      </c>
      <c r="E10196" s="35" t="s">
        <v>1464</v>
      </c>
      <c r="F10196" s="35" t="s">
        <v>2025</v>
      </c>
      <c r="G10196" s="35" t="s">
        <v>478</v>
      </c>
    </row>
    <row r="10197" spans="1:8">
      <c r="A10197" s="34">
        <v>2084205939</v>
      </c>
      <c r="B10197" s="35" t="s">
        <v>462</v>
      </c>
      <c r="C10197" s="35" t="s">
        <v>2016</v>
      </c>
      <c r="D10197" s="35" t="s">
        <v>405</v>
      </c>
      <c r="E10197" s="35" t="s">
        <v>1464</v>
      </c>
      <c r="F10197" s="35" t="s">
        <v>2025</v>
      </c>
      <c r="G10197" s="35" t="s">
        <v>335</v>
      </c>
    </row>
    <row r="10198" spans="1:8">
      <c r="A10198" s="34">
        <v>2084205941</v>
      </c>
      <c r="B10198" s="35" t="s">
        <v>462</v>
      </c>
      <c r="C10198" s="35" t="s">
        <v>2016</v>
      </c>
      <c r="D10198" s="35" t="s">
        <v>405</v>
      </c>
      <c r="E10198" s="35" t="s">
        <v>1464</v>
      </c>
      <c r="F10198" s="35" t="s">
        <v>2027</v>
      </c>
      <c r="G10198" s="35" t="s">
        <v>401</v>
      </c>
    </row>
    <row r="10199" spans="1:8">
      <c r="A10199" s="34">
        <v>2084205942</v>
      </c>
      <c r="B10199" s="35" t="s">
        <v>462</v>
      </c>
      <c r="C10199" s="35" t="s">
        <v>2016</v>
      </c>
      <c r="D10199" s="35" t="s">
        <v>405</v>
      </c>
      <c r="E10199" s="35" t="s">
        <v>1464</v>
      </c>
      <c r="F10199" s="35" t="s">
        <v>2027</v>
      </c>
      <c r="G10199" s="35" t="s">
        <v>402</v>
      </c>
    </row>
    <row r="10200" spans="1:8">
      <c r="A10200" s="34">
        <v>2084205944</v>
      </c>
      <c r="B10200" s="35" t="s">
        <v>462</v>
      </c>
      <c r="C10200" s="35" t="s">
        <v>2016</v>
      </c>
      <c r="D10200" s="35" t="s">
        <v>405</v>
      </c>
      <c r="E10200" s="35" t="s">
        <v>1464</v>
      </c>
      <c r="F10200" s="35" t="s">
        <v>2027</v>
      </c>
      <c r="G10200" s="35" t="s">
        <v>379</v>
      </c>
      <c r="H10200" s="35" t="s">
        <v>545</v>
      </c>
    </row>
    <row r="10201" spans="1:8">
      <c r="A10201" s="34">
        <v>2084205945</v>
      </c>
      <c r="B10201" s="35" t="s">
        <v>462</v>
      </c>
      <c r="C10201" s="35" t="s">
        <v>2016</v>
      </c>
      <c r="D10201" s="35" t="s">
        <v>405</v>
      </c>
      <c r="E10201" s="35" t="s">
        <v>1464</v>
      </c>
      <c r="F10201" s="35" t="s">
        <v>2027</v>
      </c>
      <c r="G10201" s="35" t="s">
        <v>379</v>
      </c>
      <c r="H10201" s="35" t="s">
        <v>335</v>
      </c>
    </row>
    <row r="10202" spans="1:8">
      <c r="A10202" s="34">
        <v>2084205946</v>
      </c>
      <c r="B10202" s="35" t="s">
        <v>462</v>
      </c>
      <c r="C10202" s="35" t="s">
        <v>2016</v>
      </c>
      <c r="D10202" s="35" t="s">
        <v>405</v>
      </c>
      <c r="E10202" s="35" t="s">
        <v>1464</v>
      </c>
      <c r="F10202" s="35" t="s">
        <v>2027</v>
      </c>
      <c r="G10202" s="35" t="s">
        <v>335</v>
      </c>
    </row>
    <row r="10203" spans="1:8">
      <c r="A10203" s="34">
        <v>2084061988</v>
      </c>
      <c r="B10203" s="35" t="s">
        <v>462</v>
      </c>
      <c r="C10203" s="35" t="s">
        <v>2016</v>
      </c>
      <c r="D10203" s="35" t="s">
        <v>405</v>
      </c>
      <c r="E10203" s="35" t="s">
        <v>2084</v>
      </c>
      <c r="F10203" s="35" t="s">
        <v>401</v>
      </c>
    </row>
    <row r="10204" spans="1:8">
      <c r="A10204" s="34">
        <v>2084061989</v>
      </c>
      <c r="B10204" s="35" t="s">
        <v>462</v>
      </c>
      <c r="C10204" s="35" t="s">
        <v>2016</v>
      </c>
      <c r="D10204" s="35" t="s">
        <v>405</v>
      </c>
      <c r="E10204" s="35" t="s">
        <v>2084</v>
      </c>
      <c r="F10204" s="35" t="s">
        <v>402</v>
      </c>
    </row>
    <row r="10205" spans="1:8">
      <c r="A10205" s="34">
        <v>2084061990</v>
      </c>
      <c r="B10205" s="35" t="s">
        <v>462</v>
      </c>
      <c r="C10205" s="35" t="s">
        <v>2016</v>
      </c>
      <c r="D10205" s="35" t="s">
        <v>405</v>
      </c>
      <c r="E10205" s="35" t="s">
        <v>2084</v>
      </c>
      <c r="F10205" s="35" t="s">
        <v>403</v>
      </c>
    </row>
    <row r="10206" spans="1:8">
      <c r="A10206" s="34">
        <v>2084061991</v>
      </c>
      <c r="B10206" s="35" t="s">
        <v>462</v>
      </c>
      <c r="C10206" s="35" t="s">
        <v>2016</v>
      </c>
      <c r="D10206" s="35" t="s">
        <v>405</v>
      </c>
      <c r="E10206" s="35" t="s">
        <v>2084</v>
      </c>
      <c r="F10206" s="35" t="s">
        <v>478</v>
      </c>
    </row>
    <row r="10207" spans="1:8">
      <c r="A10207" s="34">
        <v>2084061992</v>
      </c>
      <c r="B10207" s="35" t="s">
        <v>462</v>
      </c>
      <c r="C10207" s="35" t="s">
        <v>2016</v>
      </c>
      <c r="D10207" s="35" t="s">
        <v>405</v>
      </c>
      <c r="E10207" s="35" t="s">
        <v>2084</v>
      </c>
      <c r="F10207" s="35" t="s">
        <v>335</v>
      </c>
    </row>
    <row r="10208" spans="1:8">
      <c r="A10208" s="34">
        <v>2084205949</v>
      </c>
      <c r="B10208" s="35" t="s">
        <v>462</v>
      </c>
      <c r="C10208" s="35" t="s">
        <v>2016</v>
      </c>
      <c r="D10208" s="35" t="s">
        <v>405</v>
      </c>
      <c r="E10208" s="35" t="s">
        <v>2085</v>
      </c>
      <c r="F10208" s="35" t="s">
        <v>2025</v>
      </c>
      <c r="G10208" s="35" t="s">
        <v>401</v>
      </c>
    </row>
    <row r="10209" spans="1:8">
      <c r="A10209" s="34">
        <v>2084205955</v>
      </c>
      <c r="B10209" s="35" t="s">
        <v>462</v>
      </c>
      <c r="C10209" s="35" t="s">
        <v>2016</v>
      </c>
      <c r="D10209" s="35" t="s">
        <v>405</v>
      </c>
      <c r="E10209" s="35" t="s">
        <v>2085</v>
      </c>
      <c r="F10209" s="35" t="s">
        <v>2025</v>
      </c>
      <c r="G10209" s="35" t="s">
        <v>10</v>
      </c>
      <c r="H10209" s="35" t="s">
        <v>493</v>
      </c>
    </row>
    <row r="10210" spans="1:8">
      <c r="A10210" s="34">
        <v>2084205952</v>
      </c>
      <c r="B10210" s="35" t="s">
        <v>462</v>
      </c>
      <c r="C10210" s="35" t="s">
        <v>2016</v>
      </c>
      <c r="D10210" s="35" t="s">
        <v>405</v>
      </c>
      <c r="E10210" s="35" t="s">
        <v>2085</v>
      </c>
      <c r="F10210" s="35" t="s">
        <v>2025</v>
      </c>
      <c r="G10210" s="35" t="s">
        <v>10</v>
      </c>
      <c r="H10210" s="35" t="s">
        <v>397</v>
      </c>
    </row>
    <row r="10211" spans="1:8">
      <c r="A10211" s="34">
        <v>2084205954</v>
      </c>
      <c r="B10211" s="35" t="s">
        <v>462</v>
      </c>
      <c r="C10211" s="35" t="s">
        <v>2016</v>
      </c>
      <c r="D10211" s="35" t="s">
        <v>405</v>
      </c>
      <c r="E10211" s="35" t="s">
        <v>2085</v>
      </c>
      <c r="F10211" s="35" t="s">
        <v>2025</v>
      </c>
      <c r="G10211" s="35" t="s">
        <v>10</v>
      </c>
      <c r="H10211" s="35" t="s">
        <v>421</v>
      </c>
    </row>
    <row r="10212" spans="1:8">
      <c r="A10212" s="34">
        <v>2084205951</v>
      </c>
      <c r="B10212" s="35" t="s">
        <v>462</v>
      </c>
      <c r="C10212" s="35" t="s">
        <v>2016</v>
      </c>
      <c r="D10212" s="35" t="s">
        <v>405</v>
      </c>
      <c r="E10212" s="35" t="s">
        <v>2085</v>
      </c>
      <c r="F10212" s="35" t="s">
        <v>2025</v>
      </c>
      <c r="G10212" s="35" t="s">
        <v>10</v>
      </c>
      <c r="H10212" s="35" t="s">
        <v>398</v>
      </c>
    </row>
    <row r="10213" spans="1:8">
      <c r="A10213" s="34">
        <v>2084205953</v>
      </c>
      <c r="B10213" s="35" t="s">
        <v>462</v>
      </c>
      <c r="C10213" s="35" t="s">
        <v>2016</v>
      </c>
      <c r="D10213" s="35" t="s">
        <v>405</v>
      </c>
      <c r="E10213" s="35" t="s">
        <v>2085</v>
      </c>
      <c r="F10213" s="35" t="s">
        <v>2025</v>
      </c>
      <c r="G10213" s="35" t="s">
        <v>10</v>
      </c>
      <c r="H10213" s="35" t="s">
        <v>422</v>
      </c>
    </row>
    <row r="10214" spans="1:8">
      <c r="A10214" s="34">
        <v>2084205956</v>
      </c>
      <c r="B10214" s="35" t="s">
        <v>462</v>
      </c>
      <c r="C10214" s="35" t="s">
        <v>2016</v>
      </c>
      <c r="D10214" s="35" t="s">
        <v>405</v>
      </c>
      <c r="E10214" s="35" t="s">
        <v>2085</v>
      </c>
      <c r="F10214" s="35" t="s">
        <v>2025</v>
      </c>
      <c r="G10214" s="35" t="s">
        <v>10</v>
      </c>
      <c r="H10214" s="35" t="s">
        <v>335</v>
      </c>
    </row>
    <row r="10215" spans="1:8">
      <c r="A10215" s="34">
        <v>2084205958</v>
      </c>
      <c r="B10215" s="35" t="s">
        <v>462</v>
      </c>
      <c r="C10215" s="35" t="s">
        <v>2016</v>
      </c>
      <c r="D10215" s="35" t="s">
        <v>405</v>
      </c>
      <c r="E10215" s="35" t="s">
        <v>2085</v>
      </c>
      <c r="F10215" s="35" t="s">
        <v>2025</v>
      </c>
      <c r="G10215" s="35" t="s">
        <v>379</v>
      </c>
      <c r="H10215" s="35" t="s">
        <v>476</v>
      </c>
    </row>
    <row r="10216" spans="1:8">
      <c r="A10216" s="34">
        <v>2084205959</v>
      </c>
      <c r="B10216" s="35" t="s">
        <v>462</v>
      </c>
      <c r="C10216" s="35" t="s">
        <v>2016</v>
      </c>
      <c r="D10216" s="35" t="s">
        <v>405</v>
      </c>
      <c r="E10216" s="35" t="s">
        <v>2085</v>
      </c>
      <c r="F10216" s="35" t="s">
        <v>2025</v>
      </c>
      <c r="G10216" s="35" t="s">
        <v>379</v>
      </c>
      <c r="H10216" s="35" t="s">
        <v>335</v>
      </c>
    </row>
    <row r="10217" spans="1:8">
      <c r="A10217" s="34">
        <v>2084205960</v>
      </c>
      <c r="B10217" s="35" t="s">
        <v>462</v>
      </c>
      <c r="C10217" s="35" t="s">
        <v>2016</v>
      </c>
      <c r="D10217" s="35" t="s">
        <v>405</v>
      </c>
      <c r="E10217" s="35" t="s">
        <v>2085</v>
      </c>
      <c r="F10217" s="35" t="s">
        <v>2025</v>
      </c>
      <c r="G10217" s="35" t="s">
        <v>478</v>
      </c>
    </row>
    <row r="10218" spans="1:8">
      <c r="A10218" s="34">
        <v>2084205961</v>
      </c>
      <c r="B10218" s="35" t="s">
        <v>462</v>
      </c>
      <c r="C10218" s="35" t="s">
        <v>2016</v>
      </c>
      <c r="D10218" s="35" t="s">
        <v>405</v>
      </c>
      <c r="E10218" s="35" t="s">
        <v>2085</v>
      </c>
      <c r="F10218" s="35" t="s">
        <v>2025</v>
      </c>
      <c r="G10218" s="35" t="s">
        <v>335</v>
      </c>
    </row>
    <row r="10219" spans="1:8">
      <c r="A10219" s="34">
        <v>2084205963</v>
      </c>
      <c r="B10219" s="35" t="s">
        <v>462</v>
      </c>
      <c r="C10219" s="35" t="s">
        <v>2016</v>
      </c>
      <c r="D10219" s="35" t="s">
        <v>405</v>
      </c>
      <c r="E10219" s="35" t="s">
        <v>2085</v>
      </c>
      <c r="F10219" s="35" t="s">
        <v>2027</v>
      </c>
      <c r="G10219" s="35" t="s">
        <v>401</v>
      </c>
    </row>
    <row r="10220" spans="1:8">
      <c r="A10220" s="34">
        <v>2084205969</v>
      </c>
      <c r="B10220" s="35" t="s">
        <v>462</v>
      </c>
      <c r="C10220" s="35" t="s">
        <v>2016</v>
      </c>
      <c r="D10220" s="35" t="s">
        <v>405</v>
      </c>
      <c r="E10220" s="35" t="s">
        <v>2085</v>
      </c>
      <c r="F10220" s="35" t="s">
        <v>2027</v>
      </c>
      <c r="G10220" s="35" t="s">
        <v>10</v>
      </c>
      <c r="H10220" s="35" t="s">
        <v>493</v>
      </c>
    </row>
    <row r="10221" spans="1:8">
      <c r="A10221" s="34">
        <v>2084205966</v>
      </c>
      <c r="B10221" s="35" t="s">
        <v>462</v>
      </c>
      <c r="C10221" s="35" t="s">
        <v>2016</v>
      </c>
      <c r="D10221" s="35" t="s">
        <v>405</v>
      </c>
      <c r="E10221" s="35" t="s">
        <v>2085</v>
      </c>
      <c r="F10221" s="35" t="s">
        <v>2027</v>
      </c>
      <c r="G10221" s="35" t="s">
        <v>10</v>
      </c>
      <c r="H10221" s="35" t="s">
        <v>397</v>
      </c>
    </row>
    <row r="10222" spans="1:8">
      <c r="A10222" s="34">
        <v>2084205968</v>
      </c>
      <c r="B10222" s="35" t="s">
        <v>462</v>
      </c>
      <c r="C10222" s="35" t="s">
        <v>2016</v>
      </c>
      <c r="D10222" s="35" t="s">
        <v>405</v>
      </c>
      <c r="E10222" s="35" t="s">
        <v>2085</v>
      </c>
      <c r="F10222" s="35" t="s">
        <v>2027</v>
      </c>
      <c r="G10222" s="35" t="s">
        <v>10</v>
      </c>
      <c r="H10222" s="35" t="s">
        <v>421</v>
      </c>
    </row>
    <row r="10223" spans="1:8">
      <c r="A10223" s="34">
        <v>2084205965</v>
      </c>
      <c r="B10223" s="35" t="s">
        <v>462</v>
      </c>
      <c r="C10223" s="35" t="s">
        <v>2016</v>
      </c>
      <c r="D10223" s="35" t="s">
        <v>405</v>
      </c>
      <c r="E10223" s="35" t="s">
        <v>2085</v>
      </c>
      <c r="F10223" s="35" t="s">
        <v>2027</v>
      </c>
      <c r="G10223" s="35" t="s">
        <v>10</v>
      </c>
      <c r="H10223" s="35" t="s">
        <v>398</v>
      </c>
    </row>
    <row r="10224" spans="1:8">
      <c r="A10224" s="34">
        <v>2084205967</v>
      </c>
      <c r="B10224" s="35" t="s">
        <v>462</v>
      </c>
      <c r="C10224" s="35" t="s">
        <v>2016</v>
      </c>
      <c r="D10224" s="35" t="s">
        <v>405</v>
      </c>
      <c r="E10224" s="35" t="s">
        <v>2085</v>
      </c>
      <c r="F10224" s="35" t="s">
        <v>2027</v>
      </c>
      <c r="G10224" s="35" t="s">
        <v>10</v>
      </c>
      <c r="H10224" s="35" t="s">
        <v>422</v>
      </c>
    </row>
    <row r="10225" spans="1:8">
      <c r="A10225" s="34">
        <v>2084205970</v>
      </c>
      <c r="B10225" s="35" t="s">
        <v>462</v>
      </c>
      <c r="C10225" s="35" t="s">
        <v>2016</v>
      </c>
      <c r="D10225" s="35" t="s">
        <v>405</v>
      </c>
      <c r="E10225" s="35" t="s">
        <v>2085</v>
      </c>
      <c r="F10225" s="35" t="s">
        <v>2027</v>
      </c>
      <c r="G10225" s="35" t="s">
        <v>10</v>
      </c>
      <c r="H10225" s="35" t="s">
        <v>335</v>
      </c>
    </row>
    <row r="10226" spans="1:8">
      <c r="A10226" s="34">
        <v>2084205971</v>
      </c>
      <c r="B10226" s="35" t="s">
        <v>462</v>
      </c>
      <c r="C10226" s="35" t="s">
        <v>2016</v>
      </c>
      <c r="D10226" s="35" t="s">
        <v>405</v>
      </c>
      <c r="E10226" s="35" t="s">
        <v>2085</v>
      </c>
      <c r="F10226" s="35" t="s">
        <v>2027</v>
      </c>
      <c r="G10226" s="35" t="s">
        <v>403</v>
      </c>
    </row>
    <row r="10227" spans="1:8">
      <c r="A10227" s="34">
        <v>2084205972</v>
      </c>
      <c r="B10227" s="35" t="s">
        <v>462</v>
      </c>
      <c r="C10227" s="35" t="s">
        <v>2016</v>
      </c>
      <c r="D10227" s="35" t="s">
        <v>405</v>
      </c>
      <c r="E10227" s="35" t="s">
        <v>2085</v>
      </c>
      <c r="F10227" s="35" t="s">
        <v>2027</v>
      </c>
      <c r="G10227" s="35" t="s">
        <v>335</v>
      </c>
    </row>
    <row r="10228" spans="1:8">
      <c r="A10228" s="34">
        <v>2084205973</v>
      </c>
      <c r="B10228" s="35" t="s">
        <v>462</v>
      </c>
      <c r="C10228" s="35" t="s">
        <v>2016</v>
      </c>
      <c r="D10228" s="35" t="s">
        <v>405</v>
      </c>
      <c r="E10228" s="35" t="s">
        <v>2085</v>
      </c>
      <c r="F10228" s="35" t="s">
        <v>335</v>
      </c>
    </row>
    <row r="10229" spans="1:8">
      <c r="A10229" s="34">
        <v>2084259187</v>
      </c>
      <c r="B10229" s="35" t="s">
        <v>462</v>
      </c>
      <c r="C10229" s="35" t="s">
        <v>2016</v>
      </c>
      <c r="D10229" s="35" t="s">
        <v>405</v>
      </c>
      <c r="E10229" s="35" t="s">
        <v>2086</v>
      </c>
    </row>
    <row r="10230" spans="1:8">
      <c r="A10230" s="34">
        <v>2084313342</v>
      </c>
      <c r="B10230" s="35" t="s">
        <v>462</v>
      </c>
      <c r="C10230" s="35" t="s">
        <v>2016</v>
      </c>
      <c r="D10230" s="35" t="s">
        <v>2087</v>
      </c>
      <c r="E10230" s="35" t="s">
        <v>1902</v>
      </c>
    </row>
    <row r="10231" spans="1:8">
      <c r="A10231" s="34">
        <v>2084052666</v>
      </c>
      <c r="B10231" s="35" t="s">
        <v>462</v>
      </c>
      <c r="C10231" s="35" t="s">
        <v>2016</v>
      </c>
      <c r="D10231" s="35" t="s">
        <v>2087</v>
      </c>
      <c r="E10231" s="35" t="s">
        <v>954</v>
      </c>
      <c r="F10231" s="35" t="s">
        <v>1557</v>
      </c>
      <c r="G10231" s="35" t="s">
        <v>2075</v>
      </c>
    </row>
    <row r="10232" spans="1:8">
      <c r="A10232" s="34">
        <v>2084052669</v>
      </c>
      <c r="B10232" s="35" t="s">
        <v>462</v>
      </c>
      <c r="C10232" s="35" t="s">
        <v>2016</v>
      </c>
      <c r="D10232" s="35" t="s">
        <v>2087</v>
      </c>
      <c r="E10232" s="35" t="s">
        <v>954</v>
      </c>
      <c r="F10232" s="35" t="s">
        <v>1557</v>
      </c>
      <c r="G10232" s="35" t="s">
        <v>2076</v>
      </c>
    </row>
    <row r="10233" spans="1:8">
      <c r="A10233" s="34">
        <v>2084052671</v>
      </c>
      <c r="B10233" s="35" t="s">
        <v>462</v>
      </c>
      <c r="C10233" s="35" t="s">
        <v>2016</v>
      </c>
      <c r="D10233" s="35" t="s">
        <v>2087</v>
      </c>
      <c r="E10233" s="35" t="s">
        <v>954</v>
      </c>
      <c r="F10233" s="35" t="s">
        <v>1557</v>
      </c>
      <c r="G10233" s="35" t="s">
        <v>2077</v>
      </c>
    </row>
    <row r="10234" spans="1:8">
      <c r="A10234" s="34">
        <v>2084052672</v>
      </c>
      <c r="B10234" s="35" t="s">
        <v>462</v>
      </c>
      <c r="C10234" s="35" t="s">
        <v>2016</v>
      </c>
      <c r="D10234" s="35" t="s">
        <v>2087</v>
      </c>
      <c r="E10234" s="35" t="s">
        <v>954</v>
      </c>
      <c r="F10234" s="35" t="s">
        <v>1557</v>
      </c>
      <c r="G10234" s="35" t="s">
        <v>2078</v>
      </c>
    </row>
    <row r="10235" spans="1:8">
      <c r="A10235" s="34">
        <v>2084052673</v>
      </c>
      <c r="B10235" s="35" t="s">
        <v>462</v>
      </c>
      <c r="C10235" s="35" t="s">
        <v>2016</v>
      </c>
      <c r="D10235" s="35" t="s">
        <v>2087</v>
      </c>
      <c r="E10235" s="35" t="s">
        <v>954</v>
      </c>
      <c r="F10235" s="35" t="s">
        <v>1557</v>
      </c>
      <c r="G10235" s="35" t="s">
        <v>2079</v>
      </c>
    </row>
    <row r="10236" spans="1:8">
      <c r="A10236" s="34">
        <v>2084052675</v>
      </c>
      <c r="B10236" s="35" t="s">
        <v>462</v>
      </c>
      <c r="C10236" s="35" t="s">
        <v>2016</v>
      </c>
      <c r="D10236" s="35" t="s">
        <v>2087</v>
      </c>
      <c r="E10236" s="35" t="s">
        <v>954</v>
      </c>
      <c r="F10236" s="35" t="s">
        <v>1557</v>
      </c>
      <c r="G10236" s="35" t="s">
        <v>2080</v>
      </c>
    </row>
    <row r="10237" spans="1:8">
      <c r="A10237" s="34">
        <v>2084052676</v>
      </c>
      <c r="B10237" s="35" t="s">
        <v>462</v>
      </c>
      <c r="C10237" s="35" t="s">
        <v>2016</v>
      </c>
      <c r="D10237" s="35" t="s">
        <v>2087</v>
      </c>
      <c r="E10237" s="35" t="s">
        <v>954</v>
      </c>
      <c r="F10237" s="35" t="s">
        <v>1557</v>
      </c>
      <c r="G10237" s="35" t="s">
        <v>2081</v>
      </c>
    </row>
    <row r="10238" spans="1:8">
      <c r="A10238" s="34">
        <v>2084006524</v>
      </c>
      <c r="B10238" s="35" t="s">
        <v>462</v>
      </c>
      <c r="C10238" s="35" t="s">
        <v>2016</v>
      </c>
      <c r="D10238" s="35" t="s">
        <v>2087</v>
      </c>
      <c r="E10238" s="35" t="s">
        <v>954</v>
      </c>
      <c r="F10238" s="35" t="s">
        <v>1558</v>
      </c>
    </row>
    <row r="10239" spans="1:8">
      <c r="A10239" s="34">
        <v>2084006596</v>
      </c>
      <c r="B10239" s="35" t="s">
        <v>462</v>
      </c>
      <c r="C10239" s="35" t="s">
        <v>2016</v>
      </c>
      <c r="D10239" s="35" t="s">
        <v>2087</v>
      </c>
      <c r="E10239" s="35" t="s">
        <v>954</v>
      </c>
      <c r="F10239" s="35" t="s">
        <v>1559</v>
      </c>
    </row>
    <row r="10240" spans="1:8">
      <c r="A10240" s="34">
        <v>2084006525</v>
      </c>
      <c r="B10240" s="35" t="s">
        <v>462</v>
      </c>
      <c r="C10240" s="35" t="s">
        <v>2016</v>
      </c>
      <c r="D10240" s="35" t="s">
        <v>2087</v>
      </c>
      <c r="E10240" s="35" t="s">
        <v>954</v>
      </c>
      <c r="F10240" s="35" t="s">
        <v>2088</v>
      </c>
    </row>
    <row r="10241" spans="1:7">
      <c r="A10241" s="34">
        <v>2084006523</v>
      </c>
      <c r="B10241" s="35" t="s">
        <v>462</v>
      </c>
      <c r="C10241" s="35" t="s">
        <v>2016</v>
      </c>
      <c r="D10241" s="35" t="s">
        <v>2087</v>
      </c>
      <c r="E10241" s="35" t="s">
        <v>954</v>
      </c>
      <c r="F10241" s="35" t="s">
        <v>2089</v>
      </c>
    </row>
    <row r="10242" spans="1:7">
      <c r="A10242" s="34">
        <v>2084052839</v>
      </c>
      <c r="B10242" s="35" t="s">
        <v>462</v>
      </c>
      <c r="C10242" s="35" t="s">
        <v>2016</v>
      </c>
      <c r="D10242" s="35" t="s">
        <v>2087</v>
      </c>
      <c r="E10242" s="35" t="s">
        <v>954</v>
      </c>
      <c r="F10242" s="35" t="s">
        <v>2090</v>
      </c>
      <c r="G10242" s="35" t="s">
        <v>2091</v>
      </c>
    </row>
    <row r="10243" spans="1:7">
      <c r="A10243" s="34">
        <v>2084052840</v>
      </c>
      <c r="B10243" s="35" t="s">
        <v>462</v>
      </c>
      <c r="C10243" s="35" t="s">
        <v>2016</v>
      </c>
      <c r="D10243" s="35" t="s">
        <v>2087</v>
      </c>
      <c r="E10243" s="35" t="s">
        <v>954</v>
      </c>
      <c r="F10243" s="35" t="s">
        <v>2090</v>
      </c>
      <c r="G10243" s="35" t="s">
        <v>2076</v>
      </c>
    </row>
    <row r="10244" spans="1:7">
      <c r="A10244" s="34">
        <v>2084052841</v>
      </c>
      <c r="B10244" s="35" t="s">
        <v>462</v>
      </c>
      <c r="C10244" s="35" t="s">
        <v>2016</v>
      </c>
      <c r="D10244" s="35" t="s">
        <v>2087</v>
      </c>
      <c r="E10244" s="35" t="s">
        <v>954</v>
      </c>
      <c r="F10244" s="35" t="s">
        <v>2090</v>
      </c>
      <c r="G10244" s="35" t="s">
        <v>2077</v>
      </c>
    </row>
    <row r="10245" spans="1:7">
      <c r="A10245" s="34">
        <v>2084052842</v>
      </c>
      <c r="B10245" s="35" t="s">
        <v>462</v>
      </c>
      <c r="C10245" s="35" t="s">
        <v>2016</v>
      </c>
      <c r="D10245" s="35" t="s">
        <v>2087</v>
      </c>
      <c r="E10245" s="35" t="s">
        <v>954</v>
      </c>
      <c r="F10245" s="35" t="s">
        <v>2090</v>
      </c>
      <c r="G10245" s="35" t="s">
        <v>2078</v>
      </c>
    </row>
    <row r="10246" spans="1:7">
      <c r="A10246" s="34">
        <v>2084052843</v>
      </c>
      <c r="B10246" s="35" t="s">
        <v>462</v>
      </c>
      <c r="C10246" s="35" t="s">
        <v>2016</v>
      </c>
      <c r="D10246" s="35" t="s">
        <v>2087</v>
      </c>
      <c r="E10246" s="35" t="s">
        <v>954</v>
      </c>
      <c r="F10246" s="35" t="s">
        <v>2090</v>
      </c>
      <c r="G10246" s="35" t="s">
        <v>2079</v>
      </c>
    </row>
    <row r="10247" spans="1:7">
      <c r="A10247" s="34">
        <v>2084052844</v>
      </c>
      <c r="B10247" s="35" t="s">
        <v>462</v>
      </c>
      <c r="C10247" s="35" t="s">
        <v>2016</v>
      </c>
      <c r="D10247" s="35" t="s">
        <v>2087</v>
      </c>
      <c r="E10247" s="35" t="s">
        <v>954</v>
      </c>
      <c r="F10247" s="35" t="s">
        <v>2090</v>
      </c>
      <c r="G10247" s="35" t="s">
        <v>2080</v>
      </c>
    </row>
    <row r="10248" spans="1:7">
      <c r="A10248" s="34">
        <v>2084052845</v>
      </c>
      <c r="B10248" s="35" t="s">
        <v>462</v>
      </c>
      <c r="C10248" s="35" t="s">
        <v>2016</v>
      </c>
      <c r="D10248" s="35" t="s">
        <v>2087</v>
      </c>
      <c r="E10248" s="35" t="s">
        <v>954</v>
      </c>
      <c r="F10248" s="35" t="s">
        <v>2090</v>
      </c>
      <c r="G10248" s="35" t="s">
        <v>2081</v>
      </c>
    </row>
    <row r="10249" spans="1:7">
      <c r="A10249" s="34">
        <v>2084052680</v>
      </c>
      <c r="B10249" s="35" t="s">
        <v>462</v>
      </c>
      <c r="C10249" s="35" t="s">
        <v>2016</v>
      </c>
      <c r="D10249" s="35" t="s">
        <v>2087</v>
      </c>
      <c r="E10249" s="35" t="s">
        <v>368</v>
      </c>
      <c r="F10249" s="35" t="s">
        <v>552</v>
      </c>
      <c r="G10249" s="35" t="s">
        <v>2075</v>
      </c>
    </row>
    <row r="10250" spans="1:7">
      <c r="A10250" s="34">
        <v>2084052681</v>
      </c>
      <c r="B10250" s="35" t="s">
        <v>462</v>
      </c>
      <c r="C10250" s="35" t="s">
        <v>2016</v>
      </c>
      <c r="D10250" s="35" t="s">
        <v>2087</v>
      </c>
      <c r="E10250" s="35" t="s">
        <v>368</v>
      </c>
      <c r="F10250" s="35" t="s">
        <v>552</v>
      </c>
      <c r="G10250" s="35" t="s">
        <v>2076</v>
      </c>
    </row>
    <row r="10251" spans="1:7">
      <c r="A10251" s="34">
        <v>2084052682</v>
      </c>
      <c r="B10251" s="35" t="s">
        <v>462</v>
      </c>
      <c r="C10251" s="35" t="s">
        <v>2016</v>
      </c>
      <c r="D10251" s="35" t="s">
        <v>2087</v>
      </c>
      <c r="E10251" s="35" t="s">
        <v>368</v>
      </c>
      <c r="F10251" s="35" t="s">
        <v>552</v>
      </c>
      <c r="G10251" s="35" t="s">
        <v>2077</v>
      </c>
    </row>
    <row r="10252" spans="1:7">
      <c r="A10252" s="34">
        <v>2084052683</v>
      </c>
      <c r="B10252" s="35" t="s">
        <v>462</v>
      </c>
      <c r="C10252" s="35" t="s">
        <v>2016</v>
      </c>
      <c r="D10252" s="35" t="s">
        <v>2087</v>
      </c>
      <c r="E10252" s="35" t="s">
        <v>368</v>
      </c>
      <c r="F10252" s="35" t="s">
        <v>552</v>
      </c>
      <c r="G10252" s="35" t="s">
        <v>2078</v>
      </c>
    </row>
    <row r="10253" spans="1:7">
      <c r="A10253" s="34">
        <v>2084052684</v>
      </c>
      <c r="B10253" s="35" t="s">
        <v>462</v>
      </c>
      <c r="C10253" s="35" t="s">
        <v>2016</v>
      </c>
      <c r="D10253" s="35" t="s">
        <v>2087</v>
      </c>
      <c r="E10253" s="35" t="s">
        <v>368</v>
      </c>
      <c r="F10253" s="35" t="s">
        <v>552</v>
      </c>
      <c r="G10253" s="35" t="s">
        <v>2079</v>
      </c>
    </row>
    <row r="10254" spans="1:7">
      <c r="A10254" s="34">
        <v>2084052685</v>
      </c>
      <c r="B10254" s="35" t="s">
        <v>462</v>
      </c>
      <c r="C10254" s="35" t="s">
        <v>2016</v>
      </c>
      <c r="D10254" s="35" t="s">
        <v>2087</v>
      </c>
      <c r="E10254" s="35" t="s">
        <v>368</v>
      </c>
      <c r="F10254" s="35" t="s">
        <v>552</v>
      </c>
      <c r="G10254" s="35" t="s">
        <v>2080</v>
      </c>
    </row>
    <row r="10255" spans="1:7">
      <c r="A10255" s="34">
        <v>2084052686</v>
      </c>
      <c r="B10255" s="35" t="s">
        <v>462</v>
      </c>
      <c r="C10255" s="35" t="s">
        <v>2016</v>
      </c>
      <c r="D10255" s="35" t="s">
        <v>2087</v>
      </c>
      <c r="E10255" s="35" t="s">
        <v>368</v>
      </c>
      <c r="F10255" s="35" t="s">
        <v>552</v>
      </c>
      <c r="G10255" s="35" t="s">
        <v>2081</v>
      </c>
    </row>
    <row r="10256" spans="1:7">
      <c r="A10256" s="34">
        <v>2084054862</v>
      </c>
      <c r="B10256" s="35" t="s">
        <v>462</v>
      </c>
      <c r="C10256" s="35" t="s">
        <v>2016</v>
      </c>
      <c r="D10256" s="35" t="s">
        <v>2087</v>
      </c>
      <c r="E10256" s="35" t="s">
        <v>368</v>
      </c>
      <c r="F10256" s="35" t="s">
        <v>1408</v>
      </c>
      <c r="G10256" s="35" t="s">
        <v>2075</v>
      </c>
    </row>
    <row r="10257" spans="1:7">
      <c r="A10257" s="34">
        <v>2084054863</v>
      </c>
      <c r="B10257" s="35" t="s">
        <v>462</v>
      </c>
      <c r="C10257" s="35" t="s">
        <v>2016</v>
      </c>
      <c r="D10257" s="35" t="s">
        <v>2087</v>
      </c>
      <c r="E10257" s="35" t="s">
        <v>368</v>
      </c>
      <c r="F10257" s="35" t="s">
        <v>1408</v>
      </c>
      <c r="G10257" s="35" t="s">
        <v>2076</v>
      </c>
    </row>
    <row r="10258" spans="1:7">
      <c r="A10258" s="34">
        <v>2084054864</v>
      </c>
      <c r="B10258" s="35" t="s">
        <v>462</v>
      </c>
      <c r="C10258" s="35" t="s">
        <v>2016</v>
      </c>
      <c r="D10258" s="35" t="s">
        <v>2087</v>
      </c>
      <c r="E10258" s="35" t="s">
        <v>368</v>
      </c>
      <c r="F10258" s="35" t="s">
        <v>1408</v>
      </c>
      <c r="G10258" s="35" t="s">
        <v>2077</v>
      </c>
    </row>
    <row r="10259" spans="1:7">
      <c r="A10259" s="34">
        <v>2084054865</v>
      </c>
      <c r="B10259" s="35" t="s">
        <v>462</v>
      </c>
      <c r="C10259" s="35" t="s">
        <v>2016</v>
      </c>
      <c r="D10259" s="35" t="s">
        <v>2087</v>
      </c>
      <c r="E10259" s="35" t="s">
        <v>368</v>
      </c>
      <c r="F10259" s="35" t="s">
        <v>1408</v>
      </c>
      <c r="G10259" s="35" t="s">
        <v>2078</v>
      </c>
    </row>
    <row r="10260" spans="1:7">
      <c r="A10260" s="34">
        <v>2084054866</v>
      </c>
      <c r="B10260" s="35" t="s">
        <v>462</v>
      </c>
      <c r="C10260" s="35" t="s">
        <v>2016</v>
      </c>
      <c r="D10260" s="35" t="s">
        <v>2087</v>
      </c>
      <c r="E10260" s="35" t="s">
        <v>368</v>
      </c>
      <c r="F10260" s="35" t="s">
        <v>1408</v>
      </c>
      <c r="G10260" s="35" t="s">
        <v>2079</v>
      </c>
    </row>
    <row r="10261" spans="1:7">
      <c r="A10261" s="34">
        <v>2084054867</v>
      </c>
      <c r="B10261" s="35" t="s">
        <v>462</v>
      </c>
      <c r="C10261" s="35" t="s">
        <v>2016</v>
      </c>
      <c r="D10261" s="35" t="s">
        <v>2087</v>
      </c>
      <c r="E10261" s="35" t="s">
        <v>368</v>
      </c>
      <c r="F10261" s="35" t="s">
        <v>1408</v>
      </c>
      <c r="G10261" s="35" t="s">
        <v>2080</v>
      </c>
    </row>
    <row r="10262" spans="1:7">
      <c r="A10262" s="34">
        <v>2084054868</v>
      </c>
      <c r="B10262" s="35" t="s">
        <v>462</v>
      </c>
      <c r="C10262" s="35" t="s">
        <v>2016</v>
      </c>
      <c r="D10262" s="35" t="s">
        <v>2087</v>
      </c>
      <c r="E10262" s="35" t="s">
        <v>368</v>
      </c>
      <c r="F10262" s="35" t="s">
        <v>1408</v>
      </c>
      <c r="G10262" s="35" t="s">
        <v>2081</v>
      </c>
    </row>
    <row r="10263" spans="1:7">
      <c r="A10263" s="34">
        <v>2084052864</v>
      </c>
      <c r="B10263" s="35" t="s">
        <v>462</v>
      </c>
      <c r="C10263" s="35" t="s">
        <v>2016</v>
      </c>
      <c r="D10263" s="35" t="s">
        <v>2087</v>
      </c>
      <c r="E10263" s="35" t="s">
        <v>368</v>
      </c>
      <c r="F10263" s="35" t="s">
        <v>1583</v>
      </c>
      <c r="G10263" s="35" t="s">
        <v>2075</v>
      </c>
    </row>
    <row r="10264" spans="1:7">
      <c r="A10264" s="34">
        <v>2084052865</v>
      </c>
      <c r="B10264" s="35" t="s">
        <v>462</v>
      </c>
      <c r="C10264" s="35" t="s">
        <v>2016</v>
      </c>
      <c r="D10264" s="35" t="s">
        <v>2087</v>
      </c>
      <c r="E10264" s="35" t="s">
        <v>368</v>
      </c>
      <c r="F10264" s="35" t="s">
        <v>1583</v>
      </c>
      <c r="G10264" s="35" t="s">
        <v>2076</v>
      </c>
    </row>
    <row r="10265" spans="1:7">
      <c r="A10265" s="34">
        <v>2084052866</v>
      </c>
      <c r="B10265" s="35" t="s">
        <v>462</v>
      </c>
      <c r="C10265" s="35" t="s">
        <v>2016</v>
      </c>
      <c r="D10265" s="35" t="s">
        <v>2087</v>
      </c>
      <c r="E10265" s="35" t="s">
        <v>368</v>
      </c>
      <c r="F10265" s="35" t="s">
        <v>1583</v>
      </c>
      <c r="G10265" s="35" t="s">
        <v>2077</v>
      </c>
    </row>
    <row r="10266" spans="1:7">
      <c r="A10266" s="34">
        <v>2084052867</v>
      </c>
      <c r="B10266" s="35" t="s">
        <v>462</v>
      </c>
      <c r="C10266" s="35" t="s">
        <v>2016</v>
      </c>
      <c r="D10266" s="35" t="s">
        <v>2087</v>
      </c>
      <c r="E10266" s="35" t="s">
        <v>368</v>
      </c>
      <c r="F10266" s="35" t="s">
        <v>1583</v>
      </c>
      <c r="G10266" s="35" t="s">
        <v>2078</v>
      </c>
    </row>
    <row r="10267" spans="1:7">
      <c r="A10267" s="34">
        <v>2084052868</v>
      </c>
      <c r="B10267" s="35" t="s">
        <v>462</v>
      </c>
      <c r="C10267" s="35" t="s">
        <v>2016</v>
      </c>
      <c r="D10267" s="35" t="s">
        <v>2087</v>
      </c>
      <c r="E10267" s="35" t="s">
        <v>368</v>
      </c>
      <c r="F10267" s="35" t="s">
        <v>1583</v>
      </c>
      <c r="G10267" s="35" t="s">
        <v>2079</v>
      </c>
    </row>
    <row r="10268" spans="1:7">
      <c r="A10268" s="34">
        <v>2084052869</v>
      </c>
      <c r="B10268" s="35" t="s">
        <v>462</v>
      </c>
      <c r="C10268" s="35" t="s">
        <v>2016</v>
      </c>
      <c r="D10268" s="35" t="s">
        <v>2087</v>
      </c>
      <c r="E10268" s="35" t="s">
        <v>368</v>
      </c>
      <c r="F10268" s="35" t="s">
        <v>1583</v>
      </c>
      <c r="G10268" s="35" t="s">
        <v>2080</v>
      </c>
    </row>
    <row r="10269" spans="1:7">
      <c r="A10269" s="34">
        <v>2084052870</v>
      </c>
      <c r="B10269" s="35" t="s">
        <v>462</v>
      </c>
      <c r="C10269" s="35" t="s">
        <v>2016</v>
      </c>
      <c r="D10269" s="35" t="s">
        <v>2087</v>
      </c>
      <c r="E10269" s="35" t="s">
        <v>368</v>
      </c>
      <c r="F10269" s="35" t="s">
        <v>1583</v>
      </c>
      <c r="G10269" s="35" t="s">
        <v>2081</v>
      </c>
    </row>
    <row r="10270" spans="1:7">
      <c r="A10270" s="34">
        <v>2084006510</v>
      </c>
      <c r="B10270" s="35" t="s">
        <v>462</v>
      </c>
      <c r="C10270" s="35" t="s">
        <v>2016</v>
      </c>
      <c r="D10270" s="35" t="s">
        <v>2087</v>
      </c>
      <c r="E10270" s="35" t="s">
        <v>368</v>
      </c>
      <c r="F10270" s="35" t="s">
        <v>335</v>
      </c>
    </row>
    <row r="10271" spans="1:7">
      <c r="A10271" s="34">
        <v>2084052001</v>
      </c>
      <c r="B10271" s="35" t="s">
        <v>462</v>
      </c>
      <c r="C10271" s="35" t="s">
        <v>2016</v>
      </c>
      <c r="D10271" s="35" t="s">
        <v>2087</v>
      </c>
      <c r="E10271" s="35" t="s">
        <v>10</v>
      </c>
      <c r="F10271" s="35" t="s">
        <v>1587</v>
      </c>
      <c r="G10271" s="35" t="s">
        <v>2075</v>
      </c>
    </row>
    <row r="10272" spans="1:7">
      <c r="A10272" s="34">
        <v>2084052002</v>
      </c>
      <c r="B10272" s="35" t="s">
        <v>462</v>
      </c>
      <c r="C10272" s="35" t="s">
        <v>2016</v>
      </c>
      <c r="D10272" s="35" t="s">
        <v>2087</v>
      </c>
      <c r="E10272" s="35" t="s">
        <v>10</v>
      </c>
      <c r="F10272" s="35" t="s">
        <v>1587</v>
      </c>
      <c r="G10272" s="35" t="s">
        <v>2076</v>
      </c>
    </row>
    <row r="10273" spans="1:8">
      <c r="A10273" s="34">
        <v>2084052003</v>
      </c>
      <c r="B10273" s="35" t="s">
        <v>462</v>
      </c>
      <c r="C10273" s="35" t="s">
        <v>2016</v>
      </c>
      <c r="D10273" s="35" t="s">
        <v>2087</v>
      </c>
      <c r="E10273" s="35" t="s">
        <v>10</v>
      </c>
      <c r="F10273" s="35" t="s">
        <v>1587</v>
      </c>
      <c r="G10273" s="35" t="s">
        <v>2077</v>
      </c>
    </row>
    <row r="10274" spans="1:8">
      <c r="A10274" s="34">
        <v>2084052004</v>
      </c>
      <c r="B10274" s="35" t="s">
        <v>462</v>
      </c>
      <c r="C10274" s="35" t="s">
        <v>2016</v>
      </c>
      <c r="D10274" s="35" t="s">
        <v>2087</v>
      </c>
      <c r="E10274" s="35" t="s">
        <v>10</v>
      </c>
      <c r="F10274" s="35" t="s">
        <v>1587</v>
      </c>
      <c r="G10274" s="35" t="s">
        <v>2078</v>
      </c>
    </row>
    <row r="10275" spans="1:8">
      <c r="A10275" s="34">
        <v>2084052005</v>
      </c>
      <c r="B10275" s="35" t="s">
        <v>462</v>
      </c>
      <c r="C10275" s="35" t="s">
        <v>2016</v>
      </c>
      <c r="D10275" s="35" t="s">
        <v>2087</v>
      </c>
      <c r="E10275" s="35" t="s">
        <v>10</v>
      </c>
      <c r="F10275" s="35" t="s">
        <v>1587</v>
      </c>
      <c r="G10275" s="35" t="s">
        <v>2079</v>
      </c>
    </row>
    <row r="10276" spans="1:8">
      <c r="A10276" s="34">
        <v>2084052006</v>
      </c>
      <c r="B10276" s="35" t="s">
        <v>462</v>
      </c>
      <c r="C10276" s="35" t="s">
        <v>2016</v>
      </c>
      <c r="D10276" s="35" t="s">
        <v>2087</v>
      </c>
      <c r="E10276" s="35" t="s">
        <v>10</v>
      </c>
      <c r="F10276" s="35" t="s">
        <v>1587</v>
      </c>
      <c r="G10276" s="35" t="s">
        <v>2080</v>
      </c>
    </row>
    <row r="10277" spans="1:8">
      <c r="A10277" s="34">
        <v>2084052007</v>
      </c>
      <c r="B10277" s="35" t="s">
        <v>462</v>
      </c>
      <c r="C10277" s="35" t="s">
        <v>2016</v>
      </c>
      <c r="D10277" s="35" t="s">
        <v>2087</v>
      </c>
      <c r="E10277" s="35" t="s">
        <v>10</v>
      </c>
      <c r="F10277" s="35" t="s">
        <v>1587</v>
      </c>
      <c r="G10277" s="35" t="s">
        <v>2081</v>
      </c>
    </row>
    <row r="10278" spans="1:8">
      <c r="A10278" s="34">
        <v>2084007178</v>
      </c>
      <c r="B10278" s="35" t="s">
        <v>462</v>
      </c>
      <c r="C10278" s="35" t="s">
        <v>2016</v>
      </c>
      <c r="D10278" s="35" t="s">
        <v>2087</v>
      </c>
      <c r="E10278" s="35" t="s">
        <v>10</v>
      </c>
      <c r="F10278" s="35" t="s">
        <v>2092</v>
      </c>
      <c r="G10278" s="35" t="s">
        <v>1599</v>
      </c>
    </row>
    <row r="10279" spans="1:8">
      <c r="A10279" s="34">
        <v>2084052072</v>
      </c>
      <c r="B10279" s="35" t="s">
        <v>462</v>
      </c>
      <c r="C10279" s="35" t="s">
        <v>2016</v>
      </c>
      <c r="D10279" s="35" t="s">
        <v>2087</v>
      </c>
      <c r="E10279" s="35" t="s">
        <v>10</v>
      </c>
      <c r="F10279" s="35" t="s">
        <v>2092</v>
      </c>
      <c r="G10279" s="35" t="s">
        <v>1593</v>
      </c>
      <c r="H10279" s="35" t="s">
        <v>2075</v>
      </c>
    </row>
    <row r="10280" spans="1:8">
      <c r="A10280" s="34">
        <v>2084052073</v>
      </c>
      <c r="B10280" s="35" t="s">
        <v>462</v>
      </c>
      <c r="C10280" s="35" t="s">
        <v>2016</v>
      </c>
      <c r="D10280" s="35" t="s">
        <v>2087</v>
      </c>
      <c r="E10280" s="35" t="s">
        <v>10</v>
      </c>
      <c r="F10280" s="35" t="s">
        <v>2092</v>
      </c>
      <c r="G10280" s="35" t="s">
        <v>1593</v>
      </c>
      <c r="H10280" s="35" t="s">
        <v>2076</v>
      </c>
    </row>
    <row r="10281" spans="1:8">
      <c r="A10281" s="34">
        <v>2084052074</v>
      </c>
      <c r="B10281" s="35" t="s">
        <v>462</v>
      </c>
      <c r="C10281" s="35" t="s">
        <v>2016</v>
      </c>
      <c r="D10281" s="35" t="s">
        <v>2087</v>
      </c>
      <c r="E10281" s="35" t="s">
        <v>10</v>
      </c>
      <c r="F10281" s="35" t="s">
        <v>2092</v>
      </c>
      <c r="G10281" s="35" t="s">
        <v>1593</v>
      </c>
      <c r="H10281" s="35" t="s">
        <v>2077</v>
      </c>
    </row>
    <row r="10282" spans="1:8">
      <c r="A10282" s="34">
        <v>2084052075</v>
      </c>
      <c r="B10282" s="35" t="s">
        <v>462</v>
      </c>
      <c r="C10282" s="35" t="s">
        <v>2016</v>
      </c>
      <c r="D10282" s="35" t="s">
        <v>2087</v>
      </c>
      <c r="E10282" s="35" t="s">
        <v>10</v>
      </c>
      <c r="F10282" s="35" t="s">
        <v>2092</v>
      </c>
      <c r="G10282" s="35" t="s">
        <v>1593</v>
      </c>
      <c r="H10282" s="35" t="s">
        <v>2078</v>
      </c>
    </row>
    <row r="10283" spans="1:8">
      <c r="A10283" s="34">
        <v>2084052076</v>
      </c>
      <c r="B10283" s="35" t="s">
        <v>462</v>
      </c>
      <c r="C10283" s="35" t="s">
        <v>2016</v>
      </c>
      <c r="D10283" s="35" t="s">
        <v>2087</v>
      </c>
      <c r="E10283" s="35" t="s">
        <v>10</v>
      </c>
      <c r="F10283" s="35" t="s">
        <v>2092</v>
      </c>
      <c r="G10283" s="35" t="s">
        <v>1593</v>
      </c>
      <c r="H10283" s="35" t="s">
        <v>2079</v>
      </c>
    </row>
    <row r="10284" spans="1:8">
      <c r="A10284" s="34">
        <v>2084052077</v>
      </c>
      <c r="B10284" s="35" t="s">
        <v>462</v>
      </c>
      <c r="C10284" s="35" t="s">
        <v>2016</v>
      </c>
      <c r="D10284" s="35" t="s">
        <v>2087</v>
      </c>
      <c r="E10284" s="35" t="s">
        <v>10</v>
      </c>
      <c r="F10284" s="35" t="s">
        <v>2092</v>
      </c>
      <c r="G10284" s="35" t="s">
        <v>1593</v>
      </c>
      <c r="H10284" s="35" t="s">
        <v>2080</v>
      </c>
    </row>
    <row r="10285" spans="1:8">
      <c r="A10285" s="34">
        <v>2084052078</v>
      </c>
      <c r="B10285" s="35" t="s">
        <v>462</v>
      </c>
      <c r="C10285" s="35" t="s">
        <v>2016</v>
      </c>
      <c r="D10285" s="35" t="s">
        <v>2087</v>
      </c>
      <c r="E10285" s="35" t="s">
        <v>10</v>
      </c>
      <c r="F10285" s="35" t="s">
        <v>2092</v>
      </c>
      <c r="G10285" s="35" t="s">
        <v>1593</v>
      </c>
      <c r="H10285" s="35" t="s">
        <v>2081</v>
      </c>
    </row>
    <row r="10286" spans="1:8">
      <c r="A10286" s="34">
        <v>2084017179</v>
      </c>
      <c r="B10286" s="35" t="s">
        <v>462</v>
      </c>
      <c r="C10286" s="35" t="s">
        <v>2016</v>
      </c>
      <c r="D10286" s="35" t="s">
        <v>2087</v>
      </c>
      <c r="E10286" s="35" t="s">
        <v>10</v>
      </c>
      <c r="F10286" s="35" t="s">
        <v>2092</v>
      </c>
      <c r="G10286" s="35" t="s">
        <v>1593</v>
      </c>
      <c r="H10286" s="35" t="s">
        <v>2093</v>
      </c>
    </row>
    <row r="10287" spans="1:8">
      <c r="A10287" s="34">
        <v>2084017190</v>
      </c>
      <c r="B10287" s="35" t="s">
        <v>462</v>
      </c>
      <c r="C10287" s="35" t="s">
        <v>2016</v>
      </c>
      <c r="D10287" s="35" t="s">
        <v>2087</v>
      </c>
      <c r="E10287" s="35" t="s">
        <v>10</v>
      </c>
      <c r="F10287" s="35" t="s">
        <v>2092</v>
      </c>
      <c r="G10287" s="35" t="s">
        <v>1593</v>
      </c>
      <c r="H10287" s="35" t="s">
        <v>2094</v>
      </c>
    </row>
    <row r="10288" spans="1:8">
      <c r="A10288" s="34">
        <v>2084017191</v>
      </c>
      <c r="B10288" s="35" t="s">
        <v>462</v>
      </c>
      <c r="C10288" s="35" t="s">
        <v>2016</v>
      </c>
      <c r="D10288" s="35" t="s">
        <v>2087</v>
      </c>
      <c r="E10288" s="35" t="s">
        <v>10</v>
      </c>
      <c r="F10288" s="35" t="s">
        <v>2092</v>
      </c>
      <c r="G10288" s="35" t="s">
        <v>1593</v>
      </c>
      <c r="H10288" s="35" t="s">
        <v>2095</v>
      </c>
    </row>
    <row r="10289" spans="1:8">
      <c r="A10289" s="34">
        <v>2084017192</v>
      </c>
      <c r="B10289" s="35" t="s">
        <v>462</v>
      </c>
      <c r="C10289" s="35" t="s">
        <v>2016</v>
      </c>
      <c r="D10289" s="35" t="s">
        <v>2087</v>
      </c>
      <c r="E10289" s="35" t="s">
        <v>10</v>
      </c>
      <c r="F10289" s="35" t="s">
        <v>2092</v>
      </c>
      <c r="G10289" s="35" t="s">
        <v>1593</v>
      </c>
      <c r="H10289" s="35" t="s">
        <v>1632</v>
      </c>
    </row>
    <row r="10290" spans="1:8">
      <c r="A10290" s="34">
        <v>2084017194</v>
      </c>
      <c r="B10290" s="35" t="s">
        <v>462</v>
      </c>
      <c r="C10290" s="35" t="s">
        <v>2016</v>
      </c>
      <c r="D10290" s="35" t="s">
        <v>2087</v>
      </c>
      <c r="E10290" s="35" t="s">
        <v>10</v>
      </c>
      <c r="F10290" s="35" t="s">
        <v>2092</v>
      </c>
      <c r="G10290" s="35" t="s">
        <v>1593</v>
      </c>
      <c r="H10290" s="35" t="s">
        <v>315</v>
      </c>
    </row>
    <row r="10291" spans="1:8">
      <c r="A10291" s="34">
        <v>2084017195</v>
      </c>
      <c r="B10291" s="35" t="s">
        <v>462</v>
      </c>
      <c r="C10291" s="35" t="s">
        <v>2016</v>
      </c>
      <c r="D10291" s="35" t="s">
        <v>2087</v>
      </c>
      <c r="E10291" s="35" t="s">
        <v>10</v>
      </c>
      <c r="F10291" s="35" t="s">
        <v>2092</v>
      </c>
      <c r="G10291" s="35" t="s">
        <v>1593</v>
      </c>
      <c r="H10291" s="35" t="s">
        <v>2096</v>
      </c>
    </row>
    <row r="10292" spans="1:8">
      <c r="A10292" s="34">
        <v>2084017197</v>
      </c>
      <c r="B10292" s="35" t="s">
        <v>462</v>
      </c>
      <c r="C10292" s="35" t="s">
        <v>2016</v>
      </c>
      <c r="D10292" s="35" t="s">
        <v>2087</v>
      </c>
      <c r="E10292" s="35" t="s">
        <v>10</v>
      </c>
      <c r="F10292" s="35" t="s">
        <v>2092</v>
      </c>
      <c r="G10292" s="35" t="s">
        <v>1593</v>
      </c>
      <c r="H10292" s="35" t="s">
        <v>2097</v>
      </c>
    </row>
    <row r="10293" spans="1:8">
      <c r="A10293" s="34">
        <v>2084017198</v>
      </c>
      <c r="B10293" s="35" t="s">
        <v>462</v>
      </c>
      <c r="C10293" s="35" t="s">
        <v>2016</v>
      </c>
      <c r="D10293" s="35" t="s">
        <v>2087</v>
      </c>
      <c r="E10293" s="35" t="s">
        <v>10</v>
      </c>
      <c r="F10293" s="35" t="s">
        <v>2092</v>
      </c>
      <c r="G10293" s="35" t="s">
        <v>1593</v>
      </c>
      <c r="H10293" s="35" t="s">
        <v>2098</v>
      </c>
    </row>
    <row r="10294" spans="1:8">
      <c r="A10294" s="34">
        <v>2084017199</v>
      </c>
      <c r="B10294" s="35" t="s">
        <v>462</v>
      </c>
      <c r="C10294" s="35" t="s">
        <v>2016</v>
      </c>
      <c r="D10294" s="35" t="s">
        <v>2087</v>
      </c>
      <c r="E10294" s="35" t="s">
        <v>10</v>
      </c>
      <c r="F10294" s="35" t="s">
        <v>2092</v>
      </c>
      <c r="G10294" s="35" t="s">
        <v>1593</v>
      </c>
      <c r="H10294" s="35" t="s">
        <v>2099</v>
      </c>
    </row>
    <row r="10295" spans="1:8">
      <c r="A10295" s="34">
        <v>2084017200</v>
      </c>
      <c r="B10295" s="35" t="s">
        <v>462</v>
      </c>
      <c r="C10295" s="35" t="s">
        <v>2016</v>
      </c>
      <c r="D10295" s="35" t="s">
        <v>2087</v>
      </c>
      <c r="E10295" s="35" t="s">
        <v>10</v>
      </c>
      <c r="F10295" s="35" t="s">
        <v>2092</v>
      </c>
      <c r="G10295" s="35" t="s">
        <v>1593</v>
      </c>
      <c r="H10295" s="35" t="s">
        <v>2100</v>
      </c>
    </row>
    <row r="10296" spans="1:8">
      <c r="A10296" s="34">
        <v>2084017201</v>
      </c>
      <c r="B10296" s="35" t="s">
        <v>462</v>
      </c>
      <c r="C10296" s="35" t="s">
        <v>2016</v>
      </c>
      <c r="D10296" s="35" t="s">
        <v>2087</v>
      </c>
      <c r="E10296" s="35" t="s">
        <v>10</v>
      </c>
      <c r="F10296" s="35" t="s">
        <v>2092</v>
      </c>
      <c r="G10296" s="35" t="s">
        <v>1593</v>
      </c>
      <c r="H10296" s="35" t="s">
        <v>2101</v>
      </c>
    </row>
    <row r="10297" spans="1:8">
      <c r="A10297" s="34">
        <v>2084017196</v>
      </c>
      <c r="B10297" s="35" t="s">
        <v>462</v>
      </c>
      <c r="C10297" s="35" t="s">
        <v>2016</v>
      </c>
      <c r="D10297" s="35" t="s">
        <v>2087</v>
      </c>
      <c r="E10297" s="35" t="s">
        <v>10</v>
      </c>
      <c r="F10297" s="35" t="s">
        <v>2092</v>
      </c>
      <c r="G10297" s="35" t="s">
        <v>1593</v>
      </c>
      <c r="H10297" s="35" t="s">
        <v>2102</v>
      </c>
    </row>
    <row r="10298" spans="1:8">
      <c r="A10298" s="34">
        <v>2084017178</v>
      </c>
      <c r="B10298" s="35" t="s">
        <v>462</v>
      </c>
      <c r="C10298" s="35" t="s">
        <v>2016</v>
      </c>
      <c r="D10298" s="35" t="s">
        <v>2087</v>
      </c>
      <c r="E10298" s="35" t="s">
        <v>10</v>
      </c>
      <c r="F10298" s="35" t="s">
        <v>2092</v>
      </c>
      <c r="G10298" s="35" t="s">
        <v>1593</v>
      </c>
      <c r="H10298" s="35" t="s">
        <v>2103</v>
      </c>
    </row>
    <row r="10299" spans="1:8">
      <c r="A10299" s="34">
        <v>2084017180</v>
      </c>
      <c r="B10299" s="35" t="s">
        <v>462</v>
      </c>
      <c r="C10299" s="35" t="s">
        <v>2016</v>
      </c>
      <c r="D10299" s="35" t="s">
        <v>2087</v>
      </c>
      <c r="E10299" s="35" t="s">
        <v>10</v>
      </c>
      <c r="F10299" s="35" t="s">
        <v>2092</v>
      </c>
      <c r="G10299" s="35" t="s">
        <v>1593</v>
      </c>
      <c r="H10299" s="35" t="s">
        <v>2104</v>
      </c>
    </row>
    <row r="10300" spans="1:8">
      <c r="A10300" s="34">
        <v>2084017181</v>
      </c>
      <c r="B10300" s="35" t="s">
        <v>462</v>
      </c>
      <c r="C10300" s="35" t="s">
        <v>2016</v>
      </c>
      <c r="D10300" s="35" t="s">
        <v>2087</v>
      </c>
      <c r="E10300" s="35" t="s">
        <v>10</v>
      </c>
      <c r="F10300" s="35" t="s">
        <v>2092</v>
      </c>
      <c r="G10300" s="35" t="s">
        <v>1593</v>
      </c>
      <c r="H10300" s="35" t="s">
        <v>2105</v>
      </c>
    </row>
    <row r="10301" spans="1:8">
      <c r="A10301" s="34">
        <v>2084017183</v>
      </c>
      <c r="B10301" s="35" t="s">
        <v>462</v>
      </c>
      <c r="C10301" s="35" t="s">
        <v>2016</v>
      </c>
      <c r="D10301" s="35" t="s">
        <v>2087</v>
      </c>
      <c r="E10301" s="35" t="s">
        <v>10</v>
      </c>
      <c r="F10301" s="35" t="s">
        <v>2092</v>
      </c>
      <c r="G10301" s="35" t="s">
        <v>1593</v>
      </c>
      <c r="H10301" s="35" t="s">
        <v>2106</v>
      </c>
    </row>
    <row r="10302" spans="1:8">
      <c r="A10302" s="34">
        <v>2084017185</v>
      </c>
      <c r="B10302" s="35" t="s">
        <v>462</v>
      </c>
      <c r="C10302" s="35" t="s">
        <v>2016</v>
      </c>
      <c r="D10302" s="35" t="s">
        <v>2087</v>
      </c>
      <c r="E10302" s="35" t="s">
        <v>10</v>
      </c>
      <c r="F10302" s="35" t="s">
        <v>2092</v>
      </c>
      <c r="G10302" s="35" t="s">
        <v>1593</v>
      </c>
      <c r="H10302" s="35" t="s">
        <v>2107</v>
      </c>
    </row>
    <row r="10303" spans="1:8">
      <c r="A10303" s="34">
        <v>2084017186</v>
      </c>
      <c r="B10303" s="35" t="s">
        <v>462</v>
      </c>
      <c r="C10303" s="35" t="s">
        <v>2016</v>
      </c>
      <c r="D10303" s="35" t="s">
        <v>2087</v>
      </c>
      <c r="E10303" s="35" t="s">
        <v>10</v>
      </c>
      <c r="F10303" s="35" t="s">
        <v>2092</v>
      </c>
      <c r="G10303" s="35" t="s">
        <v>1593</v>
      </c>
      <c r="H10303" s="35" t="s">
        <v>2108</v>
      </c>
    </row>
    <row r="10304" spans="1:8">
      <c r="A10304" s="34">
        <v>2084017188</v>
      </c>
      <c r="B10304" s="35" t="s">
        <v>462</v>
      </c>
      <c r="C10304" s="35" t="s">
        <v>2016</v>
      </c>
      <c r="D10304" s="35" t="s">
        <v>2087</v>
      </c>
      <c r="E10304" s="35" t="s">
        <v>10</v>
      </c>
      <c r="F10304" s="35" t="s">
        <v>2092</v>
      </c>
      <c r="G10304" s="35" t="s">
        <v>1593</v>
      </c>
      <c r="H10304" s="35" t="s">
        <v>2109</v>
      </c>
    </row>
    <row r="10305" spans="1:8">
      <c r="A10305" s="34">
        <v>2084017193</v>
      </c>
      <c r="B10305" s="35" t="s">
        <v>462</v>
      </c>
      <c r="C10305" s="35" t="s">
        <v>2016</v>
      </c>
      <c r="D10305" s="35" t="s">
        <v>2087</v>
      </c>
      <c r="E10305" s="35" t="s">
        <v>10</v>
      </c>
      <c r="F10305" s="35" t="s">
        <v>2092</v>
      </c>
      <c r="G10305" s="35" t="s">
        <v>1593</v>
      </c>
      <c r="H10305" s="35" t="s">
        <v>2110</v>
      </c>
    </row>
    <row r="10306" spans="1:8">
      <c r="A10306" s="34">
        <v>2084007176</v>
      </c>
      <c r="B10306" s="35" t="s">
        <v>462</v>
      </c>
      <c r="C10306" s="35" t="s">
        <v>2016</v>
      </c>
      <c r="D10306" s="35" t="s">
        <v>2087</v>
      </c>
      <c r="E10306" s="35" t="s">
        <v>10</v>
      </c>
      <c r="F10306" s="35" t="s">
        <v>2092</v>
      </c>
      <c r="G10306" s="35" t="s">
        <v>1121</v>
      </c>
    </row>
    <row r="10307" spans="1:8">
      <c r="A10307" s="34">
        <v>2084006616</v>
      </c>
      <c r="B10307" s="35" t="s">
        <v>462</v>
      </c>
      <c r="C10307" s="35" t="s">
        <v>2016</v>
      </c>
      <c r="D10307" s="35" t="s">
        <v>2087</v>
      </c>
      <c r="E10307" s="35" t="s">
        <v>10</v>
      </c>
      <c r="F10307" s="35" t="s">
        <v>511</v>
      </c>
    </row>
    <row r="10308" spans="1:8">
      <c r="A10308" s="34">
        <v>2084052086</v>
      </c>
      <c r="B10308" s="35" t="s">
        <v>462</v>
      </c>
      <c r="C10308" s="35" t="s">
        <v>2016</v>
      </c>
      <c r="D10308" s="35" t="s">
        <v>2087</v>
      </c>
      <c r="E10308" s="35" t="s">
        <v>10</v>
      </c>
      <c r="F10308" s="35" t="s">
        <v>1596</v>
      </c>
      <c r="G10308" s="35" t="s">
        <v>2075</v>
      </c>
    </row>
    <row r="10309" spans="1:8">
      <c r="A10309" s="34">
        <v>2084052087</v>
      </c>
      <c r="B10309" s="35" t="s">
        <v>462</v>
      </c>
      <c r="C10309" s="35" t="s">
        <v>2016</v>
      </c>
      <c r="D10309" s="35" t="s">
        <v>2087</v>
      </c>
      <c r="E10309" s="35" t="s">
        <v>10</v>
      </c>
      <c r="F10309" s="35" t="s">
        <v>1596</v>
      </c>
      <c r="G10309" s="35" t="s">
        <v>2076</v>
      </c>
    </row>
    <row r="10310" spans="1:8">
      <c r="A10310" s="34">
        <v>2084052088</v>
      </c>
      <c r="B10310" s="35" t="s">
        <v>462</v>
      </c>
      <c r="C10310" s="35" t="s">
        <v>2016</v>
      </c>
      <c r="D10310" s="35" t="s">
        <v>2087</v>
      </c>
      <c r="E10310" s="35" t="s">
        <v>10</v>
      </c>
      <c r="F10310" s="35" t="s">
        <v>1596</v>
      </c>
      <c r="G10310" s="35" t="s">
        <v>2077</v>
      </c>
    </row>
    <row r="10311" spans="1:8">
      <c r="A10311" s="34">
        <v>2084052089</v>
      </c>
      <c r="B10311" s="35" t="s">
        <v>462</v>
      </c>
      <c r="C10311" s="35" t="s">
        <v>2016</v>
      </c>
      <c r="D10311" s="35" t="s">
        <v>2087</v>
      </c>
      <c r="E10311" s="35" t="s">
        <v>10</v>
      </c>
      <c r="F10311" s="35" t="s">
        <v>1596</v>
      </c>
      <c r="G10311" s="35" t="s">
        <v>2078</v>
      </c>
    </row>
    <row r="10312" spans="1:8">
      <c r="A10312" s="34">
        <v>2084052090</v>
      </c>
      <c r="B10312" s="35" t="s">
        <v>462</v>
      </c>
      <c r="C10312" s="35" t="s">
        <v>2016</v>
      </c>
      <c r="D10312" s="35" t="s">
        <v>2087</v>
      </c>
      <c r="E10312" s="35" t="s">
        <v>10</v>
      </c>
      <c r="F10312" s="35" t="s">
        <v>1596</v>
      </c>
      <c r="G10312" s="35" t="s">
        <v>2079</v>
      </c>
    </row>
    <row r="10313" spans="1:8">
      <c r="A10313" s="34">
        <v>2084052091</v>
      </c>
      <c r="B10313" s="35" t="s">
        <v>462</v>
      </c>
      <c r="C10313" s="35" t="s">
        <v>2016</v>
      </c>
      <c r="D10313" s="35" t="s">
        <v>2087</v>
      </c>
      <c r="E10313" s="35" t="s">
        <v>10</v>
      </c>
      <c r="F10313" s="35" t="s">
        <v>1596</v>
      </c>
      <c r="G10313" s="35" t="s">
        <v>2080</v>
      </c>
    </row>
    <row r="10314" spans="1:8">
      <c r="A10314" s="34">
        <v>2084052092</v>
      </c>
      <c r="B10314" s="35" t="s">
        <v>462</v>
      </c>
      <c r="C10314" s="35" t="s">
        <v>2016</v>
      </c>
      <c r="D10314" s="35" t="s">
        <v>2087</v>
      </c>
      <c r="E10314" s="35" t="s">
        <v>10</v>
      </c>
      <c r="F10314" s="35" t="s">
        <v>1596</v>
      </c>
      <c r="G10314" s="35" t="s">
        <v>2081</v>
      </c>
    </row>
    <row r="10315" spans="1:8">
      <c r="A10315" s="34">
        <v>2084052099</v>
      </c>
      <c r="B10315" s="35" t="s">
        <v>462</v>
      </c>
      <c r="C10315" s="35" t="s">
        <v>2016</v>
      </c>
      <c r="D10315" s="35" t="s">
        <v>2087</v>
      </c>
      <c r="E10315" s="35" t="s">
        <v>10</v>
      </c>
      <c r="F10315" s="35" t="s">
        <v>430</v>
      </c>
      <c r="G10315" s="35" t="s">
        <v>2075</v>
      </c>
    </row>
    <row r="10316" spans="1:8">
      <c r="A10316" s="34">
        <v>2084052098</v>
      </c>
      <c r="B10316" s="35" t="s">
        <v>462</v>
      </c>
      <c r="C10316" s="35" t="s">
        <v>2016</v>
      </c>
      <c r="D10316" s="35" t="s">
        <v>2087</v>
      </c>
      <c r="E10316" s="35" t="s">
        <v>10</v>
      </c>
      <c r="F10316" s="35" t="s">
        <v>430</v>
      </c>
      <c r="G10316" s="35" t="s">
        <v>2076</v>
      </c>
    </row>
    <row r="10317" spans="1:8">
      <c r="A10317" s="34">
        <v>2084052097</v>
      </c>
      <c r="B10317" s="35" t="s">
        <v>462</v>
      </c>
      <c r="C10317" s="35" t="s">
        <v>2016</v>
      </c>
      <c r="D10317" s="35" t="s">
        <v>2087</v>
      </c>
      <c r="E10317" s="35" t="s">
        <v>10</v>
      </c>
      <c r="F10317" s="35" t="s">
        <v>430</v>
      </c>
      <c r="G10317" s="35" t="s">
        <v>2077</v>
      </c>
    </row>
    <row r="10318" spans="1:8">
      <c r="A10318" s="34">
        <v>2084052096</v>
      </c>
      <c r="B10318" s="35" t="s">
        <v>462</v>
      </c>
      <c r="C10318" s="35" t="s">
        <v>2016</v>
      </c>
      <c r="D10318" s="35" t="s">
        <v>2087</v>
      </c>
      <c r="E10318" s="35" t="s">
        <v>10</v>
      </c>
      <c r="F10318" s="35" t="s">
        <v>430</v>
      </c>
      <c r="G10318" s="35" t="s">
        <v>2078</v>
      </c>
    </row>
    <row r="10319" spans="1:8">
      <c r="A10319" s="34">
        <v>2084052095</v>
      </c>
      <c r="B10319" s="35" t="s">
        <v>462</v>
      </c>
      <c r="C10319" s="35" t="s">
        <v>2016</v>
      </c>
      <c r="D10319" s="35" t="s">
        <v>2087</v>
      </c>
      <c r="E10319" s="35" t="s">
        <v>10</v>
      </c>
      <c r="F10319" s="35" t="s">
        <v>430</v>
      </c>
      <c r="G10319" s="35" t="s">
        <v>2079</v>
      </c>
    </row>
    <row r="10320" spans="1:8">
      <c r="A10320" s="34">
        <v>2084052094</v>
      </c>
      <c r="B10320" s="35" t="s">
        <v>462</v>
      </c>
      <c r="C10320" s="35" t="s">
        <v>2016</v>
      </c>
      <c r="D10320" s="35" t="s">
        <v>2087</v>
      </c>
      <c r="E10320" s="35" t="s">
        <v>10</v>
      </c>
      <c r="F10320" s="35" t="s">
        <v>430</v>
      </c>
      <c r="G10320" s="35" t="s">
        <v>2080</v>
      </c>
    </row>
    <row r="10321" spans="1:8">
      <c r="A10321" s="34">
        <v>2084052093</v>
      </c>
      <c r="B10321" s="35" t="s">
        <v>462</v>
      </c>
      <c r="C10321" s="35" t="s">
        <v>2016</v>
      </c>
      <c r="D10321" s="35" t="s">
        <v>2087</v>
      </c>
      <c r="E10321" s="35" t="s">
        <v>10</v>
      </c>
      <c r="F10321" s="35" t="s">
        <v>430</v>
      </c>
      <c r="G10321" s="35" t="s">
        <v>2081</v>
      </c>
    </row>
    <row r="10322" spans="1:8">
      <c r="A10322" s="34">
        <v>2084007131</v>
      </c>
      <c r="B10322" s="35" t="s">
        <v>462</v>
      </c>
      <c r="C10322" s="35" t="s">
        <v>2016</v>
      </c>
      <c r="D10322" s="35" t="s">
        <v>2087</v>
      </c>
      <c r="E10322" s="35" t="s">
        <v>10</v>
      </c>
      <c r="F10322" s="35" t="s">
        <v>1597</v>
      </c>
      <c r="G10322" s="35" t="s">
        <v>1598</v>
      </c>
    </row>
    <row r="10323" spans="1:8">
      <c r="A10323" s="34">
        <v>2084052171</v>
      </c>
      <c r="B10323" s="35" t="s">
        <v>462</v>
      </c>
      <c r="C10323" s="35" t="s">
        <v>2016</v>
      </c>
      <c r="D10323" s="35" t="s">
        <v>2087</v>
      </c>
      <c r="E10323" s="35" t="s">
        <v>10</v>
      </c>
      <c r="F10323" s="35" t="s">
        <v>1597</v>
      </c>
      <c r="G10323" s="35" t="s">
        <v>1591</v>
      </c>
      <c r="H10323" s="35" t="s">
        <v>2075</v>
      </c>
    </row>
    <row r="10324" spans="1:8">
      <c r="A10324" s="34">
        <v>2084052172</v>
      </c>
      <c r="B10324" s="35" t="s">
        <v>462</v>
      </c>
      <c r="C10324" s="35" t="s">
        <v>2016</v>
      </c>
      <c r="D10324" s="35" t="s">
        <v>2087</v>
      </c>
      <c r="E10324" s="35" t="s">
        <v>10</v>
      </c>
      <c r="F10324" s="35" t="s">
        <v>1597</v>
      </c>
      <c r="G10324" s="35" t="s">
        <v>1591</v>
      </c>
      <c r="H10324" s="35" t="s">
        <v>2076</v>
      </c>
    </row>
    <row r="10325" spans="1:8">
      <c r="A10325" s="34">
        <v>2084052173</v>
      </c>
      <c r="B10325" s="35" t="s">
        <v>462</v>
      </c>
      <c r="C10325" s="35" t="s">
        <v>2016</v>
      </c>
      <c r="D10325" s="35" t="s">
        <v>2087</v>
      </c>
      <c r="E10325" s="35" t="s">
        <v>10</v>
      </c>
      <c r="F10325" s="35" t="s">
        <v>1597</v>
      </c>
      <c r="G10325" s="35" t="s">
        <v>1591</v>
      </c>
      <c r="H10325" s="35" t="s">
        <v>2077</v>
      </c>
    </row>
    <row r="10326" spans="1:8">
      <c r="A10326" s="34">
        <v>2084052174</v>
      </c>
      <c r="B10326" s="35" t="s">
        <v>462</v>
      </c>
      <c r="C10326" s="35" t="s">
        <v>2016</v>
      </c>
      <c r="D10326" s="35" t="s">
        <v>2087</v>
      </c>
      <c r="E10326" s="35" t="s">
        <v>10</v>
      </c>
      <c r="F10326" s="35" t="s">
        <v>1597</v>
      </c>
      <c r="G10326" s="35" t="s">
        <v>1591</v>
      </c>
      <c r="H10326" s="35" t="s">
        <v>2078</v>
      </c>
    </row>
    <row r="10327" spans="1:8">
      <c r="A10327" s="34">
        <v>2084052175</v>
      </c>
      <c r="B10327" s="35" t="s">
        <v>462</v>
      </c>
      <c r="C10327" s="35" t="s">
        <v>2016</v>
      </c>
      <c r="D10327" s="35" t="s">
        <v>2087</v>
      </c>
      <c r="E10327" s="35" t="s">
        <v>10</v>
      </c>
      <c r="F10327" s="35" t="s">
        <v>1597</v>
      </c>
      <c r="G10327" s="35" t="s">
        <v>1591</v>
      </c>
      <c r="H10327" s="35" t="s">
        <v>2079</v>
      </c>
    </row>
    <row r="10328" spans="1:8">
      <c r="A10328" s="34">
        <v>2084052176</v>
      </c>
      <c r="B10328" s="35" t="s">
        <v>462</v>
      </c>
      <c r="C10328" s="35" t="s">
        <v>2016</v>
      </c>
      <c r="D10328" s="35" t="s">
        <v>2087</v>
      </c>
      <c r="E10328" s="35" t="s">
        <v>10</v>
      </c>
      <c r="F10328" s="35" t="s">
        <v>1597</v>
      </c>
      <c r="G10328" s="35" t="s">
        <v>1591</v>
      </c>
      <c r="H10328" s="35" t="s">
        <v>2080</v>
      </c>
    </row>
    <row r="10329" spans="1:8">
      <c r="A10329" s="34">
        <v>2084052177</v>
      </c>
      <c r="B10329" s="35" t="s">
        <v>462</v>
      </c>
      <c r="C10329" s="35" t="s">
        <v>2016</v>
      </c>
      <c r="D10329" s="35" t="s">
        <v>2087</v>
      </c>
      <c r="E10329" s="35" t="s">
        <v>10</v>
      </c>
      <c r="F10329" s="35" t="s">
        <v>1597</v>
      </c>
      <c r="G10329" s="35" t="s">
        <v>1591</v>
      </c>
      <c r="H10329" s="35" t="s">
        <v>2081</v>
      </c>
    </row>
    <row r="10330" spans="1:8">
      <c r="A10330" s="34">
        <v>2084052157</v>
      </c>
      <c r="B10330" s="35" t="s">
        <v>462</v>
      </c>
      <c r="C10330" s="35" t="s">
        <v>2016</v>
      </c>
      <c r="D10330" s="35" t="s">
        <v>2087</v>
      </c>
      <c r="E10330" s="35" t="s">
        <v>10</v>
      </c>
      <c r="F10330" s="35" t="s">
        <v>1597</v>
      </c>
      <c r="G10330" s="35" t="s">
        <v>1593</v>
      </c>
      <c r="H10330" s="35" t="s">
        <v>2075</v>
      </c>
    </row>
    <row r="10331" spans="1:8">
      <c r="A10331" s="34">
        <v>2084052158</v>
      </c>
      <c r="B10331" s="35" t="s">
        <v>462</v>
      </c>
      <c r="C10331" s="35" t="s">
        <v>2016</v>
      </c>
      <c r="D10331" s="35" t="s">
        <v>2087</v>
      </c>
      <c r="E10331" s="35" t="s">
        <v>10</v>
      </c>
      <c r="F10331" s="35" t="s">
        <v>1597</v>
      </c>
      <c r="G10331" s="35" t="s">
        <v>1593</v>
      </c>
      <c r="H10331" s="35" t="s">
        <v>2076</v>
      </c>
    </row>
    <row r="10332" spans="1:8">
      <c r="A10332" s="34">
        <v>2084052159</v>
      </c>
      <c r="B10332" s="35" t="s">
        <v>462</v>
      </c>
      <c r="C10332" s="35" t="s">
        <v>2016</v>
      </c>
      <c r="D10332" s="35" t="s">
        <v>2087</v>
      </c>
      <c r="E10332" s="35" t="s">
        <v>10</v>
      </c>
      <c r="F10332" s="35" t="s">
        <v>1597</v>
      </c>
      <c r="G10332" s="35" t="s">
        <v>1593</v>
      </c>
      <c r="H10332" s="35" t="s">
        <v>2077</v>
      </c>
    </row>
    <row r="10333" spans="1:8">
      <c r="A10333" s="34">
        <v>2084052160</v>
      </c>
      <c r="B10333" s="35" t="s">
        <v>462</v>
      </c>
      <c r="C10333" s="35" t="s">
        <v>2016</v>
      </c>
      <c r="D10333" s="35" t="s">
        <v>2087</v>
      </c>
      <c r="E10333" s="35" t="s">
        <v>10</v>
      </c>
      <c r="F10333" s="35" t="s">
        <v>1597</v>
      </c>
      <c r="G10333" s="35" t="s">
        <v>1593</v>
      </c>
      <c r="H10333" s="35" t="s">
        <v>2078</v>
      </c>
    </row>
    <row r="10334" spans="1:8">
      <c r="A10334" s="34">
        <v>2084052161</v>
      </c>
      <c r="B10334" s="35" t="s">
        <v>462</v>
      </c>
      <c r="C10334" s="35" t="s">
        <v>2016</v>
      </c>
      <c r="D10334" s="35" t="s">
        <v>2087</v>
      </c>
      <c r="E10334" s="35" t="s">
        <v>10</v>
      </c>
      <c r="F10334" s="35" t="s">
        <v>1597</v>
      </c>
      <c r="G10334" s="35" t="s">
        <v>1593</v>
      </c>
      <c r="H10334" s="35" t="s">
        <v>2079</v>
      </c>
    </row>
    <row r="10335" spans="1:8">
      <c r="A10335" s="34">
        <v>2084052162</v>
      </c>
      <c r="B10335" s="35" t="s">
        <v>462</v>
      </c>
      <c r="C10335" s="35" t="s">
        <v>2016</v>
      </c>
      <c r="D10335" s="35" t="s">
        <v>2087</v>
      </c>
      <c r="E10335" s="35" t="s">
        <v>10</v>
      </c>
      <c r="F10335" s="35" t="s">
        <v>1597</v>
      </c>
      <c r="G10335" s="35" t="s">
        <v>1593</v>
      </c>
      <c r="H10335" s="35" t="s">
        <v>2080</v>
      </c>
    </row>
    <row r="10336" spans="1:8">
      <c r="A10336" s="34">
        <v>2084052163</v>
      </c>
      <c r="B10336" s="35" t="s">
        <v>462</v>
      </c>
      <c r="C10336" s="35" t="s">
        <v>2016</v>
      </c>
      <c r="D10336" s="35" t="s">
        <v>2087</v>
      </c>
      <c r="E10336" s="35" t="s">
        <v>10</v>
      </c>
      <c r="F10336" s="35" t="s">
        <v>1597</v>
      </c>
      <c r="G10336" s="35" t="s">
        <v>1593</v>
      </c>
      <c r="H10336" s="35" t="s">
        <v>2081</v>
      </c>
    </row>
    <row r="10337" spans="1:8">
      <c r="A10337" s="34">
        <v>2084052170</v>
      </c>
      <c r="B10337" s="35" t="s">
        <v>462</v>
      </c>
      <c r="C10337" s="35" t="s">
        <v>2016</v>
      </c>
      <c r="D10337" s="35" t="s">
        <v>2087</v>
      </c>
      <c r="E10337" s="35" t="s">
        <v>10</v>
      </c>
      <c r="F10337" s="35" t="s">
        <v>1597</v>
      </c>
      <c r="G10337" s="35" t="s">
        <v>1594</v>
      </c>
      <c r="H10337" s="35" t="s">
        <v>2075</v>
      </c>
    </row>
    <row r="10338" spans="1:8">
      <c r="A10338" s="34">
        <v>2084052169</v>
      </c>
      <c r="B10338" s="35" t="s">
        <v>462</v>
      </c>
      <c r="C10338" s="35" t="s">
        <v>2016</v>
      </c>
      <c r="D10338" s="35" t="s">
        <v>2087</v>
      </c>
      <c r="E10338" s="35" t="s">
        <v>10</v>
      </c>
      <c r="F10338" s="35" t="s">
        <v>1597</v>
      </c>
      <c r="G10338" s="35" t="s">
        <v>1594</v>
      </c>
      <c r="H10338" s="35" t="s">
        <v>2076</v>
      </c>
    </row>
    <row r="10339" spans="1:8">
      <c r="A10339" s="34">
        <v>2084052168</v>
      </c>
      <c r="B10339" s="35" t="s">
        <v>462</v>
      </c>
      <c r="C10339" s="35" t="s">
        <v>2016</v>
      </c>
      <c r="D10339" s="35" t="s">
        <v>2087</v>
      </c>
      <c r="E10339" s="35" t="s">
        <v>10</v>
      </c>
      <c r="F10339" s="35" t="s">
        <v>1597</v>
      </c>
      <c r="G10339" s="35" t="s">
        <v>1594</v>
      </c>
      <c r="H10339" s="35" t="s">
        <v>2077</v>
      </c>
    </row>
    <row r="10340" spans="1:8">
      <c r="A10340" s="34">
        <v>2084052167</v>
      </c>
      <c r="B10340" s="35" t="s">
        <v>462</v>
      </c>
      <c r="C10340" s="35" t="s">
        <v>2016</v>
      </c>
      <c r="D10340" s="35" t="s">
        <v>2087</v>
      </c>
      <c r="E10340" s="35" t="s">
        <v>10</v>
      </c>
      <c r="F10340" s="35" t="s">
        <v>1597</v>
      </c>
      <c r="G10340" s="35" t="s">
        <v>1594</v>
      </c>
      <c r="H10340" s="35" t="s">
        <v>2078</v>
      </c>
    </row>
    <row r="10341" spans="1:8">
      <c r="A10341" s="34">
        <v>2084052166</v>
      </c>
      <c r="B10341" s="35" t="s">
        <v>462</v>
      </c>
      <c r="C10341" s="35" t="s">
        <v>2016</v>
      </c>
      <c r="D10341" s="35" t="s">
        <v>2087</v>
      </c>
      <c r="E10341" s="35" t="s">
        <v>10</v>
      </c>
      <c r="F10341" s="35" t="s">
        <v>1597</v>
      </c>
      <c r="G10341" s="35" t="s">
        <v>1594</v>
      </c>
      <c r="H10341" s="35" t="s">
        <v>2079</v>
      </c>
    </row>
    <row r="10342" spans="1:8">
      <c r="A10342" s="34">
        <v>2084052165</v>
      </c>
      <c r="B10342" s="35" t="s">
        <v>462</v>
      </c>
      <c r="C10342" s="35" t="s">
        <v>2016</v>
      </c>
      <c r="D10342" s="35" t="s">
        <v>2087</v>
      </c>
      <c r="E10342" s="35" t="s">
        <v>10</v>
      </c>
      <c r="F10342" s="35" t="s">
        <v>1597</v>
      </c>
      <c r="G10342" s="35" t="s">
        <v>1594</v>
      </c>
      <c r="H10342" s="35" t="s">
        <v>2080</v>
      </c>
    </row>
    <row r="10343" spans="1:8">
      <c r="A10343" s="34">
        <v>2084052164</v>
      </c>
      <c r="B10343" s="35" t="s">
        <v>462</v>
      </c>
      <c r="C10343" s="35" t="s">
        <v>2016</v>
      </c>
      <c r="D10343" s="35" t="s">
        <v>2087</v>
      </c>
      <c r="E10343" s="35" t="s">
        <v>10</v>
      </c>
      <c r="F10343" s="35" t="s">
        <v>1597</v>
      </c>
      <c r="G10343" s="35" t="s">
        <v>1594</v>
      </c>
      <c r="H10343" s="35" t="s">
        <v>2081</v>
      </c>
    </row>
    <row r="10344" spans="1:8">
      <c r="A10344" s="34">
        <v>2084052085</v>
      </c>
      <c r="B10344" s="35" t="s">
        <v>462</v>
      </c>
      <c r="C10344" s="35" t="s">
        <v>2016</v>
      </c>
      <c r="D10344" s="35" t="s">
        <v>2087</v>
      </c>
      <c r="E10344" s="35" t="s">
        <v>10</v>
      </c>
      <c r="F10344" s="35" t="s">
        <v>2111</v>
      </c>
      <c r="G10344" s="35" t="s">
        <v>2075</v>
      </c>
    </row>
    <row r="10345" spans="1:8">
      <c r="A10345" s="34">
        <v>2084052084</v>
      </c>
      <c r="B10345" s="35" t="s">
        <v>462</v>
      </c>
      <c r="C10345" s="35" t="s">
        <v>2016</v>
      </c>
      <c r="D10345" s="35" t="s">
        <v>2087</v>
      </c>
      <c r="E10345" s="35" t="s">
        <v>10</v>
      </c>
      <c r="F10345" s="35" t="s">
        <v>2111</v>
      </c>
      <c r="G10345" s="35" t="s">
        <v>2076</v>
      </c>
    </row>
    <row r="10346" spans="1:8">
      <c r="A10346" s="34">
        <v>2084052083</v>
      </c>
      <c r="B10346" s="35" t="s">
        <v>462</v>
      </c>
      <c r="C10346" s="35" t="s">
        <v>2016</v>
      </c>
      <c r="D10346" s="35" t="s">
        <v>2087</v>
      </c>
      <c r="E10346" s="35" t="s">
        <v>10</v>
      </c>
      <c r="F10346" s="35" t="s">
        <v>2111</v>
      </c>
      <c r="G10346" s="35" t="s">
        <v>2077</v>
      </c>
    </row>
    <row r="10347" spans="1:8">
      <c r="A10347" s="34">
        <v>2084052082</v>
      </c>
      <c r="B10347" s="35" t="s">
        <v>462</v>
      </c>
      <c r="C10347" s="35" t="s">
        <v>2016</v>
      </c>
      <c r="D10347" s="35" t="s">
        <v>2087</v>
      </c>
      <c r="E10347" s="35" t="s">
        <v>10</v>
      </c>
      <c r="F10347" s="35" t="s">
        <v>2111</v>
      </c>
      <c r="G10347" s="35" t="s">
        <v>2078</v>
      </c>
    </row>
    <row r="10348" spans="1:8">
      <c r="A10348" s="34">
        <v>2084052081</v>
      </c>
      <c r="B10348" s="35" t="s">
        <v>462</v>
      </c>
      <c r="C10348" s="35" t="s">
        <v>2016</v>
      </c>
      <c r="D10348" s="35" t="s">
        <v>2087</v>
      </c>
      <c r="E10348" s="35" t="s">
        <v>10</v>
      </c>
      <c r="F10348" s="35" t="s">
        <v>2111</v>
      </c>
      <c r="G10348" s="35" t="s">
        <v>2079</v>
      </c>
    </row>
    <row r="10349" spans="1:8">
      <c r="A10349" s="34">
        <v>2084052080</v>
      </c>
      <c r="B10349" s="35" t="s">
        <v>462</v>
      </c>
      <c r="C10349" s="35" t="s">
        <v>2016</v>
      </c>
      <c r="D10349" s="35" t="s">
        <v>2087</v>
      </c>
      <c r="E10349" s="35" t="s">
        <v>10</v>
      </c>
      <c r="F10349" s="35" t="s">
        <v>2111</v>
      </c>
      <c r="G10349" s="35" t="s">
        <v>2080</v>
      </c>
    </row>
    <row r="10350" spans="1:8">
      <c r="A10350" s="34">
        <v>2084052079</v>
      </c>
      <c r="B10350" s="35" t="s">
        <v>462</v>
      </c>
      <c r="C10350" s="35" t="s">
        <v>2016</v>
      </c>
      <c r="D10350" s="35" t="s">
        <v>2087</v>
      </c>
      <c r="E10350" s="35" t="s">
        <v>10</v>
      </c>
      <c r="F10350" s="35" t="s">
        <v>2111</v>
      </c>
      <c r="G10350" s="35" t="s">
        <v>2081</v>
      </c>
    </row>
    <row r="10351" spans="1:8">
      <c r="A10351" s="34">
        <v>2084051980</v>
      </c>
      <c r="B10351" s="35" t="s">
        <v>462</v>
      </c>
      <c r="C10351" s="35" t="s">
        <v>2016</v>
      </c>
      <c r="D10351" s="35" t="s">
        <v>2087</v>
      </c>
      <c r="E10351" s="35" t="s">
        <v>10</v>
      </c>
      <c r="F10351" s="35" t="s">
        <v>373</v>
      </c>
      <c r="G10351" s="35" t="s">
        <v>2075</v>
      </c>
    </row>
    <row r="10352" spans="1:8">
      <c r="A10352" s="34">
        <v>2084051981</v>
      </c>
      <c r="B10352" s="35" t="s">
        <v>462</v>
      </c>
      <c r="C10352" s="35" t="s">
        <v>2016</v>
      </c>
      <c r="D10352" s="35" t="s">
        <v>2087</v>
      </c>
      <c r="E10352" s="35" t="s">
        <v>10</v>
      </c>
      <c r="F10352" s="35" t="s">
        <v>373</v>
      </c>
      <c r="G10352" s="35" t="s">
        <v>2076</v>
      </c>
    </row>
    <row r="10353" spans="1:8">
      <c r="A10353" s="34">
        <v>2084051982</v>
      </c>
      <c r="B10353" s="35" t="s">
        <v>462</v>
      </c>
      <c r="C10353" s="35" t="s">
        <v>2016</v>
      </c>
      <c r="D10353" s="35" t="s">
        <v>2087</v>
      </c>
      <c r="E10353" s="35" t="s">
        <v>10</v>
      </c>
      <c r="F10353" s="35" t="s">
        <v>373</v>
      </c>
      <c r="G10353" s="35" t="s">
        <v>2077</v>
      </c>
    </row>
    <row r="10354" spans="1:8">
      <c r="A10354" s="34">
        <v>2084051983</v>
      </c>
      <c r="B10354" s="35" t="s">
        <v>462</v>
      </c>
      <c r="C10354" s="35" t="s">
        <v>2016</v>
      </c>
      <c r="D10354" s="35" t="s">
        <v>2087</v>
      </c>
      <c r="E10354" s="35" t="s">
        <v>10</v>
      </c>
      <c r="F10354" s="35" t="s">
        <v>373</v>
      </c>
      <c r="G10354" s="35" t="s">
        <v>2078</v>
      </c>
    </row>
    <row r="10355" spans="1:8">
      <c r="A10355" s="34">
        <v>2084051984</v>
      </c>
      <c r="B10355" s="35" t="s">
        <v>462</v>
      </c>
      <c r="C10355" s="35" t="s">
        <v>2016</v>
      </c>
      <c r="D10355" s="35" t="s">
        <v>2087</v>
      </c>
      <c r="E10355" s="35" t="s">
        <v>10</v>
      </c>
      <c r="F10355" s="35" t="s">
        <v>373</v>
      </c>
      <c r="G10355" s="35" t="s">
        <v>2079</v>
      </c>
    </row>
    <row r="10356" spans="1:8">
      <c r="A10356" s="34">
        <v>2084051985</v>
      </c>
      <c r="B10356" s="35" t="s">
        <v>462</v>
      </c>
      <c r="C10356" s="35" t="s">
        <v>2016</v>
      </c>
      <c r="D10356" s="35" t="s">
        <v>2087</v>
      </c>
      <c r="E10356" s="35" t="s">
        <v>10</v>
      </c>
      <c r="F10356" s="35" t="s">
        <v>373</v>
      </c>
      <c r="G10356" s="35" t="s">
        <v>2080</v>
      </c>
    </row>
    <row r="10357" spans="1:8">
      <c r="A10357" s="34">
        <v>2084051986</v>
      </c>
      <c r="B10357" s="35" t="s">
        <v>462</v>
      </c>
      <c r="C10357" s="35" t="s">
        <v>2016</v>
      </c>
      <c r="D10357" s="35" t="s">
        <v>2087</v>
      </c>
      <c r="E10357" s="35" t="s">
        <v>10</v>
      </c>
      <c r="F10357" s="35" t="s">
        <v>373</v>
      </c>
      <c r="G10357" s="35" t="s">
        <v>2081</v>
      </c>
    </row>
    <row r="10358" spans="1:8">
      <c r="A10358" s="34">
        <v>2084051993</v>
      </c>
      <c r="B10358" s="35" t="s">
        <v>462</v>
      </c>
      <c r="C10358" s="35" t="s">
        <v>2016</v>
      </c>
      <c r="D10358" s="35" t="s">
        <v>2087</v>
      </c>
      <c r="E10358" s="35" t="s">
        <v>10</v>
      </c>
      <c r="F10358" s="35" t="s">
        <v>378</v>
      </c>
      <c r="G10358" s="35" t="s">
        <v>2075</v>
      </c>
    </row>
    <row r="10359" spans="1:8">
      <c r="A10359" s="34">
        <v>2084051992</v>
      </c>
      <c r="B10359" s="35" t="s">
        <v>462</v>
      </c>
      <c r="C10359" s="35" t="s">
        <v>2016</v>
      </c>
      <c r="D10359" s="35" t="s">
        <v>2087</v>
      </c>
      <c r="E10359" s="35" t="s">
        <v>10</v>
      </c>
      <c r="F10359" s="35" t="s">
        <v>378</v>
      </c>
      <c r="G10359" s="35" t="s">
        <v>2076</v>
      </c>
    </row>
    <row r="10360" spans="1:8">
      <c r="A10360" s="34">
        <v>2084051991</v>
      </c>
      <c r="B10360" s="35" t="s">
        <v>462</v>
      </c>
      <c r="C10360" s="35" t="s">
        <v>2016</v>
      </c>
      <c r="D10360" s="35" t="s">
        <v>2087</v>
      </c>
      <c r="E10360" s="35" t="s">
        <v>10</v>
      </c>
      <c r="F10360" s="35" t="s">
        <v>378</v>
      </c>
      <c r="G10360" s="35" t="s">
        <v>2077</v>
      </c>
    </row>
    <row r="10361" spans="1:8">
      <c r="A10361" s="34">
        <v>2084051990</v>
      </c>
      <c r="B10361" s="35" t="s">
        <v>462</v>
      </c>
      <c r="C10361" s="35" t="s">
        <v>2016</v>
      </c>
      <c r="D10361" s="35" t="s">
        <v>2087</v>
      </c>
      <c r="E10361" s="35" t="s">
        <v>10</v>
      </c>
      <c r="F10361" s="35" t="s">
        <v>378</v>
      </c>
      <c r="G10361" s="35" t="s">
        <v>2078</v>
      </c>
    </row>
    <row r="10362" spans="1:8">
      <c r="A10362" s="34">
        <v>2084051989</v>
      </c>
      <c r="B10362" s="35" t="s">
        <v>462</v>
      </c>
      <c r="C10362" s="35" t="s">
        <v>2016</v>
      </c>
      <c r="D10362" s="35" t="s">
        <v>2087</v>
      </c>
      <c r="E10362" s="35" t="s">
        <v>10</v>
      </c>
      <c r="F10362" s="35" t="s">
        <v>378</v>
      </c>
      <c r="G10362" s="35" t="s">
        <v>2079</v>
      </c>
    </row>
    <row r="10363" spans="1:8">
      <c r="A10363" s="34">
        <v>2084051988</v>
      </c>
      <c r="B10363" s="35" t="s">
        <v>462</v>
      </c>
      <c r="C10363" s="35" t="s">
        <v>2016</v>
      </c>
      <c r="D10363" s="35" t="s">
        <v>2087</v>
      </c>
      <c r="E10363" s="35" t="s">
        <v>10</v>
      </c>
      <c r="F10363" s="35" t="s">
        <v>378</v>
      </c>
      <c r="G10363" s="35" t="s">
        <v>2080</v>
      </c>
    </row>
    <row r="10364" spans="1:8">
      <c r="A10364" s="34">
        <v>2084051987</v>
      </c>
      <c r="B10364" s="35" t="s">
        <v>462</v>
      </c>
      <c r="C10364" s="35" t="s">
        <v>2016</v>
      </c>
      <c r="D10364" s="35" t="s">
        <v>2087</v>
      </c>
      <c r="E10364" s="35" t="s">
        <v>10</v>
      </c>
      <c r="F10364" s="35" t="s">
        <v>378</v>
      </c>
      <c r="G10364" s="35" t="s">
        <v>2081</v>
      </c>
    </row>
    <row r="10365" spans="1:8">
      <c r="A10365" s="34">
        <v>2084052206</v>
      </c>
      <c r="B10365" s="35" t="s">
        <v>462</v>
      </c>
      <c r="C10365" s="35" t="s">
        <v>2016</v>
      </c>
      <c r="D10365" s="35" t="s">
        <v>2087</v>
      </c>
      <c r="E10365" s="35" t="s">
        <v>10</v>
      </c>
      <c r="F10365" s="35" t="s">
        <v>1432</v>
      </c>
      <c r="G10365" s="35" t="s">
        <v>1591</v>
      </c>
      <c r="H10365" s="35" t="s">
        <v>2075</v>
      </c>
    </row>
    <row r="10366" spans="1:8">
      <c r="A10366" s="34">
        <v>2084052207</v>
      </c>
      <c r="B10366" s="35" t="s">
        <v>462</v>
      </c>
      <c r="C10366" s="35" t="s">
        <v>2016</v>
      </c>
      <c r="D10366" s="35" t="s">
        <v>2087</v>
      </c>
      <c r="E10366" s="35" t="s">
        <v>10</v>
      </c>
      <c r="F10366" s="35" t="s">
        <v>1432</v>
      </c>
      <c r="G10366" s="35" t="s">
        <v>1591</v>
      </c>
      <c r="H10366" s="35" t="s">
        <v>2076</v>
      </c>
    </row>
    <row r="10367" spans="1:8">
      <c r="A10367" s="34">
        <v>2084052208</v>
      </c>
      <c r="B10367" s="35" t="s">
        <v>462</v>
      </c>
      <c r="C10367" s="35" t="s">
        <v>2016</v>
      </c>
      <c r="D10367" s="35" t="s">
        <v>2087</v>
      </c>
      <c r="E10367" s="35" t="s">
        <v>10</v>
      </c>
      <c r="F10367" s="35" t="s">
        <v>1432</v>
      </c>
      <c r="G10367" s="35" t="s">
        <v>1591</v>
      </c>
      <c r="H10367" s="35" t="s">
        <v>2077</v>
      </c>
    </row>
    <row r="10368" spans="1:8">
      <c r="A10368" s="34">
        <v>2084052209</v>
      </c>
      <c r="B10368" s="35" t="s">
        <v>462</v>
      </c>
      <c r="C10368" s="35" t="s">
        <v>2016</v>
      </c>
      <c r="D10368" s="35" t="s">
        <v>2087</v>
      </c>
      <c r="E10368" s="35" t="s">
        <v>10</v>
      </c>
      <c r="F10368" s="35" t="s">
        <v>1432</v>
      </c>
      <c r="G10368" s="35" t="s">
        <v>1591</v>
      </c>
      <c r="H10368" s="35" t="s">
        <v>2078</v>
      </c>
    </row>
    <row r="10369" spans="1:8">
      <c r="A10369" s="34">
        <v>2084052210</v>
      </c>
      <c r="B10369" s="35" t="s">
        <v>462</v>
      </c>
      <c r="C10369" s="35" t="s">
        <v>2016</v>
      </c>
      <c r="D10369" s="35" t="s">
        <v>2087</v>
      </c>
      <c r="E10369" s="35" t="s">
        <v>10</v>
      </c>
      <c r="F10369" s="35" t="s">
        <v>1432</v>
      </c>
      <c r="G10369" s="35" t="s">
        <v>1591</v>
      </c>
      <c r="H10369" s="35" t="s">
        <v>2079</v>
      </c>
    </row>
    <row r="10370" spans="1:8">
      <c r="A10370" s="34">
        <v>2084052211</v>
      </c>
      <c r="B10370" s="35" t="s">
        <v>462</v>
      </c>
      <c r="C10370" s="35" t="s">
        <v>2016</v>
      </c>
      <c r="D10370" s="35" t="s">
        <v>2087</v>
      </c>
      <c r="E10370" s="35" t="s">
        <v>10</v>
      </c>
      <c r="F10370" s="35" t="s">
        <v>1432</v>
      </c>
      <c r="G10370" s="35" t="s">
        <v>1591</v>
      </c>
      <c r="H10370" s="35" t="s">
        <v>2080</v>
      </c>
    </row>
    <row r="10371" spans="1:8">
      <c r="A10371" s="34">
        <v>2084052212</v>
      </c>
      <c r="B10371" s="35" t="s">
        <v>462</v>
      </c>
      <c r="C10371" s="35" t="s">
        <v>2016</v>
      </c>
      <c r="D10371" s="35" t="s">
        <v>2087</v>
      </c>
      <c r="E10371" s="35" t="s">
        <v>10</v>
      </c>
      <c r="F10371" s="35" t="s">
        <v>1432</v>
      </c>
      <c r="G10371" s="35" t="s">
        <v>1591</v>
      </c>
      <c r="H10371" s="35" t="s">
        <v>2081</v>
      </c>
    </row>
    <row r="10372" spans="1:8">
      <c r="A10372" s="34">
        <v>2084052191</v>
      </c>
      <c r="B10372" s="35" t="s">
        <v>462</v>
      </c>
      <c r="C10372" s="35" t="s">
        <v>2016</v>
      </c>
      <c r="D10372" s="35" t="s">
        <v>2087</v>
      </c>
      <c r="E10372" s="35" t="s">
        <v>10</v>
      </c>
      <c r="F10372" s="35" t="s">
        <v>1432</v>
      </c>
      <c r="G10372" s="35" t="s">
        <v>1593</v>
      </c>
      <c r="H10372" s="35" t="s">
        <v>2075</v>
      </c>
    </row>
    <row r="10373" spans="1:8">
      <c r="A10373" s="34">
        <v>2084052190</v>
      </c>
      <c r="B10373" s="35" t="s">
        <v>462</v>
      </c>
      <c r="C10373" s="35" t="s">
        <v>2016</v>
      </c>
      <c r="D10373" s="35" t="s">
        <v>2087</v>
      </c>
      <c r="E10373" s="35" t="s">
        <v>10</v>
      </c>
      <c r="F10373" s="35" t="s">
        <v>1432</v>
      </c>
      <c r="G10373" s="35" t="s">
        <v>1593</v>
      </c>
      <c r="H10373" s="35" t="s">
        <v>2076</v>
      </c>
    </row>
    <row r="10374" spans="1:8">
      <c r="A10374" s="34">
        <v>2084052189</v>
      </c>
      <c r="B10374" s="35" t="s">
        <v>462</v>
      </c>
      <c r="C10374" s="35" t="s">
        <v>2016</v>
      </c>
      <c r="D10374" s="35" t="s">
        <v>2087</v>
      </c>
      <c r="E10374" s="35" t="s">
        <v>10</v>
      </c>
      <c r="F10374" s="35" t="s">
        <v>1432</v>
      </c>
      <c r="G10374" s="35" t="s">
        <v>1593</v>
      </c>
      <c r="H10374" s="35" t="s">
        <v>2077</v>
      </c>
    </row>
    <row r="10375" spans="1:8">
      <c r="A10375" s="34">
        <v>2084052188</v>
      </c>
      <c r="B10375" s="35" t="s">
        <v>462</v>
      </c>
      <c r="C10375" s="35" t="s">
        <v>2016</v>
      </c>
      <c r="D10375" s="35" t="s">
        <v>2087</v>
      </c>
      <c r="E10375" s="35" t="s">
        <v>10</v>
      </c>
      <c r="F10375" s="35" t="s">
        <v>1432</v>
      </c>
      <c r="G10375" s="35" t="s">
        <v>1593</v>
      </c>
      <c r="H10375" s="35" t="s">
        <v>2078</v>
      </c>
    </row>
    <row r="10376" spans="1:8">
      <c r="A10376" s="34">
        <v>2084052187</v>
      </c>
      <c r="B10376" s="35" t="s">
        <v>462</v>
      </c>
      <c r="C10376" s="35" t="s">
        <v>2016</v>
      </c>
      <c r="D10376" s="35" t="s">
        <v>2087</v>
      </c>
      <c r="E10376" s="35" t="s">
        <v>10</v>
      </c>
      <c r="F10376" s="35" t="s">
        <v>1432</v>
      </c>
      <c r="G10376" s="35" t="s">
        <v>1593</v>
      </c>
      <c r="H10376" s="35" t="s">
        <v>2079</v>
      </c>
    </row>
    <row r="10377" spans="1:8">
      <c r="A10377" s="34">
        <v>2084052186</v>
      </c>
      <c r="B10377" s="35" t="s">
        <v>462</v>
      </c>
      <c r="C10377" s="35" t="s">
        <v>2016</v>
      </c>
      <c r="D10377" s="35" t="s">
        <v>2087</v>
      </c>
      <c r="E10377" s="35" t="s">
        <v>10</v>
      </c>
      <c r="F10377" s="35" t="s">
        <v>1432</v>
      </c>
      <c r="G10377" s="35" t="s">
        <v>1593</v>
      </c>
      <c r="H10377" s="35" t="s">
        <v>2080</v>
      </c>
    </row>
    <row r="10378" spans="1:8">
      <c r="A10378" s="34">
        <v>2084052185</v>
      </c>
      <c r="B10378" s="35" t="s">
        <v>462</v>
      </c>
      <c r="C10378" s="35" t="s">
        <v>2016</v>
      </c>
      <c r="D10378" s="35" t="s">
        <v>2087</v>
      </c>
      <c r="E10378" s="35" t="s">
        <v>10</v>
      </c>
      <c r="F10378" s="35" t="s">
        <v>1432</v>
      </c>
      <c r="G10378" s="35" t="s">
        <v>1593</v>
      </c>
      <c r="H10378" s="35" t="s">
        <v>2081</v>
      </c>
    </row>
    <row r="10379" spans="1:8">
      <c r="A10379" s="34">
        <v>2084052178</v>
      </c>
      <c r="B10379" s="35" t="s">
        <v>462</v>
      </c>
      <c r="C10379" s="35" t="s">
        <v>2016</v>
      </c>
      <c r="D10379" s="35" t="s">
        <v>2087</v>
      </c>
      <c r="E10379" s="35" t="s">
        <v>10</v>
      </c>
      <c r="F10379" s="35" t="s">
        <v>1432</v>
      </c>
      <c r="G10379" s="35" t="s">
        <v>1594</v>
      </c>
      <c r="H10379" s="35" t="s">
        <v>2075</v>
      </c>
    </row>
    <row r="10380" spans="1:8">
      <c r="A10380" s="34">
        <v>2084052179</v>
      </c>
      <c r="B10380" s="35" t="s">
        <v>462</v>
      </c>
      <c r="C10380" s="35" t="s">
        <v>2016</v>
      </c>
      <c r="D10380" s="35" t="s">
        <v>2087</v>
      </c>
      <c r="E10380" s="35" t="s">
        <v>10</v>
      </c>
      <c r="F10380" s="35" t="s">
        <v>1432</v>
      </c>
      <c r="G10380" s="35" t="s">
        <v>1594</v>
      </c>
      <c r="H10380" s="35" t="s">
        <v>2076</v>
      </c>
    </row>
    <row r="10381" spans="1:8">
      <c r="A10381" s="34">
        <v>2084052180</v>
      </c>
      <c r="B10381" s="35" t="s">
        <v>462</v>
      </c>
      <c r="C10381" s="35" t="s">
        <v>2016</v>
      </c>
      <c r="D10381" s="35" t="s">
        <v>2087</v>
      </c>
      <c r="E10381" s="35" t="s">
        <v>10</v>
      </c>
      <c r="F10381" s="35" t="s">
        <v>1432</v>
      </c>
      <c r="G10381" s="35" t="s">
        <v>1594</v>
      </c>
      <c r="H10381" s="35" t="s">
        <v>2077</v>
      </c>
    </row>
    <row r="10382" spans="1:8">
      <c r="A10382" s="34">
        <v>2084052181</v>
      </c>
      <c r="B10382" s="35" t="s">
        <v>462</v>
      </c>
      <c r="C10382" s="35" t="s">
        <v>2016</v>
      </c>
      <c r="D10382" s="35" t="s">
        <v>2087</v>
      </c>
      <c r="E10382" s="35" t="s">
        <v>10</v>
      </c>
      <c r="F10382" s="35" t="s">
        <v>1432</v>
      </c>
      <c r="G10382" s="35" t="s">
        <v>1594</v>
      </c>
      <c r="H10382" s="35" t="s">
        <v>2078</v>
      </c>
    </row>
    <row r="10383" spans="1:8">
      <c r="A10383" s="34">
        <v>2084052182</v>
      </c>
      <c r="B10383" s="35" t="s">
        <v>462</v>
      </c>
      <c r="C10383" s="35" t="s">
        <v>2016</v>
      </c>
      <c r="D10383" s="35" t="s">
        <v>2087</v>
      </c>
      <c r="E10383" s="35" t="s">
        <v>10</v>
      </c>
      <c r="F10383" s="35" t="s">
        <v>1432</v>
      </c>
      <c r="G10383" s="35" t="s">
        <v>1594</v>
      </c>
      <c r="H10383" s="35" t="s">
        <v>2079</v>
      </c>
    </row>
    <row r="10384" spans="1:8">
      <c r="A10384" s="34">
        <v>2084052183</v>
      </c>
      <c r="B10384" s="35" t="s">
        <v>462</v>
      </c>
      <c r="C10384" s="35" t="s">
        <v>2016</v>
      </c>
      <c r="D10384" s="35" t="s">
        <v>2087</v>
      </c>
      <c r="E10384" s="35" t="s">
        <v>10</v>
      </c>
      <c r="F10384" s="35" t="s">
        <v>1432</v>
      </c>
      <c r="G10384" s="35" t="s">
        <v>1594</v>
      </c>
      <c r="H10384" s="35" t="s">
        <v>2080</v>
      </c>
    </row>
    <row r="10385" spans="1:8">
      <c r="A10385" s="34">
        <v>2084052184</v>
      </c>
      <c r="B10385" s="35" t="s">
        <v>462</v>
      </c>
      <c r="C10385" s="35" t="s">
        <v>2016</v>
      </c>
      <c r="D10385" s="35" t="s">
        <v>2087</v>
      </c>
      <c r="E10385" s="35" t="s">
        <v>10</v>
      </c>
      <c r="F10385" s="35" t="s">
        <v>1432</v>
      </c>
      <c r="G10385" s="35" t="s">
        <v>1594</v>
      </c>
      <c r="H10385" s="35" t="s">
        <v>2081</v>
      </c>
    </row>
    <row r="10386" spans="1:8">
      <c r="A10386" s="34">
        <v>2084052008</v>
      </c>
      <c r="B10386" s="35" t="s">
        <v>462</v>
      </c>
      <c r="C10386" s="35" t="s">
        <v>2016</v>
      </c>
      <c r="D10386" s="35" t="s">
        <v>2087</v>
      </c>
      <c r="E10386" s="35" t="s">
        <v>10</v>
      </c>
      <c r="F10386" s="35" t="s">
        <v>887</v>
      </c>
      <c r="G10386" s="35" t="s">
        <v>2075</v>
      </c>
    </row>
    <row r="10387" spans="1:8">
      <c r="A10387" s="34">
        <v>2084052009</v>
      </c>
      <c r="B10387" s="35" t="s">
        <v>462</v>
      </c>
      <c r="C10387" s="35" t="s">
        <v>2016</v>
      </c>
      <c r="D10387" s="35" t="s">
        <v>2087</v>
      </c>
      <c r="E10387" s="35" t="s">
        <v>10</v>
      </c>
      <c r="F10387" s="35" t="s">
        <v>887</v>
      </c>
      <c r="G10387" s="35" t="s">
        <v>2076</v>
      </c>
    </row>
    <row r="10388" spans="1:8">
      <c r="A10388" s="34">
        <v>2084052010</v>
      </c>
      <c r="B10388" s="35" t="s">
        <v>462</v>
      </c>
      <c r="C10388" s="35" t="s">
        <v>2016</v>
      </c>
      <c r="D10388" s="35" t="s">
        <v>2087</v>
      </c>
      <c r="E10388" s="35" t="s">
        <v>10</v>
      </c>
      <c r="F10388" s="35" t="s">
        <v>887</v>
      </c>
      <c r="G10388" s="35" t="s">
        <v>2077</v>
      </c>
    </row>
    <row r="10389" spans="1:8">
      <c r="A10389" s="34">
        <v>2084052011</v>
      </c>
      <c r="B10389" s="35" t="s">
        <v>462</v>
      </c>
      <c r="C10389" s="35" t="s">
        <v>2016</v>
      </c>
      <c r="D10389" s="35" t="s">
        <v>2087</v>
      </c>
      <c r="E10389" s="35" t="s">
        <v>10</v>
      </c>
      <c r="F10389" s="35" t="s">
        <v>887</v>
      </c>
      <c r="G10389" s="35" t="s">
        <v>2078</v>
      </c>
    </row>
    <row r="10390" spans="1:8">
      <c r="A10390" s="34">
        <v>2084052012</v>
      </c>
      <c r="B10390" s="35" t="s">
        <v>462</v>
      </c>
      <c r="C10390" s="35" t="s">
        <v>2016</v>
      </c>
      <c r="D10390" s="35" t="s">
        <v>2087</v>
      </c>
      <c r="E10390" s="35" t="s">
        <v>10</v>
      </c>
      <c r="F10390" s="35" t="s">
        <v>887</v>
      </c>
      <c r="G10390" s="35" t="s">
        <v>2079</v>
      </c>
    </row>
    <row r="10391" spans="1:8">
      <c r="A10391" s="34">
        <v>2084052013</v>
      </c>
      <c r="B10391" s="35" t="s">
        <v>462</v>
      </c>
      <c r="C10391" s="35" t="s">
        <v>2016</v>
      </c>
      <c r="D10391" s="35" t="s">
        <v>2087</v>
      </c>
      <c r="E10391" s="35" t="s">
        <v>10</v>
      </c>
      <c r="F10391" s="35" t="s">
        <v>887</v>
      </c>
      <c r="G10391" s="35" t="s">
        <v>2080</v>
      </c>
    </row>
    <row r="10392" spans="1:8">
      <c r="A10392" s="34">
        <v>2084052014</v>
      </c>
      <c r="B10392" s="35" t="s">
        <v>462</v>
      </c>
      <c r="C10392" s="35" t="s">
        <v>2016</v>
      </c>
      <c r="D10392" s="35" t="s">
        <v>2087</v>
      </c>
      <c r="E10392" s="35" t="s">
        <v>10</v>
      </c>
      <c r="F10392" s="35" t="s">
        <v>887</v>
      </c>
      <c r="G10392" s="35" t="s">
        <v>2081</v>
      </c>
    </row>
    <row r="10393" spans="1:8">
      <c r="A10393" s="34">
        <v>2084017790</v>
      </c>
      <c r="B10393" s="35" t="s">
        <v>462</v>
      </c>
      <c r="C10393" s="35" t="s">
        <v>2016</v>
      </c>
      <c r="D10393" s="35" t="s">
        <v>2087</v>
      </c>
      <c r="E10393" s="35" t="s">
        <v>10</v>
      </c>
      <c r="F10393" s="35" t="s">
        <v>887</v>
      </c>
      <c r="G10393" s="35" t="s">
        <v>2097</v>
      </c>
    </row>
    <row r="10394" spans="1:8">
      <c r="A10394" s="34">
        <v>2084052015</v>
      </c>
      <c r="B10394" s="35" t="s">
        <v>462</v>
      </c>
      <c r="C10394" s="35" t="s">
        <v>2016</v>
      </c>
      <c r="D10394" s="35" t="s">
        <v>2087</v>
      </c>
      <c r="E10394" s="35" t="s">
        <v>10</v>
      </c>
      <c r="F10394" s="35" t="s">
        <v>1092</v>
      </c>
      <c r="G10394" s="35" t="s">
        <v>2075</v>
      </c>
    </row>
    <row r="10395" spans="1:8">
      <c r="A10395" s="34">
        <v>2084052016</v>
      </c>
      <c r="B10395" s="35" t="s">
        <v>462</v>
      </c>
      <c r="C10395" s="35" t="s">
        <v>2016</v>
      </c>
      <c r="D10395" s="35" t="s">
        <v>2087</v>
      </c>
      <c r="E10395" s="35" t="s">
        <v>10</v>
      </c>
      <c r="F10395" s="35" t="s">
        <v>1092</v>
      </c>
      <c r="G10395" s="35" t="s">
        <v>2076</v>
      </c>
    </row>
    <row r="10396" spans="1:8">
      <c r="A10396" s="34">
        <v>2084052017</v>
      </c>
      <c r="B10396" s="35" t="s">
        <v>462</v>
      </c>
      <c r="C10396" s="35" t="s">
        <v>2016</v>
      </c>
      <c r="D10396" s="35" t="s">
        <v>2087</v>
      </c>
      <c r="E10396" s="35" t="s">
        <v>10</v>
      </c>
      <c r="F10396" s="35" t="s">
        <v>1092</v>
      </c>
      <c r="G10396" s="35" t="s">
        <v>2077</v>
      </c>
    </row>
    <row r="10397" spans="1:8">
      <c r="A10397" s="34">
        <v>2084052018</v>
      </c>
      <c r="B10397" s="35" t="s">
        <v>462</v>
      </c>
      <c r="C10397" s="35" t="s">
        <v>2016</v>
      </c>
      <c r="D10397" s="35" t="s">
        <v>2087</v>
      </c>
      <c r="E10397" s="35" t="s">
        <v>10</v>
      </c>
      <c r="F10397" s="35" t="s">
        <v>1092</v>
      </c>
      <c r="G10397" s="35" t="s">
        <v>2078</v>
      </c>
    </row>
    <row r="10398" spans="1:8">
      <c r="A10398" s="34">
        <v>2084052019</v>
      </c>
      <c r="B10398" s="35" t="s">
        <v>462</v>
      </c>
      <c r="C10398" s="35" t="s">
        <v>2016</v>
      </c>
      <c r="D10398" s="35" t="s">
        <v>2087</v>
      </c>
      <c r="E10398" s="35" t="s">
        <v>10</v>
      </c>
      <c r="F10398" s="35" t="s">
        <v>1092</v>
      </c>
      <c r="G10398" s="35" t="s">
        <v>2079</v>
      </c>
    </row>
    <row r="10399" spans="1:8">
      <c r="A10399" s="34">
        <v>2084052020</v>
      </c>
      <c r="B10399" s="35" t="s">
        <v>462</v>
      </c>
      <c r="C10399" s="35" t="s">
        <v>2016</v>
      </c>
      <c r="D10399" s="35" t="s">
        <v>2087</v>
      </c>
      <c r="E10399" s="35" t="s">
        <v>10</v>
      </c>
      <c r="F10399" s="35" t="s">
        <v>1092</v>
      </c>
      <c r="G10399" s="35" t="s">
        <v>2080</v>
      </c>
    </row>
    <row r="10400" spans="1:8">
      <c r="A10400" s="34">
        <v>2084052021</v>
      </c>
      <c r="B10400" s="35" t="s">
        <v>462</v>
      </c>
      <c r="C10400" s="35" t="s">
        <v>2016</v>
      </c>
      <c r="D10400" s="35" t="s">
        <v>2087</v>
      </c>
      <c r="E10400" s="35" t="s">
        <v>10</v>
      </c>
      <c r="F10400" s="35" t="s">
        <v>1092</v>
      </c>
      <c r="G10400" s="35" t="s">
        <v>2081</v>
      </c>
    </row>
    <row r="10401" spans="1:8">
      <c r="A10401" s="34">
        <v>2084231795</v>
      </c>
      <c r="B10401" s="35" t="s">
        <v>462</v>
      </c>
      <c r="C10401" s="35" t="s">
        <v>2016</v>
      </c>
      <c r="D10401" s="35" t="s">
        <v>2087</v>
      </c>
      <c r="E10401" s="35" t="s">
        <v>10</v>
      </c>
      <c r="F10401" s="35" t="s">
        <v>1603</v>
      </c>
      <c r="G10401" s="35" t="s">
        <v>1599</v>
      </c>
    </row>
    <row r="10402" spans="1:8">
      <c r="A10402" s="34">
        <v>2084231796</v>
      </c>
      <c r="B10402" s="35" t="s">
        <v>462</v>
      </c>
      <c r="C10402" s="35" t="s">
        <v>2016</v>
      </c>
      <c r="D10402" s="35" t="s">
        <v>2087</v>
      </c>
      <c r="E10402" s="35" t="s">
        <v>10</v>
      </c>
      <c r="F10402" s="35" t="s">
        <v>1603</v>
      </c>
      <c r="G10402" s="35" t="s">
        <v>1120</v>
      </c>
    </row>
    <row r="10403" spans="1:8">
      <c r="A10403" s="34">
        <v>2084231797</v>
      </c>
      <c r="B10403" s="35" t="s">
        <v>462</v>
      </c>
      <c r="C10403" s="35" t="s">
        <v>2016</v>
      </c>
      <c r="D10403" s="35" t="s">
        <v>2087</v>
      </c>
      <c r="E10403" s="35" t="s">
        <v>10</v>
      </c>
      <c r="F10403" s="35" t="s">
        <v>1603</v>
      </c>
      <c r="G10403" s="35" t="s">
        <v>1121</v>
      </c>
    </row>
    <row r="10404" spans="1:8">
      <c r="A10404" s="34">
        <v>2084231798</v>
      </c>
      <c r="B10404" s="35" t="s">
        <v>462</v>
      </c>
      <c r="C10404" s="35" t="s">
        <v>2016</v>
      </c>
      <c r="D10404" s="35" t="s">
        <v>2087</v>
      </c>
      <c r="E10404" s="35" t="s">
        <v>10</v>
      </c>
      <c r="F10404" s="35" t="s">
        <v>1603</v>
      </c>
      <c r="G10404" s="35" t="s">
        <v>1595</v>
      </c>
    </row>
    <row r="10405" spans="1:8">
      <c r="A10405" s="34">
        <v>2084006613</v>
      </c>
      <c r="B10405" s="35" t="s">
        <v>462</v>
      </c>
      <c r="C10405" s="35" t="s">
        <v>2016</v>
      </c>
      <c r="D10405" s="35" t="s">
        <v>2087</v>
      </c>
      <c r="E10405" s="35" t="s">
        <v>10</v>
      </c>
      <c r="F10405" s="35" t="s">
        <v>335</v>
      </c>
    </row>
    <row r="10406" spans="1:8">
      <c r="A10406" s="34">
        <v>2084052400</v>
      </c>
      <c r="B10406" s="35" t="s">
        <v>462</v>
      </c>
      <c r="C10406" s="35" t="s">
        <v>2016</v>
      </c>
      <c r="D10406" s="35" t="s">
        <v>2087</v>
      </c>
      <c r="E10406" s="35" t="s">
        <v>379</v>
      </c>
      <c r="F10406" s="35" t="s">
        <v>2112</v>
      </c>
      <c r="G10406" s="35" t="s">
        <v>2113</v>
      </c>
      <c r="H10406" s="35" t="s">
        <v>2075</v>
      </c>
    </row>
    <row r="10407" spans="1:8">
      <c r="A10407" s="34">
        <v>2084052401</v>
      </c>
      <c r="B10407" s="35" t="s">
        <v>462</v>
      </c>
      <c r="C10407" s="35" t="s">
        <v>2016</v>
      </c>
      <c r="D10407" s="35" t="s">
        <v>2087</v>
      </c>
      <c r="E10407" s="35" t="s">
        <v>379</v>
      </c>
      <c r="F10407" s="35" t="s">
        <v>2112</v>
      </c>
      <c r="G10407" s="35" t="s">
        <v>2113</v>
      </c>
      <c r="H10407" s="35" t="s">
        <v>2076</v>
      </c>
    </row>
    <row r="10408" spans="1:8">
      <c r="A10408" s="34">
        <v>2084052402</v>
      </c>
      <c r="B10408" s="35" t="s">
        <v>462</v>
      </c>
      <c r="C10408" s="35" t="s">
        <v>2016</v>
      </c>
      <c r="D10408" s="35" t="s">
        <v>2087</v>
      </c>
      <c r="E10408" s="35" t="s">
        <v>379</v>
      </c>
      <c r="F10408" s="35" t="s">
        <v>2112</v>
      </c>
      <c r="G10408" s="35" t="s">
        <v>2113</v>
      </c>
      <c r="H10408" s="35" t="s">
        <v>2077</v>
      </c>
    </row>
    <row r="10409" spans="1:8">
      <c r="A10409" s="34">
        <v>2084052403</v>
      </c>
      <c r="B10409" s="35" t="s">
        <v>462</v>
      </c>
      <c r="C10409" s="35" t="s">
        <v>2016</v>
      </c>
      <c r="D10409" s="35" t="s">
        <v>2087</v>
      </c>
      <c r="E10409" s="35" t="s">
        <v>379</v>
      </c>
      <c r="F10409" s="35" t="s">
        <v>2112</v>
      </c>
      <c r="G10409" s="35" t="s">
        <v>2113</v>
      </c>
      <c r="H10409" s="35" t="s">
        <v>2078</v>
      </c>
    </row>
    <row r="10410" spans="1:8">
      <c r="A10410" s="34">
        <v>2084052404</v>
      </c>
      <c r="B10410" s="35" t="s">
        <v>462</v>
      </c>
      <c r="C10410" s="35" t="s">
        <v>2016</v>
      </c>
      <c r="D10410" s="35" t="s">
        <v>2087</v>
      </c>
      <c r="E10410" s="35" t="s">
        <v>379</v>
      </c>
      <c r="F10410" s="35" t="s">
        <v>2112</v>
      </c>
      <c r="G10410" s="35" t="s">
        <v>2113</v>
      </c>
      <c r="H10410" s="35" t="s">
        <v>2079</v>
      </c>
    </row>
    <row r="10411" spans="1:8">
      <c r="A10411" s="34">
        <v>2084052405</v>
      </c>
      <c r="B10411" s="35" t="s">
        <v>462</v>
      </c>
      <c r="C10411" s="35" t="s">
        <v>2016</v>
      </c>
      <c r="D10411" s="35" t="s">
        <v>2087</v>
      </c>
      <c r="E10411" s="35" t="s">
        <v>379</v>
      </c>
      <c r="F10411" s="35" t="s">
        <v>2112</v>
      </c>
      <c r="G10411" s="35" t="s">
        <v>2113</v>
      </c>
      <c r="H10411" s="35" t="s">
        <v>2080</v>
      </c>
    </row>
    <row r="10412" spans="1:8">
      <c r="A10412" s="34">
        <v>2084052406</v>
      </c>
      <c r="B10412" s="35" t="s">
        <v>462</v>
      </c>
      <c r="C10412" s="35" t="s">
        <v>2016</v>
      </c>
      <c r="D10412" s="35" t="s">
        <v>2087</v>
      </c>
      <c r="E10412" s="35" t="s">
        <v>379</v>
      </c>
      <c r="F10412" s="35" t="s">
        <v>2112</v>
      </c>
      <c r="G10412" s="35" t="s">
        <v>2113</v>
      </c>
      <c r="H10412" s="35" t="s">
        <v>2081</v>
      </c>
    </row>
    <row r="10413" spans="1:8">
      <c r="A10413" s="34">
        <v>2084052407</v>
      </c>
      <c r="B10413" s="35" t="s">
        <v>462</v>
      </c>
      <c r="C10413" s="35" t="s">
        <v>2016</v>
      </c>
      <c r="D10413" s="35" t="s">
        <v>2087</v>
      </c>
      <c r="E10413" s="35" t="s">
        <v>379</v>
      </c>
      <c r="F10413" s="35" t="s">
        <v>2112</v>
      </c>
      <c r="G10413" s="35" t="s">
        <v>1623</v>
      </c>
      <c r="H10413" s="35" t="s">
        <v>2075</v>
      </c>
    </row>
    <row r="10414" spans="1:8">
      <c r="A10414" s="34">
        <v>2084052408</v>
      </c>
      <c r="B10414" s="35" t="s">
        <v>462</v>
      </c>
      <c r="C10414" s="35" t="s">
        <v>2016</v>
      </c>
      <c r="D10414" s="35" t="s">
        <v>2087</v>
      </c>
      <c r="E10414" s="35" t="s">
        <v>379</v>
      </c>
      <c r="F10414" s="35" t="s">
        <v>2112</v>
      </c>
      <c r="G10414" s="35" t="s">
        <v>1623</v>
      </c>
      <c r="H10414" s="35" t="s">
        <v>2076</v>
      </c>
    </row>
    <row r="10415" spans="1:8">
      <c r="A10415" s="34">
        <v>2084052409</v>
      </c>
      <c r="B10415" s="35" t="s">
        <v>462</v>
      </c>
      <c r="C10415" s="35" t="s">
        <v>2016</v>
      </c>
      <c r="D10415" s="35" t="s">
        <v>2087</v>
      </c>
      <c r="E10415" s="35" t="s">
        <v>379</v>
      </c>
      <c r="F10415" s="35" t="s">
        <v>2112</v>
      </c>
      <c r="G10415" s="35" t="s">
        <v>1623</v>
      </c>
      <c r="H10415" s="35" t="s">
        <v>2077</v>
      </c>
    </row>
    <row r="10416" spans="1:8">
      <c r="A10416" s="34">
        <v>2084052410</v>
      </c>
      <c r="B10416" s="35" t="s">
        <v>462</v>
      </c>
      <c r="C10416" s="35" t="s">
        <v>2016</v>
      </c>
      <c r="D10416" s="35" t="s">
        <v>2087</v>
      </c>
      <c r="E10416" s="35" t="s">
        <v>379</v>
      </c>
      <c r="F10416" s="35" t="s">
        <v>2112</v>
      </c>
      <c r="G10416" s="35" t="s">
        <v>1623</v>
      </c>
      <c r="H10416" s="35" t="s">
        <v>2078</v>
      </c>
    </row>
    <row r="10417" spans="1:8">
      <c r="A10417" s="34">
        <v>2084052411</v>
      </c>
      <c r="B10417" s="35" t="s">
        <v>462</v>
      </c>
      <c r="C10417" s="35" t="s">
        <v>2016</v>
      </c>
      <c r="D10417" s="35" t="s">
        <v>2087</v>
      </c>
      <c r="E10417" s="35" t="s">
        <v>379</v>
      </c>
      <c r="F10417" s="35" t="s">
        <v>2112</v>
      </c>
      <c r="G10417" s="35" t="s">
        <v>1623</v>
      </c>
      <c r="H10417" s="35" t="s">
        <v>2079</v>
      </c>
    </row>
    <row r="10418" spans="1:8">
      <c r="A10418" s="34">
        <v>2084052412</v>
      </c>
      <c r="B10418" s="35" t="s">
        <v>462</v>
      </c>
      <c r="C10418" s="35" t="s">
        <v>2016</v>
      </c>
      <c r="D10418" s="35" t="s">
        <v>2087</v>
      </c>
      <c r="E10418" s="35" t="s">
        <v>379</v>
      </c>
      <c r="F10418" s="35" t="s">
        <v>2112</v>
      </c>
      <c r="G10418" s="35" t="s">
        <v>1623</v>
      </c>
      <c r="H10418" s="35" t="s">
        <v>2080</v>
      </c>
    </row>
    <row r="10419" spans="1:8">
      <c r="A10419" s="34">
        <v>2084052413</v>
      </c>
      <c r="B10419" s="35" t="s">
        <v>462</v>
      </c>
      <c r="C10419" s="35" t="s">
        <v>2016</v>
      </c>
      <c r="D10419" s="35" t="s">
        <v>2087</v>
      </c>
      <c r="E10419" s="35" t="s">
        <v>379</v>
      </c>
      <c r="F10419" s="35" t="s">
        <v>2112</v>
      </c>
      <c r="G10419" s="35" t="s">
        <v>1623</v>
      </c>
      <c r="H10419" s="35" t="s">
        <v>2081</v>
      </c>
    </row>
    <row r="10420" spans="1:8">
      <c r="A10420" s="34">
        <v>2084052421</v>
      </c>
      <c r="B10420" s="35" t="s">
        <v>462</v>
      </c>
      <c r="C10420" s="35" t="s">
        <v>2016</v>
      </c>
      <c r="D10420" s="35" t="s">
        <v>2087</v>
      </c>
      <c r="E10420" s="35" t="s">
        <v>379</v>
      </c>
      <c r="F10420" s="35" t="s">
        <v>2112</v>
      </c>
      <c r="G10420" s="35" t="s">
        <v>1624</v>
      </c>
      <c r="H10420" s="35" t="s">
        <v>2075</v>
      </c>
    </row>
    <row r="10421" spans="1:8">
      <c r="A10421" s="34">
        <v>2084052422</v>
      </c>
      <c r="B10421" s="35" t="s">
        <v>462</v>
      </c>
      <c r="C10421" s="35" t="s">
        <v>2016</v>
      </c>
      <c r="D10421" s="35" t="s">
        <v>2087</v>
      </c>
      <c r="E10421" s="35" t="s">
        <v>379</v>
      </c>
      <c r="F10421" s="35" t="s">
        <v>2112</v>
      </c>
      <c r="G10421" s="35" t="s">
        <v>1624</v>
      </c>
      <c r="H10421" s="35" t="s">
        <v>2076</v>
      </c>
    </row>
    <row r="10422" spans="1:8">
      <c r="A10422" s="34">
        <v>2084052423</v>
      </c>
      <c r="B10422" s="35" t="s">
        <v>462</v>
      </c>
      <c r="C10422" s="35" t="s">
        <v>2016</v>
      </c>
      <c r="D10422" s="35" t="s">
        <v>2087</v>
      </c>
      <c r="E10422" s="35" t="s">
        <v>379</v>
      </c>
      <c r="F10422" s="35" t="s">
        <v>2112</v>
      </c>
      <c r="G10422" s="35" t="s">
        <v>1624</v>
      </c>
      <c r="H10422" s="35" t="s">
        <v>2077</v>
      </c>
    </row>
    <row r="10423" spans="1:8">
      <c r="A10423" s="34">
        <v>2084052424</v>
      </c>
      <c r="B10423" s="35" t="s">
        <v>462</v>
      </c>
      <c r="C10423" s="35" t="s">
        <v>2016</v>
      </c>
      <c r="D10423" s="35" t="s">
        <v>2087</v>
      </c>
      <c r="E10423" s="35" t="s">
        <v>379</v>
      </c>
      <c r="F10423" s="35" t="s">
        <v>2112</v>
      </c>
      <c r="G10423" s="35" t="s">
        <v>1624</v>
      </c>
      <c r="H10423" s="35" t="s">
        <v>2078</v>
      </c>
    </row>
    <row r="10424" spans="1:8">
      <c r="A10424" s="34">
        <v>2084052425</v>
      </c>
      <c r="B10424" s="35" t="s">
        <v>462</v>
      </c>
      <c r="C10424" s="35" t="s">
        <v>2016</v>
      </c>
      <c r="D10424" s="35" t="s">
        <v>2087</v>
      </c>
      <c r="E10424" s="35" t="s">
        <v>379</v>
      </c>
      <c r="F10424" s="35" t="s">
        <v>2112</v>
      </c>
      <c r="G10424" s="35" t="s">
        <v>1624</v>
      </c>
      <c r="H10424" s="35" t="s">
        <v>2079</v>
      </c>
    </row>
    <row r="10425" spans="1:8">
      <c r="A10425" s="34">
        <v>2084052426</v>
      </c>
      <c r="B10425" s="35" t="s">
        <v>462</v>
      </c>
      <c r="C10425" s="35" t="s">
        <v>2016</v>
      </c>
      <c r="D10425" s="35" t="s">
        <v>2087</v>
      </c>
      <c r="E10425" s="35" t="s">
        <v>379</v>
      </c>
      <c r="F10425" s="35" t="s">
        <v>2112</v>
      </c>
      <c r="G10425" s="35" t="s">
        <v>1624</v>
      </c>
      <c r="H10425" s="35" t="s">
        <v>2080</v>
      </c>
    </row>
    <row r="10426" spans="1:8">
      <c r="A10426" s="34">
        <v>2084052427</v>
      </c>
      <c r="B10426" s="35" t="s">
        <v>462</v>
      </c>
      <c r="C10426" s="35" t="s">
        <v>2016</v>
      </c>
      <c r="D10426" s="35" t="s">
        <v>2087</v>
      </c>
      <c r="E10426" s="35" t="s">
        <v>379</v>
      </c>
      <c r="F10426" s="35" t="s">
        <v>2112</v>
      </c>
      <c r="G10426" s="35" t="s">
        <v>1624</v>
      </c>
      <c r="H10426" s="35" t="s">
        <v>2081</v>
      </c>
    </row>
    <row r="10427" spans="1:8">
      <c r="A10427" s="34">
        <v>2084052420</v>
      </c>
      <c r="B10427" s="35" t="s">
        <v>462</v>
      </c>
      <c r="C10427" s="35" t="s">
        <v>2016</v>
      </c>
      <c r="D10427" s="35" t="s">
        <v>2087</v>
      </c>
      <c r="E10427" s="35" t="s">
        <v>379</v>
      </c>
      <c r="F10427" s="35" t="s">
        <v>2112</v>
      </c>
      <c r="G10427" s="35" t="s">
        <v>1625</v>
      </c>
      <c r="H10427" s="35" t="s">
        <v>2075</v>
      </c>
    </row>
    <row r="10428" spans="1:8">
      <c r="A10428" s="34">
        <v>2084052419</v>
      </c>
      <c r="B10428" s="35" t="s">
        <v>462</v>
      </c>
      <c r="C10428" s="35" t="s">
        <v>2016</v>
      </c>
      <c r="D10428" s="35" t="s">
        <v>2087</v>
      </c>
      <c r="E10428" s="35" t="s">
        <v>379</v>
      </c>
      <c r="F10428" s="35" t="s">
        <v>2112</v>
      </c>
      <c r="G10428" s="35" t="s">
        <v>1625</v>
      </c>
      <c r="H10428" s="35" t="s">
        <v>2076</v>
      </c>
    </row>
    <row r="10429" spans="1:8">
      <c r="A10429" s="34">
        <v>2084052418</v>
      </c>
      <c r="B10429" s="35" t="s">
        <v>462</v>
      </c>
      <c r="C10429" s="35" t="s">
        <v>2016</v>
      </c>
      <c r="D10429" s="35" t="s">
        <v>2087</v>
      </c>
      <c r="E10429" s="35" t="s">
        <v>379</v>
      </c>
      <c r="F10429" s="35" t="s">
        <v>2112</v>
      </c>
      <c r="G10429" s="35" t="s">
        <v>1625</v>
      </c>
      <c r="H10429" s="35" t="s">
        <v>2077</v>
      </c>
    </row>
    <row r="10430" spans="1:8">
      <c r="A10430" s="34">
        <v>2084052417</v>
      </c>
      <c r="B10430" s="35" t="s">
        <v>462</v>
      </c>
      <c r="C10430" s="35" t="s">
        <v>2016</v>
      </c>
      <c r="D10430" s="35" t="s">
        <v>2087</v>
      </c>
      <c r="E10430" s="35" t="s">
        <v>379</v>
      </c>
      <c r="F10430" s="35" t="s">
        <v>2112</v>
      </c>
      <c r="G10430" s="35" t="s">
        <v>1625</v>
      </c>
      <c r="H10430" s="35" t="s">
        <v>2078</v>
      </c>
    </row>
    <row r="10431" spans="1:8">
      <c r="A10431" s="34">
        <v>2084052416</v>
      </c>
      <c r="B10431" s="35" t="s">
        <v>462</v>
      </c>
      <c r="C10431" s="35" t="s">
        <v>2016</v>
      </c>
      <c r="D10431" s="35" t="s">
        <v>2087</v>
      </c>
      <c r="E10431" s="35" t="s">
        <v>379</v>
      </c>
      <c r="F10431" s="35" t="s">
        <v>2112</v>
      </c>
      <c r="G10431" s="35" t="s">
        <v>1625</v>
      </c>
      <c r="H10431" s="35" t="s">
        <v>2079</v>
      </c>
    </row>
    <row r="10432" spans="1:8">
      <c r="A10432" s="34">
        <v>2084052415</v>
      </c>
      <c r="B10432" s="35" t="s">
        <v>462</v>
      </c>
      <c r="C10432" s="35" t="s">
        <v>2016</v>
      </c>
      <c r="D10432" s="35" t="s">
        <v>2087</v>
      </c>
      <c r="E10432" s="35" t="s">
        <v>379</v>
      </c>
      <c r="F10432" s="35" t="s">
        <v>2112</v>
      </c>
      <c r="G10432" s="35" t="s">
        <v>1625</v>
      </c>
      <c r="H10432" s="35" t="s">
        <v>2080</v>
      </c>
    </row>
    <row r="10433" spans="1:8">
      <c r="A10433" s="34">
        <v>2084052414</v>
      </c>
      <c r="B10433" s="35" t="s">
        <v>462</v>
      </c>
      <c r="C10433" s="35" t="s">
        <v>2016</v>
      </c>
      <c r="D10433" s="35" t="s">
        <v>2087</v>
      </c>
      <c r="E10433" s="35" t="s">
        <v>379</v>
      </c>
      <c r="F10433" s="35" t="s">
        <v>2112</v>
      </c>
      <c r="G10433" s="35" t="s">
        <v>1625</v>
      </c>
      <c r="H10433" s="35" t="s">
        <v>2081</v>
      </c>
    </row>
    <row r="10434" spans="1:8">
      <c r="A10434" s="34">
        <v>2084052434</v>
      </c>
      <c r="B10434" s="35" t="s">
        <v>462</v>
      </c>
      <c r="C10434" s="35" t="s">
        <v>2016</v>
      </c>
      <c r="D10434" s="35" t="s">
        <v>2087</v>
      </c>
      <c r="E10434" s="35" t="s">
        <v>379</v>
      </c>
      <c r="F10434" s="35" t="s">
        <v>2112</v>
      </c>
      <c r="G10434" s="35" t="s">
        <v>1626</v>
      </c>
      <c r="H10434" s="35" t="s">
        <v>2075</v>
      </c>
    </row>
    <row r="10435" spans="1:8">
      <c r="A10435" s="34">
        <v>2084052433</v>
      </c>
      <c r="B10435" s="35" t="s">
        <v>462</v>
      </c>
      <c r="C10435" s="35" t="s">
        <v>2016</v>
      </c>
      <c r="D10435" s="35" t="s">
        <v>2087</v>
      </c>
      <c r="E10435" s="35" t="s">
        <v>379</v>
      </c>
      <c r="F10435" s="35" t="s">
        <v>2112</v>
      </c>
      <c r="G10435" s="35" t="s">
        <v>1626</v>
      </c>
      <c r="H10435" s="35" t="s">
        <v>2076</v>
      </c>
    </row>
    <row r="10436" spans="1:8">
      <c r="A10436" s="34">
        <v>2084052432</v>
      </c>
      <c r="B10436" s="35" t="s">
        <v>462</v>
      </c>
      <c r="C10436" s="35" t="s">
        <v>2016</v>
      </c>
      <c r="D10436" s="35" t="s">
        <v>2087</v>
      </c>
      <c r="E10436" s="35" t="s">
        <v>379</v>
      </c>
      <c r="F10436" s="35" t="s">
        <v>2112</v>
      </c>
      <c r="G10436" s="35" t="s">
        <v>1626</v>
      </c>
      <c r="H10436" s="35" t="s">
        <v>2077</v>
      </c>
    </row>
    <row r="10437" spans="1:8">
      <c r="A10437" s="34">
        <v>2084052431</v>
      </c>
      <c r="B10437" s="35" t="s">
        <v>462</v>
      </c>
      <c r="C10437" s="35" t="s">
        <v>2016</v>
      </c>
      <c r="D10437" s="35" t="s">
        <v>2087</v>
      </c>
      <c r="E10437" s="35" t="s">
        <v>379</v>
      </c>
      <c r="F10437" s="35" t="s">
        <v>2112</v>
      </c>
      <c r="G10437" s="35" t="s">
        <v>1626</v>
      </c>
      <c r="H10437" s="35" t="s">
        <v>2078</v>
      </c>
    </row>
    <row r="10438" spans="1:8">
      <c r="A10438" s="34">
        <v>2084052430</v>
      </c>
      <c r="B10438" s="35" t="s">
        <v>462</v>
      </c>
      <c r="C10438" s="35" t="s">
        <v>2016</v>
      </c>
      <c r="D10438" s="35" t="s">
        <v>2087</v>
      </c>
      <c r="E10438" s="35" t="s">
        <v>379</v>
      </c>
      <c r="F10438" s="35" t="s">
        <v>2112</v>
      </c>
      <c r="G10438" s="35" t="s">
        <v>1626</v>
      </c>
      <c r="H10438" s="35" t="s">
        <v>2079</v>
      </c>
    </row>
    <row r="10439" spans="1:8">
      <c r="A10439" s="34">
        <v>2084052429</v>
      </c>
      <c r="B10439" s="35" t="s">
        <v>462</v>
      </c>
      <c r="C10439" s="35" t="s">
        <v>2016</v>
      </c>
      <c r="D10439" s="35" t="s">
        <v>2087</v>
      </c>
      <c r="E10439" s="35" t="s">
        <v>379</v>
      </c>
      <c r="F10439" s="35" t="s">
        <v>2112</v>
      </c>
      <c r="G10439" s="35" t="s">
        <v>1626</v>
      </c>
      <c r="H10439" s="35" t="s">
        <v>2080</v>
      </c>
    </row>
    <row r="10440" spans="1:8">
      <c r="A10440" s="34">
        <v>2084052428</v>
      </c>
      <c r="B10440" s="35" t="s">
        <v>462</v>
      </c>
      <c r="C10440" s="35" t="s">
        <v>2016</v>
      </c>
      <c r="D10440" s="35" t="s">
        <v>2087</v>
      </c>
      <c r="E10440" s="35" t="s">
        <v>379</v>
      </c>
      <c r="F10440" s="35" t="s">
        <v>2112</v>
      </c>
      <c r="G10440" s="35" t="s">
        <v>1626</v>
      </c>
      <c r="H10440" s="35" t="s">
        <v>2081</v>
      </c>
    </row>
    <row r="10441" spans="1:8">
      <c r="A10441" s="34">
        <v>2084006581</v>
      </c>
      <c r="B10441" s="35" t="s">
        <v>462</v>
      </c>
      <c r="C10441" s="35" t="s">
        <v>2016</v>
      </c>
      <c r="D10441" s="35" t="s">
        <v>2087</v>
      </c>
      <c r="E10441" s="35" t="s">
        <v>379</v>
      </c>
      <c r="F10441" s="35" t="s">
        <v>2112</v>
      </c>
      <c r="G10441" s="35" t="s">
        <v>335</v>
      </c>
    </row>
    <row r="10442" spans="1:8">
      <c r="A10442" s="34">
        <v>2084006582</v>
      </c>
      <c r="B10442" s="35" t="s">
        <v>462</v>
      </c>
      <c r="C10442" s="35" t="s">
        <v>2016</v>
      </c>
      <c r="D10442" s="35" t="s">
        <v>2087</v>
      </c>
      <c r="E10442" s="35" t="s">
        <v>379</v>
      </c>
      <c r="F10442" s="35" t="s">
        <v>2114</v>
      </c>
      <c r="G10442" s="35" t="s">
        <v>335</v>
      </c>
    </row>
    <row r="10443" spans="1:8">
      <c r="A10443" s="34">
        <v>2084052435</v>
      </c>
      <c r="B10443" s="35" t="s">
        <v>462</v>
      </c>
      <c r="C10443" s="35" t="s">
        <v>2016</v>
      </c>
      <c r="D10443" s="35" t="s">
        <v>2087</v>
      </c>
      <c r="E10443" s="35" t="s">
        <v>379</v>
      </c>
      <c r="F10443" s="35" t="s">
        <v>2114</v>
      </c>
      <c r="G10443" s="35" t="s">
        <v>2113</v>
      </c>
      <c r="H10443" s="35" t="s">
        <v>2075</v>
      </c>
    </row>
    <row r="10444" spans="1:8">
      <c r="A10444" s="34">
        <v>2084052436</v>
      </c>
      <c r="B10444" s="35" t="s">
        <v>462</v>
      </c>
      <c r="C10444" s="35" t="s">
        <v>2016</v>
      </c>
      <c r="D10444" s="35" t="s">
        <v>2087</v>
      </c>
      <c r="E10444" s="35" t="s">
        <v>379</v>
      </c>
      <c r="F10444" s="35" t="s">
        <v>2114</v>
      </c>
      <c r="G10444" s="35" t="s">
        <v>2113</v>
      </c>
      <c r="H10444" s="35" t="s">
        <v>2076</v>
      </c>
    </row>
    <row r="10445" spans="1:8">
      <c r="A10445" s="34">
        <v>2084052437</v>
      </c>
      <c r="B10445" s="35" t="s">
        <v>462</v>
      </c>
      <c r="C10445" s="35" t="s">
        <v>2016</v>
      </c>
      <c r="D10445" s="35" t="s">
        <v>2087</v>
      </c>
      <c r="E10445" s="35" t="s">
        <v>379</v>
      </c>
      <c r="F10445" s="35" t="s">
        <v>2114</v>
      </c>
      <c r="G10445" s="35" t="s">
        <v>2113</v>
      </c>
      <c r="H10445" s="35" t="s">
        <v>2077</v>
      </c>
    </row>
    <row r="10446" spans="1:8">
      <c r="A10446" s="34">
        <v>2084052438</v>
      </c>
      <c r="B10446" s="35" t="s">
        <v>462</v>
      </c>
      <c r="C10446" s="35" t="s">
        <v>2016</v>
      </c>
      <c r="D10446" s="35" t="s">
        <v>2087</v>
      </c>
      <c r="E10446" s="35" t="s">
        <v>379</v>
      </c>
      <c r="F10446" s="35" t="s">
        <v>2114</v>
      </c>
      <c r="G10446" s="35" t="s">
        <v>2113</v>
      </c>
      <c r="H10446" s="35" t="s">
        <v>2078</v>
      </c>
    </row>
    <row r="10447" spans="1:8">
      <c r="A10447" s="34">
        <v>2084052439</v>
      </c>
      <c r="B10447" s="35" t="s">
        <v>462</v>
      </c>
      <c r="C10447" s="35" t="s">
        <v>2016</v>
      </c>
      <c r="D10447" s="35" t="s">
        <v>2087</v>
      </c>
      <c r="E10447" s="35" t="s">
        <v>379</v>
      </c>
      <c r="F10447" s="35" t="s">
        <v>2114</v>
      </c>
      <c r="G10447" s="35" t="s">
        <v>2113</v>
      </c>
      <c r="H10447" s="35" t="s">
        <v>2079</v>
      </c>
    </row>
    <row r="10448" spans="1:8">
      <c r="A10448" s="34">
        <v>2084052440</v>
      </c>
      <c r="B10448" s="35" t="s">
        <v>462</v>
      </c>
      <c r="C10448" s="35" t="s">
        <v>2016</v>
      </c>
      <c r="D10448" s="35" t="s">
        <v>2087</v>
      </c>
      <c r="E10448" s="35" t="s">
        <v>379</v>
      </c>
      <c r="F10448" s="35" t="s">
        <v>2114</v>
      </c>
      <c r="G10448" s="35" t="s">
        <v>2113</v>
      </c>
      <c r="H10448" s="35" t="s">
        <v>2080</v>
      </c>
    </row>
    <row r="10449" spans="1:8">
      <c r="A10449" s="34">
        <v>2084052441</v>
      </c>
      <c r="B10449" s="35" t="s">
        <v>462</v>
      </c>
      <c r="C10449" s="35" t="s">
        <v>2016</v>
      </c>
      <c r="D10449" s="35" t="s">
        <v>2087</v>
      </c>
      <c r="E10449" s="35" t="s">
        <v>379</v>
      </c>
      <c r="F10449" s="35" t="s">
        <v>2114</v>
      </c>
      <c r="G10449" s="35" t="s">
        <v>2113</v>
      </c>
      <c r="H10449" s="35" t="s">
        <v>2081</v>
      </c>
    </row>
    <row r="10450" spans="1:8">
      <c r="A10450" s="34">
        <v>2084052448</v>
      </c>
      <c r="B10450" s="35" t="s">
        <v>462</v>
      </c>
      <c r="C10450" s="35" t="s">
        <v>2016</v>
      </c>
      <c r="D10450" s="35" t="s">
        <v>2087</v>
      </c>
      <c r="E10450" s="35" t="s">
        <v>379</v>
      </c>
      <c r="F10450" s="35" t="s">
        <v>2114</v>
      </c>
      <c r="G10450" s="35" t="s">
        <v>1623</v>
      </c>
      <c r="H10450" s="35" t="s">
        <v>2075</v>
      </c>
    </row>
    <row r="10451" spans="1:8">
      <c r="A10451" s="34">
        <v>2084052447</v>
      </c>
      <c r="B10451" s="35" t="s">
        <v>462</v>
      </c>
      <c r="C10451" s="35" t="s">
        <v>2016</v>
      </c>
      <c r="D10451" s="35" t="s">
        <v>2087</v>
      </c>
      <c r="E10451" s="35" t="s">
        <v>379</v>
      </c>
      <c r="F10451" s="35" t="s">
        <v>2114</v>
      </c>
      <c r="G10451" s="35" t="s">
        <v>1623</v>
      </c>
      <c r="H10451" s="35" t="s">
        <v>2076</v>
      </c>
    </row>
    <row r="10452" spans="1:8">
      <c r="A10452" s="34">
        <v>2084052446</v>
      </c>
      <c r="B10452" s="35" t="s">
        <v>462</v>
      </c>
      <c r="C10452" s="35" t="s">
        <v>2016</v>
      </c>
      <c r="D10452" s="35" t="s">
        <v>2087</v>
      </c>
      <c r="E10452" s="35" t="s">
        <v>379</v>
      </c>
      <c r="F10452" s="35" t="s">
        <v>2114</v>
      </c>
      <c r="G10452" s="35" t="s">
        <v>1623</v>
      </c>
      <c r="H10452" s="35" t="s">
        <v>2077</v>
      </c>
    </row>
    <row r="10453" spans="1:8">
      <c r="A10453" s="34">
        <v>2084052445</v>
      </c>
      <c r="B10453" s="35" t="s">
        <v>462</v>
      </c>
      <c r="C10453" s="35" t="s">
        <v>2016</v>
      </c>
      <c r="D10453" s="35" t="s">
        <v>2087</v>
      </c>
      <c r="E10453" s="35" t="s">
        <v>379</v>
      </c>
      <c r="F10453" s="35" t="s">
        <v>2114</v>
      </c>
      <c r="G10453" s="35" t="s">
        <v>1623</v>
      </c>
      <c r="H10453" s="35" t="s">
        <v>2078</v>
      </c>
    </row>
    <row r="10454" spans="1:8">
      <c r="A10454" s="34">
        <v>2084052444</v>
      </c>
      <c r="B10454" s="35" t="s">
        <v>462</v>
      </c>
      <c r="C10454" s="35" t="s">
        <v>2016</v>
      </c>
      <c r="D10454" s="35" t="s">
        <v>2087</v>
      </c>
      <c r="E10454" s="35" t="s">
        <v>379</v>
      </c>
      <c r="F10454" s="35" t="s">
        <v>2114</v>
      </c>
      <c r="G10454" s="35" t="s">
        <v>1623</v>
      </c>
      <c r="H10454" s="35" t="s">
        <v>2079</v>
      </c>
    </row>
    <row r="10455" spans="1:8">
      <c r="A10455" s="34">
        <v>2084052443</v>
      </c>
      <c r="B10455" s="35" t="s">
        <v>462</v>
      </c>
      <c r="C10455" s="35" t="s">
        <v>2016</v>
      </c>
      <c r="D10455" s="35" t="s">
        <v>2087</v>
      </c>
      <c r="E10455" s="35" t="s">
        <v>379</v>
      </c>
      <c r="F10455" s="35" t="s">
        <v>2114</v>
      </c>
      <c r="G10455" s="35" t="s">
        <v>1623</v>
      </c>
      <c r="H10455" s="35" t="s">
        <v>2080</v>
      </c>
    </row>
    <row r="10456" spans="1:8">
      <c r="A10456" s="34">
        <v>2084052442</v>
      </c>
      <c r="B10456" s="35" t="s">
        <v>462</v>
      </c>
      <c r="C10456" s="35" t="s">
        <v>2016</v>
      </c>
      <c r="D10456" s="35" t="s">
        <v>2087</v>
      </c>
      <c r="E10456" s="35" t="s">
        <v>379</v>
      </c>
      <c r="F10456" s="35" t="s">
        <v>2114</v>
      </c>
      <c r="G10456" s="35" t="s">
        <v>1623</v>
      </c>
      <c r="H10456" s="35" t="s">
        <v>2081</v>
      </c>
    </row>
    <row r="10457" spans="1:8">
      <c r="A10457" s="34">
        <v>2084052449</v>
      </c>
      <c r="B10457" s="35" t="s">
        <v>462</v>
      </c>
      <c r="C10457" s="35" t="s">
        <v>2016</v>
      </c>
      <c r="D10457" s="35" t="s">
        <v>2087</v>
      </c>
      <c r="E10457" s="35" t="s">
        <v>379</v>
      </c>
      <c r="F10457" s="35" t="s">
        <v>2114</v>
      </c>
      <c r="G10457" s="35" t="s">
        <v>1624</v>
      </c>
      <c r="H10457" s="35" t="s">
        <v>2075</v>
      </c>
    </row>
    <row r="10458" spans="1:8">
      <c r="A10458" s="34">
        <v>2084052450</v>
      </c>
      <c r="B10458" s="35" t="s">
        <v>462</v>
      </c>
      <c r="C10458" s="35" t="s">
        <v>2016</v>
      </c>
      <c r="D10458" s="35" t="s">
        <v>2087</v>
      </c>
      <c r="E10458" s="35" t="s">
        <v>379</v>
      </c>
      <c r="F10458" s="35" t="s">
        <v>2114</v>
      </c>
      <c r="G10458" s="35" t="s">
        <v>1624</v>
      </c>
      <c r="H10458" s="35" t="s">
        <v>2076</v>
      </c>
    </row>
    <row r="10459" spans="1:8">
      <c r="A10459" s="34">
        <v>2084052451</v>
      </c>
      <c r="B10459" s="35" t="s">
        <v>462</v>
      </c>
      <c r="C10459" s="35" t="s">
        <v>2016</v>
      </c>
      <c r="D10459" s="35" t="s">
        <v>2087</v>
      </c>
      <c r="E10459" s="35" t="s">
        <v>379</v>
      </c>
      <c r="F10459" s="35" t="s">
        <v>2114</v>
      </c>
      <c r="G10459" s="35" t="s">
        <v>1624</v>
      </c>
      <c r="H10459" s="35" t="s">
        <v>2077</v>
      </c>
    </row>
    <row r="10460" spans="1:8">
      <c r="A10460" s="34">
        <v>2084052452</v>
      </c>
      <c r="B10460" s="35" t="s">
        <v>462</v>
      </c>
      <c r="C10460" s="35" t="s">
        <v>2016</v>
      </c>
      <c r="D10460" s="35" t="s">
        <v>2087</v>
      </c>
      <c r="E10460" s="35" t="s">
        <v>379</v>
      </c>
      <c r="F10460" s="35" t="s">
        <v>2114</v>
      </c>
      <c r="G10460" s="35" t="s">
        <v>1624</v>
      </c>
      <c r="H10460" s="35" t="s">
        <v>2078</v>
      </c>
    </row>
    <row r="10461" spans="1:8">
      <c r="A10461" s="34">
        <v>2084052453</v>
      </c>
      <c r="B10461" s="35" t="s">
        <v>462</v>
      </c>
      <c r="C10461" s="35" t="s">
        <v>2016</v>
      </c>
      <c r="D10461" s="35" t="s">
        <v>2087</v>
      </c>
      <c r="E10461" s="35" t="s">
        <v>379</v>
      </c>
      <c r="F10461" s="35" t="s">
        <v>2114</v>
      </c>
      <c r="G10461" s="35" t="s">
        <v>1624</v>
      </c>
      <c r="H10461" s="35" t="s">
        <v>2079</v>
      </c>
    </row>
    <row r="10462" spans="1:8">
      <c r="A10462" s="34">
        <v>2084052454</v>
      </c>
      <c r="B10462" s="35" t="s">
        <v>462</v>
      </c>
      <c r="C10462" s="35" t="s">
        <v>2016</v>
      </c>
      <c r="D10462" s="35" t="s">
        <v>2087</v>
      </c>
      <c r="E10462" s="35" t="s">
        <v>379</v>
      </c>
      <c r="F10462" s="35" t="s">
        <v>2114</v>
      </c>
      <c r="G10462" s="35" t="s">
        <v>1624</v>
      </c>
      <c r="H10462" s="35" t="s">
        <v>2080</v>
      </c>
    </row>
    <row r="10463" spans="1:8">
      <c r="A10463" s="34">
        <v>2084052455</v>
      </c>
      <c r="B10463" s="35" t="s">
        <v>462</v>
      </c>
      <c r="C10463" s="35" t="s">
        <v>2016</v>
      </c>
      <c r="D10463" s="35" t="s">
        <v>2087</v>
      </c>
      <c r="E10463" s="35" t="s">
        <v>379</v>
      </c>
      <c r="F10463" s="35" t="s">
        <v>2114</v>
      </c>
      <c r="G10463" s="35" t="s">
        <v>1624</v>
      </c>
      <c r="H10463" s="35" t="s">
        <v>2081</v>
      </c>
    </row>
    <row r="10464" spans="1:8">
      <c r="A10464" s="34">
        <v>2084006584</v>
      </c>
      <c r="B10464" s="35" t="s">
        <v>462</v>
      </c>
      <c r="C10464" s="35" t="s">
        <v>2016</v>
      </c>
      <c r="D10464" s="35" t="s">
        <v>2087</v>
      </c>
      <c r="E10464" s="35" t="s">
        <v>379</v>
      </c>
      <c r="F10464" s="35" t="s">
        <v>2114</v>
      </c>
      <c r="G10464" s="35" t="s">
        <v>2115</v>
      </c>
    </row>
    <row r="10465" spans="1:7">
      <c r="A10465" s="34">
        <v>2084052479</v>
      </c>
      <c r="B10465" s="35" t="s">
        <v>462</v>
      </c>
      <c r="C10465" s="35" t="s">
        <v>2016</v>
      </c>
      <c r="D10465" s="35" t="s">
        <v>2087</v>
      </c>
      <c r="E10465" s="35" t="s">
        <v>379</v>
      </c>
      <c r="F10465" s="35" t="s">
        <v>557</v>
      </c>
      <c r="G10465" s="35" t="s">
        <v>2075</v>
      </c>
    </row>
    <row r="10466" spans="1:7">
      <c r="A10466" s="34">
        <v>2084052480</v>
      </c>
      <c r="B10466" s="35" t="s">
        <v>462</v>
      </c>
      <c r="C10466" s="35" t="s">
        <v>2016</v>
      </c>
      <c r="D10466" s="35" t="s">
        <v>2087</v>
      </c>
      <c r="E10466" s="35" t="s">
        <v>379</v>
      </c>
      <c r="F10466" s="35" t="s">
        <v>557</v>
      </c>
      <c r="G10466" s="35" t="s">
        <v>2076</v>
      </c>
    </row>
    <row r="10467" spans="1:7">
      <c r="A10467" s="34">
        <v>2084052481</v>
      </c>
      <c r="B10467" s="35" t="s">
        <v>462</v>
      </c>
      <c r="C10467" s="35" t="s">
        <v>2016</v>
      </c>
      <c r="D10467" s="35" t="s">
        <v>2087</v>
      </c>
      <c r="E10467" s="35" t="s">
        <v>379</v>
      </c>
      <c r="F10467" s="35" t="s">
        <v>557</v>
      </c>
      <c r="G10467" s="35" t="s">
        <v>2077</v>
      </c>
    </row>
    <row r="10468" spans="1:7">
      <c r="A10468" s="34">
        <v>2084052482</v>
      </c>
      <c r="B10468" s="35" t="s">
        <v>462</v>
      </c>
      <c r="C10468" s="35" t="s">
        <v>2016</v>
      </c>
      <c r="D10468" s="35" t="s">
        <v>2087</v>
      </c>
      <c r="E10468" s="35" t="s">
        <v>379</v>
      </c>
      <c r="F10468" s="35" t="s">
        <v>557</v>
      </c>
      <c r="G10468" s="35" t="s">
        <v>2078</v>
      </c>
    </row>
    <row r="10469" spans="1:7">
      <c r="A10469" s="34">
        <v>2084052483</v>
      </c>
      <c r="B10469" s="35" t="s">
        <v>462</v>
      </c>
      <c r="C10469" s="35" t="s">
        <v>2016</v>
      </c>
      <c r="D10469" s="35" t="s">
        <v>2087</v>
      </c>
      <c r="E10469" s="35" t="s">
        <v>379</v>
      </c>
      <c r="F10469" s="35" t="s">
        <v>557</v>
      </c>
      <c r="G10469" s="35" t="s">
        <v>2079</v>
      </c>
    </row>
    <row r="10470" spans="1:7">
      <c r="A10470" s="34">
        <v>2084052484</v>
      </c>
      <c r="B10470" s="35" t="s">
        <v>462</v>
      </c>
      <c r="C10470" s="35" t="s">
        <v>2016</v>
      </c>
      <c r="D10470" s="35" t="s">
        <v>2087</v>
      </c>
      <c r="E10470" s="35" t="s">
        <v>379</v>
      </c>
      <c r="F10470" s="35" t="s">
        <v>557</v>
      </c>
      <c r="G10470" s="35" t="s">
        <v>2080</v>
      </c>
    </row>
    <row r="10471" spans="1:7">
      <c r="A10471" s="34">
        <v>2084052485</v>
      </c>
      <c r="B10471" s="35" t="s">
        <v>462</v>
      </c>
      <c r="C10471" s="35" t="s">
        <v>2016</v>
      </c>
      <c r="D10471" s="35" t="s">
        <v>2087</v>
      </c>
      <c r="E10471" s="35" t="s">
        <v>379</v>
      </c>
      <c r="F10471" s="35" t="s">
        <v>557</v>
      </c>
      <c r="G10471" s="35" t="s">
        <v>2081</v>
      </c>
    </row>
    <row r="10472" spans="1:7">
      <c r="A10472" s="34">
        <v>2084052328</v>
      </c>
      <c r="B10472" s="35" t="s">
        <v>462</v>
      </c>
      <c r="C10472" s="35" t="s">
        <v>2016</v>
      </c>
      <c r="D10472" s="35" t="s">
        <v>2087</v>
      </c>
      <c r="E10472" s="35" t="s">
        <v>379</v>
      </c>
      <c r="F10472" s="35" t="s">
        <v>2116</v>
      </c>
      <c r="G10472" s="35" t="s">
        <v>2075</v>
      </c>
    </row>
    <row r="10473" spans="1:7">
      <c r="A10473" s="34">
        <v>2084052327</v>
      </c>
      <c r="B10473" s="35" t="s">
        <v>462</v>
      </c>
      <c r="C10473" s="35" t="s">
        <v>2016</v>
      </c>
      <c r="D10473" s="35" t="s">
        <v>2087</v>
      </c>
      <c r="E10473" s="35" t="s">
        <v>379</v>
      </c>
      <c r="F10473" s="35" t="s">
        <v>2116</v>
      </c>
      <c r="G10473" s="35" t="s">
        <v>2076</v>
      </c>
    </row>
    <row r="10474" spans="1:7">
      <c r="A10474" s="34">
        <v>2084052326</v>
      </c>
      <c r="B10474" s="35" t="s">
        <v>462</v>
      </c>
      <c r="C10474" s="35" t="s">
        <v>2016</v>
      </c>
      <c r="D10474" s="35" t="s">
        <v>2087</v>
      </c>
      <c r="E10474" s="35" t="s">
        <v>379</v>
      </c>
      <c r="F10474" s="35" t="s">
        <v>2116</v>
      </c>
      <c r="G10474" s="35" t="s">
        <v>2077</v>
      </c>
    </row>
    <row r="10475" spans="1:7">
      <c r="A10475" s="34">
        <v>2084052325</v>
      </c>
      <c r="B10475" s="35" t="s">
        <v>462</v>
      </c>
      <c r="C10475" s="35" t="s">
        <v>2016</v>
      </c>
      <c r="D10475" s="35" t="s">
        <v>2087</v>
      </c>
      <c r="E10475" s="35" t="s">
        <v>379</v>
      </c>
      <c r="F10475" s="35" t="s">
        <v>2116</v>
      </c>
      <c r="G10475" s="35" t="s">
        <v>2078</v>
      </c>
    </row>
    <row r="10476" spans="1:7">
      <c r="A10476" s="34">
        <v>2084052324</v>
      </c>
      <c r="B10476" s="35" t="s">
        <v>462</v>
      </c>
      <c r="C10476" s="35" t="s">
        <v>2016</v>
      </c>
      <c r="D10476" s="35" t="s">
        <v>2087</v>
      </c>
      <c r="E10476" s="35" t="s">
        <v>379</v>
      </c>
      <c r="F10476" s="35" t="s">
        <v>2116</v>
      </c>
      <c r="G10476" s="35" t="s">
        <v>2079</v>
      </c>
    </row>
    <row r="10477" spans="1:7">
      <c r="A10477" s="34">
        <v>2084052323</v>
      </c>
      <c r="B10477" s="35" t="s">
        <v>462</v>
      </c>
      <c r="C10477" s="35" t="s">
        <v>2016</v>
      </c>
      <c r="D10477" s="35" t="s">
        <v>2087</v>
      </c>
      <c r="E10477" s="35" t="s">
        <v>379</v>
      </c>
      <c r="F10477" s="35" t="s">
        <v>2116</v>
      </c>
      <c r="G10477" s="35" t="s">
        <v>2080</v>
      </c>
    </row>
    <row r="10478" spans="1:7">
      <c r="A10478" s="34">
        <v>2084052322</v>
      </c>
      <c r="B10478" s="35" t="s">
        <v>462</v>
      </c>
      <c r="C10478" s="35" t="s">
        <v>2016</v>
      </c>
      <c r="D10478" s="35" t="s">
        <v>2087</v>
      </c>
      <c r="E10478" s="35" t="s">
        <v>379</v>
      </c>
      <c r="F10478" s="35" t="s">
        <v>2116</v>
      </c>
      <c r="G10478" s="35" t="s">
        <v>2081</v>
      </c>
    </row>
    <row r="10479" spans="1:7">
      <c r="A10479" s="34">
        <v>2084052462</v>
      </c>
      <c r="B10479" s="35" t="s">
        <v>462</v>
      </c>
      <c r="C10479" s="35" t="s">
        <v>2016</v>
      </c>
      <c r="D10479" s="35" t="s">
        <v>2087</v>
      </c>
      <c r="E10479" s="35" t="s">
        <v>379</v>
      </c>
      <c r="F10479" s="35" t="s">
        <v>2117</v>
      </c>
      <c r="G10479" s="35" t="s">
        <v>2075</v>
      </c>
    </row>
    <row r="10480" spans="1:7">
      <c r="A10480" s="34">
        <v>2084052461</v>
      </c>
      <c r="B10480" s="35" t="s">
        <v>462</v>
      </c>
      <c r="C10480" s="35" t="s">
        <v>2016</v>
      </c>
      <c r="D10480" s="35" t="s">
        <v>2087</v>
      </c>
      <c r="E10480" s="35" t="s">
        <v>379</v>
      </c>
      <c r="F10480" s="35" t="s">
        <v>2117</v>
      </c>
      <c r="G10480" s="35" t="s">
        <v>2076</v>
      </c>
    </row>
    <row r="10481" spans="1:7">
      <c r="A10481" s="34">
        <v>2084052460</v>
      </c>
      <c r="B10481" s="35" t="s">
        <v>462</v>
      </c>
      <c r="C10481" s="35" t="s">
        <v>2016</v>
      </c>
      <c r="D10481" s="35" t="s">
        <v>2087</v>
      </c>
      <c r="E10481" s="35" t="s">
        <v>379</v>
      </c>
      <c r="F10481" s="35" t="s">
        <v>2117</v>
      </c>
      <c r="G10481" s="35" t="s">
        <v>2077</v>
      </c>
    </row>
    <row r="10482" spans="1:7">
      <c r="A10482" s="34">
        <v>2084052459</v>
      </c>
      <c r="B10482" s="35" t="s">
        <v>462</v>
      </c>
      <c r="C10482" s="35" t="s">
        <v>2016</v>
      </c>
      <c r="D10482" s="35" t="s">
        <v>2087</v>
      </c>
      <c r="E10482" s="35" t="s">
        <v>379</v>
      </c>
      <c r="F10482" s="35" t="s">
        <v>2117</v>
      </c>
      <c r="G10482" s="35" t="s">
        <v>2078</v>
      </c>
    </row>
    <row r="10483" spans="1:7">
      <c r="A10483" s="34">
        <v>2084052458</v>
      </c>
      <c r="B10483" s="35" t="s">
        <v>462</v>
      </c>
      <c r="C10483" s="35" t="s">
        <v>2016</v>
      </c>
      <c r="D10483" s="35" t="s">
        <v>2087</v>
      </c>
      <c r="E10483" s="35" t="s">
        <v>379</v>
      </c>
      <c r="F10483" s="35" t="s">
        <v>2117</v>
      </c>
      <c r="G10483" s="35" t="s">
        <v>2079</v>
      </c>
    </row>
    <row r="10484" spans="1:7">
      <c r="A10484" s="34">
        <v>2084052457</v>
      </c>
      <c r="B10484" s="35" t="s">
        <v>462</v>
      </c>
      <c r="C10484" s="35" t="s">
        <v>2016</v>
      </c>
      <c r="D10484" s="35" t="s">
        <v>2087</v>
      </c>
      <c r="E10484" s="35" t="s">
        <v>379</v>
      </c>
      <c r="F10484" s="35" t="s">
        <v>2117</v>
      </c>
      <c r="G10484" s="35" t="s">
        <v>2080</v>
      </c>
    </row>
    <row r="10485" spans="1:7">
      <c r="A10485" s="34">
        <v>2084052456</v>
      </c>
      <c r="B10485" s="35" t="s">
        <v>462</v>
      </c>
      <c r="C10485" s="35" t="s">
        <v>2016</v>
      </c>
      <c r="D10485" s="35" t="s">
        <v>2087</v>
      </c>
      <c r="E10485" s="35" t="s">
        <v>379</v>
      </c>
      <c r="F10485" s="35" t="s">
        <v>2117</v>
      </c>
      <c r="G10485" s="35" t="s">
        <v>2081</v>
      </c>
    </row>
    <row r="10486" spans="1:7">
      <c r="A10486" s="34">
        <v>2084052513</v>
      </c>
      <c r="B10486" s="35" t="s">
        <v>462</v>
      </c>
      <c r="C10486" s="35" t="s">
        <v>2016</v>
      </c>
      <c r="D10486" s="35" t="s">
        <v>2087</v>
      </c>
      <c r="E10486" s="35" t="s">
        <v>379</v>
      </c>
      <c r="F10486" s="35" t="s">
        <v>1627</v>
      </c>
      <c r="G10486" s="35" t="s">
        <v>2075</v>
      </c>
    </row>
    <row r="10487" spans="1:7">
      <c r="A10487" s="34">
        <v>2084052514</v>
      </c>
      <c r="B10487" s="35" t="s">
        <v>462</v>
      </c>
      <c r="C10487" s="35" t="s">
        <v>2016</v>
      </c>
      <c r="D10487" s="35" t="s">
        <v>2087</v>
      </c>
      <c r="E10487" s="35" t="s">
        <v>379</v>
      </c>
      <c r="F10487" s="35" t="s">
        <v>1627</v>
      </c>
      <c r="G10487" s="35" t="s">
        <v>2076</v>
      </c>
    </row>
    <row r="10488" spans="1:7">
      <c r="A10488" s="34">
        <v>2084052515</v>
      </c>
      <c r="B10488" s="35" t="s">
        <v>462</v>
      </c>
      <c r="C10488" s="35" t="s">
        <v>2016</v>
      </c>
      <c r="D10488" s="35" t="s">
        <v>2087</v>
      </c>
      <c r="E10488" s="35" t="s">
        <v>379</v>
      </c>
      <c r="F10488" s="35" t="s">
        <v>1627</v>
      </c>
      <c r="G10488" s="35" t="s">
        <v>2077</v>
      </c>
    </row>
    <row r="10489" spans="1:7">
      <c r="A10489" s="34">
        <v>2084052516</v>
      </c>
      <c r="B10489" s="35" t="s">
        <v>462</v>
      </c>
      <c r="C10489" s="35" t="s">
        <v>2016</v>
      </c>
      <c r="D10489" s="35" t="s">
        <v>2087</v>
      </c>
      <c r="E10489" s="35" t="s">
        <v>379</v>
      </c>
      <c r="F10489" s="35" t="s">
        <v>1627</v>
      </c>
      <c r="G10489" s="35" t="s">
        <v>2078</v>
      </c>
    </row>
    <row r="10490" spans="1:7">
      <c r="A10490" s="34">
        <v>2084052517</v>
      </c>
      <c r="B10490" s="35" t="s">
        <v>462</v>
      </c>
      <c r="C10490" s="35" t="s">
        <v>2016</v>
      </c>
      <c r="D10490" s="35" t="s">
        <v>2087</v>
      </c>
      <c r="E10490" s="35" t="s">
        <v>379</v>
      </c>
      <c r="F10490" s="35" t="s">
        <v>1627</v>
      </c>
      <c r="G10490" s="35" t="s">
        <v>2079</v>
      </c>
    </row>
    <row r="10491" spans="1:7">
      <c r="A10491" s="34">
        <v>2084052518</v>
      </c>
      <c r="B10491" s="35" t="s">
        <v>462</v>
      </c>
      <c r="C10491" s="35" t="s">
        <v>2016</v>
      </c>
      <c r="D10491" s="35" t="s">
        <v>2087</v>
      </c>
      <c r="E10491" s="35" t="s">
        <v>379</v>
      </c>
      <c r="F10491" s="35" t="s">
        <v>1627</v>
      </c>
      <c r="G10491" s="35" t="s">
        <v>2080</v>
      </c>
    </row>
    <row r="10492" spans="1:7">
      <c r="A10492" s="34">
        <v>2084052519</v>
      </c>
      <c r="B10492" s="35" t="s">
        <v>462</v>
      </c>
      <c r="C10492" s="35" t="s">
        <v>2016</v>
      </c>
      <c r="D10492" s="35" t="s">
        <v>2087</v>
      </c>
      <c r="E10492" s="35" t="s">
        <v>379</v>
      </c>
      <c r="F10492" s="35" t="s">
        <v>1627</v>
      </c>
      <c r="G10492" s="35" t="s">
        <v>2081</v>
      </c>
    </row>
    <row r="10493" spans="1:7">
      <c r="A10493" s="34">
        <v>2084006568</v>
      </c>
      <c r="B10493" s="35" t="s">
        <v>462</v>
      </c>
      <c r="C10493" s="35" t="s">
        <v>2016</v>
      </c>
      <c r="D10493" s="35" t="s">
        <v>2087</v>
      </c>
      <c r="E10493" s="35" t="s">
        <v>379</v>
      </c>
      <c r="F10493" s="35" t="s">
        <v>335</v>
      </c>
    </row>
    <row r="10494" spans="1:7">
      <c r="A10494" s="34">
        <v>2084052315</v>
      </c>
      <c r="B10494" s="35" t="s">
        <v>462</v>
      </c>
      <c r="C10494" s="35" t="s">
        <v>2016</v>
      </c>
      <c r="D10494" s="35" t="s">
        <v>2087</v>
      </c>
      <c r="E10494" s="35" t="s">
        <v>379</v>
      </c>
      <c r="F10494" s="35" t="s">
        <v>2118</v>
      </c>
      <c r="G10494" s="35" t="s">
        <v>2075</v>
      </c>
    </row>
    <row r="10495" spans="1:7">
      <c r="A10495" s="34">
        <v>2084052316</v>
      </c>
      <c r="B10495" s="35" t="s">
        <v>462</v>
      </c>
      <c r="C10495" s="35" t="s">
        <v>2016</v>
      </c>
      <c r="D10495" s="35" t="s">
        <v>2087</v>
      </c>
      <c r="E10495" s="35" t="s">
        <v>379</v>
      </c>
      <c r="F10495" s="35" t="s">
        <v>2118</v>
      </c>
      <c r="G10495" s="35" t="s">
        <v>2076</v>
      </c>
    </row>
    <row r="10496" spans="1:7">
      <c r="A10496" s="34">
        <v>2084052317</v>
      </c>
      <c r="B10496" s="35" t="s">
        <v>462</v>
      </c>
      <c r="C10496" s="35" t="s">
        <v>2016</v>
      </c>
      <c r="D10496" s="35" t="s">
        <v>2087</v>
      </c>
      <c r="E10496" s="35" t="s">
        <v>379</v>
      </c>
      <c r="F10496" s="35" t="s">
        <v>2118</v>
      </c>
      <c r="G10496" s="35" t="s">
        <v>2077</v>
      </c>
    </row>
    <row r="10497" spans="1:7">
      <c r="A10497" s="34">
        <v>2084052318</v>
      </c>
      <c r="B10497" s="35" t="s">
        <v>462</v>
      </c>
      <c r="C10497" s="35" t="s">
        <v>2016</v>
      </c>
      <c r="D10497" s="35" t="s">
        <v>2087</v>
      </c>
      <c r="E10497" s="35" t="s">
        <v>379</v>
      </c>
      <c r="F10497" s="35" t="s">
        <v>2118</v>
      </c>
      <c r="G10497" s="35" t="s">
        <v>2078</v>
      </c>
    </row>
    <row r="10498" spans="1:7">
      <c r="A10498" s="34">
        <v>2084052319</v>
      </c>
      <c r="B10498" s="35" t="s">
        <v>462</v>
      </c>
      <c r="C10498" s="35" t="s">
        <v>2016</v>
      </c>
      <c r="D10498" s="35" t="s">
        <v>2087</v>
      </c>
      <c r="E10498" s="35" t="s">
        <v>379</v>
      </c>
      <c r="F10498" s="35" t="s">
        <v>2118</v>
      </c>
      <c r="G10498" s="35" t="s">
        <v>2079</v>
      </c>
    </row>
    <row r="10499" spans="1:7">
      <c r="A10499" s="34">
        <v>2084052320</v>
      </c>
      <c r="B10499" s="35" t="s">
        <v>462</v>
      </c>
      <c r="C10499" s="35" t="s">
        <v>2016</v>
      </c>
      <c r="D10499" s="35" t="s">
        <v>2087</v>
      </c>
      <c r="E10499" s="35" t="s">
        <v>379</v>
      </c>
      <c r="F10499" s="35" t="s">
        <v>2118</v>
      </c>
      <c r="G10499" s="35" t="s">
        <v>2080</v>
      </c>
    </row>
    <row r="10500" spans="1:7">
      <c r="A10500" s="34">
        <v>2084052321</v>
      </c>
      <c r="B10500" s="35" t="s">
        <v>462</v>
      </c>
      <c r="C10500" s="35" t="s">
        <v>2016</v>
      </c>
      <c r="D10500" s="35" t="s">
        <v>2087</v>
      </c>
      <c r="E10500" s="35" t="s">
        <v>379</v>
      </c>
      <c r="F10500" s="35" t="s">
        <v>2118</v>
      </c>
      <c r="G10500" s="35" t="s">
        <v>2081</v>
      </c>
    </row>
    <row r="10501" spans="1:7">
      <c r="A10501" s="34">
        <v>2084052543</v>
      </c>
      <c r="B10501" s="35" t="s">
        <v>462</v>
      </c>
      <c r="C10501" s="35" t="s">
        <v>2016</v>
      </c>
      <c r="D10501" s="35" t="s">
        <v>2087</v>
      </c>
      <c r="E10501" s="35" t="s">
        <v>379</v>
      </c>
      <c r="F10501" s="35" t="s">
        <v>1655</v>
      </c>
      <c r="G10501" s="35" t="s">
        <v>2075</v>
      </c>
    </row>
    <row r="10502" spans="1:7">
      <c r="A10502" s="34">
        <v>2084052544</v>
      </c>
      <c r="B10502" s="35" t="s">
        <v>462</v>
      </c>
      <c r="C10502" s="35" t="s">
        <v>2016</v>
      </c>
      <c r="D10502" s="35" t="s">
        <v>2087</v>
      </c>
      <c r="E10502" s="35" t="s">
        <v>379</v>
      </c>
      <c r="F10502" s="35" t="s">
        <v>1655</v>
      </c>
      <c r="G10502" s="35" t="s">
        <v>2076</v>
      </c>
    </row>
    <row r="10503" spans="1:7">
      <c r="A10503" s="34">
        <v>2084052545</v>
      </c>
      <c r="B10503" s="35" t="s">
        <v>462</v>
      </c>
      <c r="C10503" s="35" t="s">
        <v>2016</v>
      </c>
      <c r="D10503" s="35" t="s">
        <v>2087</v>
      </c>
      <c r="E10503" s="35" t="s">
        <v>379</v>
      </c>
      <c r="F10503" s="35" t="s">
        <v>1655</v>
      </c>
      <c r="G10503" s="35" t="s">
        <v>2077</v>
      </c>
    </row>
    <row r="10504" spans="1:7">
      <c r="A10504" s="34">
        <v>2084052546</v>
      </c>
      <c r="B10504" s="35" t="s">
        <v>462</v>
      </c>
      <c r="C10504" s="35" t="s">
        <v>2016</v>
      </c>
      <c r="D10504" s="35" t="s">
        <v>2087</v>
      </c>
      <c r="E10504" s="35" t="s">
        <v>379</v>
      </c>
      <c r="F10504" s="35" t="s">
        <v>1655</v>
      </c>
      <c r="G10504" s="35" t="s">
        <v>2078</v>
      </c>
    </row>
    <row r="10505" spans="1:7">
      <c r="A10505" s="34">
        <v>2084052547</v>
      </c>
      <c r="B10505" s="35" t="s">
        <v>462</v>
      </c>
      <c r="C10505" s="35" t="s">
        <v>2016</v>
      </c>
      <c r="D10505" s="35" t="s">
        <v>2087</v>
      </c>
      <c r="E10505" s="35" t="s">
        <v>379</v>
      </c>
      <c r="F10505" s="35" t="s">
        <v>1655</v>
      </c>
      <c r="G10505" s="35" t="s">
        <v>2079</v>
      </c>
    </row>
    <row r="10506" spans="1:7">
      <c r="A10506" s="34">
        <v>2084052548</v>
      </c>
      <c r="B10506" s="35" t="s">
        <v>462</v>
      </c>
      <c r="C10506" s="35" t="s">
        <v>2016</v>
      </c>
      <c r="D10506" s="35" t="s">
        <v>2087</v>
      </c>
      <c r="E10506" s="35" t="s">
        <v>379</v>
      </c>
      <c r="F10506" s="35" t="s">
        <v>1655</v>
      </c>
      <c r="G10506" s="35" t="s">
        <v>2080</v>
      </c>
    </row>
    <row r="10507" spans="1:7">
      <c r="A10507" s="34">
        <v>2084052549</v>
      </c>
      <c r="B10507" s="35" t="s">
        <v>462</v>
      </c>
      <c r="C10507" s="35" t="s">
        <v>2016</v>
      </c>
      <c r="D10507" s="35" t="s">
        <v>2087</v>
      </c>
      <c r="E10507" s="35" t="s">
        <v>379</v>
      </c>
      <c r="F10507" s="35" t="s">
        <v>1655</v>
      </c>
      <c r="G10507" s="35" t="s">
        <v>2081</v>
      </c>
    </row>
    <row r="10508" spans="1:7">
      <c r="A10508" s="34">
        <v>2084052506</v>
      </c>
      <c r="B10508" s="35" t="s">
        <v>462</v>
      </c>
      <c r="C10508" s="35" t="s">
        <v>2016</v>
      </c>
      <c r="D10508" s="35" t="s">
        <v>2087</v>
      </c>
      <c r="E10508" s="35" t="s">
        <v>379</v>
      </c>
      <c r="F10508" s="35" t="s">
        <v>1657</v>
      </c>
      <c r="G10508" s="35" t="s">
        <v>2075</v>
      </c>
    </row>
    <row r="10509" spans="1:7">
      <c r="A10509" s="34">
        <v>2084052507</v>
      </c>
      <c r="B10509" s="35" t="s">
        <v>462</v>
      </c>
      <c r="C10509" s="35" t="s">
        <v>2016</v>
      </c>
      <c r="D10509" s="35" t="s">
        <v>2087</v>
      </c>
      <c r="E10509" s="35" t="s">
        <v>379</v>
      </c>
      <c r="F10509" s="35" t="s">
        <v>1657</v>
      </c>
      <c r="G10509" s="35" t="s">
        <v>2076</v>
      </c>
    </row>
    <row r="10510" spans="1:7">
      <c r="A10510" s="34">
        <v>2084052508</v>
      </c>
      <c r="B10510" s="35" t="s">
        <v>462</v>
      </c>
      <c r="C10510" s="35" t="s">
        <v>2016</v>
      </c>
      <c r="D10510" s="35" t="s">
        <v>2087</v>
      </c>
      <c r="E10510" s="35" t="s">
        <v>379</v>
      </c>
      <c r="F10510" s="35" t="s">
        <v>1657</v>
      </c>
      <c r="G10510" s="35" t="s">
        <v>2077</v>
      </c>
    </row>
    <row r="10511" spans="1:7">
      <c r="A10511" s="34">
        <v>2084052509</v>
      </c>
      <c r="B10511" s="35" t="s">
        <v>462</v>
      </c>
      <c r="C10511" s="35" t="s">
        <v>2016</v>
      </c>
      <c r="D10511" s="35" t="s">
        <v>2087</v>
      </c>
      <c r="E10511" s="35" t="s">
        <v>379</v>
      </c>
      <c r="F10511" s="35" t="s">
        <v>1657</v>
      </c>
      <c r="G10511" s="35" t="s">
        <v>2078</v>
      </c>
    </row>
    <row r="10512" spans="1:7">
      <c r="A10512" s="34">
        <v>2084052510</v>
      </c>
      <c r="B10512" s="35" t="s">
        <v>462</v>
      </c>
      <c r="C10512" s="35" t="s">
        <v>2016</v>
      </c>
      <c r="D10512" s="35" t="s">
        <v>2087</v>
      </c>
      <c r="E10512" s="35" t="s">
        <v>379</v>
      </c>
      <c r="F10512" s="35" t="s">
        <v>1657</v>
      </c>
      <c r="G10512" s="35" t="s">
        <v>2079</v>
      </c>
    </row>
    <row r="10513" spans="1:7">
      <c r="A10513" s="34">
        <v>2084052511</v>
      </c>
      <c r="B10513" s="35" t="s">
        <v>462</v>
      </c>
      <c r="C10513" s="35" t="s">
        <v>2016</v>
      </c>
      <c r="D10513" s="35" t="s">
        <v>2087</v>
      </c>
      <c r="E10513" s="35" t="s">
        <v>379</v>
      </c>
      <c r="F10513" s="35" t="s">
        <v>1657</v>
      </c>
      <c r="G10513" s="35" t="s">
        <v>2080</v>
      </c>
    </row>
    <row r="10514" spans="1:7">
      <c r="A10514" s="34">
        <v>2084052512</v>
      </c>
      <c r="B10514" s="35" t="s">
        <v>462</v>
      </c>
      <c r="C10514" s="35" t="s">
        <v>2016</v>
      </c>
      <c r="D10514" s="35" t="s">
        <v>2087</v>
      </c>
      <c r="E10514" s="35" t="s">
        <v>379</v>
      </c>
      <c r="F10514" s="35" t="s">
        <v>1657</v>
      </c>
      <c r="G10514" s="35" t="s">
        <v>2081</v>
      </c>
    </row>
    <row r="10515" spans="1:7">
      <c r="A10515" s="34">
        <v>2084053622</v>
      </c>
      <c r="B10515" s="35" t="s">
        <v>462</v>
      </c>
      <c r="C10515" s="35" t="s">
        <v>2016</v>
      </c>
      <c r="D10515" s="35" t="s">
        <v>2087</v>
      </c>
      <c r="E10515" s="35" t="s">
        <v>530</v>
      </c>
      <c r="F10515" s="35" t="s">
        <v>1619</v>
      </c>
      <c r="G10515" s="35" t="s">
        <v>2075</v>
      </c>
    </row>
    <row r="10516" spans="1:7">
      <c r="A10516" s="34">
        <v>2084053623</v>
      </c>
      <c r="B10516" s="35" t="s">
        <v>462</v>
      </c>
      <c r="C10516" s="35" t="s">
        <v>2016</v>
      </c>
      <c r="D10516" s="35" t="s">
        <v>2087</v>
      </c>
      <c r="E10516" s="35" t="s">
        <v>530</v>
      </c>
      <c r="F10516" s="35" t="s">
        <v>1619</v>
      </c>
      <c r="G10516" s="35" t="s">
        <v>2076</v>
      </c>
    </row>
    <row r="10517" spans="1:7">
      <c r="A10517" s="34">
        <v>2084053624</v>
      </c>
      <c r="B10517" s="35" t="s">
        <v>462</v>
      </c>
      <c r="C10517" s="35" t="s">
        <v>2016</v>
      </c>
      <c r="D10517" s="35" t="s">
        <v>2087</v>
      </c>
      <c r="E10517" s="35" t="s">
        <v>530</v>
      </c>
      <c r="F10517" s="35" t="s">
        <v>1619</v>
      </c>
      <c r="G10517" s="35" t="s">
        <v>2077</v>
      </c>
    </row>
    <row r="10518" spans="1:7">
      <c r="A10518" s="34">
        <v>2084053625</v>
      </c>
      <c r="B10518" s="35" t="s">
        <v>462</v>
      </c>
      <c r="C10518" s="35" t="s">
        <v>2016</v>
      </c>
      <c r="D10518" s="35" t="s">
        <v>2087</v>
      </c>
      <c r="E10518" s="35" t="s">
        <v>530</v>
      </c>
      <c r="F10518" s="35" t="s">
        <v>1619</v>
      </c>
      <c r="G10518" s="35" t="s">
        <v>2078</v>
      </c>
    </row>
    <row r="10519" spans="1:7">
      <c r="A10519" s="34">
        <v>2084053626</v>
      </c>
      <c r="B10519" s="35" t="s">
        <v>462</v>
      </c>
      <c r="C10519" s="35" t="s">
        <v>2016</v>
      </c>
      <c r="D10519" s="35" t="s">
        <v>2087</v>
      </c>
      <c r="E10519" s="35" t="s">
        <v>530</v>
      </c>
      <c r="F10519" s="35" t="s">
        <v>1619</v>
      </c>
      <c r="G10519" s="35" t="s">
        <v>2079</v>
      </c>
    </row>
    <row r="10520" spans="1:7">
      <c r="A10520" s="34">
        <v>2084053627</v>
      </c>
      <c r="B10520" s="35" t="s">
        <v>462</v>
      </c>
      <c r="C10520" s="35" t="s">
        <v>2016</v>
      </c>
      <c r="D10520" s="35" t="s">
        <v>2087</v>
      </c>
      <c r="E10520" s="35" t="s">
        <v>530</v>
      </c>
      <c r="F10520" s="35" t="s">
        <v>1619</v>
      </c>
      <c r="G10520" s="35" t="s">
        <v>2080</v>
      </c>
    </row>
    <row r="10521" spans="1:7">
      <c r="A10521" s="34">
        <v>2084053628</v>
      </c>
      <c r="B10521" s="35" t="s">
        <v>462</v>
      </c>
      <c r="C10521" s="35" t="s">
        <v>2016</v>
      </c>
      <c r="D10521" s="35" t="s">
        <v>2087</v>
      </c>
      <c r="E10521" s="35" t="s">
        <v>530</v>
      </c>
      <c r="F10521" s="35" t="s">
        <v>1619</v>
      </c>
      <c r="G10521" s="35" t="s">
        <v>2081</v>
      </c>
    </row>
    <row r="10522" spans="1:7">
      <c r="A10522" s="34">
        <v>2084053629</v>
      </c>
      <c r="B10522" s="35" t="s">
        <v>462</v>
      </c>
      <c r="C10522" s="35" t="s">
        <v>2016</v>
      </c>
      <c r="D10522" s="35" t="s">
        <v>2087</v>
      </c>
      <c r="E10522" s="35" t="s">
        <v>530</v>
      </c>
      <c r="F10522" s="35" t="s">
        <v>1621</v>
      </c>
      <c r="G10522" s="35" t="s">
        <v>2075</v>
      </c>
    </row>
    <row r="10523" spans="1:7">
      <c r="A10523" s="34">
        <v>2084053630</v>
      </c>
      <c r="B10523" s="35" t="s">
        <v>462</v>
      </c>
      <c r="C10523" s="35" t="s">
        <v>2016</v>
      </c>
      <c r="D10523" s="35" t="s">
        <v>2087</v>
      </c>
      <c r="E10523" s="35" t="s">
        <v>530</v>
      </c>
      <c r="F10523" s="35" t="s">
        <v>1621</v>
      </c>
      <c r="G10523" s="35" t="s">
        <v>2076</v>
      </c>
    </row>
    <row r="10524" spans="1:7">
      <c r="A10524" s="34">
        <v>2084053631</v>
      </c>
      <c r="B10524" s="35" t="s">
        <v>462</v>
      </c>
      <c r="C10524" s="35" t="s">
        <v>2016</v>
      </c>
      <c r="D10524" s="35" t="s">
        <v>2087</v>
      </c>
      <c r="E10524" s="35" t="s">
        <v>530</v>
      </c>
      <c r="F10524" s="35" t="s">
        <v>1621</v>
      </c>
      <c r="G10524" s="35" t="s">
        <v>2077</v>
      </c>
    </row>
    <row r="10525" spans="1:7">
      <c r="A10525" s="34">
        <v>2084053632</v>
      </c>
      <c r="B10525" s="35" t="s">
        <v>462</v>
      </c>
      <c r="C10525" s="35" t="s">
        <v>2016</v>
      </c>
      <c r="D10525" s="35" t="s">
        <v>2087</v>
      </c>
      <c r="E10525" s="35" t="s">
        <v>530</v>
      </c>
      <c r="F10525" s="35" t="s">
        <v>1621</v>
      </c>
      <c r="G10525" s="35" t="s">
        <v>2078</v>
      </c>
    </row>
    <row r="10526" spans="1:7">
      <c r="A10526" s="34">
        <v>2084053633</v>
      </c>
      <c r="B10526" s="35" t="s">
        <v>462</v>
      </c>
      <c r="C10526" s="35" t="s">
        <v>2016</v>
      </c>
      <c r="D10526" s="35" t="s">
        <v>2087</v>
      </c>
      <c r="E10526" s="35" t="s">
        <v>530</v>
      </c>
      <c r="F10526" s="35" t="s">
        <v>1621</v>
      </c>
      <c r="G10526" s="35" t="s">
        <v>2079</v>
      </c>
    </row>
    <row r="10527" spans="1:7">
      <c r="A10527" s="34">
        <v>2084053634</v>
      </c>
      <c r="B10527" s="35" t="s">
        <v>462</v>
      </c>
      <c r="C10527" s="35" t="s">
        <v>2016</v>
      </c>
      <c r="D10527" s="35" t="s">
        <v>2087</v>
      </c>
      <c r="E10527" s="35" t="s">
        <v>530</v>
      </c>
      <c r="F10527" s="35" t="s">
        <v>1621</v>
      </c>
      <c r="G10527" s="35" t="s">
        <v>2080</v>
      </c>
    </row>
    <row r="10528" spans="1:7">
      <c r="A10528" s="34">
        <v>2084053635</v>
      </c>
      <c r="B10528" s="35" t="s">
        <v>462</v>
      </c>
      <c r="C10528" s="35" t="s">
        <v>2016</v>
      </c>
      <c r="D10528" s="35" t="s">
        <v>2087</v>
      </c>
      <c r="E10528" s="35" t="s">
        <v>530</v>
      </c>
      <c r="F10528" s="35" t="s">
        <v>1621</v>
      </c>
      <c r="G10528" s="35" t="s">
        <v>2081</v>
      </c>
    </row>
    <row r="10529" spans="1:7">
      <c r="A10529" s="34">
        <v>2084052856</v>
      </c>
      <c r="B10529" s="35" t="s">
        <v>462</v>
      </c>
      <c r="C10529" s="35" t="s">
        <v>2016</v>
      </c>
      <c r="D10529" s="35" t="s">
        <v>2087</v>
      </c>
      <c r="E10529" s="35" t="s">
        <v>2119</v>
      </c>
      <c r="F10529" s="35" t="s">
        <v>2075</v>
      </c>
    </row>
    <row r="10530" spans="1:7">
      <c r="A10530" s="34">
        <v>2084052857</v>
      </c>
      <c r="B10530" s="35" t="s">
        <v>462</v>
      </c>
      <c r="C10530" s="35" t="s">
        <v>2016</v>
      </c>
      <c r="D10530" s="35" t="s">
        <v>2087</v>
      </c>
      <c r="E10530" s="35" t="s">
        <v>2119</v>
      </c>
      <c r="F10530" s="35" t="s">
        <v>2076</v>
      </c>
    </row>
    <row r="10531" spans="1:7">
      <c r="A10531" s="34">
        <v>2084052858</v>
      </c>
      <c r="B10531" s="35" t="s">
        <v>462</v>
      </c>
      <c r="C10531" s="35" t="s">
        <v>2016</v>
      </c>
      <c r="D10531" s="35" t="s">
        <v>2087</v>
      </c>
      <c r="E10531" s="35" t="s">
        <v>2119</v>
      </c>
      <c r="F10531" s="35" t="s">
        <v>2077</v>
      </c>
    </row>
    <row r="10532" spans="1:7">
      <c r="A10532" s="34">
        <v>2084052859</v>
      </c>
      <c r="B10532" s="35" t="s">
        <v>462</v>
      </c>
      <c r="C10532" s="35" t="s">
        <v>2016</v>
      </c>
      <c r="D10532" s="35" t="s">
        <v>2087</v>
      </c>
      <c r="E10532" s="35" t="s">
        <v>2119</v>
      </c>
      <c r="F10532" s="35" t="s">
        <v>2078</v>
      </c>
    </row>
    <row r="10533" spans="1:7">
      <c r="A10533" s="34">
        <v>2084052860</v>
      </c>
      <c r="B10533" s="35" t="s">
        <v>462</v>
      </c>
      <c r="C10533" s="35" t="s">
        <v>2016</v>
      </c>
      <c r="D10533" s="35" t="s">
        <v>2087</v>
      </c>
      <c r="E10533" s="35" t="s">
        <v>2119</v>
      </c>
      <c r="F10533" s="35" t="s">
        <v>2079</v>
      </c>
    </row>
    <row r="10534" spans="1:7">
      <c r="A10534" s="34">
        <v>2084052861</v>
      </c>
      <c r="B10534" s="35" t="s">
        <v>462</v>
      </c>
      <c r="C10534" s="35" t="s">
        <v>2016</v>
      </c>
      <c r="D10534" s="35" t="s">
        <v>2087</v>
      </c>
      <c r="E10534" s="35" t="s">
        <v>2119</v>
      </c>
      <c r="F10534" s="35" t="s">
        <v>2080</v>
      </c>
    </row>
    <row r="10535" spans="1:7">
      <c r="A10535" s="34">
        <v>2084052862</v>
      </c>
      <c r="B10535" s="35" t="s">
        <v>462</v>
      </c>
      <c r="C10535" s="35" t="s">
        <v>2016</v>
      </c>
      <c r="D10535" s="35" t="s">
        <v>2087</v>
      </c>
      <c r="E10535" s="35" t="s">
        <v>2119</v>
      </c>
      <c r="F10535" s="35" t="s">
        <v>2081</v>
      </c>
    </row>
    <row r="10536" spans="1:7">
      <c r="A10536" s="34">
        <v>2084006658</v>
      </c>
      <c r="B10536" s="35" t="s">
        <v>462</v>
      </c>
      <c r="C10536" s="35" t="s">
        <v>2016</v>
      </c>
      <c r="D10536" s="35" t="s">
        <v>2087</v>
      </c>
      <c r="E10536" s="35" t="s">
        <v>384</v>
      </c>
      <c r="F10536" s="35" t="s">
        <v>2120</v>
      </c>
    </row>
    <row r="10537" spans="1:7">
      <c r="A10537" s="34">
        <v>2084053211</v>
      </c>
      <c r="B10537" s="35" t="s">
        <v>462</v>
      </c>
      <c r="C10537" s="35" t="s">
        <v>2016</v>
      </c>
      <c r="D10537" s="35" t="s">
        <v>2087</v>
      </c>
      <c r="E10537" s="35" t="s">
        <v>384</v>
      </c>
      <c r="F10537" s="35" t="s">
        <v>1699</v>
      </c>
      <c r="G10537" s="35" t="s">
        <v>2075</v>
      </c>
    </row>
    <row r="10538" spans="1:7">
      <c r="A10538" s="34">
        <v>2084053212</v>
      </c>
      <c r="B10538" s="35" t="s">
        <v>462</v>
      </c>
      <c r="C10538" s="35" t="s">
        <v>2016</v>
      </c>
      <c r="D10538" s="35" t="s">
        <v>2087</v>
      </c>
      <c r="E10538" s="35" t="s">
        <v>384</v>
      </c>
      <c r="F10538" s="35" t="s">
        <v>1699</v>
      </c>
      <c r="G10538" s="35" t="s">
        <v>2076</v>
      </c>
    </row>
    <row r="10539" spans="1:7">
      <c r="A10539" s="34">
        <v>2084053213</v>
      </c>
      <c r="B10539" s="35" t="s">
        <v>462</v>
      </c>
      <c r="C10539" s="35" t="s">
        <v>2016</v>
      </c>
      <c r="D10539" s="35" t="s">
        <v>2087</v>
      </c>
      <c r="E10539" s="35" t="s">
        <v>384</v>
      </c>
      <c r="F10539" s="35" t="s">
        <v>1699</v>
      </c>
      <c r="G10539" s="35" t="s">
        <v>2077</v>
      </c>
    </row>
    <row r="10540" spans="1:7">
      <c r="A10540" s="34">
        <v>2084053214</v>
      </c>
      <c r="B10540" s="35" t="s">
        <v>462</v>
      </c>
      <c r="C10540" s="35" t="s">
        <v>2016</v>
      </c>
      <c r="D10540" s="35" t="s">
        <v>2087</v>
      </c>
      <c r="E10540" s="35" t="s">
        <v>384</v>
      </c>
      <c r="F10540" s="35" t="s">
        <v>1699</v>
      </c>
      <c r="G10540" s="35" t="s">
        <v>2078</v>
      </c>
    </row>
    <row r="10541" spans="1:7">
      <c r="A10541" s="34">
        <v>2084053215</v>
      </c>
      <c r="B10541" s="35" t="s">
        <v>462</v>
      </c>
      <c r="C10541" s="35" t="s">
        <v>2016</v>
      </c>
      <c r="D10541" s="35" t="s">
        <v>2087</v>
      </c>
      <c r="E10541" s="35" t="s">
        <v>384</v>
      </c>
      <c r="F10541" s="35" t="s">
        <v>1699</v>
      </c>
      <c r="G10541" s="35" t="s">
        <v>2079</v>
      </c>
    </row>
    <row r="10542" spans="1:7">
      <c r="A10542" s="34">
        <v>2084053216</v>
      </c>
      <c r="B10542" s="35" t="s">
        <v>462</v>
      </c>
      <c r="C10542" s="35" t="s">
        <v>2016</v>
      </c>
      <c r="D10542" s="35" t="s">
        <v>2087</v>
      </c>
      <c r="E10542" s="35" t="s">
        <v>384</v>
      </c>
      <c r="F10542" s="35" t="s">
        <v>1699</v>
      </c>
      <c r="G10542" s="35" t="s">
        <v>2080</v>
      </c>
    </row>
    <row r="10543" spans="1:7">
      <c r="A10543" s="34">
        <v>2084053217</v>
      </c>
      <c r="B10543" s="35" t="s">
        <v>462</v>
      </c>
      <c r="C10543" s="35" t="s">
        <v>2016</v>
      </c>
      <c r="D10543" s="35" t="s">
        <v>2087</v>
      </c>
      <c r="E10543" s="35" t="s">
        <v>384</v>
      </c>
      <c r="F10543" s="35" t="s">
        <v>1699</v>
      </c>
      <c r="G10543" s="35" t="s">
        <v>2081</v>
      </c>
    </row>
    <row r="10544" spans="1:7">
      <c r="A10544" s="34">
        <v>2084053203</v>
      </c>
      <c r="B10544" s="35" t="s">
        <v>462</v>
      </c>
      <c r="C10544" s="35" t="s">
        <v>2016</v>
      </c>
      <c r="D10544" s="35" t="s">
        <v>2087</v>
      </c>
      <c r="E10544" s="35" t="s">
        <v>384</v>
      </c>
      <c r="F10544" s="35" t="s">
        <v>1711</v>
      </c>
      <c r="G10544" s="35" t="s">
        <v>2075</v>
      </c>
    </row>
    <row r="10545" spans="1:7">
      <c r="A10545" s="34">
        <v>2084053204</v>
      </c>
      <c r="B10545" s="35" t="s">
        <v>462</v>
      </c>
      <c r="C10545" s="35" t="s">
        <v>2016</v>
      </c>
      <c r="D10545" s="35" t="s">
        <v>2087</v>
      </c>
      <c r="E10545" s="35" t="s">
        <v>384</v>
      </c>
      <c r="F10545" s="35" t="s">
        <v>1711</v>
      </c>
      <c r="G10545" s="35" t="s">
        <v>2076</v>
      </c>
    </row>
    <row r="10546" spans="1:7">
      <c r="A10546" s="34">
        <v>2084053205</v>
      </c>
      <c r="B10546" s="35" t="s">
        <v>462</v>
      </c>
      <c r="C10546" s="35" t="s">
        <v>2016</v>
      </c>
      <c r="D10546" s="35" t="s">
        <v>2087</v>
      </c>
      <c r="E10546" s="35" t="s">
        <v>384</v>
      </c>
      <c r="F10546" s="35" t="s">
        <v>1711</v>
      </c>
      <c r="G10546" s="35" t="s">
        <v>2077</v>
      </c>
    </row>
    <row r="10547" spans="1:7">
      <c r="A10547" s="34">
        <v>2084053206</v>
      </c>
      <c r="B10547" s="35" t="s">
        <v>462</v>
      </c>
      <c r="C10547" s="35" t="s">
        <v>2016</v>
      </c>
      <c r="D10547" s="35" t="s">
        <v>2087</v>
      </c>
      <c r="E10547" s="35" t="s">
        <v>384</v>
      </c>
      <c r="F10547" s="35" t="s">
        <v>1711</v>
      </c>
      <c r="G10547" s="35" t="s">
        <v>2078</v>
      </c>
    </row>
    <row r="10548" spans="1:7">
      <c r="A10548" s="34">
        <v>2084053207</v>
      </c>
      <c r="B10548" s="35" t="s">
        <v>462</v>
      </c>
      <c r="C10548" s="35" t="s">
        <v>2016</v>
      </c>
      <c r="D10548" s="35" t="s">
        <v>2087</v>
      </c>
      <c r="E10548" s="35" t="s">
        <v>384</v>
      </c>
      <c r="F10548" s="35" t="s">
        <v>1711</v>
      </c>
      <c r="G10548" s="35" t="s">
        <v>2079</v>
      </c>
    </row>
    <row r="10549" spans="1:7">
      <c r="A10549" s="34">
        <v>2084053208</v>
      </c>
      <c r="B10549" s="35" t="s">
        <v>462</v>
      </c>
      <c r="C10549" s="35" t="s">
        <v>2016</v>
      </c>
      <c r="D10549" s="35" t="s">
        <v>2087</v>
      </c>
      <c r="E10549" s="35" t="s">
        <v>384</v>
      </c>
      <c r="F10549" s="35" t="s">
        <v>1711</v>
      </c>
      <c r="G10549" s="35" t="s">
        <v>2080</v>
      </c>
    </row>
    <row r="10550" spans="1:7">
      <c r="A10550" s="34">
        <v>2084053209</v>
      </c>
      <c r="B10550" s="35" t="s">
        <v>462</v>
      </c>
      <c r="C10550" s="35" t="s">
        <v>2016</v>
      </c>
      <c r="D10550" s="35" t="s">
        <v>2087</v>
      </c>
      <c r="E10550" s="35" t="s">
        <v>384</v>
      </c>
      <c r="F10550" s="35" t="s">
        <v>1711</v>
      </c>
      <c r="G10550" s="35" t="s">
        <v>2081</v>
      </c>
    </row>
    <row r="10551" spans="1:7">
      <c r="A10551" s="34">
        <v>2084006554</v>
      </c>
      <c r="B10551" s="35" t="s">
        <v>462</v>
      </c>
      <c r="C10551" s="35" t="s">
        <v>2016</v>
      </c>
      <c r="D10551" s="35" t="s">
        <v>2087</v>
      </c>
      <c r="E10551" s="35" t="s">
        <v>2121</v>
      </c>
    </row>
    <row r="10552" spans="1:7">
      <c r="A10552" s="34">
        <v>2084052987</v>
      </c>
      <c r="B10552" s="35" t="s">
        <v>462</v>
      </c>
      <c r="C10552" s="35" t="s">
        <v>2016</v>
      </c>
      <c r="D10552" s="35" t="s">
        <v>2087</v>
      </c>
      <c r="E10552" s="35" t="s">
        <v>2122</v>
      </c>
      <c r="F10552" s="35" t="s">
        <v>2075</v>
      </c>
    </row>
    <row r="10553" spans="1:7">
      <c r="A10553" s="34">
        <v>2084052988</v>
      </c>
      <c r="B10553" s="35" t="s">
        <v>462</v>
      </c>
      <c r="C10553" s="35" t="s">
        <v>2016</v>
      </c>
      <c r="D10553" s="35" t="s">
        <v>2087</v>
      </c>
      <c r="E10553" s="35" t="s">
        <v>2122</v>
      </c>
      <c r="F10553" s="35" t="s">
        <v>2076</v>
      </c>
    </row>
    <row r="10554" spans="1:7">
      <c r="A10554" s="34">
        <v>2084052989</v>
      </c>
      <c r="B10554" s="35" t="s">
        <v>462</v>
      </c>
      <c r="C10554" s="35" t="s">
        <v>2016</v>
      </c>
      <c r="D10554" s="35" t="s">
        <v>2087</v>
      </c>
      <c r="E10554" s="35" t="s">
        <v>2122</v>
      </c>
      <c r="F10554" s="35" t="s">
        <v>2077</v>
      </c>
    </row>
    <row r="10555" spans="1:7">
      <c r="A10555" s="34">
        <v>2084052990</v>
      </c>
      <c r="B10555" s="35" t="s">
        <v>462</v>
      </c>
      <c r="C10555" s="35" t="s">
        <v>2016</v>
      </c>
      <c r="D10555" s="35" t="s">
        <v>2087</v>
      </c>
      <c r="E10555" s="35" t="s">
        <v>2122</v>
      </c>
      <c r="F10555" s="35" t="s">
        <v>2078</v>
      </c>
    </row>
    <row r="10556" spans="1:7">
      <c r="A10556" s="34">
        <v>2084052991</v>
      </c>
      <c r="B10556" s="35" t="s">
        <v>462</v>
      </c>
      <c r="C10556" s="35" t="s">
        <v>2016</v>
      </c>
      <c r="D10556" s="35" t="s">
        <v>2087</v>
      </c>
      <c r="E10556" s="35" t="s">
        <v>2122</v>
      </c>
      <c r="F10556" s="35" t="s">
        <v>2079</v>
      </c>
    </row>
    <row r="10557" spans="1:7">
      <c r="A10557" s="34">
        <v>2084052992</v>
      </c>
      <c r="B10557" s="35" t="s">
        <v>462</v>
      </c>
      <c r="C10557" s="35" t="s">
        <v>2016</v>
      </c>
      <c r="D10557" s="35" t="s">
        <v>2087</v>
      </c>
      <c r="E10557" s="35" t="s">
        <v>2122</v>
      </c>
      <c r="F10557" s="35" t="s">
        <v>2080</v>
      </c>
    </row>
    <row r="10558" spans="1:7">
      <c r="A10558" s="34">
        <v>2084052993</v>
      </c>
      <c r="B10558" s="35" t="s">
        <v>462</v>
      </c>
      <c r="C10558" s="35" t="s">
        <v>2016</v>
      </c>
      <c r="D10558" s="35" t="s">
        <v>2087</v>
      </c>
      <c r="E10558" s="35" t="s">
        <v>2122</v>
      </c>
      <c r="F10558" s="35" t="s">
        <v>2081</v>
      </c>
    </row>
    <row r="10559" spans="1:7">
      <c r="A10559" s="34">
        <v>2084053650</v>
      </c>
      <c r="B10559" s="35" t="s">
        <v>462</v>
      </c>
      <c r="C10559" s="35" t="s">
        <v>2016</v>
      </c>
      <c r="D10559" s="35" t="s">
        <v>2087</v>
      </c>
      <c r="E10559" s="35" t="s">
        <v>2123</v>
      </c>
      <c r="F10559" s="35" t="s">
        <v>2075</v>
      </c>
    </row>
    <row r="10560" spans="1:7">
      <c r="A10560" s="34">
        <v>2084053651</v>
      </c>
      <c r="B10560" s="35" t="s">
        <v>462</v>
      </c>
      <c r="C10560" s="35" t="s">
        <v>2016</v>
      </c>
      <c r="D10560" s="35" t="s">
        <v>2087</v>
      </c>
      <c r="E10560" s="35" t="s">
        <v>2123</v>
      </c>
      <c r="F10560" s="35" t="s">
        <v>2076</v>
      </c>
    </row>
    <row r="10561" spans="1:7">
      <c r="A10561" s="34">
        <v>2084053652</v>
      </c>
      <c r="B10561" s="35" t="s">
        <v>462</v>
      </c>
      <c r="C10561" s="35" t="s">
        <v>2016</v>
      </c>
      <c r="D10561" s="35" t="s">
        <v>2087</v>
      </c>
      <c r="E10561" s="35" t="s">
        <v>2123</v>
      </c>
      <c r="F10561" s="35" t="s">
        <v>2077</v>
      </c>
    </row>
    <row r="10562" spans="1:7">
      <c r="A10562" s="34">
        <v>2084053653</v>
      </c>
      <c r="B10562" s="35" t="s">
        <v>462</v>
      </c>
      <c r="C10562" s="35" t="s">
        <v>2016</v>
      </c>
      <c r="D10562" s="35" t="s">
        <v>2087</v>
      </c>
      <c r="E10562" s="35" t="s">
        <v>2123</v>
      </c>
      <c r="F10562" s="35" t="s">
        <v>2078</v>
      </c>
    </row>
    <row r="10563" spans="1:7">
      <c r="A10563" s="34">
        <v>2084053654</v>
      </c>
      <c r="B10563" s="35" t="s">
        <v>462</v>
      </c>
      <c r="C10563" s="35" t="s">
        <v>2016</v>
      </c>
      <c r="D10563" s="35" t="s">
        <v>2087</v>
      </c>
      <c r="E10563" s="35" t="s">
        <v>2123</v>
      </c>
      <c r="F10563" s="35" t="s">
        <v>2079</v>
      </c>
    </row>
    <row r="10564" spans="1:7">
      <c r="A10564" s="34">
        <v>2084053655</v>
      </c>
      <c r="B10564" s="35" t="s">
        <v>462</v>
      </c>
      <c r="C10564" s="35" t="s">
        <v>2016</v>
      </c>
      <c r="D10564" s="35" t="s">
        <v>2087</v>
      </c>
      <c r="E10564" s="35" t="s">
        <v>2123</v>
      </c>
      <c r="F10564" s="35" t="s">
        <v>2080</v>
      </c>
    </row>
    <row r="10565" spans="1:7">
      <c r="A10565" s="34">
        <v>2084053656</v>
      </c>
      <c r="B10565" s="35" t="s">
        <v>462</v>
      </c>
      <c r="C10565" s="35" t="s">
        <v>2016</v>
      </c>
      <c r="D10565" s="35" t="s">
        <v>2087</v>
      </c>
      <c r="E10565" s="35" t="s">
        <v>2123</v>
      </c>
      <c r="F10565" s="35" t="s">
        <v>2081</v>
      </c>
    </row>
    <row r="10566" spans="1:7">
      <c r="A10566" s="34">
        <v>2084052970</v>
      </c>
      <c r="B10566" s="35" t="s">
        <v>462</v>
      </c>
      <c r="C10566" s="35" t="s">
        <v>2016</v>
      </c>
      <c r="D10566" s="35" t="s">
        <v>2087</v>
      </c>
      <c r="E10566" s="35" t="s">
        <v>1665</v>
      </c>
      <c r="F10566" s="35" t="s">
        <v>2124</v>
      </c>
      <c r="G10566" s="35" t="s">
        <v>2075</v>
      </c>
    </row>
    <row r="10567" spans="1:7">
      <c r="A10567" s="34">
        <v>2084052971</v>
      </c>
      <c r="B10567" s="35" t="s">
        <v>462</v>
      </c>
      <c r="C10567" s="35" t="s">
        <v>2016</v>
      </c>
      <c r="D10567" s="35" t="s">
        <v>2087</v>
      </c>
      <c r="E10567" s="35" t="s">
        <v>1665</v>
      </c>
      <c r="F10567" s="35" t="s">
        <v>2124</v>
      </c>
      <c r="G10567" s="35" t="s">
        <v>2076</v>
      </c>
    </row>
    <row r="10568" spans="1:7">
      <c r="A10568" s="34">
        <v>2084052972</v>
      </c>
      <c r="B10568" s="35" t="s">
        <v>462</v>
      </c>
      <c r="C10568" s="35" t="s">
        <v>2016</v>
      </c>
      <c r="D10568" s="35" t="s">
        <v>2087</v>
      </c>
      <c r="E10568" s="35" t="s">
        <v>1665</v>
      </c>
      <c r="F10568" s="35" t="s">
        <v>2124</v>
      </c>
      <c r="G10568" s="35" t="s">
        <v>2077</v>
      </c>
    </row>
    <row r="10569" spans="1:7">
      <c r="A10569" s="34">
        <v>2084052973</v>
      </c>
      <c r="B10569" s="35" t="s">
        <v>462</v>
      </c>
      <c r="C10569" s="35" t="s">
        <v>2016</v>
      </c>
      <c r="D10569" s="35" t="s">
        <v>2087</v>
      </c>
      <c r="E10569" s="35" t="s">
        <v>1665</v>
      </c>
      <c r="F10569" s="35" t="s">
        <v>2124</v>
      </c>
      <c r="G10569" s="35" t="s">
        <v>2078</v>
      </c>
    </row>
    <row r="10570" spans="1:7">
      <c r="A10570" s="34">
        <v>2084052974</v>
      </c>
      <c r="B10570" s="35" t="s">
        <v>462</v>
      </c>
      <c r="C10570" s="35" t="s">
        <v>2016</v>
      </c>
      <c r="D10570" s="35" t="s">
        <v>2087</v>
      </c>
      <c r="E10570" s="35" t="s">
        <v>1665</v>
      </c>
      <c r="F10570" s="35" t="s">
        <v>2124</v>
      </c>
      <c r="G10570" s="35" t="s">
        <v>2079</v>
      </c>
    </row>
    <row r="10571" spans="1:7">
      <c r="A10571" s="34">
        <v>2084052975</v>
      </c>
      <c r="B10571" s="35" t="s">
        <v>462</v>
      </c>
      <c r="C10571" s="35" t="s">
        <v>2016</v>
      </c>
      <c r="D10571" s="35" t="s">
        <v>2087</v>
      </c>
      <c r="E10571" s="35" t="s">
        <v>1665</v>
      </c>
      <c r="F10571" s="35" t="s">
        <v>2124</v>
      </c>
      <c r="G10571" s="35" t="s">
        <v>2080</v>
      </c>
    </row>
    <row r="10572" spans="1:7">
      <c r="A10572" s="34">
        <v>2084052976</v>
      </c>
      <c r="B10572" s="35" t="s">
        <v>462</v>
      </c>
      <c r="C10572" s="35" t="s">
        <v>2016</v>
      </c>
      <c r="D10572" s="35" t="s">
        <v>2087</v>
      </c>
      <c r="E10572" s="35" t="s">
        <v>1665</v>
      </c>
      <c r="F10572" s="35" t="s">
        <v>2124</v>
      </c>
      <c r="G10572" s="35" t="s">
        <v>2081</v>
      </c>
    </row>
    <row r="10573" spans="1:7">
      <c r="A10573" s="34">
        <v>2084052978</v>
      </c>
      <c r="B10573" s="35" t="s">
        <v>462</v>
      </c>
      <c r="C10573" s="35" t="s">
        <v>2016</v>
      </c>
      <c r="D10573" s="35" t="s">
        <v>2087</v>
      </c>
      <c r="E10573" s="35" t="s">
        <v>1665</v>
      </c>
      <c r="F10573" s="35" t="s">
        <v>2125</v>
      </c>
      <c r="G10573" s="35" t="s">
        <v>2075</v>
      </c>
    </row>
    <row r="10574" spans="1:7">
      <c r="A10574" s="34">
        <v>2084052979</v>
      </c>
      <c r="B10574" s="35" t="s">
        <v>462</v>
      </c>
      <c r="C10574" s="35" t="s">
        <v>2016</v>
      </c>
      <c r="D10574" s="35" t="s">
        <v>2087</v>
      </c>
      <c r="E10574" s="35" t="s">
        <v>1665</v>
      </c>
      <c r="F10574" s="35" t="s">
        <v>2125</v>
      </c>
      <c r="G10574" s="35" t="s">
        <v>2076</v>
      </c>
    </row>
    <row r="10575" spans="1:7">
      <c r="A10575" s="34">
        <v>2084052980</v>
      </c>
      <c r="B10575" s="35" t="s">
        <v>462</v>
      </c>
      <c r="C10575" s="35" t="s">
        <v>2016</v>
      </c>
      <c r="D10575" s="35" t="s">
        <v>2087</v>
      </c>
      <c r="E10575" s="35" t="s">
        <v>1665</v>
      </c>
      <c r="F10575" s="35" t="s">
        <v>2125</v>
      </c>
      <c r="G10575" s="35" t="s">
        <v>2077</v>
      </c>
    </row>
    <row r="10576" spans="1:7">
      <c r="A10576" s="34">
        <v>2084052981</v>
      </c>
      <c r="B10576" s="35" t="s">
        <v>462</v>
      </c>
      <c r="C10576" s="35" t="s">
        <v>2016</v>
      </c>
      <c r="D10576" s="35" t="s">
        <v>2087</v>
      </c>
      <c r="E10576" s="35" t="s">
        <v>1665</v>
      </c>
      <c r="F10576" s="35" t="s">
        <v>2125</v>
      </c>
      <c r="G10576" s="35" t="s">
        <v>2078</v>
      </c>
    </row>
    <row r="10577" spans="1:7">
      <c r="A10577" s="34">
        <v>2084052982</v>
      </c>
      <c r="B10577" s="35" t="s">
        <v>462</v>
      </c>
      <c r="C10577" s="35" t="s">
        <v>2016</v>
      </c>
      <c r="D10577" s="35" t="s">
        <v>2087</v>
      </c>
      <c r="E10577" s="35" t="s">
        <v>1665</v>
      </c>
      <c r="F10577" s="35" t="s">
        <v>2125</v>
      </c>
      <c r="G10577" s="35" t="s">
        <v>2079</v>
      </c>
    </row>
    <row r="10578" spans="1:7">
      <c r="A10578" s="34">
        <v>2084052983</v>
      </c>
      <c r="B10578" s="35" t="s">
        <v>462</v>
      </c>
      <c r="C10578" s="35" t="s">
        <v>2016</v>
      </c>
      <c r="D10578" s="35" t="s">
        <v>2087</v>
      </c>
      <c r="E10578" s="35" t="s">
        <v>1665</v>
      </c>
      <c r="F10578" s="35" t="s">
        <v>2125</v>
      </c>
      <c r="G10578" s="35" t="s">
        <v>2080</v>
      </c>
    </row>
    <row r="10579" spans="1:7">
      <c r="A10579" s="34">
        <v>2084052984</v>
      </c>
      <c r="B10579" s="35" t="s">
        <v>462</v>
      </c>
      <c r="C10579" s="35" t="s">
        <v>2016</v>
      </c>
      <c r="D10579" s="35" t="s">
        <v>2087</v>
      </c>
      <c r="E10579" s="35" t="s">
        <v>1665</v>
      </c>
      <c r="F10579" s="35" t="s">
        <v>2125</v>
      </c>
      <c r="G10579" s="35" t="s">
        <v>2081</v>
      </c>
    </row>
    <row r="10580" spans="1:7">
      <c r="A10580" s="34">
        <v>2084006549</v>
      </c>
      <c r="B10580" s="35" t="s">
        <v>462</v>
      </c>
      <c r="C10580" s="35" t="s">
        <v>2016</v>
      </c>
      <c r="D10580" s="35" t="s">
        <v>2087</v>
      </c>
      <c r="E10580" s="35" t="s">
        <v>1665</v>
      </c>
      <c r="F10580" s="35" t="s">
        <v>335</v>
      </c>
    </row>
    <row r="10581" spans="1:7">
      <c r="A10581" s="34">
        <v>2084017322</v>
      </c>
      <c r="B10581" s="35" t="s">
        <v>462</v>
      </c>
      <c r="C10581" s="35" t="s">
        <v>2016</v>
      </c>
      <c r="D10581" s="35" t="s">
        <v>2087</v>
      </c>
      <c r="E10581" s="35" t="s">
        <v>2126</v>
      </c>
      <c r="F10581" s="35" t="s">
        <v>2127</v>
      </c>
    </row>
    <row r="10582" spans="1:7">
      <c r="A10582" s="34">
        <v>2084309236</v>
      </c>
      <c r="B10582" s="35" t="s">
        <v>462</v>
      </c>
      <c r="C10582" s="35" t="s">
        <v>2016</v>
      </c>
      <c r="D10582" s="35" t="s">
        <v>2087</v>
      </c>
      <c r="E10582" s="35" t="s">
        <v>2128</v>
      </c>
      <c r="F10582" s="35" t="s">
        <v>2129</v>
      </c>
    </row>
    <row r="10583" spans="1:7">
      <c r="A10583" s="34">
        <v>2084309238</v>
      </c>
      <c r="B10583" s="35" t="s">
        <v>462</v>
      </c>
      <c r="C10583" s="35" t="s">
        <v>2016</v>
      </c>
      <c r="D10583" s="35" t="s">
        <v>2087</v>
      </c>
      <c r="E10583" s="35" t="s">
        <v>2128</v>
      </c>
      <c r="F10583" s="35" t="s">
        <v>2130</v>
      </c>
    </row>
    <row r="10584" spans="1:7">
      <c r="A10584" s="34">
        <v>2084309237</v>
      </c>
      <c r="B10584" s="35" t="s">
        <v>462</v>
      </c>
      <c r="C10584" s="35" t="s">
        <v>2016</v>
      </c>
      <c r="D10584" s="35" t="s">
        <v>2087</v>
      </c>
      <c r="E10584" s="35" t="s">
        <v>2128</v>
      </c>
      <c r="F10584" s="35" t="s">
        <v>2131</v>
      </c>
    </row>
    <row r="10585" spans="1:7">
      <c r="A10585" s="34">
        <v>2084310293</v>
      </c>
      <c r="B10585" s="35" t="s">
        <v>462</v>
      </c>
      <c r="C10585" s="35" t="s">
        <v>2016</v>
      </c>
      <c r="D10585" s="35" t="s">
        <v>2087</v>
      </c>
      <c r="E10585" s="35" t="s">
        <v>2128</v>
      </c>
      <c r="F10585" s="35" t="s">
        <v>1842</v>
      </c>
    </row>
    <row r="10586" spans="1:7">
      <c r="A10586" s="34">
        <v>2084310294</v>
      </c>
      <c r="B10586" s="35" t="s">
        <v>462</v>
      </c>
      <c r="C10586" s="35" t="s">
        <v>2016</v>
      </c>
      <c r="D10586" s="35" t="s">
        <v>2087</v>
      </c>
      <c r="E10586" s="35" t="s">
        <v>2128</v>
      </c>
      <c r="F10586" s="35" t="s">
        <v>2132</v>
      </c>
    </row>
    <row r="10587" spans="1:7">
      <c r="A10587" s="34">
        <v>2084310295</v>
      </c>
      <c r="B10587" s="35" t="s">
        <v>462</v>
      </c>
      <c r="C10587" s="35" t="s">
        <v>2016</v>
      </c>
      <c r="D10587" s="35" t="s">
        <v>2087</v>
      </c>
      <c r="E10587" s="35" t="s">
        <v>2128</v>
      </c>
      <c r="F10587" s="35" t="s">
        <v>335</v>
      </c>
    </row>
    <row r="10588" spans="1:7">
      <c r="A10588" s="34">
        <v>2084051711</v>
      </c>
      <c r="B10588" s="35" t="s">
        <v>462</v>
      </c>
      <c r="C10588" s="35" t="s">
        <v>2016</v>
      </c>
      <c r="D10588" s="35" t="s">
        <v>2087</v>
      </c>
      <c r="E10588" s="35" t="s">
        <v>1839</v>
      </c>
      <c r="F10588" s="35" t="s">
        <v>2075</v>
      </c>
    </row>
    <row r="10589" spans="1:7">
      <c r="A10589" s="34">
        <v>2084051712</v>
      </c>
      <c r="B10589" s="35" t="s">
        <v>462</v>
      </c>
      <c r="C10589" s="35" t="s">
        <v>2016</v>
      </c>
      <c r="D10589" s="35" t="s">
        <v>2087</v>
      </c>
      <c r="E10589" s="35" t="s">
        <v>1839</v>
      </c>
      <c r="F10589" s="35" t="s">
        <v>2076</v>
      </c>
    </row>
    <row r="10590" spans="1:7">
      <c r="A10590" s="34">
        <v>2084051713</v>
      </c>
      <c r="B10590" s="35" t="s">
        <v>462</v>
      </c>
      <c r="C10590" s="35" t="s">
        <v>2016</v>
      </c>
      <c r="D10590" s="35" t="s">
        <v>2087</v>
      </c>
      <c r="E10590" s="35" t="s">
        <v>1839</v>
      </c>
      <c r="F10590" s="35" t="s">
        <v>2077</v>
      </c>
    </row>
    <row r="10591" spans="1:7">
      <c r="A10591" s="34">
        <v>2084051714</v>
      </c>
      <c r="B10591" s="35" t="s">
        <v>462</v>
      </c>
      <c r="C10591" s="35" t="s">
        <v>2016</v>
      </c>
      <c r="D10591" s="35" t="s">
        <v>2087</v>
      </c>
      <c r="E10591" s="35" t="s">
        <v>1839</v>
      </c>
      <c r="F10591" s="35" t="s">
        <v>2078</v>
      </c>
    </row>
    <row r="10592" spans="1:7">
      <c r="A10592" s="34">
        <v>2084051715</v>
      </c>
      <c r="B10592" s="35" t="s">
        <v>462</v>
      </c>
      <c r="C10592" s="35" t="s">
        <v>2016</v>
      </c>
      <c r="D10592" s="35" t="s">
        <v>2087</v>
      </c>
      <c r="E10592" s="35" t="s">
        <v>1839</v>
      </c>
      <c r="F10592" s="35" t="s">
        <v>2079</v>
      </c>
    </row>
    <row r="10593" spans="1:7">
      <c r="A10593" s="34">
        <v>2084051716</v>
      </c>
      <c r="B10593" s="35" t="s">
        <v>462</v>
      </c>
      <c r="C10593" s="35" t="s">
        <v>2016</v>
      </c>
      <c r="D10593" s="35" t="s">
        <v>2087</v>
      </c>
      <c r="E10593" s="35" t="s">
        <v>1839</v>
      </c>
      <c r="F10593" s="35" t="s">
        <v>2080</v>
      </c>
    </row>
    <row r="10594" spans="1:7">
      <c r="A10594" s="34">
        <v>2084051717</v>
      </c>
      <c r="B10594" s="35" t="s">
        <v>462</v>
      </c>
      <c r="C10594" s="35" t="s">
        <v>2016</v>
      </c>
      <c r="D10594" s="35" t="s">
        <v>2087</v>
      </c>
      <c r="E10594" s="35" t="s">
        <v>1839</v>
      </c>
      <c r="F10594" s="35" t="s">
        <v>2081</v>
      </c>
    </row>
    <row r="10595" spans="1:7">
      <c r="A10595" s="34">
        <v>2084051692</v>
      </c>
      <c r="B10595" s="35" t="s">
        <v>462</v>
      </c>
      <c r="C10595" s="35" t="s">
        <v>2016</v>
      </c>
      <c r="D10595" s="35" t="s">
        <v>2087</v>
      </c>
      <c r="E10595" s="35" t="s">
        <v>2133</v>
      </c>
      <c r="F10595" s="35" t="s">
        <v>2075</v>
      </c>
    </row>
    <row r="10596" spans="1:7">
      <c r="A10596" s="34">
        <v>2084051691</v>
      </c>
      <c r="B10596" s="35" t="s">
        <v>462</v>
      </c>
      <c r="C10596" s="35" t="s">
        <v>2016</v>
      </c>
      <c r="D10596" s="35" t="s">
        <v>2087</v>
      </c>
      <c r="E10596" s="35" t="s">
        <v>2133</v>
      </c>
      <c r="F10596" s="35" t="s">
        <v>2076</v>
      </c>
    </row>
    <row r="10597" spans="1:7">
      <c r="A10597" s="34">
        <v>2084051690</v>
      </c>
      <c r="B10597" s="35" t="s">
        <v>462</v>
      </c>
      <c r="C10597" s="35" t="s">
        <v>2016</v>
      </c>
      <c r="D10597" s="35" t="s">
        <v>2087</v>
      </c>
      <c r="E10597" s="35" t="s">
        <v>2133</v>
      </c>
      <c r="F10597" s="35" t="s">
        <v>2077</v>
      </c>
    </row>
    <row r="10598" spans="1:7">
      <c r="A10598" s="34">
        <v>2084051689</v>
      </c>
      <c r="B10598" s="35" t="s">
        <v>462</v>
      </c>
      <c r="C10598" s="35" t="s">
        <v>2016</v>
      </c>
      <c r="D10598" s="35" t="s">
        <v>2087</v>
      </c>
      <c r="E10598" s="35" t="s">
        <v>2133</v>
      </c>
      <c r="F10598" s="35" t="s">
        <v>2078</v>
      </c>
    </row>
    <row r="10599" spans="1:7">
      <c r="A10599" s="34">
        <v>2084051688</v>
      </c>
      <c r="B10599" s="35" t="s">
        <v>462</v>
      </c>
      <c r="C10599" s="35" t="s">
        <v>2016</v>
      </c>
      <c r="D10599" s="35" t="s">
        <v>2087</v>
      </c>
      <c r="E10599" s="35" t="s">
        <v>2133</v>
      </c>
      <c r="F10599" s="35" t="s">
        <v>2079</v>
      </c>
    </row>
    <row r="10600" spans="1:7">
      <c r="A10600" s="34">
        <v>2084051687</v>
      </c>
      <c r="B10600" s="35" t="s">
        <v>462</v>
      </c>
      <c r="C10600" s="35" t="s">
        <v>2016</v>
      </c>
      <c r="D10600" s="35" t="s">
        <v>2087</v>
      </c>
      <c r="E10600" s="35" t="s">
        <v>2133</v>
      </c>
      <c r="F10600" s="35" t="s">
        <v>2080</v>
      </c>
    </row>
    <row r="10601" spans="1:7">
      <c r="A10601" s="34">
        <v>2084051686</v>
      </c>
      <c r="B10601" s="35" t="s">
        <v>462</v>
      </c>
      <c r="C10601" s="35" t="s">
        <v>2016</v>
      </c>
      <c r="D10601" s="35" t="s">
        <v>2087</v>
      </c>
      <c r="E10601" s="35" t="s">
        <v>2133</v>
      </c>
      <c r="F10601" s="35" t="s">
        <v>2081</v>
      </c>
    </row>
    <row r="10602" spans="1:7">
      <c r="A10602" s="34">
        <v>2084051861</v>
      </c>
      <c r="B10602" s="35" t="s">
        <v>462</v>
      </c>
      <c r="C10602" s="35" t="s">
        <v>2016</v>
      </c>
      <c r="D10602" s="35" t="s">
        <v>2087</v>
      </c>
      <c r="E10602" s="35" t="s">
        <v>1734</v>
      </c>
      <c r="F10602" s="35" t="s">
        <v>1735</v>
      </c>
      <c r="G10602" s="35" t="s">
        <v>2075</v>
      </c>
    </row>
    <row r="10603" spans="1:7">
      <c r="A10603" s="34">
        <v>2084051862</v>
      </c>
      <c r="B10603" s="35" t="s">
        <v>462</v>
      </c>
      <c r="C10603" s="35" t="s">
        <v>2016</v>
      </c>
      <c r="D10603" s="35" t="s">
        <v>2087</v>
      </c>
      <c r="E10603" s="35" t="s">
        <v>1734</v>
      </c>
      <c r="F10603" s="35" t="s">
        <v>1735</v>
      </c>
      <c r="G10603" s="35" t="s">
        <v>2076</v>
      </c>
    </row>
    <row r="10604" spans="1:7">
      <c r="A10604" s="34">
        <v>2084051863</v>
      </c>
      <c r="B10604" s="35" t="s">
        <v>462</v>
      </c>
      <c r="C10604" s="35" t="s">
        <v>2016</v>
      </c>
      <c r="D10604" s="35" t="s">
        <v>2087</v>
      </c>
      <c r="E10604" s="35" t="s">
        <v>1734</v>
      </c>
      <c r="F10604" s="35" t="s">
        <v>1735</v>
      </c>
      <c r="G10604" s="35" t="s">
        <v>2077</v>
      </c>
    </row>
    <row r="10605" spans="1:7">
      <c r="A10605" s="34">
        <v>2084051864</v>
      </c>
      <c r="B10605" s="35" t="s">
        <v>462</v>
      </c>
      <c r="C10605" s="35" t="s">
        <v>2016</v>
      </c>
      <c r="D10605" s="35" t="s">
        <v>2087</v>
      </c>
      <c r="E10605" s="35" t="s">
        <v>1734</v>
      </c>
      <c r="F10605" s="35" t="s">
        <v>1735</v>
      </c>
      <c r="G10605" s="35" t="s">
        <v>2078</v>
      </c>
    </row>
    <row r="10606" spans="1:7">
      <c r="A10606" s="34">
        <v>2084051865</v>
      </c>
      <c r="B10606" s="35" t="s">
        <v>462</v>
      </c>
      <c r="C10606" s="35" t="s">
        <v>2016</v>
      </c>
      <c r="D10606" s="35" t="s">
        <v>2087</v>
      </c>
      <c r="E10606" s="35" t="s">
        <v>1734</v>
      </c>
      <c r="F10606" s="35" t="s">
        <v>1735</v>
      </c>
      <c r="G10606" s="35" t="s">
        <v>2079</v>
      </c>
    </row>
    <row r="10607" spans="1:7">
      <c r="A10607" s="34">
        <v>2084051866</v>
      </c>
      <c r="B10607" s="35" t="s">
        <v>462</v>
      </c>
      <c r="C10607" s="35" t="s">
        <v>2016</v>
      </c>
      <c r="D10607" s="35" t="s">
        <v>2087</v>
      </c>
      <c r="E10607" s="35" t="s">
        <v>1734</v>
      </c>
      <c r="F10607" s="35" t="s">
        <v>1735</v>
      </c>
      <c r="G10607" s="35" t="s">
        <v>2080</v>
      </c>
    </row>
    <row r="10608" spans="1:7">
      <c r="A10608" s="34">
        <v>2084051867</v>
      </c>
      <c r="B10608" s="35" t="s">
        <v>462</v>
      </c>
      <c r="C10608" s="35" t="s">
        <v>2016</v>
      </c>
      <c r="D10608" s="35" t="s">
        <v>2087</v>
      </c>
      <c r="E10608" s="35" t="s">
        <v>1734</v>
      </c>
      <c r="F10608" s="35" t="s">
        <v>1735</v>
      </c>
      <c r="G10608" s="35" t="s">
        <v>2081</v>
      </c>
    </row>
    <row r="10609" spans="1:7">
      <c r="A10609" s="34">
        <v>2084051868</v>
      </c>
      <c r="B10609" s="35" t="s">
        <v>462</v>
      </c>
      <c r="C10609" s="35" t="s">
        <v>2016</v>
      </c>
      <c r="D10609" s="35" t="s">
        <v>2087</v>
      </c>
      <c r="E10609" s="35" t="s">
        <v>1734</v>
      </c>
      <c r="F10609" s="35" t="s">
        <v>530</v>
      </c>
      <c r="G10609" s="35" t="s">
        <v>2075</v>
      </c>
    </row>
    <row r="10610" spans="1:7">
      <c r="A10610" s="34">
        <v>2084051869</v>
      </c>
      <c r="B10610" s="35" t="s">
        <v>462</v>
      </c>
      <c r="C10610" s="35" t="s">
        <v>2016</v>
      </c>
      <c r="D10610" s="35" t="s">
        <v>2087</v>
      </c>
      <c r="E10610" s="35" t="s">
        <v>1734</v>
      </c>
      <c r="F10610" s="35" t="s">
        <v>530</v>
      </c>
      <c r="G10610" s="35" t="s">
        <v>2076</v>
      </c>
    </row>
    <row r="10611" spans="1:7">
      <c r="A10611" s="34">
        <v>2084051870</v>
      </c>
      <c r="B10611" s="35" t="s">
        <v>462</v>
      </c>
      <c r="C10611" s="35" t="s">
        <v>2016</v>
      </c>
      <c r="D10611" s="35" t="s">
        <v>2087</v>
      </c>
      <c r="E10611" s="35" t="s">
        <v>1734</v>
      </c>
      <c r="F10611" s="35" t="s">
        <v>530</v>
      </c>
      <c r="G10611" s="35" t="s">
        <v>2077</v>
      </c>
    </row>
    <row r="10612" spans="1:7">
      <c r="A10612" s="34">
        <v>2084051871</v>
      </c>
      <c r="B10612" s="35" t="s">
        <v>462</v>
      </c>
      <c r="C10612" s="35" t="s">
        <v>2016</v>
      </c>
      <c r="D10612" s="35" t="s">
        <v>2087</v>
      </c>
      <c r="E10612" s="35" t="s">
        <v>1734</v>
      </c>
      <c r="F10612" s="35" t="s">
        <v>530</v>
      </c>
      <c r="G10612" s="35" t="s">
        <v>2078</v>
      </c>
    </row>
    <row r="10613" spans="1:7">
      <c r="A10613" s="34">
        <v>2084051872</v>
      </c>
      <c r="B10613" s="35" t="s">
        <v>462</v>
      </c>
      <c r="C10613" s="35" t="s">
        <v>2016</v>
      </c>
      <c r="D10613" s="35" t="s">
        <v>2087</v>
      </c>
      <c r="E10613" s="35" t="s">
        <v>1734</v>
      </c>
      <c r="F10613" s="35" t="s">
        <v>530</v>
      </c>
      <c r="G10613" s="35" t="s">
        <v>2079</v>
      </c>
    </row>
    <row r="10614" spans="1:7">
      <c r="A10614" s="34">
        <v>2084051873</v>
      </c>
      <c r="B10614" s="35" t="s">
        <v>462</v>
      </c>
      <c r="C10614" s="35" t="s">
        <v>2016</v>
      </c>
      <c r="D10614" s="35" t="s">
        <v>2087</v>
      </c>
      <c r="E10614" s="35" t="s">
        <v>1734</v>
      </c>
      <c r="F10614" s="35" t="s">
        <v>530</v>
      </c>
      <c r="G10614" s="35" t="s">
        <v>2080</v>
      </c>
    </row>
    <row r="10615" spans="1:7">
      <c r="A10615" s="34">
        <v>2084051874</v>
      </c>
      <c r="B10615" s="35" t="s">
        <v>462</v>
      </c>
      <c r="C10615" s="35" t="s">
        <v>2016</v>
      </c>
      <c r="D10615" s="35" t="s">
        <v>2087</v>
      </c>
      <c r="E10615" s="35" t="s">
        <v>1734</v>
      </c>
      <c r="F10615" s="35" t="s">
        <v>530</v>
      </c>
      <c r="G10615" s="35" t="s">
        <v>2081</v>
      </c>
    </row>
    <row r="10616" spans="1:7">
      <c r="A10616" s="34">
        <v>2084051860</v>
      </c>
      <c r="B10616" s="35" t="s">
        <v>462</v>
      </c>
      <c r="C10616" s="35" t="s">
        <v>2016</v>
      </c>
      <c r="D10616" s="35" t="s">
        <v>2087</v>
      </c>
      <c r="E10616" s="35" t="s">
        <v>1734</v>
      </c>
      <c r="F10616" s="35" t="s">
        <v>335</v>
      </c>
    </row>
    <row r="10617" spans="1:7">
      <c r="A10617" s="34">
        <v>2084051664</v>
      </c>
      <c r="B10617" s="35" t="s">
        <v>462</v>
      </c>
      <c r="C10617" s="35" t="s">
        <v>2016</v>
      </c>
      <c r="D10617" s="35" t="s">
        <v>2087</v>
      </c>
      <c r="E10617" s="35" t="s">
        <v>335</v>
      </c>
    </row>
    <row r="10618" spans="1:7">
      <c r="A10618" s="34">
        <v>2084313343</v>
      </c>
      <c r="B10618" s="35" t="s">
        <v>462</v>
      </c>
      <c r="C10618" s="35" t="s">
        <v>2016</v>
      </c>
      <c r="D10618" s="35" t="s">
        <v>2134</v>
      </c>
      <c r="E10618" s="35" t="s">
        <v>1902</v>
      </c>
    </row>
    <row r="10619" spans="1:7">
      <c r="A10619" s="34">
        <v>2084052647</v>
      </c>
      <c r="B10619" s="35" t="s">
        <v>462</v>
      </c>
      <c r="C10619" s="35" t="s">
        <v>2016</v>
      </c>
      <c r="D10619" s="35" t="s">
        <v>2134</v>
      </c>
      <c r="E10619" s="35" t="s">
        <v>954</v>
      </c>
      <c r="F10619" s="35" t="s">
        <v>1557</v>
      </c>
      <c r="G10619" s="35" t="s">
        <v>2075</v>
      </c>
    </row>
    <row r="10620" spans="1:7">
      <c r="A10620" s="34">
        <v>2084052648</v>
      </c>
      <c r="B10620" s="35" t="s">
        <v>462</v>
      </c>
      <c r="C10620" s="35" t="s">
        <v>2016</v>
      </c>
      <c r="D10620" s="35" t="s">
        <v>2134</v>
      </c>
      <c r="E10620" s="35" t="s">
        <v>954</v>
      </c>
      <c r="F10620" s="35" t="s">
        <v>1557</v>
      </c>
      <c r="G10620" s="35" t="s">
        <v>2076</v>
      </c>
    </row>
    <row r="10621" spans="1:7">
      <c r="A10621" s="34">
        <v>2084052649</v>
      </c>
      <c r="B10621" s="35" t="s">
        <v>462</v>
      </c>
      <c r="C10621" s="35" t="s">
        <v>2016</v>
      </c>
      <c r="D10621" s="35" t="s">
        <v>2134</v>
      </c>
      <c r="E10621" s="35" t="s">
        <v>954</v>
      </c>
      <c r="F10621" s="35" t="s">
        <v>1557</v>
      </c>
      <c r="G10621" s="35" t="s">
        <v>2077</v>
      </c>
    </row>
    <row r="10622" spans="1:7">
      <c r="A10622" s="34">
        <v>2084052650</v>
      </c>
      <c r="B10622" s="35" t="s">
        <v>462</v>
      </c>
      <c r="C10622" s="35" t="s">
        <v>2016</v>
      </c>
      <c r="D10622" s="35" t="s">
        <v>2134</v>
      </c>
      <c r="E10622" s="35" t="s">
        <v>954</v>
      </c>
      <c r="F10622" s="35" t="s">
        <v>1557</v>
      </c>
      <c r="G10622" s="35" t="s">
        <v>2078</v>
      </c>
    </row>
    <row r="10623" spans="1:7">
      <c r="A10623" s="34">
        <v>2084052651</v>
      </c>
      <c r="B10623" s="35" t="s">
        <v>462</v>
      </c>
      <c r="C10623" s="35" t="s">
        <v>2016</v>
      </c>
      <c r="D10623" s="35" t="s">
        <v>2134</v>
      </c>
      <c r="E10623" s="35" t="s">
        <v>954</v>
      </c>
      <c r="F10623" s="35" t="s">
        <v>1557</v>
      </c>
      <c r="G10623" s="35" t="s">
        <v>2079</v>
      </c>
    </row>
    <row r="10624" spans="1:7">
      <c r="A10624" s="34">
        <v>2084052652</v>
      </c>
      <c r="B10624" s="35" t="s">
        <v>462</v>
      </c>
      <c r="C10624" s="35" t="s">
        <v>2016</v>
      </c>
      <c r="D10624" s="35" t="s">
        <v>2134</v>
      </c>
      <c r="E10624" s="35" t="s">
        <v>954</v>
      </c>
      <c r="F10624" s="35" t="s">
        <v>1557</v>
      </c>
      <c r="G10624" s="35" t="s">
        <v>2080</v>
      </c>
    </row>
    <row r="10625" spans="1:7">
      <c r="A10625" s="34">
        <v>2084052653</v>
      </c>
      <c r="B10625" s="35" t="s">
        <v>462</v>
      </c>
      <c r="C10625" s="35" t="s">
        <v>2016</v>
      </c>
      <c r="D10625" s="35" t="s">
        <v>2134</v>
      </c>
      <c r="E10625" s="35" t="s">
        <v>954</v>
      </c>
      <c r="F10625" s="35" t="s">
        <v>1557</v>
      </c>
      <c r="G10625" s="35" t="s">
        <v>2081</v>
      </c>
    </row>
    <row r="10626" spans="1:7">
      <c r="A10626" s="34">
        <v>2084006531</v>
      </c>
      <c r="B10626" s="35" t="s">
        <v>462</v>
      </c>
      <c r="C10626" s="35" t="s">
        <v>2016</v>
      </c>
      <c r="D10626" s="35" t="s">
        <v>2134</v>
      </c>
      <c r="E10626" s="35" t="s">
        <v>954</v>
      </c>
      <c r="F10626" s="35" t="s">
        <v>1558</v>
      </c>
    </row>
    <row r="10627" spans="1:7">
      <c r="A10627" s="34">
        <v>2084006595</v>
      </c>
      <c r="B10627" s="35" t="s">
        <v>462</v>
      </c>
      <c r="C10627" s="35" t="s">
        <v>2016</v>
      </c>
      <c r="D10627" s="35" t="s">
        <v>2134</v>
      </c>
      <c r="E10627" s="35" t="s">
        <v>954</v>
      </c>
      <c r="F10627" s="35" t="s">
        <v>1559</v>
      </c>
    </row>
    <row r="10628" spans="1:7">
      <c r="A10628" s="34">
        <v>2084006532</v>
      </c>
      <c r="B10628" s="35" t="s">
        <v>462</v>
      </c>
      <c r="C10628" s="35" t="s">
        <v>2016</v>
      </c>
      <c r="D10628" s="35" t="s">
        <v>2134</v>
      </c>
      <c r="E10628" s="35" t="s">
        <v>954</v>
      </c>
      <c r="F10628" s="35" t="s">
        <v>2088</v>
      </c>
    </row>
    <row r="10629" spans="1:7">
      <c r="A10629" s="34">
        <v>2084006530</v>
      </c>
      <c r="B10629" s="35" t="s">
        <v>462</v>
      </c>
      <c r="C10629" s="35" t="s">
        <v>2016</v>
      </c>
      <c r="D10629" s="35" t="s">
        <v>2134</v>
      </c>
      <c r="E10629" s="35" t="s">
        <v>954</v>
      </c>
      <c r="F10629" s="35" t="s">
        <v>2089</v>
      </c>
    </row>
    <row r="10630" spans="1:7">
      <c r="A10630" s="34">
        <v>2084052832</v>
      </c>
      <c r="B10630" s="35" t="s">
        <v>462</v>
      </c>
      <c r="C10630" s="35" t="s">
        <v>2016</v>
      </c>
      <c r="D10630" s="35" t="s">
        <v>2134</v>
      </c>
      <c r="E10630" s="35" t="s">
        <v>954</v>
      </c>
      <c r="F10630" s="35" t="s">
        <v>2090</v>
      </c>
      <c r="G10630" s="35" t="s">
        <v>2091</v>
      </c>
    </row>
    <row r="10631" spans="1:7">
      <c r="A10631" s="34">
        <v>2084052833</v>
      </c>
      <c r="B10631" s="35" t="s">
        <v>462</v>
      </c>
      <c r="C10631" s="35" t="s">
        <v>2016</v>
      </c>
      <c r="D10631" s="35" t="s">
        <v>2134</v>
      </c>
      <c r="E10631" s="35" t="s">
        <v>954</v>
      </c>
      <c r="F10631" s="35" t="s">
        <v>2090</v>
      </c>
      <c r="G10631" s="35" t="s">
        <v>2076</v>
      </c>
    </row>
    <row r="10632" spans="1:7">
      <c r="A10632" s="34">
        <v>2084052834</v>
      </c>
      <c r="B10632" s="35" t="s">
        <v>462</v>
      </c>
      <c r="C10632" s="35" t="s">
        <v>2016</v>
      </c>
      <c r="D10632" s="35" t="s">
        <v>2134</v>
      </c>
      <c r="E10632" s="35" t="s">
        <v>954</v>
      </c>
      <c r="F10632" s="35" t="s">
        <v>2090</v>
      </c>
      <c r="G10632" s="35" t="s">
        <v>2077</v>
      </c>
    </row>
    <row r="10633" spans="1:7">
      <c r="A10633" s="34">
        <v>2084052835</v>
      </c>
      <c r="B10633" s="35" t="s">
        <v>462</v>
      </c>
      <c r="C10633" s="35" t="s">
        <v>2016</v>
      </c>
      <c r="D10633" s="35" t="s">
        <v>2134</v>
      </c>
      <c r="E10633" s="35" t="s">
        <v>954</v>
      </c>
      <c r="F10633" s="35" t="s">
        <v>2090</v>
      </c>
      <c r="G10633" s="35" t="s">
        <v>2078</v>
      </c>
    </row>
    <row r="10634" spans="1:7">
      <c r="A10634" s="34">
        <v>2084052836</v>
      </c>
      <c r="B10634" s="35" t="s">
        <v>462</v>
      </c>
      <c r="C10634" s="35" t="s">
        <v>2016</v>
      </c>
      <c r="D10634" s="35" t="s">
        <v>2134</v>
      </c>
      <c r="E10634" s="35" t="s">
        <v>954</v>
      </c>
      <c r="F10634" s="35" t="s">
        <v>2090</v>
      </c>
      <c r="G10634" s="35" t="s">
        <v>2079</v>
      </c>
    </row>
    <row r="10635" spans="1:7">
      <c r="A10635" s="34">
        <v>2084052837</v>
      </c>
      <c r="B10635" s="35" t="s">
        <v>462</v>
      </c>
      <c r="C10635" s="35" t="s">
        <v>2016</v>
      </c>
      <c r="D10635" s="35" t="s">
        <v>2134</v>
      </c>
      <c r="E10635" s="35" t="s">
        <v>954</v>
      </c>
      <c r="F10635" s="35" t="s">
        <v>2090</v>
      </c>
      <c r="G10635" s="35" t="s">
        <v>2080</v>
      </c>
    </row>
    <row r="10636" spans="1:7">
      <c r="A10636" s="34">
        <v>2084052838</v>
      </c>
      <c r="B10636" s="35" t="s">
        <v>462</v>
      </c>
      <c r="C10636" s="35" t="s">
        <v>2016</v>
      </c>
      <c r="D10636" s="35" t="s">
        <v>2134</v>
      </c>
      <c r="E10636" s="35" t="s">
        <v>954</v>
      </c>
      <c r="F10636" s="35" t="s">
        <v>2090</v>
      </c>
      <c r="G10636" s="35" t="s">
        <v>2081</v>
      </c>
    </row>
    <row r="10637" spans="1:7">
      <c r="A10637" s="34">
        <v>2084052654</v>
      </c>
      <c r="B10637" s="35" t="s">
        <v>462</v>
      </c>
      <c r="C10637" s="35" t="s">
        <v>2016</v>
      </c>
      <c r="D10637" s="35" t="s">
        <v>2134</v>
      </c>
      <c r="E10637" s="35" t="s">
        <v>368</v>
      </c>
      <c r="F10637" s="35" t="s">
        <v>552</v>
      </c>
      <c r="G10637" s="35" t="s">
        <v>2075</v>
      </c>
    </row>
    <row r="10638" spans="1:7">
      <c r="A10638" s="34">
        <v>2084052655</v>
      </c>
      <c r="B10638" s="35" t="s">
        <v>462</v>
      </c>
      <c r="C10638" s="35" t="s">
        <v>2016</v>
      </c>
      <c r="D10638" s="35" t="s">
        <v>2134</v>
      </c>
      <c r="E10638" s="35" t="s">
        <v>368</v>
      </c>
      <c r="F10638" s="35" t="s">
        <v>552</v>
      </c>
      <c r="G10638" s="35" t="s">
        <v>2076</v>
      </c>
    </row>
    <row r="10639" spans="1:7">
      <c r="A10639" s="34">
        <v>2084052656</v>
      </c>
      <c r="B10639" s="35" t="s">
        <v>462</v>
      </c>
      <c r="C10639" s="35" t="s">
        <v>2016</v>
      </c>
      <c r="D10639" s="35" t="s">
        <v>2134</v>
      </c>
      <c r="E10639" s="35" t="s">
        <v>368</v>
      </c>
      <c r="F10639" s="35" t="s">
        <v>552</v>
      </c>
      <c r="G10639" s="35" t="s">
        <v>2077</v>
      </c>
    </row>
    <row r="10640" spans="1:7">
      <c r="A10640" s="34">
        <v>2084052657</v>
      </c>
      <c r="B10640" s="35" t="s">
        <v>462</v>
      </c>
      <c r="C10640" s="35" t="s">
        <v>2016</v>
      </c>
      <c r="D10640" s="35" t="s">
        <v>2134</v>
      </c>
      <c r="E10640" s="35" t="s">
        <v>368</v>
      </c>
      <c r="F10640" s="35" t="s">
        <v>552</v>
      </c>
      <c r="G10640" s="35" t="s">
        <v>2078</v>
      </c>
    </row>
    <row r="10641" spans="1:7">
      <c r="A10641" s="34">
        <v>2084052658</v>
      </c>
      <c r="B10641" s="35" t="s">
        <v>462</v>
      </c>
      <c r="C10641" s="35" t="s">
        <v>2016</v>
      </c>
      <c r="D10641" s="35" t="s">
        <v>2134</v>
      </c>
      <c r="E10641" s="35" t="s">
        <v>368</v>
      </c>
      <c r="F10641" s="35" t="s">
        <v>552</v>
      </c>
      <c r="G10641" s="35" t="s">
        <v>2079</v>
      </c>
    </row>
    <row r="10642" spans="1:7">
      <c r="A10642" s="34">
        <v>2084052659</v>
      </c>
      <c r="B10642" s="35" t="s">
        <v>462</v>
      </c>
      <c r="C10642" s="35" t="s">
        <v>2016</v>
      </c>
      <c r="D10642" s="35" t="s">
        <v>2134</v>
      </c>
      <c r="E10642" s="35" t="s">
        <v>368</v>
      </c>
      <c r="F10642" s="35" t="s">
        <v>552</v>
      </c>
      <c r="G10642" s="35" t="s">
        <v>2080</v>
      </c>
    </row>
    <row r="10643" spans="1:7">
      <c r="A10643" s="34">
        <v>2084052660</v>
      </c>
      <c r="B10643" s="35" t="s">
        <v>462</v>
      </c>
      <c r="C10643" s="35" t="s">
        <v>2016</v>
      </c>
      <c r="D10643" s="35" t="s">
        <v>2134</v>
      </c>
      <c r="E10643" s="35" t="s">
        <v>368</v>
      </c>
      <c r="F10643" s="35" t="s">
        <v>552</v>
      </c>
      <c r="G10643" s="35" t="s">
        <v>2081</v>
      </c>
    </row>
    <row r="10644" spans="1:7">
      <c r="A10644" s="34">
        <v>2084054869</v>
      </c>
      <c r="B10644" s="35" t="s">
        <v>462</v>
      </c>
      <c r="C10644" s="35" t="s">
        <v>2016</v>
      </c>
      <c r="D10644" s="35" t="s">
        <v>2134</v>
      </c>
      <c r="E10644" s="35" t="s">
        <v>368</v>
      </c>
      <c r="F10644" s="35" t="s">
        <v>1408</v>
      </c>
      <c r="G10644" s="35" t="s">
        <v>2075</v>
      </c>
    </row>
    <row r="10645" spans="1:7">
      <c r="A10645" s="34">
        <v>2084054870</v>
      </c>
      <c r="B10645" s="35" t="s">
        <v>462</v>
      </c>
      <c r="C10645" s="35" t="s">
        <v>2016</v>
      </c>
      <c r="D10645" s="35" t="s">
        <v>2134</v>
      </c>
      <c r="E10645" s="35" t="s">
        <v>368</v>
      </c>
      <c r="F10645" s="35" t="s">
        <v>1408</v>
      </c>
      <c r="G10645" s="35" t="s">
        <v>2076</v>
      </c>
    </row>
    <row r="10646" spans="1:7">
      <c r="A10646" s="34">
        <v>2084054871</v>
      </c>
      <c r="B10646" s="35" t="s">
        <v>462</v>
      </c>
      <c r="C10646" s="35" t="s">
        <v>2016</v>
      </c>
      <c r="D10646" s="35" t="s">
        <v>2134</v>
      </c>
      <c r="E10646" s="35" t="s">
        <v>368</v>
      </c>
      <c r="F10646" s="35" t="s">
        <v>1408</v>
      </c>
      <c r="G10646" s="35" t="s">
        <v>2077</v>
      </c>
    </row>
    <row r="10647" spans="1:7">
      <c r="A10647" s="34">
        <v>2084054872</v>
      </c>
      <c r="B10647" s="35" t="s">
        <v>462</v>
      </c>
      <c r="C10647" s="35" t="s">
        <v>2016</v>
      </c>
      <c r="D10647" s="35" t="s">
        <v>2134</v>
      </c>
      <c r="E10647" s="35" t="s">
        <v>368</v>
      </c>
      <c r="F10647" s="35" t="s">
        <v>1408</v>
      </c>
      <c r="G10647" s="35" t="s">
        <v>2078</v>
      </c>
    </row>
    <row r="10648" spans="1:7">
      <c r="A10648" s="34">
        <v>2084054873</v>
      </c>
      <c r="B10648" s="35" t="s">
        <v>462</v>
      </c>
      <c r="C10648" s="35" t="s">
        <v>2016</v>
      </c>
      <c r="D10648" s="35" t="s">
        <v>2134</v>
      </c>
      <c r="E10648" s="35" t="s">
        <v>368</v>
      </c>
      <c r="F10648" s="35" t="s">
        <v>1408</v>
      </c>
      <c r="G10648" s="35" t="s">
        <v>2079</v>
      </c>
    </row>
    <row r="10649" spans="1:7">
      <c r="A10649" s="34">
        <v>2084054874</v>
      </c>
      <c r="B10649" s="35" t="s">
        <v>462</v>
      </c>
      <c r="C10649" s="35" t="s">
        <v>2016</v>
      </c>
      <c r="D10649" s="35" t="s">
        <v>2134</v>
      </c>
      <c r="E10649" s="35" t="s">
        <v>368</v>
      </c>
      <c r="F10649" s="35" t="s">
        <v>1408</v>
      </c>
      <c r="G10649" s="35" t="s">
        <v>2080</v>
      </c>
    </row>
    <row r="10650" spans="1:7">
      <c r="A10650" s="34">
        <v>2084054875</v>
      </c>
      <c r="B10650" s="35" t="s">
        <v>462</v>
      </c>
      <c r="C10650" s="35" t="s">
        <v>2016</v>
      </c>
      <c r="D10650" s="35" t="s">
        <v>2134</v>
      </c>
      <c r="E10650" s="35" t="s">
        <v>368</v>
      </c>
      <c r="F10650" s="35" t="s">
        <v>1408</v>
      </c>
      <c r="G10650" s="35" t="s">
        <v>2081</v>
      </c>
    </row>
    <row r="10651" spans="1:7">
      <c r="A10651" s="34">
        <v>2084052872</v>
      </c>
      <c r="B10651" s="35" t="s">
        <v>462</v>
      </c>
      <c r="C10651" s="35" t="s">
        <v>2016</v>
      </c>
      <c r="D10651" s="35" t="s">
        <v>2134</v>
      </c>
      <c r="E10651" s="35" t="s">
        <v>368</v>
      </c>
      <c r="F10651" s="35" t="s">
        <v>1583</v>
      </c>
      <c r="G10651" s="35" t="s">
        <v>2075</v>
      </c>
    </row>
    <row r="10652" spans="1:7">
      <c r="A10652" s="34">
        <v>2084052873</v>
      </c>
      <c r="B10652" s="35" t="s">
        <v>462</v>
      </c>
      <c r="C10652" s="35" t="s">
        <v>2016</v>
      </c>
      <c r="D10652" s="35" t="s">
        <v>2134</v>
      </c>
      <c r="E10652" s="35" t="s">
        <v>368</v>
      </c>
      <c r="F10652" s="35" t="s">
        <v>1583</v>
      </c>
      <c r="G10652" s="35" t="s">
        <v>2076</v>
      </c>
    </row>
    <row r="10653" spans="1:7">
      <c r="A10653" s="34">
        <v>2084052874</v>
      </c>
      <c r="B10653" s="35" t="s">
        <v>462</v>
      </c>
      <c r="C10653" s="35" t="s">
        <v>2016</v>
      </c>
      <c r="D10653" s="35" t="s">
        <v>2134</v>
      </c>
      <c r="E10653" s="35" t="s">
        <v>368</v>
      </c>
      <c r="F10653" s="35" t="s">
        <v>1583</v>
      </c>
      <c r="G10653" s="35" t="s">
        <v>2077</v>
      </c>
    </row>
    <row r="10654" spans="1:7">
      <c r="A10654" s="34">
        <v>2084052875</v>
      </c>
      <c r="B10654" s="35" t="s">
        <v>462</v>
      </c>
      <c r="C10654" s="35" t="s">
        <v>2016</v>
      </c>
      <c r="D10654" s="35" t="s">
        <v>2134</v>
      </c>
      <c r="E10654" s="35" t="s">
        <v>368</v>
      </c>
      <c r="F10654" s="35" t="s">
        <v>1583</v>
      </c>
      <c r="G10654" s="35" t="s">
        <v>2078</v>
      </c>
    </row>
    <row r="10655" spans="1:7">
      <c r="A10655" s="34">
        <v>2084052876</v>
      </c>
      <c r="B10655" s="35" t="s">
        <v>462</v>
      </c>
      <c r="C10655" s="35" t="s">
        <v>2016</v>
      </c>
      <c r="D10655" s="35" t="s">
        <v>2134</v>
      </c>
      <c r="E10655" s="35" t="s">
        <v>368</v>
      </c>
      <c r="F10655" s="35" t="s">
        <v>1583</v>
      </c>
      <c r="G10655" s="35" t="s">
        <v>2079</v>
      </c>
    </row>
    <row r="10656" spans="1:7">
      <c r="A10656" s="34">
        <v>2084052877</v>
      </c>
      <c r="B10656" s="35" t="s">
        <v>462</v>
      </c>
      <c r="C10656" s="35" t="s">
        <v>2016</v>
      </c>
      <c r="D10656" s="35" t="s">
        <v>2134</v>
      </c>
      <c r="E10656" s="35" t="s">
        <v>368</v>
      </c>
      <c r="F10656" s="35" t="s">
        <v>1583</v>
      </c>
      <c r="G10656" s="35" t="s">
        <v>2080</v>
      </c>
    </row>
    <row r="10657" spans="1:7">
      <c r="A10657" s="34">
        <v>2084052878</v>
      </c>
      <c r="B10657" s="35" t="s">
        <v>462</v>
      </c>
      <c r="C10657" s="35" t="s">
        <v>2016</v>
      </c>
      <c r="D10657" s="35" t="s">
        <v>2134</v>
      </c>
      <c r="E10657" s="35" t="s">
        <v>368</v>
      </c>
      <c r="F10657" s="35" t="s">
        <v>1583</v>
      </c>
      <c r="G10657" s="35" t="s">
        <v>2081</v>
      </c>
    </row>
    <row r="10658" spans="1:7">
      <c r="A10658" s="34">
        <v>2084052881</v>
      </c>
      <c r="B10658" s="35" t="s">
        <v>462</v>
      </c>
      <c r="C10658" s="35" t="s">
        <v>2016</v>
      </c>
      <c r="D10658" s="35" t="s">
        <v>2134</v>
      </c>
      <c r="E10658" s="35" t="s">
        <v>368</v>
      </c>
      <c r="F10658" s="35" t="s">
        <v>2135</v>
      </c>
      <c r="G10658" s="35" t="s">
        <v>2091</v>
      </c>
    </row>
    <row r="10659" spans="1:7">
      <c r="A10659" s="34">
        <v>2084052882</v>
      </c>
      <c r="B10659" s="35" t="s">
        <v>462</v>
      </c>
      <c r="C10659" s="35" t="s">
        <v>2016</v>
      </c>
      <c r="D10659" s="35" t="s">
        <v>2134</v>
      </c>
      <c r="E10659" s="35" t="s">
        <v>368</v>
      </c>
      <c r="F10659" s="35" t="s">
        <v>2135</v>
      </c>
      <c r="G10659" s="35" t="s">
        <v>2076</v>
      </c>
    </row>
    <row r="10660" spans="1:7">
      <c r="A10660" s="34">
        <v>2084052883</v>
      </c>
      <c r="B10660" s="35" t="s">
        <v>462</v>
      </c>
      <c r="C10660" s="35" t="s">
        <v>2016</v>
      </c>
      <c r="D10660" s="35" t="s">
        <v>2134</v>
      </c>
      <c r="E10660" s="35" t="s">
        <v>368</v>
      </c>
      <c r="F10660" s="35" t="s">
        <v>2135</v>
      </c>
      <c r="G10660" s="35" t="s">
        <v>2077</v>
      </c>
    </row>
    <row r="10661" spans="1:7">
      <c r="A10661" s="34">
        <v>2084052884</v>
      </c>
      <c r="B10661" s="35" t="s">
        <v>462</v>
      </c>
      <c r="C10661" s="35" t="s">
        <v>2016</v>
      </c>
      <c r="D10661" s="35" t="s">
        <v>2134</v>
      </c>
      <c r="E10661" s="35" t="s">
        <v>368</v>
      </c>
      <c r="F10661" s="35" t="s">
        <v>2135</v>
      </c>
      <c r="G10661" s="35" t="s">
        <v>2078</v>
      </c>
    </row>
    <row r="10662" spans="1:7">
      <c r="A10662" s="34">
        <v>2084052885</v>
      </c>
      <c r="B10662" s="35" t="s">
        <v>462</v>
      </c>
      <c r="C10662" s="35" t="s">
        <v>2016</v>
      </c>
      <c r="D10662" s="35" t="s">
        <v>2134</v>
      </c>
      <c r="E10662" s="35" t="s">
        <v>368</v>
      </c>
      <c r="F10662" s="35" t="s">
        <v>2135</v>
      </c>
      <c r="G10662" s="35" t="s">
        <v>2079</v>
      </c>
    </row>
    <row r="10663" spans="1:7">
      <c r="A10663" s="34">
        <v>2084052886</v>
      </c>
      <c r="B10663" s="35" t="s">
        <v>462</v>
      </c>
      <c r="C10663" s="35" t="s">
        <v>2016</v>
      </c>
      <c r="D10663" s="35" t="s">
        <v>2134</v>
      </c>
      <c r="E10663" s="35" t="s">
        <v>368</v>
      </c>
      <c r="F10663" s="35" t="s">
        <v>2135</v>
      </c>
      <c r="G10663" s="35" t="s">
        <v>2080</v>
      </c>
    </row>
    <row r="10664" spans="1:7">
      <c r="A10664" s="34">
        <v>2084052887</v>
      </c>
      <c r="B10664" s="35" t="s">
        <v>462</v>
      </c>
      <c r="C10664" s="35" t="s">
        <v>2016</v>
      </c>
      <c r="D10664" s="35" t="s">
        <v>2134</v>
      </c>
      <c r="E10664" s="35" t="s">
        <v>368</v>
      </c>
      <c r="F10664" s="35" t="s">
        <v>2135</v>
      </c>
      <c r="G10664" s="35" t="s">
        <v>2081</v>
      </c>
    </row>
    <row r="10665" spans="1:7">
      <c r="A10665" s="34">
        <v>2084006506</v>
      </c>
      <c r="B10665" s="35" t="s">
        <v>462</v>
      </c>
      <c r="C10665" s="35" t="s">
        <v>2016</v>
      </c>
      <c r="D10665" s="35" t="s">
        <v>2134</v>
      </c>
      <c r="E10665" s="35" t="s">
        <v>368</v>
      </c>
      <c r="F10665" s="35" t="s">
        <v>335</v>
      </c>
    </row>
    <row r="10666" spans="1:7">
      <c r="A10666" s="34">
        <v>2084006555</v>
      </c>
      <c r="B10666" s="35" t="s">
        <v>462</v>
      </c>
      <c r="C10666" s="35" t="s">
        <v>2016</v>
      </c>
      <c r="D10666" s="35" t="s">
        <v>2134</v>
      </c>
      <c r="E10666" s="35" t="s">
        <v>2121</v>
      </c>
    </row>
    <row r="10667" spans="1:7">
      <c r="A10667" s="34">
        <v>2084052961</v>
      </c>
      <c r="B10667" s="35" t="s">
        <v>462</v>
      </c>
      <c r="C10667" s="35" t="s">
        <v>2016</v>
      </c>
      <c r="D10667" s="35" t="s">
        <v>2134</v>
      </c>
      <c r="E10667" s="35" t="s">
        <v>2122</v>
      </c>
      <c r="F10667" s="35" t="s">
        <v>2075</v>
      </c>
    </row>
    <row r="10668" spans="1:7">
      <c r="A10668" s="34">
        <v>2084052962</v>
      </c>
      <c r="B10668" s="35" t="s">
        <v>462</v>
      </c>
      <c r="C10668" s="35" t="s">
        <v>2016</v>
      </c>
      <c r="D10668" s="35" t="s">
        <v>2134</v>
      </c>
      <c r="E10668" s="35" t="s">
        <v>2122</v>
      </c>
      <c r="F10668" s="35" t="s">
        <v>2076</v>
      </c>
    </row>
    <row r="10669" spans="1:7">
      <c r="A10669" s="34">
        <v>2084052963</v>
      </c>
      <c r="B10669" s="35" t="s">
        <v>462</v>
      </c>
      <c r="C10669" s="35" t="s">
        <v>2016</v>
      </c>
      <c r="D10669" s="35" t="s">
        <v>2134</v>
      </c>
      <c r="E10669" s="35" t="s">
        <v>2122</v>
      </c>
      <c r="F10669" s="35" t="s">
        <v>2077</v>
      </c>
    </row>
    <row r="10670" spans="1:7">
      <c r="A10670" s="34">
        <v>2084052964</v>
      </c>
      <c r="B10670" s="35" t="s">
        <v>462</v>
      </c>
      <c r="C10670" s="35" t="s">
        <v>2016</v>
      </c>
      <c r="D10670" s="35" t="s">
        <v>2134</v>
      </c>
      <c r="E10670" s="35" t="s">
        <v>2122</v>
      </c>
      <c r="F10670" s="35" t="s">
        <v>2078</v>
      </c>
    </row>
    <row r="10671" spans="1:7">
      <c r="A10671" s="34">
        <v>2084052965</v>
      </c>
      <c r="B10671" s="35" t="s">
        <v>462</v>
      </c>
      <c r="C10671" s="35" t="s">
        <v>2016</v>
      </c>
      <c r="D10671" s="35" t="s">
        <v>2134</v>
      </c>
      <c r="E10671" s="35" t="s">
        <v>2122</v>
      </c>
      <c r="F10671" s="35" t="s">
        <v>2079</v>
      </c>
    </row>
    <row r="10672" spans="1:7">
      <c r="A10672" s="34">
        <v>2084052966</v>
      </c>
      <c r="B10672" s="35" t="s">
        <v>462</v>
      </c>
      <c r="C10672" s="35" t="s">
        <v>2016</v>
      </c>
      <c r="D10672" s="35" t="s">
        <v>2134</v>
      </c>
      <c r="E10672" s="35" t="s">
        <v>2122</v>
      </c>
      <c r="F10672" s="35" t="s">
        <v>2080</v>
      </c>
    </row>
    <row r="10673" spans="1:7">
      <c r="A10673" s="34">
        <v>2084052967</v>
      </c>
      <c r="B10673" s="35" t="s">
        <v>462</v>
      </c>
      <c r="C10673" s="35" t="s">
        <v>2016</v>
      </c>
      <c r="D10673" s="35" t="s">
        <v>2134</v>
      </c>
      <c r="E10673" s="35" t="s">
        <v>2122</v>
      </c>
      <c r="F10673" s="35" t="s">
        <v>2081</v>
      </c>
    </row>
    <row r="10674" spans="1:7">
      <c r="A10674" s="34">
        <v>2084051973</v>
      </c>
      <c r="B10674" s="35" t="s">
        <v>462</v>
      </c>
      <c r="C10674" s="35" t="s">
        <v>2016</v>
      </c>
      <c r="D10674" s="35" t="s">
        <v>2134</v>
      </c>
      <c r="E10674" s="35" t="s">
        <v>10</v>
      </c>
      <c r="F10674" s="35" t="s">
        <v>378</v>
      </c>
      <c r="G10674" s="35" t="s">
        <v>2075</v>
      </c>
    </row>
    <row r="10675" spans="1:7">
      <c r="A10675" s="34">
        <v>2084051974</v>
      </c>
      <c r="B10675" s="35" t="s">
        <v>462</v>
      </c>
      <c r="C10675" s="35" t="s">
        <v>2016</v>
      </c>
      <c r="D10675" s="35" t="s">
        <v>2134</v>
      </c>
      <c r="E10675" s="35" t="s">
        <v>10</v>
      </c>
      <c r="F10675" s="35" t="s">
        <v>378</v>
      </c>
      <c r="G10675" s="35" t="s">
        <v>2076</v>
      </c>
    </row>
    <row r="10676" spans="1:7">
      <c r="A10676" s="34">
        <v>2084051975</v>
      </c>
      <c r="B10676" s="35" t="s">
        <v>462</v>
      </c>
      <c r="C10676" s="35" t="s">
        <v>2016</v>
      </c>
      <c r="D10676" s="35" t="s">
        <v>2134</v>
      </c>
      <c r="E10676" s="35" t="s">
        <v>10</v>
      </c>
      <c r="F10676" s="35" t="s">
        <v>378</v>
      </c>
      <c r="G10676" s="35" t="s">
        <v>2077</v>
      </c>
    </row>
    <row r="10677" spans="1:7">
      <c r="A10677" s="34">
        <v>2084051976</v>
      </c>
      <c r="B10677" s="35" t="s">
        <v>462</v>
      </c>
      <c r="C10677" s="35" t="s">
        <v>2016</v>
      </c>
      <c r="D10677" s="35" t="s">
        <v>2134</v>
      </c>
      <c r="E10677" s="35" t="s">
        <v>10</v>
      </c>
      <c r="F10677" s="35" t="s">
        <v>378</v>
      </c>
      <c r="G10677" s="35" t="s">
        <v>2078</v>
      </c>
    </row>
    <row r="10678" spans="1:7">
      <c r="A10678" s="34">
        <v>2084051977</v>
      </c>
      <c r="B10678" s="35" t="s">
        <v>462</v>
      </c>
      <c r="C10678" s="35" t="s">
        <v>2016</v>
      </c>
      <c r="D10678" s="35" t="s">
        <v>2134</v>
      </c>
      <c r="E10678" s="35" t="s">
        <v>10</v>
      </c>
      <c r="F10678" s="35" t="s">
        <v>378</v>
      </c>
      <c r="G10678" s="35" t="s">
        <v>2079</v>
      </c>
    </row>
    <row r="10679" spans="1:7">
      <c r="A10679" s="34">
        <v>2084051978</v>
      </c>
      <c r="B10679" s="35" t="s">
        <v>462</v>
      </c>
      <c r="C10679" s="35" t="s">
        <v>2016</v>
      </c>
      <c r="D10679" s="35" t="s">
        <v>2134</v>
      </c>
      <c r="E10679" s="35" t="s">
        <v>10</v>
      </c>
      <c r="F10679" s="35" t="s">
        <v>378</v>
      </c>
      <c r="G10679" s="35" t="s">
        <v>2080</v>
      </c>
    </row>
    <row r="10680" spans="1:7">
      <c r="A10680" s="34">
        <v>2084051979</v>
      </c>
      <c r="B10680" s="35" t="s">
        <v>462</v>
      </c>
      <c r="C10680" s="35" t="s">
        <v>2016</v>
      </c>
      <c r="D10680" s="35" t="s">
        <v>2134</v>
      </c>
      <c r="E10680" s="35" t="s">
        <v>10</v>
      </c>
      <c r="F10680" s="35" t="s">
        <v>378</v>
      </c>
      <c r="G10680" s="35" t="s">
        <v>2081</v>
      </c>
    </row>
    <row r="10681" spans="1:7">
      <c r="A10681" s="34">
        <v>2084051966</v>
      </c>
      <c r="B10681" s="35" t="s">
        <v>462</v>
      </c>
      <c r="C10681" s="35" t="s">
        <v>2016</v>
      </c>
      <c r="D10681" s="35" t="s">
        <v>2134</v>
      </c>
      <c r="E10681" s="35" t="s">
        <v>10</v>
      </c>
      <c r="F10681" s="35" t="s">
        <v>373</v>
      </c>
      <c r="G10681" s="35" t="s">
        <v>2075</v>
      </c>
    </row>
    <row r="10682" spans="1:7">
      <c r="A10682" s="34">
        <v>2084051967</v>
      </c>
      <c r="B10682" s="35" t="s">
        <v>462</v>
      </c>
      <c r="C10682" s="35" t="s">
        <v>2016</v>
      </c>
      <c r="D10682" s="35" t="s">
        <v>2134</v>
      </c>
      <c r="E10682" s="35" t="s">
        <v>10</v>
      </c>
      <c r="F10682" s="35" t="s">
        <v>373</v>
      </c>
      <c r="G10682" s="35" t="s">
        <v>2076</v>
      </c>
    </row>
    <row r="10683" spans="1:7">
      <c r="A10683" s="34">
        <v>2084051968</v>
      </c>
      <c r="B10683" s="35" t="s">
        <v>462</v>
      </c>
      <c r="C10683" s="35" t="s">
        <v>2016</v>
      </c>
      <c r="D10683" s="35" t="s">
        <v>2134</v>
      </c>
      <c r="E10683" s="35" t="s">
        <v>10</v>
      </c>
      <c r="F10683" s="35" t="s">
        <v>373</v>
      </c>
      <c r="G10683" s="35" t="s">
        <v>2077</v>
      </c>
    </row>
    <row r="10684" spans="1:7">
      <c r="A10684" s="34">
        <v>2084051969</v>
      </c>
      <c r="B10684" s="35" t="s">
        <v>462</v>
      </c>
      <c r="C10684" s="35" t="s">
        <v>2016</v>
      </c>
      <c r="D10684" s="35" t="s">
        <v>2134</v>
      </c>
      <c r="E10684" s="35" t="s">
        <v>10</v>
      </c>
      <c r="F10684" s="35" t="s">
        <v>373</v>
      </c>
      <c r="G10684" s="35" t="s">
        <v>2078</v>
      </c>
    </row>
    <row r="10685" spans="1:7">
      <c r="A10685" s="34">
        <v>2084051970</v>
      </c>
      <c r="B10685" s="35" t="s">
        <v>462</v>
      </c>
      <c r="C10685" s="35" t="s">
        <v>2016</v>
      </c>
      <c r="D10685" s="35" t="s">
        <v>2134</v>
      </c>
      <c r="E10685" s="35" t="s">
        <v>10</v>
      </c>
      <c r="F10685" s="35" t="s">
        <v>373</v>
      </c>
      <c r="G10685" s="35" t="s">
        <v>2079</v>
      </c>
    </row>
    <row r="10686" spans="1:7">
      <c r="A10686" s="34">
        <v>2084051971</v>
      </c>
      <c r="B10686" s="35" t="s">
        <v>462</v>
      </c>
      <c r="C10686" s="35" t="s">
        <v>2016</v>
      </c>
      <c r="D10686" s="35" t="s">
        <v>2134</v>
      </c>
      <c r="E10686" s="35" t="s">
        <v>10</v>
      </c>
      <c r="F10686" s="35" t="s">
        <v>373</v>
      </c>
      <c r="G10686" s="35" t="s">
        <v>2080</v>
      </c>
    </row>
    <row r="10687" spans="1:7">
      <c r="A10687" s="34">
        <v>2084051972</v>
      </c>
      <c r="B10687" s="35" t="s">
        <v>462</v>
      </c>
      <c r="C10687" s="35" t="s">
        <v>2016</v>
      </c>
      <c r="D10687" s="35" t="s">
        <v>2134</v>
      </c>
      <c r="E10687" s="35" t="s">
        <v>10</v>
      </c>
      <c r="F10687" s="35" t="s">
        <v>373</v>
      </c>
      <c r="G10687" s="35" t="s">
        <v>2081</v>
      </c>
    </row>
    <row r="10688" spans="1:7">
      <c r="A10688" s="34">
        <v>2084052029</v>
      </c>
      <c r="B10688" s="35" t="s">
        <v>462</v>
      </c>
      <c r="C10688" s="35" t="s">
        <v>2016</v>
      </c>
      <c r="D10688" s="35" t="s">
        <v>2134</v>
      </c>
      <c r="E10688" s="35" t="s">
        <v>10</v>
      </c>
      <c r="F10688" s="35" t="s">
        <v>1092</v>
      </c>
      <c r="G10688" s="35" t="s">
        <v>2075</v>
      </c>
    </row>
    <row r="10689" spans="1:7">
      <c r="A10689" s="34">
        <v>2084052030</v>
      </c>
      <c r="B10689" s="35" t="s">
        <v>462</v>
      </c>
      <c r="C10689" s="35" t="s">
        <v>2016</v>
      </c>
      <c r="D10689" s="35" t="s">
        <v>2134</v>
      </c>
      <c r="E10689" s="35" t="s">
        <v>10</v>
      </c>
      <c r="F10689" s="35" t="s">
        <v>1092</v>
      </c>
      <c r="G10689" s="35" t="s">
        <v>2076</v>
      </c>
    </row>
    <row r="10690" spans="1:7">
      <c r="A10690" s="34">
        <v>2084052031</v>
      </c>
      <c r="B10690" s="35" t="s">
        <v>462</v>
      </c>
      <c r="C10690" s="35" t="s">
        <v>2016</v>
      </c>
      <c r="D10690" s="35" t="s">
        <v>2134</v>
      </c>
      <c r="E10690" s="35" t="s">
        <v>10</v>
      </c>
      <c r="F10690" s="35" t="s">
        <v>1092</v>
      </c>
      <c r="G10690" s="35" t="s">
        <v>2077</v>
      </c>
    </row>
    <row r="10691" spans="1:7">
      <c r="A10691" s="34">
        <v>2084052032</v>
      </c>
      <c r="B10691" s="35" t="s">
        <v>462</v>
      </c>
      <c r="C10691" s="35" t="s">
        <v>2016</v>
      </c>
      <c r="D10691" s="35" t="s">
        <v>2134</v>
      </c>
      <c r="E10691" s="35" t="s">
        <v>10</v>
      </c>
      <c r="F10691" s="35" t="s">
        <v>1092</v>
      </c>
      <c r="G10691" s="35" t="s">
        <v>2078</v>
      </c>
    </row>
    <row r="10692" spans="1:7">
      <c r="A10692" s="34">
        <v>2084052033</v>
      </c>
      <c r="B10692" s="35" t="s">
        <v>462</v>
      </c>
      <c r="C10692" s="35" t="s">
        <v>2016</v>
      </c>
      <c r="D10692" s="35" t="s">
        <v>2134</v>
      </c>
      <c r="E10692" s="35" t="s">
        <v>10</v>
      </c>
      <c r="F10692" s="35" t="s">
        <v>1092</v>
      </c>
      <c r="G10692" s="35" t="s">
        <v>2079</v>
      </c>
    </row>
    <row r="10693" spans="1:7">
      <c r="A10693" s="34">
        <v>2084052034</v>
      </c>
      <c r="B10693" s="35" t="s">
        <v>462</v>
      </c>
      <c r="C10693" s="35" t="s">
        <v>2016</v>
      </c>
      <c r="D10693" s="35" t="s">
        <v>2134</v>
      </c>
      <c r="E10693" s="35" t="s">
        <v>10</v>
      </c>
      <c r="F10693" s="35" t="s">
        <v>1092</v>
      </c>
      <c r="G10693" s="35" t="s">
        <v>2080</v>
      </c>
    </row>
    <row r="10694" spans="1:7">
      <c r="A10694" s="34">
        <v>2084052035</v>
      </c>
      <c r="B10694" s="35" t="s">
        <v>462</v>
      </c>
      <c r="C10694" s="35" t="s">
        <v>2016</v>
      </c>
      <c r="D10694" s="35" t="s">
        <v>2134</v>
      </c>
      <c r="E10694" s="35" t="s">
        <v>10</v>
      </c>
      <c r="F10694" s="35" t="s">
        <v>1092</v>
      </c>
      <c r="G10694" s="35" t="s">
        <v>2081</v>
      </c>
    </row>
    <row r="10695" spans="1:7">
      <c r="A10695" s="34">
        <v>2084052022</v>
      </c>
      <c r="B10695" s="35" t="s">
        <v>462</v>
      </c>
      <c r="C10695" s="35" t="s">
        <v>2016</v>
      </c>
      <c r="D10695" s="35" t="s">
        <v>2134</v>
      </c>
      <c r="E10695" s="35" t="s">
        <v>10</v>
      </c>
      <c r="F10695" s="35" t="s">
        <v>887</v>
      </c>
      <c r="G10695" s="35" t="s">
        <v>2075</v>
      </c>
    </row>
    <row r="10696" spans="1:7">
      <c r="A10696" s="34">
        <v>2084052023</v>
      </c>
      <c r="B10696" s="35" t="s">
        <v>462</v>
      </c>
      <c r="C10696" s="35" t="s">
        <v>2016</v>
      </c>
      <c r="D10696" s="35" t="s">
        <v>2134</v>
      </c>
      <c r="E10696" s="35" t="s">
        <v>10</v>
      </c>
      <c r="F10696" s="35" t="s">
        <v>887</v>
      </c>
      <c r="G10696" s="35" t="s">
        <v>2076</v>
      </c>
    </row>
    <row r="10697" spans="1:7">
      <c r="A10697" s="34">
        <v>2084052024</v>
      </c>
      <c r="B10697" s="35" t="s">
        <v>462</v>
      </c>
      <c r="C10697" s="35" t="s">
        <v>2016</v>
      </c>
      <c r="D10697" s="35" t="s">
        <v>2134</v>
      </c>
      <c r="E10697" s="35" t="s">
        <v>10</v>
      </c>
      <c r="F10697" s="35" t="s">
        <v>887</v>
      </c>
      <c r="G10697" s="35" t="s">
        <v>2077</v>
      </c>
    </row>
    <row r="10698" spans="1:7">
      <c r="A10698" s="34">
        <v>2084052025</v>
      </c>
      <c r="B10698" s="35" t="s">
        <v>462</v>
      </c>
      <c r="C10698" s="35" t="s">
        <v>2016</v>
      </c>
      <c r="D10698" s="35" t="s">
        <v>2134</v>
      </c>
      <c r="E10698" s="35" t="s">
        <v>10</v>
      </c>
      <c r="F10698" s="35" t="s">
        <v>887</v>
      </c>
      <c r="G10698" s="35" t="s">
        <v>2078</v>
      </c>
    </row>
    <row r="10699" spans="1:7">
      <c r="A10699" s="34">
        <v>2084052026</v>
      </c>
      <c r="B10699" s="35" t="s">
        <v>462</v>
      </c>
      <c r="C10699" s="35" t="s">
        <v>2016</v>
      </c>
      <c r="D10699" s="35" t="s">
        <v>2134</v>
      </c>
      <c r="E10699" s="35" t="s">
        <v>10</v>
      </c>
      <c r="F10699" s="35" t="s">
        <v>887</v>
      </c>
      <c r="G10699" s="35" t="s">
        <v>2079</v>
      </c>
    </row>
    <row r="10700" spans="1:7">
      <c r="A10700" s="34">
        <v>2084052027</v>
      </c>
      <c r="B10700" s="35" t="s">
        <v>462</v>
      </c>
      <c r="C10700" s="35" t="s">
        <v>2016</v>
      </c>
      <c r="D10700" s="35" t="s">
        <v>2134</v>
      </c>
      <c r="E10700" s="35" t="s">
        <v>10</v>
      </c>
      <c r="F10700" s="35" t="s">
        <v>887</v>
      </c>
      <c r="G10700" s="35" t="s">
        <v>2080</v>
      </c>
    </row>
    <row r="10701" spans="1:7">
      <c r="A10701" s="34">
        <v>2084052028</v>
      </c>
      <c r="B10701" s="35" t="s">
        <v>462</v>
      </c>
      <c r="C10701" s="35" t="s">
        <v>2016</v>
      </c>
      <c r="D10701" s="35" t="s">
        <v>2134</v>
      </c>
      <c r="E10701" s="35" t="s">
        <v>10</v>
      </c>
      <c r="F10701" s="35" t="s">
        <v>887</v>
      </c>
      <c r="G10701" s="35" t="s">
        <v>2081</v>
      </c>
    </row>
    <row r="10702" spans="1:7">
      <c r="A10702" s="34">
        <v>2084051994</v>
      </c>
      <c r="B10702" s="35" t="s">
        <v>462</v>
      </c>
      <c r="C10702" s="35" t="s">
        <v>2016</v>
      </c>
      <c r="D10702" s="35" t="s">
        <v>2134</v>
      </c>
      <c r="E10702" s="35" t="s">
        <v>10</v>
      </c>
      <c r="F10702" s="35" t="s">
        <v>1587</v>
      </c>
      <c r="G10702" s="35" t="s">
        <v>2075</v>
      </c>
    </row>
    <row r="10703" spans="1:7">
      <c r="A10703" s="34">
        <v>2084051995</v>
      </c>
      <c r="B10703" s="35" t="s">
        <v>462</v>
      </c>
      <c r="C10703" s="35" t="s">
        <v>2016</v>
      </c>
      <c r="D10703" s="35" t="s">
        <v>2134</v>
      </c>
      <c r="E10703" s="35" t="s">
        <v>10</v>
      </c>
      <c r="F10703" s="35" t="s">
        <v>1587</v>
      </c>
      <c r="G10703" s="35" t="s">
        <v>2076</v>
      </c>
    </row>
    <row r="10704" spans="1:7">
      <c r="A10704" s="34">
        <v>2084051996</v>
      </c>
      <c r="B10704" s="35" t="s">
        <v>462</v>
      </c>
      <c r="C10704" s="35" t="s">
        <v>2016</v>
      </c>
      <c r="D10704" s="35" t="s">
        <v>2134</v>
      </c>
      <c r="E10704" s="35" t="s">
        <v>10</v>
      </c>
      <c r="F10704" s="35" t="s">
        <v>1587</v>
      </c>
      <c r="G10704" s="35" t="s">
        <v>2077</v>
      </c>
    </row>
    <row r="10705" spans="1:8">
      <c r="A10705" s="34">
        <v>2084051997</v>
      </c>
      <c r="B10705" s="35" t="s">
        <v>462</v>
      </c>
      <c r="C10705" s="35" t="s">
        <v>2016</v>
      </c>
      <c r="D10705" s="35" t="s">
        <v>2134</v>
      </c>
      <c r="E10705" s="35" t="s">
        <v>10</v>
      </c>
      <c r="F10705" s="35" t="s">
        <v>1587</v>
      </c>
      <c r="G10705" s="35" t="s">
        <v>2078</v>
      </c>
    </row>
    <row r="10706" spans="1:8">
      <c r="A10706" s="34">
        <v>2084051998</v>
      </c>
      <c r="B10706" s="35" t="s">
        <v>462</v>
      </c>
      <c r="C10706" s="35" t="s">
        <v>2016</v>
      </c>
      <c r="D10706" s="35" t="s">
        <v>2134</v>
      </c>
      <c r="E10706" s="35" t="s">
        <v>10</v>
      </c>
      <c r="F10706" s="35" t="s">
        <v>1587</v>
      </c>
      <c r="G10706" s="35" t="s">
        <v>2079</v>
      </c>
    </row>
    <row r="10707" spans="1:8">
      <c r="A10707" s="34">
        <v>2084051999</v>
      </c>
      <c r="B10707" s="35" t="s">
        <v>462</v>
      </c>
      <c r="C10707" s="35" t="s">
        <v>2016</v>
      </c>
      <c r="D10707" s="35" t="s">
        <v>2134</v>
      </c>
      <c r="E10707" s="35" t="s">
        <v>10</v>
      </c>
      <c r="F10707" s="35" t="s">
        <v>1587</v>
      </c>
      <c r="G10707" s="35" t="s">
        <v>2080</v>
      </c>
    </row>
    <row r="10708" spans="1:8">
      <c r="A10708" s="34">
        <v>2084052000</v>
      </c>
      <c r="B10708" s="35" t="s">
        <v>462</v>
      </c>
      <c r="C10708" s="35" t="s">
        <v>2016</v>
      </c>
      <c r="D10708" s="35" t="s">
        <v>2134</v>
      </c>
      <c r="E10708" s="35" t="s">
        <v>10</v>
      </c>
      <c r="F10708" s="35" t="s">
        <v>1587</v>
      </c>
      <c r="G10708" s="35" t="s">
        <v>2081</v>
      </c>
    </row>
    <row r="10709" spans="1:8">
      <c r="A10709" s="34">
        <v>2084052192</v>
      </c>
      <c r="B10709" s="35" t="s">
        <v>462</v>
      </c>
      <c r="C10709" s="35" t="s">
        <v>2016</v>
      </c>
      <c r="D10709" s="35" t="s">
        <v>2134</v>
      </c>
      <c r="E10709" s="35" t="s">
        <v>10</v>
      </c>
      <c r="F10709" s="35" t="s">
        <v>1597</v>
      </c>
      <c r="G10709" s="35" t="s">
        <v>1593</v>
      </c>
      <c r="H10709" s="35" t="s">
        <v>2075</v>
      </c>
    </row>
    <row r="10710" spans="1:8">
      <c r="A10710" s="34">
        <v>2084052193</v>
      </c>
      <c r="B10710" s="35" t="s">
        <v>462</v>
      </c>
      <c r="C10710" s="35" t="s">
        <v>2016</v>
      </c>
      <c r="D10710" s="35" t="s">
        <v>2134</v>
      </c>
      <c r="E10710" s="35" t="s">
        <v>10</v>
      </c>
      <c r="F10710" s="35" t="s">
        <v>1597</v>
      </c>
      <c r="G10710" s="35" t="s">
        <v>1593</v>
      </c>
      <c r="H10710" s="35" t="s">
        <v>2076</v>
      </c>
    </row>
    <row r="10711" spans="1:8">
      <c r="A10711" s="34">
        <v>2084052194</v>
      </c>
      <c r="B10711" s="35" t="s">
        <v>462</v>
      </c>
      <c r="C10711" s="35" t="s">
        <v>2016</v>
      </c>
      <c r="D10711" s="35" t="s">
        <v>2134</v>
      </c>
      <c r="E10711" s="35" t="s">
        <v>10</v>
      </c>
      <c r="F10711" s="35" t="s">
        <v>1597</v>
      </c>
      <c r="G10711" s="35" t="s">
        <v>1593</v>
      </c>
      <c r="H10711" s="35" t="s">
        <v>2077</v>
      </c>
    </row>
    <row r="10712" spans="1:8">
      <c r="A10712" s="34">
        <v>2084052195</v>
      </c>
      <c r="B10712" s="35" t="s">
        <v>462</v>
      </c>
      <c r="C10712" s="35" t="s">
        <v>2016</v>
      </c>
      <c r="D10712" s="35" t="s">
        <v>2134</v>
      </c>
      <c r="E10712" s="35" t="s">
        <v>10</v>
      </c>
      <c r="F10712" s="35" t="s">
        <v>1597</v>
      </c>
      <c r="G10712" s="35" t="s">
        <v>1593</v>
      </c>
      <c r="H10712" s="35" t="s">
        <v>2078</v>
      </c>
    </row>
    <row r="10713" spans="1:8">
      <c r="A10713" s="34">
        <v>2084052196</v>
      </c>
      <c r="B10713" s="35" t="s">
        <v>462</v>
      </c>
      <c r="C10713" s="35" t="s">
        <v>2016</v>
      </c>
      <c r="D10713" s="35" t="s">
        <v>2134</v>
      </c>
      <c r="E10713" s="35" t="s">
        <v>10</v>
      </c>
      <c r="F10713" s="35" t="s">
        <v>1597</v>
      </c>
      <c r="G10713" s="35" t="s">
        <v>1593</v>
      </c>
      <c r="H10713" s="35" t="s">
        <v>2079</v>
      </c>
    </row>
    <row r="10714" spans="1:8">
      <c r="A10714" s="34">
        <v>2084052197</v>
      </c>
      <c r="B10714" s="35" t="s">
        <v>462</v>
      </c>
      <c r="C10714" s="35" t="s">
        <v>2016</v>
      </c>
      <c r="D10714" s="35" t="s">
        <v>2134</v>
      </c>
      <c r="E10714" s="35" t="s">
        <v>10</v>
      </c>
      <c r="F10714" s="35" t="s">
        <v>1597</v>
      </c>
      <c r="G10714" s="35" t="s">
        <v>1593</v>
      </c>
      <c r="H10714" s="35" t="s">
        <v>2080</v>
      </c>
    </row>
    <row r="10715" spans="1:8">
      <c r="A10715" s="34">
        <v>2084052198</v>
      </c>
      <c r="B10715" s="35" t="s">
        <v>462</v>
      </c>
      <c r="C10715" s="35" t="s">
        <v>2016</v>
      </c>
      <c r="D10715" s="35" t="s">
        <v>2134</v>
      </c>
      <c r="E10715" s="35" t="s">
        <v>10</v>
      </c>
      <c r="F10715" s="35" t="s">
        <v>1597</v>
      </c>
      <c r="G10715" s="35" t="s">
        <v>1593</v>
      </c>
      <c r="H10715" s="35" t="s">
        <v>2081</v>
      </c>
    </row>
    <row r="10716" spans="1:8">
      <c r="A10716" s="34">
        <v>2084052205</v>
      </c>
      <c r="B10716" s="35" t="s">
        <v>462</v>
      </c>
      <c r="C10716" s="35" t="s">
        <v>2016</v>
      </c>
      <c r="D10716" s="35" t="s">
        <v>2134</v>
      </c>
      <c r="E10716" s="35" t="s">
        <v>10</v>
      </c>
      <c r="F10716" s="35" t="s">
        <v>1597</v>
      </c>
      <c r="G10716" s="35" t="s">
        <v>1594</v>
      </c>
      <c r="H10716" s="35" t="s">
        <v>2075</v>
      </c>
    </row>
    <row r="10717" spans="1:8">
      <c r="A10717" s="34">
        <v>2084052204</v>
      </c>
      <c r="B10717" s="35" t="s">
        <v>462</v>
      </c>
      <c r="C10717" s="35" t="s">
        <v>2016</v>
      </c>
      <c r="D10717" s="35" t="s">
        <v>2134</v>
      </c>
      <c r="E10717" s="35" t="s">
        <v>10</v>
      </c>
      <c r="F10717" s="35" t="s">
        <v>1597</v>
      </c>
      <c r="G10717" s="35" t="s">
        <v>1594</v>
      </c>
      <c r="H10717" s="35" t="s">
        <v>2076</v>
      </c>
    </row>
    <row r="10718" spans="1:8">
      <c r="A10718" s="34">
        <v>2084052203</v>
      </c>
      <c r="B10718" s="35" t="s">
        <v>462</v>
      </c>
      <c r="C10718" s="35" t="s">
        <v>2016</v>
      </c>
      <c r="D10718" s="35" t="s">
        <v>2134</v>
      </c>
      <c r="E10718" s="35" t="s">
        <v>10</v>
      </c>
      <c r="F10718" s="35" t="s">
        <v>1597</v>
      </c>
      <c r="G10718" s="35" t="s">
        <v>1594</v>
      </c>
      <c r="H10718" s="35" t="s">
        <v>2077</v>
      </c>
    </row>
    <row r="10719" spans="1:8">
      <c r="A10719" s="34">
        <v>2084052202</v>
      </c>
      <c r="B10719" s="35" t="s">
        <v>462</v>
      </c>
      <c r="C10719" s="35" t="s">
        <v>2016</v>
      </c>
      <c r="D10719" s="35" t="s">
        <v>2134</v>
      </c>
      <c r="E10719" s="35" t="s">
        <v>10</v>
      </c>
      <c r="F10719" s="35" t="s">
        <v>1597</v>
      </c>
      <c r="G10719" s="35" t="s">
        <v>1594</v>
      </c>
      <c r="H10719" s="35" t="s">
        <v>2078</v>
      </c>
    </row>
    <row r="10720" spans="1:8">
      <c r="A10720" s="34">
        <v>2084052201</v>
      </c>
      <c r="B10720" s="35" t="s">
        <v>462</v>
      </c>
      <c r="C10720" s="35" t="s">
        <v>2016</v>
      </c>
      <c r="D10720" s="35" t="s">
        <v>2134</v>
      </c>
      <c r="E10720" s="35" t="s">
        <v>10</v>
      </c>
      <c r="F10720" s="35" t="s">
        <v>1597</v>
      </c>
      <c r="G10720" s="35" t="s">
        <v>1594</v>
      </c>
      <c r="H10720" s="35" t="s">
        <v>2079</v>
      </c>
    </row>
    <row r="10721" spans="1:8">
      <c r="A10721" s="34">
        <v>2084052200</v>
      </c>
      <c r="B10721" s="35" t="s">
        <v>462</v>
      </c>
      <c r="C10721" s="35" t="s">
        <v>2016</v>
      </c>
      <c r="D10721" s="35" t="s">
        <v>2134</v>
      </c>
      <c r="E10721" s="35" t="s">
        <v>10</v>
      </c>
      <c r="F10721" s="35" t="s">
        <v>1597</v>
      </c>
      <c r="G10721" s="35" t="s">
        <v>1594</v>
      </c>
      <c r="H10721" s="35" t="s">
        <v>2080</v>
      </c>
    </row>
    <row r="10722" spans="1:8">
      <c r="A10722" s="34">
        <v>2084052199</v>
      </c>
      <c r="B10722" s="35" t="s">
        <v>462</v>
      </c>
      <c r="C10722" s="35" t="s">
        <v>2016</v>
      </c>
      <c r="D10722" s="35" t="s">
        <v>2134</v>
      </c>
      <c r="E10722" s="35" t="s">
        <v>10</v>
      </c>
      <c r="F10722" s="35" t="s">
        <v>1597</v>
      </c>
      <c r="G10722" s="35" t="s">
        <v>1594</v>
      </c>
      <c r="H10722" s="35" t="s">
        <v>2081</v>
      </c>
    </row>
    <row r="10723" spans="1:8">
      <c r="A10723" s="34">
        <v>2084052100</v>
      </c>
      <c r="B10723" s="35" t="s">
        <v>462</v>
      </c>
      <c r="C10723" s="35" t="s">
        <v>2016</v>
      </c>
      <c r="D10723" s="35" t="s">
        <v>2134</v>
      </c>
      <c r="E10723" s="35" t="s">
        <v>10</v>
      </c>
      <c r="F10723" s="35" t="s">
        <v>2092</v>
      </c>
      <c r="G10723" s="35" t="s">
        <v>2075</v>
      </c>
    </row>
    <row r="10724" spans="1:8">
      <c r="A10724" s="34">
        <v>2084052101</v>
      </c>
      <c r="B10724" s="35" t="s">
        <v>462</v>
      </c>
      <c r="C10724" s="35" t="s">
        <v>2016</v>
      </c>
      <c r="D10724" s="35" t="s">
        <v>2134</v>
      </c>
      <c r="E10724" s="35" t="s">
        <v>10</v>
      </c>
      <c r="F10724" s="35" t="s">
        <v>2092</v>
      </c>
      <c r="G10724" s="35" t="s">
        <v>2076</v>
      </c>
    </row>
    <row r="10725" spans="1:8">
      <c r="A10725" s="34">
        <v>2084052102</v>
      </c>
      <c r="B10725" s="35" t="s">
        <v>462</v>
      </c>
      <c r="C10725" s="35" t="s">
        <v>2016</v>
      </c>
      <c r="D10725" s="35" t="s">
        <v>2134</v>
      </c>
      <c r="E10725" s="35" t="s">
        <v>10</v>
      </c>
      <c r="F10725" s="35" t="s">
        <v>2092</v>
      </c>
      <c r="G10725" s="35" t="s">
        <v>2077</v>
      </c>
    </row>
    <row r="10726" spans="1:8">
      <c r="A10726" s="34">
        <v>2084052103</v>
      </c>
      <c r="B10726" s="35" t="s">
        <v>462</v>
      </c>
      <c r="C10726" s="35" t="s">
        <v>2016</v>
      </c>
      <c r="D10726" s="35" t="s">
        <v>2134</v>
      </c>
      <c r="E10726" s="35" t="s">
        <v>10</v>
      </c>
      <c r="F10726" s="35" t="s">
        <v>2092</v>
      </c>
      <c r="G10726" s="35" t="s">
        <v>2078</v>
      </c>
    </row>
    <row r="10727" spans="1:8">
      <c r="A10727" s="34">
        <v>2084052104</v>
      </c>
      <c r="B10727" s="35" t="s">
        <v>462</v>
      </c>
      <c r="C10727" s="35" t="s">
        <v>2016</v>
      </c>
      <c r="D10727" s="35" t="s">
        <v>2134</v>
      </c>
      <c r="E10727" s="35" t="s">
        <v>10</v>
      </c>
      <c r="F10727" s="35" t="s">
        <v>2092</v>
      </c>
      <c r="G10727" s="35" t="s">
        <v>2079</v>
      </c>
    </row>
    <row r="10728" spans="1:8">
      <c r="A10728" s="34">
        <v>2084052105</v>
      </c>
      <c r="B10728" s="35" t="s">
        <v>462</v>
      </c>
      <c r="C10728" s="35" t="s">
        <v>2016</v>
      </c>
      <c r="D10728" s="35" t="s">
        <v>2134</v>
      </c>
      <c r="E10728" s="35" t="s">
        <v>10</v>
      </c>
      <c r="F10728" s="35" t="s">
        <v>2092</v>
      </c>
      <c r="G10728" s="35" t="s">
        <v>2080</v>
      </c>
    </row>
    <row r="10729" spans="1:8">
      <c r="A10729" s="34">
        <v>2084052106</v>
      </c>
      <c r="B10729" s="35" t="s">
        <v>462</v>
      </c>
      <c r="C10729" s="35" t="s">
        <v>2016</v>
      </c>
      <c r="D10729" s="35" t="s">
        <v>2134</v>
      </c>
      <c r="E10729" s="35" t="s">
        <v>10</v>
      </c>
      <c r="F10729" s="35" t="s">
        <v>2092</v>
      </c>
      <c r="G10729" s="35" t="s">
        <v>2081</v>
      </c>
    </row>
    <row r="10730" spans="1:8">
      <c r="A10730" s="34">
        <v>2084052113</v>
      </c>
      <c r="B10730" s="35" t="s">
        <v>462</v>
      </c>
      <c r="C10730" s="35" t="s">
        <v>2016</v>
      </c>
      <c r="D10730" s="35" t="s">
        <v>2134</v>
      </c>
      <c r="E10730" s="35" t="s">
        <v>10</v>
      </c>
      <c r="F10730" s="35" t="s">
        <v>2136</v>
      </c>
      <c r="G10730" s="35" t="s">
        <v>2075</v>
      </c>
    </row>
    <row r="10731" spans="1:8">
      <c r="A10731" s="34">
        <v>2084052112</v>
      </c>
      <c r="B10731" s="35" t="s">
        <v>462</v>
      </c>
      <c r="C10731" s="35" t="s">
        <v>2016</v>
      </c>
      <c r="D10731" s="35" t="s">
        <v>2134</v>
      </c>
      <c r="E10731" s="35" t="s">
        <v>10</v>
      </c>
      <c r="F10731" s="35" t="s">
        <v>2136</v>
      </c>
      <c r="G10731" s="35" t="s">
        <v>2076</v>
      </c>
    </row>
    <row r="10732" spans="1:8">
      <c r="A10732" s="34">
        <v>2084052111</v>
      </c>
      <c r="B10732" s="35" t="s">
        <v>462</v>
      </c>
      <c r="C10732" s="35" t="s">
        <v>2016</v>
      </c>
      <c r="D10732" s="35" t="s">
        <v>2134</v>
      </c>
      <c r="E10732" s="35" t="s">
        <v>10</v>
      </c>
      <c r="F10732" s="35" t="s">
        <v>2136</v>
      </c>
      <c r="G10732" s="35" t="s">
        <v>2077</v>
      </c>
    </row>
    <row r="10733" spans="1:8">
      <c r="A10733" s="34">
        <v>2084052110</v>
      </c>
      <c r="B10733" s="35" t="s">
        <v>462</v>
      </c>
      <c r="C10733" s="35" t="s">
        <v>2016</v>
      </c>
      <c r="D10733" s="35" t="s">
        <v>2134</v>
      </c>
      <c r="E10733" s="35" t="s">
        <v>10</v>
      </c>
      <c r="F10733" s="35" t="s">
        <v>2136</v>
      </c>
      <c r="G10733" s="35" t="s">
        <v>2078</v>
      </c>
    </row>
    <row r="10734" spans="1:8">
      <c r="A10734" s="34">
        <v>2084052109</v>
      </c>
      <c r="B10734" s="35" t="s">
        <v>462</v>
      </c>
      <c r="C10734" s="35" t="s">
        <v>2016</v>
      </c>
      <c r="D10734" s="35" t="s">
        <v>2134</v>
      </c>
      <c r="E10734" s="35" t="s">
        <v>10</v>
      </c>
      <c r="F10734" s="35" t="s">
        <v>2136</v>
      </c>
      <c r="G10734" s="35" t="s">
        <v>2079</v>
      </c>
    </row>
    <row r="10735" spans="1:8">
      <c r="A10735" s="34">
        <v>2084052108</v>
      </c>
      <c r="B10735" s="35" t="s">
        <v>462</v>
      </c>
      <c r="C10735" s="35" t="s">
        <v>2016</v>
      </c>
      <c r="D10735" s="35" t="s">
        <v>2134</v>
      </c>
      <c r="E10735" s="35" t="s">
        <v>10</v>
      </c>
      <c r="F10735" s="35" t="s">
        <v>2136</v>
      </c>
      <c r="G10735" s="35" t="s">
        <v>2080</v>
      </c>
    </row>
    <row r="10736" spans="1:8">
      <c r="A10736" s="34">
        <v>2084052107</v>
      </c>
      <c r="B10736" s="35" t="s">
        <v>462</v>
      </c>
      <c r="C10736" s="35" t="s">
        <v>2016</v>
      </c>
      <c r="D10736" s="35" t="s">
        <v>2134</v>
      </c>
      <c r="E10736" s="35" t="s">
        <v>10</v>
      </c>
      <c r="F10736" s="35" t="s">
        <v>2136</v>
      </c>
      <c r="G10736" s="35" t="s">
        <v>2081</v>
      </c>
    </row>
    <row r="10737" spans="1:7">
      <c r="A10737" s="34">
        <v>2084052114</v>
      </c>
      <c r="B10737" s="35" t="s">
        <v>462</v>
      </c>
      <c r="C10737" s="35" t="s">
        <v>2016</v>
      </c>
      <c r="D10737" s="35" t="s">
        <v>2134</v>
      </c>
      <c r="E10737" s="35" t="s">
        <v>10</v>
      </c>
      <c r="F10737" s="35" t="s">
        <v>1596</v>
      </c>
      <c r="G10737" s="35" t="s">
        <v>2075</v>
      </c>
    </row>
    <row r="10738" spans="1:7">
      <c r="A10738" s="34">
        <v>2084052115</v>
      </c>
      <c r="B10738" s="35" t="s">
        <v>462</v>
      </c>
      <c r="C10738" s="35" t="s">
        <v>2016</v>
      </c>
      <c r="D10738" s="35" t="s">
        <v>2134</v>
      </c>
      <c r="E10738" s="35" t="s">
        <v>10</v>
      </c>
      <c r="F10738" s="35" t="s">
        <v>1596</v>
      </c>
      <c r="G10738" s="35" t="s">
        <v>2076</v>
      </c>
    </row>
    <row r="10739" spans="1:7">
      <c r="A10739" s="34">
        <v>2084052116</v>
      </c>
      <c r="B10739" s="35" t="s">
        <v>462</v>
      </c>
      <c r="C10739" s="35" t="s">
        <v>2016</v>
      </c>
      <c r="D10739" s="35" t="s">
        <v>2134</v>
      </c>
      <c r="E10739" s="35" t="s">
        <v>10</v>
      </c>
      <c r="F10739" s="35" t="s">
        <v>1596</v>
      </c>
      <c r="G10739" s="35" t="s">
        <v>2077</v>
      </c>
    </row>
    <row r="10740" spans="1:7">
      <c r="A10740" s="34">
        <v>2084052117</v>
      </c>
      <c r="B10740" s="35" t="s">
        <v>462</v>
      </c>
      <c r="C10740" s="35" t="s">
        <v>2016</v>
      </c>
      <c r="D10740" s="35" t="s">
        <v>2134</v>
      </c>
      <c r="E10740" s="35" t="s">
        <v>10</v>
      </c>
      <c r="F10740" s="35" t="s">
        <v>1596</v>
      </c>
      <c r="G10740" s="35" t="s">
        <v>2078</v>
      </c>
    </row>
    <row r="10741" spans="1:7">
      <c r="A10741" s="34">
        <v>2084052118</v>
      </c>
      <c r="B10741" s="35" t="s">
        <v>462</v>
      </c>
      <c r="C10741" s="35" t="s">
        <v>2016</v>
      </c>
      <c r="D10741" s="35" t="s">
        <v>2134</v>
      </c>
      <c r="E10741" s="35" t="s">
        <v>10</v>
      </c>
      <c r="F10741" s="35" t="s">
        <v>1596</v>
      </c>
      <c r="G10741" s="35" t="s">
        <v>2079</v>
      </c>
    </row>
    <row r="10742" spans="1:7">
      <c r="A10742" s="34">
        <v>2084052119</v>
      </c>
      <c r="B10742" s="35" t="s">
        <v>462</v>
      </c>
      <c r="C10742" s="35" t="s">
        <v>2016</v>
      </c>
      <c r="D10742" s="35" t="s">
        <v>2134</v>
      </c>
      <c r="E10742" s="35" t="s">
        <v>10</v>
      </c>
      <c r="F10742" s="35" t="s">
        <v>1596</v>
      </c>
      <c r="G10742" s="35" t="s">
        <v>2080</v>
      </c>
    </row>
    <row r="10743" spans="1:7">
      <c r="A10743" s="34">
        <v>2084052120</v>
      </c>
      <c r="B10743" s="35" t="s">
        <v>462</v>
      </c>
      <c r="C10743" s="35" t="s">
        <v>2016</v>
      </c>
      <c r="D10743" s="35" t="s">
        <v>2134</v>
      </c>
      <c r="E10743" s="35" t="s">
        <v>10</v>
      </c>
      <c r="F10743" s="35" t="s">
        <v>1596</v>
      </c>
      <c r="G10743" s="35" t="s">
        <v>2081</v>
      </c>
    </row>
    <row r="10744" spans="1:7">
      <c r="A10744" s="34">
        <v>2084052127</v>
      </c>
      <c r="B10744" s="35" t="s">
        <v>462</v>
      </c>
      <c r="C10744" s="35" t="s">
        <v>2016</v>
      </c>
      <c r="D10744" s="35" t="s">
        <v>2134</v>
      </c>
      <c r="E10744" s="35" t="s">
        <v>10</v>
      </c>
      <c r="F10744" s="35" t="s">
        <v>430</v>
      </c>
      <c r="G10744" s="35" t="s">
        <v>2075</v>
      </c>
    </row>
    <row r="10745" spans="1:7">
      <c r="A10745" s="34">
        <v>2084052126</v>
      </c>
      <c r="B10745" s="35" t="s">
        <v>462</v>
      </c>
      <c r="C10745" s="35" t="s">
        <v>2016</v>
      </c>
      <c r="D10745" s="35" t="s">
        <v>2134</v>
      </c>
      <c r="E10745" s="35" t="s">
        <v>10</v>
      </c>
      <c r="F10745" s="35" t="s">
        <v>430</v>
      </c>
      <c r="G10745" s="35" t="s">
        <v>2076</v>
      </c>
    </row>
    <row r="10746" spans="1:7">
      <c r="A10746" s="34">
        <v>2084052125</v>
      </c>
      <c r="B10746" s="35" t="s">
        <v>462</v>
      </c>
      <c r="C10746" s="35" t="s">
        <v>2016</v>
      </c>
      <c r="D10746" s="35" t="s">
        <v>2134</v>
      </c>
      <c r="E10746" s="35" t="s">
        <v>10</v>
      </c>
      <c r="F10746" s="35" t="s">
        <v>430</v>
      </c>
      <c r="G10746" s="35" t="s">
        <v>2077</v>
      </c>
    </row>
    <row r="10747" spans="1:7">
      <c r="A10747" s="34">
        <v>2084052124</v>
      </c>
      <c r="B10747" s="35" t="s">
        <v>462</v>
      </c>
      <c r="C10747" s="35" t="s">
        <v>2016</v>
      </c>
      <c r="D10747" s="35" t="s">
        <v>2134</v>
      </c>
      <c r="E10747" s="35" t="s">
        <v>10</v>
      </c>
      <c r="F10747" s="35" t="s">
        <v>430</v>
      </c>
      <c r="G10747" s="35" t="s">
        <v>2078</v>
      </c>
    </row>
    <row r="10748" spans="1:7">
      <c r="A10748" s="34">
        <v>2084052123</v>
      </c>
      <c r="B10748" s="35" t="s">
        <v>462</v>
      </c>
      <c r="C10748" s="35" t="s">
        <v>2016</v>
      </c>
      <c r="D10748" s="35" t="s">
        <v>2134</v>
      </c>
      <c r="E10748" s="35" t="s">
        <v>10</v>
      </c>
      <c r="F10748" s="35" t="s">
        <v>430</v>
      </c>
      <c r="G10748" s="35" t="s">
        <v>2079</v>
      </c>
    </row>
    <row r="10749" spans="1:7">
      <c r="A10749" s="34">
        <v>2084052122</v>
      </c>
      <c r="B10749" s="35" t="s">
        <v>462</v>
      </c>
      <c r="C10749" s="35" t="s">
        <v>2016</v>
      </c>
      <c r="D10749" s="35" t="s">
        <v>2134</v>
      </c>
      <c r="E10749" s="35" t="s">
        <v>10</v>
      </c>
      <c r="F10749" s="35" t="s">
        <v>430</v>
      </c>
      <c r="G10749" s="35" t="s">
        <v>2080</v>
      </c>
    </row>
    <row r="10750" spans="1:7">
      <c r="A10750" s="34">
        <v>2084052121</v>
      </c>
      <c r="B10750" s="35" t="s">
        <v>462</v>
      </c>
      <c r="C10750" s="35" t="s">
        <v>2016</v>
      </c>
      <c r="D10750" s="35" t="s">
        <v>2134</v>
      </c>
      <c r="E10750" s="35" t="s">
        <v>10</v>
      </c>
      <c r="F10750" s="35" t="s">
        <v>430</v>
      </c>
      <c r="G10750" s="35" t="s">
        <v>2081</v>
      </c>
    </row>
    <row r="10751" spans="1:7">
      <c r="A10751" s="34">
        <v>2084052219</v>
      </c>
      <c r="B10751" s="35" t="s">
        <v>462</v>
      </c>
      <c r="C10751" s="35" t="s">
        <v>2016</v>
      </c>
      <c r="D10751" s="35" t="s">
        <v>2134</v>
      </c>
      <c r="E10751" s="35" t="s">
        <v>10</v>
      </c>
      <c r="F10751" s="35" t="s">
        <v>1432</v>
      </c>
      <c r="G10751" s="35" t="s">
        <v>2075</v>
      </c>
    </row>
    <row r="10752" spans="1:7">
      <c r="A10752" s="34">
        <v>2084052220</v>
      </c>
      <c r="B10752" s="35" t="s">
        <v>462</v>
      </c>
      <c r="C10752" s="35" t="s">
        <v>2016</v>
      </c>
      <c r="D10752" s="35" t="s">
        <v>2134</v>
      </c>
      <c r="E10752" s="35" t="s">
        <v>10</v>
      </c>
      <c r="F10752" s="35" t="s">
        <v>1432</v>
      </c>
      <c r="G10752" s="35" t="s">
        <v>2076</v>
      </c>
    </row>
    <row r="10753" spans="1:7">
      <c r="A10753" s="34">
        <v>2084052221</v>
      </c>
      <c r="B10753" s="35" t="s">
        <v>462</v>
      </c>
      <c r="C10753" s="35" t="s">
        <v>2016</v>
      </c>
      <c r="D10753" s="35" t="s">
        <v>2134</v>
      </c>
      <c r="E10753" s="35" t="s">
        <v>10</v>
      </c>
      <c r="F10753" s="35" t="s">
        <v>1432</v>
      </c>
      <c r="G10753" s="35" t="s">
        <v>2077</v>
      </c>
    </row>
    <row r="10754" spans="1:7">
      <c r="A10754" s="34">
        <v>2084052222</v>
      </c>
      <c r="B10754" s="35" t="s">
        <v>462</v>
      </c>
      <c r="C10754" s="35" t="s">
        <v>2016</v>
      </c>
      <c r="D10754" s="35" t="s">
        <v>2134</v>
      </c>
      <c r="E10754" s="35" t="s">
        <v>10</v>
      </c>
      <c r="F10754" s="35" t="s">
        <v>1432</v>
      </c>
      <c r="G10754" s="35" t="s">
        <v>2078</v>
      </c>
    </row>
    <row r="10755" spans="1:7">
      <c r="A10755" s="34">
        <v>2084052223</v>
      </c>
      <c r="B10755" s="35" t="s">
        <v>462</v>
      </c>
      <c r="C10755" s="35" t="s">
        <v>2016</v>
      </c>
      <c r="D10755" s="35" t="s">
        <v>2134</v>
      </c>
      <c r="E10755" s="35" t="s">
        <v>10</v>
      </c>
      <c r="F10755" s="35" t="s">
        <v>1432</v>
      </c>
      <c r="G10755" s="35" t="s">
        <v>2079</v>
      </c>
    </row>
    <row r="10756" spans="1:7">
      <c r="A10756" s="34">
        <v>2084052224</v>
      </c>
      <c r="B10756" s="35" t="s">
        <v>462</v>
      </c>
      <c r="C10756" s="35" t="s">
        <v>2016</v>
      </c>
      <c r="D10756" s="35" t="s">
        <v>2134</v>
      </c>
      <c r="E10756" s="35" t="s">
        <v>10</v>
      </c>
      <c r="F10756" s="35" t="s">
        <v>1432</v>
      </c>
      <c r="G10756" s="35" t="s">
        <v>2080</v>
      </c>
    </row>
    <row r="10757" spans="1:7">
      <c r="A10757" s="34">
        <v>2084052225</v>
      </c>
      <c r="B10757" s="35" t="s">
        <v>462</v>
      </c>
      <c r="C10757" s="35" t="s">
        <v>2016</v>
      </c>
      <c r="D10757" s="35" t="s">
        <v>2134</v>
      </c>
      <c r="E10757" s="35" t="s">
        <v>10</v>
      </c>
      <c r="F10757" s="35" t="s">
        <v>1432</v>
      </c>
      <c r="G10757" s="35" t="s">
        <v>2081</v>
      </c>
    </row>
    <row r="10758" spans="1:7">
      <c r="A10758" s="34">
        <v>2084006607</v>
      </c>
      <c r="B10758" s="35" t="s">
        <v>462</v>
      </c>
      <c r="C10758" s="35" t="s">
        <v>2016</v>
      </c>
      <c r="D10758" s="35" t="s">
        <v>2134</v>
      </c>
      <c r="E10758" s="35" t="s">
        <v>10</v>
      </c>
      <c r="F10758" s="35" t="s">
        <v>335</v>
      </c>
    </row>
    <row r="10759" spans="1:7">
      <c r="A10759" s="34">
        <v>2084053657</v>
      </c>
      <c r="B10759" s="35" t="s">
        <v>462</v>
      </c>
      <c r="C10759" s="35" t="s">
        <v>2016</v>
      </c>
      <c r="D10759" s="35" t="s">
        <v>2134</v>
      </c>
      <c r="E10759" s="35" t="s">
        <v>2123</v>
      </c>
      <c r="F10759" s="35" t="s">
        <v>2075</v>
      </c>
    </row>
    <row r="10760" spans="1:7">
      <c r="A10760" s="34">
        <v>2084053658</v>
      </c>
      <c r="B10760" s="35" t="s">
        <v>462</v>
      </c>
      <c r="C10760" s="35" t="s">
        <v>2016</v>
      </c>
      <c r="D10760" s="35" t="s">
        <v>2134</v>
      </c>
      <c r="E10760" s="35" t="s">
        <v>2123</v>
      </c>
      <c r="F10760" s="35" t="s">
        <v>2076</v>
      </c>
    </row>
    <row r="10761" spans="1:7">
      <c r="A10761" s="34">
        <v>2084053659</v>
      </c>
      <c r="B10761" s="35" t="s">
        <v>462</v>
      </c>
      <c r="C10761" s="35" t="s">
        <v>2016</v>
      </c>
      <c r="D10761" s="35" t="s">
        <v>2134</v>
      </c>
      <c r="E10761" s="35" t="s">
        <v>2123</v>
      </c>
      <c r="F10761" s="35" t="s">
        <v>2077</v>
      </c>
    </row>
    <row r="10762" spans="1:7">
      <c r="A10762" s="34">
        <v>2084053660</v>
      </c>
      <c r="B10762" s="35" t="s">
        <v>462</v>
      </c>
      <c r="C10762" s="35" t="s">
        <v>2016</v>
      </c>
      <c r="D10762" s="35" t="s">
        <v>2134</v>
      </c>
      <c r="E10762" s="35" t="s">
        <v>2123</v>
      </c>
      <c r="F10762" s="35" t="s">
        <v>2078</v>
      </c>
    </row>
    <row r="10763" spans="1:7">
      <c r="A10763" s="34">
        <v>2084053661</v>
      </c>
      <c r="B10763" s="35" t="s">
        <v>462</v>
      </c>
      <c r="C10763" s="35" t="s">
        <v>2016</v>
      </c>
      <c r="D10763" s="35" t="s">
        <v>2134</v>
      </c>
      <c r="E10763" s="35" t="s">
        <v>2123</v>
      </c>
      <c r="F10763" s="35" t="s">
        <v>2079</v>
      </c>
    </row>
    <row r="10764" spans="1:7">
      <c r="A10764" s="34">
        <v>2084053662</v>
      </c>
      <c r="B10764" s="35" t="s">
        <v>462</v>
      </c>
      <c r="C10764" s="35" t="s">
        <v>2016</v>
      </c>
      <c r="D10764" s="35" t="s">
        <v>2134</v>
      </c>
      <c r="E10764" s="35" t="s">
        <v>2123</v>
      </c>
      <c r="F10764" s="35" t="s">
        <v>2080</v>
      </c>
    </row>
    <row r="10765" spans="1:7">
      <c r="A10765" s="34">
        <v>2084053663</v>
      </c>
      <c r="B10765" s="35" t="s">
        <v>462</v>
      </c>
      <c r="C10765" s="35" t="s">
        <v>2016</v>
      </c>
      <c r="D10765" s="35" t="s">
        <v>2134</v>
      </c>
      <c r="E10765" s="35" t="s">
        <v>2123</v>
      </c>
      <c r="F10765" s="35" t="s">
        <v>2081</v>
      </c>
    </row>
    <row r="10766" spans="1:7">
      <c r="A10766" s="34">
        <v>2084052953</v>
      </c>
      <c r="B10766" s="35" t="s">
        <v>462</v>
      </c>
      <c r="C10766" s="35" t="s">
        <v>2016</v>
      </c>
      <c r="D10766" s="35" t="s">
        <v>2134</v>
      </c>
      <c r="E10766" s="35" t="s">
        <v>1665</v>
      </c>
      <c r="F10766" s="35" t="s">
        <v>2137</v>
      </c>
      <c r="G10766" s="35" t="s">
        <v>2075</v>
      </c>
    </row>
    <row r="10767" spans="1:7">
      <c r="A10767" s="34">
        <v>2084052954</v>
      </c>
      <c r="B10767" s="35" t="s">
        <v>462</v>
      </c>
      <c r="C10767" s="35" t="s">
        <v>2016</v>
      </c>
      <c r="D10767" s="35" t="s">
        <v>2134</v>
      </c>
      <c r="E10767" s="35" t="s">
        <v>1665</v>
      </c>
      <c r="F10767" s="35" t="s">
        <v>2137</v>
      </c>
      <c r="G10767" s="35" t="s">
        <v>2076</v>
      </c>
    </row>
    <row r="10768" spans="1:7">
      <c r="A10768" s="34">
        <v>2084052955</v>
      </c>
      <c r="B10768" s="35" t="s">
        <v>462</v>
      </c>
      <c r="C10768" s="35" t="s">
        <v>2016</v>
      </c>
      <c r="D10768" s="35" t="s">
        <v>2134</v>
      </c>
      <c r="E10768" s="35" t="s">
        <v>1665</v>
      </c>
      <c r="F10768" s="35" t="s">
        <v>2137</v>
      </c>
      <c r="G10768" s="35" t="s">
        <v>2077</v>
      </c>
    </row>
    <row r="10769" spans="1:7">
      <c r="A10769" s="34">
        <v>2084052956</v>
      </c>
      <c r="B10769" s="35" t="s">
        <v>462</v>
      </c>
      <c r="C10769" s="35" t="s">
        <v>2016</v>
      </c>
      <c r="D10769" s="35" t="s">
        <v>2134</v>
      </c>
      <c r="E10769" s="35" t="s">
        <v>1665</v>
      </c>
      <c r="F10769" s="35" t="s">
        <v>2137</v>
      </c>
      <c r="G10769" s="35" t="s">
        <v>2078</v>
      </c>
    </row>
    <row r="10770" spans="1:7">
      <c r="A10770" s="34">
        <v>2084052957</v>
      </c>
      <c r="B10770" s="35" t="s">
        <v>462</v>
      </c>
      <c r="C10770" s="35" t="s">
        <v>2016</v>
      </c>
      <c r="D10770" s="35" t="s">
        <v>2134</v>
      </c>
      <c r="E10770" s="35" t="s">
        <v>1665</v>
      </c>
      <c r="F10770" s="35" t="s">
        <v>2137</v>
      </c>
      <c r="G10770" s="35" t="s">
        <v>2079</v>
      </c>
    </row>
    <row r="10771" spans="1:7">
      <c r="A10771" s="34">
        <v>2084052958</v>
      </c>
      <c r="B10771" s="35" t="s">
        <v>462</v>
      </c>
      <c r="C10771" s="35" t="s">
        <v>2016</v>
      </c>
      <c r="D10771" s="35" t="s">
        <v>2134</v>
      </c>
      <c r="E10771" s="35" t="s">
        <v>1665</v>
      </c>
      <c r="F10771" s="35" t="s">
        <v>2137</v>
      </c>
      <c r="G10771" s="35" t="s">
        <v>2080</v>
      </c>
    </row>
    <row r="10772" spans="1:7">
      <c r="A10772" s="34">
        <v>2084052959</v>
      </c>
      <c r="B10772" s="35" t="s">
        <v>462</v>
      </c>
      <c r="C10772" s="35" t="s">
        <v>2016</v>
      </c>
      <c r="D10772" s="35" t="s">
        <v>2134</v>
      </c>
      <c r="E10772" s="35" t="s">
        <v>1665</v>
      </c>
      <c r="F10772" s="35" t="s">
        <v>2137</v>
      </c>
      <c r="G10772" s="35" t="s">
        <v>2081</v>
      </c>
    </row>
    <row r="10773" spans="1:7">
      <c r="A10773" s="34">
        <v>2084303233</v>
      </c>
      <c r="B10773" s="35" t="s">
        <v>462</v>
      </c>
      <c r="C10773" s="35" t="s">
        <v>2016</v>
      </c>
      <c r="D10773" s="35" t="s">
        <v>2134</v>
      </c>
      <c r="E10773" s="35" t="s">
        <v>1665</v>
      </c>
      <c r="F10773" s="35" t="s">
        <v>569</v>
      </c>
    </row>
    <row r="10774" spans="1:7">
      <c r="A10774" s="34">
        <v>2084006544</v>
      </c>
      <c r="B10774" s="35" t="s">
        <v>462</v>
      </c>
      <c r="C10774" s="35" t="s">
        <v>2016</v>
      </c>
      <c r="D10774" s="35" t="s">
        <v>2134</v>
      </c>
      <c r="E10774" s="35" t="s">
        <v>1665</v>
      </c>
      <c r="F10774" s="35" t="s">
        <v>335</v>
      </c>
    </row>
    <row r="10775" spans="1:7">
      <c r="A10775" s="34">
        <v>2084052520</v>
      </c>
      <c r="B10775" s="35" t="s">
        <v>462</v>
      </c>
      <c r="C10775" s="35" t="s">
        <v>2016</v>
      </c>
      <c r="D10775" s="35" t="s">
        <v>2134</v>
      </c>
      <c r="E10775" s="35" t="s">
        <v>379</v>
      </c>
      <c r="F10775" s="35" t="s">
        <v>1627</v>
      </c>
      <c r="G10775" s="35" t="s">
        <v>2075</v>
      </c>
    </row>
    <row r="10776" spans="1:7">
      <c r="A10776" s="34">
        <v>2084052521</v>
      </c>
      <c r="B10776" s="35" t="s">
        <v>462</v>
      </c>
      <c r="C10776" s="35" t="s">
        <v>2016</v>
      </c>
      <c r="D10776" s="35" t="s">
        <v>2134</v>
      </c>
      <c r="E10776" s="35" t="s">
        <v>379</v>
      </c>
      <c r="F10776" s="35" t="s">
        <v>1627</v>
      </c>
      <c r="G10776" s="35" t="s">
        <v>2076</v>
      </c>
    </row>
    <row r="10777" spans="1:7">
      <c r="A10777" s="34">
        <v>2084052522</v>
      </c>
      <c r="B10777" s="35" t="s">
        <v>462</v>
      </c>
      <c r="C10777" s="35" t="s">
        <v>2016</v>
      </c>
      <c r="D10777" s="35" t="s">
        <v>2134</v>
      </c>
      <c r="E10777" s="35" t="s">
        <v>379</v>
      </c>
      <c r="F10777" s="35" t="s">
        <v>1627</v>
      </c>
      <c r="G10777" s="35" t="s">
        <v>2077</v>
      </c>
    </row>
    <row r="10778" spans="1:7">
      <c r="A10778" s="34">
        <v>2084052523</v>
      </c>
      <c r="B10778" s="35" t="s">
        <v>462</v>
      </c>
      <c r="C10778" s="35" t="s">
        <v>2016</v>
      </c>
      <c r="D10778" s="35" t="s">
        <v>2134</v>
      </c>
      <c r="E10778" s="35" t="s">
        <v>379</v>
      </c>
      <c r="F10778" s="35" t="s">
        <v>1627</v>
      </c>
      <c r="G10778" s="35" t="s">
        <v>2078</v>
      </c>
    </row>
    <row r="10779" spans="1:7">
      <c r="A10779" s="34">
        <v>2084052524</v>
      </c>
      <c r="B10779" s="35" t="s">
        <v>462</v>
      </c>
      <c r="C10779" s="35" t="s">
        <v>2016</v>
      </c>
      <c r="D10779" s="35" t="s">
        <v>2134</v>
      </c>
      <c r="E10779" s="35" t="s">
        <v>379</v>
      </c>
      <c r="F10779" s="35" t="s">
        <v>1627</v>
      </c>
      <c r="G10779" s="35" t="s">
        <v>2079</v>
      </c>
    </row>
    <row r="10780" spans="1:7">
      <c r="A10780" s="34">
        <v>2084052525</v>
      </c>
      <c r="B10780" s="35" t="s">
        <v>462</v>
      </c>
      <c r="C10780" s="35" t="s">
        <v>2016</v>
      </c>
      <c r="D10780" s="35" t="s">
        <v>2134</v>
      </c>
      <c r="E10780" s="35" t="s">
        <v>379</v>
      </c>
      <c r="F10780" s="35" t="s">
        <v>1627</v>
      </c>
      <c r="G10780" s="35" t="s">
        <v>2080</v>
      </c>
    </row>
    <row r="10781" spans="1:7">
      <c r="A10781" s="34">
        <v>2084052526</v>
      </c>
      <c r="B10781" s="35" t="s">
        <v>462</v>
      </c>
      <c r="C10781" s="35" t="s">
        <v>2016</v>
      </c>
      <c r="D10781" s="35" t="s">
        <v>2134</v>
      </c>
      <c r="E10781" s="35" t="s">
        <v>379</v>
      </c>
      <c r="F10781" s="35" t="s">
        <v>1627</v>
      </c>
      <c r="G10781" s="35" t="s">
        <v>2081</v>
      </c>
    </row>
    <row r="10782" spans="1:7">
      <c r="A10782" s="34">
        <v>2084052476</v>
      </c>
      <c r="B10782" s="35" t="s">
        <v>462</v>
      </c>
      <c r="C10782" s="35" t="s">
        <v>2016</v>
      </c>
      <c r="D10782" s="35" t="s">
        <v>2134</v>
      </c>
      <c r="E10782" s="35" t="s">
        <v>379</v>
      </c>
      <c r="F10782" s="35" t="s">
        <v>557</v>
      </c>
      <c r="G10782" s="35" t="s">
        <v>2075</v>
      </c>
    </row>
    <row r="10783" spans="1:7">
      <c r="A10783" s="34">
        <v>2084052475</v>
      </c>
      <c r="B10783" s="35" t="s">
        <v>462</v>
      </c>
      <c r="C10783" s="35" t="s">
        <v>2016</v>
      </c>
      <c r="D10783" s="35" t="s">
        <v>2134</v>
      </c>
      <c r="E10783" s="35" t="s">
        <v>379</v>
      </c>
      <c r="F10783" s="35" t="s">
        <v>557</v>
      </c>
      <c r="G10783" s="35" t="s">
        <v>2076</v>
      </c>
    </row>
    <row r="10784" spans="1:7">
      <c r="A10784" s="34">
        <v>2084052474</v>
      </c>
      <c r="B10784" s="35" t="s">
        <v>462</v>
      </c>
      <c r="C10784" s="35" t="s">
        <v>2016</v>
      </c>
      <c r="D10784" s="35" t="s">
        <v>2134</v>
      </c>
      <c r="E10784" s="35" t="s">
        <v>379</v>
      </c>
      <c r="F10784" s="35" t="s">
        <v>557</v>
      </c>
      <c r="G10784" s="35" t="s">
        <v>2077</v>
      </c>
    </row>
    <row r="10785" spans="1:7">
      <c r="A10785" s="34">
        <v>2084052473</v>
      </c>
      <c r="B10785" s="35" t="s">
        <v>462</v>
      </c>
      <c r="C10785" s="35" t="s">
        <v>2016</v>
      </c>
      <c r="D10785" s="35" t="s">
        <v>2134</v>
      </c>
      <c r="E10785" s="35" t="s">
        <v>379</v>
      </c>
      <c r="F10785" s="35" t="s">
        <v>557</v>
      </c>
      <c r="G10785" s="35" t="s">
        <v>2078</v>
      </c>
    </row>
    <row r="10786" spans="1:7">
      <c r="A10786" s="34">
        <v>2084052472</v>
      </c>
      <c r="B10786" s="35" t="s">
        <v>462</v>
      </c>
      <c r="C10786" s="35" t="s">
        <v>2016</v>
      </c>
      <c r="D10786" s="35" t="s">
        <v>2134</v>
      </c>
      <c r="E10786" s="35" t="s">
        <v>379</v>
      </c>
      <c r="F10786" s="35" t="s">
        <v>557</v>
      </c>
      <c r="G10786" s="35" t="s">
        <v>2079</v>
      </c>
    </row>
    <row r="10787" spans="1:7">
      <c r="A10787" s="34">
        <v>2084052471</v>
      </c>
      <c r="B10787" s="35" t="s">
        <v>462</v>
      </c>
      <c r="C10787" s="35" t="s">
        <v>2016</v>
      </c>
      <c r="D10787" s="35" t="s">
        <v>2134</v>
      </c>
      <c r="E10787" s="35" t="s">
        <v>379</v>
      </c>
      <c r="F10787" s="35" t="s">
        <v>557</v>
      </c>
      <c r="G10787" s="35" t="s">
        <v>2080</v>
      </c>
    </row>
    <row r="10788" spans="1:7">
      <c r="A10788" s="34">
        <v>2084052470</v>
      </c>
      <c r="B10788" s="35" t="s">
        <v>462</v>
      </c>
      <c r="C10788" s="35" t="s">
        <v>2016</v>
      </c>
      <c r="D10788" s="35" t="s">
        <v>2134</v>
      </c>
      <c r="E10788" s="35" t="s">
        <v>379</v>
      </c>
      <c r="F10788" s="35" t="s">
        <v>557</v>
      </c>
      <c r="G10788" s="35" t="s">
        <v>2081</v>
      </c>
    </row>
    <row r="10789" spans="1:7">
      <c r="A10789" s="34">
        <v>2084052314</v>
      </c>
      <c r="B10789" s="35" t="s">
        <v>462</v>
      </c>
      <c r="C10789" s="35" t="s">
        <v>2016</v>
      </c>
      <c r="D10789" s="35" t="s">
        <v>2134</v>
      </c>
      <c r="E10789" s="35" t="s">
        <v>379</v>
      </c>
      <c r="F10789" s="35" t="s">
        <v>2116</v>
      </c>
      <c r="G10789" s="35" t="s">
        <v>2075</v>
      </c>
    </row>
    <row r="10790" spans="1:7">
      <c r="A10790" s="34">
        <v>2084052313</v>
      </c>
      <c r="B10790" s="35" t="s">
        <v>462</v>
      </c>
      <c r="C10790" s="35" t="s">
        <v>2016</v>
      </c>
      <c r="D10790" s="35" t="s">
        <v>2134</v>
      </c>
      <c r="E10790" s="35" t="s">
        <v>379</v>
      </c>
      <c r="F10790" s="35" t="s">
        <v>2116</v>
      </c>
      <c r="G10790" s="35" t="s">
        <v>2076</v>
      </c>
    </row>
    <row r="10791" spans="1:7">
      <c r="A10791" s="34">
        <v>2084052312</v>
      </c>
      <c r="B10791" s="35" t="s">
        <v>462</v>
      </c>
      <c r="C10791" s="35" t="s">
        <v>2016</v>
      </c>
      <c r="D10791" s="35" t="s">
        <v>2134</v>
      </c>
      <c r="E10791" s="35" t="s">
        <v>379</v>
      </c>
      <c r="F10791" s="35" t="s">
        <v>2116</v>
      </c>
      <c r="G10791" s="35" t="s">
        <v>2077</v>
      </c>
    </row>
    <row r="10792" spans="1:7">
      <c r="A10792" s="34">
        <v>2084052311</v>
      </c>
      <c r="B10792" s="35" t="s">
        <v>462</v>
      </c>
      <c r="C10792" s="35" t="s">
        <v>2016</v>
      </c>
      <c r="D10792" s="35" t="s">
        <v>2134</v>
      </c>
      <c r="E10792" s="35" t="s">
        <v>379</v>
      </c>
      <c r="F10792" s="35" t="s">
        <v>2116</v>
      </c>
      <c r="G10792" s="35" t="s">
        <v>2078</v>
      </c>
    </row>
    <row r="10793" spans="1:7">
      <c r="A10793" s="34">
        <v>2084052310</v>
      </c>
      <c r="B10793" s="35" t="s">
        <v>462</v>
      </c>
      <c r="C10793" s="35" t="s">
        <v>2016</v>
      </c>
      <c r="D10793" s="35" t="s">
        <v>2134</v>
      </c>
      <c r="E10793" s="35" t="s">
        <v>379</v>
      </c>
      <c r="F10793" s="35" t="s">
        <v>2116</v>
      </c>
      <c r="G10793" s="35" t="s">
        <v>2079</v>
      </c>
    </row>
    <row r="10794" spans="1:7">
      <c r="A10794" s="34">
        <v>2084052309</v>
      </c>
      <c r="B10794" s="35" t="s">
        <v>462</v>
      </c>
      <c r="C10794" s="35" t="s">
        <v>2016</v>
      </c>
      <c r="D10794" s="35" t="s">
        <v>2134</v>
      </c>
      <c r="E10794" s="35" t="s">
        <v>379</v>
      </c>
      <c r="F10794" s="35" t="s">
        <v>2116</v>
      </c>
      <c r="G10794" s="35" t="s">
        <v>2080</v>
      </c>
    </row>
    <row r="10795" spans="1:7">
      <c r="A10795" s="34">
        <v>2084052308</v>
      </c>
      <c r="B10795" s="35" t="s">
        <v>462</v>
      </c>
      <c r="C10795" s="35" t="s">
        <v>2016</v>
      </c>
      <c r="D10795" s="35" t="s">
        <v>2134</v>
      </c>
      <c r="E10795" s="35" t="s">
        <v>379</v>
      </c>
      <c r="F10795" s="35" t="s">
        <v>2116</v>
      </c>
      <c r="G10795" s="35" t="s">
        <v>2081</v>
      </c>
    </row>
    <row r="10796" spans="1:7">
      <c r="A10796" s="34">
        <v>2084052301</v>
      </c>
      <c r="B10796" s="35" t="s">
        <v>462</v>
      </c>
      <c r="C10796" s="35" t="s">
        <v>2016</v>
      </c>
      <c r="D10796" s="35" t="s">
        <v>2134</v>
      </c>
      <c r="E10796" s="35" t="s">
        <v>379</v>
      </c>
      <c r="F10796" s="35" t="s">
        <v>2118</v>
      </c>
      <c r="G10796" s="35" t="s">
        <v>2075</v>
      </c>
    </row>
    <row r="10797" spans="1:7">
      <c r="A10797" s="34">
        <v>2084052302</v>
      </c>
      <c r="B10797" s="35" t="s">
        <v>462</v>
      </c>
      <c r="C10797" s="35" t="s">
        <v>2016</v>
      </c>
      <c r="D10797" s="35" t="s">
        <v>2134</v>
      </c>
      <c r="E10797" s="35" t="s">
        <v>379</v>
      </c>
      <c r="F10797" s="35" t="s">
        <v>2118</v>
      </c>
      <c r="G10797" s="35" t="s">
        <v>2076</v>
      </c>
    </row>
    <row r="10798" spans="1:7">
      <c r="A10798" s="34">
        <v>2084052303</v>
      </c>
      <c r="B10798" s="35" t="s">
        <v>462</v>
      </c>
      <c r="C10798" s="35" t="s">
        <v>2016</v>
      </c>
      <c r="D10798" s="35" t="s">
        <v>2134</v>
      </c>
      <c r="E10798" s="35" t="s">
        <v>379</v>
      </c>
      <c r="F10798" s="35" t="s">
        <v>2118</v>
      </c>
      <c r="G10798" s="35" t="s">
        <v>2077</v>
      </c>
    </row>
    <row r="10799" spans="1:7">
      <c r="A10799" s="34">
        <v>2084052304</v>
      </c>
      <c r="B10799" s="35" t="s">
        <v>462</v>
      </c>
      <c r="C10799" s="35" t="s">
        <v>2016</v>
      </c>
      <c r="D10799" s="35" t="s">
        <v>2134</v>
      </c>
      <c r="E10799" s="35" t="s">
        <v>379</v>
      </c>
      <c r="F10799" s="35" t="s">
        <v>2118</v>
      </c>
      <c r="G10799" s="35" t="s">
        <v>2078</v>
      </c>
    </row>
    <row r="10800" spans="1:7">
      <c r="A10800" s="34">
        <v>2084052305</v>
      </c>
      <c r="B10800" s="35" t="s">
        <v>462</v>
      </c>
      <c r="C10800" s="35" t="s">
        <v>2016</v>
      </c>
      <c r="D10800" s="35" t="s">
        <v>2134</v>
      </c>
      <c r="E10800" s="35" t="s">
        <v>379</v>
      </c>
      <c r="F10800" s="35" t="s">
        <v>2118</v>
      </c>
      <c r="G10800" s="35" t="s">
        <v>2079</v>
      </c>
    </row>
    <row r="10801" spans="1:7">
      <c r="A10801" s="34">
        <v>2084052306</v>
      </c>
      <c r="B10801" s="35" t="s">
        <v>462</v>
      </c>
      <c r="C10801" s="35" t="s">
        <v>2016</v>
      </c>
      <c r="D10801" s="35" t="s">
        <v>2134</v>
      </c>
      <c r="E10801" s="35" t="s">
        <v>379</v>
      </c>
      <c r="F10801" s="35" t="s">
        <v>2118</v>
      </c>
      <c r="G10801" s="35" t="s">
        <v>2080</v>
      </c>
    </row>
    <row r="10802" spans="1:7">
      <c r="A10802" s="34">
        <v>2084052307</v>
      </c>
      <c r="B10802" s="35" t="s">
        <v>462</v>
      </c>
      <c r="C10802" s="35" t="s">
        <v>2016</v>
      </c>
      <c r="D10802" s="35" t="s">
        <v>2134</v>
      </c>
      <c r="E10802" s="35" t="s">
        <v>379</v>
      </c>
      <c r="F10802" s="35" t="s">
        <v>2118</v>
      </c>
      <c r="G10802" s="35" t="s">
        <v>2081</v>
      </c>
    </row>
    <row r="10803" spans="1:7">
      <c r="A10803" s="34">
        <v>2084052463</v>
      </c>
      <c r="B10803" s="35" t="s">
        <v>462</v>
      </c>
      <c r="C10803" s="35" t="s">
        <v>2016</v>
      </c>
      <c r="D10803" s="35" t="s">
        <v>2134</v>
      </c>
      <c r="E10803" s="35" t="s">
        <v>379</v>
      </c>
      <c r="F10803" s="35" t="s">
        <v>2117</v>
      </c>
      <c r="G10803" s="35" t="s">
        <v>2075</v>
      </c>
    </row>
    <row r="10804" spans="1:7">
      <c r="A10804" s="34">
        <v>2084052464</v>
      </c>
      <c r="B10804" s="35" t="s">
        <v>462</v>
      </c>
      <c r="C10804" s="35" t="s">
        <v>2016</v>
      </c>
      <c r="D10804" s="35" t="s">
        <v>2134</v>
      </c>
      <c r="E10804" s="35" t="s">
        <v>379</v>
      </c>
      <c r="F10804" s="35" t="s">
        <v>2117</v>
      </c>
      <c r="G10804" s="35" t="s">
        <v>2076</v>
      </c>
    </row>
    <row r="10805" spans="1:7">
      <c r="A10805" s="34">
        <v>2084052465</v>
      </c>
      <c r="B10805" s="35" t="s">
        <v>462</v>
      </c>
      <c r="C10805" s="35" t="s">
        <v>2016</v>
      </c>
      <c r="D10805" s="35" t="s">
        <v>2134</v>
      </c>
      <c r="E10805" s="35" t="s">
        <v>379</v>
      </c>
      <c r="F10805" s="35" t="s">
        <v>2117</v>
      </c>
      <c r="G10805" s="35" t="s">
        <v>2077</v>
      </c>
    </row>
    <row r="10806" spans="1:7">
      <c r="A10806" s="34">
        <v>2084052466</v>
      </c>
      <c r="B10806" s="35" t="s">
        <v>462</v>
      </c>
      <c r="C10806" s="35" t="s">
        <v>2016</v>
      </c>
      <c r="D10806" s="35" t="s">
        <v>2134</v>
      </c>
      <c r="E10806" s="35" t="s">
        <v>379</v>
      </c>
      <c r="F10806" s="35" t="s">
        <v>2117</v>
      </c>
      <c r="G10806" s="35" t="s">
        <v>2078</v>
      </c>
    </row>
    <row r="10807" spans="1:7">
      <c r="A10807" s="34">
        <v>2084052467</v>
      </c>
      <c r="B10807" s="35" t="s">
        <v>462</v>
      </c>
      <c r="C10807" s="35" t="s">
        <v>2016</v>
      </c>
      <c r="D10807" s="35" t="s">
        <v>2134</v>
      </c>
      <c r="E10807" s="35" t="s">
        <v>379</v>
      </c>
      <c r="F10807" s="35" t="s">
        <v>2117</v>
      </c>
      <c r="G10807" s="35" t="s">
        <v>2079</v>
      </c>
    </row>
    <row r="10808" spans="1:7">
      <c r="A10808" s="34">
        <v>2084052468</v>
      </c>
      <c r="B10808" s="35" t="s">
        <v>462</v>
      </c>
      <c r="C10808" s="35" t="s">
        <v>2016</v>
      </c>
      <c r="D10808" s="35" t="s">
        <v>2134</v>
      </c>
      <c r="E10808" s="35" t="s">
        <v>379</v>
      </c>
      <c r="F10808" s="35" t="s">
        <v>2117</v>
      </c>
      <c r="G10808" s="35" t="s">
        <v>2080</v>
      </c>
    </row>
    <row r="10809" spans="1:7">
      <c r="A10809" s="34">
        <v>2084052469</v>
      </c>
      <c r="B10809" s="35" t="s">
        <v>462</v>
      </c>
      <c r="C10809" s="35" t="s">
        <v>2016</v>
      </c>
      <c r="D10809" s="35" t="s">
        <v>2134</v>
      </c>
      <c r="E10809" s="35" t="s">
        <v>379</v>
      </c>
      <c r="F10809" s="35" t="s">
        <v>2117</v>
      </c>
      <c r="G10809" s="35" t="s">
        <v>2081</v>
      </c>
    </row>
    <row r="10810" spans="1:7">
      <c r="A10810" s="34">
        <v>2084052497</v>
      </c>
      <c r="B10810" s="35" t="s">
        <v>462</v>
      </c>
      <c r="C10810" s="35" t="s">
        <v>2016</v>
      </c>
      <c r="D10810" s="35" t="s">
        <v>2134</v>
      </c>
      <c r="E10810" s="35" t="s">
        <v>379</v>
      </c>
      <c r="F10810" s="35" t="s">
        <v>1657</v>
      </c>
      <c r="G10810" s="35" t="s">
        <v>2075</v>
      </c>
    </row>
    <row r="10811" spans="1:7">
      <c r="A10811" s="34">
        <v>2084052498</v>
      </c>
      <c r="B10811" s="35" t="s">
        <v>462</v>
      </c>
      <c r="C10811" s="35" t="s">
        <v>2016</v>
      </c>
      <c r="D10811" s="35" t="s">
        <v>2134</v>
      </c>
      <c r="E10811" s="35" t="s">
        <v>379</v>
      </c>
      <c r="F10811" s="35" t="s">
        <v>1657</v>
      </c>
      <c r="G10811" s="35" t="s">
        <v>2076</v>
      </c>
    </row>
    <row r="10812" spans="1:7">
      <c r="A10812" s="34">
        <v>2084052499</v>
      </c>
      <c r="B10812" s="35" t="s">
        <v>462</v>
      </c>
      <c r="C10812" s="35" t="s">
        <v>2016</v>
      </c>
      <c r="D10812" s="35" t="s">
        <v>2134</v>
      </c>
      <c r="E10812" s="35" t="s">
        <v>379</v>
      </c>
      <c r="F10812" s="35" t="s">
        <v>1657</v>
      </c>
      <c r="G10812" s="35" t="s">
        <v>2077</v>
      </c>
    </row>
    <row r="10813" spans="1:7">
      <c r="A10813" s="34">
        <v>2084052500</v>
      </c>
      <c r="B10813" s="35" t="s">
        <v>462</v>
      </c>
      <c r="C10813" s="35" t="s">
        <v>2016</v>
      </c>
      <c r="D10813" s="35" t="s">
        <v>2134</v>
      </c>
      <c r="E10813" s="35" t="s">
        <v>379</v>
      </c>
      <c r="F10813" s="35" t="s">
        <v>1657</v>
      </c>
      <c r="G10813" s="35" t="s">
        <v>2078</v>
      </c>
    </row>
    <row r="10814" spans="1:7">
      <c r="A10814" s="34">
        <v>2084052501</v>
      </c>
      <c r="B10814" s="35" t="s">
        <v>462</v>
      </c>
      <c r="C10814" s="35" t="s">
        <v>2016</v>
      </c>
      <c r="D10814" s="35" t="s">
        <v>2134</v>
      </c>
      <c r="E10814" s="35" t="s">
        <v>379</v>
      </c>
      <c r="F10814" s="35" t="s">
        <v>1657</v>
      </c>
      <c r="G10814" s="35" t="s">
        <v>2079</v>
      </c>
    </row>
    <row r="10815" spans="1:7">
      <c r="A10815" s="34">
        <v>2084052502</v>
      </c>
      <c r="B10815" s="35" t="s">
        <v>462</v>
      </c>
      <c r="C10815" s="35" t="s">
        <v>2016</v>
      </c>
      <c r="D10815" s="35" t="s">
        <v>2134</v>
      </c>
      <c r="E10815" s="35" t="s">
        <v>379</v>
      </c>
      <c r="F10815" s="35" t="s">
        <v>1657</v>
      </c>
      <c r="G10815" s="35" t="s">
        <v>2080</v>
      </c>
    </row>
    <row r="10816" spans="1:7">
      <c r="A10816" s="34">
        <v>2084052503</v>
      </c>
      <c r="B10816" s="35" t="s">
        <v>462</v>
      </c>
      <c r="C10816" s="35" t="s">
        <v>2016</v>
      </c>
      <c r="D10816" s="35" t="s">
        <v>2134</v>
      </c>
      <c r="E10816" s="35" t="s">
        <v>379</v>
      </c>
      <c r="F10816" s="35" t="s">
        <v>1657</v>
      </c>
      <c r="G10816" s="35" t="s">
        <v>2081</v>
      </c>
    </row>
    <row r="10817" spans="1:6">
      <c r="A10817" s="34">
        <v>2084006564</v>
      </c>
      <c r="B10817" s="35" t="s">
        <v>462</v>
      </c>
      <c r="C10817" s="35" t="s">
        <v>2016</v>
      </c>
      <c r="D10817" s="35" t="s">
        <v>2134</v>
      </c>
      <c r="E10817" s="35" t="s">
        <v>379</v>
      </c>
      <c r="F10817" s="35" t="s">
        <v>335</v>
      </c>
    </row>
    <row r="10818" spans="1:6">
      <c r="A10818" s="34">
        <v>2084006552</v>
      </c>
      <c r="B10818" s="35" t="s">
        <v>462</v>
      </c>
      <c r="C10818" s="35" t="s">
        <v>2016</v>
      </c>
      <c r="D10818" s="35" t="s">
        <v>2134</v>
      </c>
      <c r="E10818" s="35" t="s">
        <v>2026</v>
      </c>
    </row>
    <row r="10819" spans="1:6">
      <c r="A10819" s="34">
        <v>2084006543</v>
      </c>
      <c r="B10819" s="35" t="s">
        <v>462</v>
      </c>
      <c r="C10819" s="35" t="s">
        <v>2016</v>
      </c>
      <c r="D10819" s="35" t="s">
        <v>2134</v>
      </c>
      <c r="E10819" s="35" t="s">
        <v>2138</v>
      </c>
    </row>
    <row r="10820" spans="1:6">
      <c r="A10820" s="34">
        <v>2084051705</v>
      </c>
      <c r="B10820" s="35" t="s">
        <v>462</v>
      </c>
      <c r="C10820" s="35" t="s">
        <v>2016</v>
      </c>
      <c r="D10820" s="35" t="s">
        <v>2134</v>
      </c>
      <c r="E10820" s="35" t="s">
        <v>1839</v>
      </c>
      <c r="F10820" s="35" t="s">
        <v>2075</v>
      </c>
    </row>
    <row r="10821" spans="1:6">
      <c r="A10821" s="34">
        <v>2084051704</v>
      </c>
      <c r="B10821" s="35" t="s">
        <v>462</v>
      </c>
      <c r="C10821" s="35" t="s">
        <v>2016</v>
      </c>
      <c r="D10821" s="35" t="s">
        <v>2134</v>
      </c>
      <c r="E10821" s="35" t="s">
        <v>1839</v>
      </c>
      <c r="F10821" s="35" t="s">
        <v>2076</v>
      </c>
    </row>
    <row r="10822" spans="1:6">
      <c r="A10822" s="34">
        <v>2084051703</v>
      </c>
      <c r="B10822" s="35" t="s">
        <v>462</v>
      </c>
      <c r="C10822" s="35" t="s">
        <v>2016</v>
      </c>
      <c r="D10822" s="35" t="s">
        <v>2134</v>
      </c>
      <c r="E10822" s="35" t="s">
        <v>1839</v>
      </c>
      <c r="F10822" s="35" t="s">
        <v>2077</v>
      </c>
    </row>
    <row r="10823" spans="1:6">
      <c r="A10823" s="34">
        <v>2084051702</v>
      </c>
      <c r="B10823" s="35" t="s">
        <v>462</v>
      </c>
      <c r="C10823" s="35" t="s">
        <v>2016</v>
      </c>
      <c r="D10823" s="35" t="s">
        <v>2134</v>
      </c>
      <c r="E10823" s="35" t="s">
        <v>1839</v>
      </c>
      <c r="F10823" s="35" t="s">
        <v>2078</v>
      </c>
    </row>
    <row r="10824" spans="1:6">
      <c r="A10824" s="34">
        <v>2084051701</v>
      </c>
      <c r="B10824" s="35" t="s">
        <v>462</v>
      </c>
      <c r="C10824" s="35" t="s">
        <v>2016</v>
      </c>
      <c r="D10824" s="35" t="s">
        <v>2134</v>
      </c>
      <c r="E10824" s="35" t="s">
        <v>1839</v>
      </c>
      <c r="F10824" s="35" t="s">
        <v>2079</v>
      </c>
    </row>
    <row r="10825" spans="1:6">
      <c r="A10825" s="34">
        <v>2084051700</v>
      </c>
      <c r="B10825" s="35" t="s">
        <v>462</v>
      </c>
      <c r="C10825" s="35" t="s">
        <v>2016</v>
      </c>
      <c r="D10825" s="35" t="s">
        <v>2134</v>
      </c>
      <c r="E10825" s="35" t="s">
        <v>1839</v>
      </c>
      <c r="F10825" s="35" t="s">
        <v>2080</v>
      </c>
    </row>
    <row r="10826" spans="1:6">
      <c r="A10826" s="34">
        <v>2084051699</v>
      </c>
      <c r="B10826" s="35" t="s">
        <v>462</v>
      </c>
      <c r="C10826" s="35" t="s">
        <v>2016</v>
      </c>
      <c r="D10826" s="35" t="s">
        <v>2134</v>
      </c>
      <c r="E10826" s="35" t="s">
        <v>1839</v>
      </c>
      <c r="F10826" s="35" t="s">
        <v>2081</v>
      </c>
    </row>
    <row r="10827" spans="1:6">
      <c r="A10827" s="34">
        <v>2084051671</v>
      </c>
      <c r="B10827" s="35" t="s">
        <v>462</v>
      </c>
      <c r="C10827" s="35" t="s">
        <v>2016</v>
      </c>
      <c r="D10827" s="35" t="s">
        <v>2134</v>
      </c>
      <c r="E10827" s="35" t="s">
        <v>2133</v>
      </c>
      <c r="F10827" s="35" t="s">
        <v>2075</v>
      </c>
    </row>
    <row r="10828" spans="1:6">
      <c r="A10828" s="34">
        <v>2084051672</v>
      </c>
      <c r="B10828" s="35" t="s">
        <v>462</v>
      </c>
      <c r="C10828" s="35" t="s">
        <v>2016</v>
      </c>
      <c r="D10828" s="35" t="s">
        <v>2134</v>
      </c>
      <c r="E10828" s="35" t="s">
        <v>2133</v>
      </c>
      <c r="F10828" s="35" t="s">
        <v>2076</v>
      </c>
    </row>
    <row r="10829" spans="1:6">
      <c r="A10829" s="34">
        <v>2084051673</v>
      </c>
      <c r="B10829" s="35" t="s">
        <v>462</v>
      </c>
      <c r="C10829" s="35" t="s">
        <v>2016</v>
      </c>
      <c r="D10829" s="35" t="s">
        <v>2134</v>
      </c>
      <c r="E10829" s="35" t="s">
        <v>2133</v>
      </c>
      <c r="F10829" s="35" t="s">
        <v>2077</v>
      </c>
    </row>
    <row r="10830" spans="1:6">
      <c r="A10830" s="34">
        <v>2084051674</v>
      </c>
      <c r="B10830" s="35" t="s">
        <v>462</v>
      </c>
      <c r="C10830" s="35" t="s">
        <v>2016</v>
      </c>
      <c r="D10830" s="35" t="s">
        <v>2134</v>
      </c>
      <c r="E10830" s="35" t="s">
        <v>2133</v>
      </c>
      <c r="F10830" s="35" t="s">
        <v>2078</v>
      </c>
    </row>
    <row r="10831" spans="1:6">
      <c r="A10831" s="34">
        <v>2084051675</v>
      </c>
      <c r="B10831" s="35" t="s">
        <v>462</v>
      </c>
      <c r="C10831" s="35" t="s">
        <v>2016</v>
      </c>
      <c r="D10831" s="35" t="s">
        <v>2134</v>
      </c>
      <c r="E10831" s="35" t="s">
        <v>2133</v>
      </c>
      <c r="F10831" s="35" t="s">
        <v>2079</v>
      </c>
    </row>
    <row r="10832" spans="1:6">
      <c r="A10832" s="34">
        <v>2084051676</v>
      </c>
      <c r="B10832" s="35" t="s">
        <v>462</v>
      </c>
      <c r="C10832" s="35" t="s">
        <v>2016</v>
      </c>
      <c r="D10832" s="35" t="s">
        <v>2134</v>
      </c>
      <c r="E10832" s="35" t="s">
        <v>2133</v>
      </c>
      <c r="F10832" s="35" t="s">
        <v>2080</v>
      </c>
    </row>
    <row r="10833" spans="1:7">
      <c r="A10833" s="34">
        <v>2084051677</v>
      </c>
      <c r="B10833" s="35" t="s">
        <v>462</v>
      </c>
      <c r="C10833" s="35" t="s">
        <v>2016</v>
      </c>
      <c r="D10833" s="35" t="s">
        <v>2134</v>
      </c>
      <c r="E10833" s="35" t="s">
        <v>2133</v>
      </c>
      <c r="F10833" s="35" t="s">
        <v>2081</v>
      </c>
    </row>
    <row r="10834" spans="1:7">
      <c r="A10834" s="34">
        <v>2084052847</v>
      </c>
      <c r="B10834" s="35" t="s">
        <v>462</v>
      </c>
      <c r="C10834" s="35" t="s">
        <v>2016</v>
      </c>
      <c r="D10834" s="35" t="s">
        <v>2134</v>
      </c>
      <c r="E10834" s="35" t="s">
        <v>2119</v>
      </c>
      <c r="F10834" s="35" t="s">
        <v>2075</v>
      </c>
    </row>
    <row r="10835" spans="1:7">
      <c r="A10835" s="34">
        <v>2084052848</v>
      </c>
      <c r="B10835" s="35" t="s">
        <v>462</v>
      </c>
      <c r="C10835" s="35" t="s">
        <v>2016</v>
      </c>
      <c r="D10835" s="35" t="s">
        <v>2134</v>
      </c>
      <c r="E10835" s="35" t="s">
        <v>2119</v>
      </c>
      <c r="F10835" s="35" t="s">
        <v>2076</v>
      </c>
    </row>
    <row r="10836" spans="1:7">
      <c r="A10836" s="34">
        <v>2084052849</v>
      </c>
      <c r="B10836" s="35" t="s">
        <v>462</v>
      </c>
      <c r="C10836" s="35" t="s">
        <v>2016</v>
      </c>
      <c r="D10836" s="35" t="s">
        <v>2134</v>
      </c>
      <c r="E10836" s="35" t="s">
        <v>2119</v>
      </c>
      <c r="F10836" s="35" t="s">
        <v>2077</v>
      </c>
    </row>
    <row r="10837" spans="1:7">
      <c r="A10837" s="34">
        <v>2084052850</v>
      </c>
      <c r="B10837" s="35" t="s">
        <v>462</v>
      </c>
      <c r="C10837" s="35" t="s">
        <v>2016</v>
      </c>
      <c r="D10837" s="35" t="s">
        <v>2134</v>
      </c>
      <c r="E10837" s="35" t="s">
        <v>2119</v>
      </c>
      <c r="F10837" s="35" t="s">
        <v>2078</v>
      </c>
    </row>
    <row r="10838" spans="1:7">
      <c r="A10838" s="34">
        <v>2084052851</v>
      </c>
      <c r="B10838" s="35" t="s">
        <v>462</v>
      </c>
      <c r="C10838" s="35" t="s">
        <v>2016</v>
      </c>
      <c r="D10838" s="35" t="s">
        <v>2134</v>
      </c>
      <c r="E10838" s="35" t="s">
        <v>2119</v>
      </c>
      <c r="F10838" s="35" t="s">
        <v>2079</v>
      </c>
    </row>
    <row r="10839" spans="1:7">
      <c r="A10839" s="34">
        <v>2084052852</v>
      </c>
      <c r="B10839" s="35" t="s">
        <v>462</v>
      </c>
      <c r="C10839" s="35" t="s">
        <v>2016</v>
      </c>
      <c r="D10839" s="35" t="s">
        <v>2134</v>
      </c>
      <c r="E10839" s="35" t="s">
        <v>2119</v>
      </c>
      <c r="F10839" s="35" t="s">
        <v>2080</v>
      </c>
    </row>
    <row r="10840" spans="1:7">
      <c r="A10840" s="34">
        <v>2084052853</v>
      </c>
      <c r="B10840" s="35" t="s">
        <v>462</v>
      </c>
      <c r="C10840" s="35" t="s">
        <v>2016</v>
      </c>
      <c r="D10840" s="35" t="s">
        <v>2134</v>
      </c>
      <c r="E10840" s="35" t="s">
        <v>2119</v>
      </c>
      <c r="F10840" s="35" t="s">
        <v>2081</v>
      </c>
    </row>
    <row r="10841" spans="1:7">
      <c r="A10841" s="34">
        <v>2084006655</v>
      </c>
      <c r="B10841" s="35" t="s">
        <v>462</v>
      </c>
      <c r="C10841" s="35" t="s">
        <v>2016</v>
      </c>
      <c r="D10841" s="35" t="s">
        <v>2134</v>
      </c>
      <c r="E10841" s="35" t="s">
        <v>384</v>
      </c>
      <c r="F10841" s="35" t="s">
        <v>2120</v>
      </c>
    </row>
    <row r="10842" spans="1:7">
      <c r="A10842" s="34">
        <v>2084053228</v>
      </c>
      <c r="B10842" s="35" t="s">
        <v>462</v>
      </c>
      <c r="C10842" s="35" t="s">
        <v>2016</v>
      </c>
      <c r="D10842" s="35" t="s">
        <v>2134</v>
      </c>
      <c r="E10842" s="35" t="s">
        <v>384</v>
      </c>
      <c r="F10842" s="35" t="s">
        <v>1699</v>
      </c>
      <c r="G10842" s="35" t="s">
        <v>2075</v>
      </c>
    </row>
    <row r="10843" spans="1:7">
      <c r="A10843" s="34">
        <v>2084053229</v>
      </c>
      <c r="B10843" s="35" t="s">
        <v>462</v>
      </c>
      <c r="C10843" s="35" t="s">
        <v>2016</v>
      </c>
      <c r="D10843" s="35" t="s">
        <v>2134</v>
      </c>
      <c r="E10843" s="35" t="s">
        <v>384</v>
      </c>
      <c r="F10843" s="35" t="s">
        <v>1699</v>
      </c>
      <c r="G10843" s="35" t="s">
        <v>2076</v>
      </c>
    </row>
    <row r="10844" spans="1:7">
      <c r="A10844" s="34">
        <v>2084053230</v>
      </c>
      <c r="B10844" s="35" t="s">
        <v>462</v>
      </c>
      <c r="C10844" s="35" t="s">
        <v>2016</v>
      </c>
      <c r="D10844" s="35" t="s">
        <v>2134</v>
      </c>
      <c r="E10844" s="35" t="s">
        <v>384</v>
      </c>
      <c r="F10844" s="35" t="s">
        <v>1699</v>
      </c>
      <c r="G10844" s="35" t="s">
        <v>2077</v>
      </c>
    </row>
    <row r="10845" spans="1:7">
      <c r="A10845" s="34">
        <v>2084053231</v>
      </c>
      <c r="B10845" s="35" t="s">
        <v>462</v>
      </c>
      <c r="C10845" s="35" t="s">
        <v>2016</v>
      </c>
      <c r="D10845" s="35" t="s">
        <v>2134</v>
      </c>
      <c r="E10845" s="35" t="s">
        <v>384</v>
      </c>
      <c r="F10845" s="35" t="s">
        <v>1699</v>
      </c>
      <c r="G10845" s="35" t="s">
        <v>2078</v>
      </c>
    </row>
    <row r="10846" spans="1:7">
      <c r="A10846" s="34">
        <v>2084053232</v>
      </c>
      <c r="B10846" s="35" t="s">
        <v>462</v>
      </c>
      <c r="C10846" s="35" t="s">
        <v>2016</v>
      </c>
      <c r="D10846" s="35" t="s">
        <v>2134</v>
      </c>
      <c r="E10846" s="35" t="s">
        <v>384</v>
      </c>
      <c r="F10846" s="35" t="s">
        <v>1699</v>
      </c>
      <c r="G10846" s="35" t="s">
        <v>2079</v>
      </c>
    </row>
    <row r="10847" spans="1:7">
      <c r="A10847" s="34">
        <v>2084053233</v>
      </c>
      <c r="B10847" s="35" t="s">
        <v>462</v>
      </c>
      <c r="C10847" s="35" t="s">
        <v>2016</v>
      </c>
      <c r="D10847" s="35" t="s">
        <v>2134</v>
      </c>
      <c r="E10847" s="35" t="s">
        <v>384</v>
      </c>
      <c r="F10847" s="35" t="s">
        <v>1699</v>
      </c>
      <c r="G10847" s="35" t="s">
        <v>2080</v>
      </c>
    </row>
    <row r="10848" spans="1:7">
      <c r="A10848" s="34">
        <v>2084053234</v>
      </c>
      <c r="B10848" s="35" t="s">
        <v>462</v>
      </c>
      <c r="C10848" s="35" t="s">
        <v>2016</v>
      </c>
      <c r="D10848" s="35" t="s">
        <v>2134</v>
      </c>
      <c r="E10848" s="35" t="s">
        <v>384</v>
      </c>
      <c r="F10848" s="35" t="s">
        <v>1699</v>
      </c>
      <c r="G10848" s="35" t="s">
        <v>2081</v>
      </c>
    </row>
    <row r="10849" spans="1:7">
      <c r="A10849" s="34">
        <v>2084053220</v>
      </c>
      <c r="B10849" s="35" t="s">
        <v>462</v>
      </c>
      <c r="C10849" s="35" t="s">
        <v>2016</v>
      </c>
      <c r="D10849" s="35" t="s">
        <v>2134</v>
      </c>
      <c r="E10849" s="35" t="s">
        <v>384</v>
      </c>
      <c r="F10849" s="35" t="s">
        <v>2139</v>
      </c>
      <c r="G10849" s="35" t="s">
        <v>2075</v>
      </c>
    </row>
    <row r="10850" spans="1:7">
      <c r="A10850" s="34">
        <v>2084053221</v>
      </c>
      <c r="B10850" s="35" t="s">
        <v>462</v>
      </c>
      <c r="C10850" s="35" t="s">
        <v>2016</v>
      </c>
      <c r="D10850" s="35" t="s">
        <v>2134</v>
      </c>
      <c r="E10850" s="35" t="s">
        <v>384</v>
      </c>
      <c r="F10850" s="35" t="s">
        <v>2139</v>
      </c>
      <c r="G10850" s="35" t="s">
        <v>2076</v>
      </c>
    </row>
    <row r="10851" spans="1:7">
      <c r="A10851" s="34">
        <v>2084053222</v>
      </c>
      <c r="B10851" s="35" t="s">
        <v>462</v>
      </c>
      <c r="C10851" s="35" t="s">
        <v>2016</v>
      </c>
      <c r="D10851" s="35" t="s">
        <v>2134</v>
      </c>
      <c r="E10851" s="35" t="s">
        <v>384</v>
      </c>
      <c r="F10851" s="35" t="s">
        <v>2139</v>
      </c>
      <c r="G10851" s="35" t="s">
        <v>2077</v>
      </c>
    </row>
    <row r="10852" spans="1:7">
      <c r="A10852" s="34">
        <v>2084053223</v>
      </c>
      <c r="B10852" s="35" t="s">
        <v>462</v>
      </c>
      <c r="C10852" s="35" t="s">
        <v>2016</v>
      </c>
      <c r="D10852" s="35" t="s">
        <v>2134</v>
      </c>
      <c r="E10852" s="35" t="s">
        <v>384</v>
      </c>
      <c r="F10852" s="35" t="s">
        <v>2139</v>
      </c>
      <c r="G10852" s="35" t="s">
        <v>2078</v>
      </c>
    </row>
    <row r="10853" spans="1:7">
      <c r="A10853" s="34">
        <v>2084053224</v>
      </c>
      <c r="B10853" s="35" t="s">
        <v>462</v>
      </c>
      <c r="C10853" s="35" t="s">
        <v>2016</v>
      </c>
      <c r="D10853" s="35" t="s">
        <v>2134</v>
      </c>
      <c r="E10853" s="35" t="s">
        <v>384</v>
      </c>
      <c r="F10853" s="35" t="s">
        <v>2139</v>
      </c>
      <c r="G10853" s="35" t="s">
        <v>2079</v>
      </c>
    </row>
    <row r="10854" spans="1:7">
      <c r="A10854" s="34">
        <v>2084053225</v>
      </c>
      <c r="B10854" s="35" t="s">
        <v>462</v>
      </c>
      <c r="C10854" s="35" t="s">
        <v>2016</v>
      </c>
      <c r="D10854" s="35" t="s">
        <v>2134</v>
      </c>
      <c r="E10854" s="35" t="s">
        <v>384</v>
      </c>
      <c r="F10854" s="35" t="s">
        <v>2139</v>
      </c>
      <c r="G10854" s="35" t="s">
        <v>2080</v>
      </c>
    </row>
    <row r="10855" spans="1:7">
      <c r="A10855" s="34">
        <v>2084053226</v>
      </c>
      <c r="B10855" s="35" t="s">
        <v>462</v>
      </c>
      <c r="C10855" s="35" t="s">
        <v>2016</v>
      </c>
      <c r="D10855" s="35" t="s">
        <v>2134</v>
      </c>
      <c r="E10855" s="35" t="s">
        <v>384</v>
      </c>
      <c r="F10855" s="35" t="s">
        <v>2139</v>
      </c>
      <c r="G10855" s="35" t="s">
        <v>2081</v>
      </c>
    </row>
    <row r="10856" spans="1:7">
      <c r="A10856" s="34">
        <v>2084051851</v>
      </c>
      <c r="B10856" s="35" t="s">
        <v>462</v>
      </c>
      <c r="C10856" s="35" t="s">
        <v>2016</v>
      </c>
      <c r="D10856" s="35" t="s">
        <v>2134</v>
      </c>
      <c r="E10856" s="35" t="s">
        <v>1734</v>
      </c>
      <c r="F10856" s="35" t="s">
        <v>2075</v>
      </c>
    </row>
    <row r="10857" spans="1:7">
      <c r="A10857" s="34">
        <v>2084051852</v>
      </c>
      <c r="B10857" s="35" t="s">
        <v>462</v>
      </c>
      <c r="C10857" s="35" t="s">
        <v>2016</v>
      </c>
      <c r="D10857" s="35" t="s">
        <v>2134</v>
      </c>
      <c r="E10857" s="35" t="s">
        <v>1734</v>
      </c>
      <c r="F10857" s="35" t="s">
        <v>2076</v>
      </c>
    </row>
    <row r="10858" spans="1:7">
      <c r="A10858" s="34">
        <v>2084051853</v>
      </c>
      <c r="B10858" s="35" t="s">
        <v>462</v>
      </c>
      <c r="C10858" s="35" t="s">
        <v>2016</v>
      </c>
      <c r="D10858" s="35" t="s">
        <v>2134</v>
      </c>
      <c r="E10858" s="35" t="s">
        <v>1734</v>
      </c>
      <c r="F10858" s="35" t="s">
        <v>2077</v>
      </c>
    </row>
    <row r="10859" spans="1:7">
      <c r="A10859" s="34">
        <v>2084051854</v>
      </c>
      <c r="B10859" s="35" t="s">
        <v>462</v>
      </c>
      <c r="C10859" s="35" t="s">
        <v>2016</v>
      </c>
      <c r="D10859" s="35" t="s">
        <v>2134</v>
      </c>
      <c r="E10859" s="35" t="s">
        <v>1734</v>
      </c>
      <c r="F10859" s="35" t="s">
        <v>2078</v>
      </c>
    </row>
    <row r="10860" spans="1:7">
      <c r="A10860" s="34">
        <v>2084051855</v>
      </c>
      <c r="B10860" s="35" t="s">
        <v>462</v>
      </c>
      <c r="C10860" s="35" t="s">
        <v>2016</v>
      </c>
      <c r="D10860" s="35" t="s">
        <v>2134</v>
      </c>
      <c r="E10860" s="35" t="s">
        <v>1734</v>
      </c>
      <c r="F10860" s="35" t="s">
        <v>2079</v>
      </c>
    </row>
    <row r="10861" spans="1:7">
      <c r="A10861" s="34">
        <v>2084051856</v>
      </c>
      <c r="B10861" s="35" t="s">
        <v>462</v>
      </c>
      <c r="C10861" s="35" t="s">
        <v>2016</v>
      </c>
      <c r="D10861" s="35" t="s">
        <v>2134</v>
      </c>
      <c r="E10861" s="35" t="s">
        <v>1734</v>
      </c>
      <c r="F10861" s="35" t="s">
        <v>2080</v>
      </c>
    </row>
    <row r="10862" spans="1:7">
      <c r="A10862" s="34">
        <v>2084051857</v>
      </c>
      <c r="B10862" s="35" t="s">
        <v>462</v>
      </c>
      <c r="C10862" s="35" t="s">
        <v>2016</v>
      </c>
      <c r="D10862" s="35" t="s">
        <v>2134</v>
      </c>
      <c r="E10862" s="35" t="s">
        <v>1734</v>
      </c>
      <c r="F10862" s="35" t="s">
        <v>2081</v>
      </c>
    </row>
    <row r="10863" spans="1:7">
      <c r="A10863" s="34">
        <v>2084051663</v>
      </c>
      <c r="B10863" s="35" t="s">
        <v>462</v>
      </c>
      <c r="C10863" s="35" t="s">
        <v>2016</v>
      </c>
      <c r="D10863" s="35" t="s">
        <v>2134</v>
      </c>
      <c r="E10863" s="35" t="s">
        <v>335</v>
      </c>
    </row>
    <row r="10864" spans="1:7">
      <c r="A10864" s="34">
        <v>2084313344</v>
      </c>
      <c r="B10864" s="35" t="s">
        <v>462</v>
      </c>
      <c r="C10864" s="35" t="s">
        <v>2016</v>
      </c>
      <c r="D10864" s="35" t="s">
        <v>2140</v>
      </c>
      <c r="E10864" s="35" t="s">
        <v>1902</v>
      </c>
    </row>
    <row r="10865" spans="1:7">
      <c r="A10865" s="34">
        <v>2084053280</v>
      </c>
      <c r="B10865" s="35" t="s">
        <v>462</v>
      </c>
      <c r="C10865" s="35" t="s">
        <v>2016</v>
      </c>
      <c r="D10865" s="35" t="s">
        <v>2140</v>
      </c>
      <c r="E10865" s="35" t="s">
        <v>954</v>
      </c>
      <c r="F10865" s="35" t="s">
        <v>1557</v>
      </c>
      <c r="G10865" s="35" t="s">
        <v>2075</v>
      </c>
    </row>
    <row r="10866" spans="1:7">
      <c r="A10866" s="34">
        <v>2084053281</v>
      </c>
      <c r="B10866" s="35" t="s">
        <v>462</v>
      </c>
      <c r="C10866" s="35" t="s">
        <v>2016</v>
      </c>
      <c r="D10866" s="35" t="s">
        <v>2140</v>
      </c>
      <c r="E10866" s="35" t="s">
        <v>954</v>
      </c>
      <c r="F10866" s="35" t="s">
        <v>1557</v>
      </c>
      <c r="G10866" s="35" t="s">
        <v>2076</v>
      </c>
    </row>
    <row r="10867" spans="1:7">
      <c r="A10867" s="34">
        <v>2084053282</v>
      </c>
      <c r="B10867" s="35" t="s">
        <v>462</v>
      </c>
      <c r="C10867" s="35" t="s">
        <v>2016</v>
      </c>
      <c r="D10867" s="35" t="s">
        <v>2140</v>
      </c>
      <c r="E10867" s="35" t="s">
        <v>954</v>
      </c>
      <c r="F10867" s="35" t="s">
        <v>1557</v>
      </c>
      <c r="G10867" s="35" t="s">
        <v>2077</v>
      </c>
    </row>
    <row r="10868" spans="1:7">
      <c r="A10868" s="34">
        <v>2084053283</v>
      </c>
      <c r="B10868" s="35" t="s">
        <v>462</v>
      </c>
      <c r="C10868" s="35" t="s">
        <v>2016</v>
      </c>
      <c r="D10868" s="35" t="s">
        <v>2140</v>
      </c>
      <c r="E10868" s="35" t="s">
        <v>954</v>
      </c>
      <c r="F10868" s="35" t="s">
        <v>1557</v>
      </c>
      <c r="G10868" s="35" t="s">
        <v>2078</v>
      </c>
    </row>
    <row r="10869" spans="1:7">
      <c r="A10869" s="34">
        <v>2084053284</v>
      </c>
      <c r="B10869" s="35" t="s">
        <v>462</v>
      </c>
      <c r="C10869" s="35" t="s">
        <v>2016</v>
      </c>
      <c r="D10869" s="35" t="s">
        <v>2140</v>
      </c>
      <c r="E10869" s="35" t="s">
        <v>954</v>
      </c>
      <c r="F10869" s="35" t="s">
        <v>1557</v>
      </c>
      <c r="G10869" s="35" t="s">
        <v>2079</v>
      </c>
    </row>
    <row r="10870" spans="1:7">
      <c r="A10870" s="34">
        <v>2084053285</v>
      </c>
      <c r="B10870" s="35" t="s">
        <v>462</v>
      </c>
      <c r="C10870" s="35" t="s">
        <v>2016</v>
      </c>
      <c r="D10870" s="35" t="s">
        <v>2140</v>
      </c>
      <c r="E10870" s="35" t="s">
        <v>954</v>
      </c>
      <c r="F10870" s="35" t="s">
        <v>1557</v>
      </c>
      <c r="G10870" s="35" t="s">
        <v>2080</v>
      </c>
    </row>
    <row r="10871" spans="1:7">
      <c r="A10871" s="34">
        <v>2084053286</v>
      </c>
      <c r="B10871" s="35" t="s">
        <v>462</v>
      </c>
      <c r="C10871" s="35" t="s">
        <v>2016</v>
      </c>
      <c r="D10871" s="35" t="s">
        <v>2140</v>
      </c>
      <c r="E10871" s="35" t="s">
        <v>954</v>
      </c>
      <c r="F10871" s="35" t="s">
        <v>1557</v>
      </c>
      <c r="G10871" s="35" t="s">
        <v>2081</v>
      </c>
    </row>
    <row r="10872" spans="1:7">
      <c r="A10872" s="34">
        <v>2084053287</v>
      </c>
      <c r="B10872" s="35" t="s">
        <v>462</v>
      </c>
      <c r="C10872" s="35" t="s">
        <v>2016</v>
      </c>
      <c r="D10872" s="35" t="s">
        <v>2140</v>
      </c>
      <c r="E10872" s="35" t="s">
        <v>954</v>
      </c>
      <c r="F10872" s="35" t="s">
        <v>2090</v>
      </c>
      <c r="G10872" s="35" t="s">
        <v>2091</v>
      </c>
    </row>
    <row r="10873" spans="1:7">
      <c r="A10873" s="34">
        <v>2084053288</v>
      </c>
      <c r="B10873" s="35" t="s">
        <v>462</v>
      </c>
      <c r="C10873" s="35" t="s">
        <v>2016</v>
      </c>
      <c r="D10873" s="35" t="s">
        <v>2140</v>
      </c>
      <c r="E10873" s="35" t="s">
        <v>954</v>
      </c>
      <c r="F10873" s="35" t="s">
        <v>2090</v>
      </c>
      <c r="G10873" s="35" t="s">
        <v>2076</v>
      </c>
    </row>
    <row r="10874" spans="1:7">
      <c r="A10874" s="34">
        <v>2084053289</v>
      </c>
      <c r="B10874" s="35" t="s">
        <v>462</v>
      </c>
      <c r="C10874" s="35" t="s">
        <v>2016</v>
      </c>
      <c r="D10874" s="35" t="s">
        <v>2140</v>
      </c>
      <c r="E10874" s="35" t="s">
        <v>954</v>
      </c>
      <c r="F10874" s="35" t="s">
        <v>2090</v>
      </c>
      <c r="G10874" s="35" t="s">
        <v>2077</v>
      </c>
    </row>
    <row r="10875" spans="1:7">
      <c r="A10875" s="34">
        <v>2084053290</v>
      </c>
      <c r="B10875" s="35" t="s">
        <v>462</v>
      </c>
      <c r="C10875" s="35" t="s">
        <v>2016</v>
      </c>
      <c r="D10875" s="35" t="s">
        <v>2140</v>
      </c>
      <c r="E10875" s="35" t="s">
        <v>954</v>
      </c>
      <c r="F10875" s="35" t="s">
        <v>2090</v>
      </c>
      <c r="G10875" s="35" t="s">
        <v>2078</v>
      </c>
    </row>
    <row r="10876" spans="1:7">
      <c r="A10876" s="34">
        <v>2084053291</v>
      </c>
      <c r="B10876" s="35" t="s">
        <v>462</v>
      </c>
      <c r="C10876" s="35" t="s">
        <v>2016</v>
      </c>
      <c r="D10876" s="35" t="s">
        <v>2140</v>
      </c>
      <c r="E10876" s="35" t="s">
        <v>954</v>
      </c>
      <c r="F10876" s="35" t="s">
        <v>2090</v>
      </c>
      <c r="G10876" s="35" t="s">
        <v>2079</v>
      </c>
    </row>
    <row r="10877" spans="1:7">
      <c r="A10877" s="34">
        <v>2084053292</v>
      </c>
      <c r="B10877" s="35" t="s">
        <v>462</v>
      </c>
      <c r="C10877" s="35" t="s">
        <v>2016</v>
      </c>
      <c r="D10877" s="35" t="s">
        <v>2140</v>
      </c>
      <c r="E10877" s="35" t="s">
        <v>954</v>
      </c>
      <c r="F10877" s="35" t="s">
        <v>2090</v>
      </c>
      <c r="G10877" s="35" t="s">
        <v>2080</v>
      </c>
    </row>
    <row r="10878" spans="1:7">
      <c r="A10878" s="34">
        <v>2084053293</v>
      </c>
      <c r="B10878" s="35" t="s">
        <v>462</v>
      </c>
      <c r="C10878" s="35" t="s">
        <v>2016</v>
      </c>
      <c r="D10878" s="35" t="s">
        <v>2140</v>
      </c>
      <c r="E10878" s="35" t="s">
        <v>954</v>
      </c>
      <c r="F10878" s="35" t="s">
        <v>2090</v>
      </c>
      <c r="G10878" s="35" t="s">
        <v>2081</v>
      </c>
    </row>
    <row r="10879" spans="1:7">
      <c r="A10879" s="34">
        <v>2084053297</v>
      </c>
      <c r="B10879" s="35" t="s">
        <v>462</v>
      </c>
      <c r="C10879" s="35" t="s">
        <v>2016</v>
      </c>
      <c r="D10879" s="35" t="s">
        <v>2140</v>
      </c>
      <c r="E10879" s="35" t="s">
        <v>368</v>
      </c>
      <c r="F10879" s="35" t="s">
        <v>552</v>
      </c>
      <c r="G10879" s="35" t="s">
        <v>2075</v>
      </c>
    </row>
    <row r="10880" spans="1:7">
      <c r="A10880" s="34">
        <v>2084053298</v>
      </c>
      <c r="B10880" s="35" t="s">
        <v>462</v>
      </c>
      <c r="C10880" s="35" t="s">
        <v>2016</v>
      </c>
      <c r="D10880" s="35" t="s">
        <v>2140</v>
      </c>
      <c r="E10880" s="35" t="s">
        <v>368</v>
      </c>
      <c r="F10880" s="35" t="s">
        <v>552</v>
      </c>
      <c r="G10880" s="35" t="s">
        <v>2076</v>
      </c>
    </row>
    <row r="10881" spans="1:7">
      <c r="A10881" s="34">
        <v>2084053299</v>
      </c>
      <c r="B10881" s="35" t="s">
        <v>462</v>
      </c>
      <c r="C10881" s="35" t="s">
        <v>2016</v>
      </c>
      <c r="D10881" s="35" t="s">
        <v>2140</v>
      </c>
      <c r="E10881" s="35" t="s">
        <v>368</v>
      </c>
      <c r="F10881" s="35" t="s">
        <v>552</v>
      </c>
      <c r="G10881" s="35" t="s">
        <v>2077</v>
      </c>
    </row>
    <row r="10882" spans="1:7">
      <c r="A10882" s="34">
        <v>2084053300</v>
      </c>
      <c r="B10882" s="35" t="s">
        <v>462</v>
      </c>
      <c r="C10882" s="35" t="s">
        <v>2016</v>
      </c>
      <c r="D10882" s="35" t="s">
        <v>2140</v>
      </c>
      <c r="E10882" s="35" t="s">
        <v>368</v>
      </c>
      <c r="F10882" s="35" t="s">
        <v>552</v>
      </c>
      <c r="G10882" s="35" t="s">
        <v>2078</v>
      </c>
    </row>
    <row r="10883" spans="1:7">
      <c r="A10883" s="34">
        <v>2084053301</v>
      </c>
      <c r="B10883" s="35" t="s">
        <v>462</v>
      </c>
      <c r="C10883" s="35" t="s">
        <v>2016</v>
      </c>
      <c r="D10883" s="35" t="s">
        <v>2140</v>
      </c>
      <c r="E10883" s="35" t="s">
        <v>368</v>
      </c>
      <c r="F10883" s="35" t="s">
        <v>552</v>
      </c>
      <c r="G10883" s="35" t="s">
        <v>2079</v>
      </c>
    </row>
    <row r="10884" spans="1:7">
      <c r="A10884" s="34">
        <v>2084053302</v>
      </c>
      <c r="B10884" s="35" t="s">
        <v>462</v>
      </c>
      <c r="C10884" s="35" t="s">
        <v>2016</v>
      </c>
      <c r="D10884" s="35" t="s">
        <v>2140</v>
      </c>
      <c r="E10884" s="35" t="s">
        <v>368</v>
      </c>
      <c r="F10884" s="35" t="s">
        <v>552</v>
      </c>
      <c r="G10884" s="35" t="s">
        <v>2080</v>
      </c>
    </row>
    <row r="10885" spans="1:7">
      <c r="A10885" s="34">
        <v>2084053303</v>
      </c>
      <c r="B10885" s="35" t="s">
        <v>462</v>
      </c>
      <c r="C10885" s="35" t="s">
        <v>2016</v>
      </c>
      <c r="D10885" s="35" t="s">
        <v>2140</v>
      </c>
      <c r="E10885" s="35" t="s">
        <v>368</v>
      </c>
      <c r="F10885" s="35" t="s">
        <v>552</v>
      </c>
      <c r="G10885" s="35" t="s">
        <v>2081</v>
      </c>
    </row>
    <row r="10886" spans="1:7">
      <c r="A10886" s="34">
        <v>2084054877</v>
      </c>
      <c r="B10886" s="35" t="s">
        <v>462</v>
      </c>
      <c r="C10886" s="35" t="s">
        <v>2016</v>
      </c>
      <c r="D10886" s="35" t="s">
        <v>2140</v>
      </c>
      <c r="E10886" s="35" t="s">
        <v>368</v>
      </c>
      <c r="F10886" s="35" t="s">
        <v>1408</v>
      </c>
      <c r="G10886" s="35" t="s">
        <v>2075</v>
      </c>
    </row>
    <row r="10887" spans="1:7">
      <c r="A10887" s="34">
        <v>2084054878</v>
      </c>
      <c r="B10887" s="35" t="s">
        <v>462</v>
      </c>
      <c r="C10887" s="35" t="s">
        <v>2016</v>
      </c>
      <c r="D10887" s="35" t="s">
        <v>2140</v>
      </c>
      <c r="E10887" s="35" t="s">
        <v>368</v>
      </c>
      <c r="F10887" s="35" t="s">
        <v>1408</v>
      </c>
      <c r="G10887" s="35" t="s">
        <v>2076</v>
      </c>
    </row>
    <row r="10888" spans="1:7">
      <c r="A10888" s="34">
        <v>2084054879</v>
      </c>
      <c r="B10888" s="35" t="s">
        <v>462</v>
      </c>
      <c r="C10888" s="35" t="s">
        <v>2016</v>
      </c>
      <c r="D10888" s="35" t="s">
        <v>2140</v>
      </c>
      <c r="E10888" s="35" t="s">
        <v>368</v>
      </c>
      <c r="F10888" s="35" t="s">
        <v>1408</v>
      </c>
      <c r="G10888" s="35" t="s">
        <v>2077</v>
      </c>
    </row>
    <row r="10889" spans="1:7">
      <c r="A10889" s="34">
        <v>2084054880</v>
      </c>
      <c r="B10889" s="35" t="s">
        <v>462</v>
      </c>
      <c r="C10889" s="35" t="s">
        <v>2016</v>
      </c>
      <c r="D10889" s="35" t="s">
        <v>2140</v>
      </c>
      <c r="E10889" s="35" t="s">
        <v>368</v>
      </c>
      <c r="F10889" s="35" t="s">
        <v>1408</v>
      </c>
      <c r="G10889" s="35" t="s">
        <v>2078</v>
      </c>
    </row>
    <row r="10890" spans="1:7">
      <c r="A10890" s="34">
        <v>2084054881</v>
      </c>
      <c r="B10890" s="35" t="s">
        <v>462</v>
      </c>
      <c r="C10890" s="35" t="s">
        <v>2016</v>
      </c>
      <c r="D10890" s="35" t="s">
        <v>2140</v>
      </c>
      <c r="E10890" s="35" t="s">
        <v>368</v>
      </c>
      <c r="F10890" s="35" t="s">
        <v>1408</v>
      </c>
      <c r="G10890" s="35" t="s">
        <v>2079</v>
      </c>
    </row>
    <row r="10891" spans="1:7">
      <c r="A10891" s="34">
        <v>2084054882</v>
      </c>
      <c r="B10891" s="35" t="s">
        <v>462</v>
      </c>
      <c r="C10891" s="35" t="s">
        <v>2016</v>
      </c>
      <c r="D10891" s="35" t="s">
        <v>2140</v>
      </c>
      <c r="E10891" s="35" t="s">
        <v>368</v>
      </c>
      <c r="F10891" s="35" t="s">
        <v>1408</v>
      </c>
      <c r="G10891" s="35" t="s">
        <v>2080</v>
      </c>
    </row>
    <row r="10892" spans="1:7">
      <c r="A10892" s="34">
        <v>2084054883</v>
      </c>
      <c r="B10892" s="35" t="s">
        <v>462</v>
      </c>
      <c r="C10892" s="35" t="s">
        <v>2016</v>
      </c>
      <c r="D10892" s="35" t="s">
        <v>2140</v>
      </c>
      <c r="E10892" s="35" t="s">
        <v>368</v>
      </c>
      <c r="F10892" s="35" t="s">
        <v>1408</v>
      </c>
      <c r="G10892" s="35" t="s">
        <v>2081</v>
      </c>
    </row>
    <row r="10893" spans="1:7">
      <c r="A10893" s="34">
        <v>2084053304</v>
      </c>
      <c r="B10893" s="35" t="s">
        <v>462</v>
      </c>
      <c r="C10893" s="35" t="s">
        <v>2016</v>
      </c>
      <c r="D10893" s="35" t="s">
        <v>2140</v>
      </c>
      <c r="E10893" s="35" t="s">
        <v>368</v>
      </c>
      <c r="F10893" s="35" t="s">
        <v>1583</v>
      </c>
      <c r="G10893" s="35" t="s">
        <v>2075</v>
      </c>
    </row>
    <row r="10894" spans="1:7">
      <c r="A10894" s="34">
        <v>2084053305</v>
      </c>
      <c r="B10894" s="35" t="s">
        <v>462</v>
      </c>
      <c r="C10894" s="35" t="s">
        <v>2016</v>
      </c>
      <c r="D10894" s="35" t="s">
        <v>2140</v>
      </c>
      <c r="E10894" s="35" t="s">
        <v>368</v>
      </c>
      <c r="F10894" s="35" t="s">
        <v>1583</v>
      </c>
      <c r="G10894" s="35" t="s">
        <v>2076</v>
      </c>
    </row>
    <row r="10895" spans="1:7">
      <c r="A10895" s="34">
        <v>2084053306</v>
      </c>
      <c r="B10895" s="35" t="s">
        <v>462</v>
      </c>
      <c r="C10895" s="35" t="s">
        <v>2016</v>
      </c>
      <c r="D10895" s="35" t="s">
        <v>2140</v>
      </c>
      <c r="E10895" s="35" t="s">
        <v>368</v>
      </c>
      <c r="F10895" s="35" t="s">
        <v>1583</v>
      </c>
      <c r="G10895" s="35" t="s">
        <v>2077</v>
      </c>
    </row>
    <row r="10896" spans="1:7">
      <c r="A10896" s="34">
        <v>2084053307</v>
      </c>
      <c r="B10896" s="35" t="s">
        <v>462</v>
      </c>
      <c r="C10896" s="35" t="s">
        <v>2016</v>
      </c>
      <c r="D10896" s="35" t="s">
        <v>2140</v>
      </c>
      <c r="E10896" s="35" t="s">
        <v>368</v>
      </c>
      <c r="F10896" s="35" t="s">
        <v>1583</v>
      </c>
      <c r="G10896" s="35" t="s">
        <v>2078</v>
      </c>
    </row>
    <row r="10897" spans="1:7">
      <c r="A10897" s="34">
        <v>2084053308</v>
      </c>
      <c r="B10897" s="35" t="s">
        <v>462</v>
      </c>
      <c r="C10897" s="35" t="s">
        <v>2016</v>
      </c>
      <c r="D10897" s="35" t="s">
        <v>2140</v>
      </c>
      <c r="E10897" s="35" t="s">
        <v>368</v>
      </c>
      <c r="F10897" s="35" t="s">
        <v>1583</v>
      </c>
      <c r="G10897" s="35" t="s">
        <v>2079</v>
      </c>
    </row>
    <row r="10898" spans="1:7">
      <c r="A10898" s="34">
        <v>2084053309</v>
      </c>
      <c r="B10898" s="35" t="s">
        <v>462</v>
      </c>
      <c r="C10898" s="35" t="s">
        <v>2016</v>
      </c>
      <c r="D10898" s="35" t="s">
        <v>2140</v>
      </c>
      <c r="E10898" s="35" t="s">
        <v>368</v>
      </c>
      <c r="F10898" s="35" t="s">
        <v>1583</v>
      </c>
      <c r="G10898" s="35" t="s">
        <v>2080</v>
      </c>
    </row>
    <row r="10899" spans="1:7">
      <c r="A10899" s="34">
        <v>2084053310</v>
      </c>
      <c r="B10899" s="35" t="s">
        <v>462</v>
      </c>
      <c r="C10899" s="35" t="s">
        <v>2016</v>
      </c>
      <c r="D10899" s="35" t="s">
        <v>2140</v>
      </c>
      <c r="E10899" s="35" t="s">
        <v>368</v>
      </c>
      <c r="F10899" s="35" t="s">
        <v>1583</v>
      </c>
      <c r="G10899" s="35" t="s">
        <v>2081</v>
      </c>
    </row>
    <row r="10900" spans="1:7">
      <c r="A10900" s="34">
        <v>2084053454</v>
      </c>
      <c r="B10900" s="35" t="s">
        <v>462</v>
      </c>
      <c r="C10900" s="35" t="s">
        <v>2016</v>
      </c>
      <c r="D10900" s="35" t="s">
        <v>2140</v>
      </c>
      <c r="E10900" s="35" t="s">
        <v>10</v>
      </c>
      <c r="F10900" s="35" t="s">
        <v>2136</v>
      </c>
      <c r="G10900" s="35" t="s">
        <v>2075</v>
      </c>
    </row>
    <row r="10901" spans="1:7">
      <c r="A10901" s="34">
        <v>2084053455</v>
      </c>
      <c r="B10901" s="35" t="s">
        <v>462</v>
      </c>
      <c r="C10901" s="35" t="s">
        <v>2016</v>
      </c>
      <c r="D10901" s="35" t="s">
        <v>2140</v>
      </c>
      <c r="E10901" s="35" t="s">
        <v>10</v>
      </c>
      <c r="F10901" s="35" t="s">
        <v>2136</v>
      </c>
      <c r="G10901" s="35" t="s">
        <v>2076</v>
      </c>
    </row>
    <row r="10902" spans="1:7">
      <c r="A10902" s="34">
        <v>2084053456</v>
      </c>
      <c r="B10902" s="35" t="s">
        <v>462</v>
      </c>
      <c r="C10902" s="35" t="s">
        <v>2016</v>
      </c>
      <c r="D10902" s="35" t="s">
        <v>2140</v>
      </c>
      <c r="E10902" s="35" t="s">
        <v>10</v>
      </c>
      <c r="F10902" s="35" t="s">
        <v>2136</v>
      </c>
      <c r="G10902" s="35" t="s">
        <v>2077</v>
      </c>
    </row>
    <row r="10903" spans="1:7">
      <c r="A10903" s="34">
        <v>2084053457</v>
      </c>
      <c r="B10903" s="35" t="s">
        <v>462</v>
      </c>
      <c r="C10903" s="35" t="s">
        <v>2016</v>
      </c>
      <c r="D10903" s="35" t="s">
        <v>2140</v>
      </c>
      <c r="E10903" s="35" t="s">
        <v>10</v>
      </c>
      <c r="F10903" s="35" t="s">
        <v>2136</v>
      </c>
      <c r="G10903" s="35" t="s">
        <v>2078</v>
      </c>
    </row>
    <row r="10904" spans="1:7">
      <c r="A10904" s="34">
        <v>2084053458</v>
      </c>
      <c r="B10904" s="35" t="s">
        <v>462</v>
      </c>
      <c r="C10904" s="35" t="s">
        <v>2016</v>
      </c>
      <c r="D10904" s="35" t="s">
        <v>2140</v>
      </c>
      <c r="E10904" s="35" t="s">
        <v>10</v>
      </c>
      <c r="F10904" s="35" t="s">
        <v>2136</v>
      </c>
      <c r="G10904" s="35" t="s">
        <v>2079</v>
      </c>
    </row>
    <row r="10905" spans="1:7">
      <c r="A10905" s="34">
        <v>2084053459</v>
      </c>
      <c r="B10905" s="35" t="s">
        <v>462</v>
      </c>
      <c r="C10905" s="35" t="s">
        <v>2016</v>
      </c>
      <c r="D10905" s="35" t="s">
        <v>2140</v>
      </c>
      <c r="E10905" s="35" t="s">
        <v>10</v>
      </c>
      <c r="F10905" s="35" t="s">
        <v>2136</v>
      </c>
      <c r="G10905" s="35" t="s">
        <v>2080</v>
      </c>
    </row>
    <row r="10906" spans="1:7">
      <c r="A10906" s="34">
        <v>2084053460</v>
      </c>
      <c r="B10906" s="35" t="s">
        <v>462</v>
      </c>
      <c r="C10906" s="35" t="s">
        <v>2016</v>
      </c>
      <c r="D10906" s="35" t="s">
        <v>2140</v>
      </c>
      <c r="E10906" s="35" t="s">
        <v>10</v>
      </c>
      <c r="F10906" s="35" t="s">
        <v>2136</v>
      </c>
      <c r="G10906" s="35" t="s">
        <v>2081</v>
      </c>
    </row>
    <row r="10907" spans="1:7">
      <c r="A10907" s="34">
        <v>2084053475</v>
      </c>
      <c r="B10907" s="35" t="s">
        <v>462</v>
      </c>
      <c r="C10907" s="35" t="s">
        <v>2016</v>
      </c>
      <c r="D10907" s="35" t="s">
        <v>2140</v>
      </c>
      <c r="E10907" s="35" t="s">
        <v>10</v>
      </c>
      <c r="F10907" s="35" t="s">
        <v>1432</v>
      </c>
      <c r="G10907" s="35" t="s">
        <v>2075</v>
      </c>
    </row>
    <row r="10908" spans="1:7">
      <c r="A10908" s="34">
        <v>2084053476</v>
      </c>
      <c r="B10908" s="35" t="s">
        <v>462</v>
      </c>
      <c r="C10908" s="35" t="s">
        <v>2016</v>
      </c>
      <c r="D10908" s="35" t="s">
        <v>2140</v>
      </c>
      <c r="E10908" s="35" t="s">
        <v>10</v>
      </c>
      <c r="F10908" s="35" t="s">
        <v>1432</v>
      </c>
      <c r="G10908" s="35" t="s">
        <v>2076</v>
      </c>
    </row>
    <row r="10909" spans="1:7">
      <c r="A10909" s="34">
        <v>2084053477</v>
      </c>
      <c r="B10909" s="35" t="s">
        <v>462</v>
      </c>
      <c r="C10909" s="35" t="s">
        <v>2016</v>
      </c>
      <c r="D10909" s="35" t="s">
        <v>2140</v>
      </c>
      <c r="E10909" s="35" t="s">
        <v>10</v>
      </c>
      <c r="F10909" s="35" t="s">
        <v>1432</v>
      </c>
      <c r="G10909" s="35" t="s">
        <v>2077</v>
      </c>
    </row>
    <row r="10910" spans="1:7">
      <c r="A10910" s="34">
        <v>2084053478</v>
      </c>
      <c r="B10910" s="35" t="s">
        <v>462</v>
      </c>
      <c r="C10910" s="35" t="s">
        <v>2016</v>
      </c>
      <c r="D10910" s="35" t="s">
        <v>2140</v>
      </c>
      <c r="E10910" s="35" t="s">
        <v>10</v>
      </c>
      <c r="F10910" s="35" t="s">
        <v>1432</v>
      </c>
      <c r="G10910" s="35" t="s">
        <v>2078</v>
      </c>
    </row>
    <row r="10911" spans="1:7">
      <c r="A10911" s="34">
        <v>2084053479</v>
      </c>
      <c r="B10911" s="35" t="s">
        <v>462</v>
      </c>
      <c r="C10911" s="35" t="s">
        <v>2016</v>
      </c>
      <c r="D10911" s="35" t="s">
        <v>2140</v>
      </c>
      <c r="E10911" s="35" t="s">
        <v>10</v>
      </c>
      <c r="F10911" s="35" t="s">
        <v>1432</v>
      </c>
      <c r="G10911" s="35" t="s">
        <v>2079</v>
      </c>
    </row>
    <row r="10912" spans="1:7">
      <c r="A10912" s="34">
        <v>2084053480</v>
      </c>
      <c r="B10912" s="35" t="s">
        <v>462</v>
      </c>
      <c r="C10912" s="35" t="s">
        <v>2016</v>
      </c>
      <c r="D10912" s="35" t="s">
        <v>2140</v>
      </c>
      <c r="E10912" s="35" t="s">
        <v>10</v>
      </c>
      <c r="F10912" s="35" t="s">
        <v>1432</v>
      </c>
      <c r="G10912" s="35" t="s">
        <v>2080</v>
      </c>
    </row>
    <row r="10913" spans="1:7">
      <c r="A10913" s="34">
        <v>2084053481</v>
      </c>
      <c r="B10913" s="35" t="s">
        <v>462</v>
      </c>
      <c r="C10913" s="35" t="s">
        <v>2016</v>
      </c>
      <c r="D10913" s="35" t="s">
        <v>2140</v>
      </c>
      <c r="E10913" s="35" t="s">
        <v>10</v>
      </c>
      <c r="F10913" s="35" t="s">
        <v>1432</v>
      </c>
      <c r="G10913" s="35" t="s">
        <v>2081</v>
      </c>
    </row>
    <row r="10914" spans="1:7">
      <c r="A10914" s="34">
        <v>2084053315</v>
      </c>
      <c r="B10914" s="35" t="s">
        <v>462</v>
      </c>
      <c r="C10914" s="35" t="s">
        <v>2016</v>
      </c>
      <c r="D10914" s="35" t="s">
        <v>2140</v>
      </c>
      <c r="E10914" s="35" t="s">
        <v>10</v>
      </c>
      <c r="F10914" s="35" t="s">
        <v>373</v>
      </c>
      <c r="G10914" s="35" t="s">
        <v>2075</v>
      </c>
    </row>
    <row r="10915" spans="1:7">
      <c r="A10915" s="34">
        <v>2084053316</v>
      </c>
      <c r="B10915" s="35" t="s">
        <v>462</v>
      </c>
      <c r="C10915" s="35" t="s">
        <v>2016</v>
      </c>
      <c r="D10915" s="35" t="s">
        <v>2140</v>
      </c>
      <c r="E10915" s="35" t="s">
        <v>10</v>
      </c>
      <c r="F10915" s="35" t="s">
        <v>373</v>
      </c>
      <c r="G10915" s="35" t="s">
        <v>2076</v>
      </c>
    </row>
    <row r="10916" spans="1:7">
      <c r="A10916" s="34">
        <v>2084053317</v>
      </c>
      <c r="B10916" s="35" t="s">
        <v>462</v>
      </c>
      <c r="C10916" s="35" t="s">
        <v>2016</v>
      </c>
      <c r="D10916" s="35" t="s">
        <v>2140</v>
      </c>
      <c r="E10916" s="35" t="s">
        <v>10</v>
      </c>
      <c r="F10916" s="35" t="s">
        <v>373</v>
      </c>
      <c r="G10916" s="35" t="s">
        <v>2077</v>
      </c>
    </row>
    <row r="10917" spans="1:7">
      <c r="A10917" s="34">
        <v>2084053318</v>
      </c>
      <c r="B10917" s="35" t="s">
        <v>462</v>
      </c>
      <c r="C10917" s="35" t="s">
        <v>2016</v>
      </c>
      <c r="D10917" s="35" t="s">
        <v>2140</v>
      </c>
      <c r="E10917" s="35" t="s">
        <v>10</v>
      </c>
      <c r="F10917" s="35" t="s">
        <v>373</v>
      </c>
      <c r="G10917" s="35" t="s">
        <v>2078</v>
      </c>
    </row>
    <row r="10918" spans="1:7">
      <c r="A10918" s="34">
        <v>2084053319</v>
      </c>
      <c r="B10918" s="35" t="s">
        <v>462</v>
      </c>
      <c r="C10918" s="35" t="s">
        <v>2016</v>
      </c>
      <c r="D10918" s="35" t="s">
        <v>2140</v>
      </c>
      <c r="E10918" s="35" t="s">
        <v>10</v>
      </c>
      <c r="F10918" s="35" t="s">
        <v>373</v>
      </c>
      <c r="G10918" s="35" t="s">
        <v>2079</v>
      </c>
    </row>
    <row r="10919" spans="1:7">
      <c r="A10919" s="34">
        <v>2084053320</v>
      </c>
      <c r="B10919" s="35" t="s">
        <v>462</v>
      </c>
      <c r="C10919" s="35" t="s">
        <v>2016</v>
      </c>
      <c r="D10919" s="35" t="s">
        <v>2140</v>
      </c>
      <c r="E10919" s="35" t="s">
        <v>10</v>
      </c>
      <c r="F10919" s="35" t="s">
        <v>373</v>
      </c>
      <c r="G10919" s="35" t="s">
        <v>2080</v>
      </c>
    </row>
    <row r="10920" spans="1:7">
      <c r="A10920" s="34">
        <v>2084053321</v>
      </c>
      <c r="B10920" s="35" t="s">
        <v>462</v>
      </c>
      <c r="C10920" s="35" t="s">
        <v>2016</v>
      </c>
      <c r="D10920" s="35" t="s">
        <v>2140</v>
      </c>
      <c r="E10920" s="35" t="s">
        <v>10</v>
      </c>
      <c r="F10920" s="35" t="s">
        <v>373</v>
      </c>
      <c r="G10920" s="35" t="s">
        <v>2081</v>
      </c>
    </row>
    <row r="10921" spans="1:7">
      <c r="A10921" s="34">
        <v>2084053322</v>
      </c>
      <c r="B10921" s="35" t="s">
        <v>462</v>
      </c>
      <c r="C10921" s="35" t="s">
        <v>2016</v>
      </c>
      <c r="D10921" s="35" t="s">
        <v>2140</v>
      </c>
      <c r="E10921" s="35" t="s">
        <v>10</v>
      </c>
      <c r="F10921" s="35" t="s">
        <v>887</v>
      </c>
      <c r="G10921" s="35" t="s">
        <v>2075</v>
      </c>
    </row>
    <row r="10922" spans="1:7">
      <c r="A10922" s="34">
        <v>2084053323</v>
      </c>
      <c r="B10922" s="35" t="s">
        <v>462</v>
      </c>
      <c r="C10922" s="35" t="s">
        <v>2016</v>
      </c>
      <c r="D10922" s="35" t="s">
        <v>2140</v>
      </c>
      <c r="E10922" s="35" t="s">
        <v>10</v>
      </c>
      <c r="F10922" s="35" t="s">
        <v>887</v>
      </c>
      <c r="G10922" s="35" t="s">
        <v>2076</v>
      </c>
    </row>
    <row r="10923" spans="1:7">
      <c r="A10923" s="34">
        <v>2084053324</v>
      </c>
      <c r="B10923" s="35" t="s">
        <v>462</v>
      </c>
      <c r="C10923" s="35" t="s">
        <v>2016</v>
      </c>
      <c r="D10923" s="35" t="s">
        <v>2140</v>
      </c>
      <c r="E10923" s="35" t="s">
        <v>10</v>
      </c>
      <c r="F10923" s="35" t="s">
        <v>887</v>
      </c>
      <c r="G10923" s="35" t="s">
        <v>2077</v>
      </c>
    </row>
    <row r="10924" spans="1:7">
      <c r="A10924" s="34">
        <v>2084053325</v>
      </c>
      <c r="B10924" s="35" t="s">
        <v>462</v>
      </c>
      <c r="C10924" s="35" t="s">
        <v>2016</v>
      </c>
      <c r="D10924" s="35" t="s">
        <v>2140</v>
      </c>
      <c r="E10924" s="35" t="s">
        <v>10</v>
      </c>
      <c r="F10924" s="35" t="s">
        <v>887</v>
      </c>
      <c r="G10924" s="35" t="s">
        <v>2078</v>
      </c>
    </row>
    <row r="10925" spans="1:7">
      <c r="A10925" s="34">
        <v>2084053326</v>
      </c>
      <c r="B10925" s="35" t="s">
        <v>462</v>
      </c>
      <c r="C10925" s="35" t="s">
        <v>2016</v>
      </c>
      <c r="D10925" s="35" t="s">
        <v>2140</v>
      </c>
      <c r="E10925" s="35" t="s">
        <v>10</v>
      </c>
      <c r="F10925" s="35" t="s">
        <v>887</v>
      </c>
      <c r="G10925" s="35" t="s">
        <v>2079</v>
      </c>
    </row>
    <row r="10926" spans="1:7">
      <c r="A10926" s="34">
        <v>2084053327</v>
      </c>
      <c r="B10926" s="35" t="s">
        <v>462</v>
      </c>
      <c r="C10926" s="35" t="s">
        <v>2016</v>
      </c>
      <c r="D10926" s="35" t="s">
        <v>2140</v>
      </c>
      <c r="E10926" s="35" t="s">
        <v>10</v>
      </c>
      <c r="F10926" s="35" t="s">
        <v>887</v>
      </c>
      <c r="G10926" s="35" t="s">
        <v>2080</v>
      </c>
    </row>
    <row r="10927" spans="1:7">
      <c r="A10927" s="34">
        <v>2084053328</v>
      </c>
      <c r="B10927" s="35" t="s">
        <v>462</v>
      </c>
      <c r="C10927" s="35" t="s">
        <v>2016</v>
      </c>
      <c r="D10927" s="35" t="s">
        <v>2140</v>
      </c>
      <c r="E10927" s="35" t="s">
        <v>10</v>
      </c>
      <c r="F10927" s="35" t="s">
        <v>887</v>
      </c>
      <c r="G10927" s="35" t="s">
        <v>2081</v>
      </c>
    </row>
    <row r="10928" spans="1:7">
      <c r="A10928" s="34">
        <v>2084053329</v>
      </c>
      <c r="B10928" s="35" t="s">
        <v>462</v>
      </c>
      <c r="C10928" s="35" t="s">
        <v>2016</v>
      </c>
      <c r="D10928" s="35" t="s">
        <v>2140</v>
      </c>
      <c r="E10928" s="35" t="s">
        <v>10</v>
      </c>
      <c r="F10928" s="35" t="s">
        <v>378</v>
      </c>
      <c r="G10928" s="35" t="s">
        <v>2075</v>
      </c>
    </row>
    <row r="10929" spans="1:7">
      <c r="A10929" s="34">
        <v>2084053330</v>
      </c>
      <c r="B10929" s="35" t="s">
        <v>462</v>
      </c>
      <c r="C10929" s="35" t="s">
        <v>2016</v>
      </c>
      <c r="D10929" s="35" t="s">
        <v>2140</v>
      </c>
      <c r="E10929" s="35" t="s">
        <v>10</v>
      </c>
      <c r="F10929" s="35" t="s">
        <v>378</v>
      </c>
      <c r="G10929" s="35" t="s">
        <v>2076</v>
      </c>
    </row>
    <row r="10930" spans="1:7">
      <c r="A10930" s="34">
        <v>2084053331</v>
      </c>
      <c r="B10930" s="35" t="s">
        <v>462</v>
      </c>
      <c r="C10930" s="35" t="s">
        <v>2016</v>
      </c>
      <c r="D10930" s="35" t="s">
        <v>2140</v>
      </c>
      <c r="E10930" s="35" t="s">
        <v>10</v>
      </c>
      <c r="F10930" s="35" t="s">
        <v>378</v>
      </c>
      <c r="G10930" s="35" t="s">
        <v>2077</v>
      </c>
    </row>
    <row r="10931" spans="1:7">
      <c r="A10931" s="34">
        <v>2084053332</v>
      </c>
      <c r="B10931" s="35" t="s">
        <v>462</v>
      </c>
      <c r="C10931" s="35" t="s">
        <v>2016</v>
      </c>
      <c r="D10931" s="35" t="s">
        <v>2140</v>
      </c>
      <c r="E10931" s="35" t="s">
        <v>10</v>
      </c>
      <c r="F10931" s="35" t="s">
        <v>378</v>
      </c>
      <c r="G10931" s="35" t="s">
        <v>2078</v>
      </c>
    </row>
    <row r="10932" spans="1:7">
      <c r="A10932" s="34">
        <v>2084053333</v>
      </c>
      <c r="B10932" s="35" t="s">
        <v>462</v>
      </c>
      <c r="C10932" s="35" t="s">
        <v>2016</v>
      </c>
      <c r="D10932" s="35" t="s">
        <v>2140</v>
      </c>
      <c r="E10932" s="35" t="s">
        <v>10</v>
      </c>
      <c r="F10932" s="35" t="s">
        <v>378</v>
      </c>
      <c r="G10932" s="35" t="s">
        <v>2079</v>
      </c>
    </row>
    <row r="10933" spans="1:7">
      <c r="A10933" s="34">
        <v>2084053334</v>
      </c>
      <c r="B10933" s="35" t="s">
        <v>462</v>
      </c>
      <c r="C10933" s="35" t="s">
        <v>2016</v>
      </c>
      <c r="D10933" s="35" t="s">
        <v>2140</v>
      </c>
      <c r="E10933" s="35" t="s">
        <v>10</v>
      </c>
      <c r="F10933" s="35" t="s">
        <v>378</v>
      </c>
      <c r="G10933" s="35" t="s">
        <v>2080</v>
      </c>
    </row>
    <row r="10934" spans="1:7">
      <c r="A10934" s="34">
        <v>2084053335</v>
      </c>
      <c r="B10934" s="35" t="s">
        <v>462</v>
      </c>
      <c r="C10934" s="35" t="s">
        <v>2016</v>
      </c>
      <c r="D10934" s="35" t="s">
        <v>2140</v>
      </c>
      <c r="E10934" s="35" t="s">
        <v>10</v>
      </c>
      <c r="F10934" s="35" t="s">
        <v>378</v>
      </c>
      <c r="G10934" s="35" t="s">
        <v>2081</v>
      </c>
    </row>
    <row r="10935" spans="1:7">
      <c r="A10935" s="34">
        <v>2084053336</v>
      </c>
      <c r="B10935" s="35" t="s">
        <v>462</v>
      </c>
      <c r="C10935" s="35" t="s">
        <v>2016</v>
      </c>
      <c r="D10935" s="35" t="s">
        <v>2140</v>
      </c>
      <c r="E10935" s="35" t="s">
        <v>10</v>
      </c>
      <c r="F10935" s="35" t="s">
        <v>1092</v>
      </c>
      <c r="G10935" s="35" t="s">
        <v>2075</v>
      </c>
    </row>
    <row r="10936" spans="1:7">
      <c r="A10936" s="34">
        <v>2084053337</v>
      </c>
      <c r="B10936" s="35" t="s">
        <v>462</v>
      </c>
      <c r="C10936" s="35" t="s">
        <v>2016</v>
      </c>
      <c r="D10936" s="35" t="s">
        <v>2140</v>
      </c>
      <c r="E10936" s="35" t="s">
        <v>10</v>
      </c>
      <c r="F10936" s="35" t="s">
        <v>1092</v>
      </c>
      <c r="G10936" s="35" t="s">
        <v>2076</v>
      </c>
    </row>
    <row r="10937" spans="1:7">
      <c r="A10937" s="34">
        <v>2084053338</v>
      </c>
      <c r="B10937" s="35" t="s">
        <v>462</v>
      </c>
      <c r="C10937" s="35" t="s">
        <v>2016</v>
      </c>
      <c r="D10937" s="35" t="s">
        <v>2140</v>
      </c>
      <c r="E10937" s="35" t="s">
        <v>10</v>
      </c>
      <c r="F10937" s="35" t="s">
        <v>1092</v>
      </c>
      <c r="G10937" s="35" t="s">
        <v>2077</v>
      </c>
    </row>
    <row r="10938" spans="1:7">
      <c r="A10938" s="34">
        <v>2084053339</v>
      </c>
      <c r="B10938" s="35" t="s">
        <v>462</v>
      </c>
      <c r="C10938" s="35" t="s">
        <v>2016</v>
      </c>
      <c r="D10938" s="35" t="s">
        <v>2140</v>
      </c>
      <c r="E10938" s="35" t="s">
        <v>10</v>
      </c>
      <c r="F10938" s="35" t="s">
        <v>1092</v>
      </c>
      <c r="G10938" s="35" t="s">
        <v>2078</v>
      </c>
    </row>
    <row r="10939" spans="1:7">
      <c r="A10939" s="34">
        <v>2084053340</v>
      </c>
      <c r="B10939" s="35" t="s">
        <v>462</v>
      </c>
      <c r="C10939" s="35" t="s">
        <v>2016</v>
      </c>
      <c r="D10939" s="35" t="s">
        <v>2140</v>
      </c>
      <c r="E10939" s="35" t="s">
        <v>10</v>
      </c>
      <c r="F10939" s="35" t="s">
        <v>1092</v>
      </c>
      <c r="G10939" s="35" t="s">
        <v>2079</v>
      </c>
    </row>
    <row r="10940" spans="1:7">
      <c r="A10940" s="34">
        <v>2084053341</v>
      </c>
      <c r="B10940" s="35" t="s">
        <v>462</v>
      </c>
      <c r="C10940" s="35" t="s">
        <v>2016</v>
      </c>
      <c r="D10940" s="35" t="s">
        <v>2140</v>
      </c>
      <c r="E10940" s="35" t="s">
        <v>10</v>
      </c>
      <c r="F10940" s="35" t="s">
        <v>1092</v>
      </c>
      <c r="G10940" s="35" t="s">
        <v>2080</v>
      </c>
    </row>
    <row r="10941" spans="1:7">
      <c r="A10941" s="34">
        <v>2084053342</v>
      </c>
      <c r="B10941" s="35" t="s">
        <v>462</v>
      </c>
      <c r="C10941" s="35" t="s">
        <v>2016</v>
      </c>
      <c r="D10941" s="35" t="s">
        <v>2140</v>
      </c>
      <c r="E10941" s="35" t="s">
        <v>10</v>
      </c>
      <c r="F10941" s="35" t="s">
        <v>1092</v>
      </c>
      <c r="G10941" s="35" t="s">
        <v>2081</v>
      </c>
    </row>
    <row r="10942" spans="1:7">
      <c r="A10942" s="34">
        <v>2084053461</v>
      </c>
      <c r="B10942" s="35" t="s">
        <v>462</v>
      </c>
      <c r="C10942" s="35" t="s">
        <v>2016</v>
      </c>
      <c r="D10942" s="35" t="s">
        <v>2140</v>
      </c>
      <c r="E10942" s="35" t="s">
        <v>10</v>
      </c>
      <c r="F10942" s="35" t="s">
        <v>2141</v>
      </c>
      <c r="G10942" s="35" t="s">
        <v>2075</v>
      </c>
    </row>
    <row r="10943" spans="1:7">
      <c r="A10943" s="34">
        <v>2084053462</v>
      </c>
      <c r="B10943" s="35" t="s">
        <v>462</v>
      </c>
      <c r="C10943" s="35" t="s">
        <v>2016</v>
      </c>
      <c r="D10943" s="35" t="s">
        <v>2140</v>
      </c>
      <c r="E10943" s="35" t="s">
        <v>10</v>
      </c>
      <c r="F10943" s="35" t="s">
        <v>2141</v>
      </c>
      <c r="G10943" s="35" t="s">
        <v>2076</v>
      </c>
    </row>
    <row r="10944" spans="1:7">
      <c r="A10944" s="34">
        <v>2084053463</v>
      </c>
      <c r="B10944" s="35" t="s">
        <v>462</v>
      </c>
      <c r="C10944" s="35" t="s">
        <v>2016</v>
      </c>
      <c r="D10944" s="35" t="s">
        <v>2140</v>
      </c>
      <c r="E10944" s="35" t="s">
        <v>10</v>
      </c>
      <c r="F10944" s="35" t="s">
        <v>2141</v>
      </c>
      <c r="G10944" s="35" t="s">
        <v>2077</v>
      </c>
    </row>
    <row r="10945" spans="1:7">
      <c r="A10945" s="34">
        <v>2084053464</v>
      </c>
      <c r="B10945" s="35" t="s">
        <v>462</v>
      </c>
      <c r="C10945" s="35" t="s">
        <v>2016</v>
      </c>
      <c r="D10945" s="35" t="s">
        <v>2140</v>
      </c>
      <c r="E10945" s="35" t="s">
        <v>10</v>
      </c>
      <c r="F10945" s="35" t="s">
        <v>2141</v>
      </c>
      <c r="G10945" s="35" t="s">
        <v>2078</v>
      </c>
    </row>
    <row r="10946" spans="1:7">
      <c r="A10946" s="34">
        <v>2084053465</v>
      </c>
      <c r="B10946" s="35" t="s">
        <v>462</v>
      </c>
      <c r="C10946" s="35" t="s">
        <v>2016</v>
      </c>
      <c r="D10946" s="35" t="s">
        <v>2140</v>
      </c>
      <c r="E10946" s="35" t="s">
        <v>10</v>
      </c>
      <c r="F10946" s="35" t="s">
        <v>2141</v>
      </c>
      <c r="G10946" s="35" t="s">
        <v>2079</v>
      </c>
    </row>
    <row r="10947" spans="1:7">
      <c r="A10947" s="34">
        <v>2084053466</v>
      </c>
      <c r="B10947" s="35" t="s">
        <v>462</v>
      </c>
      <c r="C10947" s="35" t="s">
        <v>2016</v>
      </c>
      <c r="D10947" s="35" t="s">
        <v>2140</v>
      </c>
      <c r="E10947" s="35" t="s">
        <v>10</v>
      </c>
      <c r="F10947" s="35" t="s">
        <v>2141</v>
      </c>
      <c r="G10947" s="35" t="s">
        <v>2080</v>
      </c>
    </row>
    <row r="10948" spans="1:7">
      <c r="A10948" s="34">
        <v>2084053467</v>
      </c>
      <c r="B10948" s="35" t="s">
        <v>462</v>
      </c>
      <c r="C10948" s="35" t="s">
        <v>2016</v>
      </c>
      <c r="D10948" s="35" t="s">
        <v>2140</v>
      </c>
      <c r="E10948" s="35" t="s">
        <v>10</v>
      </c>
      <c r="F10948" s="35" t="s">
        <v>2141</v>
      </c>
      <c r="G10948" s="35" t="s">
        <v>2081</v>
      </c>
    </row>
    <row r="10949" spans="1:7">
      <c r="A10949" s="34">
        <v>2084053468</v>
      </c>
      <c r="B10949" s="35" t="s">
        <v>462</v>
      </c>
      <c r="C10949" s="35" t="s">
        <v>2016</v>
      </c>
      <c r="D10949" s="35" t="s">
        <v>2140</v>
      </c>
      <c r="E10949" s="35" t="s">
        <v>10</v>
      </c>
      <c r="F10949" s="35" t="s">
        <v>430</v>
      </c>
      <c r="G10949" s="35" t="s">
        <v>2075</v>
      </c>
    </row>
    <row r="10950" spans="1:7">
      <c r="A10950" s="34">
        <v>2084053469</v>
      </c>
      <c r="B10950" s="35" t="s">
        <v>462</v>
      </c>
      <c r="C10950" s="35" t="s">
        <v>2016</v>
      </c>
      <c r="D10950" s="35" t="s">
        <v>2140</v>
      </c>
      <c r="E10950" s="35" t="s">
        <v>10</v>
      </c>
      <c r="F10950" s="35" t="s">
        <v>430</v>
      </c>
      <c r="G10950" s="35" t="s">
        <v>2076</v>
      </c>
    </row>
    <row r="10951" spans="1:7">
      <c r="A10951" s="34">
        <v>2084053470</v>
      </c>
      <c r="B10951" s="35" t="s">
        <v>462</v>
      </c>
      <c r="C10951" s="35" t="s">
        <v>2016</v>
      </c>
      <c r="D10951" s="35" t="s">
        <v>2140</v>
      </c>
      <c r="E10951" s="35" t="s">
        <v>10</v>
      </c>
      <c r="F10951" s="35" t="s">
        <v>430</v>
      </c>
      <c r="G10951" s="35" t="s">
        <v>2077</v>
      </c>
    </row>
    <row r="10952" spans="1:7">
      <c r="A10952" s="34">
        <v>2084053471</v>
      </c>
      <c r="B10952" s="35" t="s">
        <v>462</v>
      </c>
      <c r="C10952" s="35" t="s">
        <v>2016</v>
      </c>
      <c r="D10952" s="35" t="s">
        <v>2140</v>
      </c>
      <c r="E10952" s="35" t="s">
        <v>10</v>
      </c>
      <c r="F10952" s="35" t="s">
        <v>430</v>
      </c>
      <c r="G10952" s="35" t="s">
        <v>2078</v>
      </c>
    </row>
    <row r="10953" spans="1:7">
      <c r="A10953" s="34">
        <v>2084053472</v>
      </c>
      <c r="B10953" s="35" t="s">
        <v>462</v>
      </c>
      <c r="C10953" s="35" t="s">
        <v>2016</v>
      </c>
      <c r="D10953" s="35" t="s">
        <v>2140</v>
      </c>
      <c r="E10953" s="35" t="s">
        <v>10</v>
      </c>
      <c r="F10953" s="35" t="s">
        <v>430</v>
      </c>
      <c r="G10953" s="35" t="s">
        <v>2079</v>
      </c>
    </row>
    <row r="10954" spans="1:7">
      <c r="A10954" s="34">
        <v>2084053473</v>
      </c>
      <c r="B10954" s="35" t="s">
        <v>462</v>
      </c>
      <c r="C10954" s="35" t="s">
        <v>2016</v>
      </c>
      <c r="D10954" s="35" t="s">
        <v>2140</v>
      </c>
      <c r="E10954" s="35" t="s">
        <v>10</v>
      </c>
      <c r="F10954" s="35" t="s">
        <v>430</v>
      </c>
      <c r="G10954" s="35" t="s">
        <v>2080</v>
      </c>
    </row>
    <row r="10955" spans="1:7">
      <c r="A10955" s="34">
        <v>2084053474</v>
      </c>
      <c r="B10955" s="35" t="s">
        <v>462</v>
      </c>
      <c r="C10955" s="35" t="s">
        <v>2016</v>
      </c>
      <c r="D10955" s="35" t="s">
        <v>2140</v>
      </c>
      <c r="E10955" s="35" t="s">
        <v>10</v>
      </c>
      <c r="F10955" s="35" t="s">
        <v>430</v>
      </c>
      <c r="G10955" s="35" t="s">
        <v>2081</v>
      </c>
    </row>
    <row r="10956" spans="1:7">
      <c r="A10956" s="34">
        <v>2084053440</v>
      </c>
      <c r="B10956" s="35" t="s">
        <v>462</v>
      </c>
      <c r="C10956" s="35" t="s">
        <v>2016</v>
      </c>
      <c r="D10956" s="35" t="s">
        <v>2140</v>
      </c>
      <c r="E10956" s="35" t="s">
        <v>10</v>
      </c>
      <c r="F10956" s="35" t="s">
        <v>1587</v>
      </c>
      <c r="G10956" s="35" t="s">
        <v>2075</v>
      </c>
    </row>
    <row r="10957" spans="1:7">
      <c r="A10957" s="34">
        <v>2084053441</v>
      </c>
      <c r="B10957" s="35" t="s">
        <v>462</v>
      </c>
      <c r="C10957" s="35" t="s">
        <v>2016</v>
      </c>
      <c r="D10957" s="35" t="s">
        <v>2140</v>
      </c>
      <c r="E10957" s="35" t="s">
        <v>10</v>
      </c>
      <c r="F10957" s="35" t="s">
        <v>1587</v>
      </c>
      <c r="G10957" s="35" t="s">
        <v>2076</v>
      </c>
    </row>
    <row r="10958" spans="1:7">
      <c r="A10958" s="34">
        <v>2084053442</v>
      </c>
      <c r="B10958" s="35" t="s">
        <v>462</v>
      </c>
      <c r="C10958" s="35" t="s">
        <v>2016</v>
      </c>
      <c r="D10958" s="35" t="s">
        <v>2140</v>
      </c>
      <c r="E10958" s="35" t="s">
        <v>10</v>
      </c>
      <c r="F10958" s="35" t="s">
        <v>1587</v>
      </c>
      <c r="G10958" s="35" t="s">
        <v>2077</v>
      </c>
    </row>
    <row r="10959" spans="1:7">
      <c r="A10959" s="34">
        <v>2084053443</v>
      </c>
      <c r="B10959" s="35" t="s">
        <v>462</v>
      </c>
      <c r="C10959" s="35" t="s">
        <v>2016</v>
      </c>
      <c r="D10959" s="35" t="s">
        <v>2140</v>
      </c>
      <c r="E10959" s="35" t="s">
        <v>10</v>
      </c>
      <c r="F10959" s="35" t="s">
        <v>1587</v>
      </c>
      <c r="G10959" s="35" t="s">
        <v>2078</v>
      </c>
    </row>
    <row r="10960" spans="1:7">
      <c r="A10960" s="34">
        <v>2084053444</v>
      </c>
      <c r="B10960" s="35" t="s">
        <v>462</v>
      </c>
      <c r="C10960" s="35" t="s">
        <v>2016</v>
      </c>
      <c r="D10960" s="35" t="s">
        <v>2140</v>
      </c>
      <c r="E10960" s="35" t="s">
        <v>10</v>
      </c>
      <c r="F10960" s="35" t="s">
        <v>1587</v>
      </c>
      <c r="G10960" s="35" t="s">
        <v>2079</v>
      </c>
    </row>
    <row r="10961" spans="1:7">
      <c r="A10961" s="34">
        <v>2084053445</v>
      </c>
      <c r="B10961" s="35" t="s">
        <v>462</v>
      </c>
      <c r="C10961" s="35" t="s">
        <v>2016</v>
      </c>
      <c r="D10961" s="35" t="s">
        <v>2140</v>
      </c>
      <c r="E10961" s="35" t="s">
        <v>10</v>
      </c>
      <c r="F10961" s="35" t="s">
        <v>1587</v>
      </c>
      <c r="G10961" s="35" t="s">
        <v>2080</v>
      </c>
    </row>
    <row r="10962" spans="1:7">
      <c r="A10962" s="34">
        <v>2084053446</v>
      </c>
      <c r="B10962" s="35" t="s">
        <v>462</v>
      </c>
      <c r="C10962" s="35" t="s">
        <v>2016</v>
      </c>
      <c r="D10962" s="35" t="s">
        <v>2140</v>
      </c>
      <c r="E10962" s="35" t="s">
        <v>10</v>
      </c>
      <c r="F10962" s="35" t="s">
        <v>1587</v>
      </c>
      <c r="G10962" s="35" t="s">
        <v>2081</v>
      </c>
    </row>
    <row r="10963" spans="1:7">
      <c r="A10963" s="34">
        <v>2084053447</v>
      </c>
      <c r="B10963" s="35" t="s">
        <v>462</v>
      </c>
      <c r="C10963" s="35" t="s">
        <v>2016</v>
      </c>
      <c r="D10963" s="35" t="s">
        <v>2140</v>
      </c>
      <c r="E10963" s="35" t="s">
        <v>10</v>
      </c>
      <c r="F10963" s="35" t="s">
        <v>2092</v>
      </c>
      <c r="G10963" s="35" t="s">
        <v>2075</v>
      </c>
    </row>
    <row r="10964" spans="1:7">
      <c r="A10964" s="34">
        <v>2084053448</v>
      </c>
      <c r="B10964" s="35" t="s">
        <v>462</v>
      </c>
      <c r="C10964" s="35" t="s">
        <v>2016</v>
      </c>
      <c r="D10964" s="35" t="s">
        <v>2140</v>
      </c>
      <c r="E10964" s="35" t="s">
        <v>10</v>
      </c>
      <c r="F10964" s="35" t="s">
        <v>2092</v>
      </c>
      <c r="G10964" s="35" t="s">
        <v>2076</v>
      </c>
    </row>
    <row r="10965" spans="1:7">
      <c r="A10965" s="34">
        <v>2084053449</v>
      </c>
      <c r="B10965" s="35" t="s">
        <v>462</v>
      </c>
      <c r="C10965" s="35" t="s">
        <v>2016</v>
      </c>
      <c r="D10965" s="35" t="s">
        <v>2140</v>
      </c>
      <c r="E10965" s="35" t="s">
        <v>10</v>
      </c>
      <c r="F10965" s="35" t="s">
        <v>2092</v>
      </c>
      <c r="G10965" s="35" t="s">
        <v>2077</v>
      </c>
    </row>
    <row r="10966" spans="1:7">
      <c r="A10966" s="34">
        <v>2084053450</v>
      </c>
      <c r="B10966" s="35" t="s">
        <v>462</v>
      </c>
      <c r="C10966" s="35" t="s">
        <v>2016</v>
      </c>
      <c r="D10966" s="35" t="s">
        <v>2140</v>
      </c>
      <c r="E10966" s="35" t="s">
        <v>10</v>
      </c>
      <c r="F10966" s="35" t="s">
        <v>2092</v>
      </c>
      <c r="G10966" s="35" t="s">
        <v>2078</v>
      </c>
    </row>
    <row r="10967" spans="1:7">
      <c r="A10967" s="34">
        <v>2084053451</v>
      </c>
      <c r="B10967" s="35" t="s">
        <v>462</v>
      </c>
      <c r="C10967" s="35" t="s">
        <v>2016</v>
      </c>
      <c r="D10967" s="35" t="s">
        <v>2140</v>
      </c>
      <c r="E10967" s="35" t="s">
        <v>10</v>
      </c>
      <c r="F10967" s="35" t="s">
        <v>2092</v>
      </c>
      <c r="G10967" s="35" t="s">
        <v>2079</v>
      </c>
    </row>
    <row r="10968" spans="1:7">
      <c r="A10968" s="34">
        <v>2084053452</v>
      </c>
      <c r="B10968" s="35" t="s">
        <v>462</v>
      </c>
      <c r="C10968" s="35" t="s">
        <v>2016</v>
      </c>
      <c r="D10968" s="35" t="s">
        <v>2140</v>
      </c>
      <c r="E10968" s="35" t="s">
        <v>10</v>
      </c>
      <c r="F10968" s="35" t="s">
        <v>2092</v>
      </c>
      <c r="G10968" s="35" t="s">
        <v>2080</v>
      </c>
    </row>
    <row r="10969" spans="1:7">
      <c r="A10969" s="34">
        <v>2084053453</v>
      </c>
      <c r="B10969" s="35" t="s">
        <v>462</v>
      </c>
      <c r="C10969" s="35" t="s">
        <v>2016</v>
      </c>
      <c r="D10969" s="35" t="s">
        <v>2140</v>
      </c>
      <c r="E10969" s="35" t="s">
        <v>10</v>
      </c>
      <c r="F10969" s="35" t="s">
        <v>2092</v>
      </c>
      <c r="G10969" s="35" t="s">
        <v>2081</v>
      </c>
    </row>
    <row r="10970" spans="1:7">
      <c r="A10970" s="34">
        <v>2084053484</v>
      </c>
      <c r="B10970" s="35" t="s">
        <v>462</v>
      </c>
      <c r="C10970" s="35" t="s">
        <v>2016</v>
      </c>
      <c r="D10970" s="35" t="s">
        <v>2140</v>
      </c>
      <c r="E10970" s="35" t="s">
        <v>379</v>
      </c>
      <c r="F10970" s="35" t="s">
        <v>2118</v>
      </c>
      <c r="G10970" s="35" t="s">
        <v>2075</v>
      </c>
    </row>
    <row r="10971" spans="1:7">
      <c r="A10971" s="34">
        <v>2084053485</v>
      </c>
      <c r="B10971" s="35" t="s">
        <v>462</v>
      </c>
      <c r="C10971" s="35" t="s">
        <v>2016</v>
      </c>
      <c r="D10971" s="35" t="s">
        <v>2140</v>
      </c>
      <c r="E10971" s="35" t="s">
        <v>379</v>
      </c>
      <c r="F10971" s="35" t="s">
        <v>2118</v>
      </c>
      <c r="G10971" s="35" t="s">
        <v>2076</v>
      </c>
    </row>
    <row r="10972" spans="1:7">
      <c r="A10972" s="34">
        <v>2084053486</v>
      </c>
      <c r="B10972" s="35" t="s">
        <v>462</v>
      </c>
      <c r="C10972" s="35" t="s">
        <v>2016</v>
      </c>
      <c r="D10972" s="35" t="s">
        <v>2140</v>
      </c>
      <c r="E10972" s="35" t="s">
        <v>379</v>
      </c>
      <c r="F10972" s="35" t="s">
        <v>2118</v>
      </c>
      <c r="G10972" s="35" t="s">
        <v>2077</v>
      </c>
    </row>
    <row r="10973" spans="1:7">
      <c r="A10973" s="34">
        <v>2084053487</v>
      </c>
      <c r="B10973" s="35" t="s">
        <v>462</v>
      </c>
      <c r="C10973" s="35" t="s">
        <v>2016</v>
      </c>
      <c r="D10973" s="35" t="s">
        <v>2140</v>
      </c>
      <c r="E10973" s="35" t="s">
        <v>379</v>
      </c>
      <c r="F10973" s="35" t="s">
        <v>2118</v>
      </c>
      <c r="G10973" s="35" t="s">
        <v>2078</v>
      </c>
    </row>
    <row r="10974" spans="1:7">
      <c r="A10974" s="34">
        <v>2084053488</v>
      </c>
      <c r="B10974" s="35" t="s">
        <v>462</v>
      </c>
      <c r="C10974" s="35" t="s">
        <v>2016</v>
      </c>
      <c r="D10974" s="35" t="s">
        <v>2140</v>
      </c>
      <c r="E10974" s="35" t="s">
        <v>379</v>
      </c>
      <c r="F10974" s="35" t="s">
        <v>2118</v>
      </c>
      <c r="G10974" s="35" t="s">
        <v>2079</v>
      </c>
    </row>
    <row r="10975" spans="1:7">
      <c r="A10975" s="34">
        <v>2084053489</v>
      </c>
      <c r="B10975" s="35" t="s">
        <v>462</v>
      </c>
      <c r="C10975" s="35" t="s">
        <v>2016</v>
      </c>
      <c r="D10975" s="35" t="s">
        <v>2140</v>
      </c>
      <c r="E10975" s="35" t="s">
        <v>379</v>
      </c>
      <c r="F10975" s="35" t="s">
        <v>2118</v>
      </c>
      <c r="G10975" s="35" t="s">
        <v>2080</v>
      </c>
    </row>
    <row r="10976" spans="1:7">
      <c r="A10976" s="34">
        <v>2084053490</v>
      </c>
      <c r="B10976" s="35" t="s">
        <v>462</v>
      </c>
      <c r="C10976" s="35" t="s">
        <v>2016</v>
      </c>
      <c r="D10976" s="35" t="s">
        <v>2140</v>
      </c>
      <c r="E10976" s="35" t="s">
        <v>379</v>
      </c>
      <c r="F10976" s="35" t="s">
        <v>2118</v>
      </c>
      <c r="G10976" s="35" t="s">
        <v>2081</v>
      </c>
    </row>
    <row r="10977" spans="1:7">
      <c r="A10977" s="34">
        <v>2084053345</v>
      </c>
      <c r="B10977" s="35" t="s">
        <v>462</v>
      </c>
      <c r="C10977" s="35" t="s">
        <v>2016</v>
      </c>
      <c r="D10977" s="35" t="s">
        <v>2140</v>
      </c>
      <c r="E10977" s="35" t="s">
        <v>379</v>
      </c>
      <c r="F10977" s="35" t="s">
        <v>2116</v>
      </c>
      <c r="G10977" s="35" t="s">
        <v>2075</v>
      </c>
    </row>
    <row r="10978" spans="1:7">
      <c r="A10978" s="34">
        <v>2084053346</v>
      </c>
      <c r="B10978" s="35" t="s">
        <v>462</v>
      </c>
      <c r="C10978" s="35" t="s">
        <v>2016</v>
      </c>
      <c r="D10978" s="35" t="s">
        <v>2140</v>
      </c>
      <c r="E10978" s="35" t="s">
        <v>379</v>
      </c>
      <c r="F10978" s="35" t="s">
        <v>2116</v>
      </c>
      <c r="G10978" s="35" t="s">
        <v>2076</v>
      </c>
    </row>
    <row r="10979" spans="1:7">
      <c r="A10979" s="34">
        <v>2084053347</v>
      </c>
      <c r="B10979" s="35" t="s">
        <v>462</v>
      </c>
      <c r="C10979" s="35" t="s">
        <v>2016</v>
      </c>
      <c r="D10979" s="35" t="s">
        <v>2140</v>
      </c>
      <c r="E10979" s="35" t="s">
        <v>379</v>
      </c>
      <c r="F10979" s="35" t="s">
        <v>2116</v>
      </c>
      <c r="G10979" s="35" t="s">
        <v>2077</v>
      </c>
    </row>
    <row r="10980" spans="1:7">
      <c r="A10980" s="34">
        <v>2084053348</v>
      </c>
      <c r="B10980" s="35" t="s">
        <v>462</v>
      </c>
      <c r="C10980" s="35" t="s">
        <v>2016</v>
      </c>
      <c r="D10980" s="35" t="s">
        <v>2140</v>
      </c>
      <c r="E10980" s="35" t="s">
        <v>379</v>
      </c>
      <c r="F10980" s="35" t="s">
        <v>2116</v>
      </c>
      <c r="G10980" s="35" t="s">
        <v>2078</v>
      </c>
    </row>
    <row r="10981" spans="1:7">
      <c r="A10981" s="34">
        <v>2084053349</v>
      </c>
      <c r="B10981" s="35" t="s">
        <v>462</v>
      </c>
      <c r="C10981" s="35" t="s">
        <v>2016</v>
      </c>
      <c r="D10981" s="35" t="s">
        <v>2140</v>
      </c>
      <c r="E10981" s="35" t="s">
        <v>379</v>
      </c>
      <c r="F10981" s="35" t="s">
        <v>2116</v>
      </c>
      <c r="G10981" s="35" t="s">
        <v>2079</v>
      </c>
    </row>
    <row r="10982" spans="1:7">
      <c r="A10982" s="34">
        <v>2084053350</v>
      </c>
      <c r="B10982" s="35" t="s">
        <v>462</v>
      </c>
      <c r="C10982" s="35" t="s">
        <v>2016</v>
      </c>
      <c r="D10982" s="35" t="s">
        <v>2140</v>
      </c>
      <c r="E10982" s="35" t="s">
        <v>379</v>
      </c>
      <c r="F10982" s="35" t="s">
        <v>2116</v>
      </c>
      <c r="G10982" s="35" t="s">
        <v>2080</v>
      </c>
    </row>
    <row r="10983" spans="1:7">
      <c r="A10983" s="34">
        <v>2084053351</v>
      </c>
      <c r="B10983" s="35" t="s">
        <v>462</v>
      </c>
      <c r="C10983" s="35" t="s">
        <v>2016</v>
      </c>
      <c r="D10983" s="35" t="s">
        <v>2140</v>
      </c>
      <c r="E10983" s="35" t="s">
        <v>379</v>
      </c>
      <c r="F10983" s="35" t="s">
        <v>2116</v>
      </c>
      <c r="G10983" s="35" t="s">
        <v>2081</v>
      </c>
    </row>
    <row r="10984" spans="1:7">
      <c r="A10984" s="34">
        <v>2084053491</v>
      </c>
      <c r="B10984" s="35" t="s">
        <v>462</v>
      </c>
      <c r="C10984" s="35" t="s">
        <v>2016</v>
      </c>
      <c r="D10984" s="35" t="s">
        <v>2140</v>
      </c>
      <c r="E10984" s="35" t="s">
        <v>379</v>
      </c>
      <c r="F10984" s="35" t="s">
        <v>557</v>
      </c>
      <c r="G10984" s="35" t="s">
        <v>2075</v>
      </c>
    </row>
    <row r="10985" spans="1:7">
      <c r="A10985" s="34">
        <v>2084053492</v>
      </c>
      <c r="B10985" s="35" t="s">
        <v>462</v>
      </c>
      <c r="C10985" s="35" t="s">
        <v>2016</v>
      </c>
      <c r="D10985" s="35" t="s">
        <v>2140</v>
      </c>
      <c r="E10985" s="35" t="s">
        <v>379</v>
      </c>
      <c r="F10985" s="35" t="s">
        <v>557</v>
      </c>
      <c r="G10985" s="35" t="s">
        <v>2076</v>
      </c>
    </row>
    <row r="10986" spans="1:7">
      <c r="A10986" s="34">
        <v>2084053493</v>
      </c>
      <c r="B10986" s="35" t="s">
        <v>462</v>
      </c>
      <c r="C10986" s="35" t="s">
        <v>2016</v>
      </c>
      <c r="D10986" s="35" t="s">
        <v>2140</v>
      </c>
      <c r="E10986" s="35" t="s">
        <v>379</v>
      </c>
      <c r="F10986" s="35" t="s">
        <v>557</v>
      </c>
      <c r="G10986" s="35" t="s">
        <v>2077</v>
      </c>
    </row>
    <row r="10987" spans="1:7">
      <c r="A10987" s="34">
        <v>2084053494</v>
      </c>
      <c r="B10987" s="35" t="s">
        <v>462</v>
      </c>
      <c r="C10987" s="35" t="s">
        <v>2016</v>
      </c>
      <c r="D10987" s="35" t="s">
        <v>2140</v>
      </c>
      <c r="E10987" s="35" t="s">
        <v>379</v>
      </c>
      <c r="F10987" s="35" t="s">
        <v>557</v>
      </c>
      <c r="G10987" s="35" t="s">
        <v>2078</v>
      </c>
    </row>
    <row r="10988" spans="1:7">
      <c r="A10988" s="34">
        <v>2084053495</v>
      </c>
      <c r="B10988" s="35" t="s">
        <v>462</v>
      </c>
      <c r="C10988" s="35" t="s">
        <v>2016</v>
      </c>
      <c r="D10988" s="35" t="s">
        <v>2140</v>
      </c>
      <c r="E10988" s="35" t="s">
        <v>379</v>
      </c>
      <c r="F10988" s="35" t="s">
        <v>557</v>
      </c>
      <c r="G10988" s="35" t="s">
        <v>2079</v>
      </c>
    </row>
    <row r="10989" spans="1:7">
      <c r="A10989" s="34">
        <v>2084053496</v>
      </c>
      <c r="B10989" s="35" t="s">
        <v>462</v>
      </c>
      <c r="C10989" s="35" t="s">
        <v>2016</v>
      </c>
      <c r="D10989" s="35" t="s">
        <v>2140</v>
      </c>
      <c r="E10989" s="35" t="s">
        <v>379</v>
      </c>
      <c r="F10989" s="35" t="s">
        <v>557</v>
      </c>
      <c r="G10989" s="35" t="s">
        <v>2080</v>
      </c>
    </row>
    <row r="10990" spans="1:7">
      <c r="A10990" s="34">
        <v>2084053497</v>
      </c>
      <c r="B10990" s="35" t="s">
        <v>462</v>
      </c>
      <c r="C10990" s="35" t="s">
        <v>2016</v>
      </c>
      <c r="D10990" s="35" t="s">
        <v>2140</v>
      </c>
      <c r="E10990" s="35" t="s">
        <v>379</v>
      </c>
      <c r="F10990" s="35" t="s">
        <v>557</v>
      </c>
      <c r="G10990" s="35" t="s">
        <v>2081</v>
      </c>
    </row>
    <row r="10991" spans="1:7">
      <c r="A10991" s="34">
        <v>2084053352</v>
      </c>
      <c r="B10991" s="35" t="s">
        <v>462</v>
      </c>
      <c r="C10991" s="35" t="s">
        <v>2016</v>
      </c>
      <c r="D10991" s="35" t="s">
        <v>2140</v>
      </c>
      <c r="E10991" s="35" t="s">
        <v>379</v>
      </c>
      <c r="F10991" s="35" t="s">
        <v>2142</v>
      </c>
      <c r="G10991" s="35" t="s">
        <v>2075</v>
      </c>
    </row>
    <row r="10992" spans="1:7">
      <c r="A10992" s="34">
        <v>2084053353</v>
      </c>
      <c r="B10992" s="35" t="s">
        <v>462</v>
      </c>
      <c r="C10992" s="35" t="s">
        <v>2016</v>
      </c>
      <c r="D10992" s="35" t="s">
        <v>2140</v>
      </c>
      <c r="E10992" s="35" t="s">
        <v>379</v>
      </c>
      <c r="F10992" s="35" t="s">
        <v>2142</v>
      </c>
      <c r="G10992" s="35" t="s">
        <v>2076</v>
      </c>
    </row>
    <row r="10993" spans="1:7">
      <c r="A10993" s="34">
        <v>2084053354</v>
      </c>
      <c r="B10993" s="35" t="s">
        <v>462</v>
      </c>
      <c r="C10993" s="35" t="s">
        <v>2016</v>
      </c>
      <c r="D10993" s="35" t="s">
        <v>2140</v>
      </c>
      <c r="E10993" s="35" t="s">
        <v>379</v>
      </c>
      <c r="F10993" s="35" t="s">
        <v>2142</v>
      </c>
      <c r="G10993" s="35" t="s">
        <v>2077</v>
      </c>
    </row>
    <row r="10994" spans="1:7">
      <c r="A10994" s="34">
        <v>2084053355</v>
      </c>
      <c r="B10994" s="35" t="s">
        <v>462</v>
      </c>
      <c r="C10994" s="35" t="s">
        <v>2016</v>
      </c>
      <c r="D10994" s="35" t="s">
        <v>2140</v>
      </c>
      <c r="E10994" s="35" t="s">
        <v>379</v>
      </c>
      <c r="F10994" s="35" t="s">
        <v>2142</v>
      </c>
      <c r="G10994" s="35" t="s">
        <v>2078</v>
      </c>
    </row>
    <row r="10995" spans="1:7">
      <c r="A10995" s="34">
        <v>2084053356</v>
      </c>
      <c r="B10995" s="35" t="s">
        <v>462</v>
      </c>
      <c r="C10995" s="35" t="s">
        <v>2016</v>
      </c>
      <c r="D10995" s="35" t="s">
        <v>2140</v>
      </c>
      <c r="E10995" s="35" t="s">
        <v>379</v>
      </c>
      <c r="F10995" s="35" t="s">
        <v>2142</v>
      </c>
      <c r="G10995" s="35" t="s">
        <v>2079</v>
      </c>
    </row>
    <row r="10996" spans="1:7">
      <c r="A10996" s="34">
        <v>2084053357</v>
      </c>
      <c r="B10996" s="35" t="s">
        <v>462</v>
      </c>
      <c r="C10996" s="35" t="s">
        <v>2016</v>
      </c>
      <c r="D10996" s="35" t="s">
        <v>2140</v>
      </c>
      <c r="E10996" s="35" t="s">
        <v>379</v>
      </c>
      <c r="F10996" s="35" t="s">
        <v>2142</v>
      </c>
      <c r="G10996" s="35" t="s">
        <v>2080</v>
      </c>
    </row>
    <row r="10997" spans="1:7">
      <c r="A10997" s="34">
        <v>2084053358</v>
      </c>
      <c r="B10997" s="35" t="s">
        <v>462</v>
      </c>
      <c r="C10997" s="35" t="s">
        <v>2016</v>
      </c>
      <c r="D10997" s="35" t="s">
        <v>2140</v>
      </c>
      <c r="E10997" s="35" t="s">
        <v>379</v>
      </c>
      <c r="F10997" s="35" t="s">
        <v>2142</v>
      </c>
      <c r="G10997" s="35" t="s">
        <v>2081</v>
      </c>
    </row>
    <row r="10998" spans="1:7">
      <c r="A10998" s="34">
        <v>2084054684</v>
      </c>
      <c r="B10998" s="35" t="s">
        <v>462</v>
      </c>
      <c r="C10998" s="35" t="s">
        <v>2016</v>
      </c>
      <c r="D10998" s="35" t="s">
        <v>2140</v>
      </c>
      <c r="E10998" s="35" t="s">
        <v>2122</v>
      </c>
      <c r="F10998" s="35" t="s">
        <v>2075</v>
      </c>
    </row>
    <row r="10999" spans="1:7">
      <c r="A10999" s="34">
        <v>2084054685</v>
      </c>
      <c r="B10999" s="35" t="s">
        <v>462</v>
      </c>
      <c r="C10999" s="35" t="s">
        <v>2016</v>
      </c>
      <c r="D10999" s="35" t="s">
        <v>2140</v>
      </c>
      <c r="E10999" s="35" t="s">
        <v>2122</v>
      </c>
      <c r="F10999" s="35" t="s">
        <v>2076</v>
      </c>
    </row>
    <row r="11000" spans="1:7">
      <c r="A11000" s="34">
        <v>2084054686</v>
      </c>
      <c r="B11000" s="35" t="s">
        <v>462</v>
      </c>
      <c r="C11000" s="35" t="s">
        <v>2016</v>
      </c>
      <c r="D11000" s="35" t="s">
        <v>2140</v>
      </c>
      <c r="E11000" s="35" t="s">
        <v>2122</v>
      </c>
      <c r="F11000" s="35" t="s">
        <v>2077</v>
      </c>
    </row>
    <row r="11001" spans="1:7">
      <c r="A11001" s="34">
        <v>2084054687</v>
      </c>
      <c r="B11001" s="35" t="s">
        <v>462</v>
      </c>
      <c r="C11001" s="35" t="s">
        <v>2016</v>
      </c>
      <c r="D11001" s="35" t="s">
        <v>2140</v>
      </c>
      <c r="E11001" s="35" t="s">
        <v>2122</v>
      </c>
      <c r="F11001" s="35" t="s">
        <v>2078</v>
      </c>
    </row>
    <row r="11002" spans="1:7">
      <c r="A11002" s="34">
        <v>2084054688</v>
      </c>
      <c r="B11002" s="35" t="s">
        <v>462</v>
      </c>
      <c r="C11002" s="35" t="s">
        <v>2016</v>
      </c>
      <c r="D11002" s="35" t="s">
        <v>2140</v>
      </c>
      <c r="E11002" s="35" t="s">
        <v>2122</v>
      </c>
      <c r="F11002" s="35" t="s">
        <v>2079</v>
      </c>
    </row>
    <row r="11003" spans="1:7">
      <c r="A11003" s="34">
        <v>2084054689</v>
      </c>
      <c r="B11003" s="35" t="s">
        <v>462</v>
      </c>
      <c r="C11003" s="35" t="s">
        <v>2016</v>
      </c>
      <c r="D11003" s="35" t="s">
        <v>2140</v>
      </c>
      <c r="E11003" s="35" t="s">
        <v>2122</v>
      </c>
      <c r="F11003" s="35" t="s">
        <v>2080</v>
      </c>
    </row>
    <row r="11004" spans="1:7">
      <c r="A11004" s="34">
        <v>2084054690</v>
      </c>
      <c r="B11004" s="35" t="s">
        <v>462</v>
      </c>
      <c r="C11004" s="35" t="s">
        <v>2016</v>
      </c>
      <c r="D11004" s="35" t="s">
        <v>2140</v>
      </c>
      <c r="E11004" s="35" t="s">
        <v>2122</v>
      </c>
      <c r="F11004" s="35" t="s">
        <v>2081</v>
      </c>
    </row>
    <row r="11005" spans="1:7">
      <c r="A11005" s="34">
        <v>2084053665</v>
      </c>
      <c r="B11005" s="35" t="s">
        <v>462</v>
      </c>
      <c r="C11005" s="35" t="s">
        <v>2016</v>
      </c>
      <c r="D11005" s="35" t="s">
        <v>2140</v>
      </c>
      <c r="E11005" s="35" t="s">
        <v>2123</v>
      </c>
      <c r="F11005" s="35" t="s">
        <v>2075</v>
      </c>
    </row>
    <row r="11006" spans="1:7">
      <c r="A11006" s="34">
        <v>2084053666</v>
      </c>
      <c r="B11006" s="35" t="s">
        <v>462</v>
      </c>
      <c r="C11006" s="35" t="s">
        <v>2016</v>
      </c>
      <c r="D11006" s="35" t="s">
        <v>2140</v>
      </c>
      <c r="E11006" s="35" t="s">
        <v>2123</v>
      </c>
      <c r="F11006" s="35" t="s">
        <v>2076</v>
      </c>
    </row>
    <row r="11007" spans="1:7">
      <c r="A11007" s="34">
        <v>2084053667</v>
      </c>
      <c r="B11007" s="35" t="s">
        <v>462</v>
      </c>
      <c r="C11007" s="35" t="s">
        <v>2016</v>
      </c>
      <c r="D11007" s="35" t="s">
        <v>2140</v>
      </c>
      <c r="E11007" s="35" t="s">
        <v>2123</v>
      </c>
      <c r="F11007" s="35" t="s">
        <v>2077</v>
      </c>
    </row>
    <row r="11008" spans="1:7">
      <c r="A11008" s="34">
        <v>2084053668</v>
      </c>
      <c r="B11008" s="35" t="s">
        <v>462</v>
      </c>
      <c r="C11008" s="35" t="s">
        <v>2016</v>
      </c>
      <c r="D11008" s="35" t="s">
        <v>2140</v>
      </c>
      <c r="E11008" s="35" t="s">
        <v>2123</v>
      </c>
      <c r="F11008" s="35" t="s">
        <v>2078</v>
      </c>
    </row>
    <row r="11009" spans="1:7">
      <c r="A11009" s="34">
        <v>2084053669</v>
      </c>
      <c r="B11009" s="35" t="s">
        <v>462</v>
      </c>
      <c r="C11009" s="35" t="s">
        <v>2016</v>
      </c>
      <c r="D11009" s="35" t="s">
        <v>2140</v>
      </c>
      <c r="E11009" s="35" t="s">
        <v>2123</v>
      </c>
      <c r="F11009" s="35" t="s">
        <v>2079</v>
      </c>
    </row>
    <row r="11010" spans="1:7">
      <c r="A11010" s="34">
        <v>2084053670</v>
      </c>
      <c r="B11010" s="35" t="s">
        <v>462</v>
      </c>
      <c r="C11010" s="35" t="s">
        <v>2016</v>
      </c>
      <c r="D11010" s="35" t="s">
        <v>2140</v>
      </c>
      <c r="E11010" s="35" t="s">
        <v>2123</v>
      </c>
      <c r="F11010" s="35" t="s">
        <v>2080</v>
      </c>
    </row>
    <row r="11011" spans="1:7">
      <c r="A11011" s="34">
        <v>2084053671</v>
      </c>
      <c r="B11011" s="35" t="s">
        <v>462</v>
      </c>
      <c r="C11011" s="35" t="s">
        <v>2016</v>
      </c>
      <c r="D11011" s="35" t="s">
        <v>2140</v>
      </c>
      <c r="E11011" s="35" t="s">
        <v>2123</v>
      </c>
      <c r="F11011" s="35" t="s">
        <v>2081</v>
      </c>
    </row>
    <row r="11012" spans="1:7">
      <c r="A11012" s="34">
        <v>2084006391</v>
      </c>
      <c r="B11012" s="35" t="s">
        <v>462</v>
      </c>
      <c r="C11012" s="35" t="s">
        <v>2016</v>
      </c>
      <c r="D11012" s="35" t="s">
        <v>2143</v>
      </c>
      <c r="E11012" s="35" t="s">
        <v>2025</v>
      </c>
      <c r="F11012" s="35" t="s">
        <v>2144</v>
      </c>
    </row>
    <row r="11013" spans="1:7">
      <c r="A11013" s="34">
        <v>2084053858</v>
      </c>
      <c r="B11013" s="35" t="s">
        <v>462</v>
      </c>
      <c r="C11013" s="35" t="s">
        <v>2016</v>
      </c>
      <c r="D11013" s="35" t="s">
        <v>2143</v>
      </c>
      <c r="E11013" s="35" t="s">
        <v>2025</v>
      </c>
      <c r="F11013" s="35" t="s">
        <v>1773</v>
      </c>
      <c r="G11013" s="35" t="s">
        <v>2145</v>
      </c>
    </row>
    <row r="11014" spans="1:7">
      <c r="A11014" s="34">
        <v>2084053859</v>
      </c>
      <c r="B11014" s="35" t="s">
        <v>462</v>
      </c>
      <c r="C11014" s="35" t="s">
        <v>2016</v>
      </c>
      <c r="D11014" s="35" t="s">
        <v>2143</v>
      </c>
      <c r="E11014" s="35" t="s">
        <v>2025</v>
      </c>
      <c r="F11014" s="35" t="s">
        <v>1773</v>
      </c>
      <c r="G11014" s="35" t="s">
        <v>2146</v>
      </c>
    </row>
    <row r="11015" spans="1:7">
      <c r="A11015" s="34">
        <v>2084053860</v>
      </c>
      <c r="B11015" s="35" t="s">
        <v>462</v>
      </c>
      <c r="C11015" s="35" t="s">
        <v>2016</v>
      </c>
      <c r="D11015" s="35" t="s">
        <v>2143</v>
      </c>
      <c r="E11015" s="35" t="s">
        <v>2025</v>
      </c>
      <c r="F11015" s="35" t="s">
        <v>1773</v>
      </c>
      <c r="G11015" s="35" t="s">
        <v>2147</v>
      </c>
    </row>
    <row r="11016" spans="1:7">
      <c r="A11016" s="34">
        <v>2084053861</v>
      </c>
      <c r="B11016" s="35" t="s">
        <v>462</v>
      </c>
      <c r="C11016" s="35" t="s">
        <v>2016</v>
      </c>
      <c r="D11016" s="35" t="s">
        <v>2143</v>
      </c>
      <c r="E11016" s="35" t="s">
        <v>2025</v>
      </c>
      <c r="F11016" s="35" t="s">
        <v>1773</v>
      </c>
      <c r="G11016" s="35" t="s">
        <v>2148</v>
      </c>
    </row>
    <row r="11017" spans="1:7">
      <c r="A11017" s="34">
        <v>2084053862</v>
      </c>
      <c r="B11017" s="35" t="s">
        <v>462</v>
      </c>
      <c r="C11017" s="35" t="s">
        <v>2016</v>
      </c>
      <c r="D11017" s="35" t="s">
        <v>2143</v>
      </c>
      <c r="E11017" s="35" t="s">
        <v>2025</v>
      </c>
      <c r="F11017" s="35" t="s">
        <v>1773</v>
      </c>
      <c r="G11017" s="35" t="s">
        <v>2149</v>
      </c>
    </row>
    <row r="11018" spans="1:7">
      <c r="A11018" s="34">
        <v>2084053863</v>
      </c>
      <c r="B11018" s="35" t="s">
        <v>462</v>
      </c>
      <c r="C11018" s="35" t="s">
        <v>2016</v>
      </c>
      <c r="D11018" s="35" t="s">
        <v>2143</v>
      </c>
      <c r="E11018" s="35" t="s">
        <v>2025</v>
      </c>
      <c r="F11018" s="35" t="s">
        <v>1773</v>
      </c>
      <c r="G11018" s="35" t="s">
        <v>2150</v>
      </c>
    </row>
    <row r="11019" spans="1:7">
      <c r="A11019" s="34">
        <v>2084053864</v>
      </c>
      <c r="B11019" s="35" t="s">
        <v>462</v>
      </c>
      <c r="C11019" s="35" t="s">
        <v>2016</v>
      </c>
      <c r="D11019" s="35" t="s">
        <v>2143</v>
      </c>
      <c r="E11019" s="35" t="s">
        <v>2025</v>
      </c>
      <c r="F11019" s="35" t="s">
        <v>1773</v>
      </c>
      <c r="G11019" s="35" t="s">
        <v>2151</v>
      </c>
    </row>
    <row r="11020" spans="1:7">
      <c r="A11020" s="34">
        <v>2084053865</v>
      </c>
      <c r="B11020" s="35" t="s">
        <v>462</v>
      </c>
      <c r="C11020" s="35" t="s">
        <v>2016</v>
      </c>
      <c r="D11020" s="35" t="s">
        <v>2143</v>
      </c>
      <c r="E11020" s="35" t="s">
        <v>2025</v>
      </c>
      <c r="F11020" s="35" t="s">
        <v>1773</v>
      </c>
      <c r="G11020" s="35" t="s">
        <v>2152</v>
      </c>
    </row>
    <row r="11021" spans="1:7">
      <c r="A11021" s="34">
        <v>2084053866</v>
      </c>
      <c r="B11021" s="35" t="s">
        <v>462</v>
      </c>
      <c r="C11021" s="35" t="s">
        <v>2016</v>
      </c>
      <c r="D11021" s="35" t="s">
        <v>2143</v>
      </c>
      <c r="E11021" s="35" t="s">
        <v>2025</v>
      </c>
      <c r="F11021" s="35" t="s">
        <v>1773</v>
      </c>
      <c r="G11021" s="35" t="s">
        <v>2153</v>
      </c>
    </row>
    <row r="11022" spans="1:7">
      <c r="A11022" s="34">
        <v>2084053867</v>
      </c>
      <c r="B11022" s="35" t="s">
        <v>462</v>
      </c>
      <c r="C11022" s="35" t="s">
        <v>2016</v>
      </c>
      <c r="D11022" s="35" t="s">
        <v>2143</v>
      </c>
      <c r="E11022" s="35" t="s">
        <v>2025</v>
      </c>
      <c r="F11022" s="35" t="s">
        <v>1773</v>
      </c>
      <c r="G11022" s="35" t="s">
        <v>2154</v>
      </c>
    </row>
    <row r="11023" spans="1:7">
      <c r="A11023" s="34">
        <v>2084053825</v>
      </c>
      <c r="B11023" s="35" t="s">
        <v>462</v>
      </c>
      <c r="C11023" s="35" t="s">
        <v>2016</v>
      </c>
      <c r="D11023" s="35" t="s">
        <v>2143</v>
      </c>
      <c r="E11023" s="35" t="s">
        <v>2025</v>
      </c>
      <c r="F11023" s="35" t="s">
        <v>1771</v>
      </c>
      <c r="G11023" s="35" t="s">
        <v>2145</v>
      </c>
    </row>
    <row r="11024" spans="1:7">
      <c r="A11024" s="34">
        <v>2084053826</v>
      </c>
      <c r="B11024" s="35" t="s">
        <v>462</v>
      </c>
      <c r="C11024" s="35" t="s">
        <v>2016</v>
      </c>
      <c r="D11024" s="35" t="s">
        <v>2143</v>
      </c>
      <c r="E11024" s="35" t="s">
        <v>2025</v>
      </c>
      <c r="F11024" s="35" t="s">
        <v>1771</v>
      </c>
      <c r="G11024" s="35" t="s">
        <v>2146</v>
      </c>
    </row>
    <row r="11025" spans="1:7">
      <c r="A11025" s="34">
        <v>2084053827</v>
      </c>
      <c r="B11025" s="35" t="s">
        <v>462</v>
      </c>
      <c r="C11025" s="35" t="s">
        <v>2016</v>
      </c>
      <c r="D11025" s="35" t="s">
        <v>2143</v>
      </c>
      <c r="E11025" s="35" t="s">
        <v>2025</v>
      </c>
      <c r="F11025" s="35" t="s">
        <v>1771</v>
      </c>
      <c r="G11025" s="35" t="s">
        <v>2147</v>
      </c>
    </row>
    <row r="11026" spans="1:7">
      <c r="A11026" s="34">
        <v>2084053828</v>
      </c>
      <c r="B11026" s="35" t="s">
        <v>462</v>
      </c>
      <c r="C11026" s="35" t="s">
        <v>2016</v>
      </c>
      <c r="D11026" s="35" t="s">
        <v>2143</v>
      </c>
      <c r="E11026" s="35" t="s">
        <v>2025</v>
      </c>
      <c r="F11026" s="35" t="s">
        <v>1771</v>
      </c>
      <c r="G11026" s="35" t="s">
        <v>2148</v>
      </c>
    </row>
    <row r="11027" spans="1:7">
      <c r="A11027" s="34">
        <v>2084053829</v>
      </c>
      <c r="B11027" s="35" t="s">
        <v>462</v>
      </c>
      <c r="C11027" s="35" t="s">
        <v>2016</v>
      </c>
      <c r="D11027" s="35" t="s">
        <v>2143</v>
      </c>
      <c r="E11027" s="35" t="s">
        <v>2025</v>
      </c>
      <c r="F11027" s="35" t="s">
        <v>1771</v>
      </c>
      <c r="G11027" s="35" t="s">
        <v>2149</v>
      </c>
    </row>
    <row r="11028" spans="1:7">
      <c r="A11028" s="34">
        <v>2084053830</v>
      </c>
      <c r="B11028" s="35" t="s">
        <v>462</v>
      </c>
      <c r="C11028" s="35" t="s">
        <v>2016</v>
      </c>
      <c r="D11028" s="35" t="s">
        <v>2143</v>
      </c>
      <c r="E11028" s="35" t="s">
        <v>2025</v>
      </c>
      <c r="F11028" s="35" t="s">
        <v>1771</v>
      </c>
      <c r="G11028" s="35" t="s">
        <v>2150</v>
      </c>
    </row>
    <row r="11029" spans="1:7">
      <c r="A11029" s="34">
        <v>2084053831</v>
      </c>
      <c r="B11029" s="35" t="s">
        <v>462</v>
      </c>
      <c r="C11029" s="35" t="s">
        <v>2016</v>
      </c>
      <c r="D11029" s="35" t="s">
        <v>2143</v>
      </c>
      <c r="E11029" s="35" t="s">
        <v>2025</v>
      </c>
      <c r="F11029" s="35" t="s">
        <v>1771</v>
      </c>
      <c r="G11029" s="35" t="s">
        <v>2151</v>
      </c>
    </row>
    <row r="11030" spans="1:7">
      <c r="A11030" s="34">
        <v>2084053832</v>
      </c>
      <c r="B11030" s="35" t="s">
        <v>462</v>
      </c>
      <c r="C11030" s="35" t="s">
        <v>2016</v>
      </c>
      <c r="D11030" s="35" t="s">
        <v>2143</v>
      </c>
      <c r="E11030" s="35" t="s">
        <v>2025</v>
      </c>
      <c r="F11030" s="35" t="s">
        <v>1771</v>
      </c>
      <c r="G11030" s="35" t="s">
        <v>2152</v>
      </c>
    </row>
    <row r="11031" spans="1:7">
      <c r="A11031" s="34">
        <v>2084053833</v>
      </c>
      <c r="B11031" s="35" t="s">
        <v>462</v>
      </c>
      <c r="C11031" s="35" t="s">
        <v>2016</v>
      </c>
      <c r="D11031" s="35" t="s">
        <v>2143</v>
      </c>
      <c r="E11031" s="35" t="s">
        <v>2025</v>
      </c>
      <c r="F11031" s="35" t="s">
        <v>1771</v>
      </c>
      <c r="G11031" s="35" t="s">
        <v>2153</v>
      </c>
    </row>
    <row r="11032" spans="1:7">
      <c r="A11032" s="34">
        <v>2084053834</v>
      </c>
      <c r="B11032" s="35" t="s">
        <v>462</v>
      </c>
      <c r="C11032" s="35" t="s">
        <v>2016</v>
      </c>
      <c r="D11032" s="35" t="s">
        <v>2143</v>
      </c>
      <c r="E11032" s="35" t="s">
        <v>2025</v>
      </c>
      <c r="F11032" s="35" t="s">
        <v>1771</v>
      </c>
      <c r="G11032" s="35" t="s">
        <v>2154</v>
      </c>
    </row>
    <row r="11033" spans="1:7">
      <c r="A11033" s="34">
        <v>2084053847</v>
      </c>
      <c r="B11033" s="35" t="s">
        <v>462</v>
      </c>
      <c r="C11033" s="35" t="s">
        <v>2016</v>
      </c>
      <c r="D11033" s="35" t="s">
        <v>2143</v>
      </c>
      <c r="E11033" s="35" t="s">
        <v>2025</v>
      </c>
      <c r="F11033" s="35" t="s">
        <v>2155</v>
      </c>
      <c r="G11033" s="35" t="s">
        <v>2145</v>
      </c>
    </row>
    <row r="11034" spans="1:7">
      <c r="A11034" s="34">
        <v>2084053848</v>
      </c>
      <c r="B11034" s="35" t="s">
        <v>462</v>
      </c>
      <c r="C11034" s="35" t="s">
        <v>2016</v>
      </c>
      <c r="D11034" s="35" t="s">
        <v>2143</v>
      </c>
      <c r="E11034" s="35" t="s">
        <v>2025</v>
      </c>
      <c r="F11034" s="35" t="s">
        <v>2155</v>
      </c>
      <c r="G11034" s="35" t="s">
        <v>2146</v>
      </c>
    </row>
    <row r="11035" spans="1:7">
      <c r="A11035" s="34">
        <v>2084053849</v>
      </c>
      <c r="B11035" s="35" t="s">
        <v>462</v>
      </c>
      <c r="C11035" s="35" t="s">
        <v>2016</v>
      </c>
      <c r="D11035" s="35" t="s">
        <v>2143</v>
      </c>
      <c r="E11035" s="35" t="s">
        <v>2025</v>
      </c>
      <c r="F11035" s="35" t="s">
        <v>2155</v>
      </c>
      <c r="G11035" s="35" t="s">
        <v>2147</v>
      </c>
    </row>
    <row r="11036" spans="1:7">
      <c r="A11036" s="34">
        <v>2084053850</v>
      </c>
      <c r="B11036" s="35" t="s">
        <v>462</v>
      </c>
      <c r="C11036" s="35" t="s">
        <v>2016</v>
      </c>
      <c r="D11036" s="35" t="s">
        <v>2143</v>
      </c>
      <c r="E11036" s="35" t="s">
        <v>2025</v>
      </c>
      <c r="F11036" s="35" t="s">
        <v>2155</v>
      </c>
      <c r="G11036" s="35" t="s">
        <v>2148</v>
      </c>
    </row>
    <row r="11037" spans="1:7">
      <c r="A11037" s="34">
        <v>2084053851</v>
      </c>
      <c r="B11037" s="35" t="s">
        <v>462</v>
      </c>
      <c r="C11037" s="35" t="s">
        <v>2016</v>
      </c>
      <c r="D11037" s="35" t="s">
        <v>2143</v>
      </c>
      <c r="E11037" s="35" t="s">
        <v>2025</v>
      </c>
      <c r="F11037" s="35" t="s">
        <v>2155</v>
      </c>
      <c r="G11037" s="35" t="s">
        <v>2149</v>
      </c>
    </row>
    <row r="11038" spans="1:7">
      <c r="A11038" s="34">
        <v>2084053852</v>
      </c>
      <c r="B11038" s="35" t="s">
        <v>462</v>
      </c>
      <c r="C11038" s="35" t="s">
        <v>2016</v>
      </c>
      <c r="D11038" s="35" t="s">
        <v>2143</v>
      </c>
      <c r="E11038" s="35" t="s">
        <v>2025</v>
      </c>
      <c r="F11038" s="35" t="s">
        <v>2155</v>
      </c>
      <c r="G11038" s="35" t="s">
        <v>2150</v>
      </c>
    </row>
    <row r="11039" spans="1:7">
      <c r="A11039" s="34">
        <v>2084053853</v>
      </c>
      <c r="B11039" s="35" t="s">
        <v>462</v>
      </c>
      <c r="C11039" s="35" t="s">
        <v>2016</v>
      </c>
      <c r="D11039" s="35" t="s">
        <v>2143</v>
      </c>
      <c r="E11039" s="35" t="s">
        <v>2025</v>
      </c>
      <c r="F11039" s="35" t="s">
        <v>2155</v>
      </c>
      <c r="G11039" s="35" t="s">
        <v>2151</v>
      </c>
    </row>
    <row r="11040" spans="1:7">
      <c r="A11040" s="34">
        <v>2084053854</v>
      </c>
      <c r="B11040" s="35" t="s">
        <v>462</v>
      </c>
      <c r="C11040" s="35" t="s">
        <v>2016</v>
      </c>
      <c r="D11040" s="35" t="s">
        <v>2143</v>
      </c>
      <c r="E11040" s="35" t="s">
        <v>2025</v>
      </c>
      <c r="F11040" s="35" t="s">
        <v>2155</v>
      </c>
      <c r="G11040" s="35" t="s">
        <v>2152</v>
      </c>
    </row>
    <row r="11041" spans="1:7">
      <c r="A11041" s="34">
        <v>2084053855</v>
      </c>
      <c r="B11041" s="35" t="s">
        <v>462</v>
      </c>
      <c r="C11041" s="35" t="s">
        <v>2016</v>
      </c>
      <c r="D11041" s="35" t="s">
        <v>2143</v>
      </c>
      <c r="E11041" s="35" t="s">
        <v>2025</v>
      </c>
      <c r="F11041" s="35" t="s">
        <v>2155</v>
      </c>
      <c r="G11041" s="35" t="s">
        <v>2153</v>
      </c>
    </row>
    <row r="11042" spans="1:7">
      <c r="A11042" s="34">
        <v>2084053856</v>
      </c>
      <c r="B11042" s="35" t="s">
        <v>462</v>
      </c>
      <c r="C11042" s="35" t="s">
        <v>2016</v>
      </c>
      <c r="D11042" s="35" t="s">
        <v>2143</v>
      </c>
      <c r="E11042" s="35" t="s">
        <v>2025</v>
      </c>
      <c r="F11042" s="35" t="s">
        <v>2155</v>
      </c>
      <c r="G11042" s="35" t="s">
        <v>2154</v>
      </c>
    </row>
    <row r="11043" spans="1:7">
      <c r="A11043" s="34">
        <v>2084053880</v>
      </c>
      <c r="B11043" s="35" t="s">
        <v>462</v>
      </c>
      <c r="C11043" s="35" t="s">
        <v>2016</v>
      </c>
      <c r="D11043" s="35" t="s">
        <v>2143</v>
      </c>
      <c r="E11043" s="35" t="s">
        <v>2025</v>
      </c>
      <c r="F11043" s="35" t="s">
        <v>2156</v>
      </c>
      <c r="G11043" s="35" t="s">
        <v>2145</v>
      </c>
    </row>
    <row r="11044" spans="1:7">
      <c r="A11044" s="34">
        <v>2084053881</v>
      </c>
      <c r="B11044" s="35" t="s">
        <v>462</v>
      </c>
      <c r="C11044" s="35" t="s">
        <v>2016</v>
      </c>
      <c r="D11044" s="35" t="s">
        <v>2143</v>
      </c>
      <c r="E11044" s="35" t="s">
        <v>2025</v>
      </c>
      <c r="F11044" s="35" t="s">
        <v>2156</v>
      </c>
      <c r="G11044" s="35" t="s">
        <v>2146</v>
      </c>
    </row>
    <row r="11045" spans="1:7">
      <c r="A11045" s="34">
        <v>2084053882</v>
      </c>
      <c r="B11045" s="35" t="s">
        <v>462</v>
      </c>
      <c r="C11045" s="35" t="s">
        <v>2016</v>
      </c>
      <c r="D11045" s="35" t="s">
        <v>2143</v>
      </c>
      <c r="E11045" s="35" t="s">
        <v>2025</v>
      </c>
      <c r="F11045" s="35" t="s">
        <v>2156</v>
      </c>
      <c r="G11045" s="35" t="s">
        <v>2147</v>
      </c>
    </row>
    <row r="11046" spans="1:7">
      <c r="A11046" s="34">
        <v>2084053883</v>
      </c>
      <c r="B11046" s="35" t="s">
        <v>462</v>
      </c>
      <c r="C11046" s="35" t="s">
        <v>2016</v>
      </c>
      <c r="D11046" s="35" t="s">
        <v>2143</v>
      </c>
      <c r="E11046" s="35" t="s">
        <v>2025</v>
      </c>
      <c r="F11046" s="35" t="s">
        <v>2156</v>
      </c>
      <c r="G11046" s="35" t="s">
        <v>2148</v>
      </c>
    </row>
    <row r="11047" spans="1:7">
      <c r="A11047" s="34">
        <v>2084053884</v>
      </c>
      <c r="B11047" s="35" t="s">
        <v>462</v>
      </c>
      <c r="C11047" s="35" t="s">
        <v>2016</v>
      </c>
      <c r="D11047" s="35" t="s">
        <v>2143</v>
      </c>
      <c r="E11047" s="35" t="s">
        <v>2025</v>
      </c>
      <c r="F11047" s="35" t="s">
        <v>2156</v>
      </c>
      <c r="G11047" s="35" t="s">
        <v>2149</v>
      </c>
    </row>
    <row r="11048" spans="1:7">
      <c r="A11048" s="34">
        <v>2084053885</v>
      </c>
      <c r="B11048" s="35" t="s">
        <v>462</v>
      </c>
      <c r="C11048" s="35" t="s">
        <v>2016</v>
      </c>
      <c r="D11048" s="35" t="s">
        <v>2143</v>
      </c>
      <c r="E11048" s="35" t="s">
        <v>2025</v>
      </c>
      <c r="F11048" s="35" t="s">
        <v>2156</v>
      </c>
      <c r="G11048" s="35" t="s">
        <v>2150</v>
      </c>
    </row>
    <row r="11049" spans="1:7">
      <c r="A11049" s="34">
        <v>2084053886</v>
      </c>
      <c r="B11049" s="35" t="s">
        <v>462</v>
      </c>
      <c r="C11049" s="35" t="s">
        <v>2016</v>
      </c>
      <c r="D11049" s="35" t="s">
        <v>2143</v>
      </c>
      <c r="E11049" s="35" t="s">
        <v>2025</v>
      </c>
      <c r="F11049" s="35" t="s">
        <v>2156</v>
      </c>
      <c r="G11049" s="35" t="s">
        <v>2151</v>
      </c>
    </row>
    <row r="11050" spans="1:7">
      <c r="A11050" s="34">
        <v>2084053887</v>
      </c>
      <c r="B11050" s="35" t="s">
        <v>462</v>
      </c>
      <c r="C11050" s="35" t="s">
        <v>2016</v>
      </c>
      <c r="D11050" s="35" t="s">
        <v>2143</v>
      </c>
      <c r="E11050" s="35" t="s">
        <v>2025</v>
      </c>
      <c r="F11050" s="35" t="s">
        <v>2156</v>
      </c>
      <c r="G11050" s="35" t="s">
        <v>2152</v>
      </c>
    </row>
    <row r="11051" spans="1:7">
      <c r="A11051" s="34">
        <v>2084053888</v>
      </c>
      <c r="B11051" s="35" t="s">
        <v>462</v>
      </c>
      <c r="C11051" s="35" t="s">
        <v>2016</v>
      </c>
      <c r="D11051" s="35" t="s">
        <v>2143</v>
      </c>
      <c r="E11051" s="35" t="s">
        <v>2025</v>
      </c>
      <c r="F11051" s="35" t="s">
        <v>2156</v>
      </c>
      <c r="G11051" s="35" t="s">
        <v>2153</v>
      </c>
    </row>
    <row r="11052" spans="1:7">
      <c r="A11052" s="34">
        <v>2084053889</v>
      </c>
      <c r="B11052" s="35" t="s">
        <v>462</v>
      </c>
      <c r="C11052" s="35" t="s">
        <v>2016</v>
      </c>
      <c r="D11052" s="35" t="s">
        <v>2143</v>
      </c>
      <c r="E11052" s="35" t="s">
        <v>2025</v>
      </c>
      <c r="F11052" s="35" t="s">
        <v>2156</v>
      </c>
      <c r="G11052" s="35" t="s">
        <v>2154</v>
      </c>
    </row>
    <row r="11053" spans="1:7">
      <c r="A11053" s="34">
        <v>2084053891</v>
      </c>
      <c r="B11053" s="35" t="s">
        <v>462</v>
      </c>
      <c r="C11053" s="35" t="s">
        <v>2016</v>
      </c>
      <c r="D11053" s="35" t="s">
        <v>2143</v>
      </c>
      <c r="E11053" s="35" t="s">
        <v>2025</v>
      </c>
      <c r="F11053" s="35" t="s">
        <v>1802</v>
      </c>
      <c r="G11053" s="35" t="s">
        <v>2145</v>
      </c>
    </row>
    <row r="11054" spans="1:7">
      <c r="A11054" s="34">
        <v>2084053892</v>
      </c>
      <c r="B11054" s="35" t="s">
        <v>462</v>
      </c>
      <c r="C11054" s="35" t="s">
        <v>2016</v>
      </c>
      <c r="D11054" s="35" t="s">
        <v>2143</v>
      </c>
      <c r="E11054" s="35" t="s">
        <v>2025</v>
      </c>
      <c r="F11054" s="35" t="s">
        <v>1802</v>
      </c>
      <c r="G11054" s="35" t="s">
        <v>2146</v>
      </c>
    </row>
    <row r="11055" spans="1:7">
      <c r="A11055" s="34">
        <v>2084053893</v>
      </c>
      <c r="B11055" s="35" t="s">
        <v>462</v>
      </c>
      <c r="C11055" s="35" t="s">
        <v>2016</v>
      </c>
      <c r="D11055" s="35" t="s">
        <v>2143</v>
      </c>
      <c r="E11055" s="35" t="s">
        <v>2025</v>
      </c>
      <c r="F11055" s="35" t="s">
        <v>1802</v>
      </c>
      <c r="G11055" s="35" t="s">
        <v>2147</v>
      </c>
    </row>
    <row r="11056" spans="1:7">
      <c r="A11056" s="34">
        <v>2084053894</v>
      </c>
      <c r="B11056" s="35" t="s">
        <v>462</v>
      </c>
      <c r="C11056" s="35" t="s">
        <v>2016</v>
      </c>
      <c r="D11056" s="35" t="s">
        <v>2143</v>
      </c>
      <c r="E11056" s="35" t="s">
        <v>2025</v>
      </c>
      <c r="F11056" s="35" t="s">
        <v>1802</v>
      </c>
      <c r="G11056" s="35" t="s">
        <v>2148</v>
      </c>
    </row>
    <row r="11057" spans="1:7">
      <c r="A11057" s="34">
        <v>2084053895</v>
      </c>
      <c r="B11057" s="35" t="s">
        <v>462</v>
      </c>
      <c r="C11057" s="35" t="s">
        <v>2016</v>
      </c>
      <c r="D11057" s="35" t="s">
        <v>2143</v>
      </c>
      <c r="E11057" s="35" t="s">
        <v>2025</v>
      </c>
      <c r="F11057" s="35" t="s">
        <v>1802</v>
      </c>
      <c r="G11057" s="35" t="s">
        <v>2149</v>
      </c>
    </row>
    <row r="11058" spans="1:7">
      <c r="A11058" s="34">
        <v>2084053896</v>
      </c>
      <c r="B11058" s="35" t="s">
        <v>462</v>
      </c>
      <c r="C11058" s="35" t="s">
        <v>2016</v>
      </c>
      <c r="D11058" s="35" t="s">
        <v>2143</v>
      </c>
      <c r="E11058" s="35" t="s">
        <v>2025</v>
      </c>
      <c r="F11058" s="35" t="s">
        <v>1802</v>
      </c>
      <c r="G11058" s="35" t="s">
        <v>2150</v>
      </c>
    </row>
    <row r="11059" spans="1:7">
      <c r="A11059" s="34">
        <v>2084053897</v>
      </c>
      <c r="B11059" s="35" t="s">
        <v>462</v>
      </c>
      <c r="C11059" s="35" t="s">
        <v>2016</v>
      </c>
      <c r="D11059" s="35" t="s">
        <v>2143</v>
      </c>
      <c r="E11059" s="35" t="s">
        <v>2025</v>
      </c>
      <c r="F11059" s="35" t="s">
        <v>1802</v>
      </c>
      <c r="G11059" s="35" t="s">
        <v>2151</v>
      </c>
    </row>
    <row r="11060" spans="1:7">
      <c r="A11060" s="34">
        <v>2084053898</v>
      </c>
      <c r="B11060" s="35" t="s">
        <v>462</v>
      </c>
      <c r="C11060" s="35" t="s">
        <v>2016</v>
      </c>
      <c r="D11060" s="35" t="s">
        <v>2143</v>
      </c>
      <c r="E11060" s="35" t="s">
        <v>2025</v>
      </c>
      <c r="F11060" s="35" t="s">
        <v>1802</v>
      </c>
      <c r="G11060" s="35" t="s">
        <v>2152</v>
      </c>
    </row>
    <row r="11061" spans="1:7">
      <c r="A11061" s="34">
        <v>2084053899</v>
      </c>
      <c r="B11061" s="35" t="s">
        <v>462</v>
      </c>
      <c r="C11061" s="35" t="s">
        <v>2016</v>
      </c>
      <c r="D11061" s="35" t="s">
        <v>2143</v>
      </c>
      <c r="E11061" s="35" t="s">
        <v>2025</v>
      </c>
      <c r="F11061" s="35" t="s">
        <v>1802</v>
      </c>
      <c r="G11061" s="35" t="s">
        <v>2153</v>
      </c>
    </row>
    <row r="11062" spans="1:7">
      <c r="A11062" s="34">
        <v>2084053900</v>
      </c>
      <c r="B11062" s="35" t="s">
        <v>462</v>
      </c>
      <c r="C11062" s="35" t="s">
        <v>2016</v>
      </c>
      <c r="D11062" s="35" t="s">
        <v>2143</v>
      </c>
      <c r="E11062" s="35" t="s">
        <v>2025</v>
      </c>
      <c r="F11062" s="35" t="s">
        <v>1802</v>
      </c>
      <c r="G11062" s="35" t="s">
        <v>2154</v>
      </c>
    </row>
    <row r="11063" spans="1:7">
      <c r="A11063" s="34">
        <v>2084053869</v>
      </c>
      <c r="B11063" s="35" t="s">
        <v>462</v>
      </c>
      <c r="C11063" s="35" t="s">
        <v>2016</v>
      </c>
      <c r="D11063" s="35" t="s">
        <v>2143</v>
      </c>
      <c r="E11063" s="35" t="s">
        <v>2025</v>
      </c>
      <c r="F11063" s="35" t="s">
        <v>2157</v>
      </c>
      <c r="G11063" s="35" t="s">
        <v>2145</v>
      </c>
    </row>
    <row r="11064" spans="1:7">
      <c r="A11064" s="34">
        <v>2084053870</v>
      </c>
      <c r="B11064" s="35" t="s">
        <v>462</v>
      </c>
      <c r="C11064" s="35" t="s">
        <v>2016</v>
      </c>
      <c r="D11064" s="35" t="s">
        <v>2143</v>
      </c>
      <c r="E11064" s="35" t="s">
        <v>2025</v>
      </c>
      <c r="F11064" s="35" t="s">
        <v>2157</v>
      </c>
      <c r="G11064" s="35" t="s">
        <v>2146</v>
      </c>
    </row>
    <row r="11065" spans="1:7">
      <c r="A11065" s="34">
        <v>2084053871</v>
      </c>
      <c r="B11065" s="35" t="s">
        <v>462</v>
      </c>
      <c r="C11065" s="35" t="s">
        <v>2016</v>
      </c>
      <c r="D11065" s="35" t="s">
        <v>2143</v>
      </c>
      <c r="E11065" s="35" t="s">
        <v>2025</v>
      </c>
      <c r="F11065" s="35" t="s">
        <v>2157</v>
      </c>
      <c r="G11065" s="35" t="s">
        <v>2147</v>
      </c>
    </row>
    <row r="11066" spans="1:7">
      <c r="A11066" s="34">
        <v>2084053872</v>
      </c>
      <c r="B11066" s="35" t="s">
        <v>462</v>
      </c>
      <c r="C11066" s="35" t="s">
        <v>2016</v>
      </c>
      <c r="D11066" s="35" t="s">
        <v>2143</v>
      </c>
      <c r="E11066" s="35" t="s">
        <v>2025</v>
      </c>
      <c r="F11066" s="35" t="s">
        <v>2157</v>
      </c>
      <c r="G11066" s="35" t="s">
        <v>2148</v>
      </c>
    </row>
    <row r="11067" spans="1:7">
      <c r="A11067" s="34">
        <v>2084053873</v>
      </c>
      <c r="B11067" s="35" t="s">
        <v>462</v>
      </c>
      <c r="C11067" s="35" t="s">
        <v>2016</v>
      </c>
      <c r="D11067" s="35" t="s">
        <v>2143</v>
      </c>
      <c r="E11067" s="35" t="s">
        <v>2025</v>
      </c>
      <c r="F11067" s="35" t="s">
        <v>2157</v>
      </c>
      <c r="G11067" s="35" t="s">
        <v>2149</v>
      </c>
    </row>
    <row r="11068" spans="1:7">
      <c r="A11068" s="34">
        <v>2084053874</v>
      </c>
      <c r="B11068" s="35" t="s">
        <v>462</v>
      </c>
      <c r="C11068" s="35" t="s">
        <v>2016</v>
      </c>
      <c r="D11068" s="35" t="s">
        <v>2143</v>
      </c>
      <c r="E11068" s="35" t="s">
        <v>2025</v>
      </c>
      <c r="F11068" s="35" t="s">
        <v>2157</v>
      </c>
      <c r="G11068" s="35" t="s">
        <v>2150</v>
      </c>
    </row>
    <row r="11069" spans="1:7">
      <c r="A11069" s="34">
        <v>2084053875</v>
      </c>
      <c r="B11069" s="35" t="s">
        <v>462</v>
      </c>
      <c r="C11069" s="35" t="s">
        <v>2016</v>
      </c>
      <c r="D11069" s="35" t="s">
        <v>2143</v>
      </c>
      <c r="E11069" s="35" t="s">
        <v>2025</v>
      </c>
      <c r="F11069" s="35" t="s">
        <v>2157</v>
      </c>
      <c r="G11069" s="35" t="s">
        <v>2151</v>
      </c>
    </row>
    <row r="11070" spans="1:7">
      <c r="A11070" s="34">
        <v>2084053876</v>
      </c>
      <c r="B11070" s="35" t="s">
        <v>462</v>
      </c>
      <c r="C11070" s="35" t="s">
        <v>2016</v>
      </c>
      <c r="D11070" s="35" t="s">
        <v>2143</v>
      </c>
      <c r="E11070" s="35" t="s">
        <v>2025</v>
      </c>
      <c r="F11070" s="35" t="s">
        <v>2157</v>
      </c>
      <c r="G11070" s="35" t="s">
        <v>2152</v>
      </c>
    </row>
    <row r="11071" spans="1:7">
      <c r="A11071" s="34">
        <v>2084053877</v>
      </c>
      <c r="B11071" s="35" t="s">
        <v>462</v>
      </c>
      <c r="C11071" s="35" t="s">
        <v>2016</v>
      </c>
      <c r="D11071" s="35" t="s">
        <v>2143</v>
      </c>
      <c r="E11071" s="35" t="s">
        <v>2025</v>
      </c>
      <c r="F11071" s="35" t="s">
        <v>2157</v>
      </c>
      <c r="G11071" s="35" t="s">
        <v>2153</v>
      </c>
    </row>
    <row r="11072" spans="1:7">
      <c r="A11072" s="34">
        <v>2084053878</v>
      </c>
      <c r="B11072" s="35" t="s">
        <v>462</v>
      </c>
      <c r="C11072" s="35" t="s">
        <v>2016</v>
      </c>
      <c r="D11072" s="35" t="s">
        <v>2143</v>
      </c>
      <c r="E11072" s="35" t="s">
        <v>2025</v>
      </c>
      <c r="F11072" s="35" t="s">
        <v>2157</v>
      </c>
      <c r="G11072" s="35" t="s">
        <v>2154</v>
      </c>
    </row>
    <row r="11073" spans="1:7">
      <c r="A11073" s="34">
        <v>2084298048</v>
      </c>
      <c r="B11073" s="35" t="s">
        <v>462</v>
      </c>
      <c r="C11073" s="35" t="s">
        <v>2016</v>
      </c>
      <c r="D11073" s="35" t="s">
        <v>2143</v>
      </c>
      <c r="E11073" s="35" t="s">
        <v>2025</v>
      </c>
      <c r="F11073" s="35" t="s">
        <v>2009</v>
      </c>
    </row>
    <row r="11074" spans="1:7">
      <c r="A11074" s="34">
        <v>2084053902</v>
      </c>
      <c r="B11074" s="35" t="s">
        <v>462</v>
      </c>
      <c r="C11074" s="35" t="s">
        <v>2016</v>
      </c>
      <c r="D11074" s="35" t="s">
        <v>2143</v>
      </c>
      <c r="E11074" s="35" t="s">
        <v>2025</v>
      </c>
      <c r="F11074" s="35" t="s">
        <v>2158</v>
      </c>
      <c r="G11074" s="35" t="s">
        <v>2145</v>
      </c>
    </row>
    <row r="11075" spans="1:7">
      <c r="A11075" s="34">
        <v>2084053903</v>
      </c>
      <c r="B11075" s="35" t="s">
        <v>462</v>
      </c>
      <c r="C11075" s="35" t="s">
        <v>2016</v>
      </c>
      <c r="D11075" s="35" t="s">
        <v>2143</v>
      </c>
      <c r="E11075" s="35" t="s">
        <v>2025</v>
      </c>
      <c r="F11075" s="35" t="s">
        <v>2158</v>
      </c>
      <c r="G11075" s="35" t="s">
        <v>2146</v>
      </c>
    </row>
    <row r="11076" spans="1:7">
      <c r="A11076" s="34">
        <v>2084053904</v>
      </c>
      <c r="B11076" s="35" t="s">
        <v>462</v>
      </c>
      <c r="C11076" s="35" t="s">
        <v>2016</v>
      </c>
      <c r="D11076" s="35" t="s">
        <v>2143</v>
      </c>
      <c r="E11076" s="35" t="s">
        <v>2025</v>
      </c>
      <c r="F11076" s="35" t="s">
        <v>2158</v>
      </c>
      <c r="G11076" s="35" t="s">
        <v>2147</v>
      </c>
    </row>
    <row r="11077" spans="1:7">
      <c r="A11077" s="34">
        <v>2084053905</v>
      </c>
      <c r="B11077" s="35" t="s">
        <v>462</v>
      </c>
      <c r="C11077" s="35" t="s">
        <v>2016</v>
      </c>
      <c r="D11077" s="35" t="s">
        <v>2143</v>
      </c>
      <c r="E11077" s="35" t="s">
        <v>2025</v>
      </c>
      <c r="F11077" s="35" t="s">
        <v>2158</v>
      </c>
      <c r="G11077" s="35" t="s">
        <v>2148</v>
      </c>
    </row>
    <row r="11078" spans="1:7">
      <c r="A11078" s="34">
        <v>2084053906</v>
      </c>
      <c r="B11078" s="35" t="s">
        <v>462</v>
      </c>
      <c r="C11078" s="35" t="s">
        <v>2016</v>
      </c>
      <c r="D11078" s="35" t="s">
        <v>2143</v>
      </c>
      <c r="E11078" s="35" t="s">
        <v>2025</v>
      </c>
      <c r="F11078" s="35" t="s">
        <v>2158</v>
      </c>
      <c r="G11078" s="35" t="s">
        <v>2149</v>
      </c>
    </row>
    <row r="11079" spans="1:7">
      <c r="A11079" s="34">
        <v>2084053907</v>
      </c>
      <c r="B11079" s="35" t="s">
        <v>462</v>
      </c>
      <c r="C11079" s="35" t="s">
        <v>2016</v>
      </c>
      <c r="D11079" s="35" t="s">
        <v>2143</v>
      </c>
      <c r="E11079" s="35" t="s">
        <v>2025</v>
      </c>
      <c r="F11079" s="35" t="s">
        <v>2158</v>
      </c>
      <c r="G11079" s="35" t="s">
        <v>2150</v>
      </c>
    </row>
    <row r="11080" spans="1:7">
      <c r="A11080" s="34">
        <v>2084053908</v>
      </c>
      <c r="B11080" s="35" t="s">
        <v>462</v>
      </c>
      <c r="C11080" s="35" t="s">
        <v>2016</v>
      </c>
      <c r="D11080" s="35" t="s">
        <v>2143</v>
      </c>
      <c r="E11080" s="35" t="s">
        <v>2025</v>
      </c>
      <c r="F11080" s="35" t="s">
        <v>2158</v>
      </c>
      <c r="G11080" s="35" t="s">
        <v>2151</v>
      </c>
    </row>
    <row r="11081" spans="1:7">
      <c r="A11081" s="34">
        <v>2084053909</v>
      </c>
      <c r="B11081" s="35" t="s">
        <v>462</v>
      </c>
      <c r="C11081" s="35" t="s">
        <v>2016</v>
      </c>
      <c r="D11081" s="35" t="s">
        <v>2143</v>
      </c>
      <c r="E11081" s="35" t="s">
        <v>2025</v>
      </c>
      <c r="F11081" s="35" t="s">
        <v>2158</v>
      </c>
      <c r="G11081" s="35" t="s">
        <v>2152</v>
      </c>
    </row>
    <row r="11082" spans="1:7">
      <c r="A11082" s="34">
        <v>2084053910</v>
      </c>
      <c r="B11082" s="35" t="s">
        <v>462</v>
      </c>
      <c r="C11082" s="35" t="s">
        <v>2016</v>
      </c>
      <c r="D11082" s="35" t="s">
        <v>2143</v>
      </c>
      <c r="E11082" s="35" t="s">
        <v>2025</v>
      </c>
      <c r="F11082" s="35" t="s">
        <v>2158</v>
      </c>
      <c r="G11082" s="35" t="s">
        <v>2153</v>
      </c>
    </row>
    <row r="11083" spans="1:7">
      <c r="A11083" s="34">
        <v>2084053911</v>
      </c>
      <c r="B11083" s="35" t="s">
        <v>462</v>
      </c>
      <c r="C11083" s="35" t="s">
        <v>2016</v>
      </c>
      <c r="D11083" s="35" t="s">
        <v>2143</v>
      </c>
      <c r="E11083" s="35" t="s">
        <v>2025</v>
      </c>
      <c r="F11083" s="35" t="s">
        <v>2158</v>
      </c>
      <c r="G11083" s="35" t="s">
        <v>2154</v>
      </c>
    </row>
    <row r="11084" spans="1:7">
      <c r="A11084" s="34">
        <v>2084298047</v>
      </c>
      <c r="B11084" s="35" t="s">
        <v>462</v>
      </c>
      <c r="C11084" s="35" t="s">
        <v>2016</v>
      </c>
      <c r="D11084" s="35" t="s">
        <v>2143</v>
      </c>
      <c r="E11084" s="35" t="s">
        <v>2025</v>
      </c>
      <c r="F11084" s="35" t="s">
        <v>2159</v>
      </c>
    </row>
    <row r="11085" spans="1:7">
      <c r="A11085" s="34">
        <v>2084298049</v>
      </c>
      <c r="B11085" s="35" t="s">
        <v>462</v>
      </c>
      <c r="C11085" s="35" t="s">
        <v>2016</v>
      </c>
      <c r="D11085" s="35" t="s">
        <v>2143</v>
      </c>
      <c r="E11085" s="35" t="s">
        <v>2025</v>
      </c>
      <c r="F11085" s="35" t="s">
        <v>2160</v>
      </c>
    </row>
    <row r="11086" spans="1:7">
      <c r="A11086" s="34">
        <v>2084006390</v>
      </c>
      <c r="B11086" s="35" t="s">
        <v>462</v>
      </c>
      <c r="C11086" s="35" t="s">
        <v>2016</v>
      </c>
      <c r="D11086" s="35" t="s">
        <v>2143</v>
      </c>
      <c r="E11086" s="35" t="s">
        <v>2027</v>
      </c>
      <c r="F11086" s="35" t="s">
        <v>2144</v>
      </c>
    </row>
    <row r="11087" spans="1:7">
      <c r="A11087" s="34">
        <v>2084053935</v>
      </c>
      <c r="B11087" s="35" t="s">
        <v>462</v>
      </c>
      <c r="C11087" s="35" t="s">
        <v>2016</v>
      </c>
      <c r="D11087" s="35" t="s">
        <v>2143</v>
      </c>
      <c r="E11087" s="35" t="s">
        <v>2027</v>
      </c>
      <c r="F11087" s="35" t="s">
        <v>1773</v>
      </c>
      <c r="G11087" s="35" t="s">
        <v>2145</v>
      </c>
    </row>
    <row r="11088" spans="1:7">
      <c r="A11088" s="34">
        <v>2084053936</v>
      </c>
      <c r="B11088" s="35" t="s">
        <v>462</v>
      </c>
      <c r="C11088" s="35" t="s">
        <v>2016</v>
      </c>
      <c r="D11088" s="35" t="s">
        <v>2143</v>
      </c>
      <c r="E11088" s="35" t="s">
        <v>2027</v>
      </c>
      <c r="F11088" s="35" t="s">
        <v>1773</v>
      </c>
      <c r="G11088" s="35" t="s">
        <v>2146</v>
      </c>
    </row>
    <row r="11089" spans="1:7">
      <c r="A11089" s="34">
        <v>2084053937</v>
      </c>
      <c r="B11089" s="35" t="s">
        <v>462</v>
      </c>
      <c r="C11089" s="35" t="s">
        <v>2016</v>
      </c>
      <c r="D11089" s="35" t="s">
        <v>2143</v>
      </c>
      <c r="E11089" s="35" t="s">
        <v>2027</v>
      </c>
      <c r="F11089" s="35" t="s">
        <v>1773</v>
      </c>
      <c r="G11089" s="35" t="s">
        <v>2147</v>
      </c>
    </row>
    <row r="11090" spans="1:7">
      <c r="A11090" s="34">
        <v>2084053938</v>
      </c>
      <c r="B11090" s="35" t="s">
        <v>462</v>
      </c>
      <c r="C11090" s="35" t="s">
        <v>2016</v>
      </c>
      <c r="D11090" s="35" t="s">
        <v>2143</v>
      </c>
      <c r="E11090" s="35" t="s">
        <v>2027</v>
      </c>
      <c r="F11090" s="35" t="s">
        <v>1773</v>
      </c>
      <c r="G11090" s="35" t="s">
        <v>2148</v>
      </c>
    </row>
    <row r="11091" spans="1:7">
      <c r="A11091" s="34">
        <v>2084053939</v>
      </c>
      <c r="B11091" s="35" t="s">
        <v>462</v>
      </c>
      <c r="C11091" s="35" t="s">
        <v>2016</v>
      </c>
      <c r="D11091" s="35" t="s">
        <v>2143</v>
      </c>
      <c r="E11091" s="35" t="s">
        <v>2027</v>
      </c>
      <c r="F11091" s="35" t="s">
        <v>1773</v>
      </c>
      <c r="G11091" s="35" t="s">
        <v>2149</v>
      </c>
    </row>
    <row r="11092" spans="1:7">
      <c r="A11092" s="34">
        <v>2084053940</v>
      </c>
      <c r="B11092" s="35" t="s">
        <v>462</v>
      </c>
      <c r="C11092" s="35" t="s">
        <v>2016</v>
      </c>
      <c r="D11092" s="35" t="s">
        <v>2143</v>
      </c>
      <c r="E11092" s="35" t="s">
        <v>2027</v>
      </c>
      <c r="F11092" s="35" t="s">
        <v>1773</v>
      </c>
      <c r="G11092" s="35" t="s">
        <v>2150</v>
      </c>
    </row>
    <row r="11093" spans="1:7">
      <c r="A11093" s="34">
        <v>2084053941</v>
      </c>
      <c r="B11093" s="35" t="s">
        <v>462</v>
      </c>
      <c r="C11093" s="35" t="s">
        <v>2016</v>
      </c>
      <c r="D11093" s="35" t="s">
        <v>2143</v>
      </c>
      <c r="E11093" s="35" t="s">
        <v>2027</v>
      </c>
      <c r="F11093" s="35" t="s">
        <v>1773</v>
      </c>
      <c r="G11093" s="35" t="s">
        <v>2151</v>
      </c>
    </row>
    <row r="11094" spans="1:7">
      <c r="A11094" s="34">
        <v>2084053942</v>
      </c>
      <c r="B11094" s="35" t="s">
        <v>462</v>
      </c>
      <c r="C11094" s="35" t="s">
        <v>2016</v>
      </c>
      <c r="D11094" s="35" t="s">
        <v>2143</v>
      </c>
      <c r="E11094" s="35" t="s">
        <v>2027</v>
      </c>
      <c r="F11094" s="35" t="s">
        <v>1773</v>
      </c>
      <c r="G11094" s="35" t="s">
        <v>2152</v>
      </c>
    </row>
    <row r="11095" spans="1:7">
      <c r="A11095" s="34">
        <v>2084053943</v>
      </c>
      <c r="B11095" s="35" t="s">
        <v>462</v>
      </c>
      <c r="C11095" s="35" t="s">
        <v>2016</v>
      </c>
      <c r="D11095" s="35" t="s">
        <v>2143</v>
      </c>
      <c r="E11095" s="35" t="s">
        <v>2027</v>
      </c>
      <c r="F11095" s="35" t="s">
        <v>1773</v>
      </c>
      <c r="G11095" s="35" t="s">
        <v>2153</v>
      </c>
    </row>
    <row r="11096" spans="1:7">
      <c r="A11096" s="34">
        <v>2084053944</v>
      </c>
      <c r="B11096" s="35" t="s">
        <v>462</v>
      </c>
      <c r="C11096" s="35" t="s">
        <v>2016</v>
      </c>
      <c r="D11096" s="35" t="s">
        <v>2143</v>
      </c>
      <c r="E11096" s="35" t="s">
        <v>2027</v>
      </c>
      <c r="F11096" s="35" t="s">
        <v>1773</v>
      </c>
      <c r="G11096" s="35" t="s">
        <v>2154</v>
      </c>
    </row>
    <row r="11097" spans="1:7">
      <c r="A11097" s="34">
        <v>2084053913</v>
      </c>
      <c r="B11097" s="35" t="s">
        <v>462</v>
      </c>
      <c r="C11097" s="35" t="s">
        <v>2016</v>
      </c>
      <c r="D11097" s="35" t="s">
        <v>2143</v>
      </c>
      <c r="E11097" s="35" t="s">
        <v>2027</v>
      </c>
      <c r="F11097" s="35" t="s">
        <v>1771</v>
      </c>
      <c r="G11097" s="35" t="s">
        <v>2145</v>
      </c>
    </row>
    <row r="11098" spans="1:7">
      <c r="A11098" s="34">
        <v>2084053914</v>
      </c>
      <c r="B11098" s="35" t="s">
        <v>462</v>
      </c>
      <c r="C11098" s="35" t="s">
        <v>2016</v>
      </c>
      <c r="D11098" s="35" t="s">
        <v>2143</v>
      </c>
      <c r="E11098" s="35" t="s">
        <v>2027</v>
      </c>
      <c r="F11098" s="35" t="s">
        <v>1771</v>
      </c>
      <c r="G11098" s="35" t="s">
        <v>2146</v>
      </c>
    </row>
    <row r="11099" spans="1:7">
      <c r="A11099" s="34">
        <v>2084053915</v>
      </c>
      <c r="B11099" s="35" t="s">
        <v>462</v>
      </c>
      <c r="C11099" s="35" t="s">
        <v>2016</v>
      </c>
      <c r="D11099" s="35" t="s">
        <v>2143</v>
      </c>
      <c r="E11099" s="35" t="s">
        <v>2027</v>
      </c>
      <c r="F11099" s="35" t="s">
        <v>1771</v>
      </c>
      <c r="G11099" s="35" t="s">
        <v>2147</v>
      </c>
    </row>
    <row r="11100" spans="1:7">
      <c r="A11100" s="34">
        <v>2084053916</v>
      </c>
      <c r="B11100" s="35" t="s">
        <v>462</v>
      </c>
      <c r="C11100" s="35" t="s">
        <v>2016</v>
      </c>
      <c r="D11100" s="35" t="s">
        <v>2143</v>
      </c>
      <c r="E11100" s="35" t="s">
        <v>2027</v>
      </c>
      <c r="F11100" s="35" t="s">
        <v>1771</v>
      </c>
      <c r="G11100" s="35" t="s">
        <v>2148</v>
      </c>
    </row>
    <row r="11101" spans="1:7">
      <c r="A11101" s="34">
        <v>2084053917</v>
      </c>
      <c r="B11101" s="35" t="s">
        <v>462</v>
      </c>
      <c r="C11101" s="35" t="s">
        <v>2016</v>
      </c>
      <c r="D11101" s="35" t="s">
        <v>2143</v>
      </c>
      <c r="E11101" s="35" t="s">
        <v>2027</v>
      </c>
      <c r="F11101" s="35" t="s">
        <v>1771</v>
      </c>
      <c r="G11101" s="35" t="s">
        <v>2149</v>
      </c>
    </row>
    <row r="11102" spans="1:7">
      <c r="A11102" s="34">
        <v>2084053918</v>
      </c>
      <c r="B11102" s="35" t="s">
        <v>462</v>
      </c>
      <c r="C11102" s="35" t="s">
        <v>2016</v>
      </c>
      <c r="D11102" s="35" t="s">
        <v>2143</v>
      </c>
      <c r="E11102" s="35" t="s">
        <v>2027</v>
      </c>
      <c r="F11102" s="35" t="s">
        <v>1771</v>
      </c>
      <c r="G11102" s="35" t="s">
        <v>2150</v>
      </c>
    </row>
    <row r="11103" spans="1:7">
      <c r="A11103" s="34">
        <v>2084053919</v>
      </c>
      <c r="B11103" s="35" t="s">
        <v>462</v>
      </c>
      <c r="C11103" s="35" t="s">
        <v>2016</v>
      </c>
      <c r="D11103" s="35" t="s">
        <v>2143</v>
      </c>
      <c r="E11103" s="35" t="s">
        <v>2027</v>
      </c>
      <c r="F11103" s="35" t="s">
        <v>1771</v>
      </c>
      <c r="G11103" s="35" t="s">
        <v>2151</v>
      </c>
    </row>
    <row r="11104" spans="1:7">
      <c r="A11104" s="34">
        <v>2084053920</v>
      </c>
      <c r="B11104" s="35" t="s">
        <v>462</v>
      </c>
      <c r="C11104" s="35" t="s">
        <v>2016</v>
      </c>
      <c r="D11104" s="35" t="s">
        <v>2143</v>
      </c>
      <c r="E11104" s="35" t="s">
        <v>2027</v>
      </c>
      <c r="F11104" s="35" t="s">
        <v>1771</v>
      </c>
      <c r="G11104" s="35" t="s">
        <v>2152</v>
      </c>
    </row>
    <row r="11105" spans="1:7">
      <c r="A11105" s="34">
        <v>2084053921</v>
      </c>
      <c r="B11105" s="35" t="s">
        <v>462</v>
      </c>
      <c r="C11105" s="35" t="s">
        <v>2016</v>
      </c>
      <c r="D11105" s="35" t="s">
        <v>2143</v>
      </c>
      <c r="E11105" s="35" t="s">
        <v>2027</v>
      </c>
      <c r="F11105" s="35" t="s">
        <v>1771</v>
      </c>
      <c r="G11105" s="35" t="s">
        <v>2153</v>
      </c>
    </row>
    <row r="11106" spans="1:7">
      <c r="A11106" s="34">
        <v>2084053922</v>
      </c>
      <c r="B11106" s="35" t="s">
        <v>462</v>
      </c>
      <c r="C11106" s="35" t="s">
        <v>2016</v>
      </c>
      <c r="D11106" s="35" t="s">
        <v>2143</v>
      </c>
      <c r="E11106" s="35" t="s">
        <v>2027</v>
      </c>
      <c r="F11106" s="35" t="s">
        <v>1771</v>
      </c>
      <c r="G11106" s="35" t="s">
        <v>2154</v>
      </c>
    </row>
    <row r="11107" spans="1:7">
      <c r="A11107" s="34">
        <v>2084053924</v>
      </c>
      <c r="B11107" s="35" t="s">
        <v>462</v>
      </c>
      <c r="C11107" s="35" t="s">
        <v>2016</v>
      </c>
      <c r="D11107" s="35" t="s">
        <v>2143</v>
      </c>
      <c r="E11107" s="35" t="s">
        <v>2027</v>
      </c>
      <c r="F11107" s="35" t="s">
        <v>2155</v>
      </c>
      <c r="G11107" s="35" t="s">
        <v>2145</v>
      </c>
    </row>
    <row r="11108" spans="1:7">
      <c r="A11108" s="34">
        <v>2084053925</v>
      </c>
      <c r="B11108" s="35" t="s">
        <v>462</v>
      </c>
      <c r="C11108" s="35" t="s">
        <v>2016</v>
      </c>
      <c r="D11108" s="35" t="s">
        <v>2143</v>
      </c>
      <c r="E11108" s="35" t="s">
        <v>2027</v>
      </c>
      <c r="F11108" s="35" t="s">
        <v>2155</v>
      </c>
      <c r="G11108" s="35" t="s">
        <v>2146</v>
      </c>
    </row>
    <row r="11109" spans="1:7">
      <c r="A11109" s="34">
        <v>2084053926</v>
      </c>
      <c r="B11109" s="35" t="s">
        <v>462</v>
      </c>
      <c r="C11109" s="35" t="s">
        <v>2016</v>
      </c>
      <c r="D11109" s="35" t="s">
        <v>2143</v>
      </c>
      <c r="E11109" s="35" t="s">
        <v>2027</v>
      </c>
      <c r="F11109" s="35" t="s">
        <v>2155</v>
      </c>
      <c r="G11109" s="35" t="s">
        <v>2147</v>
      </c>
    </row>
    <row r="11110" spans="1:7">
      <c r="A11110" s="34">
        <v>2084053927</v>
      </c>
      <c r="B11110" s="35" t="s">
        <v>462</v>
      </c>
      <c r="C11110" s="35" t="s">
        <v>2016</v>
      </c>
      <c r="D11110" s="35" t="s">
        <v>2143</v>
      </c>
      <c r="E11110" s="35" t="s">
        <v>2027</v>
      </c>
      <c r="F11110" s="35" t="s">
        <v>2155</v>
      </c>
      <c r="G11110" s="35" t="s">
        <v>2148</v>
      </c>
    </row>
    <row r="11111" spans="1:7">
      <c r="A11111" s="34">
        <v>2084053928</v>
      </c>
      <c r="B11111" s="35" t="s">
        <v>462</v>
      </c>
      <c r="C11111" s="35" t="s">
        <v>2016</v>
      </c>
      <c r="D11111" s="35" t="s">
        <v>2143</v>
      </c>
      <c r="E11111" s="35" t="s">
        <v>2027</v>
      </c>
      <c r="F11111" s="35" t="s">
        <v>2155</v>
      </c>
      <c r="G11111" s="35" t="s">
        <v>2149</v>
      </c>
    </row>
    <row r="11112" spans="1:7">
      <c r="A11112" s="34">
        <v>2084053929</v>
      </c>
      <c r="B11112" s="35" t="s">
        <v>462</v>
      </c>
      <c r="C11112" s="35" t="s">
        <v>2016</v>
      </c>
      <c r="D11112" s="35" t="s">
        <v>2143</v>
      </c>
      <c r="E11112" s="35" t="s">
        <v>2027</v>
      </c>
      <c r="F11112" s="35" t="s">
        <v>2155</v>
      </c>
      <c r="G11112" s="35" t="s">
        <v>2150</v>
      </c>
    </row>
    <row r="11113" spans="1:7">
      <c r="A11113" s="34">
        <v>2084053930</v>
      </c>
      <c r="B11113" s="35" t="s">
        <v>462</v>
      </c>
      <c r="C11113" s="35" t="s">
        <v>2016</v>
      </c>
      <c r="D11113" s="35" t="s">
        <v>2143</v>
      </c>
      <c r="E11113" s="35" t="s">
        <v>2027</v>
      </c>
      <c r="F11113" s="35" t="s">
        <v>2155</v>
      </c>
      <c r="G11113" s="35" t="s">
        <v>2151</v>
      </c>
    </row>
    <row r="11114" spans="1:7">
      <c r="A11114" s="34">
        <v>2084053931</v>
      </c>
      <c r="B11114" s="35" t="s">
        <v>462</v>
      </c>
      <c r="C11114" s="35" t="s">
        <v>2016</v>
      </c>
      <c r="D11114" s="35" t="s">
        <v>2143</v>
      </c>
      <c r="E11114" s="35" t="s">
        <v>2027</v>
      </c>
      <c r="F11114" s="35" t="s">
        <v>2155</v>
      </c>
      <c r="G11114" s="35" t="s">
        <v>2152</v>
      </c>
    </row>
    <row r="11115" spans="1:7">
      <c r="A11115" s="34">
        <v>2084053932</v>
      </c>
      <c r="B11115" s="35" t="s">
        <v>462</v>
      </c>
      <c r="C11115" s="35" t="s">
        <v>2016</v>
      </c>
      <c r="D11115" s="35" t="s">
        <v>2143</v>
      </c>
      <c r="E11115" s="35" t="s">
        <v>2027</v>
      </c>
      <c r="F11115" s="35" t="s">
        <v>2155</v>
      </c>
      <c r="G11115" s="35" t="s">
        <v>2153</v>
      </c>
    </row>
    <row r="11116" spans="1:7">
      <c r="A11116" s="34">
        <v>2084053933</v>
      </c>
      <c r="B11116" s="35" t="s">
        <v>462</v>
      </c>
      <c r="C11116" s="35" t="s">
        <v>2016</v>
      </c>
      <c r="D11116" s="35" t="s">
        <v>2143</v>
      </c>
      <c r="E11116" s="35" t="s">
        <v>2027</v>
      </c>
      <c r="F11116" s="35" t="s">
        <v>2155</v>
      </c>
      <c r="G11116" s="35" t="s">
        <v>2154</v>
      </c>
    </row>
    <row r="11117" spans="1:7">
      <c r="A11117" s="34">
        <v>2084053957</v>
      </c>
      <c r="B11117" s="35" t="s">
        <v>462</v>
      </c>
      <c r="C11117" s="35" t="s">
        <v>2016</v>
      </c>
      <c r="D11117" s="35" t="s">
        <v>2143</v>
      </c>
      <c r="E11117" s="35" t="s">
        <v>2027</v>
      </c>
      <c r="F11117" s="35" t="s">
        <v>2156</v>
      </c>
      <c r="G11117" s="35" t="s">
        <v>2145</v>
      </c>
    </row>
    <row r="11118" spans="1:7">
      <c r="A11118" s="34">
        <v>2084053958</v>
      </c>
      <c r="B11118" s="35" t="s">
        <v>462</v>
      </c>
      <c r="C11118" s="35" t="s">
        <v>2016</v>
      </c>
      <c r="D11118" s="35" t="s">
        <v>2143</v>
      </c>
      <c r="E11118" s="35" t="s">
        <v>2027</v>
      </c>
      <c r="F11118" s="35" t="s">
        <v>2156</v>
      </c>
      <c r="G11118" s="35" t="s">
        <v>2146</v>
      </c>
    </row>
    <row r="11119" spans="1:7">
      <c r="A11119" s="34">
        <v>2084053959</v>
      </c>
      <c r="B11119" s="35" t="s">
        <v>462</v>
      </c>
      <c r="C11119" s="35" t="s">
        <v>2016</v>
      </c>
      <c r="D11119" s="35" t="s">
        <v>2143</v>
      </c>
      <c r="E11119" s="35" t="s">
        <v>2027</v>
      </c>
      <c r="F11119" s="35" t="s">
        <v>2156</v>
      </c>
      <c r="G11119" s="35" t="s">
        <v>2147</v>
      </c>
    </row>
    <row r="11120" spans="1:7">
      <c r="A11120" s="34">
        <v>2084053960</v>
      </c>
      <c r="B11120" s="35" t="s">
        <v>462</v>
      </c>
      <c r="C11120" s="35" t="s">
        <v>2016</v>
      </c>
      <c r="D11120" s="35" t="s">
        <v>2143</v>
      </c>
      <c r="E11120" s="35" t="s">
        <v>2027</v>
      </c>
      <c r="F11120" s="35" t="s">
        <v>2156</v>
      </c>
      <c r="G11120" s="35" t="s">
        <v>2148</v>
      </c>
    </row>
    <row r="11121" spans="1:7">
      <c r="A11121" s="34">
        <v>2084053961</v>
      </c>
      <c r="B11121" s="35" t="s">
        <v>462</v>
      </c>
      <c r="C11121" s="35" t="s">
        <v>2016</v>
      </c>
      <c r="D11121" s="35" t="s">
        <v>2143</v>
      </c>
      <c r="E11121" s="35" t="s">
        <v>2027</v>
      </c>
      <c r="F11121" s="35" t="s">
        <v>2156</v>
      </c>
      <c r="G11121" s="35" t="s">
        <v>2149</v>
      </c>
    </row>
    <row r="11122" spans="1:7">
      <c r="A11122" s="34">
        <v>2084053962</v>
      </c>
      <c r="B11122" s="35" t="s">
        <v>462</v>
      </c>
      <c r="C11122" s="35" t="s">
        <v>2016</v>
      </c>
      <c r="D11122" s="35" t="s">
        <v>2143</v>
      </c>
      <c r="E11122" s="35" t="s">
        <v>2027</v>
      </c>
      <c r="F11122" s="35" t="s">
        <v>2156</v>
      </c>
      <c r="G11122" s="35" t="s">
        <v>2150</v>
      </c>
    </row>
    <row r="11123" spans="1:7">
      <c r="A11123" s="34">
        <v>2084053963</v>
      </c>
      <c r="B11123" s="35" t="s">
        <v>462</v>
      </c>
      <c r="C11123" s="35" t="s">
        <v>2016</v>
      </c>
      <c r="D11123" s="35" t="s">
        <v>2143</v>
      </c>
      <c r="E11123" s="35" t="s">
        <v>2027</v>
      </c>
      <c r="F11123" s="35" t="s">
        <v>2156</v>
      </c>
      <c r="G11123" s="35" t="s">
        <v>2151</v>
      </c>
    </row>
    <row r="11124" spans="1:7">
      <c r="A11124" s="34">
        <v>2084053964</v>
      </c>
      <c r="B11124" s="35" t="s">
        <v>462</v>
      </c>
      <c r="C11124" s="35" t="s">
        <v>2016</v>
      </c>
      <c r="D11124" s="35" t="s">
        <v>2143</v>
      </c>
      <c r="E11124" s="35" t="s">
        <v>2027</v>
      </c>
      <c r="F11124" s="35" t="s">
        <v>2156</v>
      </c>
      <c r="G11124" s="35" t="s">
        <v>2152</v>
      </c>
    </row>
    <row r="11125" spans="1:7">
      <c r="A11125" s="34">
        <v>2084053965</v>
      </c>
      <c r="B11125" s="35" t="s">
        <v>462</v>
      </c>
      <c r="C11125" s="35" t="s">
        <v>2016</v>
      </c>
      <c r="D11125" s="35" t="s">
        <v>2143</v>
      </c>
      <c r="E11125" s="35" t="s">
        <v>2027</v>
      </c>
      <c r="F11125" s="35" t="s">
        <v>2156</v>
      </c>
      <c r="G11125" s="35" t="s">
        <v>2153</v>
      </c>
    </row>
    <row r="11126" spans="1:7">
      <c r="A11126" s="34">
        <v>2084053966</v>
      </c>
      <c r="B11126" s="35" t="s">
        <v>462</v>
      </c>
      <c r="C11126" s="35" t="s">
        <v>2016</v>
      </c>
      <c r="D11126" s="35" t="s">
        <v>2143</v>
      </c>
      <c r="E11126" s="35" t="s">
        <v>2027</v>
      </c>
      <c r="F11126" s="35" t="s">
        <v>2156</v>
      </c>
      <c r="G11126" s="35" t="s">
        <v>2154</v>
      </c>
    </row>
    <row r="11127" spans="1:7">
      <c r="A11127" s="34">
        <v>2084053968</v>
      </c>
      <c r="B11127" s="35" t="s">
        <v>462</v>
      </c>
      <c r="C11127" s="35" t="s">
        <v>2016</v>
      </c>
      <c r="D11127" s="35" t="s">
        <v>2143</v>
      </c>
      <c r="E11127" s="35" t="s">
        <v>2027</v>
      </c>
      <c r="F11127" s="35" t="s">
        <v>1802</v>
      </c>
      <c r="G11127" s="35" t="s">
        <v>2145</v>
      </c>
    </row>
    <row r="11128" spans="1:7">
      <c r="A11128" s="34">
        <v>2084053969</v>
      </c>
      <c r="B11128" s="35" t="s">
        <v>462</v>
      </c>
      <c r="C11128" s="35" t="s">
        <v>2016</v>
      </c>
      <c r="D11128" s="35" t="s">
        <v>2143</v>
      </c>
      <c r="E11128" s="35" t="s">
        <v>2027</v>
      </c>
      <c r="F11128" s="35" t="s">
        <v>1802</v>
      </c>
      <c r="G11128" s="35" t="s">
        <v>2146</v>
      </c>
    </row>
    <row r="11129" spans="1:7">
      <c r="A11129" s="34">
        <v>2084053970</v>
      </c>
      <c r="B11129" s="35" t="s">
        <v>462</v>
      </c>
      <c r="C11129" s="35" t="s">
        <v>2016</v>
      </c>
      <c r="D11129" s="35" t="s">
        <v>2143</v>
      </c>
      <c r="E11129" s="35" t="s">
        <v>2027</v>
      </c>
      <c r="F11129" s="35" t="s">
        <v>1802</v>
      </c>
      <c r="G11129" s="35" t="s">
        <v>2147</v>
      </c>
    </row>
    <row r="11130" spans="1:7">
      <c r="A11130" s="34">
        <v>2084053971</v>
      </c>
      <c r="B11130" s="35" t="s">
        <v>462</v>
      </c>
      <c r="C11130" s="35" t="s">
        <v>2016</v>
      </c>
      <c r="D11130" s="35" t="s">
        <v>2143</v>
      </c>
      <c r="E11130" s="35" t="s">
        <v>2027</v>
      </c>
      <c r="F11130" s="35" t="s">
        <v>1802</v>
      </c>
      <c r="G11130" s="35" t="s">
        <v>2148</v>
      </c>
    </row>
    <row r="11131" spans="1:7">
      <c r="A11131" s="34">
        <v>2084053972</v>
      </c>
      <c r="B11131" s="35" t="s">
        <v>462</v>
      </c>
      <c r="C11131" s="35" t="s">
        <v>2016</v>
      </c>
      <c r="D11131" s="35" t="s">
        <v>2143</v>
      </c>
      <c r="E11131" s="35" t="s">
        <v>2027</v>
      </c>
      <c r="F11131" s="35" t="s">
        <v>1802</v>
      </c>
      <c r="G11131" s="35" t="s">
        <v>2149</v>
      </c>
    </row>
    <row r="11132" spans="1:7">
      <c r="A11132" s="34">
        <v>2084053973</v>
      </c>
      <c r="B11132" s="35" t="s">
        <v>462</v>
      </c>
      <c r="C11132" s="35" t="s">
        <v>2016</v>
      </c>
      <c r="D11132" s="35" t="s">
        <v>2143</v>
      </c>
      <c r="E11132" s="35" t="s">
        <v>2027</v>
      </c>
      <c r="F11132" s="35" t="s">
        <v>1802</v>
      </c>
      <c r="G11132" s="35" t="s">
        <v>2150</v>
      </c>
    </row>
    <row r="11133" spans="1:7">
      <c r="A11133" s="34">
        <v>2084053974</v>
      </c>
      <c r="B11133" s="35" t="s">
        <v>462</v>
      </c>
      <c r="C11133" s="35" t="s">
        <v>2016</v>
      </c>
      <c r="D11133" s="35" t="s">
        <v>2143</v>
      </c>
      <c r="E11133" s="35" t="s">
        <v>2027</v>
      </c>
      <c r="F11133" s="35" t="s">
        <v>1802</v>
      </c>
      <c r="G11133" s="35" t="s">
        <v>2151</v>
      </c>
    </row>
    <row r="11134" spans="1:7">
      <c r="A11134" s="34">
        <v>2084053975</v>
      </c>
      <c r="B11134" s="35" t="s">
        <v>462</v>
      </c>
      <c r="C11134" s="35" t="s">
        <v>2016</v>
      </c>
      <c r="D11134" s="35" t="s">
        <v>2143</v>
      </c>
      <c r="E11134" s="35" t="s">
        <v>2027</v>
      </c>
      <c r="F11134" s="35" t="s">
        <v>1802</v>
      </c>
      <c r="G11134" s="35" t="s">
        <v>2152</v>
      </c>
    </row>
    <row r="11135" spans="1:7">
      <c r="A11135" s="34">
        <v>2084053976</v>
      </c>
      <c r="B11135" s="35" t="s">
        <v>462</v>
      </c>
      <c r="C11135" s="35" t="s">
        <v>2016</v>
      </c>
      <c r="D11135" s="35" t="s">
        <v>2143</v>
      </c>
      <c r="E11135" s="35" t="s">
        <v>2027</v>
      </c>
      <c r="F11135" s="35" t="s">
        <v>1802</v>
      </c>
      <c r="G11135" s="35" t="s">
        <v>2153</v>
      </c>
    </row>
    <row r="11136" spans="1:7">
      <c r="A11136" s="34">
        <v>2084053977</v>
      </c>
      <c r="B11136" s="35" t="s">
        <v>462</v>
      </c>
      <c r="C11136" s="35" t="s">
        <v>2016</v>
      </c>
      <c r="D11136" s="35" t="s">
        <v>2143</v>
      </c>
      <c r="E11136" s="35" t="s">
        <v>2027</v>
      </c>
      <c r="F11136" s="35" t="s">
        <v>1802</v>
      </c>
      <c r="G11136" s="35" t="s">
        <v>2154</v>
      </c>
    </row>
    <row r="11137" spans="1:7">
      <c r="A11137" s="34">
        <v>2084053946</v>
      </c>
      <c r="B11137" s="35" t="s">
        <v>462</v>
      </c>
      <c r="C11137" s="35" t="s">
        <v>2016</v>
      </c>
      <c r="D11137" s="35" t="s">
        <v>2143</v>
      </c>
      <c r="E11137" s="35" t="s">
        <v>2027</v>
      </c>
      <c r="F11137" s="35" t="s">
        <v>2157</v>
      </c>
      <c r="G11137" s="35" t="s">
        <v>2145</v>
      </c>
    </row>
    <row r="11138" spans="1:7">
      <c r="A11138" s="34">
        <v>2084053947</v>
      </c>
      <c r="B11138" s="35" t="s">
        <v>462</v>
      </c>
      <c r="C11138" s="35" t="s">
        <v>2016</v>
      </c>
      <c r="D11138" s="35" t="s">
        <v>2143</v>
      </c>
      <c r="E11138" s="35" t="s">
        <v>2027</v>
      </c>
      <c r="F11138" s="35" t="s">
        <v>2157</v>
      </c>
      <c r="G11138" s="35" t="s">
        <v>2146</v>
      </c>
    </row>
    <row r="11139" spans="1:7">
      <c r="A11139" s="34">
        <v>2084053948</v>
      </c>
      <c r="B11139" s="35" t="s">
        <v>462</v>
      </c>
      <c r="C11139" s="35" t="s">
        <v>2016</v>
      </c>
      <c r="D11139" s="35" t="s">
        <v>2143</v>
      </c>
      <c r="E11139" s="35" t="s">
        <v>2027</v>
      </c>
      <c r="F11139" s="35" t="s">
        <v>2157</v>
      </c>
      <c r="G11139" s="35" t="s">
        <v>2147</v>
      </c>
    </row>
    <row r="11140" spans="1:7">
      <c r="A11140" s="34">
        <v>2084053949</v>
      </c>
      <c r="B11140" s="35" t="s">
        <v>462</v>
      </c>
      <c r="C11140" s="35" t="s">
        <v>2016</v>
      </c>
      <c r="D11140" s="35" t="s">
        <v>2143</v>
      </c>
      <c r="E11140" s="35" t="s">
        <v>2027</v>
      </c>
      <c r="F11140" s="35" t="s">
        <v>2157</v>
      </c>
      <c r="G11140" s="35" t="s">
        <v>2148</v>
      </c>
    </row>
    <row r="11141" spans="1:7">
      <c r="A11141" s="34">
        <v>2084053950</v>
      </c>
      <c r="B11141" s="35" t="s">
        <v>462</v>
      </c>
      <c r="C11141" s="35" t="s">
        <v>2016</v>
      </c>
      <c r="D11141" s="35" t="s">
        <v>2143</v>
      </c>
      <c r="E11141" s="35" t="s">
        <v>2027</v>
      </c>
      <c r="F11141" s="35" t="s">
        <v>2157</v>
      </c>
      <c r="G11141" s="35" t="s">
        <v>2149</v>
      </c>
    </row>
    <row r="11142" spans="1:7">
      <c r="A11142" s="34">
        <v>2084053951</v>
      </c>
      <c r="B11142" s="35" t="s">
        <v>462</v>
      </c>
      <c r="C11142" s="35" t="s">
        <v>2016</v>
      </c>
      <c r="D11142" s="35" t="s">
        <v>2143</v>
      </c>
      <c r="E11142" s="35" t="s">
        <v>2027</v>
      </c>
      <c r="F11142" s="35" t="s">
        <v>2157</v>
      </c>
      <c r="G11142" s="35" t="s">
        <v>2150</v>
      </c>
    </row>
    <row r="11143" spans="1:7">
      <c r="A11143" s="34">
        <v>2084053952</v>
      </c>
      <c r="B11143" s="35" t="s">
        <v>462</v>
      </c>
      <c r="C11143" s="35" t="s">
        <v>2016</v>
      </c>
      <c r="D11143" s="35" t="s">
        <v>2143</v>
      </c>
      <c r="E11143" s="35" t="s">
        <v>2027</v>
      </c>
      <c r="F11143" s="35" t="s">
        <v>2157</v>
      </c>
      <c r="G11143" s="35" t="s">
        <v>2151</v>
      </c>
    </row>
    <row r="11144" spans="1:7">
      <c r="A11144" s="34">
        <v>2084053953</v>
      </c>
      <c r="B11144" s="35" t="s">
        <v>462</v>
      </c>
      <c r="C11144" s="35" t="s">
        <v>2016</v>
      </c>
      <c r="D11144" s="35" t="s">
        <v>2143</v>
      </c>
      <c r="E11144" s="35" t="s">
        <v>2027</v>
      </c>
      <c r="F11144" s="35" t="s">
        <v>2157</v>
      </c>
      <c r="G11144" s="35" t="s">
        <v>2152</v>
      </c>
    </row>
    <row r="11145" spans="1:7">
      <c r="A11145" s="34">
        <v>2084053954</v>
      </c>
      <c r="B11145" s="35" t="s">
        <v>462</v>
      </c>
      <c r="C11145" s="35" t="s">
        <v>2016</v>
      </c>
      <c r="D11145" s="35" t="s">
        <v>2143</v>
      </c>
      <c r="E11145" s="35" t="s">
        <v>2027</v>
      </c>
      <c r="F11145" s="35" t="s">
        <v>2157</v>
      </c>
      <c r="G11145" s="35" t="s">
        <v>2153</v>
      </c>
    </row>
    <row r="11146" spans="1:7">
      <c r="A11146" s="34">
        <v>2084053955</v>
      </c>
      <c r="B11146" s="35" t="s">
        <v>462</v>
      </c>
      <c r="C11146" s="35" t="s">
        <v>2016</v>
      </c>
      <c r="D11146" s="35" t="s">
        <v>2143</v>
      </c>
      <c r="E11146" s="35" t="s">
        <v>2027</v>
      </c>
      <c r="F11146" s="35" t="s">
        <v>2157</v>
      </c>
      <c r="G11146" s="35" t="s">
        <v>2154</v>
      </c>
    </row>
    <row r="11147" spans="1:7">
      <c r="A11147" s="34">
        <v>2084298051</v>
      </c>
      <c r="B11147" s="35" t="s">
        <v>462</v>
      </c>
      <c r="C11147" s="35" t="s">
        <v>2016</v>
      </c>
      <c r="D11147" s="35" t="s">
        <v>2143</v>
      </c>
      <c r="E11147" s="35" t="s">
        <v>2027</v>
      </c>
      <c r="F11147" s="35" t="s">
        <v>2009</v>
      </c>
    </row>
    <row r="11148" spans="1:7">
      <c r="A11148" s="34">
        <v>2084053979</v>
      </c>
      <c r="B11148" s="35" t="s">
        <v>462</v>
      </c>
      <c r="C11148" s="35" t="s">
        <v>2016</v>
      </c>
      <c r="D11148" s="35" t="s">
        <v>2143</v>
      </c>
      <c r="E11148" s="35" t="s">
        <v>2027</v>
      </c>
      <c r="F11148" s="35" t="s">
        <v>2158</v>
      </c>
      <c r="G11148" s="35" t="s">
        <v>2145</v>
      </c>
    </row>
    <row r="11149" spans="1:7">
      <c r="A11149" s="34">
        <v>2084053980</v>
      </c>
      <c r="B11149" s="35" t="s">
        <v>462</v>
      </c>
      <c r="C11149" s="35" t="s">
        <v>2016</v>
      </c>
      <c r="D11149" s="35" t="s">
        <v>2143</v>
      </c>
      <c r="E11149" s="35" t="s">
        <v>2027</v>
      </c>
      <c r="F11149" s="35" t="s">
        <v>2158</v>
      </c>
      <c r="G11149" s="35" t="s">
        <v>2146</v>
      </c>
    </row>
    <row r="11150" spans="1:7">
      <c r="A11150" s="34">
        <v>2084053981</v>
      </c>
      <c r="B11150" s="35" t="s">
        <v>462</v>
      </c>
      <c r="C11150" s="35" t="s">
        <v>2016</v>
      </c>
      <c r="D11150" s="35" t="s">
        <v>2143</v>
      </c>
      <c r="E11150" s="35" t="s">
        <v>2027</v>
      </c>
      <c r="F11150" s="35" t="s">
        <v>2158</v>
      </c>
      <c r="G11150" s="35" t="s">
        <v>2147</v>
      </c>
    </row>
    <row r="11151" spans="1:7">
      <c r="A11151" s="34">
        <v>2084053982</v>
      </c>
      <c r="B11151" s="35" t="s">
        <v>462</v>
      </c>
      <c r="C11151" s="35" t="s">
        <v>2016</v>
      </c>
      <c r="D11151" s="35" t="s">
        <v>2143</v>
      </c>
      <c r="E11151" s="35" t="s">
        <v>2027</v>
      </c>
      <c r="F11151" s="35" t="s">
        <v>2158</v>
      </c>
      <c r="G11151" s="35" t="s">
        <v>2148</v>
      </c>
    </row>
    <row r="11152" spans="1:7">
      <c r="A11152" s="34">
        <v>2084053983</v>
      </c>
      <c r="B11152" s="35" t="s">
        <v>462</v>
      </c>
      <c r="C11152" s="35" t="s">
        <v>2016</v>
      </c>
      <c r="D11152" s="35" t="s">
        <v>2143</v>
      </c>
      <c r="E11152" s="35" t="s">
        <v>2027</v>
      </c>
      <c r="F11152" s="35" t="s">
        <v>2158</v>
      </c>
      <c r="G11152" s="35" t="s">
        <v>2149</v>
      </c>
    </row>
    <row r="11153" spans="1:7">
      <c r="A11153" s="34">
        <v>2084053984</v>
      </c>
      <c r="B11153" s="35" t="s">
        <v>462</v>
      </c>
      <c r="C11153" s="35" t="s">
        <v>2016</v>
      </c>
      <c r="D11153" s="35" t="s">
        <v>2143</v>
      </c>
      <c r="E11153" s="35" t="s">
        <v>2027</v>
      </c>
      <c r="F11153" s="35" t="s">
        <v>2158</v>
      </c>
      <c r="G11153" s="35" t="s">
        <v>2150</v>
      </c>
    </row>
    <row r="11154" spans="1:7">
      <c r="A11154" s="34">
        <v>2084053985</v>
      </c>
      <c r="B11154" s="35" t="s">
        <v>462</v>
      </c>
      <c r="C11154" s="35" t="s">
        <v>2016</v>
      </c>
      <c r="D11154" s="35" t="s">
        <v>2143</v>
      </c>
      <c r="E11154" s="35" t="s">
        <v>2027</v>
      </c>
      <c r="F11154" s="35" t="s">
        <v>2158</v>
      </c>
      <c r="G11154" s="35" t="s">
        <v>2151</v>
      </c>
    </row>
    <row r="11155" spans="1:7">
      <c r="A11155" s="34">
        <v>2084053986</v>
      </c>
      <c r="B11155" s="35" t="s">
        <v>462</v>
      </c>
      <c r="C11155" s="35" t="s">
        <v>2016</v>
      </c>
      <c r="D11155" s="35" t="s">
        <v>2143</v>
      </c>
      <c r="E11155" s="35" t="s">
        <v>2027</v>
      </c>
      <c r="F11155" s="35" t="s">
        <v>2158</v>
      </c>
      <c r="G11155" s="35" t="s">
        <v>2152</v>
      </c>
    </row>
    <row r="11156" spans="1:7">
      <c r="A11156" s="34">
        <v>2084053987</v>
      </c>
      <c r="B11156" s="35" t="s">
        <v>462</v>
      </c>
      <c r="C11156" s="35" t="s">
        <v>2016</v>
      </c>
      <c r="D11156" s="35" t="s">
        <v>2143</v>
      </c>
      <c r="E11156" s="35" t="s">
        <v>2027</v>
      </c>
      <c r="F11156" s="35" t="s">
        <v>2158</v>
      </c>
      <c r="G11156" s="35" t="s">
        <v>2153</v>
      </c>
    </row>
    <row r="11157" spans="1:7">
      <c r="A11157" s="34">
        <v>2084053988</v>
      </c>
      <c r="B11157" s="35" t="s">
        <v>462</v>
      </c>
      <c r="C11157" s="35" t="s">
        <v>2016</v>
      </c>
      <c r="D11157" s="35" t="s">
        <v>2143</v>
      </c>
      <c r="E11157" s="35" t="s">
        <v>2027</v>
      </c>
      <c r="F11157" s="35" t="s">
        <v>2158</v>
      </c>
      <c r="G11157" s="35" t="s">
        <v>2154</v>
      </c>
    </row>
    <row r="11158" spans="1:7">
      <c r="A11158" s="34">
        <v>2084298050</v>
      </c>
      <c r="B11158" s="35" t="s">
        <v>462</v>
      </c>
      <c r="C11158" s="35" t="s">
        <v>2016</v>
      </c>
      <c r="D11158" s="35" t="s">
        <v>2143</v>
      </c>
      <c r="E11158" s="35" t="s">
        <v>2027</v>
      </c>
      <c r="F11158" s="35" t="s">
        <v>2159</v>
      </c>
    </row>
    <row r="11159" spans="1:7">
      <c r="A11159" s="34">
        <v>2084298052</v>
      </c>
      <c r="B11159" s="35" t="s">
        <v>462</v>
      </c>
      <c r="C11159" s="35" t="s">
        <v>2016</v>
      </c>
      <c r="D11159" s="35" t="s">
        <v>2143</v>
      </c>
      <c r="E11159" s="35" t="s">
        <v>2027</v>
      </c>
      <c r="F11159" s="35" t="s">
        <v>2160</v>
      </c>
    </row>
    <row r="11160" spans="1:7">
      <c r="A11160" s="34">
        <v>2084006484</v>
      </c>
      <c r="B11160" s="35" t="s">
        <v>462</v>
      </c>
      <c r="C11160" s="35" t="s">
        <v>2016</v>
      </c>
      <c r="D11160" s="35" t="s">
        <v>2161</v>
      </c>
      <c r="E11160" s="35" t="s">
        <v>2025</v>
      </c>
      <c r="F11160" s="35" t="s">
        <v>1424</v>
      </c>
    </row>
    <row r="11161" spans="1:7">
      <c r="A11161" s="34">
        <v>2084006682</v>
      </c>
      <c r="B11161" s="35" t="s">
        <v>462</v>
      </c>
      <c r="C11161" s="35" t="s">
        <v>2016</v>
      </c>
      <c r="D11161" s="35" t="s">
        <v>2161</v>
      </c>
      <c r="E11161" s="35" t="s">
        <v>2025</v>
      </c>
      <c r="F11161" s="35" t="s">
        <v>2162</v>
      </c>
    </row>
    <row r="11162" spans="1:7">
      <c r="A11162" s="34">
        <v>2084006481</v>
      </c>
      <c r="B11162" s="35" t="s">
        <v>462</v>
      </c>
      <c r="C11162" s="35" t="s">
        <v>2016</v>
      </c>
      <c r="D11162" s="35" t="s">
        <v>2161</v>
      </c>
      <c r="E11162" s="35" t="s">
        <v>2025</v>
      </c>
      <c r="F11162" s="35" t="s">
        <v>857</v>
      </c>
    </row>
    <row r="11163" spans="1:7">
      <c r="A11163" s="34">
        <v>2084006666</v>
      </c>
      <c r="B11163" s="35" t="s">
        <v>462</v>
      </c>
      <c r="C11163" s="35" t="s">
        <v>2016</v>
      </c>
      <c r="D11163" s="35" t="s">
        <v>2161</v>
      </c>
      <c r="E11163" s="35" t="s">
        <v>2025</v>
      </c>
      <c r="F11163" s="35" t="s">
        <v>859</v>
      </c>
    </row>
    <row r="11164" spans="1:7">
      <c r="A11164" s="34">
        <v>2084006487</v>
      </c>
      <c r="B11164" s="35" t="s">
        <v>462</v>
      </c>
      <c r="C11164" s="35" t="s">
        <v>2016</v>
      </c>
      <c r="D11164" s="35" t="s">
        <v>2161</v>
      </c>
      <c r="E11164" s="35" t="s">
        <v>2025</v>
      </c>
      <c r="F11164" s="35" t="s">
        <v>952</v>
      </c>
    </row>
    <row r="11165" spans="1:7">
      <c r="A11165" s="34">
        <v>2084259255</v>
      </c>
      <c r="B11165" s="35" t="s">
        <v>462</v>
      </c>
      <c r="C11165" s="35" t="s">
        <v>2016</v>
      </c>
      <c r="D11165" s="35" t="s">
        <v>2161</v>
      </c>
      <c r="E11165" s="35" t="s">
        <v>2025</v>
      </c>
      <c r="F11165" s="35" t="s">
        <v>2163</v>
      </c>
    </row>
    <row r="11166" spans="1:7">
      <c r="A11166" s="34">
        <v>2084006485</v>
      </c>
      <c r="B11166" s="35" t="s">
        <v>462</v>
      </c>
      <c r="C11166" s="35" t="s">
        <v>2016</v>
      </c>
      <c r="D11166" s="35" t="s">
        <v>2161</v>
      </c>
      <c r="E11166" s="35" t="s">
        <v>2025</v>
      </c>
      <c r="F11166" s="35" t="s">
        <v>2164</v>
      </c>
    </row>
    <row r="11167" spans="1:7">
      <c r="A11167" s="34">
        <v>2084006479</v>
      </c>
      <c r="B11167" s="35" t="s">
        <v>462</v>
      </c>
      <c r="C11167" s="35" t="s">
        <v>2016</v>
      </c>
      <c r="D11167" s="35" t="s">
        <v>2161</v>
      </c>
      <c r="E11167" s="35" t="s">
        <v>2025</v>
      </c>
      <c r="F11167" s="35" t="s">
        <v>953</v>
      </c>
    </row>
    <row r="11168" spans="1:7">
      <c r="A11168" s="34">
        <v>2084006482</v>
      </c>
      <c r="B11168" s="35" t="s">
        <v>462</v>
      </c>
      <c r="C11168" s="35" t="s">
        <v>2016</v>
      </c>
      <c r="D11168" s="35" t="s">
        <v>2161</v>
      </c>
      <c r="E11168" s="35" t="s">
        <v>2025</v>
      </c>
      <c r="F11168" s="35" t="s">
        <v>2165</v>
      </c>
    </row>
    <row r="11169" spans="1:6">
      <c r="A11169" s="34">
        <v>2084006480</v>
      </c>
      <c r="B11169" s="35" t="s">
        <v>462</v>
      </c>
      <c r="C11169" s="35" t="s">
        <v>2016</v>
      </c>
      <c r="D11169" s="35" t="s">
        <v>2161</v>
      </c>
      <c r="E11169" s="35" t="s">
        <v>2025</v>
      </c>
      <c r="F11169" s="35" t="s">
        <v>2166</v>
      </c>
    </row>
    <row r="11170" spans="1:6">
      <c r="A11170" s="34">
        <v>2084006483</v>
      </c>
      <c r="B11170" s="35" t="s">
        <v>462</v>
      </c>
      <c r="C11170" s="35" t="s">
        <v>2016</v>
      </c>
      <c r="D11170" s="35" t="s">
        <v>2161</v>
      </c>
      <c r="E11170" s="35" t="s">
        <v>2025</v>
      </c>
      <c r="F11170" s="35" t="s">
        <v>2167</v>
      </c>
    </row>
    <row r="11171" spans="1:6">
      <c r="A11171" s="34">
        <v>2084006486</v>
      </c>
      <c r="B11171" s="35" t="s">
        <v>462</v>
      </c>
      <c r="C11171" s="35" t="s">
        <v>2016</v>
      </c>
      <c r="D11171" s="35" t="s">
        <v>2161</v>
      </c>
      <c r="E11171" s="35" t="s">
        <v>2025</v>
      </c>
      <c r="F11171" s="35" t="s">
        <v>335</v>
      </c>
    </row>
    <row r="11172" spans="1:6">
      <c r="A11172" s="34">
        <v>2084006494</v>
      </c>
      <c r="B11172" s="35" t="s">
        <v>462</v>
      </c>
      <c r="C11172" s="35" t="s">
        <v>2016</v>
      </c>
      <c r="D11172" s="35" t="s">
        <v>2161</v>
      </c>
      <c r="E11172" s="35" t="s">
        <v>2027</v>
      </c>
      <c r="F11172" s="35" t="s">
        <v>1424</v>
      </c>
    </row>
    <row r="11173" spans="1:6">
      <c r="A11173" s="34">
        <v>2084006683</v>
      </c>
      <c r="B11173" s="35" t="s">
        <v>462</v>
      </c>
      <c r="C11173" s="35" t="s">
        <v>2016</v>
      </c>
      <c r="D11173" s="35" t="s">
        <v>2161</v>
      </c>
      <c r="E11173" s="35" t="s">
        <v>2027</v>
      </c>
      <c r="F11173" s="35" t="s">
        <v>2162</v>
      </c>
    </row>
    <row r="11174" spans="1:6">
      <c r="A11174" s="34">
        <v>2084006489</v>
      </c>
      <c r="B11174" s="35" t="s">
        <v>462</v>
      </c>
      <c r="C11174" s="35" t="s">
        <v>2016</v>
      </c>
      <c r="D11174" s="35" t="s">
        <v>2161</v>
      </c>
      <c r="E11174" s="35" t="s">
        <v>2027</v>
      </c>
      <c r="F11174" s="35" t="s">
        <v>857</v>
      </c>
    </row>
    <row r="11175" spans="1:6">
      <c r="A11175" s="34">
        <v>2084006495</v>
      </c>
      <c r="B11175" s="35" t="s">
        <v>462</v>
      </c>
      <c r="C11175" s="35" t="s">
        <v>2016</v>
      </c>
      <c r="D11175" s="35" t="s">
        <v>2161</v>
      </c>
      <c r="E11175" s="35" t="s">
        <v>2027</v>
      </c>
      <c r="F11175" s="35" t="s">
        <v>2164</v>
      </c>
    </row>
    <row r="11176" spans="1:6">
      <c r="A11176" s="34">
        <v>2084006488</v>
      </c>
      <c r="B11176" s="35" t="s">
        <v>462</v>
      </c>
      <c r="C11176" s="35" t="s">
        <v>2016</v>
      </c>
      <c r="D11176" s="35" t="s">
        <v>2161</v>
      </c>
      <c r="E11176" s="35" t="s">
        <v>2027</v>
      </c>
      <c r="F11176" s="35" t="s">
        <v>953</v>
      </c>
    </row>
    <row r="11177" spans="1:6">
      <c r="A11177" s="34">
        <v>2084006492</v>
      </c>
      <c r="B11177" s="35" t="s">
        <v>462</v>
      </c>
      <c r="C11177" s="35" t="s">
        <v>2016</v>
      </c>
      <c r="D11177" s="35" t="s">
        <v>2161</v>
      </c>
      <c r="E11177" s="35" t="s">
        <v>2027</v>
      </c>
      <c r="F11177" s="35" t="s">
        <v>2165</v>
      </c>
    </row>
    <row r="11178" spans="1:6">
      <c r="A11178" s="34">
        <v>2084006491</v>
      </c>
      <c r="B11178" s="35" t="s">
        <v>462</v>
      </c>
      <c r="C11178" s="35" t="s">
        <v>2016</v>
      </c>
      <c r="D11178" s="35" t="s">
        <v>2161</v>
      </c>
      <c r="E11178" s="35" t="s">
        <v>2027</v>
      </c>
      <c r="F11178" s="35" t="s">
        <v>2166</v>
      </c>
    </row>
    <row r="11179" spans="1:6">
      <c r="A11179" s="34">
        <v>2084006493</v>
      </c>
      <c r="B11179" s="35" t="s">
        <v>462</v>
      </c>
      <c r="C11179" s="35" t="s">
        <v>2016</v>
      </c>
      <c r="D11179" s="35" t="s">
        <v>2161</v>
      </c>
      <c r="E11179" s="35" t="s">
        <v>2027</v>
      </c>
      <c r="F11179" s="35" t="s">
        <v>2167</v>
      </c>
    </row>
    <row r="11180" spans="1:6">
      <c r="A11180" s="34">
        <v>2084006490</v>
      </c>
      <c r="B11180" s="35" t="s">
        <v>462</v>
      </c>
      <c r="C11180" s="35" t="s">
        <v>2016</v>
      </c>
      <c r="D11180" s="35" t="s">
        <v>2161</v>
      </c>
      <c r="E11180" s="35" t="s">
        <v>2027</v>
      </c>
      <c r="F11180" s="35" t="s">
        <v>335</v>
      </c>
    </row>
    <row r="11181" spans="1:6">
      <c r="A11181" s="34">
        <v>2084233228</v>
      </c>
      <c r="B11181" s="35" t="s">
        <v>462</v>
      </c>
      <c r="C11181" s="35" t="s">
        <v>2016</v>
      </c>
      <c r="D11181" s="35" t="s">
        <v>2161</v>
      </c>
      <c r="E11181" s="35" t="s">
        <v>2168</v>
      </c>
    </row>
    <row r="11182" spans="1:6">
      <c r="A11182" s="34">
        <v>2084006558</v>
      </c>
      <c r="B11182" s="35" t="s">
        <v>462</v>
      </c>
      <c r="C11182" s="35" t="s">
        <v>2016</v>
      </c>
      <c r="D11182" s="35" t="s">
        <v>2169</v>
      </c>
      <c r="E11182" s="35" t="s">
        <v>1892</v>
      </c>
    </row>
    <row r="11183" spans="1:6">
      <c r="A11183" s="34">
        <v>2084006646</v>
      </c>
      <c r="B11183" s="35" t="s">
        <v>462</v>
      </c>
      <c r="C11183" s="35" t="s">
        <v>2016</v>
      </c>
      <c r="D11183" s="35" t="s">
        <v>2169</v>
      </c>
      <c r="E11183" s="35" t="s">
        <v>2170</v>
      </c>
    </row>
    <row r="11184" spans="1:6">
      <c r="A11184" s="34">
        <v>2084006649</v>
      </c>
      <c r="B11184" s="35" t="s">
        <v>462</v>
      </c>
      <c r="C11184" s="35" t="s">
        <v>2016</v>
      </c>
      <c r="D11184" s="35" t="s">
        <v>2169</v>
      </c>
      <c r="E11184" s="35" t="s">
        <v>386</v>
      </c>
    </row>
    <row r="11185" spans="1:7">
      <c r="A11185" s="34">
        <v>2084006435</v>
      </c>
      <c r="B11185" s="35" t="s">
        <v>462</v>
      </c>
      <c r="C11185" s="35" t="s">
        <v>2016</v>
      </c>
      <c r="D11185" s="35" t="s">
        <v>2169</v>
      </c>
      <c r="E11185" s="35" t="s">
        <v>2171</v>
      </c>
    </row>
    <row r="11186" spans="1:7">
      <c r="A11186" s="34">
        <v>2084006432</v>
      </c>
      <c r="B11186" s="35" t="s">
        <v>462</v>
      </c>
      <c r="C11186" s="35" t="s">
        <v>2016</v>
      </c>
      <c r="D11186" s="35" t="s">
        <v>2169</v>
      </c>
      <c r="E11186" s="35" t="s">
        <v>1898</v>
      </c>
    </row>
    <row r="11187" spans="1:7">
      <c r="A11187" s="34">
        <v>2084006433</v>
      </c>
      <c r="B11187" s="35" t="s">
        <v>462</v>
      </c>
      <c r="C11187" s="35" t="s">
        <v>2016</v>
      </c>
      <c r="D11187" s="35" t="s">
        <v>2169</v>
      </c>
      <c r="E11187" s="35" t="s">
        <v>589</v>
      </c>
    </row>
    <row r="11188" spans="1:7">
      <c r="A11188" s="34">
        <v>2084006430</v>
      </c>
      <c r="B11188" s="35" t="s">
        <v>462</v>
      </c>
      <c r="C11188" s="35" t="s">
        <v>2016</v>
      </c>
      <c r="D11188" s="35" t="s">
        <v>2169</v>
      </c>
      <c r="E11188" s="35" t="s">
        <v>1196</v>
      </c>
    </row>
    <row r="11189" spans="1:7">
      <c r="A11189" s="34">
        <v>2084006650</v>
      </c>
      <c r="B11189" s="35" t="s">
        <v>462</v>
      </c>
      <c r="C11189" s="35" t="s">
        <v>2016</v>
      </c>
      <c r="D11189" s="35" t="s">
        <v>2169</v>
      </c>
      <c r="E11189" s="35" t="s">
        <v>443</v>
      </c>
    </row>
    <row r="11190" spans="1:7">
      <c r="A11190" s="34">
        <v>2084006436</v>
      </c>
      <c r="B11190" s="35" t="s">
        <v>462</v>
      </c>
      <c r="C11190" s="35" t="s">
        <v>2016</v>
      </c>
      <c r="D11190" s="35" t="s">
        <v>2169</v>
      </c>
      <c r="E11190" s="35" t="s">
        <v>885</v>
      </c>
    </row>
    <row r="11191" spans="1:7">
      <c r="A11191" s="34">
        <v>2084006434</v>
      </c>
      <c r="B11191" s="35" t="s">
        <v>462</v>
      </c>
      <c r="C11191" s="35" t="s">
        <v>2016</v>
      </c>
      <c r="D11191" s="35" t="s">
        <v>2169</v>
      </c>
      <c r="E11191" s="35" t="s">
        <v>444</v>
      </c>
    </row>
    <row r="11192" spans="1:7">
      <c r="A11192" s="34">
        <v>2084006429</v>
      </c>
      <c r="B11192" s="35" t="s">
        <v>462</v>
      </c>
      <c r="C11192" s="35" t="s">
        <v>2016</v>
      </c>
      <c r="D11192" s="35" t="s">
        <v>2169</v>
      </c>
      <c r="E11192" s="35" t="s">
        <v>445</v>
      </c>
    </row>
    <row r="11193" spans="1:7">
      <c r="A11193" s="34">
        <v>2084006431</v>
      </c>
      <c r="B11193" s="35" t="s">
        <v>462</v>
      </c>
      <c r="C11193" s="35" t="s">
        <v>2016</v>
      </c>
      <c r="D11193" s="35" t="s">
        <v>2169</v>
      </c>
      <c r="E11193" s="35" t="s">
        <v>335</v>
      </c>
    </row>
    <row r="11194" spans="1:7">
      <c r="A11194" s="34">
        <v>2084313345</v>
      </c>
      <c r="B11194" s="35" t="s">
        <v>462</v>
      </c>
      <c r="C11194" s="35" t="s">
        <v>2016</v>
      </c>
      <c r="D11194" s="35" t="s">
        <v>2172</v>
      </c>
      <c r="E11194" s="35" t="s">
        <v>1902</v>
      </c>
    </row>
    <row r="11195" spans="1:7">
      <c r="A11195" s="34">
        <v>2084023868</v>
      </c>
      <c r="B11195" s="35" t="s">
        <v>462</v>
      </c>
      <c r="C11195" s="35" t="s">
        <v>2016</v>
      </c>
      <c r="D11195" s="35" t="s">
        <v>2172</v>
      </c>
      <c r="E11195" s="35" t="s">
        <v>2173</v>
      </c>
    </row>
    <row r="11196" spans="1:7">
      <c r="A11196" s="34">
        <v>2084053188</v>
      </c>
      <c r="B11196" s="35" t="s">
        <v>462</v>
      </c>
      <c r="C11196" s="35" t="s">
        <v>2016</v>
      </c>
      <c r="D11196" s="35" t="s">
        <v>2172</v>
      </c>
      <c r="E11196" s="35" t="s">
        <v>384</v>
      </c>
      <c r="F11196" s="35" t="s">
        <v>2174</v>
      </c>
    </row>
    <row r="11197" spans="1:7">
      <c r="A11197" s="34">
        <v>2084053189</v>
      </c>
      <c r="B11197" s="35" t="s">
        <v>462</v>
      </c>
      <c r="C11197" s="35" t="s">
        <v>2016</v>
      </c>
      <c r="D11197" s="35" t="s">
        <v>2172</v>
      </c>
      <c r="E11197" s="35" t="s">
        <v>384</v>
      </c>
      <c r="F11197" s="35" t="s">
        <v>2175</v>
      </c>
    </row>
    <row r="11198" spans="1:7">
      <c r="A11198" s="34">
        <v>2084053186</v>
      </c>
      <c r="B11198" s="35" t="s">
        <v>462</v>
      </c>
      <c r="C11198" s="35" t="s">
        <v>2016</v>
      </c>
      <c r="D11198" s="35" t="s">
        <v>2172</v>
      </c>
      <c r="E11198" s="35" t="s">
        <v>384</v>
      </c>
      <c r="F11198" s="35" t="s">
        <v>2176</v>
      </c>
    </row>
    <row r="11199" spans="1:7">
      <c r="A11199" s="34">
        <v>2084053187</v>
      </c>
      <c r="B11199" s="35" t="s">
        <v>462</v>
      </c>
      <c r="C11199" s="35" t="s">
        <v>2016</v>
      </c>
      <c r="D11199" s="35" t="s">
        <v>2172</v>
      </c>
      <c r="E11199" s="35" t="s">
        <v>384</v>
      </c>
      <c r="F11199" s="35" t="s">
        <v>2177</v>
      </c>
    </row>
    <row r="11200" spans="1:7">
      <c r="A11200" s="34">
        <v>2084053198</v>
      </c>
      <c r="B11200" s="35" t="s">
        <v>462</v>
      </c>
      <c r="C11200" s="35" t="s">
        <v>2016</v>
      </c>
      <c r="D11200" s="35" t="s">
        <v>2172</v>
      </c>
      <c r="E11200" s="35" t="s">
        <v>384</v>
      </c>
      <c r="F11200" s="35" t="s">
        <v>1729</v>
      </c>
      <c r="G11200" s="35" t="s">
        <v>2178</v>
      </c>
    </row>
    <row r="11201" spans="1:8">
      <c r="A11201" s="34">
        <v>2084053199</v>
      </c>
      <c r="B11201" s="35" t="s">
        <v>462</v>
      </c>
      <c r="C11201" s="35" t="s">
        <v>2016</v>
      </c>
      <c r="D11201" s="35" t="s">
        <v>2172</v>
      </c>
      <c r="E11201" s="35" t="s">
        <v>384</v>
      </c>
      <c r="F11201" s="35" t="s">
        <v>1729</v>
      </c>
      <c r="G11201" s="35" t="s">
        <v>2179</v>
      </c>
    </row>
    <row r="11202" spans="1:8">
      <c r="A11202" s="34">
        <v>2084053200</v>
      </c>
      <c r="B11202" s="35" t="s">
        <v>462</v>
      </c>
      <c r="C11202" s="35" t="s">
        <v>2016</v>
      </c>
      <c r="D11202" s="35" t="s">
        <v>2172</v>
      </c>
      <c r="E11202" s="35" t="s">
        <v>384</v>
      </c>
      <c r="F11202" s="35" t="s">
        <v>1729</v>
      </c>
      <c r="G11202" s="35" t="s">
        <v>2180</v>
      </c>
    </row>
    <row r="11203" spans="1:8">
      <c r="A11203" s="34">
        <v>2084053201</v>
      </c>
      <c r="B11203" s="35" t="s">
        <v>462</v>
      </c>
      <c r="C11203" s="35" t="s">
        <v>2016</v>
      </c>
      <c r="D11203" s="35" t="s">
        <v>2172</v>
      </c>
      <c r="E11203" s="35" t="s">
        <v>384</v>
      </c>
      <c r="F11203" s="35" t="s">
        <v>1729</v>
      </c>
      <c r="G11203" s="35" t="s">
        <v>2181</v>
      </c>
    </row>
    <row r="11204" spans="1:8">
      <c r="A11204" s="34">
        <v>2084053197</v>
      </c>
      <c r="B11204" s="35" t="s">
        <v>462</v>
      </c>
      <c r="C11204" s="35" t="s">
        <v>2016</v>
      </c>
      <c r="D11204" s="35" t="s">
        <v>2172</v>
      </c>
      <c r="E11204" s="35" t="s">
        <v>384</v>
      </c>
      <c r="F11204" s="35" t="s">
        <v>1699</v>
      </c>
      <c r="G11204" s="35" t="s">
        <v>2025</v>
      </c>
      <c r="H11204" s="35" t="s">
        <v>2182</v>
      </c>
    </row>
    <row r="11205" spans="1:8">
      <c r="A11205" s="34">
        <v>2084053196</v>
      </c>
      <c r="B11205" s="35" t="s">
        <v>462</v>
      </c>
      <c r="C11205" s="35" t="s">
        <v>2016</v>
      </c>
      <c r="D11205" s="35" t="s">
        <v>2172</v>
      </c>
      <c r="E11205" s="35" t="s">
        <v>384</v>
      </c>
      <c r="F11205" s="35" t="s">
        <v>1699</v>
      </c>
      <c r="G11205" s="35" t="s">
        <v>2027</v>
      </c>
      <c r="H11205" s="35" t="s">
        <v>2182</v>
      </c>
    </row>
    <row r="11206" spans="1:8">
      <c r="A11206" s="34">
        <v>2084053192</v>
      </c>
      <c r="B11206" s="35" t="s">
        <v>462</v>
      </c>
      <c r="C11206" s="35" t="s">
        <v>2016</v>
      </c>
      <c r="D11206" s="35" t="s">
        <v>2172</v>
      </c>
      <c r="E11206" s="35" t="s">
        <v>384</v>
      </c>
      <c r="F11206" s="35" t="s">
        <v>2139</v>
      </c>
      <c r="G11206" s="35" t="s">
        <v>2182</v>
      </c>
    </row>
    <row r="11207" spans="1:8">
      <c r="A11207" s="34">
        <v>2084053193</v>
      </c>
      <c r="B11207" s="35" t="s">
        <v>462</v>
      </c>
      <c r="C11207" s="35" t="s">
        <v>2016</v>
      </c>
      <c r="D11207" s="35" t="s">
        <v>2172</v>
      </c>
      <c r="E11207" s="35" t="s">
        <v>384</v>
      </c>
      <c r="F11207" s="35" t="s">
        <v>2183</v>
      </c>
      <c r="G11207" s="35" t="s">
        <v>2182</v>
      </c>
    </row>
    <row r="11208" spans="1:8">
      <c r="A11208" s="34">
        <v>2084052798</v>
      </c>
      <c r="B11208" s="35" t="s">
        <v>462</v>
      </c>
      <c r="C11208" s="35" t="s">
        <v>2016</v>
      </c>
      <c r="D11208" s="35" t="s">
        <v>2172</v>
      </c>
      <c r="E11208" s="35" t="s">
        <v>2184</v>
      </c>
      <c r="F11208" s="35" t="s">
        <v>1929</v>
      </c>
      <c r="G11208" s="35" t="s">
        <v>2178</v>
      </c>
    </row>
    <row r="11209" spans="1:8">
      <c r="A11209" s="34">
        <v>2084052799</v>
      </c>
      <c r="B11209" s="35" t="s">
        <v>462</v>
      </c>
      <c r="C11209" s="35" t="s">
        <v>2016</v>
      </c>
      <c r="D11209" s="35" t="s">
        <v>2172</v>
      </c>
      <c r="E11209" s="35" t="s">
        <v>2184</v>
      </c>
      <c r="F11209" s="35" t="s">
        <v>1929</v>
      </c>
      <c r="G11209" s="35" t="s">
        <v>2179</v>
      </c>
    </row>
    <row r="11210" spans="1:8">
      <c r="A11210" s="34">
        <v>2084052800</v>
      </c>
      <c r="B11210" s="35" t="s">
        <v>462</v>
      </c>
      <c r="C11210" s="35" t="s">
        <v>2016</v>
      </c>
      <c r="D11210" s="35" t="s">
        <v>2172</v>
      </c>
      <c r="E11210" s="35" t="s">
        <v>2184</v>
      </c>
      <c r="F11210" s="35" t="s">
        <v>1929</v>
      </c>
      <c r="G11210" s="35" t="s">
        <v>2180</v>
      </c>
    </row>
    <row r="11211" spans="1:8">
      <c r="A11211" s="34">
        <v>2084052801</v>
      </c>
      <c r="B11211" s="35" t="s">
        <v>462</v>
      </c>
      <c r="C11211" s="35" t="s">
        <v>2016</v>
      </c>
      <c r="D11211" s="35" t="s">
        <v>2172</v>
      </c>
      <c r="E11211" s="35" t="s">
        <v>2184</v>
      </c>
      <c r="F11211" s="35" t="s">
        <v>1929</v>
      </c>
      <c r="G11211" s="35" t="s">
        <v>2181</v>
      </c>
    </row>
    <row r="11212" spans="1:8">
      <c r="A11212" s="34">
        <v>2084052809</v>
      </c>
      <c r="B11212" s="35" t="s">
        <v>462</v>
      </c>
      <c r="C11212" s="35" t="s">
        <v>2016</v>
      </c>
      <c r="D11212" s="35" t="s">
        <v>2172</v>
      </c>
      <c r="E11212" s="35" t="s">
        <v>2184</v>
      </c>
      <c r="F11212" s="35" t="s">
        <v>2119</v>
      </c>
      <c r="G11212" s="35" t="s">
        <v>2025</v>
      </c>
      <c r="H11212" s="35" t="s">
        <v>2185</v>
      </c>
    </row>
    <row r="11213" spans="1:8">
      <c r="A11213" s="34">
        <v>2084052810</v>
      </c>
      <c r="B11213" s="35" t="s">
        <v>462</v>
      </c>
      <c r="C11213" s="35" t="s">
        <v>2016</v>
      </c>
      <c r="D11213" s="35" t="s">
        <v>2172</v>
      </c>
      <c r="E11213" s="35" t="s">
        <v>2184</v>
      </c>
      <c r="F11213" s="35" t="s">
        <v>2119</v>
      </c>
      <c r="G11213" s="35" t="s">
        <v>2025</v>
      </c>
      <c r="H11213" s="35" t="s">
        <v>2180</v>
      </c>
    </row>
    <row r="11214" spans="1:8">
      <c r="A11214" s="34">
        <v>2084052811</v>
      </c>
      <c r="B11214" s="35" t="s">
        <v>462</v>
      </c>
      <c r="C11214" s="35" t="s">
        <v>2016</v>
      </c>
      <c r="D11214" s="35" t="s">
        <v>2172</v>
      </c>
      <c r="E11214" s="35" t="s">
        <v>2184</v>
      </c>
      <c r="F11214" s="35" t="s">
        <v>2119</v>
      </c>
      <c r="G11214" s="35" t="s">
        <v>2025</v>
      </c>
      <c r="H11214" s="35" t="s">
        <v>2186</v>
      </c>
    </row>
    <row r="11215" spans="1:8">
      <c r="A11215" s="34">
        <v>2084052805</v>
      </c>
      <c r="B11215" s="35" t="s">
        <v>462</v>
      </c>
      <c r="C11215" s="35" t="s">
        <v>2016</v>
      </c>
      <c r="D11215" s="35" t="s">
        <v>2172</v>
      </c>
      <c r="E11215" s="35" t="s">
        <v>2184</v>
      </c>
      <c r="F11215" s="35" t="s">
        <v>2119</v>
      </c>
      <c r="G11215" s="35" t="s">
        <v>2027</v>
      </c>
      <c r="H11215" s="35" t="s">
        <v>2185</v>
      </c>
    </row>
    <row r="11216" spans="1:8">
      <c r="A11216" s="34">
        <v>2084052806</v>
      </c>
      <c r="B11216" s="35" t="s">
        <v>462</v>
      </c>
      <c r="C11216" s="35" t="s">
        <v>2016</v>
      </c>
      <c r="D11216" s="35" t="s">
        <v>2172</v>
      </c>
      <c r="E11216" s="35" t="s">
        <v>2184</v>
      </c>
      <c r="F11216" s="35" t="s">
        <v>2119</v>
      </c>
      <c r="G11216" s="35" t="s">
        <v>2027</v>
      </c>
      <c r="H11216" s="35" t="s">
        <v>2180</v>
      </c>
    </row>
    <row r="11217" spans="1:8">
      <c r="A11217" s="34">
        <v>2084052808</v>
      </c>
      <c r="B11217" s="35" t="s">
        <v>462</v>
      </c>
      <c r="C11217" s="35" t="s">
        <v>2016</v>
      </c>
      <c r="D11217" s="35" t="s">
        <v>2172</v>
      </c>
      <c r="E11217" s="35" t="s">
        <v>2184</v>
      </c>
      <c r="F11217" s="35" t="s">
        <v>2119</v>
      </c>
      <c r="G11217" s="35" t="s">
        <v>2027</v>
      </c>
      <c r="H11217" s="35" t="s">
        <v>2186</v>
      </c>
    </row>
    <row r="11218" spans="1:8">
      <c r="A11218" s="34">
        <v>2084052812</v>
      </c>
      <c r="B11218" s="35" t="s">
        <v>462</v>
      </c>
      <c r="C11218" s="35" t="s">
        <v>2016</v>
      </c>
      <c r="D11218" s="35" t="s">
        <v>2172</v>
      </c>
      <c r="E11218" s="35" t="s">
        <v>2184</v>
      </c>
      <c r="F11218" s="35" t="s">
        <v>2187</v>
      </c>
      <c r="G11218" s="35" t="s">
        <v>2178</v>
      </c>
    </row>
    <row r="11219" spans="1:8">
      <c r="A11219" s="34">
        <v>2084052813</v>
      </c>
      <c r="B11219" s="35" t="s">
        <v>462</v>
      </c>
      <c r="C11219" s="35" t="s">
        <v>2016</v>
      </c>
      <c r="D11219" s="35" t="s">
        <v>2172</v>
      </c>
      <c r="E11219" s="35" t="s">
        <v>2184</v>
      </c>
      <c r="F11219" s="35" t="s">
        <v>2187</v>
      </c>
      <c r="G11219" s="35" t="s">
        <v>2179</v>
      </c>
    </row>
    <row r="11220" spans="1:8">
      <c r="A11220" s="34">
        <v>2084052814</v>
      </c>
      <c r="B11220" s="35" t="s">
        <v>462</v>
      </c>
      <c r="C11220" s="35" t="s">
        <v>2016</v>
      </c>
      <c r="D11220" s="35" t="s">
        <v>2172</v>
      </c>
      <c r="E11220" s="35" t="s">
        <v>2184</v>
      </c>
      <c r="F11220" s="35" t="s">
        <v>2187</v>
      </c>
      <c r="G11220" s="35" t="s">
        <v>2180</v>
      </c>
    </row>
    <row r="11221" spans="1:8">
      <c r="A11221" s="34">
        <v>2084052815</v>
      </c>
      <c r="B11221" s="35" t="s">
        <v>462</v>
      </c>
      <c r="C11221" s="35" t="s">
        <v>2016</v>
      </c>
      <c r="D11221" s="35" t="s">
        <v>2172</v>
      </c>
      <c r="E11221" s="35" t="s">
        <v>2184</v>
      </c>
      <c r="F11221" s="35" t="s">
        <v>2187</v>
      </c>
      <c r="G11221" s="35" t="s">
        <v>2181</v>
      </c>
    </row>
    <row r="11222" spans="1:8">
      <c r="A11222" s="34">
        <v>2084052816</v>
      </c>
      <c r="B11222" s="35" t="s">
        <v>462</v>
      </c>
      <c r="C11222" s="35" t="s">
        <v>2016</v>
      </c>
      <c r="D11222" s="35" t="s">
        <v>2172</v>
      </c>
      <c r="E11222" s="35" t="s">
        <v>2184</v>
      </c>
      <c r="F11222" s="35" t="s">
        <v>2188</v>
      </c>
      <c r="G11222" s="35" t="s">
        <v>2178</v>
      </c>
    </row>
    <row r="11223" spans="1:8">
      <c r="A11223" s="34">
        <v>2084052817</v>
      </c>
      <c r="B11223" s="35" t="s">
        <v>462</v>
      </c>
      <c r="C11223" s="35" t="s">
        <v>2016</v>
      </c>
      <c r="D11223" s="35" t="s">
        <v>2172</v>
      </c>
      <c r="E11223" s="35" t="s">
        <v>2184</v>
      </c>
      <c r="F11223" s="35" t="s">
        <v>2188</v>
      </c>
      <c r="G11223" s="35" t="s">
        <v>2179</v>
      </c>
    </row>
    <row r="11224" spans="1:8">
      <c r="A11224" s="34">
        <v>2084052818</v>
      </c>
      <c r="B11224" s="35" t="s">
        <v>462</v>
      </c>
      <c r="C11224" s="35" t="s">
        <v>2016</v>
      </c>
      <c r="D11224" s="35" t="s">
        <v>2172</v>
      </c>
      <c r="E11224" s="35" t="s">
        <v>2184</v>
      </c>
      <c r="F11224" s="35" t="s">
        <v>2188</v>
      </c>
      <c r="G11224" s="35" t="s">
        <v>2180</v>
      </c>
    </row>
    <row r="11225" spans="1:8">
      <c r="A11225" s="34">
        <v>2084052819</v>
      </c>
      <c r="B11225" s="35" t="s">
        <v>462</v>
      </c>
      <c r="C11225" s="35" t="s">
        <v>2016</v>
      </c>
      <c r="D11225" s="35" t="s">
        <v>2172</v>
      </c>
      <c r="E11225" s="35" t="s">
        <v>2184</v>
      </c>
      <c r="F11225" s="35" t="s">
        <v>2188</v>
      </c>
      <c r="G11225" s="35" t="s">
        <v>2181</v>
      </c>
    </row>
    <row r="11226" spans="1:8">
      <c r="A11226" s="34">
        <v>2084052637</v>
      </c>
      <c r="B11226" s="35" t="s">
        <v>462</v>
      </c>
      <c r="C11226" s="35" t="s">
        <v>2016</v>
      </c>
      <c r="D11226" s="35" t="s">
        <v>2172</v>
      </c>
      <c r="E11226" s="35" t="s">
        <v>2189</v>
      </c>
      <c r="F11226" s="35" t="s">
        <v>954</v>
      </c>
      <c r="G11226" s="35" t="s">
        <v>2025</v>
      </c>
      <c r="H11226" s="35" t="s">
        <v>2185</v>
      </c>
    </row>
    <row r="11227" spans="1:8">
      <c r="A11227" s="34">
        <v>2084052638</v>
      </c>
      <c r="B11227" s="35" t="s">
        <v>462</v>
      </c>
      <c r="C11227" s="35" t="s">
        <v>2016</v>
      </c>
      <c r="D11227" s="35" t="s">
        <v>2172</v>
      </c>
      <c r="E11227" s="35" t="s">
        <v>2189</v>
      </c>
      <c r="F11227" s="35" t="s">
        <v>954</v>
      </c>
      <c r="G11227" s="35" t="s">
        <v>2025</v>
      </c>
      <c r="H11227" s="35" t="s">
        <v>2180</v>
      </c>
    </row>
    <row r="11228" spans="1:8">
      <c r="A11228" s="34">
        <v>2084052639</v>
      </c>
      <c r="B11228" s="35" t="s">
        <v>462</v>
      </c>
      <c r="C11228" s="35" t="s">
        <v>2016</v>
      </c>
      <c r="D11228" s="35" t="s">
        <v>2172</v>
      </c>
      <c r="E11228" s="35" t="s">
        <v>2189</v>
      </c>
      <c r="F11228" s="35" t="s">
        <v>954</v>
      </c>
      <c r="G11228" s="35" t="s">
        <v>2025</v>
      </c>
      <c r="H11228" s="35" t="s">
        <v>2186</v>
      </c>
    </row>
    <row r="11229" spans="1:8">
      <c r="A11229" s="34">
        <v>2084052633</v>
      </c>
      <c r="B11229" s="35" t="s">
        <v>462</v>
      </c>
      <c r="C11229" s="35" t="s">
        <v>2016</v>
      </c>
      <c r="D11229" s="35" t="s">
        <v>2172</v>
      </c>
      <c r="E11229" s="35" t="s">
        <v>2189</v>
      </c>
      <c r="F11229" s="35" t="s">
        <v>954</v>
      </c>
      <c r="G11229" s="35" t="s">
        <v>2027</v>
      </c>
      <c r="H11229" s="35" t="s">
        <v>2185</v>
      </c>
    </row>
    <row r="11230" spans="1:8">
      <c r="A11230" s="34">
        <v>2084052634</v>
      </c>
      <c r="B11230" s="35" t="s">
        <v>462</v>
      </c>
      <c r="C11230" s="35" t="s">
        <v>2016</v>
      </c>
      <c r="D11230" s="35" t="s">
        <v>2172</v>
      </c>
      <c r="E11230" s="35" t="s">
        <v>2189</v>
      </c>
      <c r="F11230" s="35" t="s">
        <v>954</v>
      </c>
      <c r="G11230" s="35" t="s">
        <v>2027</v>
      </c>
      <c r="H11230" s="35" t="s">
        <v>2180</v>
      </c>
    </row>
    <row r="11231" spans="1:8">
      <c r="A11231" s="34">
        <v>2084052635</v>
      </c>
      <c r="B11231" s="35" t="s">
        <v>462</v>
      </c>
      <c r="C11231" s="35" t="s">
        <v>2016</v>
      </c>
      <c r="D11231" s="35" t="s">
        <v>2172</v>
      </c>
      <c r="E11231" s="35" t="s">
        <v>2189</v>
      </c>
      <c r="F11231" s="35" t="s">
        <v>954</v>
      </c>
      <c r="G11231" s="35" t="s">
        <v>2027</v>
      </c>
      <c r="H11231" s="35" t="s">
        <v>2186</v>
      </c>
    </row>
    <row r="11232" spans="1:8">
      <c r="A11232" s="34">
        <v>2084053360</v>
      </c>
      <c r="B11232" s="35" t="s">
        <v>462</v>
      </c>
      <c r="C11232" s="35" t="s">
        <v>2016</v>
      </c>
      <c r="D11232" s="35" t="s">
        <v>2172</v>
      </c>
      <c r="E11232" s="35" t="s">
        <v>2189</v>
      </c>
      <c r="F11232" s="35" t="s">
        <v>954</v>
      </c>
      <c r="G11232" s="35" t="s">
        <v>396</v>
      </c>
      <c r="H11232" s="35" t="s">
        <v>2185</v>
      </c>
    </row>
    <row r="11233" spans="1:8">
      <c r="A11233" s="34">
        <v>2084053361</v>
      </c>
      <c r="B11233" s="35" t="s">
        <v>462</v>
      </c>
      <c r="C11233" s="35" t="s">
        <v>2016</v>
      </c>
      <c r="D11233" s="35" t="s">
        <v>2172</v>
      </c>
      <c r="E11233" s="35" t="s">
        <v>2189</v>
      </c>
      <c r="F11233" s="35" t="s">
        <v>954</v>
      </c>
      <c r="G11233" s="35" t="s">
        <v>396</v>
      </c>
      <c r="H11233" s="35" t="s">
        <v>2180</v>
      </c>
    </row>
    <row r="11234" spans="1:8">
      <c r="A11234" s="34">
        <v>2084053362</v>
      </c>
      <c r="B11234" s="35" t="s">
        <v>462</v>
      </c>
      <c r="C11234" s="35" t="s">
        <v>2016</v>
      </c>
      <c r="D11234" s="35" t="s">
        <v>2172</v>
      </c>
      <c r="E11234" s="35" t="s">
        <v>2189</v>
      </c>
      <c r="F11234" s="35" t="s">
        <v>954</v>
      </c>
      <c r="G11234" s="35" t="s">
        <v>396</v>
      </c>
      <c r="H11234" s="35" t="s">
        <v>2186</v>
      </c>
    </row>
    <row r="11235" spans="1:8">
      <c r="A11235" s="34">
        <v>2084052644</v>
      </c>
      <c r="B11235" s="35" t="s">
        <v>462</v>
      </c>
      <c r="C11235" s="35" t="s">
        <v>2016</v>
      </c>
      <c r="D11235" s="35" t="s">
        <v>2172</v>
      </c>
      <c r="E11235" s="35" t="s">
        <v>2189</v>
      </c>
      <c r="F11235" s="35" t="s">
        <v>552</v>
      </c>
      <c r="G11235" s="35" t="s">
        <v>2025</v>
      </c>
      <c r="H11235" s="35" t="s">
        <v>2185</v>
      </c>
    </row>
    <row r="11236" spans="1:8">
      <c r="A11236" s="34">
        <v>2084052645</v>
      </c>
      <c r="B11236" s="35" t="s">
        <v>462</v>
      </c>
      <c r="C11236" s="35" t="s">
        <v>2016</v>
      </c>
      <c r="D11236" s="35" t="s">
        <v>2172</v>
      </c>
      <c r="E11236" s="35" t="s">
        <v>2189</v>
      </c>
      <c r="F11236" s="35" t="s">
        <v>552</v>
      </c>
      <c r="G11236" s="35" t="s">
        <v>2025</v>
      </c>
      <c r="H11236" s="35" t="s">
        <v>2180</v>
      </c>
    </row>
    <row r="11237" spans="1:8">
      <c r="A11237" s="34">
        <v>2084052646</v>
      </c>
      <c r="B11237" s="35" t="s">
        <v>462</v>
      </c>
      <c r="C11237" s="35" t="s">
        <v>2016</v>
      </c>
      <c r="D11237" s="35" t="s">
        <v>2172</v>
      </c>
      <c r="E11237" s="35" t="s">
        <v>2189</v>
      </c>
      <c r="F11237" s="35" t="s">
        <v>552</v>
      </c>
      <c r="G11237" s="35" t="s">
        <v>2025</v>
      </c>
      <c r="H11237" s="35" t="s">
        <v>2186</v>
      </c>
    </row>
    <row r="11238" spans="1:8">
      <c r="A11238" s="34">
        <v>2084052640</v>
      </c>
      <c r="B11238" s="35" t="s">
        <v>462</v>
      </c>
      <c r="C11238" s="35" t="s">
        <v>2016</v>
      </c>
      <c r="D11238" s="35" t="s">
        <v>2172</v>
      </c>
      <c r="E11238" s="35" t="s">
        <v>2189</v>
      </c>
      <c r="F11238" s="35" t="s">
        <v>552</v>
      </c>
      <c r="G11238" s="35" t="s">
        <v>2027</v>
      </c>
      <c r="H11238" s="35" t="s">
        <v>2185</v>
      </c>
    </row>
    <row r="11239" spans="1:8">
      <c r="A11239" s="34">
        <v>2084052641</v>
      </c>
      <c r="B11239" s="35" t="s">
        <v>462</v>
      </c>
      <c r="C11239" s="35" t="s">
        <v>2016</v>
      </c>
      <c r="D11239" s="35" t="s">
        <v>2172</v>
      </c>
      <c r="E11239" s="35" t="s">
        <v>2189</v>
      </c>
      <c r="F11239" s="35" t="s">
        <v>552</v>
      </c>
      <c r="G11239" s="35" t="s">
        <v>2027</v>
      </c>
      <c r="H11239" s="35" t="s">
        <v>2180</v>
      </c>
    </row>
    <row r="11240" spans="1:8">
      <c r="A11240" s="34">
        <v>2084052642</v>
      </c>
      <c r="B11240" s="35" t="s">
        <v>462</v>
      </c>
      <c r="C11240" s="35" t="s">
        <v>2016</v>
      </c>
      <c r="D11240" s="35" t="s">
        <v>2172</v>
      </c>
      <c r="E11240" s="35" t="s">
        <v>2189</v>
      </c>
      <c r="F11240" s="35" t="s">
        <v>552</v>
      </c>
      <c r="G11240" s="35" t="s">
        <v>2027</v>
      </c>
      <c r="H11240" s="35" t="s">
        <v>2186</v>
      </c>
    </row>
    <row r="11241" spans="1:8">
      <c r="A11241" s="34">
        <v>2084053365</v>
      </c>
      <c r="B11241" s="35" t="s">
        <v>462</v>
      </c>
      <c r="C11241" s="35" t="s">
        <v>2016</v>
      </c>
      <c r="D11241" s="35" t="s">
        <v>2172</v>
      </c>
      <c r="E11241" s="35" t="s">
        <v>2189</v>
      </c>
      <c r="F11241" s="35" t="s">
        <v>552</v>
      </c>
      <c r="G11241" s="35" t="s">
        <v>396</v>
      </c>
      <c r="H11241" s="35" t="s">
        <v>2185</v>
      </c>
    </row>
    <row r="11242" spans="1:8">
      <c r="A11242" s="34">
        <v>2084053366</v>
      </c>
      <c r="B11242" s="35" t="s">
        <v>462</v>
      </c>
      <c r="C11242" s="35" t="s">
        <v>2016</v>
      </c>
      <c r="D11242" s="35" t="s">
        <v>2172</v>
      </c>
      <c r="E11242" s="35" t="s">
        <v>2189</v>
      </c>
      <c r="F11242" s="35" t="s">
        <v>552</v>
      </c>
      <c r="G11242" s="35" t="s">
        <v>396</v>
      </c>
      <c r="H11242" s="35" t="s">
        <v>2180</v>
      </c>
    </row>
    <row r="11243" spans="1:8">
      <c r="A11243" s="34">
        <v>2084053367</v>
      </c>
      <c r="B11243" s="35" t="s">
        <v>462</v>
      </c>
      <c r="C11243" s="35" t="s">
        <v>2016</v>
      </c>
      <c r="D11243" s="35" t="s">
        <v>2172</v>
      </c>
      <c r="E11243" s="35" t="s">
        <v>2189</v>
      </c>
      <c r="F11243" s="35" t="s">
        <v>552</v>
      </c>
      <c r="G11243" s="35" t="s">
        <v>396</v>
      </c>
      <c r="H11243" s="35" t="s">
        <v>2186</v>
      </c>
    </row>
    <row r="11244" spans="1:8">
      <c r="A11244" s="34">
        <v>2084054858</v>
      </c>
      <c r="B11244" s="35" t="s">
        <v>462</v>
      </c>
      <c r="C11244" s="35" t="s">
        <v>2016</v>
      </c>
      <c r="D11244" s="35" t="s">
        <v>2172</v>
      </c>
      <c r="E11244" s="35" t="s">
        <v>2189</v>
      </c>
      <c r="F11244" s="35" t="s">
        <v>1408</v>
      </c>
      <c r="G11244" s="35" t="s">
        <v>2025</v>
      </c>
      <c r="H11244" s="35" t="s">
        <v>2185</v>
      </c>
    </row>
    <row r="11245" spans="1:8">
      <c r="A11245" s="34">
        <v>2084054857</v>
      </c>
      <c r="B11245" s="35" t="s">
        <v>462</v>
      </c>
      <c r="C11245" s="35" t="s">
        <v>2016</v>
      </c>
      <c r="D11245" s="35" t="s">
        <v>2172</v>
      </c>
      <c r="E11245" s="35" t="s">
        <v>2189</v>
      </c>
      <c r="F11245" s="35" t="s">
        <v>1408</v>
      </c>
      <c r="G11245" s="35" t="s">
        <v>2025</v>
      </c>
      <c r="H11245" s="35" t="s">
        <v>2180</v>
      </c>
    </row>
    <row r="11246" spans="1:8">
      <c r="A11246" s="34">
        <v>2084054856</v>
      </c>
      <c r="B11246" s="35" t="s">
        <v>462</v>
      </c>
      <c r="C11246" s="35" t="s">
        <v>2016</v>
      </c>
      <c r="D11246" s="35" t="s">
        <v>2172</v>
      </c>
      <c r="E11246" s="35" t="s">
        <v>2189</v>
      </c>
      <c r="F11246" s="35" t="s">
        <v>1408</v>
      </c>
      <c r="G11246" s="35" t="s">
        <v>2025</v>
      </c>
      <c r="H11246" s="35" t="s">
        <v>2186</v>
      </c>
    </row>
    <row r="11247" spans="1:8">
      <c r="A11247" s="34">
        <v>2084054853</v>
      </c>
      <c r="B11247" s="35" t="s">
        <v>462</v>
      </c>
      <c r="C11247" s="35" t="s">
        <v>2016</v>
      </c>
      <c r="D11247" s="35" t="s">
        <v>2172</v>
      </c>
      <c r="E11247" s="35" t="s">
        <v>2189</v>
      </c>
      <c r="F11247" s="35" t="s">
        <v>1408</v>
      </c>
      <c r="G11247" s="35" t="s">
        <v>2027</v>
      </c>
      <c r="H11247" s="35" t="s">
        <v>2185</v>
      </c>
    </row>
    <row r="11248" spans="1:8">
      <c r="A11248" s="34">
        <v>2084054854</v>
      </c>
      <c r="B11248" s="35" t="s">
        <v>462</v>
      </c>
      <c r="C11248" s="35" t="s">
        <v>2016</v>
      </c>
      <c r="D11248" s="35" t="s">
        <v>2172</v>
      </c>
      <c r="E11248" s="35" t="s">
        <v>2189</v>
      </c>
      <c r="F11248" s="35" t="s">
        <v>1408</v>
      </c>
      <c r="G11248" s="35" t="s">
        <v>2027</v>
      </c>
      <c r="H11248" s="35" t="s">
        <v>2180</v>
      </c>
    </row>
    <row r="11249" spans="1:9">
      <c r="A11249" s="34">
        <v>2084054855</v>
      </c>
      <c r="B11249" s="35" t="s">
        <v>462</v>
      </c>
      <c r="C11249" s="35" t="s">
        <v>2016</v>
      </c>
      <c r="D11249" s="35" t="s">
        <v>2172</v>
      </c>
      <c r="E11249" s="35" t="s">
        <v>2189</v>
      </c>
      <c r="F11249" s="35" t="s">
        <v>1408</v>
      </c>
      <c r="G11249" s="35" t="s">
        <v>2027</v>
      </c>
      <c r="H11249" s="35" t="s">
        <v>2186</v>
      </c>
    </row>
    <row r="11250" spans="1:9">
      <c r="A11250" s="34">
        <v>2084054859</v>
      </c>
      <c r="B11250" s="35" t="s">
        <v>462</v>
      </c>
      <c r="C11250" s="35" t="s">
        <v>2016</v>
      </c>
      <c r="D11250" s="35" t="s">
        <v>2172</v>
      </c>
      <c r="E11250" s="35" t="s">
        <v>2189</v>
      </c>
      <c r="F11250" s="35" t="s">
        <v>1408</v>
      </c>
      <c r="G11250" s="35" t="s">
        <v>396</v>
      </c>
      <c r="H11250" s="35" t="s">
        <v>2185</v>
      </c>
    </row>
    <row r="11251" spans="1:9">
      <c r="A11251" s="34">
        <v>2084054860</v>
      </c>
      <c r="B11251" s="35" t="s">
        <v>462</v>
      </c>
      <c r="C11251" s="35" t="s">
        <v>2016</v>
      </c>
      <c r="D11251" s="35" t="s">
        <v>2172</v>
      </c>
      <c r="E11251" s="35" t="s">
        <v>2189</v>
      </c>
      <c r="F11251" s="35" t="s">
        <v>1408</v>
      </c>
      <c r="G11251" s="35" t="s">
        <v>396</v>
      </c>
      <c r="H11251" s="35" t="s">
        <v>2180</v>
      </c>
    </row>
    <row r="11252" spans="1:9">
      <c r="A11252" s="34">
        <v>2084054861</v>
      </c>
      <c r="B11252" s="35" t="s">
        <v>462</v>
      </c>
      <c r="C11252" s="35" t="s">
        <v>2016</v>
      </c>
      <c r="D11252" s="35" t="s">
        <v>2172</v>
      </c>
      <c r="E11252" s="35" t="s">
        <v>2189</v>
      </c>
      <c r="F11252" s="35" t="s">
        <v>1408</v>
      </c>
      <c r="G11252" s="35" t="s">
        <v>396</v>
      </c>
      <c r="H11252" s="35" t="s">
        <v>2186</v>
      </c>
    </row>
    <row r="11253" spans="1:9">
      <c r="A11253" s="34">
        <v>2084052942</v>
      </c>
      <c r="B11253" s="35" t="s">
        <v>462</v>
      </c>
      <c r="C11253" s="35" t="s">
        <v>2016</v>
      </c>
      <c r="D11253" s="35" t="s">
        <v>2172</v>
      </c>
      <c r="E11253" s="35" t="s">
        <v>2190</v>
      </c>
      <c r="F11253" s="35" t="s">
        <v>2191</v>
      </c>
      <c r="G11253" s="35" t="s">
        <v>2025</v>
      </c>
      <c r="H11253" s="35" t="s">
        <v>2185</v>
      </c>
    </row>
    <row r="11254" spans="1:9">
      <c r="A11254" s="34">
        <v>2084052943</v>
      </c>
      <c r="B11254" s="35" t="s">
        <v>462</v>
      </c>
      <c r="C11254" s="35" t="s">
        <v>2016</v>
      </c>
      <c r="D11254" s="35" t="s">
        <v>2172</v>
      </c>
      <c r="E11254" s="35" t="s">
        <v>2190</v>
      </c>
      <c r="F11254" s="35" t="s">
        <v>2191</v>
      </c>
      <c r="G11254" s="35" t="s">
        <v>2025</v>
      </c>
      <c r="H11254" s="35" t="s">
        <v>2180</v>
      </c>
    </row>
    <row r="11255" spans="1:9">
      <c r="A11255" s="34">
        <v>2084052944</v>
      </c>
      <c r="B11255" s="35" t="s">
        <v>462</v>
      </c>
      <c r="C11255" s="35" t="s">
        <v>2016</v>
      </c>
      <c r="D11255" s="35" t="s">
        <v>2172</v>
      </c>
      <c r="E11255" s="35" t="s">
        <v>2190</v>
      </c>
      <c r="F11255" s="35" t="s">
        <v>2191</v>
      </c>
      <c r="G11255" s="35" t="s">
        <v>2025</v>
      </c>
      <c r="H11255" s="35" t="s">
        <v>2186</v>
      </c>
    </row>
    <row r="11256" spans="1:9">
      <c r="A11256" s="34">
        <v>2084052939</v>
      </c>
      <c r="B11256" s="35" t="s">
        <v>462</v>
      </c>
      <c r="C11256" s="35" t="s">
        <v>2016</v>
      </c>
      <c r="D11256" s="35" t="s">
        <v>2172</v>
      </c>
      <c r="E11256" s="35" t="s">
        <v>2190</v>
      </c>
      <c r="F11256" s="35" t="s">
        <v>2191</v>
      </c>
      <c r="G11256" s="35" t="s">
        <v>2027</v>
      </c>
      <c r="H11256" s="35" t="s">
        <v>2185</v>
      </c>
    </row>
    <row r="11257" spans="1:9">
      <c r="A11257" s="34">
        <v>2084052940</v>
      </c>
      <c r="B11257" s="35" t="s">
        <v>462</v>
      </c>
      <c r="C11257" s="35" t="s">
        <v>2016</v>
      </c>
      <c r="D11257" s="35" t="s">
        <v>2172</v>
      </c>
      <c r="E11257" s="35" t="s">
        <v>2190</v>
      </c>
      <c r="F11257" s="35" t="s">
        <v>2191</v>
      </c>
      <c r="G11257" s="35" t="s">
        <v>2027</v>
      </c>
      <c r="H11257" s="35" t="s">
        <v>2180</v>
      </c>
    </row>
    <row r="11258" spans="1:9">
      <c r="A11258" s="34">
        <v>2084052941</v>
      </c>
      <c r="B11258" s="35" t="s">
        <v>462</v>
      </c>
      <c r="C11258" s="35" t="s">
        <v>2016</v>
      </c>
      <c r="D11258" s="35" t="s">
        <v>2172</v>
      </c>
      <c r="E11258" s="35" t="s">
        <v>2190</v>
      </c>
      <c r="F11258" s="35" t="s">
        <v>2191</v>
      </c>
      <c r="G11258" s="35" t="s">
        <v>2027</v>
      </c>
      <c r="H11258" s="35" t="s">
        <v>2186</v>
      </c>
    </row>
    <row r="11259" spans="1:9">
      <c r="A11259" s="34">
        <v>2084054680</v>
      </c>
      <c r="B11259" s="35" t="s">
        <v>462</v>
      </c>
      <c r="C11259" s="35" t="s">
        <v>2016</v>
      </c>
      <c r="D11259" s="35" t="s">
        <v>2172</v>
      </c>
      <c r="E11259" s="35" t="s">
        <v>2190</v>
      </c>
      <c r="F11259" s="35" t="s">
        <v>2191</v>
      </c>
      <c r="G11259" s="35" t="s">
        <v>396</v>
      </c>
      <c r="H11259" s="35" t="s">
        <v>2185</v>
      </c>
    </row>
    <row r="11260" spans="1:9">
      <c r="A11260" s="34">
        <v>2084054681</v>
      </c>
      <c r="B11260" s="35" t="s">
        <v>462</v>
      </c>
      <c r="C11260" s="35" t="s">
        <v>2016</v>
      </c>
      <c r="D11260" s="35" t="s">
        <v>2172</v>
      </c>
      <c r="E11260" s="35" t="s">
        <v>2190</v>
      </c>
      <c r="F11260" s="35" t="s">
        <v>2191</v>
      </c>
      <c r="G11260" s="35" t="s">
        <v>396</v>
      </c>
      <c r="H11260" s="35" t="s">
        <v>2180</v>
      </c>
    </row>
    <row r="11261" spans="1:9">
      <c r="A11261" s="34">
        <v>2084054682</v>
      </c>
      <c r="B11261" s="35" t="s">
        <v>462</v>
      </c>
      <c r="C11261" s="35" t="s">
        <v>2016</v>
      </c>
      <c r="D11261" s="35" t="s">
        <v>2172</v>
      </c>
      <c r="E11261" s="35" t="s">
        <v>2190</v>
      </c>
      <c r="F11261" s="35" t="s">
        <v>2191</v>
      </c>
      <c r="G11261" s="35" t="s">
        <v>396</v>
      </c>
      <c r="H11261" s="35" t="s">
        <v>2186</v>
      </c>
    </row>
    <row r="11262" spans="1:9">
      <c r="A11262" s="34">
        <v>2084051936</v>
      </c>
      <c r="B11262" s="35" t="s">
        <v>462</v>
      </c>
      <c r="C11262" s="35" t="s">
        <v>2016</v>
      </c>
      <c r="D11262" s="35" t="s">
        <v>2172</v>
      </c>
      <c r="E11262" s="35" t="s">
        <v>10</v>
      </c>
      <c r="F11262" s="35" t="s">
        <v>1604</v>
      </c>
      <c r="G11262" s="35" t="s">
        <v>1593</v>
      </c>
      <c r="H11262" s="35" t="s">
        <v>2025</v>
      </c>
      <c r="I11262" s="35" t="s">
        <v>2185</v>
      </c>
    </row>
    <row r="11263" spans="1:9">
      <c r="A11263" s="34">
        <v>2084051935</v>
      </c>
      <c r="B11263" s="35" t="s">
        <v>462</v>
      </c>
      <c r="C11263" s="35" t="s">
        <v>2016</v>
      </c>
      <c r="D11263" s="35" t="s">
        <v>2172</v>
      </c>
      <c r="E11263" s="35" t="s">
        <v>10</v>
      </c>
      <c r="F11263" s="35" t="s">
        <v>1604</v>
      </c>
      <c r="G11263" s="35" t="s">
        <v>1593</v>
      </c>
      <c r="H11263" s="35" t="s">
        <v>2025</v>
      </c>
      <c r="I11263" s="35" t="s">
        <v>2180</v>
      </c>
    </row>
    <row r="11264" spans="1:9">
      <c r="A11264" s="34">
        <v>2084051934</v>
      </c>
      <c r="B11264" s="35" t="s">
        <v>462</v>
      </c>
      <c r="C11264" s="35" t="s">
        <v>2016</v>
      </c>
      <c r="D11264" s="35" t="s">
        <v>2172</v>
      </c>
      <c r="E11264" s="35" t="s">
        <v>10</v>
      </c>
      <c r="F11264" s="35" t="s">
        <v>1604</v>
      </c>
      <c r="G11264" s="35" t="s">
        <v>1593</v>
      </c>
      <c r="H11264" s="35" t="s">
        <v>2025</v>
      </c>
      <c r="I11264" s="35" t="s">
        <v>2186</v>
      </c>
    </row>
    <row r="11265" spans="1:9">
      <c r="A11265" s="34">
        <v>2084051931</v>
      </c>
      <c r="B11265" s="35" t="s">
        <v>462</v>
      </c>
      <c r="C11265" s="35" t="s">
        <v>2016</v>
      </c>
      <c r="D11265" s="35" t="s">
        <v>2172</v>
      </c>
      <c r="E11265" s="35" t="s">
        <v>10</v>
      </c>
      <c r="F11265" s="35" t="s">
        <v>1604</v>
      </c>
      <c r="G11265" s="35" t="s">
        <v>1593</v>
      </c>
      <c r="H11265" s="35" t="s">
        <v>2027</v>
      </c>
      <c r="I11265" s="35" t="s">
        <v>2185</v>
      </c>
    </row>
    <row r="11266" spans="1:9">
      <c r="A11266" s="34">
        <v>2084051932</v>
      </c>
      <c r="B11266" s="35" t="s">
        <v>462</v>
      </c>
      <c r="C11266" s="35" t="s">
        <v>2016</v>
      </c>
      <c r="D11266" s="35" t="s">
        <v>2172</v>
      </c>
      <c r="E11266" s="35" t="s">
        <v>10</v>
      </c>
      <c r="F11266" s="35" t="s">
        <v>1604</v>
      </c>
      <c r="G11266" s="35" t="s">
        <v>1593</v>
      </c>
      <c r="H11266" s="35" t="s">
        <v>2027</v>
      </c>
      <c r="I11266" s="35" t="s">
        <v>2180</v>
      </c>
    </row>
    <row r="11267" spans="1:9">
      <c r="A11267" s="34">
        <v>2084051933</v>
      </c>
      <c r="B11267" s="35" t="s">
        <v>462</v>
      </c>
      <c r="C11267" s="35" t="s">
        <v>2016</v>
      </c>
      <c r="D11267" s="35" t="s">
        <v>2172</v>
      </c>
      <c r="E11267" s="35" t="s">
        <v>10</v>
      </c>
      <c r="F11267" s="35" t="s">
        <v>1604</v>
      </c>
      <c r="G11267" s="35" t="s">
        <v>1593</v>
      </c>
      <c r="H11267" s="35" t="s">
        <v>2027</v>
      </c>
      <c r="I11267" s="35" t="s">
        <v>2186</v>
      </c>
    </row>
    <row r="11268" spans="1:9">
      <c r="A11268" s="34">
        <v>2084053371</v>
      </c>
      <c r="B11268" s="35" t="s">
        <v>462</v>
      </c>
      <c r="C11268" s="35" t="s">
        <v>2016</v>
      </c>
      <c r="D11268" s="35" t="s">
        <v>2172</v>
      </c>
      <c r="E11268" s="35" t="s">
        <v>10</v>
      </c>
      <c r="F11268" s="35" t="s">
        <v>1604</v>
      </c>
      <c r="G11268" s="35" t="s">
        <v>1593</v>
      </c>
      <c r="H11268" s="35" t="s">
        <v>396</v>
      </c>
      <c r="I11268" s="35" t="s">
        <v>2185</v>
      </c>
    </row>
    <row r="11269" spans="1:9">
      <c r="A11269" s="34">
        <v>2084053372</v>
      </c>
      <c r="B11269" s="35" t="s">
        <v>462</v>
      </c>
      <c r="C11269" s="35" t="s">
        <v>2016</v>
      </c>
      <c r="D11269" s="35" t="s">
        <v>2172</v>
      </c>
      <c r="E11269" s="35" t="s">
        <v>10</v>
      </c>
      <c r="F11269" s="35" t="s">
        <v>1604</v>
      </c>
      <c r="G11269" s="35" t="s">
        <v>1593</v>
      </c>
      <c r="H11269" s="35" t="s">
        <v>396</v>
      </c>
      <c r="I11269" s="35" t="s">
        <v>2180</v>
      </c>
    </row>
    <row r="11270" spans="1:9">
      <c r="A11270" s="34">
        <v>2084053373</v>
      </c>
      <c r="B11270" s="35" t="s">
        <v>462</v>
      </c>
      <c r="C11270" s="35" t="s">
        <v>2016</v>
      </c>
      <c r="D11270" s="35" t="s">
        <v>2172</v>
      </c>
      <c r="E11270" s="35" t="s">
        <v>10</v>
      </c>
      <c r="F11270" s="35" t="s">
        <v>1604</v>
      </c>
      <c r="G11270" s="35" t="s">
        <v>1593</v>
      </c>
      <c r="H11270" s="35" t="s">
        <v>396</v>
      </c>
      <c r="I11270" s="35" t="s">
        <v>2186</v>
      </c>
    </row>
    <row r="11271" spans="1:9">
      <c r="A11271" s="34">
        <v>2084051944</v>
      </c>
      <c r="B11271" s="35" t="s">
        <v>462</v>
      </c>
      <c r="C11271" s="35" t="s">
        <v>2016</v>
      </c>
      <c r="D11271" s="35" t="s">
        <v>2172</v>
      </c>
      <c r="E11271" s="35" t="s">
        <v>10</v>
      </c>
      <c r="F11271" s="35" t="s">
        <v>1604</v>
      </c>
      <c r="G11271" s="35" t="s">
        <v>1594</v>
      </c>
      <c r="H11271" s="35" t="s">
        <v>2025</v>
      </c>
      <c r="I11271" s="35" t="s">
        <v>2185</v>
      </c>
    </row>
    <row r="11272" spans="1:9">
      <c r="A11272" s="34">
        <v>2084051943</v>
      </c>
      <c r="B11272" s="35" t="s">
        <v>462</v>
      </c>
      <c r="C11272" s="35" t="s">
        <v>2016</v>
      </c>
      <c r="D11272" s="35" t="s">
        <v>2172</v>
      </c>
      <c r="E11272" s="35" t="s">
        <v>10</v>
      </c>
      <c r="F11272" s="35" t="s">
        <v>1604</v>
      </c>
      <c r="G11272" s="35" t="s">
        <v>1594</v>
      </c>
      <c r="H11272" s="35" t="s">
        <v>2025</v>
      </c>
      <c r="I11272" s="35" t="s">
        <v>2180</v>
      </c>
    </row>
    <row r="11273" spans="1:9">
      <c r="A11273" s="34">
        <v>2084051942</v>
      </c>
      <c r="B11273" s="35" t="s">
        <v>462</v>
      </c>
      <c r="C11273" s="35" t="s">
        <v>2016</v>
      </c>
      <c r="D11273" s="35" t="s">
        <v>2172</v>
      </c>
      <c r="E11273" s="35" t="s">
        <v>10</v>
      </c>
      <c r="F11273" s="35" t="s">
        <v>1604</v>
      </c>
      <c r="G11273" s="35" t="s">
        <v>1594</v>
      </c>
      <c r="H11273" s="35" t="s">
        <v>2025</v>
      </c>
      <c r="I11273" s="35" t="s">
        <v>2186</v>
      </c>
    </row>
    <row r="11274" spans="1:9">
      <c r="A11274" s="34">
        <v>2084051939</v>
      </c>
      <c r="B11274" s="35" t="s">
        <v>462</v>
      </c>
      <c r="C11274" s="35" t="s">
        <v>2016</v>
      </c>
      <c r="D11274" s="35" t="s">
        <v>2172</v>
      </c>
      <c r="E11274" s="35" t="s">
        <v>10</v>
      </c>
      <c r="F11274" s="35" t="s">
        <v>1604</v>
      </c>
      <c r="G11274" s="35" t="s">
        <v>1594</v>
      </c>
      <c r="H11274" s="35" t="s">
        <v>2027</v>
      </c>
      <c r="I11274" s="35" t="s">
        <v>2185</v>
      </c>
    </row>
    <row r="11275" spans="1:9">
      <c r="A11275" s="34">
        <v>2084051940</v>
      </c>
      <c r="B11275" s="35" t="s">
        <v>462</v>
      </c>
      <c r="C11275" s="35" t="s">
        <v>2016</v>
      </c>
      <c r="D11275" s="35" t="s">
        <v>2172</v>
      </c>
      <c r="E11275" s="35" t="s">
        <v>10</v>
      </c>
      <c r="F11275" s="35" t="s">
        <v>1604</v>
      </c>
      <c r="G11275" s="35" t="s">
        <v>1594</v>
      </c>
      <c r="H11275" s="35" t="s">
        <v>2027</v>
      </c>
      <c r="I11275" s="35" t="s">
        <v>2180</v>
      </c>
    </row>
    <row r="11276" spans="1:9">
      <c r="A11276" s="34">
        <v>2084051941</v>
      </c>
      <c r="B11276" s="35" t="s">
        <v>462</v>
      </c>
      <c r="C11276" s="35" t="s">
        <v>2016</v>
      </c>
      <c r="D11276" s="35" t="s">
        <v>2172</v>
      </c>
      <c r="E11276" s="35" t="s">
        <v>10</v>
      </c>
      <c r="F11276" s="35" t="s">
        <v>1604</v>
      </c>
      <c r="G11276" s="35" t="s">
        <v>1594</v>
      </c>
      <c r="H11276" s="35" t="s">
        <v>2027</v>
      </c>
      <c r="I11276" s="35" t="s">
        <v>2186</v>
      </c>
    </row>
    <row r="11277" spans="1:9">
      <c r="A11277" s="34">
        <v>2084053376</v>
      </c>
      <c r="B11277" s="35" t="s">
        <v>462</v>
      </c>
      <c r="C11277" s="35" t="s">
        <v>2016</v>
      </c>
      <c r="D11277" s="35" t="s">
        <v>2172</v>
      </c>
      <c r="E11277" s="35" t="s">
        <v>10</v>
      </c>
      <c r="F11277" s="35" t="s">
        <v>1604</v>
      </c>
      <c r="G11277" s="35" t="s">
        <v>1594</v>
      </c>
      <c r="H11277" s="35" t="s">
        <v>396</v>
      </c>
      <c r="I11277" s="35" t="s">
        <v>2185</v>
      </c>
    </row>
    <row r="11278" spans="1:9">
      <c r="A11278" s="34">
        <v>2084053377</v>
      </c>
      <c r="B11278" s="35" t="s">
        <v>462</v>
      </c>
      <c r="C11278" s="35" t="s">
        <v>2016</v>
      </c>
      <c r="D11278" s="35" t="s">
        <v>2172</v>
      </c>
      <c r="E11278" s="35" t="s">
        <v>10</v>
      </c>
      <c r="F11278" s="35" t="s">
        <v>1604</v>
      </c>
      <c r="G11278" s="35" t="s">
        <v>1594</v>
      </c>
      <c r="H11278" s="35" t="s">
        <v>396</v>
      </c>
      <c r="I11278" s="35" t="s">
        <v>2180</v>
      </c>
    </row>
    <row r="11279" spans="1:9">
      <c r="A11279" s="34">
        <v>2084053378</v>
      </c>
      <c r="B11279" s="35" t="s">
        <v>462</v>
      </c>
      <c r="C11279" s="35" t="s">
        <v>2016</v>
      </c>
      <c r="D11279" s="35" t="s">
        <v>2172</v>
      </c>
      <c r="E11279" s="35" t="s">
        <v>10</v>
      </c>
      <c r="F11279" s="35" t="s">
        <v>1604</v>
      </c>
      <c r="G11279" s="35" t="s">
        <v>1594</v>
      </c>
      <c r="H11279" s="35" t="s">
        <v>396</v>
      </c>
      <c r="I11279" s="35" t="s">
        <v>2186</v>
      </c>
    </row>
    <row r="11280" spans="1:9">
      <c r="A11280" s="34">
        <v>2084051952</v>
      </c>
      <c r="B11280" s="35" t="s">
        <v>462</v>
      </c>
      <c r="C11280" s="35" t="s">
        <v>2016</v>
      </c>
      <c r="D11280" s="35" t="s">
        <v>2172</v>
      </c>
      <c r="E11280" s="35" t="s">
        <v>10</v>
      </c>
      <c r="F11280" s="35" t="s">
        <v>1587</v>
      </c>
      <c r="G11280" s="35" t="s">
        <v>2025</v>
      </c>
      <c r="H11280" s="35" t="s">
        <v>2185</v>
      </c>
    </row>
    <row r="11281" spans="1:9">
      <c r="A11281" s="34">
        <v>2084051951</v>
      </c>
      <c r="B11281" s="35" t="s">
        <v>462</v>
      </c>
      <c r="C11281" s="35" t="s">
        <v>2016</v>
      </c>
      <c r="D11281" s="35" t="s">
        <v>2172</v>
      </c>
      <c r="E11281" s="35" t="s">
        <v>10</v>
      </c>
      <c r="F11281" s="35" t="s">
        <v>1587</v>
      </c>
      <c r="G11281" s="35" t="s">
        <v>2025</v>
      </c>
      <c r="H11281" s="35" t="s">
        <v>2180</v>
      </c>
    </row>
    <row r="11282" spans="1:9">
      <c r="A11282" s="34">
        <v>2084051950</v>
      </c>
      <c r="B11282" s="35" t="s">
        <v>462</v>
      </c>
      <c r="C11282" s="35" t="s">
        <v>2016</v>
      </c>
      <c r="D11282" s="35" t="s">
        <v>2172</v>
      </c>
      <c r="E11282" s="35" t="s">
        <v>10</v>
      </c>
      <c r="F11282" s="35" t="s">
        <v>1587</v>
      </c>
      <c r="G11282" s="35" t="s">
        <v>2025</v>
      </c>
      <c r="H11282" s="35" t="s">
        <v>2186</v>
      </c>
    </row>
    <row r="11283" spans="1:9">
      <c r="A11283" s="34">
        <v>2084051947</v>
      </c>
      <c r="B11283" s="35" t="s">
        <v>462</v>
      </c>
      <c r="C11283" s="35" t="s">
        <v>2016</v>
      </c>
      <c r="D11283" s="35" t="s">
        <v>2172</v>
      </c>
      <c r="E11283" s="35" t="s">
        <v>10</v>
      </c>
      <c r="F11283" s="35" t="s">
        <v>1587</v>
      </c>
      <c r="G11283" s="35" t="s">
        <v>2027</v>
      </c>
      <c r="H11283" s="35" t="s">
        <v>2185</v>
      </c>
    </row>
    <row r="11284" spans="1:9">
      <c r="A11284" s="34">
        <v>2084051948</v>
      </c>
      <c r="B11284" s="35" t="s">
        <v>462</v>
      </c>
      <c r="C11284" s="35" t="s">
        <v>2016</v>
      </c>
      <c r="D11284" s="35" t="s">
        <v>2172</v>
      </c>
      <c r="E11284" s="35" t="s">
        <v>10</v>
      </c>
      <c r="F11284" s="35" t="s">
        <v>1587</v>
      </c>
      <c r="G11284" s="35" t="s">
        <v>2027</v>
      </c>
      <c r="H11284" s="35" t="s">
        <v>2180</v>
      </c>
    </row>
    <row r="11285" spans="1:9">
      <c r="A11285" s="34">
        <v>2084051949</v>
      </c>
      <c r="B11285" s="35" t="s">
        <v>462</v>
      </c>
      <c r="C11285" s="35" t="s">
        <v>2016</v>
      </c>
      <c r="D11285" s="35" t="s">
        <v>2172</v>
      </c>
      <c r="E11285" s="35" t="s">
        <v>10</v>
      </c>
      <c r="F11285" s="35" t="s">
        <v>1587</v>
      </c>
      <c r="G11285" s="35" t="s">
        <v>2027</v>
      </c>
      <c r="H11285" s="35" t="s">
        <v>2186</v>
      </c>
    </row>
    <row r="11286" spans="1:9">
      <c r="A11286" s="34">
        <v>2084053499</v>
      </c>
      <c r="B11286" s="35" t="s">
        <v>462</v>
      </c>
      <c r="C11286" s="35" t="s">
        <v>2016</v>
      </c>
      <c r="D11286" s="35" t="s">
        <v>2172</v>
      </c>
      <c r="E11286" s="35" t="s">
        <v>10</v>
      </c>
      <c r="F11286" s="35" t="s">
        <v>1587</v>
      </c>
      <c r="G11286" s="35" t="s">
        <v>396</v>
      </c>
      <c r="H11286" s="35" t="s">
        <v>2185</v>
      </c>
    </row>
    <row r="11287" spans="1:9">
      <c r="A11287" s="34">
        <v>2084053500</v>
      </c>
      <c r="B11287" s="35" t="s">
        <v>462</v>
      </c>
      <c r="C11287" s="35" t="s">
        <v>2016</v>
      </c>
      <c r="D11287" s="35" t="s">
        <v>2172</v>
      </c>
      <c r="E11287" s="35" t="s">
        <v>10</v>
      </c>
      <c r="F11287" s="35" t="s">
        <v>1587</v>
      </c>
      <c r="G11287" s="35" t="s">
        <v>396</v>
      </c>
      <c r="H11287" s="35" t="s">
        <v>2180</v>
      </c>
    </row>
    <row r="11288" spans="1:9">
      <c r="A11288" s="34">
        <v>2084053501</v>
      </c>
      <c r="B11288" s="35" t="s">
        <v>462</v>
      </c>
      <c r="C11288" s="35" t="s">
        <v>2016</v>
      </c>
      <c r="D11288" s="35" t="s">
        <v>2172</v>
      </c>
      <c r="E11288" s="35" t="s">
        <v>10</v>
      </c>
      <c r="F11288" s="35" t="s">
        <v>1587</v>
      </c>
      <c r="G11288" s="35" t="s">
        <v>396</v>
      </c>
      <c r="H11288" s="35" t="s">
        <v>2186</v>
      </c>
    </row>
    <row r="11289" spans="1:9">
      <c r="A11289" s="34">
        <v>2084052147</v>
      </c>
      <c r="B11289" s="35" t="s">
        <v>462</v>
      </c>
      <c r="C11289" s="35" t="s">
        <v>2016</v>
      </c>
      <c r="D11289" s="35" t="s">
        <v>2172</v>
      </c>
      <c r="E11289" s="35" t="s">
        <v>10</v>
      </c>
      <c r="F11289" s="35" t="s">
        <v>1597</v>
      </c>
      <c r="G11289" s="35" t="s">
        <v>2025</v>
      </c>
      <c r="H11289" s="35" t="s">
        <v>2185</v>
      </c>
    </row>
    <row r="11290" spans="1:9">
      <c r="A11290" s="34">
        <v>2084052146</v>
      </c>
      <c r="B11290" s="35" t="s">
        <v>462</v>
      </c>
      <c r="C11290" s="35" t="s">
        <v>2016</v>
      </c>
      <c r="D11290" s="35" t="s">
        <v>2172</v>
      </c>
      <c r="E11290" s="35" t="s">
        <v>10</v>
      </c>
      <c r="F11290" s="35" t="s">
        <v>1597</v>
      </c>
      <c r="G11290" s="35" t="s">
        <v>2025</v>
      </c>
      <c r="H11290" s="35" t="s">
        <v>2180</v>
      </c>
    </row>
    <row r="11291" spans="1:9">
      <c r="A11291" s="34">
        <v>2084052145</v>
      </c>
      <c r="B11291" s="35" t="s">
        <v>462</v>
      </c>
      <c r="C11291" s="35" t="s">
        <v>2016</v>
      </c>
      <c r="D11291" s="35" t="s">
        <v>2172</v>
      </c>
      <c r="E11291" s="35" t="s">
        <v>10</v>
      </c>
      <c r="F11291" s="35" t="s">
        <v>1597</v>
      </c>
      <c r="G11291" s="35" t="s">
        <v>2025</v>
      </c>
      <c r="H11291" s="35" t="s">
        <v>2186</v>
      </c>
    </row>
    <row r="11292" spans="1:9">
      <c r="A11292" s="34">
        <v>2084052142</v>
      </c>
      <c r="B11292" s="35" t="s">
        <v>462</v>
      </c>
      <c r="C11292" s="35" t="s">
        <v>2016</v>
      </c>
      <c r="D11292" s="35" t="s">
        <v>2172</v>
      </c>
      <c r="E11292" s="35" t="s">
        <v>10</v>
      </c>
      <c r="F11292" s="35" t="s">
        <v>1597</v>
      </c>
      <c r="G11292" s="35" t="s">
        <v>2027</v>
      </c>
      <c r="H11292" s="35" t="s">
        <v>2185</v>
      </c>
    </row>
    <row r="11293" spans="1:9">
      <c r="A11293" s="34">
        <v>2084052143</v>
      </c>
      <c r="B11293" s="35" t="s">
        <v>462</v>
      </c>
      <c r="C11293" s="35" t="s">
        <v>2016</v>
      </c>
      <c r="D11293" s="35" t="s">
        <v>2172</v>
      </c>
      <c r="E11293" s="35" t="s">
        <v>10</v>
      </c>
      <c r="F11293" s="35" t="s">
        <v>1597</v>
      </c>
      <c r="G11293" s="35" t="s">
        <v>2027</v>
      </c>
      <c r="H11293" s="35" t="s">
        <v>2180</v>
      </c>
    </row>
    <row r="11294" spans="1:9">
      <c r="A11294" s="34">
        <v>2084052144</v>
      </c>
      <c r="B11294" s="35" t="s">
        <v>462</v>
      </c>
      <c r="C11294" s="35" t="s">
        <v>2016</v>
      </c>
      <c r="D11294" s="35" t="s">
        <v>2172</v>
      </c>
      <c r="E11294" s="35" t="s">
        <v>10</v>
      </c>
      <c r="F11294" s="35" t="s">
        <v>1597</v>
      </c>
      <c r="G11294" s="35" t="s">
        <v>2027</v>
      </c>
      <c r="H11294" s="35" t="s">
        <v>2186</v>
      </c>
    </row>
    <row r="11295" spans="1:9">
      <c r="A11295" s="34">
        <v>2084051957</v>
      </c>
      <c r="B11295" s="35" t="s">
        <v>462</v>
      </c>
      <c r="C11295" s="35" t="s">
        <v>2016</v>
      </c>
      <c r="D11295" s="35" t="s">
        <v>2172</v>
      </c>
      <c r="E11295" s="35" t="s">
        <v>10</v>
      </c>
      <c r="F11295" s="35" t="s">
        <v>1601</v>
      </c>
      <c r="G11295" s="35" t="s">
        <v>1593</v>
      </c>
      <c r="H11295" s="35" t="s">
        <v>2025</v>
      </c>
      <c r="I11295" s="35" t="s">
        <v>2185</v>
      </c>
    </row>
    <row r="11296" spans="1:9">
      <c r="A11296" s="34">
        <v>2084051958</v>
      </c>
      <c r="B11296" s="35" t="s">
        <v>462</v>
      </c>
      <c r="C11296" s="35" t="s">
        <v>2016</v>
      </c>
      <c r="D11296" s="35" t="s">
        <v>2172</v>
      </c>
      <c r="E11296" s="35" t="s">
        <v>10</v>
      </c>
      <c r="F11296" s="35" t="s">
        <v>1601</v>
      </c>
      <c r="G11296" s="35" t="s">
        <v>1593</v>
      </c>
      <c r="H11296" s="35" t="s">
        <v>2025</v>
      </c>
      <c r="I11296" s="35" t="s">
        <v>2180</v>
      </c>
    </row>
    <row r="11297" spans="1:9">
      <c r="A11297" s="34">
        <v>2084051959</v>
      </c>
      <c r="B11297" s="35" t="s">
        <v>462</v>
      </c>
      <c r="C11297" s="35" t="s">
        <v>2016</v>
      </c>
      <c r="D11297" s="35" t="s">
        <v>2172</v>
      </c>
      <c r="E11297" s="35" t="s">
        <v>10</v>
      </c>
      <c r="F11297" s="35" t="s">
        <v>1601</v>
      </c>
      <c r="G11297" s="35" t="s">
        <v>1593</v>
      </c>
      <c r="H11297" s="35" t="s">
        <v>2025</v>
      </c>
      <c r="I11297" s="35" t="s">
        <v>2186</v>
      </c>
    </row>
    <row r="11298" spans="1:9">
      <c r="A11298" s="34">
        <v>2084051962</v>
      </c>
      <c r="B11298" s="35" t="s">
        <v>462</v>
      </c>
      <c r="C11298" s="35" t="s">
        <v>2016</v>
      </c>
      <c r="D11298" s="35" t="s">
        <v>2172</v>
      </c>
      <c r="E11298" s="35" t="s">
        <v>10</v>
      </c>
      <c r="F11298" s="35" t="s">
        <v>1601</v>
      </c>
      <c r="G11298" s="35" t="s">
        <v>1593</v>
      </c>
      <c r="H11298" s="35" t="s">
        <v>2027</v>
      </c>
      <c r="I11298" s="35" t="s">
        <v>2185</v>
      </c>
    </row>
    <row r="11299" spans="1:9">
      <c r="A11299" s="34">
        <v>2084051961</v>
      </c>
      <c r="B11299" s="35" t="s">
        <v>462</v>
      </c>
      <c r="C11299" s="35" t="s">
        <v>2016</v>
      </c>
      <c r="D11299" s="35" t="s">
        <v>2172</v>
      </c>
      <c r="E11299" s="35" t="s">
        <v>10</v>
      </c>
      <c r="F11299" s="35" t="s">
        <v>1601</v>
      </c>
      <c r="G11299" s="35" t="s">
        <v>1593</v>
      </c>
      <c r="H11299" s="35" t="s">
        <v>2027</v>
      </c>
      <c r="I11299" s="35" t="s">
        <v>2180</v>
      </c>
    </row>
    <row r="11300" spans="1:9">
      <c r="A11300" s="34">
        <v>2084051960</v>
      </c>
      <c r="B11300" s="35" t="s">
        <v>462</v>
      </c>
      <c r="C11300" s="35" t="s">
        <v>2016</v>
      </c>
      <c r="D11300" s="35" t="s">
        <v>2172</v>
      </c>
      <c r="E11300" s="35" t="s">
        <v>10</v>
      </c>
      <c r="F11300" s="35" t="s">
        <v>1601</v>
      </c>
      <c r="G11300" s="35" t="s">
        <v>1593</v>
      </c>
      <c r="H11300" s="35" t="s">
        <v>2027</v>
      </c>
      <c r="I11300" s="35" t="s">
        <v>2186</v>
      </c>
    </row>
    <row r="11301" spans="1:9">
      <c r="A11301" s="34">
        <v>2084053386</v>
      </c>
      <c r="B11301" s="35" t="s">
        <v>462</v>
      </c>
      <c r="C11301" s="35" t="s">
        <v>2016</v>
      </c>
      <c r="D11301" s="35" t="s">
        <v>2172</v>
      </c>
      <c r="E11301" s="35" t="s">
        <v>10</v>
      </c>
      <c r="F11301" s="35" t="s">
        <v>1601</v>
      </c>
      <c r="G11301" s="35" t="s">
        <v>1593</v>
      </c>
      <c r="H11301" s="35" t="s">
        <v>396</v>
      </c>
      <c r="I11301" s="35" t="s">
        <v>2185</v>
      </c>
    </row>
    <row r="11302" spans="1:9">
      <c r="A11302" s="34">
        <v>2084053387</v>
      </c>
      <c r="B11302" s="35" t="s">
        <v>462</v>
      </c>
      <c r="C11302" s="35" t="s">
        <v>2016</v>
      </c>
      <c r="D11302" s="35" t="s">
        <v>2172</v>
      </c>
      <c r="E11302" s="35" t="s">
        <v>10</v>
      </c>
      <c r="F11302" s="35" t="s">
        <v>1601</v>
      </c>
      <c r="G11302" s="35" t="s">
        <v>1593</v>
      </c>
      <c r="H11302" s="35" t="s">
        <v>396</v>
      </c>
      <c r="I11302" s="35" t="s">
        <v>2180</v>
      </c>
    </row>
    <row r="11303" spans="1:9">
      <c r="A11303" s="34">
        <v>2084053388</v>
      </c>
      <c r="B11303" s="35" t="s">
        <v>462</v>
      </c>
      <c r="C11303" s="35" t="s">
        <v>2016</v>
      </c>
      <c r="D11303" s="35" t="s">
        <v>2172</v>
      </c>
      <c r="E11303" s="35" t="s">
        <v>10</v>
      </c>
      <c r="F11303" s="35" t="s">
        <v>1601</v>
      </c>
      <c r="G11303" s="35" t="s">
        <v>1593</v>
      </c>
      <c r="H11303" s="35" t="s">
        <v>396</v>
      </c>
      <c r="I11303" s="35" t="s">
        <v>2186</v>
      </c>
    </row>
    <row r="11304" spans="1:9">
      <c r="A11304" s="34">
        <v>2084051963</v>
      </c>
      <c r="B11304" s="35" t="s">
        <v>462</v>
      </c>
      <c r="C11304" s="35" t="s">
        <v>2016</v>
      </c>
      <c r="D11304" s="35" t="s">
        <v>2172</v>
      </c>
      <c r="E11304" s="35" t="s">
        <v>10</v>
      </c>
      <c r="F11304" s="35" t="s">
        <v>1601</v>
      </c>
      <c r="G11304" s="35" t="s">
        <v>1594</v>
      </c>
      <c r="H11304" s="35" t="s">
        <v>2025</v>
      </c>
      <c r="I11304" s="35" t="s">
        <v>2185</v>
      </c>
    </row>
    <row r="11305" spans="1:9">
      <c r="A11305" s="34">
        <v>2084051964</v>
      </c>
      <c r="B11305" s="35" t="s">
        <v>462</v>
      </c>
      <c r="C11305" s="35" t="s">
        <v>2016</v>
      </c>
      <c r="D11305" s="35" t="s">
        <v>2172</v>
      </c>
      <c r="E11305" s="35" t="s">
        <v>10</v>
      </c>
      <c r="F11305" s="35" t="s">
        <v>1601</v>
      </c>
      <c r="G11305" s="35" t="s">
        <v>1594</v>
      </c>
      <c r="H11305" s="35" t="s">
        <v>2025</v>
      </c>
      <c r="I11305" s="35" t="s">
        <v>2180</v>
      </c>
    </row>
    <row r="11306" spans="1:9">
      <c r="A11306" s="34">
        <v>2084051965</v>
      </c>
      <c r="B11306" s="35" t="s">
        <v>462</v>
      </c>
      <c r="C11306" s="35" t="s">
        <v>2016</v>
      </c>
      <c r="D11306" s="35" t="s">
        <v>2172</v>
      </c>
      <c r="E11306" s="35" t="s">
        <v>10</v>
      </c>
      <c r="F11306" s="35" t="s">
        <v>1601</v>
      </c>
      <c r="G11306" s="35" t="s">
        <v>1594</v>
      </c>
      <c r="H11306" s="35" t="s">
        <v>2025</v>
      </c>
      <c r="I11306" s="35" t="s">
        <v>2186</v>
      </c>
    </row>
    <row r="11307" spans="1:9">
      <c r="A11307" s="34">
        <v>2084052036</v>
      </c>
      <c r="B11307" s="35" t="s">
        <v>462</v>
      </c>
      <c r="C11307" s="35" t="s">
        <v>2016</v>
      </c>
      <c r="D11307" s="35" t="s">
        <v>2172</v>
      </c>
      <c r="E11307" s="35" t="s">
        <v>10</v>
      </c>
      <c r="F11307" s="35" t="s">
        <v>1601</v>
      </c>
      <c r="G11307" s="35" t="s">
        <v>1594</v>
      </c>
      <c r="H11307" s="35" t="s">
        <v>2027</v>
      </c>
      <c r="I11307" s="35" t="s">
        <v>2185</v>
      </c>
    </row>
    <row r="11308" spans="1:9">
      <c r="A11308" s="34">
        <v>2084052037</v>
      </c>
      <c r="B11308" s="35" t="s">
        <v>462</v>
      </c>
      <c r="C11308" s="35" t="s">
        <v>2016</v>
      </c>
      <c r="D11308" s="35" t="s">
        <v>2172</v>
      </c>
      <c r="E11308" s="35" t="s">
        <v>10</v>
      </c>
      <c r="F11308" s="35" t="s">
        <v>1601</v>
      </c>
      <c r="G11308" s="35" t="s">
        <v>1594</v>
      </c>
      <c r="H11308" s="35" t="s">
        <v>2027</v>
      </c>
      <c r="I11308" s="35" t="s">
        <v>2180</v>
      </c>
    </row>
    <row r="11309" spans="1:9">
      <c r="A11309" s="34">
        <v>2084052038</v>
      </c>
      <c r="B11309" s="35" t="s">
        <v>462</v>
      </c>
      <c r="C11309" s="35" t="s">
        <v>2016</v>
      </c>
      <c r="D11309" s="35" t="s">
        <v>2172</v>
      </c>
      <c r="E11309" s="35" t="s">
        <v>10</v>
      </c>
      <c r="F11309" s="35" t="s">
        <v>1601</v>
      </c>
      <c r="G11309" s="35" t="s">
        <v>1594</v>
      </c>
      <c r="H11309" s="35" t="s">
        <v>2027</v>
      </c>
      <c r="I11309" s="35" t="s">
        <v>2186</v>
      </c>
    </row>
    <row r="11310" spans="1:9">
      <c r="A11310" s="34">
        <v>2084053381</v>
      </c>
      <c r="B11310" s="35" t="s">
        <v>462</v>
      </c>
      <c r="C11310" s="35" t="s">
        <v>2016</v>
      </c>
      <c r="D11310" s="35" t="s">
        <v>2172</v>
      </c>
      <c r="E11310" s="35" t="s">
        <v>10</v>
      </c>
      <c r="F11310" s="35" t="s">
        <v>1601</v>
      </c>
      <c r="G11310" s="35" t="s">
        <v>1594</v>
      </c>
      <c r="H11310" s="35" t="s">
        <v>396</v>
      </c>
      <c r="I11310" s="35" t="s">
        <v>2185</v>
      </c>
    </row>
    <row r="11311" spans="1:9">
      <c r="A11311" s="34">
        <v>2084053382</v>
      </c>
      <c r="B11311" s="35" t="s">
        <v>462</v>
      </c>
      <c r="C11311" s="35" t="s">
        <v>2016</v>
      </c>
      <c r="D11311" s="35" t="s">
        <v>2172</v>
      </c>
      <c r="E11311" s="35" t="s">
        <v>10</v>
      </c>
      <c r="F11311" s="35" t="s">
        <v>1601</v>
      </c>
      <c r="G11311" s="35" t="s">
        <v>1594</v>
      </c>
      <c r="H11311" s="35" t="s">
        <v>396</v>
      </c>
      <c r="I11311" s="35" t="s">
        <v>2180</v>
      </c>
    </row>
    <row r="11312" spans="1:9">
      <c r="A11312" s="34">
        <v>2084053383</v>
      </c>
      <c r="B11312" s="35" t="s">
        <v>462</v>
      </c>
      <c r="C11312" s="35" t="s">
        <v>2016</v>
      </c>
      <c r="D11312" s="35" t="s">
        <v>2172</v>
      </c>
      <c r="E11312" s="35" t="s">
        <v>10</v>
      </c>
      <c r="F11312" s="35" t="s">
        <v>1601</v>
      </c>
      <c r="G11312" s="35" t="s">
        <v>1594</v>
      </c>
      <c r="H11312" s="35" t="s">
        <v>396</v>
      </c>
      <c r="I11312" s="35" t="s">
        <v>2186</v>
      </c>
    </row>
    <row r="11313" spans="1:8">
      <c r="A11313" s="34">
        <v>2084052047</v>
      </c>
      <c r="B11313" s="35" t="s">
        <v>462</v>
      </c>
      <c r="C11313" s="35" t="s">
        <v>2016</v>
      </c>
      <c r="D11313" s="35" t="s">
        <v>2172</v>
      </c>
      <c r="E11313" s="35" t="s">
        <v>10</v>
      </c>
      <c r="F11313" s="35" t="s">
        <v>2092</v>
      </c>
      <c r="G11313" s="35" t="s">
        <v>2025</v>
      </c>
      <c r="H11313" s="35" t="s">
        <v>2185</v>
      </c>
    </row>
    <row r="11314" spans="1:8">
      <c r="A11314" s="34">
        <v>2084052046</v>
      </c>
      <c r="B11314" s="35" t="s">
        <v>462</v>
      </c>
      <c r="C11314" s="35" t="s">
        <v>2016</v>
      </c>
      <c r="D11314" s="35" t="s">
        <v>2172</v>
      </c>
      <c r="E11314" s="35" t="s">
        <v>10</v>
      </c>
      <c r="F11314" s="35" t="s">
        <v>2092</v>
      </c>
      <c r="G11314" s="35" t="s">
        <v>2025</v>
      </c>
      <c r="H11314" s="35" t="s">
        <v>2180</v>
      </c>
    </row>
    <row r="11315" spans="1:8">
      <c r="A11315" s="34">
        <v>2084052045</v>
      </c>
      <c r="B11315" s="35" t="s">
        <v>462</v>
      </c>
      <c r="C11315" s="35" t="s">
        <v>2016</v>
      </c>
      <c r="D11315" s="35" t="s">
        <v>2172</v>
      </c>
      <c r="E11315" s="35" t="s">
        <v>10</v>
      </c>
      <c r="F11315" s="35" t="s">
        <v>2092</v>
      </c>
      <c r="G11315" s="35" t="s">
        <v>2025</v>
      </c>
      <c r="H11315" s="35" t="s">
        <v>2186</v>
      </c>
    </row>
    <row r="11316" spans="1:8">
      <c r="A11316" s="34">
        <v>2084052042</v>
      </c>
      <c r="B11316" s="35" t="s">
        <v>462</v>
      </c>
      <c r="C11316" s="35" t="s">
        <v>2016</v>
      </c>
      <c r="D11316" s="35" t="s">
        <v>2172</v>
      </c>
      <c r="E11316" s="35" t="s">
        <v>10</v>
      </c>
      <c r="F11316" s="35" t="s">
        <v>2092</v>
      </c>
      <c r="G11316" s="35" t="s">
        <v>2027</v>
      </c>
      <c r="H11316" s="35" t="s">
        <v>2185</v>
      </c>
    </row>
    <row r="11317" spans="1:8">
      <c r="A11317" s="34">
        <v>2084052043</v>
      </c>
      <c r="B11317" s="35" t="s">
        <v>462</v>
      </c>
      <c r="C11317" s="35" t="s">
        <v>2016</v>
      </c>
      <c r="D11317" s="35" t="s">
        <v>2172</v>
      </c>
      <c r="E11317" s="35" t="s">
        <v>10</v>
      </c>
      <c r="F11317" s="35" t="s">
        <v>2092</v>
      </c>
      <c r="G11317" s="35" t="s">
        <v>2027</v>
      </c>
      <c r="H11317" s="35" t="s">
        <v>2180</v>
      </c>
    </row>
    <row r="11318" spans="1:8">
      <c r="A11318" s="34">
        <v>2084052044</v>
      </c>
      <c r="B11318" s="35" t="s">
        <v>462</v>
      </c>
      <c r="C11318" s="35" t="s">
        <v>2016</v>
      </c>
      <c r="D11318" s="35" t="s">
        <v>2172</v>
      </c>
      <c r="E11318" s="35" t="s">
        <v>10</v>
      </c>
      <c r="F11318" s="35" t="s">
        <v>2092</v>
      </c>
      <c r="G11318" s="35" t="s">
        <v>2027</v>
      </c>
      <c r="H11318" s="35" t="s">
        <v>2186</v>
      </c>
    </row>
    <row r="11319" spans="1:8">
      <c r="A11319" s="34">
        <v>2084053504</v>
      </c>
      <c r="B11319" s="35" t="s">
        <v>462</v>
      </c>
      <c r="C11319" s="35" t="s">
        <v>2016</v>
      </c>
      <c r="D11319" s="35" t="s">
        <v>2172</v>
      </c>
      <c r="E11319" s="35" t="s">
        <v>10</v>
      </c>
      <c r="F11319" s="35" t="s">
        <v>2092</v>
      </c>
      <c r="G11319" s="35" t="s">
        <v>396</v>
      </c>
      <c r="H11319" s="35" t="s">
        <v>2185</v>
      </c>
    </row>
    <row r="11320" spans="1:8">
      <c r="A11320" s="34">
        <v>2084053505</v>
      </c>
      <c r="B11320" s="35" t="s">
        <v>462</v>
      </c>
      <c r="C11320" s="35" t="s">
        <v>2016</v>
      </c>
      <c r="D11320" s="35" t="s">
        <v>2172</v>
      </c>
      <c r="E11320" s="35" t="s">
        <v>10</v>
      </c>
      <c r="F11320" s="35" t="s">
        <v>2092</v>
      </c>
      <c r="G11320" s="35" t="s">
        <v>396</v>
      </c>
      <c r="H11320" s="35" t="s">
        <v>2180</v>
      </c>
    </row>
    <row r="11321" spans="1:8">
      <c r="A11321" s="34">
        <v>2084053506</v>
      </c>
      <c r="B11321" s="35" t="s">
        <v>462</v>
      </c>
      <c r="C11321" s="35" t="s">
        <v>2016</v>
      </c>
      <c r="D11321" s="35" t="s">
        <v>2172</v>
      </c>
      <c r="E11321" s="35" t="s">
        <v>10</v>
      </c>
      <c r="F11321" s="35" t="s">
        <v>2092</v>
      </c>
      <c r="G11321" s="35" t="s">
        <v>396</v>
      </c>
      <c r="H11321" s="35" t="s">
        <v>2186</v>
      </c>
    </row>
    <row r="11322" spans="1:8">
      <c r="A11322" s="34">
        <v>2084052055</v>
      </c>
      <c r="B11322" s="35" t="s">
        <v>462</v>
      </c>
      <c r="C11322" s="35" t="s">
        <v>2016</v>
      </c>
      <c r="D11322" s="35" t="s">
        <v>2172</v>
      </c>
      <c r="E11322" s="35" t="s">
        <v>10</v>
      </c>
      <c r="F11322" s="35" t="s">
        <v>2111</v>
      </c>
      <c r="G11322" s="35" t="s">
        <v>2025</v>
      </c>
      <c r="H11322" s="35" t="s">
        <v>2185</v>
      </c>
    </row>
    <row r="11323" spans="1:8">
      <c r="A11323" s="34">
        <v>2084052054</v>
      </c>
      <c r="B11323" s="35" t="s">
        <v>462</v>
      </c>
      <c r="C11323" s="35" t="s">
        <v>2016</v>
      </c>
      <c r="D11323" s="35" t="s">
        <v>2172</v>
      </c>
      <c r="E11323" s="35" t="s">
        <v>10</v>
      </c>
      <c r="F11323" s="35" t="s">
        <v>2111</v>
      </c>
      <c r="G11323" s="35" t="s">
        <v>2025</v>
      </c>
      <c r="H11323" s="35" t="s">
        <v>2180</v>
      </c>
    </row>
    <row r="11324" spans="1:8">
      <c r="A11324" s="34">
        <v>2084052053</v>
      </c>
      <c r="B11324" s="35" t="s">
        <v>462</v>
      </c>
      <c r="C11324" s="35" t="s">
        <v>2016</v>
      </c>
      <c r="D11324" s="35" t="s">
        <v>2172</v>
      </c>
      <c r="E11324" s="35" t="s">
        <v>10</v>
      </c>
      <c r="F11324" s="35" t="s">
        <v>2111</v>
      </c>
      <c r="G11324" s="35" t="s">
        <v>2025</v>
      </c>
      <c r="H11324" s="35" t="s">
        <v>2186</v>
      </c>
    </row>
    <row r="11325" spans="1:8">
      <c r="A11325" s="34">
        <v>2084052050</v>
      </c>
      <c r="B11325" s="35" t="s">
        <v>462</v>
      </c>
      <c r="C11325" s="35" t="s">
        <v>2016</v>
      </c>
      <c r="D11325" s="35" t="s">
        <v>2172</v>
      </c>
      <c r="E11325" s="35" t="s">
        <v>10</v>
      </c>
      <c r="F11325" s="35" t="s">
        <v>2111</v>
      </c>
      <c r="G11325" s="35" t="s">
        <v>2192</v>
      </c>
      <c r="H11325" s="35" t="s">
        <v>2185</v>
      </c>
    </row>
    <row r="11326" spans="1:8">
      <c r="A11326" s="34">
        <v>2084052051</v>
      </c>
      <c r="B11326" s="35" t="s">
        <v>462</v>
      </c>
      <c r="C11326" s="35" t="s">
        <v>2016</v>
      </c>
      <c r="D11326" s="35" t="s">
        <v>2172</v>
      </c>
      <c r="E11326" s="35" t="s">
        <v>10</v>
      </c>
      <c r="F11326" s="35" t="s">
        <v>2111</v>
      </c>
      <c r="G11326" s="35" t="s">
        <v>2192</v>
      </c>
      <c r="H11326" s="35" t="s">
        <v>2180</v>
      </c>
    </row>
    <row r="11327" spans="1:8">
      <c r="A11327" s="34">
        <v>2084052052</v>
      </c>
      <c r="B11327" s="35" t="s">
        <v>462</v>
      </c>
      <c r="C11327" s="35" t="s">
        <v>2016</v>
      </c>
      <c r="D11327" s="35" t="s">
        <v>2172</v>
      </c>
      <c r="E11327" s="35" t="s">
        <v>10</v>
      </c>
      <c r="F11327" s="35" t="s">
        <v>2111</v>
      </c>
      <c r="G11327" s="35" t="s">
        <v>2192</v>
      </c>
      <c r="H11327" s="35" t="s">
        <v>2186</v>
      </c>
    </row>
    <row r="11328" spans="1:8">
      <c r="A11328" s="34">
        <v>2084053509</v>
      </c>
      <c r="B11328" s="35" t="s">
        <v>462</v>
      </c>
      <c r="C11328" s="35" t="s">
        <v>2016</v>
      </c>
      <c r="D11328" s="35" t="s">
        <v>2172</v>
      </c>
      <c r="E11328" s="35" t="s">
        <v>10</v>
      </c>
      <c r="F11328" s="35" t="s">
        <v>2111</v>
      </c>
      <c r="G11328" s="35" t="s">
        <v>396</v>
      </c>
      <c r="H11328" s="35" t="s">
        <v>2185</v>
      </c>
    </row>
    <row r="11329" spans="1:8">
      <c r="A11329" s="34">
        <v>2084053510</v>
      </c>
      <c r="B11329" s="35" t="s">
        <v>462</v>
      </c>
      <c r="C11329" s="35" t="s">
        <v>2016</v>
      </c>
      <c r="D11329" s="35" t="s">
        <v>2172</v>
      </c>
      <c r="E11329" s="35" t="s">
        <v>10</v>
      </c>
      <c r="F11329" s="35" t="s">
        <v>2111</v>
      </c>
      <c r="G11329" s="35" t="s">
        <v>396</v>
      </c>
      <c r="H11329" s="35" t="s">
        <v>2180</v>
      </c>
    </row>
    <row r="11330" spans="1:8">
      <c r="A11330" s="34">
        <v>2084053511</v>
      </c>
      <c r="B11330" s="35" t="s">
        <v>462</v>
      </c>
      <c r="C11330" s="35" t="s">
        <v>2016</v>
      </c>
      <c r="D11330" s="35" t="s">
        <v>2172</v>
      </c>
      <c r="E11330" s="35" t="s">
        <v>10</v>
      </c>
      <c r="F11330" s="35" t="s">
        <v>2111</v>
      </c>
      <c r="G11330" s="35" t="s">
        <v>396</v>
      </c>
      <c r="H11330" s="35" t="s">
        <v>2186</v>
      </c>
    </row>
    <row r="11331" spans="1:8">
      <c r="A11331" s="34">
        <v>2084052063</v>
      </c>
      <c r="B11331" s="35" t="s">
        <v>462</v>
      </c>
      <c r="C11331" s="35" t="s">
        <v>2016</v>
      </c>
      <c r="D11331" s="35" t="s">
        <v>2172</v>
      </c>
      <c r="E11331" s="35" t="s">
        <v>10</v>
      </c>
      <c r="F11331" s="35" t="s">
        <v>1596</v>
      </c>
      <c r="G11331" s="35" t="s">
        <v>2025</v>
      </c>
      <c r="H11331" s="35" t="s">
        <v>2185</v>
      </c>
    </row>
    <row r="11332" spans="1:8">
      <c r="A11332" s="34">
        <v>2084052062</v>
      </c>
      <c r="B11332" s="35" t="s">
        <v>462</v>
      </c>
      <c r="C11332" s="35" t="s">
        <v>2016</v>
      </c>
      <c r="D11332" s="35" t="s">
        <v>2172</v>
      </c>
      <c r="E11332" s="35" t="s">
        <v>10</v>
      </c>
      <c r="F11332" s="35" t="s">
        <v>1596</v>
      </c>
      <c r="G11332" s="35" t="s">
        <v>2025</v>
      </c>
      <c r="H11332" s="35" t="s">
        <v>2180</v>
      </c>
    </row>
    <row r="11333" spans="1:8">
      <c r="A11333" s="34">
        <v>2084052061</v>
      </c>
      <c r="B11333" s="35" t="s">
        <v>462</v>
      </c>
      <c r="C11333" s="35" t="s">
        <v>2016</v>
      </c>
      <c r="D11333" s="35" t="s">
        <v>2172</v>
      </c>
      <c r="E11333" s="35" t="s">
        <v>10</v>
      </c>
      <c r="F11333" s="35" t="s">
        <v>1596</v>
      </c>
      <c r="G11333" s="35" t="s">
        <v>2025</v>
      </c>
      <c r="H11333" s="35" t="s">
        <v>2186</v>
      </c>
    </row>
    <row r="11334" spans="1:8">
      <c r="A11334" s="34">
        <v>2084052058</v>
      </c>
      <c r="B11334" s="35" t="s">
        <v>462</v>
      </c>
      <c r="C11334" s="35" t="s">
        <v>2016</v>
      </c>
      <c r="D11334" s="35" t="s">
        <v>2172</v>
      </c>
      <c r="E11334" s="35" t="s">
        <v>10</v>
      </c>
      <c r="F11334" s="35" t="s">
        <v>1596</v>
      </c>
      <c r="G11334" s="35" t="s">
        <v>2027</v>
      </c>
      <c r="H11334" s="35" t="s">
        <v>2185</v>
      </c>
    </row>
    <row r="11335" spans="1:8">
      <c r="A11335" s="34">
        <v>2084052059</v>
      </c>
      <c r="B11335" s="35" t="s">
        <v>462</v>
      </c>
      <c r="C11335" s="35" t="s">
        <v>2016</v>
      </c>
      <c r="D11335" s="35" t="s">
        <v>2172</v>
      </c>
      <c r="E11335" s="35" t="s">
        <v>10</v>
      </c>
      <c r="F11335" s="35" t="s">
        <v>1596</v>
      </c>
      <c r="G11335" s="35" t="s">
        <v>2027</v>
      </c>
      <c r="H11335" s="35" t="s">
        <v>2180</v>
      </c>
    </row>
    <row r="11336" spans="1:8">
      <c r="A11336" s="34">
        <v>2084052060</v>
      </c>
      <c r="B11336" s="35" t="s">
        <v>462</v>
      </c>
      <c r="C11336" s="35" t="s">
        <v>2016</v>
      </c>
      <c r="D11336" s="35" t="s">
        <v>2172</v>
      </c>
      <c r="E11336" s="35" t="s">
        <v>10</v>
      </c>
      <c r="F11336" s="35" t="s">
        <v>1596</v>
      </c>
      <c r="G11336" s="35" t="s">
        <v>2027</v>
      </c>
      <c r="H11336" s="35" t="s">
        <v>2186</v>
      </c>
    </row>
    <row r="11337" spans="1:8">
      <c r="A11337" s="34">
        <v>2084053514</v>
      </c>
      <c r="B11337" s="35" t="s">
        <v>462</v>
      </c>
      <c r="C11337" s="35" t="s">
        <v>2016</v>
      </c>
      <c r="D11337" s="35" t="s">
        <v>2172</v>
      </c>
      <c r="E11337" s="35" t="s">
        <v>10</v>
      </c>
      <c r="F11337" s="35" t="s">
        <v>1596</v>
      </c>
      <c r="G11337" s="35" t="s">
        <v>396</v>
      </c>
      <c r="H11337" s="35" t="s">
        <v>2185</v>
      </c>
    </row>
    <row r="11338" spans="1:8">
      <c r="A11338" s="34">
        <v>2084053515</v>
      </c>
      <c r="B11338" s="35" t="s">
        <v>462</v>
      </c>
      <c r="C11338" s="35" t="s">
        <v>2016</v>
      </c>
      <c r="D11338" s="35" t="s">
        <v>2172</v>
      </c>
      <c r="E11338" s="35" t="s">
        <v>10</v>
      </c>
      <c r="F11338" s="35" t="s">
        <v>1596</v>
      </c>
      <c r="G11338" s="35" t="s">
        <v>396</v>
      </c>
      <c r="H11338" s="35" t="s">
        <v>2180</v>
      </c>
    </row>
    <row r="11339" spans="1:8">
      <c r="A11339" s="34">
        <v>2084053516</v>
      </c>
      <c r="B11339" s="35" t="s">
        <v>462</v>
      </c>
      <c r="C11339" s="35" t="s">
        <v>2016</v>
      </c>
      <c r="D11339" s="35" t="s">
        <v>2172</v>
      </c>
      <c r="E11339" s="35" t="s">
        <v>10</v>
      </c>
      <c r="F11339" s="35" t="s">
        <v>1596</v>
      </c>
      <c r="G11339" s="35" t="s">
        <v>396</v>
      </c>
      <c r="H11339" s="35" t="s">
        <v>2186</v>
      </c>
    </row>
    <row r="11340" spans="1:8">
      <c r="A11340" s="34">
        <v>2084052071</v>
      </c>
      <c r="B11340" s="35" t="s">
        <v>462</v>
      </c>
      <c r="C11340" s="35" t="s">
        <v>2016</v>
      </c>
      <c r="D11340" s="35" t="s">
        <v>2172</v>
      </c>
      <c r="E11340" s="35" t="s">
        <v>10</v>
      </c>
      <c r="F11340" s="35" t="s">
        <v>430</v>
      </c>
      <c r="G11340" s="35" t="s">
        <v>2025</v>
      </c>
      <c r="H11340" s="35" t="s">
        <v>2185</v>
      </c>
    </row>
    <row r="11341" spans="1:8">
      <c r="A11341" s="34">
        <v>2084052070</v>
      </c>
      <c r="B11341" s="35" t="s">
        <v>462</v>
      </c>
      <c r="C11341" s="35" t="s">
        <v>2016</v>
      </c>
      <c r="D11341" s="35" t="s">
        <v>2172</v>
      </c>
      <c r="E11341" s="35" t="s">
        <v>10</v>
      </c>
      <c r="F11341" s="35" t="s">
        <v>430</v>
      </c>
      <c r="G11341" s="35" t="s">
        <v>2025</v>
      </c>
      <c r="H11341" s="35" t="s">
        <v>2180</v>
      </c>
    </row>
    <row r="11342" spans="1:8">
      <c r="A11342" s="34">
        <v>2084052069</v>
      </c>
      <c r="B11342" s="35" t="s">
        <v>462</v>
      </c>
      <c r="C11342" s="35" t="s">
        <v>2016</v>
      </c>
      <c r="D11342" s="35" t="s">
        <v>2172</v>
      </c>
      <c r="E11342" s="35" t="s">
        <v>10</v>
      </c>
      <c r="F11342" s="35" t="s">
        <v>430</v>
      </c>
      <c r="G11342" s="35" t="s">
        <v>2025</v>
      </c>
      <c r="H11342" s="35" t="s">
        <v>2186</v>
      </c>
    </row>
    <row r="11343" spans="1:8">
      <c r="A11343" s="34">
        <v>2084052066</v>
      </c>
      <c r="B11343" s="35" t="s">
        <v>462</v>
      </c>
      <c r="C11343" s="35" t="s">
        <v>2016</v>
      </c>
      <c r="D11343" s="35" t="s">
        <v>2172</v>
      </c>
      <c r="E11343" s="35" t="s">
        <v>10</v>
      </c>
      <c r="F11343" s="35" t="s">
        <v>430</v>
      </c>
      <c r="G11343" s="35" t="s">
        <v>2027</v>
      </c>
      <c r="H11343" s="35" t="s">
        <v>2185</v>
      </c>
    </row>
    <row r="11344" spans="1:8">
      <c r="A11344" s="34">
        <v>2084052067</v>
      </c>
      <c r="B11344" s="35" t="s">
        <v>462</v>
      </c>
      <c r="C11344" s="35" t="s">
        <v>2016</v>
      </c>
      <c r="D11344" s="35" t="s">
        <v>2172</v>
      </c>
      <c r="E11344" s="35" t="s">
        <v>10</v>
      </c>
      <c r="F11344" s="35" t="s">
        <v>430</v>
      </c>
      <c r="G11344" s="35" t="s">
        <v>2027</v>
      </c>
      <c r="H11344" s="35" t="s">
        <v>2180</v>
      </c>
    </row>
    <row r="11345" spans="1:8">
      <c r="A11345" s="34">
        <v>2084052068</v>
      </c>
      <c r="B11345" s="35" t="s">
        <v>462</v>
      </c>
      <c r="C11345" s="35" t="s">
        <v>2016</v>
      </c>
      <c r="D11345" s="35" t="s">
        <v>2172</v>
      </c>
      <c r="E11345" s="35" t="s">
        <v>10</v>
      </c>
      <c r="F11345" s="35" t="s">
        <v>430</v>
      </c>
      <c r="G11345" s="35" t="s">
        <v>2027</v>
      </c>
      <c r="H11345" s="35" t="s">
        <v>2186</v>
      </c>
    </row>
    <row r="11346" spans="1:8">
      <c r="A11346" s="34">
        <v>2084053519</v>
      </c>
      <c r="B11346" s="35" t="s">
        <v>462</v>
      </c>
      <c r="C11346" s="35" t="s">
        <v>2016</v>
      </c>
      <c r="D11346" s="35" t="s">
        <v>2172</v>
      </c>
      <c r="E11346" s="35" t="s">
        <v>10</v>
      </c>
      <c r="F11346" s="35" t="s">
        <v>430</v>
      </c>
      <c r="G11346" s="35" t="s">
        <v>396</v>
      </c>
      <c r="H11346" s="35" t="s">
        <v>2185</v>
      </c>
    </row>
    <row r="11347" spans="1:8">
      <c r="A11347" s="34">
        <v>2084053520</v>
      </c>
      <c r="B11347" s="35" t="s">
        <v>462</v>
      </c>
      <c r="C11347" s="35" t="s">
        <v>2016</v>
      </c>
      <c r="D11347" s="35" t="s">
        <v>2172</v>
      </c>
      <c r="E11347" s="35" t="s">
        <v>10</v>
      </c>
      <c r="F11347" s="35" t="s">
        <v>430</v>
      </c>
      <c r="G11347" s="35" t="s">
        <v>396</v>
      </c>
      <c r="H11347" s="35" t="s">
        <v>2180</v>
      </c>
    </row>
    <row r="11348" spans="1:8">
      <c r="A11348" s="34">
        <v>2084053521</v>
      </c>
      <c r="B11348" s="35" t="s">
        <v>462</v>
      </c>
      <c r="C11348" s="35" t="s">
        <v>2016</v>
      </c>
      <c r="D11348" s="35" t="s">
        <v>2172</v>
      </c>
      <c r="E11348" s="35" t="s">
        <v>10</v>
      </c>
      <c r="F11348" s="35" t="s">
        <v>430</v>
      </c>
      <c r="G11348" s="35" t="s">
        <v>396</v>
      </c>
      <c r="H11348" s="35" t="s">
        <v>2186</v>
      </c>
    </row>
    <row r="11349" spans="1:8">
      <c r="A11349" s="34">
        <v>2084052156</v>
      </c>
      <c r="B11349" s="35" t="s">
        <v>462</v>
      </c>
      <c r="C11349" s="35" t="s">
        <v>2016</v>
      </c>
      <c r="D11349" s="35" t="s">
        <v>2172</v>
      </c>
      <c r="E11349" s="35" t="s">
        <v>10</v>
      </c>
      <c r="F11349" s="35" t="s">
        <v>1432</v>
      </c>
      <c r="G11349" s="35" t="s">
        <v>2025</v>
      </c>
      <c r="H11349" s="35" t="s">
        <v>2185</v>
      </c>
    </row>
    <row r="11350" spans="1:8">
      <c r="A11350" s="34">
        <v>2084052155</v>
      </c>
      <c r="B11350" s="35" t="s">
        <v>462</v>
      </c>
      <c r="C11350" s="35" t="s">
        <v>2016</v>
      </c>
      <c r="D11350" s="35" t="s">
        <v>2172</v>
      </c>
      <c r="E11350" s="35" t="s">
        <v>10</v>
      </c>
      <c r="F11350" s="35" t="s">
        <v>1432</v>
      </c>
      <c r="G11350" s="35" t="s">
        <v>2025</v>
      </c>
      <c r="H11350" s="35" t="s">
        <v>2180</v>
      </c>
    </row>
    <row r="11351" spans="1:8">
      <c r="A11351" s="34">
        <v>2084052154</v>
      </c>
      <c r="B11351" s="35" t="s">
        <v>462</v>
      </c>
      <c r="C11351" s="35" t="s">
        <v>2016</v>
      </c>
      <c r="D11351" s="35" t="s">
        <v>2172</v>
      </c>
      <c r="E11351" s="35" t="s">
        <v>10</v>
      </c>
      <c r="F11351" s="35" t="s">
        <v>1432</v>
      </c>
      <c r="G11351" s="35" t="s">
        <v>2025</v>
      </c>
      <c r="H11351" s="35" t="s">
        <v>2186</v>
      </c>
    </row>
    <row r="11352" spans="1:8">
      <c r="A11352" s="34">
        <v>2084052151</v>
      </c>
      <c r="B11352" s="35" t="s">
        <v>462</v>
      </c>
      <c r="C11352" s="35" t="s">
        <v>2016</v>
      </c>
      <c r="D11352" s="35" t="s">
        <v>2172</v>
      </c>
      <c r="E11352" s="35" t="s">
        <v>10</v>
      </c>
      <c r="F11352" s="35" t="s">
        <v>1432</v>
      </c>
      <c r="G11352" s="35" t="s">
        <v>2027</v>
      </c>
      <c r="H11352" s="35" t="s">
        <v>2185</v>
      </c>
    </row>
    <row r="11353" spans="1:8">
      <c r="A11353" s="34">
        <v>2084052152</v>
      </c>
      <c r="B11353" s="35" t="s">
        <v>462</v>
      </c>
      <c r="C11353" s="35" t="s">
        <v>2016</v>
      </c>
      <c r="D11353" s="35" t="s">
        <v>2172</v>
      </c>
      <c r="E11353" s="35" t="s">
        <v>10</v>
      </c>
      <c r="F11353" s="35" t="s">
        <v>1432</v>
      </c>
      <c r="G11353" s="35" t="s">
        <v>2027</v>
      </c>
      <c r="H11353" s="35" t="s">
        <v>2180</v>
      </c>
    </row>
    <row r="11354" spans="1:8">
      <c r="A11354" s="34">
        <v>2084052153</v>
      </c>
      <c r="B11354" s="35" t="s">
        <v>462</v>
      </c>
      <c r="C11354" s="35" t="s">
        <v>2016</v>
      </c>
      <c r="D11354" s="35" t="s">
        <v>2172</v>
      </c>
      <c r="E11354" s="35" t="s">
        <v>10</v>
      </c>
      <c r="F11354" s="35" t="s">
        <v>1432</v>
      </c>
      <c r="G11354" s="35" t="s">
        <v>2027</v>
      </c>
      <c r="H11354" s="35" t="s">
        <v>2186</v>
      </c>
    </row>
    <row r="11355" spans="1:8">
      <c r="A11355" s="34">
        <v>2084053524</v>
      </c>
      <c r="B11355" s="35" t="s">
        <v>462</v>
      </c>
      <c r="C11355" s="35" t="s">
        <v>2016</v>
      </c>
      <c r="D11355" s="35" t="s">
        <v>2172</v>
      </c>
      <c r="E11355" s="35" t="s">
        <v>10</v>
      </c>
      <c r="F11355" s="35" t="s">
        <v>1432</v>
      </c>
      <c r="G11355" s="35" t="s">
        <v>396</v>
      </c>
      <c r="H11355" s="35" t="s">
        <v>2185</v>
      </c>
    </row>
    <row r="11356" spans="1:8">
      <c r="A11356" s="34">
        <v>2084053525</v>
      </c>
      <c r="B11356" s="35" t="s">
        <v>462</v>
      </c>
      <c r="C11356" s="35" t="s">
        <v>2016</v>
      </c>
      <c r="D11356" s="35" t="s">
        <v>2172</v>
      </c>
      <c r="E11356" s="35" t="s">
        <v>10</v>
      </c>
      <c r="F11356" s="35" t="s">
        <v>1432</v>
      </c>
      <c r="G11356" s="35" t="s">
        <v>396</v>
      </c>
      <c r="H11356" s="35" t="s">
        <v>2180</v>
      </c>
    </row>
    <row r="11357" spans="1:8">
      <c r="A11357" s="34">
        <v>2084053526</v>
      </c>
      <c r="B11357" s="35" t="s">
        <v>462</v>
      </c>
      <c r="C11357" s="35" t="s">
        <v>2016</v>
      </c>
      <c r="D11357" s="35" t="s">
        <v>2172</v>
      </c>
      <c r="E11357" s="35" t="s">
        <v>10</v>
      </c>
      <c r="F11357" s="35" t="s">
        <v>1432</v>
      </c>
      <c r="G11357" s="35" t="s">
        <v>396</v>
      </c>
      <c r="H11357" s="35" t="s">
        <v>2186</v>
      </c>
    </row>
    <row r="11358" spans="1:8">
      <c r="A11358" s="34">
        <v>2084052826</v>
      </c>
      <c r="B11358" s="35" t="s">
        <v>462</v>
      </c>
      <c r="C11358" s="35" t="s">
        <v>2016</v>
      </c>
      <c r="D11358" s="35" t="s">
        <v>2172</v>
      </c>
      <c r="E11358" s="35" t="s">
        <v>1583</v>
      </c>
      <c r="F11358" s="35" t="s">
        <v>2025</v>
      </c>
      <c r="G11358" s="35" t="s">
        <v>2185</v>
      </c>
    </row>
    <row r="11359" spans="1:8">
      <c r="A11359" s="34">
        <v>2084052827</v>
      </c>
      <c r="B11359" s="35" t="s">
        <v>462</v>
      </c>
      <c r="C11359" s="35" t="s">
        <v>2016</v>
      </c>
      <c r="D11359" s="35" t="s">
        <v>2172</v>
      </c>
      <c r="E11359" s="35" t="s">
        <v>1583</v>
      </c>
      <c r="F11359" s="35" t="s">
        <v>2025</v>
      </c>
      <c r="G11359" s="35" t="s">
        <v>2180</v>
      </c>
    </row>
    <row r="11360" spans="1:8">
      <c r="A11360" s="34">
        <v>2084052828</v>
      </c>
      <c r="B11360" s="35" t="s">
        <v>462</v>
      </c>
      <c r="C11360" s="35" t="s">
        <v>2016</v>
      </c>
      <c r="D11360" s="35" t="s">
        <v>2172</v>
      </c>
      <c r="E11360" s="35" t="s">
        <v>1583</v>
      </c>
      <c r="F11360" s="35" t="s">
        <v>2025</v>
      </c>
      <c r="G11360" s="35" t="s">
        <v>2186</v>
      </c>
    </row>
    <row r="11361" spans="1:8">
      <c r="A11361" s="34">
        <v>2084052823</v>
      </c>
      <c r="B11361" s="35" t="s">
        <v>462</v>
      </c>
      <c r="C11361" s="35" t="s">
        <v>2016</v>
      </c>
      <c r="D11361" s="35" t="s">
        <v>2172</v>
      </c>
      <c r="E11361" s="35" t="s">
        <v>1583</v>
      </c>
      <c r="F11361" s="35" t="s">
        <v>2027</v>
      </c>
      <c r="G11361" s="35" t="s">
        <v>2185</v>
      </c>
    </row>
    <row r="11362" spans="1:8">
      <c r="A11362" s="34">
        <v>2084052824</v>
      </c>
      <c r="B11362" s="35" t="s">
        <v>462</v>
      </c>
      <c r="C11362" s="35" t="s">
        <v>2016</v>
      </c>
      <c r="D11362" s="35" t="s">
        <v>2172</v>
      </c>
      <c r="E11362" s="35" t="s">
        <v>1583</v>
      </c>
      <c r="F11362" s="35" t="s">
        <v>2027</v>
      </c>
      <c r="G11362" s="35" t="s">
        <v>2180</v>
      </c>
    </row>
    <row r="11363" spans="1:8">
      <c r="A11363" s="34">
        <v>2084052825</v>
      </c>
      <c r="B11363" s="35" t="s">
        <v>462</v>
      </c>
      <c r="C11363" s="35" t="s">
        <v>2016</v>
      </c>
      <c r="D11363" s="35" t="s">
        <v>2172</v>
      </c>
      <c r="E11363" s="35" t="s">
        <v>1583</v>
      </c>
      <c r="F11363" s="35" t="s">
        <v>2027</v>
      </c>
      <c r="G11363" s="35" t="s">
        <v>2186</v>
      </c>
    </row>
    <row r="11364" spans="1:8">
      <c r="A11364" s="34">
        <v>2084053401</v>
      </c>
      <c r="B11364" s="35" t="s">
        <v>462</v>
      </c>
      <c r="C11364" s="35" t="s">
        <v>2016</v>
      </c>
      <c r="D11364" s="35" t="s">
        <v>2172</v>
      </c>
      <c r="E11364" s="35" t="s">
        <v>1583</v>
      </c>
      <c r="F11364" s="35" t="s">
        <v>396</v>
      </c>
      <c r="G11364" s="35" t="s">
        <v>2185</v>
      </c>
    </row>
    <row r="11365" spans="1:8">
      <c r="A11365" s="34">
        <v>2084053402</v>
      </c>
      <c r="B11365" s="35" t="s">
        <v>462</v>
      </c>
      <c r="C11365" s="35" t="s">
        <v>2016</v>
      </c>
      <c r="D11365" s="35" t="s">
        <v>2172</v>
      </c>
      <c r="E11365" s="35" t="s">
        <v>1583</v>
      </c>
      <c r="F11365" s="35" t="s">
        <v>396</v>
      </c>
      <c r="G11365" s="35" t="s">
        <v>2180</v>
      </c>
    </row>
    <row r="11366" spans="1:8">
      <c r="A11366" s="34">
        <v>2084053403</v>
      </c>
      <c r="B11366" s="35" t="s">
        <v>462</v>
      </c>
      <c r="C11366" s="35" t="s">
        <v>2016</v>
      </c>
      <c r="D11366" s="35" t="s">
        <v>2172</v>
      </c>
      <c r="E11366" s="35" t="s">
        <v>1583</v>
      </c>
      <c r="F11366" s="35" t="s">
        <v>396</v>
      </c>
      <c r="G11366" s="35" t="s">
        <v>2186</v>
      </c>
    </row>
    <row r="11367" spans="1:8">
      <c r="A11367" s="34">
        <v>2084053641</v>
      </c>
      <c r="B11367" s="35" t="s">
        <v>462</v>
      </c>
      <c r="C11367" s="35" t="s">
        <v>2016</v>
      </c>
      <c r="D11367" s="35" t="s">
        <v>2172</v>
      </c>
      <c r="E11367" s="35" t="s">
        <v>2123</v>
      </c>
      <c r="F11367" s="35" t="s">
        <v>2025</v>
      </c>
      <c r="G11367" s="35" t="s">
        <v>2185</v>
      </c>
    </row>
    <row r="11368" spans="1:8">
      <c r="A11368" s="34">
        <v>2084053642</v>
      </c>
      <c r="B11368" s="35" t="s">
        <v>462</v>
      </c>
      <c r="C11368" s="35" t="s">
        <v>2016</v>
      </c>
      <c r="D11368" s="35" t="s">
        <v>2172</v>
      </c>
      <c r="E11368" s="35" t="s">
        <v>2123</v>
      </c>
      <c r="F11368" s="35" t="s">
        <v>2025</v>
      </c>
      <c r="G11368" s="35" t="s">
        <v>2180</v>
      </c>
    </row>
    <row r="11369" spans="1:8">
      <c r="A11369" s="34">
        <v>2084053643</v>
      </c>
      <c r="B11369" s="35" t="s">
        <v>462</v>
      </c>
      <c r="C11369" s="35" t="s">
        <v>2016</v>
      </c>
      <c r="D11369" s="35" t="s">
        <v>2172</v>
      </c>
      <c r="E11369" s="35" t="s">
        <v>2123</v>
      </c>
      <c r="F11369" s="35" t="s">
        <v>2025</v>
      </c>
      <c r="G11369" s="35" t="s">
        <v>2186</v>
      </c>
    </row>
    <row r="11370" spans="1:8">
      <c r="A11370" s="34">
        <v>2084053644</v>
      </c>
      <c r="B11370" s="35" t="s">
        <v>462</v>
      </c>
      <c r="C11370" s="35" t="s">
        <v>2016</v>
      </c>
      <c r="D11370" s="35" t="s">
        <v>2172</v>
      </c>
      <c r="E11370" s="35" t="s">
        <v>2123</v>
      </c>
      <c r="F11370" s="35" t="s">
        <v>2027</v>
      </c>
      <c r="G11370" s="35" t="s">
        <v>2185</v>
      </c>
    </row>
    <row r="11371" spans="1:8">
      <c r="A11371" s="34">
        <v>2084053645</v>
      </c>
      <c r="B11371" s="35" t="s">
        <v>462</v>
      </c>
      <c r="C11371" s="35" t="s">
        <v>2016</v>
      </c>
      <c r="D11371" s="35" t="s">
        <v>2172</v>
      </c>
      <c r="E11371" s="35" t="s">
        <v>2123</v>
      </c>
      <c r="F11371" s="35" t="s">
        <v>2027</v>
      </c>
      <c r="G11371" s="35" t="s">
        <v>2180</v>
      </c>
    </row>
    <row r="11372" spans="1:8">
      <c r="A11372" s="34">
        <v>2084053646</v>
      </c>
      <c r="B11372" s="35" t="s">
        <v>462</v>
      </c>
      <c r="C11372" s="35" t="s">
        <v>2016</v>
      </c>
      <c r="D11372" s="35" t="s">
        <v>2172</v>
      </c>
      <c r="E11372" s="35" t="s">
        <v>2123</v>
      </c>
      <c r="F11372" s="35" t="s">
        <v>2027</v>
      </c>
      <c r="G11372" s="35" t="s">
        <v>2186</v>
      </c>
    </row>
    <row r="11373" spans="1:8">
      <c r="A11373" s="34">
        <v>2084053647</v>
      </c>
      <c r="B11373" s="35" t="s">
        <v>462</v>
      </c>
      <c r="C11373" s="35" t="s">
        <v>2016</v>
      </c>
      <c r="D11373" s="35" t="s">
        <v>2172</v>
      </c>
      <c r="E11373" s="35" t="s">
        <v>2123</v>
      </c>
      <c r="F11373" s="35" t="s">
        <v>396</v>
      </c>
      <c r="G11373" s="35" t="s">
        <v>2185</v>
      </c>
    </row>
    <row r="11374" spans="1:8">
      <c r="A11374" s="34">
        <v>2084053648</v>
      </c>
      <c r="B11374" s="35" t="s">
        <v>462</v>
      </c>
      <c r="C11374" s="35" t="s">
        <v>2016</v>
      </c>
      <c r="D11374" s="35" t="s">
        <v>2172</v>
      </c>
      <c r="E11374" s="35" t="s">
        <v>2123</v>
      </c>
      <c r="F11374" s="35" t="s">
        <v>396</v>
      </c>
      <c r="G11374" s="35" t="s">
        <v>2180</v>
      </c>
    </row>
    <row r="11375" spans="1:8">
      <c r="A11375" s="34">
        <v>2084053649</v>
      </c>
      <c r="B11375" s="35" t="s">
        <v>462</v>
      </c>
      <c r="C11375" s="35" t="s">
        <v>2016</v>
      </c>
      <c r="D11375" s="35" t="s">
        <v>2172</v>
      </c>
      <c r="E11375" s="35" t="s">
        <v>2123</v>
      </c>
      <c r="F11375" s="35" t="s">
        <v>396</v>
      </c>
      <c r="G11375" s="35" t="s">
        <v>2186</v>
      </c>
    </row>
    <row r="11376" spans="1:8">
      <c r="A11376" s="34">
        <v>2084052934</v>
      </c>
      <c r="B11376" s="35" t="s">
        <v>462</v>
      </c>
      <c r="C11376" s="35" t="s">
        <v>2016</v>
      </c>
      <c r="D11376" s="35" t="s">
        <v>2172</v>
      </c>
      <c r="E11376" s="35" t="s">
        <v>1665</v>
      </c>
      <c r="F11376" s="35" t="s">
        <v>2190</v>
      </c>
      <c r="G11376" s="35" t="s">
        <v>2025</v>
      </c>
      <c r="H11376" s="35" t="s">
        <v>2185</v>
      </c>
    </row>
    <row r="11377" spans="1:8">
      <c r="A11377" s="34">
        <v>2084052935</v>
      </c>
      <c r="B11377" s="35" t="s">
        <v>462</v>
      </c>
      <c r="C11377" s="35" t="s">
        <v>2016</v>
      </c>
      <c r="D11377" s="35" t="s">
        <v>2172</v>
      </c>
      <c r="E11377" s="35" t="s">
        <v>1665</v>
      </c>
      <c r="F11377" s="35" t="s">
        <v>2190</v>
      </c>
      <c r="G11377" s="35" t="s">
        <v>2025</v>
      </c>
      <c r="H11377" s="35" t="s">
        <v>2180</v>
      </c>
    </row>
    <row r="11378" spans="1:8">
      <c r="A11378" s="34">
        <v>2084052936</v>
      </c>
      <c r="B11378" s="35" t="s">
        <v>462</v>
      </c>
      <c r="C11378" s="35" t="s">
        <v>2016</v>
      </c>
      <c r="D11378" s="35" t="s">
        <v>2172</v>
      </c>
      <c r="E11378" s="35" t="s">
        <v>1665</v>
      </c>
      <c r="F11378" s="35" t="s">
        <v>2190</v>
      </c>
      <c r="G11378" s="35" t="s">
        <v>2025</v>
      </c>
      <c r="H11378" s="35" t="s">
        <v>2186</v>
      </c>
    </row>
    <row r="11379" spans="1:8">
      <c r="A11379" s="34">
        <v>2084052931</v>
      </c>
      <c r="B11379" s="35" t="s">
        <v>462</v>
      </c>
      <c r="C11379" s="35" t="s">
        <v>2016</v>
      </c>
      <c r="D11379" s="35" t="s">
        <v>2172</v>
      </c>
      <c r="E11379" s="35" t="s">
        <v>1665</v>
      </c>
      <c r="F11379" s="35" t="s">
        <v>2190</v>
      </c>
      <c r="G11379" s="35" t="s">
        <v>2027</v>
      </c>
      <c r="H11379" s="35" t="s">
        <v>2185</v>
      </c>
    </row>
    <row r="11380" spans="1:8">
      <c r="A11380" s="34">
        <v>2084052932</v>
      </c>
      <c r="B11380" s="35" t="s">
        <v>462</v>
      </c>
      <c r="C11380" s="35" t="s">
        <v>2016</v>
      </c>
      <c r="D11380" s="35" t="s">
        <v>2172</v>
      </c>
      <c r="E11380" s="35" t="s">
        <v>1665</v>
      </c>
      <c r="F11380" s="35" t="s">
        <v>2190</v>
      </c>
      <c r="G11380" s="35" t="s">
        <v>2027</v>
      </c>
      <c r="H11380" s="35" t="s">
        <v>2180</v>
      </c>
    </row>
    <row r="11381" spans="1:8">
      <c r="A11381" s="34">
        <v>2084052933</v>
      </c>
      <c r="B11381" s="35" t="s">
        <v>462</v>
      </c>
      <c r="C11381" s="35" t="s">
        <v>2016</v>
      </c>
      <c r="D11381" s="35" t="s">
        <v>2172</v>
      </c>
      <c r="E11381" s="35" t="s">
        <v>1665</v>
      </c>
      <c r="F11381" s="35" t="s">
        <v>2190</v>
      </c>
      <c r="G11381" s="35" t="s">
        <v>2027</v>
      </c>
      <c r="H11381" s="35" t="s">
        <v>2186</v>
      </c>
    </row>
    <row r="11382" spans="1:8">
      <c r="A11382" s="34">
        <v>2084052950</v>
      </c>
      <c r="B11382" s="35" t="s">
        <v>462</v>
      </c>
      <c r="C11382" s="35" t="s">
        <v>2016</v>
      </c>
      <c r="D11382" s="35" t="s">
        <v>2172</v>
      </c>
      <c r="E11382" s="35" t="s">
        <v>1665</v>
      </c>
      <c r="F11382" s="35" t="s">
        <v>2193</v>
      </c>
      <c r="G11382" s="35" t="s">
        <v>2125</v>
      </c>
      <c r="H11382" s="35" t="s">
        <v>2185</v>
      </c>
    </row>
    <row r="11383" spans="1:8">
      <c r="A11383" s="34">
        <v>2084052951</v>
      </c>
      <c r="B11383" s="35" t="s">
        <v>462</v>
      </c>
      <c r="C11383" s="35" t="s">
        <v>2016</v>
      </c>
      <c r="D11383" s="35" t="s">
        <v>2172</v>
      </c>
      <c r="E11383" s="35" t="s">
        <v>1665</v>
      </c>
      <c r="F11383" s="35" t="s">
        <v>2193</v>
      </c>
      <c r="G11383" s="35" t="s">
        <v>2125</v>
      </c>
      <c r="H11383" s="35" t="s">
        <v>2180</v>
      </c>
    </row>
    <row r="11384" spans="1:8">
      <c r="A11384" s="34">
        <v>2084052952</v>
      </c>
      <c r="B11384" s="35" t="s">
        <v>462</v>
      </c>
      <c r="C11384" s="35" t="s">
        <v>2016</v>
      </c>
      <c r="D11384" s="35" t="s">
        <v>2172</v>
      </c>
      <c r="E11384" s="35" t="s">
        <v>1665</v>
      </c>
      <c r="F11384" s="35" t="s">
        <v>2193</v>
      </c>
      <c r="G11384" s="35" t="s">
        <v>2125</v>
      </c>
      <c r="H11384" s="35" t="s">
        <v>2186</v>
      </c>
    </row>
    <row r="11385" spans="1:8">
      <c r="A11385" s="34">
        <v>2084052947</v>
      </c>
      <c r="B11385" s="35" t="s">
        <v>462</v>
      </c>
      <c r="C11385" s="35" t="s">
        <v>2016</v>
      </c>
      <c r="D11385" s="35" t="s">
        <v>2172</v>
      </c>
      <c r="E11385" s="35" t="s">
        <v>1665</v>
      </c>
      <c r="F11385" s="35" t="s">
        <v>2193</v>
      </c>
      <c r="G11385" s="35" t="s">
        <v>2194</v>
      </c>
      <c r="H11385" s="35" t="s">
        <v>2178</v>
      </c>
    </row>
    <row r="11386" spans="1:8">
      <c r="A11386" s="34">
        <v>2084052948</v>
      </c>
      <c r="B11386" s="35" t="s">
        <v>462</v>
      </c>
      <c r="C11386" s="35" t="s">
        <v>2016</v>
      </c>
      <c r="D11386" s="35" t="s">
        <v>2172</v>
      </c>
      <c r="E11386" s="35" t="s">
        <v>1665</v>
      </c>
      <c r="F11386" s="35" t="s">
        <v>2193</v>
      </c>
      <c r="G11386" s="35" t="s">
        <v>2194</v>
      </c>
      <c r="H11386" s="35" t="s">
        <v>2179</v>
      </c>
    </row>
    <row r="11387" spans="1:8">
      <c r="A11387" s="34">
        <v>2084052949</v>
      </c>
      <c r="B11387" s="35" t="s">
        <v>462</v>
      </c>
      <c r="C11387" s="35" t="s">
        <v>2016</v>
      </c>
      <c r="D11387" s="35" t="s">
        <v>2172</v>
      </c>
      <c r="E11387" s="35" t="s">
        <v>1665</v>
      </c>
      <c r="F11387" s="35" t="s">
        <v>2193</v>
      </c>
      <c r="G11387" s="35" t="s">
        <v>2194</v>
      </c>
      <c r="H11387" s="35" t="s">
        <v>2195</v>
      </c>
    </row>
    <row r="11388" spans="1:8">
      <c r="A11388" s="34">
        <v>2084007319</v>
      </c>
      <c r="B11388" s="35" t="s">
        <v>462</v>
      </c>
      <c r="C11388" s="35" t="s">
        <v>2016</v>
      </c>
      <c r="D11388" s="35" t="s">
        <v>2172</v>
      </c>
      <c r="E11388" s="35" t="s">
        <v>1665</v>
      </c>
      <c r="F11388" s="35" t="s">
        <v>2196</v>
      </c>
    </row>
    <row r="11389" spans="1:8">
      <c r="A11389" s="34">
        <v>2084052276</v>
      </c>
      <c r="B11389" s="35" t="s">
        <v>462</v>
      </c>
      <c r="C11389" s="35" t="s">
        <v>2016</v>
      </c>
      <c r="D11389" s="35" t="s">
        <v>2172</v>
      </c>
      <c r="E11389" s="35" t="s">
        <v>379</v>
      </c>
      <c r="F11389" s="35" t="s">
        <v>2197</v>
      </c>
      <c r="G11389" s="35" t="s">
        <v>2025</v>
      </c>
      <c r="H11389" s="35" t="s">
        <v>2185</v>
      </c>
    </row>
    <row r="11390" spans="1:8">
      <c r="A11390" s="34">
        <v>2084052275</v>
      </c>
      <c r="B11390" s="35" t="s">
        <v>462</v>
      </c>
      <c r="C11390" s="35" t="s">
        <v>2016</v>
      </c>
      <c r="D11390" s="35" t="s">
        <v>2172</v>
      </c>
      <c r="E11390" s="35" t="s">
        <v>379</v>
      </c>
      <c r="F11390" s="35" t="s">
        <v>2197</v>
      </c>
      <c r="G11390" s="35" t="s">
        <v>2025</v>
      </c>
      <c r="H11390" s="35" t="s">
        <v>2180</v>
      </c>
    </row>
    <row r="11391" spans="1:8">
      <c r="A11391" s="34">
        <v>2084052274</v>
      </c>
      <c r="B11391" s="35" t="s">
        <v>462</v>
      </c>
      <c r="C11391" s="35" t="s">
        <v>2016</v>
      </c>
      <c r="D11391" s="35" t="s">
        <v>2172</v>
      </c>
      <c r="E11391" s="35" t="s">
        <v>379</v>
      </c>
      <c r="F11391" s="35" t="s">
        <v>2197</v>
      </c>
      <c r="G11391" s="35" t="s">
        <v>2025</v>
      </c>
      <c r="H11391" s="35" t="s">
        <v>2186</v>
      </c>
    </row>
    <row r="11392" spans="1:8">
      <c r="A11392" s="34">
        <v>2084052271</v>
      </c>
      <c r="B11392" s="35" t="s">
        <v>462</v>
      </c>
      <c r="C11392" s="35" t="s">
        <v>2016</v>
      </c>
      <c r="D11392" s="35" t="s">
        <v>2172</v>
      </c>
      <c r="E11392" s="35" t="s">
        <v>379</v>
      </c>
      <c r="F11392" s="35" t="s">
        <v>2197</v>
      </c>
      <c r="G11392" s="35" t="s">
        <v>2027</v>
      </c>
      <c r="H11392" s="35" t="s">
        <v>2185</v>
      </c>
    </row>
    <row r="11393" spans="1:8">
      <c r="A11393" s="34">
        <v>2084052272</v>
      </c>
      <c r="B11393" s="35" t="s">
        <v>462</v>
      </c>
      <c r="C11393" s="35" t="s">
        <v>2016</v>
      </c>
      <c r="D11393" s="35" t="s">
        <v>2172</v>
      </c>
      <c r="E11393" s="35" t="s">
        <v>379</v>
      </c>
      <c r="F11393" s="35" t="s">
        <v>2197</v>
      </c>
      <c r="G11393" s="35" t="s">
        <v>2027</v>
      </c>
      <c r="H11393" s="35" t="s">
        <v>2180</v>
      </c>
    </row>
    <row r="11394" spans="1:8">
      <c r="A11394" s="34">
        <v>2084052273</v>
      </c>
      <c r="B11394" s="35" t="s">
        <v>462</v>
      </c>
      <c r="C11394" s="35" t="s">
        <v>2016</v>
      </c>
      <c r="D11394" s="35" t="s">
        <v>2172</v>
      </c>
      <c r="E11394" s="35" t="s">
        <v>379</v>
      </c>
      <c r="F11394" s="35" t="s">
        <v>2197</v>
      </c>
      <c r="G11394" s="35" t="s">
        <v>2027</v>
      </c>
      <c r="H11394" s="35" t="s">
        <v>2186</v>
      </c>
    </row>
    <row r="11395" spans="1:8">
      <c r="A11395" s="34">
        <v>2084053391</v>
      </c>
      <c r="B11395" s="35" t="s">
        <v>462</v>
      </c>
      <c r="C11395" s="35" t="s">
        <v>2016</v>
      </c>
      <c r="D11395" s="35" t="s">
        <v>2172</v>
      </c>
      <c r="E11395" s="35" t="s">
        <v>379</v>
      </c>
      <c r="F11395" s="35" t="s">
        <v>2197</v>
      </c>
      <c r="G11395" s="35" t="s">
        <v>396</v>
      </c>
      <c r="H11395" s="35" t="s">
        <v>2185</v>
      </c>
    </row>
    <row r="11396" spans="1:8">
      <c r="A11396" s="34">
        <v>2084053392</v>
      </c>
      <c r="B11396" s="35" t="s">
        <v>462</v>
      </c>
      <c r="C11396" s="35" t="s">
        <v>2016</v>
      </c>
      <c r="D11396" s="35" t="s">
        <v>2172</v>
      </c>
      <c r="E11396" s="35" t="s">
        <v>379</v>
      </c>
      <c r="F11396" s="35" t="s">
        <v>2197</v>
      </c>
      <c r="G11396" s="35" t="s">
        <v>396</v>
      </c>
      <c r="H11396" s="35" t="s">
        <v>2180</v>
      </c>
    </row>
    <row r="11397" spans="1:8">
      <c r="A11397" s="34">
        <v>2084053393</v>
      </c>
      <c r="B11397" s="35" t="s">
        <v>462</v>
      </c>
      <c r="C11397" s="35" t="s">
        <v>2016</v>
      </c>
      <c r="D11397" s="35" t="s">
        <v>2172</v>
      </c>
      <c r="E11397" s="35" t="s">
        <v>379</v>
      </c>
      <c r="F11397" s="35" t="s">
        <v>2197</v>
      </c>
      <c r="G11397" s="35" t="s">
        <v>396</v>
      </c>
      <c r="H11397" s="35" t="s">
        <v>2186</v>
      </c>
    </row>
    <row r="11398" spans="1:8">
      <c r="A11398" s="34">
        <v>2084052290</v>
      </c>
      <c r="B11398" s="35" t="s">
        <v>462</v>
      </c>
      <c r="C11398" s="35" t="s">
        <v>2016</v>
      </c>
      <c r="D11398" s="35" t="s">
        <v>2172</v>
      </c>
      <c r="E11398" s="35" t="s">
        <v>379</v>
      </c>
      <c r="F11398" s="35" t="s">
        <v>2118</v>
      </c>
      <c r="G11398" s="35" t="s">
        <v>2025</v>
      </c>
      <c r="H11398" s="35" t="s">
        <v>2185</v>
      </c>
    </row>
    <row r="11399" spans="1:8">
      <c r="A11399" s="34">
        <v>2084052288</v>
      </c>
      <c r="B11399" s="35" t="s">
        <v>462</v>
      </c>
      <c r="C11399" s="35" t="s">
        <v>2016</v>
      </c>
      <c r="D11399" s="35" t="s">
        <v>2172</v>
      </c>
      <c r="E11399" s="35" t="s">
        <v>379</v>
      </c>
      <c r="F11399" s="35" t="s">
        <v>2118</v>
      </c>
      <c r="G11399" s="35" t="s">
        <v>2025</v>
      </c>
      <c r="H11399" s="35" t="s">
        <v>2180</v>
      </c>
    </row>
    <row r="11400" spans="1:8">
      <c r="A11400" s="34">
        <v>2084052286</v>
      </c>
      <c r="B11400" s="35" t="s">
        <v>462</v>
      </c>
      <c r="C11400" s="35" t="s">
        <v>2016</v>
      </c>
      <c r="D11400" s="35" t="s">
        <v>2172</v>
      </c>
      <c r="E11400" s="35" t="s">
        <v>379</v>
      </c>
      <c r="F11400" s="35" t="s">
        <v>2118</v>
      </c>
      <c r="G11400" s="35" t="s">
        <v>2025</v>
      </c>
      <c r="H11400" s="35" t="s">
        <v>2186</v>
      </c>
    </row>
    <row r="11401" spans="1:8">
      <c r="A11401" s="34">
        <v>2084052279</v>
      </c>
      <c r="B11401" s="35" t="s">
        <v>462</v>
      </c>
      <c r="C11401" s="35" t="s">
        <v>2016</v>
      </c>
      <c r="D11401" s="35" t="s">
        <v>2172</v>
      </c>
      <c r="E11401" s="35" t="s">
        <v>379</v>
      </c>
      <c r="F11401" s="35" t="s">
        <v>2118</v>
      </c>
      <c r="G11401" s="35" t="s">
        <v>2027</v>
      </c>
      <c r="H11401" s="35" t="s">
        <v>2185</v>
      </c>
    </row>
    <row r="11402" spans="1:8">
      <c r="A11402" s="34">
        <v>2084052281</v>
      </c>
      <c r="B11402" s="35" t="s">
        <v>462</v>
      </c>
      <c r="C11402" s="35" t="s">
        <v>2016</v>
      </c>
      <c r="D11402" s="35" t="s">
        <v>2172</v>
      </c>
      <c r="E11402" s="35" t="s">
        <v>379</v>
      </c>
      <c r="F11402" s="35" t="s">
        <v>2118</v>
      </c>
      <c r="G11402" s="35" t="s">
        <v>2027</v>
      </c>
      <c r="H11402" s="35" t="s">
        <v>2180</v>
      </c>
    </row>
    <row r="11403" spans="1:8">
      <c r="A11403" s="34">
        <v>2084052283</v>
      </c>
      <c r="B11403" s="35" t="s">
        <v>462</v>
      </c>
      <c r="C11403" s="35" t="s">
        <v>2016</v>
      </c>
      <c r="D11403" s="35" t="s">
        <v>2172</v>
      </c>
      <c r="E11403" s="35" t="s">
        <v>379</v>
      </c>
      <c r="F11403" s="35" t="s">
        <v>2118</v>
      </c>
      <c r="G11403" s="35" t="s">
        <v>2027</v>
      </c>
      <c r="H11403" s="35" t="s">
        <v>2186</v>
      </c>
    </row>
    <row r="11404" spans="1:8">
      <c r="A11404" s="34">
        <v>2084053528</v>
      </c>
      <c r="B11404" s="35" t="s">
        <v>462</v>
      </c>
      <c r="C11404" s="35" t="s">
        <v>2016</v>
      </c>
      <c r="D11404" s="35" t="s">
        <v>2172</v>
      </c>
      <c r="E11404" s="35" t="s">
        <v>379</v>
      </c>
      <c r="F11404" s="35" t="s">
        <v>2118</v>
      </c>
      <c r="G11404" s="35" t="s">
        <v>396</v>
      </c>
      <c r="H11404" s="35" t="s">
        <v>2185</v>
      </c>
    </row>
    <row r="11405" spans="1:8">
      <c r="A11405" s="34">
        <v>2084053529</v>
      </c>
      <c r="B11405" s="35" t="s">
        <v>462</v>
      </c>
      <c r="C11405" s="35" t="s">
        <v>2016</v>
      </c>
      <c r="D11405" s="35" t="s">
        <v>2172</v>
      </c>
      <c r="E11405" s="35" t="s">
        <v>379</v>
      </c>
      <c r="F11405" s="35" t="s">
        <v>2118</v>
      </c>
      <c r="G11405" s="35" t="s">
        <v>396</v>
      </c>
      <c r="H11405" s="35" t="s">
        <v>2180</v>
      </c>
    </row>
    <row r="11406" spans="1:8">
      <c r="A11406" s="34">
        <v>2084053530</v>
      </c>
      <c r="B11406" s="35" t="s">
        <v>462</v>
      </c>
      <c r="C11406" s="35" t="s">
        <v>2016</v>
      </c>
      <c r="D11406" s="35" t="s">
        <v>2172</v>
      </c>
      <c r="E11406" s="35" t="s">
        <v>379</v>
      </c>
      <c r="F11406" s="35" t="s">
        <v>2118</v>
      </c>
      <c r="G11406" s="35" t="s">
        <v>396</v>
      </c>
      <c r="H11406" s="35" t="s">
        <v>2186</v>
      </c>
    </row>
    <row r="11407" spans="1:8">
      <c r="A11407" s="34">
        <v>2084052551</v>
      </c>
      <c r="B11407" s="35" t="s">
        <v>462</v>
      </c>
      <c r="C11407" s="35" t="s">
        <v>2016</v>
      </c>
      <c r="D11407" s="35" t="s">
        <v>2172</v>
      </c>
      <c r="E11407" s="35" t="s">
        <v>379</v>
      </c>
      <c r="F11407" s="35" t="s">
        <v>1655</v>
      </c>
      <c r="G11407" s="35" t="s">
        <v>2182</v>
      </c>
    </row>
    <row r="11408" spans="1:8">
      <c r="A11408" s="34">
        <v>2084052300</v>
      </c>
      <c r="B11408" s="35" t="s">
        <v>462</v>
      </c>
      <c r="C11408" s="35" t="s">
        <v>2016</v>
      </c>
      <c r="D11408" s="35" t="s">
        <v>2172</v>
      </c>
      <c r="E11408" s="35" t="s">
        <v>379</v>
      </c>
      <c r="F11408" s="35" t="s">
        <v>1652</v>
      </c>
      <c r="G11408" s="35" t="s">
        <v>2025</v>
      </c>
      <c r="H11408" s="35" t="s">
        <v>2185</v>
      </c>
    </row>
    <row r="11409" spans="1:8">
      <c r="A11409" s="34">
        <v>2084052299</v>
      </c>
      <c r="B11409" s="35" t="s">
        <v>462</v>
      </c>
      <c r="C11409" s="35" t="s">
        <v>2016</v>
      </c>
      <c r="D11409" s="35" t="s">
        <v>2172</v>
      </c>
      <c r="E11409" s="35" t="s">
        <v>379</v>
      </c>
      <c r="F11409" s="35" t="s">
        <v>1652</v>
      </c>
      <c r="G11409" s="35" t="s">
        <v>2025</v>
      </c>
      <c r="H11409" s="35" t="s">
        <v>2180</v>
      </c>
    </row>
    <row r="11410" spans="1:8">
      <c r="A11410" s="34">
        <v>2084052298</v>
      </c>
      <c r="B11410" s="35" t="s">
        <v>462</v>
      </c>
      <c r="C11410" s="35" t="s">
        <v>2016</v>
      </c>
      <c r="D11410" s="35" t="s">
        <v>2172</v>
      </c>
      <c r="E11410" s="35" t="s">
        <v>379</v>
      </c>
      <c r="F11410" s="35" t="s">
        <v>1652</v>
      </c>
      <c r="G11410" s="35" t="s">
        <v>2025</v>
      </c>
      <c r="H11410" s="35" t="s">
        <v>2186</v>
      </c>
    </row>
    <row r="11411" spans="1:8">
      <c r="A11411" s="34">
        <v>2084052295</v>
      </c>
      <c r="B11411" s="35" t="s">
        <v>462</v>
      </c>
      <c r="C11411" s="35" t="s">
        <v>2016</v>
      </c>
      <c r="D11411" s="35" t="s">
        <v>2172</v>
      </c>
      <c r="E11411" s="35" t="s">
        <v>379</v>
      </c>
      <c r="F11411" s="35" t="s">
        <v>1652</v>
      </c>
      <c r="G11411" s="35" t="s">
        <v>2027</v>
      </c>
      <c r="H11411" s="35" t="s">
        <v>2185</v>
      </c>
    </row>
    <row r="11412" spans="1:8">
      <c r="A11412" s="34">
        <v>2084052296</v>
      </c>
      <c r="B11412" s="35" t="s">
        <v>462</v>
      </c>
      <c r="C11412" s="35" t="s">
        <v>2016</v>
      </c>
      <c r="D11412" s="35" t="s">
        <v>2172</v>
      </c>
      <c r="E11412" s="35" t="s">
        <v>379</v>
      </c>
      <c r="F11412" s="35" t="s">
        <v>1652</v>
      </c>
      <c r="G11412" s="35" t="s">
        <v>2027</v>
      </c>
      <c r="H11412" s="35" t="s">
        <v>2180</v>
      </c>
    </row>
    <row r="11413" spans="1:8">
      <c r="A11413" s="34">
        <v>2084052297</v>
      </c>
      <c r="B11413" s="35" t="s">
        <v>462</v>
      </c>
      <c r="C11413" s="35" t="s">
        <v>2016</v>
      </c>
      <c r="D11413" s="35" t="s">
        <v>2172</v>
      </c>
      <c r="E11413" s="35" t="s">
        <v>379</v>
      </c>
      <c r="F11413" s="35" t="s">
        <v>1652</v>
      </c>
      <c r="G11413" s="35" t="s">
        <v>2027</v>
      </c>
      <c r="H11413" s="35" t="s">
        <v>2186</v>
      </c>
    </row>
    <row r="11414" spans="1:8">
      <c r="A11414" s="34">
        <v>2084053396</v>
      </c>
      <c r="B11414" s="35" t="s">
        <v>462</v>
      </c>
      <c r="C11414" s="35" t="s">
        <v>2016</v>
      </c>
      <c r="D11414" s="35" t="s">
        <v>2172</v>
      </c>
      <c r="E11414" s="35" t="s">
        <v>379</v>
      </c>
      <c r="F11414" s="35" t="s">
        <v>1652</v>
      </c>
      <c r="G11414" s="35" t="s">
        <v>396</v>
      </c>
      <c r="H11414" s="35" t="s">
        <v>2185</v>
      </c>
    </row>
    <row r="11415" spans="1:8">
      <c r="A11415" s="34">
        <v>2084053397</v>
      </c>
      <c r="B11415" s="35" t="s">
        <v>462</v>
      </c>
      <c r="C11415" s="35" t="s">
        <v>2016</v>
      </c>
      <c r="D11415" s="35" t="s">
        <v>2172</v>
      </c>
      <c r="E11415" s="35" t="s">
        <v>379</v>
      </c>
      <c r="F11415" s="35" t="s">
        <v>1652</v>
      </c>
      <c r="G11415" s="35" t="s">
        <v>396</v>
      </c>
      <c r="H11415" s="35" t="s">
        <v>2180</v>
      </c>
    </row>
    <row r="11416" spans="1:8">
      <c r="A11416" s="34">
        <v>2084053398</v>
      </c>
      <c r="B11416" s="35" t="s">
        <v>462</v>
      </c>
      <c r="C11416" s="35" t="s">
        <v>2016</v>
      </c>
      <c r="D11416" s="35" t="s">
        <v>2172</v>
      </c>
      <c r="E11416" s="35" t="s">
        <v>379</v>
      </c>
      <c r="F11416" s="35" t="s">
        <v>1652</v>
      </c>
      <c r="G11416" s="35" t="s">
        <v>396</v>
      </c>
      <c r="H11416" s="35" t="s">
        <v>2186</v>
      </c>
    </row>
    <row r="11417" spans="1:8">
      <c r="A11417" s="34">
        <v>2084052399</v>
      </c>
      <c r="B11417" s="35" t="s">
        <v>462</v>
      </c>
      <c r="C11417" s="35" t="s">
        <v>2016</v>
      </c>
      <c r="D11417" s="35" t="s">
        <v>2172</v>
      </c>
      <c r="E11417" s="35" t="s">
        <v>379</v>
      </c>
      <c r="F11417" s="35" t="s">
        <v>557</v>
      </c>
      <c r="G11417" s="35" t="s">
        <v>2025</v>
      </c>
      <c r="H11417" s="35" t="s">
        <v>2185</v>
      </c>
    </row>
    <row r="11418" spans="1:8">
      <c r="A11418" s="34">
        <v>2084052398</v>
      </c>
      <c r="B11418" s="35" t="s">
        <v>462</v>
      </c>
      <c r="C11418" s="35" t="s">
        <v>2016</v>
      </c>
      <c r="D11418" s="35" t="s">
        <v>2172</v>
      </c>
      <c r="E11418" s="35" t="s">
        <v>379</v>
      </c>
      <c r="F11418" s="35" t="s">
        <v>557</v>
      </c>
      <c r="G11418" s="35" t="s">
        <v>2025</v>
      </c>
      <c r="H11418" s="35" t="s">
        <v>2180</v>
      </c>
    </row>
    <row r="11419" spans="1:8">
      <c r="A11419" s="34">
        <v>2084052397</v>
      </c>
      <c r="B11419" s="35" t="s">
        <v>462</v>
      </c>
      <c r="C11419" s="35" t="s">
        <v>2016</v>
      </c>
      <c r="D11419" s="35" t="s">
        <v>2172</v>
      </c>
      <c r="E11419" s="35" t="s">
        <v>379</v>
      </c>
      <c r="F11419" s="35" t="s">
        <v>557</v>
      </c>
      <c r="G11419" s="35" t="s">
        <v>2025</v>
      </c>
      <c r="H11419" s="35" t="s">
        <v>2186</v>
      </c>
    </row>
    <row r="11420" spans="1:8">
      <c r="A11420" s="34">
        <v>2084052394</v>
      </c>
      <c r="B11420" s="35" t="s">
        <v>462</v>
      </c>
      <c r="C11420" s="35" t="s">
        <v>2016</v>
      </c>
      <c r="D11420" s="35" t="s">
        <v>2172</v>
      </c>
      <c r="E11420" s="35" t="s">
        <v>379</v>
      </c>
      <c r="F11420" s="35" t="s">
        <v>557</v>
      </c>
      <c r="G11420" s="35" t="s">
        <v>2027</v>
      </c>
      <c r="H11420" s="35" t="s">
        <v>2185</v>
      </c>
    </row>
    <row r="11421" spans="1:8">
      <c r="A11421" s="34">
        <v>2084052395</v>
      </c>
      <c r="B11421" s="35" t="s">
        <v>462</v>
      </c>
      <c r="C11421" s="35" t="s">
        <v>2016</v>
      </c>
      <c r="D11421" s="35" t="s">
        <v>2172</v>
      </c>
      <c r="E11421" s="35" t="s">
        <v>379</v>
      </c>
      <c r="F11421" s="35" t="s">
        <v>557</v>
      </c>
      <c r="G11421" s="35" t="s">
        <v>2027</v>
      </c>
      <c r="H11421" s="35" t="s">
        <v>2180</v>
      </c>
    </row>
    <row r="11422" spans="1:8">
      <c r="A11422" s="34">
        <v>2084052396</v>
      </c>
      <c r="B11422" s="35" t="s">
        <v>462</v>
      </c>
      <c r="C11422" s="35" t="s">
        <v>2016</v>
      </c>
      <c r="D11422" s="35" t="s">
        <v>2172</v>
      </c>
      <c r="E11422" s="35" t="s">
        <v>379</v>
      </c>
      <c r="F11422" s="35" t="s">
        <v>557</v>
      </c>
      <c r="G11422" s="35" t="s">
        <v>2027</v>
      </c>
      <c r="H11422" s="35" t="s">
        <v>2186</v>
      </c>
    </row>
    <row r="11423" spans="1:8">
      <c r="A11423" s="34">
        <v>2084053533</v>
      </c>
      <c r="B11423" s="35" t="s">
        <v>462</v>
      </c>
      <c r="C11423" s="35" t="s">
        <v>2016</v>
      </c>
      <c r="D11423" s="35" t="s">
        <v>2172</v>
      </c>
      <c r="E11423" s="35" t="s">
        <v>379</v>
      </c>
      <c r="F11423" s="35" t="s">
        <v>557</v>
      </c>
      <c r="G11423" s="35" t="s">
        <v>396</v>
      </c>
      <c r="H11423" s="35" t="s">
        <v>2185</v>
      </c>
    </row>
    <row r="11424" spans="1:8">
      <c r="A11424" s="34">
        <v>2084053534</v>
      </c>
      <c r="B11424" s="35" t="s">
        <v>462</v>
      </c>
      <c r="C11424" s="35" t="s">
        <v>2016</v>
      </c>
      <c r="D11424" s="35" t="s">
        <v>2172</v>
      </c>
      <c r="E11424" s="35" t="s">
        <v>379</v>
      </c>
      <c r="F11424" s="35" t="s">
        <v>557</v>
      </c>
      <c r="G11424" s="35" t="s">
        <v>396</v>
      </c>
      <c r="H11424" s="35" t="s">
        <v>2180</v>
      </c>
    </row>
    <row r="11425" spans="1:8">
      <c r="A11425" s="34">
        <v>2084053535</v>
      </c>
      <c r="B11425" s="35" t="s">
        <v>462</v>
      </c>
      <c r="C11425" s="35" t="s">
        <v>2016</v>
      </c>
      <c r="D11425" s="35" t="s">
        <v>2172</v>
      </c>
      <c r="E11425" s="35" t="s">
        <v>379</v>
      </c>
      <c r="F11425" s="35" t="s">
        <v>557</v>
      </c>
      <c r="G11425" s="35" t="s">
        <v>396</v>
      </c>
      <c r="H11425" s="35" t="s">
        <v>2186</v>
      </c>
    </row>
    <row r="11426" spans="1:8">
      <c r="A11426" s="34">
        <v>2084052382</v>
      </c>
      <c r="B11426" s="35" t="s">
        <v>462</v>
      </c>
      <c r="C11426" s="35" t="s">
        <v>2016</v>
      </c>
      <c r="D11426" s="35" t="s">
        <v>2172</v>
      </c>
      <c r="E11426" s="35" t="s">
        <v>379</v>
      </c>
      <c r="F11426" s="35" t="s">
        <v>1622</v>
      </c>
      <c r="G11426" s="35" t="s">
        <v>2198</v>
      </c>
      <c r="H11426" s="35" t="s">
        <v>2185</v>
      </c>
    </row>
    <row r="11427" spans="1:8">
      <c r="A11427" s="34">
        <v>2084052381</v>
      </c>
      <c r="B11427" s="35" t="s">
        <v>462</v>
      </c>
      <c r="C11427" s="35" t="s">
        <v>2016</v>
      </c>
      <c r="D11427" s="35" t="s">
        <v>2172</v>
      </c>
      <c r="E11427" s="35" t="s">
        <v>379</v>
      </c>
      <c r="F11427" s="35" t="s">
        <v>1622</v>
      </c>
      <c r="G11427" s="35" t="s">
        <v>2198</v>
      </c>
      <c r="H11427" s="35" t="s">
        <v>2180</v>
      </c>
    </row>
    <row r="11428" spans="1:8">
      <c r="A11428" s="34">
        <v>2084052380</v>
      </c>
      <c r="B11428" s="35" t="s">
        <v>462</v>
      </c>
      <c r="C11428" s="35" t="s">
        <v>2016</v>
      </c>
      <c r="D11428" s="35" t="s">
        <v>2172</v>
      </c>
      <c r="E11428" s="35" t="s">
        <v>379</v>
      </c>
      <c r="F11428" s="35" t="s">
        <v>1622</v>
      </c>
      <c r="G11428" s="35" t="s">
        <v>2198</v>
      </c>
      <c r="H11428" s="35" t="s">
        <v>2186</v>
      </c>
    </row>
    <row r="11429" spans="1:8">
      <c r="A11429" s="34">
        <v>2084052377</v>
      </c>
      <c r="B11429" s="35" t="s">
        <v>462</v>
      </c>
      <c r="C11429" s="35" t="s">
        <v>2016</v>
      </c>
      <c r="D11429" s="35" t="s">
        <v>2172</v>
      </c>
      <c r="E11429" s="35" t="s">
        <v>379</v>
      </c>
      <c r="F11429" s="35" t="s">
        <v>1622</v>
      </c>
      <c r="G11429" s="35" t="s">
        <v>2113</v>
      </c>
      <c r="H11429" s="35" t="s">
        <v>2185</v>
      </c>
    </row>
    <row r="11430" spans="1:8">
      <c r="A11430" s="34">
        <v>2084052378</v>
      </c>
      <c r="B11430" s="35" t="s">
        <v>462</v>
      </c>
      <c r="C11430" s="35" t="s">
        <v>2016</v>
      </c>
      <c r="D11430" s="35" t="s">
        <v>2172</v>
      </c>
      <c r="E11430" s="35" t="s">
        <v>379</v>
      </c>
      <c r="F11430" s="35" t="s">
        <v>1622</v>
      </c>
      <c r="G11430" s="35" t="s">
        <v>2113</v>
      </c>
      <c r="H11430" s="35" t="s">
        <v>2180</v>
      </c>
    </row>
    <row r="11431" spans="1:8">
      <c r="A11431" s="34">
        <v>2084052379</v>
      </c>
      <c r="B11431" s="35" t="s">
        <v>462</v>
      </c>
      <c r="C11431" s="35" t="s">
        <v>2016</v>
      </c>
      <c r="D11431" s="35" t="s">
        <v>2172</v>
      </c>
      <c r="E11431" s="35" t="s">
        <v>379</v>
      </c>
      <c r="F11431" s="35" t="s">
        <v>1622</v>
      </c>
      <c r="G11431" s="35" t="s">
        <v>2113</v>
      </c>
      <c r="H11431" s="35" t="s">
        <v>2186</v>
      </c>
    </row>
    <row r="11432" spans="1:8">
      <c r="A11432" s="34">
        <v>2084052390</v>
      </c>
      <c r="B11432" s="35" t="s">
        <v>462</v>
      </c>
      <c r="C11432" s="35" t="s">
        <v>2016</v>
      </c>
      <c r="D11432" s="35" t="s">
        <v>2172</v>
      </c>
      <c r="E11432" s="35" t="s">
        <v>379</v>
      </c>
      <c r="F11432" s="35" t="s">
        <v>2117</v>
      </c>
      <c r="G11432" s="35" t="s">
        <v>2025</v>
      </c>
      <c r="H11432" s="35" t="s">
        <v>2185</v>
      </c>
    </row>
    <row r="11433" spans="1:8">
      <c r="A11433" s="34">
        <v>2084052389</v>
      </c>
      <c r="B11433" s="35" t="s">
        <v>462</v>
      </c>
      <c r="C11433" s="35" t="s">
        <v>2016</v>
      </c>
      <c r="D11433" s="35" t="s">
        <v>2172</v>
      </c>
      <c r="E11433" s="35" t="s">
        <v>379</v>
      </c>
      <c r="F11433" s="35" t="s">
        <v>2117</v>
      </c>
      <c r="G11433" s="35" t="s">
        <v>2025</v>
      </c>
      <c r="H11433" s="35" t="s">
        <v>2180</v>
      </c>
    </row>
    <row r="11434" spans="1:8">
      <c r="A11434" s="34">
        <v>2084052388</v>
      </c>
      <c r="B11434" s="35" t="s">
        <v>462</v>
      </c>
      <c r="C11434" s="35" t="s">
        <v>2016</v>
      </c>
      <c r="D11434" s="35" t="s">
        <v>2172</v>
      </c>
      <c r="E11434" s="35" t="s">
        <v>379</v>
      </c>
      <c r="F11434" s="35" t="s">
        <v>2117</v>
      </c>
      <c r="G11434" s="35" t="s">
        <v>2025</v>
      </c>
      <c r="H11434" s="35" t="s">
        <v>2186</v>
      </c>
    </row>
    <row r="11435" spans="1:8">
      <c r="A11435" s="34">
        <v>2084052385</v>
      </c>
      <c r="B11435" s="35" t="s">
        <v>462</v>
      </c>
      <c r="C11435" s="35" t="s">
        <v>2016</v>
      </c>
      <c r="D11435" s="35" t="s">
        <v>2172</v>
      </c>
      <c r="E11435" s="35" t="s">
        <v>379</v>
      </c>
      <c r="F11435" s="35" t="s">
        <v>2117</v>
      </c>
      <c r="G11435" s="35" t="s">
        <v>2027</v>
      </c>
      <c r="H11435" s="35" t="s">
        <v>2185</v>
      </c>
    </row>
    <row r="11436" spans="1:8">
      <c r="A11436" s="34">
        <v>2084052386</v>
      </c>
      <c r="B11436" s="35" t="s">
        <v>462</v>
      </c>
      <c r="C11436" s="35" t="s">
        <v>2016</v>
      </c>
      <c r="D11436" s="35" t="s">
        <v>2172</v>
      </c>
      <c r="E11436" s="35" t="s">
        <v>379</v>
      </c>
      <c r="F11436" s="35" t="s">
        <v>2117</v>
      </c>
      <c r="G11436" s="35" t="s">
        <v>2027</v>
      </c>
      <c r="H11436" s="35" t="s">
        <v>2180</v>
      </c>
    </row>
    <row r="11437" spans="1:8">
      <c r="A11437" s="34">
        <v>2084052387</v>
      </c>
      <c r="B11437" s="35" t="s">
        <v>462</v>
      </c>
      <c r="C11437" s="35" t="s">
        <v>2016</v>
      </c>
      <c r="D11437" s="35" t="s">
        <v>2172</v>
      </c>
      <c r="E11437" s="35" t="s">
        <v>379</v>
      </c>
      <c r="F11437" s="35" t="s">
        <v>2117</v>
      </c>
      <c r="G11437" s="35" t="s">
        <v>2027</v>
      </c>
      <c r="H11437" s="35" t="s">
        <v>2186</v>
      </c>
    </row>
    <row r="11438" spans="1:8">
      <c r="A11438" s="34">
        <v>2084052504</v>
      </c>
      <c r="B11438" s="35" t="s">
        <v>462</v>
      </c>
      <c r="C11438" s="35" t="s">
        <v>2016</v>
      </c>
      <c r="D11438" s="35" t="s">
        <v>2172</v>
      </c>
      <c r="E11438" s="35" t="s">
        <v>379</v>
      </c>
      <c r="F11438" s="35" t="s">
        <v>1657</v>
      </c>
      <c r="G11438" s="35" t="s">
        <v>2025</v>
      </c>
      <c r="H11438" s="35" t="s">
        <v>2182</v>
      </c>
    </row>
    <row r="11439" spans="1:8">
      <c r="A11439" s="34">
        <v>2084052495</v>
      </c>
      <c r="B11439" s="35" t="s">
        <v>462</v>
      </c>
      <c r="C11439" s="35" t="s">
        <v>2016</v>
      </c>
      <c r="D11439" s="35" t="s">
        <v>2172</v>
      </c>
      <c r="E11439" s="35" t="s">
        <v>379</v>
      </c>
      <c r="F11439" s="35" t="s">
        <v>1657</v>
      </c>
      <c r="G11439" s="35" t="s">
        <v>2027</v>
      </c>
      <c r="H11439" s="35" t="s">
        <v>2182</v>
      </c>
    </row>
    <row r="11440" spans="1:8">
      <c r="A11440" s="34">
        <v>2084052488</v>
      </c>
      <c r="B11440" s="35" t="s">
        <v>462</v>
      </c>
      <c r="C11440" s="35" t="s">
        <v>2016</v>
      </c>
      <c r="D11440" s="35" t="s">
        <v>2172</v>
      </c>
      <c r="E11440" s="35" t="s">
        <v>379</v>
      </c>
      <c r="F11440" s="35" t="s">
        <v>2126</v>
      </c>
      <c r="G11440" s="35" t="s">
        <v>2178</v>
      </c>
    </row>
    <row r="11441" spans="1:7">
      <c r="A11441" s="34">
        <v>2084052489</v>
      </c>
      <c r="B11441" s="35" t="s">
        <v>462</v>
      </c>
      <c r="C11441" s="35" t="s">
        <v>2016</v>
      </c>
      <c r="D11441" s="35" t="s">
        <v>2172</v>
      </c>
      <c r="E11441" s="35" t="s">
        <v>379</v>
      </c>
      <c r="F11441" s="35" t="s">
        <v>2126</v>
      </c>
      <c r="G11441" s="35" t="s">
        <v>2179</v>
      </c>
    </row>
    <row r="11442" spans="1:7">
      <c r="A11442" s="34">
        <v>2084052490</v>
      </c>
      <c r="B11442" s="35" t="s">
        <v>462</v>
      </c>
      <c r="C11442" s="35" t="s">
        <v>2016</v>
      </c>
      <c r="D11442" s="35" t="s">
        <v>2172</v>
      </c>
      <c r="E11442" s="35" t="s">
        <v>379</v>
      </c>
      <c r="F11442" s="35" t="s">
        <v>2126</v>
      </c>
      <c r="G11442" s="35" t="s">
        <v>2180</v>
      </c>
    </row>
    <row r="11443" spans="1:7">
      <c r="A11443" s="34">
        <v>2084052491</v>
      </c>
      <c r="B11443" s="35" t="s">
        <v>462</v>
      </c>
      <c r="C11443" s="35" t="s">
        <v>2016</v>
      </c>
      <c r="D11443" s="35" t="s">
        <v>2172</v>
      </c>
      <c r="E11443" s="35" t="s">
        <v>379</v>
      </c>
      <c r="F11443" s="35" t="s">
        <v>2126</v>
      </c>
      <c r="G11443" s="35" t="s">
        <v>2181</v>
      </c>
    </row>
    <row r="11444" spans="1:7">
      <c r="A11444" s="34">
        <v>2084042011</v>
      </c>
      <c r="B11444" s="35" t="s">
        <v>462</v>
      </c>
      <c r="C11444" s="35" t="s">
        <v>2016</v>
      </c>
      <c r="D11444" s="35" t="s">
        <v>2172</v>
      </c>
      <c r="E11444" s="35" t="s">
        <v>379</v>
      </c>
      <c r="F11444" s="35" t="s">
        <v>335</v>
      </c>
    </row>
    <row r="11445" spans="1:7">
      <c r="A11445" s="34">
        <v>2084053619</v>
      </c>
      <c r="B11445" s="35" t="s">
        <v>462</v>
      </c>
      <c r="C11445" s="35" t="s">
        <v>2016</v>
      </c>
      <c r="D11445" s="35" t="s">
        <v>2172</v>
      </c>
      <c r="E11445" s="35" t="s">
        <v>530</v>
      </c>
      <c r="F11445" s="35" t="s">
        <v>2185</v>
      </c>
    </row>
    <row r="11446" spans="1:7">
      <c r="A11446" s="34">
        <v>2084053620</v>
      </c>
      <c r="B11446" s="35" t="s">
        <v>462</v>
      </c>
      <c r="C11446" s="35" t="s">
        <v>2016</v>
      </c>
      <c r="D11446" s="35" t="s">
        <v>2172</v>
      </c>
      <c r="E11446" s="35" t="s">
        <v>530</v>
      </c>
      <c r="F11446" s="35" t="s">
        <v>2180</v>
      </c>
    </row>
    <row r="11447" spans="1:7">
      <c r="A11447" s="34">
        <v>2084053621</v>
      </c>
      <c r="B11447" s="35" t="s">
        <v>462</v>
      </c>
      <c r="C11447" s="35" t="s">
        <v>2016</v>
      </c>
      <c r="D11447" s="35" t="s">
        <v>2172</v>
      </c>
      <c r="E11447" s="35" t="s">
        <v>530</v>
      </c>
      <c r="F11447" s="35" t="s">
        <v>2186</v>
      </c>
    </row>
    <row r="11448" spans="1:7">
      <c r="A11448" s="34">
        <v>2084051696</v>
      </c>
      <c r="B11448" s="35" t="s">
        <v>462</v>
      </c>
      <c r="C11448" s="35" t="s">
        <v>2016</v>
      </c>
      <c r="D11448" s="35" t="s">
        <v>2172</v>
      </c>
      <c r="E11448" s="35" t="s">
        <v>2133</v>
      </c>
      <c r="F11448" s="35" t="s">
        <v>2025</v>
      </c>
      <c r="G11448" s="35" t="s">
        <v>2185</v>
      </c>
    </row>
    <row r="11449" spans="1:7">
      <c r="A11449" s="34">
        <v>2084051695</v>
      </c>
      <c r="B11449" s="35" t="s">
        <v>462</v>
      </c>
      <c r="C11449" s="35" t="s">
        <v>2016</v>
      </c>
      <c r="D11449" s="35" t="s">
        <v>2172</v>
      </c>
      <c r="E11449" s="35" t="s">
        <v>2133</v>
      </c>
      <c r="F11449" s="35" t="s">
        <v>2025</v>
      </c>
      <c r="G11449" s="35" t="s">
        <v>2180</v>
      </c>
    </row>
    <row r="11450" spans="1:7">
      <c r="A11450" s="34">
        <v>2084051694</v>
      </c>
      <c r="B11450" s="35" t="s">
        <v>462</v>
      </c>
      <c r="C11450" s="35" t="s">
        <v>2016</v>
      </c>
      <c r="D11450" s="35" t="s">
        <v>2172</v>
      </c>
      <c r="E11450" s="35" t="s">
        <v>2133</v>
      </c>
      <c r="F11450" s="35" t="s">
        <v>2025</v>
      </c>
      <c r="G11450" s="35" t="s">
        <v>2186</v>
      </c>
    </row>
    <row r="11451" spans="1:7">
      <c r="A11451" s="34">
        <v>2084051683</v>
      </c>
      <c r="B11451" s="35" t="s">
        <v>462</v>
      </c>
      <c r="C11451" s="35" t="s">
        <v>2016</v>
      </c>
      <c r="D11451" s="35" t="s">
        <v>2172</v>
      </c>
      <c r="E11451" s="35" t="s">
        <v>2133</v>
      </c>
      <c r="F11451" s="35" t="s">
        <v>2027</v>
      </c>
      <c r="G11451" s="35" t="s">
        <v>2185</v>
      </c>
    </row>
    <row r="11452" spans="1:7">
      <c r="A11452" s="34">
        <v>2084051682</v>
      </c>
      <c r="B11452" s="35" t="s">
        <v>462</v>
      </c>
      <c r="C11452" s="35" t="s">
        <v>2016</v>
      </c>
      <c r="D11452" s="35" t="s">
        <v>2172</v>
      </c>
      <c r="E11452" s="35" t="s">
        <v>2133</v>
      </c>
      <c r="F11452" s="35" t="s">
        <v>2027</v>
      </c>
      <c r="G11452" s="35" t="s">
        <v>2180</v>
      </c>
    </row>
    <row r="11453" spans="1:7">
      <c r="A11453" s="34">
        <v>2084051681</v>
      </c>
      <c r="B11453" s="35" t="s">
        <v>462</v>
      </c>
      <c r="C11453" s="35" t="s">
        <v>2016</v>
      </c>
      <c r="D11453" s="35" t="s">
        <v>2172</v>
      </c>
      <c r="E11453" s="35" t="s">
        <v>2133</v>
      </c>
      <c r="F11453" s="35" t="s">
        <v>2027</v>
      </c>
      <c r="G11453" s="35" t="s">
        <v>2186</v>
      </c>
    </row>
    <row r="11454" spans="1:7">
      <c r="A11454" s="34">
        <v>2084051719</v>
      </c>
      <c r="B11454" s="35" t="s">
        <v>462</v>
      </c>
      <c r="C11454" s="35" t="s">
        <v>2016</v>
      </c>
      <c r="D11454" s="35" t="s">
        <v>2172</v>
      </c>
      <c r="E11454" s="35" t="s">
        <v>1839</v>
      </c>
      <c r="F11454" s="35" t="s">
        <v>2025</v>
      </c>
      <c r="G11454" s="35" t="s">
        <v>2182</v>
      </c>
    </row>
    <row r="11455" spans="1:7">
      <c r="A11455" s="34">
        <v>2084051708</v>
      </c>
      <c r="B11455" s="35" t="s">
        <v>462</v>
      </c>
      <c r="C11455" s="35" t="s">
        <v>2016</v>
      </c>
      <c r="D11455" s="35" t="s">
        <v>2172</v>
      </c>
      <c r="E11455" s="35" t="s">
        <v>1839</v>
      </c>
      <c r="F11455" s="35" t="s">
        <v>2027</v>
      </c>
      <c r="G11455" s="35" t="s">
        <v>2182</v>
      </c>
    </row>
    <row r="11456" spans="1:7">
      <c r="A11456" s="34">
        <v>2084051880</v>
      </c>
      <c r="B11456" s="35" t="s">
        <v>462</v>
      </c>
      <c r="C11456" s="35" t="s">
        <v>2016</v>
      </c>
      <c r="D11456" s="35" t="s">
        <v>2172</v>
      </c>
      <c r="E11456" s="35" t="s">
        <v>1734</v>
      </c>
      <c r="F11456" s="35" t="s">
        <v>2025</v>
      </c>
      <c r="G11456" s="35" t="s">
        <v>2185</v>
      </c>
    </row>
    <row r="11457" spans="1:7">
      <c r="A11457" s="34">
        <v>2084051881</v>
      </c>
      <c r="B11457" s="35" t="s">
        <v>462</v>
      </c>
      <c r="C11457" s="35" t="s">
        <v>2016</v>
      </c>
      <c r="D11457" s="35" t="s">
        <v>2172</v>
      </c>
      <c r="E11457" s="35" t="s">
        <v>1734</v>
      </c>
      <c r="F11457" s="35" t="s">
        <v>2025</v>
      </c>
      <c r="G11457" s="35" t="s">
        <v>2180</v>
      </c>
    </row>
    <row r="11458" spans="1:7">
      <c r="A11458" s="34">
        <v>2084051882</v>
      </c>
      <c r="B11458" s="35" t="s">
        <v>462</v>
      </c>
      <c r="C11458" s="35" t="s">
        <v>2016</v>
      </c>
      <c r="D11458" s="35" t="s">
        <v>2172</v>
      </c>
      <c r="E11458" s="35" t="s">
        <v>1734</v>
      </c>
      <c r="F11458" s="35" t="s">
        <v>2025</v>
      </c>
      <c r="G11458" s="35" t="s">
        <v>2186</v>
      </c>
    </row>
    <row r="11459" spans="1:7">
      <c r="A11459" s="34">
        <v>2084051877</v>
      </c>
      <c r="B11459" s="35" t="s">
        <v>462</v>
      </c>
      <c r="C11459" s="35" t="s">
        <v>2016</v>
      </c>
      <c r="D11459" s="35" t="s">
        <v>2172</v>
      </c>
      <c r="E11459" s="35" t="s">
        <v>1734</v>
      </c>
      <c r="F11459" s="35" t="s">
        <v>2027</v>
      </c>
      <c r="G11459" s="35" t="s">
        <v>2185</v>
      </c>
    </row>
    <row r="11460" spans="1:7">
      <c r="A11460" s="34">
        <v>2084051878</v>
      </c>
      <c r="B11460" s="35" t="s">
        <v>462</v>
      </c>
      <c r="C11460" s="35" t="s">
        <v>2016</v>
      </c>
      <c r="D11460" s="35" t="s">
        <v>2172</v>
      </c>
      <c r="E11460" s="35" t="s">
        <v>1734</v>
      </c>
      <c r="F11460" s="35" t="s">
        <v>2027</v>
      </c>
      <c r="G11460" s="35" t="s">
        <v>2180</v>
      </c>
    </row>
    <row r="11461" spans="1:7">
      <c r="A11461" s="34">
        <v>2084051879</v>
      </c>
      <c r="B11461" s="35" t="s">
        <v>462</v>
      </c>
      <c r="C11461" s="35" t="s">
        <v>2016</v>
      </c>
      <c r="D11461" s="35" t="s">
        <v>2172</v>
      </c>
      <c r="E11461" s="35" t="s">
        <v>1734</v>
      </c>
      <c r="F11461" s="35" t="s">
        <v>2027</v>
      </c>
      <c r="G11461" s="35" t="s">
        <v>2186</v>
      </c>
    </row>
    <row r="11462" spans="1:7">
      <c r="A11462" s="34">
        <v>2084005312</v>
      </c>
      <c r="B11462" s="35" t="s">
        <v>462</v>
      </c>
      <c r="C11462" s="35" t="s">
        <v>2016</v>
      </c>
      <c r="D11462" s="35" t="s">
        <v>2172</v>
      </c>
      <c r="E11462" s="35" t="s">
        <v>335</v>
      </c>
    </row>
    <row r="11463" spans="1:7">
      <c r="A11463" s="34">
        <v>2084053791</v>
      </c>
      <c r="B11463" s="35" t="s">
        <v>462</v>
      </c>
      <c r="C11463" s="35" t="s">
        <v>2016</v>
      </c>
      <c r="D11463" s="35" t="s">
        <v>2199</v>
      </c>
      <c r="E11463" s="35" t="s">
        <v>1773</v>
      </c>
      <c r="F11463" s="35" t="s">
        <v>2200</v>
      </c>
    </row>
    <row r="11464" spans="1:7">
      <c r="A11464" s="34">
        <v>2084053792</v>
      </c>
      <c r="B11464" s="35" t="s">
        <v>462</v>
      </c>
      <c r="C11464" s="35" t="s">
        <v>2016</v>
      </c>
      <c r="D11464" s="35" t="s">
        <v>2199</v>
      </c>
      <c r="E11464" s="35" t="s">
        <v>1773</v>
      </c>
      <c r="F11464" s="35" t="s">
        <v>2201</v>
      </c>
    </row>
    <row r="11465" spans="1:7">
      <c r="A11465" s="34">
        <v>2084053793</v>
      </c>
      <c r="B11465" s="35" t="s">
        <v>462</v>
      </c>
      <c r="C11465" s="35" t="s">
        <v>2016</v>
      </c>
      <c r="D11465" s="35" t="s">
        <v>2199</v>
      </c>
      <c r="E11465" s="35" t="s">
        <v>1773</v>
      </c>
      <c r="F11465" s="35" t="s">
        <v>2202</v>
      </c>
    </row>
    <row r="11466" spans="1:7">
      <c r="A11466" s="34">
        <v>2084053794</v>
      </c>
      <c r="B11466" s="35" t="s">
        <v>462</v>
      </c>
      <c r="C11466" s="35" t="s">
        <v>2016</v>
      </c>
      <c r="D11466" s="35" t="s">
        <v>2199</v>
      </c>
      <c r="E11466" s="35" t="s">
        <v>1773</v>
      </c>
      <c r="F11466" s="35" t="s">
        <v>2203</v>
      </c>
    </row>
    <row r="11467" spans="1:7">
      <c r="A11467" s="34">
        <v>2084053795</v>
      </c>
      <c r="B11467" s="35" t="s">
        <v>462</v>
      </c>
      <c r="C11467" s="35" t="s">
        <v>2016</v>
      </c>
      <c r="D11467" s="35" t="s">
        <v>2199</v>
      </c>
      <c r="E11467" s="35" t="s">
        <v>1773</v>
      </c>
      <c r="F11467" s="35" t="s">
        <v>2204</v>
      </c>
    </row>
    <row r="11468" spans="1:7">
      <c r="A11468" s="34">
        <v>2084053796</v>
      </c>
      <c r="B11468" s="35" t="s">
        <v>462</v>
      </c>
      <c r="C11468" s="35" t="s">
        <v>2016</v>
      </c>
      <c r="D11468" s="35" t="s">
        <v>2199</v>
      </c>
      <c r="E11468" s="35" t="s">
        <v>1773</v>
      </c>
      <c r="F11468" s="35" t="s">
        <v>2205</v>
      </c>
    </row>
    <row r="11469" spans="1:7">
      <c r="A11469" s="34">
        <v>2084053797</v>
      </c>
      <c r="B11469" s="35" t="s">
        <v>462</v>
      </c>
      <c r="C11469" s="35" t="s">
        <v>2016</v>
      </c>
      <c r="D11469" s="35" t="s">
        <v>2199</v>
      </c>
      <c r="E11469" s="35" t="s">
        <v>1771</v>
      </c>
      <c r="F11469" s="35" t="s">
        <v>2206</v>
      </c>
    </row>
    <row r="11470" spans="1:7">
      <c r="A11470" s="34">
        <v>2084053798</v>
      </c>
      <c r="B11470" s="35" t="s">
        <v>462</v>
      </c>
      <c r="C11470" s="35" t="s">
        <v>2016</v>
      </c>
      <c r="D11470" s="35" t="s">
        <v>2199</v>
      </c>
      <c r="E11470" s="35" t="s">
        <v>1771</v>
      </c>
      <c r="F11470" s="35" t="s">
        <v>2203</v>
      </c>
    </row>
    <row r="11471" spans="1:7">
      <c r="A11471" s="34">
        <v>2084053799</v>
      </c>
      <c r="B11471" s="35" t="s">
        <v>462</v>
      </c>
      <c r="C11471" s="35" t="s">
        <v>2016</v>
      </c>
      <c r="D11471" s="35" t="s">
        <v>2199</v>
      </c>
      <c r="E11471" s="35" t="s">
        <v>1771</v>
      </c>
      <c r="F11471" s="35" t="s">
        <v>2204</v>
      </c>
    </row>
    <row r="11472" spans="1:7">
      <c r="A11472" s="34">
        <v>2084053800</v>
      </c>
      <c r="B11472" s="35" t="s">
        <v>462</v>
      </c>
      <c r="C11472" s="35" t="s">
        <v>2016</v>
      </c>
      <c r="D11472" s="35" t="s">
        <v>2199</v>
      </c>
      <c r="E11472" s="35" t="s">
        <v>1771</v>
      </c>
      <c r="F11472" s="35" t="s">
        <v>2205</v>
      </c>
    </row>
    <row r="11473" spans="1:6">
      <c r="A11473" s="34">
        <v>2084053801</v>
      </c>
      <c r="B11473" s="35" t="s">
        <v>462</v>
      </c>
      <c r="C11473" s="35" t="s">
        <v>2016</v>
      </c>
      <c r="D11473" s="35" t="s">
        <v>2199</v>
      </c>
      <c r="E11473" s="35" t="s">
        <v>2207</v>
      </c>
      <c r="F11473" s="35" t="s">
        <v>2206</v>
      </c>
    </row>
    <row r="11474" spans="1:6">
      <c r="A11474" s="34">
        <v>2084053802</v>
      </c>
      <c r="B11474" s="35" t="s">
        <v>462</v>
      </c>
      <c r="C11474" s="35" t="s">
        <v>2016</v>
      </c>
      <c r="D11474" s="35" t="s">
        <v>2199</v>
      </c>
      <c r="E11474" s="35" t="s">
        <v>2207</v>
      </c>
      <c r="F11474" s="35" t="s">
        <v>2203</v>
      </c>
    </row>
    <row r="11475" spans="1:6">
      <c r="A11475" s="34">
        <v>2084053803</v>
      </c>
      <c r="B11475" s="35" t="s">
        <v>462</v>
      </c>
      <c r="C11475" s="35" t="s">
        <v>2016</v>
      </c>
      <c r="D11475" s="35" t="s">
        <v>2199</v>
      </c>
      <c r="E11475" s="35" t="s">
        <v>2207</v>
      </c>
      <c r="F11475" s="35" t="s">
        <v>2204</v>
      </c>
    </row>
    <row r="11476" spans="1:6">
      <c r="A11476" s="34">
        <v>2084053804</v>
      </c>
      <c r="B11476" s="35" t="s">
        <v>462</v>
      </c>
      <c r="C11476" s="35" t="s">
        <v>2016</v>
      </c>
      <c r="D11476" s="35" t="s">
        <v>2199</v>
      </c>
      <c r="E11476" s="35" t="s">
        <v>2207</v>
      </c>
      <c r="F11476" s="35" t="s">
        <v>2205</v>
      </c>
    </row>
    <row r="11477" spans="1:6">
      <c r="A11477" s="34">
        <v>2084053805</v>
      </c>
      <c r="B11477" s="35" t="s">
        <v>462</v>
      </c>
      <c r="C11477" s="35" t="s">
        <v>2016</v>
      </c>
      <c r="D11477" s="35" t="s">
        <v>2199</v>
      </c>
      <c r="E11477" s="35" t="s">
        <v>2208</v>
      </c>
      <c r="F11477" s="35" t="s">
        <v>2206</v>
      </c>
    </row>
    <row r="11478" spans="1:6">
      <c r="A11478" s="34">
        <v>2084053806</v>
      </c>
      <c r="B11478" s="35" t="s">
        <v>462</v>
      </c>
      <c r="C11478" s="35" t="s">
        <v>2016</v>
      </c>
      <c r="D11478" s="35" t="s">
        <v>2199</v>
      </c>
      <c r="E11478" s="35" t="s">
        <v>2208</v>
      </c>
      <c r="F11478" s="35" t="s">
        <v>2203</v>
      </c>
    </row>
    <row r="11479" spans="1:6">
      <c r="A11479" s="34">
        <v>2084053807</v>
      </c>
      <c r="B11479" s="35" t="s">
        <v>462</v>
      </c>
      <c r="C11479" s="35" t="s">
        <v>2016</v>
      </c>
      <c r="D11479" s="35" t="s">
        <v>2199</v>
      </c>
      <c r="E11479" s="35" t="s">
        <v>2208</v>
      </c>
      <c r="F11479" s="35" t="s">
        <v>2204</v>
      </c>
    </row>
    <row r="11480" spans="1:6">
      <c r="A11480" s="34">
        <v>2084053808</v>
      </c>
      <c r="B11480" s="35" t="s">
        <v>462</v>
      </c>
      <c r="C11480" s="35" t="s">
        <v>2016</v>
      </c>
      <c r="D11480" s="35" t="s">
        <v>2199</v>
      </c>
      <c r="E11480" s="35" t="s">
        <v>2208</v>
      </c>
      <c r="F11480" s="35" t="s">
        <v>2205</v>
      </c>
    </row>
    <row r="11481" spans="1:6">
      <c r="A11481" s="34">
        <v>2084053813</v>
      </c>
      <c r="B11481" s="35" t="s">
        <v>462</v>
      </c>
      <c r="C11481" s="35" t="s">
        <v>2016</v>
      </c>
      <c r="D11481" s="35" t="s">
        <v>2199</v>
      </c>
      <c r="E11481" s="35" t="s">
        <v>2156</v>
      </c>
      <c r="F11481" s="35" t="s">
        <v>2206</v>
      </c>
    </row>
    <row r="11482" spans="1:6">
      <c r="A11482" s="34">
        <v>2084053814</v>
      </c>
      <c r="B11482" s="35" t="s">
        <v>462</v>
      </c>
      <c r="C11482" s="35" t="s">
        <v>2016</v>
      </c>
      <c r="D11482" s="35" t="s">
        <v>2199</v>
      </c>
      <c r="E11482" s="35" t="s">
        <v>2156</v>
      </c>
      <c r="F11482" s="35" t="s">
        <v>2203</v>
      </c>
    </row>
    <row r="11483" spans="1:6">
      <c r="A11483" s="34">
        <v>2084053815</v>
      </c>
      <c r="B11483" s="35" t="s">
        <v>462</v>
      </c>
      <c r="C11483" s="35" t="s">
        <v>2016</v>
      </c>
      <c r="D11483" s="35" t="s">
        <v>2199</v>
      </c>
      <c r="E11483" s="35" t="s">
        <v>2156</v>
      </c>
      <c r="F11483" s="35" t="s">
        <v>2204</v>
      </c>
    </row>
    <row r="11484" spans="1:6">
      <c r="A11484" s="34">
        <v>2084053816</v>
      </c>
      <c r="B11484" s="35" t="s">
        <v>462</v>
      </c>
      <c r="C11484" s="35" t="s">
        <v>2016</v>
      </c>
      <c r="D11484" s="35" t="s">
        <v>2199</v>
      </c>
      <c r="E11484" s="35" t="s">
        <v>2156</v>
      </c>
      <c r="F11484" s="35" t="s">
        <v>2205</v>
      </c>
    </row>
    <row r="11485" spans="1:6">
      <c r="A11485" s="34">
        <v>2084053817</v>
      </c>
      <c r="B11485" s="35" t="s">
        <v>462</v>
      </c>
      <c r="C11485" s="35" t="s">
        <v>2016</v>
      </c>
      <c r="D11485" s="35" t="s">
        <v>2199</v>
      </c>
      <c r="E11485" s="35" t="s">
        <v>1802</v>
      </c>
      <c r="F11485" s="35" t="s">
        <v>2206</v>
      </c>
    </row>
    <row r="11486" spans="1:6">
      <c r="A11486" s="34">
        <v>2084053818</v>
      </c>
      <c r="B11486" s="35" t="s">
        <v>462</v>
      </c>
      <c r="C11486" s="35" t="s">
        <v>2016</v>
      </c>
      <c r="D11486" s="35" t="s">
        <v>2199</v>
      </c>
      <c r="E11486" s="35" t="s">
        <v>1802</v>
      </c>
      <c r="F11486" s="35" t="s">
        <v>2203</v>
      </c>
    </row>
    <row r="11487" spans="1:6">
      <c r="A11487" s="34">
        <v>2084053819</v>
      </c>
      <c r="B11487" s="35" t="s">
        <v>462</v>
      </c>
      <c r="C11487" s="35" t="s">
        <v>2016</v>
      </c>
      <c r="D11487" s="35" t="s">
        <v>2199</v>
      </c>
      <c r="E11487" s="35" t="s">
        <v>1802</v>
      </c>
      <c r="F11487" s="35" t="s">
        <v>2204</v>
      </c>
    </row>
    <row r="11488" spans="1:6">
      <c r="A11488" s="34">
        <v>2084053820</v>
      </c>
      <c r="B11488" s="35" t="s">
        <v>462</v>
      </c>
      <c r="C11488" s="35" t="s">
        <v>2016</v>
      </c>
      <c r="D11488" s="35" t="s">
        <v>2199</v>
      </c>
      <c r="E11488" s="35" t="s">
        <v>1802</v>
      </c>
      <c r="F11488" s="35" t="s">
        <v>2205</v>
      </c>
    </row>
    <row r="11489" spans="1:6">
      <c r="A11489" s="34">
        <v>2084053809</v>
      </c>
      <c r="B11489" s="35" t="s">
        <v>462</v>
      </c>
      <c r="C11489" s="35" t="s">
        <v>2016</v>
      </c>
      <c r="D11489" s="35" t="s">
        <v>2199</v>
      </c>
      <c r="E11489" s="35" t="s">
        <v>1809</v>
      </c>
      <c r="F11489" s="35" t="s">
        <v>2206</v>
      </c>
    </row>
    <row r="11490" spans="1:6">
      <c r="A11490" s="34">
        <v>2084053810</v>
      </c>
      <c r="B11490" s="35" t="s">
        <v>462</v>
      </c>
      <c r="C11490" s="35" t="s">
        <v>2016</v>
      </c>
      <c r="D11490" s="35" t="s">
        <v>2199</v>
      </c>
      <c r="E11490" s="35" t="s">
        <v>1809</v>
      </c>
      <c r="F11490" s="35" t="s">
        <v>2203</v>
      </c>
    </row>
    <row r="11491" spans="1:6">
      <c r="A11491" s="34">
        <v>2084053811</v>
      </c>
      <c r="B11491" s="35" t="s">
        <v>462</v>
      </c>
      <c r="C11491" s="35" t="s">
        <v>2016</v>
      </c>
      <c r="D11491" s="35" t="s">
        <v>2199</v>
      </c>
      <c r="E11491" s="35" t="s">
        <v>1809</v>
      </c>
      <c r="F11491" s="35" t="s">
        <v>2204</v>
      </c>
    </row>
    <row r="11492" spans="1:6">
      <c r="A11492" s="34">
        <v>2084053812</v>
      </c>
      <c r="B11492" s="35" t="s">
        <v>462</v>
      </c>
      <c r="C11492" s="35" t="s">
        <v>2016</v>
      </c>
      <c r="D11492" s="35" t="s">
        <v>2199</v>
      </c>
      <c r="E11492" s="35" t="s">
        <v>1809</v>
      </c>
      <c r="F11492" s="35" t="s">
        <v>2205</v>
      </c>
    </row>
    <row r="11493" spans="1:6">
      <c r="A11493" s="34">
        <v>2084053821</v>
      </c>
      <c r="B11493" s="35" t="s">
        <v>462</v>
      </c>
      <c r="C11493" s="35" t="s">
        <v>2016</v>
      </c>
      <c r="D11493" s="35" t="s">
        <v>2199</v>
      </c>
      <c r="E11493" s="35" t="s">
        <v>2158</v>
      </c>
      <c r="F11493" s="35" t="s">
        <v>2206</v>
      </c>
    </row>
    <row r="11494" spans="1:6">
      <c r="A11494" s="34">
        <v>2084053822</v>
      </c>
      <c r="B11494" s="35" t="s">
        <v>462</v>
      </c>
      <c r="C11494" s="35" t="s">
        <v>2016</v>
      </c>
      <c r="D11494" s="35" t="s">
        <v>2199</v>
      </c>
      <c r="E11494" s="35" t="s">
        <v>2158</v>
      </c>
      <c r="F11494" s="35" t="s">
        <v>2203</v>
      </c>
    </row>
    <row r="11495" spans="1:6">
      <c r="A11495" s="34">
        <v>2084053823</v>
      </c>
      <c r="B11495" s="35" t="s">
        <v>462</v>
      </c>
      <c r="C11495" s="35" t="s">
        <v>2016</v>
      </c>
      <c r="D11495" s="35" t="s">
        <v>2199</v>
      </c>
      <c r="E11495" s="35" t="s">
        <v>2158</v>
      </c>
      <c r="F11495" s="35" t="s">
        <v>2204</v>
      </c>
    </row>
    <row r="11496" spans="1:6">
      <c r="A11496" s="34">
        <v>2084053824</v>
      </c>
      <c r="B11496" s="35" t="s">
        <v>462</v>
      </c>
      <c r="C11496" s="35" t="s">
        <v>2016</v>
      </c>
      <c r="D11496" s="35" t="s">
        <v>2199</v>
      </c>
      <c r="E11496" s="35" t="s">
        <v>2158</v>
      </c>
      <c r="F11496" s="35" t="s">
        <v>2205</v>
      </c>
    </row>
    <row r="11497" spans="1:6">
      <c r="A11497" s="34">
        <v>2084007257</v>
      </c>
      <c r="B11497" s="35" t="s">
        <v>462</v>
      </c>
      <c r="C11497" s="35" t="s">
        <v>2016</v>
      </c>
      <c r="D11497" s="35" t="s">
        <v>2209</v>
      </c>
      <c r="E11497" s="35" t="s">
        <v>2210</v>
      </c>
    </row>
    <row r="11498" spans="1:6">
      <c r="A11498" s="34">
        <v>2084005311</v>
      </c>
      <c r="B11498" s="35" t="s">
        <v>462</v>
      </c>
      <c r="C11498" s="35" t="s">
        <v>2016</v>
      </c>
      <c r="D11498" s="35" t="s">
        <v>2209</v>
      </c>
      <c r="E11498" s="35" t="s">
        <v>443</v>
      </c>
    </row>
    <row r="11499" spans="1:6">
      <c r="A11499" s="34">
        <v>2084007256</v>
      </c>
      <c r="B11499" s="35" t="s">
        <v>462</v>
      </c>
      <c r="C11499" s="35" t="s">
        <v>2016</v>
      </c>
      <c r="D11499" s="35" t="s">
        <v>2209</v>
      </c>
      <c r="E11499" s="35" t="s">
        <v>444</v>
      </c>
    </row>
    <row r="11500" spans="1:6">
      <c r="A11500" s="34">
        <v>2084007255</v>
      </c>
      <c r="B11500" s="35" t="s">
        <v>462</v>
      </c>
      <c r="C11500" s="35" t="s">
        <v>2016</v>
      </c>
      <c r="D11500" s="35" t="s">
        <v>2209</v>
      </c>
      <c r="E11500" s="35" t="s">
        <v>445</v>
      </c>
    </row>
    <row r="11501" spans="1:6">
      <c r="A11501" s="34">
        <v>2084007258</v>
      </c>
      <c r="B11501" s="35" t="s">
        <v>462</v>
      </c>
      <c r="C11501" s="35" t="s">
        <v>2016</v>
      </c>
      <c r="D11501" s="35" t="s">
        <v>2209</v>
      </c>
      <c r="E11501" s="35" t="s">
        <v>335</v>
      </c>
    </row>
    <row r="11502" spans="1:6">
      <c r="A11502" s="34">
        <v>2084240602</v>
      </c>
      <c r="B11502" s="35" t="s">
        <v>462</v>
      </c>
      <c r="C11502" s="35" t="s">
        <v>2211</v>
      </c>
      <c r="D11502" s="35" t="s">
        <v>2018</v>
      </c>
    </row>
    <row r="11503" spans="1:6">
      <c r="A11503" s="34">
        <v>2084240603</v>
      </c>
      <c r="B11503" s="35" t="s">
        <v>462</v>
      </c>
      <c r="C11503" s="35" t="s">
        <v>2211</v>
      </c>
      <c r="D11503" s="35" t="s">
        <v>431</v>
      </c>
    </row>
    <row r="11504" spans="1:6">
      <c r="A11504" s="34">
        <v>2084240606</v>
      </c>
      <c r="B11504" s="35" t="s">
        <v>462</v>
      </c>
      <c r="C11504" s="35" t="s">
        <v>2211</v>
      </c>
      <c r="D11504" s="35" t="s">
        <v>390</v>
      </c>
      <c r="E11504" s="35" t="s">
        <v>2212</v>
      </c>
    </row>
    <row r="11505" spans="1:6">
      <c r="A11505" s="34">
        <v>2084240607</v>
      </c>
      <c r="B11505" s="35" t="s">
        <v>462</v>
      </c>
      <c r="C11505" s="35" t="s">
        <v>2211</v>
      </c>
      <c r="D11505" s="35" t="s">
        <v>390</v>
      </c>
      <c r="E11505" s="35" t="s">
        <v>402</v>
      </c>
    </row>
    <row r="11506" spans="1:6">
      <c r="A11506" s="34">
        <v>2084240608</v>
      </c>
      <c r="B11506" s="35" t="s">
        <v>462</v>
      </c>
      <c r="C11506" s="35" t="s">
        <v>2211</v>
      </c>
      <c r="D11506" s="35" t="s">
        <v>390</v>
      </c>
      <c r="E11506" s="35" t="s">
        <v>403</v>
      </c>
    </row>
    <row r="11507" spans="1:6">
      <c r="A11507" s="34">
        <v>2084240609</v>
      </c>
      <c r="B11507" s="35" t="s">
        <v>462</v>
      </c>
      <c r="C11507" s="35" t="s">
        <v>2211</v>
      </c>
      <c r="D11507" s="35" t="s">
        <v>390</v>
      </c>
      <c r="E11507" s="35" t="s">
        <v>478</v>
      </c>
    </row>
    <row r="11508" spans="1:6">
      <c r="A11508" s="34">
        <v>2084240605</v>
      </c>
      <c r="B11508" s="35" t="s">
        <v>462</v>
      </c>
      <c r="C11508" s="35" t="s">
        <v>2211</v>
      </c>
      <c r="D11508" s="35" t="s">
        <v>390</v>
      </c>
      <c r="E11508" s="35" t="s">
        <v>335</v>
      </c>
    </row>
    <row r="11509" spans="1:6">
      <c r="A11509" s="34">
        <v>2084240610</v>
      </c>
      <c r="B11509" s="35" t="s">
        <v>462</v>
      </c>
      <c r="C11509" s="35" t="s">
        <v>2211</v>
      </c>
      <c r="D11509" s="35" t="s">
        <v>408</v>
      </c>
    </row>
    <row r="11510" spans="1:6">
      <c r="A11510" s="34">
        <v>2084240612</v>
      </c>
      <c r="B11510" s="35" t="s">
        <v>462</v>
      </c>
      <c r="C11510" s="35" t="s">
        <v>2211</v>
      </c>
      <c r="D11510" s="35" t="s">
        <v>442</v>
      </c>
      <c r="E11510" s="35" t="s">
        <v>2018</v>
      </c>
    </row>
    <row r="11511" spans="1:6">
      <c r="A11511" s="34">
        <v>2084240613</v>
      </c>
      <c r="B11511" s="35" t="s">
        <v>462</v>
      </c>
      <c r="C11511" s="35" t="s">
        <v>2211</v>
      </c>
      <c r="D11511" s="35" t="s">
        <v>442</v>
      </c>
      <c r="E11511" s="35" t="s">
        <v>431</v>
      </c>
    </row>
    <row r="11512" spans="1:6">
      <c r="A11512" s="34">
        <v>2084240614</v>
      </c>
      <c r="B11512" s="35" t="s">
        <v>462</v>
      </c>
      <c r="C11512" s="35" t="s">
        <v>2211</v>
      </c>
      <c r="D11512" s="35" t="s">
        <v>442</v>
      </c>
      <c r="E11512" s="35" t="s">
        <v>407</v>
      </c>
    </row>
    <row r="11513" spans="1:6">
      <c r="A11513" s="34">
        <v>2084240615</v>
      </c>
      <c r="B11513" s="35" t="s">
        <v>462</v>
      </c>
      <c r="C11513" s="35" t="s">
        <v>2211</v>
      </c>
      <c r="D11513" s="35" t="s">
        <v>442</v>
      </c>
      <c r="E11513" s="35" t="s">
        <v>408</v>
      </c>
    </row>
    <row r="11514" spans="1:6">
      <c r="A11514" s="34">
        <v>2084240599</v>
      </c>
      <c r="B11514" s="35" t="s">
        <v>462</v>
      </c>
      <c r="C11514" s="35" t="s">
        <v>2211</v>
      </c>
      <c r="D11514" s="35" t="s">
        <v>587</v>
      </c>
      <c r="E11514" s="35" t="s">
        <v>2213</v>
      </c>
    </row>
    <row r="11515" spans="1:6">
      <c r="A11515" s="34">
        <v>2084240600</v>
      </c>
      <c r="B11515" s="35" t="s">
        <v>462</v>
      </c>
      <c r="C11515" s="35" t="s">
        <v>2211</v>
      </c>
      <c r="D11515" s="35" t="s">
        <v>587</v>
      </c>
      <c r="E11515" s="35" t="s">
        <v>407</v>
      </c>
    </row>
    <row r="11516" spans="1:6">
      <c r="A11516" s="34">
        <v>2084240601</v>
      </c>
      <c r="B11516" s="35" t="s">
        <v>462</v>
      </c>
      <c r="C11516" s="35" t="s">
        <v>2211</v>
      </c>
      <c r="D11516" s="35" t="s">
        <v>587</v>
      </c>
      <c r="E11516" s="35" t="s">
        <v>408</v>
      </c>
    </row>
    <row r="11517" spans="1:6">
      <c r="A11517" s="34">
        <v>2084223449</v>
      </c>
      <c r="B11517" s="35" t="s">
        <v>2214</v>
      </c>
      <c r="C11517" s="35" t="s">
        <v>2776</v>
      </c>
      <c r="D11517" s="35" t="s">
        <v>2777</v>
      </c>
      <c r="E11517" s="35" t="s">
        <v>2778</v>
      </c>
      <c r="F11517" s="35" t="s">
        <v>2779</v>
      </c>
    </row>
    <row r="11518" spans="1:6">
      <c r="A11518" s="34">
        <v>2084223450</v>
      </c>
      <c r="B11518" s="35" t="s">
        <v>2214</v>
      </c>
      <c r="C11518" s="35" t="s">
        <v>2776</v>
      </c>
      <c r="D11518" s="35" t="s">
        <v>2777</v>
      </c>
      <c r="E11518" s="35" t="s">
        <v>2778</v>
      </c>
      <c r="F11518" s="35" t="s">
        <v>429</v>
      </c>
    </row>
    <row r="11519" spans="1:6">
      <c r="A11519" s="34">
        <v>2084223452</v>
      </c>
      <c r="B11519" s="35" t="s">
        <v>2214</v>
      </c>
      <c r="C11519" s="35" t="s">
        <v>2776</v>
      </c>
      <c r="D11519" s="35" t="s">
        <v>2777</v>
      </c>
      <c r="E11519" s="35" t="s">
        <v>2780</v>
      </c>
      <c r="F11519" s="35" t="s">
        <v>2779</v>
      </c>
    </row>
    <row r="11520" spans="1:6">
      <c r="A11520" s="34">
        <v>2084223453</v>
      </c>
      <c r="B11520" s="35" t="s">
        <v>2214</v>
      </c>
      <c r="C11520" s="35" t="s">
        <v>2776</v>
      </c>
      <c r="D11520" s="35" t="s">
        <v>2777</v>
      </c>
      <c r="E11520" s="35" t="s">
        <v>2780</v>
      </c>
      <c r="F11520" s="35" t="s">
        <v>429</v>
      </c>
    </row>
    <row r="11521" spans="1:6">
      <c r="A11521" s="34">
        <v>2084223455</v>
      </c>
      <c r="B11521" s="35" t="s">
        <v>2214</v>
      </c>
      <c r="C11521" s="35" t="s">
        <v>2776</v>
      </c>
      <c r="D11521" s="35" t="s">
        <v>2777</v>
      </c>
      <c r="E11521" s="35" t="s">
        <v>2781</v>
      </c>
      <c r="F11521" s="35" t="s">
        <v>2779</v>
      </c>
    </row>
    <row r="11522" spans="1:6">
      <c r="A11522" s="34">
        <v>2084223456</v>
      </c>
      <c r="B11522" s="35" t="s">
        <v>2214</v>
      </c>
      <c r="C11522" s="35" t="s">
        <v>2776</v>
      </c>
      <c r="D11522" s="35" t="s">
        <v>2777</v>
      </c>
      <c r="E11522" s="35" t="s">
        <v>2781</v>
      </c>
      <c r="F11522" s="35" t="s">
        <v>429</v>
      </c>
    </row>
    <row r="11523" spans="1:6">
      <c r="A11523" s="34">
        <v>2084223458</v>
      </c>
      <c r="B11523" s="35" t="s">
        <v>2214</v>
      </c>
      <c r="C11523" s="35" t="s">
        <v>2776</v>
      </c>
      <c r="D11523" s="35" t="s">
        <v>2777</v>
      </c>
      <c r="E11523" s="35" t="s">
        <v>2782</v>
      </c>
      <c r="F11523" s="35" t="s">
        <v>2779</v>
      </c>
    </row>
    <row r="11524" spans="1:6">
      <c r="A11524" s="34">
        <v>2084223459</v>
      </c>
      <c r="B11524" s="35" t="s">
        <v>2214</v>
      </c>
      <c r="C11524" s="35" t="s">
        <v>2776</v>
      </c>
      <c r="D11524" s="35" t="s">
        <v>2777</v>
      </c>
      <c r="E11524" s="35" t="s">
        <v>2782</v>
      </c>
      <c r="F11524" s="35" t="s">
        <v>429</v>
      </c>
    </row>
    <row r="11525" spans="1:6">
      <c r="A11525" s="34">
        <v>2084053684</v>
      </c>
      <c r="B11525" s="35" t="s">
        <v>2214</v>
      </c>
      <c r="C11525" s="35" t="s">
        <v>2776</v>
      </c>
      <c r="D11525" s="35" t="s">
        <v>2777</v>
      </c>
      <c r="E11525" s="35" t="s">
        <v>429</v>
      </c>
    </row>
    <row r="11526" spans="1:6">
      <c r="A11526" s="34">
        <v>2084053687</v>
      </c>
      <c r="B11526" s="35" t="s">
        <v>2214</v>
      </c>
      <c r="C11526" s="35" t="s">
        <v>2776</v>
      </c>
      <c r="D11526" s="35" t="s">
        <v>2783</v>
      </c>
      <c r="E11526" s="35" t="s">
        <v>2778</v>
      </c>
    </row>
    <row r="11527" spans="1:6">
      <c r="A11527" s="34">
        <v>2084053688</v>
      </c>
      <c r="B11527" s="35" t="s">
        <v>2214</v>
      </c>
      <c r="C11527" s="35" t="s">
        <v>2776</v>
      </c>
      <c r="D11527" s="35" t="s">
        <v>2783</v>
      </c>
      <c r="E11527" s="35" t="s">
        <v>2780</v>
      </c>
    </row>
    <row r="11528" spans="1:6">
      <c r="A11528" s="34">
        <v>2084053685</v>
      </c>
      <c r="B11528" s="35" t="s">
        <v>2214</v>
      </c>
      <c r="C11528" s="35" t="s">
        <v>2776</v>
      </c>
      <c r="D11528" s="35" t="s">
        <v>2783</v>
      </c>
      <c r="E11528" s="35" t="s">
        <v>2781</v>
      </c>
    </row>
    <row r="11529" spans="1:6">
      <c r="A11529" s="34">
        <v>2084053686</v>
      </c>
      <c r="B11529" s="35" t="s">
        <v>2214</v>
      </c>
      <c r="C11529" s="35" t="s">
        <v>2776</v>
      </c>
      <c r="D11529" s="35" t="s">
        <v>2783</v>
      </c>
      <c r="E11529" s="35" t="s">
        <v>2782</v>
      </c>
    </row>
    <row r="11530" spans="1:6">
      <c r="A11530" s="34">
        <v>2084053691</v>
      </c>
      <c r="B11530" s="35" t="s">
        <v>2214</v>
      </c>
      <c r="C11530" s="35" t="s">
        <v>2776</v>
      </c>
      <c r="D11530" s="35" t="s">
        <v>2783</v>
      </c>
      <c r="E11530" s="35" t="s">
        <v>429</v>
      </c>
    </row>
    <row r="11531" spans="1:6">
      <c r="A11531" s="34">
        <v>2084050113</v>
      </c>
      <c r="B11531" s="35" t="s">
        <v>2214</v>
      </c>
      <c r="C11531" s="35" t="s">
        <v>2776</v>
      </c>
      <c r="D11531" s="35" t="s">
        <v>2784</v>
      </c>
    </row>
    <row r="11532" spans="1:6">
      <c r="A11532" s="34">
        <v>2084223446</v>
      </c>
      <c r="B11532" s="35" t="s">
        <v>2214</v>
      </c>
      <c r="C11532" s="35" t="s">
        <v>2776</v>
      </c>
      <c r="D11532" s="35" t="s">
        <v>2785</v>
      </c>
      <c r="E11532" s="35" t="s">
        <v>2779</v>
      </c>
    </row>
    <row r="11533" spans="1:6">
      <c r="A11533" s="34">
        <v>2084223447</v>
      </c>
      <c r="B11533" s="35" t="s">
        <v>2214</v>
      </c>
      <c r="C11533" s="35" t="s">
        <v>2776</v>
      </c>
      <c r="D11533" s="35" t="s">
        <v>2785</v>
      </c>
      <c r="E11533" s="35" t="s">
        <v>429</v>
      </c>
    </row>
    <row r="11534" spans="1:6">
      <c r="A11534" s="34">
        <v>2084223407</v>
      </c>
      <c r="B11534" s="35" t="s">
        <v>2214</v>
      </c>
      <c r="C11534" s="35" t="s">
        <v>2786</v>
      </c>
      <c r="D11534" s="35" t="s">
        <v>2777</v>
      </c>
      <c r="E11534" s="35" t="s">
        <v>2778</v>
      </c>
      <c r="F11534" s="35" t="s">
        <v>2779</v>
      </c>
    </row>
    <row r="11535" spans="1:6">
      <c r="A11535" s="34">
        <v>2084223408</v>
      </c>
      <c r="B11535" s="35" t="s">
        <v>2214</v>
      </c>
      <c r="C11535" s="35" t="s">
        <v>2786</v>
      </c>
      <c r="D11535" s="35" t="s">
        <v>2777</v>
      </c>
      <c r="E11535" s="35" t="s">
        <v>2778</v>
      </c>
      <c r="F11535" s="35" t="s">
        <v>429</v>
      </c>
    </row>
    <row r="11536" spans="1:6">
      <c r="A11536" s="34">
        <v>2084223410</v>
      </c>
      <c r="B11536" s="35" t="s">
        <v>2214</v>
      </c>
      <c r="C11536" s="35" t="s">
        <v>2786</v>
      </c>
      <c r="D11536" s="35" t="s">
        <v>2777</v>
      </c>
      <c r="E11536" s="35" t="s">
        <v>2780</v>
      </c>
      <c r="F11536" s="35" t="s">
        <v>2779</v>
      </c>
    </row>
    <row r="11537" spans="1:6">
      <c r="A11537" s="34">
        <v>2084223411</v>
      </c>
      <c r="B11537" s="35" t="s">
        <v>2214</v>
      </c>
      <c r="C11537" s="35" t="s">
        <v>2786</v>
      </c>
      <c r="D11537" s="35" t="s">
        <v>2777</v>
      </c>
      <c r="E11537" s="35" t="s">
        <v>2780</v>
      </c>
      <c r="F11537" s="35" t="s">
        <v>429</v>
      </c>
    </row>
    <row r="11538" spans="1:6">
      <c r="A11538" s="34">
        <v>2084223413</v>
      </c>
      <c r="B11538" s="35" t="s">
        <v>2214</v>
      </c>
      <c r="C11538" s="35" t="s">
        <v>2786</v>
      </c>
      <c r="D11538" s="35" t="s">
        <v>2777</v>
      </c>
      <c r="E11538" s="35" t="s">
        <v>2781</v>
      </c>
      <c r="F11538" s="35" t="s">
        <v>2779</v>
      </c>
    </row>
    <row r="11539" spans="1:6">
      <c r="A11539" s="34">
        <v>2084223414</v>
      </c>
      <c r="B11539" s="35" t="s">
        <v>2214</v>
      </c>
      <c r="C11539" s="35" t="s">
        <v>2786</v>
      </c>
      <c r="D11539" s="35" t="s">
        <v>2777</v>
      </c>
      <c r="E11539" s="35" t="s">
        <v>2781</v>
      </c>
      <c r="F11539" s="35" t="s">
        <v>429</v>
      </c>
    </row>
    <row r="11540" spans="1:6">
      <c r="A11540" s="34">
        <v>2084223416</v>
      </c>
      <c r="B11540" s="35" t="s">
        <v>2214</v>
      </c>
      <c r="C11540" s="35" t="s">
        <v>2786</v>
      </c>
      <c r="D11540" s="35" t="s">
        <v>2777</v>
      </c>
      <c r="E11540" s="35" t="s">
        <v>2782</v>
      </c>
      <c r="F11540" s="35" t="s">
        <v>2779</v>
      </c>
    </row>
    <row r="11541" spans="1:6">
      <c r="A11541" s="34">
        <v>2084223417</v>
      </c>
      <c r="B11541" s="35" t="s">
        <v>2214</v>
      </c>
      <c r="C11541" s="35" t="s">
        <v>2786</v>
      </c>
      <c r="D11541" s="35" t="s">
        <v>2777</v>
      </c>
      <c r="E11541" s="35" t="s">
        <v>2782</v>
      </c>
      <c r="F11541" s="35" t="s">
        <v>429</v>
      </c>
    </row>
    <row r="11542" spans="1:6">
      <c r="A11542" s="34">
        <v>2084053703</v>
      </c>
      <c r="B11542" s="35" t="s">
        <v>2214</v>
      </c>
      <c r="C11542" s="35" t="s">
        <v>2786</v>
      </c>
      <c r="D11542" s="35" t="s">
        <v>2777</v>
      </c>
      <c r="E11542" s="35" t="s">
        <v>429</v>
      </c>
    </row>
    <row r="11543" spans="1:6">
      <c r="A11543" s="34">
        <v>2084050120</v>
      </c>
      <c r="B11543" s="35" t="s">
        <v>2214</v>
      </c>
      <c r="C11543" s="35" t="s">
        <v>2786</v>
      </c>
      <c r="D11543" s="35" t="s">
        <v>2783</v>
      </c>
    </row>
    <row r="11544" spans="1:6">
      <c r="A11544" s="34">
        <v>2084050119</v>
      </c>
      <c r="B11544" s="35" t="s">
        <v>2214</v>
      </c>
      <c r="C11544" s="35" t="s">
        <v>2786</v>
      </c>
      <c r="D11544" s="35" t="s">
        <v>2784</v>
      </c>
    </row>
    <row r="11545" spans="1:6">
      <c r="A11545" s="34">
        <v>2084223404</v>
      </c>
      <c r="B11545" s="35" t="s">
        <v>2214</v>
      </c>
      <c r="C11545" s="35" t="s">
        <v>2786</v>
      </c>
      <c r="D11545" s="35" t="s">
        <v>2785</v>
      </c>
      <c r="E11545" s="35" t="s">
        <v>2779</v>
      </c>
    </row>
    <row r="11546" spans="1:6">
      <c r="A11546" s="34">
        <v>2084223405</v>
      </c>
      <c r="B11546" s="35" t="s">
        <v>2214</v>
      </c>
      <c r="C11546" s="35" t="s">
        <v>2786</v>
      </c>
      <c r="D11546" s="35" t="s">
        <v>2785</v>
      </c>
      <c r="E11546" s="35" t="s">
        <v>429</v>
      </c>
    </row>
    <row r="11547" spans="1:6">
      <c r="A11547" s="34">
        <v>2084045716</v>
      </c>
      <c r="B11547" s="35" t="s">
        <v>2214</v>
      </c>
      <c r="C11547" s="35" t="s">
        <v>2787</v>
      </c>
      <c r="D11547" s="35" t="s">
        <v>429</v>
      </c>
    </row>
    <row r="11548" spans="1:6">
      <c r="A11548" s="34">
        <v>2084061913</v>
      </c>
      <c r="B11548" s="35" t="s">
        <v>2214</v>
      </c>
      <c r="C11548" s="35" t="s">
        <v>2215</v>
      </c>
      <c r="D11548" s="35" t="s">
        <v>671</v>
      </c>
      <c r="E11548" s="35" t="s">
        <v>2216</v>
      </c>
    </row>
    <row r="11549" spans="1:6">
      <c r="A11549" s="34">
        <v>2084061914</v>
      </c>
      <c r="B11549" s="35" t="s">
        <v>2214</v>
      </c>
      <c r="C11549" s="35" t="s">
        <v>2215</v>
      </c>
      <c r="D11549" s="35" t="s">
        <v>671</v>
      </c>
      <c r="E11549" s="35" t="s">
        <v>2217</v>
      </c>
    </row>
    <row r="11550" spans="1:6">
      <c r="A11550" s="34">
        <v>2084061915</v>
      </c>
      <c r="B11550" s="35" t="s">
        <v>2214</v>
      </c>
      <c r="C11550" s="35" t="s">
        <v>2215</v>
      </c>
      <c r="D11550" s="35" t="s">
        <v>671</v>
      </c>
      <c r="E11550" s="35" t="s">
        <v>2218</v>
      </c>
    </row>
    <row r="11551" spans="1:6">
      <c r="A11551" s="34">
        <v>2084061916</v>
      </c>
      <c r="B11551" s="35" t="s">
        <v>2214</v>
      </c>
      <c r="C11551" s="35" t="s">
        <v>2215</v>
      </c>
      <c r="D11551" s="35" t="s">
        <v>671</v>
      </c>
      <c r="E11551" s="35" t="s">
        <v>335</v>
      </c>
    </row>
    <row r="11552" spans="1:6">
      <c r="A11552" s="34">
        <v>2084301266</v>
      </c>
      <c r="B11552" s="35" t="s">
        <v>2214</v>
      </c>
      <c r="C11552" s="35" t="s">
        <v>2215</v>
      </c>
      <c r="D11552" s="35" t="s">
        <v>2219</v>
      </c>
    </row>
    <row r="11553" spans="1:6">
      <c r="A11553" s="34">
        <v>2084057875</v>
      </c>
      <c r="B11553" s="35" t="s">
        <v>2214</v>
      </c>
      <c r="C11553" s="35" t="s">
        <v>2215</v>
      </c>
      <c r="D11553" s="35" t="s">
        <v>2220</v>
      </c>
      <c r="E11553" s="35" t="s">
        <v>2221</v>
      </c>
    </row>
    <row r="11554" spans="1:6">
      <c r="A11554" s="34">
        <v>2084057876</v>
      </c>
      <c r="B11554" s="35" t="s">
        <v>2214</v>
      </c>
      <c r="C11554" s="35" t="s">
        <v>2215</v>
      </c>
      <c r="D11554" s="35" t="s">
        <v>2220</v>
      </c>
      <c r="E11554" s="35" t="s">
        <v>2216</v>
      </c>
    </row>
    <row r="11555" spans="1:6">
      <c r="A11555" s="34">
        <v>2084057877</v>
      </c>
      <c r="B11555" s="35" t="s">
        <v>2214</v>
      </c>
      <c r="C11555" s="35" t="s">
        <v>2215</v>
      </c>
      <c r="D11555" s="35" t="s">
        <v>2220</v>
      </c>
      <c r="E11555" s="35" t="s">
        <v>2217</v>
      </c>
    </row>
    <row r="11556" spans="1:6">
      <c r="A11556" s="34">
        <v>2084057878</v>
      </c>
      <c r="B11556" s="35" t="s">
        <v>2214</v>
      </c>
      <c r="C11556" s="35" t="s">
        <v>2215</v>
      </c>
      <c r="D11556" s="35" t="s">
        <v>2220</v>
      </c>
      <c r="E11556" s="35" t="s">
        <v>2218</v>
      </c>
    </row>
    <row r="11557" spans="1:6">
      <c r="A11557" s="34">
        <v>2084057879</v>
      </c>
      <c r="B11557" s="35" t="s">
        <v>2214</v>
      </c>
      <c r="C11557" s="35" t="s">
        <v>2215</v>
      </c>
      <c r="D11557" s="35" t="s">
        <v>2220</v>
      </c>
      <c r="E11557" s="35" t="s">
        <v>335</v>
      </c>
    </row>
    <row r="11558" spans="1:6">
      <c r="A11558" s="34">
        <v>2084061841</v>
      </c>
      <c r="B11558" s="35" t="s">
        <v>2214</v>
      </c>
      <c r="C11558" s="35" t="s">
        <v>2215</v>
      </c>
      <c r="D11558" s="35" t="s">
        <v>2222</v>
      </c>
      <c r="E11558" s="35" t="s">
        <v>2223</v>
      </c>
      <c r="F11558" s="35" t="s">
        <v>2224</v>
      </c>
    </row>
    <row r="11559" spans="1:6">
      <c r="A11559" s="34">
        <v>2084061842</v>
      </c>
      <c r="B11559" s="35" t="s">
        <v>2214</v>
      </c>
      <c r="C11559" s="35" t="s">
        <v>2215</v>
      </c>
      <c r="D11559" s="35" t="s">
        <v>2222</v>
      </c>
      <c r="E11559" s="35" t="s">
        <v>2223</v>
      </c>
      <c r="F11559" s="35" t="s">
        <v>2225</v>
      </c>
    </row>
    <row r="11560" spans="1:6">
      <c r="A11560" s="34">
        <v>2084061843</v>
      </c>
      <c r="B11560" s="35" t="s">
        <v>2214</v>
      </c>
      <c r="C11560" s="35" t="s">
        <v>2215</v>
      </c>
      <c r="D11560" s="35" t="s">
        <v>2222</v>
      </c>
      <c r="E11560" s="35" t="s">
        <v>2216</v>
      </c>
    </row>
    <row r="11561" spans="1:6">
      <c r="A11561" s="34">
        <v>2084061846</v>
      </c>
      <c r="B11561" s="35" t="s">
        <v>2214</v>
      </c>
      <c r="C11561" s="35" t="s">
        <v>2215</v>
      </c>
      <c r="D11561" s="35" t="s">
        <v>2222</v>
      </c>
      <c r="E11561" s="35" t="s">
        <v>2226</v>
      </c>
      <c r="F11561" s="35" t="s">
        <v>2227</v>
      </c>
    </row>
    <row r="11562" spans="1:6">
      <c r="A11562" s="34">
        <v>2084061845</v>
      </c>
      <c r="B11562" s="35" t="s">
        <v>2214</v>
      </c>
      <c r="C11562" s="35" t="s">
        <v>2215</v>
      </c>
      <c r="D11562" s="35" t="s">
        <v>2222</v>
      </c>
      <c r="E11562" s="35" t="s">
        <v>2226</v>
      </c>
      <c r="F11562" s="35" t="s">
        <v>2228</v>
      </c>
    </row>
    <row r="11563" spans="1:6">
      <c r="A11563" s="34">
        <v>2084061847</v>
      </c>
      <c r="B11563" s="35" t="s">
        <v>2214</v>
      </c>
      <c r="C11563" s="35" t="s">
        <v>2215</v>
      </c>
      <c r="D11563" s="35" t="s">
        <v>2222</v>
      </c>
      <c r="E11563" s="35" t="s">
        <v>2218</v>
      </c>
    </row>
    <row r="11564" spans="1:6">
      <c r="A11564" s="34">
        <v>2084061848</v>
      </c>
      <c r="B11564" s="35" t="s">
        <v>2214</v>
      </c>
      <c r="C11564" s="35" t="s">
        <v>2215</v>
      </c>
      <c r="D11564" s="35" t="s">
        <v>2222</v>
      </c>
      <c r="E11564" s="35" t="s">
        <v>335</v>
      </c>
    </row>
    <row r="11565" spans="1:6">
      <c r="A11565" s="34">
        <v>2084061780</v>
      </c>
      <c r="B11565" s="35" t="s">
        <v>2214</v>
      </c>
      <c r="C11565" s="35" t="s">
        <v>2215</v>
      </c>
      <c r="D11565" s="35" t="s">
        <v>551</v>
      </c>
      <c r="E11565" s="35" t="s">
        <v>2216</v>
      </c>
    </row>
    <row r="11566" spans="1:6">
      <c r="A11566" s="34">
        <v>2084061781</v>
      </c>
      <c r="B11566" s="35" t="s">
        <v>2214</v>
      </c>
      <c r="C11566" s="35" t="s">
        <v>2215</v>
      </c>
      <c r="D11566" s="35" t="s">
        <v>551</v>
      </c>
      <c r="E11566" s="35" t="s">
        <v>335</v>
      </c>
    </row>
    <row r="11567" spans="1:6">
      <c r="A11567" s="34">
        <v>2084057766</v>
      </c>
      <c r="B11567" s="35" t="s">
        <v>2214</v>
      </c>
      <c r="C11567" s="35" t="s">
        <v>2215</v>
      </c>
      <c r="D11567" s="35" t="s">
        <v>717</v>
      </c>
      <c r="E11567" s="35" t="s">
        <v>2221</v>
      </c>
    </row>
    <row r="11568" spans="1:6">
      <c r="A11568" s="34">
        <v>2084057767</v>
      </c>
      <c r="B11568" s="35" t="s">
        <v>2214</v>
      </c>
      <c r="C11568" s="35" t="s">
        <v>2215</v>
      </c>
      <c r="D11568" s="35" t="s">
        <v>717</v>
      </c>
      <c r="E11568" s="35" t="s">
        <v>2216</v>
      </c>
    </row>
    <row r="11569" spans="1:7">
      <c r="A11569" s="34">
        <v>2084057768</v>
      </c>
      <c r="B11569" s="35" t="s">
        <v>2214</v>
      </c>
      <c r="C11569" s="35" t="s">
        <v>2215</v>
      </c>
      <c r="D11569" s="35" t="s">
        <v>717</v>
      </c>
      <c r="E11569" s="35" t="s">
        <v>2217</v>
      </c>
    </row>
    <row r="11570" spans="1:7">
      <c r="A11570" s="34">
        <v>2084057769</v>
      </c>
      <c r="B11570" s="35" t="s">
        <v>2214</v>
      </c>
      <c r="C11570" s="35" t="s">
        <v>2215</v>
      </c>
      <c r="D11570" s="35" t="s">
        <v>717</v>
      </c>
      <c r="E11570" s="35" t="s">
        <v>2218</v>
      </c>
    </row>
    <row r="11571" spans="1:7">
      <c r="A11571" s="34">
        <v>2084057770</v>
      </c>
      <c r="B11571" s="35" t="s">
        <v>2214</v>
      </c>
      <c r="C11571" s="35" t="s">
        <v>2215</v>
      </c>
      <c r="D11571" s="35" t="s">
        <v>717</v>
      </c>
      <c r="E11571" s="35" t="s">
        <v>335</v>
      </c>
    </row>
    <row r="11572" spans="1:7">
      <c r="A11572" s="34">
        <v>2084245337</v>
      </c>
      <c r="B11572" s="35" t="s">
        <v>2214</v>
      </c>
      <c r="C11572" s="35" t="s">
        <v>2215</v>
      </c>
      <c r="D11572" s="35" t="s">
        <v>2229</v>
      </c>
    </row>
    <row r="11573" spans="1:7">
      <c r="A11573" s="34">
        <v>2084052586</v>
      </c>
      <c r="B11573" s="35" t="s">
        <v>2214</v>
      </c>
      <c r="C11573" s="35" t="s">
        <v>2215</v>
      </c>
      <c r="D11573" s="35" t="s">
        <v>761</v>
      </c>
      <c r="E11573" s="35" t="s">
        <v>2221</v>
      </c>
    </row>
    <row r="11574" spans="1:7">
      <c r="A11574" s="34">
        <v>2084052587</v>
      </c>
      <c r="B11574" s="35" t="s">
        <v>2214</v>
      </c>
      <c r="C11574" s="35" t="s">
        <v>2215</v>
      </c>
      <c r="D11574" s="35" t="s">
        <v>761</v>
      </c>
      <c r="E11574" s="35" t="s">
        <v>2216</v>
      </c>
    </row>
    <row r="11575" spans="1:7">
      <c r="A11575" s="34">
        <v>2084052589</v>
      </c>
      <c r="B11575" s="35" t="s">
        <v>2214</v>
      </c>
      <c r="C11575" s="35" t="s">
        <v>2215</v>
      </c>
      <c r="D11575" s="35" t="s">
        <v>761</v>
      </c>
      <c r="E11575" s="35" t="s">
        <v>2217</v>
      </c>
    </row>
    <row r="11576" spans="1:7">
      <c r="A11576" s="34">
        <v>2084209622</v>
      </c>
      <c r="B11576" s="35" t="s">
        <v>2214</v>
      </c>
      <c r="C11576" s="35" t="s">
        <v>2215</v>
      </c>
      <c r="D11576" s="35" t="s">
        <v>761</v>
      </c>
      <c r="E11576" s="35" t="s">
        <v>2230</v>
      </c>
      <c r="F11576" s="35" t="s">
        <v>2231</v>
      </c>
      <c r="G11576" s="35" t="s">
        <v>2232</v>
      </c>
    </row>
    <row r="11577" spans="1:7">
      <c r="A11577" s="34">
        <v>2084209623</v>
      </c>
      <c r="B11577" s="35" t="s">
        <v>2214</v>
      </c>
      <c r="C11577" s="35" t="s">
        <v>2215</v>
      </c>
      <c r="D11577" s="35" t="s">
        <v>761</v>
      </c>
      <c r="E11577" s="35" t="s">
        <v>2230</v>
      </c>
      <c r="F11577" s="35" t="s">
        <v>2231</v>
      </c>
      <c r="G11577" s="35" t="s">
        <v>2233</v>
      </c>
    </row>
    <row r="11578" spans="1:7">
      <c r="A11578" s="34">
        <v>2084209621</v>
      </c>
      <c r="B11578" s="35" t="s">
        <v>2214</v>
      </c>
      <c r="C11578" s="35" t="s">
        <v>2215</v>
      </c>
      <c r="D11578" s="35" t="s">
        <v>761</v>
      </c>
      <c r="E11578" s="35" t="s">
        <v>2230</v>
      </c>
      <c r="F11578" s="35" t="s">
        <v>2231</v>
      </c>
      <c r="G11578" s="35" t="s">
        <v>2234</v>
      </c>
    </row>
    <row r="11579" spans="1:7">
      <c r="A11579" s="34">
        <v>2084209624</v>
      </c>
      <c r="B11579" s="35" t="s">
        <v>2214</v>
      </c>
      <c r="C11579" s="35" t="s">
        <v>2215</v>
      </c>
      <c r="D11579" s="35" t="s">
        <v>761</v>
      </c>
      <c r="E11579" s="35" t="s">
        <v>2230</v>
      </c>
      <c r="F11579" s="35" t="s">
        <v>2231</v>
      </c>
      <c r="G11579" s="35" t="s">
        <v>335</v>
      </c>
    </row>
    <row r="11580" spans="1:7">
      <c r="A11580" s="34">
        <v>2084209625</v>
      </c>
      <c r="B11580" s="35" t="s">
        <v>2214</v>
      </c>
      <c r="C11580" s="35" t="s">
        <v>2215</v>
      </c>
      <c r="D11580" s="35" t="s">
        <v>761</v>
      </c>
      <c r="E11580" s="35" t="s">
        <v>2230</v>
      </c>
      <c r="F11580" s="35" t="s">
        <v>2235</v>
      </c>
    </row>
    <row r="11581" spans="1:7">
      <c r="A11581" s="34">
        <v>2084209626</v>
      </c>
      <c r="B11581" s="35" t="s">
        <v>2214</v>
      </c>
      <c r="C11581" s="35" t="s">
        <v>2215</v>
      </c>
      <c r="D11581" s="35" t="s">
        <v>761</v>
      </c>
      <c r="E11581" s="35" t="s">
        <v>2230</v>
      </c>
      <c r="F11581" s="35" t="s">
        <v>335</v>
      </c>
    </row>
    <row r="11582" spans="1:7">
      <c r="A11582" s="34">
        <v>2084052591</v>
      </c>
      <c r="B11582" s="35" t="s">
        <v>2214</v>
      </c>
      <c r="C11582" s="35" t="s">
        <v>2215</v>
      </c>
      <c r="D11582" s="35" t="s">
        <v>761</v>
      </c>
      <c r="E11582" s="35" t="s">
        <v>335</v>
      </c>
    </row>
    <row r="11583" spans="1:7">
      <c r="A11583" s="34">
        <v>2084224328</v>
      </c>
      <c r="B11583" s="35" t="s">
        <v>2214</v>
      </c>
      <c r="C11583" s="35" t="s">
        <v>2215</v>
      </c>
      <c r="D11583" s="35" t="s">
        <v>2236</v>
      </c>
      <c r="E11583" s="35" t="s">
        <v>2216</v>
      </c>
    </row>
    <row r="11584" spans="1:7">
      <c r="A11584" s="34">
        <v>2084224329</v>
      </c>
      <c r="B11584" s="35" t="s">
        <v>2214</v>
      </c>
      <c r="C11584" s="35" t="s">
        <v>2215</v>
      </c>
      <c r="D11584" s="35" t="s">
        <v>2236</v>
      </c>
      <c r="E11584" s="35" t="s">
        <v>335</v>
      </c>
    </row>
    <row r="11585" spans="1:6">
      <c r="A11585" s="34">
        <v>2084057914</v>
      </c>
      <c r="B11585" s="35" t="s">
        <v>2214</v>
      </c>
      <c r="C11585" s="35" t="s">
        <v>2215</v>
      </c>
      <c r="D11585" s="35" t="s">
        <v>2237</v>
      </c>
      <c r="E11585" s="35" t="s">
        <v>2217</v>
      </c>
    </row>
    <row r="11586" spans="1:6">
      <c r="A11586" s="34">
        <v>2084057915</v>
      </c>
      <c r="B11586" s="35" t="s">
        <v>2214</v>
      </c>
      <c r="C11586" s="35" t="s">
        <v>2215</v>
      </c>
      <c r="D11586" s="35" t="s">
        <v>2237</v>
      </c>
      <c r="E11586" s="35" t="s">
        <v>335</v>
      </c>
    </row>
    <row r="11587" spans="1:6">
      <c r="A11587" s="34">
        <v>2084057783</v>
      </c>
      <c r="B11587" s="35" t="s">
        <v>2214</v>
      </c>
      <c r="C11587" s="35" t="s">
        <v>2215</v>
      </c>
      <c r="D11587" s="35" t="s">
        <v>2238</v>
      </c>
      <c r="E11587" s="35" t="s">
        <v>2223</v>
      </c>
      <c r="F11587" s="35" t="s">
        <v>2224</v>
      </c>
    </row>
    <row r="11588" spans="1:6">
      <c r="A11588" s="34">
        <v>2084057784</v>
      </c>
      <c r="B11588" s="35" t="s">
        <v>2214</v>
      </c>
      <c r="C11588" s="35" t="s">
        <v>2215</v>
      </c>
      <c r="D11588" s="35" t="s">
        <v>2238</v>
      </c>
      <c r="E11588" s="35" t="s">
        <v>2223</v>
      </c>
      <c r="F11588" s="35" t="s">
        <v>2225</v>
      </c>
    </row>
    <row r="11589" spans="1:6">
      <c r="A11589" s="34">
        <v>2084211533</v>
      </c>
      <c r="B11589" s="35" t="s">
        <v>2214</v>
      </c>
      <c r="C11589" s="35" t="s">
        <v>2215</v>
      </c>
      <c r="D11589" s="35" t="s">
        <v>2238</v>
      </c>
      <c r="E11589" s="35" t="s">
        <v>2239</v>
      </c>
      <c r="F11589" s="35" t="s">
        <v>2240</v>
      </c>
    </row>
    <row r="11590" spans="1:6">
      <c r="A11590" s="34">
        <v>2084211534</v>
      </c>
      <c r="B11590" s="35" t="s">
        <v>2214</v>
      </c>
      <c r="C11590" s="35" t="s">
        <v>2215</v>
      </c>
      <c r="D11590" s="35" t="s">
        <v>2238</v>
      </c>
      <c r="E11590" s="35" t="s">
        <v>2239</v>
      </c>
      <c r="F11590" s="35" t="s">
        <v>2241</v>
      </c>
    </row>
    <row r="11591" spans="1:6">
      <c r="A11591" s="34">
        <v>2084057788</v>
      </c>
      <c r="B11591" s="35" t="s">
        <v>2214</v>
      </c>
      <c r="C11591" s="35" t="s">
        <v>2215</v>
      </c>
      <c r="D11591" s="35" t="s">
        <v>2238</v>
      </c>
      <c r="E11591" s="35" t="s">
        <v>2226</v>
      </c>
      <c r="F11591" s="35" t="s">
        <v>2227</v>
      </c>
    </row>
    <row r="11592" spans="1:6">
      <c r="A11592" s="34">
        <v>2084057787</v>
      </c>
      <c r="B11592" s="35" t="s">
        <v>2214</v>
      </c>
      <c r="C11592" s="35" t="s">
        <v>2215</v>
      </c>
      <c r="D11592" s="35" t="s">
        <v>2238</v>
      </c>
      <c r="E11592" s="35" t="s">
        <v>2226</v>
      </c>
      <c r="F11592" s="35" t="s">
        <v>2228</v>
      </c>
    </row>
    <row r="11593" spans="1:6">
      <c r="A11593" s="34">
        <v>2084057789</v>
      </c>
      <c r="B11593" s="35" t="s">
        <v>2214</v>
      </c>
      <c r="C11593" s="35" t="s">
        <v>2215</v>
      </c>
      <c r="D11593" s="35" t="s">
        <v>2238</v>
      </c>
      <c r="E11593" s="35" t="s">
        <v>2218</v>
      </c>
    </row>
    <row r="11594" spans="1:6">
      <c r="A11594" s="34">
        <v>2084057790</v>
      </c>
      <c r="B11594" s="35" t="s">
        <v>2214</v>
      </c>
      <c r="C11594" s="35" t="s">
        <v>2215</v>
      </c>
      <c r="D11594" s="35" t="s">
        <v>2238</v>
      </c>
      <c r="E11594" s="35" t="s">
        <v>335</v>
      </c>
    </row>
    <row r="11595" spans="1:6">
      <c r="A11595" s="34">
        <v>2084214587</v>
      </c>
      <c r="B11595" s="35" t="s">
        <v>2214</v>
      </c>
      <c r="C11595" s="35" t="s">
        <v>2215</v>
      </c>
      <c r="D11595" s="35" t="s">
        <v>832</v>
      </c>
      <c r="E11595" s="35" t="s">
        <v>2221</v>
      </c>
    </row>
    <row r="11596" spans="1:6">
      <c r="A11596" s="34">
        <v>2084214588</v>
      </c>
      <c r="B11596" s="35" t="s">
        <v>2214</v>
      </c>
      <c r="C11596" s="35" t="s">
        <v>2215</v>
      </c>
      <c r="D11596" s="35" t="s">
        <v>832</v>
      </c>
      <c r="E11596" s="35" t="s">
        <v>2216</v>
      </c>
    </row>
    <row r="11597" spans="1:6">
      <c r="A11597" s="34">
        <v>2084214589</v>
      </c>
      <c r="B11597" s="35" t="s">
        <v>2214</v>
      </c>
      <c r="C11597" s="35" t="s">
        <v>2215</v>
      </c>
      <c r="D11597" s="35" t="s">
        <v>832</v>
      </c>
      <c r="E11597" s="35" t="s">
        <v>2218</v>
      </c>
    </row>
    <row r="11598" spans="1:6">
      <c r="A11598" s="34">
        <v>2084214590</v>
      </c>
      <c r="B11598" s="35" t="s">
        <v>2214</v>
      </c>
      <c r="C11598" s="35" t="s">
        <v>2215</v>
      </c>
      <c r="D11598" s="35" t="s">
        <v>832</v>
      </c>
      <c r="E11598" s="35" t="s">
        <v>335</v>
      </c>
    </row>
    <row r="11599" spans="1:6">
      <c r="A11599" s="34">
        <v>2084195401</v>
      </c>
      <c r="B11599" s="35" t="s">
        <v>2214</v>
      </c>
      <c r="C11599" s="35" t="s">
        <v>2215</v>
      </c>
      <c r="D11599" s="35" t="s">
        <v>2242</v>
      </c>
      <c r="E11599" s="35" t="s">
        <v>2218</v>
      </c>
    </row>
    <row r="11600" spans="1:6">
      <c r="A11600" s="34">
        <v>2084195402</v>
      </c>
      <c r="B11600" s="35" t="s">
        <v>2214</v>
      </c>
      <c r="C11600" s="35" t="s">
        <v>2215</v>
      </c>
      <c r="D11600" s="35" t="s">
        <v>2242</v>
      </c>
      <c r="E11600" s="35" t="s">
        <v>335</v>
      </c>
    </row>
    <row r="11601" spans="1:7">
      <c r="A11601" s="34">
        <v>2084052570</v>
      </c>
      <c r="B11601" s="35" t="s">
        <v>2214</v>
      </c>
      <c r="C11601" s="35" t="s">
        <v>2215</v>
      </c>
      <c r="D11601" s="35" t="s">
        <v>852</v>
      </c>
      <c r="E11601" s="35" t="s">
        <v>2221</v>
      </c>
    </row>
    <row r="11602" spans="1:7">
      <c r="A11602" s="34">
        <v>2084211532</v>
      </c>
      <c r="B11602" s="35" t="s">
        <v>2214</v>
      </c>
      <c r="C11602" s="35" t="s">
        <v>2215</v>
      </c>
      <c r="D11602" s="35" t="s">
        <v>852</v>
      </c>
      <c r="E11602" s="35" t="s">
        <v>2239</v>
      </c>
      <c r="F11602" s="35" t="s">
        <v>2243</v>
      </c>
    </row>
    <row r="11603" spans="1:7">
      <c r="A11603" s="34">
        <v>2084211531</v>
      </c>
      <c r="B11603" s="35" t="s">
        <v>2214</v>
      </c>
      <c r="C11603" s="35" t="s">
        <v>2215</v>
      </c>
      <c r="D11603" s="35" t="s">
        <v>852</v>
      </c>
      <c r="E11603" s="35" t="s">
        <v>2239</v>
      </c>
      <c r="F11603" s="35" t="s">
        <v>2244</v>
      </c>
    </row>
    <row r="11604" spans="1:7">
      <c r="A11604" s="34">
        <v>2084052575</v>
      </c>
      <c r="B11604" s="35" t="s">
        <v>2214</v>
      </c>
      <c r="C11604" s="35" t="s">
        <v>2215</v>
      </c>
      <c r="D11604" s="35" t="s">
        <v>852</v>
      </c>
      <c r="E11604" s="35" t="s">
        <v>2226</v>
      </c>
      <c r="F11604" s="35" t="s">
        <v>2227</v>
      </c>
    </row>
    <row r="11605" spans="1:7">
      <c r="A11605" s="34">
        <v>2084052574</v>
      </c>
      <c r="B11605" s="35" t="s">
        <v>2214</v>
      </c>
      <c r="C11605" s="35" t="s">
        <v>2215</v>
      </c>
      <c r="D11605" s="35" t="s">
        <v>852</v>
      </c>
      <c r="E11605" s="35" t="s">
        <v>2226</v>
      </c>
      <c r="F11605" s="35" t="s">
        <v>2228</v>
      </c>
    </row>
    <row r="11606" spans="1:7">
      <c r="A11606" s="34">
        <v>2084052576</v>
      </c>
      <c r="B11606" s="35" t="s">
        <v>2214</v>
      </c>
      <c r="C11606" s="35" t="s">
        <v>2215</v>
      </c>
      <c r="D11606" s="35" t="s">
        <v>852</v>
      </c>
      <c r="E11606" s="35" t="s">
        <v>2218</v>
      </c>
    </row>
    <row r="11607" spans="1:7">
      <c r="A11607" s="34">
        <v>2084052577</v>
      </c>
      <c r="B11607" s="35" t="s">
        <v>2214</v>
      </c>
      <c r="C11607" s="35" t="s">
        <v>2215</v>
      </c>
      <c r="D11607" s="35" t="s">
        <v>852</v>
      </c>
      <c r="E11607" s="35" t="s">
        <v>335</v>
      </c>
    </row>
    <row r="11608" spans="1:7">
      <c r="A11608" s="34">
        <v>2084057774</v>
      </c>
      <c r="B11608" s="35" t="s">
        <v>2214</v>
      </c>
      <c r="C11608" s="35" t="s">
        <v>2215</v>
      </c>
      <c r="D11608" s="35" t="s">
        <v>800</v>
      </c>
      <c r="E11608" s="35" t="s">
        <v>2221</v>
      </c>
    </row>
    <row r="11609" spans="1:7">
      <c r="A11609" s="34">
        <v>2084057775</v>
      </c>
      <c r="B11609" s="35" t="s">
        <v>2214</v>
      </c>
      <c r="C11609" s="35" t="s">
        <v>2215</v>
      </c>
      <c r="D11609" s="35" t="s">
        <v>800</v>
      </c>
      <c r="E11609" s="35" t="s">
        <v>2216</v>
      </c>
    </row>
    <row r="11610" spans="1:7">
      <c r="A11610" s="34">
        <v>2084057779</v>
      </c>
      <c r="B11610" s="35" t="s">
        <v>2214</v>
      </c>
      <c r="C11610" s="35" t="s">
        <v>2215</v>
      </c>
      <c r="D11610" s="35" t="s">
        <v>800</v>
      </c>
      <c r="E11610" s="35" t="s">
        <v>2226</v>
      </c>
      <c r="F11610" s="35" t="s">
        <v>2227</v>
      </c>
    </row>
    <row r="11611" spans="1:7">
      <c r="A11611" s="34">
        <v>2084057778</v>
      </c>
      <c r="B11611" s="35" t="s">
        <v>2214</v>
      </c>
      <c r="C11611" s="35" t="s">
        <v>2215</v>
      </c>
      <c r="D11611" s="35" t="s">
        <v>800</v>
      </c>
      <c r="E11611" s="35" t="s">
        <v>2226</v>
      </c>
      <c r="F11611" s="35" t="s">
        <v>2228</v>
      </c>
    </row>
    <row r="11612" spans="1:7">
      <c r="A11612" s="34">
        <v>2084209614</v>
      </c>
      <c r="B11612" s="35" t="s">
        <v>2214</v>
      </c>
      <c r="C11612" s="35" t="s">
        <v>2215</v>
      </c>
      <c r="D11612" s="35" t="s">
        <v>800</v>
      </c>
      <c r="E11612" s="35" t="s">
        <v>2230</v>
      </c>
      <c r="F11612" s="35" t="s">
        <v>2231</v>
      </c>
      <c r="G11612" s="35" t="s">
        <v>2232</v>
      </c>
    </row>
    <row r="11613" spans="1:7">
      <c r="A11613" s="34">
        <v>2084209615</v>
      </c>
      <c r="B11613" s="35" t="s">
        <v>2214</v>
      </c>
      <c r="C11613" s="35" t="s">
        <v>2215</v>
      </c>
      <c r="D11613" s="35" t="s">
        <v>800</v>
      </c>
      <c r="E11613" s="35" t="s">
        <v>2230</v>
      </c>
      <c r="F11613" s="35" t="s">
        <v>2231</v>
      </c>
      <c r="G11613" s="35" t="s">
        <v>2233</v>
      </c>
    </row>
    <row r="11614" spans="1:7">
      <c r="A11614" s="34">
        <v>2084209613</v>
      </c>
      <c r="B11614" s="35" t="s">
        <v>2214</v>
      </c>
      <c r="C11614" s="35" t="s">
        <v>2215</v>
      </c>
      <c r="D11614" s="35" t="s">
        <v>800</v>
      </c>
      <c r="E11614" s="35" t="s">
        <v>2230</v>
      </c>
      <c r="F11614" s="35" t="s">
        <v>2231</v>
      </c>
      <c r="G11614" s="35" t="s">
        <v>2234</v>
      </c>
    </row>
    <row r="11615" spans="1:7">
      <c r="A11615" s="34">
        <v>2084209616</v>
      </c>
      <c r="B11615" s="35" t="s">
        <v>2214</v>
      </c>
      <c r="C11615" s="35" t="s">
        <v>2215</v>
      </c>
      <c r="D11615" s="35" t="s">
        <v>800</v>
      </c>
      <c r="E11615" s="35" t="s">
        <v>2230</v>
      </c>
      <c r="F11615" s="35" t="s">
        <v>2231</v>
      </c>
      <c r="G11615" s="35" t="s">
        <v>335</v>
      </c>
    </row>
    <row r="11616" spans="1:7">
      <c r="A11616" s="34">
        <v>2084209618</v>
      </c>
      <c r="B11616" s="35" t="s">
        <v>2214</v>
      </c>
      <c r="C11616" s="35" t="s">
        <v>2215</v>
      </c>
      <c r="D11616" s="35" t="s">
        <v>800</v>
      </c>
      <c r="E11616" s="35" t="s">
        <v>2230</v>
      </c>
      <c r="F11616" s="35" t="s">
        <v>1677</v>
      </c>
    </row>
    <row r="11617" spans="1:6">
      <c r="A11617" s="34">
        <v>2084209617</v>
      </c>
      <c r="B11617" s="35" t="s">
        <v>2214</v>
      </c>
      <c r="C11617" s="35" t="s">
        <v>2215</v>
      </c>
      <c r="D11617" s="35" t="s">
        <v>800</v>
      </c>
      <c r="E11617" s="35" t="s">
        <v>2230</v>
      </c>
      <c r="F11617" s="35" t="s">
        <v>2235</v>
      </c>
    </row>
    <row r="11618" spans="1:6">
      <c r="A11618" s="34">
        <v>2084209619</v>
      </c>
      <c r="B11618" s="35" t="s">
        <v>2214</v>
      </c>
      <c r="C11618" s="35" t="s">
        <v>2215</v>
      </c>
      <c r="D11618" s="35" t="s">
        <v>800</v>
      </c>
      <c r="E11618" s="35" t="s">
        <v>2230</v>
      </c>
      <c r="F11618" s="35" t="s">
        <v>335</v>
      </c>
    </row>
    <row r="11619" spans="1:6">
      <c r="A11619" s="34">
        <v>2084057780</v>
      </c>
      <c r="B11619" s="35" t="s">
        <v>2214</v>
      </c>
      <c r="C11619" s="35" t="s">
        <v>2215</v>
      </c>
      <c r="D11619" s="35" t="s">
        <v>800</v>
      </c>
      <c r="E11619" s="35" t="s">
        <v>335</v>
      </c>
    </row>
    <row r="11620" spans="1:6">
      <c r="A11620" s="34">
        <v>2084285568</v>
      </c>
      <c r="B11620" s="35" t="s">
        <v>2214</v>
      </c>
      <c r="C11620" s="35" t="s">
        <v>2215</v>
      </c>
      <c r="D11620" s="35" t="s">
        <v>314</v>
      </c>
    </row>
    <row r="11621" spans="1:6">
      <c r="A11621" s="34">
        <v>2084057920</v>
      </c>
      <c r="B11621" s="35" t="s">
        <v>2214</v>
      </c>
      <c r="C11621" s="35" t="s">
        <v>2215</v>
      </c>
      <c r="D11621" s="35" t="s">
        <v>886</v>
      </c>
      <c r="E11621" s="35" t="s">
        <v>2216</v>
      </c>
    </row>
    <row r="11622" spans="1:6">
      <c r="A11622" s="34">
        <v>2084057921</v>
      </c>
      <c r="B11622" s="35" t="s">
        <v>2214</v>
      </c>
      <c r="C11622" s="35" t="s">
        <v>2215</v>
      </c>
      <c r="D11622" s="35" t="s">
        <v>886</v>
      </c>
      <c r="E11622" s="35" t="s">
        <v>2217</v>
      </c>
    </row>
    <row r="11623" spans="1:6">
      <c r="A11623" s="34">
        <v>2084057922</v>
      </c>
      <c r="B11623" s="35" t="s">
        <v>2214</v>
      </c>
      <c r="C11623" s="35" t="s">
        <v>2215</v>
      </c>
      <c r="D11623" s="35" t="s">
        <v>886</v>
      </c>
      <c r="E11623" s="35" t="s">
        <v>2218</v>
      </c>
    </row>
    <row r="11624" spans="1:6">
      <c r="A11624" s="34">
        <v>2084057923</v>
      </c>
      <c r="B11624" s="35" t="s">
        <v>2214</v>
      </c>
      <c r="C11624" s="35" t="s">
        <v>2215</v>
      </c>
      <c r="D11624" s="35" t="s">
        <v>886</v>
      </c>
      <c r="E11624" s="35" t="s">
        <v>335</v>
      </c>
    </row>
    <row r="11625" spans="1:6">
      <c r="A11625" s="34">
        <v>2084292917</v>
      </c>
      <c r="B11625" s="35" t="s">
        <v>2214</v>
      </c>
      <c r="C11625" s="35" t="s">
        <v>2215</v>
      </c>
      <c r="D11625" s="35" t="s">
        <v>898</v>
      </c>
      <c r="E11625" s="35" t="s">
        <v>2216</v>
      </c>
    </row>
    <row r="11626" spans="1:6">
      <c r="A11626" s="34">
        <v>2084292918</v>
      </c>
      <c r="B11626" s="35" t="s">
        <v>2214</v>
      </c>
      <c r="C11626" s="35" t="s">
        <v>2215</v>
      </c>
      <c r="D11626" s="35" t="s">
        <v>898</v>
      </c>
      <c r="E11626" s="35" t="s">
        <v>2217</v>
      </c>
    </row>
    <row r="11627" spans="1:6">
      <c r="A11627" s="34">
        <v>2084292919</v>
      </c>
      <c r="B11627" s="35" t="s">
        <v>2214</v>
      </c>
      <c r="C11627" s="35" t="s">
        <v>2215</v>
      </c>
      <c r="D11627" s="35" t="s">
        <v>898</v>
      </c>
      <c r="E11627" s="35" t="s">
        <v>2218</v>
      </c>
    </row>
    <row r="11628" spans="1:6">
      <c r="A11628" s="34">
        <v>2084292920</v>
      </c>
      <c r="B11628" s="35" t="s">
        <v>2214</v>
      </c>
      <c r="C11628" s="35" t="s">
        <v>2215</v>
      </c>
      <c r="D11628" s="35" t="s">
        <v>898</v>
      </c>
      <c r="E11628" s="35" t="s">
        <v>335</v>
      </c>
    </row>
    <row r="11629" spans="1:6">
      <c r="A11629" s="34">
        <v>2084057793</v>
      </c>
      <c r="B11629" s="35" t="s">
        <v>2214</v>
      </c>
      <c r="C11629" s="35" t="s">
        <v>2215</v>
      </c>
      <c r="D11629" s="35" t="s">
        <v>949</v>
      </c>
      <c r="E11629" s="35" t="s">
        <v>2223</v>
      </c>
      <c r="F11629" s="35" t="s">
        <v>2224</v>
      </c>
    </row>
    <row r="11630" spans="1:6">
      <c r="A11630" s="34">
        <v>2084057794</v>
      </c>
      <c r="B11630" s="35" t="s">
        <v>2214</v>
      </c>
      <c r="C11630" s="35" t="s">
        <v>2215</v>
      </c>
      <c r="D11630" s="35" t="s">
        <v>949</v>
      </c>
      <c r="E11630" s="35" t="s">
        <v>2223</v>
      </c>
      <c r="F11630" s="35" t="s">
        <v>2225</v>
      </c>
    </row>
    <row r="11631" spans="1:6">
      <c r="A11631" s="34">
        <v>2084057795</v>
      </c>
      <c r="B11631" s="35" t="s">
        <v>2214</v>
      </c>
      <c r="C11631" s="35" t="s">
        <v>2215</v>
      </c>
      <c r="D11631" s="35" t="s">
        <v>949</v>
      </c>
      <c r="E11631" s="35" t="s">
        <v>2216</v>
      </c>
    </row>
    <row r="11632" spans="1:6">
      <c r="A11632" s="34">
        <v>2084057798</v>
      </c>
      <c r="B11632" s="35" t="s">
        <v>2214</v>
      </c>
      <c r="C11632" s="35" t="s">
        <v>2215</v>
      </c>
      <c r="D11632" s="35" t="s">
        <v>949</v>
      </c>
      <c r="E11632" s="35" t="s">
        <v>2226</v>
      </c>
      <c r="F11632" s="35" t="s">
        <v>2227</v>
      </c>
    </row>
    <row r="11633" spans="1:6">
      <c r="A11633" s="34">
        <v>2084057797</v>
      </c>
      <c r="B11633" s="35" t="s">
        <v>2214</v>
      </c>
      <c r="C11633" s="35" t="s">
        <v>2215</v>
      </c>
      <c r="D11633" s="35" t="s">
        <v>949</v>
      </c>
      <c r="E11633" s="35" t="s">
        <v>2226</v>
      </c>
      <c r="F11633" s="35" t="s">
        <v>2228</v>
      </c>
    </row>
    <row r="11634" spans="1:6">
      <c r="A11634" s="34">
        <v>2084057799</v>
      </c>
      <c r="B11634" s="35" t="s">
        <v>2214</v>
      </c>
      <c r="C11634" s="35" t="s">
        <v>2215</v>
      </c>
      <c r="D11634" s="35" t="s">
        <v>949</v>
      </c>
      <c r="E11634" s="35" t="s">
        <v>2245</v>
      </c>
    </row>
    <row r="11635" spans="1:6">
      <c r="A11635" s="34">
        <v>2084057800</v>
      </c>
      <c r="B11635" s="35" t="s">
        <v>2214</v>
      </c>
      <c r="C11635" s="35" t="s">
        <v>2215</v>
      </c>
      <c r="D11635" s="35" t="s">
        <v>949</v>
      </c>
      <c r="E11635" s="35" t="s">
        <v>2246</v>
      </c>
    </row>
    <row r="11636" spans="1:6">
      <c r="A11636" s="34">
        <v>2084057801</v>
      </c>
      <c r="B11636" s="35" t="s">
        <v>2214</v>
      </c>
      <c r="C11636" s="35" t="s">
        <v>2215</v>
      </c>
      <c r="D11636" s="35" t="s">
        <v>949</v>
      </c>
      <c r="E11636" s="35" t="s">
        <v>2218</v>
      </c>
    </row>
    <row r="11637" spans="1:6">
      <c r="A11637" s="34">
        <v>2084057802</v>
      </c>
      <c r="B11637" s="35" t="s">
        <v>2214</v>
      </c>
      <c r="C11637" s="35" t="s">
        <v>2215</v>
      </c>
      <c r="D11637" s="35" t="s">
        <v>949</v>
      </c>
      <c r="E11637" s="35" t="s">
        <v>335</v>
      </c>
    </row>
    <row r="11638" spans="1:6">
      <c r="A11638" s="34">
        <v>2084057917</v>
      </c>
      <c r="B11638" s="35" t="s">
        <v>2214</v>
      </c>
      <c r="C11638" s="35" t="s">
        <v>2215</v>
      </c>
      <c r="D11638" s="35" t="s">
        <v>2247</v>
      </c>
      <c r="E11638" s="35" t="s">
        <v>2218</v>
      </c>
    </row>
    <row r="11639" spans="1:6">
      <c r="A11639" s="34">
        <v>2084057918</v>
      </c>
      <c r="B11639" s="35" t="s">
        <v>2214</v>
      </c>
      <c r="C11639" s="35" t="s">
        <v>2215</v>
      </c>
      <c r="D11639" s="35" t="s">
        <v>2247</v>
      </c>
      <c r="E11639" s="35" t="s">
        <v>335</v>
      </c>
    </row>
    <row r="11640" spans="1:6">
      <c r="A11640" s="34">
        <v>2084057888</v>
      </c>
      <c r="B11640" s="35" t="s">
        <v>2214</v>
      </c>
      <c r="C11640" s="35" t="s">
        <v>2215</v>
      </c>
      <c r="D11640" s="35" t="s">
        <v>2248</v>
      </c>
      <c r="E11640" s="35" t="s">
        <v>2216</v>
      </c>
    </row>
    <row r="11641" spans="1:6">
      <c r="A11641" s="34">
        <v>2084057889</v>
      </c>
      <c r="B11641" s="35" t="s">
        <v>2214</v>
      </c>
      <c r="C11641" s="35" t="s">
        <v>2215</v>
      </c>
      <c r="D11641" s="35" t="s">
        <v>2248</v>
      </c>
      <c r="E11641" s="35" t="s">
        <v>2218</v>
      </c>
    </row>
    <row r="11642" spans="1:6">
      <c r="A11642" s="34">
        <v>2084057890</v>
      </c>
      <c r="B11642" s="35" t="s">
        <v>2214</v>
      </c>
      <c r="C11642" s="35" t="s">
        <v>2215</v>
      </c>
      <c r="D11642" s="35" t="s">
        <v>2248</v>
      </c>
      <c r="E11642" s="35" t="s">
        <v>335</v>
      </c>
    </row>
    <row r="11643" spans="1:6">
      <c r="A11643" s="34">
        <v>2084062114</v>
      </c>
      <c r="B11643" s="35" t="s">
        <v>2214</v>
      </c>
      <c r="C11643" s="35" t="s">
        <v>2215</v>
      </c>
      <c r="D11643" s="35" t="s">
        <v>941</v>
      </c>
      <c r="E11643" s="35" t="s">
        <v>2221</v>
      </c>
    </row>
    <row r="11644" spans="1:6">
      <c r="A11644" s="34">
        <v>2084062117</v>
      </c>
      <c r="B11644" s="35" t="s">
        <v>2214</v>
      </c>
      <c r="C11644" s="35" t="s">
        <v>2215</v>
      </c>
      <c r="D11644" s="35" t="s">
        <v>941</v>
      </c>
      <c r="E11644" s="35" t="s">
        <v>2249</v>
      </c>
    </row>
    <row r="11645" spans="1:6">
      <c r="A11645" s="34">
        <v>2084062115</v>
      </c>
      <c r="B11645" s="35" t="s">
        <v>2214</v>
      </c>
      <c r="C11645" s="35" t="s">
        <v>2215</v>
      </c>
      <c r="D11645" s="35" t="s">
        <v>941</v>
      </c>
      <c r="E11645" s="35" t="s">
        <v>2216</v>
      </c>
    </row>
    <row r="11646" spans="1:6">
      <c r="A11646" s="34">
        <v>2084062116</v>
      </c>
      <c r="B11646" s="35" t="s">
        <v>2214</v>
      </c>
      <c r="C11646" s="35" t="s">
        <v>2215</v>
      </c>
      <c r="D11646" s="35" t="s">
        <v>941</v>
      </c>
      <c r="E11646" s="35" t="s">
        <v>2217</v>
      </c>
    </row>
    <row r="11647" spans="1:6">
      <c r="A11647" s="34">
        <v>2084062118</v>
      </c>
      <c r="B11647" s="35" t="s">
        <v>2214</v>
      </c>
      <c r="C11647" s="35" t="s">
        <v>2215</v>
      </c>
      <c r="D11647" s="35" t="s">
        <v>941</v>
      </c>
      <c r="E11647" s="35" t="s">
        <v>335</v>
      </c>
    </row>
    <row r="11648" spans="1:6">
      <c r="A11648" s="34">
        <v>2084259184</v>
      </c>
      <c r="B11648" s="35" t="s">
        <v>2214</v>
      </c>
      <c r="C11648" s="35" t="s">
        <v>2215</v>
      </c>
      <c r="D11648" s="35" t="s">
        <v>2250</v>
      </c>
    </row>
    <row r="11649" spans="1:5">
      <c r="A11649" s="34">
        <v>2084211404</v>
      </c>
      <c r="B11649" s="35" t="s">
        <v>2214</v>
      </c>
      <c r="C11649" s="35" t="s">
        <v>2215</v>
      </c>
      <c r="D11649" s="35" t="s">
        <v>2251</v>
      </c>
      <c r="E11649" s="35" t="s">
        <v>2218</v>
      </c>
    </row>
    <row r="11650" spans="1:5">
      <c r="A11650" s="34">
        <v>2084211405</v>
      </c>
      <c r="B11650" s="35" t="s">
        <v>2214</v>
      </c>
      <c r="C11650" s="35" t="s">
        <v>2215</v>
      </c>
      <c r="D11650" s="35" t="s">
        <v>2251</v>
      </c>
      <c r="E11650" s="35" t="s">
        <v>335</v>
      </c>
    </row>
    <row r="11651" spans="1:5">
      <c r="A11651" s="34">
        <v>2084195386</v>
      </c>
      <c r="B11651" s="35" t="s">
        <v>2214</v>
      </c>
      <c r="C11651" s="35" t="s">
        <v>2215</v>
      </c>
      <c r="D11651" s="35" t="s">
        <v>2252</v>
      </c>
      <c r="E11651" s="35" t="s">
        <v>2221</v>
      </c>
    </row>
    <row r="11652" spans="1:5">
      <c r="A11652" s="34">
        <v>2084195387</v>
      </c>
      <c r="B11652" s="35" t="s">
        <v>2214</v>
      </c>
      <c r="C11652" s="35" t="s">
        <v>2215</v>
      </c>
      <c r="D11652" s="35" t="s">
        <v>2252</v>
      </c>
      <c r="E11652" s="35" t="s">
        <v>2216</v>
      </c>
    </row>
    <row r="11653" spans="1:5">
      <c r="A11653" s="34">
        <v>2084195388</v>
      </c>
      <c r="B11653" s="35" t="s">
        <v>2214</v>
      </c>
      <c r="C11653" s="35" t="s">
        <v>2215</v>
      </c>
      <c r="D11653" s="35" t="s">
        <v>2252</v>
      </c>
      <c r="E11653" s="35" t="s">
        <v>2217</v>
      </c>
    </row>
    <row r="11654" spans="1:5">
      <c r="A11654" s="34">
        <v>2084195389</v>
      </c>
      <c r="B11654" s="35" t="s">
        <v>2214</v>
      </c>
      <c r="C11654" s="35" t="s">
        <v>2215</v>
      </c>
      <c r="D11654" s="35" t="s">
        <v>2252</v>
      </c>
      <c r="E11654" s="35" t="s">
        <v>2218</v>
      </c>
    </row>
    <row r="11655" spans="1:5">
      <c r="A11655" s="34">
        <v>2084195390</v>
      </c>
      <c r="B11655" s="35" t="s">
        <v>2214</v>
      </c>
      <c r="C11655" s="35" t="s">
        <v>2215</v>
      </c>
      <c r="D11655" s="35" t="s">
        <v>2252</v>
      </c>
      <c r="E11655" s="35" t="s">
        <v>335</v>
      </c>
    </row>
    <row r="11656" spans="1:5">
      <c r="A11656" s="34">
        <v>2084057893</v>
      </c>
      <c r="B11656" s="35" t="s">
        <v>2214</v>
      </c>
      <c r="C11656" s="35" t="s">
        <v>2215</v>
      </c>
      <c r="D11656" s="35" t="s">
        <v>2253</v>
      </c>
      <c r="E11656" s="35" t="s">
        <v>2221</v>
      </c>
    </row>
    <row r="11657" spans="1:5">
      <c r="A11657" s="34">
        <v>2084057894</v>
      </c>
      <c r="B11657" s="35" t="s">
        <v>2214</v>
      </c>
      <c r="C11657" s="35" t="s">
        <v>2215</v>
      </c>
      <c r="D11657" s="35" t="s">
        <v>2253</v>
      </c>
      <c r="E11657" s="35" t="s">
        <v>2216</v>
      </c>
    </row>
    <row r="11658" spans="1:5">
      <c r="A11658" s="34">
        <v>2084057895</v>
      </c>
      <c r="B11658" s="35" t="s">
        <v>2214</v>
      </c>
      <c r="C11658" s="35" t="s">
        <v>2215</v>
      </c>
      <c r="D11658" s="35" t="s">
        <v>2253</v>
      </c>
      <c r="E11658" s="35" t="s">
        <v>2218</v>
      </c>
    </row>
    <row r="11659" spans="1:5">
      <c r="A11659" s="34">
        <v>2084057896</v>
      </c>
      <c r="B11659" s="35" t="s">
        <v>2214</v>
      </c>
      <c r="C11659" s="35" t="s">
        <v>2215</v>
      </c>
      <c r="D11659" s="35" t="s">
        <v>2253</v>
      </c>
      <c r="E11659" s="35" t="s">
        <v>335</v>
      </c>
    </row>
    <row r="11660" spans="1:5">
      <c r="A11660" s="34">
        <v>2084212691</v>
      </c>
      <c r="B11660" s="35" t="s">
        <v>2214</v>
      </c>
      <c r="C11660" s="35" t="s">
        <v>2215</v>
      </c>
      <c r="D11660" s="35" t="s">
        <v>2254</v>
      </c>
      <c r="E11660" s="35" t="s">
        <v>2216</v>
      </c>
    </row>
    <row r="11661" spans="1:5">
      <c r="A11661" s="34">
        <v>2084212692</v>
      </c>
      <c r="B11661" s="35" t="s">
        <v>2214</v>
      </c>
      <c r="C11661" s="35" t="s">
        <v>2215</v>
      </c>
      <c r="D11661" s="35" t="s">
        <v>2254</v>
      </c>
      <c r="E11661" s="35" t="s">
        <v>2218</v>
      </c>
    </row>
    <row r="11662" spans="1:5">
      <c r="A11662" s="34">
        <v>2084212693</v>
      </c>
      <c r="B11662" s="35" t="s">
        <v>2214</v>
      </c>
      <c r="C11662" s="35" t="s">
        <v>2215</v>
      </c>
      <c r="D11662" s="35" t="s">
        <v>2254</v>
      </c>
      <c r="E11662" s="35" t="s">
        <v>335</v>
      </c>
    </row>
    <row r="11663" spans="1:5">
      <c r="A11663" s="34">
        <v>2084061873</v>
      </c>
      <c r="B11663" s="35" t="s">
        <v>2214</v>
      </c>
      <c r="C11663" s="35" t="s">
        <v>2215</v>
      </c>
      <c r="D11663" s="35" t="s">
        <v>2255</v>
      </c>
      <c r="E11663" s="35" t="s">
        <v>2249</v>
      </c>
    </row>
    <row r="11664" spans="1:5">
      <c r="A11664" s="34">
        <v>2084061874</v>
      </c>
      <c r="B11664" s="35" t="s">
        <v>2214</v>
      </c>
      <c r="C11664" s="35" t="s">
        <v>2215</v>
      </c>
      <c r="D11664" s="35" t="s">
        <v>2255</v>
      </c>
      <c r="E11664" s="35" t="s">
        <v>335</v>
      </c>
    </row>
    <row r="11665" spans="1:8">
      <c r="A11665" s="34">
        <v>2084211291</v>
      </c>
      <c r="B11665" s="35" t="s">
        <v>2214</v>
      </c>
      <c r="C11665" s="35" t="s">
        <v>2215</v>
      </c>
      <c r="D11665" s="35" t="s">
        <v>2256</v>
      </c>
      <c r="E11665" s="35" t="s">
        <v>2218</v>
      </c>
    </row>
    <row r="11666" spans="1:8">
      <c r="A11666" s="34">
        <v>2084211292</v>
      </c>
      <c r="B11666" s="35" t="s">
        <v>2214</v>
      </c>
      <c r="C11666" s="35" t="s">
        <v>2215</v>
      </c>
      <c r="D11666" s="35" t="s">
        <v>2256</v>
      </c>
      <c r="E11666" s="35" t="s">
        <v>335</v>
      </c>
    </row>
    <row r="11667" spans="1:8">
      <c r="A11667" s="34">
        <v>2084061867</v>
      </c>
      <c r="B11667" s="35" t="s">
        <v>2214</v>
      </c>
      <c r="C11667" s="35" t="s">
        <v>2215</v>
      </c>
      <c r="D11667" s="35" t="s">
        <v>1044</v>
      </c>
      <c r="E11667" s="35" t="s">
        <v>2249</v>
      </c>
    </row>
    <row r="11668" spans="1:8">
      <c r="A11668" s="34">
        <v>2084061868</v>
      </c>
      <c r="B11668" s="35" t="s">
        <v>2214</v>
      </c>
      <c r="C11668" s="35" t="s">
        <v>2215</v>
      </c>
      <c r="D11668" s="35" t="s">
        <v>1044</v>
      </c>
      <c r="E11668" s="35" t="s">
        <v>2257</v>
      </c>
    </row>
    <row r="11669" spans="1:8">
      <c r="A11669" s="34">
        <v>2084061869</v>
      </c>
      <c r="B11669" s="35" t="s">
        <v>2214</v>
      </c>
      <c r="C11669" s="35" t="s">
        <v>2215</v>
      </c>
      <c r="D11669" s="35" t="s">
        <v>1044</v>
      </c>
      <c r="E11669" s="35" t="s">
        <v>335</v>
      </c>
    </row>
    <row r="11670" spans="1:8">
      <c r="A11670" s="34">
        <v>2084052595</v>
      </c>
      <c r="B11670" s="35" t="s">
        <v>2214</v>
      </c>
      <c r="C11670" s="35" t="s">
        <v>2215</v>
      </c>
      <c r="D11670" s="35" t="s">
        <v>1070</v>
      </c>
      <c r="E11670" s="35" t="s">
        <v>2223</v>
      </c>
      <c r="F11670" s="35" t="s">
        <v>2224</v>
      </c>
    </row>
    <row r="11671" spans="1:8">
      <c r="A11671" s="34">
        <v>2084052596</v>
      </c>
      <c r="B11671" s="35" t="s">
        <v>2214</v>
      </c>
      <c r="C11671" s="35" t="s">
        <v>2215</v>
      </c>
      <c r="D11671" s="35" t="s">
        <v>1070</v>
      </c>
      <c r="E11671" s="35" t="s">
        <v>2223</v>
      </c>
      <c r="F11671" s="35" t="s">
        <v>2225</v>
      </c>
    </row>
    <row r="11672" spans="1:8">
      <c r="A11672" s="34">
        <v>2084059819</v>
      </c>
      <c r="B11672" s="35" t="s">
        <v>2214</v>
      </c>
      <c r="C11672" s="35" t="s">
        <v>2215</v>
      </c>
      <c r="D11672" s="35" t="s">
        <v>1070</v>
      </c>
      <c r="E11672" s="35" t="s">
        <v>2249</v>
      </c>
    </row>
    <row r="11673" spans="1:8">
      <c r="A11673" s="34">
        <v>2084052600</v>
      </c>
      <c r="B11673" s="35" t="s">
        <v>2214</v>
      </c>
      <c r="C11673" s="35" t="s">
        <v>2215</v>
      </c>
      <c r="D11673" s="35" t="s">
        <v>1070</v>
      </c>
      <c r="E11673" s="35" t="s">
        <v>2239</v>
      </c>
      <c r="F11673" s="35" t="s">
        <v>2240</v>
      </c>
    </row>
    <row r="11674" spans="1:8">
      <c r="A11674" s="34">
        <v>2084209462</v>
      </c>
      <c r="B11674" s="35" t="s">
        <v>2214</v>
      </c>
      <c r="C11674" s="35" t="s">
        <v>2215</v>
      </c>
      <c r="D11674" s="35" t="s">
        <v>1070</v>
      </c>
      <c r="E11674" s="35" t="s">
        <v>2239</v>
      </c>
      <c r="F11674" s="35" t="s">
        <v>2258</v>
      </c>
      <c r="G11674" s="35" t="s">
        <v>2231</v>
      </c>
      <c r="H11674" s="35" t="s">
        <v>2232</v>
      </c>
    </row>
    <row r="11675" spans="1:8">
      <c r="A11675" s="34">
        <v>2084209463</v>
      </c>
      <c r="B11675" s="35" t="s">
        <v>2214</v>
      </c>
      <c r="C11675" s="35" t="s">
        <v>2215</v>
      </c>
      <c r="D11675" s="35" t="s">
        <v>1070</v>
      </c>
      <c r="E11675" s="35" t="s">
        <v>2239</v>
      </c>
      <c r="F11675" s="35" t="s">
        <v>2258</v>
      </c>
      <c r="G11675" s="35" t="s">
        <v>2231</v>
      </c>
      <c r="H11675" s="35" t="s">
        <v>2233</v>
      </c>
    </row>
    <row r="11676" spans="1:8">
      <c r="A11676" s="34">
        <v>2084209461</v>
      </c>
      <c r="B11676" s="35" t="s">
        <v>2214</v>
      </c>
      <c r="C11676" s="35" t="s">
        <v>2215</v>
      </c>
      <c r="D11676" s="35" t="s">
        <v>1070</v>
      </c>
      <c r="E11676" s="35" t="s">
        <v>2239</v>
      </c>
      <c r="F11676" s="35" t="s">
        <v>2258</v>
      </c>
      <c r="G11676" s="35" t="s">
        <v>2231</v>
      </c>
      <c r="H11676" s="35" t="s">
        <v>2234</v>
      </c>
    </row>
    <row r="11677" spans="1:8">
      <c r="A11677" s="34">
        <v>2084209467</v>
      </c>
      <c r="B11677" s="35" t="s">
        <v>2214</v>
      </c>
      <c r="C11677" s="35" t="s">
        <v>2215</v>
      </c>
      <c r="D11677" s="35" t="s">
        <v>1070</v>
      </c>
      <c r="E11677" s="35" t="s">
        <v>2239</v>
      </c>
      <c r="F11677" s="35" t="s">
        <v>2258</v>
      </c>
      <c r="G11677" s="35" t="s">
        <v>2231</v>
      </c>
      <c r="H11677" s="35" t="s">
        <v>335</v>
      </c>
    </row>
    <row r="11678" spans="1:8">
      <c r="A11678" s="34">
        <v>2084211527</v>
      </c>
      <c r="B11678" s="35" t="s">
        <v>2214</v>
      </c>
      <c r="C11678" s="35" t="s">
        <v>2215</v>
      </c>
      <c r="D11678" s="35" t="s">
        <v>1070</v>
      </c>
      <c r="E11678" s="35" t="s">
        <v>2239</v>
      </c>
      <c r="F11678" s="35" t="s">
        <v>2258</v>
      </c>
      <c r="G11678" s="35" t="s">
        <v>2259</v>
      </c>
      <c r="H11678" s="35">
        <v>1837</v>
      </c>
    </row>
    <row r="11679" spans="1:8">
      <c r="A11679" s="34">
        <v>2084211520</v>
      </c>
      <c r="B11679" s="35" t="s">
        <v>2214</v>
      </c>
      <c r="C11679" s="35" t="s">
        <v>2215</v>
      </c>
      <c r="D11679" s="35" t="s">
        <v>1070</v>
      </c>
      <c r="E11679" s="35" t="s">
        <v>2239</v>
      </c>
      <c r="F11679" s="35" t="s">
        <v>2258</v>
      </c>
      <c r="G11679" s="35" t="s">
        <v>2259</v>
      </c>
      <c r="H11679" s="35" t="s">
        <v>2260</v>
      </c>
    </row>
    <row r="11680" spans="1:8">
      <c r="A11680" s="34">
        <v>2084211526</v>
      </c>
      <c r="B11680" s="35" t="s">
        <v>2214</v>
      </c>
      <c r="C11680" s="35" t="s">
        <v>2215</v>
      </c>
      <c r="D11680" s="35" t="s">
        <v>1070</v>
      </c>
      <c r="E11680" s="35" t="s">
        <v>2239</v>
      </c>
      <c r="F11680" s="35" t="s">
        <v>2258</v>
      </c>
      <c r="G11680" s="35" t="s">
        <v>2259</v>
      </c>
      <c r="H11680" s="35" t="s">
        <v>2261</v>
      </c>
    </row>
    <row r="11681" spans="1:8">
      <c r="A11681" s="34">
        <v>2084211522</v>
      </c>
      <c r="B11681" s="35" t="s">
        <v>2214</v>
      </c>
      <c r="C11681" s="35" t="s">
        <v>2215</v>
      </c>
      <c r="D11681" s="35" t="s">
        <v>1070</v>
      </c>
      <c r="E11681" s="35" t="s">
        <v>2239</v>
      </c>
      <c r="F11681" s="35" t="s">
        <v>2258</v>
      </c>
      <c r="G11681" s="35" t="s">
        <v>2259</v>
      </c>
      <c r="H11681" s="35" t="s">
        <v>2262</v>
      </c>
    </row>
    <row r="11682" spans="1:8">
      <c r="A11682" s="34">
        <v>2084211517</v>
      </c>
      <c r="B11682" s="35" t="s">
        <v>2214</v>
      </c>
      <c r="C11682" s="35" t="s">
        <v>2215</v>
      </c>
      <c r="D11682" s="35" t="s">
        <v>1070</v>
      </c>
      <c r="E11682" s="35" t="s">
        <v>2239</v>
      </c>
      <c r="F11682" s="35" t="s">
        <v>2258</v>
      </c>
      <c r="G11682" s="35" t="s">
        <v>2259</v>
      </c>
      <c r="H11682" s="35" t="s">
        <v>2263</v>
      </c>
    </row>
    <row r="11683" spans="1:8">
      <c r="A11683" s="34">
        <v>2084211523</v>
      </c>
      <c r="B11683" s="35" t="s">
        <v>2214</v>
      </c>
      <c r="C11683" s="35" t="s">
        <v>2215</v>
      </c>
      <c r="D11683" s="35" t="s">
        <v>1070</v>
      </c>
      <c r="E11683" s="35" t="s">
        <v>2239</v>
      </c>
      <c r="F11683" s="35" t="s">
        <v>2258</v>
      </c>
      <c r="G11683" s="35" t="s">
        <v>2259</v>
      </c>
      <c r="H11683" s="35" t="s">
        <v>2264</v>
      </c>
    </row>
    <row r="11684" spans="1:8">
      <c r="A11684" s="34">
        <v>2084211519</v>
      </c>
      <c r="B11684" s="35" t="s">
        <v>2214</v>
      </c>
      <c r="C11684" s="35" t="s">
        <v>2215</v>
      </c>
      <c r="D11684" s="35" t="s">
        <v>1070</v>
      </c>
      <c r="E11684" s="35" t="s">
        <v>2239</v>
      </c>
      <c r="F11684" s="35" t="s">
        <v>2258</v>
      </c>
      <c r="G11684" s="35" t="s">
        <v>2259</v>
      </c>
      <c r="H11684" s="35" t="s">
        <v>2265</v>
      </c>
    </row>
    <row r="11685" spans="1:8">
      <c r="A11685" s="34">
        <v>2084211521</v>
      </c>
      <c r="B11685" s="35" t="s">
        <v>2214</v>
      </c>
      <c r="C11685" s="35" t="s">
        <v>2215</v>
      </c>
      <c r="D11685" s="35" t="s">
        <v>1070</v>
      </c>
      <c r="E11685" s="35" t="s">
        <v>2239</v>
      </c>
      <c r="F11685" s="35" t="s">
        <v>2258</v>
      </c>
      <c r="G11685" s="35" t="s">
        <v>2259</v>
      </c>
      <c r="H11685" s="35" t="s">
        <v>2266</v>
      </c>
    </row>
    <row r="11686" spans="1:8">
      <c r="A11686" s="34">
        <v>2084211525</v>
      </c>
      <c r="B11686" s="35" t="s">
        <v>2214</v>
      </c>
      <c r="C11686" s="35" t="s">
        <v>2215</v>
      </c>
      <c r="D11686" s="35" t="s">
        <v>1070</v>
      </c>
      <c r="E11686" s="35" t="s">
        <v>2239</v>
      </c>
      <c r="F11686" s="35" t="s">
        <v>2258</v>
      </c>
      <c r="G11686" s="35" t="s">
        <v>2259</v>
      </c>
      <c r="H11686" s="35" t="s">
        <v>2267</v>
      </c>
    </row>
    <row r="11687" spans="1:8">
      <c r="A11687" s="34">
        <v>2084211518</v>
      </c>
      <c r="B11687" s="35" t="s">
        <v>2214</v>
      </c>
      <c r="C11687" s="35" t="s">
        <v>2215</v>
      </c>
      <c r="D11687" s="35" t="s">
        <v>1070</v>
      </c>
      <c r="E11687" s="35" t="s">
        <v>2239</v>
      </c>
      <c r="F11687" s="35" t="s">
        <v>2258</v>
      </c>
      <c r="G11687" s="35" t="s">
        <v>2259</v>
      </c>
      <c r="H11687" s="35" t="s">
        <v>2268</v>
      </c>
    </row>
    <row r="11688" spans="1:8">
      <c r="A11688" s="34">
        <v>2084211524</v>
      </c>
      <c r="B11688" s="35" t="s">
        <v>2214</v>
      </c>
      <c r="C11688" s="35" t="s">
        <v>2215</v>
      </c>
      <c r="D11688" s="35" t="s">
        <v>1070</v>
      </c>
      <c r="E11688" s="35" t="s">
        <v>2239</v>
      </c>
      <c r="F11688" s="35" t="s">
        <v>2258</v>
      </c>
      <c r="G11688" s="35" t="s">
        <v>2259</v>
      </c>
      <c r="H11688" s="35" t="s">
        <v>2269</v>
      </c>
    </row>
    <row r="11689" spans="1:8">
      <c r="A11689" s="34">
        <v>2084211528</v>
      </c>
      <c r="B11689" s="35" t="s">
        <v>2214</v>
      </c>
      <c r="C11689" s="35" t="s">
        <v>2215</v>
      </c>
      <c r="D11689" s="35" t="s">
        <v>1070</v>
      </c>
      <c r="E11689" s="35" t="s">
        <v>2239</v>
      </c>
      <c r="F11689" s="35" t="s">
        <v>2258</v>
      </c>
      <c r="G11689" s="35" t="s">
        <v>2259</v>
      </c>
      <c r="H11689" s="35" t="s">
        <v>2270</v>
      </c>
    </row>
    <row r="11690" spans="1:8">
      <c r="A11690" s="34">
        <v>2084211529</v>
      </c>
      <c r="B11690" s="35" t="s">
        <v>2214</v>
      </c>
      <c r="C11690" s="35" t="s">
        <v>2215</v>
      </c>
      <c r="D11690" s="35" t="s">
        <v>1070</v>
      </c>
      <c r="E11690" s="35" t="s">
        <v>2239</v>
      </c>
      <c r="F11690" s="35" t="s">
        <v>2258</v>
      </c>
      <c r="G11690" s="35" t="s">
        <v>2259</v>
      </c>
      <c r="H11690" s="35" t="s">
        <v>2271</v>
      </c>
    </row>
    <row r="11691" spans="1:8">
      <c r="A11691" s="34">
        <v>2084211530</v>
      </c>
      <c r="B11691" s="35" t="s">
        <v>2214</v>
      </c>
      <c r="C11691" s="35" t="s">
        <v>2215</v>
      </c>
      <c r="D11691" s="35" t="s">
        <v>1070</v>
      </c>
      <c r="E11691" s="35" t="s">
        <v>2239</v>
      </c>
      <c r="F11691" s="35" t="s">
        <v>2258</v>
      </c>
      <c r="G11691" s="35" t="s">
        <v>2259</v>
      </c>
      <c r="H11691" s="35" t="s">
        <v>335</v>
      </c>
    </row>
    <row r="11692" spans="1:8">
      <c r="A11692" s="34">
        <v>2084209464</v>
      </c>
      <c r="B11692" s="35" t="s">
        <v>2214</v>
      </c>
      <c r="C11692" s="35" t="s">
        <v>2215</v>
      </c>
      <c r="D11692" s="35" t="s">
        <v>1070</v>
      </c>
      <c r="E11692" s="35" t="s">
        <v>2239</v>
      </c>
      <c r="F11692" s="35" t="s">
        <v>2258</v>
      </c>
      <c r="G11692" s="35" t="s">
        <v>2235</v>
      </c>
    </row>
    <row r="11693" spans="1:8">
      <c r="A11693" s="34">
        <v>2084209466</v>
      </c>
      <c r="B11693" s="35" t="s">
        <v>2214</v>
      </c>
      <c r="C11693" s="35" t="s">
        <v>2215</v>
      </c>
      <c r="D11693" s="35" t="s">
        <v>1070</v>
      </c>
      <c r="E11693" s="35" t="s">
        <v>2239</v>
      </c>
      <c r="F11693" s="35" t="s">
        <v>2258</v>
      </c>
      <c r="G11693" s="35" t="s">
        <v>335</v>
      </c>
    </row>
    <row r="11694" spans="1:8">
      <c r="A11694" s="34">
        <v>2084052599</v>
      </c>
      <c r="B11694" s="35" t="s">
        <v>2214</v>
      </c>
      <c r="C11694" s="35" t="s">
        <v>2215</v>
      </c>
      <c r="D11694" s="35" t="s">
        <v>1070</v>
      </c>
      <c r="E11694" s="35" t="s">
        <v>2239</v>
      </c>
      <c r="F11694" s="35" t="s">
        <v>2272</v>
      </c>
    </row>
    <row r="11695" spans="1:8">
      <c r="A11695" s="34">
        <v>2084052603</v>
      </c>
      <c r="B11695" s="35" t="s">
        <v>2214</v>
      </c>
      <c r="C11695" s="35" t="s">
        <v>2215</v>
      </c>
      <c r="D11695" s="35" t="s">
        <v>1070</v>
      </c>
      <c r="E11695" s="35" t="s">
        <v>2226</v>
      </c>
      <c r="F11695" s="35" t="s">
        <v>2227</v>
      </c>
    </row>
    <row r="11696" spans="1:8">
      <c r="A11696" s="34">
        <v>2084052602</v>
      </c>
      <c r="B11696" s="35" t="s">
        <v>2214</v>
      </c>
      <c r="C11696" s="35" t="s">
        <v>2215</v>
      </c>
      <c r="D11696" s="35" t="s">
        <v>1070</v>
      </c>
      <c r="E11696" s="35" t="s">
        <v>2226</v>
      </c>
      <c r="F11696" s="35" t="s">
        <v>2228</v>
      </c>
    </row>
    <row r="11697" spans="1:7">
      <c r="A11697" s="34">
        <v>2084209478</v>
      </c>
      <c r="B11697" s="35" t="s">
        <v>2214</v>
      </c>
      <c r="C11697" s="35" t="s">
        <v>2215</v>
      </c>
      <c r="D11697" s="35" t="s">
        <v>1070</v>
      </c>
      <c r="E11697" s="35" t="s">
        <v>2230</v>
      </c>
      <c r="F11697" s="35" t="s">
        <v>2231</v>
      </c>
      <c r="G11697" s="35" t="s">
        <v>2232</v>
      </c>
    </row>
    <row r="11698" spans="1:7">
      <c r="A11698" s="34">
        <v>2084209491</v>
      </c>
      <c r="B11698" s="35" t="s">
        <v>2214</v>
      </c>
      <c r="C11698" s="35" t="s">
        <v>2215</v>
      </c>
      <c r="D11698" s="35" t="s">
        <v>1070</v>
      </c>
      <c r="E11698" s="35" t="s">
        <v>2230</v>
      </c>
      <c r="F11698" s="35" t="s">
        <v>2231</v>
      </c>
      <c r="G11698" s="35" t="s">
        <v>2233</v>
      </c>
    </row>
    <row r="11699" spans="1:7">
      <c r="A11699" s="34">
        <v>2084209469</v>
      </c>
      <c r="B11699" s="35" t="s">
        <v>2214</v>
      </c>
      <c r="C11699" s="35" t="s">
        <v>2215</v>
      </c>
      <c r="D11699" s="35" t="s">
        <v>1070</v>
      </c>
      <c r="E11699" s="35" t="s">
        <v>2230</v>
      </c>
      <c r="F11699" s="35" t="s">
        <v>2231</v>
      </c>
      <c r="G11699" s="35" t="s">
        <v>2234</v>
      </c>
    </row>
    <row r="11700" spans="1:7">
      <c r="A11700" s="34">
        <v>2084209514</v>
      </c>
      <c r="B11700" s="35" t="s">
        <v>2214</v>
      </c>
      <c r="C11700" s="35" t="s">
        <v>2215</v>
      </c>
      <c r="D11700" s="35" t="s">
        <v>1070</v>
      </c>
      <c r="E11700" s="35" t="s">
        <v>2230</v>
      </c>
      <c r="F11700" s="35" t="s">
        <v>2231</v>
      </c>
      <c r="G11700" s="35" t="s">
        <v>335</v>
      </c>
    </row>
    <row r="11701" spans="1:7">
      <c r="A11701" s="34">
        <v>2084209566</v>
      </c>
      <c r="B11701" s="35" t="s">
        <v>2214</v>
      </c>
      <c r="C11701" s="35" t="s">
        <v>2215</v>
      </c>
      <c r="D11701" s="35" t="s">
        <v>1070</v>
      </c>
      <c r="E11701" s="35" t="s">
        <v>2230</v>
      </c>
      <c r="F11701" s="35" t="s">
        <v>1677</v>
      </c>
    </row>
    <row r="11702" spans="1:7">
      <c r="A11702" s="34">
        <v>2084209547</v>
      </c>
      <c r="B11702" s="35" t="s">
        <v>2214</v>
      </c>
      <c r="C11702" s="35" t="s">
        <v>2215</v>
      </c>
      <c r="D11702" s="35" t="s">
        <v>1070</v>
      </c>
      <c r="E11702" s="35" t="s">
        <v>2230</v>
      </c>
      <c r="F11702" s="35" t="s">
        <v>2235</v>
      </c>
    </row>
    <row r="11703" spans="1:7">
      <c r="A11703" s="34">
        <v>2084209587</v>
      </c>
      <c r="B11703" s="35" t="s">
        <v>2214</v>
      </c>
      <c r="C11703" s="35" t="s">
        <v>2215</v>
      </c>
      <c r="D11703" s="35" t="s">
        <v>1070</v>
      </c>
      <c r="E11703" s="35" t="s">
        <v>2230</v>
      </c>
      <c r="F11703" s="35" t="s">
        <v>335</v>
      </c>
    </row>
    <row r="11704" spans="1:7">
      <c r="A11704" s="34">
        <v>2084052606</v>
      </c>
      <c r="B11704" s="35" t="s">
        <v>2214</v>
      </c>
      <c r="C11704" s="35" t="s">
        <v>2215</v>
      </c>
      <c r="D11704" s="35" t="s">
        <v>1070</v>
      </c>
      <c r="E11704" s="35" t="s">
        <v>335</v>
      </c>
    </row>
    <row r="11705" spans="1:7">
      <c r="A11705" s="34">
        <v>2084195391</v>
      </c>
      <c r="B11705" s="35" t="s">
        <v>2214</v>
      </c>
      <c r="C11705" s="35" t="s">
        <v>2215</v>
      </c>
      <c r="D11705" s="35" t="s">
        <v>2273</v>
      </c>
    </row>
    <row r="11706" spans="1:7">
      <c r="A11706" s="34">
        <v>2084211401</v>
      </c>
      <c r="B11706" s="35" t="s">
        <v>2214</v>
      </c>
      <c r="C11706" s="35" t="s">
        <v>2215</v>
      </c>
      <c r="D11706" s="35" t="s">
        <v>2274</v>
      </c>
      <c r="E11706" s="35" t="s">
        <v>2218</v>
      </c>
    </row>
    <row r="11707" spans="1:7">
      <c r="A11707" s="34">
        <v>2084211402</v>
      </c>
      <c r="B11707" s="35" t="s">
        <v>2214</v>
      </c>
      <c r="C11707" s="35" t="s">
        <v>2215</v>
      </c>
      <c r="D11707" s="35" t="s">
        <v>2274</v>
      </c>
      <c r="E11707" s="35" t="s">
        <v>335</v>
      </c>
    </row>
    <row r="11708" spans="1:7">
      <c r="A11708" s="34">
        <v>2084059827</v>
      </c>
      <c r="B11708" s="35" t="s">
        <v>2214</v>
      </c>
      <c r="C11708" s="35" t="s">
        <v>2215</v>
      </c>
      <c r="D11708" s="35" t="s">
        <v>1118</v>
      </c>
      <c r="E11708" s="35" t="s">
        <v>2216</v>
      </c>
    </row>
    <row r="11709" spans="1:7">
      <c r="A11709" s="34">
        <v>2084059828</v>
      </c>
      <c r="B11709" s="35" t="s">
        <v>2214</v>
      </c>
      <c r="C11709" s="35" t="s">
        <v>2215</v>
      </c>
      <c r="D11709" s="35" t="s">
        <v>1118</v>
      </c>
      <c r="E11709" s="35" t="s">
        <v>2218</v>
      </c>
    </row>
    <row r="11710" spans="1:7">
      <c r="A11710" s="34">
        <v>2084059829</v>
      </c>
      <c r="B11710" s="35" t="s">
        <v>2214</v>
      </c>
      <c r="C11710" s="35" t="s">
        <v>2215</v>
      </c>
      <c r="D11710" s="35" t="s">
        <v>1118</v>
      </c>
      <c r="E11710" s="35" t="s">
        <v>335</v>
      </c>
    </row>
    <row r="11711" spans="1:7">
      <c r="A11711" s="34">
        <v>2084061901</v>
      </c>
      <c r="B11711" s="35" t="s">
        <v>2214</v>
      </c>
      <c r="C11711" s="35" t="s">
        <v>2215</v>
      </c>
      <c r="D11711" s="35" t="s">
        <v>2275</v>
      </c>
      <c r="E11711" s="35" t="s">
        <v>2221</v>
      </c>
    </row>
    <row r="11712" spans="1:7">
      <c r="A11712" s="34">
        <v>2084061902</v>
      </c>
      <c r="B11712" s="35" t="s">
        <v>2214</v>
      </c>
      <c r="C11712" s="35" t="s">
        <v>2215</v>
      </c>
      <c r="D11712" s="35" t="s">
        <v>2275</v>
      </c>
      <c r="E11712" s="35" t="s">
        <v>2216</v>
      </c>
    </row>
    <row r="11713" spans="1:5">
      <c r="A11713" s="34">
        <v>2084061903</v>
      </c>
      <c r="B11713" s="35" t="s">
        <v>2214</v>
      </c>
      <c r="C11713" s="35" t="s">
        <v>2215</v>
      </c>
      <c r="D11713" s="35" t="s">
        <v>2275</v>
      </c>
      <c r="E11713" s="35" t="s">
        <v>2217</v>
      </c>
    </row>
    <row r="11714" spans="1:5">
      <c r="A11714" s="34">
        <v>2084061904</v>
      </c>
      <c r="B11714" s="35" t="s">
        <v>2214</v>
      </c>
      <c r="C11714" s="35" t="s">
        <v>2215</v>
      </c>
      <c r="D11714" s="35" t="s">
        <v>2275</v>
      </c>
      <c r="E11714" s="35" t="s">
        <v>2218</v>
      </c>
    </row>
    <row r="11715" spans="1:5">
      <c r="A11715" s="34">
        <v>2084061905</v>
      </c>
      <c r="B11715" s="35" t="s">
        <v>2214</v>
      </c>
      <c r="C11715" s="35" t="s">
        <v>2215</v>
      </c>
      <c r="D11715" s="35" t="s">
        <v>2275</v>
      </c>
      <c r="E11715" s="35" t="s">
        <v>335</v>
      </c>
    </row>
    <row r="11716" spans="1:5">
      <c r="A11716" s="34">
        <v>2084061783</v>
      </c>
      <c r="B11716" s="35" t="s">
        <v>2214</v>
      </c>
      <c r="C11716" s="35" t="s">
        <v>2215</v>
      </c>
      <c r="D11716" s="35" t="s">
        <v>1143</v>
      </c>
      <c r="E11716" s="35" t="s">
        <v>2216</v>
      </c>
    </row>
    <row r="11717" spans="1:5">
      <c r="A11717" s="34">
        <v>2084061784</v>
      </c>
      <c r="B11717" s="35" t="s">
        <v>2214</v>
      </c>
      <c r="C11717" s="35" t="s">
        <v>2215</v>
      </c>
      <c r="D11717" s="35" t="s">
        <v>1143</v>
      </c>
      <c r="E11717" s="35" t="s">
        <v>2217</v>
      </c>
    </row>
    <row r="11718" spans="1:5">
      <c r="A11718" s="34">
        <v>2084061785</v>
      </c>
      <c r="B11718" s="35" t="s">
        <v>2214</v>
      </c>
      <c r="C11718" s="35" t="s">
        <v>2215</v>
      </c>
      <c r="D11718" s="35" t="s">
        <v>1143</v>
      </c>
      <c r="E11718" s="35" t="s">
        <v>2218</v>
      </c>
    </row>
    <row r="11719" spans="1:5">
      <c r="A11719" s="34">
        <v>2084061786</v>
      </c>
      <c r="B11719" s="35" t="s">
        <v>2214</v>
      </c>
      <c r="C11719" s="35" t="s">
        <v>2215</v>
      </c>
      <c r="D11719" s="35" t="s">
        <v>1143</v>
      </c>
      <c r="E11719" s="35" t="s">
        <v>335</v>
      </c>
    </row>
    <row r="11720" spans="1:5">
      <c r="A11720" s="34">
        <v>2084057898</v>
      </c>
      <c r="B11720" s="35" t="s">
        <v>2214</v>
      </c>
      <c r="C11720" s="35" t="s">
        <v>2215</v>
      </c>
      <c r="D11720" s="35" t="s">
        <v>1152</v>
      </c>
      <c r="E11720" s="35" t="s">
        <v>2216</v>
      </c>
    </row>
    <row r="11721" spans="1:5">
      <c r="A11721" s="34">
        <v>2084057899</v>
      </c>
      <c r="B11721" s="35" t="s">
        <v>2214</v>
      </c>
      <c r="C11721" s="35" t="s">
        <v>2215</v>
      </c>
      <c r="D11721" s="35" t="s">
        <v>1152</v>
      </c>
      <c r="E11721" s="35" t="s">
        <v>2218</v>
      </c>
    </row>
    <row r="11722" spans="1:5">
      <c r="A11722" s="34">
        <v>2084057900</v>
      </c>
      <c r="B11722" s="35" t="s">
        <v>2214</v>
      </c>
      <c r="C11722" s="35" t="s">
        <v>2215</v>
      </c>
      <c r="D11722" s="35" t="s">
        <v>1152</v>
      </c>
      <c r="E11722" s="35" t="s">
        <v>335</v>
      </c>
    </row>
    <row r="11723" spans="1:5">
      <c r="A11723" s="34">
        <v>2084242562</v>
      </c>
      <c r="B11723" s="35" t="s">
        <v>2214</v>
      </c>
      <c r="C11723" s="35" t="s">
        <v>2215</v>
      </c>
      <c r="D11723" s="35" t="s">
        <v>2276</v>
      </c>
    </row>
    <row r="11724" spans="1:5">
      <c r="A11724" s="34">
        <v>2084211288</v>
      </c>
      <c r="B11724" s="35" t="s">
        <v>2214</v>
      </c>
      <c r="C11724" s="35" t="s">
        <v>2215</v>
      </c>
      <c r="D11724" s="35" t="s">
        <v>2277</v>
      </c>
      <c r="E11724" s="35" t="s">
        <v>2218</v>
      </c>
    </row>
    <row r="11725" spans="1:5">
      <c r="A11725" s="34">
        <v>2084211289</v>
      </c>
      <c r="B11725" s="35" t="s">
        <v>2214</v>
      </c>
      <c r="C11725" s="35" t="s">
        <v>2215</v>
      </c>
      <c r="D11725" s="35" t="s">
        <v>2277</v>
      </c>
      <c r="E11725" s="35" t="s">
        <v>335</v>
      </c>
    </row>
    <row r="11726" spans="1:5">
      <c r="A11726" s="34">
        <v>2084057902</v>
      </c>
      <c r="B11726" s="35" t="s">
        <v>2214</v>
      </c>
      <c r="C11726" s="35" t="s">
        <v>2215</v>
      </c>
      <c r="D11726" s="35" t="s">
        <v>2278</v>
      </c>
      <c r="E11726" s="35" t="s">
        <v>2216</v>
      </c>
    </row>
    <row r="11727" spans="1:5">
      <c r="A11727" s="34">
        <v>2084057903</v>
      </c>
      <c r="B11727" s="35" t="s">
        <v>2214</v>
      </c>
      <c r="C11727" s="35" t="s">
        <v>2215</v>
      </c>
      <c r="D11727" s="35" t="s">
        <v>2278</v>
      </c>
      <c r="E11727" s="35" t="s">
        <v>335</v>
      </c>
    </row>
    <row r="11728" spans="1:5">
      <c r="A11728" s="34">
        <v>2084195404</v>
      </c>
      <c r="B11728" s="35" t="s">
        <v>2214</v>
      </c>
      <c r="C11728" s="35" t="s">
        <v>2215</v>
      </c>
      <c r="D11728" s="35" t="s">
        <v>2279</v>
      </c>
      <c r="E11728" s="35" t="s">
        <v>2221</v>
      </c>
    </row>
    <row r="11729" spans="1:5">
      <c r="A11729" s="34">
        <v>2084195405</v>
      </c>
      <c r="B11729" s="35" t="s">
        <v>2214</v>
      </c>
      <c r="C11729" s="35" t="s">
        <v>2215</v>
      </c>
      <c r="D11729" s="35" t="s">
        <v>2279</v>
      </c>
      <c r="E11729" s="35" t="s">
        <v>2216</v>
      </c>
    </row>
    <row r="11730" spans="1:5">
      <c r="A11730" s="34">
        <v>2084195406</v>
      </c>
      <c r="B11730" s="35" t="s">
        <v>2214</v>
      </c>
      <c r="C11730" s="35" t="s">
        <v>2215</v>
      </c>
      <c r="D11730" s="35" t="s">
        <v>2279</v>
      </c>
      <c r="E11730" s="35" t="s">
        <v>2217</v>
      </c>
    </row>
    <row r="11731" spans="1:5">
      <c r="A11731" s="34">
        <v>2084195407</v>
      </c>
      <c r="B11731" s="35" t="s">
        <v>2214</v>
      </c>
      <c r="C11731" s="35" t="s">
        <v>2215</v>
      </c>
      <c r="D11731" s="35" t="s">
        <v>2279</v>
      </c>
      <c r="E11731" s="35" t="s">
        <v>2218</v>
      </c>
    </row>
    <row r="11732" spans="1:5">
      <c r="A11732" s="34">
        <v>2084195408</v>
      </c>
      <c r="B11732" s="35" t="s">
        <v>2214</v>
      </c>
      <c r="C11732" s="35" t="s">
        <v>2215</v>
      </c>
      <c r="D11732" s="35" t="s">
        <v>2279</v>
      </c>
      <c r="E11732" s="35" t="s">
        <v>335</v>
      </c>
    </row>
    <row r="11733" spans="1:5">
      <c r="A11733" s="34">
        <v>2084211294</v>
      </c>
      <c r="B11733" s="35" t="s">
        <v>2214</v>
      </c>
      <c r="C11733" s="35" t="s">
        <v>2215</v>
      </c>
      <c r="D11733" s="35" t="s">
        <v>2280</v>
      </c>
      <c r="E11733" s="35" t="s">
        <v>2218</v>
      </c>
    </row>
    <row r="11734" spans="1:5">
      <c r="A11734" s="34">
        <v>2084211295</v>
      </c>
      <c r="B11734" s="35" t="s">
        <v>2214</v>
      </c>
      <c r="C11734" s="35" t="s">
        <v>2215</v>
      </c>
      <c r="D11734" s="35" t="s">
        <v>2280</v>
      </c>
      <c r="E11734" s="35" t="s">
        <v>335</v>
      </c>
    </row>
    <row r="11735" spans="1:5">
      <c r="A11735" s="34">
        <v>2084057905</v>
      </c>
      <c r="B11735" s="35" t="s">
        <v>2214</v>
      </c>
      <c r="C11735" s="35" t="s">
        <v>2215</v>
      </c>
      <c r="D11735" s="35" t="s">
        <v>2281</v>
      </c>
      <c r="E11735" s="35" t="s">
        <v>2221</v>
      </c>
    </row>
    <row r="11736" spans="1:5">
      <c r="A11736" s="34">
        <v>2084057906</v>
      </c>
      <c r="B11736" s="35" t="s">
        <v>2214</v>
      </c>
      <c r="C11736" s="35" t="s">
        <v>2215</v>
      </c>
      <c r="D11736" s="35" t="s">
        <v>2281</v>
      </c>
      <c r="E11736" s="35" t="s">
        <v>2216</v>
      </c>
    </row>
    <row r="11737" spans="1:5">
      <c r="A11737" s="34">
        <v>2084057907</v>
      </c>
      <c r="B11737" s="35" t="s">
        <v>2214</v>
      </c>
      <c r="C11737" s="35" t="s">
        <v>2215</v>
      </c>
      <c r="D11737" s="35" t="s">
        <v>2281</v>
      </c>
      <c r="E11737" s="35" t="s">
        <v>2217</v>
      </c>
    </row>
    <row r="11738" spans="1:5">
      <c r="A11738" s="34">
        <v>2084057908</v>
      </c>
      <c r="B11738" s="35" t="s">
        <v>2214</v>
      </c>
      <c r="C11738" s="35" t="s">
        <v>2215</v>
      </c>
      <c r="D11738" s="35" t="s">
        <v>2281</v>
      </c>
      <c r="E11738" s="35" t="s">
        <v>2218</v>
      </c>
    </row>
    <row r="11739" spans="1:5">
      <c r="A11739" s="34">
        <v>2084057909</v>
      </c>
      <c r="B11739" s="35" t="s">
        <v>2214</v>
      </c>
      <c r="C11739" s="35" t="s">
        <v>2215</v>
      </c>
      <c r="D11739" s="35" t="s">
        <v>2281</v>
      </c>
      <c r="E11739" s="35" t="s">
        <v>335</v>
      </c>
    </row>
    <row r="11740" spans="1:5">
      <c r="A11740" s="34">
        <v>2084195409</v>
      </c>
      <c r="B11740" s="35" t="s">
        <v>2214</v>
      </c>
      <c r="C11740" s="35" t="s">
        <v>2215</v>
      </c>
      <c r="D11740" s="35" t="s">
        <v>2282</v>
      </c>
    </row>
    <row r="11741" spans="1:5">
      <c r="A11741" s="34">
        <v>2084211301</v>
      </c>
      <c r="B11741" s="35" t="s">
        <v>2214</v>
      </c>
      <c r="C11741" s="35" t="s">
        <v>2215</v>
      </c>
      <c r="D11741" s="35" t="s">
        <v>2283</v>
      </c>
      <c r="E11741" s="35" t="s">
        <v>2218</v>
      </c>
    </row>
    <row r="11742" spans="1:5">
      <c r="A11742" s="34">
        <v>2084211302</v>
      </c>
      <c r="B11742" s="35" t="s">
        <v>2214</v>
      </c>
      <c r="C11742" s="35" t="s">
        <v>2215</v>
      </c>
      <c r="D11742" s="35" t="s">
        <v>2283</v>
      </c>
      <c r="E11742" s="35" t="s">
        <v>335</v>
      </c>
    </row>
    <row r="11743" spans="1:5">
      <c r="A11743" s="34">
        <v>2084195393</v>
      </c>
      <c r="B11743" s="35" t="s">
        <v>2214</v>
      </c>
      <c r="C11743" s="35" t="s">
        <v>2215</v>
      </c>
      <c r="D11743" s="35" t="s">
        <v>2284</v>
      </c>
    </row>
    <row r="11744" spans="1:5">
      <c r="A11744" s="34">
        <v>2084195392</v>
      </c>
      <c r="B11744" s="35" t="s">
        <v>2214</v>
      </c>
      <c r="C11744" s="35" t="s">
        <v>2215</v>
      </c>
      <c r="D11744" s="35" t="s">
        <v>2285</v>
      </c>
    </row>
    <row r="11745" spans="1:7">
      <c r="A11745" s="34">
        <v>2084052555</v>
      </c>
      <c r="B11745" s="35" t="s">
        <v>2214</v>
      </c>
      <c r="C11745" s="35" t="s">
        <v>2215</v>
      </c>
      <c r="D11745" s="35" t="s">
        <v>1292</v>
      </c>
      <c r="E11745" s="35" t="s">
        <v>2221</v>
      </c>
    </row>
    <row r="11746" spans="1:7">
      <c r="A11746" s="34">
        <v>2084052559</v>
      </c>
      <c r="B11746" s="35" t="s">
        <v>2214</v>
      </c>
      <c r="C11746" s="35" t="s">
        <v>2215</v>
      </c>
      <c r="D11746" s="35" t="s">
        <v>1292</v>
      </c>
      <c r="E11746" s="35" t="s">
        <v>2239</v>
      </c>
      <c r="F11746" s="35" t="s">
        <v>2240</v>
      </c>
    </row>
    <row r="11747" spans="1:7">
      <c r="A11747" s="34">
        <v>2084052557</v>
      </c>
      <c r="B11747" s="35" t="s">
        <v>2214</v>
      </c>
      <c r="C11747" s="35" t="s">
        <v>2215</v>
      </c>
      <c r="D11747" s="35" t="s">
        <v>1292</v>
      </c>
      <c r="E11747" s="35" t="s">
        <v>2239</v>
      </c>
      <c r="F11747" s="35" t="s">
        <v>2286</v>
      </c>
    </row>
    <row r="11748" spans="1:7">
      <c r="A11748" s="34">
        <v>2084052558</v>
      </c>
      <c r="B11748" s="35" t="s">
        <v>2214</v>
      </c>
      <c r="C11748" s="35" t="s">
        <v>2215</v>
      </c>
      <c r="D11748" s="35" t="s">
        <v>1292</v>
      </c>
      <c r="E11748" s="35" t="s">
        <v>2239</v>
      </c>
      <c r="F11748" s="35" t="s">
        <v>2272</v>
      </c>
    </row>
    <row r="11749" spans="1:7">
      <c r="A11749" s="34">
        <v>2084052560</v>
      </c>
      <c r="B11749" s="35" t="s">
        <v>2214</v>
      </c>
      <c r="C11749" s="35" t="s">
        <v>2215</v>
      </c>
      <c r="D11749" s="35" t="s">
        <v>1292</v>
      </c>
      <c r="E11749" s="35" t="s">
        <v>2217</v>
      </c>
    </row>
    <row r="11750" spans="1:7">
      <c r="A11750" s="34">
        <v>2084209629</v>
      </c>
      <c r="B11750" s="35" t="s">
        <v>2214</v>
      </c>
      <c r="C11750" s="35" t="s">
        <v>2215</v>
      </c>
      <c r="D11750" s="35" t="s">
        <v>1292</v>
      </c>
      <c r="E11750" s="35" t="s">
        <v>2230</v>
      </c>
      <c r="F11750" s="35" t="s">
        <v>2231</v>
      </c>
      <c r="G11750" s="35" t="s">
        <v>2232</v>
      </c>
    </row>
    <row r="11751" spans="1:7">
      <c r="A11751" s="34">
        <v>2084209630</v>
      </c>
      <c r="B11751" s="35" t="s">
        <v>2214</v>
      </c>
      <c r="C11751" s="35" t="s">
        <v>2215</v>
      </c>
      <c r="D11751" s="35" t="s">
        <v>1292</v>
      </c>
      <c r="E11751" s="35" t="s">
        <v>2230</v>
      </c>
      <c r="F11751" s="35" t="s">
        <v>2231</v>
      </c>
      <c r="G11751" s="35" t="s">
        <v>2233</v>
      </c>
    </row>
    <row r="11752" spans="1:7">
      <c r="A11752" s="34">
        <v>2084209628</v>
      </c>
      <c r="B11752" s="35" t="s">
        <v>2214</v>
      </c>
      <c r="C11752" s="35" t="s">
        <v>2215</v>
      </c>
      <c r="D11752" s="35" t="s">
        <v>1292</v>
      </c>
      <c r="E11752" s="35" t="s">
        <v>2230</v>
      </c>
      <c r="F11752" s="35" t="s">
        <v>2231</v>
      </c>
      <c r="G11752" s="35" t="s">
        <v>2234</v>
      </c>
    </row>
    <row r="11753" spans="1:7">
      <c r="A11753" s="34">
        <v>2084209631</v>
      </c>
      <c r="B11753" s="35" t="s">
        <v>2214</v>
      </c>
      <c r="C11753" s="35" t="s">
        <v>2215</v>
      </c>
      <c r="D11753" s="35" t="s">
        <v>1292</v>
      </c>
      <c r="E11753" s="35" t="s">
        <v>2230</v>
      </c>
      <c r="F11753" s="35" t="s">
        <v>2231</v>
      </c>
      <c r="G11753" s="35" t="s">
        <v>335</v>
      </c>
    </row>
    <row r="11754" spans="1:7">
      <c r="A11754" s="34">
        <v>2084209632</v>
      </c>
      <c r="B11754" s="35" t="s">
        <v>2214</v>
      </c>
      <c r="C11754" s="35" t="s">
        <v>2215</v>
      </c>
      <c r="D11754" s="35" t="s">
        <v>1292</v>
      </c>
      <c r="E11754" s="35" t="s">
        <v>2230</v>
      </c>
      <c r="F11754" s="35" t="s">
        <v>2235</v>
      </c>
    </row>
    <row r="11755" spans="1:7">
      <c r="A11755" s="34">
        <v>2084209633</v>
      </c>
      <c r="B11755" s="35" t="s">
        <v>2214</v>
      </c>
      <c r="C11755" s="35" t="s">
        <v>2215</v>
      </c>
      <c r="D11755" s="35" t="s">
        <v>1292</v>
      </c>
      <c r="E11755" s="35" t="s">
        <v>2230</v>
      </c>
      <c r="F11755" s="35" t="s">
        <v>335</v>
      </c>
    </row>
    <row r="11756" spans="1:7">
      <c r="A11756" s="34">
        <v>2084052562</v>
      </c>
      <c r="B11756" s="35" t="s">
        <v>2214</v>
      </c>
      <c r="C11756" s="35" t="s">
        <v>2215</v>
      </c>
      <c r="D11756" s="35" t="s">
        <v>1292</v>
      </c>
      <c r="E11756" s="35" t="s">
        <v>335</v>
      </c>
    </row>
    <row r="11757" spans="1:7">
      <c r="A11757" s="34">
        <v>2084061860</v>
      </c>
      <c r="B11757" s="35" t="s">
        <v>2214</v>
      </c>
      <c r="C11757" s="35" t="s">
        <v>2215</v>
      </c>
      <c r="D11757" s="35" t="s">
        <v>1339</v>
      </c>
      <c r="E11757" s="35" t="s">
        <v>2249</v>
      </c>
    </row>
    <row r="11758" spans="1:7">
      <c r="A11758" s="34">
        <v>2084061857</v>
      </c>
      <c r="B11758" s="35" t="s">
        <v>2214</v>
      </c>
      <c r="C11758" s="35" t="s">
        <v>2215</v>
      </c>
      <c r="D11758" s="35" t="s">
        <v>1339</v>
      </c>
      <c r="E11758" s="35" t="s">
        <v>2216</v>
      </c>
    </row>
    <row r="11759" spans="1:7">
      <c r="A11759" s="34">
        <v>2084061858</v>
      </c>
      <c r="B11759" s="35" t="s">
        <v>2214</v>
      </c>
      <c r="C11759" s="35" t="s">
        <v>2215</v>
      </c>
      <c r="D11759" s="35" t="s">
        <v>1339</v>
      </c>
      <c r="E11759" s="35" t="s">
        <v>2217</v>
      </c>
    </row>
    <row r="11760" spans="1:7">
      <c r="A11760" s="34">
        <v>2084061859</v>
      </c>
      <c r="B11760" s="35" t="s">
        <v>2214</v>
      </c>
      <c r="C11760" s="35" t="s">
        <v>2215</v>
      </c>
      <c r="D11760" s="35" t="s">
        <v>1339</v>
      </c>
      <c r="E11760" s="35" t="s">
        <v>2218</v>
      </c>
    </row>
    <row r="11761" spans="1:5">
      <c r="A11761" s="34">
        <v>2084061861</v>
      </c>
      <c r="B11761" s="35" t="s">
        <v>2214</v>
      </c>
      <c r="C11761" s="35" t="s">
        <v>2215</v>
      </c>
      <c r="D11761" s="35" t="s">
        <v>1339</v>
      </c>
      <c r="E11761" s="35" t="s">
        <v>335</v>
      </c>
    </row>
    <row r="11762" spans="1:5">
      <c r="A11762" s="34">
        <v>2084211298</v>
      </c>
      <c r="B11762" s="35" t="s">
        <v>2214</v>
      </c>
      <c r="C11762" s="35" t="s">
        <v>2215</v>
      </c>
      <c r="D11762" s="35" t="s">
        <v>2287</v>
      </c>
      <c r="E11762" s="35" t="s">
        <v>2218</v>
      </c>
    </row>
    <row r="11763" spans="1:5">
      <c r="A11763" s="34">
        <v>2084211299</v>
      </c>
      <c r="B11763" s="35" t="s">
        <v>2214</v>
      </c>
      <c r="C11763" s="35" t="s">
        <v>2215</v>
      </c>
      <c r="D11763" s="35" t="s">
        <v>2287</v>
      </c>
      <c r="E11763" s="35" t="s">
        <v>335</v>
      </c>
    </row>
    <row r="11764" spans="1:5">
      <c r="A11764" s="34">
        <v>2084301273</v>
      </c>
      <c r="B11764" s="35" t="s">
        <v>2214</v>
      </c>
      <c r="C11764" s="35" t="s">
        <v>2215</v>
      </c>
      <c r="D11764" s="35" t="s">
        <v>2288</v>
      </c>
    </row>
    <row r="11765" spans="1:5">
      <c r="A11765" s="34">
        <v>2084057881</v>
      </c>
      <c r="B11765" s="35" t="s">
        <v>2214</v>
      </c>
      <c r="C11765" s="35" t="s">
        <v>2215</v>
      </c>
      <c r="D11765" s="35" t="s">
        <v>2289</v>
      </c>
      <c r="E11765" s="35" t="s">
        <v>2218</v>
      </c>
    </row>
    <row r="11766" spans="1:5">
      <c r="A11766" s="34">
        <v>2084057882</v>
      </c>
      <c r="B11766" s="35" t="s">
        <v>2214</v>
      </c>
      <c r="C11766" s="35" t="s">
        <v>2215</v>
      </c>
      <c r="D11766" s="35" t="s">
        <v>2289</v>
      </c>
      <c r="E11766" s="35" t="s">
        <v>335</v>
      </c>
    </row>
    <row r="11767" spans="1:5">
      <c r="A11767" s="34">
        <v>2084057884</v>
      </c>
      <c r="B11767" s="35" t="s">
        <v>2214</v>
      </c>
      <c r="C11767" s="35" t="s">
        <v>2215</v>
      </c>
      <c r="D11767" s="35" t="s">
        <v>2290</v>
      </c>
      <c r="E11767" s="35" t="s">
        <v>2216</v>
      </c>
    </row>
    <row r="11768" spans="1:5">
      <c r="A11768" s="34">
        <v>2084057885</v>
      </c>
      <c r="B11768" s="35" t="s">
        <v>2214</v>
      </c>
      <c r="C11768" s="35" t="s">
        <v>2215</v>
      </c>
      <c r="D11768" s="35" t="s">
        <v>2290</v>
      </c>
      <c r="E11768" s="35" t="s">
        <v>2218</v>
      </c>
    </row>
    <row r="11769" spans="1:5">
      <c r="A11769" s="34">
        <v>2084057886</v>
      </c>
      <c r="B11769" s="35" t="s">
        <v>2214</v>
      </c>
      <c r="C11769" s="35" t="s">
        <v>2215</v>
      </c>
      <c r="D11769" s="35" t="s">
        <v>2290</v>
      </c>
      <c r="E11769" s="35" t="s">
        <v>335</v>
      </c>
    </row>
    <row r="11770" spans="1:5">
      <c r="A11770" s="34">
        <v>2084061790</v>
      </c>
      <c r="B11770" s="35" t="s">
        <v>2214</v>
      </c>
      <c r="C11770" s="35" t="s">
        <v>2215</v>
      </c>
      <c r="D11770" s="35" t="s">
        <v>663</v>
      </c>
      <c r="E11770" s="35" t="s">
        <v>2221</v>
      </c>
    </row>
    <row r="11771" spans="1:5">
      <c r="A11771" s="34">
        <v>2084061791</v>
      </c>
      <c r="B11771" s="35" t="s">
        <v>2214</v>
      </c>
      <c r="C11771" s="35" t="s">
        <v>2215</v>
      </c>
      <c r="D11771" s="35" t="s">
        <v>663</v>
      </c>
      <c r="E11771" s="35" t="s">
        <v>2216</v>
      </c>
    </row>
    <row r="11772" spans="1:5">
      <c r="A11772" s="34">
        <v>2084061792</v>
      </c>
      <c r="B11772" s="35" t="s">
        <v>2214</v>
      </c>
      <c r="C11772" s="35" t="s">
        <v>2215</v>
      </c>
      <c r="D11772" s="35" t="s">
        <v>663</v>
      </c>
      <c r="E11772" s="35" t="s">
        <v>2217</v>
      </c>
    </row>
    <row r="11773" spans="1:5">
      <c r="A11773" s="34">
        <v>2084061793</v>
      </c>
      <c r="B11773" s="35" t="s">
        <v>2214</v>
      </c>
      <c r="C11773" s="35" t="s">
        <v>2215</v>
      </c>
      <c r="D11773" s="35" t="s">
        <v>663</v>
      </c>
      <c r="E11773" s="35" t="s">
        <v>2218</v>
      </c>
    </row>
    <row r="11774" spans="1:5">
      <c r="A11774" s="34">
        <v>2084061794</v>
      </c>
      <c r="B11774" s="35" t="s">
        <v>2214</v>
      </c>
      <c r="C11774" s="35" t="s">
        <v>2215</v>
      </c>
      <c r="D11774" s="35" t="s">
        <v>663</v>
      </c>
      <c r="E11774" s="35" t="s">
        <v>335</v>
      </c>
    </row>
    <row r="11775" spans="1:5">
      <c r="A11775" s="34">
        <v>2084061907</v>
      </c>
      <c r="B11775" s="35" t="s">
        <v>2214</v>
      </c>
      <c r="C11775" s="35" t="s">
        <v>2215</v>
      </c>
      <c r="D11775" s="35" t="s">
        <v>2291</v>
      </c>
      <c r="E11775" s="35" t="s">
        <v>2221</v>
      </c>
    </row>
    <row r="11776" spans="1:5">
      <c r="A11776" s="34">
        <v>2084061908</v>
      </c>
      <c r="B11776" s="35" t="s">
        <v>2214</v>
      </c>
      <c r="C11776" s="35" t="s">
        <v>2215</v>
      </c>
      <c r="D11776" s="35" t="s">
        <v>2291</v>
      </c>
      <c r="E11776" s="35" t="s">
        <v>2216</v>
      </c>
    </row>
    <row r="11777" spans="1:6">
      <c r="A11777" s="34">
        <v>2084061909</v>
      </c>
      <c r="B11777" s="35" t="s">
        <v>2214</v>
      </c>
      <c r="C11777" s="35" t="s">
        <v>2215</v>
      </c>
      <c r="D11777" s="35" t="s">
        <v>2291</v>
      </c>
      <c r="E11777" s="35" t="s">
        <v>2217</v>
      </c>
    </row>
    <row r="11778" spans="1:6">
      <c r="A11778" s="34">
        <v>2084061910</v>
      </c>
      <c r="B11778" s="35" t="s">
        <v>2214</v>
      </c>
      <c r="C11778" s="35" t="s">
        <v>2215</v>
      </c>
      <c r="D11778" s="35" t="s">
        <v>2291</v>
      </c>
      <c r="E11778" s="35" t="s">
        <v>2218</v>
      </c>
    </row>
    <row r="11779" spans="1:6">
      <c r="A11779" s="34">
        <v>2084061911</v>
      </c>
      <c r="B11779" s="35" t="s">
        <v>2214</v>
      </c>
      <c r="C11779" s="35" t="s">
        <v>2215</v>
      </c>
      <c r="D11779" s="35" t="s">
        <v>2291</v>
      </c>
      <c r="E11779" s="35" t="s">
        <v>335</v>
      </c>
    </row>
    <row r="11780" spans="1:6">
      <c r="A11780" s="34">
        <v>2084224325</v>
      </c>
      <c r="B11780" s="35" t="s">
        <v>2214</v>
      </c>
      <c r="C11780" s="35" t="s">
        <v>2215</v>
      </c>
      <c r="D11780" s="35" t="s">
        <v>2292</v>
      </c>
      <c r="E11780" s="35" t="s">
        <v>2216</v>
      </c>
    </row>
    <row r="11781" spans="1:6">
      <c r="A11781" s="34">
        <v>2084224326</v>
      </c>
      <c r="B11781" s="35" t="s">
        <v>2214</v>
      </c>
      <c r="C11781" s="35" t="s">
        <v>2215</v>
      </c>
      <c r="D11781" s="35" t="s">
        <v>2292</v>
      </c>
      <c r="E11781" s="35" t="s">
        <v>335</v>
      </c>
    </row>
    <row r="11782" spans="1:6">
      <c r="A11782" s="34">
        <v>2084224322</v>
      </c>
      <c r="B11782" s="35" t="s">
        <v>2214</v>
      </c>
      <c r="C11782" s="35" t="s">
        <v>2215</v>
      </c>
      <c r="D11782" s="35" t="s">
        <v>2293</v>
      </c>
      <c r="E11782" s="35" t="s">
        <v>2221</v>
      </c>
    </row>
    <row r="11783" spans="1:6">
      <c r="A11783" s="34">
        <v>2084224323</v>
      </c>
      <c r="B11783" s="35" t="s">
        <v>2214</v>
      </c>
      <c r="C11783" s="35" t="s">
        <v>2215</v>
      </c>
      <c r="D11783" s="35" t="s">
        <v>2293</v>
      </c>
      <c r="E11783" s="35" t="s">
        <v>335</v>
      </c>
    </row>
    <row r="11784" spans="1:6">
      <c r="A11784" s="34">
        <v>2084057868</v>
      </c>
      <c r="B11784" s="35" t="s">
        <v>2214</v>
      </c>
      <c r="C11784" s="35" t="s">
        <v>2215</v>
      </c>
      <c r="D11784" s="35" t="s">
        <v>2294</v>
      </c>
      <c r="E11784" s="35" t="s">
        <v>2223</v>
      </c>
      <c r="F11784" s="35" t="s">
        <v>2224</v>
      </c>
    </row>
    <row r="11785" spans="1:6">
      <c r="A11785" s="34">
        <v>2084057869</v>
      </c>
      <c r="B11785" s="35" t="s">
        <v>2214</v>
      </c>
      <c r="C11785" s="35" t="s">
        <v>2215</v>
      </c>
      <c r="D11785" s="35" t="s">
        <v>2294</v>
      </c>
      <c r="E11785" s="35" t="s">
        <v>2223</v>
      </c>
      <c r="F11785" s="35" t="s">
        <v>2225</v>
      </c>
    </row>
    <row r="11786" spans="1:6">
      <c r="A11786" s="34">
        <v>2084057870</v>
      </c>
      <c r="B11786" s="35" t="s">
        <v>2214</v>
      </c>
      <c r="C11786" s="35" t="s">
        <v>2215</v>
      </c>
      <c r="D11786" s="35" t="s">
        <v>2294</v>
      </c>
      <c r="E11786" s="35" t="s">
        <v>2216</v>
      </c>
    </row>
    <row r="11787" spans="1:6">
      <c r="A11787" s="34">
        <v>2084057871</v>
      </c>
      <c r="B11787" s="35" t="s">
        <v>2214</v>
      </c>
      <c r="C11787" s="35" t="s">
        <v>2215</v>
      </c>
      <c r="D11787" s="35" t="s">
        <v>2294</v>
      </c>
      <c r="E11787" s="35" t="s">
        <v>2217</v>
      </c>
    </row>
    <row r="11788" spans="1:6">
      <c r="A11788" s="34">
        <v>2084057872</v>
      </c>
      <c r="B11788" s="35" t="s">
        <v>2214</v>
      </c>
      <c r="C11788" s="35" t="s">
        <v>2215</v>
      </c>
      <c r="D11788" s="35" t="s">
        <v>2294</v>
      </c>
      <c r="E11788" s="35" t="s">
        <v>2218</v>
      </c>
    </row>
    <row r="11789" spans="1:6">
      <c r="A11789" s="34">
        <v>2084057873</v>
      </c>
      <c r="B11789" s="35" t="s">
        <v>2214</v>
      </c>
      <c r="C11789" s="35" t="s">
        <v>2215</v>
      </c>
      <c r="D11789" s="35" t="s">
        <v>2294</v>
      </c>
      <c r="E11789" s="35" t="s">
        <v>335</v>
      </c>
    </row>
    <row r="11790" spans="1:6">
      <c r="A11790" s="34">
        <v>2084061773</v>
      </c>
      <c r="B11790" s="35" t="s">
        <v>2214</v>
      </c>
      <c r="C11790" s="35" t="s">
        <v>2215</v>
      </c>
      <c r="D11790" s="35" t="s">
        <v>1469</v>
      </c>
      <c r="E11790" s="35" t="s">
        <v>2221</v>
      </c>
    </row>
    <row r="11791" spans="1:6">
      <c r="A11791" s="34">
        <v>2084061774</v>
      </c>
      <c r="B11791" s="35" t="s">
        <v>2214</v>
      </c>
      <c r="C11791" s="35" t="s">
        <v>2215</v>
      </c>
      <c r="D11791" s="35" t="s">
        <v>1469</v>
      </c>
      <c r="E11791" s="35" t="s">
        <v>2216</v>
      </c>
    </row>
    <row r="11792" spans="1:6">
      <c r="A11792" s="34">
        <v>2084061775</v>
      </c>
      <c r="B11792" s="35" t="s">
        <v>2214</v>
      </c>
      <c r="C11792" s="35" t="s">
        <v>2215</v>
      </c>
      <c r="D11792" s="35" t="s">
        <v>1469</v>
      </c>
      <c r="E11792" s="35" t="s">
        <v>2217</v>
      </c>
    </row>
    <row r="11793" spans="1:7">
      <c r="A11793" s="34">
        <v>2084061776</v>
      </c>
      <c r="B11793" s="35" t="s">
        <v>2214</v>
      </c>
      <c r="C11793" s="35" t="s">
        <v>2215</v>
      </c>
      <c r="D11793" s="35" t="s">
        <v>1469</v>
      </c>
      <c r="E11793" s="35" t="s">
        <v>2218</v>
      </c>
    </row>
    <row r="11794" spans="1:7">
      <c r="A11794" s="34">
        <v>2084061777</v>
      </c>
      <c r="B11794" s="35" t="s">
        <v>2214</v>
      </c>
      <c r="C11794" s="35" t="s">
        <v>2215</v>
      </c>
      <c r="D11794" s="35" t="s">
        <v>1469</v>
      </c>
      <c r="E11794" s="35" t="s">
        <v>335</v>
      </c>
    </row>
    <row r="11795" spans="1:7">
      <c r="A11795" s="34">
        <v>2084057911</v>
      </c>
      <c r="B11795" s="35" t="s">
        <v>2214</v>
      </c>
      <c r="C11795" s="35" t="s">
        <v>2215</v>
      </c>
      <c r="D11795" s="35" t="s">
        <v>2295</v>
      </c>
      <c r="E11795" s="35" t="s">
        <v>2218</v>
      </c>
    </row>
    <row r="11796" spans="1:7">
      <c r="A11796" s="34">
        <v>2084057912</v>
      </c>
      <c r="B11796" s="35" t="s">
        <v>2214</v>
      </c>
      <c r="C11796" s="35" t="s">
        <v>2215</v>
      </c>
      <c r="D11796" s="35" t="s">
        <v>2295</v>
      </c>
      <c r="E11796" s="35" t="s">
        <v>335</v>
      </c>
    </row>
    <row r="11797" spans="1:7">
      <c r="A11797" s="34">
        <v>2084214030</v>
      </c>
      <c r="B11797" s="35" t="s">
        <v>2214</v>
      </c>
      <c r="C11797" s="35" t="s">
        <v>2215</v>
      </c>
      <c r="D11797" s="35" t="s">
        <v>2296</v>
      </c>
    </row>
    <row r="11798" spans="1:7">
      <c r="A11798" s="34">
        <v>2084210883</v>
      </c>
      <c r="B11798" s="35" t="s">
        <v>2214</v>
      </c>
      <c r="C11798" s="35" t="s">
        <v>2215</v>
      </c>
      <c r="D11798" s="35" t="s">
        <v>2297</v>
      </c>
    </row>
    <row r="11799" spans="1:7">
      <c r="A11799" s="34">
        <v>2084195395</v>
      </c>
      <c r="B11799" s="35" t="s">
        <v>2214</v>
      </c>
      <c r="C11799" s="35" t="s">
        <v>2215</v>
      </c>
      <c r="D11799" s="35" t="s">
        <v>2298</v>
      </c>
      <c r="E11799" s="35" t="s">
        <v>2221</v>
      </c>
    </row>
    <row r="11800" spans="1:7">
      <c r="A11800" s="34">
        <v>2084195396</v>
      </c>
      <c r="B11800" s="35" t="s">
        <v>2214</v>
      </c>
      <c r="C11800" s="35" t="s">
        <v>2215</v>
      </c>
      <c r="D11800" s="35" t="s">
        <v>2298</v>
      </c>
      <c r="E11800" s="35" t="s">
        <v>2216</v>
      </c>
    </row>
    <row r="11801" spans="1:7">
      <c r="A11801" s="34">
        <v>2084195397</v>
      </c>
      <c r="B11801" s="35" t="s">
        <v>2214</v>
      </c>
      <c r="C11801" s="35" t="s">
        <v>2215</v>
      </c>
      <c r="D11801" s="35" t="s">
        <v>2298</v>
      </c>
      <c r="E11801" s="35" t="s">
        <v>2217</v>
      </c>
    </row>
    <row r="11802" spans="1:7">
      <c r="A11802" s="34">
        <v>2084195398</v>
      </c>
      <c r="B11802" s="35" t="s">
        <v>2214</v>
      </c>
      <c r="C11802" s="35" t="s">
        <v>2215</v>
      </c>
      <c r="D11802" s="35" t="s">
        <v>2298</v>
      </c>
      <c r="E11802" s="35" t="s">
        <v>2218</v>
      </c>
    </row>
    <row r="11803" spans="1:7">
      <c r="A11803" s="34">
        <v>2084195399</v>
      </c>
      <c r="B11803" s="35" t="s">
        <v>2214</v>
      </c>
      <c r="C11803" s="35" t="s">
        <v>2215</v>
      </c>
      <c r="D11803" s="35" t="s">
        <v>2298</v>
      </c>
      <c r="E11803" s="35" t="s">
        <v>335</v>
      </c>
    </row>
    <row r="11804" spans="1:7">
      <c r="A11804" s="34">
        <v>2084209775</v>
      </c>
      <c r="B11804" s="35" t="s">
        <v>2214</v>
      </c>
      <c r="C11804" s="35" t="s">
        <v>2299</v>
      </c>
      <c r="D11804" s="35" t="s">
        <v>2300</v>
      </c>
      <c r="E11804" s="35" t="s">
        <v>2301</v>
      </c>
      <c r="F11804" s="35" t="s">
        <v>2302</v>
      </c>
      <c r="G11804" s="35" t="s">
        <v>2232</v>
      </c>
    </row>
    <row r="11805" spans="1:7">
      <c r="A11805" s="34">
        <v>2084209776</v>
      </c>
      <c r="B11805" s="35" t="s">
        <v>2214</v>
      </c>
      <c r="C11805" s="35" t="s">
        <v>2299</v>
      </c>
      <c r="D11805" s="35" t="s">
        <v>2300</v>
      </c>
      <c r="E11805" s="35" t="s">
        <v>2301</v>
      </c>
      <c r="F11805" s="35" t="s">
        <v>2302</v>
      </c>
      <c r="G11805" s="35" t="s">
        <v>2233</v>
      </c>
    </row>
    <row r="11806" spans="1:7">
      <c r="A11806" s="34">
        <v>2084209774</v>
      </c>
      <c r="B11806" s="35" t="s">
        <v>2214</v>
      </c>
      <c r="C11806" s="35" t="s">
        <v>2299</v>
      </c>
      <c r="D11806" s="35" t="s">
        <v>2300</v>
      </c>
      <c r="E11806" s="35" t="s">
        <v>2301</v>
      </c>
      <c r="F11806" s="35" t="s">
        <v>2302</v>
      </c>
      <c r="G11806" s="35" t="s">
        <v>2234</v>
      </c>
    </row>
    <row r="11807" spans="1:7">
      <c r="A11807" s="34">
        <v>2084209777</v>
      </c>
      <c r="B11807" s="35" t="s">
        <v>2214</v>
      </c>
      <c r="C11807" s="35" t="s">
        <v>2299</v>
      </c>
      <c r="D11807" s="35" t="s">
        <v>2300</v>
      </c>
      <c r="E11807" s="35" t="s">
        <v>2301</v>
      </c>
      <c r="F11807" s="35" t="s">
        <v>2302</v>
      </c>
      <c r="G11807" s="35" t="s">
        <v>335</v>
      </c>
    </row>
    <row r="11808" spans="1:7">
      <c r="A11808" s="34">
        <v>2084209779</v>
      </c>
      <c r="B11808" s="35" t="s">
        <v>2214</v>
      </c>
      <c r="C11808" s="35" t="s">
        <v>2299</v>
      </c>
      <c r="D11808" s="35" t="s">
        <v>2300</v>
      </c>
      <c r="E11808" s="35" t="s">
        <v>2301</v>
      </c>
      <c r="F11808" s="35" t="s">
        <v>2303</v>
      </c>
    </row>
    <row r="11809" spans="1:6">
      <c r="A11809" s="34">
        <v>2084209778</v>
      </c>
      <c r="B11809" s="35" t="s">
        <v>2214</v>
      </c>
      <c r="C11809" s="35" t="s">
        <v>2299</v>
      </c>
      <c r="D11809" s="35" t="s">
        <v>2300</v>
      </c>
      <c r="E11809" s="35" t="s">
        <v>2301</v>
      </c>
      <c r="F11809" s="35" t="s">
        <v>2304</v>
      </c>
    </row>
    <row r="11810" spans="1:6">
      <c r="A11810" s="34">
        <v>2084209780</v>
      </c>
      <c r="B11810" s="35" t="s">
        <v>2214</v>
      </c>
      <c r="C11810" s="35" t="s">
        <v>2299</v>
      </c>
      <c r="D11810" s="35" t="s">
        <v>2300</v>
      </c>
      <c r="E11810" s="35" t="s">
        <v>2301</v>
      </c>
      <c r="F11810" s="35" t="s">
        <v>335</v>
      </c>
    </row>
    <row r="11811" spans="1:6">
      <c r="A11811" s="34">
        <v>2084062499</v>
      </c>
      <c r="B11811" s="35" t="s">
        <v>2214</v>
      </c>
      <c r="C11811" s="35" t="s">
        <v>2299</v>
      </c>
      <c r="D11811" s="35" t="s">
        <v>2300</v>
      </c>
      <c r="E11811" s="35" t="s">
        <v>2788</v>
      </c>
      <c r="F11811" s="35" t="s">
        <v>2789</v>
      </c>
    </row>
    <row r="11812" spans="1:6">
      <c r="A11812" s="34">
        <v>2084062500</v>
      </c>
      <c r="B11812" s="35" t="s">
        <v>2214</v>
      </c>
      <c r="C11812" s="35" t="s">
        <v>2299</v>
      </c>
      <c r="D11812" s="35" t="s">
        <v>2300</v>
      </c>
      <c r="E11812" s="35" t="s">
        <v>2788</v>
      </c>
      <c r="F11812" s="35" t="s">
        <v>2790</v>
      </c>
    </row>
    <row r="11813" spans="1:6">
      <c r="A11813" s="34">
        <v>2084062501</v>
      </c>
      <c r="B11813" s="35" t="s">
        <v>2214</v>
      </c>
      <c r="C11813" s="35" t="s">
        <v>2299</v>
      </c>
      <c r="D11813" s="35" t="s">
        <v>2300</v>
      </c>
      <c r="E11813" s="35" t="s">
        <v>2788</v>
      </c>
      <c r="F11813" s="35" t="s">
        <v>2791</v>
      </c>
    </row>
    <row r="11814" spans="1:6">
      <c r="A11814" s="34">
        <v>2084062502</v>
      </c>
      <c r="B11814" s="35" t="s">
        <v>2214</v>
      </c>
      <c r="C11814" s="35" t="s">
        <v>2299</v>
      </c>
      <c r="D11814" s="35" t="s">
        <v>2300</v>
      </c>
      <c r="E11814" s="35" t="s">
        <v>2788</v>
      </c>
      <c r="F11814" s="35" t="s">
        <v>2792</v>
      </c>
    </row>
    <row r="11815" spans="1:6">
      <c r="A11815" s="34">
        <v>2084062503</v>
      </c>
      <c r="B11815" s="35" t="s">
        <v>2214</v>
      </c>
      <c r="C11815" s="35" t="s">
        <v>2299</v>
      </c>
      <c r="D11815" s="35" t="s">
        <v>2300</v>
      </c>
      <c r="E11815" s="35" t="s">
        <v>2788</v>
      </c>
      <c r="F11815" s="35" t="s">
        <v>429</v>
      </c>
    </row>
    <row r="11816" spans="1:6">
      <c r="A11816" s="34">
        <v>2084042513</v>
      </c>
      <c r="B11816" s="35" t="s">
        <v>2214</v>
      </c>
      <c r="C11816" s="35" t="s">
        <v>2299</v>
      </c>
      <c r="D11816" s="35" t="s">
        <v>2300</v>
      </c>
      <c r="E11816" s="35" t="s">
        <v>2793</v>
      </c>
      <c r="F11816" s="35" t="s">
        <v>429</v>
      </c>
    </row>
    <row r="11817" spans="1:6">
      <c r="A11817" s="34">
        <v>2084018114</v>
      </c>
      <c r="B11817" s="35" t="s">
        <v>2214</v>
      </c>
      <c r="C11817" s="35" t="s">
        <v>2299</v>
      </c>
      <c r="D11817" s="35" t="s">
        <v>2300</v>
      </c>
      <c r="E11817" s="35" t="s">
        <v>2793</v>
      </c>
      <c r="F11817" s="35" t="s">
        <v>2794</v>
      </c>
    </row>
    <row r="11818" spans="1:6">
      <c r="A11818" s="34">
        <v>2084042509</v>
      </c>
      <c r="B11818" s="35" t="s">
        <v>2214</v>
      </c>
      <c r="C11818" s="35" t="s">
        <v>2299</v>
      </c>
      <c r="D11818" s="35" t="s">
        <v>2300</v>
      </c>
      <c r="E11818" s="35" t="s">
        <v>2793</v>
      </c>
      <c r="F11818" s="35" t="s">
        <v>2795</v>
      </c>
    </row>
    <row r="11819" spans="1:6">
      <c r="A11819" s="34">
        <v>2084018115</v>
      </c>
      <c r="B11819" s="35" t="s">
        <v>2214</v>
      </c>
      <c r="C11819" s="35" t="s">
        <v>2299</v>
      </c>
      <c r="D11819" s="35" t="s">
        <v>2300</v>
      </c>
      <c r="E11819" s="35" t="s">
        <v>2793</v>
      </c>
      <c r="F11819" s="35" t="s">
        <v>2796</v>
      </c>
    </row>
    <row r="11820" spans="1:6">
      <c r="A11820" s="34">
        <v>2084018116</v>
      </c>
      <c r="B11820" s="35" t="s">
        <v>2214</v>
      </c>
      <c r="C11820" s="35" t="s">
        <v>2299</v>
      </c>
      <c r="D11820" s="35" t="s">
        <v>2300</v>
      </c>
      <c r="E11820" s="35" t="s">
        <v>2793</v>
      </c>
      <c r="F11820" s="35" t="s">
        <v>2797</v>
      </c>
    </row>
    <row r="11821" spans="1:6">
      <c r="A11821" s="34">
        <v>2084018117</v>
      </c>
      <c r="B11821" s="35" t="s">
        <v>2214</v>
      </c>
      <c r="C11821" s="35" t="s">
        <v>2299</v>
      </c>
      <c r="D11821" s="35" t="s">
        <v>2300</v>
      </c>
      <c r="E11821" s="35" t="s">
        <v>2793</v>
      </c>
      <c r="F11821" s="35" t="s">
        <v>2798</v>
      </c>
    </row>
    <row r="11822" spans="1:6">
      <c r="A11822" s="34">
        <v>2084018118</v>
      </c>
      <c r="B11822" s="35" t="s">
        <v>2214</v>
      </c>
      <c r="C11822" s="35" t="s">
        <v>2299</v>
      </c>
      <c r="D11822" s="35" t="s">
        <v>2300</v>
      </c>
      <c r="E11822" s="35" t="s">
        <v>2793</v>
      </c>
      <c r="F11822" s="35" t="s">
        <v>2799</v>
      </c>
    </row>
    <row r="11823" spans="1:6">
      <c r="A11823" s="34">
        <v>2084052369</v>
      </c>
      <c r="B11823" s="35" t="s">
        <v>2214</v>
      </c>
      <c r="C11823" s="35" t="s">
        <v>2299</v>
      </c>
      <c r="D11823" s="35" t="s">
        <v>2300</v>
      </c>
      <c r="E11823" s="35" t="s">
        <v>2793</v>
      </c>
      <c r="F11823" s="35" t="s">
        <v>2800</v>
      </c>
    </row>
    <row r="11824" spans="1:6">
      <c r="A11824" s="34">
        <v>2084018119</v>
      </c>
      <c r="B11824" s="35" t="s">
        <v>2214</v>
      </c>
      <c r="C11824" s="35" t="s">
        <v>2299</v>
      </c>
      <c r="D11824" s="35" t="s">
        <v>2300</v>
      </c>
      <c r="E11824" s="35" t="s">
        <v>2793</v>
      </c>
      <c r="F11824" s="35" t="s">
        <v>2801</v>
      </c>
    </row>
    <row r="11825" spans="1:6">
      <c r="A11825" s="34">
        <v>2084018120</v>
      </c>
      <c r="B11825" s="35" t="s">
        <v>2214</v>
      </c>
      <c r="C11825" s="35" t="s">
        <v>2299</v>
      </c>
      <c r="D11825" s="35" t="s">
        <v>2300</v>
      </c>
      <c r="E11825" s="35" t="s">
        <v>2793</v>
      </c>
      <c r="F11825" s="35" t="s">
        <v>2802</v>
      </c>
    </row>
    <row r="11826" spans="1:6">
      <c r="A11826" s="34">
        <v>2084018123</v>
      </c>
      <c r="B11826" s="35" t="s">
        <v>2214</v>
      </c>
      <c r="C11826" s="35" t="s">
        <v>2299</v>
      </c>
      <c r="D11826" s="35" t="s">
        <v>2300</v>
      </c>
      <c r="E11826" s="35" t="s">
        <v>2793</v>
      </c>
      <c r="F11826" s="35" t="s">
        <v>2803</v>
      </c>
    </row>
    <row r="11827" spans="1:6">
      <c r="A11827" s="34">
        <v>2084018124</v>
      </c>
      <c r="B11827" s="35" t="s">
        <v>2214</v>
      </c>
      <c r="C11827" s="35" t="s">
        <v>2299</v>
      </c>
      <c r="D11827" s="35" t="s">
        <v>2300</v>
      </c>
      <c r="E11827" s="35" t="s">
        <v>2793</v>
      </c>
      <c r="F11827" s="35" t="s">
        <v>2804</v>
      </c>
    </row>
    <row r="11828" spans="1:6">
      <c r="A11828" s="34">
        <v>2084018126</v>
      </c>
      <c r="B11828" s="35" t="s">
        <v>2214</v>
      </c>
      <c r="C11828" s="35" t="s">
        <v>2299</v>
      </c>
      <c r="D11828" s="35" t="s">
        <v>2300</v>
      </c>
      <c r="E11828" s="35" t="s">
        <v>2793</v>
      </c>
      <c r="F11828" s="35" t="s">
        <v>2805</v>
      </c>
    </row>
    <row r="11829" spans="1:6">
      <c r="A11829" s="34">
        <v>2084018127</v>
      </c>
      <c r="B11829" s="35" t="s">
        <v>2214</v>
      </c>
      <c r="C11829" s="35" t="s">
        <v>2299</v>
      </c>
      <c r="D11829" s="35" t="s">
        <v>2300</v>
      </c>
      <c r="E11829" s="35" t="s">
        <v>2793</v>
      </c>
      <c r="F11829" s="35" t="s">
        <v>2806</v>
      </c>
    </row>
    <row r="11830" spans="1:6">
      <c r="A11830" s="34">
        <v>2084052370</v>
      </c>
      <c r="B11830" s="35" t="s">
        <v>2214</v>
      </c>
      <c r="C11830" s="35" t="s">
        <v>2299</v>
      </c>
      <c r="D11830" s="35" t="s">
        <v>2300</v>
      </c>
      <c r="E11830" s="35" t="s">
        <v>2793</v>
      </c>
      <c r="F11830" s="35" t="s">
        <v>2807</v>
      </c>
    </row>
    <row r="11831" spans="1:6">
      <c r="A11831" s="34">
        <v>2084042510</v>
      </c>
      <c r="B11831" s="35" t="s">
        <v>2214</v>
      </c>
      <c r="C11831" s="35" t="s">
        <v>2299</v>
      </c>
      <c r="D11831" s="35" t="s">
        <v>2300</v>
      </c>
      <c r="E11831" s="35" t="s">
        <v>2793</v>
      </c>
      <c r="F11831" s="35" t="s">
        <v>2808</v>
      </c>
    </row>
    <row r="11832" spans="1:6">
      <c r="A11832" s="34">
        <v>2084018130</v>
      </c>
      <c r="B11832" s="35" t="s">
        <v>2214</v>
      </c>
      <c r="C11832" s="35" t="s">
        <v>2299</v>
      </c>
      <c r="D11832" s="35" t="s">
        <v>2300</v>
      </c>
      <c r="E11832" s="35" t="s">
        <v>2793</v>
      </c>
      <c r="F11832" s="35" t="s">
        <v>2809</v>
      </c>
    </row>
    <row r="11833" spans="1:6">
      <c r="A11833" s="34">
        <v>2084018131</v>
      </c>
      <c r="B11833" s="35" t="s">
        <v>2214</v>
      </c>
      <c r="C11833" s="35" t="s">
        <v>2299</v>
      </c>
      <c r="D11833" s="35" t="s">
        <v>2300</v>
      </c>
      <c r="E11833" s="35" t="s">
        <v>2793</v>
      </c>
      <c r="F11833" s="35" t="s">
        <v>2810</v>
      </c>
    </row>
    <row r="11834" spans="1:6">
      <c r="A11834" s="34">
        <v>2084018132</v>
      </c>
      <c r="B11834" s="35" t="s">
        <v>2214</v>
      </c>
      <c r="C11834" s="35" t="s">
        <v>2299</v>
      </c>
      <c r="D11834" s="35" t="s">
        <v>2300</v>
      </c>
      <c r="E11834" s="35" t="s">
        <v>2793</v>
      </c>
      <c r="F11834" s="35" t="s">
        <v>2811</v>
      </c>
    </row>
    <row r="11835" spans="1:6">
      <c r="A11835" s="34">
        <v>2084018134</v>
      </c>
      <c r="B11835" s="35" t="s">
        <v>2214</v>
      </c>
      <c r="C11835" s="35" t="s">
        <v>2299</v>
      </c>
      <c r="D11835" s="35" t="s">
        <v>2300</v>
      </c>
      <c r="E11835" s="35" t="s">
        <v>2793</v>
      </c>
      <c r="F11835" s="35" t="s">
        <v>2812</v>
      </c>
    </row>
    <row r="11836" spans="1:6">
      <c r="A11836" s="34">
        <v>2084018136</v>
      </c>
      <c r="B11836" s="35" t="s">
        <v>2214</v>
      </c>
      <c r="C11836" s="35" t="s">
        <v>2299</v>
      </c>
      <c r="D11836" s="35" t="s">
        <v>2300</v>
      </c>
      <c r="E11836" s="35" t="s">
        <v>2793</v>
      </c>
      <c r="F11836" s="35" t="s">
        <v>2813</v>
      </c>
    </row>
    <row r="11837" spans="1:6">
      <c r="A11837" s="34">
        <v>2084018137</v>
      </c>
      <c r="B11837" s="35" t="s">
        <v>2214</v>
      </c>
      <c r="C11837" s="35" t="s">
        <v>2299</v>
      </c>
      <c r="D11837" s="35" t="s">
        <v>2300</v>
      </c>
      <c r="E11837" s="35" t="s">
        <v>2793</v>
      </c>
      <c r="F11837" s="35" t="s">
        <v>440</v>
      </c>
    </row>
    <row r="11838" spans="1:6">
      <c r="A11838" s="34">
        <v>2084018139</v>
      </c>
      <c r="B11838" s="35" t="s">
        <v>2214</v>
      </c>
      <c r="C11838" s="35" t="s">
        <v>2299</v>
      </c>
      <c r="D11838" s="35" t="s">
        <v>2300</v>
      </c>
      <c r="E11838" s="35" t="s">
        <v>2793</v>
      </c>
      <c r="F11838" s="35" t="s">
        <v>2814</v>
      </c>
    </row>
    <row r="11839" spans="1:6">
      <c r="A11839" s="34">
        <v>2084018140</v>
      </c>
      <c r="B11839" s="35" t="s">
        <v>2214</v>
      </c>
      <c r="C11839" s="35" t="s">
        <v>2299</v>
      </c>
      <c r="D11839" s="35" t="s">
        <v>2300</v>
      </c>
      <c r="E11839" s="35" t="s">
        <v>2793</v>
      </c>
      <c r="F11839" s="35" t="s">
        <v>2815</v>
      </c>
    </row>
    <row r="11840" spans="1:6">
      <c r="A11840" s="34">
        <v>2084052713</v>
      </c>
      <c r="B11840" s="35" t="s">
        <v>2214</v>
      </c>
      <c r="C11840" s="35" t="s">
        <v>2299</v>
      </c>
      <c r="D11840" s="35" t="s">
        <v>2300</v>
      </c>
      <c r="E11840" s="35" t="s">
        <v>2816</v>
      </c>
      <c r="F11840" s="35" t="s">
        <v>2817</v>
      </c>
    </row>
    <row r="11841" spans="1:6">
      <c r="A11841" s="34">
        <v>2084052715</v>
      </c>
      <c r="B11841" s="35" t="s">
        <v>2214</v>
      </c>
      <c r="C11841" s="35" t="s">
        <v>2299</v>
      </c>
      <c r="D11841" s="35" t="s">
        <v>2300</v>
      </c>
      <c r="E11841" s="35" t="s">
        <v>2816</v>
      </c>
      <c r="F11841" s="35" t="s">
        <v>429</v>
      </c>
    </row>
    <row r="11842" spans="1:6">
      <c r="A11842" s="34">
        <v>2084052720</v>
      </c>
      <c r="B11842" s="35" t="s">
        <v>2214</v>
      </c>
      <c r="C11842" s="35" t="s">
        <v>2299</v>
      </c>
      <c r="D11842" s="35" t="s">
        <v>2300</v>
      </c>
      <c r="E11842" s="35" t="s">
        <v>2231</v>
      </c>
      <c r="F11842" s="35" t="s">
        <v>2818</v>
      </c>
    </row>
    <row r="11843" spans="1:6">
      <c r="A11843" s="34">
        <v>2084052721</v>
      </c>
      <c r="B11843" s="35" t="s">
        <v>2214</v>
      </c>
      <c r="C11843" s="35" t="s">
        <v>2299</v>
      </c>
      <c r="D11843" s="35" t="s">
        <v>2300</v>
      </c>
      <c r="E11843" s="35" t="s">
        <v>2231</v>
      </c>
      <c r="F11843" s="35" t="s">
        <v>2819</v>
      </c>
    </row>
    <row r="11844" spans="1:6">
      <c r="A11844" s="34">
        <v>2084052719</v>
      </c>
      <c r="B11844" s="35" t="s">
        <v>2214</v>
      </c>
      <c r="C11844" s="35" t="s">
        <v>2299</v>
      </c>
      <c r="D11844" s="35" t="s">
        <v>2300</v>
      </c>
      <c r="E11844" s="35" t="s">
        <v>2231</v>
      </c>
      <c r="F11844" s="35" t="s">
        <v>2820</v>
      </c>
    </row>
    <row r="11845" spans="1:6">
      <c r="A11845" s="34">
        <v>2084052722</v>
      </c>
      <c r="B11845" s="35" t="s">
        <v>2214</v>
      </c>
      <c r="C11845" s="35" t="s">
        <v>2299</v>
      </c>
      <c r="D11845" s="35" t="s">
        <v>2300</v>
      </c>
      <c r="E11845" s="35" t="s">
        <v>2231</v>
      </c>
      <c r="F11845" s="35" t="s">
        <v>429</v>
      </c>
    </row>
    <row r="11846" spans="1:6">
      <c r="A11846" s="34">
        <v>2084005396</v>
      </c>
      <c r="B11846" s="35" t="s">
        <v>2214</v>
      </c>
      <c r="C11846" s="35" t="s">
        <v>2299</v>
      </c>
      <c r="D11846" s="35" t="s">
        <v>2300</v>
      </c>
      <c r="E11846" s="35" t="s">
        <v>2259</v>
      </c>
    </row>
    <row r="11847" spans="1:6">
      <c r="A11847" s="34">
        <v>2084005397</v>
      </c>
      <c r="B11847" s="35" t="s">
        <v>2214</v>
      </c>
      <c r="C11847" s="35" t="s">
        <v>2299</v>
      </c>
      <c r="D11847" s="35" t="s">
        <v>2300</v>
      </c>
      <c r="E11847" s="35" t="s">
        <v>2821</v>
      </c>
    </row>
    <row r="11848" spans="1:6">
      <c r="A11848" s="34">
        <v>2084005399</v>
      </c>
      <c r="B11848" s="35" t="s">
        <v>2214</v>
      </c>
      <c r="C11848" s="35" t="s">
        <v>2299</v>
      </c>
      <c r="D11848" s="35" t="s">
        <v>2300</v>
      </c>
      <c r="E11848" s="35" t="s">
        <v>2822</v>
      </c>
    </row>
    <row r="11849" spans="1:6">
      <c r="A11849" s="34">
        <v>2084018135</v>
      </c>
      <c r="B11849" s="35" t="s">
        <v>2214</v>
      </c>
      <c r="C11849" s="35" t="s">
        <v>2299</v>
      </c>
      <c r="D11849" s="35" t="s">
        <v>2300</v>
      </c>
      <c r="E11849" s="35" t="s">
        <v>2823</v>
      </c>
    </row>
    <row r="11850" spans="1:6">
      <c r="A11850" s="34">
        <v>2084018125</v>
      </c>
      <c r="B11850" s="35" t="s">
        <v>2214</v>
      </c>
      <c r="C11850" s="35" t="s">
        <v>2299</v>
      </c>
      <c r="D11850" s="35" t="s">
        <v>2300</v>
      </c>
      <c r="E11850" s="35" t="s">
        <v>2824</v>
      </c>
    </row>
    <row r="11851" spans="1:6">
      <c r="A11851" s="34">
        <v>2084006908</v>
      </c>
      <c r="B11851" s="35" t="s">
        <v>2214</v>
      </c>
      <c r="C11851" s="35" t="s">
        <v>2299</v>
      </c>
      <c r="D11851" s="35" t="s">
        <v>2300</v>
      </c>
      <c r="E11851" s="35" t="s">
        <v>2825</v>
      </c>
    </row>
    <row r="11852" spans="1:6">
      <c r="A11852" s="34">
        <v>2084018122</v>
      </c>
      <c r="B11852" s="35" t="s">
        <v>2214</v>
      </c>
      <c r="C11852" s="35" t="s">
        <v>2299</v>
      </c>
      <c r="D11852" s="35" t="s">
        <v>2300</v>
      </c>
      <c r="E11852" s="35" t="s">
        <v>2826</v>
      </c>
    </row>
    <row r="11853" spans="1:6">
      <c r="A11853" s="34">
        <v>2084018138</v>
      </c>
      <c r="B11853" s="35" t="s">
        <v>2214</v>
      </c>
      <c r="C11853" s="35" t="s">
        <v>2299</v>
      </c>
      <c r="D11853" s="35" t="s">
        <v>2300</v>
      </c>
      <c r="E11853" s="35" t="s">
        <v>2827</v>
      </c>
    </row>
    <row r="11854" spans="1:6">
      <c r="A11854" s="34">
        <v>2084005400</v>
      </c>
      <c r="B11854" s="35" t="s">
        <v>2214</v>
      </c>
      <c r="C11854" s="35" t="s">
        <v>2299</v>
      </c>
      <c r="D11854" s="35" t="s">
        <v>2300</v>
      </c>
      <c r="E11854" s="35" t="s">
        <v>429</v>
      </c>
    </row>
    <row r="11855" spans="1:6">
      <c r="A11855" s="34">
        <v>2084060112</v>
      </c>
      <c r="B11855" s="35" t="s">
        <v>2214</v>
      </c>
      <c r="C11855" s="35" t="s">
        <v>2299</v>
      </c>
      <c r="D11855" s="35" t="s">
        <v>2828</v>
      </c>
      <c r="E11855" s="35" t="s">
        <v>2301</v>
      </c>
    </row>
    <row r="11856" spans="1:6">
      <c r="A11856" s="34">
        <v>2084209794</v>
      </c>
      <c r="B11856" s="35" t="s">
        <v>2214</v>
      </c>
      <c r="C11856" s="35" t="s">
        <v>2299</v>
      </c>
      <c r="D11856" s="35" t="s">
        <v>2828</v>
      </c>
      <c r="E11856" s="35" t="s">
        <v>2788</v>
      </c>
      <c r="F11856" s="35" t="s">
        <v>2789</v>
      </c>
    </row>
    <row r="11857" spans="1:6">
      <c r="A11857" s="34">
        <v>2084209796</v>
      </c>
      <c r="B11857" s="35" t="s">
        <v>2214</v>
      </c>
      <c r="C11857" s="35" t="s">
        <v>2299</v>
      </c>
      <c r="D11857" s="35" t="s">
        <v>2828</v>
      </c>
      <c r="E11857" s="35" t="s">
        <v>2788</v>
      </c>
      <c r="F11857" s="35" t="s">
        <v>2791</v>
      </c>
    </row>
    <row r="11858" spans="1:6">
      <c r="A11858" s="34">
        <v>2084209797</v>
      </c>
      <c r="B11858" s="35" t="s">
        <v>2214</v>
      </c>
      <c r="C11858" s="35" t="s">
        <v>2299</v>
      </c>
      <c r="D11858" s="35" t="s">
        <v>2828</v>
      </c>
      <c r="E11858" s="35" t="s">
        <v>2788</v>
      </c>
      <c r="F11858" s="35" t="s">
        <v>2792</v>
      </c>
    </row>
    <row r="11859" spans="1:6">
      <c r="A11859" s="34">
        <v>2084209795</v>
      </c>
      <c r="B11859" s="35" t="s">
        <v>2214</v>
      </c>
      <c r="C11859" s="35" t="s">
        <v>2299</v>
      </c>
      <c r="D11859" s="35" t="s">
        <v>2828</v>
      </c>
      <c r="E11859" s="35" t="s">
        <v>2788</v>
      </c>
      <c r="F11859" s="35" t="s">
        <v>2790</v>
      </c>
    </row>
    <row r="11860" spans="1:6">
      <c r="A11860" s="34">
        <v>2084209798</v>
      </c>
      <c r="B11860" s="35" t="s">
        <v>2214</v>
      </c>
      <c r="C11860" s="35" t="s">
        <v>2299</v>
      </c>
      <c r="D11860" s="35" t="s">
        <v>2828</v>
      </c>
      <c r="E11860" s="35" t="s">
        <v>2788</v>
      </c>
      <c r="F11860" s="35" t="s">
        <v>429</v>
      </c>
    </row>
    <row r="11861" spans="1:6">
      <c r="A11861" s="34">
        <v>2084060114</v>
      </c>
      <c r="B11861" s="35" t="s">
        <v>2214</v>
      </c>
      <c r="C11861" s="35" t="s">
        <v>2299</v>
      </c>
      <c r="D11861" s="35" t="s">
        <v>2828</v>
      </c>
      <c r="E11861" s="35" t="s">
        <v>2793</v>
      </c>
      <c r="F11861" s="35" t="s">
        <v>2794</v>
      </c>
    </row>
    <row r="11862" spans="1:6">
      <c r="A11862" s="34">
        <v>2084060115</v>
      </c>
      <c r="B11862" s="35" t="s">
        <v>2214</v>
      </c>
      <c r="C11862" s="35" t="s">
        <v>2299</v>
      </c>
      <c r="D11862" s="35" t="s">
        <v>2828</v>
      </c>
      <c r="E11862" s="35" t="s">
        <v>2793</v>
      </c>
      <c r="F11862" s="35" t="s">
        <v>2795</v>
      </c>
    </row>
    <row r="11863" spans="1:6">
      <c r="A11863" s="34">
        <v>2084060116</v>
      </c>
      <c r="B11863" s="35" t="s">
        <v>2214</v>
      </c>
      <c r="C11863" s="35" t="s">
        <v>2299</v>
      </c>
      <c r="D11863" s="35" t="s">
        <v>2828</v>
      </c>
      <c r="E11863" s="35" t="s">
        <v>2793</v>
      </c>
      <c r="F11863" s="35" t="s">
        <v>2796</v>
      </c>
    </row>
    <row r="11864" spans="1:6">
      <c r="A11864" s="34">
        <v>2084060117</v>
      </c>
      <c r="B11864" s="35" t="s">
        <v>2214</v>
      </c>
      <c r="C11864" s="35" t="s">
        <v>2299</v>
      </c>
      <c r="D11864" s="35" t="s">
        <v>2828</v>
      </c>
      <c r="E11864" s="35" t="s">
        <v>2793</v>
      </c>
      <c r="F11864" s="35" t="s">
        <v>2797</v>
      </c>
    </row>
    <row r="11865" spans="1:6">
      <c r="A11865" s="34">
        <v>2084060118</v>
      </c>
      <c r="B11865" s="35" t="s">
        <v>2214</v>
      </c>
      <c r="C11865" s="35" t="s">
        <v>2299</v>
      </c>
      <c r="D11865" s="35" t="s">
        <v>2828</v>
      </c>
      <c r="E11865" s="35" t="s">
        <v>2793</v>
      </c>
      <c r="F11865" s="35" t="s">
        <v>2798</v>
      </c>
    </row>
    <row r="11866" spans="1:6">
      <c r="A11866" s="34">
        <v>2084060119</v>
      </c>
      <c r="B11866" s="35" t="s">
        <v>2214</v>
      </c>
      <c r="C11866" s="35" t="s">
        <v>2299</v>
      </c>
      <c r="D11866" s="35" t="s">
        <v>2828</v>
      </c>
      <c r="E11866" s="35" t="s">
        <v>2793</v>
      </c>
      <c r="F11866" s="35" t="s">
        <v>2799</v>
      </c>
    </row>
    <row r="11867" spans="1:6">
      <c r="A11867" s="34">
        <v>2084060120</v>
      </c>
      <c r="B11867" s="35" t="s">
        <v>2214</v>
      </c>
      <c r="C11867" s="35" t="s">
        <v>2299</v>
      </c>
      <c r="D11867" s="35" t="s">
        <v>2828</v>
      </c>
      <c r="E11867" s="35" t="s">
        <v>2793</v>
      </c>
      <c r="F11867" s="35" t="s">
        <v>2800</v>
      </c>
    </row>
    <row r="11868" spans="1:6">
      <c r="A11868" s="34">
        <v>2084060121</v>
      </c>
      <c r="B11868" s="35" t="s">
        <v>2214</v>
      </c>
      <c r="C11868" s="35" t="s">
        <v>2299</v>
      </c>
      <c r="D11868" s="35" t="s">
        <v>2828</v>
      </c>
      <c r="E11868" s="35" t="s">
        <v>2793</v>
      </c>
      <c r="F11868" s="35" t="s">
        <v>2801</v>
      </c>
    </row>
    <row r="11869" spans="1:6">
      <c r="A11869" s="34">
        <v>2084060122</v>
      </c>
      <c r="B11869" s="35" t="s">
        <v>2214</v>
      </c>
      <c r="C11869" s="35" t="s">
        <v>2299</v>
      </c>
      <c r="D11869" s="35" t="s">
        <v>2828</v>
      </c>
      <c r="E11869" s="35" t="s">
        <v>2793</v>
      </c>
      <c r="F11869" s="35" t="s">
        <v>2802</v>
      </c>
    </row>
    <row r="11870" spans="1:6">
      <c r="A11870" s="34">
        <v>2084060123</v>
      </c>
      <c r="B11870" s="35" t="s">
        <v>2214</v>
      </c>
      <c r="C11870" s="35" t="s">
        <v>2299</v>
      </c>
      <c r="D11870" s="35" t="s">
        <v>2828</v>
      </c>
      <c r="E11870" s="35" t="s">
        <v>2793</v>
      </c>
      <c r="F11870" s="35" t="s">
        <v>2803</v>
      </c>
    </row>
    <row r="11871" spans="1:6">
      <c r="A11871" s="34">
        <v>2084060124</v>
      </c>
      <c r="B11871" s="35" t="s">
        <v>2214</v>
      </c>
      <c r="C11871" s="35" t="s">
        <v>2299</v>
      </c>
      <c r="D11871" s="35" t="s">
        <v>2828</v>
      </c>
      <c r="E11871" s="35" t="s">
        <v>2793</v>
      </c>
      <c r="F11871" s="35" t="s">
        <v>2804</v>
      </c>
    </row>
    <row r="11872" spans="1:6">
      <c r="A11872" s="34">
        <v>2084060125</v>
      </c>
      <c r="B11872" s="35" t="s">
        <v>2214</v>
      </c>
      <c r="C11872" s="35" t="s">
        <v>2299</v>
      </c>
      <c r="D11872" s="35" t="s">
        <v>2828</v>
      </c>
      <c r="E11872" s="35" t="s">
        <v>2793</v>
      </c>
      <c r="F11872" s="35" t="s">
        <v>2805</v>
      </c>
    </row>
    <row r="11873" spans="1:6">
      <c r="A11873" s="34">
        <v>2084060126</v>
      </c>
      <c r="B11873" s="35" t="s">
        <v>2214</v>
      </c>
      <c r="C11873" s="35" t="s">
        <v>2299</v>
      </c>
      <c r="D11873" s="35" t="s">
        <v>2828</v>
      </c>
      <c r="E11873" s="35" t="s">
        <v>2793</v>
      </c>
      <c r="F11873" s="35" t="s">
        <v>2806</v>
      </c>
    </row>
    <row r="11874" spans="1:6">
      <c r="A11874" s="34">
        <v>2084060127</v>
      </c>
      <c r="B11874" s="35" t="s">
        <v>2214</v>
      </c>
      <c r="C11874" s="35" t="s">
        <v>2299</v>
      </c>
      <c r="D11874" s="35" t="s">
        <v>2828</v>
      </c>
      <c r="E11874" s="35" t="s">
        <v>2793</v>
      </c>
      <c r="F11874" s="35" t="s">
        <v>2807</v>
      </c>
    </row>
    <row r="11875" spans="1:6">
      <c r="A11875" s="34">
        <v>2084060128</v>
      </c>
      <c r="B11875" s="35" t="s">
        <v>2214</v>
      </c>
      <c r="C11875" s="35" t="s">
        <v>2299</v>
      </c>
      <c r="D11875" s="35" t="s">
        <v>2828</v>
      </c>
      <c r="E11875" s="35" t="s">
        <v>2793</v>
      </c>
      <c r="F11875" s="35" t="s">
        <v>2808</v>
      </c>
    </row>
    <row r="11876" spans="1:6">
      <c r="A11876" s="34">
        <v>2084060129</v>
      </c>
      <c r="B11876" s="35" t="s">
        <v>2214</v>
      </c>
      <c r="C11876" s="35" t="s">
        <v>2299</v>
      </c>
      <c r="D11876" s="35" t="s">
        <v>2828</v>
      </c>
      <c r="E11876" s="35" t="s">
        <v>2793</v>
      </c>
      <c r="F11876" s="35" t="s">
        <v>2809</v>
      </c>
    </row>
    <row r="11877" spans="1:6">
      <c r="A11877" s="34">
        <v>2084060130</v>
      </c>
      <c r="B11877" s="35" t="s">
        <v>2214</v>
      </c>
      <c r="C11877" s="35" t="s">
        <v>2299</v>
      </c>
      <c r="D11877" s="35" t="s">
        <v>2828</v>
      </c>
      <c r="E11877" s="35" t="s">
        <v>2793</v>
      </c>
      <c r="F11877" s="35" t="s">
        <v>2810</v>
      </c>
    </row>
    <row r="11878" spans="1:6">
      <c r="A11878" s="34">
        <v>2084060131</v>
      </c>
      <c r="B11878" s="35" t="s">
        <v>2214</v>
      </c>
      <c r="C11878" s="35" t="s">
        <v>2299</v>
      </c>
      <c r="D11878" s="35" t="s">
        <v>2828</v>
      </c>
      <c r="E11878" s="35" t="s">
        <v>2793</v>
      </c>
      <c r="F11878" s="35" t="s">
        <v>2811</v>
      </c>
    </row>
    <row r="11879" spans="1:6">
      <c r="A11879" s="34">
        <v>2084060132</v>
      </c>
      <c r="B11879" s="35" t="s">
        <v>2214</v>
      </c>
      <c r="C11879" s="35" t="s">
        <v>2299</v>
      </c>
      <c r="D11879" s="35" t="s">
        <v>2828</v>
      </c>
      <c r="E11879" s="35" t="s">
        <v>2793</v>
      </c>
      <c r="F11879" s="35" t="s">
        <v>2812</v>
      </c>
    </row>
    <row r="11880" spans="1:6">
      <c r="A11880" s="34">
        <v>2084060133</v>
      </c>
      <c r="B11880" s="35" t="s">
        <v>2214</v>
      </c>
      <c r="C11880" s="35" t="s">
        <v>2299</v>
      </c>
      <c r="D11880" s="35" t="s">
        <v>2828</v>
      </c>
      <c r="E11880" s="35" t="s">
        <v>2793</v>
      </c>
      <c r="F11880" s="35" t="s">
        <v>2813</v>
      </c>
    </row>
    <row r="11881" spans="1:6">
      <c r="A11881" s="34">
        <v>2084060134</v>
      </c>
      <c r="B11881" s="35" t="s">
        <v>2214</v>
      </c>
      <c r="C11881" s="35" t="s">
        <v>2299</v>
      </c>
      <c r="D11881" s="35" t="s">
        <v>2828</v>
      </c>
      <c r="E11881" s="35" t="s">
        <v>2793</v>
      </c>
      <c r="F11881" s="35" t="s">
        <v>440</v>
      </c>
    </row>
    <row r="11882" spans="1:6">
      <c r="A11882" s="34">
        <v>2084060135</v>
      </c>
      <c r="B11882" s="35" t="s">
        <v>2214</v>
      </c>
      <c r="C11882" s="35" t="s">
        <v>2299</v>
      </c>
      <c r="D11882" s="35" t="s">
        <v>2828</v>
      </c>
      <c r="E11882" s="35" t="s">
        <v>2793</v>
      </c>
      <c r="F11882" s="35" t="s">
        <v>2814</v>
      </c>
    </row>
    <row r="11883" spans="1:6">
      <c r="A11883" s="34">
        <v>2084060136</v>
      </c>
      <c r="B11883" s="35" t="s">
        <v>2214</v>
      </c>
      <c r="C11883" s="35" t="s">
        <v>2299</v>
      </c>
      <c r="D11883" s="35" t="s">
        <v>2828</v>
      </c>
      <c r="E11883" s="35" t="s">
        <v>2793</v>
      </c>
      <c r="F11883" s="35" t="s">
        <v>2815</v>
      </c>
    </row>
    <row r="11884" spans="1:6">
      <c r="A11884" s="34">
        <v>2084060137</v>
      </c>
      <c r="B11884" s="35" t="s">
        <v>2214</v>
      </c>
      <c r="C11884" s="35" t="s">
        <v>2299</v>
      </c>
      <c r="D11884" s="35" t="s">
        <v>2828</v>
      </c>
      <c r="E11884" s="35" t="s">
        <v>2793</v>
      </c>
      <c r="F11884" s="35" t="s">
        <v>429</v>
      </c>
    </row>
    <row r="11885" spans="1:6">
      <c r="A11885" s="34">
        <v>2084060139</v>
      </c>
      <c r="B11885" s="35" t="s">
        <v>2214</v>
      </c>
      <c r="C11885" s="35" t="s">
        <v>2299</v>
      </c>
      <c r="D11885" s="35" t="s">
        <v>2828</v>
      </c>
      <c r="E11885" s="35" t="s">
        <v>2816</v>
      </c>
      <c r="F11885" s="35" t="s">
        <v>2817</v>
      </c>
    </row>
    <row r="11886" spans="1:6">
      <c r="A11886" s="34">
        <v>2084060140</v>
      </c>
      <c r="B11886" s="35" t="s">
        <v>2214</v>
      </c>
      <c r="C11886" s="35" t="s">
        <v>2299</v>
      </c>
      <c r="D11886" s="35" t="s">
        <v>2828</v>
      </c>
      <c r="E11886" s="35" t="s">
        <v>2816</v>
      </c>
      <c r="F11886" s="35" t="s">
        <v>429</v>
      </c>
    </row>
    <row r="11887" spans="1:6">
      <c r="A11887" s="34">
        <v>2084060147</v>
      </c>
      <c r="B11887" s="35" t="s">
        <v>2214</v>
      </c>
      <c r="C11887" s="35" t="s">
        <v>2299</v>
      </c>
      <c r="D11887" s="35" t="s">
        <v>2828</v>
      </c>
      <c r="E11887" s="35" t="s">
        <v>2231</v>
      </c>
      <c r="F11887" s="35" t="s">
        <v>2818</v>
      </c>
    </row>
    <row r="11888" spans="1:6">
      <c r="A11888" s="34">
        <v>2084060148</v>
      </c>
      <c r="B11888" s="35" t="s">
        <v>2214</v>
      </c>
      <c r="C11888" s="35" t="s">
        <v>2299</v>
      </c>
      <c r="D11888" s="35" t="s">
        <v>2828</v>
      </c>
      <c r="E11888" s="35" t="s">
        <v>2231</v>
      </c>
      <c r="F11888" s="35" t="s">
        <v>2819</v>
      </c>
    </row>
    <row r="11889" spans="1:6">
      <c r="A11889" s="34">
        <v>2084060149</v>
      </c>
      <c r="B11889" s="35" t="s">
        <v>2214</v>
      </c>
      <c r="C11889" s="35" t="s">
        <v>2299</v>
      </c>
      <c r="D11889" s="35" t="s">
        <v>2828</v>
      </c>
      <c r="E11889" s="35" t="s">
        <v>2231</v>
      </c>
      <c r="F11889" s="35" t="s">
        <v>2820</v>
      </c>
    </row>
    <row r="11890" spans="1:6">
      <c r="A11890" s="34">
        <v>2084060150</v>
      </c>
      <c r="B11890" s="35" t="s">
        <v>2214</v>
      </c>
      <c r="C11890" s="35" t="s">
        <v>2299</v>
      </c>
      <c r="D11890" s="35" t="s">
        <v>2828</v>
      </c>
      <c r="E11890" s="35" t="s">
        <v>2231</v>
      </c>
      <c r="F11890" s="35" t="s">
        <v>429</v>
      </c>
    </row>
    <row r="11891" spans="1:6">
      <c r="A11891" s="34">
        <v>2084060152</v>
      </c>
      <c r="B11891" s="35" t="s">
        <v>2214</v>
      </c>
      <c r="C11891" s="35" t="s">
        <v>2299</v>
      </c>
      <c r="D11891" s="35" t="s">
        <v>2828</v>
      </c>
      <c r="E11891" s="35" t="s">
        <v>2259</v>
      </c>
    </row>
    <row r="11892" spans="1:6">
      <c r="A11892" s="34">
        <v>2084060154</v>
      </c>
      <c r="B11892" s="35" t="s">
        <v>2214</v>
      </c>
      <c r="C11892" s="35" t="s">
        <v>2299</v>
      </c>
      <c r="D11892" s="35" t="s">
        <v>2828</v>
      </c>
      <c r="E11892" s="35" t="s">
        <v>2821</v>
      </c>
    </row>
    <row r="11893" spans="1:6">
      <c r="A11893" s="34">
        <v>2084060153</v>
      </c>
      <c r="B11893" s="35" t="s">
        <v>2214</v>
      </c>
      <c r="C11893" s="35" t="s">
        <v>2299</v>
      </c>
      <c r="D11893" s="35" t="s">
        <v>2828</v>
      </c>
      <c r="E11893" s="35" t="s">
        <v>2822</v>
      </c>
    </row>
    <row r="11894" spans="1:6">
      <c r="A11894" s="34">
        <v>2084060144</v>
      </c>
      <c r="B11894" s="35" t="s">
        <v>2214</v>
      </c>
      <c r="C11894" s="35" t="s">
        <v>2299</v>
      </c>
      <c r="D11894" s="35" t="s">
        <v>2828</v>
      </c>
      <c r="E11894" s="35" t="s">
        <v>2823</v>
      </c>
    </row>
    <row r="11895" spans="1:6">
      <c r="A11895" s="34">
        <v>2084060145</v>
      </c>
      <c r="B11895" s="35" t="s">
        <v>2214</v>
      </c>
      <c r="C11895" s="35" t="s">
        <v>2299</v>
      </c>
      <c r="D11895" s="35" t="s">
        <v>2828</v>
      </c>
      <c r="E11895" s="35" t="s">
        <v>2824</v>
      </c>
    </row>
    <row r="11896" spans="1:6">
      <c r="A11896" s="34">
        <v>2084060156</v>
      </c>
      <c r="B11896" s="35" t="s">
        <v>2214</v>
      </c>
      <c r="C11896" s="35" t="s">
        <v>2299</v>
      </c>
      <c r="D11896" s="35" t="s">
        <v>2828</v>
      </c>
      <c r="E11896" s="35" t="s">
        <v>2826</v>
      </c>
    </row>
    <row r="11897" spans="1:6">
      <c r="A11897" s="34">
        <v>2084060157</v>
      </c>
      <c r="B11897" s="35" t="s">
        <v>2214</v>
      </c>
      <c r="C11897" s="35" t="s">
        <v>2299</v>
      </c>
      <c r="D11897" s="35" t="s">
        <v>2828</v>
      </c>
      <c r="E11897" s="35" t="s">
        <v>2827</v>
      </c>
    </row>
    <row r="11898" spans="1:6">
      <c r="A11898" s="34">
        <v>2084060158</v>
      </c>
      <c r="B11898" s="35" t="s">
        <v>2214</v>
      </c>
      <c r="C11898" s="35" t="s">
        <v>2299</v>
      </c>
      <c r="D11898" s="35" t="s">
        <v>2828</v>
      </c>
      <c r="E11898" s="35" t="s">
        <v>429</v>
      </c>
    </row>
    <row r="11899" spans="1:6">
      <c r="A11899" s="34">
        <v>2084060093</v>
      </c>
      <c r="B11899" s="35" t="s">
        <v>2214</v>
      </c>
      <c r="C11899" s="35" t="s">
        <v>2299</v>
      </c>
      <c r="D11899" s="35" t="s">
        <v>2829</v>
      </c>
      <c r="E11899" s="35" t="s">
        <v>2793</v>
      </c>
    </row>
    <row r="11900" spans="1:6">
      <c r="A11900" s="34">
        <v>2084060094</v>
      </c>
      <c r="B11900" s="35" t="s">
        <v>2214</v>
      </c>
      <c r="C11900" s="35" t="s">
        <v>2299</v>
      </c>
      <c r="D11900" s="35" t="s">
        <v>2829</v>
      </c>
      <c r="E11900" s="35" t="s">
        <v>2816</v>
      </c>
    </row>
    <row r="11901" spans="1:6">
      <c r="A11901" s="34">
        <v>2084060097</v>
      </c>
      <c r="B11901" s="35" t="s">
        <v>2214</v>
      </c>
      <c r="C11901" s="35" t="s">
        <v>2299</v>
      </c>
      <c r="D11901" s="35" t="s">
        <v>2829</v>
      </c>
      <c r="E11901" s="35" t="s">
        <v>2231</v>
      </c>
      <c r="F11901" s="35" t="s">
        <v>2818</v>
      </c>
    </row>
    <row r="11902" spans="1:6">
      <c r="A11902" s="34">
        <v>2084060098</v>
      </c>
      <c r="B11902" s="35" t="s">
        <v>2214</v>
      </c>
      <c r="C11902" s="35" t="s">
        <v>2299</v>
      </c>
      <c r="D11902" s="35" t="s">
        <v>2829</v>
      </c>
      <c r="E11902" s="35" t="s">
        <v>2231</v>
      </c>
      <c r="F11902" s="35" t="s">
        <v>2819</v>
      </c>
    </row>
    <row r="11903" spans="1:6">
      <c r="A11903" s="34">
        <v>2084060099</v>
      </c>
      <c r="B11903" s="35" t="s">
        <v>2214</v>
      </c>
      <c r="C11903" s="35" t="s">
        <v>2299</v>
      </c>
      <c r="D11903" s="35" t="s">
        <v>2829</v>
      </c>
      <c r="E11903" s="35" t="s">
        <v>2231</v>
      </c>
      <c r="F11903" s="35" t="s">
        <v>2820</v>
      </c>
    </row>
    <row r="11904" spans="1:6">
      <c r="A11904" s="34">
        <v>2084060100</v>
      </c>
      <c r="B11904" s="35" t="s">
        <v>2214</v>
      </c>
      <c r="C11904" s="35" t="s">
        <v>2299</v>
      </c>
      <c r="D11904" s="35" t="s">
        <v>2829</v>
      </c>
      <c r="E11904" s="35" t="s">
        <v>2231</v>
      </c>
      <c r="F11904" s="35" t="s">
        <v>429</v>
      </c>
    </row>
    <row r="11905" spans="1:6">
      <c r="A11905" s="34">
        <v>2084060102</v>
      </c>
      <c r="B11905" s="35" t="s">
        <v>2214</v>
      </c>
      <c r="C11905" s="35" t="s">
        <v>2299</v>
      </c>
      <c r="D11905" s="35" t="s">
        <v>2829</v>
      </c>
      <c r="E11905" s="35" t="s">
        <v>2259</v>
      </c>
    </row>
    <row r="11906" spans="1:6">
      <c r="A11906" s="34">
        <v>2084060104</v>
      </c>
      <c r="B11906" s="35" t="s">
        <v>2214</v>
      </c>
      <c r="C11906" s="35" t="s">
        <v>2299</v>
      </c>
      <c r="D11906" s="35" t="s">
        <v>2829</v>
      </c>
      <c r="E11906" s="35" t="s">
        <v>2821</v>
      </c>
    </row>
    <row r="11907" spans="1:6">
      <c r="A11907" s="34">
        <v>2084060103</v>
      </c>
      <c r="B11907" s="35" t="s">
        <v>2214</v>
      </c>
      <c r="C11907" s="35" t="s">
        <v>2299</v>
      </c>
      <c r="D11907" s="35" t="s">
        <v>2829</v>
      </c>
      <c r="E11907" s="35" t="s">
        <v>2822</v>
      </c>
    </row>
    <row r="11908" spans="1:6">
      <c r="A11908" s="34">
        <v>2084060095</v>
      </c>
      <c r="B11908" s="35" t="s">
        <v>2214</v>
      </c>
      <c r="C11908" s="35" t="s">
        <v>2299</v>
      </c>
      <c r="D11908" s="35" t="s">
        <v>2829</v>
      </c>
      <c r="E11908" s="35" t="s">
        <v>2824</v>
      </c>
    </row>
    <row r="11909" spans="1:6">
      <c r="A11909" s="34">
        <v>2084060105</v>
      </c>
      <c r="B11909" s="35" t="s">
        <v>2214</v>
      </c>
      <c r="C11909" s="35" t="s">
        <v>2299</v>
      </c>
      <c r="D11909" s="35" t="s">
        <v>2829</v>
      </c>
      <c r="E11909" s="35" t="s">
        <v>2825</v>
      </c>
    </row>
    <row r="11910" spans="1:6">
      <c r="A11910" s="34">
        <v>2084060106</v>
      </c>
      <c r="B11910" s="35" t="s">
        <v>2214</v>
      </c>
      <c r="C11910" s="35" t="s">
        <v>2299</v>
      </c>
      <c r="D11910" s="35" t="s">
        <v>2829</v>
      </c>
      <c r="E11910" s="35" t="s">
        <v>2788</v>
      </c>
    </row>
    <row r="11911" spans="1:6">
      <c r="A11911" s="34">
        <v>2084060107</v>
      </c>
      <c r="B11911" s="35" t="s">
        <v>2214</v>
      </c>
      <c r="C11911" s="35" t="s">
        <v>2299</v>
      </c>
      <c r="D11911" s="35" t="s">
        <v>2829</v>
      </c>
      <c r="E11911" s="35" t="s">
        <v>2826</v>
      </c>
    </row>
    <row r="11912" spans="1:6">
      <c r="A11912" s="34">
        <v>2084060108</v>
      </c>
      <c r="B11912" s="35" t="s">
        <v>2214</v>
      </c>
      <c r="C11912" s="35" t="s">
        <v>2299</v>
      </c>
      <c r="D11912" s="35" t="s">
        <v>2829</v>
      </c>
      <c r="E11912" s="35" t="s">
        <v>2827</v>
      </c>
    </row>
    <row r="11913" spans="1:6">
      <c r="A11913" s="34">
        <v>2084060109</v>
      </c>
      <c r="B11913" s="35" t="s">
        <v>2214</v>
      </c>
      <c r="C11913" s="35" t="s">
        <v>2299</v>
      </c>
      <c r="D11913" s="35" t="s">
        <v>2829</v>
      </c>
      <c r="E11913" s="35" t="s">
        <v>429</v>
      </c>
    </row>
    <row r="11914" spans="1:6">
      <c r="A11914" s="34">
        <v>2084018194</v>
      </c>
      <c r="B11914" s="35" t="s">
        <v>2214</v>
      </c>
      <c r="C11914" s="35" t="s">
        <v>2299</v>
      </c>
      <c r="D11914" s="35" t="s">
        <v>2830</v>
      </c>
      <c r="E11914" s="35" t="s">
        <v>2301</v>
      </c>
    </row>
    <row r="11915" spans="1:6">
      <c r="A11915" s="34">
        <v>2084019055</v>
      </c>
      <c r="B11915" s="35" t="s">
        <v>2214</v>
      </c>
      <c r="C11915" s="35" t="s">
        <v>2299</v>
      </c>
      <c r="D11915" s="35" t="s">
        <v>2830</v>
      </c>
      <c r="E11915" s="35" t="s">
        <v>2788</v>
      </c>
    </row>
    <row r="11916" spans="1:6">
      <c r="A11916" s="34">
        <v>2084042508</v>
      </c>
      <c r="B11916" s="35" t="s">
        <v>2214</v>
      </c>
      <c r="C11916" s="35" t="s">
        <v>2299</v>
      </c>
      <c r="D11916" s="35" t="s">
        <v>2830</v>
      </c>
      <c r="E11916" s="35" t="s">
        <v>2793</v>
      </c>
      <c r="F11916" s="35" t="s">
        <v>429</v>
      </c>
    </row>
    <row r="11917" spans="1:6">
      <c r="A11917" s="34">
        <v>2084018179</v>
      </c>
      <c r="B11917" s="35" t="s">
        <v>2214</v>
      </c>
      <c r="C11917" s="35" t="s">
        <v>2299</v>
      </c>
      <c r="D11917" s="35" t="s">
        <v>2830</v>
      </c>
      <c r="E11917" s="35" t="s">
        <v>2793</v>
      </c>
      <c r="F11917" s="35" t="s">
        <v>2794</v>
      </c>
    </row>
    <row r="11918" spans="1:6">
      <c r="A11918" s="34">
        <v>2084042506</v>
      </c>
      <c r="B11918" s="35" t="s">
        <v>2214</v>
      </c>
      <c r="C11918" s="35" t="s">
        <v>2299</v>
      </c>
      <c r="D11918" s="35" t="s">
        <v>2830</v>
      </c>
      <c r="E11918" s="35" t="s">
        <v>2793</v>
      </c>
      <c r="F11918" s="35" t="s">
        <v>2795</v>
      </c>
    </row>
    <row r="11919" spans="1:6">
      <c r="A11919" s="34">
        <v>2084018180</v>
      </c>
      <c r="B11919" s="35" t="s">
        <v>2214</v>
      </c>
      <c r="C11919" s="35" t="s">
        <v>2299</v>
      </c>
      <c r="D11919" s="35" t="s">
        <v>2830</v>
      </c>
      <c r="E11919" s="35" t="s">
        <v>2793</v>
      </c>
      <c r="F11919" s="35" t="s">
        <v>2796</v>
      </c>
    </row>
    <row r="11920" spans="1:6">
      <c r="A11920" s="34">
        <v>2084018181</v>
      </c>
      <c r="B11920" s="35" t="s">
        <v>2214</v>
      </c>
      <c r="C11920" s="35" t="s">
        <v>2299</v>
      </c>
      <c r="D11920" s="35" t="s">
        <v>2830</v>
      </c>
      <c r="E11920" s="35" t="s">
        <v>2793</v>
      </c>
      <c r="F11920" s="35" t="s">
        <v>2797</v>
      </c>
    </row>
    <row r="11921" spans="1:6">
      <c r="A11921" s="34">
        <v>2084018182</v>
      </c>
      <c r="B11921" s="35" t="s">
        <v>2214</v>
      </c>
      <c r="C11921" s="35" t="s">
        <v>2299</v>
      </c>
      <c r="D11921" s="35" t="s">
        <v>2830</v>
      </c>
      <c r="E11921" s="35" t="s">
        <v>2793</v>
      </c>
      <c r="F11921" s="35" t="s">
        <v>2798</v>
      </c>
    </row>
    <row r="11922" spans="1:6">
      <c r="A11922" s="34">
        <v>2084018183</v>
      </c>
      <c r="B11922" s="35" t="s">
        <v>2214</v>
      </c>
      <c r="C11922" s="35" t="s">
        <v>2299</v>
      </c>
      <c r="D11922" s="35" t="s">
        <v>2830</v>
      </c>
      <c r="E11922" s="35" t="s">
        <v>2793</v>
      </c>
      <c r="F11922" s="35" t="s">
        <v>2799</v>
      </c>
    </row>
    <row r="11923" spans="1:6">
      <c r="A11923" s="34">
        <v>2084018184</v>
      </c>
      <c r="B11923" s="35" t="s">
        <v>2214</v>
      </c>
      <c r="C11923" s="35" t="s">
        <v>2299</v>
      </c>
      <c r="D11923" s="35" t="s">
        <v>2830</v>
      </c>
      <c r="E11923" s="35" t="s">
        <v>2793</v>
      </c>
      <c r="F11923" s="35" t="s">
        <v>2801</v>
      </c>
    </row>
    <row r="11924" spans="1:6">
      <c r="A11924" s="34">
        <v>2084018185</v>
      </c>
      <c r="B11924" s="35" t="s">
        <v>2214</v>
      </c>
      <c r="C11924" s="35" t="s">
        <v>2299</v>
      </c>
      <c r="D11924" s="35" t="s">
        <v>2830</v>
      </c>
      <c r="E11924" s="35" t="s">
        <v>2793</v>
      </c>
      <c r="F11924" s="35" t="s">
        <v>2802</v>
      </c>
    </row>
    <row r="11925" spans="1:6">
      <c r="A11925" s="34">
        <v>2084018188</v>
      </c>
      <c r="B11925" s="35" t="s">
        <v>2214</v>
      </c>
      <c r="C11925" s="35" t="s">
        <v>2299</v>
      </c>
      <c r="D11925" s="35" t="s">
        <v>2830</v>
      </c>
      <c r="E11925" s="35" t="s">
        <v>2793</v>
      </c>
      <c r="F11925" s="35" t="s">
        <v>2803</v>
      </c>
    </row>
    <row r="11926" spans="1:6">
      <c r="A11926" s="34">
        <v>2084018189</v>
      </c>
      <c r="B11926" s="35" t="s">
        <v>2214</v>
      </c>
      <c r="C11926" s="35" t="s">
        <v>2299</v>
      </c>
      <c r="D11926" s="35" t="s">
        <v>2830</v>
      </c>
      <c r="E11926" s="35" t="s">
        <v>2793</v>
      </c>
      <c r="F11926" s="35" t="s">
        <v>2804</v>
      </c>
    </row>
    <row r="11927" spans="1:6">
      <c r="A11927" s="34">
        <v>2084018191</v>
      </c>
      <c r="B11927" s="35" t="s">
        <v>2214</v>
      </c>
      <c r="C11927" s="35" t="s">
        <v>2299</v>
      </c>
      <c r="D11927" s="35" t="s">
        <v>2830</v>
      </c>
      <c r="E11927" s="35" t="s">
        <v>2793</v>
      </c>
      <c r="F11927" s="35" t="s">
        <v>2805</v>
      </c>
    </row>
    <row r="11928" spans="1:6">
      <c r="A11928" s="34">
        <v>2084018192</v>
      </c>
      <c r="B11928" s="35" t="s">
        <v>2214</v>
      </c>
      <c r="C11928" s="35" t="s">
        <v>2299</v>
      </c>
      <c r="D11928" s="35" t="s">
        <v>2830</v>
      </c>
      <c r="E11928" s="35" t="s">
        <v>2793</v>
      </c>
      <c r="F11928" s="35" t="s">
        <v>2806</v>
      </c>
    </row>
    <row r="11929" spans="1:6">
      <c r="A11929" s="34">
        <v>2084042507</v>
      </c>
      <c r="B11929" s="35" t="s">
        <v>2214</v>
      </c>
      <c r="C11929" s="35" t="s">
        <v>2299</v>
      </c>
      <c r="D11929" s="35" t="s">
        <v>2830</v>
      </c>
      <c r="E11929" s="35" t="s">
        <v>2793</v>
      </c>
      <c r="F11929" s="35" t="s">
        <v>2808</v>
      </c>
    </row>
    <row r="11930" spans="1:6">
      <c r="A11930" s="34">
        <v>2084018173</v>
      </c>
      <c r="B11930" s="35" t="s">
        <v>2214</v>
      </c>
      <c r="C11930" s="35" t="s">
        <v>2299</v>
      </c>
      <c r="D11930" s="35" t="s">
        <v>2830</v>
      </c>
      <c r="E11930" s="35" t="s">
        <v>2793</v>
      </c>
      <c r="F11930" s="35" t="s">
        <v>2809</v>
      </c>
    </row>
    <row r="11931" spans="1:6">
      <c r="A11931" s="34">
        <v>2084018174</v>
      </c>
      <c r="B11931" s="35" t="s">
        <v>2214</v>
      </c>
      <c r="C11931" s="35" t="s">
        <v>2299</v>
      </c>
      <c r="D11931" s="35" t="s">
        <v>2830</v>
      </c>
      <c r="E11931" s="35" t="s">
        <v>2793</v>
      </c>
      <c r="F11931" s="35" t="s">
        <v>2810</v>
      </c>
    </row>
    <row r="11932" spans="1:6">
      <c r="A11932" s="34">
        <v>2084018175</v>
      </c>
      <c r="B11932" s="35" t="s">
        <v>2214</v>
      </c>
      <c r="C11932" s="35" t="s">
        <v>2299</v>
      </c>
      <c r="D11932" s="35" t="s">
        <v>2830</v>
      </c>
      <c r="E11932" s="35" t="s">
        <v>2793</v>
      </c>
      <c r="F11932" s="35" t="s">
        <v>2811</v>
      </c>
    </row>
    <row r="11933" spans="1:6">
      <c r="A11933" s="34">
        <v>2084018177</v>
      </c>
      <c r="B11933" s="35" t="s">
        <v>2214</v>
      </c>
      <c r="C11933" s="35" t="s">
        <v>2299</v>
      </c>
      <c r="D11933" s="35" t="s">
        <v>2830</v>
      </c>
      <c r="E11933" s="35" t="s">
        <v>2793</v>
      </c>
      <c r="F11933" s="35" t="s">
        <v>2812</v>
      </c>
    </row>
    <row r="11934" spans="1:6">
      <c r="A11934" s="34">
        <v>2084018168</v>
      </c>
      <c r="B11934" s="35" t="s">
        <v>2214</v>
      </c>
      <c r="C11934" s="35" t="s">
        <v>2299</v>
      </c>
      <c r="D11934" s="35" t="s">
        <v>2830</v>
      </c>
      <c r="E11934" s="35" t="s">
        <v>2793</v>
      </c>
      <c r="F11934" s="35" t="s">
        <v>2813</v>
      </c>
    </row>
    <row r="11935" spans="1:6">
      <c r="A11935" s="34">
        <v>2084018169</v>
      </c>
      <c r="B11935" s="35" t="s">
        <v>2214</v>
      </c>
      <c r="C11935" s="35" t="s">
        <v>2299</v>
      </c>
      <c r="D11935" s="35" t="s">
        <v>2830</v>
      </c>
      <c r="E11935" s="35" t="s">
        <v>2793</v>
      </c>
      <c r="F11935" s="35" t="s">
        <v>440</v>
      </c>
    </row>
    <row r="11936" spans="1:6">
      <c r="A11936" s="34">
        <v>2084018171</v>
      </c>
      <c r="B11936" s="35" t="s">
        <v>2214</v>
      </c>
      <c r="C11936" s="35" t="s">
        <v>2299</v>
      </c>
      <c r="D11936" s="35" t="s">
        <v>2830</v>
      </c>
      <c r="E11936" s="35" t="s">
        <v>2793</v>
      </c>
      <c r="F11936" s="35" t="s">
        <v>2814</v>
      </c>
    </row>
    <row r="11937" spans="1:7">
      <c r="A11937" s="34">
        <v>2084018172</v>
      </c>
      <c r="B11937" s="35" t="s">
        <v>2214</v>
      </c>
      <c r="C11937" s="35" t="s">
        <v>2299</v>
      </c>
      <c r="D11937" s="35" t="s">
        <v>2830</v>
      </c>
      <c r="E11937" s="35" t="s">
        <v>2793</v>
      </c>
      <c r="F11937" s="35" t="s">
        <v>2815</v>
      </c>
    </row>
    <row r="11938" spans="1:7">
      <c r="A11938" s="34">
        <v>2084052709</v>
      </c>
      <c r="B11938" s="35" t="s">
        <v>2214</v>
      </c>
      <c r="C11938" s="35" t="s">
        <v>2299</v>
      </c>
      <c r="D11938" s="35" t="s">
        <v>2830</v>
      </c>
      <c r="E11938" s="35" t="s">
        <v>2816</v>
      </c>
      <c r="F11938" s="35" t="s">
        <v>2817</v>
      </c>
    </row>
    <row r="11939" spans="1:7">
      <c r="A11939" s="34">
        <v>2084052710</v>
      </c>
      <c r="B11939" s="35" t="s">
        <v>2214</v>
      </c>
      <c r="C11939" s="35" t="s">
        <v>2299</v>
      </c>
      <c r="D11939" s="35" t="s">
        <v>2830</v>
      </c>
      <c r="E11939" s="35" t="s">
        <v>2816</v>
      </c>
      <c r="F11939" s="35" t="s">
        <v>429</v>
      </c>
    </row>
    <row r="11940" spans="1:7">
      <c r="A11940" s="34">
        <v>2084019053</v>
      </c>
      <c r="B11940" s="35" t="s">
        <v>2214</v>
      </c>
      <c r="C11940" s="35" t="s">
        <v>2299</v>
      </c>
      <c r="D11940" s="35" t="s">
        <v>2830</v>
      </c>
      <c r="E11940" s="35" t="s">
        <v>2231</v>
      </c>
    </row>
    <row r="11941" spans="1:7">
      <c r="A11941" s="34">
        <v>2084005392</v>
      </c>
      <c r="B11941" s="35" t="s">
        <v>2214</v>
      </c>
      <c r="C11941" s="35" t="s">
        <v>2299</v>
      </c>
      <c r="D11941" s="35" t="s">
        <v>2830</v>
      </c>
      <c r="E11941" s="35" t="s">
        <v>2259</v>
      </c>
    </row>
    <row r="11942" spans="1:7">
      <c r="A11942" s="34">
        <v>2084019054</v>
      </c>
      <c r="B11942" s="35" t="s">
        <v>2214</v>
      </c>
      <c r="C11942" s="35" t="s">
        <v>2299</v>
      </c>
      <c r="D11942" s="35" t="s">
        <v>2830</v>
      </c>
      <c r="E11942" s="35" t="s">
        <v>2821</v>
      </c>
    </row>
    <row r="11943" spans="1:7">
      <c r="A11943" s="34">
        <v>2084005393</v>
      </c>
      <c r="B11943" s="35" t="s">
        <v>2214</v>
      </c>
      <c r="C11943" s="35" t="s">
        <v>2299</v>
      </c>
      <c r="D11943" s="35" t="s">
        <v>2830</v>
      </c>
      <c r="E11943" s="35" t="s">
        <v>2822</v>
      </c>
    </row>
    <row r="11944" spans="1:7">
      <c r="A11944" s="34">
        <v>2084018178</v>
      </c>
      <c r="B11944" s="35" t="s">
        <v>2214</v>
      </c>
      <c r="C11944" s="35" t="s">
        <v>2299</v>
      </c>
      <c r="D11944" s="35" t="s">
        <v>2830</v>
      </c>
      <c r="E11944" s="35" t="s">
        <v>2823</v>
      </c>
    </row>
    <row r="11945" spans="1:7">
      <c r="A11945" s="34">
        <v>2084018190</v>
      </c>
      <c r="B11945" s="35" t="s">
        <v>2214</v>
      </c>
      <c r="C11945" s="35" t="s">
        <v>2299</v>
      </c>
      <c r="D11945" s="35" t="s">
        <v>2830</v>
      </c>
      <c r="E11945" s="35" t="s">
        <v>2824</v>
      </c>
    </row>
    <row r="11946" spans="1:7">
      <c r="A11946" s="34">
        <v>2084018187</v>
      </c>
      <c r="B11946" s="35" t="s">
        <v>2214</v>
      </c>
      <c r="C11946" s="35" t="s">
        <v>2299</v>
      </c>
      <c r="D11946" s="35" t="s">
        <v>2830</v>
      </c>
      <c r="E11946" s="35" t="s">
        <v>2826</v>
      </c>
    </row>
    <row r="11947" spans="1:7">
      <c r="A11947" s="34">
        <v>2084018170</v>
      </c>
      <c r="B11947" s="35" t="s">
        <v>2214</v>
      </c>
      <c r="C11947" s="35" t="s">
        <v>2299</v>
      </c>
      <c r="D11947" s="35" t="s">
        <v>2830</v>
      </c>
      <c r="E11947" s="35" t="s">
        <v>2827</v>
      </c>
    </row>
    <row r="11948" spans="1:7">
      <c r="A11948" s="34">
        <v>2084005394</v>
      </c>
      <c r="B11948" s="35" t="s">
        <v>2214</v>
      </c>
      <c r="C11948" s="35" t="s">
        <v>2299</v>
      </c>
      <c r="D11948" s="35" t="s">
        <v>2830</v>
      </c>
      <c r="E11948" s="35" t="s">
        <v>429</v>
      </c>
    </row>
    <row r="11949" spans="1:7">
      <c r="A11949" s="34">
        <v>2084057270</v>
      </c>
      <c r="B11949" s="35" t="s">
        <v>2214</v>
      </c>
      <c r="C11949" s="35" t="s">
        <v>2299</v>
      </c>
      <c r="D11949" s="35" t="s">
        <v>2230</v>
      </c>
      <c r="E11949" s="35" t="s">
        <v>2301</v>
      </c>
      <c r="F11949" s="35" t="s">
        <v>2831</v>
      </c>
      <c r="G11949" s="35" t="s">
        <v>2832</v>
      </c>
    </row>
    <row r="11950" spans="1:7">
      <c r="A11950" s="34">
        <v>2084057271</v>
      </c>
      <c r="B11950" s="35" t="s">
        <v>2214</v>
      </c>
      <c r="C11950" s="35" t="s">
        <v>2299</v>
      </c>
      <c r="D11950" s="35" t="s">
        <v>2230</v>
      </c>
      <c r="E11950" s="35" t="s">
        <v>2301</v>
      </c>
      <c r="F11950" s="35" t="s">
        <v>2831</v>
      </c>
      <c r="G11950" s="35" t="s">
        <v>2833</v>
      </c>
    </row>
    <row r="11951" spans="1:7">
      <c r="A11951" s="34">
        <v>2084057269</v>
      </c>
      <c r="B11951" s="35" t="s">
        <v>2214</v>
      </c>
      <c r="C11951" s="35" t="s">
        <v>2299</v>
      </c>
      <c r="D11951" s="35" t="s">
        <v>2230</v>
      </c>
      <c r="E11951" s="35" t="s">
        <v>2301</v>
      </c>
      <c r="F11951" s="35" t="s">
        <v>2831</v>
      </c>
      <c r="G11951" s="35" t="s">
        <v>2834</v>
      </c>
    </row>
    <row r="11952" spans="1:7">
      <c r="A11952" s="34">
        <v>2084057272</v>
      </c>
      <c r="B11952" s="35" t="s">
        <v>2214</v>
      </c>
      <c r="C11952" s="35" t="s">
        <v>2299</v>
      </c>
      <c r="D11952" s="35" t="s">
        <v>2230</v>
      </c>
      <c r="E11952" s="35" t="s">
        <v>2301</v>
      </c>
      <c r="F11952" s="35" t="s">
        <v>2831</v>
      </c>
      <c r="G11952" s="35" t="s">
        <v>2835</v>
      </c>
    </row>
    <row r="11953" spans="1:6">
      <c r="A11953" s="34">
        <v>2084057266</v>
      </c>
      <c r="B11953" s="35" t="s">
        <v>2214</v>
      </c>
      <c r="C11953" s="35" t="s">
        <v>2299</v>
      </c>
      <c r="D11953" s="35" t="s">
        <v>2230</v>
      </c>
      <c r="E11953" s="35" t="s">
        <v>2301</v>
      </c>
      <c r="F11953" s="35" t="s">
        <v>2836</v>
      </c>
    </row>
    <row r="11954" spans="1:6">
      <c r="A11954" s="34">
        <v>2084057267</v>
      </c>
      <c r="B11954" s="35" t="s">
        <v>2214</v>
      </c>
      <c r="C11954" s="35" t="s">
        <v>2299</v>
      </c>
      <c r="D11954" s="35" t="s">
        <v>2230</v>
      </c>
      <c r="E11954" s="35" t="s">
        <v>2301</v>
      </c>
      <c r="F11954" s="35" t="s">
        <v>2837</v>
      </c>
    </row>
    <row r="11955" spans="1:6">
      <c r="A11955" s="34">
        <v>2084057273</v>
      </c>
      <c r="B11955" s="35" t="s">
        <v>2214</v>
      </c>
      <c r="C11955" s="35" t="s">
        <v>2299</v>
      </c>
      <c r="D11955" s="35" t="s">
        <v>2230</v>
      </c>
      <c r="E11955" s="35" t="s">
        <v>2301</v>
      </c>
      <c r="F11955" s="35" t="s">
        <v>429</v>
      </c>
    </row>
    <row r="11956" spans="1:6">
      <c r="A11956" s="34">
        <v>2084042530</v>
      </c>
      <c r="B11956" s="35" t="s">
        <v>2214</v>
      </c>
      <c r="C11956" s="35" t="s">
        <v>2299</v>
      </c>
      <c r="D11956" s="35" t="s">
        <v>2230</v>
      </c>
      <c r="E11956" s="35" t="s">
        <v>2793</v>
      </c>
      <c r="F11956" s="35" t="s">
        <v>429</v>
      </c>
    </row>
    <row r="11957" spans="1:6">
      <c r="A11957" s="34">
        <v>2084018286</v>
      </c>
      <c r="B11957" s="35" t="s">
        <v>2214</v>
      </c>
      <c r="C11957" s="35" t="s">
        <v>2299</v>
      </c>
      <c r="D11957" s="35" t="s">
        <v>2230</v>
      </c>
      <c r="E11957" s="35" t="s">
        <v>2793</v>
      </c>
      <c r="F11957" s="35" t="s">
        <v>2794</v>
      </c>
    </row>
    <row r="11958" spans="1:6">
      <c r="A11958" s="34">
        <v>2084042528</v>
      </c>
      <c r="B11958" s="35" t="s">
        <v>2214</v>
      </c>
      <c r="C11958" s="35" t="s">
        <v>2299</v>
      </c>
      <c r="D11958" s="35" t="s">
        <v>2230</v>
      </c>
      <c r="E11958" s="35" t="s">
        <v>2793</v>
      </c>
      <c r="F11958" s="35" t="s">
        <v>2795</v>
      </c>
    </row>
    <row r="11959" spans="1:6">
      <c r="A11959" s="34">
        <v>2084018287</v>
      </c>
      <c r="B11959" s="35" t="s">
        <v>2214</v>
      </c>
      <c r="C11959" s="35" t="s">
        <v>2299</v>
      </c>
      <c r="D11959" s="35" t="s">
        <v>2230</v>
      </c>
      <c r="E11959" s="35" t="s">
        <v>2793</v>
      </c>
      <c r="F11959" s="35" t="s">
        <v>2796</v>
      </c>
    </row>
    <row r="11960" spans="1:6">
      <c r="A11960" s="34">
        <v>2084018288</v>
      </c>
      <c r="B11960" s="35" t="s">
        <v>2214</v>
      </c>
      <c r="C11960" s="35" t="s">
        <v>2299</v>
      </c>
      <c r="D11960" s="35" t="s">
        <v>2230</v>
      </c>
      <c r="E11960" s="35" t="s">
        <v>2793</v>
      </c>
      <c r="F11960" s="35" t="s">
        <v>2797</v>
      </c>
    </row>
    <row r="11961" spans="1:6">
      <c r="A11961" s="34">
        <v>2084018289</v>
      </c>
      <c r="B11961" s="35" t="s">
        <v>2214</v>
      </c>
      <c r="C11961" s="35" t="s">
        <v>2299</v>
      </c>
      <c r="D11961" s="35" t="s">
        <v>2230</v>
      </c>
      <c r="E11961" s="35" t="s">
        <v>2793</v>
      </c>
      <c r="F11961" s="35" t="s">
        <v>2798</v>
      </c>
    </row>
    <row r="11962" spans="1:6">
      <c r="A11962" s="34">
        <v>2084005432</v>
      </c>
      <c r="B11962" s="35" t="s">
        <v>2214</v>
      </c>
      <c r="C11962" s="35" t="s">
        <v>2299</v>
      </c>
      <c r="D11962" s="35" t="s">
        <v>2230</v>
      </c>
      <c r="E11962" s="35" t="s">
        <v>2793</v>
      </c>
      <c r="F11962" s="35" t="s">
        <v>2799</v>
      </c>
    </row>
    <row r="11963" spans="1:6">
      <c r="A11963" s="34">
        <v>2084052243</v>
      </c>
      <c r="B11963" s="35" t="s">
        <v>2214</v>
      </c>
      <c r="C11963" s="35" t="s">
        <v>2299</v>
      </c>
      <c r="D11963" s="35" t="s">
        <v>2230</v>
      </c>
      <c r="E11963" s="35" t="s">
        <v>2793</v>
      </c>
      <c r="F11963" s="35" t="s">
        <v>2800</v>
      </c>
    </row>
    <row r="11964" spans="1:6">
      <c r="A11964" s="34">
        <v>2084018291</v>
      </c>
      <c r="B11964" s="35" t="s">
        <v>2214</v>
      </c>
      <c r="C11964" s="35" t="s">
        <v>2299</v>
      </c>
      <c r="D11964" s="35" t="s">
        <v>2230</v>
      </c>
      <c r="E11964" s="35" t="s">
        <v>2793</v>
      </c>
      <c r="F11964" s="35" t="s">
        <v>2801</v>
      </c>
    </row>
    <row r="11965" spans="1:6">
      <c r="A11965" s="34">
        <v>2084018292</v>
      </c>
      <c r="B11965" s="35" t="s">
        <v>2214</v>
      </c>
      <c r="C11965" s="35" t="s">
        <v>2299</v>
      </c>
      <c r="D11965" s="35" t="s">
        <v>2230</v>
      </c>
      <c r="E11965" s="35" t="s">
        <v>2793</v>
      </c>
      <c r="F11965" s="35" t="s">
        <v>2802</v>
      </c>
    </row>
    <row r="11966" spans="1:6">
      <c r="A11966" s="34">
        <v>2084018295</v>
      </c>
      <c r="B11966" s="35" t="s">
        <v>2214</v>
      </c>
      <c r="C11966" s="35" t="s">
        <v>2299</v>
      </c>
      <c r="D11966" s="35" t="s">
        <v>2230</v>
      </c>
      <c r="E11966" s="35" t="s">
        <v>2793</v>
      </c>
      <c r="F11966" s="35" t="s">
        <v>2803</v>
      </c>
    </row>
    <row r="11967" spans="1:6">
      <c r="A11967" s="34">
        <v>2084018296</v>
      </c>
      <c r="B11967" s="35" t="s">
        <v>2214</v>
      </c>
      <c r="C11967" s="35" t="s">
        <v>2299</v>
      </c>
      <c r="D11967" s="35" t="s">
        <v>2230</v>
      </c>
      <c r="E11967" s="35" t="s">
        <v>2793</v>
      </c>
      <c r="F11967" s="35" t="s">
        <v>2804</v>
      </c>
    </row>
    <row r="11968" spans="1:6">
      <c r="A11968" s="34">
        <v>2084018298</v>
      </c>
      <c r="B11968" s="35" t="s">
        <v>2214</v>
      </c>
      <c r="C11968" s="35" t="s">
        <v>2299</v>
      </c>
      <c r="D11968" s="35" t="s">
        <v>2230</v>
      </c>
      <c r="E11968" s="35" t="s">
        <v>2793</v>
      </c>
      <c r="F11968" s="35" t="s">
        <v>2805</v>
      </c>
    </row>
    <row r="11969" spans="1:6">
      <c r="A11969" s="34">
        <v>2084005431</v>
      </c>
      <c r="B11969" s="35" t="s">
        <v>2214</v>
      </c>
      <c r="C11969" s="35" t="s">
        <v>2299</v>
      </c>
      <c r="D11969" s="35" t="s">
        <v>2230</v>
      </c>
      <c r="E11969" s="35" t="s">
        <v>2793</v>
      </c>
      <c r="F11969" s="35" t="s">
        <v>2806</v>
      </c>
    </row>
    <row r="11970" spans="1:6">
      <c r="A11970" s="34">
        <v>2084052242</v>
      </c>
      <c r="B11970" s="35" t="s">
        <v>2214</v>
      </c>
      <c r="C11970" s="35" t="s">
        <v>2299</v>
      </c>
      <c r="D11970" s="35" t="s">
        <v>2230</v>
      </c>
      <c r="E11970" s="35" t="s">
        <v>2793</v>
      </c>
      <c r="F11970" s="35" t="s">
        <v>2807</v>
      </c>
    </row>
    <row r="11971" spans="1:6">
      <c r="A11971" s="34">
        <v>2084042529</v>
      </c>
      <c r="B11971" s="35" t="s">
        <v>2214</v>
      </c>
      <c r="C11971" s="35" t="s">
        <v>2299</v>
      </c>
      <c r="D11971" s="35" t="s">
        <v>2230</v>
      </c>
      <c r="E11971" s="35" t="s">
        <v>2793</v>
      </c>
      <c r="F11971" s="35" t="s">
        <v>2808</v>
      </c>
    </row>
    <row r="11972" spans="1:6">
      <c r="A11972" s="34">
        <v>2084018302</v>
      </c>
      <c r="B11972" s="35" t="s">
        <v>2214</v>
      </c>
      <c r="C11972" s="35" t="s">
        <v>2299</v>
      </c>
      <c r="D11972" s="35" t="s">
        <v>2230</v>
      </c>
      <c r="E11972" s="35" t="s">
        <v>2793</v>
      </c>
      <c r="F11972" s="35" t="s">
        <v>2809</v>
      </c>
    </row>
    <row r="11973" spans="1:6">
      <c r="A11973" s="34">
        <v>2084018276</v>
      </c>
      <c r="B11973" s="35" t="s">
        <v>2214</v>
      </c>
      <c r="C11973" s="35" t="s">
        <v>2299</v>
      </c>
      <c r="D11973" s="35" t="s">
        <v>2230</v>
      </c>
      <c r="E11973" s="35" t="s">
        <v>2793</v>
      </c>
      <c r="F11973" s="35" t="s">
        <v>2810</v>
      </c>
    </row>
    <row r="11974" spans="1:6">
      <c r="A11974" s="34">
        <v>2084018277</v>
      </c>
      <c r="B11974" s="35" t="s">
        <v>2214</v>
      </c>
      <c r="C11974" s="35" t="s">
        <v>2299</v>
      </c>
      <c r="D11974" s="35" t="s">
        <v>2230</v>
      </c>
      <c r="E11974" s="35" t="s">
        <v>2793</v>
      </c>
      <c r="F11974" s="35" t="s">
        <v>2811</v>
      </c>
    </row>
    <row r="11975" spans="1:6">
      <c r="A11975" s="34">
        <v>2084018279</v>
      </c>
      <c r="B11975" s="35" t="s">
        <v>2214</v>
      </c>
      <c r="C11975" s="35" t="s">
        <v>2299</v>
      </c>
      <c r="D11975" s="35" t="s">
        <v>2230</v>
      </c>
      <c r="E11975" s="35" t="s">
        <v>2793</v>
      </c>
      <c r="F11975" s="35" t="s">
        <v>2812</v>
      </c>
    </row>
    <row r="11976" spans="1:6">
      <c r="A11976" s="34">
        <v>2084018281</v>
      </c>
      <c r="B11976" s="35" t="s">
        <v>2214</v>
      </c>
      <c r="C11976" s="35" t="s">
        <v>2299</v>
      </c>
      <c r="D11976" s="35" t="s">
        <v>2230</v>
      </c>
      <c r="E11976" s="35" t="s">
        <v>2793</v>
      </c>
      <c r="F11976" s="35" t="s">
        <v>2813</v>
      </c>
    </row>
    <row r="11977" spans="1:6">
      <c r="A11977" s="34">
        <v>2084018282</v>
      </c>
      <c r="B11977" s="35" t="s">
        <v>2214</v>
      </c>
      <c r="C11977" s="35" t="s">
        <v>2299</v>
      </c>
      <c r="D11977" s="35" t="s">
        <v>2230</v>
      </c>
      <c r="E11977" s="35" t="s">
        <v>2793</v>
      </c>
      <c r="F11977" s="35" t="s">
        <v>440</v>
      </c>
    </row>
    <row r="11978" spans="1:6">
      <c r="A11978" s="34">
        <v>2084018284</v>
      </c>
      <c r="B11978" s="35" t="s">
        <v>2214</v>
      </c>
      <c r="C11978" s="35" t="s">
        <v>2299</v>
      </c>
      <c r="D11978" s="35" t="s">
        <v>2230</v>
      </c>
      <c r="E11978" s="35" t="s">
        <v>2793</v>
      </c>
      <c r="F11978" s="35" t="s">
        <v>2814</v>
      </c>
    </row>
    <row r="11979" spans="1:6">
      <c r="A11979" s="34">
        <v>2084005430</v>
      </c>
      <c r="B11979" s="35" t="s">
        <v>2214</v>
      </c>
      <c r="C11979" s="35" t="s">
        <v>2299</v>
      </c>
      <c r="D11979" s="35" t="s">
        <v>2230</v>
      </c>
      <c r="E11979" s="35" t="s">
        <v>2793</v>
      </c>
      <c r="F11979" s="35" t="s">
        <v>2815</v>
      </c>
    </row>
    <row r="11980" spans="1:6">
      <c r="A11980" s="34">
        <v>2084209804</v>
      </c>
      <c r="B11980" s="35" t="s">
        <v>2214</v>
      </c>
      <c r="C11980" s="35" t="s">
        <v>2299</v>
      </c>
      <c r="D11980" s="35" t="s">
        <v>2230</v>
      </c>
      <c r="E11980" s="35" t="s">
        <v>2788</v>
      </c>
      <c r="F11980" s="35" t="s">
        <v>2789</v>
      </c>
    </row>
    <row r="11981" spans="1:6">
      <c r="A11981" s="34">
        <v>2084209806</v>
      </c>
      <c r="B11981" s="35" t="s">
        <v>2214</v>
      </c>
      <c r="C11981" s="35" t="s">
        <v>2299</v>
      </c>
      <c r="D11981" s="35" t="s">
        <v>2230</v>
      </c>
      <c r="E11981" s="35" t="s">
        <v>2788</v>
      </c>
      <c r="F11981" s="35" t="s">
        <v>2791</v>
      </c>
    </row>
    <row r="11982" spans="1:6">
      <c r="A11982" s="34">
        <v>2084209807</v>
      </c>
      <c r="B11982" s="35" t="s">
        <v>2214</v>
      </c>
      <c r="C11982" s="35" t="s">
        <v>2299</v>
      </c>
      <c r="D11982" s="35" t="s">
        <v>2230</v>
      </c>
      <c r="E11982" s="35" t="s">
        <v>2788</v>
      </c>
      <c r="F11982" s="35" t="s">
        <v>2792</v>
      </c>
    </row>
    <row r="11983" spans="1:6">
      <c r="A11983" s="34">
        <v>2084209805</v>
      </c>
      <c r="B11983" s="35" t="s">
        <v>2214</v>
      </c>
      <c r="C11983" s="35" t="s">
        <v>2299</v>
      </c>
      <c r="D11983" s="35" t="s">
        <v>2230</v>
      </c>
      <c r="E11983" s="35" t="s">
        <v>2788</v>
      </c>
      <c r="F11983" s="35" t="s">
        <v>2790</v>
      </c>
    </row>
    <row r="11984" spans="1:6">
      <c r="A11984" s="34">
        <v>2084209808</v>
      </c>
      <c r="B11984" s="35" t="s">
        <v>2214</v>
      </c>
      <c r="C11984" s="35" t="s">
        <v>2299</v>
      </c>
      <c r="D11984" s="35" t="s">
        <v>2230</v>
      </c>
      <c r="E11984" s="35" t="s">
        <v>2788</v>
      </c>
      <c r="F11984" s="35" t="s">
        <v>429</v>
      </c>
    </row>
    <row r="11985" spans="1:6">
      <c r="A11985" s="34">
        <v>2084052663</v>
      </c>
      <c r="B11985" s="35" t="s">
        <v>2214</v>
      </c>
      <c r="C11985" s="35" t="s">
        <v>2299</v>
      </c>
      <c r="D11985" s="35" t="s">
        <v>2230</v>
      </c>
      <c r="E11985" s="35" t="s">
        <v>2816</v>
      </c>
      <c r="F11985" s="35" t="s">
        <v>2817</v>
      </c>
    </row>
    <row r="11986" spans="1:6">
      <c r="A11986" s="34">
        <v>2084052664</v>
      </c>
      <c r="B11986" s="35" t="s">
        <v>2214</v>
      </c>
      <c r="C11986" s="35" t="s">
        <v>2299</v>
      </c>
      <c r="D11986" s="35" t="s">
        <v>2230</v>
      </c>
      <c r="E11986" s="35" t="s">
        <v>2816</v>
      </c>
      <c r="F11986" s="35" t="s">
        <v>429</v>
      </c>
    </row>
    <row r="11987" spans="1:6">
      <c r="A11987" s="34">
        <v>2084052674</v>
      </c>
      <c r="B11987" s="35" t="s">
        <v>2214</v>
      </c>
      <c r="C11987" s="35" t="s">
        <v>2299</v>
      </c>
      <c r="D11987" s="35" t="s">
        <v>2230</v>
      </c>
      <c r="E11987" s="35" t="s">
        <v>2231</v>
      </c>
      <c r="F11987" s="35" t="s">
        <v>2818</v>
      </c>
    </row>
    <row r="11988" spans="1:6">
      <c r="A11988" s="34">
        <v>2084052677</v>
      </c>
      <c r="B11988" s="35" t="s">
        <v>2214</v>
      </c>
      <c r="C11988" s="35" t="s">
        <v>2299</v>
      </c>
      <c r="D11988" s="35" t="s">
        <v>2230</v>
      </c>
      <c r="E11988" s="35" t="s">
        <v>2231</v>
      </c>
      <c r="F11988" s="35" t="s">
        <v>2819</v>
      </c>
    </row>
    <row r="11989" spans="1:6">
      <c r="A11989" s="34">
        <v>2084052670</v>
      </c>
      <c r="B11989" s="35" t="s">
        <v>2214</v>
      </c>
      <c r="C11989" s="35" t="s">
        <v>2299</v>
      </c>
      <c r="D11989" s="35" t="s">
        <v>2230</v>
      </c>
      <c r="E11989" s="35" t="s">
        <v>2231</v>
      </c>
      <c r="F11989" s="35" t="s">
        <v>2820</v>
      </c>
    </row>
    <row r="11990" spans="1:6">
      <c r="A11990" s="34">
        <v>2084052678</v>
      </c>
      <c r="B11990" s="35" t="s">
        <v>2214</v>
      </c>
      <c r="C11990" s="35" t="s">
        <v>2299</v>
      </c>
      <c r="D11990" s="35" t="s">
        <v>2230</v>
      </c>
      <c r="E11990" s="35" t="s">
        <v>2231</v>
      </c>
      <c r="F11990" s="35" t="s">
        <v>429</v>
      </c>
    </row>
    <row r="11991" spans="1:6">
      <c r="A11991" s="34">
        <v>2084057379</v>
      </c>
      <c r="B11991" s="35" t="s">
        <v>2214</v>
      </c>
      <c r="C11991" s="35" t="s">
        <v>2299</v>
      </c>
      <c r="D11991" s="35" t="s">
        <v>2230</v>
      </c>
      <c r="E11991" s="35" t="s">
        <v>2259</v>
      </c>
      <c r="F11991" s="35" t="s">
        <v>2838</v>
      </c>
    </row>
    <row r="11992" spans="1:6">
      <c r="A11992" s="34">
        <v>2084057380</v>
      </c>
      <c r="B11992" s="35" t="s">
        <v>2214</v>
      </c>
      <c r="C11992" s="35" t="s">
        <v>2299</v>
      </c>
      <c r="D11992" s="35" t="s">
        <v>2230</v>
      </c>
      <c r="E11992" s="35" t="s">
        <v>2259</v>
      </c>
      <c r="F11992" s="35" t="s">
        <v>2839</v>
      </c>
    </row>
    <row r="11993" spans="1:6">
      <c r="A11993" s="34">
        <v>2084057381</v>
      </c>
      <c r="B11993" s="35" t="s">
        <v>2214</v>
      </c>
      <c r="C11993" s="35" t="s">
        <v>2299</v>
      </c>
      <c r="D11993" s="35" t="s">
        <v>2230</v>
      </c>
      <c r="E11993" s="35" t="s">
        <v>2259</v>
      </c>
      <c r="F11993" s="35" t="s">
        <v>2753</v>
      </c>
    </row>
    <row r="11994" spans="1:6">
      <c r="A11994" s="34">
        <v>2084057382</v>
      </c>
      <c r="B11994" s="35" t="s">
        <v>2214</v>
      </c>
      <c r="C11994" s="35" t="s">
        <v>2299</v>
      </c>
      <c r="D11994" s="35" t="s">
        <v>2230</v>
      </c>
      <c r="E11994" s="35" t="s">
        <v>2259</v>
      </c>
      <c r="F11994" s="35" t="s">
        <v>2840</v>
      </c>
    </row>
    <row r="11995" spans="1:6">
      <c r="A11995" s="34">
        <v>2084057383</v>
      </c>
      <c r="B11995" s="35" t="s">
        <v>2214</v>
      </c>
      <c r="C11995" s="35" t="s">
        <v>2299</v>
      </c>
      <c r="D11995" s="35" t="s">
        <v>2230</v>
      </c>
      <c r="E11995" s="35" t="s">
        <v>2259</v>
      </c>
      <c r="F11995" s="35" t="s">
        <v>2754</v>
      </c>
    </row>
    <row r="11996" spans="1:6">
      <c r="A11996" s="34">
        <v>2084057384</v>
      </c>
      <c r="B11996" s="35" t="s">
        <v>2214</v>
      </c>
      <c r="C11996" s="35" t="s">
        <v>2299</v>
      </c>
      <c r="D11996" s="35" t="s">
        <v>2230</v>
      </c>
      <c r="E11996" s="35" t="s">
        <v>2259</v>
      </c>
      <c r="F11996" s="35" t="s">
        <v>2841</v>
      </c>
    </row>
    <row r="11997" spans="1:6">
      <c r="A11997" s="34">
        <v>2084057385</v>
      </c>
      <c r="B11997" s="35" t="s">
        <v>2214</v>
      </c>
      <c r="C11997" s="35" t="s">
        <v>2299</v>
      </c>
      <c r="D11997" s="35" t="s">
        <v>2230</v>
      </c>
      <c r="E11997" s="35" t="s">
        <v>2259</v>
      </c>
      <c r="F11997" s="35" t="s">
        <v>2755</v>
      </c>
    </row>
    <row r="11998" spans="1:6">
      <c r="A11998" s="34">
        <v>2084057386</v>
      </c>
      <c r="B11998" s="35" t="s">
        <v>2214</v>
      </c>
      <c r="C11998" s="35" t="s">
        <v>2299</v>
      </c>
      <c r="D11998" s="35" t="s">
        <v>2230</v>
      </c>
      <c r="E11998" s="35" t="s">
        <v>2259</v>
      </c>
      <c r="F11998" s="35" t="s">
        <v>2842</v>
      </c>
    </row>
    <row r="11999" spans="1:6">
      <c r="A11999" s="34">
        <v>2084057387</v>
      </c>
      <c r="B11999" s="35" t="s">
        <v>2214</v>
      </c>
      <c r="C11999" s="35" t="s">
        <v>2299</v>
      </c>
      <c r="D11999" s="35" t="s">
        <v>2230</v>
      </c>
      <c r="E11999" s="35" t="s">
        <v>2259</v>
      </c>
      <c r="F11999" s="35" t="s">
        <v>2756</v>
      </c>
    </row>
    <row r="12000" spans="1:6">
      <c r="A12000" s="34">
        <v>2084057388</v>
      </c>
      <c r="B12000" s="35" t="s">
        <v>2214</v>
      </c>
      <c r="C12000" s="35" t="s">
        <v>2299</v>
      </c>
      <c r="D12000" s="35" t="s">
        <v>2230</v>
      </c>
      <c r="E12000" s="35" t="s">
        <v>2259</v>
      </c>
      <c r="F12000" s="35" t="s">
        <v>2843</v>
      </c>
    </row>
    <row r="12001" spans="1:6">
      <c r="A12001" s="34">
        <v>2084057389</v>
      </c>
      <c r="B12001" s="35" t="s">
        <v>2214</v>
      </c>
      <c r="C12001" s="35" t="s">
        <v>2299</v>
      </c>
      <c r="D12001" s="35" t="s">
        <v>2230</v>
      </c>
      <c r="E12001" s="35" t="s">
        <v>2259</v>
      </c>
      <c r="F12001" s="35" t="s">
        <v>2844</v>
      </c>
    </row>
    <row r="12002" spans="1:6">
      <c r="A12002" s="34">
        <v>2084057390</v>
      </c>
      <c r="B12002" s="35" t="s">
        <v>2214</v>
      </c>
      <c r="C12002" s="35" t="s">
        <v>2299</v>
      </c>
      <c r="D12002" s="35" t="s">
        <v>2230</v>
      </c>
      <c r="E12002" s="35" t="s">
        <v>2259</v>
      </c>
      <c r="F12002" s="35" t="s">
        <v>2845</v>
      </c>
    </row>
    <row r="12003" spans="1:6">
      <c r="A12003" s="34">
        <v>2084057391</v>
      </c>
      <c r="B12003" s="35" t="s">
        <v>2214</v>
      </c>
      <c r="C12003" s="35" t="s">
        <v>2299</v>
      </c>
      <c r="D12003" s="35" t="s">
        <v>2230</v>
      </c>
      <c r="E12003" s="35" t="s">
        <v>2259</v>
      </c>
      <c r="F12003" s="35" t="s">
        <v>2846</v>
      </c>
    </row>
    <row r="12004" spans="1:6">
      <c r="A12004" s="34">
        <v>2084057392</v>
      </c>
      <c r="B12004" s="35" t="s">
        <v>2214</v>
      </c>
      <c r="C12004" s="35" t="s">
        <v>2299</v>
      </c>
      <c r="D12004" s="35" t="s">
        <v>2230</v>
      </c>
      <c r="E12004" s="35" t="s">
        <v>2259</v>
      </c>
      <c r="F12004" s="35" t="s">
        <v>2847</v>
      </c>
    </row>
    <row r="12005" spans="1:6">
      <c r="A12005" s="34">
        <v>2084057393</v>
      </c>
      <c r="B12005" s="35" t="s">
        <v>2214</v>
      </c>
      <c r="C12005" s="35" t="s">
        <v>2299</v>
      </c>
      <c r="D12005" s="35" t="s">
        <v>2230</v>
      </c>
      <c r="E12005" s="35" t="s">
        <v>2259</v>
      </c>
      <c r="F12005" s="35" t="s">
        <v>2848</v>
      </c>
    </row>
    <row r="12006" spans="1:6">
      <c r="A12006" s="34">
        <v>2084057394</v>
      </c>
      <c r="B12006" s="35" t="s">
        <v>2214</v>
      </c>
      <c r="C12006" s="35" t="s">
        <v>2299</v>
      </c>
      <c r="D12006" s="35" t="s">
        <v>2230</v>
      </c>
      <c r="E12006" s="35" t="s">
        <v>2259</v>
      </c>
      <c r="F12006" s="35" t="s">
        <v>2849</v>
      </c>
    </row>
    <row r="12007" spans="1:6">
      <c r="A12007" s="34">
        <v>2084057395</v>
      </c>
      <c r="B12007" s="35" t="s">
        <v>2214</v>
      </c>
      <c r="C12007" s="35" t="s">
        <v>2299</v>
      </c>
      <c r="D12007" s="35" t="s">
        <v>2230</v>
      </c>
      <c r="E12007" s="35" t="s">
        <v>2259</v>
      </c>
      <c r="F12007" s="35" t="s">
        <v>2850</v>
      </c>
    </row>
    <row r="12008" spans="1:6">
      <c r="A12008" s="34">
        <v>2084057396</v>
      </c>
      <c r="B12008" s="35" t="s">
        <v>2214</v>
      </c>
      <c r="C12008" s="35" t="s">
        <v>2299</v>
      </c>
      <c r="D12008" s="35" t="s">
        <v>2230</v>
      </c>
      <c r="E12008" s="35" t="s">
        <v>2259</v>
      </c>
      <c r="F12008" s="35" t="s">
        <v>2851</v>
      </c>
    </row>
    <row r="12009" spans="1:6">
      <c r="A12009" s="34">
        <v>2084057397</v>
      </c>
      <c r="B12009" s="35" t="s">
        <v>2214</v>
      </c>
      <c r="C12009" s="35" t="s">
        <v>2299</v>
      </c>
      <c r="D12009" s="35" t="s">
        <v>2230</v>
      </c>
      <c r="E12009" s="35" t="s">
        <v>2259</v>
      </c>
      <c r="F12009" s="35" t="s">
        <v>2852</v>
      </c>
    </row>
    <row r="12010" spans="1:6">
      <c r="A12010" s="34">
        <v>2084057398</v>
      </c>
      <c r="B12010" s="35" t="s">
        <v>2214</v>
      </c>
      <c r="C12010" s="35" t="s">
        <v>2299</v>
      </c>
      <c r="D12010" s="35" t="s">
        <v>2230</v>
      </c>
      <c r="E12010" s="35" t="s">
        <v>2259</v>
      </c>
      <c r="F12010" s="35" t="s">
        <v>2853</v>
      </c>
    </row>
    <row r="12011" spans="1:6">
      <c r="A12011" s="34">
        <v>2084057399</v>
      </c>
      <c r="B12011" s="35" t="s">
        <v>2214</v>
      </c>
      <c r="C12011" s="35" t="s">
        <v>2299</v>
      </c>
      <c r="D12011" s="35" t="s">
        <v>2230</v>
      </c>
      <c r="E12011" s="35" t="s">
        <v>2259</v>
      </c>
      <c r="F12011" s="35" t="s">
        <v>2854</v>
      </c>
    </row>
    <row r="12012" spans="1:6">
      <c r="A12012" s="34">
        <v>2084005428</v>
      </c>
      <c r="B12012" s="35" t="s">
        <v>2214</v>
      </c>
      <c r="C12012" s="35" t="s">
        <v>2299</v>
      </c>
      <c r="D12012" s="35" t="s">
        <v>2230</v>
      </c>
      <c r="E12012" s="35" t="s">
        <v>2821</v>
      </c>
    </row>
    <row r="12013" spans="1:6">
      <c r="A12013" s="34">
        <v>2084005434</v>
      </c>
      <c r="B12013" s="35" t="s">
        <v>2214</v>
      </c>
      <c r="C12013" s="35" t="s">
        <v>2299</v>
      </c>
      <c r="D12013" s="35" t="s">
        <v>2230</v>
      </c>
      <c r="E12013" s="35" t="s">
        <v>2822</v>
      </c>
    </row>
    <row r="12014" spans="1:6">
      <c r="A12014" s="34">
        <v>2084018294</v>
      </c>
      <c r="B12014" s="35" t="s">
        <v>2214</v>
      </c>
      <c r="C12014" s="35" t="s">
        <v>2299</v>
      </c>
      <c r="D12014" s="35" t="s">
        <v>2230</v>
      </c>
      <c r="E12014" s="35" t="s">
        <v>2826</v>
      </c>
    </row>
    <row r="12015" spans="1:6">
      <c r="A12015" s="34">
        <v>2084018283</v>
      </c>
      <c r="B12015" s="35" t="s">
        <v>2214</v>
      </c>
      <c r="C12015" s="35" t="s">
        <v>2299</v>
      </c>
      <c r="D12015" s="35" t="s">
        <v>2230</v>
      </c>
      <c r="E12015" s="35" t="s">
        <v>2827</v>
      </c>
    </row>
    <row r="12016" spans="1:6">
      <c r="A12016" s="34">
        <v>2084018280</v>
      </c>
      <c r="B12016" s="35" t="s">
        <v>2214</v>
      </c>
      <c r="C12016" s="35" t="s">
        <v>2299</v>
      </c>
      <c r="D12016" s="35" t="s">
        <v>2230</v>
      </c>
      <c r="E12016" s="35" t="s">
        <v>2823</v>
      </c>
    </row>
    <row r="12017" spans="1:7">
      <c r="A12017" s="34">
        <v>2084018297</v>
      </c>
      <c r="B12017" s="35" t="s">
        <v>2214</v>
      </c>
      <c r="C12017" s="35" t="s">
        <v>2299</v>
      </c>
      <c r="D12017" s="35" t="s">
        <v>2230</v>
      </c>
      <c r="E12017" s="35" t="s">
        <v>2824</v>
      </c>
    </row>
    <row r="12018" spans="1:7">
      <c r="A12018" s="34">
        <v>2084005435</v>
      </c>
      <c r="B12018" s="35" t="s">
        <v>2214</v>
      </c>
      <c r="C12018" s="35" t="s">
        <v>2299</v>
      </c>
      <c r="D12018" s="35" t="s">
        <v>2230</v>
      </c>
      <c r="E12018" s="35" t="s">
        <v>429</v>
      </c>
    </row>
    <row r="12019" spans="1:7">
      <c r="A12019" s="34">
        <v>2084062508</v>
      </c>
      <c r="B12019" s="35" t="s">
        <v>2214</v>
      </c>
      <c r="C12019" s="35" t="s">
        <v>2299</v>
      </c>
      <c r="D12019" s="35" t="s">
        <v>2855</v>
      </c>
      <c r="E12019" s="35" t="s">
        <v>2301</v>
      </c>
      <c r="F12019" s="35" t="s">
        <v>2831</v>
      </c>
      <c r="G12019" s="35" t="s">
        <v>2832</v>
      </c>
    </row>
    <row r="12020" spans="1:7">
      <c r="A12020" s="34">
        <v>2084062509</v>
      </c>
      <c r="B12020" s="35" t="s">
        <v>2214</v>
      </c>
      <c r="C12020" s="35" t="s">
        <v>2299</v>
      </c>
      <c r="D12020" s="35" t="s">
        <v>2855</v>
      </c>
      <c r="E12020" s="35" t="s">
        <v>2301</v>
      </c>
      <c r="F12020" s="35" t="s">
        <v>2831</v>
      </c>
      <c r="G12020" s="35" t="s">
        <v>2833</v>
      </c>
    </row>
    <row r="12021" spans="1:7">
      <c r="A12021" s="34">
        <v>2084062507</v>
      </c>
      <c r="B12021" s="35" t="s">
        <v>2214</v>
      </c>
      <c r="C12021" s="35" t="s">
        <v>2299</v>
      </c>
      <c r="D12021" s="35" t="s">
        <v>2855</v>
      </c>
      <c r="E12021" s="35" t="s">
        <v>2301</v>
      </c>
      <c r="F12021" s="35" t="s">
        <v>2831</v>
      </c>
      <c r="G12021" s="35" t="s">
        <v>2834</v>
      </c>
    </row>
    <row r="12022" spans="1:7">
      <c r="A12022" s="34">
        <v>2084062510</v>
      </c>
      <c r="B12022" s="35" t="s">
        <v>2214</v>
      </c>
      <c r="C12022" s="35" t="s">
        <v>2299</v>
      </c>
      <c r="D12022" s="35" t="s">
        <v>2855</v>
      </c>
      <c r="E12022" s="35" t="s">
        <v>2301</v>
      </c>
      <c r="F12022" s="35" t="s">
        <v>2831</v>
      </c>
      <c r="G12022" s="35" t="s">
        <v>2835</v>
      </c>
    </row>
    <row r="12023" spans="1:7">
      <c r="A12023" s="34">
        <v>2084062504</v>
      </c>
      <c r="B12023" s="35" t="s">
        <v>2214</v>
      </c>
      <c r="C12023" s="35" t="s">
        <v>2299</v>
      </c>
      <c r="D12023" s="35" t="s">
        <v>2855</v>
      </c>
      <c r="E12023" s="35" t="s">
        <v>2301</v>
      </c>
      <c r="F12023" s="35" t="s">
        <v>2836</v>
      </c>
    </row>
    <row r="12024" spans="1:7">
      <c r="A12024" s="34">
        <v>2084062505</v>
      </c>
      <c r="B12024" s="35" t="s">
        <v>2214</v>
      </c>
      <c r="C12024" s="35" t="s">
        <v>2299</v>
      </c>
      <c r="D12024" s="35" t="s">
        <v>2855</v>
      </c>
      <c r="E12024" s="35" t="s">
        <v>2301</v>
      </c>
      <c r="F12024" s="35" t="s">
        <v>2837</v>
      </c>
    </row>
    <row r="12025" spans="1:7">
      <c r="A12025" s="34">
        <v>2084062511</v>
      </c>
      <c r="B12025" s="35" t="s">
        <v>2214</v>
      </c>
      <c r="C12025" s="35" t="s">
        <v>2299</v>
      </c>
      <c r="D12025" s="35" t="s">
        <v>2855</v>
      </c>
      <c r="E12025" s="35" t="s">
        <v>2301</v>
      </c>
      <c r="F12025" s="35" t="s">
        <v>429</v>
      </c>
    </row>
    <row r="12026" spans="1:7">
      <c r="A12026" s="34">
        <v>2084042505</v>
      </c>
      <c r="B12026" s="35" t="s">
        <v>2214</v>
      </c>
      <c r="C12026" s="35" t="s">
        <v>2299</v>
      </c>
      <c r="D12026" s="35" t="s">
        <v>2855</v>
      </c>
      <c r="E12026" s="35" t="s">
        <v>2793</v>
      </c>
      <c r="F12026" s="35" t="s">
        <v>429</v>
      </c>
    </row>
    <row r="12027" spans="1:7">
      <c r="A12027" s="34">
        <v>2084008005</v>
      </c>
      <c r="B12027" s="35" t="s">
        <v>2214</v>
      </c>
      <c r="C12027" s="35" t="s">
        <v>2299</v>
      </c>
      <c r="D12027" s="35" t="s">
        <v>2855</v>
      </c>
      <c r="E12027" s="35" t="s">
        <v>2793</v>
      </c>
      <c r="F12027" s="35" t="s">
        <v>2794</v>
      </c>
    </row>
    <row r="12028" spans="1:7">
      <c r="A12028" s="34">
        <v>2084042501</v>
      </c>
      <c r="B12028" s="35" t="s">
        <v>2214</v>
      </c>
      <c r="C12028" s="35" t="s">
        <v>2299</v>
      </c>
      <c r="D12028" s="35" t="s">
        <v>2855</v>
      </c>
      <c r="E12028" s="35" t="s">
        <v>2793</v>
      </c>
      <c r="F12028" s="35" t="s">
        <v>2795</v>
      </c>
    </row>
    <row r="12029" spans="1:7">
      <c r="A12029" s="34">
        <v>2084008004</v>
      </c>
      <c r="B12029" s="35" t="s">
        <v>2214</v>
      </c>
      <c r="C12029" s="35" t="s">
        <v>2299</v>
      </c>
      <c r="D12029" s="35" t="s">
        <v>2855</v>
      </c>
      <c r="E12029" s="35" t="s">
        <v>2793</v>
      </c>
      <c r="F12029" s="35" t="s">
        <v>2796</v>
      </c>
    </row>
    <row r="12030" spans="1:7">
      <c r="A12030" s="34">
        <v>2084008022</v>
      </c>
      <c r="B12030" s="35" t="s">
        <v>2214</v>
      </c>
      <c r="C12030" s="35" t="s">
        <v>2299</v>
      </c>
      <c r="D12030" s="35" t="s">
        <v>2855</v>
      </c>
      <c r="E12030" s="35" t="s">
        <v>2793</v>
      </c>
      <c r="F12030" s="35" t="s">
        <v>2797</v>
      </c>
    </row>
    <row r="12031" spans="1:7">
      <c r="A12031" s="34">
        <v>2084008021</v>
      </c>
      <c r="B12031" s="35" t="s">
        <v>2214</v>
      </c>
      <c r="C12031" s="35" t="s">
        <v>2299</v>
      </c>
      <c r="D12031" s="35" t="s">
        <v>2855</v>
      </c>
      <c r="E12031" s="35" t="s">
        <v>2793</v>
      </c>
      <c r="F12031" s="35" t="s">
        <v>2798</v>
      </c>
    </row>
    <row r="12032" spans="1:7">
      <c r="A12032" s="34">
        <v>2084008007</v>
      </c>
      <c r="B12032" s="35" t="s">
        <v>2214</v>
      </c>
      <c r="C12032" s="35" t="s">
        <v>2299</v>
      </c>
      <c r="D12032" s="35" t="s">
        <v>2855</v>
      </c>
      <c r="E12032" s="35" t="s">
        <v>2793</v>
      </c>
      <c r="F12032" s="35" t="s">
        <v>2799</v>
      </c>
    </row>
    <row r="12033" spans="1:6">
      <c r="A12033" s="34">
        <v>2084052367</v>
      </c>
      <c r="B12033" s="35" t="s">
        <v>2214</v>
      </c>
      <c r="C12033" s="35" t="s">
        <v>2299</v>
      </c>
      <c r="D12033" s="35" t="s">
        <v>2855</v>
      </c>
      <c r="E12033" s="35" t="s">
        <v>2793</v>
      </c>
      <c r="F12033" s="35" t="s">
        <v>2800</v>
      </c>
    </row>
    <row r="12034" spans="1:6">
      <c r="A12034" s="34">
        <v>2084008013</v>
      </c>
      <c r="B12034" s="35" t="s">
        <v>2214</v>
      </c>
      <c r="C12034" s="35" t="s">
        <v>2299</v>
      </c>
      <c r="D12034" s="35" t="s">
        <v>2855</v>
      </c>
      <c r="E12034" s="35" t="s">
        <v>2793</v>
      </c>
      <c r="F12034" s="35" t="s">
        <v>2801</v>
      </c>
    </row>
    <row r="12035" spans="1:6">
      <c r="A12035" s="34">
        <v>2084008003</v>
      </c>
      <c r="B12035" s="35" t="s">
        <v>2214</v>
      </c>
      <c r="C12035" s="35" t="s">
        <v>2299</v>
      </c>
      <c r="D12035" s="35" t="s">
        <v>2855</v>
      </c>
      <c r="E12035" s="35" t="s">
        <v>2793</v>
      </c>
      <c r="F12035" s="35" t="s">
        <v>2802</v>
      </c>
    </row>
    <row r="12036" spans="1:6">
      <c r="A12036" s="34">
        <v>2084008020</v>
      </c>
      <c r="B12036" s="35" t="s">
        <v>2214</v>
      </c>
      <c r="C12036" s="35" t="s">
        <v>2299</v>
      </c>
      <c r="D12036" s="35" t="s">
        <v>2855</v>
      </c>
      <c r="E12036" s="35" t="s">
        <v>2793</v>
      </c>
      <c r="F12036" s="35" t="s">
        <v>2803</v>
      </c>
    </row>
    <row r="12037" spans="1:6">
      <c r="A12037" s="34">
        <v>2084008018</v>
      </c>
      <c r="B12037" s="35" t="s">
        <v>2214</v>
      </c>
      <c r="C12037" s="35" t="s">
        <v>2299</v>
      </c>
      <c r="D12037" s="35" t="s">
        <v>2855</v>
      </c>
      <c r="E12037" s="35" t="s">
        <v>2793</v>
      </c>
      <c r="F12037" s="35" t="s">
        <v>2804</v>
      </c>
    </row>
    <row r="12038" spans="1:6">
      <c r="A12038" s="34">
        <v>2084008011</v>
      </c>
      <c r="B12038" s="35" t="s">
        <v>2214</v>
      </c>
      <c r="C12038" s="35" t="s">
        <v>2299</v>
      </c>
      <c r="D12038" s="35" t="s">
        <v>2855</v>
      </c>
      <c r="E12038" s="35" t="s">
        <v>2793</v>
      </c>
      <c r="F12038" s="35" t="s">
        <v>2805</v>
      </c>
    </row>
    <row r="12039" spans="1:6">
      <c r="A12039" s="34">
        <v>2084008012</v>
      </c>
      <c r="B12039" s="35" t="s">
        <v>2214</v>
      </c>
      <c r="C12039" s="35" t="s">
        <v>2299</v>
      </c>
      <c r="D12039" s="35" t="s">
        <v>2855</v>
      </c>
      <c r="E12039" s="35" t="s">
        <v>2793</v>
      </c>
      <c r="F12039" s="35" t="s">
        <v>2806</v>
      </c>
    </row>
    <row r="12040" spans="1:6">
      <c r="A12040" s="34">
        <v>2084052368</v>
      </c>
      <c r="B12040" s="35" t="s">
        <v>2214</v>
      </c>
      <c r="C12040" s="35" t="s">
        <v>2299</v>
      </c>
      <c r="D12040" s="35" t="s">
        <v>2855</v>
      </c>
      <c r="E12040" s="35" t="s">
        <v>2793</v>
      </c>
      <c r="F12040" s="35" t="s">
        <v>2807</v>
      </c>
    </row>
    <row r="12041" spans="1:6">
      <c r="A12041" s="34">
        <v>2084042500</v>
      </c>
      <c r="B12041" s="35" t="s">
        <v>2214</v>
      </c>
      <c r="C12041" s="35" t="s">
        <v>2299</v>
      </c>
      <c r="D12041" s="35" t="s">
        <v>2855</v>
      </c>
      <c r="E12041" s="35" t="s">
        <v>2793</v>
      </c>
      <c r="F12041" s="35" t="s">
        <v>2808</v>
      </c>
    </row>
    <row r="12042" spans="1:6">
      <c r="A12042" s="34">
        <v>2084008015</v>
      </c>
      <c r="B12042" s="35" t="s">
        <v>2214</v>
      </c>
      <c r="C12042" s="35" t="s">
        <v>2299</v>
      </c>
      <c r="D12042" s="35" t="s">
        <v>2855</v>
      </c>
      <c r="E12042" s="35" t="s">
        <v>2793</v>
      </c>
      <c r="F12042" s="35" t="s">
        <v>2809</v>
      </c>
    </row>
    <row r="12043" spans="1:6">
      <c r="A12043" s="34">
        <v>2084008016</v>
      </c>
      <c r="B12043" s="35" t="s">
        <v>2214</v>
      </c>
      <c r="C12043" s="35" t="s">
        <v>2299</v>
      </c>
      <c r="D12043" s="35" t="s">
        <v>2855</v>
      </c>
      <c r="E12043" s="35" t="s">
        <v>2793</v>
      </c>
      <c r="F12043" s="35" t="s">
        <v>2810</v>
      </c>
    </row>
    <row r="12044" spans="1:6">
      <c r="A12044" s="34">
        <v>2084008014</v>
      </c>
      <c r="B12044" s="35" t="s">
        <v>2214</v>
      </c>
      <c r="C12044" s="35" t="s">
        <v>2299</v>
      </c>
      <c r="D12044" s="35" t="s">
        <v>2855</v>
      </c>
      <c r="E12044" s="35" t="s">
        <v>2793</v>
      </c>
      <c r="F12044" s="35" t="s">
        <v>2811</v>
      </c>
    </row>
    <row r="12045" spans="1:6">
      <c r="A12045" s="34">
        <v>2084008008</v>
      </c>
      <c r="B12045" s="35" t="s">
        <v>2214</v>
      </c>
      <c r="C12045" s="35" t="s">
        <v>2299</v>
      </c>
      <c r="D12045" s="35" t="s">
        <v>2855</v>
      </c>
      <c r="E12045" s="35" t="s">
        <v>2793</v>
      </c>
      <c r="F12045" s="35" t="s">
        <v>2812</v>
      </c>
    </row>
    <row r="12046" spans="1:6">
      <c r="A12046" s="34">
        <v>2084008010</v>
      </c>
      <c r="B12046" s="35" t="s">
        <v>2214</v>
      </c>
      <c r="C12046" s="35" t="s">
        <v>2299</v>
      </c>
      <c r="D12046" s="35" t="s">
        <v>2855</v>
      </c>
      <c r="E12046" s="35" t="s">
        <v>2793</v>
      </c>
      <c r="F12046" s="35" t="s">
        <v>2813</v>
      </c>
    </row>
    <row r="12047" spans="1:6">
      <c r="A12047" s="34">
        <v>2084008009</v>
      </c>
      <c r="B12047" s="35" t="s">
        <v>2214</v>
      </c>
      <c r="C12047" s="35" t="s">
        <v>2299</v>
      </c>
      <c r="D12047" s="35" t="s">
        <v>2855</v>
      </c>
      <c r="E12047" s="35" t="s">
        <v>2793</v>
      </c>
      <c r="F12047" s="35" t="s">
        <v>440</v>
      </c>
    </row>
    <row r="12048" spans="1:6">
      <c r="A12048" s="34">
        <v>2084008017</v>
      </c>
      <c r="B12048" s="35" t="s">
        <v>2214</v>
      </c>
      <c r="C12048" s="35" t="s">
        <v>2299</v>
      </c>
      <c r="D12048" s="35" t="s">
        <v>2855</v>
      </c>
      <c r="E12048" s="35" t="s">
        <v>2793</v>
      </c>
      <c r="F12048" s="35" t="s">
        <v>2814</v>
      </c>
    </row>
    <row r="12049" spans="1:7">
      <c r="A12049" s="34">
        <v>2084007991</v>
      </c>
      <c r="B12049" s="35" t="s">
        <v>2214</v>
      </c>
      <c r="C12049" s="35" t="s">
        <v>2299</v>
      </c>
      <c r="D12049" s="35" t="s">
        <v>2855</v>
      </c>
      <c r="E12049" s="35" t="s">
        <v>2793</v>
      </c>
      <c r="F12049" s="35" t="s">
        <v>2815</v>
      </c>
    </row>
    <row r="12050" spans="1:7">
      <c r="A12050" s="34">
        <v>2084209789</v>
      </c>
      <c r="B12050" s="35" t="s">
        <v>2214</v>
      </c>
      <c r="C12050" s="35" t="s">
        <v>2299</v>
      </c>
      <c r="D12050" s="35" t="s">
        <v>2855</v>
      </c>
      <c r="E12050" s="35" t="s">
        <v>2788</v>
      </c>
      <c r="F12050" s="35" t="s">
        <v>2789</v>
      </c>
    </row>
    <row r="12051" spans="1:7">
      <c r="A12051" s="34">
        <v>2084209791</v>
      </c>
      <c r="B12051" s="35" t="s">
        <v>2214</v>
      </c>
      <c r="C12051" s="35" t="s">
        <v>2299</v>
      </c>
      <c r="D12051" s="35" t="s">
        <v>2855</v>
      </c>
      <c r="E12051" s="35" t="s">
        <v>2788</v>
      </c>
      <c r="F12051" s="35" t="s">
        <v>2791</v>
      </c>
    </row>
    <row r="12052" spans="1:7">
      <c r="A12052" s="34">
        <v>2084209792</v>
      </c>
      <c r="B12052" s="35" t="s">
        <v>2214</v>
      </c>
      <c r="C12052" s="35" t="s">
        <v>2299</v>
      </c>
      <c r="D12052" s="35" t="s">
        <v>2855</v>
      </c>
      <c r="E12052" s="35" t="s">
        <v>2788</v>
      </c>
      <c r="F12052" s="35" t="s">
        <v>2792</v>
      </c>
    </row>
    <row r="12053" spans="1:7">
      <c r="A12053" s="34">
        <v>2084209790</v>
      </c>
      <c r="B12053" s="35" t="s">
        <v>2214</v>
      </c>
      <c r="C12053" s="35" t="s">
        <v>2299</v>
      </c>
      <c r="D12053" s="35" t="s">
        <v>2855</v>
      </c>
      <c r="E12053" s="35" t="s">
        <v>2788</v>
      </c>
      <c r="F12053" s="35" t="s">
        <v>2790</v>
      </c>
    </row>
    <row r="12054" spans="1:7">
      <c r="A12054" s="34">
        <v>2084209793</v>
      </c>
      <c r="B12054" s="35" t="s">
        <v>2214</v>
      </c>
      <c r="C12054" s="35" t="s">
        <v>2299</v>
      </c>
      <c r="D12054" s="35" t="s">
        <v>2855</v>
      </c>
      <c r="E12054" s="35" t="s">
        <v>2788</v>
      </c>
      <c r="F12054" s="35" t="s">
        <v>429</v>
      </c>
    </row>
    <row r="12055" spans="1:7">
      <c r="A12055" s="34">
        <v>2084062520</v>
      </c>
      <c r="B12055" s="35" t="s">
        <v>2214</v>
      </c>
      <c r="C12055" s="35" t="s">
        <v>2299</v>
      </c>
      <c r="D12055" s="35" t="s">
        <v>2855</v>
      </c>
      <c r="E12055" s="35" t="s">
        <v>2816</v>
      </c>
      <c r="F12055" s="35" t="s">
        <v>2817</v>
      </c>
      <c r="G12055" s="35" t="s">
        <v>2856</v>
      </c>
    </row>
    <row r="12056" spans="1:7">
      <c r="A12056" s="34">
        <v>2084062522</v>
      </c>
      <c r="B12056" s="35" t="s">
        <v>2214</v>
      </c>
      <c r="C12056" s="35" t="s">
        <v>2299</v>
      </c>
      <c r="D12056" s="35" t="s">
        <v>2855</v>
      </c>
      <c r="E12056" s="35" t="s">
        <v>2816</v>
      </c>
      <c r="F12056" s="35" t="s">
        <v>2817</v>
      </c>
      <c r="G12056" s="35" t="s">
        <v>2857</v>
      </c>
    </row>
    <row r="12057" spans="1:7">
      <c r="A12057" s="34">
        <v>2084062521</v>
      </c>
      <c r="B12057" s="35" t="s">
        <v>2214</v>
      </c>
      <c r="C12057" s="35" t="s">
        <v>2299</v>
      </c>
      <c r="D12057" s="35" t="s">
        <v>2855</v>
      </c>
      <c r="E12057" s="35" t="s">
        <v>2816</v>
      </c>
      <c r="F12057" s="35" t="s">
        <v>2817</v>
      </c>
      <c r="G12057" s="35" t="s">
        <v>2858</v>
      </c>
    </row>
    <row r="12058" spans="1:7">
      <c r="A12058" s="34">
        <v>2084062523</v>
      </c>
      <c r="B12058" s="35" t="s">
        <v>2214</v>
      </c>
      <c r="C12058" s="35" t="s">
        <v>2299</v>
      </c>
      <c r="D12058" s="35" t="s">
        <v>2855</v>
      </c>
      <c r="E12058" s="35" t="s">
        <v>2816</v>
      </c>
      <c r="F12058" s="35" t="s">
        <v>2817</v>
      </c>
      <c r="G12058" s="35" t="s">
        <v>429</v>
      </c>
    </row>
    <row r="12059" spans="1:7">
      <c r="A12059" s="34">
        <v>2084052698</v>
      </c>
      <c r="B12059" s="35" t="s">
        <v>2214</v>
      </c>
      <c r="C12059" s="35" t="s">
        <v>2299</v>
      </c>
      <c r="D12059" s="35" t="s">
        <v>2855</v>
      </c>
      <c r="E12059" s="35" t="s">
        <v>2816</v>
      </c>
      <c r="F12059" s="35" t="s">
        <v>429</v>
      </c>
    </row>
    <row r="12060" spans="1:7">
      <c r="A12060" s="34">
        <v>2084062512</v>
      </c>
      <c r="B12060" s="35" t="s">
        <v>2214</v>
      </c>
      <c r="C12060" s="35" t="s">
        <v>2299</v>
      </c>
      <c r="D12060" s="35" t="s">
        <v>2855</v>
      </c>
      <c r="E12060" s="35" t="s">
        <v>2231</v>
      </c>
      <c r="F12060" s="35" t="s">
        <v>2818</v>
      </c>
      <c r="G12060" s="35" t="s">
        <v>2856</v>
      </c>
    </row>
    <row r="12061" spans="1:7">
      <c r="A12061" s="34">
        <v>2084062514</v>
      </c>
      <c r="B12061" s="35" t="s">
        <v>2214</v>
      </c>
      <c r="C12061" s="35" t="s">
        <v>2299</v>
      </c>
      <c r="D12061" s="35" t="s">
        <v>2855</v>
      </c>
      <c r="E12061" s="35" t="s">
        <v>2231</v>
      </c>
      <c r="F12061" s="35" t="s">
        <v>2818</v>
      </c>
      <c r="G12061" s="35" t="s">
        <v>2857</v>
      </c>
    </row>
    <row r="12062" spans="1:7">
      <c r="A12062" s="34">
        <v>2084062513</v>
      </c>
      <c r="B12062" s="35" t="s">
        <v>2214</v>
      </c>
      <c r="C12062" s="35" t="s">
        <v>2299</v>
      </c>
      <c r="D12062" s="35" t="s">
        <v>2855</v>
      </c>
      <c r="E12062" s="35" t="s">
        <v>2231</v>
      </c>
      <c r="F12062" s="35" t="s">
        <v>2818</v>
      </c>
      <c r="G12062" s="35" t="s">
        <v>2858</v>
      </c>
    </row>
    <row r="12063" spans="1:7">
      <c r="A12063" s="34">
        <v>2084062515</v>
      </c>
      <c r="B12063" s="35" t="s">
        <v>2214</v>
      </c>
      <c r="C12063" s="35" t="s">
        <v>2299</v>
      </c>
      <c r="D12063" s="35" t="s">
        <v>2855</v>
      </c>
      <c r="E12063" s="35" t="s">
        <v>2231</v>
      </c>
      <c r="F12063" s="35" t="s">
        <v>2818</v>
      </c>
      <c r="G12063" s="35" t="s">
        <v>429</v>
      </c>
    </row>
    <row r="12064" spans="1:7">
      <c r="A12064" s="34">
        <v>2084052704</v>
      </c>
      <c r="B12064" s="35" t="s">
        <v>2214</v>
      </c>
      <c r="C12064" s="35" t="s">
        <v>2299</v>
      </c>
      <c r="D12064" s="35" t="s">
        <v>2855</v>
      </c>
      <c r="E12064" s="35" t="s">
        <v>2231</v>
      </c>
      <c r="F12064" s="35" t="s">
        <v>2819</v>
      </c>
    </row>
    <row r="12065" spans="1:7">
      <c r="A12065" s="34">
        <v>2084062516</v>
      </c>
      <c r="B12065" s="35" t="s">
        <v>2214</v>
      </c>
      <c r="C12065" s="35" t="s">
        <v>2299</v>
      </c>
      <c r="D12065" s="35" t="s">
        <v>2855</v>
      </c>
      <c r="E12065" s="35" t="s">
        <v>2231</v>
      </c>
      <c r="F12065" s="35" t="s">
        <v>2820</v>
      </c>
      <c r="G12065" s="35" t="s">
        <v>2856</v>
      </c>
    </row>
    <row r="12066" spans="1:7">
      <c r="A12066" s="34">
        <v>2084062518</v>
      </c>
      <c r="B12066" s="35" t="s">
        <v>2214</v>
      </c>
      <c r="C12066" s="35" t="s">
        <v>2299</v>
      </c>
      <c r="D12066" s="35" t="s">
        <v>2855</v>
      </c>
      <c r="E12066" s="35" t="s">
        <v>2231</v>
      </c>
      <c r="F12066" s="35" t="s">
        <v>2820</v>
      </c>
      <c r="G12066" s="35" t="s">
        <v>2857</v>
      </c>
    </row>
    <row r="12067" spans="1:7">
      <c r="A12067" s="34">
        <v>2084062517</v>
      </c>
      <c r="B12067" s="35" t="s">
        <v>2214</v>
      </c>
      <c r="C12067" s="35" t="s">
        <v>2299</v>
      </c>
      <c r="D12067" s="35" t="s">
        <v>2855</v>
      </c>
      <c r="E12067" s="35" t="s">
        <v>2231</v>
      </c>
      <c r="F12067" s="35" t="s">
        <v>2820</v>
      </c>
      <c r="G12067" s="35" t="s">
        <v>2858</v>
      </c>
    </row>
    <row r="12068" spans="1:7">
      <c r="A12068" s="34">
        <v>2084062519</v>
      </c>
      <c r="B12068" s="35" t="s">
        <v>2214</v>
      </c>
      <c r="C12068" s="35" t="s">
        <v>2299</v>
      </c>
      <c r="D12068" s="35" t="s">
        <v>2855</v>
      </c>
      <c r="E12068" s="35" t="s">
        <v>2231</v>
      </c>
      <c r="F12068" s="35" t="s">
        <v>2820</v>
      </c>
      <c r="G12068" s="35" t="s">
        <v>429</v>
      </c>
    </row>
    <row r="12069" spans="1:7">
      <c r="A12069" s="34">
        <v>2084052705</v>
      </c>
      <c r="B12069" s="35" t="s">
        <v>2214</v>
      </c>
      <c r="C12069" s="35" t="s">
        <v>2299</v>
      </c>
      <c r="D12069" s="35" t="s">
        <v>2855</v>
      </c>
      <c r="E12069" s="35" t="s">
        <v>2231</v>
      </c>
      <c r="F12069" s="35" t="s">
        <v>429</v>
      </c>
    </row>
    <row r="12070" spans="1:7">
      <c r="A12070" s="34">
        <v>2084057429</v>
      </c>
      <c r="B12070" s="35" t="s">
        <v>2214</v>
      </c>
      <c r="C12070" s="35" t="s">
        <v>2299</v>
      </c>
      <c r="D12070" s="35" t="s">
        <v>2855</v>
      </c>
      <c r="E12070" s="35" t="s">
        <v>2259</v>
      </c>
      <c r="F12070" s="35" t="s">
        <v>2856</v>
      </c>
      <c r="G12070" s="35" t="s">
        <v>2859</v>
      </c>
    </row>
    <row r="12071" spans="1:7">
      <c r="A12071" s="34">
        <v>2084057431</v>
      </c>
      <c r="B12071" s="35" t="s">
        <v>2214</v>
      </c>
      <c r="C12071" s="35" t="s">
        <v>2299</v>
      </c>
      <c r="D12071" s="35" t="s">
        <v>2855</v>
      </c>
      <c r="E12071" s="35" t="s">
        <v>2259</v>
      </c>
      <c r="F12071" s="35" t="s">
        <v>2856</v>
      </c>
      <c r="G12071" s="35" t="s">
        <v>2860</v>
      </c>
    </row>
    <row r="12072" spans="1:7">
      <c r="A12072" s="34">
        <v>2084057433</v>
      </c>
      <c r="B12072" s="35" t="s">
        <v>2214</v>
      </c>
      <c r="C12072" s="35" t="s">
        <v>2299</v>
      </c>
      <c r="D12072" s="35" t="s">
        <v>2855</v>
      </c>
      <c r="E12072" s="35" t="s">
        <v>2259</v>
      </c>
      <c r="F12072" s="35" t="s">
        <v>2856</v>
      </c>
      <c r="G12072" s="35" t="s">
        <v>2861</v>
      </c>
    </row>
    <row r="12073" spans="1:7">
      <c r="A12073" s="34">
        <v>2084057430</v>
      </c>
      <c r="B12073" s="35" t="s">
        <v>2214</v>
      </c>
      <c r="C12073" s="35" t="s">
        <v>2299</v>
      </c>
      <c r="D12073" s="35" t="s">
        <v>2855</v>
      </c>
      <c r="E12073" s="35" t="s">
        <v>2259</v>
      </c>
      <c r="F12073" s="35" t="s">
        <v>2856</v>
      </c>
      <c r="G12073" s="35" t="s">
        <v>2862</v>
      </c>
    </row>
    <row r="12074" spans="1:7">
      <c r="A12074" s="34">
        <v>2084057432</v>
      </c>
      <c r="B12074" s="35" t="s">
        <v>2214</v>
      </c>
      <c r="C12074" s="35" t="s">
        <v>2299</v>
      </c>
      <c r="D12074" s="35" t="s">
        <v>2855</v>
      </c>
      <c r="E12074" s="35" t="s">
        <v>2259</v>
      </c>
      <c r="F12074" s="35" t="s">
        <v>2856</v>
      </c>
      <c r="G12074" s="35" t="s">
        <v>2863</v>
      </c>
    </row>
    <row r="12075" spans="1:7">
      <c r="A12075" s="34">
        <v>2084057434</v>
      </c>
      <c r="B12075" s="35" t="s">
        <v>2214</v>
      </c>
      <c r="C12075" s="35" t="s">
        <v>2299</v>
      </c>
      <c r="D12075" s="35" t="s">
        <v>2855</v>
      </c>
      <c r="E12075" s="35" t="s">
        <v>2259</v>
      </c>
      <c r="F12075" s="35" t="s">
        <v>2856</v>
      </c>
      <c r="G12075" s="35" t="s">
        <v>429</v>
      </c>
    </row>
    <row r="12076" spans="1:7">
      <c r="A12076" s="34">
        <v>2084057442</v>
      </c>
      <c r="B12076" s="35" t="s">
        <v>2214</v>
      </c>
      <c r="C12076" s="35" t="s">
        <v>2299</v>
      </c>
      <c r="D12076" s="35" t="s">
        <v>2855</v>
      </c>
      <c r="E12076" s="35" t="s">
        <v>2259</v>
      </c>
      <c r="F12076" s="35" t="s">
        <v>2857</v>
      </c>
    </row>
    <row r="12077" spans="1:7">
      <c r="A12077" s="34">
        <v>2084057436</v>
      </c>
      <c r="B12077" s="35" t="s">
        <v>2214</v>
      </c>
      <c r="C12077" s="35" t="s">
        <v>2299</v>
      </c>
      <c r="D12077" s="35" t="s">
        <v>2855</v>
      </c>
      <c r="E12077" s="35" t="s">
        <v>2259</v>
      </c>
      <c r="F12077" s="35" t="s">
        <v>2858</v>
      </c>
      <c r="G12077" s="35" t="s">
        <v>2859</v>
      </c>
    </row>
    <row r="12078" spans="1:7">
      <c r="A12078" s="34">
        <v>2084057438</v>
      </c>
      <c r="B12078" s="35" t="s">
        <v>2214</v>
      </c>
      <c r="C12078" s="35" t="s">
        <v>2299</v>
      </c>
      <c r="D12078" s="35" t="s">
        <v>2855</v>
      </c>
      <c r="E12078" s="35" t="s">
        <v>2259</v>
      </c>
      <c r="F12078" s="35" t="s">
        <v>2858</v>
      </c>
      <c r="G12078" s="35" t="s">
        <v>2860</v>
      </c>
    </row>
    <row r="12079" spans="1:7">
      <c r="A12079" s="34">
        <v>2084057440</v>
      </c>
      <c r="B12079" s="35" t="s">
        <v>2214</v>
      </c>
      <c r="C12079" s="35" t="s">
        <v>2299</v>
      </c>
      <c r="D12079" s="35" t="s">
        <v>2855</v>
      </c>
      <c r="E12079" s="35" t="s">
        <v>2259</v>
      </c>
      <c r="F12079" s="35" t="s">
        <v>2858</v>
      </c>
      <c r="G12079" s="35" t="s">
        <v>2861</v>
      </c>
    </row>
    <row r="12080" spans="1:7">
      <c r="A12080" s="34">
        <v>2084057437</v>
      </c>
      <c r="B12080" s="35" t="s">
        <v>2214</v>
      </c>
      <c r="C12080" s="35" t="s">
        <v>2299</v>
      </c>
      <c r="D12080" s="35" t="s">
        <v>2855</v>
      </c>
      <c r="E12080" s="35" t="s">
        <v>2259</v>
      </c>
      <c r="F12080" s="35" t="s">
        <v>2858</v>
      </c>
      <c r="G12080" s="35" t="s">
        <v>2862</v>
      </c>
    </row>
    <row r="12081" spans="1:7">
      <c r="A12081" s="34">
        <v>2084057439</v>
      </c>
      <c r="B12081" s="35" t="s">
        <v>2214</v>
      </c>
      <c r="C12081" s="35" t="s">
        <v>2299</v>
      </c>
      <c r="D12081" s="35" t="s">
        <v>2855</v>
      </c>
      <c r="E12081" s="35" t="s">
        <v>2259</v>
      </c>
      <c r="F12081" s="35" t="s">
        <v>2858</v>
      </c>
      <c r="G12081" s="35" t="s">
        <v>2863</v>
      </c>
    </row>
    <row r="12082" spans="1:7">
      <c r="A12082" s="34">
        <v>2084057441</v>
      </c>
      <c r="B12082" s="35" t="s">
        <v>2214</v>
      </c>
      <c r="C12082" s="35" t="s">
        <v>2299</v>
      </c>
      <c r="D12082" s="35" t="s">
        <v>2855</v>
      </c>
      <c r="E12082" s="35" t="s">
        <v>2259</v>
      </c>
      <c r="F12082" s="35" t="s">
        <v>2858</v>
      </c>
      <c r="G12082" s="35" t="s">
        <v>429</v>
      </c>
    </row>
    <row r="12083" spans="1:7">
      <c r="A12083" s="34">
        <v>2084057443</v>
      </c>
      <c r="B12083" s="35" t="s">
        <v>2214</v>
      </c>
      <c r="C12083" s="35" t="s">
        <v>2299</v>
      </c>
      <c r="D12083" s="35" t="s">
        <v>2855</v>
      </c>
      <c r="E12083" s="35" t="s">
        <v>2259</v>
      </c>
      <c r="F12083" s="35" t="s">
        <v>429</v>
      </c>
    </row>
    <row r="12084" spans="1:7">
      <c r="A12084" s="34">
        <v>2084005420</v>
      </c>
      <c r="B12084" s="35" t="s">
        <v>2214</v>
      </c>
      <c r="C12084" s="35" t="s">
        <v>2299</v>
      </c>
      <c r="D12084" s="35" t="s">
        <v>2855</v>
      </c>
      <c r="E12084" s="35" t="s">
        <v>2821</v>
      </c>
    </row>
    <row r="12085" spans="1:7">
      <c r="A12085" s="34">
        <v>2084062524</v>
      </c>
      <c r="B12085" s="35" t="s">
        <v>2214</v>
      </c>
      <c r="C12085" s="35" t="s">
        <v>2299</v>
      </c>
      <c r="D12085" s="35" t="s">
        <v>2855</v>
      </c>
      <c r="E12085" s="35" t="s">
        <v>2822</v>
      </c>
      <c r="F12085" s="35" t="s">
        <v>2856</v>
      </c>
    </row>
    <row r="12086" spans="1:7">
      <c r="A12086" s="34">
        <v>2084062526</v>
      </c>
      <c r="B12086" s="35" t="s">
        <v>2214</v>
      </c>
      <c r="C12086" s="35" t="s">
        <v>2299</v>
      </c>
      <c r="D12086" s="35" t="s">
        <v>2855</v>
      </c>
      <c r="E12086" s="35" t="s">
        <v>2822</v>
      </c>
      <c r="F12086" s="35" t="s">
        <v>2857</v>
      </c>
    </row>
    <row r="12087" spans="1:7">
      <c r="A12087" s="34">
        <v>2084062525</v>
      </c>
      <c r="B12087" s="35" t="s">
        <v>2214</v>
      </c>
      <c r="C12087" s="35" t="s">
        <v>2299</v>
      </c>
      <c r="D12087" s="35" t="s">
        <v>2855</v>
      </c>
      <c r="E12087" s="35" t="s">
        <v>2822</v>
      </c>
      <c r="F12087" s="35" t="s">
        <v>2858</v>
      </c>
    </row>
    <row r="12088" spans="1:7">
      <c r="A12088" s="34">
        <v>2084062527</v>
      </c>
      <c r="B12088" s="35" t="s">
        <v>2214</v>
      </c>
      <c r="C12088" s="35" t="s">
        <v>2299</v>
      </c>
      <c r="D12088" s="35" t="s">
        <v>2855</v>
      </c>
      <c r="E12088" s="35" t="s">
        <v>2822</v>
      </c>
      <c r="F12088" s="35" t="s">
        <v>429</v>
      </c>
    </row>
    <row r="12089" spans="1:7">
      <c r="A12089" s="34">
        <v>2084008006</v>
      </c>
      <c r="B12089" s="35" t="s">
        <v>2214</v>
      </c>
      <c r="C12089" s="35" t="s">
        <v>2299</v>
      </c>
      <c r="D12089" s="35" t="s">
        <v>2855</v>
      </c>
      <c r="E12089" s="35" t="s">
        <v>2824</v>
      </c>
    </row>
    <row r="12090" spans="1:7">
      <c r="A12090" s="34">
        <v>2084008002</v>
      </c>
      <c r="B12090" s="35" t="s">
        <v>2214</v>
      </c>
      <c r="C12090" s="35" t="s">
        <v>2299</v>
      </c>
      <c r="D12090" s="35" t="s">
        <v>2855</v>
      </c>
      <c r="E12090" s="35" t="s">
        <v>2823</v>
      </c>
    </row>
    <row r="12091" spans="1:7">
      <c r="A12091" s="34">
        <v>2084019046</v>
      </c>
      <c r="B12091" s="35" t="s">
        <v>2214</v>
      </c>
      <c r="C12091" s="35" t="s">
        <v>2299</v>
      </c>
      <c r="D12091" s="35" t="s">
        <v>2855</v>
      </c>
      <c r="E12091" s="35" t="s">
        <v>2826</v>
      </c>
    </row>
    <row r="12092" spans="1:7">
      <c r="A12092" s="34">
        <v>2084019045</v>
      </c>
      <c r="B12092" s="35" t="s">
        <v>2214</v>
      </c>
      <c r="C12092" s="35" t="s">
        <v>2299</v>
      </c>
      <c r="D12092" s="35" t="s">
        <v>2855</v>
      </c>
      <c r="E12092" s="35" t="s">
        <v>2827</v>
      </c>
    </row>
    <row r="12093" spans="1:7">
      <c r="A12093" s="34">
        <v>2084062059</v>
      </c>
      <c r="B12093" s="35" t="s">
        <v>2214</v>
      </c>
      <c r="C12093" s="35" t="s">
        <v>2299</v>
      </c>
      <c r="D12093" s="35" t="s">
        <v>2855</v>
      </c>
      <c r="E12093" s="35" t="s">
        <v>2864</v>
      </c>
      <c r="F12093" s="35" t="s">
        <v>2231</v>
      </c>
    </row>
    <row r="12094" spans="1:7">
      <c r="A12094" s="34">
        <v>2084062058</v>
      </c>
      <c r="B12094" s="35" t="s">
        <v>2214</v>
      </c>
      <c r="C12094" s="35" t="s">
        <v>2299</v>
      </c>
      <c r="D12094" s="35" t="s">
        <v>2855</v>
      </c>
      <c r="E12094" s="35" t="s">
        <v>2864</v>
      </c>
      <c r="F12094" s="35" t="s">
        <v>2259</v>
      </c>
    </row>
    <row r="12095" spans="1:7">
      <c r="A12095" s="34">
        <v>2084062060</v>
      </c>
      <c r="B12095" s="35" t="s">
        <v>2214</v>
      </c>
      <c r="C12095" s="35" t="s">
        <v>2299</v>
      </c>
      <c r="D12095" s="35" t="s">
        <v>2855</v>
      </c>
      <c r="E12095" s="35" t="s">
        <v>2864</v>
      </c>
      <c r="F12095" s="35" t="s">
        <v>2821</v>
      </c>
    </row>
    <row r="12096" spans="1:7">
      <c r="A12096" s="34">
        <v>2084062061</v>
      </c>
      <c r="B12096" s="35" t="s">
        <v>2214</v>
      </c>
      <c r="C12096" s="35" t="s">
        <v>2299</v>
      </c>
      <c r="D12096" s="35" t="s">
        <v>2855</v>
      </c>
      <c r="E12096" s="35" t="s">
        <v>2864</v>
      </c>
      <c r="F12096" s="35" t="s">
        <v>2865</v>
      </c>
    </row>
    <row r="12097" spans="1:6">
      <c r="A12097" s="34">
        <v>2084062062</v>
      </c>
      <c r="B12097" s="35" t="s">
        <v>2214</v>
      </c>
      <c r="C12097" s="35" t="s">
        <v>2299</v>
      </c>
      <c r="D12097" s="35" t="s">
        <v>2855</v>
      </c>
      <c r="E12097" s="35" t="s">
        <v>2864</v>
      </c>
      <c r="F12097" s="35" t="s">
        <v>429</v>
      </c>
    </row>
    <row r="12098" spans="1:6">
      <c r="A12098" s="34">
        <v>2084005423</v>
      </c>
      <c r="B12098" s="35" t="s">
        <v>2214</v>
      </c>
      <c r="C12098" s="35" t="s">
        <v>2299</v>
      </c>
      <c r="D12098" s="35" t="s">
        <v>2855</v>
      </c>
      <c r="E12098" s="35" t="s">
        <v>429</v>
      </c>
    </row>
    <row r="12099" spans="1:6">
      <c r="A12099" s="34">
        <v>2084005414</v>
      </c>
      <c r="B12099" s="35" t="s">
        <v>2214</v>
      </c>
      <c r="C12099" s="35" t="s">
        <v>2299</v>
      </c>
      <c r="D12099" s="35" t="s">
        <v>2866</v>
      </c>
      <c r="E12099" s="35" t="s">
        <v>2301</v>
      </c>
    </row>
    <row r="12100" spans="1:6">
      <c r="A12100" s="34">
        <v>2084005415</v>
      </c>
      <c r="B12100" s="35" t="s">
        <v>2214</v>
      </c>
      <c r="C12100" s="35" t="s">
        <v>2299</v>
      </c>
      <c r="D12100" s="35" t="s">
        <v>2866</v>
      </c>
      <c r="E12100" s="35" t="s">
        <v>2788</v>
      </c>
    </row>
    <row r="12101" spans="1:6">
      <c r="A12101" s="34">
        <v>2084042499</v>
      </c>
      <c r="B12101" s="35" t="s">
        <v>2214</v>
      </c>
      <c r="C12101" s="35" t="s">
        <v>2299</v>
      </c>
      <c r="D12101" s="35" t="s">
        <v>2866</v>
      </c>
      <c r="E12101" s="35" t="s">
        <v>2793</v>
      </c>
      <c r="F12101" s="35" t="s">
        <v>429</v>
      </c>
    </row>
    <row r="12102" spans="1:6">
      <c r="A12102" s="34">
        <v>2084007988</v>
      </c>
      <c r="B12102" s="35" t="s">
        <v>2214</v>
      </c>
      <c r="C12102" s="35" t="s">
        <v>2299</v>
      </c>
      <c r="D12102" s="35" t="s">
        <v>2866</v>
      </c>
      <c r="E12102" s="35" t="s">
        <v>2793</v>
      </c>
      <c r="F12102" s="35" t="s">
        <v>2794</v>
      </c>
    </row>
    <row r="12103" spans="1:6">
      <c r="A12103" s="34">
        <v>2084042497</v>
      </c>
      <c r="B12103" s="35" t="s">
        <v>2214</v>
      </c>
      <c r="C12103" s="35" t="s">
        <v>2299</v>
      </c>
      <c r="D12103" s="35" t="s">
        <v>2866</v>
      </c>
      <c r="E12103" s="35" t="s">
        <v>2793</v>
      </c>
      <c r="F12103" s="35" t="s">
        <v>2795</v>
      </c>
    </row>
    <row r="12104" spans="1:6">
      <c r="A12104" s="34">
        <v>2084007987</v>
      </c>
      <c r="B12104" s="35" t="s">
        <v>2214</v>
      </c>
      <c r="C12104" s="35" t="s">
        <v>2299</v>
      </c>
      <c r="D12104" s="35" t="s">
        <v>2866</v>
      </c>
      <c r="E12104" s="35" t="s">
        <v>2793</v>
      </c>
      <c r="F12104" s="35" t="s">
        <v>2796</v>
      </c>
    </row>
    <row r="12105" spans="1:6">
      <c r="A12105" s="34">
        <v>2084008023</v>
      </c>
      <c r="B12105" s="35" t="s">
        <v>2214</v>
      </c>
      <c r="C12105" s="35" t="s">
        <v>2299</v>
      </c>
      <c r="D12105" s="35" t="s">
        <v>2866</v>
      </c>
      <c r="E12105" s="35" t="s">
        <v>2793</v>
      </c>
      <c r="F12105" s="35" t="s">
        <v>2797</v>
      </c>
    </row>
    <row r="12106" spans="1:6">
      <c r="A12106" s="34">
        <v>2084008000</v>
      </c>
      <c r="B12106" s="35" t="s">
        <v>2214</v>
      </c>
      <c r="C12106" s="35" t="s">
        <v>2299</v>
      </c>
      <c r="D12106" s="35" t="s">
        <v>2866</v>
      </c>
      <c r="E12106" s="35" t="s">
        <v>2793</v>
      </c>
      <c r="F12106" s="35" t="s">
        <v>2798</v>
      </c>
    </row>
    <row r="12107" spans="1:6">
      <c r="A12107" s="34">
        <v>2084007981</v>
      </c>
      <c r="B12107" s="35" t="s">
        <v>2214</v>
      </c>
      <c r="C12107" s="35" t="s">
        <v>2299</v>
      </c>
      <c r="D12107" s="35" t="s">
        <v>2866</v>
      </c>
      <c r="E12107" s="35" t="s">
        <v>2793</v>
      </c>
      <c r="F12107" s="35" t="s">
        <v>2799</v>
      </c>
    </row>
    <row r="12108" spans="1:6">
      <c r="A12108" s="34">
        <v>2084052366</v>
      </c>
      <c r="B12108" s="35" t="s">
        <v>2214</v>
      </c>
      <c r="C12108" s="35" t="s">
        <v>2299</v>
      </c>
      <c r="D12108" s="35" t="s">
        <v>2866</v>
      </c>
      <c r="E12108" s="35" t="s">
        <v>2793</v>
      </c>
      <c r="F12108" s="35" t="s">
        <v>2800</v>
      </c>
    </row>
    <row r="12109" spans="1:6">
      <c r="A12109" s="34">
        <v>2084007983</v>
      </c>
      <c r="B12109" s="35" t="s">
        <v>2214</v>
      </c>
      <c r="C12109" s="35" t="s">
        <v>2299</v>
      </c>
      <c r="D12109" s="35" t="s">
        <v>2866</v>
      </c>
      <c r="E12109" s="35" t="s">
        <v>2793</v>
      </c>
      <c r="F12109" s="35" t="s">
        <v>2801</v>
      </c>
    </row>
    <row r="12110" spans="1:6">
      <c r="A12110" s="34">
        <v>2084007986</v>
      </c>
      <c r="B12110" s="35" t="s">
        <v>2214</v>
      </c>
      <c r="C12110" s="35" t="s">
        <v>2299</v>
      </c>
      <c r="D12110" s="35" t="s">
        <v>2866</v>
      </c>
      <c r="E12110" s="35" t="s">
        <v>2793</v>
      </c>
      <c r="F12110" s="35" t="s">
        <v>2802</v>
      </c>
    </row>
    <row r="12111" spans="1:6">
      <c r="A12111" s="34">
        <v>2084007999</v>
      </c>
      <c r="B12111" s="35" t="s">
        <v>2214</v>
      </c>
      <c r="C12111" s="35" t="s">
        <v>2299</v>
      </c>
      <c r="D12111" s="35" t="s">
        <v>2866</v>
      </c>
      <c r="E12111" s="35" t="s">
        <v>2793</v>
      </c>
      <c r="F12111" s="35" t="s">
        <v>2803</v>
      </c>
    </row>
    <row r="12112" spans="1:6">
      <c r="A12112" s="34">
        <v>2084008019</v>
      </c>
      <c r="B12112" s="35" t="s">
        <v>2214</v>
      </c>
      <c r="C12112" s="35" t="s">
        <v>2299</v>
      </c>
      <c r="D12112" s="35" t="s">
        <v>2866</v>
      </c>
      <c r="E12112" s="35" t="s">
        <v>2793</v>
      </c>
      <c r="F12112" s="35" t="s">
        <v>2804</v>
      </c>
    </row>
    <row r="12113" spans="1:6">
      <c r="A12113" s="34">
        <v>2084007994</v>
      </c>
      <c r="B12113" s="35" t="s">
        <v>2214</v>
      </c>
      <c r="C12113" s="35" t="s">
        <v>2299</v>
      </c>
      <c r="D12113" s="35" t="s">
        <v>2866</v>
      </c>
      <c r="E12113" s="35" t="s">
        <v>2793</v>
      </c>
      <c r="F12113" s="35" t="s">
        <v>2805</v>
      </c>
    </row>
    <row r="12114" spans="1:6">
      <c r="A12114" s="34">
        <v>2084007980</v>
      </c>
      <c r="B12114" s="35" t="s">
        <v>2214</v>
      </c>
      <c r="C12114" s="35" t="s">
        <v>2299</v>
      </c>
      <c r="D12114" s="35" t="s">
        <v>2866</v>
      </c>
      <c r="E12114" s="35" t="s">
        <v>2793</v>
      </c>
      <c r="F12114" s="35" t="s">
        <v>2806</v>
      </c>
    </row>
    <row r="12115" spans="1:6">
      <c r="A12115" s="34">
        <v>2084052365</v>
      </c>
      <c r="B12115" s="35" t="s">
        <v>2214</v>
      </c>
      <c r="C12115" s="35" t="s">
        <v>2299</v>
      </c>
      <c r="D12115" s="35" t="s">
        <v>2866</v>
      </c>
      <c r="E12115" s="35" t="s">
        <v>2793</v>
      </c>
      <c r="F12115" s="35" t="s">
        <v>2807</v>
      </c>
    </row>
    <row r="12116" spans="1:6">
      <c r="A12116" s="34">
        <v>2084042498</v>
      </c>
      <c r="B12116" s="35" t="s">
        <v>2214</v>
      </c>
      <c r="C12116" s="35" t="s">
        <v>2299</v>
      </c>
      <c r="D12116" s="35" t="s">
        <v>2866</v>
      </c>
      <c r="E12116" s="35" t="s">
        <v>2793</v>
      </c>
      <c r="F12116" s="35" t="s">
        <v>2808</v>
      </c>
    </row>
    <row r="12117" spans="1:6">
      <c r="A12117" s="34">
        <v>2084007996</v>
      </c>
      <c r="B12117" s="35" t="s">
        <v>2214</v>
      </c>
      <c r="C12117" s="35" t="s">
        <v>2299</v>
      </c>
      <c r="D12117" s="35" t="s">
        <v>2866</v>
      </c>
      <c r="E12117" s="35" t="s">
        <v>2793</v>
      </c>
      <c r="F12117" s="35" t="s">
        <v>2809</v>
      </c>
    </row>
    <row r="12118" spans="1:6">
      <c r="A12118" s="34">
        <v>2084007997</v>
      </c>
      <c r="B12118" s="35" t="s">
        <v>2214</v>
      </c>
      <c r="C12118" s="35" t="s">
        <v>2299</v>
      </c>
      <c r="D12118" s="35" t="s">
        <v>2866</v>
      </c>
      <c r="E12118" s="35" t="s">
        <v>2793</v>
      </c>
      <c r="F12118" s="35" t="s">
        <v>2810</v>
      </c>
    </row>
    <row r="12119" spans="1:6">
      <c r="A12119" s="34">
        <v>2084007995</v>
      </c>
      <c r="B12119" s="35" t="s">
        <v>2214</v>
      </c>
      <c r="C12119" s="35" t="s">
        <v>2299</v>
      </c>
      <c r="D12119" s="35" t="s">
        <v>2866</v>
      </c>
      <c r="E12119" s="35" t="s">
        <v>2793</v>
      </c>
      <c r="F12119" s="35" t="s">
        <v>2811</v>
      </c>
    </row>
    <row r="12120" spans="1:6">
      <c r="A12120" s="34">
        <v>2084007982</v>
      </c>
      <c r="B12120" s="35" t="s">
        <v>2214</v>
      </c>
      <c r="C12120" s="35" t="s">
        <v>2299</v>
      </c>
      <c r="D12120" s="35" t="s">
        <v>2866</v>
      </c>
      <c r="E12120" s="35" t="s">
        <v>2793</v>
      </c>
      <c r="F12120" s="35" t="s">
        <v>2812</v>
      </c>
    </row>
    <row r="12121" spans="1:6">
      <c r="A12121" s="34">
        <v>2084007993</v>
      </c>
      <c r="B12121" s="35" t="s">
        <v>2214</v>
      </c>
      <c r="C12121" s="35" t="s">
        <v>2299</v>
      </c>
      <c r="D12121" s="35" t="s">
        <v>2866</v>
      </c>
      <c r="E12121" s="35" t="s">
        <v>2793</v>
      </c>
      <c r="F12121" s="35" t="s">
        <v>2813</v>
      </c>
    </row>
    <row r="12122" spans="1:6">
      <c r="A12122" s="34">
        <v>2084007990</v>
      </c>
      <c r="B12122" s="35" t="s">
        <v>2214</v>
      </c>
      <c r="C12122" s="35" t="s">
        <v>2299</v>
      </c>
      <c r="D12122" s="35" t="s">
        <v>2866</v>
      </c>
      <c r="E12122" s="35" t="s">
        <v>2793</v>
      </c>
      <c r="F12122" s="35" t="s">
        <v>440</v>
      </c>
    </row>
    <row r="12123" spans="1:6">
      <c r="A12123" s="34">
        <v>2084007998</v>
      </c>
      <c r="B12123" s="35" t="s">
        <v>2214</v>
      </c>
      <c r="C12123" s="35" t="s">
        <v>2299</v>
      </c>
      <c r="D12123" s="35" t="s">
        <v>2866</v>
      </c>
      <c r="E12123" s="35" t="s">
        <v>2793</v>
      </c>
      <c r="F12123" s="35" t="s">
        <v>2814</v>
      </c>
    </row>
    <row r="12124" spans="1:6">
      <c r="A12124" s="34">
        <v>2084007979</v>
      </c>
      <c r="B12124" s="35" t="s">
        <v>2214</v>
      </c>
      <c r="C12124" s="35" t="s">
        <v>2299</v>
      </c>
      <c r="D12124" s="35" t="s">
        <v>2866</v>
      </c>
      <c r="E12124" s="35" t="s">
        <v>2793</v>
      </c>
      <c r="F12124" s="35" t="s">
        <v>2815</v>
      </c>
    </row>
    <row r="12125" spans="1:6">
      <c r="A12125" s="34">
        <v>2084052687</v>
      </c>
      <c r="B12125" s="35" t="s">
        <v>2214</v>
      </c>
      <c r="C12125" s="35" t="s">
        <v>2299</v>
      </c>
      <c r="D12125" s="35" t="s">
        <v>2866</v>
      </c>
      <c r="E12125" s="35" t="s">
        <v>2816</v>
      </c>
      <c r="F12125" s="35" t="s">
        <v>2817</v>
      </c>
    </row>
    <row r="12126" spans="1:6">
      <c r="A12126" s="34">
        <v>2084052688</v>
      </c>
      <c r="B12126" s="35" t="s">
        <v>2214</v>
      </c>
      <c r="C12126" s="35" t="s">
        <v>2299</v>
      </c>
      <c r="D12126" s="35" t="s">
        <v>2866</v>
      </c>
      <c r="E12126" s="35" t="s">
        <v>2816</v>
      </c>
      <c r="F12126" s="35" t="s">
        <v>429</v>
      </c>
    </row>
    <row r="12127" spans="1:6">
      <c r="A12127" s="34">
        <v>2084052693</v>
      </c>
      <c r="B12127" s="35" t="s">
        <v>2214</v>
      </c>
      <c r="C12127" s="35" t="s">
        <v>2299</v>
      </c>
      <c r="D12127" s="35" t="s">
        <v>2866</v>
      </c>
      <c r="E12127" s="35" t="s">
        <v>2231</v>
      </c>
      <c r="F12127" s="35" t="s">
        <v>2818</v>
      </c>
    </row>
    <row r="12128" spans="1:6">
      <c r="A12128" s="34">
        <v>2084052694</v>
      </c>
      <c r="B12128" s="35" t="s">
        <v>2214</v>
      </c>
      <c r="C12128" s="35" t="s">
        <v>2299</v>
      </c>
      <c r="D12128" s="35" t="s">
        <v>2866</v>
      </c>
      <c r="E12128" s="35" t="s">
        <v>2231</v>
      </c>
      <c r="F12128" s="35" t="s">
        <v>2819</v>
      </c>
    </row>
    <row r="12129" spans="1:7">
      <c r="A12129" s="34">
        <v>2084052692</v>
      </c>
      <c r="B12129" s="35" t="s">
        <v>2214</v>
      </c>
      <c r="C12129" s="35" t="s">
        <v>2299</v>
      </c>
      <c r="D12129" s="35" t="s">
        <v>2866</v>
      </c>
      <c r="E12129" s="35" t="s">
        <v>2231</v>
      </c>
      <c r="F12129" s="35" t="s">
        <v>2820</v>
      </c>
    </row>
    <row r="12130" spans="1:7">
      <c r="A12130" s="34">
        <v>2084052695</v>
      </c>
      <c r="B12130" s="35" t="s">
        <v>2214</v>
      </c>
      <c r="C12130" s="35" t="s">
        <v>2299</v>
      </c>
      <c r="D12130" s="35" t="s">
        <v>2866</v>
      </c>
      <c r="E12130" s="35" t="s">
        <v>2231</v>
      </c>
      <c r="F12130" s="35" t="s">
        <v>429</v>
      </c>
    </row>
    <row r="12131" spans="1:7">
      <c r="A12131" s="34">
        <v>2084005412</v>
      </c>
      <c r="B12131" s="35" t="s">
        <v>2214</v>
      </c>
      <c r="C12131" s="35" t="s">
        <v>2299</v>
      </c>
      <c r="D12131" s="35" t="s">
        <v>2866</v>
      </c>
      <c r="E12131" s="35" t="s">
        <v>2259</v>
      </c>
    </row>
    <row r="12132" spans="1:7">
      <c r="A12132" s="34">
        <v>2084005413</v>
      </c>
      <c r="B12132" s="35" t="s">
        <v>2214</v>
      </c>
      <c r="C12132" s="35" t="s">
        <v>2299</v>
      </c>
      <c r="D12132" s="35" t="s">
        <v>2866</v>
      </c>
      <c r="E12132" s="35" t="s">
        <v>2821</v>
      </c>
    </row>
    <row r="12133" spans="1:7">
      <c r="A12133" s="34">
        <v>2084008001</v>
      </c>
      <c r="B12133" s="35" t="s">
        <v>2214</v>
      </c>
      <c r="C12133" s="35" t="s">
        <v>2299</v>
      </c>
      <c r="D12133" s="35" t="s">
        <v>2866</v>
      </c>
      <c r="E12133" s="35" t="s">
        <v>2823</v>
      </c>
    </row>
    <row r="12134" spans="1:7">
      <c r="A12134" s="34">
        <v>2084008060</v>
      </c>
      <c r="B12134" s="35" t="s">
        <v>2214</v>
      </c>
      <c r="C12134" s="35" t="s">
        <v>2299</v>
      </c>
      <c r="D12134" s="35" t="s">
        <v>2866</v>
      </c>
      <c r="E12134" s="35" t="s">
        <v>2824</v>
      </c>
    </row>
    <row r="12135" spans="1:7">
      <c r="A12135" s="34">
        <v>2084007984</v>
      </c>
      <c r="B12135" s="35" t="s">
        <v>2214</v>
      </c>
      <c r="C12135" s="35" t="s">
        <v>2299</v>
      </c>
      <c r="D12135" s="35" t="s">
        <v>2866</v>
      </c>
      <c r="E12135" s="35" t="s">
        <v>2822</v>
      </c>
    </row>
    <row r="12136" spans="1:7">
      <c r="A12136" s="34">
        <v>2084019044</v>
      </c>
      <c r="B12136" s="35" t="s">
        <v>2214</v>
      </c>
      <c r="C12136" s="35" t="s">
        <v>2299</v>
      </c>
      <c r="D12136" s="35" t="s">
        <v>2866</v>
      </c>
      <c r="E12136" s="35" t="s">
        <v>2826</v>
      </c>
    </row>
    <row r="12137" spans="1:7">
      <c r="A12137" s="34">
        <v>2084019043</v>
      </c>
      <c r="B12137" s="35" t="s">
        <v>2214</v>
      </c>
      <c r="C12137" s="35" t="s">
        <v>2299</v>
      </c>
      <c r="D12137" s="35" t="s">
        <v>2866</v>
      </c>
      <c r="E12137" s="35" t="s">
        <v>2827</v>
      </c>
    </row>
    <row r="12138" spans="1:7">
      <c r="A12138" s="34">
        <v>2084005416</v>
      </c>
      <c r="B12138" s="35" t="s">
        <v>2214</v>
      </c>
      <c r="C12138" s="35" t="s">
        <v>2299</v>
      </c>
      <c r="D12138" s="35" t="s">
        <v>2866</v>
      </c>
      <c r="E12138" s="35" t="s">
        <v>429</v>
      </c>
    </row>
    <row r="12139" spans="1:7">
      <c r="A12139" s="34">
        <v>2084018237</v>
      </c>
      <c r="B12139" s="35" t="s">
        <v>2214</v>
      </c>
      <c r="C12139" s="35" t="s">
        <v>2299</v>
      </c>
      <c r="D12139" s="35" t="s">
        <v>2226</v>
      </c>
      <c r="E12139" s="35" t="s">
        <v>2867</v>
      </c>
      <c r="F12139" s="35" t="s">
        <v>2301</v>
      </c>
    </row>
    <row r="12140" spans="1:7">
      <c r="A12140" s="34">
        <v>2084019061</v>
      </c>
      <c r="B12140" s="35" t="s">
        <v>2214</v>
      </c>
      <c r="C12140" s="35" t="s">
        <v>2299</v>
      </c>
      <c r="D12140" s="35" t="s">
        <v>2226</v>
      </c>
      <c r="E12140" s="35" t="s">
        <v>2867</v>
      </c>
      <c r="F12140" s="35" t="s">
        <v>2788</v>
      </c>
    </row>
    <row r="12141" spans="1:7">
      <c r="A12141" s="34">
        <v>2084042521</v>
      </c>
      <c r="B12141" s="35" t="s">
        <v>2214</v>
      </c>
      <c r="C12141" s="35" t="s">
        <v>2299</v>
      </c>
      <c r="D12141" s="35" t="s">
        <v>2226</v>
      </c>
      <c r="E12141" s="35" t="s">
        <v>2867</v>
      </c>
      <c r="F12141" s="35" t="s">
        <v>2793</v>
      </c>
      <c r="G12141" s="35" t="s">
        <v>429</v>
      </c>
    </row>
    <row r="12142" spans="1:7">
      <c r="A12142" s="34">
        <v>2084018222</v>
      </c>
      <c r="B12142" s="35" t="s">
        <v>2214</v>
      </c>
      <c r="C12142" s="35" t="s">
        <v>2299</v>
      </c>
      <c r="D12142" s="35" t="s">
        <v>2226</v>
      </c>
      <c r="E12142" s="35" t="s">
        <v>2867</v>
      </c>
      <c r="F12142" s="35" t="s">
        <v>2793</v>
      </c>
      <c r="G12142" s="35" t="s">
        <v>2794</v>
      </c>
    </row>
    <row r="12143" spans="1:7">
      <c r="A12143" s="34">
        <v>2084042519</v>
      </c>
      <c r="B12143" s="35" t="s">
        <v>2214</v>
      </c>
      <c r="C12143" s="35" t="s">
        <v>2299</v>
      </c>
      <c r="D12143" s="35" t="s">
        <v>2226</v>
      </c>
      <c r="E12143" s="35" t="s">
        <v>2867</v>
      </c>
      <c r="F12143" s="35" t="s">
        <v>2793</v>
      </c>
      <c r="G12143" s="35" t="s">
        <v>2795</v>
      </c>
    </row>
    <row r="12144" spans="1:7">
      <c r="A12144" s="34">
        <v>2084018223</v>
      </c>
      <c r="B12144" s="35" t="s">
        <v>2214</v>
      </c>
      <c r="C12144" s="35" t="s">
        <v>2299</v>
      </c>
      <c r="D12144" s="35" t="s">
        <v>2226</v>
      </c>
      <c r="E12144" s="35" t="s">
        <v>2867</v>
      </c>
      <c r="F12144" s="35" t="s">
        <v>2793</v>
      </c>
      <c r="G12144" s="35" t="s">
        <v>2796</v>
      </c>
    </row>
    <row r="12145" spans="1:7">
      <c r="A12145" s="34">
        <v>2084018224</v>
      </c>
      <c r="B12145" s="35" t="s">
        <v>2214</v>
      </c>
      <c r="C12145" s="35" t="s">
        <v>2299</v>
      </c>
      <c r="D12145" s="35" t="s">
        <v>2226</v>
      </c>
      <c r="E12145" s="35" t="s">
        <v>2867</v>
      </c>
      <c r="F12145" s="35" t="s">
        <v>2793</v>
      </c>
      <c r="G12145" s="35" t="s">
        <v>2797</v>
      </c>
    </row>
    <row r="12146" spans="1:7">
      <c r="A12146" s="34">
        <v>2084018225</v>
      </c>
      <c r="B12146" s="35" t="s">
        <v>2214</v>
      </c>
      <c r="C12146" s="35" t="s">
        <v>2299</v>
      </c>
      <c r="D12146" s="35" t="s">
        <v>2226</v>
      </c>
      <c r="E12146" s="35" t="s">
        <v>2867</v>
      </c>
      <c r="F12146" s="35" t="s">
        <v>2793</v>
      </c>
      <c r="G12146" s="35" t="s">
        <v>2798</v>
      </c>
    </row>
    <row r="12147" spans="1:7">
      <c r="A12147" s="34">
        <v>2084018226</v>
      </c>
      <c r="B12147" s="35" t="s">
        <v>2214</v>
      </c>
      <c r="C12147" s="35" t="s">
        <v>2299</v>
      </c>
      <c r="D12147" s="35" t="s">
        <v>2226</v>
      </c>
      <c r="E12147" s="35" t="s">
        <v>2867</v>
      </c>
      <c r="F12147" s="35" t="s">
        <v>2793</v>
      </c>
      <c r="G12147" s="35" t="s">
        <v>2799</v>
      </c>
    </row>
    <row r="12148" spans="1:7">
      <c r="A12148" s="34">
        <v>2084018227</v>
      </c>
      <c r="B12148" s="35" t="s">
        <v>2214</v>
      </c>
      <c r="C12148" s="35" t="s">
        <v>2299</v>
      </c>
      <c r="D12148" s="35" t="s">
        <v>2226</v>
      </c>
      <c r="E12148" s="35" t="s">
        <v>2867</v>
      </c>
      <c r="F12148" s="35" t="s">
        <v>2793</v>
      </c>
      <c r="G12148" s="35" t="s">
        <v>2801</v>
      </c>
    </row>
    <row r="12149" spans="1:7">
      <c r="A12149" s="34">
        <v>2084018228</v>
      </c>
      <c r="B12149" s="35" t="s">
        <v>2214</v>
      </c>
      <c r="C12149" s="35" t="s">
        <v>2299</v>
      </c>
      <c r="D12149" s="35" t="s">
        <v>2226</v>
      </c>
      <c r="E12149" s="35" t="s">
        <v>2867</v>
      </c>
      <c r="F12149" s="35" t="s">
        <v>2793</v>
      </c>
      <c r="G12149" s="35" t="s">
        <v>2802</v>
      </c>
    </row>
    <row r="12150" spans="1:7">
      <c r="A12150" s="34">
        <v>2084018231</v>
      </c>
      <c r="B12150" s="35" t="s">
        <v>2214</v>
      </c>
      <c r="C12150" s="35" t="s">
        <v>2299</v>
      </c>
      <c r="D12150" s="35" t="s">
        <v>2226</v>
      </c>
      <c r="E12150" s="35" t="s">
        <v>2867</v>
      </c>
      <c r="F12150" s="35" t="s">
        <v>2793</v>
      </c>
      <c r="G12150" s="35" t="s">
        <v>2803</v>
      </c>
    </row>
    <row r="12151" spans="1:7">
      <c r="A12151" s="34">
        <v>2084018232</v>
      </c>
      <c r="B12151" s="35" t="s">
        <v>2214</v>
      </c>
      <c r="C12151" s="35" t="s">
        <v>2299</v>
      </c>
      <c r="D12151" s="35" t="s">
        <v>2226</v>
      </c>
      <c r="E12151" s="35" t="s">
        <v>2867</v>
      </c>
      <c r="F12151" s="35" t="s">
        <v>2793</v>
      </c>
      <c r="G12151" s="35" t="s">
        <v>2804</v>
      </c>
    </row>
    <row r="12152" spans="1:7">
      <c r="A12152" s="34">
        <v>2084018234</v>
      </c>
      <c r="B12152" s="35" t="s">
        <v>2214</v>
      </c>
      <c r="C12152" s="35" t="s">
        <v>2299</v>
      </c>
      <c r="D12152" s="35" t="s">
        <v>2226</v>
      </c>
      <c r="E12152" s="35" t="s">
        <v>2867</v>
      </c>
      <c r="F12152" s="35" t="s">
        <v>2793</v>
      </c>
      <c r="G12152" s="35" t="s">
        <v>2805</v>
      </c>
    </row>
    <row r="12153" spans="1:7">
      <c r="A12153" s="34">
        <v>2084018235</v>
      </c>
      <c r="B12153" s="35" t="s">
        <v>2214</v>
      </c>
      <c r="C12153" s="35" t="s">
        <v>2299</v>
      </c>
      <c r="D12153" s="35" t="s">
        <v>2226</v>
      </c>
      <c r="E12153" s="35" t="s">
        <v>2867</v>
      </c>
      <c r="F12153" s="35" t="s">
        <v>2793</v>
      </c>
      <c r="G12153" s="35" t="s">
        <v>2806</v>
      </c>
    </row>
    <row r="12154" spans="1:7">
      <c r="A12154" s="34">
        <v>2084042520</v>
      </c>
      <c r="B12154" s="35" t="s">
        <v>2214</v>
      </c>
      <c r="C12154" s="35" t="s">
        <v>2299</v>
      </c>
      <c r="D12154" s="35" t="s">
        <v>2226</v>
      </c>
      <c r="E12154" s="35" t="s">
        <v>2867</v>
      </c>
      <c r="F12154" s="35" t="s">
        <v>2793</v>
      </c>
      <c r="G12154" s="35" t="s">
        <v>2808</v>
      </c>
    </row>
    <row r="12155" spans="1:7">
      <c r="A12155" s="34">
        <v>2084018238</v>
      </c>
      <c r="B12155" s="35" t="s">
        <v>2214</v>
      </c>
      <c r="C12155" s="35" t="s">
        <v>2299</v>
      </c>
      <c r="D12155" s="35" t="s">
        <v>2226</v>
      </c>
      <c r="E12155" s="35" t="s">
        <v>2867</v>
      </c>
      <c r="F12155" s="35" t="s">
        <v>2793</v>
      </c>
      <c r="G12155" s="35" t="s">
        <v>2809</v>
      </c>
    </row>
    <row r="12156" spans="1:7">
      <c r="A12156" s="34">
        <v>2084018239</v>
      </c>
      <c r="B12156" s="35" t="s">
        <v>2214</v>
      </c>
      <c r="C12156" s="35" t="s">
        <v>2299</v>
      </c>
      <c r="D12156" s="35" t="s">
        <v>2226</v>
      </c>
      <c r="E12156" s="35" t="s">
        <v>2867</v>
      </c>
      <c r="F12156" s="35" t="s">
        <v>2793</v>
      </c>
      <c r="G12156" s="35" t="s">
        <v>2810</v>
      </c>
    </row>
    <row r="12157" spans="1:7">
      <c r="A12157" s="34">
        <v>2084018240</v>
      </c>
      <c r="B12157" s="35" t="s">
        <v>2214</v>
      </c>
      <c r="C12157" s="35" t="s">
        <v>2299</v>
      </c>
      <c r="D12157" s="35" t="s">
        <v>2226</v>
      </c>
      <c r="E12157" s="35" t="s">
        <v>2867</v>
      </c>
      <c r="F12157" s="35" t="s">
        <v>2793</v>
      </c>
      <c r="G12157" s="35" t="s">
        <v>2811</v>
      </c>
    </row>
    <row r="12158" spans="1:7">
      <c r="A12158" s="34">
        <v>2084018242</v>
      </c>
      <c r="B12158" s="35" t="s">
        <v>2214</v>
      </c>
      <c r="C12158" s="35" t="s">
        <v>2299</v>
      </c>
      <c r="D12158" s="35" t="s">
        <v>2226</v>
      </c>
      <c r="E12158" s="35" t="s">
        <v>2867</v>
      </c>
      <c r="F12158" s="35" t="s">
        <v>2793</v>
      </c>
      <c r="G12158" s="35" t="s">
        <v>2812</v>
      </c>
    </row>
    <row r="12159" spans="1:7">
      <c r="A12159" s="34">
        <v>2084018244</v>
      </c>
      <c r="B12159" s="35" t="s">
        <v>2214</v>
      </c>
      <c r="C12159" s="35" t="s">
        <v>2299</v>
      </c>
      <c r="D12159" s="35" t="s">
        <v>2226</v>
      </c>
      <c r="E12159" s="35" t="s">
        <v>2867</v>
      </c>
      <c r="F12159" s="35" t="s">
        <v>2793</v>
      </c>
      <c r="G12159" s="35" t="s">
        <v>2813</v>
      </c>
    </row>
    <row r="12160" spans="1:7">
      <c r="A12160" s="34">
        <v>2084018245</v>
      </c>
      <c r="B12160" s="35" t="s">
        <v>2214</v>
      </c>
      <c r="C12160" s="35" t="s">
        <v>2299</v>
      </c>
      <c r="D12160" s="35" t="s">
        <v>2226</v>
      </c>
      <c r="E12160" s="35" t="s">
        <v>2867</v>
      </c>
      <c r="F12160" s="35" t="s">
        <v>2793</v>
      </c>
      <c r="G12160" s="35" t="s">
        <v>440</v>
      </c>
    </row>
    <row r="12161" spans="1:7">
      <c r="A12161" s="34">
        <v>2084018247</v>
      </c>
      <c r="B12161" s="35" t="s">
        <v>2214</v>
      </c>
      <c r="C12161" s="35" t="s">
        <v>2299</v>
      </c>
      <c r="D12161" s="35" t="s">
        <v>2226</v>
      </c>
      <c r="E12161" s="35" t="s">
        <v>2867</v>
      </c>
      <c r="F12161" s="35" t="s">
        <v>2793</v>
      </c>
      <c r="G12161" s="35" t="s">
        <v>2814</v>
      </c>
    </row>
    <row r="12162" spans="1:7">
      <c r="A12162" s="34">
        <v>2084018248</v>
      </c>
      <c r="B12162" s="35" t="s">
        <v>2214</v>
      </c>
      <c r="C12162" s="35" t="s">
        <v>2299</v>
      </c>
      <c r="D12162" s="35" t="s">
        <v>2226</v>
      </c>
      <c r="E12162" s="35" t="s">
        <v>2867</v>
      </c>
      <c r="F12162" s="35" t="s">
        <v>2793</v>
      </c>
      <c r="G12162" s="35" t="s">
        <v>2815</v>
      </c>
    </row>
    <row r="12163" spans="1:7">
      <c r="A12163" s="34">
        <v>2084052744</v>
      </c>
      <c r="B12163" s="35" t="s">
        <v>2214</v>
      </c>
      <c r="C12163" s="35" t="s">
        <v>2299</v>
      </c>
      <c r="D12163" s="35" t="s">
        <v>2226</v>
      </c>
      <c r="E12163" s="35" t="s">
        <v>2867</v>
      </c>
      <c r="F12163" s="35" t="s">
        <v>2816</v>
      </c>
      <c r="G12163" s="35" t="s">
        <v>2817</v>
      </c>
    </row>
    <row r="12164" spans="1:7">
      <c r="A12164" s="34">
        <v>2084052745</v>
      </c>
      <c r="B12164" s="35" t="s">
        <v>2214</v>
      </c>
      <c r="C12164" s="35" t="s">
        <v>2299</v>
      </c>
      <c r="D12164" s="35" t="s">
        <v>2226</v>
      </c>
      <c r="E12164" s="35" t="s">
        <v>2867</v>
      </c>
      <c r="F12164" s="35" t="s">
        <v>2816</v>
      </c>
      <c r="G12164" s="35" t="s">
        <v>429</v>
      </c>
    </row>
    <row r="12165" spans="1:7">
      <c r="A12165" s="34">
        <v>2084052749</v>
      </c>
      <c r="B12165" s="35" t="s">
        <v>2214</v>
      </c>
      <c r="C12165" s="35" t="s">
        <v>2299</v>
      </c>
      <c r="D12165" s="35" t="s">
        <v>2226</v>
      </c>
      <c r="E12165" s="35" t="s">
        <v>2867</v>
      </c>
      <c r="F12165" s="35" t="s">
        <v>2231</v>
      </c>
      <c r="G12165" s="35" t="s">
        <v>2818</v>
      </c>
    </row>
    <row r="12166" spans="1:7">
      <c r="A12166" s="34">
        <v>2084052750</v>
      </c>
      <c r="B12166" s="35" t="s">
        <v>2214</v>
      </c>
      <c r="C12166" s="35" t="s">
        <v>2299</v>
      </c>
      <c r="D12166" s="35" t="s">
        <v>2226</v>
      </c>
      <c r="E12166" s="35" t="s">
        <v>2867</v>
      </c>
      <c r="F12166" s="35" t="s">
        <v>2231</v>
      </c>
      <c r="G12166" s="35" t="s">
        <v>2819</v>
      </c>
    </row>
    <row r="12167" spans="1:7">
      <c r="A12167" s="34">
        <v>2084052748</v>
      </c>
      <c r="B12167" s="35" t="s">
        <v>2214</v>
      </c>
      <c r="C12167" s="35" t="s">
        <v>2299</v>
      </c>
      <c r="D12167" s="35" t="s">
        <v>2226</v>
      </c>
      <c r="E12167" s="35" t="s">
        <v>2867</v>
      </c>
      <c r="F12167" s="35" t="s">
        <v>2231</v>
      </c>
      <c r="G12167" s="35" t="s">
        <v>2820</v>
      </c>
    </row>
    <row r="12168" spans="1:7">
      <c r="A12168" s="34">
        <v>2084052751</v>
      </c>
      <c r="B12168" s="35" t="s">
        <v>2214</v>
      </c>
      <c r="C12168" s="35" t="s">
        <v>2299</v>
      </c>
      <c r="D12168" s="35" t="s">
        <v>2226</v>
      </c>
      <c r="E12168" s="35" t="s">
        <v>2867</v>
      </c>
      <c r="F12168" s="35" t="s">
        <v>2231</v>
      </c>
      <c r="G12168" s="35" t="s">
        <v>429</v>
      </c>
    </row>
    <row r="12169" spans="1:7">
      <c r="A12169" s="34">
        <v>2084019058</v>
      </c>
      <c r="B12169" s="35" t="s">
        <v>2214</v>
      </c>
      <c r="C12169" s="35" t="s">
        <v>2299</v>
      </c>
      <c r="D12169" s="35" t="s">
        <v>2226</v>
      </c>
      <c r="E12169" s="35" t="s">
        <v>2867</v>
      </c>
      <c r="F12169" s="35" t="s">
        <v>2259</v>
      </c>
    </row>
    <row r="12170" spans="1:7">
      <c r="A12170" s="34">
        <v>2084019060</v>
      </c>
      <c r="B12170" s="35" t="s">
        <v>2214</v>
      </c>
      <c r="C12170" s="35" t="s">
        <v>2299</v>
      </c>
      <c r="D12170" s="35" t="s">
        <v>2226</v>
      </c>
      <c r="E12170" s="35" t="s">
        <v>2867</v>
      </c>
      <c r="F12170" s="35" t="s">
        <v>2821</v>
      </c>
    </row>
    <row r="12171" spans="1:7">
      <c r="A12171" s="34">
        <v>2084018241</v>
      </c>
      <c r="B12171" s="35" t="s">
        <v>2214</v>
      </c>
      <c r="C12171" s="35" t="s">
        <v>2299</v>
      </c>
      <c r="D12171" s="35" t="s">
        <v>2226</v>
      </c>
      <c r="E12171" s="35" t="s">
        <v>2867</v>
      </c>
      <c r="F12171" s="35" t="s">
        <v>2822</v>
      </c>
    </row>
    <row r="12172" spans="1:7">
      <c r="A12172" s="34">
        <v>2084018243</v>
      </c>
      <c r="B12172" s="35" t="s">
        <v>2214</v>
      </c>
      <c r="C12172" s="35" t="s">
        <v>2299</v>
      </c>
      <c r="D12172" s="35" t="s">
        <v>2226</v>
      </c>
      <c r="E12172" s="35" t="s">
        <v>2867</v>
      </c>
      <c r="F12172" s="35" t="s">
        <v>2823</v>
      </c>
    </row>
    <row r="12173" spans="1:7">
      <c r="A12173" s="34">
        <v>2084018233</v>
      </c>
      <c r="B12173" s="35" t="s">
        <v>2214</v>
      </c>
      <c r="C12173" s="35" t="s">
        <v>2299</v>
      </c>
      <c r="D12173" s="35" t="s">
        <v>2226</v>
      </c>
      <c r="E12173" s="35" t="s">
        <v>2867</v>
      </c>
      <c r="F12173" s="35" t="s">
        <v>2824</v>
      </c>
    </row>
    <row r="12174" spans="1:7">
      <c r="A12174" s="34">
        <v>2084018230</v>
      </c>
      <c r="B12174" s="35" t="s">
        <v>2214</v>
      </c>
      <c r="C12174" s="35" t="s">
        <v>2299</v>
      </c>
      <c r="D12174" s="35" t="s">
        <v>2226</v>
      </c>
      <c r="E12174" s="35" t="s">
        <v>2867</v>
      </c>
      <c r="F12174" s="35" t="s">
        <v>2826</v>
      </c>
    </row>
    <row r="12175" spans="1:7">
      <c r="A12175" s="34">
        <v>2084018246</v>
      </c>
      <c r="B12175" s="35" t="s">
        <v>2214</v>
      </c>
      <c r="C12175" s="35" t="s">
        <v>2299</v>
      </c>
      <c r="D12175" s="35" t="s">
        <v>2226</v>
      </c>
      <c r="E12175" s="35" t="s">
        <v>2867</v>
      </c>
      <c r="F12175" s="35" t="s">
        <v>2827</v>
      </c>
    </row>
    <row r="12176" spans="1:7">
      <c r="A12176" s="34">
        <v>2084019059</v>
      </c>
      <c r="B12176" s="35" t="s">
        <v>2214</v>
      </c>
      <c r="C12176" s="35" t="s">
        <v>2299</v>
      </c>
      <c r="D12176" s="35" t="s">
        <v>2226</v>
      </c>
      <c r="E12176" s="35" t="s">
        <v>2867</v>
      </c>
      <c r="F12176" s="35" t="s">
        <v>429</v>
      </c>
    </row>
    <row r="12177" spans="1:7">
      <c r="A12177" s="34">
        <v>2084005381</v>
      </c>
      <c r="B12177" s="35" t="s">
        <v>2214</v>
      </c>
      <c r="C12177" s="35" t="s">
        <v>2299</v>
      </c>
      <c r="D12177" s="35" t="s">
        <v>2226</v>
      </c>
      <c r="E12177" s="35" t="s">
        <v>2868</v>
      </c>
      <c r="F12177" s="35" t="s">
        <v>2301</v>
      </c>
    </row>
    <row r="12178" spans="1:7">
      <c r="A12178" s="34">
        <v>2084005373</v>
      </c>
      <c r="B12178" s="35" t="s">
        <v>2214</v>
      </c>
      <c r="C12178" s="35" t="s">
        <v>2299</v>
      </c>
      <c r="D12178" s="35" t="s">
        <v>2226</v>
      </c>
      <c r="E12178" s="35" t="s">
        <v>2868</v>
      </c>
      <c r="F12178" s="35" t="s">
        <v>2788</v>
      </c>
    </row>
    <row r="12179" spans="1:7">
      <c r="A12179" s="34">
        <v>2084042524</v>
      </c>
      <c r="B12179" s="35" t="s">
        <v>2214</v>
      </c>
      <c r="C12179" s="35" t="s">
        <v>2299</v>
      </c>
      <c r="D12179" s="35" t="s">
        <v>2226</v>
      </c>
      <c r="E12179" s="35" t="s">
        <v>2868</v>
      </c>
      <c r="F12179" s="35" t="s">
        <v>2793</v>
      </c>
      <c r="G12179" s="35" t="s">
        <v>429</v>
      </c>
    </row>
    <row r="12180" spans="1:7">
      <c r="A12180" s="34">
        <v>2084018195</v>
      </c>
      <c r="B12180" s="35" t="s">
        <v>2214</v>
      </c>
      <c r="C12180" s="35" t="s">
        <v>2299</v>
      </c>
      <c r="D12180" s="35" t="s">
        <v>2226</v>
      </c>
      <c r="E12180" s="35" t="s">
        <v>2868</v>
      </c>
      <c r="F12180" s="35" t="s">
        <v>2793</v>
      </c>
      <c r="G12180" s="35" t="s">
        <v>2794</v>
      </c>
    </row>
    <row r="12181" spans="1:7">
      <c r="A12181" s="34">
        <v>2084042522</v>
      </c>
      <c r="B12181" s="35" t="s">
        <v>2214</v>
      </c>
      <c r="C12181" s="35" t="s">
        <v>2299</v>
      </c>
      <c r="D12181" s="35" t="s">
        <v>2226</v>
      </c>
      <c r="E12181" s="35" t="s">
        <v>2868</v>
      </c>
      <c r="F12181" s="35" t="s">
        <v>2793</v>
      </c>
      <c r="G12181" s="35" t="s">
        <v>2795</v>
      </c>
    </row>
    <row r="12182" spans="1:7">
      <c r="A12182" s="34">
        <v>2084018196</v>
      </c>
      <c r="B12182" s="35" t="s">
        <v>2214</v>
      </c>
      <c r="C12182" s="35" t="s">
        <v>2299</v>
      </c>
      <c r="D12182" s="35" t="s">
        <v>2226</v>
      </c>
      <c r="E12182" s="35" t="s">
        <v>2868</v>
      </c>
      <c r="F12182" s="35" t="s">
        <v>2793</v>
      </c>
      <c r="G12182" s="35" t="s">
        <v>2796</v>
      </c>
    </row>
    <row r="12183" spans="1:7">
      <c r="A12183" s="34">
        <v>2084018197</v>
      </c>
      <c r="B12183" s="35" t="s">
        <v>2214</v>
      </c>
      <c r="C12183" s="35" t="s">
        <v>2299</v>
      </c>
      <c r="D12183" s="35" t="s">
        <v>2226</v>
      </c>
      <c r="E12183" s="35" t="s">
        <v>2868</v>
      </c>
      <c r="F12183" s="35" t="s">
        <v>2793</v>
      </c>
      <c r="G12183" s="35" t="s">
        <v>2797</v>
      </c>
    </row>
    <row r="12184" spans="1:7">
      <c r="A12184" s="34">
        <v>2084018198</v>
      </c>
      <c r="B12184" s="35" t="s">
        <v>2214</v>
      </c>
      <c r="C12184" s="35" t="s">
        <v>2299</v>
      </c>
      <c r="D12184" s="35" t="s">
        <v>2226</v>
      </c>
      <c r="E12184" s="35" t="s">
        <v>2868</v>
      </c>
      <c r="F12184" s="35" t="s">
        <v>2793</v>
      </c>
      <c r="G12184" s="35" t="s">
        <v>2798</v>
      </c>
    </row>
    <row r="12185" spans="1:7">
      <c r="A12185" s="34">
        <v>2084018199</v>
      </c>
      <c r="B12185" s="35" t="s">
        <v>2214</v>
      </c>
      <c r="C12185" s="35" t="s">
        <v>2299</v>
      </c>
      <c r="D12185" s="35" t="s">
        <v>2226</v>
      </c>
      <c r="E12185" s="35" t="s">
        <v>2868</v>
      </c>
      <c r="F12185" s="35" t="s">
        <v>2793</v>
      </c>
      <c r="G12185" s="35" t="s">
        <v>2799</v>
      </c>
    </row>
    <row r="12186" spans="1:7">
      <c r="A12186" s="34">
        <v>2084052373</v>
      </c>
      <c r="B12186" s="35" t="s">
        <v>2214</v>
      </c>
      <c r="C12186" s="35" t="s">
        <v>2299</v>
      </c>
      <c r="D12186" s="35" t="s">
        <v>2226</v>
      </c>
      <c r="E12186" s="35" t="s">
        <v>2868</v>
      </c>
      <c r="F12186" s="35" t="s">
        <v>2793</v>
      </c>
      <c r="G12186" s="35" t="s">
        <v>2800</v>
      </c>
    </row>
    <row r="12187" spans="1:7">
      <c r="A12187" s="34">
        <v>2084018200</v>
      </c>
      <c r="B12187" s="35" t="s">
        <v>2214</v>
      </c>
      <c r="C12187" s="35" t="s">
        <v>2299</v>
      </c>
      <c r="D12187" s="35" t="s">
        <v>2226</v>
      </c>
      <c r="E12187" s="35" t="s">
        <v>2868</v>
      </c>
      <c r="F12187" s="35" t="s">
        <v>2793</v>
      </c>
      <c r="G12187" s="35" t="s">
        <v>2801</v>
      </c>
    </row>
    <row r="12188" spans="1:7">
      <c r="A12188" s="34">
        <v>2084018201</v>
      </c>
      <c r="B12188" s="35" t="s">
        <v>2214</v>
      </c>
      <c r="C12188" s="35" t="s">
        <v>2299</v>
      </c>
      <c r="D12188" s="35" t="s">
        <v>2226</v>
      </c>
      <c r="E12188" s="35" t="s">
        <v>2868</v>
      </c>
      <c r="F12188" s="35" t="s">
        <v>2793</v>
      </c>
      <c r="G12188" s="35" t="s">
        <v>2802</v>
      </c>
    </row>
    <row r="12189" spans="1:7">
      <c r="A12189" s="34">
        <v>2084018204</v>
      </c>
      <c r="B12189" s="35" t="s">
        <v>2214</v>
      </c>
      <c r="C12189" s="35" t="s">
        <v>2299</v>
      </c>
      <c r="D12189" s="35" t="s">
        <v>2226</v>
      </c>
      <c r="E12189" s="35" t="s">
        <v>2868</v>
      </c>
      <c r="F12189" s="35" t="s">
        <v>2793</v>
      </c>
      <c r="G12189" s="35" t="s">
        <v>2803</v>
      </c>
    </row>
    <row r="12190" spans="1:7">
      <c r="A12190" s="34">
        <v>2084005374</v>
      </c>
      <c r="B12190" s="35" t="s">
        <v>2214</v>
      </c>
      <c r="C12190" s="35" t="s">
        <v>2299</v>
      </c>
      <c r="D12190" s="35" t="s">
        <v>2226</v>
      </c>
      <c r="E12190" s="35" t="s">
        <v>2868</v>
      </c>
      <c r="F12190" s="35" t="s">
        <v>2793</v>
      </c>
      <c r="G12190" s="35" t="s">
        <v>2804</v>
      </c>
    </row>
    <row r="12191" spans="1:7">
      <c r="A12191" s="34">
        <v>2084018207</v>
      </c>
      <c r="B12191" s="35" t="s">
        <v>2214</v>
      </c>
      <c r="C12191" s="35" t="s">
        <v>2299</v>
      </c>
      <c r="D12191" s="35" t="s">
        <v>2226</v>
      </c>
      <c r="E12191" s="35" t="s">
        <v>2868</v>
      </c>
      <c r="F12191" s="35" t="s">
        <v>2793</v>
      </c>
      <c r="G12191" s="35" t="s">
        <v>2805</v>
      </c>
    </row>
    <row r="12192" spans="1:7">
      <c r="A12192" s="34">
        <v>2084018208</v>
      </c>
      <c r="B12192" s="35" t="s">
        <v>2214</v>
      </c>
      <c r="C12192" s="35" t="s">
        <v>2299</v>
      </c>
      <c r="D12192" s="35" t="s">
        <v>2226</v>
      </c>
      <c r="E12192" s="35" t="s">
        <v>2868</v>
      </c>
      <c r="F12192" s="35" t="s">
        <v>2793</v>
      </c>
      <c r="G12192" s="35" t="s">
        <v>2806</v>
      </c>
    </row>
    <row r="12193" spans="1:7">
      <c r="A12193" s="34">
        <v>2084052374</v>
      </c>
      <c r="B12193" s="35" t="s">
        <v>2214</v>
      </c>
      <c r="C12193" s="35" t="s">
        <v>2299</v>
      </c>
      <c r="D12193" s="35" t="s">
        <v>2226</v>
      </c>
      <c r="E12193" s="35" t="s">
        <v>2868</v>
      </c>
      <c r="F12193" s="35" t="s">
        <v>2793</v>
      </c>
      <c r="G12193" s="35" t="s">
        <v>2807</v>
      </c>
    </row>
    <row r="12194" spans="1:7">
      <c r="A12194" s="34">
        <v>2084042523</v>
      </c>
      <c r="B12194" s="35" t="s">
        <v>2214</v>
      </c>
      <c r="C12194" s="35" t="s">
        <v>2299</v>
      </c>
      <c r="D12194" s="35" t="s">
        <v>2226</v>
      </c>
      <c r="E12194" s="35" t="s">
        <v>2868</v>
      </c>
      <c r="F12194" s="35" t="s">
        <v>2793</v>
      </c>
      <c r="G12194" s="35" t="s">
        <v>2808</v>
      </c>
    </row>
    <row r="12195" spans="1:7">
      <c r="A12195" s="34">
        <v>2084018211</v>
      </c>
      <c r="B12195" s="35" t="s">
        <v>2214</v>
      </c>
      <c r="C12195" s="35" t="s">
        <v>2299</v>
      </c>
      <c r="D12195" s="35" t="s">
        <v>2226</v>
      </c>
      <c r="E12195" s="35" t="s">
        <v>2868</v>
      </c>
      <c r="F12195" s="35" t="s">
        <v>2793</v>
      </c>
      <c r="G12195" s="35" t="s">
        <v>2809</v>
      </c>
    </row>
    <row r="12196" spans="1:7">
      <c r="A12196" s="34">
        <v>2084018212</v>
      </c>
      <c r="B12196" s="35" t="s">
        <v>2214</v>
      </c>
      <c r="C12196" s="35" t="s">
        <v>2299</v>
      </c>
      <c r="D12196" s="35" t="s">
        <v>2226</v>
      </c>
      <c r="E12196" s="35" t="s">
        <v>2868</v>
      </c>
      <c r="F12196" s="35" t="s">
        <v>2793</v>
      </c>
      <c r="G12196" s="35" t="s">
        <v>2810</v>
      </c>
    </row>
    <row r="12197" spans="1:7">
      <c r="A12197" s="34">
        <v>2084018213</v>
      </c>
      <c r="B12197" s="35" t="s">
        <v>2214</v>
      </c>
      <c r="C12197" s="35" t="s">
        <v>2299</v>
      </c>
      <c r="D12197" s="35" t="s">
        <v>2226</v>
      </c>
      <c r="E12197" s="35" t="s">
        <v>2868</v>
      </c>
      <c r="F12197" s="35" t="s">
        <v>2793</v>
      </c>
      <c r="G12197" s="35" t="s">
        <v>2811</v>
      </c>
    </row>
    <row r="12198" spans="1:7">
      <c r="A12198" s="34">
        <v>2084018215</v>
      </c>
      <c r="B12198" s="35" t="s">
        <v>2214</v>
      </c>
      <c r="C12198" s="35" t="s">
        <v>2299</v>
      </c>
      <c r="D12198" s="35" t="s">
        <v>2226</v>
      </c>
      <c r="E12198" s="35" t="s">
        <v>2868</v>
      </c>
      <c r="F12198" s="35" t="s">
        <v>2793</v>
      </c>
      <c r="G12198" s="35" t="s">
        <v>2812</v>
      </c>
    </row>
    <row r="12199" spans="1:7">
      <c r="A12199" s="34">
        <v>2084018217</v>
      </c>
      <c r="B12199" s="35" t="s">
        <v>2214</v>
      </c>
      <c r="C12199" s="35" t="s">
        <v>2299</v>
      </c>
      <c r="D12199" s="35" t="s">
        <v>2226</v>
      </c>
      <c r="E12199" s="35" t="s">
        <v>2868</v>
      </c>
      <c r="F12199" s="35" t="s">
        <v>2793</v>
      </c>
      <c r="G12199" s="35" t="s">
        <v>2813</v>
      </c>
    </row>
    <row r="12200" spans="1:7">
      <c r="A12200" s="34">
        <v>2084018218</v>
      </c>
      <c r="B12200" s="35" t="s">
        <v>2214</v>
      </c>
      <c r="C12200" s="35" t="s">
        <v>2299</v>
      </c>
      <c r="D12200" s="35" t="s">
        <v>2226</v>
      </c>
      <c r="E12200" s="35" t="s">
        <v>2868</v>
      </c>
      <c r="F12200" s="35" t="s">
        <v>2793</v>
      </c>
      <c r="G12200" s="35" t="s">
        <v>440</v>
      </c>
    </row>
    <row r="12201" spans="1:7">
      <c r="A12201" s="34">
        <v>2084018220</v>
      </c>
      <c r="B12201" s="35" t="s">
        <v>2214</v>
      </c>
      <c r="C12201" s="35" t="s">
        <v>2299</v>
      </c>
      <c r="D12201" s="35" t="s">
        <v>2226</v>
      </c>
      <c r="E12201" s="35" t="s">
        <v>2868</v>
      </c>
      <c r="F12201" s="35" t="s">
        <v>2793</v>
      </c>
      <c r="G12201" s="35" t="s">
        <v>2814</v>
      </c>
    </row>
    <row r="12202" spans="1:7">
      <c r="A12202" s="34">
        <v>2084018221</v>
      </c>
      <c r="B12202" s="35" t="s">
        <v>2214</v>
      </c>
      <c r="C12202" s="35" t="s">
        <v>2299</v>
      </c>
      <c r="D12202" s="35" t="s">
        <v>2226</v>
      </c>
      <c r="E12202" s="35" t="s">
        <v>2868</v>
      </c>
      <c r="F12202" s="35" t="s">
        <v>2793</v>
      </c>
      <c r="G12202" s="35" t="s">
        <v>2815</v>
      </c>
    </row>
    <row r="12203" spans="1:7">
      <c r="A12203" s="34">
        <v>2084052734</v>
      </c>
      <c r="B12203" s="35" t="s">
        <v>2214</v>
      </c>
      <c r="C12203" s="35" t="s">
        <v>2299</v>
      </c>
      <c r="D12203" s="35" t="s">
        <v>2226</v>
      </c>
      <c r="E12203" s="35" t="s">
        <v>2868</v>
      </c>
      <c r="F12203" s="35" t="s">
        <v>2816</v>
      </c>
      <c r="G12203" s="35" t="s">
        <v>2817</v>
      </c>
    </row>
    <row r="12204" spans="1:7">
      <c r="A12204" s="34">
        <v>2084052735</v>
      </c>
      <c r="B12204" s="35" t="s">
        <v>2214</v>
      </c>
      <c r="C12204" s="35" t="s">
        <v>2299</v>
      </c>
      <c r="D12204" s="35" t="s">
        <v>2226</v>
      </c>
      <c r="E12204" s="35" t="s">
        <v>2868</v>
      </c>
      <c r="F12204" s="35" t="s">
        <v>2816</v>
      </c>
      <c r="G12204" s="35" t="s">
        <v>429</v>
      </c>
    </row>
    <row r="12205" spans="1:7">
      <c r="A12205" s="34">
        <v>2084052740</v>
      </c>
      <c r="B12205" s="35" t="s">
        <v>2214</v>
      </c>
      <c r="C12205" s="35" t="s">
        <v>2299</v>
      </c>
      <c r="D12205" s="35" t="s">
        <v>2226</v>
      </c>
      <c r="E12205" s="35" t="s">
        <v>2868</v>
      </c>
      <c r="F12205" s="35" t="s">
        <v>2231</v>
      </c>
      <c r="G12205" s="35" t="s">
        <v>2818</v>
      </c>
    </row>
    <row r="12206" spans="1:7">
      <c r="A12206" s="34">
        <v>2084052741</v>
      </c>
      <c r="B12206" s="35" t="s">
        <v>2214</v>
      </c>
      <c r="C12206" s="35" t="s">
        <v>2299</v>
      </c>
      <c r="D12206" s="35" t="s">
        <v>2226</v>
      </c>
      <c r="E12206" s="35" t="s">
        <v>2868</v>
      </c>
      <c r="F12206" s="35" t="s">
        <v>2231</v>
      </c>
      <c r="G12206" s="35" t="s">
        <v>2819</v>
      </c>
    </row>
    <row r="12207" spans="1:7">
      <c r="A12207" s="34">
        <v>2084052739</v>
      </c>
      <c r="B12207" s="35" t="s">
        <v>2214</v>
      </c>
      <c r="C12207" s="35" t="s">
        <v>2299</v>
      </c>
      <c r="D12207" s="35" t="s">
        <v>2226</v>
      </c>
      <c r="E12207" s="35" t="s">
        <v>2868</v>
      </c>
      <c r="F12207" s="35" t="s">
        <v>2231</v>
      </c>
      <c r="G12207" s="35" t="s">
        <v>2820</v>
      </c>
    </row>
    <row r="12208" spans="1:7">
      <c r="A12208" s="34">
        <v>2084052742</v>
      </c>
      <c r="B12208" s="35" t="s">
        <v>2214</v>
      </c>
      <c r="C12208" s="35" t="s">
        <v>2299</v>
      </c>
      <c r="D12208" s="35" t="s">
        <v>2226</v>
      </c>
      <c r="E12208" s="35" t="s">
        <v>2868</v>
      </c>
      <c r="F12208" s="35" t="s">
        <v>2231</v>
      </c>
      <c r="G12208" s="35" t="s">
        <v>429</v>
      </c>
    </row>
    <row r="12209" spans="1:6">
      <c r="A12209" s="34">
        <v>2084005372</v>
      </c>
      <c r="B12209" s="35" t="s">
        <v>2214</v>
      </c>
      <c r="C12209" s="35" t="s">
        <v>2299</v>
      </c>
      <c r="D12209" s="35" t="s">
        <v>2226</v>
      </c>
      <c r="E12209" s="35" t="s">
        <v>2868</v>
      </c>
      <c r="F12209" s="35" t="s">
        <v>2259</v>
      </c>
    </row>
    <row r="12210" spans="1:6">
      <c r="A12210" s="34">
        <v>2084019056</v>
      </c>
      <c r="B12210" s="35" t="s">
        <v>2214</v>
      </c>
      <c r="C12210" s="35" t="s">
        <v>2299</v>
      </c>
      <c r="D12210" s="35" t="s">
        <v>2226</v>
      </c>
      <c r="E12210" s="35" t="s">
        <v>2868</v>
      </c>
      <c r="F12210" s="35" t="s">
        <v>2821</v>
      </c>
    </row>
    <row r="12211" spans="1:6">
      <c r="A12211" s="34">
        <v>2084005375</v>
      </c>
      <c r="B12211" s="35" t="s">
        <v>2214</v>
      </c>
      <c r="C12211" s="35" t="s">
        <v>2299</v>
      </c>
      <c r="D12211" s="35" t="s">
        <v>2226</v>
      </c>
      <c r="E12211" s="35" t="s">
        <v>2868</v>
      </c>
      <c r="F12211" s="35" t="s">
        <v>2822</v>
      </c>
    </row>
    <row r="12212" spans="1:6">
      <c r="A12212" s="34">
        <v>2084018216</v>
      </c>
      <c r="B12212" s="35" t="s">
        <v>2214</v>
      </c>
      <c r="C12212" s="35" t="s">
        <v>2299</v>
      </c>
      <c r="D12212" s="35" t="s">
        <v>2226</v>
      </c>
      <c r="E12212" s="35" t="s">
        <v>2868</v>
      </c>
      <c r="F12212" s="35" t="s">
        <v>2823</v>
      </c>
    </row>
    <row r="12213" spans="1:6">
      <c r="A12213" s="34">
        <v>2084062069</v>
      </c>
      <c r="B12213" s="35" t="s">
        <v>2214</v>
      </c>
      <c r="C12213" s="35" t="s">
        <v>2299</v>
      </c>
      <c r="D12213" s="35" t="s">
        <v>2226</v>
      </c>
      <c r="E12213" s="35" t="s">
        <v>2868</v>
      </c>
      <c r="F12213" s="35" t="s">
        <v>2869</v>
      </c>
    </row>
    <row r="12214" spans="1:6">
      <c r="A12214" s="34">
        <v>2084018206</v>
      </c>
      <c r="B12214" s="35" t="s">
        <v>2214</v>
      </c>
      <c r="C12214" s="35" t="s">
        <v>2299</v>
      </c>
      <c r="D12214" s="35" t="s">
        <v>2226</v>
      </c>
      <c r="E12214" s="35" t="s">
        <v>2868</v>
      </c>
      <c r="F12214" s="35" t="s">
        <v>2824</v>
      </c>
    </row>
    <row r="12215" spans="1:6">
      <c r="A12215" s="34">
        <v>2084018203</v>
      </c>
      <c r="B12215" s="35" t="s">
        <v>2214</v>
      </c>
      <c r="C12215" s="35" t="s">
        <v>2299</v>
      </c>
      <c r="D12215" s="35" t="s">
        <v>2226</v>
      </c>
      <c r="E12215" s="35" t="s">
        <v>2868</v>
      </c>
      <c r="F12215" s="35" t="s">
        <v>2826</v>
      </c>
    </row>
    <row r="12216" spans="1:6">
      <c r="A12216" s="34">
        <v>2084018219</v>
      </c>
      <c r="B12216" s="35" t="s">
        <v>2214</v>
      </c>
      <c r="C12216" s="35" t="s">
        <v>2299</v>
      </c>
      <c r="D12216" s="35" t="s">
        <v>2226</v>
      </c>
      <c r="E12216" s="35" t="s">
        <v>2868</v>
      </c>
      <c r="F12216" s="35" t="s">
        <v>2827</v>
      </c>
    </row>
    <row r="12217" spans="1:6">
      <c r="A12217" s="34">
        <v>2084005443</v>
      </c>
      <c r="B12217" s="35" t="s">
        <v>2214</v>
      </c>
      <c r="C12217" s="35" t="s">
        <v>2299</v>
      </c>
      <c r="D12217" s="35" t="s">
        <v>2226</v>
      </c>
      <c r="E12217" s="35" t="s">
        <v>2868</v>
      </c>
      <c r="F12217" s="35" t="s">
        <v>429</v>
      </c>
    </row>
    <row r="12218" spans="1:6">
      <c r="A12218" s="34">
        <v>2084005368</v>
      </c>
      <c r="B12218" s="35" t="s">
        <v>2214</v>
      </c>
      <c r="C12218" s="35" t="s">
        <v>2299</v>
      </c>
      <c r="D12218" s="35" t="s">
        <v>2226</v>
      </c>
      <c r="E12218" s="35" t="s">
        <v>429</v>
      </c>
    </row>
    <row r="12219" spans="1:6">
      <c r="A12219" s="34">
        <v>2084062564</v>
      </c>
      <c r="B12219" s="35" t="s">
        <v>2214</v>
      </c>
      <c r="C12219" s="35" t="s">
        <v>2299</v>
      </c>
      <c r="D12219" s="35" t="s">
        <v>2870</v>
      </c>
      <c r="E12219" s="35" t="s">
        <v>2788</v>
      </c>
    </row>
    <row r="12220" spans="1:6">
      <c r="A12220" s="34">
        <v>2084062554</v>
      </c>
      <c r="B12220" s="35" t="s">
        <v>2214</v>
      </c>
      <c r="C12220" s="35" t="s">
        <v>2299</v>
      </c>
      <c r="D12220" s="35" t="s">
        <v>2870</v>
      </c>
      <c r="E12220" s="35" t="s">
        <v>2793</v>
      </c>
    </row>
    <row r="12221" spans="1:6">
      <c r="A12221" s="34">
        <v>2084062555</v>
      </c>
      <c r="B12221" s="35" t="s">
        <v>2214</v>
      </c>
      <c r="C12221" s="35" t="s">
        <v>2299</v>
      </c>
      <c r="D12221" s="35" t="s">
        <v>2870</v>
      </c>
      <c r="E12221" s="35" t="s">
        <v>2816</v>
      </c>
    </row>
    <row r="12222" spans="1:6">
      <c r="A12222" s="34">
        <v>2084062558</v>
      </c>
      <c r="B12222" s="35" t="s">
        <v>2214</v>
      </c>
      <c r="C12222" s="35" t="s">
        <v>2299</v>
      </c>
      <c r="D12222" s="35" t="s">
        <v>2870</v>
      </c>
      <c r="E12222" s="35" t="s">
        <v>2231</v>
      </c>
      <c r="F12222" s="35" t="s">
        <v>2818</v>
      </c>
    </row>
    <row r="12223" spans="1:6">
      <c r="A12223" s="34">
        <v>2084062559</v>
      </c>
      <c r="B12223" s="35" t="s">
        <v>2214</v>
      </c>
      <c r="C12223" s="35" t="s">
        <v>2299</v>
      </c>
      <c r="D12223" s="35" t="s">
        <v>2870</v>
      </c>
      <c r="E12223" s="35" t="s">
        <v>2231</v>
      </c>
      <c r="F12223" s="35" t="s">
        <v>2820</v>
      </c>
    </row>
    <row r="12224" spans="1:6">
      <c r="A12224" s="34">
        <v>2084062560</v>
      </c>
      <c r="B12224" s="35" t="s">
        <v>2214</v>
      </c>
      <c r="C12224" s="35" t="s">
        <v>2299</v>
      </c>
      <c r="D12224" s="35" t="s">
        <v>2870</v>
      </c>
      <c r="E12224" s="35" t="s">
        <v>2231</v>
      </c>
      <c r="F12224" s="35" t="s">
        <v>429</v>
      </c>
    </row>
    <row r="12225" spans="1:5">
      <c r="A12225" s="34">
        <v>2084062561</v>
      </c>
      <c r="B12225" s="35" t="s">
        <v>2214</v>
      </c>
      <c r="C12225" s="35" t="s">
        <v>2299</v>
      </c>
      <c r="D12225" s="35" t="s">
        <v>2870</v>
      </c>
      <c r="E12225" s="35" t="s">
        <v>2259</v>
      </c>
    </row>
    <row r="12226" spans="1:5">
      <c r="A12226" s="34">
        <v>2084062563</v>
      </c>
      <c r="B12226" s="35" t="s">
        <v>2214</v>
      </c>
      <c r="C12226" s="35" t="s">
        <v>2299</v>
      </c>
      <c r="D12226" s="35" t="s">
        <v>2870</v>
      </c>
      <c r="E12226" s="35" t="s">
        <v>2821</v>
      </c>
    </row>
    <row r="12227" spans="1:5">
      <c r="A12227" s="34">
        <v>2084062562</v>
      </c>
      <c r="B12227" s="35" t="s">
        <v>2214</v>
      </c>
      <c r="C12227" s="35" t="s">
        <v>2299</v>
      </c>
      <c r="D12227" s="35" t="s">
        <v>2870</v>
      </c>
      <c r="E12227" s="35" t="s">
        <v>2822</v>
      </c>
    </row>
    <row r="12228" spans="1:5">
      <c r="A12228" s="34">
        <v>2084062556</v>
      </c>
      <c r="B12228" s="35" t="s">
        <v>2214</v>
      </c>
      <c r="C12228" s="35" t="s">
        <v>2299</v>
      </c>
      <c r="D12228" s="35" t="s">
        <v>2870</v>
      </c>
      <c r="E12228" s="35" t="s">
        <v>2824</v>
      </c>
    </row>
    <row r="12229" spans="1:5">
      <c r="A12229" s="34">
        <v>2084062565</v>
      </c>
      <c r="B12229" s="35" t="s">
        <v>2214</v>
      </c>
      <c r="C12229" s="35" t="s">
        <v>2299</v>
      </c>
      <c r="D12229" s="35" t="s">
        <v>2870</v>
      </c>
      <c r="E12229" s="35" t="s">
        <v>2826</v>
      </c>
    </row>
    <row r="12230" spans="1:5">
      <c r="A12230" s="34">
        <v>2084062566</v>
      </c>
      <c r="B12230" s="35" t="s">
        <v>2214</v>
      </c>
      <c r="C12230" s="35" t="s">
        <v>2299</v>
      </c>
      <c r="D12230" s="35" t="s">
        <v>2870</v>
      </c>
      <c r="E12230" s="35" t="s">
        <v>429</v>
      </c>
    </row>
    <row r="12231" spans="1:5">
      <c r="A12231" s="34">
        <v>2084049301</v>
      </c>
      <c r="B12231" s="35" t="s">
        <v>2214</v>
      </c>
      <c r="C12231" s="35" t="s">
        <v>2299</v>
      </c>
      <c r="D12231" s="35" t="s">
        <v>2871</v>
      </c>
      <c r="E12231" s="35" t="s">
        <v>2794</v>
      </c>
    </row>
    <row r="12232" spans="1:5">
      <c r="A12232" s="34">
        <v>2084049302</v>
      </c>
      <c r="B12232" s="35" t="s">
        <v>2214</v>
      </c>
      <c r="C12232" s="35" t="s">
        <v>2299</v>
      </c>
      <c r="D12232" s="35" t="s">
        <v>2871</v>
      </c>
      <c r="E12232" s="35" t="s">
        <v>2795</v>
      </c>
    </row>
    <row r="12233" spans="1:5">
      <c r="A12233" s="34">
        <v>2084049303</v>
      </c>
      <c r="B12233" s="35" t="s">
        <v>2214</v>
      </c>
      <c r="C12233" s="35" t="s">
        <v>2299</v>
      </c>
      <c r="D12233" s="35" t="s">
        <v>2871</v>
      </c>
      <c r="E12233" s="35" t="s">
        <v>2796</v>
      </c>
    </row>
    <row r="12234" spans="1:5">
      <c r="A12234" s="34">
        <v>2084049304</v>
      </c>
      <c r="B12234" s="35" t="s">
        <v>2214</v>
      </c>
      <c r="C12234" s="35" t="s">
        <v>2299</v>
      </c>
      <c r="D12234" s="35" t="s">
        <v>2871</v>
      </c>
      <c r="E12234" s="35" t="s">
        <v>2797</v>
      </c>
    </row>
    <row r="12235" spans="1:5">
      <c r="A12235" s="34">
        <v>2084049305</v>
      </c>
      <c r="B12235" s="35" t="s">
        <v>2214</v>
      </c>
      <c r="C12235" s="35" t="s">
        <v>2299</v>
      </c>
      <c r="D12235" s="35" t="s">
        <v>2871</v>
      </c>
      <c r="E12235" s="35" t="s">
        <v>2798</v>
      </c>
    </row>
    <row r="12236" spans="1:5">
      <c r="A12236" s="34">
        <v>2084049306</v>
      </c>
      <c r="B12236" s="35" t="s">
        <v>2214</v>
      </c>
      <c r="C12236" s="35" t="s">
        <v>2299</v>
      </c>
      <c r="D12236" s="35" t="s">
        <v>2871</v>
      </c>
      <c r="E12236" s="35" t="s">
        <v>2799</v>
      </c>
    </row>
    <row r="12237" spans="1:5">
      <c r="A12237" s="34">
        <v>2084052375</v>
      </c>
      <c r="B12237" s="35" t="s">
        <v>2214</v>
      </c>
      <c r="C12237" s="35" t="s">
        <v>2299</v>
      </c>
      <c r="D12237" s="35" t="s">
        <v>2871</v>
      </c>
      <c r="E12237" s="35" t="s">
        <v>2800</v>
      </c>
    </row>
    <row r="12238" spans="1:5">
      <c r="A12238" s="34">
        <v>2084049307</v>
      </c>
      <c r="B12238" s="35" t="s">
        <v>2214</v>
      </c>
      <c r="C12238" s="35" t="s">
        <v>2299</v>
      </c>
      <c r="D12238" s="35" t="s">
        <v>2871</v>
      </c>
      <c r="E12238" s="35" t="s">
        <v>2801</v>
      </c>
    </row>
    <row r="12239" spans="1:5">
      <c r="A12239" s="34">
        <v>2084049308</v>
      </c>
      <c r="B12239" s="35" t="s">
        <v>2214</v>
      </c>
      <c r="C12239" s="35" t="s">
        <v>2299</v>
      </c>
      <c r="D12239" s="35" t="s">
        <v>2871</v>
      </c>
      <c r="E12239" s="35" t="s">
        <v>2802</v>
      </c>
    </row>
    <row r="12240" spans="1:5">
      <c r="A12240" s="34">
        <v>2084049309</v>
      </c>
      <c r="B12240" s="35" t="s">
        <v>2214</v>
      </c>
      <c r="C12240" s="35" t="s">
        <v>2299</v>
      </c>
      <c r="D12240" s="35" t="s">
        <v>2871</v>
      </c>
      <c r="E12240" s="35" t="s">
        <v>2803</v>
      </c>
    </row>
    <row r="12241" spans="1:5">
      <c r="A12241" s="34">
        <v>2084049310</v>
      </c>
      <c r="B12241" s="35" t="s">
        <v>2214</v>
      </c>
      <c r="C12241" s="35" t="s">
        <v>2299</v>
      </c>
      <c r="D12241" s="35" t="s">
        <v>2871</v>
      </c>
      <c r="E12241" s="35" t="s">
        <v>2804</v>
      </c>
    </row>
    <row r="12242" spans="1:5">
      <c r="A12242" s="34">
        <v>2084049311</v>
      </c>
      <c r="B12242" s="35" t="s">
        <v>2214</v>
      </c>
      <c r="C12242" s="35" t="s">
        <v>2299</v>
      </c>
      <c r="D12242" s="35" t="s">
        <v>2871</v>
      </c>
      <c r="E12242" s="35" t="s">
        <v>2805</v>
      </c>
    </row>
    <row r="12243" spans="1:5">
      <c r="A12243" s="34">
        <v>2084049312</v>
      </c>
      <c r="B12243" s="35" t="s">
        <v>2214</v>
      </c>
      <c r="C12243" s="35" t="s">
        <v>2299</v>
      </c>
      <c r="D12243" s="35" t="s">
        <v>2871</v>
      </c>
      <c r="E12243" s="35" t="s">
        <v>2806</v>
      </c>
    </row>
    <row r="12244" spans="1:5">
      <c r="A12244" s="34">
        <v>2084050465</v>
      </c>
      <c r="B12244" s="35" t="s">
        <v>2214</v>
      </c>
      <c r="C12244" s="35" t="s">
        <v>2299</v>
      </c>
      <c r="D12244" s="35" t="s">
        <v>2871</v>
      </c>
      <c r="E12244" s="35" t="s">
        <v>2872</v>
      </c>
    </row>
    <row r="12245" spans="1:5">
      <c r="A12245" s="34">
        <v>2084052376</v>
      </c>
      <c r="B12245" s="35" t="s">
        <v>2214</v>
      </c>
      <c r="C12245" s="35" t="s">
        <v>2299</v>
      </c>
      <c r="D12245" s="35" t="s">
        <v>2871</v>
      </c>
      <c r="E12245" s="35" t="s">
        <v>2807</v>
      </c>
    </row>
    <row r="12246" spans="1:5">
      <c r="A12246" s="34">
        <v>2084050466</v>
      </c>
      <c r="B12246" s="35" t="s">
        <v>2214</v>
      </c>
      <c r="C12246" s="35" t="s">
        <v>2299</v>
      </c>
      <c r="D12246" s="35" t="s">
        <v>2871</v>
      </c>
      <c r="E12246" s="35" t="s">
        <v>2873</v>
      </c>
    </row>
    <row r="12247" spans="1:5">
      <c r="A12247" s="34">
        <v>2084049313</v>
      </c>
      <c r="B12247" s="35" t="s">
        <v>2214</v>
      </c>
      <c r="C12247" s="35" t="s">
        <v>2299</v>
      </c>
      <c r="D12247" s="35" t="s">
        <v>2871</v>
      </c>
      <c r="E12247" s="35" t="s">
        <v>2808</v>
      </c>
    </row>
    <row r="12248" spans="1:5">
      <c r="A12248" s="34">
        <v>2084049300</v>
      </c>
      <c r="B12248" s="35" t="s">
        <v>2214</v>
      </c>
      <c r="C12248" s="35" t="s">
        <v>2299</v>
      </c>
      <c r="D12248" s="35" t="s">
        <v>2871</v>
      </c>
      <c r="E12248" s="35" t="s">
        <v>2301</v>
      </c>
    </row>
    <row r="12249" spans="1:5">
      <c r="A12249" s="34">
        <v>2084049314</v>
      </c>
      <c r="B12249" s="35" t="s">
        <v>2214</v>
      </c>
      <c r="C12249" s="35" t="s">
        <v>2299</v>
      </c>
      <c r="D12249" s="35" t="s">
        <v>2871</v>
      </c>
      <c r="E12249" s="35" t="s">
        <v>2809</v>
      </c>
    </row>
    <row r="12250" spans="1:5">
      <c r="A12250" s="34">
        <v>2084049315</v>
      </c>
      <c r="B12250" s="35" t="s">
        <v>2214</v>
      </c>
      <c r="C12250" s="35" t="s">
        <v>2299</v>
      </c>
      <c r="D12250" s="35" t="s">
        <v>2871</v>
      </c>
      <c r="E12250" s="35" t="s">
        <v>2810</v>
      </c>
    </row>
    <row r="12251" spans="1:5">
      <c r="A12251" s="34">
        <v>2084049316</v>
      </c>
      <c r="B12251" s="35" t="s">
        <v>2214</v>
      </c>
      <c r="C12251" s="35" t="s">
        <v>2299</v>
      </c>
      <c r="D12251" s="35" t="s">
        <v>2871</v>
      </c>
      <c r="E12251" s="35" t="s">
        <v>2811</v>
      </c>
    </row>
    <row r="12252" spans="1:5">
      <c r="A12252" s="34">
        <v>2084049317</v>
      </c>
      <c r="B12252" s="35" t="s">
        <v>2214</v>
      </c>
      <c r="C12252" s="35" t="s">
        <v>2299</v>
      </c>
      <c r="D12252" s="35" t="s">
        <v>2871</v>
      </c>
      <c r="E12252" s="35" t="s">
        <v>2812</v>
      </c>
    </row>
    <row r="12253" spans="1:5">
      <c r="A12253" s="34">
        <v>2084049318</v>
      </c>
      <c r="B12253" s="35" t="s">
        <v>2214</v>
      </c>
      <c r="C12253" s="35" t="s">
        <v>2299</v>
      </c>
      <c r="D12253" s="35" t="s">
        <v>2871</v>
      </c>
      <c r="E12253" s="35" t="s">
        <v>2813</v>
      </c>
    </row>
    <row r="12254" spans="1:5">
      <c r="A12254" s="34">
        <v>2084049319</v>
      </c>
      <c r="B12254" s="35" t="s">
        <v>2214</v>
      </c>
      <c r="C12254" s="35" t="s">
        <v>2299</v>
      </c>
      <c r="D12254" s="35" t="s">
        <v>2871</v>
      </c>
      <c r="E12254" s="35" t="s">
        <v>440</v>
      </c>
    </row>
    <row r="12255" spans="1:5">
      <c r="A12255" s="34">
        <v>2084049320</v>
      </c>
      <c r="B12255" s="35" t="s">
        <v>2214</v>
      </c>
      <c r="C12255" s="35" t="s">
        <v>2299</v>
      </c>
      <c r="D12255" s="35" t="s">
        <v>2871</v>
      </c>
      <c r="E12255" s="35" t="s">
        <v>2814</v>
      </c>
    </row>
    <row r="12256" spans="1:5">
      <c r="A12256" s="34">
        <v>2084049323</v>
      </c>
      <c r="B12256" s="35" t="s">
        <v>2214</v>
      </c>
      <c r="C12256" s="35" t="s">
        <v>2299</v>
      </c>
      <c r="D12256" s="35" t="s">
        <v>2871</v>
      </c>
      <c r="E12256" s="35" t="s">
        <v>2815</v>
      </c>
    </row>
    <row r="12257" spans="1:6">
      <c r="A12257" s="34">
        <v>2084049299</v>
      </c>
      <c r="B12257" s="35" t="s">
        <v>2214</v>
      </c>
      <c r="C12257" s="35" t="s">
        <v>2299</v>
      </c>
      <c r="D12257" s="35" t="s">
        <v>2871</v>
      </c>
      <c r="E12257" s="35" t="s">
        <v>2788</v>
      </c>
    </row>
    <row r="12258" spans="1:6">
      <c r="A12258" s="34">
        <v>2084052762</v>
      </c>
      <c r="B12258" s="35" t="s">
        <v>2214</v>
      </c>
      <c r="C12258" s="35" t="s">
        <v>2299</v>
      </c>
      <c r="D12258" s="35" t="s">
        <v>2871</v>
      </c>
      <c r="E12258" s="35" t="s">
        <v>2816</v>
      </c>
      <c r="F12258" s="35" t="s">
        <v>2817</v>
      </c>
    </row>
    <row r="12259" spans="1:6">
      <c r="A12259" s="34">
        <v>2084052763</v>
      </c>
      <c r="B12259" s="35" t="s">
        <v>2214</v>
      </c>
      <c r="C12259" s="35" t="s">
        <v>2299</v>
      </c>
      <c r="D12259" s="35" t="s">
        <v>2871</v>
      </c>
      <c r="E12259" s="35" t="s">
        <v>2816</v>
      </c>
      <c r="F12259" s="35" t="s">
        <v>429</v>
      </c>
    </row>
    <row r="12260" spans="1:6">
      <c r="A12260" s="34">
        <v>2084049322</v>
      </c>
      <c r="B12260" s="35" t="s">
        <v>2214</v>
      </c>
      <c r="C12260" s="35" t="s">
        <v>2299</v>
      </c>
      <c r="D12260" s="35" t="s">
        <v>2871</v>
      </c>
      <c r="E12260" s="35" t="s">
        <v>429</v>
      </c>
    </row>
    <row r="12261" spans="1:6">
      <c r="A12261" s="34">
        <v>2084018264</v>
      </c>
      <c r="B12261" s="35" t="s">
        <v>2214</v>
      </c>
      <c r="C12261" s="35" t="s">
        <v>2299</v>
      </c>
      <c r="D12261" s="35" t="s">
        <v>2874</v>
      </c>
      <c r="E12261" s="35" t="s">
        <v>2301</v>
      </c>
    </row>
    <row r="12262" spans="1:6">
      <c r="A12262" s="34">
        <v>2084042527</v>
      </c>
      <c r="B12262" s="35" t="s">
        <v>2214</v>
      </c>
      <c r="C12262" s="35" t="s">
        <v>2299</v>
      </c>
      <c r="D12262" s="35" t="s">
        <v>2874</v>
      </c>
      <c r="E12262" s="35" t="s">
        <v>2793</v>
      </c>
      <c r="F12262" s="35" t="s">
        <v>429</v>
      </c>
    </row>
    <row r="12263" spans="1:6">
      <c r="A12263" s="34">
        <v>2084018249</v>
      </c>
      <c r="B12263" s="35" t="s">
        <v>2214</v>
      </c>
      <c r="C12263" s="35" t="s">
        <v>2299</v>
      </c>
      <c r="D12263" s="35" t="s">
        <v>2874</v>
      </c>
      <c r="E12263" s="35" t="s">
        <v>2793</v>
      </c>
      <c r="F12263" s="35" t="s">
        <v>2794</v>
      </c>
    </row>
    <row r="12264" spans="1:6">
      <c r="A12264" s="34">
        <v>2084042525</v>
      </c>
      <c r="B12264" s="35" t="s">
        <v>2214</v>
      </c>
      <c r="C12264" s="35" t="s">
        <v>2299</v>
      </c>
      <c r="D12264" s="35" t="s">
        <v>2874</v>
      </c>
      <c r="E12264" s="35" t="s">
        <v>2793</v>
      </c>
      <c r="F12264" s="35" t="s">
        <v>2795</v>
      </c>
    </row>
    <row r="12265" spans="1:6">
      <c r="A12265" s="34">
        <v>2084018250</v>
      </c>
      <c r="B12265" s="35" t="s">
        <v>2214</v>
      </c>
      <c r="C12265" s="35" t="s">
        <v>2299</v>
      </c>
      <c r="D12265" s="35" t="s">
        <v>2874</v>
      </c>
      <c r="E12265" s="35" t="s">
        <v>2793</v>
      </c>
      <c r="F12265" s="35" t="s">
        <v>2796</v>
      </c>
    </row>
    <row r="12266" spans="1:6">
      <c r="A12266" s="34">
        <v>2084018251</v>
      </c>
      <c r="B12266" s="35" t="s">
        <v>2214</v>
      </c>
      <c r="C12266" s="35" t="s">
        <v>2299</v>
      </c>
      <c r="D12266" s="35" t="s">
        <v>2874</v>
      </c>
      <c r="E12266" s="35" t="s">
        <v>2793</v>
      </c>
      <c r="F12266" s="35" t="s">
        <v>2797</v>
      </c>
    </row>
    <row r="12267" spans="1:6">
      <c r="A12267" s="34">
        <v>2084018252</v>
      </c>
      <c r="B12267" s="35" t="s">
        <v>2214</v>
      </c>
      <c r="C12267" s="35" t="s">
        <v>2299</v>
      </c>
      <c r="D12267" s="35" t="s">
        <v>2874</v>
      </c>
      <c r="E12267" s="35" t="s">
        <v>2793</v>
      </c>
      <c r="F12267" s="35" t="s">
        <v>2798</v>
      </c>
    </row>
    <row r="12268" spans="1:6">
      <c r="A12268" s="34">
        <v>2084018253</v>
      </c>
      <c r="B12268" s="35" t="s">
        <v>2214</v>
      </c>
      <c r="C12268" s="35" t="s">
        <v>2299</v>
      </c>
      <c r="D12268" s="35" t="s">
        <v>2874</v>
      </c>
      <c r="E12268" s="35" t="s">
        <v>2793</v>
      </c>
      <c r="F12268" s="35" t="s">
        <v>2799</v>
      </c>
    </row>
    <row r="12269" spans="1:6">
      <c r="A12269" s="34">
        <v>2084018254</v>
      </c>
      <c r="B12269" s="35" t="s">
        <v>2214</v>
      </c>
      <c r="C12269" s="35" t="s">
        <v>2299</v>
      </c>
      <c r="D12269" s="35" t="s">
        <v>2874</v>
      </c>
      <c r="E12269" s="35" t="s">
        <v>2793</v>
      </c>
      <c r="F12269" s="35" t="s">
        <v>2801</v>
      </c>
    </row>
    <row r="12270" spans="1:6">
      <c r="A12270" s="34">
        <v>2084018255</v>
      </c>
      <c r="B12270" s="35" t="s">
        <v>2214</v>
      </c>
      <c r="C12270" s="35" t="s">
        <v>2299</v>
      </c>
      <c r="D12270" s="35" t="s">
        <v>2874</v>
      </c>
      <c r="E12270" s="35" t="s">
        <v>2793</v>
      </c>
      <c r="F12270" s="35" t="s">
        <v>2802</v>
      </c>
    </row>
    <row r="12271" spans="1:6">
      <c r="A12271" s="34">
        <v>2084018258</v>
      </c>
      <c r="B12271" s="35" t="s">
        <v>2214</v>
      </c>
      <c r="C12271" s="35" t="s">
        <v>2299</v>
      </c>
      <c r="D12271" s="35" t="s">
        <v>2874</v>
      </c>
      <c r="E12271" s="35" t="s">
        <v>2793</v>
      </c>
      <c r="F12271" s="35" t="s">
        <v>2803</v>
      </c>
    </row>
    <row r="12272" spans="1:6">
      <c r="A12272" s="34">
        <v>2084018259</v>
      </c>
      <c r="B12272" s="35" t="s">
        <v>2214</v>
      </c>
      <c r="C12272" s="35" t="s">
        <v>2299</v>
      </c>
      <c r="D12272" s="35" t="s">
        <v>2874</v>
      </c>
      <c r="E12272" s="35" t="s">
        <v>2793</v>
      </c>
      <c r="F12272" s="35" t="s">
        <v>2804</v>
      </c>
    </row>
    <row r="12273" spans="1:6">
      <c r="A12273" s="34">
        <v>2084018261</v>
      </c>
      <c r="B12273" s="35" t="s">
        <v>2214</v>
      </c>
      <c r="C12273" s="35" t="s">
        <v>2299</v>
      </c>
      <c r="D12273" s="35" t="s">
        <v>2874</v>
      </c>
      <c r="E12273" s="35" t="s">
        <v>2793</v>
      </c>
      <c r="F12273" s="35" t="s">
        <v>2805</v>
      </c>
    </row>
    <row r="12274" spans="1:6">
      <c r="A12274" s="34">
        <v>2084018262</v>
      </c>
      <c r="B12274" s="35" t="s">
        <v>2214</v>
      </c>
      <c r="C12274" s="35" t="s">
        <v>2299</v>
      </c>
      <c r="D12274" s="35" t="s">
        <v>2874</v>
      </c>
      <c r="E12274" s="35" t="s">
        <v>2793</v>
      </c>
      <c r="F12274" s="35" t="s">
        <v>2806</v>
      </c>
    </row>
    <row r="12275" spans="1:6">
      <c r="A12275" s="34">
        <v>2084042526</v>
      </c>
      <c r="B12275" s="35" t="s">
        <v>2214</v>
      </c>
      <c r="C12275" s="35" t="s">
        <v>2299</v>
      </c>
      <c r="D12275" s="35" t="s">
        <v>2874</v>
      </c>
      <c r="E12275" s="35" t="s">
        <v>2793</v>
      </c>
      <c r="F12275" s="35" t="s">
        <v>2808</v>
      </c>
    </row>
    <row r="12276" spans="1:6">
      <c r="A12276" s="34">
        <v>2084018265</v>
      </c>
      <c r="B12276" s="35" t="s">
        <v>2214</v>
      </c>
      <c r="C12276" s="35" t="s">
        <v>2299</v>
      </c>
      <c r="D12276" s="35" t="s">
        <v>2874</v>
      </c>
      <c r="E12276" s="35" t="s">
        <v>2793</v>
      </c>
      <c r="F12276" s="35" t="s">
        <v>2809</v>
      </c>
    </row>
    <row r="12277" spans="1:6">
      <c r="A12277" s="34">
        <v>2084018266</v>
      </c>
      <c r="B12277" s="35" t="s">
        <v>2214</v>
      </c>
      <c r="C12277" s="35" t="s">
        <v>2299</v>
      </c>
      <c r="D12277" s="35" t="s">
        <v>2874</v>
      </c>
      <c r="E12277" s="35" t="s">
        <v>2793</v>
      </c>
      <c r="F12277" s="35" t="s">
        <v>2810</v>
      </c>
    </row>
    <row r="12278" spans="1:6">
      <c r="A12278" s="34">
        <v>2084018267</v>
      </c>
      <c r="B12278" s="35" t="s">
        <v>2214</v>
      </c>
      <c r="C12278" s="35" t="s">
        <v>2299</v>
      </c>
      <c r="D12278" s="35" t="s">
        <v>2874</v>
      </c>
      <c r="E12278" s="35" t="s">
        <v>2793</v>
      </c>
      <c r="F12278" s="35" t="s">
        <v>2811</v>
      </c>
    </row>
    <row r="12279" spans="1:6">
      <c r="A12279" s="34">
        <v>2084018269</v>
      </c>
      <c r="B12279" s="35" t="s">
        <v>2214</v>
      </c>
      <c r="C12279" s="35" t="s">
        <v>2299</v>
      </c>
      <c r="D12279" s="35" t="s">
        <v>2874</v>
      </c>
      <c r="E12279" s="35" t="s">
        <v>2793</v>
      </c>
      <c r="F12279" s="35" t="s">
        <v>2812</v>
      </c>
    </row>
    <row r="12280" spans="1:6">
      <c r="A12280" s="34">
        <v>2084018271</v>
      </c>
      <c r="B12280" s="35" t="s">
        <v>2214</v>
      </c>
      <c r="C12280" s="35" t="s">
        <v>2299</v>
      </c>
      <c r="D12280" s="35" t="s">
        <v>2874</v>
      </c>
      <c r="E12280" s="35" t="s">
        <v>2793</v>
      </c>
      <c r="F12280" s="35" t="s">
        <v>2813</v>
      </c>
    </row>
    <row r="12281" spans="1:6">
      <c r="A12281" s="34">
        <v>2084018272</v>
      </c>
      <c r="B12281" s="35" t="s">
        <v>2214</v>
      </c>
      <c r="C12281" s="35" t="s">
        <v>2299</v>
      </c>
      <c r="D12281" s="35" t="s">
        <v>2874</v>
      </c>
      <c r="E12281" s="35" t="s">
        <v>2793</v>
      </c>
      <c r="F12281" s="35" t="s">
        <v>440</v>
      </c>
    </row>
    <row r="12282" spans="1:6">
      <c r="A12282" s="34">
        <v>2084018274</v>
      </c>
      <c r="B12282" s="35" t="s">
        <v>2214</v>
      </c>
      <c r="C12282" s="35" t="s">
        <v>2299</v>
      </c>
      <c r="D12282" s="35" t="s">
        <v>2874</v>
      </c>
      <c r="E12282" s="35" t="s">
        <v>2793</v>
      </c>
      <c r="F12282" s="35" t="s">
        <v>2814</v>
      </c>
    </row>
    <row r="12283" spans="1:6">
      <c r="A12283" s="34">
        <v>2084018275</v>
      </c>
      <c r="B12283" s="35" t="s">
        <v>2214</v>
      </c>
      <c r="C12283" s="35" t="s">
        <v>2299</v>
      </c>
      <c r="D12283" s="35" t="s">
        <v>2874</v>
      </c>
      <c r="E12283" s="35" t="s">
        <v>2793</v>
      </c>
      <c r="F12283" s="35" t="s">
        <v>2815</v>
      </c>
    </row>
    <row r="12284" spans="1:6">
      <c r="A12284" s="34">
        <v>2084052753</v>
      </c>
      <c r="B12284" s="35" t="s">
        <v>2214</v>
      </c>
      <c r="C12284" s="35" t="s">
        <v>2299</v>
      </c>
      <c r="D12284" s="35" t="s">
        <v>2874</v>
      </c>
      <c r="E12284" s="35" t="s">
        <v>2816</v>
      </c>
      <c r="F12284" s="35" t="s">
        <v>2817</v>
      </c>
    </row>
    <row r="12285" spans="1:6">
      <c r="A12285" s="34">
        <v>2084052754</v>
      </c>
      <c r="B12285" s="35" t="s">
        <v>2214</v>
      </c>
      <c r="C12285" s="35" t="s">
        <v>2299</v>
      </c>
      <c r="D12285" s="35" t="s">
        <v>2874</v>
      </c>
      <c r="E12285" s="35" t="s">
        <v>2816</v>
      </c>
      <c r="F12285" s="35" t="s">
        <v>429</v>
      </c>
    </row>
    <row r="12286" spans="1:6">
      <c r="A12286" s="34">
        <v>2084018268</v>
      </c>
      <c r="B12286" s="35" t="s">
        <v>2214</v>
      </c>
      <c r="C12286" s="35" t="s">
        <v>2299</v>
      </c>
      <c r="D12286" s="35" t="s">
        <v>2874</v>
      </c>
      <c r="E12286" s="35" t="s">
        <v>2822</v>
      </c>
    </row>
    <row r="12287" spans="1:6">
      <c r="A12287" s="34">
        <v>2084018270</v>
      </c>
      <c r="B12287" s="35" t="s">
        <v>2214</v>
      </c>
      <c r="C12287" s="35" t="s">
        <v>2299</v>
      </c>
      <c r="D12287" s="35" t="s">
        <v>2874</v>
      </c>
      <c r="E12287" s="35" t="s">
        <v>2823</v>
      </c>
    </row>
    <row r="12288" spans="1:6">
      <c r="A12288" s="34">
        <v>2084005379</v>
      </c>
      <c r="B12288" s="35" t="s">
        <v>2214</v>
      </c>
      <c r="C12288" s="35" t="s">
        <v>2299</v>
      </c>
      <c r="D12288" s="35" t="s">
        <v>2874</v>
      </c>
      <c r="E12288" s="35" t="s">
        <v>2875</v>
      </c>
    </row>
    <row r="12289" spans="1:6">
      <c r="A12289" s="34">
        <v>2084018260</v>
      </c>
      <c r="B12289" s="35" t="s">
        <v>2214</v>
      </c>
      <c r="C12289" s="35" t="s">
        <v>2299</v>
      </c>
      <c r="D12289" s="35" t="s">
        <v>2874</v>
      </c>
      <c r="E12289" s="35" t="s">
        <v>2824</v>
      </c>
    </row>
    <row r="12290" spans="1:6">
      <c r="A12290" s="34">
        <v>2084052758</v>
      </c>
      <c r="B12290" s="35" t="s">
        <v>2214</v>
      </c>
      <c r="C12290" s="35" t="s">
        <v>2299</v>
      </c>
      <c r="D12290" s="35" t="s">
        <v>2874</v>
      </c>
      <c r="E12290" s="35" t="s">
        <v>2231</v>
      </c>
      <c r="F12290" s="35" t="s">
        <v>2818</v>
      </c>
    </row>
    <row r="12291" spans="1:6">
      <c r="A12291" s="34">
        <v>2084052759</v>
      </c>
      <c r="B12291" s="35" t="s">
        <v>2214</v>
      </c>
      <c r="C12291" s="35" t="s">
        <v>2299</v>
      </c>
      <c r="D12291" s="35" t="s">
        <v>2874</v>
      </c>
      <c r="E12291" s="35" t="s">
        <v>2231</v>
      </c>
      <c r="F12291" s="35" t="s">
        <v>2819</v>
      </c>
    </row>
    <row r="12292" spans="1:6">
      <c r="A12292" s="34">
        <v>2084052757</v>
      </c>
      <c r="B12292" s="35" t="s">
        <v>2214</v>
      </c>
      <c r="C12292" s="35" t="s">
        <v>2299</v>
      </c>
      <c r="D12292" s="35" t="s">
        <v>2874</v>
      </c>
      <c r="E12292" s="35" t="s">
        <v>2231</v>
      </c>
      <c r="F12292" s="35" t="s">
        <v>2820</v>
      </c>
    </row>
    <row r="12293" spans="1:6">
      <c r="A12293" s="34">
        <v>2084052760</v>
      </c>
      <c r="B12293" s="35" t="s">
        <v>2214</v>
      </c>
      <c r="C12293" s="35" t="s">
        <v>2299</v>
      </c>
      <c r="D12293" s="35" t="s">
        <v>2874</v>
      </c>
      <c r="E12293" s="35" t="s">
        <v>2231</v>
      </c>
      <c r="F12293" s="35" t="s">
        <v>429</v>
      </c>
    </row>
    <row r="12294" spans="1:6">
      <c r="A12294" s="34">
        <v>2084005377</v>
      </c>
      <c r="B12294" s="35" t="s">
        <v>2214</v>
      </c>
      <c r="C12294" s="35" t="s">
        <v>2299</v>
      </c>
      <c r="D12294" s="35" t="s">
        <v>2874</v>
      </c>
      <c r="E12294" s="35" t="s">
        <v>2259</v>
      </c>
    </row>
    <row r="12295" spans="1:6">
      <c r="A12295" s="34">
        <v>2084019062</v>
      </c>
      <c r="B12295" s="35" t="s">
        <v>2214</v>
      </c>
      <c r="C12295" s="35" t="s">
        <v>2299</v>
      </c>
      <c r="D12295" s="35" t="s">
        <v>2874</v>
      </c>
      <c r="E12295" s="35" t="s">
        <v>2821</v>
      </c>
    </row>
    <row r="12296" spans="1:6">
      <c r="A12296" s="34">
        <v>2084005378</v>
      </c>
      <c r="B12296" s="35" t="s">
        <v>2214</v>
      </c>
      <c r="C12296" s="35" t="s">
        <v>2299</v>
      </c>
      <c r="D12296" s="35" t="s">
        <v>2874</v>
      </c>
      <c r="E12296" s="35" t="s">
        <v>2788</v>
      </c>
    </row>
    <row r="12297" spans="1:6">
      <c r="A12297" s="34">
        <v>2084018257</v>
      </c>
      <c r="B12297" s="35" t="s">
        <v>2214</v>
      </c>
      <c r="C12297" s="35" t="s">
        <v>2299</v>
      </c>
      <c r="D12297" s="35" t="s">
        <v>2874</v>
      </c>
      <c r="E12297" s="35" t="s">
        <v>2826</v>
      </c>
    </row>
    <row r="12298" spans="1:6">
      <c r="A12298" s="34">
        <v>2084018273</v>
      </c>
      <c r="B12298" s="35" t="s">
        <v>2214</v>
      </c>
      <c r="C12298" s="35" t="s">
        <v>2299</v>
      </c>
      <c r="D12298" s="35" t="s">
        <v>2874</v>
      </c>
      <c r="E12298" s="35" t="s">
        <v>2827</v>
      </c>
    </row>
    <row r="12299" spans="1:6">
      <c r="A12299" s="34">
        <v>2084005380</v>
      </c>
      <c r="B12299" s="35" t="s">
        <v>2214</v>
      </c>
      <c r="C12299" s="35" t="s">
        <v>2299</v>
      </c>
      <c r="D12299" s="35" t="s">
        <v>2874</v>
      </c>
      <c r="E12299" s="35" t="s">
        <v>429</v>
      </c>
    </row>
    <row r="12300" spans="1:6">
      <c r="A12300" s="34">
        <v>2084062528</v>
      </c>
      <c r="B12300" s="35" t="s">
        <v>2214</v>
      </c>
      <c r="C12300" s="35" t="s">
        <v>2299</v>
      </c>
      <c r="D12300" s="35" t="s">
        <v>2876</v>
      </c>
      <c r="E12300" s="35" t="s">
        <v>2877</v>
      </c>
      <c r="F12300" s="35" t="s">
        <v>380</v>
      </c>
    </row>
    <row r="12301" spans="1:6">
      <c r="A12301" s="34">
        <v>2084062529</v>
      </c>
      <c r="B12301" s="35" t="s">
        <v>2214</v>
      </c>
      <c r="C12301" s="35" t="s">
        <v>2299</v>
      </c>
      <c r="D12301" s="35" t="s">
        <v>2876</v>
      </c>
      <c r="E12301" s="35" t="s">
        <v>2877</v>
      </c>
      <c r="F12301" s="35" t="s">
        <v>2878</v>
      </c>
    </row>
    <row r="12302" spans="1:6">
      <c r="A12302" s="34">
        <v>2084062530</v>
      </c>
      <c r="B12302" s="35" t="s">
        <v>2214</v>
      </c>
      <c r="C12302" s="35" t="s">
        <v>2299</v>
      </c>
      <c r="D12302" s="35" t="s">
        <v>2876</v>
      </c>
      <c r="E12302" s="35" t="s">
        <v>2877</v>
      </c>
      <c r="F12302" s="35" t="s">
        <v>2879</v>
      </c>
    </row>
    <row r="12303" spans="1:6">
      <c r="A12303" s="34">
        <v>2084062531</v>
      </c>
      <c r="B12303" s="35" t="s">
        <v>2214</v>
      </c>
      <c r="C12303" s="35" t="s">
        <v>2299</v>
      </c>
      <c r="D12303" s="35" t="s">
        <v>2876</v>
      </c>
      <c r="E12303" s="35" t="s">
        <v>2877</v>
      </c>
      <c r="F12303" s="35" t="s">
        <v>2880</v>
      </c>
    </row>
    <row r="12304" spans="1:6">
      <c r="A12304" s="34">
        <v>2084062532</v>
      </c>
      <c r="B12304" s="35" t="s">
        <v>2214</v>
      </c>
      <c r="C12304" s="35" t="s">
        <v>2299</v>
      </c>
      <c r="D12304" s="35" t="s">
        <v>2876</v>
      </c>
      <c r="E12304" s="35" t="s">
        <v>2877</v>
      </c>
      <c r="F12304" s="35" t="s">
        <v>429</v>
      </c>
    </row>
    <row r="12305" spans="1:5">
      <c r="A12305" s="34">
        <v>2084220966</v>
      </c>
      <c r="B12305" s="35" t="s">
        <v>2214</v>
      </c>
      <c r="C12305" s="35" t="s">
        <v>2299</v>
      </c>
      <c r="D12305" s="35" t="s">
        <v>2876</v>
      </c>
      <c r="E12305" s="35" t="s">
        <v>2881</v>
      </c>
    </row>
    <row r="12306" spans="1:5">
      <c r="A12306" s="34">
        <v>2084059825</v>
      </c>
      <c r="B12306" s="35" t="s">
        <v>2214</v>
      </c>
      <c r="C12306" s="35" t="s">
        <v>2299</v>
      </c>
      <c r="D12306" s="35" t="s">
        <v>2876</v>
      </c>
      <c r="E12306" s="35" t="s">
        <v>2882</v>
      </c>
    </row>
    <row r="12307" spans="1:5">
      <c r="A12307" s="34">
        <v>2084005385</v>
      </c>
      <c r="B12307" s="35" t="s">
        <v>2214</v>
      </c>
      <c r="C12307" s="35" t="s">
        <v>2299</v>
      </c>
      <c r="D12307" s="35" t="s">
        <v>2876</v>
      </c>
      <c r="E12307" s="35" t="s">
        <v>2883</v>
      </c>
    </row>
    <row r="12308" spans="1:5">
      <c r="A12308" s="34">
        <v>2084236841</v>
      </c>
      <c r="B12308" s="35" t="s">
        <v>2214</v>
      </c>
      <c r="C12308" s="35" t="s">
        <v>2299</v>
      </c>
      <c r="D12308" s="35" t="s">
        <v>2876</v>
      </c>
      <c r="E12308" s="35" t="s">
        <v>2884</v>
      </c>
    </row>
    <row r="12309" spans="1:5">
      <c r="A12309" s="34">
        <v>2084019052</v>
      </c>
      <c r="B12309" s="35" t="s">
        <v>2214</v>
      </c>
      <c r="C12309" s="35" t="s">
        <v>2299</v>
      </c>
      <c r="D12309" s="35" t="s">
        <v>2876</v>
      </c>
      <c r="E12309" s="35" t="s">
        <v>2885</v>
      </c>
    </row>
    <row r="12310" spans="1:5">
      <c r="A12310" s="34">
        <v>2084019051</v>
      </c>
      <c r="B12310" s="35" t="s">
        <v>2214</v>
      </c>
      <c r="C12310" s="35" t="s">
        <v>2299</v>
      </c>
      <c r="D12310" s="35" t="s">
        <v>2876</v>
      </c>
      <c r="E12310" s="35" t="s">
        <v>2886</v>
      </c>
    </row>
    <row r="12311" spans="1:5">
      <c r="A12311" s="34">
        <v>2084005386</v>
      </c>
      <c r="B12311" s="35" t="s">
        <v>2214</v>
      </c>
      <c r="C12311" s="35" t="s">
        <v>2299</v>
      </c>
      <c r="D12311" s="35" t="s">
        <v>2876</v>
      </c>
      <c r="E12311" s="35" t="s">
        <v>2887</v>
      </c>
    </row>
    <row r="12312" spans="1:5">
      <c r="A12312" s="34">
        <v>2084005387</v>
      </c>
      <c r="B12312" s="35" t="s">
        <v>2214</v>
      </c>
      <c r="C12312" s="35" t="s">
        <v>2299</v>
      </c>
      <c r="D12312" s="35" t="s">
        <v>2876</v>
      </c>
      <c r="E12312" s="35" t="s">
        <v>429</v>
      </c>
    </row>
    <row r="12313" spans="1:5">
      <c r="A12313" s="34">
        <v>2084062543</v>
      </c>
      <c r="B12313" s="35" t="s">
        <v>2214</v>
      </c>
      <c r="C12313" s="35" t="s">
        <v>2299</v>
      </c>
      <c r="D12313" s="35" t="s">
        <v>2888</v>
      </c>
      <c r="E12313" s="35" t="s">
        <v>2889</v>
      </c>
    </row>
    <row r="12314" spans="1:5">
      <c r="A12314" s="34">
        <v>2084062536</v>
      </c>
      <c r="B12314" s="35" t="s">
        <v>2214</v>
      </c>
      <c r="C12314" s="35" t="s">
        <v>2299</v>
      </c>
      <c r="D12314" s="35" t="s">
        <v>2888</v>
      </c>
      <c r="E12314" s="35" t="s">
        <v>2890</v>
      </c>
    </row>
    <row r="12315" spans="1:5">
      <c r="A12315" s="34">
        <v>2084062540</v>
      </c>
      <c r="B12315" s="35" t="s">
        <v>2214</v>
      </c>
      <c r="C12315" s="35" t="s">
        <v>2299</v>
      </c>
      <c r="D12315" s="35" t="s">
        <v>2888</v>
      </c>
      <c r="E12315" s="35" t="s">
        <v>2891</v>
      </c>
    </row>
    <row r="12316" spans="1:5">
      <c r="A12316" s="34">
        <v>2084062539</v>
      </c>
      <c r="B12316" s="35" t="s">
        <v>2214</v>
      </c>
      <c r="C12316" s="35" t="s">
        <v>2299</v>
      </c>
      <c r="D12316" s="35" t="s">
        <v>2888</v>
      </c>
      <c r="E12316" s="35" t="s">
        <v>2892</v>
      </c>
    </row>
    <row r="12317" spans="1:5">
      <c r="A12317" s="34">
        <v>2084062538</v>
      </c>
      <c r="B12317" s="35" t="s">
        <v>2214</v>
      </c>
      <c r="C12317" s="35" t="s">
        <v>2299</v>
      </c>
      <c r="D12317" s="35" t="s">
        <v>2888</v>
      </c>
      <c r="E12317" s="35" t="s">
        <v>2893</v>
      </c>
    </row>
    <row r="12318" spans="1:5">
      <c r="A12318" s="34">
        <v>2084062541</v>
      </c>
      <c r="B12318" s="35" t="s">
        <v>2214</v>
      </c>
      <c r="C12318" s="35" t="s">
        <v>2299</v>
      </c>
      <c r="D12318" s="35" t="s">
        <v>2888</v>
      </c>
      <c r="E12318" s="35" t="s">
        <v>2894</v>
      </c>
    </row>
    <row r="12319" spans="1:5">
      <c r="A12319" s="34">
        <v>2084062537</v>
      </c>
      <c r="B12319" s="35" t="s">
        <v>2214</v>
      </c>
      <c r="C12319" s="35" t="s">
        <v>2299</v>
      </c>
      <c r="D12319" s="35" t="s">
        <v>2888</v>
      </c>
      <c r="E12319" s="35" t="s">
        <v>2895</v>
      </c>
    </row>
    <row r="12320" spans="1:5">
      <c r="A12320" s="34">
        <v>2084062643</v>
      </c>
      <c r="B12320" s="35" t="s">
        <v>2214</v>
      </c>
      <c r="C12320" s="35" t="s">
        <v>2299</v>
      </c>
      <c r="D12320" s="35" t="s">
        <v>2888</v>
      </c>
      <c r="E12320" s="35" t="s">
        <v>2896</v>
      </c>
    </row>
    <row r="12321" spans="1:6">
      <c r="A12321" s="34">
        <v>2084062535</v>
      </c>
      <c r="B12321" s="35" t="s">
        <v>2214</v>
      </c>
      <c r="C12321" s="35" t="s">
        <v>2299</v>
      </c>
      <c r="D12321" s="35" t="s">
        <v>2888</v>
      </c>
      <c r="E12321" s="35" t="s">
        <v>2897</v>
      </c>
    </row>
    <row r="12322" spans="1:6">
      <c r="A12322" s="34">
        <v>2084062542</v>
      </c>
      <c r="B12322" s="35" t="s">
        <v>2214</v>
      </c>
      <c r="C12322" s="35" t="s">
        <v>2299</v>
      </c>
      <c r="D12322" s="35" t="s">
        <v>2888</v>
      </c>
      <c r="E12322" s="35" t="s">
        <v>2898</v>
      </c>
    </row>
    <row r="12323" spans="1:6">
      <c r="A12323" s="34">
        <v>2084062544</v>
      </c>
      <c r="B12323" s="35" t="s">
        <v>2214</v>
      </c>
      <c r="C12323" s="35" t="s">
        <v>2299</v>
      </c>
      <c r="D12323" s="35" t="s">
        <v>2888</v>
      </c>
      <c r="E12323" s="35" t="s">
        <v>429</v>
      </c>
    </row>
    <row r="12324" spans="1:6">
      <c r="A12324" s="34">
        <v>2084062550</v>
      </c>
      <c r="B12324" s="35" t="s">
        <v>2214</v>
      </c>
      <c r="C12324" s="35" t="s">
        <v>2299</v>
      </c>
      <c r="D12324" s="35" t="s">
        <v>2899</v>
      </c>
      <c r="E12324" s="35" t="s">
        <v>2231</v>
      </c>
    </row>
    <row r="12325" spans="1:6">
      <c r="A12325" s="34">
        <v>2084062549</v>
      </c>
      <c r="B12325" s="35" t="s">
        <v>2214</v>
      </c>
      <c r="C12325" s="35" t="s">
        <v>2299</v>
      </c>
      <c r="D12325" s="35" t="s">
        <v>2899</v>
      </c>
      <c r="E12325" s="35" t="s">
        <v>2259</v>
      </c>
    </row>
    <row r="12326" spans="1:6">
      <c r="A12326" s="34">
        <v>2084062546</v>
      </c>
      <c r="B12326" s="35" t="s">
        <v>2214</v>
      </c>
      <c r="C12326" s="35" t="s">
        <v>2299</v>
      </c>
      <c r="D12326" s="35" t="s">
        <v>2899</v>
      </c>
      <c r="E12326" s="35" t="s">
        <v>2900</v>
      </c>
      <c r="F12326" s="35" t="s">
        <v>2901</v>
      </c>
    </row>
    <row r="12327" spans="1:6">
      <c r="A12327" s="34">
        <v>2084062547</v>
      </c>
      <c r="B12327" s="35" t="s">
        <v>2214</v>
      </c>
      <c r="C12327" s="35" t="s">
        <v>2299</v>
      </c>
      <c r="D12327" s="35" t="s">
        <v>2899</v>
      </c>
      <c r="E12327" s="35" t="s">
        <v>2900</v>
      </c>
      <c r="F12327" s="35" t="s">
        <v>2902</v>
      </c>
    </row>
    <row r="12328" spans="1:6">
      <c r="A12328" s="34">
        <v>2084062548</v>
      </c>
      <c r="B12328" s="35" t="s">
        <v>2214</v>
      </c>
      <c r="C12328" s="35" t="s">
        <v>2299</v>
      </c>
      <c r="D12328" s="35" t="s">
        <v>2899</v>
      </c>
      <c r="E12328" s="35" t="s">
        <v>2900</v>
      </c>
      <c r="F12328" s="35" t="s">
        <v>429</v>
      </c>
    </row>
    <row r="12329" spans="1:6">
      <c r="A12329" s="34">
        <v>2084062552</v>
      </c>
      <c r="B12329" s="35" t="s">
        <v>2214</v>
      </c>
      <c r="C12329" s="35" t="s">
        <v>2299</v>
      </c>
      <c r="D12329" s="35" t="s">
        <v>2899</v>
      </c>
      <c r="E12329" s="35" t="s">
        <v>2903</v>
      </c>
    </row>
    <row r="12330" spans="1:6">
      <c r="A12330" s="34">
        <v>2084062551</v>
      </c>
      <c r="B12330" s="35" t="s">
        <v>2214</v>
      </c>
      <c r="C12330" s="35" t="s">
        <v>2299</v>
      </c>
      <c r="D12330" s="35" t="s">
        <v>2899</v>
      </c>
      <c r="E12330" s="35" t="s">
        <v>2904</v>
      </c>
    </row>
    <row r="12331" spans="1:6">
      <c r="A12331" s="34">
        <v>2084062553</v>
      </c>
      <c r="B12331" s="35" t="s">
        <v>2214</v>
      </c>
      <c r="C12331" s="35" t="s">
        <v>2299</v>
      </c>
      <c r="D12331" s="35" t="s">
        <v>2899</v>
      </c>
      <c r="E12331" s="35" t="s">
        <v>429</v>
      </c>
    </row>
    <row r="12332" spans="1:6">
      <c r="A12332" s="34">
        <v>2084062958</v>
      </c>
      <c r="B12332" s="35" t="s">
        <v>2214</v>
      </c>
      <c r="C12332" s="35" t="s">
        <v>2299</v>
      </c>
      <c r="D12332" s="35" t="s">
        <v>2905</v>
      </c>
      <c r="E12332" s="35" t="s">
        <v>2906</v>
      </c>
      <c r="F12332" s="35" t="s">
        <v>2907</v>
      </c>
    </row>
    <row r="12333" spans="1:6">
      <c r="A12333" s="34">
        <v>2084062959</v>
      </c>
      <c r="B12333" s="35" t="s">
        <v>2214</v>
      </c>
      <c r="C12333" s="35" t="s">
        <v>2299</v>
      </c>
      <c r="D12333" s="35" t="s">
        <v>2905</v>
      </c>
      <c r="E12333" s="35" t="s">
        <v>2906</v>
      </c>
      <c r="F12333" s="35" t="s">
        <v>2908</v>
      </c>
    </row>
    <row r="12334" spans="1:6">
      <c r="A12334" s="34">
        <v>2084062960</v>
      </c>
      <c r="B12334" s="35" t="s">
        <v>2214</v>
      </c>
      <c r="C12334" s="35" t="s">
        <v>2299</v>
      </c>
      <c r="D12334" s="35" t="s">
        <v>2905</v>
      </c>
      <c r="E12334" s="35" t="s">
        <v>2909</v>
      </c>
    </row>
    <row r="12335" spans="1:6">
      <c r="A12335" s="34">
        <v>2084062961</v>
      </c>
      <c r="B12335" s="35" t="s">
        <v>2214</v>
      </c>
      <c r="C12335" s="35" t="s">
        <v>2299</v>
      </c>
      <c r="D12335" s="35" t="s">
        <v>2905</v>
      </c>
      <c r="E12335" s="35" t="s">
        <v>2910</v>
      </c>
    </row>
    <row r="12336" spans="1:6">
      <c r="A12336" s="34">
        <v>2084062962</v>
      </c>
      <c r="B12336" s="35" t="s">
        <v>2214</v>
      </c>
      <c r="C12336" s="35" t="s">
        <v>2299</v>
      </c>
      <c r="D12336" s="35" t="s">
        <v>2905</v>
      </c>
      <c r="E12336" s="35" t="s">
        <v>2911</v>
      </c>
    </row>
    <row r="12337" spans="1:6">
      <c r="A12337" s="34">
        <v>2084223352</v>
      </c>
      <c r="B12337" s="35" t="s">
        <v>2214</v>
      </c>
      <c r="C12337" s="35" t="s">
        <v>2912</v>
      </c>
      <c r="D12337" s="35" t="s">
        <v>2258</v>
      </c>
      <c r="E12337" s="35" t="s">
        <v>2793</v>
      </c>
    </row>
    <row r="12338" spans="1:6">
      <c r="A12338" s="34">
        <v>2084006912</v>
      </c>
      <c r="B12338" s="35" t="s">
        <v>2214</v>
      </c>
      <c r="C12338" s="35" t="s">
        <v>2912</v>
      </c>
      <c r="D12338" s="35" t="s">
        <v>2258</v>
      </c>
      <c r="E12338" s="35" t="s">
        <v>2231</v>
      </c>
    </row>
    <row r="12339" spans="1:6">
      <c r="A12339" s="34">
        <v>2084006913</v>
      </c>
      <c r="B12339" s="35" t="s">
        <v>2214</v>
      </c>
      <c r="C12339" s="35" t="s">
        <v>2912</v>
      </c>
      <c r="D12339" s="35" t="s">
        <v>2258</v>
      </c>
      <c r="E12339" s="35" t="s">
        <v>2259</v>
      </c>
    </row>
    <row r="12340" spans="1:6">
      <c r="A12340" s="34">
        <v>2084223355</v>
      </c>
      <c r="B12340" s="35" t="s">
        <v>2214</v>
      </c>
      <c r="C12340" s="35" t="s">
        <v>2912</v>
      </c>
      <c r="D12340" s="35" t="s">
        <v>2258</v>
      </c>
      <c r="E12340" s="35" t="s">
        <v>2822</v>
      </c>
    </row>
    <row r="12341" spans="1:6">
      <c r="A12341" s="34">
        <v>2084223354</v>
      </c>
      <c r="B12341" s="35" t="s">
        <v>2214</v>
      </c>
      <c r="C12341" s="35" t="s">
        <v>2912</v>
      </c>
      <c r="D12341" s="35" t="s">
        <v>2258</v>
      </c>
      <c r="E12341" s="35" t="s">
        <v>2821</v>
      </c>
    </row>
    <row r="12342" spans="1:6">
      <c r="A12342" s="34">
        <v>2084006914</v>
      </c>
      <c r="B12342" s="35" t="s">
        <v>2214</v>
      </c>
      <c r="C12342" s="35" t="s">
        <v>2912</v>
      </c>
      <c r="D12342" s="35" t="s">
        <v>2258</v>
      </c>
      <c r="E12342" s="35" t="s">
        <v>2825</v>
      </c>
    </row>
    <row r="12343" spans="1:6">
      <c r="A12343" s="34">
        <v>2084223360</v>
      </c>
      <c r="B12343" s="35" t="s">
        <v>2214</v>
      </c>
      <c r="C12343" s="35" t="s">
        <v>2912</v>
      </c>
      <c r="D12343" s="35" t="s">
        <v>2258</v>
      </c>
      <c r="E12343" s="35" t="s">
        <v>2826</v>
      </c>
      <c r="F12343" s="35" t="s">
        <v>429</v>
      </c>
    </row>
    <row r="12344" spans="1:6">
      <c r="A12344" s="34">
        <v>2084223358</v>
      </c>
      <c r="B12344" s="35" t="s">
        <v>2214</v>
      </c>
      <c r="C12344" s="35" t="s">
        <v>2912</v>
      </c>
      <c r="D12344" s="35" t="s">
        <v>2258</v>
      </c>
      <c r="E12344" s="35" t="s">
        <v>2826</v>
      </c>
      <c r="F12344" s="35" t="s">
        <v>2892</v>
      </c>
    </row>
    <row r="12345" spans="1:6">
      <c r="A12345" s="34">
        <v>2084223359</v>
      </c>
      <c r="B12345" s="35" t="s">
        <v>2214</v>
      </c>
      <c r="C12345" s="35" t="s">
        <v>2912</v>
      </c>
      <c r="D12345" s="35" t="s">
        <v>2258</v>
      </c>
      <c r="E12345" s="35" t="s">
        <v>2826</v>
      </c>
      <c r="F12345" s="35" t="s">
        <v>2896</v>
      </c>
    </row>
    <row r="12346" spans="1:6">
      <c r="A12346" s="34">
        <v>2084006915</v>
      </c>
      <c r="B12346" s="35" t="s">
        <v>2214</v>
      </c>
      <c r="C12346" s="35" t="s">
        <v>2912</v>
      </c>
      <c r="D12346" s="35" t="s">
        <v>2258</v>
      </c>
      <c r="E12346" s="35" t="s">
        <v>429</v>
      </c>
    </row>
    <row r="12347" spans="1:6">
      <c r="A12347" s="34">
        <v>2084223356</v>
      </c>
      <c r="B12347" s="35" t="s">
        <v>2214</v>
      </c>
      <c r="C12347" s="35" t="s">
        <v>2912</v>
      </c>
      <c r="D12347" s="35" t="s">
        <v>2913</v>
      </c>
      <c r="E12347" s="35" t="s">
        <v>2793</v>
      </c>
    </row>
    <row r="12348" spans="1:6">
      <c r="A12348" s="34">
        <v>2084049295</v>
      </c>
      <c r="B12348" s="35" t="s">
        <v>2214</v>
      </c>
      <c r="C12348" s="35" t="s">
        <v>2912</v>
      </c>
      <c r="D12348" s="35" t="s">
        <v>2913</v>
      </c>
      <c r="E12348" s="35" t="s">
        <v>2231</v>
      </c>
    </row>
    <row r="12349" spans="1:6">
      <c r="A12349" s="34">
        <v>2084049296</v>
      </c>
      <c r="B12349" s="35" t="s">
        <v>2214</v>
      </c>
      <c r="C12349" s="35" t="s">
        <v>2912</v>
      </c>
      <c r="D12349" s="35" t="s">
        <v>2913</v>
      </c>
      <c r="E12349" s="35" t="s">
        <v>2259</v>
      </c>
    </row>
    <row r="12350" spans="1:6">
      <c r="A12350" s="34">
        <v>2084049297</v>
      </c>
      <c r="B12350" s="35" t="s">
        <v>2214</v>
      </c>
      <c r="C12350" s="35" t="s">
        <v>2912</v>
      </c>
      <c r="D12350" s="35" t="s">
        <v>2913</v>
      </c>
      <c r="E12350" s="35" t="s">
        <v>2821</v>
      </c>
    </row>
    <row r="12351" spans="1:6">
      <c r="A12351" s="34">
        <v>2084223357</v>
      </c>
      <c r="B12351" s="35" t="s">
        <v>2214</v>
      </c>
      <c r="C12351" s="35" t="s">
        <v>2912</v>
      </c>
      <c r="D12351" s="35" t="s">
        <v>2913</v>
      </c>
      <c r="E12351" s="35" t="s">
        <v>2826</v>
      </c>
    </row>
    <row r="12352" spans="1:6">
      <c r="A12352" s="34">
        <v>2084049298</v>
      </c>
      <c r="B12352" s="35" t="s">
        <v>2214</v>
      </c>
      <c r="C12352" s="35" t="s">
        <v>2912</v>
      </c>
      <c r="D12352" s="35" t="s">
        <v>2913</v>
      </c>
      <c r="E12352" s="35" t="s">
        <v>429</v>
      </c>
    </row>
    <row r="12353" spans="1:7">
      <c r="A12353" s="34">
        <v>2084292881</v>
      </c>
      <c r="B12353" s="35" t="s">
        <v>2214</v>
      </c>
      <c r="C12353" s="35" t="s">
        <v>2912</v>
      </c>
      <c r="D12353" s="35" t="s">
        <v>2828</v>
      </c>
    </row>
    <row r="12354" spans="1:7">
      <c r="A12354" s="34">
        <v>2084062606</v>
      </c>
      <c r="B12354" s="35" t="s">
        <v>2214</v>
      </c>
      <c r="C12354" s="35" t="s">
        <v>2912</v>
      </c>
      <c r="D12354" s="35" t="s">
        <v>2226</v>
      </c>
      <c r="E12354" s="35" t="s">
        <v>2867</v>
      </c>
      <c r="F12354" s="35" t="s">
        <v>2793</v>
      </c>
    </row>
    <row r="12355" spans="1:7">
      <c r="A12355" s="34">
        <v>2084062605</v>
      </c>
      <c r="B12355" s="35" t="s">
        <v>2214</v>
      </c>
      <c r="C12355" s="35" t="s">
        <v>2912</v>
      </c>
      <c r="D12355" s="35" t="s">
        <v>2226</v>
      </c>
      <c r="E12355" s="35" t="s">
        <v>2867</v>
      </c>
      <c r="F12355" s="35" t="s">
        <v>2259</v>
      </c>
    </row>
    <row r="12356" spans="1:7">
      <c r="A12356" s="34">
        <v>2084062607</v>
      </c>
      <c r="B12356" s="35" t="s">
        <v>2214</v>
      </c>
      <c r="C12356" s="35" t="s">
        <v>2912</v>
      </c>
      <c r="D12356" s="35" t="s">
        <v>2226</v>
      </c>
      <c r="E12356" s="35" t="s">
        <v>2867</v>
      </c>
      <c r="F12356" s="35" t="s">
        <v>2826</v>
      </c>
    </row>
    <row r="12357" spans="1:7">
      <c r="A12357" s="34">
        <v>2084062608</v>
      </c>
      <c r="B12357" s="35" t="s">
        <v>2214</v>
      </c>
      <c r="C12357" s="35" t="s">
        <v>2912</v>
      </c>
      <c r="D12357" s="35" t="s">
        <v>2226</v>
      </c>
      <c r="E12357" s="35" t="s">
        <v>2867</v>
      </c>
      <c r="F12357" s="35" t="s">
        <v>429</v>
      </c>
    </row>
    <row r="12358" spans="1:7">
      <c r="A12358" s="34">
        <v>2084062068</v>
      </c>
      <c r="B12358" s="35" t="s">
        <v>2214</v>
      </c>
      <c r="C12358" s="35" t="s">
        <v>2912</v>
      </c>
      <c r="D12358" s="35" t="s">
        <v>2226</v>
      </c>
      <c r="E12358" s="35" t="s">
        <v>2868</v>
      </c>
      <c r="F12358" s="35" t="s">
        <v>2869</v>
      </c>
    </row>
    <row r="12359" spans="1:7">
      <c r="A12359" s="34">
        <v>2084057147</v>
      </c>
      <c r="B12359" s="35" t="s">
        <v>2214</v>
      </c>
      <c r="C12359" s="35" t="s">
        <v>2912</v>
      </c>
      <c r="D12359" s="35" t="s">
        <v>2226</v>
      </c>
      <c r="E12359" s="35" t="s">
        <v>2868</v>
      </c>
      <c r="F12359" s="35" t="s">
        <v>2231</v>
      </c>
      <c r="G12359" s="35" t="s">
        <v>2818</v>
      </c>
    </row>
    <row r="12360" spans="1:7">
      <c r="A12360" s="34">
        <v>2084057146</v>
      </c>
      <c r="B12360" s="35" t="s">
        <v>2214</v>
      </c>
      <c r="C12360" s="35" t="s">
        <v>2912</v>
      </c>
      <c r="D12360" s="35" t="s">
        <v>2226</v>
      </c>
      <c r="E12360" s="35" t="s">
        <v>2868</v>
      </c>
      <c r="F12360" s="35" t="s">
        <v>2231</v>
      </c>
      <c r="G12360" s="35" t="s">
        <v>2820</v>
      </c>
    </row>
    <row r="12361" spans="1:7">
      <c r="A12361" s="34">
        <v>2084057148</v>
      </c>
      <c r="B12361" s="35" t="s">
        <v>2214</v>
      </c>
      <c r="C12361" s="35" t="s">
        <v>2912</v>
      </c>
      <c r="D12361" s="35" t="s">
        <v>2226</v>
      </c>
      <c r="E12361" s="35" t="s">
        <v>2868</v>
      </c>
      <c r="F12361" s="35" t="s">
        <v>2231</v>
      </c>
      <c r="G12361" s="35" t="s">
        <v>429</v>
      </c>
    </row>
    <row r="12362" spans="1:7">
      <c r="A12362" s="34">
        <v>2084057144</v>
      </c>
      <c r="B12362" s="35" t="s">
        <v>2214</v>
      </c>
      <c r="C12362" s="35" t="s">
        <v>2912</v>
      </c>
      <c r="D12362" s="35" t="s">
        <v>2226</v>
      </c>
      <c r="E12362" s="35" t="s">
        <v>2868</v>
      </c>
      <c r="F12362" s="35" t="s">
        <v>2259</v>
      </c>
    </row>
    <row r="12363" spans="1:7">
      <c r="A12363" s="34">
        <v>2084057150</v>
      </c>
      <c r="B12363" s="35" t="s">
        <v>2214</v>
      </c>
      <c r="C12363" s="35" t="s">
        <v>2912</v>
      </c>
      <c r="D12363" s="35" t="s">
        <v>2226</v>
      </c>
      <c r="E12363" s="35" t="s">
        <v>2868</v>
      </c>
      <c r="F12363" s="35" t="s">
        <v>2821</v>
      </c>
    </row>
    <row r="12364" spans="1:7">
      <c r="A12364" s="34">
        <v>2084223466</v>
      </c>
      <c r="B12364" s="35" t="s">
        <v>2214</v>
      </c>
      <c r="C12364" s="35" t="s">
        <v>2912</v>
      </c>
      <c r="D12364" s="35" t="s">
        <v>2226</v>
      </c>
      <c r="E12364" s="35" t="s">
        <v>2868</v>
      </c>
      <c r="F12364" s="35" t="s">
        <v>2826</v>
      </c>
      <c r="G12364" s="35" t="s">
        <v>2892</v>
      </c>
    </row>
    <row r="12365" spans="1:7">
      <c r="A12365" s="34">
        <v>2084223467</v>
      </c>
      <c r="B12365" s="35" t="s">
        <v>2214</v>
      </c>
      <c r="C12365" s="35" t="s">
        <v>2912</v>
      </c>
      <c r="D12365" s="35" t="s">
        <v>2226</v>
      </c>
      <c r="E12365" s="35" t="s">
        <v>2868</v>
      </c>
      <c r="F12365" s="35" t="s">
        <v>2826</v>
      </c>
      <c r="G12365" s="35" t="s">
        <v>2896</v>
      </c>
    </row>
    <row r="12366" spans="1:7">
      <c r="A12366" s="34">
        <v>2084223468</v>
      </c>
      <c r="B12366" s="35" t="s">
        <v>2214</v>
      </c>
      <c r="C12366" s="35" t="s">
        <v>2912</v>
      </c>
      <c r="D12366" s="35" t="s">
        <v>2226</v>
      </c>
      <c r="E12366" s="35" t="s">
        <v>2868</v>
      </c>
      <c r="F12366" s="35" t="s">
        <v>2826</v>
      </c>
      <c r="G12366" s="35" t="s">
        <v>2897</v>
      </c>
    </row>
    <row r="12367" spans="1:7">
      <c r="A12367" s="34">
        <v>2084223469</v>
      </c>
      <c r="B12367" s="35" t="s">
        <v>2214</v>
      </c>
      <c r="C12367" s="35" t="s">
        <v>2912</v>
      </c>
      <c r="D12367" s="35" t="s">
        <v>2226</v>
      </c>
      <c r="E12367" s="35" t="s">
        <v>2868</v>
      </c>
      <c r="F12367" s="35" t="s">
        <v>2826</v>
      </c>
      <c r="G12367" s="35" t="s">
        <v>429</v>
      </c>
    </row>
    <row r="12368" spans="1:7">
      <c r="A12368" s="34">
        <v>2084057152</v>
      </c>
      <c r="B12368" s="35" t="s">
        <v>2214</v>
      </c>
      <c r="C12368" s="35" t="s">
        <v>2912</v>
      </c>
      <c r="D12368" s="35" t="s">
        <v>2226</v>
      </c>
      <c r="E12368" s="35" t="s">
        <v>2868</v>
      </c>
      <c r="F12368" s="35" t="s">
        <v>429</v>
      </c>
    </row>
    <row r="12369" spans="1:6">
      <c r="A12369" s="34">
        <v>2084052636</v>
      </c>
      <c r="B12369" s="35" t="s">
        <v>2214</v>
      </c>
      <c r="C12369" s="35" t="s">
        <v>2912</v>
      </c>
      <c r="D12369" s="35" t="s">
        <v>2226</v>
      </c>
      <c r="E12369" s="35" t="s">
        <v>429</v>
      </c>
    </row>
    <row r="12370" spans="1:6">
      <c r="A12370" s="34">
        <v>2084049291</v>
      </c>
      <c r="B12370" s="35" t="s">
        <v>2214</v>
      </c>
      <c r="C12370" s="35" t="s">
        <v>2912</v>
      </c>
      <c r="D12370" s="35" t="s">
        <v>2230</v>
      </c>
      <c r="E12370" s="35" t="s">
        <v>2231</v>
      </c>
    </row>
    <row r="12371" spans="1:6">
      <c r="A12371" s="34">
        <v>2084057400</v>
      </c>
      <c r="B12371" s="35" t="s">
        <v>2214</v>
      </c>
      <c r="C12371" s="35" t="s">
        <v>2912</v>
      </c>
      <c r="D12371" s="35" t="s">
        <v>2230</v>
      </c>
      <c r="E12371" s="35" t="s">
        <v>2259</v>
      </c>
      <c r="F12371" s="35" t="s">
        <v>2914</v>
      </c>
    </row>
    <row r="12372" spans="1:6">
      <c r="A12372" s="34">
        <v>2084057401</v>
      </c>
      <c r="B12372" s="35" t="s">
        <v>2214</v>
      </c>
      <c r="C12372" s="35" t="s">
        <v>2912</v>
      </c>
      <c r="D12372" s="35" t="s">
        <v>2230</v>
      </c>
      <c r="E12372" s="35" t="s">
        <v>2259</v>
      </c>
      <c r="F12372" s="35" t="s">
        <v>2756</v>
      </c>
    </row>
    <row r="12373" spans="1:6">
      <c r="A12373" s="34">
        <v>2084057402</v>
      </c>
      <c r="B12373" s="35" t="s">
        <v>2214</v>
      </c>
      <c r="C12373" s="35" t="s">
        <v>2912</v>
      </c>
      <c r="D12373" s="35" t="s">
        <v>2230</v>
      </c>
      <c r="E12373" s="35" t="s">
        <v>2259</v>
      </c>
      <c r="F12373" s="35" t="s">
        <v>2843</v>
      </c>
    </row>
    <row r="12374" spans="1:6">
      <c r="A12374" s="34">
        <v>2084057403</v>
      </c>
      <c r="B12374" s="35" t="s">
        <v>2214</v>
      </c>
      <c r="C12374" s="35" t="s">
        <v>2912</v>
      </c>
      <c r="D12374" s="35" t="s">
        <v>2230</v>
      </c>
      <c r="E12374" s="35" t="s">
        <v>2259</v>
      </c>
      <c r="F12374" s="35" t="s">
        <v>2844</v>
      </c>
    </row>
    <row r="12375" spans="1:6">
      <c r="A12375" s="34">
        <v>2084057404</v>
      </c>
      <c r="B12375" s="35" t="s">
        <v>2214</v>
      </c>
      <c r="C12375" s="35" t="s">
        <v>2912</v>
      </c>
      <c r="D12375" s="35" t="s">
        <v>2230</v>
      </c>
      <c r="E12375" s="35" t="s">
        <v>2259</v>
      </c>
      <c r="F12375" s="35" t="s">
        <v>2845</v>
      </c>
    </row>
    <row r="12376" spans="1:6">
      <c r="A12376" s="34">
        <v>2084057405</v>
      </c>
      <c r="B12376" s="35" t="s">
        <v>2214</v>
      </c>
      <c r="C12376" s="35" t="s">
        <v>2912</v>
      </c>
      <c r="D12376" s="35" t="s">
        <v>2230</v>
      </c>
      <c r="E12376" s="35" t="s">
        <v>2259</v>
      </c>
      <c r="F12376" s="35" t="s">
        <v>2846</v>
      </c>
    </row>
    <row r="12377" spans="1:6">
      <c r="A12377" s="34">
        <v>2084057406</v>
      </c>
      <c r="B12377" s="35" t="s">
        <v>2214</v>
      </c>
      <c r="C12377" s="35" t="s">
        <v>2912</v>
      </c>
      <c r="D12377" s="35" t="s">
        <v>2230</v>
      </c>
      <c r="E12377" s="35" t="s">
        <v>2259</v>
      </c>
      <c r="F12377" s="35" t="s">
        <v>2847</v>
      </c>
    </row>
    <row r="12378" spans="1:6">
      <c r="A12378" s="34">
        <v>2084057407</v>
      </c>
      <c r="B12378" s="35" t="s">
        <v>2214</v>
      </c>
      <c r="C12378" s="35" t="s">
        <v>2912</v>
      </c>
      <c r="D12378" s="35" t="s">
        <v>2230</v>
      </c>
      <c r="E12378" s="35" t="s">
        <v>2259</v>
      </c>
      <c r="F12378" s="35" t="s">
        <v>2848</v>
      </c>
    </row>
    <row r="12379" spans="1:6">
      <c r="A12379" s="34">
        <v>2084057408</v>
      </c>
      <c r="B12379" s="35" t="s">
        <v>2214</v>
      </c>
      <c r="C12379" s="35" t="s">
        <v>2912</v>
      </c>
      <c r="D12379" s="35" t="s">
        <v>2230</v>
      </c>
      <c r="E12379" s="35" t="s">
        <v>2259</v>
      </c>
      <c r="F12379" s="35" t="s">
        <v>2849</v>
      </c>
    </row>
    <row r="12380" spans="1:6">
      <c r="A12380" s="34">
        <v>2084057409</v>
      </c>
      <c r="B12380" s="35" t="s">
        <v>2214</v>
      </c>
      <c r="C12380" s="35" t="s">
        <v>2912</v>
      </c>
      <c r="D12380" s="35" t="s">
        <v>2230</v>
      </c>
      <c r="E12380" s="35" t="s">
        <v>2259</v>
      </c>
      <c r="F12380" s="35" t="s">
        <v>2850</v>
      </c>
    </row>
    <row r="12381" spans="1:6">
      <c r="A12381" s="34">
        <v>2084057410</v>
      </c>
      <c r="B12381" s="35" t="s">
        <v>2214</v>
      </c>
      <c r="C12381" s="35" t="s">
        <v>2912</v>
      </c>
      <c r="D12381" s="35" t="s">
        <v>2230</v>
      </c>
      <c r="E12381" s="35" t="s">
        <v>2259</v>
      </c>
      <c r="F12381" s="35" t="s">
        <v>2851</v>
      </c>
    </row>
    <row r="12382" spans="1:6">
      <c r="A12382" s="34">
        <v>2084057411</v>
      </c>
      <c r="B12382" s="35" t="s">
        <v>2214</v>
      </c>
      <c r="C12382" s="35" t="s">
        <v>2912</v>
      </c>
      <c r="D12382" s="35" t="s">
        <v>2230</v>
      </c>
      <c r="E12382" s="35" t="s">
        <v>2259</v>
      </c>
      <c r="F12382" s="35" t="s">
        <v>2852</v>
      </c>
    </row>
    <row r="12383" spans="1:6">
      <c r="A12383" s="34">
        <v>2084057412</v>
      </c>
      <c r="B12383" s="35" t="s">
        <v>2214</v>
      </c>
      <c r="C12383" s="35" t="s">
        <v>2912</v>
      </c>
      <c r="D12383" s="35" t="s">
        <v>2230</v>
      </c>
      <c r="E12383" s="35" t="s">
        <v>2259</v>
      </c>
      <c r="F12383" s="35" t="s">
        <v>2853</v>
      </c>
    </row>
    <row r="12384" spans="1:6">
      <c r="A12384" s="34">
        <v>2084057413</v>
      </c>
      <c r="B12384" s="35" t="s">
        <v>2214</v>
      </c>
      <c r="C12384" s="35" t="s">
        <v>2912</v>
      </c>
      <c r="D12384" s="35" t="s">
        <v>2230</v>
      </c>
      <c r="E12384" s="35" t="s">
        <v>2259</v>
      </c>
      <c r="F12384" s="35" t="s">
        <v>2854</v>
      </c>
    </row>
    <row r="12385" spans="1:6">
      <c r="A12385" s="34">
        <v>2084049293</v>
      </c>
      <c r="B12385" s="35" t="s">
        <v>2214</v>
      </c>
      <c r="C12385" s="35" t="s">
        <v>2912</v>
      </c>
      <c r="D12385" s="35" t="s">
        <v>2230</v>
      </c>
      <c r="E12385" s="35" t="s">
        <v>2821</v>
      </c>
    </row>
    <row r="12386" spans="1:6">
      <c r="A12386" s="34">
        <v>2084049294</v>
      </c>
      <c r="B12386" s="35" t="s">
        <v>2214</v>
      </c>
      <c r="C12386" s="35" t="s">
        <v>2912</v>
      </c>
      <c r="D12386" s="35" t="s">
        <v>2230</v>
      </c>
      <c r="E12386" s="35" t="s">
        <v>429</v>
      </c>
    </row>
    <row r="12387" spans="1:6">
      <c r="A12387" s="34">
        <v>2084062589</v>
      </c>
      <c r="B12387" s="35" t="s">
        <v>2214</v>
      </c>
      <c r="C12387" s="35" t="s">
        <v>2912</v>
      </c>
      <c r="D12387" s="35" t="s">
        <v>2915</v>
      </c>
      <c r="E12387" s="35" t="s">
        <v>2916</v>
      </c>
    </row>
    <row r="12388" spans="1:6">
      <c r="A12388" s="34">
        <v>2084062588</v>
      </c>
      <c r="B12388" s="35" t="s">
        <v>2214</v>
      </c>
      <c r="C12388" s="35" t="s">
        <v>2912</v>
      </c>
      <c r="D12388" s="35" t="s">
        <v>2915</v>
      </c>
      <c r="E12388" s="35" t="s">
        <v>2917</v>
      </c>
    </row>
    <row r="12389" spans="1:6">
      <c r="A12389" s="34">
        <v>2084062597</v>
      </c>
      <c r="B12389" s="35" t="s">
        <v>2214</v>
      </c>
      <c r="C12389" s="35" t="s">
        <v>2912</v>
      </c>
      <c r="D12389" s="35" t="s">
        <v>2918</v>
      </c>
      <c r="E12389" s="35" t="s">
        <v>2793</v>
      </c>
    </row>
    <row r="12390" spans="1:6">
      <c r="A12390" s="34">
        <v>2084062595</v>
      </c>
      <c r="B12390" s="35" t="s">
        <v>2214</v>
      </c>
      <c r="C12390" s="35" t="s">
        <v>2912</v>
      </c>
      <c r="D12390" s="35" t="s">
        <v>2918</v>
      </c>
      <c r="E12390" s="35" t="s">
        <v>2231</v>
      </c>
      <c r="F12390" s="35" t="s">
        <v>2818</v>
      </c>
    </row>
    <row r="12391" spans="1:6">
      <c r="A12391" s="34">
        <v>2084062594</v>
      </c>
      <c r="B12391" s="35" t="s">
        <v>2214</v>
      </c>
      <c r="C12391" s="35" t="s">
        <v>2912</v>
      </c>
      <c r="D12391" s="35" t="s">
        <v>2918</v>
      </c>
      <c r="E12391" s="35" t="s">
        <v>2231</v>
      </c>
      <c r="F12391" s="35" t="s">
        <v>2820</v>
      </c>
    </row>
    <row r="12392" spans="1:6">
      <c r="A12392" s="34">
        <v>2084062596</v>
      </c>
      <c r="B12392" s="35" t="s">
        <v>2214</v>
      </c>
      <c r="C12392" s="35" t="s">
        <v>2912</v>
      </c>
      <c r="D12392" s="35" t="s">
        <v>2918</v>
      </c>
      <c r="E12392" s="35" t="s">
        <v>2231</v>
      </c>
      <c r="F12392" s="35" t="s">
        <v>429</v>
      </c>
    </row>
    <row r="12393" spans="1:6">
      <c r="A12393" s="34">
        <v>2084062591</v>
      </c>
      <c r="B12393" s="35" t="s">
        <v>2214</v>
      </c>
      <c r="C12393" s="35" t="s">
        <v>2912</v>
      </c>
      <c r="D12393" s="35" t="s">
        <v>2918</v>
      </c>
      <c r="E12393" s="35" t="s">
        <v>2259</v>
      </c>
    </row>
    <row r="12394" spans="1:6">
      <c r="A12394" s="34">
        <v>2084062598</v>
      </c>
      <c r="B12394" s="35" t="s">
        <v>2214</v>
      </c>
      <c r="C12394" s="35" t="s">
        <v>2912</v>
      </c>
      <c r="D12394" s="35" t="s">
        <v>2918</v>
      </c>
      <c r="E12394" s="35" t="s">
        <v>2301</v>
      </c>
    </row>
    <row r="12395" spans="1:6">
      <c r="A12395" s="34">
        <v>2084062592</v>
      </c>
      <c r="B12395" s="35" t="s">
        <v>2214</v>
      </c>
      <c r="C12395" s="35" t="s">
        <v>2912</v>
      </c>
      <c r="D12395" s="35" t="s">
        <v>2918</v>
      </c>
      <c r="E12395" s="35" t="s">
        <v>2821</v>
      </c>
    </row>
    <row r="12396" spans="1:6">
      <c r="A12396" s="34">
        <v>2084062599</v>
      </c>
      <c r="B12396" s="35" t="s">
        <v>2214</v>
      </c>
      <c r="C12396" s="35" t="s">
        <v>2912</v>
      </c>
      <c r="D12396" s="35" t="s">
        <v>2918</v>
      </c>
      <c r="E12396" s="35" t="s">
        <v>2788</v>
      </c>
    </row>
    <row r="12397" spans="1:6">
      <c r="A12397" s="34">
        <v>2084062600</v>
      </c>
      <c r="B12397" s="35" t="s">
        <v>2214</v>
      </c>
      <c r="C12397" s="35" t="s">
        <v>2912</v>
      </c>
      <c r="D12397" s="35" t="s">
        <v>2918</v>
      </c>
      <c r="E12397" s="35" t="s">
        <v>429</v>
      </c>
    </row>
    <row r="12398" spans="1:6">
      <c r="A12398" s="34">
        <v>2084062586</v>
      </c>
      <c r="B12398" s="35" t="s">
        <v>2214</v>
      </c>
      <c r="C12398" s="35" t="s">
        <v>2912</v>
      </c>
      <c r="D12398" s="35" t="s">
        <v>2919</v>
      </c>
      <c r="E12398" s="35" t="s">
        <v>2823</v>
      </c>
    </row>
    <row r="12399" spans="1:6">
      <c r="A12399" s="34">
        <v>2084062584</v>
      </c>
      <c r="B12399" s="35" t="s">
        <v>2214</v>
      </c>
      <c r="C12399" s="35" t="s">
        <v>2912</v>
      </c>
      <c r="D12399" s="35" t="s">
        <v>2919</v>
      </c>
      <c r="E12399" s="35" t="s">
        <v>2793</v>
      </c>
    </row>
    <row r="12400" spans="1:6">
      <c r="A12400" s="34">
        <v>2084062582</v>
      </c>
      <c r="B12400" s="35" t="s">
        <v>2214</v>
      </c>
      <c r="C12400" s="35" t="s">
        <v>2912</v>
      </c>
      <c r="D12400" s="35" t="s">
        <v>2919</v>
      </c>
      <c r="E12400" s="35" t="s">
        <v>2231</v>
      </c>
      <c r="F12400" s="35" t="s">
        <v>2818</v>
      </c>
    </row>
    <row r="12401" spans="1:6">
      <c r="A12401" s="34">
        <v>2084062581</v>
      </c>
      <c r="B12401" s="35" t="s">
        <v>2214</v>
      </c>
      <c r="C12401" s="35" t="s">
        <v>2912</v>
      </c>
      <c r="D12401" s="35" t="s">
        <v>2919</v>
      </c>
      <c r="E12401" s="35" t="s">
        <v>2231</v>
      </c>
      <c r="F12401" s="35" t="s">
        <v>2820</v>
      </c>
    </row>
    <row r="12402" spans="1:6">
      <c r="A12402" s="34">
        <v>2084062583</v>
      </c>
      <c r="B12402" s="35" t="s">
        <v>2214</v>
      </c>
      <c r="C12402" s="35" t="s">
        <v>2912</v>
      </c>
      <c r="D12402" s="35" t="s">
        <v>2919</v>
      </c>
      <c r="E12402" s="35" t="s">
        <v>2231</v>
      </c>
      <c r="F12402" s="35" t="s">
        <v>429</v>
      </c>
    </row>
    <row r="12403" spans="1:6">
      <c r="A12403" s="34">
        <v>2084062578</v>
      </c>
      <c r="B12403" s="35" t="s">
        <v>2214</v>
      </c>
      <c r="C12403" s="35" t="s">
        <v>2912</v>
      </c>
      <c r="D12403" s="35" t="s">
        <v>2919</v>
      </c>
      <c r="E12403" s="35" t="s">
        <v>2259</v>
      </c>
    </row>
    <row r="12404" spans="1:6">
      <c r="A12404" s="34">
        <v>2084062585</v>
      </c>
      <c r="B12404" s="35" t="s">
        <v>2214</v>
      </c>
      <c r="C12404" s="35" t="s">
        <v>2912</v>
      </c>
      <c r="D12404" s="35" t="s">
        <v>2919</v>
      </c>
      <c r="E12404" s="35" t="s">
        <v>2301</v>
      </c>
    </row>
    <row r="12405" spans="1:6">
      <c r="A12405" s="34">
        <v>2084062579</v>
      </c>
      <c r="B12405" s="35" t="s">
        <v>2214</v>
      </c>
      <c r="C12405" s="35" t="s">
        <v>2912</v>
      </c>
      <c r="D12405" s="35" t="s">
        <v>2919</v>
      </c>
      <c r="E12405" s="35" t="s">
        <v>2821</v>
      </c>
    </row>
    <row r="12406" spans="1:6">
      <c r="A12406" s="34">
        <v>2084062587</v>
      </c>
      <c r="B12406" s="35" t="s">
        <v>2214</v>
      </c>
      <c r="C12406" s="35" t="s">
        <v>2912</v>
      </c>
      <c r="D12406" s="35" t="s">
        <v>2919</v>
      </c>
      <c r="E12406" s="35" t="s">
        <v>429</v>
      </c>
    </row>
    <row r="12407" spans="1:6">
      <c r="A12407" s="34">
        <v>2084062573</v>
      </c>
      <c r="B12407" s="35" t="s">
        <v>2214</v>
      </c>
      <c r="C12407" s="35" t="s">
        <v>2912</v>
      </c>
      <c r="D12407" s="35" t="s">
        <v>2855</v>
      </c>
      <c r="E12407" s="35" t="s">
        <v>2793</v>
      </c>
    </row>
    <row r="12408" spans="1:6">
      <c r="A12408" s="34">
        <v>2084062571</v>
      </c>
      <c r="B12408" s="35" t="s">
        <v>2214</v>
      </c>
      <c r="C12408" s="35" t="s">
        <v>2912</v>
      </c>
      <c r="D12408" s="35" t="s">
        <v>2855</v>
      </c>
      <c r="E12408" s="35" t="s">
        <v>2231</v>
      </c>
      <c r="F12408" s="35" t="s">
        <v>2818</v>
      </c>
    </row>
    <row r="12409" spans="1:6">
      <c r="A12409" s="34">
        <v>2084062570</v>
      </c>
      <c r="B12409" s="35" t="s">
        <v>2214</v>
      </c>
      <c r="C12409" s="35" t="s">
        <v>2912</v>
      </c>
      <c r="D12409" s="35" t="s">
        <v>2855</v>
      </c>
      <c r="E12409" s="35" t="s">
        <v>2231</v>
      </c>
      <c r="F12409" s="35" t="s">
        <v>2820</v>
      </c>
    </row>
    <row r="12410" spans="1:6">
      <c r="A12410" s="34">
        <v>2084062572</v>
      </c>
      <c r="B12410" s="35" t="s">
        <v>2214</v>
      </c>
      <c r="C12410" s="35" t="s">
        <v>2912</v>
      </c>
      <c r="D12410" s="35" t="s">
        <v>2855</v>
      </c>
      <c r="E12410" s="35" t="s">
        <v>2231</v>
      </c>
      <c r="F12410" s="35" t="s">
        <v>429</v>
      </c>
    </row>
    <row r="12411" spans="1:6">
      <c r="A12411" s="34">
        <v>2084062567</v>
      </c>
      <c r="B12411" s="35" t="s">
        <v>2214</v>
      </c>
      <c r="C12411" s="35" t="s">
        <v>2912</v>
      </c>
      <c r="D12411" s="35" t="s">
        <v>2855</v>
      </c>
      <c r="E12411" s="35" t="s">
        <v>2259</v>
      </c>
    </row>
    <row r="12412" spans="1:6">
      <c r="A12412" s="34">
        <v>2084062577</v>
      </c>
      <c r="B12412" s="35" t="s">
        <v>2214</v>
      </c>
      <c r="C12412" s="35" t="s">
        <v>2912</v>
      </c>
      <c r="D12412" s="35" t="s">
        <v>2855</v>
      </c>
      <c r="E12412" s="35" t="s">
        <v>2301</v>
      </c>
    </row>
    <row r="12413" spans="1:6">
      <c r="A12413" s="34">
        <v>2084062568</v>
      </c>
      <c r="B12413" s="35" t="s">
        <v>2214</v>
      </c>
      <c r="C12413" s="35" t="s">
        <v>2912</v>
      </c>
      <c r="D12413" s="35" t="s">
        <v>2855</v>
      </c>
      <c r="E12413" s="35" t="s">
        <v>2821</v>
      </c>
    </row>
    <row r="12414" spans="1:6">
      <c r="A12414" s="34">
        <v>2084062575</v>
      </c>
      <c r="B12414" s="35" t="s">
        <v>2214</v>
      </c>
      <c r="C12414" s="35" t="s">
        <v>2912</v>
      </c>
      <c r="D12414" s="35" t="s">
        <v>2855</v>
      </c>
      <c r="E12414" s="35" t="s">
        <v>2816</v>
      </c>
      <c r="F12414" s="35" t="s">
        <v>2817</v>
      </c>
    </row>
    <row r="12415" spans="1:6">
      <c r="A12415" s="34">
        <v>2084062629</v>
      </c>
      <c r="B12415" s="35" t="s">
        <v>2214</v>
      </c>
      <c r="C12415" s="35" t="s">
        <v>2912</v>
      </c>
      <c r="D12415" s="35" t="s">
        <v>2855</v>
      </c>
      <c r="E12415" s="35" t="s">
        <v>2816</v>
      </c>
      <c r="F12415" s="35" t="s">
        <v>429</v>
      </c>
    </row>
    <row r="12416" spans="1:6">
      <c r="A12416" s="34">
        <v>2084062576</v>
      </c>
      <c r="B12416" s="35" t="s">
        <v>2214</v>
      </c>
      <c r="C12416" s="35" t="s">
        <v>2912</v>
      </c>
      <c r="D12416" s="35" t="s">
        <v>2855</v>
      </c>
      <c r="E12416" s="35" t="s">
        <v>429</v>
      </c>
    </row>
    <row r="12417" spans="1:6">
      <c r="A12417" s="34">
        <v>2084064167</v>
      </c>
      <c r="B12417" s="35" t="s">
        <v>2214</v>
      </c>
      <c r="C12417" s="35" t="s">
        <v>2912</v>
      </c>
      <c r="D12417" s="35" t="s">
        <v>2899</v>
      </c>
      <c r="E12417" s="35" t="s">
        <v>2231</v>
      </c>
    </row>
    <row r="12418" spans="1:6">
      <c r="A12418" s="34">
        <v>2084064166</v>
      </c>
      <c r="B12418" s="35" t="s">
        <v>2214</v>
      </c>
      <c r="C12418" s="35" t="s">
        <v>2912</v>
      </c>
      <c r="D12418" s="35" t="s">
        <v>2899</v>
      </c>
      <c r="E12418" s="35" t="s">
        <v>2259</v>
      </c>
    </row>
    <row r="12419" spans="1:6">
      <c r="A12419" s="34">
        <v>2084064163</v>
      </c>
      <c r="B12419" s="35" t="s">
        <v>2214</v>
      </c>
      <c r="C12419" s="35" t="s">
        <v>2912</v>
      </c>
      <c r="D12419" s="35" t="s">
        <v>2899</v>
      </c>
      <c r="E12419" s="35" t="s">
        <v>2900</v>
      </c>
      <c r="F12419" s="35" t="s">
        <v>2901</v>
      </c>
    </row>
    <row r="12420" spans="1:6">
      <c r="A12420" s="34">
        <v>2084064164</v>
      </c>
      <c r="B12420" s="35" t="s">
        <v>2214</v>
      </c>
      <c r="C12420" s="35" t="s">
        <v>2912</v>
      </c>
      <c r="D12420" s="35" t="s">
        <v>2899</v>
      </c>
      <c r="E12420" s="35" t="s">
        <v>2900</v>
      </c>
      <c r="F12420" s="35" t="s">
        <v>2902</v>
      </c>
    </row>
    <row r="12421" spans="1:6">
      <c r="A12421" s="34">
        <v>2084064165</v>
      </c>
      <c r="B12421" s="35" t="s">
        <v>2214</v>
      </c>
      <c r="C12421" s="35" t="s">
        <v>2912</v>
      </c>
      <c r="D12421" s="35" t="s">
        <v>2899</v>
      </c>
      <c r="E12421" s="35" t="s">
        <v>2900</v>
      </c>
      <c r="F12421" s="35" t="s">
        <v>429</v>
      </c>
    </row>
    <row r="12422" spans="1:6">
      <c r="A12422" s="34">
        <v>2084064169</v>
      </c>
      <c r="B12422" s="35" t="s">
        <v>2214</v>
      </c>
      <c r="C12422" s="35" t="s">
        <v>2912</v>
      </c>
      <c r="D12422" s="35" t="s">
        <v>2899</v>
      </c>
      <c r="E12422" s="35" t="s">
        <v>2903</v>
      </c>
    </row>
    <row r="12423" spans="1:6">
      <c r="A12423" s="34">
        <v>2084064168</v>
      </c>
      <c r="B12423" s="35" t="s">
        <v>2214</v>
      </c>
      <c r="C12423" s="35" t="s">
        <v>2912</v>
      </c>
      <c r="D12423" s="35" t="s">
        <v>2899</v>
      </c>
      <c r="E12423" s="35" t="s">
        <v>2904</v>
      </c>
    </row>
    <row r="12424" spans="1:6">
      <c r="A12424" s="34">
        <v>2084064170</v>
      </c>
      <c r="B12424" s="35" t="s">
        <v>2214</v>
      </c>
      <c r="C12424" s="35" t="s">
        <v>2912</v>
      </c>
      <c r="D12424" s="35" t="s">
        <v>2899</v>
      </c>
      <c r="E12424" s="35" t="s">
        <v>429</v>
      </c>
    </row>
    <row r="12425" spans="1:6">
      <c r="A12425" s="34">
        <v>2084023706</v>
      </c>
      <c r="B12425" s="35" t="s">
        <v>2214</v>
      </c>
      <c r="C12425" s="35" t="s">
        <v>2912</v>
      </c>
      <c r="D12425" s="35" t="s">
        <v>2920</v>
      </c>
    </row>
    <row r="12426" spans="1:6">
      <c r="A12426" s="34">
        <v>2084023711</v>
      </c>
      <c r="B12426" s="35" t="s">
        <v>2214</v>
      </c>
      <c r="C12426" s="35" t="s">
        <v>2912</v>
      </c>
      <c r="D12426" s="35" t="s">
        <v>2921</v>
      </c>
    </row>
    <row r="12427" spans="1:6">
      <c r="A12427" s="34">
        <v>2084062533</v>
      </c>
      <c r="B12427" s="35" t="s">
        <v>2214</v>
      </c>
      <c r="C12427" s="35" t="s">
        <v>2912</v>
      </c>
      <c r="D12427" s="35" t="s">
        <v>2877</v>
      </c>
    </row>
    <row r="12428" spans="1:6">
      <c r="A12428" s="34">
        <v>2084062603</v>
      </c>
      <c r="B12428" s="35" t="s">
        <v>2214</v>
      </c>
      <c r="C12428" s="35" t="s">
        <v>2912</v>
      </c>
      <c r="D12428" s="35" t="s">
        <v>2830</v>
      </c>
      <c r="E12428" s="35" t="s">
        <v>2793</v>
      </c>
    </row>
    <row r="12429" spans="1:6">
      <c r="A12429" s="34">
        <v>2084223351</v>
      </c>
      <c r="B12429" s="35" t="s">
        <v>2214</v>
      </c>
      <c r="C12429" s="35" t="s">
        <v>2912</v>
      </c>
      <c r="D12429" s="35" t="s">
        <v>2830</v>
      </c>
      <c r="E12429" s="35" t="s">
        <v>2231</v>
      </c>
    </row>
    <row r="12430" spans="1:6">
      <c r="A12430" s="34">
        <v>2084062601</v>
      </c>
      <c r="B12430" s="35" t="s">
        <v>2214</v>
      </c>
      <c r="C12430" s="35" t="s">
        <v>2912</v>
      </c>
      <c r="D12430" s="35" t="s">
        <v>2830</v>
      </c>
      <c r="E12430" s="35" t="s">
        <v>2259</v>
      </c>
    </row>
    <row r="12431" spans="1:6">
      <c r="A12431" s="34">
        <v>2084223350</v>
      </c>
      <c r="B12431" s="35" t="s">
        <v>2214</v>
      </c>
      <c r="C12431" s="35" t="s">
        <v>2912</v>
      </c>
      <c r="D12431" s="35" t="s">
        <v>2830</v>
      </c>
      <c r="E12431" s="35" t="s">
        <v>2821</v>
      </c>
    </row>
    <row r="12432" spans="1:6">
      <c r="A12432" s="34">
        <v>2084223470</v>
      </c>
      <c r="B12432" s="35" t="s">
        <v>2214</v>
      </c>
      <c r="C12432" s="35" t="s">
        <v>2912</v>
      </c>
      <c r="D12432" s="35" t="s">
        <v>2830</v>
      </c>
      <c r="E12432" s="35" t="s">
        <v>2826</v>
      </c>
      <c r="F12432" s="35" t="s">
        <v>2892</v>
      </c>
    </row>
    <row r="12433" spans="1:6">
      <c r="A12433" s="34">
        <v>2084223471</v>
      </c>
      <c r="B12433" s="35" t="s">
        <v>2214</v>
      </c>
      <c r="C12433" s="35" t="s">
        <v>2912</v>
      </c>
      <c r="D12433" s="35" t="s">
        <v>2830</v>
      </c>
      <c r="E12433" s="35" t="s">
        <v>2826</v>
      </c>
      <c r="F12433" s="35" t="s">
        <v>2896</v>
      </c>
    </row>
    <row r="12434" spans="1:6">
      <c r="A12434" s="34">
        <v>2084223472</v>
      </c>
      <c r="B12434" s="35" t="s">
        <v>2214</v>
      </c>
      <c r="C12434" s="35" t="s">
        <v>2912</v>
      </c>
      <c r="D12434" s="35" t="s">
        <v>2830</v>
      </c>
      <c r="E12434" s="35" t="s">
        <v>2826</v>
      </c>
      <c r="F12434" s="35" t="s">
        <v>2897</v>
      </c>
    </row>
    <row r="12435" spans="1:6">
      <c r="A12435" s="34">
        <v>2084223473</v>
      </c>
      <c r="B12435" s="35" t="s">
        <v>2214</v>
      </c>
      <c r="C12435" s="35" t="s">
        <v>2912</v>
      </c>
      <c r="D12435" s="35" t="s">
        <v>2830</v>
      </c>
      <c r="E12435" s="35" t="s">
        <v>2826</v>
      </c>
      <c r="F12435" s="35" t="s">
        <v>429</v>
      </c>
    </row>
    <row r="12436" spans="1:6">
      <c r="A12436" s="34">
        <v>2084062604</v>
      </c>
      <c r="B12436" s="35" t="s">
        <v>2214</v>
      </c>
      <c r="C12436" s="35" t="s">
        <v>2912</v>
      </c>
      <c r="D12436" s="35" t="s">
        <v>2830</v>
      </c>
      <c r="E12436" s="35" t="s">
        <v>429</v>
      </c>
    </row>
    <row r="12437" spans="1:6">
      <c r="A12437" s="34">
        <v>2084062070</v>
      </c>
      <c r="B12437" s="35" t="s">
        <v>2214</v>
      </c>
      <c r="C12437" s="35" t="s">
        <v>2912</v>
      </c>
      <c r="D12437" s="35" t="s">
        <v>429</v>
      </c>
    </row>
    <row r="12438" spans="1:6">
      <c r="A12438" s="34">
        <v>2084252432</v>
      </c>
      <c r="B12438" s="35" t="s">
        <v>2214</v>
      </c>
      <c r="C12438" s="35" t="s">
        <v>2305</v>
      </c>
      <c r="D12438" s="35" t="s">
        <v>2306</v>
      </c>
      <c r="E12438" s="35" t="s">
        <v>2307</v>
      </c>
    </row>
    <row r="12439" spans="1:6">
      <c r="A12439" s="34">
        <v>2084303663</v>
      </c>
      <c r="B12439" s="35" t="s">
        <v>2214</v>
      </c>
      <c r="C12439" s="35" t="s">
        <v>2305</v>
      </c>
      <c r="D12439" s="35" t="s">
        <v>2306</v>
      </c>
      <c r="E12439" s="35" t="s">
        <v>2308</v>
      </c>
      <c r="F12439" s="35" t="s">
        <v>2309</v>
      </c>
    </row>
    <row r="12440" spans="1:6">
      <c r="A12440" s="34">
        <v>2084303664</v>
      </c>
      <c r="B12440" s="35" t="s">
        <v>2214</v>
      </c>
      <c r="C12440" s="35" t="s">
        <v>2305</v>
      </c>
      <c r="D12440" s="35" t="s">
        <v>2306</v>
      </c>
      <c r="E12440" s="35" t="s">
        <v>2308</v>
      </c>
      <c r="F12440" s="35" t="s">
        <v>2310</v>
      </c>
    </row>
    <row r="12441" spans="1:6">
      <c r="A12441" s="34">
        <v>2084303665</v>
      </c>
      <c r="B12441" s="35" t="s">
        <v>2214</v>
      </c>
      <c r="C12441" s="35" t="s">
        <v>2305</v>
      </c>
      <c r="D12441" s="35" t="s">
        <v>2306</v>
      </c>
      <c r="E12441" s="35" t="s">
        <v>2308</v>
      </c>
      <c r="F12441" s="35" t="s">
        <v>2311</v>
      </c>
    </row>
    <row r="12442" spans="1:6">
      <c r="A12442" s="34">
        <v>2084303666</v>
      </c>
      <c r="B12442" s="35" t="s">
        <v>2214</v>
      </c>
      <c r="C12442" s="35" t="s">
        <v>2305</v>
      </c>
      <c r="D12442" s="35" t="s">
        <v>2306</v>
      </c>
      <c r="E12442" s="35" t="s">
        <v>2308</v>
      </c>
      <c r="F12442" s="35" t="s">
        <v>2312</v>
      </c>
    </row>
    <row r="12443" spans="1:6">
      <c r="A12443" s="34">
        <v>2084303667</v>
      </c>
      <c r="B12443" s="35" t="s">
        <v>2214</v>
      </c>
      <c r="C12443" s="35" t="s">
        <v>2305</v>
      </c>
      <c r="D12443" s="35" t="s">
        <v>2306</v>
      </c>
      <c r="E12443" s="35" t="s">
        <v>2308</v>
      </c>
      <c r="F12443" s="35" t="s">
        <v>2313</v>
      </c>
    </row>
    <row r="12444" spans="1:6">
      <c r="A12444" s="34">
        <v>2084303668</v>
      </c>
      <c r="B12444" s="35" t="s">
        <v>2214</v>
      </c>
      <c r="C12444" s="35" t="s">
        <v>2305</v>
      </c>
      <c r="D12444" s="35" t="s">
        <v>2306</v>
      </c>
      <c r="E12444" s="35" t="s">
        <v>2308</v>
      </c>
      <c r="F12444" s="35" t="s">
        <v>2314</v>
      </c>
    </row>
    <row r="12445" spans="1:6">
      <c r="A12445" s="34">
        <v>2084303669</v>
      </c>
      <c r="B12445" s="35" t="s">
        <v>2214</v>
      </c>
      <c r="C12445" s="35" t="s">
        <v>2305</v>
      </c>
      <c r="D12445" s="35" t="s">
        <v>2306</v>
      </c>
      <c r="E12445" s="35" t="s">
        <v>2308</v>
      </c>
      <c r="F12445" s="35" t="s">
        <v>335</v>
      </c>
    </row>
    <row r="12446" spans="1:6">
      <c r="A12446" s="34">
        <v>2084252426</v>
      </c>
      <c r="B12446" s="35" t="s">
        <v>2214</v>
      </c>
      <c r="C12446" s="35" t="s">
        <v>2305</v>
      </c>
      <c r="D12446" s="35" t="s">
        <v>2306</v>
      </c>
      <c r="E12446" s="35" t="s">
        <v>2315</v>
      </c>
    </row>
    <row r="12447" spans="1:6">
      <c r="A12447" s="34">
        <v>2084301267</v>
      </c>
      <c r="B12447" s="35" t="s">
        <v>2214</v>
      </c>
      <c r="C12447" s="35" t="s">
        <v>2305</v>
      </c>
      <c r="D12447" s="35" t="s">
        <v>2306</v>
      </c>
      <c r="E12447" s="35" t="s">
        <v>357</v>
      </c>
    </row>
    <row r="12448" spans="1:6">
      <c r="A12448" s="34">
        <v>2084024511</v>
      </c>
      <c r="B12448" s="35" t="s">
        <v>2214</v>
      </c>
      <c r="C12448" s="35" t="s">
        <v>2305</v>
      </c>
      <c r="D12448" s="35" t="s">
        <v>2306</v>
      </c>
      <c r="E12448" s="35" t="s">
        <v>2023</v>
      </c>
    </row>
    <row r="12449" spans="1:6">
      <c r="A12449" s="34">
        <v>2084024528</v>
      </c>
      <c r="B12449" s="35" t="s">
        <v>2214</v>
      </c>
      <c r="C12449" s="35" t="s">
        <v>2305</v>
      </c>
      <c r="D12449" s="35" t="s">
        <v>2306</v>
      </c>
      <c r="E12449" s="35" t="s">
        <v>2316</v>
      </c>
    </row>
    <row r="12450" spans="1:6">
      <c r="A12450" s="34">
        <v>2084252427</v>
      </c>
      <c r="B12450" s="35" t="s">
        <v>2214</v>
      </c>
      <c r="C12450" s="35" t="s">
        <v>2305</v>
      </c>
      <c r="D12450" s="35" t="s">
        <v>2306</v>
      </c>
      <c r="E12450" s="35" t="s">
        <v>2317</v>
      </c>
    </row>
    <row r="12451" spans="1:6">
      <c r="A12451" s="34">
        <v>2084217132</v>
      </c>
      <c r="B12451" s="35" t="s">
        <v>2214</v>
      </c>
      <c r="C12451" s="35" t="s">
        <v>2305</v>
      </c>
      <c r="D12451" s="35" t="s">
        <v>2306</v>
      </c>
      <c r="E12451" s="35" t="s">
        <v>309</v>
      </c>
    </row>
    <row r="12452" spans="1:6">
      <c r="A12452" s="34">
        <v>2084301268</v>
      </c>
      <c r="B12452" s="35" t="s">
        <v>2214</v>
      </c>
      <c r="C12452" s="35" t="s">
        <v>2305</v>
      </c>
      <c r="D12452" s="35" t="s">
        <v>2306</v>
      </c>
      <c r="E12452" s="35" t="s">
        <v>2318</v>
      </c>
    </row>
    <row r="12453" spans="1:6">
      <c r="A12453" s="34">
        <v>2084206922</v>
      </c>
      <c r="B12453" s="35" t="s">
        <v>2214</v>
      </c>
      <c r="C12453" s="35" t="s">
        <v>2305</v>
      </c>
      <c r="D12453" s="35" t="s">
        <v>2306</v>
      </c>
      <c r="E12453" s="35" t="s">
        <v>2319</v>
      </c>
    </row>
    <row r="12454" spans="1:6">
      <c r="A12454" s="34">
        <v>2084024540</v>
      </c>
      <c r="B12454" s="35" t="s">
        <v>2214</v>
      </c>
      <c r="C12454" s="35" t="s">
        <v>2305</v>
      </c>
      <c r="D12454" s="35" t="s">
        <v>2306</v>
      </c>
      <c r="E12454" s="35" t="s">
        <v>2320</v>
      </c>
    </row>
    <row r="12455" spans="1:6">
      <c r="A12455" s="34">
        <v>2084212696</v>
      </c>
      <c r="B12455" s="35" t="s">
        <v>2214</v>
      </c>
      <c r="C12455" s="35" t="s">
        <v>2305</v>
      </c>
      <c r="D12455" s="35" t="s">
        <v>2306</v>
      </c>
      <c r="E12455" s="35" t="s">
        <v>2321</v>
      </c>
    </row>
    <row r="12456" spans="1:6">
      <c r="A12456" s="34">
        <v>2084229202</v>
      </c>
      <c r="B12456" s="35" t="s">
        <v>2214</v>
      </c>
      <c r="C12456" s="35" t="s">
        <v>2305</v>
      </c>
      <c r="D12456" s="35" t="s">
        <v>2306</v>
      </c>
      <c r="E12456" s="35" t="s">
        <v>2322</v>
      </c>
    </row>
    <row r="12457" spans="1:6">
      <c r="A12457" s="34">
        <v>2084252430</v>
      </c>
      <c r="B12457" s="35" t="s">
        <v>2214</v>
      </c>
      <c r="C12457" s="35" t="s">
        <v>2305</v>
      </c>
      <c r="D12457" s="35" t="s">
        <v>2306</v>
      </c>
      <c r="E12457" s="35" t="s">
        <v>2323</v>
      </c>
    </row>
    <row r="12458" spans="1:6">
      <c r="A12458" s="34">
        <v>2084252431</v>
      </c>
      <c r="B12458" s="35" t="s">
        <v>2214</v>
      </c>
      <c r="C12458" s="35" t="s">
        <v>2305</v>
      </c>
      <c r="D12458" s="35" t="s">
        <v>2306</v>
      </c>
      <c r="E12458" s="35" t="s">
        <v>2324</v>
      </c>
    </row>
    <row r="12459" spans="1:6">
      <c r="A12459" s="34">
        <v>2084252433</v>
      </c>
      <c r="B12459" s="35" t="s">
        <v>2214</v>
      </c>
      <c r="C12459" s="35" t="s">
        <v>2305</v>
      </c>
      <c r="D12459" s="35" t="s">
        <v>2306</v>
      </c>
      <c r="E12459" s="35" t="s">
        <v>2325</v>
      </c>
    </row>
    <row r="12460" spans="1:6">
      <c r="A12460" s="34">
        <v>2084024549</v>
      </c>
      <c r="B12460" s="35" t="s">
        <v>2214</v>
      </c>
      <c r="C12460" s="35" t="s">
        <v>2305</v>
      </c>
      <c r="D12460" s="35" t="s">
        <v>2306</v>
      </c>
      <c r="E12460" s="35" t="s">
        <v>2326</v>
      </c>
    </row>
    <row r="12461" spans="1:6">
      <c r="A12461" s="34">
        <v>2084060211</v>
      </c>
      <c r="B12461" s="35" t="s">
        <v>2214</v>
      </c>
      <c r="C12461" s="35" t="s">
        <v>2305</v>
      </c>
      <c r="D12461" s="35" t="s">
        <v>2306</v>
      </c>
      <c r="E12461" s="35" t="s">
        <v>2327</v>
      </c>
    </row>
    <row r="12462" spans="1:6">
      <c r="A12462" s="34">
        <v>2084024513</v>
      </c>
      <c r="B12462" s="35" t="s">
        <v>2214</v>
      </c>
      <c r="C12462" s="35" t="s">
        <v>2305</v>
      </c>
      <c r="D12462" s="35" t="s">
        <v>2306</v>
      </c>
      <c r="E12462" s="35" t="s">
        <v>2328</v>
      </c>
    </row>
    <row r="12463" spans="1:6">
      <c r="A12463" s="34">
        <v>2084209450</v>
      </c>
      <c r="B12463" s="35" t="s">
        <v>2214</v>
      </c>
      <c r="C12463" s="35" t="s">
        <v>2305</v>
      </c>
      <c r="D12463" s="35" t="s">
        <v>2306</v>
      </c>
      <c r="E12463" s="35" t="s">
        <v>717</v>
      </c>
      <c r="F12463" s="35" t="s">
        <v>2329</v>
      </c>
    </row>
    <row r="12464" spans="1:6">
      <c r="A12464" s="34">
        <v>2084209451</v>
      </c>
      <c r="B12464" s="35" t="s">
        <v>2214</v>
      </c>
      <c r="C12464" s="35" t="s">
        <v>2305</v>
      </c>
      <c r="D12464" s="35" t="s">
        <v>2306</v>
      </c>
      <c r="E12464" s="35" t="s">
        <v>717</v>
      </c>
      <c r="F12464" s="35" t="s">
        <v>2330</v>
      </c>
    </row>
    <row r="12465" spans="1:7">
      <c r="A12465" s="34">
        <v>2084209452</v>
      </c>
      <c r="B12465" s="35" t="s">
        <v>2214</v>
      </c>
      <c r="C12465" s="35" t="s">
        <v>2305</v>
      </c>
      <c r="D12465" s="35" t="s">
        <v>2306</v>
      </c>
      <c r="E12465" s="35" t="s">
        <v>717</v>
      </c>
      <c r="F12465" s="35" t="s">
        <v>2331</v>
      </c>
    </row>
    <row r="12466" spans="1:7">
      <c r="A12466" s="34">
        <v>2084209453</v>
      </c>
      <c r="B12466" s="35" t="s">
        <v>2214</v>
      </c>
      <c r="C12466" s="35" t="s">
        <v>2305</v>
      </c>
      <c r="D12466" s="35" t="s">
        <v>2306</v>
      </c>
      <c r="E12466" s="35" t="s">
        <v>717</v>
      </c>
      <c r="F12466" s="35" t="s">
        <v>335</v>
      </c>
    </row>
    <row r="12467" spans="1:7">
      <c r="A12467" s="34">
        <v>2084024547</v>
      </c>
      <c r="B12467" s="35" t="s">
        <v>2214</v>
      </c>
      <c r="C12467" s="35" t="s">
        <v>2305</v>
      </c>
      <c r="D12467" s="35" t="s">
        <v>2306</v>
      </c>
      <c r="E12467" s="35" t="s">
        <v>2332</v>
      </c>
    </row>
    <row r="12468" spans="1:7">
      <c r="A12468" s="34">
        <v>2084221475</v>
      </c>
      <c r="B12468" s="35" t="s">
        <v>2214</v>
      </c>
      <c r="C12468" s="35" t="s">
        <v>2305</v>
      </c>
      <c r="D12468" s="35" t="s">
        <v>2306</v>
      </c>
      <c r="E12468" s="35" t="s">
        <v>2333</v>
      </c>
      <c r="F12468" s="35" t="s">
        <v>2334</v>
      </c>
    </row>
    <row r="12469" spans="1:7">
      <c r="A12469" s="34">
        <v>2084221473</v>
      </c>
      <c r="B12469" s="35" t="s">
        <v>2214</v>
      </c>
      <c r="C12469" s="35" t="s">
        <v>2305</v>
      </c>
      <c r="D12469" s="35" t="s">
        <v>2306</v>
      </c>
      <c r="E12469" s="35" t="s">
        <v>2333</v>
      </c>
      <c r="F12469" s="35" t="s">
        <v>2335</v>
      </c>
    </row>
    <row r="12470" spans="1:7">
      <c r="A12470" s="34">
        <v>2084221474</v>
      </c>
      <c r="B12470" s="35" t="s">
        <v>2214</v>
      </c>
      <c r="C12470" s="35" t="s">
        <v>2305</v>
      </c>
      <c r="D12470" s="35" t="s">
        <v>2306</v>
      </c>
      <c r="E12470" s="35" t="s">
        <v>2333</v>
      </c>
      <c r="F12470" s="35" t="s">
        <v>2336</v>
      </c>
    </row>
    <row r="12471" spans="1:7">
      <c r="A12471" s="34">
        <v>2084221476</v>
      </c>
      <c r="B12471" s="35" t="s">
        <v>2214</v>
      </c>
      <c r="C12471" s="35" t="s">
        <v>2305</v>
      </c>
      <c r="D12471" s="35" t="s">
        <v>2306</v>
      </c>
      <c r="E12471" s="35" t="s">
        <v>2333</v>
      </c>
      <c r="F12471" s="35" t="s">
        <v>335</v>
      </c>
    </row>
    <row r="12472" spans="1:7">
      <c r="A12472" s="34">
        <v>2084053736</v>
      </c>
      <c r="B12472" s="35" t="s">
        <v>2214</v>
      </c>
      <c r="C12472" s="35" t="s">
        <v>2305</v>
      </c>
      <c r="D12472" s="35" t="s">
        <v>2306</v>
      </c>
      <c r="E12472" s="35" t="s">
        <v>2337</v>
      </c>
      <c r="F12472" s="35" t="s">
        <v>2338</v>
      </c>
    </row>
    <row r="12473" spans="1:7">
      <c r="A12473" s="34">
        <v>2084221468</v>
      </c>
      <c r="B12473" s="35" t="s">
        <v>2214</v>
      </c>
      <c r="C12473" s="35" t="s">
        <v>2305</v>
      </c>
      <c r="D12473" s="35" t="s">
        <v>2306</v>
      </c>
      <c r="E12473" s="35" t="s">
        <v>2337</v>
      </c>
      <c r="F12473" s="35" t="s">
        <v>2339</v>
      </c>
      <c r="G12473" s="35" t="s">
        <v>2340</v>
      </c>
    </row>
    <row r="12474" spans="1:7">
      <c r="A12474" s="34">
        <v>2084221466</v>
      </c>
      <c r="B12474" s="35" t="s">
        <v>2214</v>
      </c>
      <c r="C12474" s="35" t="s">
        <v>2305</v>
      </c>
      <c r="D12474" s="35" t="s">
        <v>2306</v>
      </c>
      <c r="E12474" s="35" t="s">
        <v>2337</v>
      </c>
      <c r="F12474" s="35" t="s">
        <v>2339</v>
      </c>
      <c r="G12474" s="35" t="s">
        <v>2341</v>
      </c>
    </row>
    <row r="12475" spans="1:7">
      <c r="A12475" s="34">
        <v>2084221467</v>
      </c>
      <c r="B12475" s="35" t="s">
        <v>2214</v>
      </c>
      <c r="C12475" s="35" t="s">
        <v>2305</v>
      </c>
      <c r="D12475" s="35" t="s">
        <v>2306</v>
      </c>
      <c r="E12475" s="35" t="s">
        <v>2337</v>
      </c>
      <c r="F12475" s="35" t="s">
        <v>2339</v>
      </c>
      <c r="G12475" s="35" t="s">
        <v>2342</v>
      </c>
    </row>
    <row r="12476" spans="1:7">
      <c r="A12476" s="34">
        <v>2084221469</v>
      </c>
      <c r="B12476" s="35" t="s">
        <v>2214</v>
      </c>
      <c r="C12476" s="35" t="s">
        <v>2305</v>
      </c>
      <c r="D12476" s="35" t="s">
        <v>2306</v>
      </c>
      <c r="E12476" s="35" t="s">
        <v>2337</v>
      </c>
      <c r="F12476" s="35" t="s">
        <v>2339</v>
      </c>
      <c r="G12476" s="35" t="s">
        <v>335</v>
      </c>
    </row>
    <row r="12477" spans="1:7">
      <c r="A12477" s="34">
        <v>2084221470</v>
      </c>
      <c r="B12477" s="35" t="s">
        <v>2214</v>
      </c>
      <c r="C12477" s="35" t="s">
        <v>2305</v>
      </c>
      <c r="D12477" s="35" t="s">
        <v>2306</v>
      </c>
      <c r="E12477" s="35" t="s">
        <v>2337</v>
      </c>
      <c r="F12477" s="35" t="s">
        <v>2343</v>
      </c>
      <c r="G12477" s="35" t="s">
        <v>2344</v>
      </c>
    </row>
    <row r="12478" spans="1:7">
      <c r="A12478" s="34">
        <v>2084221471</v>
      </c>
      <c r="B12478" s="35" t="s">
        <v>2214</v>
      </c>
      <c r="C12478" s="35" t="s">
        <v>2305</v>
      </c>
      <c r="D12478" s="35" t="s">
        <v>2306</v>
      </c>
      <c r="E12478" s="35" t="s">
        <v>2337</v>
      </c>
      <c r="F12478" s="35" t="s">
        <v>2343</v>
      </c>
      <c r="G12478" s="35" t="s">
        <v>2345</v>
      </c>
    </row>
    <row r="12479" spans="1:7">
      <c r="A12479" s="34">
        <v>2084221472</v>
      </c>
      <c r="B12479" s="35" t="s">
        <v>2214</v>
      </c>
      <c r="C12479" s="35" t="s">
        <v>2305</v>
      </c>
      <c r="D12479" s="35" t="s">
        <v>2306</v>
      </c>
      <c r="E12479" s="35" t="s">
        <v>2337</v>
      </c>
      <c r="F12479" s="35" t="s">
        <v>2343</v>
      </c>
      <c r="G12479" s="35" t="s">
        <v>335</v>
      </c>
    </row>
    <row r="12480" spans="1:7">
      <c r="A12480" s="34">
        <v>2084053739</v>
      </c>
      <c r="B12480" s="35" t="s">
        <v>2214</v>
      </c>
      <c r="C12480" s="35" t="s">
        <v>2305</v>
      </c>
      <c r="D12480" s="35" t="s">
        <v>2306</v>
      </c>
      <c r="E12480" s="35" t="s">
        <v>2337</v>
      </c>
      <c r="F12480" s="35" t="s">
        <v>2346</v>
      </c>
    </row>
    <row r="12481" spans="1:7">
      <c r="A12481" s="34">
        <v>2084310825</v>
      </c>
      <c r="B12481" s="35" t="s">
        <v>2214</v>
      </c>
      <c r="C12481" s="35" t="s">
        <v>2305</v>
      </c>
      <c r="D12481" s="35" t="s">
        <v>2306</v>
      </c>
      <c r="E12481" s="35" t="s">
        <v>2337</v>
      </c>
      <c r="F12481" s="35" t="s">
        <v>2347</v>
      </c>
    </row>
    <row r="12482" spans="1:7">
      <c r="A12482" s="34">
        <v>2084310824</v>
      </c>
      <c r="B12482" s="35" t="s">
        <v>2214</v>
      </c>
      <c r="C12482" s="35" t="s">
        <v>2305</v>
      </c>
      <c r="D12482" s="35" t="s">
        <v>2306</v>
      </c>
      <c r="E12482" s="35" t="s">
        <v>2337</v>
      </c>
      <c r="F12482" s="35" t="s">
        <v>2348</v>
      </c>
    </row>
    <row r="12483" spans="1:7">
      <c r="A12483" s="34">
        <v>2084310826</v>
      </c>
      <c r="B12483" s="35" t="s">
        <v>2214</v>
      </c>
      <c r="C12483" s="35" t="s">
        <v>2305</v>
      </c>
      <c r="D12483" s="35" t="s">
        <v>2306</v>
      </c>
      <c r="E12483" s="35" t="s">
        <v>2337</v>
      </c>
      <c r="F12483" s="35" t="s">
        <v>2349</v>
      </c>
    </row>
    <row r="12484" spans="1:7">
      <c r="A12484" s="34">
        <v>2084053740</v>
      </c>
      <c r="B12484" s="35" t="s">
        <v>2214</v>
      </c>
      <c r="C12484" s="35" t="s">
        <v>2305</v>
      </c>
      <c r="D12484" s="35" t="s">
        <v>2306</v>
      </c>
      <c r="E12484" s="35" t="s">
        <v>2337</v>
      </c>
      <c r="F12484" s="35" t="s">
        <v>335</v>
      </c>
    </row>
    <row r="12485" spans="1:7">
      <c r="A12485" s="34">
        <v>2084211535</v>
      </c>
      <c r="B12485" s="35" t="s">
        <v>2214</v>
      </c>
      <c r="C12485" s="35" t="s">
        <v>2305</v>
      </c>
      <c r="D12485" s="35" t="s">
        <v>2306</v>
      </c>
      <c r="E12485" s="35" t="s">
        <v>2350</v>
      </c>
      <c r="F12485" s="35" t="s">
        <v>2351</v>
      </c>
    </row>
    <row r="12486" spans="1:7">
      <c r="A12486" s="34">
        <v>2084211536</v>
      </c>
      <c r="B12486" s="35" t="s">
        <v>2214</v>
      </c>
      <c r="C12486" s="35" t="s">
        <v>2305</v>
      </c>
      <c r="D12486" s="35" t="s">
        <v>2306</v>
      </c>
      <c r="E12486" s="35" t="s">
        <v>2350</v>
      </c>
      <c r="F12486" s="35" t="s">
        <v>2352</v>
      </c>
    </row>
    <row r="12487" spans="1:7">
      <c r="A12487" s="34">
        <v>2084211537</v>
      </c>
      <c r="B12487" s="35" t="s">
        <v>2214</v>
      </c>
      <c r="C12487" s="35" t="s">
        <v>2305</v>
      </c>
      <c r="D12487" s="35" t="s">
        <v>2306</v>
      </c>
      <c r="E12487" s="35" t="s">
        <v>2350</v>
      </c>
      <c r="F12487" s="35" t="s">
        <v>335</v>
      </c>
    </row>
    <row r="12488" spans="1:7">
      <c r="A12488" s="34">
        <v>2084024537</v>
      </c>
      <c r="B12488" s="35" t="s">
        <v>2214</v>
      </c>
      <c r="C12488" s="35" t="s">
        <v>2305</v>
      </c>
      <c r="D12488" s="35" t="s">
        <v>2306</v>
      </c>
      <c r="E12488" s="35" t="s">
        <v>2353</v>
      </c>
    </row>
    <row r="12489" spans="1:7">
      <c r="A12489" s="34">
        <v>2084252428</v>
      </c>
      <c r="B12489" s="35" t="s">
        <v>2214</v>
      </c>
      <c r="C12489" s="35" t="s">
        <v>2305</v>
      </c>
      <c r="D12489" s="35" t="s">
        <v>2306</v>
      </c>
      <c r="E12489" s="35" t="s">
        <v>2354</v>
      </c>
    </row>
    <row r="12490" spans="1:7">
      <c r="A12490" s="34">
        <v>2084252429</v>
      </c>
      <c r="B12490" s="35" t="s">
        <v>2214</v>
      </c>
      <c r="C12490" s="35" t="s">
        <v>2305</v>
      </c>
      <c r="D12490" s="35" t="s">
        <v>2306</v>
      </c>
      <c r="E12490" s="35" t="s">
        <v>2355</v>
      </c>
    </row>
    <row r="12491" spans="1:7">
      <c r="A12491" s="34">
        <v>2084024531</v>
      </c>
      <c r="B12491" s="35" t="s">
        <v>2214</v>
      </c>
      <c r="C12491" s="35" t="s">
        <v>2305</v>
      </c>
      <c r="D12491" s="35" t="s">
        <v>2306</v>
      </c>
      <c r="E12491" s="35" t="s">
        <v>323</v>
      </c>
    </row>
    <row r="12492" spans="1:7">
      <c r="A12492" s="34">
        <v>2084224440</v>
      </c>
      <c r="B12492" s="35" t="s">
        <v>2214</v>
      </c>
      <c r="C12492" s="35" t="s">
        <v>2305</v>
      </c>
      <c r="D12492" s="35" t="s">
        <v>2306</v>
      </c>
      <c r="E12492" s="35" t="s">
        <v>2356</v>
      </c>
    </row>
    <row r="12493" spans="1:7">
      <c r="A12493" s="34">
        <v>2084262308</v>
      </c>
      <c r="B12493" s="35" t="s">
        <v>2214</v>
      </c>
      <c r="C12493" s="35" t="s">
        <v>2305</v>
      </c>
      <c r="D12493" s="35" t="s">
        <v>2357</v>
      </c>
      <c r="E12493" s="35" t="s">
        <v>2358</v>
      </c>
      <c r="F12493" s="35" t="s">
        <v>2359</v>
      </c>
      <c r="G12493" s="35" t="s">
        <v>2360</v>
      </c>
    </row>
    <row r="12494" spans="1:7">
      <c r="A12494" s="34">
        <v>2084045113</v>
      </c>
      <c r="B12494" s="35" t="s">
        <v>2214</v>
      </c>
      <c r="C12494" s="35" t="s">
        <v>2305</v>
      </c>
      <c r="D12494" s="35" t="s">
        <v>2357</v>
      </c>
      <c r="E12494" s="35" t="s">
        <v>2358</v>
      </c>
      <c r="F12494" s="35" t="s">
        <v>2359</v>
      </c>
      <c r="G12494" s="35" t="s">
        <v>2361</v>
      </c>
    </row>
    <row r="12495" spans="1:7">
      <c r="A12495" s="34">
        <v>2084207806</v>
      </c>
      <c r="B12495" s="35" t="s">
        <v>2214</v>
      </c>
      <c r="C12495" s="35" t="s">
        <v>2305</v>
      </c>
      <c r="D12495" s="35" t="s">
        <v>2357</v>
      </c>
      <c r="E12495" s="35" t="s">
        <v>2358</v>
      </c>
      <c r="F12495" s="35" t="s">
        <v>2359</v>
      </c>
      <c r="G12495" s="35" t="s">
        <v>2362</v>
      </c>
    </row>
    <row r="12496" spans="1:7">
      <c r="A12496" s="34">
        <v>2084262305</v>
      </c>
      <c r="B12496" s="35" t="s">
        <v>2214</v>
      </c>
      <c r="C12496" s="35" t="s">
        <v>2305</v>
      </c>
      <c r="D12496" s="35" t="s">
        <v>2357</v>
      </c>
      <c r="E12496" s="35" t="s">
        <v>2358</v>
      </c>
      <c r="F12496" s="35" t="s">
        <v>2359</v>
      </c>
      <c r="G12496" s="35" t="s">
        <v>2363</v>
      </c>
    </row>
    <row r="12497" spans="1:7">
      <c r="A12497" s="34">
        <v>2084045112</v>
      </c>
      <c r="B12497" s="35" t="s">
        <v>2214</v>
      </c>
      <c r="C12497" s="35" t="s">
        <v>2305</v>
      </c>
      <c r="D12497" s="35" t="s">
        <v>2357</v>
      </c>
      <c r="E12497" s="35" t="s">
        <v>2358</v>
      </c>
      <c r="F12497" s="35" t="s">
        <v>2359</v>
      </c>
      <c r="G12497" s="35" t="s">
        <v>2364</v>
      </c>
    </row>
    <row r="12498" spans="1:7">
      <c r="A12498" s="34">
        <v>2084045115</v>
      </c>
      <c r="B12498" s="35" t="s">
        <v>2214</v>
      </c>
      <c r="C12498" s="35" t="s">
        <v>2305</v>
      </c>
      <c r="D12498" s="35" t="s">
        <v>2357</v>
      </c>
      <c r="E12498" s="35" t="s">
        <v>2358</v>
      </c>
      <c r="F12498" s="35" t="s">
        <v>2359</v>
      </c>
      <c r="G12498" s="35" t="s">
        <v>2365</v>
      </c>
    </row>
    <row r="12499" spans="1:7">
      <c r="A12499" s="34">
        <v>2084045111</v>
      </c>
      <c r="B12499" s="35" t="s">
        <v>2214</v>
      </c>
      <c r="C12499" s="35" t="s">
        <v>2305</v>
      </c>
      <c r="D12499" s="35" t="s">
        <v>2357</v>
      </c>
      <c r="E12499" s="35" t="s">
        <v>2358</v>
      </c>
      <c r="F12499" s="35" t="s">
        <v>2359</v>
      </c>
      <c r="G12499" s="35" t="s">
        <v>2366</v>
      </c>
    </row>
    <row r="12500" spans="1:7">
      <c r="A12500" s="34">
        <v>2084045118</v>
      </c>
      <c r="B12500" s="35" t="s">
        <v>2214</v>
      </c>
      <c r="C12500" s="35" t="s">
        <v>2305</v>
      </c>
      <c r="D12500" s="35" t="s">
        <v>2357</v>
      </c>
      <c r="E12500" s="35" t="s">
        <v>2358</v>
      </c>
      <c r="F12500" s="35" t="s">
        <v>2359</v>
      </c>
      <c r="G12500" s="35" t="s">
        <v>2367</v>
      </c>
    </row>
    <row r="12501" spans="1:7">
      <c r="A12501" s="34">
        <v>2084041609</v>
      </c>
      <c r="B12501" s="35" t="s">
        <v>2214</v>
      </c>
      <c r="C12501" s="35" t="s">
        <v>2305</v>
      </c>
      <c r="D12501" s="35" t="s">
        <v>2357</v>
      </c>
      <c r="E12501" s="35" t="s">
        <v>2358</v>
      </c>
      <c r="F12501" s="35" t="s">
        <v>2359</v>
      </c>
      <c r="G12501" s="35" t="s">
        <v>2368</v>
      </c>
    </row>
    <row r="12502" spans="1:7">
      <c r="A12502" s="34">
        <v>2084262304</v>
      </c>
      <c r="B12502" s="35" t="s">
        <v>2214</v>
      </c>
      <c r="C12502" s="35" t="s">
        <v>2305</v>
      </c>
      <c r="D12502" s="35" t="s">
        <v>2357</v>
      </c>
      <c r="E12502" s="35" t="s">
        <v>2358</v>
      </c>
      <c r="F12502" s="35" t="s">
        <v>2359</v>
      </c>
      <c r="G12502" s="35" t="s">
        <v>2369</v>
      </c>
    </row>
    <row r="12503" spans="1:7">
      <c r="A12503" s="34">
        <v>2084207808</v>
      </c>
      <c r="B12503" s="35" t="s">
        <v>2214</v>
      </c>
      <c r="C12503" s="35" t="s">
        <v>2305</v>
      </c>
      <c r="D12503" s="35" t="s">
        <v>2357</v>
      </c>
      <c r="E12503" s="35" t="s">
        <v>2358</v>
      </c>
      <c r="F12503" s="35" t="s">
        <v>2359</v>
      </c>
      <c r="G12503" s="35" t="s">
        <v>2370</v>
      </c>
    </row>
    <row r="12504" spans="1:7">
      <c r="A12504" s="34">
        <v>2084045121</v>
      </c>
      <c r="B12504" s="35" t="s">
        <v>2214</v>
      </c>
      <c r="C12504" s="35" t="s">
        <v>2305</v>
      </c>
      <c r="D12504" s="35" t="s">
        <v>2357</v>
      </c>
      <c r="E12504" s="35" t="s">
        <v>2358</v>
      </c>
      <c r="F12504" s="35" t="s">
        <v>2359</v>
      </c>
      <c r="G12504" s="35" t="s">
        <v>2371</v>
      </c>
    </row>
    <row r="12505" spans="1:7">
      <c r="A12505" s="34">
        <v>2084041606</v>
      </c>
      <c r="B12505" s="35" t="s">
        <v>2214</v>
      </c>
      <c r="C12505" s="35" t="s">
        <v>2305</v>
      </c>
      <c r="D12505" s="35" t="s">
        <v>2357</v>
      </c>
      <c r="E12505" s="35" t="s">
        <v>2358</v>
      </c>
      <c r="F12505" s="35" t="s">
        <v>2359</v>
      </c>
      <c r="G12505" s="35" t="s">
        <v>2372</v>
      </c>
    </row>
    <row r="12506" spans="1:7">
      <c r="A12506" s="34">
        <v>2084045119</v>
      </c>
      <c r="B12506" s="35" t="s">
        <v>2214</v>
      </c>
      <c r="C12506" s="35" t="s">
        <v>2305</v>
      </c>
      <c r="D12506" s="35" t="s">
        <v>2357</v>
      </c>
      <c r="E12506" s="35" t="s">
        <v>2358</v>
      </c>
      <c r="F12506" s="35" t="s">
        <v>2359</v>
      </c>
      <c r="G12506" s="35" t="s">
        <v>2373</v>
      </c>
    </row>
    <row r="12507" spans="1:7">
      <c r="A12507" s="34">
        <v>2084262307</v>
      </c>
      <c r="B12507" s="35" t="s">
        <v>2214</v>
      </c>
      <c r="C12507" s="35" t="s">
        <v>2305</v>
      </c>
      <c r="D12507" s="35" t="s">
        <v>2357</v>
      </c>
      <c r="E12507" s="35" t="s">
        <v>2358</v>
      </c>
      <c r="F12507" s="35" t="s">
        <v>2359</v>
      </c>
      <c r="G12507" s="35" t="s">
        <v>2374</v>
      </c>
    </row>
    <row r="12508" spans="1:7">
      <c r="A12508" s="34">
        <v>2084041607</v>
      </c>
      <c r="B12508" s="35" t="s">
        <v>2214</v>
      </c>
      <c r="C12508" s="35" t="s">
        <v>2305</v>
      </c>
      <c r="D12508" s="35" t="s">
        <v>2357</v>
      </c>
      <c r="E12508" s="35" t="s">
        <v>2358</v>
      </c>
      <c r="F12508" s="35" t="s">
        <v>2359</v>
      </c>
      <c r="G12508" s="35" t="s">
        <v>2375</v>
      </c>
    </row>
    <row r="12509" spans="1:7">
      <c r="A12509" s="34">
        <v>2084041608</v>
      </c>
      <c r="B12509" s="35" t="s">
        <v>2214</v>
      </c>
      <c r="C12509" s="35" t="s">
        <v>2305</v>
      </c>
      <c r="D12509" s="35" t="s">
        <v>2357</v>
      </c>
      <c r="E12509" s="35" t="s">
        <v>2358</v>
      </c>
      <c r="F12509" s="35" t="s">
        <v>2359</v>
      </c>
      <c r="G12509" s="35" t="s">
        <v>2376</v>
      </c>
    </row>
    <row r="12510" spans="1:7">
      <c r="A12510" s="34">
        <v>2084045108</v>
      </c>
      <c r="B12510" s="35" t="s">
        <v>2214</v>
      </c>
      <c r="C12510" s="35" t="s">
        <v>2305</v>
      </c>
      <c r="D12510" s="35" t="s">
        <v>2357</v>
      </c>
      <c r="E12510" s="35" t="s">
        <v>2358</v>
      </c>
      <c r="F12510" s="35" t="s">
        <v>2359</v>
      </c>
      <c r="G12510" s="35" t="s">
        <v>2377</v>
      </c>
    </row>
    <row r="12511" spans="1:7">
      <c r="A12511" s="34">
        <v>2084045110</v>
      </c>
      <c r="B12511" s="35" t="s">
        <v>2214</v>
      </c>
      <c r="C12511" s="35" t="s">
        <v>2305</v>
      </c>
      <c r="D12511" s="35" t="s">
        <v>2357</v>
      </c>
      <c r="E12511" s="35" t="s">
        <v>2358</v>
      </c>
      <c r="F12511" s="35" t="s">
        <v>2359</v>
      </c>
      <c r="G12511" s="35" t="s">
        <v>2378</v>
      </c>
    </row>
    <row r="12512" spans="1:7">
      <c r="A12512" s="34">
        <v>2084045109</v>
      </c>
      <c r="B12512" s="35" t="s">
        <v>2214</v>
      </c>
      <c r="C12512" s="35" t="s">
        <v>2305</v>
      </c>
      <c r="D12512" s="35" t="s">
        <v>2357</v>
      </c>
      <c r="E12512" s="35" t="s">
        <v>2358</v>
      </c>
      <c r="F12512" s="35" t="s">
        <v>2359</v>
      </c>
      <c r="G12512" s="35" t="s">
        <v>2379</v>
      </c>
    </row>
    <row r="12513" spans="1:8">
      <c r="A12513" s="34">
        <v>2084045114</v>
      </c>
      <c r="B12513" s="35" t="s">
        <v>2214</v>
      </c>
      <c r="C12513" s="35" t="s">
        <v>2305</v>
      </c>
      <c r="D12513" s="35" t="s">
        <v>2357</v>
      </c>
      <c r="E12513" s="35" t="s">
        <v>2358</v>
      </c>
      <c r="F12513" s="35" t="s">
        <v>2359</v>
      </c>
      <c r="G12513" s="35" t="s">
        <v>2380</v>
      </c>
    </row>
    <row r="12514" spans="1:8">
      <c r="A12514" s="34">
        <v>2084262306</v>
      </c>
      <c r="B12514" s="35" t="s">
        <v>2214</v>
      </c>
      <c r="C12514" s="35" t="s">
        <v>2305</v>
      </c>
      <c r="D12514" s="35" t="s">
        <v>2357</v>
      </c>
      <c r="E12514" s="35" t="s">
        <v>2358</v>
      </c>
      <c r="F12514" s="35" t="s">
        <v>2359</v>
      </c>
      <c r="G12514" s="35" t="s">
        <v>2381</v>
      </c>
    </row>
    <row r="12515" spans="1:8">
      <c r="A12515" s="34">
        <v>2084207803</v>
      </c>
      <c r="B12515" s="35" t="s">
        <v>2214</v>
      </c>
      <c r="C12515" s="35" t="s">
        <v>2305</v>
      </c>
      <c r="D12515" s="35" t="s">
        <v>2357</v>
      </c>
      <c r="E12515" s="35" t="s">
        <v>2358</v>
      </c>
      <c r="F12515" s="35" t="s">
        <v>2359</v>
      </c>
      <c r="G12515" s="35" t="s">
        <v>2382</v>
      </c>
      <c r="H12515" s="35" t="s">
        <v>2383</v>
      </c>
    </row>
    <row r="12516" spans="1:8">
      <c r="A12516" s="34">
        <v>2084207802</v>
      </c>
      <c r="B12516" s="35" t="s">
        <v>2214</v>
      </c>
      <c r="C12516" s="35" t="s">
        <v>2305</v>
      </c>
      <c r="D12516" s="35" t="s">
        <v>2357</v>
      </c>
      <c r="E12516" s="35" t="s">
        <v>2358</v>
      </c>
      <c r="F12516" s="35" t="s">
        <v>2359</v>
      </c>
      <c r="G12516" s="35" t="s">
        <v>2382</v>
      </c>
      <c r="H12516" s="35" t="s">
        <v>2384</v>
      </c>
    </row>
    <row r="12517" spans="1:8">
      <c r="A12517" s="34">
        <v>2084207804</v>
      </c>
      <c r="B12517" s="35" t="s">
        <v>2214</v>
      </c>
      <c r="C12517" s="35" t="s">
        <v>2305</v>
      </c>
      <c r="D12517" s="35" t="s">
        <v>2357</v>
      </c>
      <c r="E12517" s="35" t="s">
        <v>2358</v>
      </c>
      <c r="F12517" s="35" t="s">
        <v>2359</v>
      </c>
      <c r="G12517" s="35" t="s">
        <v>2382</v>
      </c>
      <c r="H12517" s="35" t="s">
        <v>2385</v>
      </c>
    </row>
    <row r="12518" spans="1:8">
      <c r="A12518" s="34">
        <v>2084207805</v>
      </c>
      <c r="B12518" s="35" t="s">
        <v>2214</v>
      </c>
      <c r="C12518" s="35" t="s">
        <v>2305</v>
      </c>
      <c r="D12518" s="35" t="s">
        <v>2357</v>
      </c>
      <c r="E12518" s="35" t="s">
        <v>2358</v>
      </c>
      <c r="F12518" s="35" t="s">
        <v>2359</v>
      </c>
      <c r="G12518" s="35" t="s">
        <v>2382</v>
      </c>
      <c r="H12518" s="35" t="s">
        <v>335</v>
      </c>
    </row>
    <row r="12519" spans="1:8">
      <c r="A12519" s="34">
        <v>2084207809</v>
      </c>
      <c r="B12519" s="35" t="s">
        <v>2214</v>
      </c>
      <c r="C12519" s="35" t="s">
        <v>2305</v>
      </c>
      <c r="D12519" s="35" t="s">
        <v>2357</v>
      </c>
      <c r="E12519" s="35" t="s">
        <v>2358</v>
      </c>
      <c r="F12519" s="35" t="s">
        <v>2359</v>
      </c>
      <c r="G12519" s="35" t="s">
        <v>2386</v>
      </c>
    </row>
    <row r="12520" spans="1:8">
      <c r="A12520" s="34">
        <v>2084207807</v>
      </c>
      <c r="B12520" s="35" t="s">
        <v>2214</v>
      </c>
      <c r="C12520" s="35" t="s">
        <v>2305</v>
      </c>
      <c r="D12520" s="35" t="s">
        <v>2357</v>
      </c>
      <c r="E12520" s="35" t="s">
        <v>2358</v>
      </c>
      <c r="F12520" s="35" t="s">
        <v>2359</v>
      </c>
      <c r="G12520" s="35" t="s">
        <v>2387</v>
      </c>
    </row>
    <row r="12521" spans="1:8">
      <c r="A12521" s="34">
        <v>2084045120</v>
      </c>
      <c r="B12521" s="35" t="s">
        <v>2214</v>
      </c>
      <c r="C12521" s="35" t="s">
        <v>2305</v>
      </c>
      <c r="D12521" s="35" t="s">
        <v>2357</v>
      </c>
      <c r="E12521" s="35" t="s">
        <v>2358</v>
      </c>
      <c r="F12521" s="35" t="s">
        <v>2359</v>
      </c>
      <c r="G12521" s="35" t="s">
        <v>2388</v>
      </c>
    </row>
    <row r="12522" spans="1:8">
      <c r="A12522" s="34">
        <v>2084045117</v>
      </c>
      <c r="B12522" s="35" t="s">
        <v>2214</v>
      </c>
      <c r="C12522" s="35" t="s">
        <v>2305</v>
      </c>
      <c r="D12522" s="35" t="s">
        <v>2357</v>
      </c>
      <c r="E12522" s="35" t="s">
        <v>2358</v>
      </c>
      <c r="F12522" s="35" t="s">
        <v>2359</v>
      </c>
      <c r="G12522" s="35" t="s">
        <v>2389</v>
      </c>
    </row>
    <row r="12523" spans="1:8">
      <c r="A12523" s="34">
        <v>2084045116</v>
      </c>
      <c r="B12523" s="35" t="s">
        <v>2214</v>
      </c>
      <c r="C12523" s="35" t="s">
        <v>2305</v>
      </c>
      <c r="D12523" s="35" t="s">
        <v>2357</v>
      </c>
      <c r="E12523" s="35" t="s">
        <v>2358</v>
      </c>
      <c r="F12523" s="35" t="s">
        <v>2359</v>
      </c>
      <c r="G12523" s="35" t="s">
        <v>2390</v>
      </c>
    </row>
    <row r="12524" spans="1:8">
      <c r="A12524" s="34">
        <v>2084041611</v>
      </c>
      <c r="B12524" s="35" t="s">
        <v>2214</v>
      </c>
      <c r="C12524" s="35" t="s">
        <v>2305</v>
      </c>
      <c r="D12524" s="35" t="s">
        <v>2357</v>
      </c>
      <c r="E12524" s="35" t="s">
        <v>2358</v>
      </c>
      <c r="F12524" s="35" t="s">
        <v>2359</v>
      </c>
      <c r="G12524" s="35" t="s">
        <v>2391</v>
      </c>
    </row>
    <row r="12525" spans="1:8">
      <c r="A12525" s="34">
        <v>2084041610</v>
      </c>
      <c r="B12525" s="35" t="s">
        <v>2214</v>
      </c>
      <c r="C12525" s="35" t="s">
        <v>2305</v>
      </c>
      <c r="D12525" s="35" t="s">
        <v>2357</v>
      </c>
      <c r="E12525" s="35" t="s">
        <v>2358</v>
      </c>
      <c r="F12525" s="35" t="s">
        <v>2359</v>
      </c>
      <c r="G12525" s="35" t="s">
        <v>335</v>
      </c>
    </row>
    <row r="12526" spans="1:8">
      <c r="A12526" s="34">
        <v>2084209448</v>
      </c>
      <c r="B12526" s="35" t="s">
        <v>2214</v>
      </c>
      <c r="C12526" s="35" t="s">
        <v>2305</v>
      </c>
      <c r="D12526" s="35" t="s">
        <v>2357</v>
      </c>
      <c r="E12526" s="35" t="s">
        <v>2358</v>
      </c>
      <c r="F12526" s="35" t="s">
        <v>2392</v>
      </c>
      <c r="G12526" s="35" t="s">
        <v>2393</v>
      </c>
    </row>
    <row r="12527" spans="1:8">
      <c r="A12527" s="34">
        <v>2084209447</v>
      </c>
      <c r="B12527" s="35" t="s">
        <v>2214</v>
      </c>
      <c r="C12527" s="35" t="s">
        <v>2305</v>
      </c>
      <c r="D12527" s="35" t="s">
        <v>2357</v>
      </c>
      <c r="E12527" s="35" t="s">
        <v>2358</v>
      </c>
      <c r="F12527" s="35" t="s">
        <v>2392</v>
      </c>
      <c r="G12527" s="35" t="s">
        <v>2394</v>
      </c>
    </row>
    <row r="12528" spans="1:8">
      <c r="A12528" s="34">
        <v>2084209446</v>
      </c>
      <c r="B12528" s="35" t="s">
        <v>2214</v>
      </c>
      <c r="C12528" s="35" t="s">
        <v>2305</v>
      </c>
      <c r="D12528" s="35" t="s">
        <v>2357</v>
      </c>
      <c r="E12528" s="35" t="s">
        <v>2358</v>
      </c>
      <c r="F12528" s="35" t="s">
        <v>2392</v>
      </c>
      <c r="G12528" s="35" t="s">
        <v>2395</v>
      </c>
    </row>
    <row r="12529" spans="1:7">
      <c r="A12529" s="34">
        <v>2084209445</v>
      </c>
      <c r="B12529" s="35" t="s">
        <v>2214</v>
      </c>
      <c r="C12529" s="35" t="s">
        <v>2305</v>
      </c>
      <c r="D12529" s="35" t="s">
        <v>2357</v>
      </c>
      <c r="E12529" s="35" t="s">
        <v>2358</v>
      </c>
      <c r="F12529" s="35" t="s">
        <v>2392</v>
      </c>
      <c r="G12529" s="35" t="s">
        <v>2396</v>
      </c>
    </row>
    <row r="12530" spans="1:7">
      <c r="A12530" s="34">
        <v>2084209449</v>
      </c>
      <c r="B12530" s="35" t="s">
        <v>2214</v>
      </c>
      <c r="C12530" s="35" t="s">
        <v>2305</v>
      </c>
      <c r="D12530" s="35" t="s">
        <v>2357</v>
      </c>
      <c r="E12530" s="35" t="s">
        <v>2358</v>
      </c>
      <c r="F12530" s="35" t="s">
        <v>2392</v>
      </c>
      <c r="G12530" s="35" t="s">
        <v>335</v>
      </c>
    </row>
    <row r="12531" spans="1:7">
      <c r="A12531" s="34">
        <v>2084032116</v>
      </c>
      <c r="B12531" s="35" t="s">
        <v>2214</v>
      </c>
      <c r="C12531" s="35" t="s">
        <v>2305</v>
      </c>
      <c r="D12531" s="35" t="s">
        <v>2357</v>
      </c>
      <c r="E12531" s="35" t="s">
        <v>2358</v>
      </c>
      <c r="F12531" s="35" t="s">
        <v>2397</v>
      </c>
    </row>
    <row r="12532" spans="1:7">
      <c r="A12532" s="34">
        <v>2084310827</v>
      </c>
      <c r="B12532" s="35" t="s">
        <v>2214</v>
      </c>
      <c r="C12532" s="35" t="s">
        <v>2305</v>
      </c>
      <c r="D12532" s="35" t="s">
        <v>2357</v>
      </c>
      <c r="E12532" s="35" t="s">
        <v>2358</v>
      </c>
      <c r="F12532" s="35" t="s">
        <v>2398</v>
      </c>
    </row>
    <row r="12533" spans="1:7">
      <c r="A12533" s="34">
        <v>2084211406</v>
      </c>
      <c r="B12533" s="35" t="s">
        <v>2214</v>
      </c>
      <c r="C12533" s="35" t="s">
        <v>2305</v>
      </c>
      <c r="D12533" s="35" t="s">
        <v>2357</v>
      </c>
      <c r="E12533" s="35" t="s">
        <v>2358</v>
      </c>
      <c r="F12533" s="35" t="s">
        <v>2399</v>
      </c>
    </row>
    <row r="12534" spans="1:7">
      <c r="A12534" s="34">
        <v>2084032138</v>
      </c>
      <c r="B12534" s="35" t="s">
        <v>2214</v>
      </c>
      <c r="C12534" s="35" t="s">
        <v>2305</v>
      </c>
      <c r="D12534" s="35" t="s">
        <v>2357</v>
      </c>
      <c r="E12534" s="35" t="s">
        <v>2358</v>
      </c>
      <c r="F12534" s="35" t="s">
        <v>335</v>
      </c>
    </row>
    <row r="12535" spans="1:7">
      <c r="A12535" s="34">
        <v>2084226882</v>
      </c>
      <c r="B12535" s="35" t="s">
        <v>2214</v>
      </c>
      <c r="C12535" s="35" t="s">
        <v>2305</v>
      </c>
      <c r="D12535" s="35" t="s">
        <v>2357</v>
      </c>
      <c r="E12535" s="35" t="s">
        <v>2358</v>
      </c>
      <c r="F12535" s="35" t="s">
        <v>2400</v>
      </c>
    </row>
    <row r="12536" spans="1:7">
      <c r="A12536" s="34">
        <v>2084310829</v>
      </c>
      <c r="B12536" s="35" t="s">
        <v>2214</v>
      </c>
      <c r="C12536" s="35" t="s">
        <v>2305</v>
      </c>
      <c r="D12536" s="35" t="s">
        <v>2357</v>
      </c>
      <c r="E12536" s="35" t="s">
        <v>2358</v>
      </c>
      <c r="F12536" s="35" t="s">
        <v>2347</v>
      </c>
    </row>
    <row r="12537" spans="1:7">
      <c r="A12537" s="34">
        <v>2084310828</v>
      </c>
      <c r="B12537" s="35" t="s">
        <v>2214</v>
      </c>
      <c r="C12537" s="35" t="s">
        <v>2305</v>
      </c>
      <c r="D12537" s="35" t="s">
        <v>2357</v>
      </c>
      <c r="E12537" s="35" t="s">
        <v>2358</v>
      </c>
      <c r="F12537" s="35" t="s">
        <v>2348</v>
      </c>
    </row>
    <row r="12538" spans="1:7">
      <c r="A12538" s="34">
        <v>2084053718</v>
      </c>
      <c r="B12538" s="35" t="s">
        <v>2214</v>
      </c>
      <c r="C12538" s="35" t="s">
        <v>2305</v>
      </c>
      <c r="D12538" s="35" t="s">
        <v>2357</v>
      </c>
      <c r="E12538" s="35" t="s">
        <v>761</v>
      </c>
      <c r="F12538" s="35" t="s">
        <v>2401</v>
      </c>
    </row>
    <row r="12539" spans="1:7">
      <c r="A12539" s="34">
        <v>2084053729</v>
      </c>
      <c r="B12539" s="35" t="s">
        <v>2214</v>
      </c>
      <c r="C12539" s="35" t="s">
        <v>2305</v>
      </c>
      <c r="D12539" s="35" t="s">
        <v>2357</v>
      </c>
      <c r="E12539" s="35" t="s">
        <v>761</v>
      </c>
      <c r="F12539" s="35" t="s">
        <v>2402</v>
      </c>
      <c r="G12539" s="35" t="s">
        <v>2403</v>
      </c>
    </row>
    <row r="12540" spans="1:7">
      <c r="A12540" s="34">
        <v>2084053728</v>
      </c>
      <c r="B12540" s="35" t="s">
        <v>2214</v>
      </c>
      <c r="C12540" s="35" t="s">
        <v>2305</v>
      </c>
      <c r="D12540" s="35" t="s">
        <v>2357</v>
      </c>
      <c r="E12540" s="35" t="s">
        <v>761</v>
      </c>
      <c r="F12540" s="35" t="s">
        <v>2402</v>
      </c>
      <c r="G12540" s="35" t="s">
        <v>2404</v>
      </c>
    </row>
    <row r="12541" spans="1:7">
      <c r="A12541" s="34">
        <v>2084053730</v>
      </c>
      <c r="B12541" s="35" t="s">
        <v>2214</v>
      </c>
      <c r="C12541" s="35" t="s">
        <v>2305</v>
      </c>
      <c r="D12541" s="35" t="s">
        <v>2357</v>
      </c>
      <c r="E12541" s="35" t="s">
        <v>761</v>
      </c>
      <c r="F12541" s="35" t="s">
        <v>2402</v>
      </c>
      <c r="G12541" s="35" t="s">
        <v>2405</v>
      </c>
    </row>
    <row r="12542" spans="1:7">
      <c r="A12542" s="34">
        <v>2084053731</v>
      </c>
      <c r="B12542" s="35" t="s">
        <v>2214</v>
      </c>
      <c r="C12542" s="35" t="s">
        <v>2305</v>
      </c>
      <c r="D12542" s="35" t="s">
        <v>2357</v>
      </c>
      <c r="E12542" s="35" t="s">
        <v>761</v>
      </c>
      <c r="F12542" s="35" t="s">
        <v>2402</v>
      </c>
      <c r="G12542" s="35" t="s">
        <v>335</v>
      </c>
    </row>
    <row r="12543" spans="1:7">
      <c r="A12543" s="34">
        <v>2084053726</v>
      </c>
      <c r="B12543" s="35" t="s">
        <v>2214</v>
      </c>
      <c r="C12543" s="35" t="s">
        <v>2305</v>
      </c>
      <c r="D12543" s="35" t="s">
        <v>2357</v>
      </c>
      <c r="E12543" s="35" t="s">
        <v>761</v>
      </c>
      <c r="F12543" s="35" t="s">
        <v>2406</v>
      </c>
      <c r="G12543" s="35" t="s">
        <v>2407</v>
      </c>
    </row>
    <row r="12544" spans="1:7">
      <c r="A12544" s="34">
        <v>2084053724</v>
      </c>
      <c r="B12544" s="35" t="s">
        <v>2214</v>
      </c>
      <c r="C12544" s="35" t="s">
        <v>2305</v>
      </c>
      <c r="D12544" s="35" t="s">
        <v>2357</v>
      </c>
      <c r="E12544" s="35" t="s">
        <v>761</v>
      </c>
      <c r="F12544" s="35" t="s">
        <v>2406</v>
      </c>
      <c r="G12544" s="35" t="s">
        <v>2408</v>
      </c>
    </row>
    <row r="12545" spans="1:7">
      <c r="A12545" s="34">
        <v>2084053725</v>
      </c>
      <c r="B12545" s="35" t="s">
        <v>2214</v>
      </c>
      <c r="C12545" s="35" t="s">
        <v>2305</v>
      </c>
      <c r="D12545" s="35" t="s">
        <v>2357</v>
      </c>
      <c r="E12545" s="35" t="s">
        <v>761</v>
      </c>
      <c r="F12545" s="35" t="s">
        <v>2406</v>
      </c>
      <c r="G12545" s="35" t="s">
        <v>2409</v>
      </c>
    </row>
    <row r="12546" spans="1:7">
      <c r="A12546" s="34">
        <v>2084053727</v>
      </c>
      <c r="B12546" s="35" t="s">
        <v>2214</v>
      </c>
      <c r="C12546" s="35" t="s">
        <v>2305</v>
      </c>
      <c r="D12546" s="35" t="s">
        <v>2357</v>
      </c>
      <c r="E12546" s="35" t="s">
        <v>761</v>
      </c>
      <c r="F12546" s="35" t="s">
        <v>2406</v>
      </c>
      <c r="G12546" s="35" t="s">
        <v>335</v>
      </c>
    </row>
    <row r="12547" spans="1:7">
      <c r="A12547" s="34">
        <v>2084053720</v>
      </c>
      <c r="B12547" s="35" t="s">
        <v>2214</v>
      </c>
      <c r="C12547" s="35" t="s">
        <v>2305</v>
      </c>
      <c r="D12547" s="35" t="s">
        <v>2357</v>
      </c>
      <c r="E12547" s="35" t="s">
        <v>761</v>
      </c>
      <c r="F12547" s="35" t="s">
        <v>2410</v>
      </c>
    </row>
    <row r="12548" spans="1:7">
      <c r="A12548" s="34">
        <v>2084053721</v>
      </c>
      <c r="B12548" s="35" t="s">
        <v>2214</v>
      </c>
      <c r="C12548" s="35" t="s">
        <v>2305</v>
      </c>
      <c r="D12548" s="35" t="s">
        <v>2357</v>
      </c>
      <c r="E12548" s="35" t="s">
        <v>761</v>
      </c>
      <c r="F12548" s="35" t="s">
        <v>2411</v>
      </c>
    </row>
    <row r="12549" spans="1:7">
      <c r="A12549" s="34">
        <v>2084053722</v>
      </c>
      <c r="B12549" s="35" t="s">
        <v>2214</v>
      </c>
      <c r="C12549" s="35" t="s">
        <v>2305</v>
      </c>
      <c r="D12549" s="35" t="s">
        <v>2357</v>
      </c>
      <c r="E12549" s="35" t="s">
        <v>761</v>
      </c>
      <c r="F12549" s="35" t="s">
        <v>2412</v>
      </c>
    </row>
    <row r="12550" spans="1:7">
      <c r="A12550" s="34">
        <v>2084053719</v>
      </c>
      <c r="B12550" s="35" t="s">
        <v>2214</v>
      </c>
      <c r="C12550" s="35" t="s">
        <v>2305</v>
      </c>
      <c r="D12550" s="35" t="s">
        <v>2357</v>
      </c>
      <c r="E12550" s="35" t="s">
        <v>761</v>
      </c>
      <c r="F12550" s="35" t="s">
        <v>2413</v>
      </c>
    </row>
    <row r="12551" spans="1:7">
      <c r="A12551" s="34">
        <v>2084053733</v>
      </c>
      <c r="B12551" s="35" t="s">
        <v>2214</v>
      </c>
      <c r="C12551" s="35" t="s">
        <v>2305</v>
      </c>
      <c r="D12551" s="35" t="s">
        <v>2357</v>
      </c>
      <c r="E12551" s="35" t="s">
        <v>761</v>
      </c>
      <c r="F12551" s="35" t="s">
        <v>2414</v>
      </c>
      <c r="G12551" s="35" t="s">
        <v>2415</v>
      </c>
    </row>
    <row r="12552" spans="1:7">
      <c r="A12552" s="34">
        <v>2084053732</v>
      </c>
      <c r="B12552" s="35" t="s">
        <v>2214</v>
      </c>
      <c r="C12552" s="35" t="s">
        <v>2305</v>
      </c>
      <c r="D12552" s="35" t="s">
        <v>2357</v>
      </c>
      <c r="E12552" s="35" t="s">
        <v>761</v>
      </c>
      <c r="F12552" s="35" t="s">
        <v>2414</v>
      </c>
      <c r="G12552" s="35" t="s">
        <v>2416</v>
      </c>
    </row>
    <row r="12553" spans="1:7">
      <c r="A12553" s="34">
        <v>2084053734</v>
      </c>
      <c r="B12553" s="35" t="s">
        <v>2214</v>
      </c>
      <c r="C12553" s="35" t="s">
        <v>2305</v>
      </c>
      <c r="D12553" s="35" t="s">
        <v>2357</v>
      </c>
      <c r="E12553" s="35" t="s">
        <v>761</v>
      </c>
      <c r="F12553" s="35" t="s">
        <v>2414</v>
      </c>
      <c r="G12553" s="35" t="s">
        <v>2417</v>
      </c>
    </row>
    <row r="12554" spans="1:7">
      <c r="A12554" s="34">
        <v>2084053735</v>
      </c>
      <c r="B12554" s="35" t="s">
        <v>2214</v>
      </c>
      <c r="C12554" s="35" t="s">
        <v>2305</v>
      </c>
      <c r="D12554" s="35" t="s">
        <v>2357</v>
      </c>
      <c r="E12554" s="35" t="s">
        <v>761</v>
      </c>
      <c r="F12554" s="35" t="s">
        <v>2414</v>
      </c>
      <c r="G12554" s="35" t="s">
        <v>335</v>
      </c>
    </row>
    <row r="12555" spans="1:7">
      <c r="A12555" s="34">
        <v>2084310833</v>
      </c>
      <c r="B12555" s="35" t="s">
        <v>2214</v>
      </c>
      <c r="C12555" s="35" t="s">
        <v>2305</v>
      </c>
      <c r="D12555" s="35" t="s">
        <v>2357</v>
      </c>
      <c r="E12555" s="35" t="s">
        <v>761</v>
      </c>
      <c r="F12555" s="35" t="s">
        <v>2348</v>
      </c>
    </row>
    <row r="12556" spans="1:7">
      <c r="A12556" s="34">
        <v>2084310834</v>
      </c>
      <c r="B12556" s="35" t="s">
        <v>2214</v>
      </c>
      <c r="C12556" s="35" t="s">
        <v>2305</v>
      </c>
      <c r="D12556" s="35" t="s">
        <v>2357</v>
      </c>
      <c r="E12556" s="35" t="s">
        <v>761</v>
      </c>
      <c r="F12556" s="35" t="s">
        <v>2349</v>
      </c>
    </row>
    <row r="12557" spans="1:7">
      <c r="A12557" s="34">
        <v>2084053723</v>
      </c>
      <c r="B12557" s="35" t="s">
        <v>2214</v>
      </c>
      <c r="C12557" s="35" t="s">
        <v>2305</v>
      </c>
      <c r="D12557" s="35" t="s">
        <v>2357</v>
      </c>
      <c r="E12557" s="35" t="s">
        <v>761</v>
      </c>
      <c r="F12557" s="35" t="s">
        <v>335</v>
      </c>
    </row>
    <row r="12558" spans="1:7">
      <c r="A12558" s="34">
        <v>2084207495</v>
      </c>
      <c r="B12558" s="35" t="s">
        <v>2214</v>
      </c>
      <c r="C12558" s="35" t="s">
        <v>2305</v>
      </c>
      <c r="D12558" s="35" t="s">
        <v>2357</v>
      </c>
      <c r="E12558" s="35" t="s">
        <v>2418</v>
      </c>
    </row>
    <row r="12559" spans="1:7">
      <c r="A12559" s="34">
        <v>2084252434</v>
      </c>
      <c r="B12559" s="35" t="s">
        <v>2214</v>
      </c>
      <c r="C12559" s="35" t="s">
        <v>2305</v>
      </c>
      <c r="D12559" s="35" t="s">
        <v>2357</v>
      </c>
      <c r="E12559" s="35" t="s">
        <v>2419</v>
      </c>
    </row>
    <row r="12560" spans="1:7">
      <c r="A12560" s="34">
        <v>2084303676</v>
      </c>
      <c r="B12560" s="35" t="s">
        <v>2214</v>
      </c>
      <c r="C12560" s="35" t="s">
        <v>2305</v>
      </c>
      <c r="D12560" s="35" t="s">
        <v>2357</v>
      </c>
      <c r="E12560" s="35" t="s">
        <v>2420</v>
      </c>
      <c r="F12560" s="35" t="s">
        <v>2421</v>
      </c>
    </row>
    <row r="12561" spans="1:6">
      <c r="A12561" s="34">
        <v>2084303677</v>
      </c>
      <c r="B12561" s="35" t="s">
        <v>2214</v>
      </c>
      <c r="C12561" s="35" t="s">
        <v>2305</v>
      </c>
      <c r="D12561" s="35" t="s">
        <v>2357</v>
      </c>
      <c r="E12561" s="35" t="s">
        <v>2420</v>
      </c>
      <c r="F12561" s="35" t="s">
        <v>2422</v>
      </c>
    </row>
    <row r="12562" spans="1:6">
      <c r="A12562" s="34">
        <v>2084303678</v>
      </c>
      <c r="B12562" s="35" t="s">
        <v>2214</v>
      </c>
      <c r="C12562" s="35" t="s">
        <v>2305</v>
      </c>
      <c r="D12562" s="35" t="s">
        <v>2357</v>
      </c>
      <c r="E12562" s="35" t="s">
        <v>2420</v>
      </c>
      <c r="F12562" s="35" t="s">
        <v>2423</v>
      </c>
    </row>
    <row r="12563" spans="1:6">
      <c r="A12563" s="34">
        <v>2084303679</v>
      </c>
      <c r="B12563" s="35" t="s">
        <v>2214</v>
      </c>
      <c r="C12563" s="35" t="s">
        <v>2305</v>
      </c>
      <c r="D12563" s="35" t="s">
        <v>2357</v>
      </c>
      <c r="E12563" s="35" t="s">
        <v>2420</v>
      </c>
      <c r="F12563" s="35" t="s">
        <v>2424</v>
      </c>
    </row>
    <row r="12564" spans="1:6">
      <c r="A12564" s="34">
        <v>2084303680</v>
      </c>
      <c r="B12564" s="35" t="s">
        <v>2214</v>
      </c>
      <c r="C12564" s="35" t="s">
        <v>2305</v>
      </c>
      <c r="D12564" s="35" t="s">
        <v>2357</v>
      </c>
      <c r="E12564" s="35" t="s">
        <v>2420</v>
      </c>
      <c r="F12564" s="35" t="s">
        <v>2425</v>
      </c>
    </row>
    <row r="12565" spans="1:6">
      <c r="A12565" s="34">
        <v>2084303681</v>
      </c>
      <c r="B12565" s="35" t="s">
        <v>2214</v>
      </c>
      <c r="C12565" s="35" t="s">
        <v>2305</v>
      </c>
      <c r="D12565" s="35" t="s">
        <v>2357</v>
      </c>
      <c r="E12565" s="35" t="s">
        <v>2420</v>
      </c>
      <c r="F12565" s="35" t="s">
        <v>335</v>
      </c>
    </row>
    <row r="12566" spans="1:6">
      <c r="A12566" s="34">
        <v>2084252435</v>
      </c>
      <c r="B12566" s="35" t="s">
        <v>2214</v>
      </c>
      <c r="C12566" s="35" t="s">
        <v>2305</v>
      </c>
      <c r="D12566" s="35" t="s">
        <v>2357</v>
      </c>
      <c r="E12566" s="35" t="s">
        <v>2426</v>
      </c>
    </row>
    <row r="12567" spans="1:6">
      <c r="A12567" s="34">
        <v>2084024535</v>
      </c>
      <c r="B12567" s="35" t="s">
        <v>2214</v>
      </c>
      <c r="C12567" s="35" t="s">
        <v>2305</v>
      </c>
      <c r="D12567" s="35" t="s">
        <v>2357</v>
      </c>
      <c r="E12567" s="35" t="s">
        <v>2427</v>
      </c>
    </row>
    <row r="12568" spans="1:6">
      <c r="A12568" s="34">
        <v>2084214585</v>
      </c>
      <c r="B12568" s="35" t="s">
        <v>2214</v>
      </c>
      <c r="C12568" s="35" t="s">
        <v>2305</v>
      </c>
      <c r="D12568" s="35" t="s">
        <v>2357</v>
      </c>
      <c r="E12568" s="35" t="s">
        <v>2428</v>
      </c>
    </row>
    <row r="12569" spans="1:6">
      <c r="A12569" s="34">
        <v>2084252438</v>
      </c>
      <c r="B12569" s="35" t="s">
        <v>2214</v>
      </c>
      <c r="C12569" s="35" t="s">
        <v>2305</v>
      </c>
      <c r="D12569" s="35" t="s">
        <v>2357</v>
      </c>
      <c r="E12569" s="35" t="s">
        <v>2429</v>
      </c>
    </row>
    <row r="12570" spans="1:6">
      <c r="A12570" s="34">
        <v>2084221477</v>
      </c>
      <c r="B12570" s="35" t="s">
        <v>2214</v>
      </c>
      <c r="C12570" s="35" t="s">
        <v>2305</v>
      </c>
      <c r="D12570" s="35" t="s">
        <v>2357</v>
      </c>
      <c r="E12570" s="35" t="s">
        <v>800</v>
      </c>
      <c r="F12570" s="35" t="s">
        <v>407</v>
      </c>
    </row>
    <row r="12571" spans="1:6">
      <c r="A12571" s="34">
        <v>2084221478</v>
      </c>
      <c r="B12571" s="35" t="s">
        <v>2214</v>
      </c>
      <c r="C12571" s="35" t="s">
        <v>2305</v>
      </c>
      <c r="D12571" s="35" t="s">
        <v>2357</v>
      </c>
      <c r="E12571" s="35" t="s">
        <v>800</v>
      </c>
      <c r="F12571" s="35" t="s">
        <v>408</v>
      </c>
    </row>
    <row r="12572" spans="1:6">
      <c r="A12572" s="34">
        <v>2084252436</v>
      </c>
      <c r="B12572" s="35" t="s">
        <v>2214</v>
      </c>
      <c r="C12572" s="35" t="s">
        <v>2305</v>
      </c>
      <c r="D12572" s="35" t="s">
        <v>2357</v>
      </c>
      <c r="E12572" s="35" t="s">
        <v>2430</v>
      </c>
    </row>
    <row r="12573" spans="1:6">
      <c r="A12573" s="34">
        <v>2084252437</v>
      </c>
      <c r="B12573" s="35" t="s">
        <v>2214</v>
      </c>
      <c r="C12573" s="35" t="s">
        <v>2305</v>
      </c>
      <c r="D12573" s="35" t="s">
        <v>2357</v>
      </c>
      <c r="E12573" s="35" t="s">
        <v>2431</v>
      </c>
    </row>
    <row r="12574" spans="1:6">
      <c r="A12574" s="34">
        <v>2084024542</v>
      </c>
      <c r="B12574" s="35" t="s">
        <v>2214</v>
      </c>
      <c r="C12574" s="35" t="s">
        <v>2305</v>
      </c>
      <c r="D12574" s="35" t="s">
        <v>2357</v>
      </c>
      <c r="E12574" s="35" t="s">
        <v>314</v>
      </c>
    </row>
    <row r="12575" spans="1:6">
      <c r="A12575" s="34">
        <v>2084024526</v>
      </c>
      <c r="B12575" s="35" t="s">
        <v>2214</v>
      </c>
      <c r="C12575" s="35" t="s">
        <v>2305</v>
      </c>
      <c r="D12575" s="35" t="s">
        <v>2357</v>
      </c>
      <c r="E12575" s="35" t="s">
        <v>2432</v>
      </c>
    </row>
    <row r="12576" spans="1:6">
      <c r="A12576" s="34">
        <v>2084252439</v>
      </c>
      <c r="B12576" s="35" t="s">
        <v>2214</v>
      </c>
      <c r="C12576" s="35" t="s">
        <v>2305</v>
      </c>
      <c r="D12576" s="35" t="s">
        <v>2357</v>
      </c>
      <c r="E12576" s="35" t="s">
        <v>2433</v>
      </c>
    </row>
    <row r="12577" spans="1:6">
      <c r="A12577" s="34">
        <v>2084024485</v>
      </c>
      <c r="B12577" s="35" t="s">
        <v>2214</v>
      </c>
      <c r="C12577" s="35" t="s">
        <v>2305</v>
      </c>
      <c r="D12577" s="35" t="s">
        <v>2434</v>
      </c>
      <c r="E12577" s="35" t="s">
        <v>2435</v>
      </c>
      <c r="F12577" s="35" t="s">
        <v>2436</v>
      </c>
    </row>
    <row r="12578" spans="1:6">
      <c r="A12578" s="34">
        <v>2084024483</v>
      </c>
      <c r="B12578" s="35" t="s">
        <v>2214</v>
      </c>
      <c r="C12578" s="35" t="s">
        <v>2305</v>
      </c>
      <c r="D12578" s="35" t="s">
        <v>2434</v>
      </c>
      <c r="E12578" s="35" t="s">
        <v>2435</v>
      </c>
      <c r="F12578" s="35" t="s">
        <v>2437</v>
      </c>
    </row>
    <row r="12579" spans="1:6">
      <c r="A12579" s="34">
        <v>2084024477</v>
      </c>
      <c r="B12579" s="35" t="s">
        <v>2214</v>
      </c>
      <c r="C12579" s="35" t="s">
        <v>2305</v>
      </c>
      <c r="D12579" s="35" t="s">
        <v>2434</v>
      </c>
      <c r="E12579" s="35" t="s">
        <v>2435</v>
      </c>
      <c r="F12579" s="35" t="s">
        <v>2438</v>
      </c>
    </row>
    <row r="12580" spans="1:6">
      <c r="A12580" s="34">
        <v>2084024480</v>
      </c>
      <c r="B12580" s="35" t="s">
        <v>2214</v>
      </c>
      <c r="C12580" s="35" t="s">
        <v>2305</v>
      </c>
      <c r="D12580" s="35" t="s">
        <v>2434</v>
      </c>
      <c r="E12580" s="35" t="s">
        <v>2435</v>
      </c>
      <c r="F12580" s="35" t="s">
        <v>2439</v>
      </c>
    </row>
    <row r="12581" spans="1:6">
      <c r="A12581" s="34">
        <v>2084024476</v>
      </c>
      <c r="B12581" s="35" t="s">
        <v>2214</v>
      </c>
      <c r="C12581" s="35" t="s">
        <v>2305</v>
      </c>
      <c r="D12581" s="35" t="s">
        <v>2434</v>
      </c>
      <c r="E12581" s="35" t="s">
        <v>2435</v>
      </c>
      <c r="F12581" s="35" t="s">
        <v>2440</v>
      </c>
    </row>
    <row r="12582" spans="1:6">
      <c r="A12582" s="34">
        <v>2084024486</v>
      </c>
      <c r="B12582" s="35" t="s">
        <v>2214</v>
      </c>
      <c r="C12582" s="35" t="s">
        <v>2305</v>
      </c>
      <c r="D12582" s="35" t="s">
        <v>2434</v>
      </c>
      <c r="E12582" s="35" t="s">
        <v>2435</v>
      </c>
      <c r="F12582" s="35" t="s">
        <v>2441</v>
      </c>
    </row>
    <row r="12583" spans="1:6">
      <c r="A12583" s="34">
        <v>2084024479</v>
      </c>
      <c r="B12583" s="35" t="s">
        <v>2214</v>
      </c>
      <c r="C12583" s="35" t="s">
        <v>2305</v>
      </c>
      <c r="D12583" s="35" t="s">
        <v>2434</v>
      </c>
      <c r="E12583" s="35" t="s">
        <v>2435</v>
      </c>
      <c r="F12583" s="35" t="s">
        <v>2442</v>
      </c>
    </row>
    <row r="12584" spans="1:6">
      <c r="A12584" s="34">
        <v>2084024481</v>
      </c>
      <c r="B12584" s="35" t="s">
        <v>2214</v>
      </c>
      <c r="C12584" s="35" t="s">
        <v>2305</v>
      </c>
      <c r="D12584" s="35" t="s">
        <v>2434</v>
      </c>
      <c r="E12584" s="35" t="s">
        <v>2435</v>
      </c>
      <c r="F12584" s="35" t="s">
        <v>2443</v>
      </c>
    </row>
    <row r="12585" spans="1:6">
      <c r="A12585" s="34">
        <v>2084024475</v>
      </c>
      <c r="B12585" s="35" t="s">
        <v>2214</v>
      </c>
      <c r="C12585" s="35" t="s">
        <v>2305</v>
      </c>
      <c r="D12585" s="35" t="s">
        <v>2434</v>
      </c>
      <c r="E12585" s="35" t="s">
        <v>2435</v>
      </c>
      <c r="F12585" s="35" t="s">
        <v>2444</v>
      </c>
    </row>
    <row r="12586" spans="1:6">
      <c r="A12586" s="34">
        <v>2084024484</v>
      </c>
      <c r="B12586" s="35" t="s">
        <v>2214</v>
      </c>
      <c r="C12586" s="35" t="s">
        <v>2305</v>
      </c>
      <c r="D12586" s="35" t="s">
        <v>2434</v>
      </c>
      <c r="E12586" s="35" t="s">
        <v>2435</v>
      </c>
      <c r="F12586" s="35" t="s">
        <v>2445</v>
      </c>
    </row>
    <row r="12587" spans="1:6">
      <c r="A12587" s="34">
        <v>2084024478</v>
      </c>
      <c r="B12587" s="35" t="s">
        <v>2214</v>
      </c>
      <c r="C12587" s="35" t="s">
        <v>2305</v>
      </c>
      <c r="D12587" s="35" t="s">
        <v>2434</v>
      </c>
      <c r="E12587" s="35" t="s">
        <v>2435</v>
      </c>
      <c r="F12587" s="35" t="s">
        <v>2446</v>
      </c>
    </row>
    <row r="12588" spans="1:6">
      <c r="A12588" s="34">
        <v>2084024474</v>
      </c>
      <c r="B12588" s="35" t="s">
        <v>2214</v>
      </c>
      <c r="C12588" s="35" t="s">
        <v>2305</v>
      </c>
      <c r="D12588" s="35" t="s">
        <v>2434</v>
      </c>
      <c r="E12588" s="35" t="s">
        <v>2435</v>
      </c>
      <c r="F12588" s="35" t="s">
        <v>2447</v>
      </c>
    </row>
    <row r="12589" spans="1:6">
      <c r="A12589" s="34">
        <v>2084024482</v>
      </c>
      <c r="B12589" s="35" t="s">
        <v>2214</v>
      </c>
      <c r="C12589" s="35" t="s">
        <v>2305</v>
      </c>
      <c r="D12589" s="35" t="s">
        <v>2434</v>
      </c>
      <c r="E12589" s="35" t="s">
        <v>2435</v>
      </c>
      <c r="F12589" s="35" t="s">
        <v>2448</v>
      </c>
    </row>
    <row r="12590" spans="1:6">
      <c r="A12590" s="34">
        <v>2084024488</v>
      </c>
      <c r="B12590" s="35" t="s">
        <v>2214</v>
      </c>
      <c r="C12590" s="35" t="s">
        <v>2305</v>
      </c>
      <c r="D12590" s="35" t="s">
        <v>2434</v>
      </c>
      <c r="E12590" s="35" t="s">
        <v>2435</v>
      </c>
      <c r="F12590" s="35" t="s">
        <v>335</v>
      </c>
    </row>
    <row r="12591" spans="1:6">
      <c r="A12591" s="34">
        <v>2084252440</v>
      </c>
      <c r="B12591" s="35" t="s">
        <v>2214</v>
      </c>
      <c r="C12591" s="35" t="s">
        <v>2305</v>
      </c>
      <c r="D12591" s="35" t="s">
        <v>2434</v>
      </c>
      <c r="E12591" s="35" t="s">
        <v>2449</v>
      </c>
    </row>
    <row r="12592" spans="1:6">
      <c r="A12592" s="34">
        <v>2084301269</v>
      </c>
      <c r="B12592" s="35" t="s">
        <v>2214</v>
      </c>
      <c r="C12592" s="35" t="s">
        <v>2305</v>
      </c>
      <c r="D12592" s="35" t="s">
        <v>2434</v>
      </c>
      <c r="E12592" s="35" t="s">
        <v>2450</v>
      </c>
    </row>
    <row r="12593" spans="1:6">
      <c r="A12593" s="34">
        <v>2084209455</v>
      </c>
      <c r="B12593" s="35" t="s">
        <v>2214</v>
      </c>
      <c r="C12593" s="35" t="s">
        <v>2305</v>
      </c>
      <c r="D12593" s="35" t="s">
        <v>2434</v>
      </c>
      <c r="E12593" s="35" t="s">
        <v>2451</v>
      </c>
      <c r="F12593" s="35" t="s">
        <v>2452</v>
      </c>
    </row>
    <row r="12594" spans="1:6">
      <c r="A12594" s="34">
        <v>2084209458</v>
      </c>
      <c r="B12594" s="35" t="s">
        <v>2214</v>
      </c>
      <c r="C12594" s="35" t="s">
        <v>2305</v>
      </c>
      <c r="D12594" s="35" t="s">
        <v>2434</v>
      </c>
      <c r="E12594" s="35" t="s">
        <v>2451</v>
      </c>
      <c r="F12594" s="35" t="s">
        <v>2453</v>
      </c>
    </row>
    <row r="12595" spans="1:6">
      <c r="A12595" s="34">
        <v>2084209454</v>
      </c>
      <c r="B12595" s="35" t="s">
        <v>2214</v>
      </c>
      <c r="C12595" s="35" t="s">
        <v>2305</v>
      </c>
      <c r="D12595" s="35" t="s">
        <v>2434</v>
      </c>
      <c r="E12595" s="35" t="s">
        <v>2451</v>
      </c>
      <c r="F12595" s="35" t="s">
        <v>2454</v>
      </c>
    </row>
    <row r="12596" spans="1:6">
      <c r="A12596" s="34">
        <v>2084314563</v>
      </c>
      <c r="B12596" s="35" t="s">
        <v>2214</v>
      </c>
      <c r="C12596" s="35" t="s">
        <v>2305</v>
      </c>
      <c r="D12596" s="35" t="s">
        <v>2434</v>
      </c>
      <c r="E12596" s="35" t="s">
        <v>2451</v>
      </c>
      <c r="F12596" s="35" t="s">
        <v>2455</v>
      </c>
    </row>
    <row r="12597" spans="1:6">
      <c r="A12597" s="34">
        <v>2084209457</v>
      </c>
      <c r="B12597" s="35" t="s">
        <v>2214</v>
      </c>
      <c r="C12597" s="35" t="s">
        <v>2305</v>
      </c>
      <c r="D12597" s="35" t="s">
        <v>2434</v>
      </c>
      <c r="E12597" s="35" t="s">
        <v>2451</v>
      </c>
      <c r="F12597" s="35" t="s">
        <v>2456</v>
      </c>
    </row>
    <row r="12598" spans="1:6">
      <c r="A12598" s="34">
        <v>2084314561</v>
      </c>
      <c r="B12598" s="35" t="s">
        <v>2214</v>
      </c>
      <c r="C12598" s="35" t="s">
        <v>2305</v>
      </c>
      <c r="D12598" s="35" t="s">
        <v>2434</v>
      </c>
      <c r="E12598" s="35" t="s">
        <v>2451</v>
      </c>
      <c r="F12598" s="35" t="s">
        <v>2457</v>
      </c>
    </row>
    <row r="12599" spans="1:6">
      <c r="A12599" s="34">
        <v>2084209456</v>
      </c>
      <c r="B12599" s="35" t="s">
        <v>2214</v>
      </c>
      <c r="C12599" s="35" t="s">
        <v>2305</v>
      </c>
      <c r="D12599" s="35" t="s">
        <v>2434</v>
      </c>
      <c r="E12599" s="35" t="s">
        <v>2451</v>
      </c>
      <c r="F12599" s="35" t="s">
        <v>2458</v>
      </c>
    </row>
    <row r="12600" spans="1:6">
      <c r="A12600" s="34">
        <v>2084314562</v>
      </c>
      <c r="B12600" s="35" t="s">
        <v>2214</v>
      </c>
      <c r="C12600" s="35" t="s">
        <v>2305</v>
      </c>
      <c r="D12600" s="35" t="s">
        <v>2434</v>
      </c>
      <c r="E12600" s="35" t="s">
        <v>2451</v>
      </c>
      <c r="F12600" s="35" t="s">
        <v>2459</v>
      </c>
    </row>
    <row r="12601" spans="1:6">
      <c r="A12601" s="34">
        <v>2084209459</v>
      </c>
      <c r="B12601" s="35" t="s">
        <v>2214</v>
      </c>
      <c r="C12601" s="35" t="s">
        <v>2305</v>
      </c>
      <c r="D12601" s="35" t="s">
        <v>2434</v>
      </c>
      <c r="E12601" s="35" t="s">
        <v>2451</v>
      </c>
      <c r="F12601" s="35" t="s">
        <v>335</v>
      </c>
    </row>
    <row r="12602" spans="1:6">
      <c r="A12602" s="34">
        <v>2084308389</v>
      </c>
      <c r="B12602" s="35" t="s">
        <v>2214</v>
      </c>
      <c r="C12602" s="35" t="s">
        <v>2305</v>
      </c>
      <c r="D12602" s="35" t="s">
        <v>2434</v>
      </c>
      <c r="E12602" s="35" t="s">
        <v>949</v>
      </c>
      <c r="F12602" s="35" t="s">
        <v>2460</v>
      </c>
    </row>
    <row r="12603" spans="1:6">
      <c r="A12603" s="34">
        <v>2084308390</v>
      </c>
      <c r="B12603" s="35" t="s">
        <v>2214</v>
      </c>
      <c r="C12603" s="35" t="s">
        <v>2305</v>
      </c>
      <c r="D12603" s="35" t="s">
        <v>2434</v>
      </c>
      <c r="E12603" s="35" t="s">
        <v>949</v>
      </c>
      <c r="F12603" s="35" t="s">
        <v>2461</v>
      </c>
    </row>
    <row r="12604" spans="1:6">
      <c r="A12604" s="34">
        <v>2084308391</v>
      </c>
      <c r="B12604" s="35" t="s">
        <v>2214</v>
      </c>
      <c r="C12604" s="35" t="s">
        <v>2305</v>
      </c>
      <c r="D12604" s="35" t="s">
        <v>2434</v>
      </c>
      <c r="E12604" s="35" t="s">
        <v>949</v>
      </c>
      <c r="F12604" s="35" t="s">
        <v>2462</v>
      </c>
    </row>
    <row r="12605" spans="1:6">
      <c r="A12605" s="34">
        <v>2084308394</v>
      </c>
      <c r="B12605" s="35" t="s">
        <v>2214</v>
      </c>
      <c r="C12605" s="35" t="s">
        <v>2305</v>
      </c>
      <c r="D12605" s="35" t="s">
        <v>2434</v>
      </c>
      <c r="E12605" s="35" t="s">
        <v>949</v>
      </c>
      <c r="F12605" s="35" t="s">
        <v>335</v>
      </c>
    </row>
    <row r="12606" spans="1:6">
      <c r="A12606" s="34">
        <v>2084024552</v>
      </c>
      <c r="B12606" s="35" t="s">
        <v>2214</v>
      </c>
      <c r="C12606" s="35" t="s">
        <v>2305</v>
      </c>
      <c r="D12606" s="35" t="s">
        <v>2434</v>
      </c>
      <c r="E12606" s="35" t="s">
        <v>2463</v>
      </c>
    </row>
    <row r="12607" spans="1:6">
      <c r="A12607" s="34">
        <v>2084024539</v>
      </c>
      <c r="B12607" s="35" t="s">
        <v>2214</v>
      </c>
      <c r="C12607" s="35" t="s">
        <v>2305</v>
      </c>
      <c r="D12607" s="35" t="s">
        <v>2434</v>
      </c>
      <c r="E12607" s="35" t="s">
        <v>2464</v>
      </c>
    </row>
    <row r="12608" spans="1:6">
      <c r="A12608" s="34">
        <v>2084224442</v>
      </c>
      <c r="B12608" s="35" t="s">
        <v>2214</v>
      </c>
      <c r="C12608" s="35" t="s">
        <v>2305</v>
      </c>
      <c r="D12608" s="35" t="s">
        <v>2434</v>
      </c>
      <c r="E12608" s="35" t="s">
        <v>2465</v>
      </c>
    </row>
    <row r="12609" spans="1:6">
      <c r="A12609" s="34">
        <v>2084024543</v>
      </c>
      <c r="B12609" s="35" t="s">
        <v>2214</v>
      </c>
      <c r="C12609" s="35" t="s">
        <v>2305</v>
      </c>
      <c r="D12609" s="35" t="s">
        <v>2434</v>
      </c>
      <c r="E12609" s="35" t="s">
        <v>2466</v>
      </c>
    </row>
    <row r="12610" spans="1:6">
      <c r="A12610" s="34">
        <v>2084252441</v>
      </c>
      <c r="B12610" s="35" t="s">
        <v>2214</v>
      </c>
      <c r="C12610" s="35" t="s">
        <v>2305</v>
      </c>
      <c r="D12610" s="35" t="s">
        <v>2434</v>
      </c>
      <c r="E12610" s="35" t="s">
        <v>2467</v>
      </c>
    </row>
    <row r="12611" spans="1:6">
      <c r="A12611" s="34">
        <v>2084024534</v>
      </c>
      <c r="B12611" s="35" t="s">
        <v>2214</v>
      </c>
      <c r="C12611" s="35" t="s">
        <v>2305</v>
      </c>
      <c r="D12611" s="35" t="s">
        <v>2434</v>
      </c>
      <c r="E12611" s="35" t="s">
        <v>2468</v>
      </c>
    </row>
    <row r="12612" spans="1:6">
      <c r="A12612" s="34">
        <v>2084062112</v>
      </c>
      <c r="B12612" s="35" t="s">
        <v>2214</v>
      </c>
      <c r="C12612" s="35" t="s">
        <v>2305</v>
      </c>
      <c r="D12612" s="35" t="s">
        <v>2434</v>
      </c>
      <c r="E12612" s="35" t="s">
        <v>2469</v>
      </c>
    </row>
    <row r="12613" spans="1:6">
      <c r="A12613" s="34">
        <v>2084024520</v>
      </c>
      <c r="B12613" s="35" t="s">
        <v>2214</v>
      </c>
      <c r="C12613" s="35" t="s">
        <v>2305</v>
      </c>
      <c r="D12613" s="35" t="s">
        <v>2434</v>
      </c>
      <c r="E12613" s="35" t="s">
        <v>2470</v>
      </c>
    </row>
    <row r="12614" spans="1:6">
      <c r="A12614" s="34">
        <v>2084024532</v>
      </c>
      <c r="B12614" s="35" t="s">
        <v>2214</v>
      </c>
      <c r="C12614" s="35" t="s">
        <v>2305</v>
      </c>
      <c r="D12614" s="35" t="s">
        <v>2434</v>
      </c>
      <c r="E12614" s="35" t="s">
        <v>2471</v>
      </c>
    </row>
    <row r="12615" spans="1:6">
      <c r="A12615" s="34">
        <v>2084051027</v>
      </c>
      <c r="B12615" s="35" t="s">
        <v>2214</v>
      </c>
      <c r="C12615" s="35" t="s">
        <v>2305</v>
      </c>
      <c r="D12615" s="35" t="s">
        <v>2434</v>
      </c>
      <c r="E12615" s="35" t="s">
        <v>2472</v>
      </c>
    </row>
    <row r="12616" spans="1:6">
      <c r="A12616" s="34">
        <v>2084252442</v>
      </c>
      <c r="B12616" s="35" t="s">
        <v>2214</v>
      </c>
      <c r="C12616" s="35" t="s">
        <v>2305</v>
      </c>
      <c r="D12616" s="35" t="s">
        <v>2434</v>
      </c>
      <c r="E12616" s="35" t="s">
        <v>2473</v>
      </c>
    </row>
    <row r="12617" spans="1:6">
      <c r="A12617" s="34">
        <v>2084226881</v>
      </c>
      <c r="B12617" s="35" t="s">
        <v>2214</v>
      </c>
      <c r="C12617" s="35" t="s">
        <v>2305</v>
      </c>
      <c r="D12617" s="35" t="s">
        <v>2434</v>
      </c>
      <c r="E12617" s="35" t="s">
        <v>2474</v>
      </c>
    </row>
    <row r="12618" spans="1:6">
      <c r="A12618" s="34">
        <v>2084252443</v>
      </c>
      <c r="B12618" s="35" t="s">
        <v>2214</v>
      </c>
      <c r="C12618" s="35" t="s">
        <v>2305</v>
      </c>
      <c r="D12618" s="35" t="s">
        <v>2434</v>
      </c>
      <c r="E12618" s="35" t="s">
        <v>2475</v>
      </c>
    </row>
    <row r="12619" spans="1:6">
      <c r="A12619" s="34">
        <v>2084062073</v>
      </c>
      <c r="B12619" s="35" t="s">
        <v>2214</v>
      </c>
      <c r="C12619" s="35" t="s">
        <v>2305</v>
      </c>
      <c r="D12619" s="35" t="s">
        <v>2434</v>
      </c>
      <c r="E12619" s="35" t="s">
        <v>2476</v>
      </c>
    </row>
    <row r="12620" spans="1:6">
      <c r="A12620" s="34">
        <v>2084217133</v>
      </c>
      <c r="B12620" s="35" t="s">
        <v>2214</v>
      </c>
      <c r="C12620" s="35" t="s">
        <v>2305</v>
      </c>
      <c r="D12620" s="35" t="s">
        <v>2434</v>
      </c>
      <c r="E12620" s="35" t="s">
        <v>2477</v>
      </c>
      <c r="F12620" s="35" t="s">
        <v>2478</v>
      </c>
    </row>
    <row r="12621" spans="1:6">
      <c r="A12621" s="34">
        <v>2084211410</v>
      </c>
      <c r="B12621" s="35" t="s">
        <v>2214</v>
      </c>
      <c r="C12621" s="35" t="s">
        <v>2305</v>
      </c>
      <c r="D12621" s="35" t="s">
        <v>2434</v>
      </c>
      <c r="E12621" s="35" t="s">
        <v>2477</v>
      </c>
      <c r="F12621" s="35" t="s">
        <v>2479</v>
      </c>
    </row>
    <row r="12622" spans="1:6">
      <c r="A12622" s="34">
        <v>2084053756</v>
      </c>
      <c r="B12622" s="35" t="s">
        <v>2214</v>
      </c>
      <c r="C12622" s="35" t="s">
        <v>2305</v>
      </c>
      <c r="D12622" s="35" t="s">
        <v>2434</v>
      </c>
      <c r="E12622" s="35" t="s">
        <v>2477</v>
      </c>
      <c r="F12622" s="35" t="s">
        <v>2480</v>
      </c>
    </row>
    <row r="12623" spans="1:6">
      <c r="A12623" s="34">
        <v>2084054005</v>
      </c>
      <c r="B12623" s="35" t="s">
        <v>2214</v>
      </c>
      <c r="C12623" s="35" t="s">
        <v>2305</v>
      </c>
      <c r="D12623" s="35" t="s">
        <v>2434</v>
      </c>
      <c r="E12623" s="35" t="s">
        <v>2477</v>
      </c>
      <c r="F12623" s="35" t="s">
        <v>2481</v>
      </c>
    </row>
    <row r="12624" spans="1:6">
      <c r="A12624" s="34">
        <v>2084053754</v>
      </c>
      <c r="B12624" s="35" t="s">
        <v>2214</v>
      </c>
      <c r="C12624" s="35" t="s">
        <v>2305</v>
      </c>
      <c r="D12624" s="35" t="s">
        <v>2434</v>
      </c>
      <c r="E12624" s="35" t="s">
        <v>2477</v>
      </c>
      <c r="F12624" s="35" t="s">
        <v>2482</v>
      </c>
    </row>
    <row r="12625" spans="1:6">
      <c r="A12625" s="34">
        <v>2084211407</v>
      </c>
      <c r="B12625" s="35" t="s">
        <v>2214</v>
      </c>
      <c r="C12625" s="35" t="s">
        <v>2305</v>
      </c>
      <c r="D12625" s="35" t="s">
        <v>2434</v>
      </c>
      <c r="E12625" s="35" t="s">
        <v>2477</v>
      </c>
      <c r="F12625" s="35" t="s">
        <v>2483</v>
      </c>
    </row>
    <row r="12626" spans="1:6">
      <c r="A12626" s="34">
        <v>2084053755</v>
      </c>
      <c r="B12626" s="35" t="s">
        <v>2214</v>
      </c>
      <c r="C12626" s="35" t="s">
        <v>2305</v>
      </c>
      <c r="D12626" s="35" t="s">
        <v>2434</v>
      </c>
      <c r="E12626" s="35" t="s">
        <v>2477</v>
      </c>
      <c r="F12626" s="35" t="s">
        <v>2484</v>
      </c>
    </row>
    <row r="12627" spans="1:6">
      <c r="A12627" s="34">
        <v>2084053758</v>
      </c>
      <c r="B12627" s="35" t="s">
        <v>2214</v>
      </c>
      <c r="C12627" s="35" t="s">
        <v>2305</v>
      </c>
      <c r="D12627" s="35" t="s">
        <v>2434</v>
      </c>
      <c r="E12627" s="35" t="s">
        <v>2477</v>
      </c>
      <c r="F12627" s="35" t="s">
        <v>2485</v>
      </c>
    </row>
    <row r="12628" spans="1:6">
      <c r="A12628" s="34">
        <v>2084211409</v>
      </c>
      <c r="B12628" s="35" t="s">
        <v>2214</v>
      </c>
      <c r="C12628" s="35" t="s">
        <v>2305</v>
      </c>
      <c r="D12628" s="35" t="s">
        <v>2434</v>
      </c>
      <c r="E12628" s="35" t="s">
        <v>2477</v>
      </c>
      <c r="F12628" s="35" t="s">
        <v>2486</v>
      </c>
    </row>
    <row r="12629" spans="1:6">
      <c r="A12629" s="34">
        <v>2084053757</v>
      </c>
      <c r="B12629" s="35" t="s">
        <v>2214</v>
      </c>
      <c r="C12629" s="35" t="s">
        <v>2305</v>
      </c>
      <c r="D12629" s="35" t="s">
        <v>2434</v>
      </c>
      <c r="E12629" s="35" t="s">
        <v>2477</v>
      </c>
      <c r="F12629" s="35" t="s">
        <v>2487</v>
      </c>
    </row>
    <row r="12630" spans="1:6">
      <c r="A12630" s="34">
        <v>2084211408</v>
      </c>
      <c r="B12630" s="35" t="s">
        <v>2214</v>
      </c>
      <c r="C12630" s="35" t="s">
        <v>2305</v>
      </c>
      <c r="D12630" s="35" t="s">
        <v>2434</v>
      </c>
      <c r="E12630" s="35" t="s">
        <v>2477</v>
      </c>
      <c r="F12630" s="35" t="s">
        <v>2488</v>
      </c>
    </row>
    <row r="12631" spans="1:6">
      <c r="A12631" s="34">
        <v>2084214380</v>
      </c>
      <c r="B12631" s="35" t="s">
        <v>2214</v>
      </c>
      <c r="C12631" s="35" t="s">
        <v>2305</v>
      </c>
      <c r="D12631" s="35" t="s">
        <v>2434</v>
      </c>
      <c r="E12631" s="35" t="s">
        <v>2477</v>
      </c>
      <c r="F12631" s="35" t="s">
        <v>2489</v>
      </c>
    </row>
    <row r="12632" spans="1:6">
      <c r="A12632" s="34">
        <v>2084310831</v>
      </c>
      <c r="B12632" s="35" t="s">
        <v>2214</v>
      </c>
      <c r="C12632" s="35" t="s">
        <v>2305</v>
      </c>
      <c r="D12632" s="35" t="s">
        <v>2434</v>
      </c>
      <c r="E12632" s="35" t="s">
        <v>2477</v>
      </c>
      <c r="F12632" s="35" t="s">
        <v>2347</v>
      </c>
    </row>
    <row r="12633" spans="1:6">
      <c r="A12633" s="34">
        <v>2084310830</v>
      </c>
      <c r="B12633" s="35" t="s">
        <v>2214</v>
      </c>
      <c r="C12633" s="35" t="s">
        <v>2305</v>
      </c>
      <c r="D12633" s="35" t="s">
        <v>2434</v>
      </c>
      <c r="E12633" s="35" t="s">
        <v>2477</v>
      </c>
      <c r="F12633" s="35" t="s">
        <v>2348</v>
      </c>
    </row>
    <row r="12634" spans="1:6">
      <c r="A12634" s="34">
        <v>2084310832</v>
      </c>
      <c r="B12634" s="35" t="s">
        <v>2214</v>
      </c>
      <c r="C12634" s="35" t="s">
        <v>2305</v>
      </c>
      <c r="D12634" s="35" t="s">
        <v>2434</v>
      </c>
      <c r="E12634" s="35" t="s">
        <v>2477</v>
      </c>
      <c r="F12634" s="35" t="s">
        <v>2349</v>
      </c>
    </row>
    <row r="12635" spans="1:6">
      <c r="A12635" s="34">
        <v>2084053759</v>
      </c>
      <c r="B12635" s="35" t="s">
        <v>2214</v>
      </c>
      <c r="C12635" s="35" t="s">
        <v>2305</v>
      </c>
      <c r="D12635" s="35" t="s">
        <v>2434</v>
      </c>
      <c r="E12635" s="35" t="s">
        <v>2477</v>
      </c>
      <c r="F12635" s="35" t="s">
        <v>335</v>
      </c>
    </row>
    <row r="12636" spans="1:6">
      <c r="A12636" s="34">
        <v>2084024516</v>
      </c>
      <c r="B12636" s="35" t="s">
        <v>2214</v>
      </c>
      <c r="C12636" s="35" t="s">
        <v>2305</v>
      </c>
      <c r="D12636" s="35" t="s">
        <v>2434</v>
      </c>
      <c r="E12636" s="35" t="s">
        <v>2490</v>
      </c>
    </row>
    <row r="12637" spans="1:6">
      <c r="A12637" s="34">
        <v>2084252445</v>
      </c>
      <c r="B12637" s="35" t="s">
        <v>2214</v>
      </c>
      <c r="C12637" s="35" t="s">
        <v>2305</v>
      </c>
      <c r="D12637" s="35" t="s">
        <v>2434</v>
      </c>
      <c r="E12637" s="35" t="s">
        <v>2491</v>
      </c>
    </row>
    <row r="12638" spans="1:6">
      <c r="A12638" s="34">
        <v>2084024517</v>
      </c>
      <c r="B12638" s="35" t="s">
        <v>2214</v>
      </c>
      <c r="C12638" s="35" t="s">
        <v>2305</v>
      </c>
      <c r="D12638" s="35" t="s">
        <v>2434</v>
      </c>
      <c r="E12638" s="35" t="s">
        <v>2492</v>
      </c>
    </row>
    <row r="12639" spans="1:6">
      <c r="A12639" s="34">
        <v>2084252444</v>
      </c>
      <c r="B12639" s="35" t="s">
        <v>2214</v>
      </c>
      <c r="C12639" s="35" t="s">
        <v>2305</v>
      </c>
      <c r="D12639" s="35" t="s">
        <v>2434</v>
      </c>
      <c r="E12639" s="35" t="s">
        <v>2493</v>
      </c>
    </row>
    <row r="12640" spans="1:6">
      <c r="A12640" s="34">
        <v>2084224444</v>
      </c>
      <c r="B12640" s="35" t="s">
        <v>2214</v>
      </c>
      <c r="C12640" s="35" t="s">
        <v>2305</v>
      </c>
      <c r="D12640" s="35" t="s">
        <v>2434</v>
      </c>
      <c r="E12640" s="35" t="s">
        <v>2494</v>
      </c>
    </row>
    <row r="12641" spans="1:6">
      <c r="A12641" s="34">
        <v>2084024538</v>
      </c>
      <c r="B12641" s="35" t="s">
        <v>2214</v>
      </c>
      <c r="C12641" s="35" t="s">
        <v>2305</v>
      </c>
      <c r="D12641" s="35" t="s">
        <v>2495</v>
      </c>
      <c r="E12641" s="35" t="s">
        <v>2496</v>
      </c>
    </row>
    <row r="12642" spans="1:6">
      <c r="A12642" s="34">
        <v>2084262303</v>
      </c>
      <c r="B12642" s="35" t="s">
        <v>2214</v>
      </c>
      <c r="C12642" s="35" t="s">
        <v>2305</v>
      </c>
      <c r="D12642" s="35" t="s">
        <v>2495</v>
      </c>
      <c r="E12642" s="35" t="s">
        <v>2497</v>
      </c>
      <c r="F12642" s="35" t="s">
        <v>2498</v>
      </c>
    </row>
    <row r="12643" spans="1:6">
      <c r="A12643" s="34">
        <v>2084262302</v>
      </c>
      <c r="B12643" s="35" t="s">
        <v>2214</v>
      </c>
      <c r="C12643" s="35" t="s">
        <v>2305</v>
      </c>
      <c r="D12643" s="35" t="s">
        <v>2495</v>
      </c>
      <c r="E12643" s="35" t="s">
        <v>2497</v>
      </c>
      <c r="F12643" s="35" t="s">
        <v>2499</v>
      </c>
    </row>
    <row r="12644" spans="1:6">
      <c r="A12644" s="34">
        <v>2084221480</v>
      </c>
      <c r="B12644" s="35" t="s">
        <v>2214</v>
      </c>
      <c r="C12644" s="35" t="s">
        <v>2305</v>
      </c>
      <c r="D12644" s="35" t="s">
        <v>2495</v>
      </c>
      <c r="E12644" s="35" t="s">
        <v>2497</v>
      </c>
      <c r="F12644" s="35" t="s">
        <v>2500</v>
      </c>
    </row>
    <row r="12645" spans="1:6">
      <c r="A12645" s="34">
        <v>2084262301</v>
      </c>
      <c r="B12645" s="35" t="s">
        <v>2214</v>
      </c>
      <c r="C12645" s="35" t="s">
        <v>2305</v>
      </c>
      <c r="D12645" s="35" t="s">
        <v>2495</v>
      </c>
      <c r="E12645" s="35" t="s">
        <v>2497</v>
      </c>
      <c r="F12645" s="35" t="s">
        <v>2501</v>
      </c>
    </row>
    <row r="12646" spans="1:6">
      <c r="A12646" s="34">
        <v>2084221479</v>
      </c>
      <c r="B12646" s="35" t="s">
        <v>2214</v>
      </c>
      <c r="C12646" s="35" t="s">
        <v>2305</v>
      </c>
      <c r="D12646" s="35" t="s">
        <v>2495</v>
      </c>
      <c r="E12646" s="35" t="s">
        <v>2497</v>
      </c>
      <c r="F12646" s="35" t="s">
        <v>2502</v>
      </c>
    </row>
    <row r="12647" spans="1:6">
      <c r="A12647" s="34">
        <v>2084221481</v>
      </c>
      <c r="B12647" s="35" t="s">
        <v>2214</v>
      </c>
      <c r="C12647" s="35" t="s">
        <v>2305</v>
      </c>
      <c r="D12647" s="35" t="s">
        <v>2495</v>
      </c>
      <c r="E12647" s="35" t="s">
        <v>2497</v>
      </c>
      <c r="F12647" s="35" t="s">
        <v>2503</v>
      </c>
    </row>
    <row r="12648" spans="1:6">
      <c r="A12648" s="34">
        <v>2084221482</v>
      </c>
      <c r="B12648" s="35" t="s">
        <v>2214</v>
      </c>
      <c r="C12648" s="35" t="s">
        <v>2305</v>
      </c>
      <c r="D12648" s="35" t="s">
        <v>2495</v>
      </c>
      <c r="E12648" s="35" t="s">
        <v>2497</v>
      </c>
      <c r="F12648" s="35" t="s">
        <v>335</v>
      </c>
    </row>
    <row r="12649" spans="1:6">
      <c r="A12649" s="34">
        <v>2084252448</v>
      </c>
      <c r="B12649" s="35" t="s">
        <v>2214</v>
      </c>
      <c r="C12649" s="35" t="s">
        <v>2305</v>
      </c>
      <c r="D12649" s="35" t="s">
        <v>2495</v>
      </c>
      <c r="E12649" s="35" t="s">
        <v>2504</v>
      </c>
    </row>
    <row r="12650" spans="1:6">
      <c r="A12650" s="34">
        <v>2084229195</v>
      </c>
      <c r="B12650" s="35" t="s">
        <v>2214</v>
      </c>
      <c r="C12650" s="35" t="s">
        <v>2305</v>
      </c>
      <c r="D12650" s="35" t="s">
        <v>2495</v>
      </c>
      <c r="E12650" s="35" t="s">
        <v>2505</v>
      </c>
    </row>
    <row r="12651" spans="1:6">
      <c r="A12651" s="34">
        <v>2084252446</v>
      </c>
      <c r="B12651" s="35" t="s">
        <v>2214</v>
      </c>
      <c r="C12651" s="35" t="s">
        <v>2305</v>
      </c>
      <c r="D12651" s="35" t="s">
        <v>2495</v>
      </c>
      <c r="E12651" s="35" t="s">
        <v>2506</v>
      </c>
    </row>
    <row r="12652" spans="1:6">
      <c r="A12652" s="34">
        <v>2084252447</v>
      </c>
      <c r="B12652" s="35" t="s">
        <v>2214</v>
      </c>
      <c r="C12652" s="35" t="s">
        <v>2305</v>
      </c>
      <c r="D12652" s="35" t="s">
        <v>2495</v>
      </c>
      <c r="E12652" s="35" t="s">
        <v>2507</v>
      </c>
    </row>
    <row r="12653" spans="1:6">
      <c r="A12653" s="34">
        <v>2084051026</v>
      </c>
      <c r="B12653" s="35" t="s">
        <v>2214</v>
      </c>
      <c r="C12653" s="35" t="s">
        <v>2305</v>
      </c>
      <c r="D12653" s="35" t="s">
        <v>2495</v>
      </c>
      <c r="E12653" s="35" t="s">
        <v>336</v>
      </c>
    </row>
    <row r="12654" spans="1:6">
      <c r="A12654" s="34">
        <v>2084303670</v>
      </c>
      <c r="B12654" s="35" t="s">
        <v>2214</v>
      </c>
      <c r="C12654" s="35" t="s">
        <v>2305</v>
      </c>
      <c r="D12654" s="35" t="s">
        <v>2495</v>
      </c>
      <c r="E12654" s="35" t="s">
        <v>2508</v>
      </c>
      <c r="F12654" s="35" t="s">
        <v>2509</v>
      </c>
    </row>
    <row r="12655" spans="1:6">
      <c r="A12655" s="34">
        <v>2084303671</v>
      </c>
      <c r="B12655" s="35" t="s">
        <v>2214</v>
      </c>
      <c r="C12655" s="35" t="s">
        <v>2305</v>
      </c>
      <c r="D12655" s="35" t="s">
        <v>2495</v>
      </c>
      <c r="E12655" s="35" t="s">
        <v>2508</v>
      </c>
      <c r="F12655" s="35" t="s">
        <v>2510</v>
      </c>
    </row>
    <row r="12656" spans="1:6">
      <c r="A12656" s="34">
        <v>2084303672</v>
      </c>
      <c r="B12656" s="35" t="s">
        <v>2214</v>
      </c>
      <c r="C12656" s="35" t="s">
        <v>2305</v>
      </c>
      <c r="D12656" s="35" t="s">
        <v>2495</v>
      </c>
      <c r="E12656" s="35" t="s">
        <v>2508</v>
      </c>
      <c r="F12656" s="35" t="s">
        <v>2511</v>
      </c>
    </row>
    <row r="12657" spans="1:6">
      <c r="A12657" s="34">
        <v>2084303673</v>
      </c>
      <c r="B12657" s="35" t="s">
        <v>2214</v>
      </c>
      <c r="C12657" s="35" t="s">
        <v>2305</v>
      </c>
      <c r="D12657" s="35" t="s">
        <v>2495</v>
      </c>
      <c r="E12657" s="35" t="s">
        <v>2508</v>
      </c>
      <c r="F12657" s="35" t="s">
        <v>2512</v>
      </c>
    </row>
    <row r="12658" spans="1:6">
      <c r="A12658" s="34">
        <v>2084303674</v>
      </c>
      <c r="B12658" s="35" t="s">
        <v>2214</v>
      </c>
      <c r="C12658" s="35" t="s">
        <v>2305</v>
      </c>
      <c r="D12658" s="35" t="s">
        <v>2495</v>
      </c>
      <c r="E12658" s="35" t="s">
        <v>2508</v>
      </c>
      <c r="F12658" s="35" t="s">
        <v>2513</v>
      </c>
    </row>
    <row r="12659" spans="1:6">
      <c r="A12659" s="34">
        <v>2084303675</v>
      </c>
      <c r="B12659" s="35" t="s">
        <v>2214</v>
      </c>
      <c r="C12659" s="35" t="s">
        <v>2305</v>
      </c>
      <c r="D12659" s="35" t="s">
        <v>2495</v>
      </c>
      <c r="E12659" s="35" t="s">
        <v>2508</v>
      </c>
      <c r="F12659" s="35" t="s">
        <v>335</v>
      </c>
    </row>
    <row r="12660" spans="1:6">
      <c r="A12660" s="34">
        <v>2084243550</v>
      </c>
      <c r="B12660" s="35" t="s">
        <v>2214</v>
      </c>
      <c r="C12660" s="35" t="s">
        <v>2305</v>
      </c>
      <c r="D12660" s="35" t="s">
        <v>2495</v>
      </c>
      <c r="E12660" s="35" t="s">
        <v>2514</v>
      </c>
    </row>
    <row r="12661" spans="1:6">
      <c r="A12661" s="34">
        <v>2084061410</v>
      </c>
      <c r="B12661" s="35" t="s">
        <v>2214</v>
      </c>
      <c r="C12661" s="35" t="s">
        <v>2305</v>
      </c>
      <c r="D12661" s="35" t="s">
        <v>2495</v>
      </c>
      <c r="E12661" s="35" t="s">
        <v>2515</v>
      </c>
    </row>
    <row r="12662" spans="1:6">
      <c r="A12662" s="34">
        <v>2084024527</v>
      </c>
      <c r="B12662" s="35" t="s">
        <v>2214</v>
      </c>
      <c r="C12662" s="35" t="s">
        <v>2305</v>
      </c>
      <c r="D12662" s="35" t="s">
        <v>2495</v>
      </c>
      <c r="E12662" s="35" t="s">
        <v>316</v>
      </c>
    </row>
    <row r="12663" spans="1:6">
      <c r="A12663" s="34">
        <v>2084214351</v>
      </c>
      <c r="B12663" s="35" t="s">
        <v>2214</v>
      </c>
      <c r="C12663" s="35" t="s">
        <v>2305</v>
      </c>
      <c r="D12663" s="35" t="s">
        <v>2495</v>
      </c>
      <c r="E12663" s="35" t="s">
        <v>2516</v>
      </c>
    </row>
    <row r="12664" spans="1:6">
      <c r="A12664" s="34">
        <v>2084252449</v>
      </c>
      <c r="B12664" s="35" t="s">
        <v>2214</v>
      </c>
      <c r="C12664" s="35" t="s">
        <v>2305</v>
      </c>
      <c r="D12664" s="35" t="s">
        <v>2495</v>
      </c>
      <c r="E12664" s="35" t="s">
        <v>2517</v>
      </c>
    </row>
    <row r="12665" spans="1:6">
      <c r="A12665" s="34">
        <v>2084301270</v>
      </c>
      <c r="B12665" s="35" t="s">
        <v>2214</v>
      </c>
      <c r="C12665" s="35" t="s">
        <v>2305</v>
      </c>
      <c r="D12665" s="35" t="s">
        <v>2495</v>
      </c>
      <c r="E12665" s="35" t="s">
        <v>2518</v>
      </c>
    </row>
    <row r="12666" spans="1:6">
      <c r="A12666" s="34">
        <v>2084024553</v>
      </c>
      <c r="B12666" s="35" t="s">
        <v>2214</v>
      </c>
      <c r="C12666" s="35" t="s">
        <v>2305</v>
      </c>
      <c r="D12666" s="35" t="s">
        <v>2495</v>
      </c>
      <c r="E12666" s="35" t="s">
        <v>2519</v>
      </c>
    </row>
    <row r="12667" spans="1:6">
      <c r="A12667" s="34">
        <v>2084216390</v>
      </c>
      <c r="B12667" s="35" t="s">
        <v>2214</v>
      </c>
      <c r="C12667" s="35" t="s">
        <v>2305</v>
      </c>
      <c r="D12667" s="35" t="s">
        <v>2495</v>
      </c>
      <c r="E12667" s="35" t="s">
        <v>1065</v>
      </c>
      <c r="F12667" s="35" t="s">
        <v>407</v>
      </c>
    </row>
    <row r="12668" spans="1:6">
      <c r="A12668" s="34">
        <v>2084216391</v>
      </c>
      <c r="B12668" s="35" t="s">
        <v>2214</v>
      </c>
      <c r="C12668" s="35" t="s">
        <v>2305</v>
      </c>
      <c r="D12668" s="35" t="s">
        <v>2495</v>
      </c>
      <c r="E12668" s="35" t="s">
        <v>1065</v>
      </c>
      <c r="F12668" s="35" t="s">
        <v>408</v>
      </c>
    </row>
    <row r="12669" spans="1:6">
      <c r="A12669" s="34">
        <v>2084252450</v>
      </c>
      <c r="B12669" s="35" t="s">
        <v>2214</v>
      </c>
      <c r="C12669" s="35" t="s">
        <v>2305</v>
      </c>
      <c r="D12669" s="35" t="s">
        <v>2495</v>
      </c>
      <c r="E12669" s="35" t="s">
        <v>2520</v>
      </c>
    </row>
    <row r="12670" spans="1:6">
      <c r="A12670" s="34">
        <v>2084221483</v>
      </c>
      <c r="B12670" s="35" t="s">
        <v>2214</v>
      </c>
      <c r="C12670" s="35" t="s">
        <v>2305</v>
      </c>
      <c r="D12670" s="35" t="s">
        <v>2495</v>
      </c>
      <c r="E12670" s="35" t="s">
        <v>1118</v>
      </c>
      <c r="F12670" s="35" t="s">
        <v>407</v>
      </c>
    </row>
    <row r="12671" spans="1:6">
      <c r="A12671" s="34">
        <v>2084221484</v>
      </c>
      <c r="B12671" s="35" t="s">
        <v>2214</v>
      </c>
      <c r="C12671" s="35" t="s">
        <v>2305</v>
      </c>
      <c r="D12671" s="35" t="s">
        <v>2495</v>
      </c>
      <c r="E12671" s="35" t="s">
        <v>1118</v>
      </c>
      <c r="F12671" s="35" t="s">
        <v>408</v>
      </c>
    </row>
    <row r="12672" spans="1:6">
      <c r="A12672" s="34">
        <v>2084216392</v>
      </c>
      <c r="B12672" s="35" t="s">
        <v>2214</v>
      </c>
      <c r="C12672" s="35" t="s">
        <v>2305</v>
      </c>
      <c r="D12672" s="35" t="s">
        <v>2521</v>
      </c>
      <c r="E12672" s="35" t="s">
        <v>361</v>
      </c>
    </row>
    <row r="12673" spans="1:6">
      <c r="A12673" s="34">
        <v>2084308392</v>
      </c>
      <c r="B12673" s="35" t="s">
        <v>2214</v>
      </c>
      <c r="C12673" s="35" t="s">
        <v>2305</v>
      </c>
      <c r="D12673" s="35" t="s">
        <v>2521</v>
      </c>
      <c r="E12673" s="35" t="s">
        <v>2522</v>
      </c>
      <c r="F12673" s="35" t="s">
        <v>2523</v>
      </c>
    </row>
    <row r="12674" spans="1:6">
      <c r="A12674" s="34">
        <v>2084308393</v>
      </c>
      <c r="B12674" s="35" t="s">
        <v>2214</v>
      </c>
      <c r="C12674" s="35" t="s">
        <v>2305</v>
      </c>
      <c r="D12674" s="35" t="s">
        <v>2521</v>
      </c>
      <c r="E12674" s="35" t="s">
        <v>2522</v>
      </c>
      <c r="F12674" s="35" t="s">
        <v>2524</v>
      </c>
    </row>
    <row r="12675" spans="1:6">
      <c r="A12675" s="34">
        <v>2084308395</v>
      </c>
      <c r="B12675" s="35" t="s">
        <v>2214</v>
      </c>
      <c r="C12675" s="35" t="s">
        <v>2305</v>
      </c>
      <c r="D12675" s="35" t="s">
        <v>2521</v>
      </c>
      <c r="E12675" s="35" t="s">
        <v>2522</v>
      </c>
      <c r="F12675" s="35" t="s">
        <v>2525</v>
      </c>
    </row>
    <row r="12676" spans="1:6">
      <c r="A12676" s="34">
        <v>2084308396</v>
      </c>
      <c r="B12676" s="35" t="s">
        <v>2214</v>
      </c>
      <c r="C12676" s="35" t="s">
        <v>2305</v>
      </c>
      <c r="D12676" s="35" t="s">
        <v>2521</v>
      </c>
      <c r="E12676" s="35" t="s">
        <v>2522</v>
      </c>
      <c r="F12676" s="35" t="s">
        <v>2526</v>
      </c>
    </row>
    <row r="12677" spans="1:6">
      <c r="A12677" s="34">
        <v>2084308397</v>
      </c>
      <c r="B12677" s="35" t="s">
        <v>2214</v>
      </c>
      <c r="C12677" s="35" t="s">
        <v>2305</v>
      </c>
      <c r="D12677" s="35" t="s">
        <v>2521</v>
      </c>
      <c r="E12677" s="35" t="s">
        <v>2522</v>
      </c>
      <c r="F12677" s="35" t="s">
        <v>2527</v>
      </c>
    </row>
    <row r="12678" spans="1:6">
      <c r="A12678" s="34">
        <v>2084308398</v>
      </c>
      <c r="B12678" s="35" t="s">
        <v>2214</v>
      </c>
      <c r="C12678" s="35" t="s">
        <v>2305</v>
      </c>
      <c r="D12678" s="35" t="s">
        <v>2521</v>
      </c>
      <c r="E12678" s="35" t="s">
        <v>2522</v>
      </c>
      <c r="F12678" s="35" t="s">
        <v>2528</v>
      </c>
    </row>
    <row r="12679" spans="1:6">
      <c r="A12679" s="34">
        <v>2084308399</v>
      </c>
      <c r="B12679" s="35" t="s">
        <v>2214</v>
      </c>
      <c r="C12679" s="35" t="s">
        <v>2305</v>
      </c>
      <c r="D12679" s="35" t="s">
        <v>2521</v>
      </c>
      <c r="E12679" s="35" t="s">
        <v>2522</v>
      </c>
      <c r="F12679" s="35" t="s">
        <v>335</v>
      </c>
    </row>
    <row r="12680" spans="1:6">
      <c r="A12680" s="34">
        <v>2084243531</v>
      </c>
      <c r="B12680" s="35" t="s">
        <v>2214</v>
      </c>
      <c r="C12680" s="35" t="s">
        <v>2305</v>
      </c>
      <c r="D12680" s="35" t="s">
        <v>2521</v>
      </c>
      <c r="E12680" s="35" t="s">
        <v>2529</v>
      </c>
    </row>
    <row r="12681" spans="1:6">
      <c r="A12681" s="34">
        <v>2084221485</v>
      </c>
      <c r="B12681" s="35" t="s">
        <v>2214</v>
      </c>
      <c r="C12681" s="35" t="s">
        <v>2305</v>
      </c>
      <c r="D12681" s="35" t="s">
        <v>2530</v>
      </c>
      <c r="E12681" s="35" t="s">
        <v>2531</v>
      </c>
      <c r="F12681" s="35" t="s">
        <v>2532</v>
      </c>
    </row>
    <row r="12682" spans="1:6">
      <c r="A12682" s="34">
        <v>2084221487</v>
      </c>
      <c r="B12682" s="35" t="s">
        <v>2214</v>
      </c>
      <c r="C12682" s="35" t="s">
        <v>2305</v>
      </c>
      <c r="D12682" s="35" t="s">
        <v>2530</v>
      </c>
      <c r="E12682" s="35" t="s">
        <v>2531</v>
      </c>
      <c r="F12682" s="35" t="s">
        <v>2533</v>
      </c>
    </row>
    <row r="12683" spans="1:6">
      <c r="A12683" s="34">
        <v>2084221486</v>
      </c>
      <c r="B12683" s="35" t="s">
        <v>2214</v>
      </c>
      <c r="C12683" s="35" t="s">
        <v>2305</v>
      </c>
      <c r="D12683" s="35" t="s">
        <v>2530</v>
      </c>
      <c r="E12683" s="35" t="s">
        <v>2531</v>
      </c>
      <c r="F12683" s="35" t="s">
        <v>2534</v>
      </c>
    </row>
    <row r="12684" spans="1:6">
      <c r="A12684" s="34">
        <v>2084221488</v>
      </c>
      <c r="B12684" s="35" t="s">
        <v>2214</v>
      </c>
      <c r="C12684" s="35" t="s">
        <v>2305</v>
      </c>
      <c r="D12684" s="35" t="s">
        <v>2530</v>
      </c>
      <c r="E12684" s="35" t="s">
        <v>2531</v>
      </c>
      <c r="F12684" s="35" t="s">
        <v>2535</v>
      </c>
    </row>
    <row r="12685" spans="1:6">
      <c r="A12685" s="34">
        <v>2084221489</v>
      </c>
      <c r="B12685" s="35" t="s">
        <v>2214</v>
      </c>
      <c r="C12685" s="35" t="s">
        <v>2305</v>
      </c>
      <c r="D12685" s="35" t="s">
        <v>2530</v>
      </c>
      <c r="E12685" s="35" t="s">
        <v>2531</v>
      </c>
      <c r="F12685" s="35" t="s">
        <v>335</v>
      </c>
    </row>
    <row r="12686" spans="1:6">
      <c r="A12686" s="34">
        <v>2084252452</v>
      </c>
      <c r="B12686" s="35" t="s">
        <v>2214</v>
      </c>
      <c r="C12686" s="35" t="s">
        <v>2305</v>
      </c>
      <c r="D12686" s="35" t="s">
        <v>2530</v>
      </c>
      <c r="E12686" s="35" t="s">
        <v>2536</v>
      </c>
    </row>
    <row r="12687" spans="1:6">
      <c r="A12687" s="34">
        <v>2084024536</v>
      </c>
      <c r="B12687" s="35" t="s">
        <v>2214</v>
      </c>
      <c r="C12687" s="35" t="s">
        <v>2305</v>
      </c>
      <c r="D12687" s="35" t="s">
        <v>2530</v>
      </c>
      <c r="E12687" s="35" t="s">
        <v>2537</v>
      </c>
    </row>
    <row r="12688" spans="1:6">
      <c r="A12688" s="34">
        <v>2084252451</v>
      </c>
      <c r="B12688" s="35" t="s">
        <v>2214</v>
      </c>
      <c r="C12688" s="35" t="s">
        <v>2305</v>
      </c>
      <c r="D12688" s="35" t="s">
        <v>2530</v>
      </c>
      <c r="E12688" s="35" t="s">
        <v>317</v>
      </c>
    </row>
    <row r="12689" spans="1:6">
      <c r="A12689" s="34">
        <v>2084024551</v>
      </c>
      <c r="B12689" s="35" t="s">
        <v>2214</v>
      </c>
      <c r="C12689" s="35" t="s">
        <v>2305</v>
      </c>
      <c r="D12689" s="35" t="s">
        <v>2530</v>
      </c>
      <c r="E12689" s="35" t="s">
        <v>2538</v>
      </c>
    </row>
    <row r="12690" spans="1:6">
      <c r="A12690" s="34">
        <v>2084024524</v>
      </c>
      <c r="B12690" s="35" t="s">
        <v>2214</v>
      </c>
      <c r="C12690" s="35" t="s">
        <v>2305</v>
      </c>
      <c r="D12690" s="35" t="s">
        <v>2530</v>
      </c>
      <c r="E12690" s="35" t="s">
        <v>2539</v>
      </c>
    </row>
    <row r="12691" spans="1:6">
      <c r="A12691" s="34">
        <v>2084309201</v>
      </c>
      <c r="B12691" s="35" t="s">
        <v>2214</v>
      </c>
      <c r="C12691" s="35" t="s">
        <v>2305</v>
      </c>
      <c r="D12691" s="35" t="s">
        <v>2530</v>
      </c>
      <c r="E12691" s="35" t="s">
        <v>2540</v>
      </c>
      <c r="F12691" s="35" t="s">
        <v>2541</v>
      </c>
    </row>
    <row r="12692" spans="1:6">
      <c r="A12692" s="34">
        <v>2084309197</v>
      </c>
      <c r="B12692" s="35" t="s">
        <v>2214</v>
      </c>
      <c r="C12692" s="35" t="s">
        <v>2305</v>
      </c>
      <c r="D12692" s="35" t="s">
        <v>2530</v>
      </c>
      <c r="E12692" s="35" t="s">
        <v>2540</v>
      </c>
      <c r="F12692" s="35" t="s">
        <v>2542</v>
      </c>
    </row>
    <row r="12693" spans="1:6">
      <c r="A12693" s="34">
        <v>2084309199</v>
      </c>
      <c r="B12693" s="35" t="s">
        <v>2214</v>
      </c>
      <c r="C12693" s="35" t="s">
        <v>2305</v>
      </c>
      <c r="D12693" s="35" t="s">
        <v>2530</v>
      </c>
      <c r="E12693" s="35" t="s">
        <v>2540</v>
      </c>
      <c r="F12693" s="35" t="s">
        <v>2543</v>
      </c>
    </row>
    <row r="12694" spans="1:6">
      <c r="A12694" s="34">
        <v>2084309200</v>
      </c>
      <c r="B12694" s="35" t="s">
        <v>2214</v>
      </c>
      <c r="C12694" s="35" t="s">
        <v>2305</v>
      </c>
      <c r="D12694" s="35" t="s">
        <v>2530</v>
      </c>
      <c r="E12694" s="35" t="s">
        <v>2540</v>
      </c>
      <c r="F12694" s="35" t="s">
        <v>2544</v>
      </c>
    </row>
    <row r="12695" spans="1:6">
      <c r="A12695" s="34">
        <v>2084309202</v>
      </c>
      <c r="B12695" s="35" t="s">
        <v>2214</v>
      </c>
      <c r="C12695" s="35" t="s">
        <v>2305</v>
      </c>
      <c r="D12695" s="35" t="s">
        <v>2530</v>
      </c>
      <c r="E12695" s="35" t="s">
        <v>2540</v>
      </c>
      <c r="F12695" s="35" t="s">
        <v>2545</v>
      </c>
    </row>
    <row r="12696" spans="1:6">
      <c r="A12696" s="34">
        <v>2084309198</v>
      </c>
      <c r="B12696" s="35" t="s">
        <v>2214</v>
      </c>
      <c r="C12696" s="35" t="s">
        <v>2305</v>
      </c>
      <c r="D12696" s="35" t="s">
        <v>2530</v>
      </c>
      <c r="E12696" s="35" t="s">
        <v>2540</v>
      </c>
      <c r="F12696" s="35" t="s">
        <v>2546</v>
      </c>
    </row>
    <row r="12697" spans="1:6">
      <c r="A12697" s="34">
        <v>2084309203</v>
      </c>
      <c r="B12697" s="35" t="s">
        <v>2214</v>
      </c>
      <c r="C12697" s="35" t="s">
        <v>2305</v>
      </c>
      <c r="D12697" s="35" t="s">
        <v>2530</v>
      </c>
      <c r="E12697" s="35" t="s">
        <v>2540</v>
      </c>
      <c r="F12697" s="35" t="s">
        <v>335</v>
      </c>
    </row>
    <row r="12698" spans="1:6">
      <c r="A12698" s="34">
        <v>2084024546</v>
      </c>
      <c r="B12698" s="35" t="s">
        <v>2214</v>
      </c>
      <c r="C12698" s="35" t="s">
        <v>2305</v>
      </c>
      <c r="D12698" s="35" t="s">
        <v>2530</v>
      </c>
      <c r="E12698" s="35" t="s">
        <v>2547</v>
      </c>
    </row>
    <row r="12699" spans="1:6">
      <c r="A12699" s="34">
        <v>2084024525</v>
      </c>
      <c r="B12699" s="35" t="s">
        <v>2214</v>
      </c>
      <c r="C12699" s="35" t="s">
        <v>2305</v>
      </c>
      <c r="D12699" s="35" t="s">
        <v>2530</v>
      </c>
      <c r="E12699" s="35" t="s">
        <v>2548</v>
      </c>
    </row>
    <row r="12700" spans="1:6">
      <c r="A12700" s="34">
        <v>2084024548</v>
      </c>
      <c r="B12700" s="35" t="s">
        <v>2214</v>
      </c>
      <c r="C12700" s="35" t="s">
        <v>2305</v>
      </c>
      <c r="D12700" s="35" t="s">
        <v>2530</v>
      </c>
      <c r="E12700" s="35" t="s">
        <v>2549</v>
      </c>
    </row>
    <row r="12701" spans="1:6">
      <c r="A12701" s="34">
        <v>2084024518</v>
      </c>
      <c r="B12701" s="35" t="s">
        <v>2214</v>
      </c>
      <c r="C12701" s="35" t="s">
        <v>2305</v>
      </c>
      <c r="D12701" s="35" t="s">
        <v>2530</v>
      </c>
      <c r="E12701" s="35" t="s">
        <v>319</v>
      </c>
    </row>
    <row r="12702" spans="1:6">
      <c r="A12702" s="34">
        <v>2084024541</v>
      </c>
      <c r="B12702" s="35" t="s">
        <v>2214</v>
      </c>
      <c r="C12702" s="35" t="s">
        <v>2305</v>
      </c>
      <c r="D12702" s="35" t="s">
        <v>2530</v>
      </c>
      <c r="E12702" s="35" t="s">
        <v>2550</v>
      </c>
    </row>
    <row r="12703" spans="1:6">
      <c r="A12703" s="34">
        <v>2084210464</v>
      </c>
      <c r="B12703" s="35" t="s">
        <v>2214</v>
      </c>
      <c r="C12703" s="35" t="s">
        <v>2305</v>
      </c>
      <c r="D12703" s="35" t="s">
        <v>2530</v>
      </c>
      <c r="E12703" s="35" t="s">
        <v>2551</v>
      </c>
    </row>
    <row r="12704" spans="1:6">
      <c r="A12704" s="34">
        <v>2084252453</v>
      </c>
      <c r="B12704" s="35" t="s">
        <v>2214</v>
      </c>
      <c r="C12704" s="35" t="s">
        <v>2305</v>
      </c>
      <c r="D12704" s="35" t="s">
        <v>2530</v>
      </c>
      <c r="E12704" s="35" t="s">
        <v>2552</v>
      </c>
    </row>
    <row r="12705" spans="1:7">
      <c r="A12705" s="34">
        <v>2084053743</v>
      </c>
      <c r="B12705" s="35" t="s">
        <v>2214</v>
      </c>
      <c r="C12705" s="35" t="s">
        <v>2305</v>
      </c>
      <c r="D12705" s="35" t="s">
        <v>2530</v>
      </c>
      <c r="E12705" s="35" t="s">
        <v>2553</v>
      </c>
      <c r="F12705" s="35" t="s">
        <v>2554</v>
      </c>
    </row>
    <row r="12706" spans="1:7">
      <c r="A12706" s="34">
        <v>2084053741</v>
      </c>
      <c r="B12706" s="35" t="s">
        <v>2214</v>
      </c>
      <c r="C12706" s="35" t="s">
        <v>2305</v>
      </c>
      <c r="D12706" s="35" t="s">
        <v>2530</v>
      </c>
      <c r="E12706" s="35" t="s">
        <v>2553</v>
      </c>
      <c r="F12706" s="35" t="s">
        <v>2555</v>
      </c>
    </row>
    <row r="12707" spans="1:7">
      <c r="A12707" s="34">
        <v>2084053744</v>
      </c>
      <c r="B12707" s="35" t="s">
        <v>2214</v>
      </c>
      <c r="C12707" s="35" t="s">
        <v>2305</v>
      </c>
      <c r="D12707" s="35" t="s">
        <v>2530</v>
      </c>
      <c r="E12707" s="35" t="s">
        <v>2553</v>
      </c>
      <c r="F12707" s="35" t="s">
        <v>2556</v>
      </c>
    </row>
    <row r="12708" spans="1:7">
      <c r="A12708" s="34">
        <v>2084053742</v>
      </c>
      <c r="B12708" s="35" t="s">
        <v>2214</v>
      </c>
      <c r="C12708" s="35" t="s">
        <v>2305</v>
      </c>
      <c r="D12708" s="35" t="s">
        <v>2530</v>
      </c>
      <c r="E12708" s="35" t="s">
        <v>2553</v>
      </c>
      <c r="F12708" s="35" t="s">
        <v>2557</v>
      </c>
    </row>
    <row r="12709" spans="1:7">
      <c r="A12709" s="34">
        <v>2084053745</v>
      </c>
      <c r="B12709" s="35" t="s">
        <v>2214</v>
      </c>
      <c r="C12709" s="35" t="s">
        <v>2305</v>
      </c>
      <c r="D12709" s="35" t="s">
        <v>2530</v>
      </c>
      <c r="E12709" s="35" t="s">
        <v>2553</v>
      </c>
      <c r="F12709" s="35" t="s">
        <v>335</v>
      </c>
    </row>
    <row r="12710" spans="1:7">
      <c r="A12710" s="34">
        <v>2084252454</v>
      </c>
      <c r="B12710" s="35" t="s">
        <v>2214</v>
      </c>
      <c r="C12710" s="35" t="s">
        <v>2305</v>
      </c>
      <c r="D12710" s="35" t="s">
        <v>2530</v>
      </c>
      <c r="E12710" s="35" t="s">
        <v>2558</v>
      </c>
    </row>
    <row r="12711" spans="1:7">
      <c r="A12711" s="34">
        <v>2084221495</v>
      </c>
      <c r="B12711" s="35" t="s">
        <v>2214</v>
      </c>
      <c r="C12711" s="35" t="s">
        <v>2305</v>
      </c>
      <c r="D12711" s="35" t="s">
        <v>2530</v>
      </c>
      <c r="E12711" s="35" t="s">
        <v>2559</v>
      </c>
      <c r="F12711" s="35" t="s">
        <v>2560</v>
      </c>
      <c r="G12711" s="35" t="s">
        <v>2561</v>
      </c>
    </row>
    <row r="12712" spans="1:7">
      <c r="A12712" s="34">
        <v>2084221496</v>
      </c>
      <c r="B12712" s="35" t="s">
        <v>2214</v>
      </c>
      <c r="C12712" s="35" t="s">
        <v>2305</v>
      </c>
      <c r="D12712" s="35" t="s">
        <v>2530</v>
      </c>
      <c r="E12712" s="35" t="s">
        <v>2559</v>
      </c>
      <c r="F12712" s="35" t="s">
        <v>2560</v>
      </c>
      <c r="G12712" s="35" t="s">
        <v>335</v>
      </c>
    </row>
    <row r="12713" spans="1:7">
      <c r="A12713" s="34">
        <v>2084221497</v>
      </c>
      <c r="B12713" s="35" t="s">
        <v>2214</v>
      </c>
      <c r="C12713" s="35" t="s">
        <v>2305</v>
      </c>
      <c r="D12713" s="35" t="s">
        <v>2530</v>
      </c>
      <c r="E12713" s="35" t="s">
        <v>2559</v>
      </c>
      <c r="F12713" s="35" t="s">
        <v>2562</v>
      </c>
      <c r="G12713" s="35" t="s">
        <v>2563</v>
      </c>
    </row>
    <row r="12714" spans="1:7">
      <c r="A12714" s="34">
        <v>2084221498</v>
      </c>
      <c r="B12714" s="35" t="s">
        <v>2214</v>
      </c>
      <c r="C12714" s="35" t="s">
        <v>2305</v>
      </c>
      <c r="D12714" s="35" t="s">
        <v>2530</v>
      </c>
      <c r="E12714" s="35" t="s">
        <v>2559</v>
      </c>
      <c r="F12714" s="35" t="s">
        <v>2562</v>
      </c>
      <c r="G12714" s="35" t="s">
        <v>335</v>
      </c>
    </row>
    <row r="12715" spans="1:7">
      <c r="A12715" s="34">
        <v>2084221499</v>
      </c>
      <c r="B12715" s="35" t="s">
        <v>2214</v>
      </c>
      <c r="C12715" s="35" t="s">
        <v>2305</v>
      </c>
      <c r="D12715" s="35" t="s">
        <v>2530</v>
      </c>
      <c r="E12715" s="35" t="s">
        <v>2559</v>
      </c>
      <c r="F12715" s="35" t="s">
        <v>2564</v>
      </c>
      <c r="G12715" s="35" t="s">
        <v>2565</v>
      </c>
    </row>
    <row r="12716" spans="1:7">
      <c r="A12716" s="34">
        <v>2084221500</v>
      </c>
      <c r="B12716" s="35" t="s">
        <v>2214</v>
      </c>
      <c r="C12716" s="35" t="s">
        <v>2305</v>
      </c>
      <c r="D12716" s="35" t="s">
        <v>2530</v>
      </c>
      <c r="E12716" s="35" t="s">
        <v>2559</v>
      </c>
      <c r="F12716" s="35" t="s">
        <v>2564</v>
      </c>
      <c r="G12716" s="35" t="s">
        <v>2566</v>
      </c>
    </row>
    <row r="12717" spans="1:7">
      <c r="A12717" s="34">
        <v>2084221501</v>
      </c>
      <c r="B12717" s="35" t="s">
        <v>2214</v>
      </c>
      <c r="C12717" s="35" t="s">
        <v>2305</v>
      </c>
      <c r="D12717" s="35" t="s">
        <v>2530</v>
      </c>
      <c r="E12717" s="35" t="s">
        <v>2559</v>
      </c>
      <c r="F12717" s="35" t="s">
        <v>2564</v>
      </c>
      <c r="G12717" s="35" t="s">
        <v>335</v>
      </c>
    </row>
    <row r="12718" spans="1:7">
      <c r="A12718" s="34">
        <v>2084221492</v>
      </c>
      <c r="B12718" s="35" t="s">
        <v>2214</v>
      </c>
      <c r="C12718" s="35" t="s">
        <v>2305</v>
      </c>
      <c r="D12718" s="35" t="s">
        <v>2530</v>
      </c>
      <c r="E12718" s="35" t="s">
        <v>2559</v>
      </c>
      <c r="F12718" s="35" t="s">
        <v>2345</v>
      </c>
    </row>
    <row r="12719" spans="1:7">
      <c r="A12719" s="34">
        <v>2084221494</v>
      </c>
      <c r="B12719" s="35" t="s">
        <v>2214</v>
      </c>
      <c r="C12719" s="35" t="s">
        <v>2305</v>
      </c>
      <c r="D12719" s="35" t="s">
        <v>2530</v>
      </c>
      <c r="E12719" s="35" t="s">
        <v>2559</v>
      </c>
      <c r="F12719" s="35" t="s">
        <v>335</v>
      </c>
    </row>
    <row r="12720" spans="1:7">
      <c r="A12720" s="34">
        <v>2084024545</v>
      </c>
      <c r="B12720" s="35" t="s">
        <v>2214</v>
      </c>
      <c r="C12720" s="35" t="s">
        <v>2305</v>
      </c>
      <c r="D12720" s="35" t="s">
        <v>2530</v>
      </c>
      <c r="E12720" s="35" t="s">
        <v>2567</v>
      </c>
    </row>
    <row r="12721" spans="1:6">
      <c r="A12721" s="34">
        <v>2084285566</v>
      </c>
      <c r="B12721" s="35" t="s">
        <v>2214</v>
      </c>
      <c r="C12721" s="35" t="s">
        <v>2305</v>
      </c>
      <c r="D12721" s="35" t="s">
        <v>2530</v>
      </c>
      <c r="E12721" s="35" t="s">
        <v>1292</v>
      </c>
      <c r="F12721" s="35" t="s">
        <v>2568</v>
      </c>
    </row>
    <row r="12722" spans="1:6">
      <c r="A12722" s="34">
        <v>2084053746</v>
      </c>
      <c r="B12722" s="35" t="s">
        <v>2214</v>
      </c>
      <c r="C12722" s="35" t="s">
        <v>2305</v>
      </c>
      <c r="D12722" s="35" t="s">
        <v>2530</v>
      </c>
      <c r="E12722" s="35" t="s">
        <v>1292</v>
      </c>
      <c r="F12722" s="35" t="s">
        <v>2569</v>
      </c>
    </row>
    <row r="12723" spans="1:6">
      <c r="A12723" s="34">
        <v>2084285567</v>
      </c>
      <c r="B12723" s="35" t="s">
        <v>2214</v>
      </c>
      <c r="C12723" s="35" t="s">
        <v>2305</v>
      </c>
      <c r="D12723" s="35" t="s">
        <v>2530</v>
      </c>
      <c r="E12723" s="35" t="s">
        <v>1292</v>
      </c>
      <c r="F12723" s="35" t="s">
        <v>2570</v>
      </c>
    </row>
    <row r="12724" spans="1:6">
      <c r="A12724" s="34">
        <v>2084053750</v>
      </c>
      <c r="B12724" s="35" t="s">
        <v>2214</v>
      </c>
      <c r="C12724" s="35" t="s">
        <v>2305</v>
      </c>
      <c r="D12724" s="35" t="s">
        <v>2530</v>
      </c>
      <c r="E12724" s="35" t="s">
        <v>1292</v>
      </c>
      <c r="F12724" s="35" t="s">
        <v>332</v>
      </c>
    </row>
    <row r="12725" spans="1:6">
      <c r="A12725" s="34">
        <v>2084053752</v>
      </c>
      <c r="B12725" s="35" t="s">
        <v>2214</v>
      </c>
      <c r="C12725" s="35" t="s">
        <v>2305</v>
      </c>
      <c r="D12725" s="35" t="s">
        <v>2530</v>
      </c>
      <c r="E12725" s="35" t="s">
        <v>1292</v>
      </c>
      <c r="F12725" s="35" t="s">
        <v>2571</v>
      </c>
    </row>
    <row r="12726" spans="1:6">
      <c r="A12726" s="34">
        <v>2084053749</v>
      </c>
      <c r="B12726" s="35" t="s">
        <v>2214</v>
      </c>
      <c r="C12726" s="35" t="s">
        <v>2305</v>
      </c>
      <c r="D12726" s="35" t="s">
        <v>2530</v>
      </c>
      <c r="E12726" s="35" t="s">
        <v>1292</v>
      </c>
      <c r="F12726" s="35" t="s">
        <v>2572</v>
      </c>
    </row>
    <row r="12727" spans="1:6">
      <c r="A12727" s="34">
        <v>2084053747</v>
      </c>
      <c r="B12727" s="35" t="s">
        <v>2214</v>
      </c>
      <c r="C12727" s="35" t="s">
        <v>2305</v>
      </c>
      <c r="D12727" s="35" t="s">
        <v>2530</v>
      </c>
      <c r="E12727" s="35" t="s">
        <v>1292</v>
      </c>
      <c r="F12727" s="35" t="s">
        <v>2573</v>
      </c>
    </row>
    <row r="12728" spans="1:6">
      <c r="A12728" s="34">
        <v>2084053748</v>
      </c>
      <c r="B12728" s="35" t="s">
        <v>2214</v>
      </c>
      <c r="C12728" s="35" t="s">
        <v>2305</v>
      </c>
      <c r="D12728" s="35" t="s">
        <v>2530</v>
      </c>
      <c r="E12728" s="35" t="s">
        <v>1292</v>
      </c>
      <c r="F12728" s="35" t="s">
        <v>2574</v>
      </c>
    </row>
    <row r="12729" spans="1:6">
      <c r="A12729" s="34">
        <v>2084053751</v>
      </c>
      <c r="B12729" s="35" t="s">
        <v>2214</v>
      </c>
      <c r="C12729" s="35" t="s">
        <v>2305</v>
      </c>
      <c r="D12729" s="35" t="s">
        <v>2530</v>
      </c>
      <c r="E12729" s="35" t="s">
        <v>1292</v>
      </c>
      <c r="F12729" s="35" t="s">
        <v>2575</v>
      </c>
    </row>
    <row r="12730" spans="1:6">
      <c r="A12730" s="34">
        <v>2084053753</v>
      </c>
      <c r="B12730" s="35" t="s">
        <v>2214</v>
      </c>
      <c r="C12730" s="35" t="s">
        <v>2305</v>
      </c>
      <c r="D12730" s="35" t="s">
        <v>2530</v>
      </c>
      <c r="E12730" s="35" t="s">
        <v>1292</v>
      </c>
      <c r="F12730" s="35" t="s">
        <v>335</v>
      </c>
    </row>
    <row r="12731" spans="1:6">
      <c r="A12731" s="34">
        <v>2084301271</v>
      </c>
      <c r="B12731" s="35" t="s">
        <v>2214</v>
      </c>
      <c r="C12731" s="35" t="s">
        <v>2305</v>
      </c>
      <c r="D12731" s="35" t="s">
        <v>2530</v>
      </c>
      <c r="E12731" s="35" t="s">
        <v>2576</v>
      </c>
    </row>
    <row r="12732" spans="1:6">
      <c r="A12732" s="34">
        <v>2084024521</v>
      </c>
      <c r="B12732" s="35" t="s">
        <v>2214</v>
      </c>
      <c r="C12732" s="35" t="s">
        <v>2305</v>
      </c>
      <c r="D12732" s="35" t="s">
        <v>2530</v>
      </c>
      <c r="E12732" s="35" t="s">
        <v>2577</v>
      </c>
    </row>
    <row r="12733" spans="1:6">
      <c r="A12733" s="34">
        <v>2084024529</v>
      </c>
      <c r="B12733" s="35" t="s">
        <v>2214</v>
      </c>
      <c r="C12733" s="35" t="s">
        <v>2305</v>
      </c>
      <c r="D12733" s="35" t="s">
        <v>2530</v>
      </c>
      <c r="E12733" s="35" t="s">
        <v>2578</v>
      </c>
    </row>
    <row r="12734" spans="1:6">
      <c r="A12734" s="34">
        <v>2084243530</v>
      </c>
      <c r="B12734" s="35" t="s">
        <v>2214</v>
      </c>
      <c r="C12734" s="35" t="s">
        <v>2305</v>
      </c>
      <c r="D12734" s="35" t="s">
        <v>2530</v>
      </c>
      <c r="E12734" s="35" t="s">
        <v>2579</v>
      </c>
    </row>
    <row r="12735" spans="1:6">
      <c r="A12735" s="34">
        <v>2084252456</v>
      </c>
      <c r="B12735" s="35" t="s">
        <v>2214</v>
      </c>
      <c r="C12735" s="35" t="s">
        <v>2305</v>
      </c>
      <c r="D12735" s="35" t="s">
        <v>2530</v>
      </c>
      <c r="E12735" s="35" t="s">
        <v>2580</v>
      </c>
    </row>
    <row r="12736" spans="1:6">
      <c r="A12736" s="34">
        <v>2084252455</v>
      </c>
      <c r="B12736" s="35" t="s">
        <v>2214</v>
      </c>
      <c r="C12736" s="35" t="s">
        <v>2305</v>
      </c>
      <c r="D12736" s="35" t="s">
        <v>2530</v>
      </c>
      <c r="E12736" s="35" t="s">
        <v>2581</v>
      </c>
    </row>
    <row r="12737" spans="1:5">
      <c r="A12737" s="34">
        <v>2084193069</v>
      </c>
      <c r="B12737" s="35" t="s">
        <v>2214</v>
      </c>
      <c r="C12737" s="35" t="s">
        <v>2305</v>
      </c>
      <c r="D12737" s="35" t="s">
        <v>2530</v>
      </c>
      <c r="E12737" s="35" t="s">
        <v>2582</v>
      </c>
    </row>
    <row r="12738" spans="1:5">
      <c r="A12738" s="34">
        <v>2084252457</v>
      </c>
      <c r="B12738" s="35" t="s">
        <v>2214</v>
      </c>
      <c r="C12738" s="35" t="s">
        <v>2305</v>
      </c>
      <c r="D12738" s="35" t="s">
        <v>2530</v>
      </c>
      <c r="E12738" s="35" t="s">
        <v>2583</v>
      </c>
    </row>
    <row r="12739" spans="1:5">
      <c r="A12739" s="34">
        <v>2084061863</v>
      </c>
      <c r="B12739" s="35" t="s">
        <v>2214</v>
      </c>
      <c r="C12739" s="35" t="s">
        <v>2305</v>
      </c>
      <c r="D12739" s="35" t="s">
        <v>2530</v>
      </c>
      <c r="E12739" s="35" t="s">
        <v>2584</v>
      </c>
    </row>
    <row r="12740" spans="1:5">
      <c r="A12740" s="34">
        <v>2084216393</v>
      </c>
      <c r="B12740" s="35" t="s">
        <v>2214</v>
      </c>
      <c r="C12740" s="35" t="s">
        <v>2305</v>
      </c>
      <c r="D12740" s="35" t="s">
        <v>2530</v>
      </c>
      <c r="E12740" s="35" t="s">
        <v>1343</v>
      </c>
    </row>
    <row r="12741" spans="1:5">
      <c r="A12741" s="34">
        <v>2084024533</v>
      </c>
      <c r="B12741" s="35" t="s">
        <v>2214</v>
      </c>
      <c r="C12741" s="35" t="s">
        <v>2305</v>
      </c>
      <c r="D12741" s="35" t="s">
        <v>2530</v>
      </c>
      <c r="E12741" s="35" t="s">
        <v>2585</v>
      </c>
    </row>
    <row r="12742" spans="1:5">
      <c r="A12742" s="34">
        <v>2084024530</v>
      </c>
      <c r="B12742" s="35" t="s">
        <v>2214</v>
      </c>
      <c r="C12742" s="35" t="s">
        <v>2305</v>
      </c>
      <c r="D12742" s="35" t="s">
        <v>2530</v>
      </c>
      <c r="E12742" s="35" t="s">
        <v>2586</v>
      </c>
    </row>
    <row r="12743" spans="1:5">
      <c r="A12743" s="34">
        <v>2084301272</v>
      </c>
      <c r="B12743" s="35" t="s">
        <v>2214</v>
      </c>
      <c r="C12743" s="35" t="s">
        <v>2305</v>
      </c>
      <c r="D12743" s="35" t="s">
        <v>2587</v>
      </c>
      <c r="E12743" s="35" t="s">
        <v>2588</v>
      </c>
    </row>
    <row r="12744" spans="1:5">
      <c r="A12744" s="34">
        <v>2084252458</v>
      </c>
      <c r="B12744" s="35" t="s">
        <v>2214</v>
      </c>
      <c r="C12744" s="35" t="s">
        <v>2305</v>
      </c>
      <c r="D12744" s="35" t="s">
        <v>2587</v>
      </c>
      <c r="E12744" s="35" t="s">
        <v>2589</v>
      </c>
    </row>
    <row r="12745" spans="1:5">
      <c r="A12745" s="34">
        <v>2084229197</v>
      </c>
      <c r="B12745" s="35" t="s">
        <v>2214</v>
      </c>
      <c r="C12745" s="35" t="s">
        <v>2305</v>
      </c>
      <c r="D12745" s="35" t="s">
        <v>2587</v>
      </c>
      <c r="E12745" s="35" t="s">
        <v>2590</v>
      </c>
    </row>
    <row r="12746" spans="1:5">
      <c r="A12746" s="34">
        <v>2084252459</v>
      </c>
      <c r="B12746" s="35" t="s">
        <v>2214</v>
      </c>
      <c r="C12746" s="35" t="s">
        <v>2305</v>
      </c>
      <c r="D12746" s="35" t="s">
        <v>2587</v>
      </c>
      <c r="E12746" s="35" t="s">
        <v>2591</v>
      </c>
    </row>
    <row r="12747" spans="1:5">
      <c r="A12747" s="34">
        <v>2084252460</v>
      </c>
      <c r="B12747" s="35" t="s">
        <v>2214</v>
      </c>
      <c r="C12747" s="35" t="s">
        <v>2305</v>
      </c>
      <c r="D12747" s="35" t="s">
        <v>2587</v>
      </c>
      <c r="E12747" s="35" t="s">
        <v>2592</v>
      </c>
    </row>
    <row r="12748" spans="1:5">
      <c r="A12748" s="34">
        <v>2084229201</v>
      </c>
      <c r="B12748" s="35" t="s">
        <v>2214</v>
      </c>
      <c r="C12748" s="35" t="s">
        <v>2305</v>
      </c>
      <c r="D12748" s="35" t="s">
        <v>2587</v>
      </c>
      <c r="E12748" s="35" t="s">
        <v>2593</v>
      </c>
    </row>
    <row r="12749" spans="1:5">
      <c r="A12749" s="34">
        <v>2084041631</v>
      </c>
      <c r="B12749" s="35" t="s">
        <v>2214</v>
      </c>
      <c r="C12749" s="35" t="s">
        <v>2305</v>
      </c>
      <c r="D12749" s="35" t="s">
        <v>2587</v>
      </c>
      <c r="E12749" s="35" t="s">
        <v>2594</v>
      </c>
    </row>
    <row r="12750" spans="1:5">
      <c r="A12750" s="34">
        <v>2084252935</v>
      </c>
      <c r="B12750" s="35" t="s">
        <v>2214</v>
      </c>
      <c r="C12750" s="35" t="s">
        <v>2305</v>
      </c>
      <c r="D12750" s="35" t="s">
        <v>2587</v>
      </c>
      <c r="E12750" s="35" t="s">
        <v>2595</v>
      </c>
    </row>
    <row r="12751" spans="1:5">
      <c r="A12751" s="34">
        <v>2084024519</v>
      </c>
      <c r="B12751" s="35" t="s">
        <v>2214</v>
      </c>
      <c r="C12751" s="35" t="s">
        <v>2305</v>
      </c>
      <c r="D12751" s="35" t="s">
        <v>2596</v>
      </c>
      <c r="E12751" s="35" t="s">
        <v>2597</v>
      </c>
    </row>
    <row r="12752" spans="1:5">
      <c r="A12752" s="34">
        <v>2084054102</v>
      </c>
      <c r="B12752" s="35" t="s">
        <v>2214</v>
      </c>
      <c r="C12752" s="35" t="s">
        <v>2305</v>
      </c>
      <c r="D12752" s="35" t="s">
        <v>2596</v>
      </c>
      <c r="E12752" s="35" t="s">
        <v>2598</v>
      </c>
    </row>
    <row r="12753" spans="1:7">
      <c r="A12753" s="34">
        <v>2084054101</v>
      </c>
      <c r="B12753" s="35" t="s">
        <v>2214</v>
      </c>
      <c r="C12753" s="35" t="s">
        <v>2305</v>
      </c>
      <c r="D12753" s="35" t="s">
        <v>2596</v>
      </c>
      <c r="E12753" s="35" t="s">
        <v>2599</v>
      </c>
    </row>
    <row r="12754" spans="1:7">
      <c r="A12754" s="34">
        <v>2084252461</v>
      </c>
      <c r="B12754" s="35" t="s">
        <v>2214</v>
      </c>
      <c r="C12754" s="35" t="s">
        <v>2305</v>
      </c>
      <c r="D12754" s="35" t="s">
        <v>2596</v>
      </c>
      <c r="E12754" s="35" t="s">
        <v>2600</v>
      </c>
    </row>
    <row r="12755" spans="1:7">
      <c r="A12755" s="34">
        <v>2084051028</v>
      </c>
      <c r="B12755" s="35" t="s">
        <v>2214</v>
      </c>
      <c r="C12755" s="35" t="s">
        <v>2305</v>
      </c>
      <c r="D12755" s="35" t="s">
        <v>2596</v>
      </c>
      <c r="E12755" s="35" t="s">
        <v>322</v>
      </c>
    </row>
    <row r="12756" spans="1:7">
      <c r="A12756" s="34">
        <v>2084221502</v>
      </c>
      <c r="B12756" s="35" t="s">
        <v>2214</v>
      </c>
      <c r="C12756" s="35" t="s">
        <v>2305</v>
      </c>
      <c r="D12756" s="35" t="s">
        <v>2596</v>
      </c>
      <c r="E12756" s="35" t="s">
        <v>2601</v>
      </c>
      <c r="F12756" s="35" t="s">
        <v>2922</v>
      </c>
    </row>
    <row r="12757" spans="1:7">
      <c r="A12757" s="34">
        <v>2084221503</v>
      </c>
      <c r="B12757" s="35" t="s">
        <v>2214</v>
      </c>
      <c r="C12757" s="35" t="s">
        <v>2305</v>
      </c>
      <c r="D12757" s="35" t="s">
        <v>2596</v>
      </c>
      <c r="E12757" s="35" t="s">
        <v>2601</v>
      </c>
      <c r="F12757" s="35" t="s">
        <v>2602</v>
      </c>
    </row>
    <row r="12758" spans="1:7">
      <c r="A12758" s="34">
        <v>2084221504</v>
      </c>
      <c r="B12758" s="35" t="s">
        <v>2214</v>
      </c>
      <c r="C12758" s="35" t="s">
        <v>2305</v>
      </c>
      <c r="D12758" s="35" t="s">
        <v>2596</v>
      </c>
      <c r="E12758" s="35" t="s">
        <v>2601</v>
      </c>
      <c r="F12758" s="35" t="s">
        <v>335</v>
      </c>
    </row>
    <row r="12759" spans="1:7">
      <c r="A12759" s="34">
        <v>2084024550</v>
      </c>
      <c r="B12759" s="35" t="s">
        <v>2214</v>
      </c>
      <c r="C12759" s="35" t="s">
        <v>2305</v>
      </c>
      <c r="D12759" s="35" t="s">
        <v>2596</v>
      </c>
      <c r="E12759" s="35" t="s">
        <v>2603</v>
      </c>
    </row>
    <row r="12760" spans="1:7">
      <c r="A12760" s="34">
        <v>2084252462</v>
      </c>
      <c r="B12760" s="35" t="s">
        <v>2214</v>
      </c>
      <c r="C12760" s="35" t="s">
        <v>2305</v>
      </c>
      <c r="D12760" s="35" t="s">
        <v>2596</v>
      </c>
      <c r="E12760" s="35" t="s">
        <v>2604</v>
      </c>
    </row>
    <row r="12761" spans="1:7">
      <c r="A12761" s="34">
        <v>2084224441</v>
      </c>
      <c r="B12761" s="35" t="s">
        <v>2214</v>
      </c>
      <c r="C12761" s="35" t="s">
        <v>2305</v>
      </c>
      <c r="D12761" s="35" t="s">
        <v>2596</v>
      </c>
      <c r="E12761" s="35" t="s">
        <v>2605</v>
      </c>
    </row>
    <row r="12762" spans="1:7">
      <c r="A12762" s="34">
        <v>2084310776</v>
      </c>
      <c r="B12762" s="35" t="s">
        <v>2214</v>
      </c>
      <c r="C12762" s="35" t="s">
        <v>2305</v>
      </c>
      <c r="D12762" s="35" t="s">
        <v>2596</v>
      </c>
      <c r="E12762" s="35" t="s">
        <v>2606</v>
      </c>
      <c r="F12762" s="35" t="s">
        <v>2607</v>
      </c>
      <c r="G12762" s="35" t="s">
        <v>2608</v>
      </c>
    </row>
    <row r="12763" spans="1:7">
      <c r="A12763" s="34">
        <v>2084310777</v>
      </c>
      <c r="B12763" s="35" t="s">
        <v>2214</v>
      </c>
      <c r="C12763" s="35" t="s">
        <v>2305</v>
      </c>
      <c r="D12763" s="35" t="s">
        <v>2596</v>
      </c>
      <c r="E12763" s="35" t="s">
        <v>2606</v>
      </c>
      <c r="F12763" s="35" t="s">
        <v>2607</v>
      </c>
      <c r="G12763" s="35" t="s">
        <v>2347</v>
      </c>
    </row>
    <row r="12764" spans="1:7">
      <c r="A12764" s="34">
        <v>2084310778</v>
      </c>
      <c r="B12764" s="35" t="s">
        <v>2214</v>
      </c>
      <c r="C12764" s="35" t="s">
        <v>2305</v>
      </c>
      <c r="D12764" s="35" t="s">
        <v>2596</v>
      </c>
      <c r="E12764" s="35" t="s">
        <v>2606</v>
      </c>
      <c r="F12764" s="35" t="s">
        <v>2609</v>
      </c>
      <c r="G12764" s="35" t="s">
        <v>2608</v>
      </c>
    </row>
    <row r="12765" spans="1:7">
      <c r="A12765" s="34">
        <v>2084310779</v>
      </c>
      <c r="B12765" s="35" t="s">
        <v>2214</v>
      </c>
      <c r="C12765" s="35" t="s">
        <v>2305</v>
      </c>
      <c r="D12765" s="35" t="s">
        <v>2596</v>
      </c>
      <c r="E12765" s="35" t="s">
        <v>2606</v>
      </c>
      <c r="F12765" s="35" t="s">
        <v>2609</v>
      </c>
      <c r="G12765" s="35" t="s">
        <v>2347</v>
      </c>
    </row>
    <row r="12766" spans="1:7">
      <c r="A12766" s="34">
        <v>2084310780</v>
      </c>
      <c r="B12766" s="35" t="s">
        <v>2214</v>
      </c>
      <c r="C12766" s="35" t="s">
        <v>2305</v>
      </c>
      <c r="D12766" s="35" t="s">
        <v>2596</v>
      </c>
      <c r="E12766" s="35" t="s">
        <v>2606</v>
      </c>
      <c r="F12766" s="35" t="s">
        <v>2610</v>
      </c>
      <c r="G12766" s="35" t="s">
        <v>2608</v>
      </c>
    </row>
    <row r="12767" spans="1:7">
      <c r="A12767" s="34">
        <v>2084310781</v>
      </c>
      <c r="B12767" s="35" t="s">
        <v>2214</v>
      </c>
      <c r="C12767" s="35" t="s">
        <v>2305</v>
      </c>
      <c r="D12767" s="35" t="s">
        <v>2596</v>
      </c>
      <c r="E12767" s="35" t="s">
        <v>2606</v>
      </c>
      <c r="F12767" s="35" t="s">
        <v>2610</v>
      </c>
      <c r="G12767" s="35" t="s">
        <v>2347</v>
      </c>
    </row>
    <row r="12768" spans="1:7">
      <c r="A12768" s="34">
        <v>2084310782</v>
      </c>
      <c r="B12768" s="35" t="s">
        <v>2214</v>
      </c>
      <c r="C12768" s="35" t="s">
        <v>2305</v>
      </c>
      <c r="D12768" s="35" t="s">
        <v>2596</v>
      </c>
      <c r="E12768" s="35" t="s">
        <v>2606</v>
      </c>
      <c r="F12768" s="35" t="s">
        <v>2611</v>
      </c>
      <c r="G12768" s="35" t="s">
        <v>2608</v>
      </c>
    </row>
    <row r="12769" spans="1:8">
      <c r="A12769" s="34">
        <v>2084310783</v>
      </c>
      <c r="B12769" s="35" t="s">
        <v>2214</v>
      </c>
      <c r="C12769" s="35" t="s">
        <v>2305</v>
      </c>
      <c r="D12769" s="35" t="s">
        <v>2596</v>
      </c>
      <c r="E12769" s="35" t="s">
        <v>2606</v>
      </c>
      <c r="F12769" s="35" t="s">
        <v>2611</v>
      </c>
      <c r="G12769" s="35" t="s">
        <v>2347</v>
      </c>
    </row>
    <row r="12770" spans="1:8">
      <c r="A12770" s="34">
        <v>2084024502</v>
      </c>
      <c r="B12770" s="35" t="s">
        <v>2214</v>
      </c>
      <c r="C12770" s="35" t="s">
        <v>2305</v>
      </c>
      <c r="D12770" s="35" t="s">
        <v>2596</v>
      </c>
      <c r="E12770" s="35" t="s">
        <v>2606</v>
      </c>
      <c r="F12770" s="35" t="s">
        <v>2612</v>
      </c>
    </row>
    <row r="12771" spans="1:8">
      <c r="A12771" s="34">
        <v>2084310784</v>
      </c>
      <c r="B12771" s="35" t="s">
        <v>2214</v>
      </c>
      <c r="C12771" s="35" t="s">
        <v>2305</v>
      </c>
      <c r="D12771" s="35" t="s">
        <v>2596</v>
      </c>
      <c r="E12771" s="35" t="s">
        <v>2606</v>
      </c>
      <c r="F12771" s="35" t="s">
        <v>2613</v>
      </c>
      <c r="G12771" s="35" t="s">
        <v>2608</v>
      </c>
    </row>
    <row r="12772" spans="1:8">
      <c r="A12772" s="34">
        <v>2084310785</v>
      </c>
      <c r="B12772" s="35" t="s">
        <v>2214</v>
      </c>
      <c r="C12772" s="35" t="s">
        <v>2305</v>
      </c>
      <c r="D12772" s="35" t="s">
        <v>2596</v>
      </c>
      <c r="E12772" s="35" t="s">
        <v>2606</v>
      </c>
      <c r="F12772" s="35" t="s">
        <v>2613</v>
      </c>
      <c r="G12772" s="35" t="s">
        <v>2347</v>
      </c>
    </row>
    <row r="12773" spans="1:8">
      <c r="A12773" s="34">
        <v>2084310786</v>
      </c>
      <c r="B12773" s="35" t="s">
        <v>2214</v>
      </c>
      <c r="C12773" s="35" t="s">
        <v>2305</v>
      </c>
      <c r="D12773" s="35" t="s">
        <v>2596</v>
      </c>
      <c r="E12773" s="35" t="s">
        <v>2606</v>
      </c>
      <c r="F12773" s="35" t="s">
        <v>2614</v>
      </c>
      <c r="G12773" s="35" t="s">
        <v>2608</v>
      </c>
    </row>
    <row r="12774" spans="1:8">
      <c r="A12774" s="34">
        <v>2084310787</v>
      </c>
      <c r="B12774" s="35" t="s">
        <v>2214</v>
      </c>
      <c r="C12774" s="35" t="s">
        <v>2305</v>
      </c>
      <c r="D12774" s="35" t="s">
        <v>2596</v>
      </c>
      <c r="E12774" s="35" t="s">
        <v>2606</v>
      </c>
      <c r="F12774" s="35" t="s">
        <v>2614</v>
      </c>
      <c r="G12774" s="35" t="s">
        <v>2347</v>
      </c>
    </row>
    <row r="12775" spans="1:8">
      <c r="A12775" s="34">
        <v>2084024501</v>
      </c>
      <c r="B12775" s="35" t="s">
        <v>2214</v>
      </c>
      <c r="C12775" s="35" t="s">
        <v>2305</v>
      </c>
      <c r="D12775" s="35" t="s">
        <v>2596</v>
      </c>
      <c r="E12775" s="35" t="s">
        <v>2606</v>
      </c>
      <c r="F12775" s="35" t="s">
        <v>2615</v>
      </c>
    </row>
    <row r="12776" spans="1:8">
      <c r="A12776" s="34">
        <v>2084310788</v>
      </c>
      <c r="B12776" s="35" t="s">
        <v>2214</v>
      </c>
      <c r="C12776" s="35" t="s">
        <v>2305</v>
      </c>
      <c r="D12776" s="35" t="s">
        <v>2596</v>
      </c>
      <c r="E12776" s="35" t="s">
        <v>2606</v>
      </c>
      <c r="F12776" s="35" t="s">
        <v>2616</v>
      </c>
      <c r="G12776" s="35" t="s">
        <v>2608</v>
      </c>
    </row>
    <row r="12777" spans="1:8">
      <c r="A12777" s="34">
        <v>2084310789</v>
      </c>
      <c r="B12777" s="35" t="s">
        <v>2214</v>
      </c>
      <c r="C12777" s="35" t="s">
        <v>2305</v>
      </c>
      <c r="D12777" s="35" t="s">
        <v>2596</v>
      </c>
      <c r="E12777" s="35" t="s">
        <v>2606</v>
      </c>
      <c r="F12777" s="35" t="s">
        <v>2616</v>
      </c>
      <c r="G12777" s="35" t="s">
        <v>2347</v>
      </c>
    </row>
    <row r="12778" spans="1:8">
      <c r="A12778" s="34">
        <v>2084310792</v>
      </c>
      <c r="B12778" s="35" t="s">
        <v>2214</v>
      </c>
      <c r="C12778" s="35" t="s">
        <v>2305</v>
      </c>
      <c r="D12778" s="35" t="s">
        <v>2596</v>
      </c>
      <c r="E12778" s="35" t="s">
        <v>2606</v>
      </c>
      <c r="F12778" s="35" t="s">
        <v>2617</v>
      </c>
      <c r="G12778" s="35" t="s">
        <v>353</v>
      </c>
      <c r="H12778" s="35" t="s">
        <v>2608</v>
      </c>
    </row>
    <row r="12779" spans="1:8">
      <c r="A12779" s="34">
        <v>2084310793</v>
      </c>
      <c r="B12779" s="35" t="s">
        <v>2214</v>
      </c>
      <c r="C12779" s="35" t="s">
        <v>2305</v>
      </c>
      <c r="D12779" s="35" t="s">
        <v>2596</v>
      </c>
      <c r="E12779" s="35" t="s">
        <v>2606</v>
      </c>
      <c r="F12779" s="35" t="s">
        <v>2617</v>
      </c>
      <c r="G12779" s="35" t="s">
        <v>353</v>
      </c>
      <c r="H12779" s="35" t="s">
        <v>2347</v>
      </c>
    </row>
    <row r="12780" spans="1:8">
      <c r="A12780" s="34">
        <v>2084310790</v>
      </c>
      <c r="B12780" s="35" t="s">
        <v>2214</v>
      </c>
      <c r="C12780" s="35" t="s">
        <v>2305</v>
      </c>
      <c r="D12780" s="35" t="s">
        <v>2596</v>
      </c>
      <c r="E12780" s="35" t="s">
        <v>2606</v>
      </c>
      <c r="F12780" s="35" t="s">
        <v>2617</v>
      </c>
      <c r="G12780" s="35" t="s">
        <v>390</v>
      </c>
      <c r="H12780" s="35" t="s">
        <v>2608</v>
      </c>
    </row>
    <row r="12781" spans="1:8">
      <c r="A12781" s="34">
        <v>2084310791</v>
      </c>
      <c r="B12781" s="35" t="s">
        <v>2214</v>
      </c>
      <c r="C12781" s="35" t="s">
        <v>2305</v>
      </c>
      <c r="D12781" s="35" t="s">
        <v>2596</v>
      </c>
      <c r="E12781" s="35" t="s">
        <v>2606</v>
      </c>
      <c r="F12781" s="35" t="s">
        <v>2617</v>
      </c>
      <c r="G12781" s="35" t="s">
        <v>390</v>
      </c>
      <c r="H12781" s="35" t="s">
        <v>2347</v>
      </c>
    </row>
    <row r="12782" spans="1:8">
      <c r="A12782" s="34">
        <v>2084310794</v>
      </c>
      <c r="B12782" s="35" t="s">
        <v>2214</v>
      </c>
      <c r="C12782" s="35" t="s">
        <v>2305</v>
      </c>
      <c r="D12782" s="35" t="s">
        <v>2596</v>
      </c>
      <c r="E12782" s="35" t="s">
        <v>2606</v>
      </c>
      <c r="F12782" s="35" t="s">
        <v>2618</v>
      </c>
      <c r="G12782" s="35" t="s">
        <v>2608</v>
      </c>
    </row>
    <row r="12783" spans="1:8">
      <c r="A12783" s="34">
        <v>2084310795</v>
      </c>
      <c r="B12783" s="35" t="s">
        <v>2214</v>
      </c>
      <c r="C12783" s="35" t="s">
        <v>2305</v>
      </c>
      <c r="D12783" s="35" t="s">
        <v>2596</v>
      </c>
      <c r="E12783" s="35" t="s">
        <v>2606</v>
      </c>
      <c r="F12783" s="35" t="s">
        <v>2618</v>
      </c>
      <c r="G12783" s="35" t="s">
        <v>2347</v>
      </c>
    </row>
    <row r="12784" spans="1:8">
      <c r="A12784" s="34">
        <v>2084310798</v>
      </c>
      <c r="B12784" s="35" t="s">
        <v>2214</v>
      </c>
      <c r="C12784" s="35" t="s">
        <v>2305</v>
      </c>
      <c r="D12784" s="35" t="s">
        <v>2596</v>
      </c>
      <c r="E12784" s="35" t="s">
        <v>2606</v>
      </c>
      <c r="F12784" s="35" t="s">
        <v>2619</v>
      </c>
      <c r="G12784" s="35" t="s">
        <v>353</v>
      </c>
      <c r="H12784" s="35" t="s">
        <v>2608</v>
      </c>
    </row>
    <row r="12785" spans="1:8">
      <c r="A12785" s="34">
        <v>2084310799</v>
      </c>
      <c r="B12785" s="35" t="s">
        <v>2214</v>
      </c>
      <c r="C12785" s="35" t="s">
        <v>2305</v>
      </c>
      <c r="D12785" s="35" t="s">
        <v>2596</v>
      </c>
      <c r="E12785" s="35" t="s">
        <v>2606</v>
      </c>
      <c r="F12785" s="35" t="s">
        <v>2619</v>
      </c>
      <c r="G12785" s="35" t="s">
        <v>353</v>
      </c>
      <c r="H12785" s="35" t="s">
        <v>2347</v>
      </c>
    </row>
    <row r="12786" spans="1:8">
      <c r="A12786" s="34">
        <v>2084310796</v>
      </c>
      <c r="B12786" s="35" t="s">
        <v>2214</v>
      </c>
      <c r="C12786" s="35" t="s">
        <v>2305</v>
      </c>
      <c r="D12786" s="35" t="s">
        <v>2596</v>
      </c>
      <c r="E12786" s="35" t="s">
        <v>2606</v>
      </c>
      <c r="F12786" s="35" t="s">
        <v>2619</v>
      </c>
      <c r="G12786" s="35" t="s">
        <v>390</v>
      </c>
      <c r="H12786" s="35" t="s">
        <v>2608</v>
      </c>
    </row>
    <row r="12787" spans="1:8">
      <c r="A12787" s="34">
        <v>2084310797</v>
      </c>
      <c r="B12787" s="35" t="s">
        <v>2214</v>
      </c>
      <c r="C12787" s="35" t="s">
        <v>2305</v>
      </c>
      <c r="D12787" s="35" t="s">
        <v>2596</v>
      </c>
      <c r="E12787" s="35" t="s">
        <v>2606</v>
      </c>
      <c r="F12787" s="35" t="s">
        <v>2619</v>
      </c>
      <c r="G12787" s="35" t="s">
        <v>390</v>
      </c>
      <c r="H12787" s="35" t="s">
        <v>2347</v>
      </c>
    </row>
    <row r="12788" spans="1:8">
      <c r="A12788" s="34">
        <v>2084024500</v>
      </c>
      <c r="B12788" s="35" t="s">
        <v>2214</v>
      </c>
      <c r="C12788" s="35" t="s">
        <v>2305</v>
      </c>
      <c r="D12788" s="35" t="s">
        <v>2596</v>
      </c>
      <c r="E12788" s="35" t="s">
        <v>2606</v>
      </c>
      <c r="F12788" s="35" t="s">
        <v>2620</v>
      </c>
    </row>
    <row r="12789" spans="1:8">
      <c r="A12789" s="34">
        <v>2084024498</v>
      </c>
      <c r="B12789" s="35" t="s">
        <v>2214</v>
      </c>
      <c r="C12789" s="35" t="s">
        <v>2305</v>
      </c>
      <c r="D12789" s="35" t="s">
        <v>2596</v>
      </c>
      <c r="E12789" s="35" t="s">
        <v>2606</v>
      </c>
      <c r="F12789" s="35" t="s">
        <v>2621</v>
      </c>
    </row>
    <row r="12790" spans="1:8">
      <c r="A12790" s="34">
        <v>2084310800</v>
      </c>
      <c r="B12790" s="35" t="s">
        <v>2214</v>
      </c>
      <c r="C12790" s="35" t="s">
        <v>2305</v>
      </c>
      <c r="D12790" s="35" t="s">
        <v>2596</v>
      </c>
      <c r="E12790" s="35" t="s">
        <v>2606</v>
      </c>
      <c r="F12790" s="35" t="s">
        <v>2348</v>
      </c>
    </row>
    <row r="12791" spans="1:8">
      <c r="A12791" s="34">
        <v>2084310801</v>
      </c>
      <c r="B12791" s="35" t="s">
        <v>2214</v>
      </c>
      <c r="C12791" s="35" t="s">
        <v>2305</v>
      </c>
      <c r="D12791" s="35" t="s">
        <v>2596</v>
      </c>
      <c r="E12791" s="35" t="s">
        <v>2606</v>
      </c>
      <c r="F12791" s="35" t="s">
        <v>2349</v>
      </c>
    </row>
    <row r="12792" spans="1:8">
      <c r="A12792" s="34">
        <v>2084024489</v>
      </c>
      <c r="B12792" s="35" t="s">
        <v>2214</v>
      </c>
      <c r="C12792" s="35" t="s">
        <v>2305</v>
      </c>
      <c r="D12792" s="35" t="s">
        <v>2596</v>
      </c>
      <c r="E12792" s="35" t="s">
        <v>2606</v>
      </c>
      <c r="F12792" s="35" t="s">
        <v>335</v>
      </c>
    </row>
    <row r="12793" spans="1:8">
      <c r="A12793" s="34">
        <v>2084308400</v>
      </c>
      <c r="B12793" s="35" t="s">
        <v>2214</v>
      </c>
      <c r="C12793" s="35" t="s">
        <v>2305</v>
      </c>
      <c r="D12793" s="35" t="s">
        <v>2596</v>
      </c>
      <c r="E12793" s="35" t="s">
        <v>2622</v>
      </c>
      <c r="F12793" s="35" t="s">
        <v>2623</v>
      </c>
    </row>
    <row r="12794" spans="1:8">
      <c r="A12794" s="34">
        <v>2084308401</v>
      </c>
      <c r="B12794" s="35" t="s">
        <v>2214</v>
      </c>
      <c r="C12794" s="35" t="s">
        <v>2305</v>
      </c>
      <c r="D12794" s="35" t="s">
        <v>2596</v>
      </c>
      <c r="E12794" s="35" t="s">
        <v>2622</v>
      </c>
      <c r="F12794" s="35" t="s">
        <v>2624</v>
      </c>
    </row>
    <row r="12795" spans="1:8">
      <c r="A12795" s="34">
        <v>2084308402</v>
      </c>
      <c r="B12795" s="35" t="s">
        <v>2214</v>
      </c>
      <c r="C12795" s="35" t="s">
        <v>2305</v>
      </c>
      <c r="D12795" s="35" t="s">
        <v>2596</v>
      </c>
      <c r="E12795" s="35" t="s">
        <v>2622</v>
      </c>
      <c r="F12795" s="35" t="s">
        <v>2625</v>
      </c>
    </row>
    <row r="12796" spans="1:8">
      <c r="A12796" s="34">
        <v>2084308403</v>
      </c>
      <c r="B12796" s="35" t="s">
        <v>2214</v>
      </c>
      <c r="C12796" s="35" t="s">
        <v>2305</v>
      </c>
      <c r="D12796" s="35" t="s">
        <v>2596</v>
      </c>
      <c r="E12796" s="35" t="s">
        <v>2622</v>
      </c>
      <c r="F12796" s="35" t="s">
        <v>2626</v>
      </c>
    </row>
    <row r="12797" spans="1:8">
      <c r="A12797" s="34">
        <v>2084308404</v>
      </c>
      <c r="B12797" s="35" t="s">
        <v>2214</v>
      </c>
      <c r="C12797" s="35" t="s">
        <v>2305</v>
      </c>
      <c r="D12797" s="35" t="s">
        <v>2596</v>
      </c>
      <c r="E12797" s="35" t="s">
        <v>2622</v>
      </c>
      <c r="F12797" s="35" t="s">
        <v>2627</v>
      </c>
    </row>
    <row r="12798" spans="1:8">
      <c r="A12798" s="34">
        <v>2084308405</v>
      </c>
      <c r="B12798" s="35" t="s">
        <v>2214</v>
      </c>
      <c r="C12798" s="35" t="s">
        <v>2305</v>
      </c>
      <c r="D12798" s="35" t="s">
        <v>2596</v>
      </c>
      <c r="E12798" s="35" t="s">
        <v>2622</v>
      </c>
      <c r="F12798" s="35" t="s">
        <v>335</v>
      </c>
    </row>
    <row r="12799" spans="1:8">
      <c r="A12799" s="34">
        <v>2084302035</v>
      </c>
      <c r="B12799" s="35" t="s">
        <v>2628</v>
      </c>
      <c r="C12799" s="35" t="s">
        <v>2629</v>
      </c>
      <c r="D12799" s="35" t="s">
        <v>2630</v>
      </c>
      <c r="E12799" s="35" t="s">
        <v>2631</v>
      </c>
      <c r="F12799" s="35" t="s">
        <v>2632</v>
      </c>
    </row>
    <row r="12800" spans="1:8">
      <c r="A12800" s="34">
        <v>2084302037</v>
      </c>
      <c r="B12800" s="35" t="s">
        <v>2628</v>
      </c>
      <c r="C12800" s="35" t="s">
        <v>2629</v>
      </c>
      <c r="D12800" s="35" t="s">
        <v>2630</v>
      </c>
      <c r="E12800" s="35" t="s">
        <v>2631</v>
      </c>
      <c r="F12800" s="35" t="s">
        <v>2633</v>
      </c>
    </row>
    <row r="12801" spans="1:6">
      <c r="A12801" s="34">
        <v>2084302038</v>
      </c>
      <c r="B12801" s="35" t="s">
        <v>2628</v>
      </c>
      <c r="C12801" s="35" t="s">
        <v>2629</v>
      </c>
      <c r="D12801" s="35" t="s">
        <v>2630</v>
      </c>
      <c r="E12801" s="35" t="s">
        <v>2631</v>
      </c>
      <c r="F12801" s="35" t="s">
        <v>2634</v>
      </c>
    </row>
    <row r="12802" spans="1:6">
      <c r="A12802" s="34">
        <v>2084302039</v>
      </c>
      <c r="B12802" s="35" t="s">
        <v>2628</v>
      </c>
      <c r="C12802" s="35" t="s">
        <v>2629</v>
      </c>
      <c r="D12802" s="35" t="s">
        <v>2630</v>
      </c>
      <c r="E12802" s="35" t="s">
        <v>2631</v>
      </c>
      <c r="F12802" s="35" t="s">
        <v>2635</v>
      </c>
    </row>
    <row r="12803" spans="1:6">
      <c r="A12803" s="34">
        <v>2084063610</v>
      </c>
      <c r="B12803" s="35" t="s">
        <v>2628</v>
      </c>
      <c r="C12803" s="35" t="s">
        <v>2629</v>
      </c>
      <c r="D12803" s="35" t="s">
        <v>2630</v>
      </c>
      <c r="E12803" s="35" t="s">
        <v>2636</v>
      </c>
      <c r="F12803" s="35" t="s">
        <v>2637</v>
      </c>
    </row>
    <row r="12804" spans="1:6">
      <c r="A12804" s="34">
        <v>2084063609</v>
      </c>
      <c r="B12804" s="35" t="s">
        <v>2628</v>
      </c>
      <c r="C12804" s="35" t="s">
        <v>2629</v>
      </c>
      <c r="D12804" s="35" t="s">
        <v>2630</v>
      </c>
      <c r="E12804" s="35" t="s">
        <v>2636</v>
      </c>
      <c r="F12804" s="35" t="s">
        <v>2634</v>
      </c>
    </row>
    <row r="12805" spans="1:6">
      <c r="A12805" s="34">
        <v>2084063608</v>
      </c>
      <c r="B12805" s="35" t="s">
        <v>2628</v>
      </c>
      <c r="C12805" s="35" t="s">
        <v>2629</v>
      </c>
      <c r="D12805" s="35" t="s">
        <v>2630</v>
      </c>
      <c r="E12805" s="35" t="s">
        <v>2636</v>
      </c>
      <c r="F12805" s="35" t="s">
        <v>2633</v>
      </c>
    </row>
    <row r="12806" spans="1:6">
      <c r="A12806" s="34">
        <v>2084063607</v>
      </c>
      <c r="B12806" s="35" t="s">
        <v>2628</v>
      </c>
      <c r="C12806" s="35" t="s">
        <v>2629</v>
      </c>
      <c r="D12806" s="35" t="s">
        <v>2630</v>
      </c>
      <c r="E12806" s="35" t="s">
        <v>2636</v>
      </c>
      <c r="F12806" s="35" t="s">
        <v>2632</v>
      </c>
    </row>
    <row r="12807" spans="1:6">
      <c r="A12807" s="34">
        <v>2084063612</v>
      </c>
      <c r="B12807" s="35" t="s">
        <v>2628</v>
      </c>
      <c r="C12807" s="35" t="s">
        <v>2629</v>
      </c>
      <c r="D12807" s="35" t="s">
        <v>2630</v>
      </c>
      <c r="E12807" s="35" t="s">
        <v>2636</v>
      </c>
      <c r="F12807" s="35" t="s">
        <v>335</v>
      </c>
    </row>
    <row r="12808" spans="1:6">
      <c r="A12808" s="34">
        <v>2084261387</v>
      </c>
      <c r="B12808" s="35" t="s">
        <v>2628</v>
      </c>
      <c r="C12808" s="35" t="s">
        <v>2629</v>
      </c>
      <c r="D12808" s="35" t="s">
        <v>2630</v>
      </c>
      <c r="E12808" s="35" t="s">
        <v>2638</v>
      </c>
    </row>
    <row r="12809" spans="1:6">
      <c r="A12809" s="34">
        <v>2084063613</v>
      </c>
      <c r="B12809" s="35" t="s">
        <v>2628</v>
      </c>
      <c r="C12809" s="35" t="s">
        <v>2629</v>
      </c>
      <c r="D12809" s="35" t="s">
        <v>2630</v>
      </c>
      <c r="E12809" s="35" t="s">
        <v>335</v>
      </c>
    </row>
    <row r="12810" spans="1:6">
      <c r="A12810" s="34">
        <v>2084042534</v>
      </c>
      <c r="B12810" s="35" t="s">
        <v>2628</v>
      </c>
      <c r="C12810" s="35" t="s">
        <v>2629</v>
      </c>
      <c r="D12810" s="35" t="s">
        <v>2639</v>
      </c>
    </row>
    <row r="12811" spans="1:6">
      <c r="A12811" s="34">
        <v>2084042533</v>
      </c>
      <c r="B12811" s="35" t="s">
        <v>2628</v>
      </c>
      <c r="C12811" s="35" t="s">
        <v>2629</v>
      </c>
      <c r="D12811" s="35" t="s">
        <v>2640</v>
      </c>
    </row>
    <row r="12812" spans="1:6">
      <c r="A12812" s="34">
        <v>2084315958</v>
      </c>
      <c r="B12812" s="35" t="s">
        <v>2661</v>
      </c>
      <c r="C12812" s="35" t="s">
        <v>2662</v>
      </c>
      <c r="D12812" s="35" t="s">
        <v>2663</v>
      </c>
      <c r="E12812" s="35" t="s">
        <v>2664</v>
      </c>
    </row>
    <row r="12813" spans="1:6">
      <c r="A12813" s="34">
        <v>2084315956</v>
      </c>
      <c r="B12813" s="35" t="s">
        <v>2661</v>
      </c>
      <c r="C12813" s="35" t="s">
        <v>2662</v>
      </c>
      <c r="D12813" s="35" t="s">
        <v>2663</v>
      </c>
      <c r="E12813" s="35" t="s">
        <v>2665</v>
      </c>
    </row>
    <row r="12814" spans="1:6">
      <c r="A12814" s="34">
        <v>2084315957</v>
      </c>
      <c r="B12814" s="35" t="s">
        <v>2661</v>
      </c>
      <c r="C12814" s="35" t="s">
        <v>2662</v>
      </c>
      <c r="D12814" s="35" t="s">
        <v>2663</v>
      </c>
      <c r="E12814" s="35" t="s">
        <v>2923</v>
      </c>
    </row>
    <row r="12815" spans="1:6">
      <c r="A12815" s="34">
        <v>2084314668</v>
      </c>
      <c r="B12815" s="35" t="s">
        <v>2661</v>
      </c>
      <c r="C12815" s="35" t="s">
        <v>2662</v>
      </c>
      <c r="D12815" s="35" t="s">
        <v>2663</v>
      </c>
      <c r="E12815" s="35" t="s">
        <v>2671</v>
      </c>
    </row>
    <row r="12816" spans="1:6">
      <c r="A12816" s="34">
        <v>2084314669</v>
      </c>
      <c r="B12816" s="35" t="s">
        <v>2661</v>
      </c>
      <c r="C12816" s="35" t="s">
        <v>2662</v>
      </c>
      <c r="D12816" s="35" t="s">
        <v>2663</v>
      </c>
      <c r="E12816" s="35" t="s">
        <v>2666</v>
      </c>
    </row>
    <row r="12817" spans="1:5">
      <c r="A12817" s="34">
        <v>2084315955</v>
      </c>
      <c r="B12817" s="35" t="s">
        <v>2661</v>
      </c>
      <c r="C12817" s="35" t="s">
        <v>2662</v>
      </c>
      <c r="D12817" s="35" t="s">
        <v>2663</v>
      </c>
      <c r="E12817" s="35" t="s">
        <v>2667</v>
      </c>
    </row>
    <row r="12818" spans="1:5">
      <c r="A12818" s="34">
        <v>2084315954</v>
      </c>
      <c r="B12818" s="35" t="s">
        <v>2661</v>
      </c>
      <c r="C12818" s="35" t="s">
        <v>2662</v>
      </c>
      <c r="D12818" s="35" t="s">
        <v>2663</v>
      </c>
      <c r="E12818" s="35" t="s">
        <v>2668</v>
      </c>
    </row>
    <row r="12819" spans="1:5">
      <c r="A12819" s="34">
        <v>2084308386</v>
      </c>
      <c r="B12819" s="35" t="s">
        <v>2661</v>
      </c>
      <c r="C12819" s="35" t="s">
        <v>2662</v>
      </c>
      <c r="D12819" s="35" t="s">
        <v>2663</v>
      </c>
      <c r="E12819" s="35" t="s">
        <v>2669</v>
      </c>
    </row>
    <row r="12820" spans="1:5">
      <c r="A12820" s="34">
        <v>2084263728</v>
      </c>
      <c r="B12820" s="35" t="s">
        <v>2661</v>
      </c>
      <c r="C12820" s="35" t="s">
        <v>2662</v>
      </c>
      <c r="D12820" s="35" t="s">
        <v>2663</v>
      </c>
      <c r="E12820" s="35" t="s">
        <v>2670</v>
      </c>
    </row>
    <row r="12822" spans="1:5" ht="18.75">
      <c r="A12822" s="48"/>
      <c r="B12822" s="49"/>
    </row>
    <row r="12823" spans="1:5" ht="18.75">
      <c r="A12823" s="48"/>
      <c r="B12823" s="49"/>
    </row>
    <row r="12824" spans="1:5" ht="18.75">
      <c r="A12824" s="48"/>
      <c r="B12824" s="49"/>
    </row>
    <row r="12825" spans="1:5" ht="18.75">
      <c r="A12825" s="48"/>
      <c r="B12825" s="49"/>
    </row>
    <row r="12826" spans="1:5" ht="18.75">
      <c r="A12826" s="48"/>
      <c r="B12826" s="49"/>
    </row>
    <row r="12827" spans="1:5" ht="18.75">
      <c r="A12827" s="48"/>
      <c r="B12827" s="49"/>
    </row>
    <row r="12828" spans="1:5" ht="18.75">
      <c r="A12828" s="48"/>
      <c r="B12828" s="49"/>
    </row>
    <row r="12829" spans="1:5" ht="18.75">
      <c r="A12829" s="48"/>
      <c r="B12829"/>
    </row>
  </sheetData>
  <phoneticPr fontId="4"/>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filterMode="1"/>
  <dimension ref="A1:AJ821"/>
  <sheetViews>
    <sheetView tabSelected="1" workbookViewId="0">
      <pane ySplit="1" topLeftCell="A361" activePane="bottomLeft" state="frozen"/>
      <selection pane="bottomLeft" activeCell="B2" sqref="B2"/>
    </sheetView>
  </sheetViews>
  <sheetFormatPr defaultRowHeight="13.5"/>
  <cols>
    <col min="1" max="1" width="14" customWidth="1"/>
    <col min="2" max="2" width="16.25" customWidth="1"/>
    <col min="3" max="3" width="113.5" customWidth="1"/>
    <col min="4" max="4" width="5.625" customWidth="1"/>
    <col min="5" max="5" width="16.625" customWidth="1"/>
    <col min="6" max="8" width="9" customWidth="1"/>
    <col min="12" max="26" width="5.625" customWidth="1"/>
    <col min="27" max="29" width="5.375" customWidth="1"/>
    <col min="30" max="32" width="9.625" customWidth="1"/>
    <col min="34" max="34" width="8.75" customWidth="1"/>
  </cols>
  <sheetData>
    <row r="1" spans="1:36" s="32" customFormat="1">
      <c r="A1" s="73" t="s">
        <v>168</v>
      </c>
      <c r="B1" s="65" t="s">
        <v>0</v>
      </c>
      <c r="C1" s="2" t="s">
        <v>1</v>
      </c>
      <c r="D1" s="2" t="s">
        <v>2</v>
      </c>
      <c r="E1" s="2" t="s">
        <v>98</v>
      </c>
      <c r="F1" s="74" t="s">
        <v>4</v>
      </c>
      <c r="G1" s="75" t="s">
        <v>5</v>
      </c>
      <c r="H1" s="75" t="s">
        <v>6</v>
      </c>
      <c r="I1" s="75" t="s">
        <v>7</v>
      </c>
      <c r="J1" s="75" t="s">
        <v>8</v>
      </c>
      <c r="K1" s="2" t="s">
        <v>9</v>
      </c>
      <c r="L1" s="1" t="s">
        <v>10</v>
      </c>
      <c r="M1" s="1" t="s">
        <v>11</v>
      </c>
      <c r="N1" s="1" t="s">
        <v>110</v>
      </c>
      <c r="O1" s="1" t="s">
        <v>111</v>
      </c>
      <c r="P1" s="1" t="s">
        <v>112</v>
      </c>
      <c r="Q1" s="1" t="s">
        <v>113</v>
      </c>
      <c r="R1" s="1" t="s">
        <v>12</v>
      </c>
      <c r="S1" s="1" t="s">
        <v>36</v>
      </c>
      <c r="T1" s="1" t="s">
        <v>82</v>
      </c>
      <c r="U1" s="1" t="s">
        <v>114</v>
      </c>
      <c r="V1" s="1" t="s">
        <v>39</v>
      </c>
      <c r="W1" s="1" t="s">
        <v>13</v>
      </c>
      <c r="X1" s="1" t="s">
        <v>37</v>
      </c>
      <c r="Y1" s="1" t="s">
        <v>115</v>
      </c>
      <c r="Z1" s="1" t="s">
        <v>116</v>
      </c>
      <c r="AA1" s="1" t="s">
        <v>14</v>
      </c>
      <c r="AB1" s="1" t="s">
        <v>15</v>
      </c>
      <c r="AC1" s="1" t="s">
        <v>16</v>
      </c>
      <c r="AD1" s="1" t="s">
        <v>17</v>
      </c>
      <c r="AE1" s="1" t="s">
        <v>18</v>
      </c>
      <c r="AF1" s="1" t="s">
        <v>164</v>
      </c>
      <c r="AG1" s="1" t="s">
        <v>107</v>
      </c>
      <c r="AH1" s="1" t="s">
        <v>151</v>
      </c>
      <c r="AI1" s="76" t="s">
        <v>2646</v>
      </c>
      <c r="AJ1" s="32" t="s">
        <v>3033</v>
      </c>
    </row>
    <row r="2" spans="1:36" ht="13.5" customHeight="1">
      <c r="A2" s="3">
        <v>2084005208</v>
      </c>
      <c r="B2" s="68">
        <f>IF(トップス!B2="","",トップス!B2)</f>
        <v>1212260021698</v>
      </c>
      <c r="C2" s="3" t="str">
        <f>IF(トップス!C2="","",トップス!C2)</f>
        <v>◇ PIVOT DOOR ピボットドアー 胸ロゴ、裾袖絞りあり 長袖 フリース 表記なし グリーン レディースメンズ E 1212260021698</v>
      </c>
      <c r="D2" s="3" t="str">
        <f>IF(トップス!E2="","",トップス!E2)</f>
        <v>無</v>
      </c>
      <c r="E2" s="3" t="str">
        <f>IF(トップス!AA2="","",トップス!AA2)</f>
        <v>ベースW/26</v>
      </c>
      <c r="F2" s="3">
        <f>IF(トップス!G2="","",トップス!G2)</f>
        <v>3</v>
      </c>
      <c r="G2" s="3" t="str">
        <f>IF(トップス!H2="","",トップス!H2)</f>
        <v>目立った傷や汚れなし</v>
      </c>
      <c r="H2" s="3" t="str">
        <f>IF(トップス!I2="","",トップス!I2)</f>
        <v/>
      </c>
      <c r="I2" s="3" t="str">
        <f>IF(トップス!J2="","",トップス!J2)</f>
        <v>画像参照</v>
      </c>
      <c r="J2" s="3" t="str">
        <f>IF(トップス!K2="","",トップス!K2)</f>
        <v>グリーン</v>
      </c>
      <c r="K2" s="3" t="str">
        <f>IF(トップス!L2="","",トップス!L2)</f>
        <v>表記なし</v>
      </c>
      <c r="L2" s="3" t="str">
        <f xml:space="preserve"> トップス!Z2</f>
        <v>着丈：約66cm　肩幅：約58cm　身幅：約58cm　袖丈：約58cm</v>
      </c>
      <c r="M2" s="69" t="s">
        <v>19</v>
      </c>
      <c r="N2" s="69" t="s">
        <v>20</v>
      </c>
      <c r="O2" s="69" t="s">
        <v>21</v>
      </c>
      <c r="P2" s="4" t="s">
        <v>3037</v>
      </c>
      <c r="Q2" s="4" t="s">
        <v>3039</v>
      </c>
      <c r="R2" s="69" t="s">
        <v>22</v>
      </c>
      <c r="S2" s="69" t="s">
        <v>23</v>
      </c>
      <c r="T2" s="69" t="s">
        <v>22</v>
      </c>
      <c r="U2" s="69" t="s">
        <v>24</v>
      </c>
      <c r="V2" s="69" t="s">
        <v>25</v>
      </c>
      <c r="W2" s="69" t="s">
        <v>26</v>
      </c>
      <c r="X2" s="69" t="s">
        <v>27</v>
      </c>
      <c r="Y2" s="69" t="s">
        <v>28</v>
      </c>
      <c r="Z2" s="69" t="s">
        <v>29</v>
      </c>
      <c r="AA2" s="4"/>
      <c r="AB2" s="4"/>
      <c r="AC2" s="4"/>
      <c r="AD2" s="70"/>
      <c r="AE2" s="70">
        <f>トップス!AE2</f>
        <v>2000</v>
      </c>
      <c r="AF2" s="70" t="str">
        <f>トップス!Q2</f>
        <v>通常</v>
      </c>
      <c r="AG2" s="70">
        <v>0</v>
      </c>
      <c r="AH2" s="6">
        <f xml:space="preserve"> トップス!AC2</f>
        <v>0</v>
      </c>
      <c r="AI2">
        <v>1</v>
      </c>
      <c r="AJ2" t="str">
        <f>トップス!T2</f>
        <v>PIVOT DOOR ピボットドアー</v>
      </c>
    </row>
    <row r="3" spans="1:36" ht="13.5" customHeight="1">
      <c r="A3" s="3">
        <v>2084064248</v>
      </c>
      <c r="B3" s="68">
        <f>IF(トップス!B3="","",トップス!B3)</f>
        <v>1212260021704</v>
      </c>
      <c r="C3" s="3" t="str">
        <f>IF(トップス!C3="","",トップス!C3)</f>
        <v>◇ ebboria アニマル柄 長袖 ニット サイズL ベージュ/ブラウン レディース E 1212260021704</v>
      </c>
      <c r="D3" s="3" t="str">
        <f>IF(トップス!E3="","",トップス!E3)</f>
        <v>無</v>
      </c>
      <c r="E3" s="3" t="str">
        <f>IF(トップス!AA3="","",トップス!AA3)</f>
        <v>ベースW/26</v>
      </c>
      <c r="F3" s="3">
        <f>IF(トップス!G3="","",トップス!G3)</f>
        <v>3</v>
      </c>
      <c r="G3" s="3" t="str">
        <f>IF(トップス!H3="","",トップス!H3)</f>
        <v>目立った傷や汚れなし</v>
      </c>
      <c r="H3" s="3" t="str">
        <f>IF(トップス!I3="","",トップス!I3)</f>
        <v/>
      </c>
      <c r="I3" s="3" t="str">
        <f>IF(トップス!J3="","",トップス!J3)</f>
        <v>画像参照</v>
      </c>
      <c r="J3" s="3" t="str">
        <f>IF(トップス!K3="","",トップス!K3)</f>
        <v>ベージュ/ブラウン</v>
      </c>
      <c r="K3" s="3" t="str">
        <f>IF(トップス!L3="","",トップス!L3)</f>
        <v>サイズL</v>
      </c>
      <c r="L3" s="3" t="str">
        <f xml:space="preserve"> トップス!Z3</f>
        <v>着丈：約49cm　肩幅：約48cm　身幅：約52cm　袖丈：約58cm</v>
      </c>
      <c r="M3" s="69" t="s">
        <v>19</v>
      </c>
      <c r="N3" s="69" t="s">
        <v>20</v>
      </c>
      <c r="O3" s="69" t="s">
        <v>21</v>
      </c>
      <c r="P3" s="4" t="s">
        <v>3036</v>
      </c>
      <c r="Q3" s="4" t="s">
        <v>3038</v>
      </c>
      <c r="R3" s="69" t="s">
        <v>22</v>
      </c>
      <c r="S3" s="69" t="s">
        <v>23</v>
      </c>
      <c r="T3" s="69" t="s">
        <v>22</v>
      </c>
      <c r="U3" s="69" t="s">
        <v>24</v>
      </c>
      <c r="V3" s="69" t="s">
        <v>25</v>
      </c>
      <c r="W3" s="69" t="s">
        <v>26</v>
      </c>
      <c r="X3" s="69" t="s">
        <v>27</v>
      </c>
      <c r="Y3" s="69" t="s">
        <v>28</v>
      </c>
      <c r="Z3" s="69" t="s">
        <v>29</v>
      </c>
      <c r="AA3" s="4"/>
      <c r="AB3" s="4"/>
      <c r="AC3" s="4"/>
      <c r="AD3" s="70"/>
      <c r="AE3" s="70">
        <f>トップス!AE3</f>
        <v>1000</v>
      </c>
      <c r="AF3" s="70" t="str">
        <f>トップス!Q3</f>
        <v>通常</v>
      </c>
      <c r="AG3" s="70">
        <v>0</v>
      </c>
      <c r="AH3" s="6">
        <f xml:space="preserve"> トップス!AC3</f>
        <v>0</v>
      </c>
      <c r="AI3">
        <v>1</v>
      </c>
      <c r="AJ3" t="str">
        <f>トップス!T3</f>
        <v>ebboria</v>
      </c>
    </row>
    <row r="4" spans="1:36" ht="13.5" customHeight="1">
      <c r="A4" s="3">
        <v>2084064209</v>
      </c>
      <c r="B4" s="68">
        <f>IF(トップス!B4="","",トップス!B4)</f>
        <v>1212260021711</v>
      </c>
      <c r="C4" s="3" t="str">
        <f>IF(トップス!C4="","",トップス!C4)</f>
        <v>◇ AZUL BY MOUSSY アズールバイマウジー ケーブル編み 長袖 カーディガン サイズFREE グレー レディース E 1212260021711</v>
      </c>
      <c r="D4" s="3" t="str">
        <f>IF(トップス!E4="","",トップス!E4)</f>
        <v>無</v>
      </c>
      <c r="E4" s="3" t="str">
        <f>IF(トップス!AA4="","",トップス!AA4)</f>
        <v>ベースW/26</v>
      </c>
      <c r="F4" s="3">
        <f>IF(トップス!G4="","",トップス!G4)</f>
        <v>3</v>
      </c>
      <c r="G4" s="3" t="str">
        <f>IF(トップス!H4="","",トップス!H4)</f>
        <v>目立った傷や汚れなし</v>
      </c>
      <c r="H4" s="3" t="str">
        <f>IF(トップス!I4="","",トップス!I4)</f>
        <v/>
      </c>
      <c r="I4" s="3" t="str">
        <f>IF(トップス!J4="","",トップス!J4)</f>
        <v>画像参照</v>
      </c>
      <c r="J4" s="3" t="str">
        <f>IF(トップス!K4="","",トップス!K4)</f>
        <v>グレー</v>
      </c>
      <c r="K4" s="3" t="str">
        <f>IF(トップス!L4="","",トップス!L4)</f>
        <v>サイズFREE</v>
      </c>
      <c r="L4" s="3" t="str">
        <f xml:space="preserve"> トップス!Z4</f>
        <v>着丈：約75cm　肩幅：約64cm　身幅：約65cm　袖丈：約41cm</v>
      </c>
      <c r="M4" s="69" t="s">
        <v>19</v>
      </c>
      <c r="N4" s="69" t="s">
        <v>20</v>
      </c>
      <c r="O4" s="69" t="s">
        <v>21</v>
      </c>
      <c r="P4" s="4" t="s">
        <v>3036</v>
      </c>
      <c r="Q4" s="4" t="s">
        <v>3038</v>
      </c>
      <c r="R4" s="69" t="s">
        <v>22</v>
      </c>
      <c r="S4" s="69" t="s">
        <v>23</v>
      </c>
      <c r="T4" s="69" t="s">
        <v>22</v>
      </c>
      <c r="U4" s="69" t="s">
        <v>24</v>
      </c>
      <c r="V4" s="69" t="s">
        <v>25</v>
      </c>
      <c r="W4" s="69" t="s">
        <v>26</v>
      </c>
      <c r="X4" s="69" t="s">
        <v>27</v>
      </c>
      <c r="Y4" s="69" t="s">
        <v>28</v>
      </c>
      <c r="Z4" s="69" t="s">
        <v>29</v>
      </c>
      <c r="AA4" s="4"/>
      <c r="AB4" s="4"/>
      <c r="AC4" s="4"/>
      <c r="AD4" s="70"/>
      <c r="AE4" s="70">
        <f>トップス!AE4</f>
        <v>1000</v>
      </c>
      <c r="AF4" s="70" t="str">
        <f>トップス!Q4</f>
        <v>通常</v>
      </c>
      <c r="AG4" s="70">
        <v>0</v>
      </c>
      <c r="AH4" s="6">
        <f xml:space="preserve"> トップス!AC4</f>
        <v>0</v>
      </c>
      <c r="AI4">
        <v>1</v>
      </c>
      <c r="AJ4" t="str">
        <f>トップス!T4</f>
        <v>AZUL BY MOUSSY アズールバイマウジー</v>
      </c>
    </row>
    <row r="5" spans="1:36" ht="13.5" customHeight="1">
      <c r="A5" s="3">
        <v>2084064209</v>
      </c>
      <c r="B5" s="68">
        <f>IF(トップス!B5="","",トップス!B5)</f>
        <v>1212260021728</v>
      </c>
      <c r="C5" s="3" t="str">
        <f>IF(トップス!C5="","",トップス!C5)</f>
        <v>◇ ETRE TOKYO 後ろ編み上げ、ケーブル編み、ボリューム袖 長袖 カーディガン サイズF ホワイト レディース E 1212260021728</v>
      </c>
      <c r="D5" s="3" t="str">
        <f>IF(トップス!E5="","",トップス!E5)</f>
        <v>無</v>
      </c>
      <c r="E5" s="3" t="str">
        <f>IF(トップス!AA5="","",トップス!AA5)</f>
        <v>ベースW/26</v>
      </c>
      <c r="F5" s="3">
        <f>IF(トップス!G5="","",トップス!G5)</f>
        <v>3</v>
      </c>
      <c r="G5" s="3" t="str">
        <f>IF(トップス!H5="","",トップス!H5)</f>
        <v>目立った傷や汚れなし</v>
      </c>
      <c r="H5" s="3" t="str">
        <f>IF(トップス!I5="","",トップス!I5)</f>
        <v/>
      </c>
      <c r="I5" s="3" t="str">
        <f>IF(トップス!J5="","",トップス!J5)</f>
        <v>画像参照</v>
      </c>
      <c r="J5" s="3" t="str">
        <f>IF(トップス!K5="","",トップス!K5)</f>
        <v>ホワイト</v>
      </c>
      <c r="K5" s="3" t="str">
        <f>IF(トップス!L5="","",トップス!L5)</f>
        <v>サイズF</v>
      </c>
      <c r="L5" s="3" t="str">
        <f xml:space="preserve"> トップス!Z5</f>
        <v>着丈：約45cm　肩幅：-cm　身幅：約55cm　袖丈：-cm</v>
      </c>
      <c r="M5" s="69" t="s">
        <v>19</v>
      </c>
      <c r="N5" s="69" t="s">
        <v>20</v>
      </c>
      <c r="O5" s="69" t="s">
        <v>21</v>
      </c>
      <c r="P5" s="4" t="s">
        <v>3036</v>
      </c>
      <c r="Q5" s="4" t="s">
        <v>3038</v>
      </c>
      <c r="R5" s="69" t="s">
        <v>22</v>
      </c>
      <c r="S5" s="69" t="s">
        <v>23</v>
      </c>
      <c r="T5" s="69" t="s">
        <v>22</v>
      </c>
      <c r="U5" s="69" t="s">
        <v>24</v>
      </c>
      <c r="V5" s="69" t="s">
        <v>25</v>
      </c>
      <c r="W5" s="69" t="s">
        <v>26</v>
      </c>
      <c r="X5" s="69" t="s">
        <v>27</v>
      </c>
      <c r="Y5" s="69" t="s">
        <v>28</v>
      </c>
      <c r="Z5" s="69" t="s">
        <v>29</v>
      </c>
      <c r="AA5" s="4"/>
      <c r="AB5" s="4"/>
      <c r="AC5" s="4"/>
      <c r="AD5" s="70"/>
      <c r="AE5" s="70">
        <f>トップス!AE5</f>
        <v>1000</v>
      </c>
      <c r="AF5" s="70" t="str">
        <f>トップス!Q5</f>
        <v>通常</v>
      </c>
      <c r="AG5" s="70">
        <v>0</v>
      </c>
      <c r="AH5" s="6">
        <f xml:space="preserve"> トップス!AC5</f>
        <v>0</v>
      </c>
      <c r="AI5">
        <v>1</v>
      </c>
      <c r="AJ5" t="str">
        <f>トップス!T5</f>
        <v>ETRE TOKYO</v>
      </c>
    </row>
    <row r="6" spans="1:36" ht="13.5" customHeight="1">
      <c r="A6" s="3">
        <v>2084064266</v>
      </c>
      <c r="B6" s="68">
        <f>IF(トップス!B6="","",トップス!B6)</f>
        <v>1212260021735</v>
      </c>
      <c r="C6" s="3" t="str">
        <f>IF(トップス!C6="","",トップス!C6)</f>
        <v>◇ JOURNAL STANDARD ジャーナルスタンダード ケーブル編み、横リボン - ベスト 表記なし ホワイト レディース E 1212260021735</v>
      </c>
      <c r="D6" s="3" t="str">
        <f>IF(トップス!E6="","",トップス!E6)</f>
        <v>無&lt;br&gt;シミあり</v>
      </c>
      <c r="E6" s="3" t="str">
        <f>IF(トップス!AA6="","",トップス!AA6)</f>
        <v>ベースW/26</v>
      </c>
      <c r="F6" s="3">
        <f>IF(トップス!G6="","",トップス!G6)</f>
        <v>4</v>
      </c>
      <c r="G6" s="3" t="str">
        <f>IF(トップス!H6="","",トップス!H6)</f>
        <v>やや傷や汚れあり</v>
      </c>
      <c r="H6" s="3" t="str">
        <f>IF(トップス!I6="","",トップス!I6)</f>
        <v/>
      </c>
      <c r="I6" s="3" t="str">
        <f>IF(トップス!J6="","",トップス!J6)</f>
        <v>画像参照</v>
      </c>
      <c r="J6" s="3" t="str">
        <f>IF(トップス!K6="","",トップス!K6)</f>
        <v>ホワイト</v>
      </c>
      <c r="K6" s="3" t="str">
        <f>IF(トップス!L6="","",トップス!L6)</f>
        <v>表記なし</v>
      </c>
      <c r="L6" s="3" t="str">
        <f xml:space="preserve"> トップス!Z6</f>
        <v>着丈：約56cm　肩幅：約36cm　身幅：約51cm　袖丈：-cm</v>
      </c>
      <c r="M6" s="69" t="s">
        <v>19</v>
      </c>
      <c r="N6" s="69" t="s">
        <v>20</v>
      </c>
      <c r="O6" s="69" t="s">
        <v>21</v>
      </c>
      <c r="P6" s="4" t="s">
        <v>3036</v>
      </c>
      <c r="Q6" s="4" t="s">
        <v>3038</v>
      </c>
      <c r="R6" s="69" t="s">
        <v>22</v>
      </c>
      <c r="S6" s="69" t="s">
        <v>23</v>
      </c>
      <c r="T6" s="69" t="s">
        <v>22</v>
      </c>
      <c r="U6" s="69" t="s">
        <v>24</v>
      </c>
      <c r="V6" s="69" t="s">
        <v>25</v>
      </c>
      <c r="W6" s="69" t="s">
        <v>26</v>
      </c>
      <c r="X6" s="69" t="s">
        <v>27</v>
      </c>
      <c r="Y6" s="69" t="s">
        <v>28</v>
      </c>
      <c r="Z6" s="69" t="s">
        <v>29</v>
      </c>
      <c r="AA6" s="4"/>
      <c r="AB6" s="4"/>
      <c r="AC6" s="4"/>
      <c r="AD6" s="70"/>
      <c r="AE6" s="70">
        <f>トップス!AE6</f>
        <v>1000</v>
      </c>
      <c r="AF6" s="70" t="str">
        <f>トップス!Q6</f>
        <v>通常</v>
      </c>
      <c r="AG6" s="70">
        <v>0</v>
      </c>
      <c r="AH6" s="6">
        <f xml:space="preserve"> トップス!AC6</f>
        <v>0</v>
      </c>
      <c r="AI6">
        <v>1</v>
      </c>
      <c r="AJ6" t="str">
        <f>トップス!T6</f>
        <v>JOURNAL STANDARD ジャーナルスタンダード</v>
      </c>
    </row>
    <row r="7" spans="1:36" ht="13.5" customHeight="1">
      <c r="A7" s="3">
        <v>2084064266</v>
      </c>
      <c r="B7" s="68">
        <f>IF(トップス!B7="","",トップス!B7)</f>
        <v>1212260021742</v>
      </c>
      <c r="C7" s="3" t="str">
        <f>IF(トップス!C7="","",トップス!C7)</f>
        <v>◇ Samansa Mos2 サマンサモスモス サイドレース - ベスト サイズF ベージュ レディース E 1212260021742</v>
      </c>
      <c r="D7" s="3" t="str">
        <f>IF(トップス!E7="","",トップス!E7)</f>
        <v>無</v>
      </c>
      <c r="E7" s="3" t="str">
        <f>IF(トップス!AA7="","",トップス!AA7)</f>
        <v>ベースW/26</v>
      </c>
      <c r="F7" s="3">
        <f>IF(トップス!G7="","",トップス!G7)</f>
        <v>3</v>
      </c>
      <c r="G7" s="3" t="str">
        <f>IF(トップス!H7="","",トップス!H7)</f>
        <v>目立った傷や汚れなし</v>
      </c>
      <c r="H7" s="3" t="str">
        <f>IF(トップス!I7="","",トップス!I7)</f>
        <v/>
      </c>
      <c r="I7" s="3" t="str">
        <f>IF(トップス!J7="","",トップス!J7)</f>
        <v>画像参照</v>
      </c>
      <c r="J7" s="3" t="str">
        <f>IF(トップス!K7="","",トップス!K7)</f>
        <v>ベージュ</v>
      </c>
      <c r="K7" s="3" t="str">
        <f>IF(トップス!L7="","",トップス!L7)</f>
        <v>サイズF</v>
      </c>
      <c r="L7" s="3" t="str">
        <f xml:space="preserve"> トップス!Z7</f>
        <v>着丈：約45cm　肩幅：約57cm　身幅：約56cm　袖丈：-cm</v>
      </c>
      <c r="M7" s="69" t="s">
        <v>19</v>
      </c>
      <c r="N7" s="69" t="s">
        <v>20</v>
      </c>
      <c r="O7" s="69" t="s">
        <v>21</v>
      </c>
      <c r="P7" s="4" t="s">
        <v>3036</v>
      </c>
      <c r="Q7" s="4" t="s">
        <v>3038</v>
      </c>
      <c r="R7" s="69" t="s">
        <v>22</v>
      </c>
      <c r="S7" s="69" t="s">
        <v>23</v>
      </c>
      <c r="T7" s="69" t="s">
        <v>22</v>
      </c>
      <c r="U7" s="69" t="s">
        <v>24</v>
      </c>
      <c r="V7" s="69" t="s">
        <v>25</v>
      </c>
      <c r="W7" s="69" t="s">
        <v>26</v>
      </c>
      <c r="X7" s="69" t="s">
        <v>27</v>
      </c>
      <c r="Y7" s="69" t="s">
        <v>28</v>
      </c>
      <c r="Z7" s="69" t="s">
        <v>29</v>
      </c>
      <c r="AA7" s="4"/>
      <c r="AB7" s="4"/>
      <c r="AC7" s="4"/>
      <c r="AD7" s="70"/>
      <c r="AE7" s="70">
        <f>トップス!AE7</f>
        <v>1000</v>
      </c>
      <c r="AF7" s="70" t="str">
        <f>トップス!Q7</f>
        <v>通常</v>
      </c>
      <c r="AG7" s="70">
        <v>0</v>
      </c>
      <c r="AH7" s="6">
        <f xml:space="preserve"> トップス!AC7</f>
        <v>0</v>
      </c>
      <c r="AI7">
        <v>1</v>
      </c>
      <c r="AJ7" t="str">
        <f>トップス!T7</f>
        <v>Samansa Mos2 サマンサモスモス</v>
      </c>
    </row>
    <row r="8" spans="1:36" ht="13.5" customHeight="1">
      <c r="A8" s="3">
        <v>2084064209</v>
      </c>
      <c r="B8" s="68">
        <f>IF(トップス!B8="","",トップス!B8)</f>
        <v>1212260021759</v>
      </c>
      <c r="C8" s="3" t="str">
        <f>IF(トップス!C8="","",トップス!C8)</f>
        <v>◇ rps アールピーエス ケーブル編み、アラン編み 長袖 カーディガン サイズM ベージュ レディース E 1212260021759</v>
      </c>
      <c r="D8" s="3" t="str">
        <f>IF(トップス!E8="","",トップス!E8)</f>
        <v>無</v>
      </c>
      <c r="E8" s="3" t="str">
        <f>IF(トップス!AA8="","",トップス!AA8)</f>
        <v>ベースW/26</v>
      </c>
      <c r="F8" s="3">
        <f>IF(トップス!G8="","",トップス!G8)</f>
        <v>3</v>
      </c>
      <c r="G8" s="3" t="str">
        <f>IF(トップス!H8="","",トップス!H8)</f>
        <v>目立った傷や汚れなし</v>
      </c>
      <c r="H8" s="3" t="str">
        <f>IF(トップス!I8="","",トップス!I8)</f>
        <v/>
      </c>
      <c r="I8" s="3" t="str">
        <f>IF(トップス!J8="","",トップス!J8)</f>
        <v>画像参照</v>
      </c>
      <c r="J8" s="3" t="str">
        <f>IF(トップス!K8="","",トップス!K8)</f>
        <v>ベージュ</v>
      </c>
      <c r="K8" s="3" t="str">
        <f>IF(トップス!L8="","",トップス!L8)</f>
        <v>サイズM</v>
      </c>
      <c r="L8" s="3" t="str">
        <f xml:space="preserve"> トップス!Z8</f>
        <v>着丈：約50cm　肩幅：-cm　身幅：約60cm　袖丈：-cm</v>
      </c>
      <c r="M8" s="69" t="s">
        <v>19</v>
      </c>
      <c r="N8" s="69" t="s">
        <v>20</v>
      </c>
      <c r="O8" s="69" t="s">
        <v>21</v>
      </c>
      <c r="P8" s="4" t="s">
        <v>3036</v>
      </c>
      <c r="Q8" s="4" t="s">
        <v>3038</v>
      </c>
      <c r="R8" s="69" t="s">
        <v>22</v>
      </c>
      <c r="S8" s="69" t="s">
        <v>23</v>
      </c>
      <c r="T8" s="69" t="s">
        <v>22</v>
      </c>
      <c r="U8" s="69" t="s">
        <v>24</v>
      </c>
      <c r="V8" s="69" t="s">
        <v>25</v>
      </c>
      <c r="W8" s="69" t="s">
        <v>26</v>
      </c>
      <c r="X8" s="69" t="s">
        <v>27</v>
      </c>
      <c r="Y8" s="69" t="s">
        <v>28</v>
      </c>
      <c r="Z8" s="69" t="s">
        <v>29</v>
      </c>
      <c r="AA8" s="4"/>
      <c r="AB8" s="4"/>
      <c r="AC8" s="4"/>
      <c r="AD8" s="70"/>
      <c r="AE8" s="70">
        <f>トップス!AE8</f>
        <v>1000</v>
      </c>
      <c r="AF8" s="70" t="str">
        <f>トップス!Q8</f>
        <v>通常</v>
      </c>
      <c r="AG8" s="70">
        <v>0</v>
      </c>
      <c r="AH8" s="6">
        <f xml:space="preserve"> トップス!AC8</f>
        <v>0</v>
      </c>
      <c r="AI8">
        <v>1</v>
      </c>
      <c r="AJ8" t="str">
        <f>トップス!T8</f>
        <v xml:space="preserve"> rps アールピーエス</v>
      </c>
    </row>
    <row r="9" spans="1:36" ht="13.5" customHeight="1">
      <c r="A9" s="3">
        <v>2084064266</v>
      </c>
      <c r="B9" s="68">
        <f>IF(トップス!B9="","",トップス!B9)</f>
        <v>1212260021766</v>
      </c>
      <c r="C9" s="3" t="str">
        <f>IF(トップス!C9="","",トップス!C9)</f>
        <v>◇ niko and … ニコアンド ケーブル編み - ベスト 表記なし チャコール レディース E 1212260021766</v>
      </c>
      <c r="D9" s="3" t="str">
        <f>IF(トップス!E9="","",トップス!E9)</f>
        <v>無</v>
      </c>
      <c r="E9" s="3" t="str">
        <f>IF(トップス!AA9="","",トップス!AA9)</f>
        <v>ベースW/26</v>
      </c>
      <c r="F9" s="3">
        <f>IF(トップス!G9="","",トップス!G9)</f>
        <v>3</v>
      </c>
      <c r="G9" s="3" t="str">
        <f>IF(トップス!H9="","",トップス!H9)</f>
        <v>目立った傷や汚れなし</v>
      </c>
      <c r="H9" s="3" t="str">
        <f>IF(トップス!I9="","",トップス!I9)</f>
        <v/>
      </c>
      <c r="I9" s="3" t="str">
        <f>IF(トップス!J9="","",トップス!J9)</f>
        <v>画像参照</v>
      </c>
      <c r="J9" s="3" t="str">
        <f>IF(トップス!K9="","",トップス!K9)</f>
        <v>チャコール</v>
      </c>
      <c r="K9" s="3" t="str">
        <f>IF(トップス!L9="","",トップス!L9)</f>
        <v>表記なし</v>
      </c>
      <c r="L9" s="3" t="str">
        <f xml:space="preserve"> トップス!Z9</f>
        <v>着丈：約48cm　肩幅：約42cm　身幅：約50cm　袖丈：-cm</v>
      </c>
      <c r="M9" s="69" t="s">
        <v>19</v>
      </c>
      <c r="N9" s="69" t="s">
        <v>20</v>
      </c>
      <c r="O9" s="69" t="s">
        <v>21</v>
      </c>
      <c r="P9" s="4" t="s">
        <v>3036</v>
      </c>
      <c r="Q9" s="4" t="s">
        <v>3038</v>
      </c>
      <c r="R9" s="69" t="s">
        <v>22</v>
      </c>
      <c r="S9" s="69" t="s">
        <v>23</v>
      </c>
      <c r="T9" s="69" t="s">
        <v>22</v>
      </c>
      <c r="U9" s="69" t="s">
        <v>24</v>
      </c>
      <c r="V9" s="69" t="s">
        <v>25</v>
      </c>
      <c r="W9" s="69" t="s">
        <v>26</v>
      </c>
      <c r="X9" s="69" t="s">
        <v>27</v>
      </c>
      <c r="Y9" s="69" t="s">
        <v>28</v>
      </c>
      <c r="Z9" s="69" t="s">
        <v>29</v>
      </c>
      <c r="AA9" s="4"/>
      <c r="AB9" s="4"/>
      <c r="AC9" s="4"/>
      <c r="AD9" s="70"/>
      <c r="AE9" s="70">
        <f>トップス!AE9</f>
        <v>1000</v>
      </c>
      <c r="AF9" s="70" t="str">
        <f>トップス!Q9</f>
        <v>通常</v>
      </c>
      <c r="AG9" s="70">
        <v>0</v>
      </c>
      <c r="AH9" s="6">
        <f xml:space="preserve"> トップス!AC9</f>
        <v>0</v>
      </c>
      <c r="AI9">
        <v>1</v>
      </c>
      <c r="AJ9" t="str">
        <f>トップス!T9</f>
        <v>niko and … ニコアンド</v>
      </c>
    </row>
    <row r="10" spans="1:36" ht="13.5" customHeight="1">
      <c r="A10" s="3">
        <v>2084064214</v>
      </c>
      <c r="B10" s="68">
        <f>IF(トップス!B10="","",トップス!B10)</f>
        <v>1212260021773</v>
      </c>
      <c r="C10" s="3" t="str">
        <f>IF(トップス!C10="","",トップス!C10)</f>
        <v>◇ OPAQUE.CLIP　オペークドットクリップ 首元ビジュー 半袖 カットソー サイズ38/M ホワイト/ブラック レディース E 1212260021773</v>
      </c>
      <c r="D10" s="3" t="str">
        <f>IF(トップス!E10="","",トップス!E10)</f>
        <v>無</v>
      </c>
      <c r="E10" s="3" t="str">
        <f>IF(トップス!AA10="","",トップス!AA10)</f>
        <v>ベースW/26</v>
      </c>
      <c r="F10" s="3">
        <f>IF(トップス!G10="","",トップス!G10)</f>
        <v>3</v>
      </c>
      <c r="G10" s="3" t="str">
        <f>IF(トップス!H10="","",トップス!H10)</f>
        <v>目立った傷や汚れなし</v>
      </c>
      <c r="H10" s="3" t="str">
        <f>IF(トップス!I10="","",トップス!I10)</f>
        <v/>
      </c>
      <c r="I10" s="3" t="str">
        <f>IF(トップス!J10="","",トップス!J10)</f>
        <v>画像参照</v>
      </c>
      <c r="J10" s="3" t="str">
        <f>IF(トップス!K10="","",トップス!K10)</f>
        <v>ホワイト/ブラック</v>
      </c>
      <c r="K10" s="3" t="str">
        <f>IF(トップス!L10="","",トップス!L10)</f>
        <v>サイズ38/M</v>
      </c>
      <c r="L10" s="3" t="str">
        <f xml:space="preserve"> トップス!Z10</f>
        <v>着丈：約47cm　肩幅：約33cm　身幅：約39cm　袖丈：約23cm</v>
      </c>
      <c r="M10" s="69" t="s">
        <v>19</v>
      </c>
      <c r="N10" s="69" t="s">
        <v>20</v>
      </c>
      <c r="O10" s="69" t="s">
        <v>21</v>
      </c>
      <c r="P10" s="4" t="s">
        <v>3036</v>
      </c>
      <c r="Q10" s="4" t="s">
        <v>3038</v>
      </c>
      <c r="R10" s="69" t="s">
        <v>22</v>
      </c>
      <c r="S10" s="69" t="s">
        <v>23</v>
      </c>
      <c r="T10" s="69" t="s">
        <v>22</v>
      </c>
      <c r="U10" s="69" t="s">
        <v>24</v>
      </c>
      <c r="V10" s="69" t="s">
        <v>25</v>
      </c>
      <c r="W10" s="69" t="s">
        <v>26</v>
      </c>
      <c r="X10" s="69" t="s">
        <v>27</v>
      </c>
      <c r="Y10" s="69" t="s">
        <v>28</v>
      </c>
      <c r="Z10" s="69" t="s">
        <v>29</v>
      </c>
      <c r="AA10" s="4"/>
      <c r="AB10" s="4"/>
      <c r="AC10" s="4"/>
      <c r="AD10" s="70"/>
      <c r="AE10" s="70">
        <f>トップス!AE10</f>
        <v>1000</v>
      </c>
      <c r="AF10" s="70" t="str">
        <f>トップス!Q10</f>
        <v>通常</v>
      </c>
      <c r="AG10" s="70">
        <v>0</v>
      </c>
      <c r="AH10" s="6">
        <f xml:space="preserve"> トップス!AC10</f>
        <v>0</v>
      </c>
      <c r="AI10">
        <v>1</v>
      </c>
      <c r="AJ10" t="str">
        <f>トップス!T10</f>
        <v>OPAQUE.CLIP　オペークドットクリップ</v>
      </c>
    </row>
    <row r="11" spans="1:36" ht="13.5" customHeight="1">
      <c r="A11" s="3">
        <v>2084051287</v>
      </c>
      <c r="B11" s="68">
        <f>IF(トップス!B11="","",トップス!B11)</f>
        <v>1212260021780</v>
      </c>
      <c r="C11" s="3" t="str">
        <f>IF(トップス!C11="","",トップス!C11)</f>
        <v>◇ TOMMY JEANS トミージーンズ 胸元刺繍、クルーネック 半袖 Tシャツ サイズXS ネイビー レディース E 1212260021780</v>
      </c>
      <c r="D11" s="3" t="str">
        <f>IF(トップス!E11="","",トップス!E11)</f>
        <v>無</v>
      </c>
      <c r="E11" s="3" t="str">
        <f>IF(トップス!AA11="","",トップス!AA11)</f>
        <v>ベースW/26</v>
      </c>
      <c r="F11" s="3">
        <f>IF(トップス!G11="","",トップス!G11)</f>
        <v>3</v>
      </c>
      <c r="G11" s="3" t="str">
        <f>IF(トップス!H11="","",トップス!H11)</f>
        <v>目立った傷や汚れなし</v>
      </c>
      <c r="H11" s="3" t="str">
        <f>IF(トップス!I11="","",トップス!I11)</f>
        <v/>
      </c>
      <c r="I11" s="3" t="str">
        <f>IF(トップス!J11="","",トップス!J11)</f>
        <v>画像参照</v>
      </c>
      <c r="J11" s="3" t="str">
        <f>IF(トップス!K11="","",トップス!K11)</f>
        <v>ネイビー</v>
      </c>
      <c r="K11" s="3" t="str">
        <f>IF(トップス!L11="","",トップス!L11)</f>
        <v>サイズXS</v>
      </c>
      <c r="L11" s="3" t="str">
        <f xml:space="preserve"> トップス!Z11</f>
        <v>着丈：約54cm　肩幅：約33cm　身幅：約39cm　袖丈：約14cm</v>
      </c>
      <c r="M11" s="69" t="s">
        <v>19</v>
      </c>
      <c r="N11" s="69" t="s">
        <v>20</v>
      </c>
      <c r="O11" s="69" t="s">
        <v>21</v>
      </c>
      <c r="P11" s="4" t="s">
        <v>3036</v>
      </c>
      <c r="Q11" s="4" t="s">
        <v>3038</v>
      </c>
      <c r="R11" s="69" t="s">
        <v>22</v>
      </c>
      <c r="S11" s="69" t="s">
        <v>23</v>
      </c>
      <c r="T11" s="69" t="s">
        <v>22</v>
      </c>
      <c r="U11" s="69" t="s">
        <v>24</v>
      </c>
      <c r="V11" s="69" t="s">
        <v>25</v>
      </c>
      <c r="W11" s="69" t="s">
        <v>26</v>
      </c>
      <c r="X11" s="69" t="s">
        <v>27</v>
      </c>
      <c r="Y11" s="69" t="s">
        <v>28</v>
      </c>
      <c r="Z11" s="69" t="s">
        <v>29</v>
      </c>
      <c r="AA11" s="4"/>
      <c r="AB11" s="4"/>
      <c r="AC11" s="4"/>
      <c r="AD11" s="70"/>
      <c r="AE11" s="70">
        <f>トップス!AE11</f>
        <v>1000</v>
      </c>
      <c r="AF11" s="70" t="str">
        <f>トップス!Q11</f>
        <v>通常</v>
      </c>
      <c r="AG11" s="70">
        <v>0</v>
      </c>
      <c r="AH11" s="6">
        <f xml:space="preserve"> トップス!AC11</f>
        <v>0</v>
      </c>
      <c r="AI11">
        <v>1</v>
      </c>
      <c r="AJ11" t="str">
        <f>トップス!T11</f>
        <v>TOMMY JEANS トミージーンズ</v>
      </c>
    </row>
    <row r="12" spans="1:36" ht="13.5" customHeight="1">
      <c r="A12" s="3">
        <v>2084057486</v>
      </c>
      <c r="B12" s="68">
        <f>IF(トップス!B12="","",トップス!B12)</f>
        <v>1212260021797</v>
      </c>
      <c r="C12" s="3" t="str">
        <f>IF(トップス!C12="","",トップス!C12)</f>
        <v>◇ NATURAL BEAUTY BASIC 袖プリーツ、クルーネック 長袖 ブラウス サイズM イエロー レディース E 1212260021797</v>
      </c>
      <c r="D12" s="3" t="str">
        <f>IF(トップス!E12="","",トップス!E12)</f>
        <v>無</v>
      </c>
      <c r="E12" s="3" t="str">
        <f>IF(トップス!AA12="","",トップス!AA12)</f>
        <v>ベースW/26</v>
      </c>
      <c r="F12" s="3">
        <f>IF(トップス!G12="","",トップス!G12)</f>
        <v>3</v>
      </c>
      <c r="G12" s="3" t="str">
        <f>IF(トップス!H12="","",トップス!H12)</f>
        <v>目立った傷や汚れなし</v>
      </c>
      <c r="H12" s="3" t="str">
        <f>IF(トップス!I12="","",トップス!I12)</f>
        <v/>
      </c>
      <c r="I12" s="3" t="str">
        <f>IF(トップス!J12="","",トップス!J12)</f>
        <v>画像参照</v>
      </c>
      <c r="J12" s="3" t="str">
        <f>IF(トップス!K12="","",トップス!K12)</f>
        <v>イエロー</v>
      </c>
      <c r="K12" s="3" t="str">
        <f>IF(トップス!L12="","",トップス!L12)</f>
        <v>サイズM</v>
      </c>
      <c r="L12" s="3" t="str">
        <f xml:space="preserve"> トップス!Z12</f>
        <v>着丈：約57cm　肩幅：約36cm　身幅：約54cm　袖丈：約36cm</v>
      </c>
      <c r="M12" s="69" t="s">
        <v>19</v>
      </c>
      <c r="N12" s="69" t="s">
        <v>20</v>
      </c>
      <c r="O12" s="69" t="s">
        <v>21</v>
      </c>
      <c r="P12" s="4" t="s">
        <v>3036</v>
      </c>
      <c r="Q12" s="4" t="s">
        <v>3038</v>
      </c>
      <c r="R12" s="69" t="s">
        <v>22</v>
      </c>
      <c r="S12" s="69" t="s">
        <v>23</v>
      </c>
      <c r="T12" s="69" t="s">
        <v>22</v>
      </c>
      <c r="U12" s="69" t="s">
        <v>24</v>
      </c>
      <c r="V12" s="69" t="s">
        <v>25</v>
      </c>
      <c r="W12" s="69" t="s">
        <v>26</v>
      </c>
      <c r="X12" s="69" t="s">
        <v>27</v>
      </c>
      <c r="Y12" s="69" t="s">
        <v>28</v>
      </c>
      <c r="Z12" s="69" t="s">
        <v>29</v>
      </c>
      <c r="AA12" s="4"/>
      <c r="AB12" s="4"/>
      <c r="AC12" s="4"/>
      <c r="AD12" s="70"/>
      <c r="AE12" s="70">
        <f>トップス!AE12</f>
        <v>1000</v>
      </c>
      <c r="AF12" s="70" t="str">
        <f>トップス!Q12</f>
        <v>通常</v>
      </c>
      <c r="AG12" s="70">
        <v>0</v>
      </c>
      <c r="AH12" s="6">
        <f xml:space="preserve"> トップス!AC12</f>
        <v>0</v>
      </c>
      <c r="AI12">
        <v>1</v>
      </c>
      <c r="AJ12" t="str">
        <f>トップス!T12</f>
        <v>NATURAL BEAUTY BASIC</v>
      </c>
    </row>
    <row r="13" spans="1:36" ht="13.5" hidden="1" customHeight="1">
      <c r="A13" s="3">
        <v>2084064266</v>
      </c>
      <c r="B13" s="68" t="str">
        <f>IF(トップス!B13="","",トップス!B13)</f>
        <v/>
      </c>
      <c r="C13" s="3" t="str">
        <f>IF(トップス!C13="","",トップス!C13)</f>
        <v>◇ サイズ E</v>
      </c>
      <c r="D13" s="3" t="str">
        <f>IF(トップス!E13="","",トップス!E13)</f>
        <v>無</v>
      </c>
      <c r="E13" s="3" t="str">
        <f>IF(トップス!AA13="","",トップス!AA13)</f>
        <v>ベースW</v>
      </c>
      <c r="F13" s="3" t="str">
        <f>IF(トップス!G13="","",トップス!G13)</f>
        <v/>
      </c>
      <c r="G13" s="3" t="str">
        <f>IF(トップス!H13="","",トップス!H13)</f>
        <v/>
      </c>
      <c r="H13" s="3" t="str">
        <f>IF(トップス!I13="","",トップス!I13)</f>
        <v/>
      </c>
      <c r="I13" s="3" t="str">
        <f>IF(トップス!J13="","",トップス!J13)</f>
        <v>画像参照</v>
      </c>
      <c r="J13" s="3" t="str">
        <f>IF(トップス!K13="","",トップス!K13)</f>
        <v/>
      </c>
      <c r="K13" s="3" t="str">
        <f>IF(トップス!L13="","",トップス!L13)</f>
        <v>サイズ</v>
      </c>
      <c r="L13" s="3" t="str">
        <f xml:space="preserve"> トップス!Z13</f>
        <v>着丈：約cm　肩幅：約cm　身幅：約cm　袖丈：約cm</v>
      </c>
      <c r="M13" s="69" t="s">
        <v>19</v>
      </c>
      <c r="N13" s="69" t="s">
        <v>20</v>
      </c>
      <c r="O13" s="69" t="s">
        <v>21</v>
      </c>
      <c r="P13" s="4" t="s">
        <v>3036</v>
      </c>
      <c r="Q13" s="4" t="s">
        <v>3038</v>
      </c>
      <c r="R13" s="69" t="s">
        <v>22</v>
      </c>
      <c r="S13" s="69" t="s">
        <v>23</v>
      </c>
      <c r="T13" s="69" t="s">
        <v>22</v>
      </c>
      <c r="U13" s="69" t="s">
        <v>24</v>
      </c>
      <c r="V13" s="69" t="s">
        <v>25</v>
      </c>
      <c r="W13" s="69" t="s">
        <v>26</v>
      </c>
      <c r="X13" s="69" t="s">
        <v>27</v>
      </c>
      <c r="Y13" s="69" t="s">
        <v>28</v>
      </c>
      <c r="Z13" s="69" t="s">
        <v>29</v>
      </c>
      <c r="AA13" s="4"/>
      <c r="AB13" s="4"/>
      <c r="AC13" s="4"/>
      <c r="AD13" s="70"/>
      <c r="AE13" s="70">
        <f>トップス!AE13</f>
        <v>0</v>
      </c>
      <c r="AF13" s="70" t="str">
        <f>トップス!Q13</f>
        <v>通常</v>
      </c>
      <c r="AG13" s="70">
        <v>0</v>
      </c>
      <c r="AH13" s="6">
        <f xml:space="preserve"> トップス!AC13</f>
        <v>0</v>
      </c>
      <c r="AI13">
        <v>1</v>
      </c>
      <c r="AJ13">
        <f>トップス!T13</f>
        <v>0</v>
      </c>
    </row>
    <row r="14" spans="1:36" ht="13.5" hidden="1" customHeight="1">
      <c r="A14" s="3">
        <v>2084050490</v>
      </c>
      <c r="B14" s="68" t="str">
        <f>IF(トップス!B14="","",トップス!B14)</f>
        <v/>
      </c>
      <c r="C14" s="3" t="str">
        <f>IF(トップス!C14="","",トップス!C14)</f>
        <v>◇ サイズ E</v>
      </c>
      <c r="D14" s="3" t="str">
        <f>IF(トップス!E14="","",トップス!E14)</f>
        <v>無&lt;br&gt;内側毛玉あり</v>
      </c>
      <c r="E14" s="3" t="str">
        <f>IF(トップス!AA14="","",トップス!AA14)</f>
        <v>ベースW</v>
      </c>
      <c r="F14" s="3" t="str">
        <f>IF(トップス!G14="","",トップス!G14)</f>
        <v/>
      </c>
      <c r="G14" s="3" t="str">
        <f>IF(トップス!H14="","",トップス!H14)</f>
        <v/>
      </c>
      <c r="H14" s="3" t="str">
        <f>IF(トップス!I14="","",トップス!I14)</f>
        <v/>
      </c>
      <c r="I14" s="3" t="str">
        <f>IF(トップス!J14="","",トップス!J14)</f>
        <v>画像参照</v>
      </c>
      <c r="J14" s="3" t="str">
        <f>IF(トップス!K14="","",トップス!K14)</f>
        <v/>
      </c>
      <c r="K14" s="3" t="str">
        <f>IF(トップス!L14="","",トップス!L14)</f>
        <v>サイズ</v>
      </c>
      <c r="L14" s="3" t="str">
        <f xml:space="preserve"> トップス!Z14</f>
        <v>着丈：約cm　肩幅：約cm　身幅：約cm　袖丈：約cm</v>
      </c>
      <c r="M14" s="69" t="s">
        <v>19</v>
      </c>
      <c r="N14" s="69" t="s">
        <v>20</v>
      </c>
      <c r="O14" s="69" t="s">
        <v>21</v>
      </c>
      <c r="P14" s="4" t="s">
        <v>3036</v>
      </c>
      <c r="Q14" s="4" t="s">
        <v>3038</v>
      </c>
      <c r="R14" s="69" t="s">
        <v>22</v>
      </c>
      <c r="S14" s="69" t="s">
        <v>23</v>
      </c>
      <c r="T14" s="69" t="s">
        <v>22</v>
      </c>
      <c r="U14" s="69" t="s">
        <v>24</v>
      </c>
      <c r="V14" s="69" t="s">
        <v>25</v>
      </c>
      <c r="W14" s="69" t="s">
        <v>26</v>
      </c>
      <c r="X14" s="69" t="s">
        <v>27</v>
      </c>
      <c r="Y14" s="69" t="s">
        <v>28</v>
      </c>
      <c r="Z14" s="69" t="s">
        <v>29</v>
      </c>
      <c r="AA14" s="4"/>
      <c r="AB14" s="4"/>
      <c r="AC14" s="4"/>
      <c r="AD14" s="70"/>
      <c r="AE14" s="70">
        <f>トップス!AE14</f>
        <v>0</v>
      </c>
      <c r="AF14" s="70" t="str">
        <f>トップス!Q14</f>
        <v>通常</v>
      </c>
      <c r="AG14" s="70">
        <v>0</v>
      </c>
      <c r="AH14" s="6">
        <f xml:space="preserve"> トップス!AC14</f>
        <v>0</v>
      </c>
      <c r="AI14">
        <v>1</v>
      </c>
      <c r="AJ14">
        <f>トップス!T14</f>
        <v>0</v>
      </c>
    </row>
    <row r="15" spans="1:36" ht="13.5" hidden="1" customHeight="1">
      <c r="A15" s="3">
        <v>2084064247</v>
      </c>
      <c r="B15" s="68" t="str">
        <f>IF(トップス!B15="","",トップス!B15)</f>
        <v/>
      </c>
      <c r="C15" s="3" t="str">
        <f>IF(トップス!C15="","",トップス!C15)</f>
        <v>◇ サイズ E</v>
      </c>
      <c r="D15" s="3" t="str">
        <f>IF(トップス!E15="","",トップス!E15)</f>
        <v>無</v>
      </c>
      <c r="E15" s="3" t="str">
        <f>IF(トップス!AA15="","",トップス!AA15)</f>
        <v>ベースW</v>
      </c>
      <c r="F15" s="3" t="str">
        <f>IF(トップス!G15="","",トップス!G15)</f>
        <v/>
      </c>
      <c r="G15" s="3" t="str">
        <f>IF(トップス!H15="","",トップス!H15)</f>
        <v/>
      </c>
      <c r="H15" s="3" t="str">
        <f>IF(トップス!I15="","",トップス!I15)</f>
        <v/>
      </c>
      <c r="I15" s="3" t="str">
        <f>IF(トップス!J15="","",トップス!J15)</f>
        <v>画像参照</v>
      </c>
      <c r="J15" s="3" t="str">
        <f>IF(トップス!K15="","",トップス!K15)</f>
        <v/>
      </c>
      <c r="K15" s="3" t="str">
        <f>IF(トップス!L15="","",トップス!L15)</f>
        <v>サイズ</v>
      </c>
      <c r="L15" s="3" t="str">
        <f xml:space="preserve"> トップス!Z15</f>
        <v>着丈：約cm　肩幅：約cm　身幅：約cm　袖丈：約cm</v>
      </c>
      <c r="M15" s="69" t="s">
        <v>19</v>
      </c>
      <c r="N15" s="69" t="s">
        <v>20</v>
      </c>
      <c r="O15" s="69" t="s">
        <v>21</v>
      </c>
      <c r="P15" s="4" t="s">
        <v>3036</v>
      </c>
      <c r="Q15" s="4" t="s">
        <v>3038</v>
      </c>
      <c r="R15" s="69" t="s">
        <v>22</v>
      </c>
      <c r="S15" s="69" t="s">
        <v>23</v>
      </c>
      <c r="T15" s="69" t="s">
        <v>22</v>
      </c>
      <c r="U15" s="69" t="s">
        <v>24</v>
      </c>
      <c r="V15" s="69" t="s">
        <v>25</v>
      </c>
      <c r="W15" s="69" t="s">
        <v>26</v>
      </c>
      <c r="X15" s="69" t="s">
        <v>27</v>
      </c>
      <c r="Y15" s="69" t="s">
        <v>28</v>
      </c>
      <c r="Z15" s="69" t="s">
        <v>29</v>
      </c>
      <c r="AA15" s="4"/>
      <c r="AB15" s="4"/>
      <c r="AC15" s="4"/>
      <c r="AD15" s="70"/>
      <c r="AE15" s="70">
        <f>トップス!AE15</f>
        <v>0</v>
      </c>
      <c r="AF15" s="70" t="str">
        <f>トップス!Q15</f>
        <v>通常</v>
      </c>
      <c r="AG15" s="70">
        <v>0</v>
      </c>
      <c r="AH15" s="6">
        <f xml:space="preserve"> トップス!AC15</f>
        <v>0</v>
      </c>
      <c r="AI15">
        <v>1</v>
      </c>
      <c r="AJ15">
        <f>トップス!T15</f>
        <v>0</v>
      </c>
    </row>
    <row r="16" spans="1:36" ht="13.5" hidden="1" customHeight="1">
      <c r="A16" s="3">
        <v>2084050108</v>
      </c>
      <c r="B16" s="68" t="str">
        <f>IF(トップス!B16="","",トップス!B16)</f>
        <v/>
      </c>
      <c r="C16" s="3" t="str">
        <f>IF(トップス!C16="","",トップス!C16)</f>
        <v>◇ サイズ E</v>
      </c>
      <c r="D16" s="3" t="str">
        <f>IF(トップス!E16="","",トップス!E16)</f>
        <v>無&lt;br&gt;首元毛玉</v>
      </c>
      <c r="E16" s="3" t="str">
        <f>IF(トップス!AA16="","",トップス!AA16)</f>
        <v>ベースW</v>
      </c>
      <c r="F16" s="3" t="str">
        <f>IF(トップス!G16="","",トップス!G16)</f>
        <v/>
      </c>
      <c r="G16" s="3" t="str">
        <f>IF(トップス!H16="","",トップス!H16)</f>
        <v/>
      </c>
      <c r="H16" s="3" t="str">
        <f>IF(トップス!I16="","",トップス!I16)</f>
        <v/>
      </c>
      <c r="I16" s="3" t="str">
        <f>IF(トップス!J16="","",トップス!J16)</f>
        <v>画像参照</v>
      </c>
      <c r="J16" s="3" t="str">
        <f>IF(トップス!K16="","",トップス!K16)</f>
        <v/>
      </c>
      <c r="K16" s="3" t="str">
        <f>IF(トップス!L16="","",トップス!L16)</f>
        <v>サイズ</v>
      </c>
      <c r="L16" s="3" t="str">
        <f xml:space="preserve"> トップス!Z16</f>
        <v>着丈：約cm　肩幅：約cm　身幅：約cm　袖丈：約cm</v>
      </c>
      <c r="M16" s="69" t="s">
        <v>19</v>
      </c>
      <c r="N16" s="69" t="s">
        <v>20</v>
      </c>
      <c r="O16" s="69" t="s">
        <v>21</v>
      </c>
      <c r="P16" s="4" t="s">
        <v>3036</v>
      </c>
      <c r="Q16" s="4" t="s">
        <v>3038</v>
      </c>
      <c r="R16" s="69" t="s">
        <v>22</v>
      </c>
      <c r="S16" s="69" t="s">
        <v>23</v>
      </c>
      <c r="T16" s="69" t="s">
        <v>22</v>
      </c>
      <c r="U16" s="69" t="s">
        <v>24</v>
      </c>
      <c r="V16" s="69" t="s">
        <v>25</v>
      </c>
      <c r="W16" s="69" t="s">
        <v>26</v>
      </c>
      <c r="X16" s="69" t="s">
        <v>27</v>
      </c>
      <c r="Y16" s="69" t="s">
        <v>28</v>
      </c>
      <c r="Z16" s="69" t="s">
        <v>29</v>
      </c>
      <c r="AA16" s="4"/>
      <c r="AB16" s="4"/>
      <c r="AC16" s="4"/>
      <c r="AD16" s="70"/>
      <c r="AE16" s="70">
        <f>トップス!AE16</f>
        <v>0</v>
      </c>
      <c r="AF16" s="70" t="str">
        <f>トップス!Q16</f>
        <v>通常</v>
      </c>
      <c r="AG16" s="70">
        <v>0</v>
      </c>
      <c r="AH16" s="6">
        <f xml:space="preserve"> トップス!AC16</f>
        <v>0</v>
      </c>
      <c r="AI16">
        <v>1</v>
      </c>
      <c r="AJ16">
        <f>トップス!T16</f>
        <v>0</v>
      </c>
    </row>
    <row r="17" spans="1:36" ht="13.5" hidden="1" customHeight="1">
      <c r="A17" s="3">
        <v>2084231778</v>
      </c>
      <c r="B17" s="68" t="str">
        <f>IF(トップス!B17="","",トップス!B17)</f>
        <v/>
      </c>
      <c r="C17" s="3" t="str">
        <f>IF(トップス!C17="","",トップス!C17)</f>
        <v>◇ サイズ E</v>
      </c>
      <c r="D17" s="3" t="str">
        <f>IF(トップス!E17="","",トップス!E17)</f>
        <v>無</v>
      </c>
      <c r="E17" s="3" t="str">
        <f>IF(トップス!AA17="","",トップス!AA17)</f>
        <v>ベースW</v>
      </c>
      <c r="F17" s="3" t="str">
        <f>IF(トップス!G17="","",トップス!G17)</f>
        <v/>
      </c>
      <c r="G17" s="3" t="str">
        <f>IF(トップス!H17="","",トップス!H17)</f>
        <v/>
      </c>
      <c r="H17" s="3" t="str">
        <f>IF(トップス!I17="","",トップス!I17)</f>
        <v/>
      </c>
      <c r="I17" s="3" t="str">
        <f>IF(トップス!J17="","",トップス!J17)</f>
        <v>画像参照</v>
      </c>
      <c r="J17" s="3" t="str">
        <f>IF(トップス!K17="","",トップス!K17)</f>
        <v/>
      </c>
      <c r="K17" s="3" t="str">
        <f>IF(トップス!L17="","",トップス!L17)</f>
        <v>サイズ</v>
      </c>
      <c r="L17" s="3" t="str">
        <f xml:space="preserve"> トップス!Z17</f>
        <v>着丈：約cm　肩幅：約cm　身幅：約cm　袖丈：約cm</v>
      </c>
      <c r="M17" s="69" t="s">
        <v>19</v>
      </c>
      <c r="N17" s="69" t="s">
        <v>20</v>
      </c>
      <c r="O17" s="69" t="s">
        <v>21</v>
      </c>
      <c r="P17" s="4" t="s">
        <v>3036</v>
      </c>
      <c r="Q17" s="4" t="s">
        <v>3038</v>
      </c>
      <c r="R17" s="69" t="s">
        <v>22</v>
      </c>
      <c r="S17" s="69" t="s">
        <v>23</v>
      </c>
      <c r="T17" s="69" t="s">
        <v>22</v>
      </c>
      <c r="U17" s="69" t="s">
        <v>24</v>
      </c>
      <c r="V17" s="69" t="s">
        <v>25</v>
      </c>
      <c r="W17" s="69" t="s">
        <v>26</v>
      </c>
      <c r="X17" s="69" t="s">
        <v>27</v>
      </c>
      <c r="Y17" s="69" t="s">
        <v>28</v>
      </c>
      <c r="Z17" s="69" t="s">
        <v>29</v>
      </c>
      <c r="AA17" s="4"/>
      <c r="AB17" s="4"/>
      <c r="AC17" s="4"/>
      <c r="AD17" s="70"/>
      <c r="AE17" s="70">
        <f>トップス!AE17</f>
        <v>0</v>
      </c>
      <c r="AF17" s="70" t="str">
        <f>トップス!Q17</f>
        <v>通常</v>
      </c>
      <c r="AG17" s="70">
        <v>0</v>
      </c>
      <c r="AH17" s="6">
        <f xml:space="preserve"> トップス!AC17</f>
        <v>0</v>
      </c>
      <c r="AI17">
        <v>1</v>
      </c>
      <c r="AJ17">
        <f>トップス!T17</f>
        <v>0</v>
      </c>
    </row>
    <row r="18" spans="1:36" ht="13.5" hidden="1" customHeight="1">
      <c r="A18" s="3">
        <v>2084057472</v>
      </c>
      <c r="B18" s="68" t="str">
        <f>IF(トップス!B18="","",トップス!B18)</f>
        <v/>
      </c>
      <c r="C18" s="3" t="str">
        <f>IF(トップス!C18="","",トップス!C18)</f>
        <v>◇ サイズ E</v>
      </c>
      <c r="D18" s="3" t="str">
        <f>IF(トップス!E18="","",トップス!E18)</f>
        <v>無</v>
      </c>
      <c r="E18" s="3" t="str">
        <f>IF(トップス!AA18="","",トップス!AA18)</f>
        <v>ベースW</v>
      </c>
      <c r="F18" s="3" t="str">
        <f>IF(トップス!G18="","",トップス!G18)</f>
        <v/>
      </c>
      <c r="G18" s="3" t="str">
        <f>IF(トップス!H18="","",トップス!H18)</f>
        <v/>
      </c>
      <c r="H18" s="3" t="str">
        <f>IF(トップス!I18="","",トップス!I18)</f>
        <v/>
      </c>
      <c r="I18" s="3" t="str">
        <f>IF(トップス!J18="","",トップス!J18)</f>
        <v>画像参照</v>
      </c>
      <c r="J18" s="3" t="str">
        <f>IF(トップス!K18="","",トップス!K18)</f>
        <v/>
      </c>
      <c r="K18" s="3" t="str">
        <f>IF(トップス!L18="","",トップス!L18)</f>
        <v>サイズ</v>
      </c>
      <c r="L18" s="3" t="str">
        <f xml:space="preserve"> トップス!Z18</f>
        <v>着丈：約cm　肩幅：約cm　身幅：約cm　袖丈：約cm</v>
      </c>
      <c r="M18" s="69" t="s">
        <v>19</v>
      </c>
      <c r="N18" s="69" t="s">
        <v>20</v>
      </c>
      <c r="O18" s="69" t="s">
        <v>21</v>
      </c>
      <c r="P18" s="4" t="s">
        <v>3036</v>
      </c>
      <c r="Q18" s="4" t="s">
        <v>3038</v>
      </c>
      <c r="R18" s="69" t="s">
        <v>22</v>
      </c>
      <c r="S18" s="69" t="s">
        <v>23</v>
      </c>
      <c r="T18" s="69" t="s">
        <v>22</v>
      </c>
      <c r="U18" s="69" t="s">
        <v>24</v>
      </c>
      <c r="V18" s="69" t="s">
        <v>25</v>
      </c>
      <c r="W18" s="69" t="s">
        <v>26</v>
      </c>
      <c r="X18" s="69" t="s">
        <v>27</v>
      </c>
      <c r="Y18" s="69" t="s">
        <v>28</v>
      </c>
      <c r="Z18" s="69" t="s">
        <v>29</v>
      </c>
      <c r="AA18" s="4"/>
      <c r="AB18" s="4"/>
      <c r="AC18" s="4"/>
      <c r="AD18" s="70"/>
      <c r="AE18" s="70">
        <f>トップス!AE18</f>
        <v>0</v>
      </c>
      <c r="AF18" s="70" t="str">
        <f>トップス!Q18</f>
        <v>通常</v>
      </c>
      <c r="AG18" s="70">
        <v>0</v>
      </c>
      <c r="AH18" s="6">
        <f xml:space="preserve"> トップス!AC18</f>
        <v>0</v>
      </c>
      <c r="AI18">
        <v>1</v>
      </c>
      <c r="AJ18">
        <f>トップス!T18</f>
        <v>0</v>
      </c>
    </row>
    <row r="19" spans="1:36" ht="13.5" hidden="1" customHeight="1">
      <c r="A19" s="3" t="str">
        <f>IF(トップス!A19="","",トップス!A19)</f>
        <v/>
      </c>
      <c r="B19" s="68" t="str">
        <f>IF(トップス!B19="","",トップス!B19)</f>
        <v/>
      </c>
      <c r="C19" s="3" t="str">
        <f>IF(トップス!C19="","",トップス!C19)</f>
        <v>◇ サイズ E</v>
      </c>
      <c r="D19" s="3" t="str">
        <f>IF(トップス!E19="","",トップス!E19)</f>
        <v>無</v>
      </c>
      <c r="E19" s="3" t="str">
        <f>IF(トップス!AA19="","",トップス!AA19)</f>
        <v>ベースW</v>
      </c>
      <c r="F19" s="3" t="str">
        <f>IF(トップス!G19="","",トップス!G19)</f>
        <v/>
      </c>
      <c r="G19" s="3" t="str">
        <f>IF(トップス!H19="","",トップス!H19)</f>
        <v/>
      </c>
      <c r="H19" s="3" t="str">
        <f>IF(トップス!I19="","",トップス!I19)</f>
        <v/>
      </c>
      <c r="I19" s="3" t="str">
        <f>IF(トップス!J19="","",トップス!J19)</f>
        <v>画像参照</v>
      </c>
      <c r="J19" s="3" t="str">
        <f>IF(トップス!K19="","",トップス!K19)</f>
        <v/>
      </c>
      <c r="K19" s="3" t="str">
        <f>IF(トップス!L19="","",トップス!L19)</f>
        <v>サイズ</v>
      </c>
      <c r="L19" s="3" t="str">
        <f xml:space="preserve"> トップス!Z19</f>
        <v>着丈：約cm　肩幅：約cm　身幅：約cm　袖丈：約cm</v>
      </c>
      <c r="M19" s="69" t="s">
        <v>19</v>
      </c>
      <c r="N19" s="69" t="s">
        <v>20</v>
      </c>
      <c r="O19" s="69" t="s">
        <v>21</v>
      </c>
      <c r="P19" s="4" t="s">
        <v>3036</v>
      </c>
      <c r="Q19" s="4" t="s">
        <v>3038</v>
      </c>
      <c r="R19" s="69" t="s">
        <v>22</v>
      </c>
      <c r="S19" s="69" t="s">
        <v>23</v>
      </c>
      <c r="T19" s="69" t="s">
        <v>22</v>
      </c>
      <c r="U19" s="69" t="s">
        <v>24</v>
      </c>
      <c r="V19" s="69" t="s">
        <v>25</v>
      </c>
      <c r="W19" s="69" t="s">
        <v>26</v>
      </c>
      <c r="X19" s="69" t="s">
        <v>27</v>
      </c>
      <c r="Y19" s="69" t="s">
        <v>28</v>
      </c>
      <c r="Z19" s="69" t="s">
        <v>29</v>
      </c>
      <c r="AA19" s="4"/>
      <c r="AB19" s="4"/>
      <c r="AC19" s="4"/>
      <c r="AD19" s="70"/>
      <c r="AE19" s="70">
        <f>トップス!AE19</f>
        <v>0</v>
      </c>
      <c r="AF19" s="70" t="str">
        <f>トップス!Q19</f>
        <v>通常</v>
      </c>
      <c r="AG19" s="70">
        <v>0</v>
      </c>
      <c r="AH19" s="6">
        <f xml:space="preserve"> トップス!AC19</f>
        <v>0</v>
      </c>
      <c r="AI19">
        <v>1</v>
      </c>
      <c r="AJ19">
        <f>トップス!T19</f>
        <v>0</v>
      </c>
    </row>
    <row r="20" spans="1:36" ht="13.5" hidden="1" customHeight="1">
      <c r="A20" s="3" t="str">
        <f>IF(トップス!A20="","",トップス!A20)</f>
        <v/>
      </c>
      <c r="B20" s="68" t="str">
        <f>IF(トップス!B20="","",トップス!B20)</f>
        <v/>
      </c>
      <c r="C20" s="3" t="str">
        <f>IF(トップス!C20="","",トップス!C20)</f>
        <v>◇ サイズ E</v>
      </c>
      <c r="D20" s="3" t="str">
        <f>IF(トップス!E20="","",トップス!E20)</f>
        <v>無</v>
      </c>
      <c r="E20" s="3" t="str">
        <f>IF(トップス!AA20="","",トップス!AA20)</f>
        <v>ベースW</v>
      </c>
      <c r="F20" s="3" t="str">
        <f>IF(トップス!G20="","",トップス!G20)</f>
        <v/>
      </c>
      <c r="G20" s="3" t="str">
        <f>IF(トップス!H20="","",トップス!H20)</f>
        <v/>
      </c>
      <c r="H20" s="3" t="str">
        <f>IF(トップス!I20="","",トップス!I20)</f>
        <v/>
      </c>
      <c r="I20" s="3" t="str">
        <f>IF(トップス!J20="","",トップス!J20)</f>
        <v>画像参照</v>
      </c>
      <c r="J20" s="3" t="str">
        <f>IF(トップス!K20="","",トップス!K20)</f>
        <v/>
      </c>
      <c r="K20" s="3" t="str">
        <f>IF(トップス!L20="","",トップス!L20)</f>
        <v>サイズ</v>
      </c>
      <c r="L20" s="3" t="str">
        <f xml:space="preserve"> トップス!Z20</f>
        <v>着丈：約cm　肩幅：約cm　身幅：約cm　袖丈：約cm</v>
      </c>
      <c r="M20" s="69" t="s">
        <v>19</v>
      </c>
      <c r="N20" s="69" t="s">
        <v>20</v>
      </c>
      <c r="O20" s="69" t="s">
        <v>21</v>
      </c>
      <c r="P20" s="4" t="s">
        <v>3036</v>
      </c>
      <c r="Q20" s="4" t="s">
        <v>3038</v>
      </c>
      <c r="R20" s="69" t="s">
        <v>22</v>
      </c>
      <c r="S20" s="69" t="s">
        <v>23</v>
      </c>
      <c r="T20" s="69" t="s">
        <v>22</v>
      </c>
      <c r="U20" s="69" t="s">
        <v>24</v>
      </c>
      <c r="V20" s="69" t="s">
        <v>25</v>
      </c>
      <c r="W20" s="69" t="s">
        <v>26</v>
      </c>
      <c r="X20" s="69" t="s">
        <v>27</v>
      </c>
      <c r="Y20" s="69" t="s">
        <v>28</v>
      </c>
      <c r="Z20" s="69" t="s">
        <v>29</v>
      </c>
      <c r="AA20" s="4"/>
      <c r="AB20" s="4"/>
      <c r="AC20" s="4"/>
      <c r="AD20" s="70"/>
      <c r="AE20" s="70">
        <f>トップス!AE20</f>
        <v>0</v>
      </c>
      <c r="AF20" s="70" t="str">
        <f>トップス!Q20</f>
        <v>通常</v>
      </c>
      <c r="AG20" s="70">
        <v>0</v>
      </c>
      <c r="AH20" s="6">
        <f xml:space="preserve"> トップス!AC20</f>
        <v>0</v>
      </c>
      <c r="AI20">
        <v>1</v>
      </c>
      <c r="AJ20">
        <f>トップス!T20</f>
        <v>0</v>
      </c>
    </row>
    <row r="21" spans="1:36" ht="13.5" hidden="1" customHeight="1">
      <c r="A21" s="3" t="str">
        <f>IF(トップス!A21="","",トップス!A21)</f>
        <v/>
      </c>
      <c r="B21" s="68" t="str">
        <f>IF(トップス!B21="","",トップス!B21)</f>
        <v/>
      </c>
      <c r="C21" s="3" t="str">
        <f>IF(トップス!C21="","",トップス!C21)</f>
        <v>◇ サイズ E</v>
      </c>
      <c r="D21" s="3" t="str">
        <f>IF(トップス!E21="","",トップス!E21)</f>
        <v>無</v>
      </c>
      <c r="E21" s="3" t="str">
        <f>IF(トップス!AA21="","",トップス!AA21)</f>
        <v>ベースW</v>
      </c>
      <c r="F21" s="3" t="str">
        <f>IF(トップス!G21="","",トップス!G21)</f>
        <v/>
      </c>
      <c r="G21" s="3" t="str">
        <f>IF(トップス!H21="","",トップス!H21)</f>
        <v/>
      </c>
      <c r="H21" s="3" t="str">
        <f>IF(トップス!I21="","",トップス!I21)</f>
        <v/>
      </c>
      <c r="I21" s="3" t="str">
        <f>IF(トップス!J21="","",トップス!J21)</f>
        <v>画像参照</v>
      </c>
      <c r="J21" s="3" t="str">
        <f>IF(トップス!K21="","",トップス!K21)</f>
        <v/>
      </c>
      <c r="K21" s="3" t="str">
        <f>IF(トップス!L21="","",トップス!L21)</f>
        <v>サイズ</v>
      </c>
      <c r="L21" s="3" t="str">
        <f xml:space="preserve"> トップス!Z21</f>
        <v>着丈：約cm　肩幅：約cm　身幅：約cm　袖丈：約cm</v>
      </c>
      <c r="M21" s="69" t="s">
        <v>19</v>
      </c>
      <c r="N21" s="69" t="s">
        <v>20</v>
      </c>
      <c r="O21" s="69" t="s">
        <v>21</v>
      </c>
      <c r="P21" s="4" t="s">
        <v>3036</v>
      </c>
      <c r="Q21" s="4" t="s">
        <v>3038</v>
      </c>
      <c r="R21" s="69" t="s">
        <v>22</v>
      </c>
      <c r="S21" s="69" t="s">
        <v>23</v>
      </c>
      <c r="T21" s="69" t="s">
        <v>22</v>
      </c>
      <c r="U21" s="69" t="s">
        <v>24</v>
      </c>
      <c r="V21" s="69" t="s">
        <v>25</v>
      </c>
      <c r="W21" s="69" t="s">
        <v>26</v>
      </c>
      <c r="X21" s="69" t="s">
        <v>27</v>
      </c>
      <c r="Y21" s="69" t="s">
        <v>28</v>
      </c>
      <c r="Z21" s="69" t="s">
        <v>29</v>
      </c>
      <c r="AA21" s="4"/>
      <c r="AB21" s="4"/>
      <c r="AC21" s="4"/>
      <c r="AD21" s="70"/>
      <c r="AE21" s="70">
        <f>トップス!AE21</f>
        <v>0</v>
      </c>
      <c r="AF21" s="70" t="str">
        <f>トップス!Q21</f>
        <v>通常</v>
      </c>
      <c r="AG21" s="70">
        <v>0</v>
      </c>
      <c r="AH21" s="6">
        <f xml:space="preserve"> トップス!AC21</f>
        <v>0</v>
      </c>
      <c r="AI21">
        <v>1</v>
      </c>
      <c r="AJ21">
        <f>トップス!T21</f>
        <v>0</v>
      </c>
    </row>
    <row r="22" spans="1:36" ht="13.5" hidden="1" customHeight="1">
      <c r="A22" s="3" t="str">
        <f>IF(トップス!A22="","",トップス!A22)</f>
        <v/>
      </c>
      <c r="B22" s="68" t="str">
        <f>IF(トップス!B22="","",トップス!B22)</f>
        <v/>
      </c>
      <c r="C22" s="3" t="str">
        <f>IF(トップス!C22="","",トップス!C22)</f>
        <v>◇ サイズ E</v>
      </c>
      <c r="D22" s="3" t="str">
        <f>IF(トップス!E22="","",トップス!E22)</f>
        <v>無</v>
      </c>
      <c r="E22" s="3" t="str">
        <f>IF(トップス!AA22="","",トップス!AA22)</f>
        <v>ベースW</v>
      </c>
      <c r="F22" s="3" t="str">
        <f>IF(トップス!G22="","",トップス!G22)</f>
        <v/>
      </c>
      <c r="G22" s="3" t="str">
        <f>IF(トップス!H22="","",トップス!H22)</f>
        <v/>
      </c>
      <c r="H22" s="3" t="str">
        <f>IF(トップス!I22="","",トップス!I22)</f>
        <v/>
      </c>
      <c r="I22" s="3" t="str">
        <f>IF(トップス!J22="","",トップス!J22)</f>
        <v>画像参照</v>
      </c>
      <c r="J22" s="3" t="str">
        <f>IF(トップス!K22="","",トップス!K22)</f>
        <v/>
      </c>
      <c r="K22" s="3" t="str">
        <f>IF(トップス!L22="","",トップス!L22)</f>
        <v>サイズ</v>
      </c>
      <c r="L22" s="3" t="str">
        <f xml:space="preserve"> トップス!Z22</f>
        <v>着丈：約cm　肩幅：約cm　身幅：約cm　袖丈：約cm</v>
      </c>
      <c r="M22" s="69" t="s">
        <v>19</v>
      </c>
      <c r="N22" s="69" t="s">
        <v>20</v>
      </c>
      <c r="O22" s="69" t="s">
        <v>21</v>
      </c>
      <c r="P22" s="4" t="s">
        <v>3036</v>
      </c>
      <c r="Q22" s="4" t="s">
        <v>3038</v>
      </c>
      <c r="R22" s="69" t="s">
        <v>22</v>
      </c>
      <c r="S22" s="69" t="s">
        <v>23</v>
      </c>
      <c r="T22" s="69" t="s">
        <v>22</v>
      </c>
      <c r="U22" s="69" t="s">
        <v>24</v>
      </c>
      <c r="V22" s="69" t="s">
        <v>25</v>
      </c>
      <c r="W22" s="69" t="s">
        <v>26</v>
      </c>
      <c r="X22" s="69" t="s">
        <v>27</v>
      </c>
      <c r="Y22" s="69" t="s">
        <v>28</v>
      </c>
      <c r="Z22" s="69" t="s">
        <v>29</v>
      </c>
      <c r="AA22" s="4"/>
      <c r="AB22" s="4"/>
      <c r="AC22" s="4"/>
      <c r="AD22" s="70"/>
      <c r="AE22" s="70">
        <f>トップス!AE22</f>
        <v>0</v>
      </c>
      <c r="AF22" s="70" t="str">
        <f>トップス!Q22</f>
        <v>通常</v>
      </c>
      <c r="AG22" s="70">
        <v>0</v>
      </c>
      <c r="AH22" s="6">
        <f xml:space="preserve"> トップス!AC22</f>
        <v>0</v>
      </c>
      <c r="AI22">
        <v>1</v>
      </c>
      <c r="AJ22">
        <f>トップス!T22</f>
        <v>0</v>
      </c>
    </row>
    <row r="23" spans="1:36" ht="13.5" hidden="1" customHeight="1">
      <c r="A23" s="3" t="str">
        <f>IF(トップス!A23="","",トップス!A23)</f>
        <v/>
      </c>
      <c r="B23" s="68" t="str">
        <f>IF(トップス!B23="","",トップス!B23)</f>
        <v/>
      </c>
      <c r="C23" s="3" t="str">
        <f>IF(トップス!C23="","",トップス!C23)</f>
        <v>◇ サイズ E</v>
      </c>
      <c r="D23" s="3" t="str">
        <f>IF(トップス!E23="","",トップス!E23)</f>
        <v>無</v>
      </c>
      <c r="E23" s="3" t="str">
        <f>IF(トップス!AA23="","",トップス!AA23)</f>
        <v>ベースW</v>
      </c>
      <c r="F23" s="3" t="str">
        <f>IF(トップス!G23="","",トップス!G23)</f>
        <v/>
      </c>
      <c r="G23" s="3" t="str">
        <f>IF(トップス!H23="","",トップス!H23)</f>
        <v/>
      </c>
      <c r="H23" s="3" t="str">
        <f>IF(トップス!I23="","",トップス!I23)</f>
        <v/>
      </c>
      <c r="I23" s="3" t="str">
        <f>IF(トップス!J23="","",トップス!J23)</f>
        <v>画像参照</v>
      </c>
      <c r="J23" s="3" t="str">
        <f>IF(トップス!K23="","",トップス!K23)</f>
        <v/>
      </c>
      <c r="K23" s="3" t="str">
        <f>IF(トップス!L23="","",トップス!L23)</f>
        <v>サイズ</v>
      </c>
      <c r="L23" s="3" t="str">
        <f xml:space="preserve"> トップス!Z23</f>
        <v>着丈：約cm　肩幅：約cm　身幅：約cm　袖丈：約cm</v>
      </c>
      <c r="M23" s="69" t="s">
        <v>19</v>
      </c>
      <c r="N23" s="69" t="s">
        <v>20</v>
      </c>
      <c r="O23" s="69" t="s">
        <v>21</v>
      </c>
      <c r="P23" s="4" t="s">
        <v>3036</v>
      </c>
      <c r="Q23" s="4" t="s">
        <v>3038</v>
      </c>
      <c r="R23" s="69" t="s">
        <v>22</v>
      </c>
      <c r="S23" s="69" t="s">
        <v>23</v>
      </c>
      <c r="T23" s="69" t="s">
        <v>22</v>
      </c>
      <c r="U23" s="69" t="s">
        <v>24</v>
      </c>
      <c r="V23" s="69" t="s">
        <v>25</v>
      </c>
      <c r="W23" s="69" t="s">
        <v>26</v>
      </c>
      <c r="X23" s="69" t="s">
        <v>27</v>
      </c>
      <c r="Y23" s="69" t="s">
        <v>28</v>
      </c>
      <c r="Z23" s="69" t="s">
        <v>29</v>
      </c>
      <c r="AA23" s="4"/>
      <c r="AB23" s="4"/>
      <c r="AC23" s="4"/>
      <c r="AD23" s="70"/>
      <c r="AE23" s="70">
        <f>トップス!AE23</f>
        <v>0</v>
      </c>
      <c r="AF23" s="70" t="str">
        <f>トップス!Q23</f>
        <v>通常</v>
      </c>
      <c r="AG23" s="70">
        <v>0</v>
      </c>
      <c r="AH23" s="6">
        <f xml:space="preserve"> トップス!AC23</f>
        <v>0</v>
      </c>
      <c r="AI23">
        <v>1</v>
      </c>
      <c r="AJ23">
        <f>トップス!T23</f>
        <v>0</v>
      </c>
    </row>
    <row r="24" spans="1:36" ht="13.5" hidden="1" customHeight="1">
      <c r="A24" s="3" t="str">
        <f>IF(トップス!A24="","",トップス!A24)</f>
        <v/>
      </c>
      <c r="B24" s="68" t="str">
        <f>IF(トップス!B24="","",トップス!B24)</f>
        <v/>
      </c>
      <c r="C24" s="3" t="str">
        <f>IF(トップス!C24="","",トップス!C24)</f>
        <v>◇ サイズ E</v>
      </c>
      <c r="D24" s="3" t="str">
        <f>IF(トップス!E24="","",トップス!E24)</f>
        <v>無</v>
      </c>
      <c r="E24" s="3" t="str">
        <f>IF(トップス!AA24="","",トップス!AA24)</f>
        <v>ベースW</v>
      </c>
      <c r="F24" s="3" t="str">
        <f>IF(トップス!G24="","",トップス!G24)</f>
        <v/>
      </c>
      <c r="G24" s="3" t="str">
        <f>IF(トップス!H24="","",トップス!H24)</f>
        <v/>
      </c>
      <c r="H24" s="3" t="str">
        <f>IF(トップス!I24="","",トップス!I24)</f>
        <v/>
      </c>
      <c r="I24" s="3" t="str">
        <f>IF(トップス!J24="","",トップス!J24)</f>
        <v>画像参照</v>
      </c>
      <c r="J24" s="3" t="str">
        <f>IF(トップス!K24="","",トップス!K24)</f>
        <v/>
      </c>
      <c r="K24" s="3" t="str">
        <f>IF(トップス!L24="","",トップス!L24)</f>
        <v>サイズ</v>
      </c>
      <c r="L24" s="3" t="str">
        <f xml:space="preserve"> トップス!Z24</f>
        <v>着丈：約cm　肩幅：約cm　身幅：約cm　袖丈：約cm</v>
      </c>
      <c r="M24" s="69" t="s">
        <v>19</v>
      </c>
      <c r="N24" s="69" t="s">
        <v>20</v>
      </c>
      <c r="O24" s="69" t="s">
        <v>21</v>
      </c>
      <c r="P24" s="4" t="s">
        <v>3036</v>
      </c>
      <c r="Q24" s="4" t="s">
        <v>3038</v>
      </c>
      <c r="R24" s="69" t="s">
        <v>22</v>
      </c>
      <c r="S24" s="69" t="s">
        <v>23</v>
      </c>
      <c r="T24" s="69" t="s">
        <v>22</v>
      </c>
      <c r="U24" s="69" t="s">
        <v>24</v>
      </c>
      <c r="V24" s="69" t="s">
        <v>25</v>
      </c>
      <c r="W24" s="69" t="s">
        <v>26</v>
      </c>
      <c r="X24" s="69" t="s">
        <v>27</v>
      </c>
      <c r="Y24" s="69" t="s">
        <v>28</v>
      </c>
      <c r="Z24" s="69" t="s">
        <v>29</v>
      </c>
      <c r="AA24" s="4"/>
      <c r="AB24" s="4"/>
      <c r="AC24" s="4"/>
      <c r="AD24" s="70"/>
      <c r="AE24" s="70">
        <f>トップス!AE24</f>
        <v>0</v>
      </c>
      <c r="AF24" s="70" t="str">
        <f>トップス!Q24</f>
        <v>通常</v>
      </c>
      <c r="AG24" s="70">
        <v>0</v>
      </c>
      <c r="AH24" s="6">
        <f xml:space="preserve"> トップス!AC24</f>
        <v>0</v>
      </c>
      <c r="AI24">
        <v>1</v>
      </c>
      <c r="AJ24">
        <f>トップス!T24</f>
        <v>0</v>
      </c>
    </row>
    <row r="25" spans="1:36" ht="13.5" hidden="1" customHeight="1">
      <c r="A25" s="3" t="str">
        <f>IF(トップス!A25="","",トップス!A25)</f>
        <v/>
      </c>
      <c r="B25" s="68" t="str">
        <f>IF(トップス!B25="","",トップス!B25)</f>
        <v/>
      </c>
      <c r="C25" s="3" t="str">
        <f>IF(トップス!C25="","",トップス!C25)</f>
        <v>◇ サイズ E</v>
      </c>
      <c r="D25" s="3" t="str">
        <f>IF(トップス!E25="","",トップス!E25)</f>
        <v>無</v>
      </c>
      <c r="E25" s="3" t="str">
        <f>IF(トップス!AA25="","",トップス!AA25)</f>
        <v>ベースW</v>
      </c>
      <c r="F25" s="3" t="str">
        <f>IF(トップス!G25="","",トップス!G25)</f>
        <v/>
      </c>
      <c r="G25" s="3" t="str">
        <f>IF(トップス!H25="","",トップス!H25)</f>
        <v/>
      </c>
      <c r="H25" s="3" t="str">
        <f>IF(トップス!I25="","",トップス!I25)</f>
        <v/>
      </c>
      <c r="I25" s="3" t="str">
        <f>IF(トップス!J25="","",トップス!J25)</f>
        <v>画像参照</v>
      </c>
      <c r="J25" s="3" t="str">
        <f>IF(トップス!K25="","",トップス!K25)</f>
        <v/>
      </c>
      <c r="K25" s="3" t="str">
        <f>IF(トップス!L25="","",トップス!L25)</f>
        <v>サイズ</v>
      </c>
      <c r="L25" s="3" t="str">
        <f xml:space="preserve"> トップス!Z25</f>
        <v>着丈：約cm　肩幅：約cm　身幅：約cm　袖丈：約cm</v>
      </c>
      <c r="M25" s="69" t="s">
        <v>19</v>
      </c>
      <c r="N25" s="69" t="s">
        <v>20</v>
      </c>
      <c r="O25" s="69" t="s">
        <v>21</v>
      </c>
      <c r="P25" s="4" t="s">
        <v>3036</v>
      </c>
      <c r="Q25" s="4" t="s">
        <v>3038</v>
      </c>
      <c r="R25" s="69" t="s">
        <v>22</v>
      </c>
      <c r="S25" s="69" t="s">
        <v>23</v>
      </c>
      <c r="T25" s="69" t="s">
        <v>22</v>
      </c>
      <c r="U25" s="69" t="s">
        <v>24</v>
      </c>
      <c r="V25" s="69" t="s">
        <v>25</v>
      </c>
      <c r="W25" s="69" t="s">
        <v>26</v>
      </c>
      <c r="X25" s="69" t="s">
        <v>27</v>
      </c>
      <c r="Y25" s="69" t="s">
        <v>28</v>
      </c>
      <c r="Z25" s="69" t="s">
        <v>29</v>
      </c>
      <c r="AA25" s="4"/>
      <c r="AB25" s="4"/>
      <c r="AC25" s="4"/>
      <c r="AD25" s="70"/>
      <c r="AE25" s="70">
        <f>トップス!AE25</f>
        <v>0</v>
      </c>
      <c r="AF25" s="70" t="str">
        <f>トップス!Q25</f>
        <v>通常</v>
      </c>
      <c r="AG25" s="70">
        <v>0</v>
      </c>
      <c r="AH25" s="6">
        <f xml:space="preserve"> トップス!AC25</f>
        <v>0</v>
      </c>
      <c r="AI25">
        <v>1</v>
      </c>
      <c r="AJ25">
        <f>トップス!T25</f>
        <v>0</v>
      </c>
    </row>
    <row r="26" spans="1:36" ht="13.5" hidden="1" customHeight="1">
      <c r="A26" s="3" t="str">
        <f>IF(トップス!A26="","",トップス!A26)</f>
        <v/>
      </c>
      <c r="B26" s="68" t="str">
        <f>IF(トップス!B26="","",トップス!B26)</f>
        <v/>
      </c>
      <c r="C26" s="3" t="str">
        <f>IF(トップス!C26="","",トップス!C26)</f>
        <v>◇ サイズ E</v>
      </c>
      <c r="D26" s="3" t="str">
        <f>IF(トップス!E26="","",トップス!E26)</f>
        <v>無</v>
      </c>
      <c r="E26" s="3" t="str">
        <f>IF(トップス!AA26="","",トップス!AA26)</f>
        <v>ベースW</v>
      </c>
      <c r="F26" s="3" t="str">
        <f>IF(トップス!G26="","",トップス!G26)</f>
        <v/>
      </c>
      <c r="G26" s="3" t="str">
        <f>IF(トップス!H26="","",トップス!H26)</f>
        <v/>
      </c>
      <c r="H26" s="3" t="str">
        <f>IF(トップス!I26="","",トップス!I26)</f>
        <v/>
      </c>
      <c r="I26" s="3" t="str">
        <f>IF(トップス!J26="","",トップス!J26)</f>
        <v>画像参照</v>
      </c>
      <c r="J26" s="3" t="str">
        <f>IF(トップス!K26="","",トップス!K26)</f>
        <v/>
      </c>
      <c r="K26" s="3" t="str">
        <f>IF(トップス!L26="","",トップス!L26)</f>
        <v>サイズ</v>
      </c>
      <c r="L26" s="3" t="str">
        <f xml:space="preserve"> トップス!Z26</f>
        <v>着丈：約cm　肩幅：約cm　身幅：約cm　袖丈：約cm</v>
      </c>
      <c r="M26" s="69" t="s">
        <v>19</v>
      </c>
      <c r="N26" s="69" t="s">
        <v>20</v>
      </c>
      <c r="O26" s="69" t="s">
        <v>21</v>
      </c>
      <c r="P26" s="4" t="s">
        <v>3036</v>
      </c>
      <c r="Q26" s="4" t="s">
        <v>3038</v>
      </c>
      <c r="R26" s="69" t="s">
        <v>22</v>
      </c>
      <c r="S26" s="69" t="s">
        <v>23</v>
      </c>
      <c r="T26" s="69" t="s">
        <v>22</v>
      </c>
      <c r="U26" s="69" t="s">
        <v>24</v>
      </c>
      <c r="V26" s="69" t="s">
        <v>25</v>
      </c>
      <c r="W26" s="69" t="s">
        <v>26</v>
      </c>
      <c r="X26" s="69" t="s">
        <v>27</v>
      </c>
      <c r="Y26" s="69" t="s">
        <v>28</v>
      </c>
      <c r="Z26" s="69" t="s">
        <v>29</v>
      </c>
      <c r="AA26" s="4"/>
      <c r="AB26" s="4"/>
      <c r="AC26" s="4"/>
      <c r="AD26" s="70"/>
      <c r="AE26" s="70">
        <f>トップス!AE26</f>
        <v>0</v>
      </c>
      <c r="AF26" s="70" t="str">
        <f>トップス!Q26</f>
        <v>通常</v>
      </c>
      <c r="AG26" s="70">
        <v>0</v>
      </c>
      <c r="AH26" s="6">
        <f xml:space="preserve"> トップス!AC26</f>
        <v>0</v>
      </c>
      <c r="AI26">
        <v>1</v>
      </c>
      <c r="AJ26">
        <f>トップス!T26</f>
        <v>0</v>
      </c>
    </row>
    <row r="27" spans="1:36" ht="13.5" hidden="1" customHeight="1">
      <c r="A27" s="3" t="str">
        <f>IF(トップス!A27="","",トップス!A27)</f>
        <v/>
      </c>
      <c r="B27" s="68" t="str">
        <f>IF(トップス!B27="","",トップス!B27)</f>
        <v/>
      </c>
      <c r="C27" s="3" t="str">
        <f>IF(トップス!C27="","",トップス!C27)</f>
        <v>◇ サイズ E</v>
      </c>
      <c r="D27" s="3" t="str">
        <f>IF(トップス!E27="","",トップス!E27)</f>
        <v>無</v>
      </c>
      <c r="E27" s="3" t="str">
        <f>IF(トップス!AA27="","",トップス!AA27)</f>
        <v>ベースW</v>
      </c>
      <c r="F27" s="3" t="str">
        <f>IF(トップス!G27="","",トップス!G27)</f>
        <v/>
      </c>
      <c r="G27" s="3" t="str">
        <f>IF(トップス!H27="","",トップス!H27)</f>
        <v/>
      </c>
      <c r="H27" s="3" t="str">
        <f>IF(トップス!I27="","",トップス!I27)</f>
        <v/>
      </c>
      <c r="I27" s="3" t="str">
        <f>IF(トップス!J27="","",トップス!J27)</f>
        <v>画像参照</v>
      </c>
      <c r="J27" s="3" t="str">
        <f>IF(トップス!K27="","",トップス!K27)</f>
        <v/>
      </c>
      <c r="K27" s="3" t="str">
        <f>IF(トップス!L27="","",トップス!L27)</f>
        <v>サイズ</v>
      </c>
      <c r="L27" s="3" t="str">
        <f xml:space="preserve"> トップス!Z27</f>
        <v>着丈：約cm　肩幅：約cm　身幅：約cm　袖丈：約cm</v>
      </c>
      <c r="M27" s="69" t="s">
        <v>19</v>
      </c>
      <c r="N27" s="69" t="s">
        <v>20</v>
      </c>
      <c r="O27" s="69" t="s">
        <v>21</v>
      </c>
      <c r="P27" s="4" t="s">
        <v>3036</v>
      </c>
      <c r="Q27" s="4" t="s">
        <v>3038</v>
      </c>
      <c r="R27" s="69" t="s">
        <v>22</v>
      </c>
      <c r="S27" s="69" t="s">
        <v>23</v>
      </c>
      <c r="T27" s="69" t="s">
        <v>22</v>
      </c>
      <c r="U27" s="69" t="s">
        <v>24</v>
      </c>
      <c r="V27" s="69" t="s">
        <v>25</v>
      </c>
      <c r="W27" s="69" t="s">
        <v>26</v>
      </c>
      <c r="X27" s="69" t="s">
        <v>27</v>
      </c>
      <c r="Y27" s="69" t="s">
        <v>28</v>
      </c>
      <c r="Z27" s="69" t="s">
        <v>29</v>
      </c>
      <c r="AA27" s="4"/>
      <c r="AB27" s="4"/>
      <c r="AC27" s="4"/>
      <c r="AD27" s="70"/>
      <c r="AE27" s="70">
        <f>トップス!AE27</f>
        <v>0</v>
      </c>
      <c r="AF27" s="70" t="str">
        <f>トップス!Q27</f>
        <v>通常</v>
      </c>
      <c r="AG27" s="70">
        <v>0</v>
      </c>
      <c r="AH27" s="6">
        <f xml:space="preserve"> トップス!AC27</f>
        <v>0</v>
      </c>
      <c r="AI27">
        <v>1</v>
      </c>
      <c r="AJ27">
        <f>トップス!T27</f>
        <v>0</v>
      </c>
    </row>
    <row r="28" spans="1:36" ht="13.5" hidden="1" customHeight="1">
      <c r="A28" s="3" t="str">
        <f>IF(トップス!A28="","",トップス!A28)</f>
        <v/>
      </c>
      <c r="B28" s="68" t="str">
        <f>IF(トップス!B28="","",トップス!B28)</f>
        <v/>
      </c>
      <c r="C28" s="3" t="str">
        <f>IF(トップス!C28="","",トップス!C28)</f>
        <v>◇ サイズ E</v>
      </c>
      <c r="D28" s="3" t="str">
        <f>IF(トップス!E28="","",トップス!E28)</f>
        <v>無</v>
      </c>
      <c r="E28" s="3" t="str">
        <f>IF(トップス!AA28="","",トップス!AA28)</f>
        <v>ベースW</v>
      </c>
      <c r="F28" s="3" t="str">
        <f>IF(トップス!G28="","",トップス!G28)</f>
        <v/>
      </c>
      <c r="G28" s="3" t="str">
        <f>IF(トップス!H28="","",トップス!H28)</f>
        <v/>
      </c>
      <c r="H28" s="3" t="str">
        <f>IF(トップス!I28="","",トップス!I28)</f>
        <v/>
      </c>
      <c r="I28" s="3" t="str">
        <f>IF(トップス!J28="","",トップス!J28)</f>
        <v>画像参照</v>
      </c>
      <c r="J28" s="3" t="str">
        <f>IF(トップス!K28="","",トップス!K28)</f>
        <v/>
      </c>
      <c r="K28" s="3" t="str">
        <f>IF(トップス!L28="","",トップス!L28)</f>
        <v>サイズ</v>
      </c>
      <c r="L28" s="3" t="str">
        <f xml:space="preserve"> トップス!Z28</f>
        <v>着丈：約cm　肩幅：約cm　身幅：約cm　袖丈：約cm</v>
      </c>
      <c r="M28" s="69" t="s">
        <v>19</v>
      </c>
      <c r="N28" s="69" t="s">
        <v>20</v>
      </c>
      <c r="O28" s="69" t="s">
        <v>21</v>
      </c>
      <c r="P28" s="4" t="s">
        <v>3036</v>
      </c>
      <c r="Q28" s="4" t="s">
        <v>3038</v>
      </c>
      <c r="R28" s="69" t="s">
        <v>22</v>
      </c>
      <c r="S28" s="69" t="s">
        <v>23</v>
      </c>
      <c r="T28" s="69" t="s">
        <v>22</v>
      </c>
      <c r="U28" s="69" t="s">
        <v>24</v>
      </c>
      <c r="V28" s="69" t="s">
        <v>25</v>
      </c>
      <c r="W28" s="69" t="s">
        <v>26</v>
      </c>
      <c r="X28" s="69" t="s">
        <v>27</v>
      </c>
      <c r="Y28" s="69" t="s">
        <v>28</v>
      </c>
      <c r="Z28" s="69" t="s">
        <v>29</v>
      </c>
      <c r="AA28" s="4"/>
      <c r="AB28" s="4"/>
      <c r="AC28" s="4"/>
      <c r="AD28" s="70"/>
      <c r="AE28" s="70">
        <f>トップス!AE28</f>
        <v>0</v>
      </c>
      <c r="AF28" s="70" t="str">
        <f>トップス!Q28</f>
        <v>通常</v>
      </c>
      <c r="AG28" s="70">
        <v>0</v>
      </c>
      <c r="AH28" s="6">
        <f xml:space="preserve"> トップス!AC28</f>
        <v>0</v>
      </c>
      <c r="AI28">
        <v>1</v>
      </c>
      <c r="AJ28">
        <f>トップス!T28</f>
        <v>0</v>
      </c>
    </row>
    <row r="29" spans="1:36" ht="13.5" hidden="1" customHeight="1">
      <c r="A29" s="3" t="str">
        <f>IF(トップス!A29="","",トップス!A29)</f>
        <v/>
      </c>
      <c r="B29" s="68" t="str">
        <f>IF(トップス!B29="","",トップス!B29)</f>
        <v/>
      </c>
      <c r="C29" s="3" t="str">
        <f>IF(トップス!C29="","",トップス!C29)</f>
        <v>◇ サイズ E</v>
      </c>
      <c r="D29" s="3" t="str">
        <f>IF(トップス!E29="","",トップス!E29)</f>
        <v>無</v>
      </c>
      <c r="E29" s="3" t="str">
        <f>IF(トップス!AA29="","",トップス!AA29)</f>
        <v>ベースW</v>
      </c>
      <c r="F29" s="3" t="str">
        <f>IF(トップス!G29="","",トップス!G29)</f>
        <v/>
      </c>
      <c r="G29" s="3" t="str">
        <f>IF(トップス!H29="","",トップス!H29)</f>
        <v/>
      </c>
      <c r="H29" s="3" t="str">
        <f>IF(トップス!I29="","",トップス!I29)</f>
        <v/>
      </c>
      <c r="I29" s="3" t="str">
        <f>IF(トップス!J29="","",トップス!J29)</f>
        <v>画像参照</v>
      </c>
      <c r="J29" s="3" t="str">
        <f>IF(トップス!K29="","",トップス!K29)</f>
        <v/>
      </c>
      <c r="K29" s="3" t="str">
        <f>IF(トップス!L29="","",トップス!L29)</f>
        <v>サイズ</v>
      </c>
      <c r="L29" s="3" t="str">
        <f xml:space="preserve"> トップス!Z29</f>
        <v>着丈：約cm　肩幅：約cm　身幅：約cm　袖丈：約cm</v>
      </c>
      <c r="M29" s="69" t="s">
        <v>19</v>
      </c>
      <c r="N29" s="69" t="s">
        <v>20</v>
      </c>
      <c r="O29" s="69" t="s">
        <v>21</v>
      </c>
      <c r="P29" s="4" t="s">
        <v>3036</v>
      </c>
      <c r="Q29" s="4" t="s">
        <v>3038</v>
      </c>
      <c r="R29" s="69" t="s">
        <v>22</v>
      </c>
      <c r="S29" s="69" t="s">
        <v>23</v>
      </c>
      <c r="T29" s="69" t="s">
        <v>22</v>
      </c>
      <c r="U29" s="69" t="s">
        <v>24</v>
      </c>
      <c r="V29" s="69" t="s">
        <v>25</v>
      </c>
      <c r="W29" s="69" t="s">
        <v>26</v>
      </c>
      <c r="X29" s="69" t="s">
        <v>27</v>
      </c>
      <c r="Y29" s="69" t="s">
        <v>28</v>
      </c>
      <c r="Z29" s="69" t="s">
        <v>29</v>
      </c>
      <c r="AA29" s="4"/>
      <c r="AB29" s="4"/>
      <c r="AC29" s="4"/>
      <c r="AD29" s="70"/>
      <c r="AE29" s="70">
        <f>トップス!AE29</f>
        <v>0</v>
      </c>
      <c r="AF29" s="70" t="str">
        <f>トップス!Q29</f>
        <v>通常</v>
      </c>
      <c r="AG29" s="70">
        <v>0</v>
      </c>
      <c r="AH29" s="6">
        <f xml:space="preserve"> トップス!AC29</f>
        <v>0</v>
      </c>
      <c r="AI29">
        <v>1</v>
      </c>
      <c r="AJ29">
        <f>トップス!T29</f>
        <v>0</v>
      </c>
    </row>
    <row r="30" spans="1:36" ht="13.5" hidden="1" customHeight="1">
      <c r="A30" s="3" t="str">
        <f>IF(トップス!A30="","",トップス!A30)</f>
        <v/>
      </c>
      <c r="B30" s="68" t="str">
        <f>IF(トップス!B30="","",トップス!B30)</f>
        <v/>
      </c>
      <c r="C30" s="3" t="str">
        <f>IF(トップス!C30="","",トップス!C30)</f>
        <v>◇ サイズ E</v>
      </c>
      <c r="D30" s="3" t="str">
        <f>IF(トップス!E30="","",トップス!E30)</f>
        <v>無</v>
      </c>
      <c r="E30" s="3" t="str">
        <f>IF(トップス!AA30="","",トップス!AA30)</f>
        <v>ベースW</v>
      </c>
      <c r="F30" s="3" t="str">
        <f>IF(トップス!G30="","",トップス!G30)</f>
        <v/>
      </c>
      <c r="G30" s="3" t="str">
        <f>IF(トップス!H30="","",トップス!H30)</f>
        <v/>
      </c>
      <c r="H30" s="3" t="str">
        <f>IF(トップス!I30="","",トップス!I30)</f>
        <v/>
      </c>
      <c r="I30" s="3" t="str">
        <f>IF(トップス!J30="","",トップス!J30)</f>
        <v>画像参照</v>
      </c>
      <c r="J30" s="3" t="str">
        <f>IF(トップス!K30="","",トップス!K30)</f>
        <v/>
      </c>
      <c r="K30" s="3" t="str">
        <f>IF(トップス!L30="","",トップス!L30)</f>
        <v>サイズ</v>
      </c>
      <c r="L30" s="3" t="str">
        <f xml:space="preserve"> トップス!Z30</f>
        <v>着丈：約cm　肩幅：約cm　身幅：約cm　袖丈：約cm</v>
      </c>
      <c r="M30" s="69" t="s">
        <v>19</v>
      </c>
      <c r="N30" s="69" t="s">
        <v>20</v>
      </c>
      <c r="O30" s="69" t="s">
        <v>21</v>
      </c>
      <c r="P30" s="4" t="s">
        <v>3036</v>
      </c>
      <c r="Q30" s="4" t="s">
        <v>3038</v>
      </c>
      <c r="R30" s="69" t="s">
        <v>22</v>
      </c>
      <c r="S30" s="69" t="s">
        <v>23</v>
      </c>
      <c r="T30" s="69" t="s">
        <v>22</v>
      </c>
      <c r="U30" s="69" t="s">
        <v>24</v>
      </c>
      <c r="V30" s="69" t="s">
        <v>25</v>
      </c>
      <c r="W30" s="69" t="s">
        <v>26</v>
      </c>
      <c r="X30" s="69" t="s">
        <v>27</v>
      </c>
      <c r="Y30" s="69" t="s">
        <v>28</v>
      </c>
      <c r="Z30" s="69" t="s">
        <v>29</v>
      </c>
      <c r="AA30" s="4"/>
      <c r="AB30" s="4"/>
      <c r="AC30" s="4"/>
      <c r="AD30" s="70"/>
      <c r="AE30" s="70">
        <f>トップス!AE30</f>
        <v>0</v>
      </c>
      <c r="AF30" s="70" t="str">
        <f>トップス!Q30</f>
        <v>通常</v>
      </c>
      <c r="AG30" s="70">
        <v>0</v>
      </c>
      <c r="AH30" s="6">
        <f xml:space="preserve"> トップス!AC30</f>
        <v>0</v>
      </c>
      <c r="AI30">
        <v>1</v>
      </c>
      <c r="AJ30">
        <f>トップス!T30</f>
        <v>0</v>
      </c>
    </row>
    <row r="31" spans="1:36" ht="13.5" hidden="1" customHeight="1">
      <c r="A31" s="3" t="str">
        <f>IF(トップス!A31="","",トップス!A31)</f>
        <v/>
      </c>
      <c r="B31" s="68" t="str">
        <f>IF(トップス!B31="","",トップス!B31)</f>
        <v/>
      </c>
      <c r="C31" s="3" t="str">
        <f>IF(トップス!C31="","",トップス!C31)</f>
        <v>◇ サイズ E</v>
      </c>
      <c r="D31" s="3" t="str">
        <f>IF(トップス!E31="","",トップス!E31)</f>
        <v>無</v>
      </c>
      <c r="E31" s="3" t="str">
        <f>IF(トップス!AA31="","",トップス!AA31)</f>
        <v>ベースW</v>
      </c>
      <c r="F31" s="3" t="str">
        <f>IF(トップス!G31="","",トップス!G31)</f>
        <v/>
      </c>
      <c r="G31" s="3" t="str">
        <f>IF(トップス!H31="","",トップス!H31)</f>
        <v/>
      </c>
      <c r="H31" s="3" t="str">
        <f>IF(トップス!I31="","",トップス!I31)</f>
        <v/>
      </c>
      <c r="I31" s="3" t="str">
        <f>IF(トップス!J31="","",トップス!J31)</f>
        <v>画像参照</v>
      </c>
      <c r="J31" s="3" t="str">
        <f>IF(トップス!K31="","",トップス!K31)</f>
        <v/>
      </c>
      <c r="K31" s="3" t="str">
        <f>IF(トップス!L31="","",トップス!L31)</f>
        <v>サイズ</v>
      </c>
      <c r="L31" s="3" t="str">
        <f xml:space="preserve"> トップス!Z31</f>
        <v>着丈：約cm　肩幅：約cm　身幅：約cm　袖丈：約cm</v>
      </c>
      <c r="M31" s="69" t="s">
        <v>19</v>
      </c>
      <c r="N31" s="69" t="s">
        <v>20</v>
      </c>
      <c r="O31" s="69" t="s">
        <v>21</v>
      </c>
      <c r="P31" s="4" t="s">
        <v>3036</v>
      </c>
      <c r="Q31" s="4" t="s">
        <v>3038</v>
      </c>
      <c r="R31" s="69" t="s">
        <v>22</v>
      </c>
      <c r="S31" s="69" t="s">
        <v>23</v>
      </c>
      <c r="T31" s="69" t="s">
        <v>22</v>
      </c>
      <c r="U31" s="69" t="s">
        <v>24</v>
      </c>
      <c r="V31" s="69" t="s">
        <v>25</v>
      </c>
      <c r="W31" s="69" t="s">
        <v>26</v>
      </c>
      <c r="X31" s="69" t="s">
        <v>27</v>
      </c>
      <c r="Y31" s="69" t="s">
        <v>28</v>
      </c>
      <c r="Z31" s="69" t="s">
        <v>29</v>
      </c>
      <c r="AA31" s="4"/>
      <c r="AB31" s="4"/>
      <c r="AC31" s="4"/>
      <c r="AD31" s="70"/>
      <c r="AE31" s="70">
        <f>トップス!AE31</f>
        <v>0</v>
      </c>
      <c r="AF31" s="70" t="str">
        <f>トップス!Q31</f>
        <v>通常</v>
      </c>
      <c r="AG31" s="70">
        <v>0</v>
      </c>
      <c r="AH31" s="6">
        <f xml:space="preserve"> トップス!AC31</f>
        <v>0</v>
      </c>
      <c r="AI31">
        <v>1</v>
      </c>
      <c r="AJ31">
        <f>トップス!T31</f>
        <v>0</v>
      </c>
    </row>
    <row r="32" spans="1:36" ht="13.5" hidden="1" customHeight="1">
      <c r="A32" s="3" t="str">
        <f>IF(トップス!A32="","",トップス!A32)</f>
        <v/>
      </c>
      <c r="B32" s="68" t="str">
        <f>IF(トップス!B32="","",トップス!B32)</f>
        <v/>
      </c>
      <c r="C32" s="3" t="str">
        <f>IF(トップス!C32="","",トップス!C32)</f>
        <v>◇ サイズ E</v>
      </c>
      <c r="D32" s="3" t="str">
        <f>IF(トップス!E32="","",トップス!E32)</f>
        <v>無</v>
      </c>
      <c r="E32" s="3" t="str">
        <f>IF(トップス!AA32="","",トップス!AA32)</f>
        <v>ベースW</v>
      </c>
      <c r="F32" s="3" t="str">
        <f>IF(トップス!G32="","",トップス!G32)</f>
        <v/>
      </c>
      <c r="G32" s="3" t="str">
        <f>IF(トップス!H32="","",トップス!H32)</f>
        <v/>
      </c>
      <c r="H32" s="3" t="str">
        <f>IF(トップス!I32="","",トップス!I32)</f>
        <v/>
      </c>
      <c r="I32" s="3" t="str">
        <f>IF(トップス!J32="","",トップス!J32)</f>
        <v>画像参照</v>
      </c>
      <c r="J32" s="3" t="str">
        <f>IF(トップス!K32="","",トップス!K32)</f>
        <v/>
      </c>
      <c r="K32" s="3" t="str">
        <f>IF(トップス!L32="","",トップス!L32)</f>
        <v>サイズ</v>
      </c>
      <c r="L32" s="3" t="str">
        <f xml:space="preserve"> トップス!Z32</f>
        <v>着丈：約cm　肩幅：約cm　身幅：約cm　袖丈：約cm</v>
      </c>
      <c r="M32" s="69" t="s">
        <v>19</v>
      </c>
      <c r="N32" s="69" t="s">
        <v>20</v>
      </c>
      <c r="O32" s="69" t="s">
        <v>21</v>
      </c>
      <c r="P32" s="4" t="s">
        <v>3036</v>
      </c>
      <c r="Q32" s="4" t="s">
        <v>3038</v>
      </c>
      <c r="R32" s="69" t="s">
        <v>22</v>
      </c>
      <c r="S32" s="69" t="s">
        <v>23</v>
      </c>
      <c r="T32" s="69" t="s">
        <v>22</v>
      </c>
      <c r="U32" s="69" t="s">
        <v>24</v>
      </c>
      <c r="V32" s="69" t="s">
        <v>25</v>
      </c>
      <c r="W32" s="69" t="s">
        <v>26</v>
      </c>
      <c r="X32" s="69" t="s">
        <v>27</v>
      </c>
      <c r="Y32" s="69" t="s">
        <v>28</v>
      </c>
      <c r="Z32" s="69" t="s">
        <v>29</v>
      </c>
      <c r="AA32" s="4"/>
      <c r="AB32" s="4"/>
      <c r="AC32" s="4"/>
      <c r="AD32" s="70"/>
      <c r="AE32" s="70">
        <f>トップス!AE32</f>
        <v>0</v>
      </c>
      <c r="AF32" s="70" t="str">
        <f>トップス!Q32</f>
        <v>通常</v>
      </c>
      <c r="AG32" s="70">
        <v>0</v>
      </c>
      <c r="AH32" s="6">
        <f xml:space="preserve"> トップス!AC32</f>
        <v>0</v>
      </c>
      <c r="AI32">
        <v>1</v>
      </c>
      <c r="AJ32">
        <f>トップス!T32</f>
        <v>0</v>
      </c>
    </row>
    <row r="33" spans="1:36" ht="13.5" hidden="1" customHeight="1">
      <c r="A33" s="3" t="str">
        <f>IF(トップス!A33="","",トップス!A33)</f>
        <v/>
      </c>
      <c r="B33" s="68" t="str">
        <f>IF(トップス!B33="","",トップス!B33)</f>
        <v/>
      </c>
      <c r="C33" s="3" t="str">
        <f>IF(トップス!C33="","",トップス!C33)</f>
        <v>◇ サイズ E</v>
      </c>
      <c r="D33" s="3" t="str">
        <f>IF(トップス!E33="","",トップス!E33)</f>
        <v>無</v>
      </c>
      <c r="E33" s="3" t="str">
        <f>IF(トップス!AA33="","",トップス!AA33)</f>
        <v>ベースW</v>
      </c>
      <c r="F33" s="3" t="str">
        <f>IF(トップス!G33="","",トップス!G33)</f>
        <v/>
      </c>
      <c r="G33" s="3" t="str">
        <f>IF(トップス!H33="","",トップス!H33)</f>
        <v/>
      </c>
      <c r="H33" s="3" t="str">
        <f>IF(トップス!I33="","",トップス!I33)</f>
        <v/>
      </c>
      <c r="I33" s="3" t="str">
        <f>IF(トップス!J33="","",トップス!J33)</f>
        <v>画像参照</v>
      </c>
      <c r="J33" s="3" t="str">
        <f>IF(トップス!K33="","",トップス!K33)</f>
        <v/>
      </c>
      <c r="K33" s="3" t="str">
        <f>IF(トップス!L33="","",トップス!L33)</f>
        <v>サイズ</v>
      </c>
      <c r="L33" s="3" t="str">
        <f xml:space="preserve"> トップス!Z33</f>
        <v>着丈：約cm　肩幅：約cm　身幅：約cm　袖丈：約cm</v>
      </c>
      <c r="M33" s="69" t="s">
        <v>19</v>
      </c>
      <c r="N33" s="69" t="s">
        <v>20</v>
      </c>
      <c r="O33" s="69" t="s">
        <v>21</v>
      </c>
      <c r="P33" s="4" t="s">
        <v>3036</v>
      </c>
      <c r="Q33" s="4" t="s">
        <v>3038</v>
      </c>
      <c r="R33" s="69" t="s">
        <v>22</v>
      </c>
      <c r="S33" s="69" t="s">
        <v>23</v>
      </c>
      <c r="T33" s="69" t="s">
        <v>22</v>
      </c>
      <c r="U33" s="69" t="s">
        <v>24</v>
      </c>
      <c r="V33" s="69" t="s">
        <v>25</v>
      </c>
      <c r="W33" s="69" t="s">
        <v>26</v>
      </c>
      <c r="X33" s="69" t="s">
        <v>27</v>
      </c>
      <c r="Y33" s="69" t="s">
        <v>28</v>
      </c>
      <c r="Z33" s="69" t="s">
        <v>29</v>
      </c>
      <c r="AA33" s="4"/>
      <c r="AB33" s="4"/>
      <c r="AC33" s="4"/>
      <c r="AD33" s="70"/>
      <c r="AE33" s="70">
        <f>トップス!AE33</f>
        <v>0</v>
      </c>
      <c r="AF33" s="70" t="str">
        <f>トップス!Q33</f>
        <v>通常</v>
      </c>
      <c r="AG33" s="70">
        <v>0</v>
      </c>
      <c r="AH33" s="6">
        <f xml:space="preserve"> トップス!AC33</f>
        <v>0</v>
      </c>
      <c r="AI33">
        <v>1</v>
      </c>
      <c r="AJ33">
        <f>トップス!T33</f>
        <v>0</v>
      </c>
    </row>
    <row r="34" spans="1:36" ht="13.5" hidden="1" customHeight="1">
      <c r="A34" s="3" t="str">
        <f>IF(トップス!A34="","",トップス!A34)</f>
        <v/>
      </c>
      <c r="B34" s="68" t="str">
        <f>IF(トップス!B34="","",トップス!B34)</f>
        <v/>
      </c>
      <c r="C34" s="3" t="str">
        <f>IF(トップス!C34="","",トップス!C34)</f>
        <v>◇ サイズ E</v>
      </c>
      <c r="D34" s="3" t="str">
        <f>IF(トップス!E34="","",トップス!E34)</f>
        <v>無</v>
      </c>
      <c r="E34" s="3" t="str">
        <f>IF(トップス!AA34="","",トップス!AA34)</f>
        <v>ベースW</v>
      </c>
      <c r="F34" s="3" t="str">
        <f>IF(トップス!G34="","",トップス!G34)</f>
        <v/>
      </c>
      <c r="G34" s="3" t="str">
        <f>IF(トップス!H34="","",トップス!H34)</f>
        <v/>
      </c>
      <c r="H34" s="3" t="str">
        <f>IF(トップス!I34="","",トップス!I34)</f>
        <v/>
      </c>
      <c r="I34" s="3" t="str">
        <f>IF(トップス!J34="","",トップス!J34)</f>
        <v>画像参照</v>
      </c>
      <c r="J34" s="3" t="str">
        <f>IF(トップス!K34="","",トップス!K34)</f>
        <v/>
      </c>
      <c r="K34" s="3" t="str">
        <f>IF(トップス!L34="","",トップス!L34)</f>
        <v>サイズ</v>
      </c>
      <c r="L34" s="3" t="str">
        <f xml:space="preserve"> トップス!Z34</f>
        <v>着丈：約cm　肩幅：約cm　身幅：約cm　袖丈：約cm</v>
      </c>
      <c r="M34" s="69" t="s">
        <v>19</v>
      </c>
      <c r="N34" s="69" t="s">
        <v>20</v>
      </c>
      <c r="O34" s="69" t="s">
        <v>21</v>
      </c>
      <c r="P34" s="4" t="s">
        <v>3036</v>
      </c>
      <c r="Q34" s="4" t="s">
        <v>3038</v>
      </c>
      <c r="R34" s="69" t="s">
        <v>22</v>
      </c>
      <c r="S34" s="69" t="s">
        <v>23</v>
      </c>
      <c r="T34" s="69" t="s">
        <v>22</v>
      </c>
      <c r="U34" s="69" t="s">
        <v>24</v>
      </c>
      <c r="V34" s="69" t="s">
        <v>25</v>
      </c>
      <c r="W34" s="69" t="s">
        <v>26</v>
      </c>
      <c r="X34" s="69" t="s">
        <v>27</v>
      </c>
      <c r="Y34" s="69" t="s">
        <v>28</v>
      </c>
      <c r="Z34" s="69" t="s">
        <v>29</v>
      </c>
      <c r="AA34" s="4"/>
      <c r="AB34" s="4"/>
      <c r="AC34" s="4"/>
      <c r="AD34" s="70"/>
      <c r="AE34" s="70">
        <f>トップス!AE34</f>
        <v>0</v>
      </c>
      <c r="AF34" s="70" t="str">
        <f>トップス!Q34</f>
        <v>通常</v>
      </c>
      <c r="AG34" s="70">
        <v>0</v>
      </c>
      <c r="AH34" s="6">
        <f xml:space="preserve"> トップス!AC34</f>
        <v>0</v>
      </c>
      <c r="AI34">
        <v>1</v>
      </c>
      <c r="AJ34">
        <f>トップス!T34</f>
        <v>0</v>
      </c>
    </row>
    <row r="35" spans="1:36" ht="13.5" hidden="1" customHeight="1">
      <c r="A35" s="3" t="str">
        <f>IF(トップス!A35="","",トップス!A35)</f>
        <v/>
      </c>
      <c r="B35" s="68" t="str">
        <f>IF(トップス!B35="","",トップス!B35)</f>
        <v/>
      </c>
      <c r="C35" s="3" t="str">
        <f>IF(トップス!C35="","",トップス!C35)</f>
        <v>◇ サイズ E</v>
      </c>
      <c r="D35" s="3" t="str">
        <f>IF(トップス!E35="","",トップス!E35)</f>
        <v>無</v>
      </c>
      <c r="E35" s="3" t="str">
        <f>IF(トップス!AA35="","",トップス!AA35)</f>
        <v>ベースW</v>
      </c>
      <c r="F35" s="3" t="str">
        <f>IF(トップス!G35="","",トップス!G35)</f>
        <v/>
      </c>
      <c r="G35" s="3" t="str">
        <f>IF(トップス!H35="","",トップス!H35)</f>
        <v/>
      </c>
      <c r="H35" s="3" t="str">
        <f>IF(トップス!I35="","",トップス!I35)</f>
        <v/>
      </c>
      <c r="I35" s="3" t="str">
        <f>IF(トップス!J35="","",トップス!J35)</f>
        <v>画像参照</v>
      </c>
      <c r="J35" s="3" t="str">
        <f>IF(トップス!K35="","",トップス!K35)</f>
        <v/>
      </c>
      <c r="K35" s="3" t="str">
        <f>IF(トップス!L35="","",トップス!L35)</f>
        <v>サイズ</v>
      </c>
      <c r="L35" s="3" t="str">
        <f xml:space="preserve"> トップス!Z35</f>
        <v>着丈：約cm　肩幅：約cm　身幅：約cm　袖丈：約cm</v>
      </c>
      <c r="M35" s="69" t="s">
        <v>19</v>
      </c>
      <c r="N35" s="69" t="s">
        <v>20</v>
      </c>
      <c r="O35" s="69" t="s">
        <v>21</v>
      </c>
      <c r="P35" s="4" t="s">
        <v>3036</v>
      </c>
      <c r="Q35" s="4" t="s">
        <v>3038</v>
      </c>
      <c r="R35" s="69" t="s">
        <v>22</v>
      </c>
      <c r="S35" s="69" t="s">
        <v>23</v>
      </c>
      <c r="T35" s="69" t="s">
        <v>22</v>
      </c>
      <c r="U35" s="69" t="s">
        <v>24</v>
      </c>
      <c r="V35" s="69" t="s">
        <v>25</v>
      </c>
      <c r="W35" s="69" t="s">
        <v>26</v>
      </c>
      <c r="X35" s="69" t="s">
        <v>27</v>
      </c>
      <c r="Y35" s="69" t="s">
        <v>28</v>
      </c>
      <c r="Z35" s="69" t="s">
        <v>29</v>
      </c>
      <c r="AA35" s="4"/>
      <c r="AB35" s="4"/>
      <c r="AC35" s="4"/>
      <c r="AD35" s="70"/>
      <c r="AE35" s="70">
        <f>トップス!AE35</f>
        <v>0</v>
      </c>
      <c r="AF35" s="70" t="str">
        <f>トップス!Q35</f>
        <v>通常</v>
      </c>
      <c r="AG35" s="70">
        <v>0</v>
      </c>
      <c r="AH35" s="6">
        <f xml:space="preserve"> トップス!AC35</f>
        <v>0</v>
      </c>
      <c r="AI35">
        <v>1</v>
      </c>
      <c r="AJ35">
        <f>トップス!T35</f>
        <v>0</v>
      </c>
    </row>
    <row r="36" spans="1:36" ht="13.5" hidden="1" customHeight="1">
      <c r="A36" s="3" t="str">
        <f>IF(トップス!A36="","",トップス!A36)</f>
        <v/>
      </c>
      <c r="B36" s="68" t="str">
        <f>IF(トップス!B36="","",トップス!B36)</f>
        <v/>
      </c>
      <c r="C36" s="3" t="str">
        <f>IF(トップス!C36="","",トップス!C36)</f>
        <v>◇ サイズ E</v>
      </c>
      <c r="D36" s="3" t="str">
        <f>IF(トップス!E36="","",トップス!E36)</f>
        <v>無</v>
      </c>
      <c r="E36" s="3" t="str">
        <f>IF(トップス!AA36="","",トップス!AA36)</f>
        <v>ベースW</v>
      </c>
      <c r="F36" s="3" t="str">
        <f>IF(トップス!G36="","",トップス!G36)</f>
        <v/>
      </c>
      <c r="G36" s="3" t="str">
        <f>IF(トップス!H36="","",トップス!H36)</f>
        <v/>
      </c>
      <c r="H36" s="3" t="str">
        <f>IF(トップス!I36="","",トップス!I36)</f>
        <v/>
      </c>
      <c r="I36" s="3" t="str">
        <f>IF(トップス!J36="","",トップス!J36)</f>
        <v>画像参照</v>
      </c>
      <c r="J36" s="3" t="str">
        <f>IF(トップス!K36="","",トップス!K36)</f>
        <v/>
      </c>
      <c r="K36" s="3" t="str">
        <f>IF(トップス!L36="","",トップス!L36)</f>
        <v>サイズ</v>
      </c>
      <c r="L36" s="3" t="str">
        <f xml:space="preserve"> トップス!Z36</f>
        <v>着丈：約cm　肩幅：約cm　身幅：約cm　袖丈：約cm</v>
      </c>
      <c r="M36" s="69" t="s">
        <v>19</v>
      </c>
      <c r="N36" s="69" t="s">
        <v>20</v>
      </c>
      <c r="O36" s="69" t="s">
        <v>21</v>
      </c>
      <c r="P36" s="4" t="s">
        <v>3036</v>
      </c>
      <c r="Q36" s="4" t="s">
        <v>3038</v>
      </c>
      <c r="R36" s="69" t="s">
        <v>22</v>
      </c>
      <c r="S36" s="69" t="s">
        <v>23</v>
      </c>
      <c r="T36" s="69" t="s">
        <v>22</v>
      </c>
      <c r="U36" s="69" t="s">
        <v>24</v>
      </c>
      <c r="V36" s="69" t="s">
        <v>25</v>
      </c>
      <c r="W36" s="69" t="s">
        <v>26</v>
      </c>
      <c r="X36" s="69" t="s">
        <v>27</v>
      </c>
      <c r="Y36" s="69" t="s">
        <v>28</v>
      </c>
      <c r="Z36" s="69" t="s">
        <v>29</v>
      </c>
      <c r="AA36" s="4"/>
      <c r="AB36" s="4"/>
      <c r="AC36" s="4"/>
      <c r="AD36" s="70"/>
      <c r="AE36" s="70">
        <f>トップス!AE36</f>
        <v>0</v>
      </c>
      <c r="AF36" s="70" t="str">
        <f>トップス!Q36</f>
        <v>通常</v>
      </c>
      <c r="AG36" s="70">
        <v>0</v>
      </c>
      <c r="AH36" s="6">
        <f xml:space="preserve"> トップス!AC36</f>
        <v>0</v>
      </c>
      <c r="AI36">
        <v>1</v>
      </c>
      <c r="AJ36">
        <f>トップス!T36</f>
        <v>0</v>
      </c>
    </row>
    <row r="37" spans="1:36" ht="13.5" hidden="1" customHeight="1">
      <c r="A37" s="3" t="str">
        <f>IF(トップス!A37="","",トップス!A37)</f>
        <v/>
      </c>
      <c r="B37" s="68" t="str">
        <f>IF(トップス!B37="","",トップス!B37)</f>
        <v/>
      </c>
      <c r="C37" s="3" t="str">
        <f>IF(トップス!C37="","",トップス!C37)</f>
        <v>◇ サイズ E</v>
      </c>
      <c r="D37" s="3" t="str">
        <f>IF(トップス!E37="","",トップス!E37)</f>
        <v>無</v>
      </c>
      <c r="E37" s="3" t="str">
        <f>IF(トップス!AA37="","",トップス!AA37)</f>
        <v>ベースW</v>
      </c>
      <c r="F37" s="3" t="str">
        <f>IF(トップス!G37="","",トップス!G37)</f>
        <v/>
      </c>
      <c r="G37" s="3" t="str">
        <f>IF(トップス!H37="","",トップス!H37)</f>
        <v/>
      </c>
      <c r="H37" s="3" t="str">
        <f>IF(トップス!I37="","",トップス!I37)</f>
        <v/>
      </c>
      <c r="I37" s="3" t="str">
        <f>IF(トップス!J37="","",トップス!J37)</f>
        <v>画像参照</v>
      </c>
      <c r="J37" s="3" t="str">
        <f>IF(トップス!K37="","",トップス!K37)</f>
        <v/>
      </c>
      <c r="K37" s="3" t="str">
        <f>IF(トップス!L37="","",トップス!L37)</f>
        <v>サイズ</v>
      </c>
      <c r="L37" s="3" t="str">
        <f xml:space="preserve"> トップス!Z37</f>
        <v>着丈：約cm　肩幅：約cm　身幅：約cm　袖丈：約cm</v>
      </c>
      <c r="M37" s="69" t="s">
        <v>19</v>
      </c>
      <c r="N37" s="69" t="s">
        <v>20</v>
      </c>
      <c r="O37" s="69" t="s">
        <v>21</v>
      </c>
      <c r="P37" s="4" t="s">
        <v>3036</v>
      </c>
      <c r="Q37" s="4" t="s">
        <v>3038</v>
      </c>
      <c r="R37" s="69" t="s">
        <v>22</v>
      </c>
      <c r="S37" s="69" t="s">
        <v>23</v>
      </c>
      <c r="T37" s="69" t="s">
        <v>22</v>
      </c>
      <c r="U37" s="69" t="s">
        <v>24</v>
      </c>
      <c r="V37" s="69" t="s">
        <v>25</v>
      </c>
      <c r="W37" s="69" t="s">
        <v>26</v>
      </c>
      <c r="X37" s="69" t="s">
        <v>27</v>
      </c>
      <c r="Y37" s="69" t="s">
        <v>28</v>
      </c>
      <c r="Z37" s="69" t="s">
        <v>29</v>
      </c>
      <c r="AA37" s="4"/>
      <c r="AB37" s="4"/>
      <c r="AC37" s="4"/>
      <c r="AD37" s="70"/>
      <c r="AE37" s="70">
        <f>トップス!AE37</f>
        <v>0</v>
      </c>
      <c r="AF37" s="70" t="str">
        <f>トップス!Q37</f>
        <v>通常</v>
      </c>
      <c r="AG37" s="70">
        <v>0</v>
      </c>
      <c r="AH37" s="6">
        <f xml:space="preserve"> トップス!AC37</f>
        <v>0</v>
      </c>
      <c r="AI37">
        <v>1</v>
      </c>
      <c r="AJ37">
        <f>トップス!T37</f>
        <v>0</v>
      </c>
    </row>
    <row r="38" spans="1:36" ht="13.5" hidden="1" customHeight="1">
      <c r="A38" s="3" t="str">
        <f>IF(トップス!A38="","",トップス!A38)</f>
        <v/>
      </c>
      <c r="B38" s="68" t="str">
        <f>IF(トップス!B38="","",トップス!B38)</f>
        <v/>
      </c>
      <c r="C38" s="3" t="str">
        <f>IF(トップス!C38="","",トップス!C38)</f>
        <v>◇ サイズ E</v>
      </c>
      <c r="D38" s="3" t="str">
        <f>IF(トップス!E38="","",トップス!E38)</f>
        <v>無</v>
      </c>
      <c r="E38" s="3" t="str">
        <f>IF(トップス!AA38="","",トップス!AA38)</f>
        <v>ベースW</v>
      </c>
      <c r="F38" s="3" t="str">
        <f>IF(トップス!G38="","",トップス!G38)</f>
        <v/>
      </c>
      <c r="G38" s="3" t="str">
        <f>IF(トップス!H38="","",トップス!H38)</f>
        <v/>
      </c>
      <c r="H38" s="3" t="str">
        <f>IF(トップス!I38="","",トップス!I38)</f>
        <v/>
      </c>
      <c r="I38" s="3" t="str">
        <f>IF(トップス!J38="","",トップス!J38)</f>
        <v>画像参照</v>
      </c>
      <c r="J38" s="3" t="str">
        <f>IF(トップス!K38="","",トップス!K38)</f>
        <v/>
      </c>
      <c r="K38" s="3" t="str">
        <f>IF(トップス!L38="","",トップス!L38)</f>
        <v>サイズ</v>
      </c>
      <c r="L38" s="3" t="str">
        <f xml:space="preserve"> トップス!Z38</f>
        <v>着丈：約cm　肩幅：約cm　身幅：約cm　袖丈：約cm</v>
      </c>
      <c r="M38" s="69" t="s">
        <v>19</v>
      </c>
      <c r="N38" s="69" t="s">
        <v>20</v>
      </c>
      <c r="O38" s="69" t="s">
        <v>21</v>
      </c>
      <c r="P38" s="4" t="s">
        <v>3036</v>
      </c>
      <c r="Q38" s="4" t="s">
        <v>3038</v>
      </c>
      <c r="R38" s="69" t="s">
        <v>22</v>
      </c>
      <c r="S38" s="69" t="s">
        <v>23</v>
      </c>
      <c r="T38" s="69" t="s">
        <v>22</v>
      </c>
      <c r="U38" s="69" t="s">
        <v>24</v>
      </c>
      <c r="V38" s="69" t="s">
        <v>25</v>
      </c>
      <c r="W38" s="69" t="s">
        <v>26</v>
      </c>
      <c r="X38" s="69" t="s">
        <v>27</v>
      </c>
      <c r="Y38" s="69" t="s">
        <v>28</v>
      </c>
      <c r="Z38" s="69" t="s">
        <v>29</v>
      </c>
      <c r="AA38" s="4"/>
      <c r="AB38" s="4"/>
      <c r="AC38" s="4"/>
      <c r="AD38" s="70"/>
      <c r="AE38" s="70">
        <f>トップス!AE38</f>
        <v>0</v>
      </c>
      <c r="AF38" s="70" t="str">
        <f>トップス!Q38</f>
        <v>通常</v>
      </c>
      <c r="AG38" s="70">
        <v>0</v>
      </c>
      <c r="AH38" s="6">
        <f xml:space="preserve"> トップス!AC38</f>
        <v>0</v>
      </c>
      <c r="AI38">
        <v>1</v>
      </c>
      <c r="AJ38">
        <f>トップス!T38</f>
        <v>0</v>
      </c>
    </row>
    <row r="39" spans="1:36" ht="13.5" hidden="1" customHeight="1">
      <c r="A39" s="3" t="str">
        <f>IF(トップス!A39="","",トップス!A39)</f>
        <v/>
      </c>
      <c r="B39" s="68" t="str">
        <f>IF(トップス!B39="","",トップス!B39)</f>
        <v/>
      </c>
      <c r="C39" s="3" t="str">
        <f>IF(トップス!C39="","",トップス!C39)</f>
        <v>◇ サイズ E</v>
      </c>
      <c r="D39" s="3" t="str">
        <f>IF(トップス!E39="","",トップス!E39)</f>
        <v>無</v>
      </c>
      <c r="E39" s="3" t="str">
        <f>IF(トップス!AA39="","",トップス!AA39)</f>
        <v>ベースW</v>
      </c>
      <c r="F39" s="3" t="str">
        <f>IF(トップス!G39="","",トップス!G39)</f>
        <v/>
      </c>
      <c r="G39" s="3" t="str">
        <f>IF(トップス!H39="","",トップス!H39)</f>
        <v/>
      </c>
      <c r="H39" s="3" t="str">
        <f>IF(トップス!I39="","",トップス!I39)</f>
        <v/>
      </c>
      <c r="I39" s="3" t="str">
        <f>IF(トップス!J39="","",トップス!J39)</f>
        <v>画像参照</v>
      </c>
      <c r="J39" s="3" t="str">
        <f>IF(トップス!K39="","",トップス!K39)</f>
        <v/>
      </c>
      <c r="K39" s="3" t="str">
        <f>IF(トップス!L39="","",トップス!L39)</f>
        <v>サイズ</v>
      </c>
      <c r="L39" s="3" t="str">
        <f xml:space="preserve"> トップス!Z39</f>
        <v>着丈：約cm　肩幅：約cm　身幅：約cm　袖丈：約cm</v>
      </c>
      <c r="M39" s="69" t="s">
        <v>19</v>
      </c>
      <c r="N39" s="69" t="s">
        <v>20</v>
      </c>
      <c r="O39" s="69" t="s">
        <v>21</v>
      </c>
      <c r="P39" s="4" t="s">
        <v>3036</v>
      </c>
      <c r="Q39" s="4" t="s">
        <v>3038</v>
      </c>
      <c r="R39" s="69" t="s">
        <v>22</v>
      </c>
      <c r="S39" s="69" t="s">
        <v>23</v>
      </c>
      <c r="T39" s="69" t="s">
        <v>22</v>
      </c>
      <c r="U39" s="69" t="s">
        <v>24</v>
      </c>
      <c r="V39" s="69" t="s">
        <v>25</v>
      </c>
      <c r="W39" s="69" t="s">
        <v>26</v>
      </c>
      <c r="X39" s="69" t="s">
        <v>27</v>
      </c>
      <c r="Y39" s="69" t="s">
        <v>28</v>
      </c>
      <c r="Z39" s="69" t="s">
        <v>29</v>
      </c>
      <c r="AA39" s="4"/>
      <c r="AB39" s="4"/>
      <c r="AC39" s="4"/>
      <c r="AD39" s="70"/>
      <c r="AE39" s="70">
        <f>トップス!AE39</f>
        <v>0</v>
      </c>
      <c r="AF39" s="70" t="str">
        <f>トップス!Q39</f>
        <v>通常</v>
      </c>
      <c r="AG39" s="70">
        <v>0</v>
      </c>
      <c r="AH39" s="6">
        <f xml:space="preserve"> トップス!AC39</f>
        <v>0</v>
      </c>
      <c r="AI39">
        <v>1</v>
      </c>
      <c r="AJ39">
        <f>トップス!T39</f>
        <v>0</v>
      </c>
    </row>
    <row r="40" spans="1:36" ht="13.5" hidden="1" customHeight="1">
      <c r="A40" s="3" t="str">
        <f>IF(トップス!A40="","",トップス!A40)</f>
        <v/>
      </c>
      <c r="B40" s="68" t="str">
        <f>IF(トップス!B40="","",トップス!B40)</f>
        <v/>
      </c>
      <c r="C40" s="3" t="str">
        <f>IF(トップス!C40="","",トップス!C40)</f>
        <v>◇ サイズ E</v>
      </c>
      <c r="D40" s="3" t="str">
        <f>IF(トップス!E40="","",トップス!E40)</f>
        <v>無</v>
      </c>
      <c r="E40" s="3" t="str">
        <f>IF(トップス!AA40="","",トップス!AA40)</f>
        <v>ベースW</v>
      </c>
      <c r="F40" s="3" t="str">
        <f>IF(トップス!G40="","",トップス!G40)</f>
        <v/>
      </c>
      <c r="G40" s="3" t="str">
        <f>IF(トップス!H40="","",トップス!H40)</f>
        <v/>
      </c>
      <c r="H40" s="3" t="str">
        <f>IF(トップス!I40="","",トップス!I40)</f>
        <v/>
      </c>
      <c r="I40" s="3" t="str">
        <f>IF(トップス!J40="","",トップス!J40)</f>
        <v>画像参照</v>
      </c>
      <c r="J40" s="3" t="str">
        <f>IF(トップス!K40="","",トップス!K40)</f>
        <v/>
      </c>
      <c r="K40" s="3" t="str">
        <f>IF(トップス!L40="","",トップス!L40)</f>
        <v>サイズ</v>
      </c>
      <c r="L40" s="3" t="str">
        <f xml:space="preserve"> トップス!Z40</f>
        <v>着丈：約cm　肩幅：約cm　身幅：約cm　袖丈：約cm</v>
      </c>
      <c r="M40" s="69" t="s">
        <v>19</v>
      </c>
      <c r="N40" s="69" t="s">
        <v>20</v>
      </c>
      <c r="O40" s="69" t="s">
        <v>21</v>
      </c>
      <c r="P40" s="4" t="s">
        <v>3036</v>
      </c>
      <c r="Q40" s="4" t="s">
        <v>3038</v>
      </c>
      <c r="R40" s="69" t="s">
        <v>22</v>
      </c>
      <c r="S40" s="69" t="s">
        <v>23</v>
      </c>
      <c r="T40" s="69" t="s">
        <v>22</v>
      </c>
      <c r="U40" s="69" t="s">
        <v>24</v>
      </c>
      <c r="V40" s="69" t="s">
        <v>25</v>
      </c>
      <c r="W40" s="69" t="s">
        <v>26</v>
      </c>
      <c r="X40" s="69" t="s">
        <v>27</v>
      </c>
      <c r="Y40" s="69" t="s">
        <v>28</v>
      </c>
      <c r="Z40" s="69" t="s">
        <v>29</v>
      </c>
      <c r="AA40" s="4"/>
      <c r="AB40" s="4"/>
      <c r="AC40" s="4"/>
      <c r="AD40" s="70"/>
      <c r="AE40" s="70">
        <f>トップス!AE40</f>
        <v>0</v>
      </c>
      <c r="AF40" s="70" t="str">
        <f>トップス!Q40</f>
        <v>通常</v>
      </c>
      <c r="AG40" s="70">
        <v>0</v>
      </c>
      <c r="AH40" s="6">
        <f xml:space="preserve"> トップス!AC40</f>
        <v>0</v>
      </c>
      <c r="AI40">
        <v>1</v>
      </c>
      <c r="AJ40">
        <f>トップス!T40</f>
        <v>0</v>
      </c>
    </row>
    <row r="41" spans="1:36" ht="13.5" hidden="1" customHeight="1">
      <c r="A41" s="3" t="str">
        <f>IF(トップス!A41="","",トップス!A41)</f>
        <v/>
      </c>
      <c r="B41" s="68" t="str">
        <f>IF(トップス!B41="","",トップス!B41)</f>
        <v/>
      </c>
      <c r="C41" s="3" t="str">
        <f>IF(トップス!C41="","",トップス!C41)</f>
        <v>◇ サイズ E</v>
      </c>
      <c r="D41" s="3" t="str">
        <f>IF(トップス!E41="","",トップス!E41)</f>
        <v>無</v>
      </c>
      <c r="E41" s="3" t="str">
        <f>IF(トップス!AA41="","",トップス!AA41)</f>
        <v>ベースW</v>
      </c>
      <c r="F41" s="3" t="str">
        <f>IF(トップス!G41="","",トップス!G41)</f>
        <v/>
      </c>
      <c r="G41" s="3" t="str">
        <f>IF(トップス!H41="","",トップス!H41)</f>
        <v/>
      </c>
      <c r="H41" s="3" t="str">
        <f>IF(トップス!I41="","",トップス!I41)</f>
        <v/>
      </c>
      <c r="I41" s="3" t="str">
        <f>IF(トップス!J41="","",トップス!J41)</f>
        <v>画像参照</v>
      </c>
      <c r="J41" s="3" t="str">
        <f>IF(トップス!K41="","",トップス!K41)</f>
        <v/>
      </c>
      <c r="K41" s="3" t="str">
        <f>IF(トップス!L41="","",トップス!L41)</f>
        <v>サイズ</v>
      </c>
      <c r="L41" s="3" t="str">
        <f xml:space="preserve"> トップス!Z41</f>
        <v>着丈：約cm　肩幅：約cm　身幅：約cm　袖丈：約cm</v>
      </c>
      <c r="M41" s="69" t="s">
        <v>19</v>
      </c>
      <c r="N41" s="69" t="s">
        <v>20</v>
      </c>
      <c r="O41" s="69" t="s">
        <v>21</v>
      </c>
      <c r="P41" s="4" t="s">
        <v>3036</v>
      </c>
      <c r="Q41" s="4" t="s">
        <v>3038</v>
      </c>
      <c r="R41" s="69" t="s">
        <v>22</v>
      </c>
      <c r="S41" s="69" t="s">
        <v>23</v>
      </c>
      <c r="T41" s="69" t="s">
        <v>22</v>
      </c>
      <c r="U41" s="69" t="s">
        <v>24</v>
      </c>
      <c r="V41" s="69" t="s">
        <v>25</v>
      </c>
      <c r="W41" s="69" t="s">
        <v>26</v>
      </c>
      <c r="X41" s="69" t="s">
        <v>27</v>
      </c>
      <c r="Y41" s="69" t="s">
        <v>28</v>
      </c>
      <c r="Z41" s="69" t="s">
        <v>29</v>
      </c>
      <c r="AA41" s="4"/>
      <c r="AB41" s="4"/>
      <c r="AC41" s="4"/>
      <c r="AD41" s="70"/>
      <c r="AE41" s="70">
        <f>トップス!AE41</f>
        <v>0</v>
      </c>
      <c r="AF41" s="70" t="str">
        <f>トップス!Q41</f>
        <v>通常</v>
      </c>
      <c r="AG41" s="70">
        <v>0</v>
      </c>
      <c r="AH41" s="6">
        <f xml:space="preserve"> トップス!AC41</f>
        <v>0</v>
      </c>
      <c r="AI41">
        <v>1</v>
      </c>
      <c r="AJ41">
        <f>トップス!T41</f>
        <v>0</v>
      </c>
    </row>
    <row r="42" spans="1:36" ht="13.5" hidden="1" customHeight="1">
      <c r="A42" s="3" t="str">
        <f>IF(トップス!A42="","",トップス!A42)</f>
        <v/>
      </c>
      <c r="B42" s="68" t="str">
        <f>IF(トップス!B42="","",トップス!B42)</f>
        <v/>
      </c>
      <c r="C42" s="3" t="str">
        <f>IF(トップス!C42="","",トップス!C42)</f>
        <v>◇ サイズ E</v>
      </c>
      <c r="D42" s="3" t="str">
        <f>IF(トップス!E42="","",トップス!E42)</f>
        <v>無</v>
      </c>
      <c r="E42" s="3" t="str">
        <f>IF(トップス!AA42="","",トップス!AA42)</f>
        <v>ベースW</v>
      </c>
      <c r="F42" s="3" t="str">
        <f>IF(トップス!G42="","",トップス!G42)</f>
        <v/>
      </c>
      <c r="G42" s="3" t="str">
        <f>IF(トップス!H42="","",トップス!H42)</f>
        <v/>
      </c>
      <c r="H42" s="3" t="str">
        <f>IF(トップス!I42="","",トップス!I42)</f>
        <v/>
      </c>
      <c r="I42" s="3" t="str">
        <f>IF(トップス!J42="","",トップス!J42)</f>
        <v>画像参照</v>
      </c>
      <c r="J42" s="3" t="str">
        <f>IF(トップス!K42="","",トップス!K42)</f>
        <v/>
      </c>
      <c r="K42" s="3" t="str">
        <f>IF(トップス!L42="","",トップス!L42)</f>
        <v>サイズ</v>
      </c>
      <c r="L42" s="3" t="str">
        <f xml:space="preserve"> トップス!Z42</f>
        <v>着丈：約cm　肩幅：約cm　身幅：約cm　袖丈：約cm</v>
      </c>
      <c r="M42" s="69" t="s">
        <v>19</v>
      </c>
      <c r="N42" s="69" t="s">
        <v>20</v>
      </c>
      <c r="O42" s="69" t="s">
        <v>21</v>
      </c>
      <c r="P42" s="4" t="s">
        <v>3036</v>
      </c>
      <c r="Q42" s="4" t="s">
        <v>3038</v>
      </c>
      <c r="R42" s="69" t="s">
        <v>22</v>
      </c>
      <c r="S42" s="69" t="s">
        <v>23</v>
      </c>
      <c r="T42" s="69" t="s">
        <v>22</v>
      </c>
      <c r="U42" s="69" t="s">
        <v>24</v>
      </c>
      <c r="V42" s="69" t="s">
        <v>25</v>
      </c>
      <c r="W42" s="69" t="s">
        <v>26</v>
      </c>
      <c r="X42" s="69" t="s">
        <v>27</v>
      </c>
      <c r="Y42" s="69" t="s">
        <v>28</v>
      </c>
      <c r="Z42" s="69" t="s">
        <v>29</v>
      </c>
      <c r="AA42" s="4"/>
      <c r="AB42" s="4"/>
      <c r="AC42" s="4"/>
      <c r="AD42" s="70"/>
      <c r="AE42" s="70">
        <f>トップス!AE42</f>
        <v>0</v>
      </c>
      <c r="AF42" s="70" t="str">
        <f>トップス!Q42</f>
        <v>通常</v>
      </c>
      <c r="AG42" s="70">
        <v>0</v>
      </c>
      <c r="AH42" s="6">
        <f xml:space="preserve"> トップス!AC42</f>
        <v>0</v>
      </c>
      <c r="AI42">
        <v>1</v>
      </c>
      <c r="AJ42">
        <f>トップス!T42</f>
        <v>0</v>
      </c>
    </row>
    <row r="43" spans="1:36" ht="13.5" hidden="1" customHeight="1">
      <c r="A43" s="3" t="str">
        <f>IF(トップス!A43="","",トップス!A43)</f>
        <v/>
      </c>
      <c r="B43" s="68" t="str">
        <f>IF(トップス!B43="","",トップス!B43)</f>
        <v/>
      </c>
      <c r="C43" s="3" t="str">
        <f>IF(トップス!C43="","",トップス!C43)</f>
        <v>◇ サイズ E</v>
      </c>
      <c r="D43" s="3" t="str">
        <f>IF(トップス!E43="","",トップス!E43)</f>
        <v>無</v>
      </c>
      <c r="E43" s="3" t="str">
        <f>IF(トップス!AA43="","",トップス!AA43)</f>
        <v>ベースW</v>
      </c>
      <c r="F43" s="3" t="str">
        <f>IF(トップス!G43="","",トップス!G43)</f>
        <v/>
      </c>
      <c r="G43" s="3" t="str">
        <f>IF(トップス!H43="","",トップス!H43)</f>
        <v/>
      </c>
      <c r="H43" s="3" t="str">
        <f>IF(トップス!I43="","",トップス!I43)</f>
        <v/>
      </c>
      <c r="I43" s="3" t="str">
        <f>IF(トップス!J43="","",トップス!J43)</f>
        <v>画像参照</v>
      </c>
      <c r="J43" s="3" t="str">
        <f>IF(トップス!K43="","",トップス!K43)</f>
        <v/>
      </c>
      <c r="K43" s="3" t="str">
        <f>IF(トップス!L43="","",トップス!L43)</f>
        <v>サイズ</v>
      </c>
      <c r="L43" s="3" t="str">
        <f xml:space="preserve"> トップス!Z43</f>
        <v>着丈：約cm　肩幅：約cm　身幅：約cm　袖丈：約cm</v>
      </c>
      <c r="M43" s="69" t="s">
        <v>19</v>
      </c>
      <c r="N43" s="69" t="s">
        <v>20</v>
      </c>
      <c r="O43" s="69" t="s">
        <v>21</v>
      </c>
      <c r="P43" s="4" t="s">
        <v>3036</v>
      </c>
      <c r="Q43" s="4" t="s">
        <v>3038</v>
      </c>
      <c r="R43" s="69" t="s">
        <v>22</v>
      </c>
      <c r="S43" s="69" t="s">
        <v>23</v>
      </c>
      <c r="T43" s="69" t="s">
        <v>22</v>
      </c>
      <c r="U43" s="69" t="s">
        <v>24</v>
      </c>
      <c r="V43" s="69" t="s">
        <v>25</v>
      </c>
      <c r="W43" s="69" t="s">
        <v>26</v>
      </c>
      <c r="X43" s="69" t="s">
        <v>27</v>
      </c>
      <c r="Y43" s="69" t="s">
        <v>28</v>
      </c>
      <c r="Z43" s="69" t="s">
        <v>29</v>
      </c>
      <c r="AA43" s="4"/>
      <c r="AB43" s="4"/>
      <c r="AC43" s="4"/>
      <c r="AD43" s="70"/>
      <c r="AE43" s="70">
        <f>トップス!AE43</f>
        <v>0</v>
      </c>
      <c r="AF43" s="70" t="str">
        <f>トップス!Q43</f>
        <v>通常</v>
      </c>
      <c r="AG43" s="70">
        <v>0</v>
      </c>
      <c r="AH43" s="6">
        <f xml:space="preserve"> トップス!AC43</f>
        <v>0</v>
      </c>
      <c r="AI43">
        <v>1</v>
      </c>
      <c r="AJ43">
        <f>トップス!T43</f>
        <v>0</v>
      </c>
    </row>
    <row r="44" spans="1:36" ht="13.5" hidden="1" customHeight="1">
      <c r="A44" s="3" t="str">
        <f>IF(トップス!A44="","",トップス!A44)</f>
        <v/>
      </c>
      <c r="B44" s="68" t="str">
        <f>IF(トップス!B44="","",トップス!B44)</f>
        <v/>
      </c>
      <c r="C44" s="3" t="str">
        <f>IF(トップス!C44="","",トップス!C44)</f>
        <v>◇ サイズ E</v>
      </c>
      <c r="D44" s="3" t="str">
        <f>IF(トップス!E44="","",トップス!E44)</f>
        <v>無</v>
      </c>
      <c r="E44" s="3" t="str">
        <f>IF(トップス!AA44="","",トップス!AA44)</f>
        <v>ベースW</v>
      </c>
      <c r="F44" s="3" t="str">
        <f>IF(トップス!G44="","",トップス!G44)</f>
        <v/>
      </c>
      <c r="G44" s="3" t="str">
        <f>IF(トップス!H44="","",トップス!H44)</f>
        <v/>
      </c>
      <c r="H44" s="3" t="str">
        <f>IF(トップス!I44="","",トップス!I44)</f>
        <v/>
      </c>
      <c r="I44" s="3" t="str">
        <f>IF(トップス!J44="","",トップス!J44)</f>
        <v>画像参照</v>
      </c>
      <c r="J44" s="3" t="str">
        <f>IF(トップス!K44="","",トップス!K44)</f>
        <v/>
      </c>
      <c r="K44" s="3" t="str">
        <f>IF(トップス!L44="","",トップス!L44)</f>
        <v>サイズ</v>
      </c>
      <c r="L44" s="3" t="str">
        <f xml:space="preserve"> トップス!Z44</f>
        <v>着丈：約cm　肩幅：約cm　身幅：約cm　袖丈：約cm</v>
      </c>
      <c r="M44" s="69" t="s">
        <v>19</v>
      </c>
      <c r="N44" s="69" t="s">
        <v>20</v>
      </c>
      <c r="O44" s="69" t="s">
        <v>21</v>
      </c>
      <c r="P44" s="4" t="s">
        <v>3036</v>
      </c>
      <c r="Q44" s="4" t="s">
        <v>3038</v>
      </c>
      <c r="R44" s="69" t="s">
        <v>22</v>
      </c>
      <c r="S44" s="69" t="s">
        <v>23</v>
      </c>
      <c r="T44" s="69" t="s">
        <v>22</v>
      </c>
      <c r="U44" s="69" t="s">
        <v>24</v>
      </c>
      <c r="V44" s="69" t="s">
        <v>25</v>
      </c>
      <c r="W44" s="69" t="s">
        <v>26</v>
      </c>
      <c r="X44" s="69" t="s">
        <v>27</v>
      </c>
      <c r="Y44" s="69" t="s">
        <v>28</v>
      </c>
      <c r="Z44" s="69" t="s">
        <v>29</v>
      </c>
      <c r="AA44" s="4"/>
      <c r="AB44" s="4"/>
      <c r="AC44" s="4"/>
      <c r="AD44" s="70"/>
      <c r="AE44" s="70">
        <f>トップス!AE44</f>
        <v>0</v>
      </c>
      <c r="AF44" s="70" t="str">
        <f>トップス!Q44</f>
        <v>通常</v>
      </c>
      <c r="AG44" s="70">
        <v>0</v>
      </c>
      <c r="AH44" s="6">
        <f xml:space="preserve"> トップス!AC44</f>
        <v>0</v>
      </c>
      <c r="AI44">
        <v>1</v>
      </c>
      <c r="AJ44">
        <f>トップス!T44</f>
        <v>0</v>
      </c>
    </row>
    <row r="45" spans="1:36" ht="13.5" hidden="1" customHeight="1">
      <c r="A45" s="3" t="str">
        <f>IF(トップス!A45="","",トップス!A45)</f>
        <v/>
      </c>
      <c r="B45" s="68" t="str">
        <f>IF(トップス!B45="","",トップス!B45)</f>
        <v/>
      </c>
      <c r="C45" s="3" t="str">
        <f>IF(トップス!C45="","",トップス!C45)</f>
        <v>◇ サイズ E</v>
      </c>
      <c r="D45" s="3" t="str">
        <f>IF(トップス!E45="","",トップス!E45)</f>
        <v>無</v>
      </c>
      <c r="E45" s="3" t="str">
        <f>IF(トップス!AA45="","",トップス!AA45)</f>
        <v>ベースW</v>
      </c>
      <c r="F45" s="3" t="str">
        <f>IF(トップス!G45="","",トップス!G45)</f>
        <v/>
      </c>
      <c r="G45" s="3" t="str">
        <f>IF(トップス!H45="","",トップス!H45)</f>
        <v/>
      </c>
      <c r="H45" s="3" t="str">
        <f>IF(トップス!I45="","",トップス!I45)</f>
        <v/>
      </c>
      <c r="I45" s="3" t="str">
        <f>IF(トップス!J45="","",トップス!J45)</f>
        <v>画像参照</v>
      </c>
      <c r="J45" s="3" t="str">
        <f>IF(トップス!K45="","",トップス!K45)</f>
        <v/>
      </c>
      <c r="K45" s="3" t="str">
        <f>IF(トップス!L45="","",トップス!L45)</f>
        <v>サイズ</v>
      </c>
      <c r="L45" s="3" t="str">
        <f xml:space="preserve"> トップス!Z45</f>
        <v>着丈：約cm　肩幅：約cm　身幅：約cm　袖丈：約cm</v>
      </c>
      <c r="M45" s="69" t="s">
        <v>19</v>
      </c>
      <c r="N45" s="69" t="s">
        <v>20</v>
      </c>
      <c r="O45" s="69" t="s">
        <v>21</v>
      </c>
      <c r="P45" s="4" t="s">
        <v>3036</v>
      </c>
      <c r="Q45" s="4" t="s">
        <v>3038</v>
      </c>
      <c r="R45" s="69" t="s">
        <v>22</v>
      </c>
      <c r="S45" s="69" t="s">
        <v>23</v>
      </c>
      <c r="T45" s="69" t="s">
        <v>22</v>
      </c>
      <c r="U45" s="69" t="s">
        <v>24</v>
      </c>
      <c r="V45" s="69" t="s">
        <v>25</v>
      </c>
      <c r="W45" s="69" t="s">
        <v>26</v>
      </c>
      <c r="X45" s="69" t="s">
        <v>27</v>
      </c>
      <c r="Y45" s="69" t="s">
        <v>28</v>
      </c>
      <c r="Z45" s="69" t="s">
        <v>29</v>
      </c>
      <c r="AA45" s="4"/>
      <c r="AB45" s="4"/>
      <c r="AC45" s="4"/>
      <c r="AD45" s="70"/>
      <c r="AE45" s="70">
        <f>トップス!AE45</f>
        <v>0</v>
      </c>
      <c r="AF45" s="70" t="str">
        <f>トップス!Q45</f>
        <v>通常</v>
      </c>
      <c r="AG45" s="70">
        <v>0</v>
      </c>
      <c r="AH45" s="6">
        <f xml:space="preserve"> トップス!AC45</f>
        <v>0</v>
      </c>
      <c r="AI45">
        <v>1</v>
      </c>
      <c r="AJ45">
        <f>トップス!T45</f>
        <v>0</v>
      </c>
    </row>
    <row r="46" spans="1:36" ht="13.5" hidden="1" customHeight="1">
      <c r="A46" s="3" t="str">
        <f>IF(トップス!A46="","",トップス!A46)</f>
        <v/>
      </c>
      <c r="B46" s="68" t="str">
        <f>IF(トップス!B46="","",トップス!B46)</f>
        <v/>
      </c>
      <c r="C46" s="3" t="str">
        <f>IF(トップス!C46="","",トップス!C46)</f>
        <v>◇ サイズ E</v>
      </c>
      <c r="D46" s="3" t="str">
        <f>IF(トップス!E46="","",トップス!E46)</f>
        <v>無</v>
      </c>
      <c r="E46" s="3" t="str">
        <f>IF(トップス!AA46="","",トップス!AA46)</f>
        <v>ベースW</v>
      </c>
      <c r="F46" s="3" t="str">
        <f>IF(トップス!G46="","",トップス!G46)</f>
        <v/>
      </c>
      <c r="G46" s="3" t="str">
        <f>IF(トップス!H46="","",トップス!H46)</f>
        <v/>
      </c>
      <c r="H46" s="3" t="str">
        <f>IF(トップス!I46="","",トップス!I46)</f>
        <v/>
      </c>
      <c r="I46" s="3" t="str">
        <f>IF(トップス!J46="","",トップス!J46)</f>
        <v>画像参照</v>
      </c>
      <c r="J46" s="3" t="str">
        <f>IF(トップス!K46="","",トップス!K46)</f>
        <v/>
      </c>
      <c r="K46" s="3" t="str">
        <f>IF(トップス!L46="","",トップス!L46)</f>
        <v>サイズ</v>
      </c>
      <c r="L46" s="3" t="str">
        <f xml:space="preserve"> トップス!Z46</f>
        <v>着丈：約cm　肩幅：約cm　身幅：約cm　袖丈：約cm</v>
      </c>
      <c r="M46" s="69" t="s">
        <v>19</v>
      </c>
      <c r="N46" s="69" t="s">
        <v>20</v>
      </c>
      <c r="O46" s="69" t="s">
        <v>21</v>
      </c>
      <c r="P46" s="4" t="s">
        <v>3036</v>
      </c>
      <c r="Q46" s="4" t="s">
        <v>3038</v>
      </c>
      <c r="R46" s="69" t="s">
        <v>22</v>
      </c>
      <c r="S46" s="69" t="s">
        <v>23</v>
      </c>
      <c r="T46" s="69" t="s">
        <v>22</v>
      </c>
      <c r="U46" s="69" t="s">
        <v>24</v>
      </c>
      <c r="V46" s="69" t="s">
        <v>25</v>
      </c>
      <c r="W46" s="69" t="s">
        <v>26</v>
      </c>
      <c r="X46" s="69" t="s">
        <v>27</v>
      </c>
      <c r="Y46" s="69" t="s">
        <v>28</v>
      </c>
      <c r="Z46" s="69" t="s">
        <v>29</v>
      </c>
      <c r="AA46" s="4"/>
      <c r="AB46" s="4"/>
      <c r="AC46" s="4"/>
      <c r="AD46" s="70"/>
      <c r="AE46" s="70">
        <f>トップス!AE46</f>
        <v>0</v>
      </c>
      <c r="AF46" s="70" t="str">
        <f>トップス!Q46</f>
        <v>通常</v>
      </c>
      <c r="AG46" s="70">
        <v>0</v>
      </c>
      <c r="AH46" s="6">
        <f xml:space="preserve"> トップス!AC46</f>
        <v>0</v>
      </c>
      <c r="AI46">
        <v>1</v>
      </c>
      <c r="AJ46">
        <f>トップス!T46</f>
        <v>0</v>
      </c>
    </row>
    <row r="47" spans="1:36" ht="13.5" hidden="1" customHeight="1">
      <c r="A47" s="3" t="str">
        <f>IF(トップス!A47="","",トップス!A47)</f>
        <v/>
      </c>
      <c r="B47" s="68" t="str">
        <f>IF(トップス!B47="","",トップス!B47)</f>
        <v/>
      </c>
      <c r="C47" s="3" t="str">
        <f>IF(トップス!C47="","",トップス!C47)</f>
        <v>◇ サイズ E</v>
      </c>
      <c r="D47" s="3" t="str">
        <f>IF(トップス!E47="","",トップス!E47)</f>
        <v>無</v>
      </c>
      <c r="E47" s="3" t="str">
        <f>IF(トップス!AA47="","",トップス!AA47)</f>
        <v>ベースW</v>
      </c>
      <c r="F47" s="3" t="str">
        <f>IF(トップス!G47="","",トップス!G47)</f>
        <v/>
      </c>
      <c r="G47" s="3" t="str">
        <f>IF(トップス!H47="","",トップス!H47)</f>
        <v/>
      </c>
      <c r="H47" s="3" t="str">
        <f>IF(トップス!I47="","",トップス!I47)</f>
        <v/>
      </c>
      <c r="I47" s="3" t="str">
        <f>IF(トップス!J47="","",トップス!J47)</f>
        <v>画像参照</v>
      </c>
      <c r="J47" s="3" t="str">
        <f>IF(トップス!K47="","",トップス!K47)</f>
        <v/>
      </c>
      <c r="K47" s="3" t="str">
        <f>IF(トップス!L47="","",トップス!L47)</f>
        <v>サイズ</v>
      </c>
      <c r="L47" s="3" t="str">
        <f xml:space="preserve"> トップス!Z47</f>
        <v>着丈：約cm　肩幅：約cm　身幅：約cm　袖丈：約cm</v>
      </c>
      <c r="M47" s="69" t="s">
        <v>19</v>
      </c>
      <c r="N47" s="69" t="s">
        <v>20</v>
      </c>
      <c r="O47" s="69" t="s">
        <v>21</v>
      </c>
      <c r="P47" s="4" t="s">
        <v>3036</v>
      </c>
      <c r="Q47" s="4" t="s">
        <v>3038</v>
      </c>
      <c r="R47" s="69" t="s">
        <v>22</v>
      </c>
      <c r="S47" s="69" t="s">
        <v>23</v>
      </c>
      <c r="T47" s="69" t="s">
        <v>22</v>
      </c>
      <c r="U47" s="69" t="s">
        <v>24</v>
      </c>
      <c r="V47" s="69" t="s">
        <v>25</v>
      </c>
      <c r="W47" s="69" t="s">
        <v>26</v>
      </c>
      <c r="X47" s="69" t="s">
        <v>27</v>
      </c>
      <c r="Y47" s="69" t="s">
        <v>28</v>
      </c>
      <c r="Z47" s="69" t="s">
        <v>29</v>
      </c>
      <c r="AA47" s="4"/>
      <c r="AB47" s="4"/>
      <c r="AC47" s="4"/>
      <c r="AD47" s="70"/>
      <c r="AE47" s="70">
        <f>トップス!AE47</f>
        <v>0</v>
      </c>
      <c r="AF47" s="70" t="str">
        <f>トップス!Q47</f>
        <v>通常</v>
      </c>
      <c r="AG47" s="70">
        <v>0</v>
      </c>
      <c r="AH47" s="6">
        <f xml:space="preserve"> トップス!AC47</f>
        <v>0</v>
      </c>
      <c r="AI47">
        <v>1</v>
      </c>
      <c r="AJ47">
        <f>トップス!T47</f>
        <v>0</v>
      </c>
    </row>
    <row r="48" spans="1:36" ht="13.5" hidden="1" customHeight="1">
      <c r="A48" s="3" t="str">
        <f>IF(トップス!A48="","",トップス!A48)</f>
        <v/>
      </c>
      <c r="B48" s="68" t="str">
        <f>IF(トップス!B48="","",トップス!B48)</f>
        <v/>
      </c>
      <c r="C48" s="3" t="str">
        <f>IF(トップス!C48="","",トップス!C48)</f>
        <v>◇ サイズ E</v>
      </c>
      <c r="D48" s="3" t="str">
        <f>IF(トップス!E48="","",トップス!E48)</f>
        <v>無</v>
      </c>
      <c r="E48" s="3" t="str">
        <f>IF(トップス!AA48="","",トップス!AA48)</f>
        <v>ベースW</v>
      </c>
      <c r="F48" s="3" t="str">
        <f>IF(トップス!G48="","",トップス!G48)</f>
        <v/>
      </c>
      <c r="G48" s="3" t="str">
        <f>IF(トップス!H48="","",トップス!H48)</f>
        <v/>
      </c>
      <c r="H48" s="3" t="str">
        <f>IF(トップス!I48="","",トップス!I48)</f>
        <v/>
      </c>
      <c r="I48" s="3" t="str">
        <f>IF(トップス!J48="","",トップス!J48)</f>
        <v>画像参照</v>
      </c>
      <c r="J48" s="3" t="str">
        <f>IF(トップス!K48="","",トップス!K48)</f>
        <v/>
      </c>
      <c r="K48" s="3" t="str">
        <f>IF(トップス!L48="","",トップス!L48)</f>
        <v>サイズ</v>
      </c>
      <c r="L48" s="3" t="str">
        <f xml:space="preserve"> トップス!Z48</f>
        <v>着丈：約cm　肩幅：約cm　身幅：約cm　袖丈：約cm</v>
      </c>
      <c r="M48" s="69" t="s">
        <v>19</v>
      </c>
      <c r="N48" s="69" t="s">
        <v>20</v>
      </c>
      <c r="O48" s="69" t="s">
        <v>21</v>
      </c>
      <c r="P48" s="4" t="s">
        <v>3036</v>
      </c>
      <c r="Q48" s="4" t="s">
        <v>3038</v>
      </c>
      <c r="R48" s="69" t="s">
        <v>22</v>
      </c>
      <c r="S48" s="69" t="s">
        <v>23</v>
      </c>
      <c r="T48" s="69" t="s">
        <v>22</v>
      </c>
      <c r="U48" s="69" t="s">
        <v>24</v>
      </c>
      <c r="V48" s="69" t="s">
        <v>25</v>
      </c>
      <c r="W48" s="69" t="s">
        <v>26</v>
      </c>
      <c r="X48" s="69" t="s">
        <v>27</v>
      </c>
      <c r="Y48" s="69" t="s">
        <v>28</v>
      </c>
      <c r="Z48" s="69" t="s">
        <v>29</v>
      </c>
      <c r="AA48" s="4"/>
      <c r="AB48" s="4"/>
      <c r="AC48" s="4"/>
      <c r="AD48" s="70"/>
      <c r="AE48" s="70">
        <f>トップス!AE48</f>
        <v>0</v>
      </c>
      <c r="AF48" s="70" t="str">
        <f>トップス!Q48</f>
        <v>通常</v>
      </c>
      <c r="AG48" s="70">
        <v>0</v>
      </c>
      <c r="AH48" s="6">
        <f xml:space="preserve"> トップス!AC48</f>
        <v>0</v>
      </c>
      <c r="AI48">
        <v>1</v>
      </c>
      <c r="AJ48">
        <f>トップス!T48</f>
        <v>0</v>
      </c>
    </row>
    <row r="49" spans="1:36" ht="13.5" hidden="1" customHeight="1">
      <c r="A49" s="3" t="str">
        <f>IF(トップス!A49="","",トップス!A49)</f>
        <v/>
      </c>
      <c r="B49" s="68" t="str">
        <f>IF(トップス!B49="","",トップス!B49)</f>
        <v/>
      </c>
      <c r="C49" s="3" t="str">
        <f>IF(トップス!C49="","",トップス!C49)</f>
        <v>◇ サイズ E</v>
      </c>
      <c r="D49" s="3" t="str">
        <f>IF(トップス!E49="","",トップス!E49)</f>
        <v>無</v>
      </c>
      <c r="E49" s="3" t="str">
        <f>IF(トップス!AA49="","",トップス!AA49)</f>
        <v>ベースW</v>
      </c>
      <c r="F49" s="3" t="str">
        <f>IF(トップス!G49="","",トップス!G49)</f>
        <v/>
      </c>
      <c r="G49" s="3" t="str">
        <f>IF(トップス!H49="","",トップス!H49)</f>
        <v/>
      </c>
      <c r="H49" s="3" t="str">
        <f>IF(トップス!I49="","",トップス!I49)</f>
        <v/>
      </c>
      <c r="I49" s="3" t="str">
        <f>IF(トップス!J49="","",トップス!J49)</f>
        <v>画像参照</v>
      </c>
      <c r="J49" s="3" t="str">
        <f>IF(トップス!K49="","",トップス!K49)</f>
        <v/>
      </c>
      <c r="K49" s="3" t="str">
        <f>IF(トップス!L49="","",トップス!L49)</f>
        <v>サイズ</v>
      </c>
      <c r="L49" s="3" t="str">
        <f xml:space="preserve"> トップス!Z49</f>
        <v>着丈：約cm　肩幅：約cm　身幅：約cm　袖丈：約cm</v>
      </c>
      <c r="M49" s="69" t="s">
        <v>19</v>
      </c>
      <c r="N49" s="69" t="s">
        <v>20</v>
      </c>
      <c r="O49" s="69" t="s">
        <v>21</v>
      </c>
      <c r="P49" s="4" t="s">
        <v>3036</v>
      </c>
      <c r="Q49" s="4" t="s">
        <v>3038</v>
      </c>
      <c r="R49" s="69" t="s">
        <v>22</v>
      </c>
      <c r="S49" s="69" t="s">
        <v>23</v>
      </c>
      <c r="T49" s="69" t="s">
        <v>22</v>
      </c>
      <c r="U49" s="69" t="s">
        <v>24</v>
      </c>
      <c r="V49" s="69" t="s">
        <v>25</v>
      </c>
      <c r="W49" s="69" t="s">
        <v>26</v>
      </c>
      <c r="X49" s="69" t="s">
        <v>27</v>
      </c>
      <c r="Y49" s="69" t="s">
        <v>28</v>
      </c>
      <c r="Z49" s="69" t="s">
        <v>29</v>
      </c>
      <c r="AA49" s="4"/>
      <c r="AB49" s="4"/>
      <c r="AC49" s="4"/>
      <c r="AD49" s="70"/>
      <c r="AE49" s="70">
        <f>トップス!AE49</f>
        <v>0</v>
      </c>
      <c r="AF49" s="70" t="str">
        <f>トップス!Q49</f>
        <v>通常</v>
      </c>
      <c r="AG49" s="70">
        <v>0</v>
      </c>
      <c r="AH49" s="6">
        <f xml:space="preserve"> トップス!AC49</f>
        <v>0</v>
      </c>
      <c r="AI49">
        <v>1</v>
      </c>
      <c r="AJ49">
        <f>トップス!T49</f>
        <v>0</v>
      </c>
    </row>
    <row r="50" spans="1:36" ht="13.5" hidden="1" customHeight="1">
      <c r="A50" s="3" t="str">
        <f>IF(トップス!A50="","",トップス!A50)</f>
        <v/>
      </c>
      <c r="B50" s="68" t="str">
        <f>IF(トップス!B50="","",トップス!B50)</f>
        <v/>
      </c>
      <c r="C50" s="3" t="str">
        <f>IF(トップス!C50="","",トップス!C50)</f>
        <v>◇ サイズ E</v>
      </c>
      <c r="D50" s="3" t="str">
        <f>IF(トップス!E50="","",トップス!E50)</f>
        <v>無</v>
      </c>
      <c r="E50" s="3" t="str">
        <f>IF(トップス!AA50="","",トップス!AA50)</f>
        <v>ベースW</v>
      </c>
      <c r="F50" s="3" t="str">
        <f>IF(トップス!G50="","",トップス!G50)</f>
        <v/>
      </c>
      <c r="G50" s="3" t="str">
        <f>IF(トップス!H50="","",トップス!H50)</f>
        <v/>
      </c>
      <c r="H50" s="3" t="str">
        <f>IF(トップス!I50="","",トップス!I50)</f>
        <v/>
      </c>
      <c r="I50" s="3" t="str">
        <f>IF(トップス!J50="","",トップス!J50)</f>
        <v>画像参照</v>
      </c>
      <c r="J50" s="3" t="str">
        <f>IF(トップス!K50="","",トップス!K50)</f>
        <v/>
      </c>
      <c r="K50" s="3" t="str">
        <f>IF(トップス!L50="","",トップス!L50)</f>
        <v>サイズ</v>
      </c>
      <c r="L50" s="3" t="str">
        <f xml:space="preserve"> トップス!Z50</f>
        <v>着丈：約cm　肩幅：約cm　身幅：約cm　袖丈：約cm</v>
      </c>
      <c r="M50" s="69" t="s">
        <v>19</v>
      </c>
      <c r="N50" s="69" t="s">
        <v>20</v>
      </c>
      <c r="O50" s="69" t="s">
        <v>21</v>
      </c>
      <c r="P50" s="4" t="s">
        <v>3036</v>
      </c>
      <c r="Q50" s="4" t="s">
        <v>3038</v>
      </c>
      <c r="R50" s="69" t="s">
        <v>22</v>
      </c>
      <c r="S50" s="69" t="s">
        <v>23</v>
      </c>
      <c r="T50" s="69" t="s">
        <v>22</v>
      </c>
      <c r="U50" s="69" t="s">
        <v>24</v>
      </c>
      <c r="V50" s="69" t="s">
        <v>25</v>
      </c>
      <c r="W50" s="69" t="s">
        <v>26</v>
      </c>
      <c r="X50" s="69" t="s">
        <v>27</v>
      </c>
      <c r="Y50" s="69" t="s">
        <v>28</v>
      </c>
      <c r="Z50" s="69" t="s">
        <v>29</v>
      </c>
      <c r="AA50" s="4"/>
      <c r="AB50" s="4"/>
      <c r="AC50" s="4"/>
      <c r="AD50" s="70"/>
      <c r="AE50" s="70">
        <f>トップス!AE50</f>
        <v>0</v>
      </c>
      <c r="AF50" s="70" t="str">
        <f>トップス!Q50</f>
        <v>通常</v>
      </c>
      <c r="AG50" s="70">
        <v>0</v>
      </c>
      <c r="AH50" s="6">
        <f xml:space="preserve"> トップス!AC50</f>
        <v>0</v>
      </c>
      <c r="AI50">
        <v>1</v>
      </c>
      <c r="AJ50">
        <f>トップス!T50</f>
        <v>0</v>
      </c>
    </row>
    <row r="51" spans="1:36" ht="13.5" hidden="1" customHeight="1">
      <c r="A51" s="3" t="str">
        <f>IF(トップス!A51="","",トップス!A51)</f>
        <v/>
      </c>
      <c r="B51" s="68" t="str">
        <f>IF(トップス!B51="","",トップス!B51)</f>
        <v/>
      </c>
      <c r="C51" s="3" t="str">
        <f>IF(トップス!C51="","",トップス!C51)</f>
        <v>◇ サイズ E</v>
      </c>
      <c r="D51" s="3" t="str">
        <f>IF(トップス!E51="","",トップス!E51)</f>
        <v>無</v>
      </c>
      <c r="E51" s="3" t="str">
        <f>IF(トップス!AA51="","",トップス!AA51)</f>
        <v>ベースW</v>
      </c>
      <c r="F51" s="3" t="str">
        <f>IF(トップス!G51="","",トップス!G51)</f>
        <v/>
      </c>
      <c r="G51" s="3" t="str">
        <f>IF(トップス!H51="","",トップス!H51)</f>
        <v/>
      </c>
      <c r="H51" s="3" t="str">
        <f>IF(トップス!I51="","",トップス!I51)</f>
        <v/>
      </c>
      <c r="I51" s="3" t="str">
        <f>IF(トップス!J51="","",トップス!J51)</f>
        <v>画像参照</v>
      </c>
      <c r="J51" s="3" t="str">
        <f>IF(トップス!K51="","",トップス!K51)</f>
        <v/>
      </c>
      <c r="K51" s="3" t="str">
        <f>IF(トップス!L51="","",トップス!L51)</f>
        <v>サイズ</v>
      </c>
      <c r="L51" s="3" t="str">
        <f xml:space="preserve"> トップス!Z51</f>
        <v>着丈：約cm　肩幅：約cm　身幅：約cm　袖丈：約cm</v>
      </c>
      <c r="M51" s="69" t="s">
        <v>19</v>
      </c>
      <c r="N51" s="69" t="s">
        <v>20</v>
      </c>
      <c r="O51" s="69" t="s">
        <v>21</v>
      </c>
      <c r="P51" s="4" t="s">
        <v>3036</v>
      </c>
      <c r="Q51" s="4" t="s">
        <v>3038</v>
      </c>
      <c r="R51" s="69" t="s">
        <v>22</v>
      </c>
      <c r="S51" s="69" t="s">
        <v>23</v>
      </c>
      <c r="T51" s="69" t="s">
        <v>22</v>
      </c>
      <c r="U51" s="69" t="s">
        <v>24</v>
      </c>
      <c r="V51" s="69" t="s">
        <v>25</v>
      </c>
      <c r="W51" s="69" t="s">
        <v>26</v>
      </c>
      <c r="X51" s="69" t="s">
        <v>27</v>
      </c>
      <c r="Y51" s="69" t="s">
        <v>28</v>
      </c>
      <c r="Z51" s="69" t="s">
        <v>29</v>
      </c>
      <c r="AA51" s="4"/>
      <c r="AB51" s="4"/>
      <c r="AC51" s="4"/>
      <c r="AD51" s="70"/>
      <c r="AE51" s="70">
        <f>トップス!AE51</f>
        <v>0</v>
      </c>
      <c r="AF51" s="70" t="str">
        <f>トップス!Q51</f>
        <v>通常</v>
      </c>
      <c r="AG51" s="70">
        <v>0</v>
      </c>
      <c r="AH51" s="6">
        <f xml:space="preserve"> トップス!AC51</f>
        <v>0</v>
      </c>
      <c r="AI51">
        <v>1</v>
      </c>
      <c r="AJ51">
        <f>トップス!T51</f>
        <v>0</v>
      </c>
    </row>
    <row r="52" spans="1:36" ht="13.5" hidden="1" customHeight="1">
      <c r="A52" s="3" t="str">
        <f>IF(トップス!A52="","",トップス!A52)</f>
        <v/>
      </c>
      <c r="B52" s="68" t="str">
        <f>IF(トップス!B52="","",トップス!B52)</f>
        <v/>
      </c>
      <c r="C52" s="3" t="str">
        <f>IF(トップス!C52="","",トップス!C52)</f>
        <v>◇ サイズ E</v>
      </c>
      <c r="D52" s="3" t="str">
        <f>IF(トップス!E52="","",トップス!E52)</f>
        <v>無</v>
      </c>
      <c r="E52" s="3" t="str">
        <f>IF(トップス!AA52="","",トップス!AA52)</f>
        <v>ベースW</v>
      </c>
      <c r="F52" s="3" t="str">
        <f>IF(トップス!G52="","",トップス!G52)</f>
        <v/>
      </c>
      <c r="G52" s="3" t="str">
        <f>IF(トップス!H52="","",トップス!H52)</f>
        <v/>
      </c>
      <c r="H52" s="3" t="str">
        <f>IF(トップス!I52="","",トップス!I52)</f>
        <v/>
      </c>
      <c r="I52" s="3" t="str">
        <f>IF(トップス!J52="","",トップス!J52)</f>
        <v>画像参照</v>
      </c>
      <c r="J52" s="3" t="str">
        <f>IF(トップス!K52="","",トップス!K52)</f>
        <v/>
      </c>
      <c r="K52" s="3" t="str">
        <f>IF(トップス!L52="","",トップス!L52)</f>
        <v>サイズ</v>
      </c>
      <c r="L52" s="3" t="str">
        <f xml:space="preserve"> トップス!Z52</f>
        <v>着丈：約cm　肩幅：約cm　身幅：約cm　袖丈：約cm</v>
      </c>
      <c r="M52" s="69" t="s">
        <v>19</v>
      </c>
      <c r="N52" s="69" t="s">
        <v>20</v>
      </c>
      <c r="O52" s="69" t="s">
        <v>21</v>
      </c>
      <c r="P52" s="4" t="s">
        <v>3036</v>
      </c>
      <c r="Q52" s="4" t="s">
        <v>3038</v>
      </c>
      <c r="R52" s="69" t="s">
        <v>22</v>
      </c>
      <c r="S52" s="69" t="s">
        <v>23</v>
      </c>
      <c r="T52" s="69" t="s">
        <v>22</v>
      </c>
      <c r="U52" s="69" t="s">
        <v>24</v>
      </c>
      <c r="V52" s="69" t="s">
        <v>25</v>
      </c>
      <c r="W52" s="69" t="s">
        <v>26</v>
      </c>
      <c r="X52" s="69" t="s">
        <v>27</v>
      </c>
      <c r="Y52" s="69" t="s">
        <v>28</v>
      </c>
      <c r="Z52" s="69" t="s">
        <v>29</v>
      </c>
      <c r="AA52" s="4"/>
      <c r="AB52" s="4"/>
      <c r="AC52" s="4"/>
      <c r="AD52" s="70"/>
      <c r="AE52" s="70">
        <f>トップス!AE52</f>
        <v>0</v>
      </c>
      <c r="AF52" s="70" t="str">
        <f>トップス!Q52</f>
        <v>通常</v>
      </c>
      <c r="AG52" s="70">
        <v>0</v>
      </c>
      <c r="AH52" s="6">
        <f xml:space="preserve"> トップス!AC52</f>
        <v>0</v>
      </c>
      <c r="AI52">
        <v>1</v>
      </c>
      <c r="AJ52">
        <f>トップス!T52</f>
        <v>0</v>
      </c>
    </row>
    <row r="53" spans="1:36" ht="13.5" hidden="1" customHeight="1">
      <c r="A53" s="3" t="str">
        <f>IF(トップス!A53="","",トップス!A53)</f>
        <v/>
      </c>
      <c r="B53" s="68" t="str">
        <f>IF(トップス!B53="","",トップス!B53)</f>
        <v/>
      </c>
      <c r="C53" s="3" t="str">
        <f>IF(トップス!C53="","",トップス!C53)</f>
        <v>◇ サイズ E</v>
      </c>
      <c r="D53" s="3" t="str">
        <f>IF(トップス!E53="","",トップス!E53)</f>
        <v>無</v>
      </c>
      <c r="E53" s="3" t="str">
        <f>IF(トップス!AA53="","",トップス!AA53)</f>
        <v>ベースW</v>
      </c>
      <c r="F53" s="3" t="str">
        <f>IF(トップス!G53="","",トップス!G53)</f>
        <v/>
      </c>
      <c r="G53" s="3" t="str">
        <f>IF(トップス!H53="","",トップス!H53)</f>
        <v/>
      </c>
      <c r="H53" s="3" t="str">
        <f>IF(トップス!I53="","",トップス!I53)</f>
        <v/>
      </c>
      <c r="I53" s="3" t="str">
        <f>IF(トップス!J53="","",トップス!J53)</f>
        <v>画像参照</v>
      </c>
      <c r="J53" s="3" t="str">
        <f>IF(トップス!K53="","",トップス!K53)</f>
        <v/>
      </c>
      <c r="K53" s="3" t="str">
        <f>IF(トップス!L53="","",トップス!L53)</f>
        <v>サイズ</v>
      </c>
      <c r="L53" s="3" t="str">
        <f xml:space="preserve"> トップス!Z53</f>
        <v>着丈：約cm　肩幅：約cm　身幅：約cm　袖丈：約cm</v>
      </c>
      <c r="M53" s="69" t="s">
        <v>19</v>
      </c>
      <c r="N53" s="69" t="s">
        <v>20</v>
      </c>
      <c r="O53" s="69" t="s">
        <v>21</v>
      </c>
      <c r="P53" s="4" t="s">
        <v>3036</v>
      </c>
      <c r="Q53" s="4" t="s">
        <v>3038</v>
      </c>
      <c r="R53" s="69" t="s">
        <v>22</v>
      </c>
      <c r="S53" s="69" t="s">
        <v>23</v>
      </c>
      <c r="T53" s="69" t="s">
        <v>22</v>
      </c>
      <c r="U53" s="69" t="s">
        <v>24</v>
      </c>
      <c r="V53" s="69" t="s">
        <v>25</v>
      </c>
      <c r="W53" s="69" t="s">
        <v>26</v>
      </c>
      <c r="X53" s="69" t="s">
        <v>27</v>
      </c>
      <c r="Y53" s="69" t="s">
        <v>28</v>
      </c>
      <c r="Z53" s="69" t="s">
        <v>29</v>
      </c>
      <c r="AA53" s="4"/>
      <c r="AB53" s="4"/>
      <c r="AC53" s="4"/>
      <c r="AD53" s="70"/>
      <c r="AE53" s="70">
        <f>トップス!AE53</f>
        <v>0</v>
      </c>
      <c r="AF53" s="70" t="str">
        <f>トップス!Q53</f>
        <v>通常</v>
      </c>
      <c r="AG53" s="70">
        <v>0</v>
      </c>
      <c r="AH53" s="6">
        <f xml:space="preserve"> トップス!AC53</f>
        <v>0</v>
      </c>
      <c r="AI53">
        <v>1</v>
      </c>
      <c r="AJ53">
        <f>トップス!T53</f>
        <v>0</v>
      </c>
    </row>
    <row r="54" spans="1:36" ht="13.5" hidden="1" customHeight="1">
      <c r="A54" s="3" t="str">
        <f>IF(トップス!A54="","",トップス!A54)</f>
        <v/>
      </c>
      <c r="B54" s="68" t="str">
        <f>IF(トップス!B54="","",トップス!B54)</f>
        <v/>
      </c>
      <c r="C54" s="3" t="str">
        <f>IF(トップス!C54="","",トップス!C54)</f>
        <v>◇ サイズ E</v>
      </c>
      <c r="D54" s="3" t="str">
        <f>IF(トップス!E54="","",トップス!E54)</f>
        <v>無</v>
      </c>
      <c r="E54" s="3" t="str">
        <f>IF(トップス!AA54="","",トップス!AA54)</f>
        <v>ベースW</v>
      </c>
      <c r="F54" s="3" t="str">
        <f>IF(トップス!G54="","",トップス!G54)</f>
        <v/>
      </c>
      <c r="G54" s="3" t="str">
        <f>IF(トップス!H54="","",トップス!H54)</f>
        <v/>
      </c>
      <c r="H54" s="3" t="str">
        <f>IF(トップス!I54="","",トップス!I54)</f>
        <v/>
      </c>
      <c r="I54" s="3" t="str">
        <f>IF(トップス!J54="","",トップス!J54)</f>
        <v>画像参照</v>
      </c>
      <c r="J54" s="3" t="str">
        <f>IF(トップス!K54="","",トップス!K54)</f>
        <v/>
      </c>
      <c r="K54" s="3" t="str">
        <f>IF(トップス!L54="","",トップス!L54)</f>
        <v>サイズ</v>
      </c>
      <c r="L54" s="3" t="str">
        <f xml:space="preserve"> トップス!Z54</f>
        <v>着丈：約cm　肩幅：約cm　身幅：約cm　袖丈：約cm</v>
      </c>
      <c r="M54" s="69" t="s">
        <v>19</v>
      </c>
      <c r="N54" s="69" t="s">
        <v>20</v>
      </c>
      <c r="O54" s="69" t="s">
        <v>21</v>
      </c>
      <c r="P54" s="4" t="s">
        <v>3036</v>
      </c>
      <c r="Q54" s="4" t="s">
        <v>3038</v>
      </c>
      <c r="R54" s="69" t="s">
        <v>22</v>
      </c>
      <c r="S54" s="69" t="s">
        <v>23</v>
      </c>
      <c r="T54" s="69" t="s">
        <v>22</v>
      </c>
      <c r="U54" s="69" t="s">
        <v>24</v>
      </c>
      <c r="V54" s="69" t="s">
        <v>25</v>
      </c>
      <c r="W54" s="69" t="s">
        <v>26</v>
      </c>
      <c r="X54" s="69" t="s">
        <v>27</v>
      </c>
      <c r="Y54" s="69" t="s">
        <v>28</v>
      </c>
      <c r="Z54" s="69" t="s">
        <v>29</v>
      </c>
      <c r="AA54" s="4"/>
      <c r="AB54" s="4"/>
      <c r="AC54" s="4"/>
      <c r="AD54" s="70"/>
      <c r="AE54" s="70">
        <f>トップス!AE54</f>
        <v>0</v>
      </c>
      <c r="AF54" s="70" t="str">
        <f>トップス!Q54</f>
        <v>通常</v>
      </c>
      <c r="AG54" s="70">
        <v>0</v>
      </c>
      <c r="AH54" s="6">
        <f xml:space="preserve"> トップス!AC54</f>
        <v>0</v>
      </c>
      <c r="AI54">
        <v>1</v>
      </c>
      <c r="AJ54">
        <f>トップス!T54</f>
        <v>0</v>
      </c>
    </row>
    <row r="55" spans="1:36" ht="13.5" hidden="1" customHeight="1">
      <c r="A55" s="3" t="str">
        <f>IF(トップス!A55="","",トップス!A55)</f>
        <v/>
      </c>
      <c r="B55" s="68" t="str">
        <f>IF(トップス!B55="","",トップス!B55)</f>
        <v/>
      </c>
      <c r="C55" s="3" t="str">
        <f>IF(トップス!C55="","",トップス!C55)</f>
        <v>◇ サイズ E</v>
      </c>
      <c r="D55" s="3" t="str">
        <f>IF(トップス!E55="","",トップス!E55)</f>
        <v>無</v>
      </c>
      <c r="E55" s="3" t="str">
        <f>IF(トップス!AA55="","",トップス!AA55)</f>
        <v>ベースW</v>
      </c>
      <c r="F55" s="3" t="str">
        <f>IF(トップス!G55="","",トップス!G55)</f>
        <v/>
      </c>
      <c r="G55" s="3" t="str">
        <f>IF(トップス!H55="","",トップス!H55)</f>
        <v/>
      </c>
      <c r="H55" s="3" t="str">
        <f>IF(トップス!I55="","",トップス!I55)</f>
        <v/>
      </c>
      <c r="I55" s="3" t="str">
        <f>IF(トップス!J55="","",トップス!J55)</f>
        <v>画像参照</v>
      </c>
      <c r="J55" s="3" t="str">
        <f>IF(トップス!K55="","",トップス!K55)</f>
        <v/>
      </c>
      <c r="K55" s="3" t="str">
        <f>IF(トップス!L55="","",トップス!L55)</f>
        <v>サイズ</v>
      </c>
      <c r="L55" s="3" t="str">
        <f xml:space="preserve"> トップス!Z55</f>
        <v>着丈：約cm　肩幅：約cm　身幅：約cm　袖丈：約cm</v>
      </c>
      <c r="M55" s="69" t="s">
        <v>19</v>
      </c>
      <c r="N55" s="69" t="s">
        <v>20</v>
      </c>
      <c r="O55" s="69" t="s">
        <v>21</v>
      </c>
      <c r="P55" s="4" t="s">
        <v>3036</v>
      </c>
      <c r="Q55" s="4" t="s">
        <v>3038</v>
      </c>
      <c r="R55" s="69" t="s">
        <v>22</v>
      </c>
      <c r="S55" s="69" t="s">
        <v>23</v>
      </c>
      <c r="T55" s="69" t="s">
        <v>22</v>
      </c>
      <c r="U55" s="69" t="s">
        <v>24</v>
      </c>
      <c r="V55" s="69" t="s">
        <v>25</v>
      </c>
      <c r="W55" s="69" t="s">
        <v>26</v>
      </c>
      <c r="X55" s="69" t="s">
        <v>27</v>
      </c>
      <c r="Y55" s="69" t="s">
        <v>28</v>
      </c>
      <c r="Z55" s="69" t="s">
        <v>29</v>
      </c>
      <c r="AA55" s="4"/>
      <c r="AB55" s="4"/>
      <c r="AC55" s="4"/>
      <c r="AD55" s="70"/>
      <c r="AE55" s="70">
        <f>トップス!AE55</f>
        <v>0</v>
      </c>
      <c r="AF55" s="70" t="str">
        <f>トップス!Q55</f>
        <v>通常</v>
      </c>
      <c r="AG55" s="70">
        <v>0</v>
      </c>
      <c r="AH55" s="6">
        <f xml:space="preserve"> トップス!AC55</f>
        <v>0</v>
      </c>
      <c r="AI55">
        <v>1</v>
      </c>
      <c r="AJ55">
        <f>トップス!T55</f>
        <v>0</v>
      </c>
    </row>
    <row r="56" spans="1:36" ht="13.5" hidden="1" customHeight="1">
      <c r="A56" s="3" t="str">
        <f>IF(トップス!A56="","",トップス!A56)</f>
        <v/>
      </c>
      <c r="B56" s="68" t="str">
        <f>IF(トップス!B56="","",トップス!B56)</f>
        <v/>
      </c>
      <c r="C56" s="3" t="str">
        <f>IF(トップス!C56="","",トップス!C56)</f>
        <v>◇ サイズ E</v>
      </c>
      <c r="D56" s="3" t="str">
        <f>IF(トップス!E56="","",トップス!E56)</f>
        <v>無</v>
      </c>
      <c r="E56" s="3" t="str">
        <f>IF(トップス!AA56="","",トップス!AA56)</f>
        <v>ベースW</v>
      </c>
      <c r="F56" s="3" t="str">
        <f>IF(トップス!G56="","",トップス!G56)</f>
        <v/>
      </c>
      <c r="G56" s="3" t="str">
        <f>IF(トップス!H56="","",トップス!H56)</f>
        <v/>
      </c>
      <c r="H56" s="3" t="str">
        <f>IF(トップス!I56="","",トップス!I56)</f>
        <v/>
      </c>
      <c r="I56" s="3" t="str">
        <f>IF(トップス!J56="","",トップス!J56)</f>
        <v>画像参照</v>
      </c>
      <c r="J56" s="3" t="str">
        <f>IF(トップス!K56="","",トップス!K56)</f>
        <v/>
      </c>
      <c r="K56" s="3" t="str">
        <f>IF(トップス!L56="","",トップス!L56)</f>
        <v>サイズ</v>
      </c>
      <c r="L56" s="3" t="str">
        <f xml:space="preserve"> トップス!Z56</f>
        <v>着丈：約cm　肩幅：約cm　身幅：約cm　袖丈：約cm</v>
      </c>
      <c r="M56" s="69" t="s">
        <v>19</v>
      </c>
      <c r="N56" s="69" t="s">
        <v>20</v>
      </c>
      <c r="O56" s="69" t="s">
        <v>21</v>
      </c>
      <c r="P56" s="4" t="s">
        <v>3036</v>
      </c>
      <c r="Q56" s="4" t="s">
        <v>3038</v>
      </c>
      <c r="R56" s="69" t="s">
        <v>22</v>
      </c>
      <c r="S56" s="69" t="s">
        <v>23</v>
      </c>
      <c r="T56" s="69" t="s">
        <v>22</v>
      </c>
      <c r="U56" s="69" t="s">
        <v>24</v>
      </c>
      <c r="V56" s="69" t="s">
        <v>25</v>
      </c>
      <c r="W56" s="69" t="s">
        <v>26</v>
      </c>
      <c r="X56" s="69" t="s">
        <v>27</v>
      </c>
      <c r="Y56" s="69" t="s">
        <v>28</v>
      </c>
      <c r="Z56" s="69" t="s">
        <v>29</v>
      </c>
      <c r="AA56" s="4"/>
      <c r="AB56" s="4"/>
      <c r="AC56" s="4"/>
      <c r="AD56" s="70"/>
      <c r="AE56" s="70">
        <f>トップス!AE56</f>
        <v>0</v>
      </c>
      <c r="AF56" s="70" t="str">
        <f>トップス!Q56</f>
        <v>通常</v>
      </c>
      <c r="AG56" s="70">
        <v>0</v>
      </c>
      <c r="AH56" s="6">
        <f xml:space="preserve"> トップス!AC56</f>
        <v>0</v>
      </c>
      <c r="AI56">
        <v>1</v>
      </c>
      <c r="AJ56">
        <f>トップス!T56</f>
        <v>0</v>
      </c>
    </row>
    <row r="57" spans="1:36" ht="13.5" hidden="1" customHeight="1">
      <c r="A57" s="3" t="str">
        <f>IF(トップス!A57="","",トップス!A57)</f>
        <v/>
      </c>
      <c r="B57" s="68" t="str">
        <f>IF(トップス!B57="","",トップス!B57)</f>
        <v/>
      </c>
      <c r="C57" s="3" t="str">
        <f>IF(トップス!C57="","",トップス!C57)</f>
        <v>◇ サイズ E</v>
      </c>
      <c r="D57" s="3" t="str">
        <f>IF(トップス!E57="","",トップス!E57)</f>
        <v>無</v>
      </c>
      <c r="E57" s="3" t="str">
        <f>IF(トップス!AA57="","",トップス!AA57)</f>
        <v>ベースW</v>
      </c>
      <c r="F57" s="3" t="str">
        <f>IF(トップス!G57="","",トップス!G57)</f>
        <v/>
      </c>
      <c r="G57" s="3" t="str">
        <f>IF(トップス!H57="","",トップス!H57)</f>
        <v/>
      </c>
      <c r="H57" s="3" t="str">
        <f>IF(トップス!I57="","",トップス!I57)</f>
        <v/>
      </c>
      <c r="I57" s="3" t="str">
        <f>IF(トップス!J57="","",トップス!J57)</f>
        <v>画像参照</v>
      </c>
      <c r="J57" s="3" t="str">
        <f>IF(トップス!K57="","",トップス!K57)</f>
        <v/>
      </c>
      <c r="K57" s="3" t="str">
        <f>IF(トップス!L57="","",トップス!L57)</f>
        <v>サイズ</v>
      </c>
      <c r="L57" s="3" t="str">
        <f xml:space="preserve"> トップス!Z57</f>
        <v>着丈：約cm　肩幅：約cm　身幅：約cm　袖丈：約cm</v>
      </c>
      <c r="M57" s="69" t="s">
        <v>19</v>
      </c>
      <c r="N57" s="69" t="s">
        <v>20</v>
      </c>
      <c r="O57" s="69" t="s">
        <v>21</v>
      </c>
      <c r="P57" s="4" t="s">
        <v>3036</v>
      </c>
      <c r="Q57" s="4" t="s">
        <v>3038</v>
      </c>
      <c r="R57" s="69" t="s">
        <v>22</v>
      </c>
      <c r="S57" s="69" t="s">
        <v>23</v>
      </c>
      <c r="T57" s="69" t="s">
        <v>22</v>
      </c>
      <c r="U57" s="69" t="s">
        <v>24</v>
      </c>
      <c r="V57" s="69" t="s">
        <v>25</v>
      </c>
      <c r="W57" s="69" t="s">
        <v>26</v>
      </c>
      <c r="X57" s="69" t="s">
        <v>27</v>
      </c>
      <c r="Y57" s="69" t="s">
        <v>28</v>
      </c>
      <c r="Z57" s="69" t="s">
        <v>29</v>
      </c>
      <c r="AA57" s="4"/>
      <c r="AB57" s="4"/>
      <c r="AC57" s="4"/>
      <c r="AD57" s="70"/>
      <c r="AE57" s="70">
        <f>トップス!AE57</f>
        <v>0</v>
      </c>
      <c r="AF57" s="70" t="str">
        <f>トップス!Q57</f>
        <v>通常</v>
      </c>
      <c r="AG57" s="70">
        <v>0</v>
      </c>
      <c r="AH57" s="6">
        <f xml:space="preserve"> トップス!AC57</f>
        <v>0</v>
      </c>
      <c r="AI57">
        <v>1</v>
      </c>
      <c r="AJ57">
        <f>トップス!T57</f>
        <v>0</v>
      </c>
    </row>
    <row r="58" spans="1:36" ht="13.5" hidden="1" customHeight="1">
      <c r="A58" s="3" t="str">
        <f>IF(トップス!A58="","",トップス!A58)</f>
        <v/>
      </c>
      <c r="B58" s="68" t="str">
        <f>IF(トップス!B58="","",トップス!B58)</f>
        <v/>
      </c>
      <c r="C58" s="3" t="str">
        <f>IF(トップス!C58="","",トップス!C58)</f>
        <v>◇ サイズ E</v>
      </c>
      <c r="D58" s="3" t="str">
        <f>IF(トップス!E58="","",トップス!E58)</f>
        <v>無</v>
      </c>
      <c r="E58" s="3" t="str">
        <f>IF(トップス!AA58="","",トップス!AA58)</f>
        <v>ベースW</v>
      </c>
      <c r="F58" s="3" t="str">
        <f>IF(トップス!G58="","",トップス!G58)</f>
        <v/>
      </c>
      <c r="G58" s="3" t="str">
        <f>IF(トップス!H58="","",トップス!H58)</f>
        <v/>
      </c>
      <c r="H58" s="3" t="str">
        <f>IF(トップス!I58="","",トップス!I58)</f>
        <v/>
      </c>
      <c r="I58" s="3" t="str">
        <f>IF(トップス!J58="","",トップス!J58)</f>
        <v>画像参照</v>
      </c>
      <c r="J58" s="3" t="str">
        <f>IF(トップス!K58="","",トップス!K58)</f>
        <v/>
      </c>
      <c r="K58" s="3" t="str">
        <f>IF(トップス!L58="","",トップス!L58)</f>
        <v>サイズ</v>
      </c>
      <c r="L58" s="3" t="str">
        <f xml:space="preserve"> トップス!Z58</f>
        <v>着丈：約cm　肩幅：約cm　身幅：約cm　袖丈：約cm</v>
      </c>
      <c r="M58" s="69" t="s">
        <v>19</v>
      </c>
      <c r="N58" s="69" t="s">
        <v>20</v>
      </c>
      <c r="O58" s="69" t="s">
        <v>21</v>
      </c>
      <c r="P58" s="4" t="s">
        <v>3036</v>
      </c>
      <c r="Q58" s="4" t="s">
        <v>3038</v>
      </c>
      <c r="R58" s="69" t="s">
        <v>22</v>
      </c>
      <c r="S58" s="69" t="s">
        <v>23</v>
      </c>
      <c r="T58" s="69" t="s">
        <v>22</v>
      </c>
      <c r="U58" s="69" t="s">
        <v>24</v>
      </c>
      <c r="V58" s="69" t="s">
        <v>25</v>
      </c>
      <c r="W58" s="69" t="s">
        <v>26</v>
      </c>
      <c r="X58" s="69" t="s">
        <v>27</v>
      </c>
      <c r="Y58" s="69" t="s">
        <v>28</v>
      </c>
      <c r="Z58" s="69" t="s">
        <v>29</v>
      </c>
      <c r="AA58" s="4"/>
      <c r="AB58" s="4"/>
      <c r="AC58" s="4"/>
      <c r="AD58" s="70"/>
      <c r="AE58" s="70">
        <f>トップス!AE58</f>
        <v>0</v>
      </c>
      <c r="AF58" s="70" t="str">
        <f>トップス!Q58</f>
        <v>通常</v>
      </c>
      <c r="AG58" s="70">
        <v>0</v>
      </c>
      <c r="AH58" s="6">
        <f xml:space="preserve"> トップス!AC58</f>
        <v>0</v>
      </c>
      <c r="AI58">
        <v>1</v>
      </c>
      <c r="AJ58">
        <f>トップス!T58</f>
        <v>0</v>
      </c>
    </row>
    <row r="59" spans="1:36" ht="13.5" hidden="1" customHeight="1">
      <c r="A59" s="3" t="str">
        <f>IF(トップス!A59="","",トップス!A59)</f>
        <v/>
      </c>
      <c r="B59" s="68" t="str">
        <f>IF(トップス!B59="","",トップス!B59)</f>
        <v/>
      </c>
      <c r="C59" s="3" t="str">
        <f>IF(トップス!C59="","",トップス!C59)</f>
        <v>◇ サイズ E</v>
      </c>
      <c r="D59" s="3" t="str">
        <f>IF(トップス!E59="","",トップス!E59)</f>
        <v>無</v>
      </c>
      <c r="E59" s="3" t="str">
        <f>IF(トップス!AA59="","",トップス!AA59)</f>
        <v>ベースW</v>
      </c>
      <c r="F59" s="3" t="str">
        <f>IF(トップス!G59="","",トップス!G59)</f>
        <v/>
      </c>
      <c r="G59" s="3" t="str">
        <f>IF(トップス!H59="","",トップス!H59)</f>
        <v/>
      </c>
      <c r="H59" s="3" t="str">
        <f>IF(トップス!I59="","",トップス!I59)</f>
        <v/>
      </c>
      <c r="I59" s="3" t="str">
        <f>IF(トップス!J59="","",トップス!J59)</f>
        <v>画像参照</v>
      </c>
      <c r="J59" s="3" t="str">
        <f>IF(トップス!K59="","",トップス!K59)</f>
        <v/>
      </c>
      <c r="K59" s="3" t="str">
        <f>IF(トップス!L59="","",トップス!L59)</f>
        <v>サイズ</v>
      </c>
      <c r="L59" s="3" t="str">
        <f xml:space="preserve"> トップス!Z59</f>
        <v>着丈：約cm　肩幅：約cm　身幅：約cm　袖丈：約cm</v>
      </c>
      <c r="M59" s="69" t="s">
        <v>19</v>
      </c>
      <c r="N59" s="69" t="s">
        <v>20</v>
      </c>
      <c r="O59" s="69" t="s">
        <v>21</v>
      </c>
      <c r="P59" s="4" t="s">
        <v>3036</v>
      </c>
      <c r="Q59" s="4" t="s">
        <v>3038</v>
      </c>
      <c r="R59" s="69" t="s">
        <v>22</v>
      </c>
      <c r="S59" s="69" t="s">
        <v>23</v>
      </c>
      <c r="T59" s="69" t="s">
        <v>22</v>
      </c>
      <c r="U59" s="69" t="s">
        <v>24</v>
      </c>
      <c r="V59" s="69" t="s">
        <v>25</v>
      </c>
      <c r="W59" s="69" t="s">
        <v>26</v>
      </c>
      <c r="X59" s="69" t="s">
        <v>27</v>
      </c>
      <c r="Y59" s="69" t="s">
        <v>28</v>
      </c>
      <c r="Z59" s="69" t="s">
        <v>29</v>
      </c>
      <c r="AA59" s="4"/>
      <c r="AB59" s="4"/>
      <c r="AC59" s="4"/>
      <c r="AD59" s="70"/>
      <c r="AE59" s="70">
        <f>トップス!AE59</f>
        <v>0</v>
      </c>
      <c r="AF59" s="70" t="str">
        <f>トップス!Q59</f>
        <v>通常</v>
      </c>
      <c r="AG59" s="70">
        <v>0</v>
      </c>
      <c r="AH59" s="6">
        <f xml:space="preserve"> トップス!AC59</f>
        <v>0</v>
      </c>
      <c r="AI59">
        <v>1</v>
      </c>
      <c r="AJ59">
        <f>トップス!T59</f>
        <v>0</v>
      </c>
    </row>
    <row r="60" spans="1:36" ht="13.5" hidden="1" customHeight="1">
      <c r="A60" s="3" t="str">
        <f>IF(トップス!A60="","",トップス!A60)</f>
        <v/>
      </c>
      <c r="B60" s="68" t="str">
        <f>IF(トップス!B60="","",トップス!B60)</f>
        <v/>
      </c>
      <c r="C60" s="3" t="str">
        <f>IF(トップス!C60="","",トップス!C60)</f>
        <v>◇ サイズ E</v>
      </c>
      <c r="D60" s="3" t="str">
        <f>IF(トップス!E60="","",トップス!E60)</f>
        <v>無</v>
      </c>
      <c r="E60" s="3" t="str">
        <f>IF(トップス!AA60="","",トップス!AA60)</f>
        <v>ベースW</v>
      </c>
      <c r="F60" s="3" t="str">
        <f>IF(トップス!G60="","",トップス!G60)</f>
        <v/>
      </c>
      <c r="G60" s="3" t="str">
        <f>IF(トップス!H60="","",トップス!H60)</f>
        <v/>
      </c>
      <c r="H60" s="3" t="str">
        <f>IF(トップス!I60="","",トップス!I60)</f>
        <v/>
      </c>
      <c r="I60" s="3" t="str">
        <f>IF(トップス!J60="","",トップス!J60)</f>
        <v>画像参照</v>
      </c>
      <c r="J60" s="3" t="str">
        <f>IF(トップス!K60="","",トップス!K60)</f>
        <v/>
      </c>
      <c r="K60" s="3" t="str">
        <f>IF(トップス!L60="","",トップス!L60)</f>
        <v>サイズ</v>
      </c>
      <c r="L60" s="3" t="str">
        <f xml:space="preserve"> トップス!Z60</f>
        <v>着丈：約cm　肩幅：約cm　身幅：約cm　袖丈：約cm</v>
      </c>
      <c r="M60" s="69" t="s">
        <v>19</v>
      </c>
      <c r="N60" s="69" t="s">
        <v>20</v>
      </c>
      <c r="O60" s="69" t="s">
        <v>21</v>
      </c>
      <c r="P60" s="4" t="s">
        <v>3036</v>
      </c>
      <c r="Q60" s="4" t="s">
        <v>3038</v>
      </c>
      <c r="R60" s="69" t="s">
        <v>22</v>
      </c>
      <c r="S60" s="69" t="s">
        <v>23</v>
      </c>
      <c r="T60" s="69" t="s">
        <v>22</v>
      </c>
      <c r="U60" s="69" t="s">
        <v>24</v>
      </c>
      <c r="V60" s="69" t="s">
        <v>25</v>
      </c>
      <c r="W60" s="69" t="s">
        <v>26</v>
      </c>
      <c r="X60" s="69" t="s">
        <v>27</v>
      </c>
      <c r="Y60" s="69" t="s">
        <v>28</v>
      </c>
      <c r="Z60" s="69" t="s">
        <v>29</v>
      </c>
      <c r="AA60" s="4"/>
      <c r="AB60" s="4"/>
      <c r="AC60" s="4"/>
      <c r="AD60" s="70"/>
      <c r="AE60" s="70">
        <f>トップス!AE60</f>
        <v>0</v>
      </c>
      <c r="AF60" s="70" t="str">
        <f>トップス!Q60</f>
        <v>通常</v>
      </c>
      <c r="AG60" s="70">
        <v>0</v>
      </c>
      <c r="AH60" s="6">
        <f xml:space="preserve"> トップス!AC60</f>
        <v>0</v>
      </c>
      <c r="AI60">
        <v>1</v>
      </c>
      <c r="AJ60">
        <f>トップス!T60</f>
        <v>0</v>
      </c>
    </row>
    <row r="61" spans="1:36" ht="13.5" hidden="1" customHeight="1">
      <c r="A61" s="3" t="str">
        <f>IF(トップス!A61="","",トップス!A61)</f>
        <v/>
      </c>
      <c r="B61" s="68" t="str">
        <f>IF(トップス!B61="","",トップス!B61)</f>
        <v/>
      </c>
      <c r="C61" s="3" t="str">
        <f>IF(トップス!C61="","",トップス!C61)</f>
        <v>◇ サイズ E</v>
      </c>
      <c r="D61" s="3" t="str">
        <f>IF(トップス!E61="","",トップス!E61)</f>
        <v>無</v>
      </c>
      <c r="E61" s="3" t="str">
        <f>IF(トップス!AA61="","",トップス!AA61)</f>
        <v>ベースW</v>
      </c>
      <c r="F61" s="3" t="str">
        <f>IF(トップス!G61="","",トップス!G61)</f>
        <v/>
      </c>
      <c r="G61" s="3" t="str">
        <f>IF(トップス!H61="","",トップス!H61)</f>
        <v/>
      </c>
      <c r="H61" s="3" t="str">
        <f>IF(トップス!I61="","",トップス!I61)</f>
        <v/>
      </c>
      <c r="I61" s="3" t="str">
        <f>IF(トップス!J61="","",トップス!J61)</f>
        <v>画像参照</v>
      </c>
      <c r="J61" s="3" t="str">
        <f>IF(トップス!K61="","",トップス!K61)</f>
        <v/>
      </c>
      <c r="K61" s="3" t="str">
        <f>IF(トップス!L61="","",トップス!L61)</f>
        <v>サイズ</v>
      </c>
      <c r="L61" s="3" t="str">
        <f xml:space="preserve"> トップス!Z61</f>
        <v>着丈：約cm　肩幅：約cm　身幅：約cm　袖丈：約cm</v>
      </c>
      <c r="M61" s="69" t="s">
        <v>19</v>
      </c>
      <c r="N61" s="69" t="s">
        <v>20</v>
      </c>
      <c r="O61" s="69" t="s">
        <v>21</v>
      </c>
      <c r="P61" s="4" t="s">
        <v>3036</v>
      </c>
      <c r="Q61" s="4" t="s">
        <v>3038</v>
      </c>
      <c r="R61" s="69" t="s">
        <v>22</v>
      </c>
      <c r="S61" s="69" t="s">
        <v>23</v>
      </c>
      <c r="T61" s="69" t="s">
        <v>22</v>
      </c>
      <c r="U61" s="69" t="s">
        <v>24</v>
      </c>
      <c r="V61" s="69" t="s">
        <v>25</v>
      </c>
      <c r="W61" s="69" t="s">
        <v>26</v>
      </c>
      <c r="X61" s="69" t="s">
        <v>27</v>
      </c>
      <c r="Y61" s="69" t="s">
        <v>28</v>
      </c>
      <c r="Z61" s="69" t="s">
        <v>29</v>
      </c>
      <c r="AA61" s="4"/>
      <c r="AB61" s="4"/>
      <c r="AC61" s="4"/>
      <c r="AD61" s="70"/>
      <c r="AE61" s="70">
        <f>トップス!AE61</f>
        <v>0</v>
      </c>
      <c r="AF61" s="70" t="str">
        <f>トップス!Q61</f>
        <v>通常</v>
      </c>
      <c r="AG61" s="70">
        <v>0</v>
      </c>
      <c r="AH61" s="6">
        <f xml:space="preserve"> トップス!AC61</f>
        <v>0</v>
      </c>
      <c r="AI61">
        <v>1</v>
      </c>
      <c r="AJ61">
        <f>トップス!T61</f>
        <v>0</v>
      </c>
    </row>
    <row r="62" spans="1:36" ht="13.5" hidden="1" customHeight="1">
      <c r="A62" s="3" t="str">
        <f>IF(トップス!A62="","",トップス!A62)</f>
        <v/>
      </c>
      <c r="B62" s="68" t="str">
        <f>IF(トップス!B62="","",トップス!B62)</f>
        <v/>
      </c>
      <c r="C62" s="3" t="str">
        <f>IF(トップス!C62="","",トップス!C62)</f>
        <v>◇ サイズ E</v>
      </c>
      <c r="D62" s="3" t="str">
        <f>IF(トップス!E62="","",トップス!E62)</f>
        <v>無</v>
      </c>
      <c r="E62" s="3" t="str">
        <f>IF(トップス!AA62="","",トップス!AA62)</f>
        <v>ベースW</v>
      </c>
      <c r="F62" s="3" t="str">
        <f>IF(トップス!G62="","",トップス!G62)</f>
        <v/>
      </c>
      <c r="G62" s="3" t="str">
        <f>IF(トップス!H62="","",トップス!H62)</f>
        <v/>
      </c>
      <c r="H62" s="3" t="str">
        <f>IF(トップス!I62="","",トップス!I62)</f>
        <v/>
      </c>
      <c r="I62" s="3" t="str">
        <f>IF(トップス!J62="","",トップス!J62)</f>
        <v>画像参照</v>
      </c>
      <c r="J62" s="3" t="str">
        <f>IF(トップス!K62="","",トップス!K62)</f>
        <v/>
      </c>
      <c r="K62" s="3" t="str">
        <f>IF(トップス!L62="","",トップス!L62)</f>
        <v>サイズ</v>
      </c>
      <c r="L62" s="3" t="str">
        <f xml:space="preserve"> トップス!Z62</f>
        <v>着丈：約cm　肩幅：約cm　身幅：約cm　袖丈：約cm</v>
      </c>
      <c r="M62" s="69" t="s">
        <v>19</v>
      </c>
      <c r="N62" s="69" t="s">
        <v>20</v>
      </c>
      <c r="O62" s="69" t="s">
        <v>21</v>
      </c>
      <c r="P62" s="4" t="s">
        <v>3036</v>
      </c>
      <c r="Q62" s="4" t="s">
        <v>3038</v>
      </c>
      <c r="R62" s="69" t="s">
        <v>22</v>
      </c>
      <c r="S62" s="69" t="s">
        <v>23</v>
      </c>
      <c r="T62" s="69" t="s">
        <v>22</v>
      </c>
      <c r="U62" s="69" t="s">
        <v>24</v>
      </c>
      <c r="V62" s="69" t="s">
        <v>25</v>
      </c>
      <c r="W62" s="69" t="s">
        <v>26</v>
      </c>
      <c r="X62" s="69" t="s">
        <v>27</v>
      </c>
      <c r="Y62" s="69" t="s">
        <v>28</v>
      </c>
      <c r="Z62" s="69" t="s">
        <v>29</v>
      </c>
      <c r="AA62" s="4"/>
      <c r="AB62" s="4"/>
      <c r="AC62" s="4"/>
      <c r="AD62" s="70"/>
      <c r="AE62" s="70">
        <f>トップス!AE62</f>
        <v>0</v>
      </c>
      <c r="AF62" s="70" t="str">
        <f>トップス!Q62</f>
        <v>通常</v>
      </c>
      <c r="AG62" s="70">
        <v>0</v>
      </c>
      <c r="AH62" s="6">
        <f xml:space="preserve"> トップス!AC62</f>
        <v>0</v>
      </c>
      <c r="AI62">
        <v>1</v>
      </c>
      <c r="AJ62">
        <f>トップス!T62</f>
        <v>0</v>
      </c>
    </row>
    <row r="63" spans="1:36" ht="13.5" hidden="1" customHeight="1">
      <c r="A63" s="3" t="str">
        <f>IF(トップス!A63="","",トップス!A63)</f>
        <v/>
      </c>
      <c r="B63" s="68" t="str">
        <f>IF(トップス!B63="","",トップス!B63)</f>
        <v/>
      </c>
      <c r="C63" s="3" t="str">
        <f>IF(トップス!C63="","",トップス!C63)</f>
        <v>◇ サイズ E</v>
      </c>
      <c r="D63" s="3" t="str">
        <f>IF(トップス!E63="","",トップス!E63)</f>
        <v>無</v>
      </c>
      <c r="E63" s="3" t="str">
        <f>IF(トップス!AA63="","",トップス!AA63)</f>
        <v>ベースW</v>
      </c>
      <c r="F63" s="3" t="str">
        <f>IF(トップス!G63="","",トップス!G63)</f>
        <v/>
      </c>
      <c r="G63" s="3" t="str">
        <f>IF(トップス!H63="","",トップス!H63)</f>
        <v/>
      </c>
      <c r="H63" s="3" t="str">
        <f>IF(トップス!I63="","",トップス!I63)</f>
        <v/>
      </c>
      <c r="I63" s="3" t="str">
        <f>IF(トップス!J63="","",トップス!J63)</f>
        <v>画像参照</v>
      </c>
      <c r="J63" s="3" t="str">
        <f>IF(トップス!K63="","",トップス!K63)</f>
        <v/>
      </c>
      <c r="K63" s="3" t="str">
        <f>IF(トップス!L63="","",トップス!L63)</f>
        <v>サイズ</v>
      </c>
      <c r="L63" s="3" t="str">
        <f xml:space="preserve"> トップス!Z63</f>
        <v>着丈：約cm　肩幅：約cm　身幅：約cm　袖丈：約cm</v>
      </c>
      <c r="M63" s="69" t="s">
        <v>19</v>
      </c>
      <c r="N63" s="69" t="s">
        <v>20</v>
      </c>
      <c r="O63" s="69" t="s">
        <v>21</v>
      </c>
      <c r="P63" s="4" t="s">
        <v>3036</v>
      </c>
      <c r="Q63" s="4" t="s">
        <v>3038</v>
      </c>
      <c r="R63" s="69" t="s">
        <v>22</v>
      </c>
      <c r="S63" s="69" t="s">
        <v>23</v>
      </c>
      <c r="T63" s="69" t="s">
        <v>22</v>
      </c>
      <c r="U63" s="69" t="s">
        <v>24</v>
      </c>
      <c r="V63" s="69" t="s">
        <v>25</v>
      </c>
      <c r="W63" s="69" t="s">
        <v>26</v>
      </c>
      <c r="X63" s="69" t="s">
        <v>27</v>
      </c>
      <c r="Y63" s="69" t="s">
        <v>28</v>
      </c>
      <c r="Z63" s="69" t="s">
        <v>29</v>
      </c>
      <c r="AA63" s="4"/>
      <c r="AB63" s="4"/>
      <c r="AC63" s="4"/>
      <c r="AD63" s="70"/>
      <c r="AE63" s="70">
        <f>トップス!AE63</f>
        <v>0</v>
      </c>
      <c r="AF63" s="70" t="str">
        <f>トップス!Q63</f>
        <v>通常</v>
      </c>
      <c r="AG63" s="70">
        <v>0</v>
      </c>
      <c r="AH63" s="6">
        <f xml:space="preserve"> トップス!AC63</f>
        <v>0</v>
      </c>
      <c r="AI63">
        <v>1</v>
      </c>
      <c r="AJ63">
        <f>トップス!T63</f>
        <v>0</v>
      </c>
    </row>
    <row r="64" spans="1:36" ht="13.5" hidden="1" customHeight="1">
      <c r="A64" s="3" t="str">
        <f>IF(トップス!A64="","",トップス!A64)</f>
        <v/>
      </c>
      <c r="B64" s="68" t="str">
        <f>IF(トップス!B64="","",トップス!B64)</f>
        <v/>
      </c>
      <c r="C64" s="3" t="str">
        <f>IF(トップス!C64="","",トップス!C64)</f>
        <v>◇ サイズ E</v>
      </c>
      <c r="D64" s="3" t="str">
        <f>IF(トップス!E64="","",トップス!E64)</f>
        <v>無</v>
      </c>
      <c r="E64" s="3" t="str">
        <f>IF(トップス!AA64="","",トップス!AA64)</f>
        <v>ベースW</v>
      </c>
      <c r="F64" s="3" t="str">
        <f>IF(トップス!G64="","",トップス!G64)</f>
        <v/>
      </c>
      <c r="G64" s="3" t="str">
        <f>IF(トップス!H64="","",トップス!H64)</f>
        <v/>
      </c>
      <c r="H64" s="3" t="str">
        <f>IF(トップス!I64="","",トップス!I64)</f>
        <v/>
      </c>
      <c r="I64" s="3" t="str">
        <f>IF(トップス!J64="","",トップス!J64)</f>
        <v>画像参照</v>
      </c>
      <c r="J64" s="3" t="str">
        <f>IF(トップス!K64="","",トップス!K64)</f>
        <v/>
      </c>
      <c r="K64" s="3" t="str">
        <f>IF(トップス!L64="","",トップス!L64)</f>
        <v>サイズ</v>
      </c>
      <c r="L64" s="3" t="str">
        <f xml:space="preserve"> トップス!Z64</f>
        <v>着丈：約cm　肩幅：約cm　身幅：約cm　袖丈：約cm</v>
      </c>
      <c r="M64" s="69" t="s">
        <v>19</v>
      </c>
      <c r="N64" s="69" t="s">
        <v>20</v>
      </c>
      <c r="O64" s="69" t="s">
        <v>21</v>
      </c>
      <c r="P64" s="4" t="s">
        <v>3036</v>
      </c>
      <c r="Q64" s="4" t="s">
        <v>3038</v>
      </c>
      <c r="R64" s="69" t="s">
        <v>22</v>
      </c>
      <c r="S64" s="69" t="s">
        <v>23</v>
      </c>
      <c r="T64" s="69" t="s">
        <v>22</v>
      </c>
      <c r="U64" s="69" t="s">
        <v>24</v>
      </c>
      <c r="V64" s="69" t="s">
        <v>25</v>
      </c>
      <c r="W64" s="69" t="s">
        <v>26</v>
      </c>
      <c r="X64" s="69" t="s">
        <v>27</v>
      </c>
      <c r="Y64" s="69" t="s">
        <v>28</v>
      </c>
      <c r="Z64" s="69" t="s">
        <v>29</v>
      </c>
      <c r="AA64" s="4"/>
      <c r="AB64" s="4"/>
      <c r="AC64" s="4"/>
      <c r="AD64" s="70"/>
      <c r="AE64" s="70">
        <f>トップス!AE64</f>
        <v>0</v>
      </c>
      <c r="AF64" s="70" t="str">
        <f>トップス!Q64</f>
        <v>通常</v>
      </c>
      <c r="AG64" s="70">
        <v>0</v>
      </c>
      <c r="AH64" s="6">
        <f xml:space="preserve"> トップス!AC64</f>
        <v>0</v>
      </c>
      <c r="AI64">
        <v>1</v>
      </c>
      <c r="AJ64">
        <f>トップス!T64</f>
        <v>0</v>
      </c>
    </row>
    <row r="65" spans="1:36" ht="13.5" hidden="1" customHeight="1">
      <c r="A65" s="3" t="str">
        <f>IF(トップス!A65="","",トップス!A65)</f>
        <v/>
      </c>
      <c r="B65" s="68" t="str">
        <f>IF(トップス!B65="","",トップス!B65)</f>
        <v/>
      </c>
      <c r="C65" s="3" t="str">
        <f>IF(トップス!C65="","",トップス!C65)</f>
        <v>◇ サイズ E</v>
      </c>
      <c r="D65" s="3" t="str">
        <f>IF(トップス!E65="","",トップス!E65)</f>
        <v>無</v>
      </c>
      <c r="E65" s="3" t="str">
        <f>IF(トップス!AA65="","",トップス!AA65)</f>
        <v>ベースW</v>
      </c>
      <c r="F65" s="3" t="str">
        <f>IF(トップス!G65="","",トップス!G65)</f>
        <v/>
      </c>
      <c r="G65" s="3" t="str">
        <f>IF(トップス!H65="","",トップス!H65)</f>
        <v/>
      </c>
      <c r="H65" s="3" t="str">
        <f>IF(トップス!I65="","",トップス!I65)</f>
        <v/>
      </c>
      <c r="I65" s="3" t="str">
        <f>IF(トップス!J65="","",トップス!J65)</f>
        <v>画像参照</v>
      </c>
      <c r="J65" s="3" t="str">
        <f>IF(トップス!K65="","",トップス!K65)</f>
        <v/>
      </c>
      <c r="K65" s="3" t="str">
        <f>IF(トップス!L65="","",トップス!L65)</f>
        <v>サイズ</v>
      </c>
      <c r="L65" s="3" t="str">
        <f xml:space="preserve"> トップス!Z65</f>
        <v>着丈：約cm　肩幅：約cm　身幅：約cm　袖丈：約cm</v>
      </c>
      <c r="M65" s="69" t="s">
        <v>19</v>
      </c>
      <c r="N65" s="69" t="s">
        <v>20</v>
      </c>
      <c r="O65" s="69" t="s">
        <v>21</v>
      </c>
      <c r="P65" s="4" t="s">
        <v>3036</v>
      </c>
      <c r="Q65" s="4" t="s">
        <v>3038</v>
      </c>
      <c r="R65" s="69" t="s">
        <v>22</v>
      </c>
      <c r="S65" s="69" t="s">
        <v>23</v>
      </c>
      <c r="T65" s="69" t="s">
        <v>22</v>
      </c>
      <c r="U65" s="69" t="s">
        <v>24</v>
      </c>
      <c r="V65" s="69" t="s">
        <v>25</v>
      </c>
      <c r="W65" s="69" t="s">
        <v>26</v>
      </c>
      <c r="X65" s="69" t="s">
        <v>27</v>
      </c>
      <c r="Y65" s="69" t="s">
        <v>28</v>
      </c>
      <c r="Z65" s="69" t="s">
        <v>29</v>
      </c>
      <c r="AA65" s="4"/>
      <c r="AB65" s="4"/>
      <c r="AC65" s="4"/>
      <c r="AD65" s="70"/>
      <c r="AE65" s="70">
        <f>トップス!AE65</f>
        <v>0</v>
      </c>
      <c r="AF65" s="70" t="str">
        <f>トップス!Q65</f>
        <v>通常</v>
      </c>
      <c r="AG65" s="70">
        <v>0</v>
      </c>
      <c r="AH65" s="6">
        <f xml:space="preserve"> トップス!AC65</f>
        <v>0</v>
      </c>
      <c r="AI65">
        <v>1</v>
      </c>
      <c r="AJ65">
        <f>トップス!T65</f>
        <v>0</v>
      </c>
    </row>
    <row r="66" spans="1:36" ht="13.5" hidden="1" customHeight="1">
      <c r="A66" s="3" t="str">
        <f>IF(トップス!A66="","",トップス!A66)</f>
        <v/>
      </c>
      <c r="B66" s="68" t="str">
        <f>IF(トップス!B66="","",トップス!B66)</f>
        <v/>
      </c>
      <c r="C66" s="3" t="str">
        <f>IF(トップス!C66="","",トップス!C66)</f>
        <v>◇ サイズ E</v>
      </c>
      <c r="D66" s="3" t="str">
        <f>IF(トップス!E66="","",トップス!E66)</f>
        <v>無</v>
      </c>
      <c r="E66" s="3" t="str">
        <f>IF(トップス!AA66="","",トップス!AA66)</f>
        <v>ベースW</v>
      </c>
      <c r="F66" s="3" t="str">
        <f>IF(トップス!G66="","",トップス!G66)</f>
        <v/>
      </c>
      <c r="G66" s="3" t="str">
        <f>IF(トップス!H66="","",トップス!H66)</f>
        <v/>
      </c>
      <c r="H66" s="3" t="str">
        <f>IF(トップス!I66="","",トップス!I66)</f>
        <v/>
      </c>
      <c r="I66" s="3" t="str">
        <f>IF(トップス!J66="","",トップス!J66)</f>
        <v>画像参照</v>
      </c>
      <c r="J66" s="3" t="str">
        <f>IF(トップス!K66="","",トップス!K66)</f>
        <v/>
      </c>
      <c r="K66" s="3" t="str">
        <f>IF(トップス!L66="","",トップス!L66)</f>
        <v>サイズ</v>
      </c>
      <c r="L66" s="3" t="str">
        <f xml:space="preserve"> トップス!Z66</f>
        <v>着丈：約cm　肩幅：約cm　身幅：約cm　袖丈：約cm</v>
      </c>
      <c r="M66" s="69" t="s">
        <v>19</v>
      </c>
      <c r="N66" s="69" t="s">
        <v>20</v>
      </c>
      <c r="O66" s="69" t="s">
        <v>21</v>
      </c>
      <c r="P66" s="4" t="s">
        <v>3036</v>
      </c>
      <c r="Q66" s="4" t="s">
        <v>3038</v>
      </c>
      <c r="R66" s="69" t="s">
        <v>22</v>
      </c>
      <c r="S66" s="69" t="s">
        <v>23</v>
      </c>
      <c r="T66" s="69" t="s">
        <v>22</v>
      </c>
      <c r="U66" s="69" t="s">
        <v>24</v>
      </c>
      <c r="V66" s="69" t="s">
        <v>25</v>
      </c>
      <c r="W66" s="69" t="s">
        <v>26</v>
      </c>
      <c r="X66" s="69" t="s">
        <v>27</v>
      </c>
      <c r="Y66" s="69" t="s">
        <v>28</v>
      </c>
      <c r="Z66" s="69" t="s">
        <v>29</v>
      </c>
      <c r="AA66" s="4"/>
      <c r="AB66" s="4"/>
      <c r="AC66" s="4"/>
      <c r="AD66" s="70"/>
      <c r="AE66" s="70">
        <f>トップス!AE66</f>
        <v>0</v>
      </c>
      <c r="AF66" s="70" t="str">
        <f>トップス!Q66</f>
        <v>通常</v>
      </c>
      <c r="AG66" s="70">
        <v>0</v>
      </c>
      <c r="AH66" s="6">
        <f xml:space="preserve"> トップス!AC66</f>
        <v>0</v>
      </c>
      <c r="AI66">
        <v>1</v>
      </c>
      <c r="AJ66">
        <f>トップス!T66</f>
        <v>0</v>
      </c>
    </row>
    <row r="67" spans="1:36" ht="13.5" hidden="1" customHeight="1">
      <c r="A67" s="3" t="str">
        <f>IF(トップス!A67="","",トップス!A67)</f>
        <v/>
      </c>
      <c r="B67" s="68" t="str">
        <f>IF(トップス!B67="","",トップス!B67)</f>
        <v/>
      </c>
      <c r="C67" s="3" t="str">
        <f>IF(トップス!C67="","",トップス!C67)</f>
        <v>◇ サイズ E</v>
      </c>
      <c r="D67" s="3" t="str">
        <f>IF(トップス!E67="","",トップス!E67)</f>
        <v>無</v>
      </c>
      <c r="E67" s="3" t="str">
        <f>IF(トップス!AA67="","",トップス!AA67)</f>
        <v>ベースW</v>
      </c>
      <c r="F67" s="3" t="str">
        <f>IF(トップス!G67="","",トップス!G67)</f>
        <v/>
      </c>
      <c r="G67" s="3" t="str">
        <f>IF(トップス!H67="","",トップス!H67)</f>
        <v/>
      </c>
      <c r="H67" s="3" t="str">
        <f>IF(トップス!I67="","",トップス!I67)</f>
        <v/>
      </c>
      <c r="I67" s="3" t="str">
        <f>IF(トップス!J67="","",トップス!J67)</f>
        <v>画像参照</v>
      </c>
      <c r="J67" s="3" t="str">
        <f>IF(トップス!K67="","",トップス!K67)</f>
        <v/>
      </c>
      <c r="K67" s="3" t="str">
        <f>IF(トップス!L67="","",トップス!L67)</f>
        <v>サイズ</v>
      </c>
      <c r="L67" s="3" t="str">
        <f xml:space="preserve"> トップス!Z67</f>
        <v>着丈：約cm　肩幅：約cm　身幅：約cm　袖丈：約cm</v>
      </c>
      <c r="M67" s="69" t="s">
        <v>19</v>
      </c>
      <c r="N67" s="69" t="s">
        <v>20</v>
      </c>
      <c r="O67" s="69" t="s">
        <v>21</v>
      </c>
      <c r="P67" s="4" t="s">
        <v>3036</v>
      </c>
      <c r="Q67" s="4" t="s">
        <v>3038</v>
      </c>
      <c r="R67" s="69" t="s">
        <v>22</v>
      </c>
      <c r="S67" s="69" t="s">
        <v>23</v>
      </c>
      <c r="T67" s="69" t="s">
        <v>22</v>
      </c>
      <c r="U67" s="69" t="s">
        <v>24</v>
      </c>
      <c r="V67" s="69" t="s">
        <v>25</v>
      </c>
      <c r="W67" s="69" t="s">
        <v>26</v>
      </c>
      <c r="X67" s="69" t="s">
        <v>27</v>
      </c>
      <c r="Y67" s="69" t="s">
        <v>28</v>
      </c>
      <c r="Z67" s="69" t="s">
        <v>29</v>
      </c>
      <c r="AA67" s="4"/>
      <c r="AB67" s="4"/>
      <c r="AC67" s="4"/>
      <c r="AD67" s="70"/>
      <c r="AE67" s="70">
        <f>トップス!AE67</f>
        <v>0</v>
      </c>
      <c r="AF67" s="70" t="str">
        <f>トップス!Q67</f>
        <v>通常</v>
      </c>
      <c r="AG67" s="70">
        <v>0</v>
      </c>
      <c r="AH67" s="6">
        <f xml:space="preserve"> トップス!AC67</f>
        <v>0</v>
      </c>
      <c r="AI67">
        <v>1</v>
      </c>
      <c r="AJ67">
        <f>トップス!T67</f>
        <v>0</v>
      </c>
    </row>
    <row r="68" spans="1:36" ht="13.5" hidden="1" customHeight="1">
      <c r="A68" s="3" t="str">
        <f>IF(トップス!A68="","",トップス!A68)</f>
        <v/>
      </c>
      <c r="B68" s="68" t="str">
        <f>IF(トップス!B68="","",トップス!B68)</f>
        <v/>
      </c>
      <c r="C68" s="3" t="str">
        <f>IF(トップス!C68="","",トップス!C68)</f>
        <v>◇ サイズ E</v>
      </c>
      <c r="D68" s="3" t="str">
        <f>IF(トップス!E68="","",トップス!E68)</f>
        <v>無</v>
      </c>
      <c r="E68" s="3" t="str">
        <f>IF(トップス!AA68="","",トップス!AA68)</f>
        <v>ベースW</v>
      </c>
      <c r="F68" s="3" t="str">
        <f>IF(トップス!G68="","",トップス!G68)</f>
        <v/>
      </c>
      <c r="G68" s="3" t="str">
        <f>IF(トップス!H68="","",トップス!H68)</f>
        <v/>
      </c>
      <c r="H68" s="3" t="str">
        <f>IF(トップス!I68="","",トップス!I68)</f>
        <v/>
      </c>
      <c r="I68" s="3" t="str">
        <f>IF(トップス!J68="","",トップス!J68)</f>
        <v>画像参照</v>
      </c>
      <c r="J68" s="3" t="str">
        <f>IF(トップス!K68="","",トップス!K68)</f>
        <v/>
      </c>
      <c r="K68" s="3" t="str">
        <f>IF(トップス!L68="","",トップス!L68)</f>
        <v>サイズ</v>
      </c>
      <c r="L68" s="3" t="str">
        <f xml:space="preserve"> トップス!Z68</f>
        <v>着丈：約cm　肩幅：約cm　身幅：約cm　袖丈：約cm</v>
      </c>
      <c r="M68" s="69" t="s">
        <v>19</v>
      </c>
      <c r="N68" s="69" t="s">
        <v>20</v>
      </c>
      <c r="O68" s="69" t="s">
        <v>21</v>
      </c>
      <c r="P68" s="4" t="s">
        <v>3036</v>
      </c>
      <c r="Q68" s="4" t="s">
        <v>3038</v>
      </c>
      <c r="R68" s="69" t="s">
        <v>22</v>
      </c>
      <c r="S68" s="69" t="s">
        <v>23</v>
      </c>
      <c r="T68" s="69" t="s">
        <v>22</v>
      </c>
      <c r="U68" s="69" t="s">
        <v>24</v>
      </c>
      <c r="V68" s="69" t="s">
        <v>25</v>
      </c>
      <c r="W68" s="69" t="s">
        <v>26</v>
      </c>
      <c r="X68" s="69" t="s">
        <v>27</v>
      </c>
      <c r="Y68" s="69" t="s">
        <v>28</v>
      </c>
      <c r="Z68" s="69" t="s">
        <v>29</v>
      </c>
      <c r="AA68" s="4"/>
      <c r="AB68" s="4"/>
      <c r="AC68" s="4"/>
      <c r="AD68" s="70"/>
      <c r="AE68" s="70">
        <f>トップス!AE68</f>
        <v>0</v>
      </c>
      <c r="AF68" s="70" t="str">
        <f>トップス!Q68</f>
        <v>通常</v>
      </c>
      <c r="AG68" s="70">
        <v>0</v>
      </c>
      <c r="AH68" s="6">
        <f xml:space="preserve"> トップス!AC68</f>
        <v>0</v>
      </c>
      <c r="AI68">
        <v>1</v>
      </c>
      <c r="AJ68">
        <f>トップス!T68</f>
        <v>0</v>
      </c>
    </row>
    <row r="69" spans="1:36" ht="13.5" hidden="1" customHeight="1">
      <c r="A69" s="3" t="str">
        <f>IF(トップス!A69="","",トップス!A69)</f>
        <v/>
      </c>
      <c r="B69" s="68" t="str">
        <f>IF(トップス!B69="","",トップス!B69)</f>
        <v/>
      </c>
      <c r="C69" s="3" t="str">
        <f>IF(トップス!C69="","",トップス!C69)</f>
        <v>◇ サイズ E</v>
      </c>
      <c r="D69" s="3" t="str">
        <f>IF(トップス!E69="","",トップス!E69)</f>
        <v>無</v>
      </c>
      <c r="E69" s="3" t="str">
        <f>IF(トップス!AA69="","",トップス!AA69)</f>
        <v>ベースW</v>
      </c>
      <c r="F69" s="3" t="str">
        <f>IF(トップス!G69="","",トップス!G69)</f>
        <v/>
      </c>
      <c r="G69" s="3" t="str">
        <f>IF(トップス!H69="","",トップス!H69)</f>
        <v/>
      </c>
      <c r="H69" s="3" t="str">
        <f>IF(トップス!I69="","",トップス!I69)</f>
        <v/>
      </c>
      <c r="I69" s="3" t="str">
        <f>IF(トップス!J69="","",トップス!J69)</f>
        <v>画像参照</v>
      </c>
      <c r="J69" s="3" t="str">
        <f>IF(トップス!K69="","",トップス!K69)</f>
        <v/>
      </c>
      <c r="K69" s="3" t="str">
        <f>IF(トップス!L69="","",トップス!L69)</f>
        <v>サイズ</v>
      </c>
      <c r="L69" s="3" t="str">
        <f xml:space="preserve"> トップス!Z69</f>
        <v>着丈：約cm　肩幅：約cm　身幅：約cm　袖丈：約cm</v>
      </c>
      <c r="M69" s="69" t="s">
        <v>19</v>
      </c>
      <c r="N69" s="69" t="s">
        <v>20</v>
      </c>
      <c r="O69" s="69" t="s">
        <v>21</v>
      </c>
      <c r="P69" s="4" t="s">
        <v>3036</v>
      </c>
      <c r="Q69" s="4" t="s">
        <v>3038</v>
      </c>
      <c r="R69" s="69" t="s">
        <v>22</v>
      </c>
      <c r="S69" s="69" t="s">
        <v>23</v>
      </c>
      <c r="T69" s="69" t="s">
        <v>22</v>
      </c>
      <c r="U69" s="69" t="s">
        <v>24</v>
      </c>
      <c r="V69" s="69" t="s">
        <v>25</v>
      </c>
      <c r="W69" s="69" t="s">
        <v>26</v>
      </c>
      <c r="X69" s="69" t="s">
        <v>27</v>
      </c>
      <c r="Y69" s="69" t="s">
        <v>28</v>
      </c>
      <c r="Z69" s="69" t="s">
        <v>29</v>
      </c>
      <c r="AA69" s="4"/>
      <c r="AB69" s="4"/>
      <c r="AC69" s="4"/>
      <c r="AD69" s="70"/>
      <c r="AE69" s="70">
        <f>トップス!AE69</f>
        <v>0</v>
      </c>
      <c r="AF69" s="70" t="str">
        <f>トップス!Q69</f>
        <v>通常</v>
      </c>
      <c r="AG69" s="70">
        <v>0</v>
      </c>
      <c r="AH69" s="6">
        <f xml:space="preserve"> トップス!AC69</f>
        <v>0</v>
      </c>
      <c r="AI69">
        <v>1</v>
      </c>
      <c r="AJ69">
        <f>トップス!T69</f>
        <v>0</v>
      </c>
    </row>
    <row r="70" spans="1:36" ht="13.5" hidden="1" customHeight="1">
      <c r="A70" s="3" t="str">
        <f>IF(トップス!A70="","",トップス!A70)</f>
        <v/>
      </c>
      <c r="B70" s="68" t="str">
        <f>IF(トップス!B70="","",トップス!B70)</f>
        <v/>
      </c>
      <c r="C70" s="3" t="str">
        <f>IF(トップス!C70="","",トップス!C70)</f>
        <v>◇ サイズ E</v>
      </c>
      <c r="D70" s="3" t="str">
        <f>IF(トップス!E70="","",トップス!E70)</f>
        <v>無</v>
      </c>
      <c r="E70" s="3" t="str">
        <f>IF(トップス!AA70="","",トップス!AA70)</f>
        <v>ベースW</v>
      </c>
      <c r="F70" s="3" t="str">
        <f>IF(トップス!G70="","",トップス!G70)</f>
        <v/>
      </c>
      <c r="G70" s="3" t="str">
        <f>IF(トップス!H70="","",トップス!H70)</f>
        <v/>
      </c>
      <c r="H70" s="3" t="str">
        <f>IF(トップス!I70="","",トップス!I70)</f>
        <v/>
      </c>
      <c r="I70" s="3" t="str">
        <f>IF(トップス!J70="","",トップス!J70)</f>
        <v>画像参照</v>
      </c>
      <c r="J70" s="3" t="str">
        <f>IF(トップス!K70="","",トップス!K70)</f>
        <v/>
      </c>
      <c r="K70" s="3" t="str">
        <f>IF(トップス!L70="","",トップス!L70)</f>
        <v>サイズ</v>
      </c>
      <c r="L70" s="3" t="str">
        <f xml:space="preserve"> トップス!Z70</f>
        <v>着丈：約cm　肩幅：約cm　身幅：約cm　袖丈：約cm</v>
      </c>
      <c r="M70" s="69" t="s">
        <v>19</v>
      </c>
      <c r="N70" s="69" t="s">
        <v>20</v>
      </c>
      <c r="O70" s="69" t="s">
        <v>21</v>
      </c>
      <c r="P70" s="4" t="s">
        <v>3036</v>
      </c>
      <c r="Q70" s="4" t="s">
        <v>3038</v>
      </c>
      <c r="R70" s="69" t="s">
        <v>22</v>
      </c>
      <c r="S70" s="69" t="s">
        <v>23</v>
      </c>
      <c r="T70" s="69" t="s">
        <v>22</v>
      </c>
      <c r="U70" s="69" t="s">
        <v>24</v>
      </c>
      <c r="V70" s="69" t="s">
        <v>25</v>
      </c>
      <c r="W70" s="69" t="s">
        <v>26</v>
      </c>
      <c r="X70" s="69" t="s">
        <v>27</v>
      </c>
      <c r="Y70" s="69" t="s">
        <v>28</v>
      </c>
      <c r="Z70" s="69" t="s">
        <v>29</v>
      </c>
      <c r="AA70" s="4"/>
      <c r="AB70" s="4"/>
      <c r="AC70" s="4"/>
      <c r="AD70" s="70"/>
      <c r="AE70" s="70">
        <f>トップス!AE70</f>
        <v>0</v>
      </c>
      <c r="AF70" s="70" t="str">
        <f>トップス!Q70</f>
        <v>通常</v>
      </c>
      <c r="AG70" s="70">
        <v>0</v>
      </c>
      <c r="AH70" s="6">
        <f xml:space="preserve"> トップス!AC70</f>
        <v>0</v>
      </c>
      <c r="AI70">
        <v>1</v>
      </c>
      <c r="AJ70">
        <f>トップス!T70</f>
        <v>0</v>
      </c>
    </row>
    <row r="71" spans="1:36" ht="13.5" hidden="1" customHeight="1">
      <c r="A71" s="3" t="str">
        <f>IF(トップス!A71="","",トップス!A71)</f>
        <v/>
      </c>
      <c r="B71" s="68" t="str">
        <f>IF(トップス!B71="","",トップス!B71)</f>
        <v/>
      </c>
      <c r="C71" s="3" t="str">
        <f>IF(トップス!C71="","",トップス!C71)</f>
        <v>◇ サイズ E</v>
      </c>
      <c r="D71" s="3" t="str">
        <f>IF(トップス!E71="","",トップス!E71)</f>
        <v>無</v>
      </c>
      <c r="E71" s="3" t="str">
        <f>IF(トップス!AA71="","",トップス!AA71)</f>
        <v>ベースW</v>
      </c>
      <c r="F71" s="3" t="str">
        <f>IF(トップス!G71="","",トップス!G71)</f>
        <v/>
      </c>
      <c r="G71" s="3" t="str">
        <f>IF(トップス!H71="","",トップス!H71)</f>
        <v/>
      </c>
      <c r="H71" s="3" t="str">
        <f>IF(トップス!I71="","",トップス!I71)</f>
        <v/>
      </c>
      <c r="I71" s="3" t="str">
        <f>IF(トップス!J71="","",トップス!J71)</f>
        <v>画像参照</v>
      </c>
      <c r="J71" s="3" t="str">
        <f>IF(トップス!K71="","",トップス!K71)</f>
        <v/>
      </c>
      <c r="K71" s="3" t="str">
        <f>IF(トップス!L71="","",トップス!L71)</f>
        <v>サイズ</v>
      </c>
      <c r="L71" s="3" t="str">
        <f xml:space="preserve"> トップス!Z71</f>
        <v>着丈：約cm　肩幅：約cm　身幅：約cm　袖丈：約cm</v>
      </c>
      <c r="M71" s="69" t="s">
        <v>19</v>
      </c>
      <c r="N71" s="69" t="s">
        <v>20</v>
      </c>
      <c r="O71" s="69" t="s">
        <v>21</v>
      </c>
      <c r="P71" s="4" t="s">
        <v>3036</v>
      </c>
      <c r="Q71" s="4" t="s">
        <v>3038</v>
      </c>
      <c r="R71" s="69" t="s">
        <v>22</v>
      </c>
      <c r="S71" s="69" t="s">
        <v>23</v>
      </c>
      <c r="T71" s="69" t="s">
        <v>22</v>
      </c>
      <c r="U71" s="69" t="s">
        <v>24</v>
      </c>
      <c r="V71" s="69" t="s">
        <v>25</v>
      </c>
      <c r="W71" s="69" t="s">
        <v>26</v>
      </c>
      <c r="X71" s="69" t="s">
        <v>27</v>
      </c>
      <c r="Y71" s="69" t="s">
        <v>28</v>
      </c>
      <c r="Z71" s="69" t="s">
        <v>29</v>
      </c>
      <c r="AA71" s="4"/>
      <c r="AB71" s="4"/>
      <c r="AC71" s="4"/>
      <c r="AD71" s="70"/>
      <c r="AE71" s="70">
        <f>トップス!AE71</f>
        <v>0</v>
      </c>
      <c r="AF71" s="70" t="str">
        <f>トップス!Q71</f>
        <v>通常</v>
      </c>
      <c r="AG71" s="70">
        <v>0</v>
      </c>
      <c r="AH71" s="6">
        <f xml:space="preserve"> トップス!AC71</f>
        <v>0</v>
      </c>
      <c r="AI71">
        <v>1</v>
      </c>
      <c r="AJ71">
        <f>トップス!T71</f>
        <v>0</v>
      </c>
    </row>
    <row r="72" spans="1:36" ht="13.5" hidden="1" customHeight="1">
      <c r="A72" s="3" t="str">
        <f>IF(トップス!A72="","",トップス!A72)</f>
        <v/>
      </c>
      <c r="B72" s="68" t="str">
        <f>IF(トップス!B72="","",トップス!B72)</f>
        <v/>
      </c>
      <c r="C72" s="3" t="str">
        <f>IF(トップス!C72="","",トップス!C72)</f>
        <v>◇ サイズ E</v>
      </c>
      <c r="D72" s="3" t="str">
        <f>IF(トップス!E72="","",トップス!E72)</f>
        <v>無</v>
      </c>
      <c r="E72" s="3" t="str">
        <f>IF(トップス!AA72="","",トップス!AA72)</f>
        <v>ベースW</v>
      </c>
      <c r="F72" s="3" t="str">
        <f>IF(トップス!G72="","",トップス!G72)</f>
        <v/>
      </c>
      <c r="G72" s="3" t="str">
        <f>IF(トップス!H72="","",トップス!H72)</f>
        <v/>
      </c>
      <c r="H72" s="3" t="str">
        <f>IF(トップス!I72="","",トップス!I72)</f>
        <v/>
      </c>
      <c r="I72" s="3" t="str">
        <f>IF(トップス!J72="","",トップス!J72)</f>
        <v>画像参照</v>
      </c>
      <c r="J72" s="3" t="str">
        <f>IF(トップス!K72="","",トップス!K72)</f>
        <v/>
      </c>
      <c r="K72" s="3" t="str">
        <f>IF(トップス!L72="","",トップス!L72)</f>
        <v>サイズ</v>
      </c>
      <c r="L72" s="3" t="str">
        <f xml:space="preserve"> トップス!Z72</f>
        <v>着丈：約cm　肩幅：約cm　身幅：約cm　袖丈：約cm</v>
      </c>
      <c r="M72" s="69" t="s">
        <v>19</v>
      </c>
      <c r="N72" s="69" t="s">
        <v>20</v>
      </c>
      <c r="O72" s="69" t="s">
        <v>21</v>
      </c>
      <c r="P72" s="4" t="s">
        <v>3036</v>
      </c>
      <c r="Q72" s="4" t="s">
        <v>3038</v>
      </c>
      <c r="R72" s="69" t="s">
        <v>22</v>
      </c>
      <c r="S72" s="69" t="s">
        <v>23</v>
      </c>
      <c r="T72" s="69" t="s">
        <v>22</v>
      </c>
      <c r="U72" s="69" t="s">
        <v>24</v>
      </c>
      <c r="V72" s="69" t="s">
        <v>25</v>
      </c>
      <c r="W72" s="69" t="s">
        <v>26</v>
      </c>
      <c r="X72" s="69" t="s">
        <v>27</v>
      </c>
      <c r="Y72" s="69" t="s">
        <v>28</v>
      </c>
      <c r="Z72" s="69" t="s">
        <v>29</v>
      </c>
      <c r="AA72" s="4"/>
      <c r="AB72" s="4"/>
      <c r="AC72" s="4"/>
      <c r="AD72" s="70"/>
      <c r="AE72" s="70">
        <f>トップス!AE72</f>
        <v>0</v>
      </c>
      <c r="AF72" s="70" t="str">
        <f>トップス!Q72</f>
        <v>通常</v>
      </c>
      <c r="AG72" s="70">
        <v>0</v>
      </c>
      <c r="AH72" s="6">
        <f xml:space="preserve"> トップス!AC72</f>
        <v>0</v>
      </c>
      <c r="AI72">
        <v>1</v>
      </c>
      <c r="AJ72">
        <f>トップス!T72</f>
        <v>0</v>
      </c>
    </row>
    <row r="73" spans="1:36" ht="13.5" hidden="1" customHeight="1">
      <c r="A73" s="3" t="str">
        <f>IF(トップス!A73="","",トップス!A73)</f>
        <v/>
      </c>
      <c r="B73" s="68" t="str">
        <f>IF(トップス!B73="","",トップス!B73)</f>
        <v/>
      </c>
      <c r="C73" s="3" t="str">
        <f>IF(トップス!C73="","",トップス!C73)</f>
        <v>◇ サイズ E</v>
      </c>
      <c r="D73" s="3" t="str">
        <f>IF(トップス!E73="","",トップス!E73)</f>
        <v>無</v>
      </c>
      <c r="E73" s="3" t="str">
        <f>IF(トップス!AA73="","",トップス!AA73)</f>
        <v>ベースW</v>
      </c>
      <c r="F73" s="3" t="str">
        <f>IF(トップス!G73="","",トップス!G73)</f>
        <v/>
      </c>
      <c r="G73" s="3" t="str">
        <f>IF(トップス!H73="","",トップス!H73)</f>
        <v/>
      </c>
      <c r="H73" s="3" t="str">
        <f>IF(トップス!I73="","",トップス!I73)</f>
        <v/>
      </c>
      <c r="I73" s="3" t="str">
        <f>IF(トップス!J73="","",トップス!J73)</f>
        <v>画像参照</v>
      </c>
      <c r="J73" s="3" t="str">
        <f>IF(トップス!K73="","",トップス!K73)</f>
        <v/>
      </c>
      <c r="K73" s="3" t="str">
        <f>IF(トップス!L73="","",トップス!L73)</f>
        <v>サイズ</v>
      </c>
      <c r="L73" s="3" t="str">
        <f xml:space="preserve"> トップス!Z73</f>
        <v>着丈：約cm　肩幅：約cm　身幅：約cm　袖丈：約cm</v>
      </c>
      <c r="M73" s="69" t="s">
        <v>19</v>
      </c>
      <c r="N73" s="69" t="s">
        <v>20</v>
      </c>
      <c r="O73" s="69" t="s">
        <v>21</v>
      </c>
      <c r="P73" s="4" t="s">
        <v>3036</v>
      </c>
      <c r="Q73" s="4" t="s">
        <v>3038</v>
      </c>
      <c r="R73" s="69" t="s">
        <v>22</v>
      </c>
      <c r="S73" s="69" t="s">
        <v>23</v>
      </c>
      <c r="T73" s="69" t="s">
        <v>22</v>
      </c>
      <c r="U73" s="69" t="s">
        <v>24</v>
      </c>
      <c r="V73" s="69" t="s">
        <v>25</v>
      </c>
      <c r="W73" s="69" t="s">
        <v>26</v>
      </c>
      <c r="X73" s="69" t="s">
        <v>27</v>
      </c>
      <c r="Y73" s="69" t="s">
        <v>28</v>
      </c>
      <c r="Z73" s="69" t="s">
        <v>29</v>
      </c>
      <c r="AA73" s="4"/>
      <c r="AB73" s="4"/>
      <c r="AC73" s="4"/>
      <c r="AD73" s="70"/>
      <c r="AE73" s="70">
        <f>トップス!AE73</f>
        <v>0</v>
      </c>
      <c r="AF73" s="70" t="str">
        <f>トップス!Q73</f>
        <v>通常</v>
      </c>
      <c r="AG73" s="70">
        <v>0</v>
      </c>
      <c r="AH73" s="6">
        <f xml:space="preserve"> トップス!AC73</f>
        <v>0</v>
      </c>
      <c r="AI73">
        <v>1</v>
      </c>
      <c r="AJ73">
        <f>トップス!T73</f>
        <v>0</v>
      </c>
    </row>
    <row r="74" spans="1:36" ht="13.5" hidden="1" customHeight="1">
      <c r="A74" s="3" t="str">
        <f>IF(トップス!A74="","",トップス!A74)</f>
        <v/>
      </c>
      <c r="B74" s="68" t="str">
        <f>IF(トップス!B74="","",トップス!B74)</f>
        <v/>
      </c>
      <c r="C74" s="3" t="str">
        <f>IF(トップス!C74="","",トップス!C74)</f>
        <v>◇ サイズ E</v>
      </c>
      <c r="D74" s="3" t="str">
        <f>IF(トップス!E74="","",トップス!E74)</f>
        <v>無</v>
      </c>
      <c r="E74" s="3" t="str">
        <f>IF(トップス!AA74="","",トップス!AA74)</f>
        <v>ベースW</v>
      </c>
      <c r="F74" s="3" t="str">
        <f>IF(トップス!G74="","",トップス!G74)</f>
        <v/>
      </c>
      <c r="G74" s="3" t="str">
        <f>IF(トップス!H74="","",トップス!H74)</f>
        <v/>
      </c>
      <c r="H74" s="3" t="str">
        <f>IF(トップス!I74="","",トップス!I74)</f>
        <v/>
      </c>
      <c r="I74" s="3" t="str">
        <f>IF(トップス!J74="","",トップス!J74)</f>
        <v>画像参照</v>
      </c>
      <c r="J74" s="3" t="str">
        <f>IF(トップス!K74="","",トップス!K74)</f>
        <v/>
      </c>
      <c r="K74" s="3" t="str">
        <f>IF(トップス!L74="","",トップス!L74)</f>
        <v>サイズ</v>
      </c>
      <c r="L74" s="3" t="str">
        <f xml:space="preserve"> トップス!Z74</f>
        <v>着丈：約cm　肩幅：約cm　身幅：約cm　袖丈：約cm</v>
      </c>
      <c r="M74" s="69" t="s">
        <v>19</v>
      </c>
      <c r="N74" s="69" t="s">
        <v>20</v>
      </c>
      <c r="O74" s="69" t="s">
        <v>21</v>
      </c>
      <c r="P74" s="4" t="s">
        <v>3036</v>
      </c>
      <c r="Q74" s="4" t="s">
        <v>3038</v>
      </c>
      <c r="R74" s="69" t="s">
        <v>22</v>
      </c>
      <c r="S74" s="69" t="s">
        <v>23</v>
      </c>
      <c r="T74" s="69" t="s">
        <v>22</v>
      </c>
      <c r="U74" s="69" t="s">
        <v>24</v>
      </c>
      <c r="V74" s="69" t="s">
        <v>25</v>
      </c>
      <c r="W74" s="69" t="s">
        <v>26</v>
      </c>
      <c r="X74" s="69" t="s">
        <v>27</v>
      </c>
      <c r="Y74" s="69" t="s">
        <v>28</v>
      </c>
      <c r="Z74" s="69" t="s">
        <v>29</v>
      </c>
      <c r="AA74" s="4"/>
      <c r="AB74" s="4"/>
      <c r="AC74" s="4"/>
      <c r="AD74" s="70"/>
      <c r="AE74" s="70">
        <f>トップス!AE74</f>
        <v>0</v>
      </c>
      <c r="AF74" s="70" t="str">
        <f>トップス!Q74</f>
        <v>通常</v>
      </c>
      <c r="AG74" s="70">
        <v>0</v>
      </c>
      <c r="AH74" s="6">
        <f xml:space="preserve"> トップス!AC74</f>
        <v>0</v>
      </c>
      <c r="AI74">
        <v>1</v>
      </c>
      <c r="AJ74">
        <f>トップス!T74</f>
        <v>0</v>
      </c>
    </row>
    <row r="75" spans="1:36" ht="13.5" hidden="1" customHeight="1">
      <c r="A75" s="3" t="str">
        <f>IF(トップス!A75="","",トップス!A75)</f>
        <v/>
      </c>
      <c r="B75" s="68" t="str">
        <f>IF(トップス!B75="","",トップス!B75)</f>
        <v/>
      </c>
      <c r="C75" s="3" t="str">
        <f>IF(トップス!C75="","",トップス!C75)</f>
        <v>◇ サイズ E</v>
      </c>
      <c r="D75" s="3" t="str">
        <f>IF(トップス!E75="","",トップス!E75)</f>
        <v>無</v>
      </c>
      <c r="E75" s="3" t="str">
        <f>IF(トップス!AA75="","",トップス!AA75)</f>
        <v>ベースW</v>
      </c>
      <c r="F75" s="3" t="str">
        <f>IF(トップス!G75="","",トップス!G75)</f>
        <v/>
      </c>
      <c r="G75" s="3" t="str">
        <f>IF(トップス!H75="","",トップス!H75)</f>
        <v/>
      </c>
      <c r="H75" s="3" t="str">
        <f>IF(トップス!I75="","",トップス!I75)</f>
        <v/>
      </c>
      <c r="I75" s="3" t="str">
        <f>IF(トップス!J75="","",トップス!J75)</f>
        <v>画像参照</v>
      </c>
      <c r="J75" s="3" t="str">
        <f>IF(トップス!K75="","",トップス!K75)</f>
        <v/>
      </c>
      <c r="K75" s="3" t="str">
        <f>IF(トップス!L75="","",トップス!L75)</f>
        <v>サイズ</v>
      </c>
      <c r="L75" s="3" t="str">
        <f xml:space="preserve"> トップス!Z75</f>
        <v>着丈：約cm　肩幅：約cm　身幅：約cm　袖丈：約cm</v>
      </c>
      <c r="M75" s="69" t="s">
        <v>19</v>
      </c>
      <c r="N75" s="69" t="s">
        <v>20</v>
      </c>
      <c r="O75" s="69" t="s">
        <v>21</v>
      </c>
      <c r="P75" s="4" t="s">
        <v>3036</v>
      </c>
      <c r="Q75" s="4" t="s">
        <v>3038</v>
      </c>
      <c r="R75" s="69" t="s">
        <v>22</v>
      </c>
      <c r="S75" s="69" t="s">
        <v>23</v>
      </c>
      <c r="T75" s="69" t="s">
        <v>22</v>
      </c>
      <c r="U75" s="69" t="s">
        <v>24</v>
      </c>
      <c r="V75" s="69" t="s">
        <v>25</v>
      </c>
      <c r="W75" s="69" t="s">
        <v>26</v>
      </c>
      <c r="X75" s="69" t="s">
        <v>27</v>
      </c>
      <c r="Y75" s="69" t="s">
        <v>28</v>
      </c>
      <c r="Z75" s="69" t="s">
        <v>29</v>
      </c>
      <c r="AA75" s="4"/>
      <c r="AB75" s="4"/>
      <c r="AC75" s="4"/>
      <c r="AD75" s="70"/>
      <c r="AE75" s="70">
        <f>トップス!AE75</f>
        <v>0</v>
      </c>
      <c r="AF75" s="70" t="str">
        <f>トップス!Q75</f>
        <v>通常</v>
      </c>
      <c r="AG75" s="70">
        <v>0</v>
      </c>
      <c r="AH75" s="6">
        <f xml:space="preserve"> トップス!AC75</f>
        <v>0</v>
      </c>
      <c r="AI75">
        <v>1</v>
      </c>
      <c r="AJ75">
        <f>トップス!T75</f>
        <v>0</v>
      </c>
    </row>
    <row r="76" spans="1:36" ht="13.5" hidden="1" customHeight="1">
      <c r="A76" s="3" t="str">
        <f>IF(トップス!A76="","",トップス!A76)</f>
        <v/>
      </c>
      <c r="B76" s="68" t="str">
        <f>IF(トップス!B76="","",トップス!B76)</f>
        <v/>
      </c>
      <c r="C76" s="3" t="str">
        <f>IF(トップス!C76="","",トップス!C76)</f>
        <v>◇ サイズ E</v>
      </c>
      <c r="D76" s="3" t="str">
        <f>IF(トップス!E76="","",トップス!E76)</f>
        <v>無</v>
      </c>
      <c r="E76" s="3" t="str">
        <f>IF(トップス!AA76="","",トップス!AA76)</f>
        <v>ベースW</v>
      </c>
      <c r="F76" s="3" t="str">
        <f>IF(トップス!G76="","",トップス!G76)</f>
        <v/>
      </c>
      <c r="G76" s="3" t="str">
        <f>IF(トップス!H76="","",トップス!H76)</f>
        <v/>
      </c>
      <c r="H76" s="3" t="str">
        <f>IF(トップス!I76="","",トップス!I76)</f>
        <v/>
      </c>
      <c r="I76" s="3" t="str">
        <f>IF(トップス!J76="","",トップス!J76)</f>
        <v>画像参照</v>
      </c>
      <c r="J76" s="3" t="str">
        <f>IF(トップス!K76="","",トップス!K76)</f>
        <v/>
      </c>
      <c r="K76" s="3" t="str">
        <f>IF(トップス!L76="","",トップス!L76)</f>
        <v>サイズ</v>
      </c>
      <c r="L76" s="3" t="str">
        <f xml:space="preserve"> トップス!Z76</f>
        <v>着丈：約cm　肩幅：約cm　身幅：約cm　袖丈：約cm</v>
      </c>
      <c r="M76" s="69" t="s">
        <v>19</v>
      </c>
      <c r="N76" s="69" t="s">
        <v>20</v>
      </c>
      <c r="O76" s="69" t="s">
        <v>21</v>
      </c>
      <c r="P76" s="4" t="s">
        <v>3036</v>
      </c>
      <c r="Q76" s="4" t="s">
        <v>3038</v>
      </c>
      <c r="R76" s="69" t="s">
        <v>22</v>
      </c>
      <c r="S76" s="69" t="s">
        <v>23</v>
      </c>
      <c r="T76" s="69" t="s">
        <v>22</v>
      </c>
      <c r="U76" s="69" t="s">
        <v>24</v>
      </c>
      <c r="V76" s="69" t="s">
        <v>25</v>
      </c>
      <c r="W76" s="69" t="s">
        <v>26</v>
      </c>
      <c r="X76" s="69" t="s">
        <v>27</v>
      </c>
      <c r="Y76" s="69" t="s">
        <v>28</v>
      </c>
      <c r="Z76" s="69" t="s">
        <v>29</v>
      </c>
      <c r="AA76" s="4"/>
      <c r="AB76" s="4"/>
      <c r="AC76" s="4"/>
      <c r="AD76" s="70"/>
      <c r="AE76" s="70">
        <f>トップス!AE76</f>
        <v>0</v>
      </c>
      <c r="AF76" s="70" t="str">
        <f>トップス!Q76</f>
        <v>通常</v>
      </c>
      <c r="AG76" s="70">
        <v>0</v>
      </c>
      <c r="AH76" s="6">
        <f xml:space="preserve"> トップス!AC76</f>
        <v>0</v>
      </c>
      <c r="AI76">
        <v>1</v>
      </c>
      <c r="AJ76">
        <f>トップス!T76</f>
        <v>0</v>
      </c>
    </row>
    <row r="77" spans="1:36" ht="13.5" hidden="1" customHeight="1">
      <c r="A77" s="3" t="str">
        <f>IF(トップス!A77="","",トップス!A77)</f>
        <v/>
      </c>
      <c r="B77" s="68" t="str">
        <f>IF(トップス!B77="","",トップス!B77)</f>
        <v/>
      </c>
      <c r="C77" s="3" t="str">
        <f>IF(トップス!C77="","",トップス!C77)</f>
        <v>◇ サイズ E</v>
      </c>
      <c r="D77" s="3" t="str">
        <f>IF(トップス!E77="","",トップス!E77)</f>
        <v>無</v>
      </c>
      <c r="E77" s="3" t="str">
        <f>IF(トップス!AA77="","",トップス!AA77)</f>
        <v>ベースW</v>
      </c>
      <c r="F77" s="3" t="str">
        <f>IF(トップス!G77="","",トップス!G77)</f>
        <v/>
      </c>
      <c r="G77" s="3" t="str">
        <f>IF(トップス!H77="","",トップス!H77)</f>
        <v/>
      </c>
      <c r="H77" s="3" t="str">
        <f>IF(トップス!I77="","",トップス!I77)</f>
        <v/>
      </c>
      <c r="I77" s="3" t="str">
        <f>IF(トップス!J77="","",トップス!J77)</f>
        <v>画像参照</v>
      </c>
      <c r="J77" s="3" t="str">
        <f>IF(トップス!K77="","",トップス!K77)</f>
        <v/>
      </c>
      <c r="K77" s="3" t="str">
        <f>IF(トップス!L77="","",トップス!L77)</f>
        <v>サイズ</v>
      </c>
      <c r="L77" s="3" t="str">
        <f xml:space="preserve"> トップス!Z77</f>
        <v>着丈：約cm　肩幅：約cm　身幅：約cm　袖丈：約cm</v>
      </c>
      <c r="M77" s="69" t="s">
        <v>19</v>
      </c>
      <c r="N77" s="69" t="s">
        <v>20</v>
      </c>
      <c r="O77" s="69" t="s">
        <v>21</v>
      </c>
      <c r="P77" s="4" t="s">
        <v>3036</v>
      </c>
      <c r="Q77" s="4" t="s">
        <v>3038</v>
      </c>
      <c r="R77" s="69" t="s">
        <v>22</v>
      </c>
      <c r="S77" s="69" t="s">
        <v>23</v>
      </c>
      <c r="T77" s="69" t="s">
        <v>22</v>
      </c>
      <c r="U77" s="69" t="s">
        <v>24</v>
      </c>
      <c r="V77" s="69" t="s">
        <v>25</v>
      </c>
      <c r="W77" s="69" t="s">
        <v>26</v>
      </c>
      <c r="X77" s="69" t="s">
        <v>27</v>
      </c>
      <c r="Y77" s="69" t="s">
        <v>28</v>
      </c>
      <c r="Z77" s="69" t="s">
        <v>29</v>
      </c>
      <c r="AA77" s="4"/>
      <c r="AB77" s="4"/>
      <c r="AC77" s="4"/>
      <c r="AD77" s="70"/>
      <c r="AE77" s="70">
        <f>トップス!AE77</f>
        <v>0</v>
      </c>
      <c r="AF77" s="70" t="str">
        <f>トップス!Q77</f>
        <v>通常</v>
      </c>
      <c r="AG77" s="70">
        <v>0</v>
      </c>
      <c r="AH77" s="6">
        <f xml:space="preserve"> トップス!AC77</f>
        <v>0</v>
      </c>
      <c r="AI77">
        <v>1</v>
      </c>
      <c r="AJ77">
        <f>トップス!T77</f>
        <v>0</v>
      </c>
    </row>
    <row r="78" spans="1:36" ht="13.5" hidden="1" customHeight="1">
      <c r="A78" s="3" t="str">
        <f>IF(トップス!A78="","",トップス!A78)</f>
        <v/>
      </c>
      <c r="B78" s="68" t="str">
        <f>IF(トップス!B78="","",トップス!B78)</f>
        <v/>
      </c>
      <c r="C78" s="3" t="str">
        <f>IF(トップス!C78="","",トップス!C78)</f>
        <v>◇ サイズ E</v>
      </c>
      <c r="D78" s="3" t="str">
        <f>IF(トップス!E78="","",トップス!E78)</f>
        <v>無</v>
      </c>
      <c r="E78" s="3" t="str">
        <f>IF(トップス!AA78="","",トップス!AA78)</f>
        <v>ベースW</v>
      </c>
      <c r="F78" s="3" t="str">
        <f>IF(トップス!G78="","",トップス!G78)</f>
        <v/>
      </c>
      <c r="G78" s="3" t="str">
        <f>IF(トップス!H78="","",トップス!H78)</f>
        <v/>
      </c>
      <c r="H78" s="3" t="str">
        <f>IF(トップス!I78="","",トップス!I78)</f>
        <v/>
      </c>
      <c r="I78" s="3" t="str">
        <f>IF(トップス!J78="","",トップス!J78)</f>
        <v>画像参照</v>
      </c>
      <c r="J78" s="3" t="str">
        <f>IF(トップス!K78="","",トップス!K78)</f>
        <v/>
      </c>
      <c r="K78" s="3" t="str">
        <f>IF(トップス!L78="","",トップス!L78)</f>
        <v>サイズ</v>
      </c>
      <c r="L78" s="3" t="str">
        <f xml:space="preserve"> トップス!Z78</f>
        <v>着丈：約cm　肩幅：約cm　身幅：約cm　袖丈：約cm</v>
      </c>
      <c r="M78" s="69" t="s">
        <v>19</v>
      </c>
      <c r="N78" s="69" t="s">
        <v>20</v>
      </c>
      <c r="O78" s="69" t="s">
        <v>21</v>
      </c>
      <c r="P78" s="4" t="s">
        <v>3036</v>
      </c>
      <c r="Q78" s="4" t="s">
        <v>3038</v>
      </c>
      <c r="R78" s="69" t="s">
        <v>22</v>
      </c>
      <c r="S78" s="69" t="s">
        <v>23</v>
      </c>
      <c r="T78" s="69" t="s">
        <v>22</v>
      </c>
      <c r="U78" s="69" t="s">
        <v>24</v>
      </c>
      <c r="V78" s="69" t="s">
        <v>25</v>
      </c>
      <c r="W78" s="69" t="s">
        <v>26</v>
      </c>
      <c r="X78" s="69" t="s">
        <v>27</v>
      </c>
      <c r="Y78" s="69" t="s">
        <v>28</v>
      </c>
      <c r="Z78" s="69" t="s">
        <v>29</v>
      </c>
      <c r="AA78" s="4"/>
      <c r="AB78" s="4"/>
      <c r="AC78" s="4"/>
      <c r="AD78" s="70"/>
      <c r="AE78" s="70">
        <f>トップス!AE78</f>
        <v>0</v>
      </c>
      <c r="AF78" s="70" t="str">
        <f>トップス!Q78</f>
        <v>通常</v>
      </c>
      <c r="AG78" s="70">
        <v>0</v>
      </c>
      <c r="AH78" s="6">
        <f xml:space="preserve"> トップス!AC78</f>
        <v>0</v>
      </c>
      <c r="AI78">
        <v>1</v>
      </c>
      <c r="AJ78">
        <f>トップス!T78</f>
        <v>0</v>
      </c>
    </row>
    <row r="79" spans="1:36" ht="13.5" hidden="1" customHeight="1">
      <c r="A79" s="3" t="str">
        <f>IF(トップス!A79="","",トップス!A79)</f>
        <v/>
      </c>
      <c r="B79" s="68" t="str">
        <f>IF(トップス!B79="","",トップス!B79)</f>
        <v/>
      </c>
      <c r="C79" s="3" t="str">
        <f>IF(トップス!C79="","",トップス!C79)</f>
        <v>◇ サイズ E</v>
      </c>
      <c r="D79" s="3" t="str">
        <f>IF(トップス!E79="","",トップス!E79)</f>
        <v>無</v>
      </c>
      <c r="E79" s="3" t="str">
        <f>IF(トップス!AA79="","",トップス!AA79)</f>
        <v>ベースW</v>
      </c>
      <c r="F79" s="3" t="str">
        <f>IF(トップス!G79="","",トップス!G79)</f>
        <v/>
      </c>
      <c r="G79" s="3" t="str">
        <f>IF(トップス!H79="","",トップス!H79)</f>
        <v/>
      </c>
      <c r="H79" s="3" t="str">
        <f>IF(トップス!I79="","",トップス!I79)</f>
        <v/>
      </c>
      <c r="I79" s="3" t="str">
        <f>IF(トップス!J79="","",トップス!J79)</f>
        <v>画像参照</v>
      </c>
      <c r="J79" s="3" t="str">
        <f>IF(トップス!K79="","",トップス!K79)</f>
        <v/>
      </c>
      <c r="K79" s="3" t="str">
        <f>IF(トップス!L79="","",トップス!L79)</f>
        <v>サイズ</v>
      </c>
      <c r="L79" s="3" t="str">
        <f xml:space="preserve"> トップス!Z79</f>
        <v>着丈：約cm　肩幅：約cm　身幅：約cm　袖丈：約cm</v>
      </c>
      <c r="M79" s="69" t="s">
        <v>19</v>
      </c>
      <c r="N79" s="69" t="s">
        <v>20</v>
      </c>
      <c r="O79" s="69" t="s">
        <v>21</v>
      </c>
      <c r="P79" s="4" t="s">
        <v>3036</v>
      </c>
      <c r="Q79" s="4" t="s">
        <v>3038</v>
      </c>
      <c r="R79" s="69" t="s">
        <v>22</v>
      </c>
      <c r="S79" s="69" t="s">
        <v>23</v>
      </c>
      <c r="T79" s="69" t="s">
        <v>22</v>
      </c>
      <c r="U79" s="69" t="s">
        <v>24</v>
      </c>
      <c r="V79" s="69" t="s">
        <v>25</v>
      </c>
      <c r="W79" s="69" t="s">
        <v>26</v>
      </c>
      <c r="X79" s="69" t="s">
        <v>27</v>
      </c>
      <c r="Y79" s="69" t="s">
        <v>28</v>
      </c>
      <c r="Z79" s="69" t="s">
        <v>29</v>
      </c>
      <c r="AA79" s="4"/>
      <c r="AB79" s="4"/>
      <c r="AC79" s="4"/>
      <c r="AD79" s="70"/>
      <c r="AE79" s="70">
        <f>トップス!AE79</f>
        <v>0</v>
      </c>
      <c r="AF79" s="70" t="str">
        <f>トップス!Q79</f>
        <v>通常</v>
      </c>
      <c r="AG79" s="70">
        <v>0</v>
      </c>
      <c r="AH79" s="6">
        <f xml:space="preserve"> トップス!AC79</f>
        <v>0</v>
      </c>
      <c r="AI79">
        <v>1</v>
      </c>
      <c r="AJ79">
        <f>トップス!T79</f>
        <v>0</v>
      </c>
    </row>
    <row r="80" spans="1:36" ht="13.5" hidden="1" customHeight="1">
      <c r="A80" s="3" t="str">
        <f>IF(トップス!A80="","",トップス!A80)</f>
        <v/>
      </c>
      <c r="B80" s="68" t="str">
        <f>IF(トップス!B80="","",トップス!B80)</f>
        <v/>
      </c>
      <c r="C80" s="3" t="str">
        <f>IF(トップス!C80="","",トップス!C80)</f>
        <v>◇ サイズ E</v>
      </c>
      <c r="D80" s="3" t="str">
        <f>IF(トップス!E80="","",トップス!E80)</f>
        <v>無</v>
      </c>
      <c r="E80" s="3" t="str">
        <f>IF(トップス!AA80="","",トップス!AA80)</f>
        <v>ベースW</v>
      </c>
      <c r="F80" s="3" t="str">
        <f>IF(トップス!G80="","",トップス!G80)</f>
        <v/>
      </c>
      <c r="G80" s="3" t="str">
        <f>IF(トップス!H80="","",トップス!H80)</f>
        <v/>
      </c>
      <c r="H80" s="3" t="str">
        <f>IF(トップス!I80="","",トップス!I80)</f>
        <v/>
      </c>
      <c r="I80" s="3" t="str">
        <f>IF(トップス!J80="","",トップス!J80)</f>
        <v>画像参照</v>
      </c>
      <c r="J80" s="3" t="str">
        <f>IF(トップス!K80="","",トップス!K80)</f>
        <v/>
      </c>
      <c r="K80" s="3" t="str">
        <f>IF(トップス!L80="","",トップス!L80)</f>
        <v>サイズ</v>
      </c>
      <c r="L80" s="3" t="str">
        <f xml:space="preserve"> トップス!Z80</f>
        <v>着丈：約cm　肩幅：約cm　身幅：約cm　袖丈：約cm</v>
      </c>
      <c r="M80" s="69" t="s">
        <v>19</v>
      </c>
      <c r="N80" s="69" t="s">
        <v>20</v>
      </c>
      <c r="O80" s="69" t="s">
        <v>21</v>
      </c>
      <c r="P80" s="4" t="s">
        <v>3036</v>
      </c>
      <c r="Q80" s="4" t="s">
        <v>3038</v>
      </c>
      <c r="R80" s="69" t="s">
        <v>22</v>
      </c>
      <c r="S80" s="69" t="s">
        <v>23</v>
      </c>
      <c r="T80" s="69" t="s">
        <v>22</v>
      </c>
      <c r="U80" s="69" t="s">
        <v>24</v>
      </c>
      <c r="V80" s="69" t="s">
        <v>25</v>
      </c>
      <c r="W80" s="69" t="s">
        <v>26</v>
      </c>
      <c r="X80" s="69" t="s">
        <v>27</v>
      </c>
      <c r="Y80" s="69" t="s">
        <v>28</v>
      </c>
      <c r="Z80" s="69" t="s">
        <v>29</v>
      </c>
      <c r="AA80" s="4"/>
      <c r="AB80" s="4"/>
      <c r="AC80" s="4"/>
      <c r="AD80" s="70"/>
      <c r="AE80" s="70">
        <f>トップス!AE80</f>
        <v>0</v>
      </c>
      <c r="AF80" s="70" t="str">
        <f>トップス!Q80</f>
        <v>通常</v>
      </c>
      <c r="AG80" s="70">
        <v>0</v>
      </c>
      <c r="AH80" s="6">
        <f xml:space="preserve"> トップス!AC80</f>
        <v>0</v>
      </c>
      <c r="AI80">
        <v>1</v>
      </c>
      <c r="AJ80">
        <f>トップス!T80</f>
        <v>0</v>
      </c>
    </row>
    <row r="81" spans="1:36" ht="13.5" hidden="1" customHeight="1">
      <c r="A81" s="3" t="str">
        <f>IF(トップス!A81="","",トップス!A81)</f>
        <v/>
      </c>
      <c r="B81" s="68" t="str">
        <f>IF(トップス!B81="","",トップス!B81)</f>
        <v/>
      </c>
      <c r="C81" s="3" t="str">
        <f>IF(トップス!C81="","",トップス!C81)</f>
        <v>◇ サイズ E</v>
      </c>
      <c r="D81" s="3" t="str">
        <f>IF(トップス!E81="","",トップス!E81)</f>
        <v>無</v>
      </c>
      <c r="E81" s="3" t="str">
        <f>IF(トップス!AA81="","",トップス!AA81)</f>
        <v>ベースW</v>
      </c>
      <c r="F81" s="3" t="str">
        <f>IF(トップス!G81="","",トップス!G81)</f>
        <v/>
      </c>
      <c r="G81" s="3" t="str">
        <f>IF(トップス!H81="","",トップス!H81)</f>
        <v/>
      </c>
      <c r="H81" s="3" t="str">
        <f>IF(トップス!I81="","",トップス!I81)</f>
        <v/>
      </c>
      <c r="I81" s="3" t="str">
        <f>IF(トップス!J81="","",トップス!J81)</f>
        <v>画像参照</v>
      </c>
      <c r="J81" s="3" t="str">
        <f>IF(トップス!K81="","",トップス!K81)</f>
        <v/>
      </c>
      <c r="K81" s="3" t="str">
        <f>IF(トップス!L81="","",トップス!L81)</f>
        <v>サイズ</v>
      </c>
      <c r="L81" s="3" t="str">
        <f xml:space="preserve"> トップス!Z81</f>
        <v>着丈：約cm　肩幅：約cm　身幅：約cm　袖丈：約cm</v>
      </c>
      <c r="M81" s="69" t="s">
        <v>19</v>
      </c>
      <c r="N81" s="69" t="s">
        <v>20</v>
      </c>
      <c r="O81" s="69" t="s">
        <v>21</v>
      </c>
      <c r="P81" s="4" t="s">
        <v>3036</v>
      </c>
      <c r="Q81" s="4" t="s">
        <v>3038</v>
      </c>
      <c r="R81" s="69" t="s">
        <v>22</v>
      </c>
      <c r="S81" s="69" t="s">
        <v>23</v>
      </c>
      <c r="T81" s="69" t="s">
        <v>22</v>
      </c>
      <c r="U81" s="69" t="s">
        <v>24</v>
      </c>
      <c r="V81" s="69" t="s">
        <v>25</v>
      </c>
      <c r="W81" s="69" t="s">
        <v>26</v>
      </c>
      <c r="X81" s="69" t="s">
        <v>27</v>
      </c>
      <c r="Y81" s="69" t="s">
        <v>28</v>
      </c>
      <c r="Z81" s="69" t="s">
        <v>29</v>
      </c>
      <c r="AA81" s="4"/>
      <c r="AB81" s="4"/>
      <c r="AC81" s="4"/>
      <c r="AD81" s="70"/>
      <c r="AE81" s="70">
        <f>トップス!AE81</f>
        <v>0</v>
      </c>
      <c r="AF81" s="70" t="str">
        <f>トップス!Q81</f>
        <v>通常</v>
      </c>
      <c r="AG81" s="70">
        <v>0</v>
      </c>
      <c r="AH81" s="6">
        <f xml:space="preserve"> トップス!AC81</f>
        <v>0</v>
      </c>
      <c r="AI81">
        <v>1</v>
      </c>
      <c r="AJ81">
        <f>トップス!T81</f>
        <v>0</v>
      </c>
    </row>
    <row r="82" spans="1:36" ht="13.5" hidden="1" customHeight="1">
      <c r="A82" s="3" t="str">
        <f>IF(トップス!A82="","",トップス!A82)</f>
        <v/>
      </c>
      <c r="B82" s="68" t="str">
        <f>IF(トップス!B82="","",トップス!B82)</f>
        <v/>
      </c>
      <c r="C82" s="3" t="str">
        <f>IF(トップス!C82="","",トップス!C82)</f>
        <v>◇ サイズ E</v>
      </c>
      <c r="D82" s="3" t="str">
        <f>IF(トップス!E82="","",トップス!E82)</f>
        <v>無</v>
      </c>
      <c r="E82" s="3" t="str">
        <f>IF(トップス!AA82="","",トップス!AA82)</f>
        <v>ベースW</v>
      </c>
      <c r="F82" s="3" t="str">
        <f>IF(トップス!G82="","",トップス!G82)</f>
        <v/>
      </c>
      <c r="G82" s="3" t="str">
        <f>IF(トップス!H82="","",トップス!H82)</f>
        <v/>
      </c>
      <c r="H82" s="3" t="str">
        <f>IF(トップス!I82="","",トップス!I82)</f>
        <v/>
      </c>
      <c r="I82" s="3" t="str">
        <f>IF(トップス!J82="","",トップス!J82)</f>
        <v>画像参照</v>
      </c>
      <c r="J82" s="3" t="str">
        <f>IF(トップス!K82="","",トップス!K82)</f>
        <v/>
      </c>
      <c r="K82" s="3" t="str">
        <f>IF(トップス!L82="","",トップス!L82)</f>
        <v>サイズ</v>
      </c>
      <c r="L82" s="3" t="str">
        <f xml:space="preserve"> トップス!Z82</f>
        <v>着丈：約cm　肩幅：約cm　身幅：約cm　袖丈：約cm</v>
      </c>
      <c r="M82" s="69" t="s">
        <v>19</v>
      </c>
      <c r="N82" s="69" t="s">
        <v>20</v>
      </c>
      <c r="O82" s="69" t="s">
        <v>21</v>
      </c>
      <c r="P82" s="4" t="s">
        <v>3036</v>
      </c>
      <c r="Q82" s="4" t="s">
        <v>3038</v>
      </c>
      <c r="R82" s="69" t="s">
        <v>22</v>
      </c>
      <c r="S82" s="69" t="s">
        <v>23</v>
      </c>
      <c r="T82" s="69" t="s">
        <v>22</v>
      </c>
      <c r="U82" s="69" t="s">
        <v>24</v>
      </c>
      <c r="V82" s="69" t="s">
        <v>25</v>
      </c>
      <c r="W82" s="69" t="s">
        <v>26</v>
      </c>
      <c r="X82" s="69" t="s">
        <v>27</v>
      </c>
      <c r="Y82" s="69" t="s">
        <v>28</v>
      </c>
      <c r="Z82" s="69" t="s">
        <v>29</v>
      </c>
      <c r="AA82" s="4"/>
      <c r="AB82" s="4"/>
      <c r="AC82" s="4"/>
      <c r="AD82" s="70"/>
      <c r="AE82" s="70">
        <f>トップス!AE82</f>
        <v>0</v>
      </c>
      <c r="AF82" s="70" t="str">
        <f>トップス!Q82</f>
        <v>通常</v>
      </c>
      <c r="AG82" s="70">
        <v>0</v>
      </c>
      <c r="AH82" s="6">
        <f xml:space="preserve"> トップス!AC82</f>
        <v>0</v>
      </c>
      <c r="AI82">
        <v>1</v>
      </c>
      <c r="AJ82">
        <f>トップス!T82</f>
        <v>0</v>
      </c>
    </row>
    <row r="83" spans="1:36" ht="13.5" hidden="1" customHeight="1">
      <c r="A83" s="3" t="str">
        <f>IF(トップス!A83="","",トップス!A83)</f>
        <v/>
      </c>
      <c r="B83" s="68" t="str">
        <f>IF(トップス!B83="","",トップス!B83)</f>
        <v/>
      </c>
      <c r="C83" s="3" t="str">
        <f>IF(トップス!C83="","",トップス!C83)</f>
        <v>◇ サイズ E</v>
      </c>
      <c r="D83" s="3" t="str">
        <f>IF(トップス!E83="","",トップス!E83)</f>
        <v>無</v>
      </c>
      <c r="E83" s="3" t="str">
        <f>IF(トップス!AA83="","",トップス!AA83)</f>
        <v>ベースW</v>
      </c>
      <c r="F83" s="3" t="str">
        <f>IF(トップス!G83="","",トップス!G83)</f>
        <v/>
      </c>
      <c r="G83" s="3" t="str">
        <f>IF(トップス!H83="","",トップス!H83)</f>
        <v/>
      </c>
      <c r="H83" s="3" t="str">
        <f>IF(トップス!I83="","",トップス!I83)</f>
        <v/>
      </c>
      <c r="I83" s="3" t="str">
        <f>IF(トップス!J83="","",トップス!J83)</f>
        <v>画像参照</v>
      </c>
      <c r="J83" s="3" t="str">
        <f>IF(トップス!K83="","",トップス!K83)</f>
        <v/>
      </c>
      <c r="K83" s="3" t="str">
        <f>IF(トップス!L83="","",トップス!L83)</f>
        <v>サイズ</v>
      </c>
      <c r="L83" s="3" t="str">
        <f xml:space="preserve"> トップス!Z83</f>
        <v>着丈：約cm　肩幅：約cm　身幅：約cm　袖丈：約cm</v>
      </c>
      <c r="M83" s="69" t="s">
        <v>19</v>
      </c>
      <c r="N83" s="69" t="s">
        <v>20</v>
      </c>
      <c r="O83" s="69" t="s">
        <v>21</v>
      </c>
      <c r="P83" s="4" t="s">
        <v>3036</v>
      </c>
      <c r="Q83" s="4" t="s">
        <v>3038</v>
      </c>
      <c r="R83" s="69" t="s">
        <v>22</v>
      </c>
      <c r="S83" s="69" t="s">
        <v>23</v>
      </c>
      <c r="T83" s="69" t="s">
        <v>22</v>
      </c>
      <c r="U83" s="69" t="s">
        <v>24</v>
      </c>
      <c r="V83" s="69" t="s">
        <v>25</v>
      </c>
      <c r="W83" s="69" t="s">
        <v>26</v>
      </c>
      <c r="X83" s="69" t="s">
        <v>27</v>
      </c>
      <c r="Y83" s="69" t="s">
        <v>28</v>
      </c>
      <c r="Z83" s="69" t="s">
        <v>29</v>
      </c>
      <c r="AA83" s="4"/>
      <c r="AB83" s="4"/>
      <c r="AC83" s="4"/>
      <c r="AD83" s="70"/>
      <c r="AE83" s="70">
        <f>トップス!AE83</f>
        <v>0</v>
      </c>
      <c r="AF83" s="70" t="str">
        <f>トップス!Q83</f>
        <v>通常</v>
      </c>
      <c r="AG83" s="70">
        <v>0</v>
      </c>
      <c r="AH83" s="6">
        <f xml:space="preserve"> トップス!AC83</f>
        <v>0</v>
      </c>
      <c r="AI83">
        <v>1</v>
      </c>
      <c r="AJ83">
        <f>トップス!T83</f>
        <v>0</v>
      </c>
    </row>
    <row r="84" spans="1:36" ht="13.5" hidden="1" customHeight="1">
      <c r="A84" s="3" t="str">
        <f>IF(トップス!A84="","",トップス!A84)</f>
        <v/>
      </c>
      <c r="B84" s="68" t="str">
        <f>IF(トップス!B84="","",トップス!B84)</f>
        <v/>
      </c>
      <c r="C84" s="3" t="str">
        <f>IF(トップス!C84="","",トップス!C84)</f>
        <v>◇ サイズ E</v>
      </c>
      <c r="D84" s="3" t="str">
        <f>IF(トップス!E84="","",トップス!E84)</f>
        <v>無</v>
      </c>
      <c r="E84" s="3" t="str">
        <f>IF(トップス!AA84="","",トップス!AA84)</f>
        <v>ベースW</v>
      </c>
      <c r="F84" s="3" t="str">
        <f>IF(トップス!G84="","",トップス!G84)</f>
        <v/>
      </c>
      <c r="G84" s="3" t="str">
        <f>IF(トップス!H84="","",トップス!H84)</f>
        <v/>
      </c>
      <c r="H84" s="3" t="str">
        <f>IF(トップス!I84="","",トップス!I84)</f>
        <v/>
      </c>
      <c r="I84" s="3" t="str">
        <f>IF(トップス!J84="","",トップス!J84)</f>
        <v>画像参照</v>
      </c>
      <c r="J84" s="3" t="str">
        <f>IF(トップス!K84="","",トップス!K84)</f>
        <v/>
      </c>
      <c r="K84" s="3" t="str">
        <f>IF(トップス!L84="","",トップス!L84)</f>
        <v>サイズ</v>
      </c>
      <c r="L84" s="3" t="str">
        <f xml:space="preserve"> トップス!Z84</f>
        <v>着丈：約cm　肩幅：約cm　身幅：約cm　袖丈：約cm</v>
      </c>
      <c r="M84" s="69" t="s">
        <v>19</v>
      </c>
      <c r="N84" s="69" t="s">
        <v>20</v>
      </c>
      <c r="O84" s="69" t="s">
        <v>21</v>
      </c>
      <c r="P84" s="4" t="s">
        <v>3036</v>
      </c>
      <c r="Q84" s="4" t="s">
        <v>3038</v>
      </c>
      <c r="R84" s="69" t="s">
        <v>22</v>
      </c>
      <c r="S84" s="69" t="s">
        <v>23</v>
      </c>
      <c r="T84" s="69" t="s">
        <v>22</v>
      </c>
      <c r="U84" s="69" t="s">
        <v>24</v>
      </c>
      <c r="V84" s="69" t="s">
        <v>25</v>
      </c>
      <c r="W84" s="69" t="s">
        <v>26</v>
      </c>
      <c r="X84" s="69" t="s">
        <v>27</v>
      </c>
      <c r="Y84" s="69" t="s">
        <v>28</v>
      </c>
      <c r="Z84" s="69" t="s">
        <v>29</v>
      </c>
      <c r="AA84" s="4"/>
      <c r="AB84" s="4"/>
      <c r="AC84" s="4"/>
      <c r="AD84" s="70"/>
      <c r="AE84" s="70">
        <f>トップス!AE84</f>
        <v>0</v>
      </c>
      <c r="AF84" s="70" t="str">
        <f>トップス!Q84</f>
        <v>通常</v>
      </c>
      <c r="AG84" s="70">
        <v>0</v>
      </c>
      <c r="AH84" s="6">
        <f xml:space="preserve"> トップス!AC84</f>
        <v>0</v>
      </c>
      <c r="AI84">
        <v>1</v>
      </c>
      <c r="AJ84">
        <f>トップス!T84</f>
        <v>0</v>
      </c>
    </row>
    <row r="85" spans="1:36" ht="13.5" hidden="1" customHeight="1">
      <c r="A85" s="3" t="str">
        <f>IF(トップス!A85="","",トップス!A85)</f>
        <v/>
      </c>
      <c r="B85" s="68" t="str">
        <f>IF(トップス!B85="","",トップス!B85)</f>
        <v/>
      </c>
      <c r="C85" s="3" t="str">
        <f>IF(トップス!C85="","",トップス!C85)</f>
        <v>◇ サイズ E</v>
      </c>
      <c r="D85" s="3" t="str">
        <f>IF(トップス!E85="","",トップス!E85)</f>
        <v>無</v>
      </c>
      <c r="E85" s="3" t="str">
        <f>IF(トップス!AA85="","",トップス!AA85)</f>
        <v>ベースW</v>
      </c>
      <c r="F85" s="3" t="str">
        <f>IF(トップス!G85="","",トップス!G85)</f>
        <v/>
      </c>
      <c r="G85" s="3" t="str">
        <f>IF(トップス!H85="","",トップス!H85)</f>
        <v/>
      </c>
      <c r="H85" s="3" t="str">
        <f>IF(トップス!I85="","",トップス!I85)</f>
        <v/>
      </c>
      <c r="I85" s="3" t="str">
        <f>IF(トップス!J85="","",トップス!J85)</f>
        <v>画像参照</v>
      </c>
      <c r="J85" s="3" t="str">
        <f>IF(トップス!K85="","",トップス!K85)</f>
        <v/>
      </c>
      <c r="K85" s="3" t="str">
        <f>IF(トップス!L85="","",トップス!L85)</f>
        <v>サイズ</v>
      </c>
      <c r="L85" s="3" t="str">
        <f xml:space="preserve"> トップス!Z85</f>
        <v>着丈：約cm　肩幅：約cm　身幅：約cm　袖丈：約cm</v>
      </c>
      <c r="M85" s="69" t="s">
        <v>19</v>
      </c>
      <c r="N85" s="69" t="s">
        <v>20</v>
      </c>
      <c r="O85" s="69" t="s">
        <v>21</v>
      </c>
      <c r="P85" s="4" t="s">
        <v>3036</v>
      </c>
      <c r="Q85" s="4" t="s">
        <v>3038</v>
      </c>
      <c r="R85" s="69" t="s">
        <v>22</v>
      </c>
      <c r="S85" s="69" t="s">
        <v>23</v>
      </c>
      <c r="T85" s="69" t="s">
        <v>22</v>
      </c>
      <c r="U85" s="69" t="s">
        <v>24</v>
      </c>
      <c r="V85" s="69" t="s">
        <v>25</v>
      </c>
      <c r="W85" s="69" t="s">
        <v>26</v>
      </c>
      <c r="X85" s="69" t="s">
        <v>27</v>
      </c>
      <c r="Y85" s="69" t="s">
        <v>28</v>
      </c>
      <c r="Z85" s="69" t="s">
        <v>29</v>
      </c>
      <c r="AA85" s="4"/>
      <c r="AB85" s="4"/>
      <c r="AC85" s="4"/>
      <c r="AD85" s="70"/>
      <c r="AE85" s="70">
        <f>トップス!AE85</f>
        <v>0</v>
      </c>
      <c r="AF85" s="70" t="str">
        <f>トップス!Q85</f>
        <v>通常</v>
      </c>
      <c r="AG85" s="70">
        <v>0</v>
      </c>
      <c r="AH85" s="6">
        <f xml:space="preserve"> トップス!AC85</f>
        <v>0</v>
      </c>
      <c r="AI85">
        <v>1</v>
      </c>
      <c r="AJ85">
        <f>トップス!T85</f>
        <v>0</v>
      </c>
    </row>
    <row r="86" spans="1:36" ht="13.5" hidden="1" customHeight="1">
      <c r="A86" s="3" t="str">
        <f>IF(トップス!A86="","",トップス!A86)</f>
        <v/>
      </c>
      <c r="B86" s="68" t="str">
        <f>IF(トップス!B86="","",トップス!B86)</f>
        <v/>
      </c>
      <c r="C86" s="3" t="str">
        <f>IF(トップス!C86="","",トップス!C86)</f>
        <v>◇ サイズ E</v>
      </c>
      <c r="D86" s="3" t="str">
        <f>IF(トップス!E86="","",トップス!E86)</f>
        <v>無</v>
      </c>
      <c r="E86" s="3" t="str">
        <f>IF(トップス!AA86="","",トップス!AA86)</f>
        <v>ベースW</v>
      </c>
      <c r="F86" s="3" t="str">
        <f>IF(トップス!G86="","",トップス!G86)</f>
        <v/>
      </c>
      <c r="G86" s="3" t="str">
        <f>IF(トップス!H86="","",トップス!H86)</f>
        <v/>
      </c>
      <c r="H86" s="3" t="str">
        <f>IF(トップス!I86="","",トップス!I86)</f>
        <v/>
      </c>
      <c r="I86" s="3" t="str">
        <f>IF(トップス!J86="","",トップス!J86)</f>
        <v>画像参照</v>
      </c>
      <c r="J86" s="3" t="str">
        <f>IF(トップス!K86="","",トップス!K86)</f>
        <v/>
      </c>
      <c r="K86" s="3" t="str">
        <f>IF(トップス!L86="","",トップス!L86)</f>
        <v>サイズ</v>
      </c>
      <c r="L86" s="3" t="str">
        <f xml:space="preserve"> トップス!Z86</f>
        <v>着丈：約cm　肩幅：約cm　身幅：約cm　袖丈：約cm</v>
      </c>
      <c r="M86" s="69" t="s">
        <v>19</v>
      </c>
      <c r="N86" s="69" t="s">
        <v>20</v>
      </c>
      <c r="O86" s="69" t="s">
        <v>21</v>
      </c>
      <c r="P86" s="4" t="s">
        <v>3036</v>
      </c>
      <c r="Q86" s="4" t="s">
        <v>3038</v>
      </c>
      <c r="R86" s="69" t="s">
        <v>22</v>
      </c>
      <c r="S86" s="69" t="s">
        <v>23</v>
      </c>
      <c r="T86" s="69" t="s">
        <v>22</v>
      </c>
      <c r="U86" s="69" t="s">
        <v>24</v>
      </c>
      <c r="V86" s="69" t="s">
        <v>25</v>
      </c>
      <c r="W86" s="69" t="s">
        <v>26</v>
      </c>
      <c r="X86" s="69" t="s">
        <v>27</v>
      </c>
      <c r="Y86" s="69" t="s">
        <v>28</v>
      </c>
      <c r="Z86" s="69" t="s">
        <v>29</v>
      </c>
      <c r="AA86" s="4"/>
      <c r="AB86" s="4"/>
      <c r="AC86" s="4"/>
      <c r="AD86" s="70"/>
      <c r="AE86" s="70">
        <f>トップス!AE86</f>
        <v>0</v>
      </c>
      <c r="AF86" s="70" t="str">
        <f>トップス!Q86</f>
        <v>通常</v>
      </c>
      <c r="AG86" s="70">
        <v>0</v>
      </c>
      <c r="AH86" s="6">
        <f xml:space="preserve"> トップス!AC86</f>
        <v>0</v>
      </c>
      <c r="AI86">
        <v>1</v>
      </c>
      <c r="AJ86">
        <f>トップス!T86</f>
        <v>0</v>
      </c>
    </row>
    <row r="87" spans="1:36" ht="13.5" hidden="1" customHeight="1">
      <c r="A87" s="3" t="str">
        <f>IF(トップス!A87="","",トップス!A87)</f>
        <v/>
      </c>
      <c r="B87" s="68" t="str">
        <f>IF(トップス!B87="","",トップス!B87)</f>
        <v/>
      </c>
      <c r="C87" s="3" t="str">
        <f>IF(トップス!C87="","",トップス!C87)</f>
        <v>◇ サイズ E</v>
      </c>
      <c r="D87" s="3" t="str">
        <f>IF(トップス!E87="","",トップス!E87)</f>
        <v>無</v>
      </c>
      <c r="E87" s="3" t="str">
        <f>IF(トップス!AA87="","",トップス!AA87)</f>
        <v>ベースW</v>
      </c>
      <c r="F87" s="3" t="str">
        <f>IF(トップス!G87="","",トップス!G87)</f>
        <v/>
      </c>
      <c r="G87" s="3" t="str">
        <f>IF(トップス!H87="","",トップス!H87)</f>
        <v/>
      </c>
      <c r="H87" s="3" t="str">
        <f>IF(トップス!I87="","",トップス!I87)</f>
        <v/>
      </c>
      <c r="I87" s="3" t="str">
        <f>IF(トップス!J87="","",トップス!J87)</f>
        <v>画像参照</v>
      </c>
      <c r="J87" s="3" t="str">
        <f>IF(トップス!K87="","",トップス!K87)</f>
        <v/>
      </c>
      <c r="K87" s="3" t="str">
        <f>IF(トップス!L87="","",トップス!L87)</f>
        <v>サイズ</v>
      </c>
      <c r="L87" s="3" t="str">
        <f xml:space="preserve"> トップス!Z87</f>
        <v>着丈：約cm　肩幅：約cm　身幅：約cm　袖丈：約cm</v>
      </c>
      <c r="M87" s="69" t="s">
        <v>19</v>
      </c>
      <c r="N87" s="69" t="s">
        <v>20</v>
      </c>
      <c r="O87" s="69" t="s">
        <v>21</v>
      </c>
      <c r="P87" s="4" t="s">
        <v>3036</v>
      </c>
      <c r="Q87" s="4" t="s">
        <v>3038</v>
      </c>
      <c r="R87" s="69" t="s">
        <v>22</v>
      </c>
      <c r="S87" s="69" t="s">
        <v>23</v>
      </c>
      <c r="T87" s="69" t="s">
        <v>22</v>
      </c>
      <c r="U87" s="69" t="s">
        <v>24</v>
      </c>
      <c r="V87" s="69" t="s">
        <v>25</v>
      </c>
      <c r="W87" s="69" t="s">
        <v>26</v>
      </c>
      <c r="X87" s="69" t="s">
        <v>27</v>
      </c>
      <c r="Y87" s="69" t="s">
        <v>28</v>
      </c>
      <c r="Z87" s="69" t="s">
        <v>29</v>
      </c>
      <c r="AA87" s="4"/>
      <c r="AB87" s="4"/>
      <c r="AC87" s="4"/>
      <c r="AD87" s="70"/>
      <c r="AE87" s="70">
        <f>トップス!AE87</f>
        <v>0</v>
      </c>
      <c r="AF87" s="70" t="str">
        <f>トップス!Q87</f>
        <v>通常</v>
      </c>
      <c r="AG87" s="70">
        <v>0</v>
      </c>
      <c r="AH87" s="6">
        <f xml:space="preserve"> トップス!AC87</f>
        <v>0</v>
      </c>
      <c r="AI87">
        <v>1</v>
      </c>
      <c r="AJ87">
        <f>トップス!T87</f>
        <v>0</v>
      </c>
    </row>
    <row r="88" spans="1:36" ht="13.5" hidden="1" customHeight="1">
      <c r="A88" s="3" t="str">
        <f>IF(トップス!A88="","",トップス!A88)</f>
        <v/>
      </c>
      <c r="B88" s="68" t="str">
        <f>IF(トップス!B88="","",トップス!B88)</f>
        <v/>
      </c>
      <c r="C88" s="3" t="str">
        <f>IF(トップス!C88="","",トップス!C88)</f>
        <v>◇ サイズ E</v>
      </c>
      <c r="D88" s="3" t="str">
        <f>IF(トップス!E88="","",トップス!E88)</f>
        <v>無</v>
      </c>
      <c r="E88" s="3" t="str">
        <f>IF(トップス!AA88="","",トップス!AA88)</f>
        <v>ベースW</v>
      </c>
      <c r="F88" s="3" t="str">
        <f>IF(トップス!G88="","",トップス!G88)</f>
        <v/>
      </c>
      <c r="G88" s="3" t="str">
        <f>IF(トップス!H88="","",トップス!H88)</f>
        <v/>
      </c>
      <c r="H88" s="3" t="str">
        <f>IF(トップス!I88="","",トップス!I88)</f>
        <v/>
      </c>
      <c r="I88" s="3" t="str">
        <f>IF(トップス!J88="","",トップス!J88)</f>
        <v>画像参照</v>
      </c>
      <c r="J88" s="3" t="str">
        <f>IF(トップス!K88="","",トップス!K88)</f>
        <v/>
      </c>
      <c r="K88" s="3" t="str">
        <f>IF(トップス!L88="","",トップス!L88)</f>
        <v>サイズ</v>
      </c>
      <c r="L88" s="3" t="str">
        <f xml:space="preserve"> トップス!Z88</f>
        <v>着丈：約cm　肩幅：約cm　身幅：約cm　袖丈：約cm</v>
      </c>
      <c r="M88" s="69" t="s">
        <v>19</v>
      </c>
      <c r="N88" s="69" t="s">
        <v>20</v>
      </c>
      <c r="O88" s="69" t="s">
        <v>21</v>
      </c>
      <c r="P88" s="4" t="s">
        <v>3036</v>
      </c>
      <c r="Q88" s="4" t="s">
        <v>3038</v>
      </c>
      <c r="R88" s="69" t="s">
        <v>22</v>
      </c>
      <c r="S88" s="69" t="s">
        <v>23</v>
      </c>
      <c r="T88" s="69" t="s">
        <v>22</v>
      </c>
      <c r="U88" s="69" t="s">
        <v>24</v>
      </c>
      <c r="V88" s="69" t="s">
        <v>25</v>
      </c>
      <c r="W88" s="69" t="s">
        <v>26</v>
      </c>
      <c r="X88" s="69" t="s">
        <v>27</v>
      </c>
      <c r="Y88" s="69" t="s">
        <v>28</v>
      </c>
      <c r="Z88" s="69" t="s">
        <v>29</v>
      </c>
      <c r="AA88" s="4"/>
      <c r="AB88" s="4"/>
      <c r="AC88" s="4"/>
      <c r="AD88" s="70"/>
      <c r="AE88" s="70">
        <f>トップス!AE88</f>
        <v>0</v>
      </c>
      <c r="AF88" s="70" t="str">
        <f>トップス!Q88</f>
        <v>通常</v>
      </c>
      <c r="AG88" s="70">
        <v>0</v>
      </c>
      <c r="AH88" s="6">
        <f xml:space="preserve"> トップス!AC88</f>
        <v>0</v>
      </c>
      <c r="AI88">
        <v>1</v>
      </c>
      <c r="AJ88">
        <f>トップス!T88</f>
        <v>0</v>
      </c>
    </row>
    <row r="89" spans="1:36" ht="13.5" hidden="1" customHeight="1">
      <c r="A89" s="3" t="str">
        <f>IF(トップス!A89="","",トップス!A89)</f>
        <v/>
      </c>
      <c r="B89" s="68" t="str">
        <f>IF(トップス!B89="","",トップス!B89)</f>
        <v/>
      </c>
      <c r="C89" s="3" t="str">
        <f>IF(トップス!C89="","",トップス!C89)</f>
        <v>◇ サイズ E</v>
      </c>
      <c r="D89" s="3" t="str">
        <f>IF(トップス!E89="","",トップス!E89)</f>
        <v>無</v>
      </c>
      <c r="E89" s="3" t="str">
        <f>IF(トップス!AA89="","",トップス!AA89)</f>
        <v>ベースW</v>
      </c>
      <c r="F89" s="3" t="str">
        <f>IF(トップス!G89="","",トップス!G89)</f>
        <v/>
      </c>
      <c r="G89" s="3" t="str">
        <f>IF(トップス!H89="","",トップス!H89)</f>
        <v/>
      </c>
      <c r="H89" s="3" t="str">
        <f>IF(トップス!I89="","",トップス!I89)</f>
        <v/>
      </c>
      <c r="I89" s="3" t="str">
        <f>IF(トップス!J89="","",トップス!J89)</f>
        <v>画像参照</v>
      </c>
      <c r="J89" s="3" t="str">
        <f>IF(トップス!K89="","",トップス!K89)</f>
        <v/>
      </c>
      <c r="K89" s="3" t="str">
        <f>IF(トップス!L89="","",トップス!L89)</f>
        <v>サイズ</v>
      </c>
      <c r="L89" s="3" t="str">
        <f xml:space="preserve"> トップス!Z89</f>
        <v>着丈：約cm　肩幅：約cm　身幅：約cm　袖丈：約cm</v>
      </c>
      <c r="M89" s="69" t="s">
        <v>19</v>
      </c>
      <c r="N89" s="69" t="s">
        <v>20</v>
      </c>
      <c r="O89" s="69" t="s">
        <v>21</v>
      </c>
      <c r="P89" s="4" t="s">
        <v>3036</v>
      </c>
      <c r="Q89" s="4" t="s">
        <v>3038</v>
      </c>
      <c r="R89" s="69" t="s">
        <v>22</v>
      </c>
      <c r="S89" s="69" t="s">
        <v>23</v>
      </c>
      <c r="T89" s="69" t="s">
        <v>22</v>
      </c>
      <c r="U89" s="69" t="s">
        <v>24</v>
      </c>
      <c r="V89" s="69" t="s">
        <v>25</v>
      </c>
      <c r="W89" s="69" t="s">
        <v>26</v>
      </c>
      <c r="X89" s="69" t="s">
        <v>27</v>
      </c>
      <c r="Y89" s="69" t="s">
        <v>28</v>
      </c>
      <c r="Z89" s="69" t="s">
        <v>29</v>
      </c>
      <c r="AA89" s="4"/>
      <c r="AB89" s="4"/>
      <c r="AC89" s="4"/>
      <c r="AD89" s="70"/>
      <c r="AE89" s="70">
        <f>トップス!AE89</f>
        <v>0</v>
      </c>
      <c r="AF89" s="70" t="str">
        <f>トップス!Q89</f>
        <v>通常</v>
      </c>
      <c r="AG89" s="70">
        <v>0</v>
      </c>
      <c r="AH89" s="6">
        <f xml:space="preserve"> トップス!AC89</f>
        <v>0</v>
      </c>
      <c r="AI89">
        <v>1</v>
      </c>
      <c r="AJ89">
        <f>トップス!T89</f>
        <v>0</v>
      </c>
    </row>
    <row r="90" spans="1:36" ht="13.5" hidden="1" customHeight="1">
      <c r="A90" s="3" t="str">
        <f>IF(トップス!A90="","",トップス!A90)</f>
        <v/>
      </c>
      <c r="B90" s="68" t="str">
        <f>IF(トップス!B90="","",トップス!B90)</f>
        <v/>
      </c>
      <c r="C90" s="3" t="str">
        <f>IF(トップス!C90="","",トップス!C90)</f>
        <v>◇ サイズ E</v>
      </c>
      <c r="D90" s="3" t="str">
        <f>IF(トップス!E90="","",トップス!E90)</f>
        <v>無</v>
      </c>
      <c r="E90" s="3" t="str">
        <f>IF(トップス!AA90="","",トップス!AA90)</f>
        <v>ベースW</v>
      </c>
      <c r="F90" s="3" t="str">
        <f>IF(トップス!G90="","",トップス!G90)</f>
        <v/>
      </c>
      <c r="G90" s="3" t="str">
        <f>IF(トップス!H90="","",トップス!H90)</f>
        <v/>
      </c>
      <c r="H90" s="3" t="str">
        <f>IF(トップス!I90="","",トップス!I90)</f>
        <v/>
      </c>
      <c r="I90" s="3" t="str">
        <f>IF(トップス!J90="","",トップス!J90)</f>
        <v>画像参照</v>
      </c>
      <c r="J90" s="3" t="str">
        <f>IF(トップス!K90="","",トップス!K90)</f>
        <v/>
      </c>
      <c r="K90" s="3" t="str">
        <f>IF(トップス!L90="","",トップス!L90)</f>
        <v>サイズ</v>
      </c>
      <c r="L90" s="3" t="str">
        <f xml:space="preserve"> トップス!Z90</f>
        <v>着丈：約cm　肩幅：約cm　身幅：約cm　袖丈：約cm</v>
      </c>
      <c r="M90" s="69" t="s">
        <v>19</v>
      </c>
      <c r="N90" s="69" t="s">
        <v>20</v>
      </c>
      <c r="O90" s="69" t="s">
        <v>21</v>
      </c>
      <c r="P90" s="4" t="s">
        <v>3036</v>
      </c>
      <c r="Q90" s="4" t="s">
        <v>3038</v>
      </c>
      <c r="R90" s="69" t="s">
        <v>22</v>
      </c>
      <c r="S90" s="69" t="s">
        <v>23</v>
      </c>
      <c r="T90" s="69" t="s">
        <v>22</v>
      </c>
      <c r="U90" s="69" t="s">
        <v>24</v>
      </c>
      <c r="V90" s="69" t="s">
        <v>25</v>
      </c>
      <c r="W90" s="69" t="s">
        <v>26</v>
      </c>
      <c r="X90" s="69" t="s">
        <v>27</v>
      </c>
      <c r="Y90" s="69" t="s">
        <v>28</v>
      </c>
      <c r="Z90" s="69" t="s">
        <v>29</v>
      </c>
      <c r="AA90" s="4"/>
      <c r="AB90" s="4"/>
      <c r="AC90" s="4"/>
      <c r="AD90" s="70"/>
      <c r="AE90" s="70">
        <f>トップス!AE90</f>
        <v>0</v>
      </c>
      <c r="AF90" s="70" t="str">
        <f>トップス!Q90</f>
        <v>通常</v>
      </c>
      <c r="AG90" s="70">
        <v>0</v>
      </c>
      <c r="AH90" s="6">
        <f xml:space="preserve"> トップス!AC90</f>
        <v>0</v>
      </c>
      <c r="AI90">
        <v>1</v>
      </c>
      <c r="AJ90">
        <f>トップス!T90</f>
        <v>0</v>
      </c>
    </row>
    <row r="91" spans="1:36" ht="13.5" hidden="1" customHeight="1">
      <c r="A91" s="3" t="str">
        <f>IF(トップス!A91="","",トップス!A91)</f>
        <v/>
      </c>
      <c r="B91" s="68" t="str">
        <f>IF(トップス!B91="","",トップス!B91)</f>
        <v/>
      </c>
      <c r="C91" s="3" t="str">
        <f>IF(トップス!C91="","",トップス!C91)</f>
        <v>◇ サイズ E</v>
      </c>
      <c r="D91" s="3" t="str">
        <f>IF(トップス!E91="","",トップス!E91)</f>
        <v>無</v>
      </c>
      <c r="E91" s="3" t="str">
        <f>IF(トップス!AA91="","",トップス!AA91)</f>
        <v>ベースW</v>
      </c>
      <c r="F91" s="3" t="str">
        <f>IF(トップス!G91="","",トップス!G91)</f>
        <v/>
      </c>
      <c r="G91" s="3" t="str">
        <f>IF(トップス!H91="","",トップス!H91)</f>
        <v/>
      </c>
      <c r="H91" s="3" t="str">
        <f>IF(トップス!I91="","",トップス!I91)</f>
        <v/>
      </c>
      <c r="I91" s="3" t="str">
        <f>IF(トップス!J91="","",トップス!J91)</f>
        <v>画像参照</v>
      </c>
      <c r="J91" s="3" t="str">
        <f>IF(トップス!K91="","",トップス!K91)</f>
        <v/>
      </c>
      <c r="K91" s="3" t="str">
        <f>IF(トップス!L91="","",トップス!L91)</f>
        <v>サイズ</v>
      </c>
      <c r="L91" s="3" t="str">
        <f xml:space="preserve"> トップス!Z91</f>
        <v>着丈：約cm　肩幅：約cm　身幅：約cm　袖丈：約cm</v>
      </c>
      <c r="M91" s="69" t="s">
        <v>19</v>
      </c>
      <c r="N91" s="69" t="s">
        <v>20</v>
      </c>
      <c r="O91" s="69" t="s">
        <v>21</v>
      </c>
      <c r="P91" s="4" t="s">
        <v>3036</v>
      </c>
      <c r="Q91" s="4" t="s">
        <v>3038</v>
      </c>
      <c r="R91" s="69" t="s">
        <v>22</v>
      </c>
      <c r="S91" s="69" t="s">
        <v>23</v>
      </c>
      <c r="T91" s="69" t="s">
        <v>22</v>
      </c>
      <c r="U91" s="69" t="s">
        <v>24</v>
      </c>
      <c r="V91" s="69" t="s">
        <v>25</v>
      </c>
      <c r="W91" s="69" t="s">
        <v>26</v>
      </c>
      <c r="X91" s="69" t="s">
        <v>27</v>
      </c>
      <c r="Y91" s="69" t="s">
        <v>28</v>
      </c>
      <c r="Z91" s="69" t="s">
        <v>29</v>
      </c>
      <c r="AA91" s="4"/>
      <c r="AB91" s="4"/>
      <c r="AC91" s="4"/>
      <c r="AD91" s="70"/>
      <c r="AE91" s="70">
        <f>トップス!AE91</f>
        <v>0</v>
      </c>
      <c r="AF91" s="70" t="str">
        <f>トップス!Q91</f>
        <v>通常</v>
      </c>
      <c r="AG91" s="70">
        <v>0</v>
      </c>
      <c r="AH91" s="6">
        <f xml:space="preserve"> トップス!AC91</f>
        <v>0</v>
      </c>
      <c r="AI91">
        <v>1</v>
      </c>
      <c r="AJ91">
        <f>トップス!T91</f>
        <v>0</v>
      </c>
    </row>
    <row r="92" spans="1:36" ht="13.5" hidden="1" customHeight="1">
      <c r="A92" s="3" t="str">
        <f>IF(トップス!A92="","",トップス!A92)</f>
        <v/>
      </c>
      <c r="B92" s="68" t="str">
        <f>IF(トップス!B92="","",トップス!B92)</f>
        <v/>
      </c>
      <c r="C92" s="3" t="str">
        <f>IF(トップス!C92="","",トップス!C92)</f>
        <v>◇ サイズ E</v>
      </c>
      <c r="D92" s="3" t="str">
        <f>IF(トップス!E92="","",トップス!E92)</f>
        <v>無</v>
      </c>
      <c r="E92" s="3" t="str">
        <f>IF(トップス!AA92="","",トップス!AA92)</f>
        <v>ベースW</v>
      </c>
      <c r="F92" s="3" t="str">
        <f>IF(トップス!G92="","",トップス!G92)</f>
        <v/>
      </c>
      <c r="G92" s="3" t="str">
        <f>IF(トップス!H92="","",トップス!H92)</f>
        <v/>
      </c>
      <c r="H92" s="3" t="str">
        <f>IF(トップス!I92="","",トップス!I92)</f>
        <v/>
      </c>
      <c r="I92" s="3" t="str">
        <f>IF(トップス!J92="","",トップス!J92)</f>
        <v>画像参照</v>
      </c>
      <c r="J92" s="3" t="str">
        <f>IF(トップス!K92="","",トップス!K92)</f>
        <v/>
      </c>
      <c r="K92" s="3" t="str">
        <f>IF(トップス!L92="","",トップス!L92)</f>
        <v>サイズ</v>
      </c>
      <c r="L92" s="3" t="str">
        <f xml:space="preserve"> トップス!Z92</f>
        <v>着丈：約cm　肩幅：約cm　身幅：約cm　袖丈：約cm</v>
      </c>
      <c r="M92" s="69" t="s">
        <v>19</v>
      </c>
      <c r="N92" s="69" t="s">
        <v>20</v>
      </c>
      <c r="O92" s="69" t="s">
        <v>21</v>
      </c>
      <c r="P92" s="4" t="s">
        <v>3036</v>
      </c>
      <c r="Q92" s="4" t="s">
        <v>3038</v>
      </c>
      <c r="R92" s="69" t="s">
        <v>22</v>
      </c>
      <c r="S92" s="69" t="s">
        <v>23</v>
      </c>
      <c r="T92" s="69" t="s">
        <v>22</v>
      </c>
      <c r="U92" s="69" t="s">
        <v>24</v>
      </c>
      <c r="V92" s="69" t="s">
        <v>25</v>
      </c>
      <c r="W92" s="69" t="s">
        <v>26</v>
      </c>
      <c r="X92" s="69" t="s">
        <v>27</v>
      </c>
      <c r="Y92" s="69" t="s">
        <v>28</v>
      </c>
      <c r="Z92" s="69" t="s">
        <v>29</v>
      </c>
      <c r="AA92" s="4"/>
      <c r="AB92" s="4"/>
      <c r="AC92" s="4"/>
      <c r="AD92" s="70"/>
      <c r="AE92" s="70">
        <f>トップス!AE92</f>
        <v>0</v>
      </c>
      <c r="AF92" s="70" t="str">
        <f>トップス!Q92</f>
        <v>通常</v>
      </c>
      <c r="AG92" s="70">
        <v>0</v>
      </c>
      <c r="AH92" s="6">
        <f xml:space="preserve"> トップス!AC92</f>
        <v>0</v>
      </c>
      <c r="AI92">
        <v>1</v>
      </c>
      <c r="AJ92">
        <f>トップス!T92</f>
        <v>0</v>
      </c>
    </row>
    <row r="93" spans="1:36" ht="13.5" hidden="1" customHeight="1">
      <c r="A93" s="3" t="str">
        <f>IF(トップス!A93="","",トップス!A93)</f>
        <v/>
      </c>
      <c r="B93" s="68" t="str">
        <f>IF(トップス!B93="","",トップス!B93)</f>
        <v/>
      </c>
      <c r="C93" s="3" t="str">
        <f>IF(トップス!C93="","",トップス!C93)</f>
        <v>◇ サイズ E</v>
      </c>
      <c r="D93" s="3" t="str">
        <f>IF(トップス!E93="","",トップス!E93)</f>
        <v>無</v>
      </c>
      <c r="E93" s="3" t="str">
        <f>IF(トップス!AA93="","",トップス!AA93)</f>
        <v>ベースW</v>
      </c>
      <c r="F93" s="3" t="str">
        <f>IF(トップス!G93="","",トップス!G93)</f>
        <v/>
      </c>
      <c r="G93" s="3" t="str">
        <f>IF(トップス!H93="","",トップス!H93)</f>
        <v/>
      </c>
      <c r="H93" s="3" t="str">
        <f>IF(トップス!I93="","",トップス!I93)</f>
        <v/>
      </c>
      <c r="I93" s="3" t="str">
        <f>IF(トップス!J93="","",トップス!J93)</f>
        <v>画像参照</v>
      </c>
      <c r="J93" s="3" t="str">
        <f>IF(トップス!K93="","",トップス!K93)</f>
        <v/>
      </c>
      <c r="K93" s="3" t="str">
        <f>IF(トップス!L93="","",トップス!L93)</f>
        <v>サイズ</v>
      </c>
      <c r="L93" s="3" t="str">
        <f xml:space="preserve"> トップス!Z93</f>
        <v>着丈：約cm　肩幅：約cm　身幅：約cm　袖丈：約cm</v>
      </c>
      <c r="M93" s="69" t="s">
        <v>19</v>
      </c>
      <c r="N93" s="69" t="s">
        <v>20</v>
      </c>
      <c r="O93" s="69" t="s">
        <v>21</v>
      </c>
      <c r="P93" s="4" t="s">
        <v>3036</v>
      </c>
      <c r="Q93" s="4" t="s">
        <v>3038</v>
      </c>
      <c r="R93" s="69" t="s">
        <v>22</v>
      </c>
      <c r="S93" s="69" t="s">
        <v>23</v>
      </c>
      <c r="T93" s="69" t="s">
        <v>22</v>
      </c>
      <c r="U93" s="69" t="s">
        <v>24</v>
      </c>
      <c r="V93" s="69" t="s">
        <v>25</v>
      </c>
      <c r="W93" s="69" t="s">
        <v>26</v>
      </c>
      <c r="X93" s="69" t="s">
        <v>27</v>
      </c>
      <c r="Y93" s="69" t="s">
        <v>28</v>
      </c>
      <c r="Z93" s="69" t="s">
        <v>29</v>
      </c>
      <c r="AA93" s="4"/>
      <c r="AB93" s="4"/>
      <c r="AC93" s="4"/>
      <c r="AD93" s="70"/>
      <c r="AE93" s="70">
        <f>トップス!AE93</f>
        <v>0</v>
      </c>
      <c r="AF93" s="70" t="str">
        <f>トップス!Q93</f>
        <v>通常</v>
      </c>
      <c r="AG93" s="70">
        <v>0</v>
      </c>
      <c r="AH93" s="6">
        <f xml:space="preserve"> トップス!AC93</f>
        <v>0</v>
      </c>
      <c r="AI93">
        <v>1</v>
      </c>
      <c r="AJ93">
        <f>トップス!T93</f>
        <v>0</v>
      </c>
    </row>
    <row r="94" spans="1:36" ht="13.5" hidden="1" customHeight="1">
      <c r="A94" s="3" t="str">
        <f>IF(トップス!A94="","",トップス!A94)</f>
        <v/>
      </c>
      <c r="B94" s="68" t="str">
        <f>IF(トップス!B94="","",トップス!B94)</f>
        <v/>
      </c>
      <c r="C94" s="3" t="str">
        <f>IF(トップス!C94="","",トップス!C94)</f>
        <v>◇ サイズ E</v>
      </c>
      <c r="D94" s="3" t="str">
        <f>IF(トップス!E94="","",トップス!E94)</f>
        <v>無</v>
      </c>
      <c r="E94" s="3" t="str">
        <f>IF(トップス!AA94="","",トップス!AA94)</f>
        <v>ベースW</v>
      </c>
      <c r="F94" s="3" t="str">
        <f>IF(トップス!G94="","",トップス!G94)</f>
        <v/>
      </c>
      <c r="G94" s="3" t="str">
        <f>IF(トップス!H94="","",トップス!H94)</f>
        <v/>
      </c>
      <c r="H94" s="3" t="str">
        <f>IF(トップス!I94="","",トップス!I94)</f>
        <v/>
      </c>
      <c r="I94" s="3" t="str">
        <f>IF(トップス!J94="","",トップス!J94)</f>
        <v>画像参照</v>
      </c>
      <c r="J94" s="3" t="str">
        <f>IF(トップス!K94="","",トップス!K94)</f>
        <v/>
      </c>
      <c r="K94" s="3" t="str">
        <f>IF(トップス!L94="","",トップス!L94)</f>
        <v>サイズ</v>
      </c>
      <c r="L94" s="3" t="str">
        <f xml:space="preserve"> トップス!Z94</f>
        <v>着丈：約cm　肩幅：約cm　身幅：約cm　袖丈：約cm</v>
      </c>
      <c r="M94" s="69" t="s">
        <v>19</v>
      </c>
      <c r="N94" s="69" t="s">
        <v>20</v>
      </c>
      <c r="O94" s="69" t="s">
        <v>21</v>
      </c>
      <c r="P94" s="4" t="s">
        <v>3036</v>
      </c>
      <c r="Q94" s="4" t="s">
        <v>3038</v>
      </c>
      <c r="R94" s="69" t="s">
        <v>22</v>
      </c>
      <c r="S94" s="69" t="s">
        <v>23</v>
      </c>
      <c r="T94" s="69" t="s">
        <v>22</v>
      </c>
      <c r="U94" s="69" t="s">
        <v>24</v>
      </c>
      <c r="V94" s="69" t="s">
        <v>25</v>
      </c>
      <c r="W94" s="69" t="s">
        <v>26</v>
      </c>
      <c r="X94" s="69" t="s">
        <v>27</v>
      </c>
      <c r="Y94" s="69" t="s">
        <v>28</v>
      </c>
      <c r="Z94" s="69" t="s">
        <v>29</v>
      </c>
      <c r="AA94" s="4"/>
      <c r="AB94" s="4"/>
      <c r="AC94" s="4"/>
      <c r="AD94" s="70"/>
      <c r="AE94" s="70">
        <f>トップス!AE94</f>
        <v>0</v>
      </c>
      <c r="AF94" s="70" t="str">
        <f>トップス!Q94</f>
        <v>通常</v>
      </c>
      <c r="AG94" s="70">
        <v>0</v>
      </c>
      <c r="AH94" s="6">
        <f xml:space="preserve"> トップス!AC94</f>
        <v>0</v>
      </c>
      <c r="AI94">
        <v>1</v>
      </c>
      <c r="AJ94">
        <f>トップス!T94</f>
        <v>0</v>
      </c>
    </row>
    <row r="95" spans="1:36" ht="13.5" hidden="1" customHeight="1">
      <c r="A95" s="3" t="str">
        <f>IF(トップス!A95="","",トップス!A95)</f>
        <v/>
      </c>
      <c r="B95" s="68" t="str">
        <f>IF(トップス!B95="","",トップス!B95)</f>
        <v/>
      </c>
      <c r="C95" s="3" t="str">
        <f>IF(トップス!C95="","",トップス!C95)</f>
        <v>◇ サイズ E</v>
      </c>
      <c r="D95" s="3" t="str">
        <f>IF(トップス!E95="","",トップス!E95)</f>
        <v>無</v>
      </c>
      <c r="E95" s="3" t="str">
        <f>IF(トップス!AA95="","",トップス!AA95)</f>
        <v>ベースW</v>
      </c>
      <c r="F95" s="3" t="str">
        <f>IF(トップス!G95="","",トップス!G95)</f>
        <v/>
      </c>
      <c r="G95" s="3" t="str">
        <f>IF(トップス!H95="","",トップス!H95)</f>
        <v/>
      </c>
      <c r="H95" s="3" t="str">
        <f>IF(トップス!I95="","",トップス!I95)</f>
        <v/>
      </c>
      <c r="I95" s="3" t="str">
        <f>IF(トップス!J95="","",トップス!J95)</f>
        <v>画像参照</v>
      </c>
      <c r="J95" s="3" t="str">
        <f>IF(トップス!K95="","",トップス!K95)</f>
        <v/>
      </c>
      <c r="K95" s="3" t="str">
        <f>IF(トップス!L95="","",トップス!L95)</f>
        <v>サイズ</v>
      </c>
      <c r="L95" s="3" t="str">
        <f xml:space="preserve"> トップス!Z95</f>
        <v>着丈：約cm　肩幅：約cm　身幅：約cm　袖丈：約cm</v>
      </c>
      <c r="M95" s="69" t="s">
        <v>19</v>
      </c>
      <c r="N95" s="69" t="s">
        <v>20</v>
      </c>
      <c r="O95" s="69" t="s">
        <v>21</v>
      </c>
      <c r="P95" s="4" t="s">
        <v>3036</v>
      </c>
      <c r="Q95" s="4" t="s">
        <v>3038</v>
      </c>
      <c r="R95" s="69" t="s">
        <v>22</v>
      </c>
      <c r="S95" s="69" t="s">
        <v>23</v>
      </c>
      <c r="T95" s="69" t="s">
        <v>22</v>
      </c>
      <c r="U95" s="69" t="s">
        <v>24</v>
      </c>
      <c r="V95" s="69" t="s">
        <v>25</v>
      </c>
      <c r="W95" s="69" t="s">
        <v>26</v>
      </c>
      <c r="X95" s="69" t="s">
        <v>27</v>
      </c>
      <c r="Y95" s="69" t="s">
        <v>28</v>
      </c>
      <c r="Z95" s="69" t="s">
        <v>29</v>
      </c>
      <c r="AA95" s="4"/>
      <c r="AB95" s="4"/>
      <c r="AC95" s="4"/>
      <c r="AD95" s="70"/>
      <c r="AE95" s="70">
        <f>トップス!AE95</f>
        <v>0</v>
      </c>
      <c r="AF95" s="70" t="str">
        <f>トップス!Q95</f>
        <v>通常</v>
      </c>
      <c r="AG95" s="70">
        <v>0</v>
      </c>
      <c r="AH95" s="6">
        <f xml:space="preserve"> トップス!AC95</f>
        <v>0</v>
      </c>
      <c r="AI95">
        <v>1</v>
      </c>
      <c r="AJ95">
        <f>トップス!T95</f>
        <v>0</v>
      </c>
    </row>
    <row r="96" spans="1:36" ht="13.5" hidden="1" customHeight="1">
      <c r="A96" s="3" t="str">
        <f>IF(トップス!A96="","",トップス!A96)</f>
        <v/>
      </c>
      <c r="B96" s="68" t="str">
        <f>IF(トップス!B96="","",トップス!B96)</f>
        <v/>
      </c>
      <c r="C96" s="3" t="str">
        <f>IF(トップス!C96="","",トップス!C96)</f>
        <v>◇ サイズ E</v>
      </c>
      <c r="D96" s="3" t="str">
        <f>IF(トップス!E96="","",トップス!E96)</f>
        <v>無</v>
      </c>
      <c r="E96" s="3" t="str">
        <f>IF(トップス!AA96="","",トップス!AA96)</f>
        <v>ベースW</v>
      </c>
      <c r="F96" s="3" t="str">
        <f>IF(トップス!G96="","",トップス!G96)</f>
        <v/>
      </c>
      <c r="G96" s="3" t="str">
        <f>IF(トップス!H96="","",トップス!H96)</f>
        <v/>
      </c>
      <c r="H96" s="3" t="str">
        <f>IF(トップス!I96="","",トップス!I96)</f>
        <v/>
      </c>
      <c r="I96" s="3" t="str">
        <f>IF(トップス!J96="","",トップス!J96)</f>
        <v>画像参照</v>
      </c>
      <c r="J96" s="3" t="str">
        <f>IF(トップス!K96="","",トップス!K96)</f>
        <v/>
      </c>
      <c r="K96" s="3" t="str">
        <f>IF(トップス!L96="","",トップス!L96)</f>
        <v>サイズ</v>
      </c>
      <c r="L96" s="3" t="str">
        <f xml:space="preserve"> トップス!Z96</f>
        <v>着丈：約cm　肩幅：約cm　身幅：約cm　袖丈：約cm</v>
      </c>
      <c r="M96" s="69" t="s">
        <v>19</v>
      </c>
      <c r="N96" s="69" t="s">
        <v>20</v>
      </c>
      <c r="O96" s="69" t="s">
        <v>21</v>
      </c>
      <c r="P96" s="4" t="s">
        <v>3036</v>
      </c>
      <c r="Q96" s="4" t="s">
        <v>3038</v>
      </c>
      <c r="R96" s="69" t="s">
        <v>22</v>
      </c>
      <c r="S96" s="69" t="s">
        <v>23</v>
      </c>
      <c r="T96" s="69" t="s">
        <v>22</v>
      </c>
      <c r="U96" s="69" t="s">
        <v>24</v>
      </c>
      <c r="V96" s="69" t="s">
        <v>25</v>
      </c>
      <c r="W96" s="69" t="s">
        <v>26</v>
      </c>
      <c r="X96" s="69" t="s">
        <v>27</v>
      </c>
      <c r="Y96" s="69" t="s">
        <v>28</v>
      </c>
      <c r="Z96" s="69" t="s">
        <v>29</v>
      </c>
      <c r="AA96" s="4"/>
      <c r="AB96" s="4"/>
      <c r="AC96" s="4"/>
      <c r="AD96" s="70"/>
      <c r="AE96" s="70">
        <f>トップス!AE96</f>
        <v>0</v>
      </c>
      <c r="AF96" s="70" t="str">
        <f>トップス!Q96</f>
        <v>通常</v>
      </c>
      <c r="AG96" s="70">
        <v>0</v>
      </c>
      <c r="AH96" s="6">
        <f xml:space="preserve"> トップス!AC96</f>
        <v>0</v>
      </c>
      <c r="AI96">
        <v>1</v>
      </c>
      <c r="AJ96">
        <f>トップス!T96</f>
        <v>0</v>
      </c>
    </row>
    <row r="97" spans="1:36" ht="13.5" hidden="1" customHeight="1">
      <c r="A97" s="3" t="str">
        <f>IF(トップス!A97="","",トップス!A97)</f>
        <v/>
      </c>
      <c r="B97" s="68" t="str">
        <f>IF(トップス!B97="","",トップス!B97)</f>
        <v/>
      </c>
      <c r="C97" s="3" t="str">
        <f>IF(トップス!C97="","",トップス!C97)</f>
        <v>◇ サイズ E</v>
      </c>
      <c r="D97" s="3" t="str">
        <f>IF(トップス!E97="","",トップス!E97)</f>
        <v>無</v>
      </c>
      <c r="E97" s="3" t="str">
        <f>IF(トップス!AA97="","",トップス!AA97)</f>
        <v>ベースW</v>
      </c>
      <c r="F97" s="3" t="str">
        <f>IF(トップス!G97="","",トップス!G97)</f>
        <v/>
      </c>
      <c r="G97" s="3" t="str">
        <f>IF(トップス!H97="","",トップス!H97)</f>
        <v/>
      </c>
      <c r="H97" s="3" t="str">
        <f>IF(トップス!I97="","",トップス!I97)</f>
        <v/>
      </c>
      <c r="I97" s="3" t="str">
        <f>IF(トップス!J97="","",トップス!J97)</f>
        <v>画像参照</v>
      </c>
      <c r="J97" s="3" t="str">
        <f>IF(トップス!K97="","",トップス!K97)</f>
        <v/>
      </c>
      <c r="K97" s="3" t="str">
        <f>IF(トップス!L97="","",トップス!L97)</f>
        <v>サイズ</v>
      </c>
      <c r="L97" s="3" t="str">
        <f xml:space="preserve"> トップス!Z97</f>
        <v>着丈：約cm　肩幅：約cm　身幅：約cm　袖丈：約cm</v>
      </c>
      <c r="M97" s="69" t="s">
        <v>19</v>
      </c>
      <c r="N97" s="69" t="s">
        <v>20</v>
      </c>
      <c r="O97" s="69" t="s">
        <v>21</v>
      </c>
      <c r="P97" s="4" t="s">
        <v>3036</v>
      </c>
      <c r="Q97" s="4" t="s">
        <v>3038</v>
      </c>
      <c r="R97" s="69" t="s">
        <v>22</v>
      </c>
      <c r="S97" s="69" t="s">
        <v>23</v>
      </c>
      <c r="T97" s="69" t="s">
        <v>22</v>
      </c>
      <c r="U97" s="69" t="s">
        <v>24</v>
      </c>
      <c r="V97" s="69" t="s">
        <v>25</v>
      </c>
      <c r="W97" s="69" t="s">
        <v>26</v>
      </c>
      <c r="X97" s="69" t="s">
        <v>27</v>
      </c>
      <c r="Y97" s="69" t="s">
        <v>28</v>
      </c>
      <c r="Z97" s="69" t="s">
        <v>29</v>
      </c>
      <c r="AA97" s="4"/>
      <c r="AB97" s="4"/>
      <c r="AC97" s="4"/>
      <c r="AD97" s="70"/>
      <c r="AE97" s="70">
        <f>トップス!AE97</f>
        <v>0</v>
      </c>
      <c r="AF97" s="70" t="str">
        <f>トップス!Q97</f>
        <v>通常</v>
      </c>
      <c r="AG97" s="70">
        <v>0</v>
      </c>
      <c r="AH97" s="6">
        <f xml:space="preserve"> トップス!AC97</f>
        <v>0</v>
      </c>
      <c r="AI97">
        <v>1</v>
      </c>
      <c r="AJ97">
        <f>トップス!T97</f>
        <v>0</v>
      </c>
    </row>
    <row r="98" spans="1:36" ht="13.5" hidden="1" customHeight="1">
      <c r="A98" s="3" t="str">
        <f>IF(トップス!A98="","",トップス!A98)</f>
        <v/>
      </c>
      <c r="B98" s="68" t="str">
        <f>IF(トップス!B98="","",トップス!B98)</f>
        <v/>
      </c>
      <c r="C98" s="3" t="str">
        <f>IF(トップス!C98="","",トップス!C98)</f>
        <v>◇ サイズ E</v>
      </c>
      <c r="D98" s="3" t="str">
        <f>IF(トップス!E98="","",トップス!E98)</f>
        <v>無</v>
      </c>
      <c r="E98" s="3" t="str">
        <f>IF(トップス!AA98="","",トップス!AA98)</f>
        <v>ベースW</v>
      </c>
      <c r="F98" s="3" t="str">
        <f>IF(トップス!G98="","",トップス!G98)</f>
        <v/>
      </c>
      <c r="G98" s="3" t="str">
        <f>IF(トップス!H98="","",トップス!H98)</f>
        <v/>
      </c>
      <c r="H98" s="3" t="str">
        <f>IF(トップス!I98="","",トップス!I98)</f>
        <v/>
      </c>
      <c r="I98" s="3" t="str">
        <f>IF(トップス!J98="","",トップス!J98)</f>
        <v>画像参照</v>
      </c>
      <c r="J98" s="3" t="str">
        <f>IF(トップス!K98="","",トップス!K98)</f>
        <v/>
      </c>
      <c r="K98" s="3" t="str">
        <f>IF(トップス!L98="","",トップス!L98)</f>
        <v>サイズ</v>
      </c>
      <c r="L98" s="3" t="str">
        <f xml:space="preserve"> トップス!Z98</f>
        <v>着丈：約cm　肩幅：約cm　身幅：約cm　袖丈：約cm</v>
      </c>
      <c r="M98" s="69" t="s">
        <v>19</v>
      </c>
      <c r="N98" s="69" t="s">
        <v>20</v>
      </c>
      <c r="O98" s="69" t="s">
        <v>21</v>
      </c>
      <c r="P98" s="4" t="s">
        <v>3036</v>
      </c>
      <c r="Q98" s="4" t="s">
        <v>3038</v>
      </c>
      <c r="R98" s="69" t="s">
        <v>22</v>
      </c>
      <c r="S98" s="69" t="s">
        <v>23</v>
      </c>
      <c r="T98" s="69" t="s">
        <v>22</v>
      </c>
      <c r="U98" s="69" t="s">
        <v>24</v>
      </c>
      <c r="V98" s="69" t="s">
        <v>25</v>
      </c>
      <c r="W98" s="69" t="s">
        <v>26</v>
      </c>
      <c r="X98" s="69" t="s">
        <v>27</v>
      </c>
      <c r="Y98" s="69" t="s">
        <v>28</v>
      </c>
      <c r="Z98" s="69" t="s">
        <v>29</v>
      </c>
      <c r="AA98" s="4"/>
      <c r="AB98" s="4"/>
      <c r="AC98" s="4"/>
      <c r="AD98" s="70"/>
      <c r="AE98" s="70">
        <f>トップス!AE98</f>
        <v>0</v>
      </c>
      <c r="AF98" s="70" t="str">
        <f>トップス!Q98</f>
        <v>通常</v>
      </c>
      <c r="AG98" s="70">
        <v>0</v>
      </c>
      <c r="AH98" s="6">
        <f xml:space="preserve"> トップス!AC98</f>
        <v>0</v>
      </c>
      <c r="AI98">
        <v>1</v>
      </c>
      <c r="AJ98">
        <f>トップス!T98</f>
        <v>0</v>
      </c>
    </row>
    <row r="99" spans="1:36" ht="13.5" hidden="1" customHeight="1">
      <c r="A99" s="3" t="str">
        <f>IF(トップス!A99="","",トップス!A99)</f>
        <v/>
      </c>
      <c r="B99" s="68" t="str">
        <f>IF(トップス!B99="","",トップス!B99)</f>
        <v/>
      </c>
      <c r="C99" s="3" t="str">
        <f>IF(トップス!C99="","",トップス!C99)</f>
        <v>◇ サイズ E</v>
      </c>
      <c r="D99" s="3" t="str">
        <f>IF(トップス!E99="","",トップス!E99)</f>
        <v>無</v>
      </c>
      <c r="E99" s="3" t="str">
        <f>IF(トップス!AA99="","",トップス!AA99)</f>
        <v>ベースW</v>
      </c>
      <c r="F99" s="3" t="str">
        <f>IF(トップス!G99="","",トップス!G99)</f>
        <v/>
      </c>
      <c r="G99" s="3" t="str">
        <f>IF(トップス!H99="","",トップス!H99)</f>
        <v/>
      </c>
      <c r="H99" s="3" t="str">
        <f>IF(トップス!I99="","",トップス!I99)</f>
        <v/>
      </c>
      <c r="I99" s="3" t="str">
        <f>IF(トップス!J99="","",トップス!J99)</f>
        <v>画像参照</v>
      </c>
      <c r="J99" s="3" t="str">
        <f>IF(トップス!K99="","",トップス!K99)</f>
        <v/>
      </c>
      <c r="K99" s="3" t="str">
        <f>IF(トップス!L99="","",トップス!L99)</f>
        <v>サイズ</v>
      </c>
      <c r="L99" s="3" t="str">
        <f xml:space="preserve"> トップス!Z99</f>
        <v>着丈：約cm　肩幅：約cm　身幅：約cm　袖丈：約cm</v>
      </c>
      <c r="M99" s="69" t="s">
        <v>19</v>
      </c>
      <c r="N99" s="69" t="s">
        <v>20</v>
      </c>
      <c r="O99" s="69" t="s">
        <v>21</v>
      </c>
      <c r="P99" s="4" t="s">
        <v>3036</v>
      </c>
      <c r="Q99" s="4" t="s">
        <v>3038</v>
      </c>
      <c r="R99" s="69" t="s">
        <v>22</v>
      </c>
      <c r="S99" s="69" t="s">
        <v>23</v>
      </c>
      <c r="T99" s="69" t="s">
        <v>22</v>
      </c>
      <c r="U99" s="69" t="s">
        <v>24</v>
      </c>
      <c r="V99" s="69" t="s">
        <v>25</v>
      </c>
      <c r="W99" s="69" t="s">
        <v>26</v>
      </c>
      <c r="X99" s="69" t="s">
        <v>27</v>
      </c>
      <c r="Y99" s="69" t="s">
        <v>28</v>
      </c>
      <c r="Z99" s="69" t="s">
        <v>29</v>
      </c>
      <c r="AA99" s="4"/>
      <c r="AB99" s="4"/>
      <c r="AC99" s="4"/>
      <c r="AD99" s="70"/>
      <c r="AE99" s="70">
        <f>トップス!AE99</f>
        <v>0</v>
      </c>
      <c r="AF99" s="70" t="str">
        <f>トップス!Q99</f>
        <v>通常</v>
      </c>
      <c r="AG99" s="70">
        <v>0</v>
      </c>
      <c r="AH99" s="6">
        <f xml:space="preserve"> トップス!AC99</f>
        <v>0</v>
      </c>
      <c r="AI99">
        <v>1</v>
      </c>
      <c r="AJ99">
        <f>トップス!T99</f>
        <v>0</v>
      </c>
    </row>
    <row r="100" spans="1:36" ht="13.5" hidden="1" customHeight="1">
      <c r="A100" s="3" t="str">
        <f>IF(トップス!A100="","",トップス!A100)</f>
        <v/>
      </c>
      <c r="B100" s="68" t="str">
        <f>IF(トップス!B100="","",トップス!B100)</f>
        <v/>
      </c>
      <c r="C100" s="3" t="str">
        <f>IF(トップス!C100="","",トップス!C100)</f>
        <v>◇ サイズ E</v>
      </c>
      <c r="D100" s="3" t="str">
        <f>IF(トップス!E100="","",トップス!E100)</f>
        <v>無</v>
      </c>
      <c r="E100" s="3" t="str">
        <f>IF(トップス!AA100="","",トップス!AA100)</f>
        <v>ベースW</v>
      </c>
      <c r="F100" s="3" t="str">
        <f>IF(トップス!G100="","",トップス!G100)</f>
        <v/>
      </c>
      <c r="G100" s="3" t="str">
        <f>IF(トップス!H100="","",トップス!H100)</f>
        <v/>
      </c>
      <c r="H100" s="3" t="str">
        <f>IF(トップス!I100="","",トップス!I100)</f>
        <v/>
      </c>
      <c r="I100" s="3" t="str">
        <f>IF(トップス!J100="","",トップス!J100)</f>
        <v>画像参照</v>
      </c>
      <c r="J100" s="3" t="str">
        <f>IF(トップス!K100="","",トップス!K100)</f>
        <v/>
      </c>
      <c r="K100" s="3" t="str">
        <f>IF(トップス!L100="","",トップス!L100)</f>
        <v>サイズ</v>
      </c>
      <c r="L100" s="3" t="str">
        <f xml:space="preserve"> トップス!Z100</f>
        <v>着丈：約cm　肩幅：約cm　身幅：約cm　袖丈：約cm</v>
      </c>
      <c r="M100" s="69" t="s">
        <v>19</v>
      </c>
      <c r="N100" s="69" t="s">
        <v>20</v>
      </c>
      <c r="O100" s="69" t="s">
        <v>21</v>
      </c>
      <c r="P100" s="4" t="s">
        <v>3036</v>
      </c>
      <c r="Q100" s="4" t="s">
        <v>3038</v>
      </c>
      <c r="R100" s="69" t="s">
        <v>22</v>
      </c>
      <c r="S100" s="69" t="s">
        <v>23</v>
      </c>
      <c r="T100" s="69" t="s">
        <v>22</v>
      </c>
      <c r="U100" s="69" t="s">
        <v>24</v>
      </c>
      <c r="V100" s="69" t="s">
        <v>25</v>
      </c>
      <c r="W100" s="69" t="s">
        <v>26</v>
      </c>
      <c r="X100" s="69" t="s">
        <v>27</v>
      </c>
      <c r="Y100" s="69" t="s">
        <v>28</v>
      </c>
      <c r="Z100" s="69" t="s">
        <v>29</v>
      </c>
      <c r="AA100" s="4"/>
      <c r="AB100" s="4"/>
      <c r="AC100" s="4"/>
      <c r="AD100" s="70"/>
      <c r="AE100" s="70">
        <f>トップス!AE100</f>
        <v>0</v>
      </c>
      <c r="AF100" s="70" t="str">
        <f>トップス!Q100</f>
        <v>通常</v>
      </c>
      <c r="AG100" s="70">
        <v>0</v>
      </c>
      <c r="AH100" s="6">
        <f xml:space="preserve"> トップス!AC100</f>
        <v>0</v>
      </c>
      <c r="AI100">
        <v>1</v>
      </c>
      <c r="AJ100">
        <f>トップス!T100</f>
        <v>0</v>
      </c>
    </row>
    <row r="101" spans="1:36" ht="13.5" hidden="1" customHeight="1">
      <c r="A101" s="3" t="str">
        <f>IF(トップス!A101="","",トップス!A101)</f>
        <v/>
      </c>
      <c r="B101" s="68" t="str">
        <f>IF(トップス!B101="","",トップス!B101)</f>
        <v/>
      </c>
      <c r="C101" s="3" t="str">
        <f>IF(トップス!C101="","",トップス!C101)</f>
        <v>◇ サイズ E</v>
      </c>
      <c r="D101" s="3" t="str">
        <f>IF(トップス!E101="","",トップス!E101)</f>
        <v>無</v>
      </c>
      <c r="E101" s="3" t="str">
        <f>IF(トップス!AA101="","",トップス!AA101)</f>
        <v>ベースW</v>
      </c>
      <c r="F101" s="3" t="str">
        <f>IF(トップス!G101="","",トップス!G101)</f>
        <v/>
      </c>
      <c r="G101" s="3" t="str">
        <f>IF(トップス!H101="","",トップス!H101)</f>
        <v/>
      </c>
      <c r="H101" s="3" t="str">
        <f>IF(トップス!I101="","",トップス!I101)</f>
        <v/>
      </c>
      <c r="I101" s="3" t="str">
        <f>IF(トップス!J101="","",トップス!J101)</f>
        <v>画像参照</v>
      </c>
      <c r="J101" s="3" t="str">
        <f>IF(トップス!K101="","",トップス!K101)</f>
        <v/>
      </c>
      <c r="K101" s="3" t="str">
        <f>IF(トップス!L101="","",トップス!L101)</f>
        <v>サイズ</v>
      </c>
      <c r="L101" s="3" t="str">
        <f xml:space="preserve"> トップス!Z101</f>
        <v>着丈：約cm　肩幅：約cm　身幅：約cm　袖丈：約cm</v>
      </c>
      <c r="M101" s="69" t="s">
        <v>19</v>
      </c>
      <c r="N101" s="69" t="s">
        <v>20</v>
      </c>
      <c r="O101" s="69" t="s">
        <v>21</v>
      </c>
      <c r="P101" s="4" t="s">
        <v>3036</v>
      </c>
      <c r="Q101" s="4" t="s">
        <v>3038</v>
      </c>
      <c r="R101" s="69" t="s">
        <v>22</v>
      </c>
      <c r="S101" s="69" t="s">
        <v>23</v>
      </c>
      <c r="T101" s="69" t="s">
        <v>22</v>
      </c>
      <c r="U101" s="69" t="s">
        <v>24</v>
      </c>
      <c r="V101" s="69" t="s">
        <v>25</v>
      </c>
      <c r="W101" s="69" t="s">
        <v>26</v>
      </c>
      <c r="X101" s="69" t="s">
        <v>27</v>
      </c>
      <c r="Y101" s="69" t="s">
        <v>28</v>
      </c>
      <c r="Z101" s="69" t="s">
        <v>29</v>
      </c>
      <c r="AA101" s="4"/>
      <c r="AB101" s="4"/>
      <c r="AC101" s="4"/>
      <c r="AD101" s="70"/>
      <c r="AE101" s="70">
        <f>トップス!AE101</f>
        <v>0</v>
      </c>
      <c r="AF101" s="70" t="str">
        <f>トップス!Q101</f>
        <v>通常</v>
      </c>
      <c r="AG101" s="70">
        <v>0</v>
      </c>
      <c r="AH101" s="6">
        <f xml:space="preserve"> トップス!AC101</f>
        <v>0</v>
      </c>
      <c r="AI101">
        <v>1</v>
      </c>
      <c r="AJ101">
        <f>トップス!T101</f>
        <v>0</v>
      </c>
    </row>
    <row r="102" spans="1:36" ht="13.5" hidden="1" customHeight="1">
      <c r="A102" s="3" t="str">
        <f>IF(トップス!A102="","",トップス!A102)</f>
        <v/>
      </c>
      <c r="B102" s="68" t="str">
        <f>IF(トップス!B102="","",トップス!B102)</f>
        <v/>
      </c>
      <c r="C102" s="3" t="str">
        <f>IF(トップス!C102="","",トップス!C102)</f>
        <v>◇ サイズ E</v>
      </c>
      <c r="D102" s="3" t="str">
        <f>IF(トップス!E102="","",トップス!E102)</f>
        <v>無</v>
      </c>
      <c r="E102" s="3" t="str">
        <f>IF(トップス!AA102="","",トップス!AA102)</f>
        <v>ベースW</v>
      </c>
      <c r="F102" s="3" t="str">
        <f>IF(トップス!G102="","",トップス!G102)</f>
        <v/>
      </c>
      <c r="G102" s="3" t="str">
        <f>IF(トップス!H102="","",トップス!H102)</f>
        <v/>
      </c>
      <c r="H102" s="3" t="str">
        <f>IF(トップス!I102="","",トップス!I102)</f>
        <v/>
      </c>
      <c r="I102" s="3" t="str">
        <f>IF(トップス!J102="","",トップス!J102)</f>
        <v>画像参照</v>
      </c>
      <c r="J102" s="3" t="str">
        <f>IF(トップス!K102="","",トップス!K102)</f>
        <v/>
      </c>
      <c r="K102" s="3" t="str">
        <f>IF(トップス!L102="","",トップス!L102)</f>
        <v>サイズ</v>
      </c>
      <c r="L102" s="3" t="str">
        <f xml:space="preserve"> トップス!Z102</f>
        <v>着丈：約cm　肩幅：約cm　身幅：約cm　袖丈：約cm</v>
      </c>
      <c r="M102" s="69" t="s">
        <v>19</v>
      </c>
      <c r="N102" s="69" t="s">
        <v>20</v>
      </c>
      <c r="O102" s="69" t="s">
        <v>21</v>
      </c>
      <c r="P102" s="4" t="s">
        <v>3036</v>
      </c>
      <c r="Q102" s="4" t="s">
        <v>3038</v>
      </c>
      <c r="R102" s="69" t="s">
        <v>22</v>
      </c>
      <c r="S102" s="69" t="s">
        <v>23</v>
      </c>
      <c r="T102" s="69" t="s">
        <v>22</v>
      </c>
      <c r="U102" s="69" t="s">
        <v>24</v>
      </c>
      <c r="V102" s="69" t="s">
        <v>25</v>
      </c>
      <c r="W102" s="69" t="s">
        <v>26</v>
      </c>
      <c r="X102" s="69" t="s">
        <v>27</v>
      </c>
      <c r="Y102" s="69" t="s">
        <v>28</v>
      </c>
      <c r="Z102" s="69" t="s">
        <v>29</v>
      </c>
      <c r="AA102" s="4"/>
      <c r="AB102" s="4"/>
      <c r="AC102" s="4"/>
      <c r="AD102" s="70"/>
      <c r="AE102" s="70">
        <f>トップス!AE102</f>
        <v>0</v>
      </c>
      <c r="AF102" s="70" t="str">
        <f>トップス!Q102</f>
        <v>通常</v>
      </c>
      <c r="AG102" s="70">
        <v>0</v>
      </c>
      <c r="AH102" s="6">
        <f xml:space="preserve"> トップス!AC102</f>
        <v>0</v>
      </c>
      <c r="AI102">
        <v>1</v>
      </c>
      <c r="AJ102">
        <f>トップス!T102</f>
        <v>0</v>
      </c>
    </row>
    <row r="103" spans="1:36" ht="13.5" hidden="1" customHeight="1">
      <c r="A103" s="3" t="str">
        <f>IF(トップス!A103="","",トップス!A103)</f>
        <v/>
      </c>
      <c r="B103" s="68" t="str">
        <f>IF(トップス!B103="","",トップス!B103)</f>
        <v/>
      </c>
      <c r="C103" s="3" t="str">
        <f>IF(トップス!C103="","",トップス!C103)</f>
        <v>◇ サイズ E</v>
      </c>
      <c r="D103" s="3" t="str">
        <f>IF(トップス!E103="","",トップス!E103)</f>
        <v>無</v>
      </c>
      <c r="E103" s="3" t="str">
        <f>IF(トップス!AA103="","",トップス!AA103)</f>
        <v>ベースW</v>
      </c>
      <c r="F103" s="3" t="str">
        <f>IF(トップス!G103="","",トップス!G103)</f>
        <v/>
      </c>
      <c r="G103" s="3" t="str">
        <f>IF(トップス!H103="","",トップス!H103)</f>
        <v/>
      </c>
      <c r="H103" s="3" t="str">
        <f>IF(トップス!I103="","",トップス!I103)</f>
        <v/>
      </c>
      <c r="I103" s="3" t="str">
        <f>IF(トップス!J103="","",トップス!J103)</f>
        <v>画像参照</v>
      </c>
      <c r="J103" s="3" t="str">
        <f>IF(トップス!K103="","",トップス!K103)</f>
        <v/>
      </c>
      <c r="K103" s="3" t="str">
        <f>IF(トップス!L103="","",トップス!L103)</f>
        <v>サイズ</v>
      </c>
      <c r="L103" s="3" t="str">
        <f xml:space="preserve"> トップス!Z103</f>
        <v>着丈：約cm　肩幅：約cm　身幅：約cm　袖丈：約cm</v>
      </c>
      <c r="M103" s="69" t="s">
        <v>19</v>
      </c>
      <c r="N103" s="69" t="s">
        <v>20</v>
      </c>
      <c r="O103" s="69" t="s">
        <v>21</v>
      </c>
      <c r="P103" s="4" t="s">
        <v>3036</v>
      </c>
      <c r="Q103" s="4" t="s">
        <v>3038</v>
      </c>
      <c r="R103" s="69" t="s">
        <v>22</v>
      </c>
      <c r="S103" s="69" t="s">
        <v>23</v>
      </c>
      <c r="T103" s="69" t="s">
        <v>22</v>
      </c>
      <c r="U103" s="69" t="s">
        <v>24</v>
      </c>
      <c r="V103" s="69" t="s">
        <v>25</v>
      </c>
      <c r="W103" s="69" t="s">
        <v>26</v>
      </c>
      <c r="X103" s="69" t="s">
        <v>27</v>
      </c>
      <c r="Y103" s="69" t="s">
        <v>28</v>
      </c>
      <c r="Z103" s="69" t="s">
        <v>29</v>
      </c>
      <c r="AA103" s="4"/>
      <c r="AB103" s="4"/>
      <c r="AC103" s="4"/>
      <c r="AD103" s="70"/>
      <c r="AE103" s="70">
        <f>トップス!AE103</f>
        <v>0</v>
      </c>
      <c r="AF103" s="70" t="str">
        <f>トップス!Q103</f>
        <v>通常</v>
      </c>
      <c r="AG103" s="70">
        <v>0</v>
      </c>
      <c r="AH103" s="6">
        <f xml:space="preserve"> トップス!AC103</f>
        <v>0</v>
      </c>
      <c r="AI103">
        <v>1</v>
      </c>
      <c r="AJ103">
        <f>トップス!T103</f>
        <v>0</v>
      </c>
    </row>
    <row r="104" spans="1:36" ht="13.5" hidden="1" customHeight="1">
      <c r="A104" s="3" t="str">
        <f>IF(トップス!A104="","",トップス!A104)</f>
        <v/>
      </c>
      <c r="B104" s="68" t="str">
        <f>IF(トップス!B104="","",トップス!B104)</f>
        <v/>
      </c>
      <c r="C104" s="3" t="str">
        <f>IF(トップス!C104="","",トップス!C104)</f>
        <v>◇ サイズ E</v>
      </c>
      <c r="D104" s="3" t="str">
        <f>IF(トップス!E104="","",トップス!E104)</f>
        <v>無</v>
      </c>
      <c r="E104" s="3" t="str">
        <f>IF(トップス!AA104="","",トップス!AA104)</f>
        <v>ベースW</v>
      </c>
      <c r="F104" s="3" t="str">
        <f>IF(トップス!G104="","",トップス!G104)</f>
        <v/>
      </c>
      <c r="G104" s="3" t="str">
        <f>IF(トップス!H104="","",トップス!H104)</f>
        <v/>
      </c>
      <c r="H104" s="3" t="str">
        <f>IF(トップス!I104="","",トップス!I104)</f>
        <v/>
      </c>
      <c r="I104" s="3" t="str">
        <f>IF(トップス!J104="","",トップス!J104)</f>
        <v>画像参照</v>
      </c>
      <c r="J104" s="3" t="str">
        <f>IF(トップス!K104="","",トップス!K104)</f>
        <v/>
      </c>
      <c r="K104" s="3" t="str">
        <f>IF(トップス!L104="","",トップス!L104)</f>
        <v>サイズ</v>
      </c>
      <c r="L104" s="3" t="str">
        <f xml:space="preserve"> トップス!Z104</f>
        <v>着丈：約cm　肩幅：約cm　身幅：約cm　袖丈：約cm</v>
      </c>
      <c r="M104" s="69" t="s">
        <v>19</v>
      </c>
      <c r="N104" s="69" t="s">
        <v>20</v>
      </c>
      <c r="O104" s="69" t="s">
        <v>21</v>
      </c>
      <c r="P104" s="4" t="s">
        <v>3036</v>
      </c>
      <c r="Q104" s="4" t="s">
        <v>3038</v>
      </c>
      <c r="R104" s="69" t="s">
        <v>22</v>
      </c>
      <c r="S104" s="69" t="s">
        <v>23</v>
      </c>
      <c r="T104" s="69" t="s">
        <v>22</v>
      </c>
      <c r="U104" s="69" t="s">
        <v>24</v>
      </c>
      <c r="V104" s="69" t="s">
        <v>25</v>
      </c>
      <c r="W104" s="69" t="s">
        <v>26</v>
      </c>
      <c r="X104" s="69" t="s">
        <v>27</v>
      </c>
      <c r="Y104" s="69" t="s">
        <v>28</v>
      </c>
      <c r="Z104" s="69" t="s">
        <v>29</v>
      </c>
      <c r="AA104" s="4"/>
      <c r="AB104" s="4"/>
      <c r="AC104" s="4"/>
      <c r="AD104" s="70"/>
      <c r="AE104" s="70">
        <f>トップス!AE104</f>
        <v>0</v>
      </c>
      <c r="AF104" s="70" t="str">
        <f>トップス!Q104</f>
        <v>通常</v>
      </c>
      <c r="AG104" s="70">
        <v>0</v>
      </c>
      <c r="AH104" s="6">
        <f xml:space="preserve"> トップス!AC104</f>
        <v>0</v>
      </c>
      <c r="AI104">
        <v>1</v>
      </c>
      <c r="AJ104">
        <f>トップス!T104</f>
        <v>0</v>
      </c>
    </row>
    <row r="105" spans="1:36" ht="13.5" hidden="1" customHeight="1">
      <c r="A105" s="3" t="str">
        <f>IF(トップス!A105="","",トップス!A105)</f>
        <v/>
      </c>
      <c r="B105" s="68" t="str">
        <f>IF(トップス!B105="","",トップス!B105)</f>
        <v/>
      </c>
      <c r="C105" s="3" t="str">
        <f>IF(トップス!C105="","",トップス!C105)</f>
        <v>◇ サイズ E</v>
      </c>
      <c r="D105" s="3" t="str">
        <f>IF(トップス!E105="","",トップス!E105)</f>
        <v>無</v>
      </c>
      <c r="E105" s="3" t="str">
        <f>IF(トップス!AA105="","",トップス!AA105)</f>
        <v>ベースW</v>
      </c>
      <c r="F105" s="3" t="str">
        <f>IF(トップス!G105="","",トップス!G105)</f>
        <v/>
      </c>
      <c r="G105" s="3" t="str">
        <f>IF(トップス!H105="","",トップス!H105)</f>
        <v/>
      </c>
      <c r="H105" s="3" t="str">
        <f>IF(トップス!I105="","",トップス!I105)</f>
        <v/>
      </c>
      <c r="I105" s="3" t="str">
        <f>IF(トップス!J105="","",トップス!J105)</f>
        <v>画像参照</v>
      </c>
      <c r="J105" s="3" t="str">
        <f>IF(トップス!K105="","",トップス!K105)</f>
        <v/>
      </c>
      <c r="K105" s="3" t="str">
        <f>IF(トップス!L105="","",トップス!L105)</f>
        <v>サイズ</v>
      </c>
      <c r="L105" s="3" t="str">
        <f xml:space="preserve"> トップス!Z105</f>
        <v>着丈：約cm　肩幅：約cm　身幅：約cm　袖丈：約cm</v>
      </c>
      <c r="M105" s="69" t="s">
        <v>19</v>
      </c>
      <c r="N105" s="69" t="s">
        <v>20</v>
      </c>
      <c r="O105" s="69" t="s">
        <v>21</v>
      </c>
      <c r="P105" s="4" t="s">
        <v>3036</v>
      </c>
      <c r="Q105" s="4" t="s">
        <v>3038</v>
      </c>
      <c r="R105" s="69" t="s">
        <v>22</v>
      </c>
      <c r="S105" s="69" t="s">
        <v>23</v>
      </c>
      <c r="T105" s="69" t="s">
        <v>22</v>
      </c>
      <c r="U105" s="69" t="s">
        <v>24</v>
      </c>
      <c r="V105" s="69" t="s">
        <v>25</v>
      </c>
      <c r="W105" s="69" t="s">
        <v>26</v>
      </c>
      <c r="X105" s="69" t="s">
        <v>27</v>
      </c>
      <c r="Y105" s="69" t="s">
        <v>28</v>
      </c>
      <c r="Z105" s="69" t="s">
        <v>29</v>
      </c>
      <c r="AA105" s="4"/>
      <c r="AB105" s="4"/>
      <c r="AC105" s="4"/>
      <c r="AD105" s="70"/>
      <c r="AE105" s="70">
        <f>トップス!AE105</f>
        <v>0</v>
      </c>
      <c r="AF105" s="70" t="str">
        <f>トップス!Q105</f>
        <v>通常</v>
      </c>
      <c r="AG105" s="70">
        <v>0</v>
      </c>
      <c r="AH105" s="6">
        <f xml:space="preserve"> トップス!AC105</f>
        <v>0</v>
      </c>
      <c r="AI105">
        <v>1</v>
      </c>
      <c r="AJ105">
        <f>トップス!T105</f>
        <v>0</v>
      </c>
    </row>
    <row r="106" spans="1:36" ht="13.5" hidden="1" customHeight="1">
      <c r="A106" s="3" t="str">
        <f>IF(トップス!A106="","",トップス!A106)</f>
        <v/>
      </c>
      <c r="B106" s="68" t="str">
        <f>IF(トップス!B106="","",トップス!B106)</f>
        <v/>
      </c>
      <c r="C106" s="3" t="str">
        <f>IF(トップス!C106="","",トップス!C106)</f>
        <v>◇ サイズ E</v>
      </c>
      <c r="D106" s="3" t="str">
        <f>IF(トップス!E106="","",トップス!E106)</f>
        <v>無</v>
      </c>
      <c r="E106" s="3" t="str">
        <f>IF(トップス!AA106="","",トップス!AA106)</f>
        <v>ベースW</v>
      </c>
      <c r="F106" s="3" t="str">
        <f>IF(トップス!G106="","",トップス!G106)</f>
        <v/>
      </c>
      <c r="G106" s="3" t="str">
        <f>IF(トップス!H106="","",トップス!H106)</f>
        <v/>
      </c>
      <c r="H106" s="3" t="str">
        <f>IF(トップス!I106="","",トップス!I106)</f>
        <v/>
      </c>
      <c r="I106" s="3" t="str">
        <f>IF(トップス!J106="","",トップス!J106)</f>
        <v>画像参照</v>
      </c>
      <c r="J106" s="3" t="str">
        <f>IF(トップス!K106="","",トップス!K106)</f>
        <v/>
      </c>
      <c r="K106" s="3" t="str">
        <f>IF(トップス!L106="","",トップス!L106)</f>
        <v>サイズ</v>
      </c>
      <c r="L106" s="3" t="str">
        <f xml:space="preserve"> トップス!Z106</f>
        <v>着丈：約cm　肩幅：約cm　身幅：約cm　袖丈：約cm</v>
      </c>
      <c r="M106" s="69" t="s">
        <v>19</v>
      </c>
      <c r="N106" s="69" t="s">
        <v>20</v>
      </c>
      <c r="O106" s="69" t="s">
        <v>21</v>
      </c>
      <c r="P106" s="4" t="s">
        <v>3036</v>
      </c>
      <c r="Q106" s="4" t="s">
        <v>3038</v>
      </c>
      <c r="R106" s="69" t="s">
        <v>22</v>
      </c>
      <c r="S106" s="69" t="s">
        <v>23</v>
      </c>
      <c r="T106" s="69" t="s">
        <v>22</v>
      </c>
      <c r="U106" s="69" t="s">
        <v>24</v>
      </c>
      <c r="V106" s="69" t="s">
        <v>25</v>
      </c>
      <c r="W106" s="69" t="s">
        <v>26</v>
      </c>
      <c r="X106" s="69" t="s">
        <v>27</v>
      </c>
      <c r="Y106" s="69" t="s">
        <v>28</v>
      </c>
      <c r="Z106" s="69" t="s">
        <v>29</v>
      </c>
      <c r="AA106" s="4"/>
      <c r="AB106" s="4"/>
      <c r="AC106" s="4"/>
      <c r="AD106" s="70"/>
      <c r="AE106" s="70">
        <f>トップス!AE106</f>
        <v>0</v>
      </c>
      <c r="AF106" s="70" t="str">
        <f>トップス!Q106</f>
        <v>通常</v>
      </c>
      <c r="AG106" s="70">
        <v>0</v>
      </c>
      <c r="AH106" s="6">
        <f xml:space="preserve"> トップス!AC106</f>
        <v>0</v>
      </c>
      <c r="AI106">
        <v>1</v>
      </c>
      <c r="AJ106">
        <f>トップス!T106</f>
        <v>0</v>
      </c>
    </row>
    <row r="107" spans="1:36" ht="13.5" hidden="1" customHeight="1">
      <c r="A107" s="3" t="str">
        <f>IF(トップス!A107="","",トップス!A107)</f>
        <v/>
      </c>
      <c r="B107" s="68" t="str">
        <f>IF(トップス!B107="","",トップス!B107)</f>
        <v/>
      </c>
      <c r="C107" s="3" t="str">
        <f>IF(トップス!C107="","",トップス!C107)</f>
        <v>◇ サイズ E</v>
      </c>
      <c r="D107" s="3" t="str">
        <f>IF(トップス!E107="","",トップス!E107)</f>
        <v>無</v>
      </c>
      <c r="E107" s="3" t="str">
        <f>IF(トップス!AA107="","",トップス!AA107)</f>
        <v>ベースW</v>
      </c>
      <c r="F107" s="3" t="str">
        <f>IF(トップス!G107="","",トップス!G107)</f>
        <v/>
      </c>
      <c r="G107" s="3" t="str">
        <f>IF(トップス!H107="","",トップス!H107)</f>
        <v/>
      </c>
      <c r="H107" s="3" t="str">
        <f>IF(トップス!I107="","",トップス!I107)</f>
        <v/>
      </c>
      <c r="I107" s="3" t="str">
        <f>IF(トップス!J107="","",トップス!J107)</f>
        <v>画像参照</v>
      </c>
      <c r="J107" s="3" t="str">
        <f>IF(トップス!K107="","",トップス!K107)</f>
        <v/>
      </c>
      <c r="K107" s="3" t="str">
        <f>IF(トップス!L107="","",トップス!L107)</f>
        <v>サイズ</v>
      </c>
      <c r="L107" s="3" t="str">
        <f xml:space="preserve"> トップス!Z107</f>
        <v>着丈：約cm　肩幅：約cm　身幅：約cm　袖丈：約cm</v>
      </c>
      <c r="M107" s="69" t="s">
        <v>19</v>
      </c>
      <c r="N107" s="69" t="s">
        <v>20</v>
      </c>
      <c r="O107" s="69" t="s">
        <v>21</v>
      </c>
      <c r="P107" s="4" t="s">
        <v>3036</v>
      </c>
      <c r="Q107" s="4" t="s">
        <v>3038</v>
      </c>
      <c r="R107" s="69" t="s">
        <v>22</v>
      </c>
      <c r="S107" s="69" t="s">
        <v>23</v>
      </c>
      <c r="T107" s="69" t="s">
        <v>22</v>
      </c>
      <c r="U107" s="69" t="s">
        <v>24</v>
      </c>
      <c r="V107" s="69" t="s">
        <v>25</v>
      </c>
      <c r="W107" s="69" t="s">
        <v>26</v>
      </c>
      <c r="X107" s="69" t="s">
        <v>27</v>
      </c>
      <c r="Y107" s="69" t="s">
        <v>28</v>
      </c>
      <c r="Z107" s="69" t="s">
        <v>29</v>
      </c>
      <c r="AA107" s="4"/>
      <c r="AB107" s="4"/>
      <c r="AC107" s="4"/>
      <c r="AD107" s="70"/>
      <c r="AE107" s="70">
        <f>トップス!AE107</f>
        <v>0</v>
      </c>
      <c r="AF107" s="70" t="str">
        <f>トップス!Q107</f>
        <v>通常</v>
      </c>
      <c r="AG107" s="70">
        <v>0</v>
      </c>
      <c r="AH107" s="6">
        <f xml:space="preserve"> トップス!AC107</f>
        <v>0</v>
      </c>
      <c r="AI107">
        <v>1</v>
      </c>
      <c r="AJ107">
        <f>トップス!T107</f>
        <v>0</v>
      </c>
    </row>
    <row r="108" spans="1:36" ht="13.5" hidden="1" customHeight="1">
      <c r="A108" s="3" t="str">
        <f>IF(トップス!A108="","",トップス!A108)</f>
        <v/>
      </c>
      <c r="B108" s="68" t="str">
        <f>IF(トップス!B108="","",トップス!B108)</f>
        <v/>
      </c>
      <c r="C108" s="3" t="str">
        <f>IF(トップス!C108="","",トップス!C108)</f>
        <v>◇ サイズ E</v>
      </c>
      <c r="D108" s="3" t="str">
        <f>IF(トップス!E108="","",トップス!E108)</f>
        <v>無</v>
      </c>
      <c r="E108" s="3" t="str">
        <f>IF(トップス!AA108="","",トップス!AA108)</f>
        <v>ベースW</v>
      </c>
      <c r="F108" s="3" t="str">
        <f>IF(トップス!G108="","",トップス!G108)</f>
        <v/>
      </c>
      <c r="G108" s="3" t="str">
        <f>IF(トップス!H108="","",トップス!H108)</f>
        <v/>
      </c>
      <c r="H108" s="3" t="str">
        <f>IF(トップス!I108="","",トップス!I108)</f>
        <v/>
      </c>
      <c r="I108" s="3" t="str">
        <f>IF(トップス!J108="","",トップス!J108)</f>
        <v>画像参照</v>
      </c>
      <c r="J108" s="3" t="str">
        <f>IF(トップス!K108="","",トップス!K108)</f>
        <v/>
      </c>
      <c r="K108" s="3" t="str">
        <f>IF(トップス!L108="","",トップス!L108)</f>
        <v>サイズ</v>
      </c>
      <c r="L108" s="3" t="str">
        <f xml:space="preserve"> トップス!Z108</f>
        <v>着丈：約cm　肩幅：約cm　身幅：約cm　袖丈：約cm</v>
      </c>
      <c r="M108" s="69" t="s">
        <v>19</v>
      </c>
      <c r="N108" s="69" t="s">
        <v>20</v>
      </c>
      <c r="O108" s="69" t="s">
        <v>21</v>
      </c>
      <c r="P108" s="4" t="s">
        <v>3036</v>
      </c>
      <c r="Q108" s="4" t="s">
        <v>3038</v>
      </c>
      <c r="R108" s="69" t="s">
        <v>22</v>
      </c>
      <c r="S108" s="69" t="s">
        <v>23</v>
      </c>
      <c r="T108" s="69" t="s">
        <v>22</v>
      </c>
      <c r="U108" s="69" t="s">
        <v>24</v>
      </c>
      <c r="V108" s="69" t="s">
        <v>25</v>
      </c>
      <c r="W108" s="69" t="s">
        <v>26</v>
      </c>
      <c r="X108" s="69" t="s">
        <v>27</v>
      </c>
      <c r="Y108" s="69" t="s">
        <v>28</v>
      </c>
      <c r="Z108" s="69" t="s">
        <v>29</v>
      </c>
      <c r="AA108" s="4"/>
      <c r="AB108" s="4"/>
      <c r="AC108" s="4"/>
      <c r="AD108" s="70"/>
      <c r="AE108" s="70">
        <f>トップス!AE108</f>
        <v>0</v>
      </c>
      <c r="AF108" s="70" t="str">
        <f>トップス!Q108</f>
        <v>通常</v>
      </c>
      <c r="AG108" s="70">
        <v>0</v>
      </c>
      <c r="AH108" s="6">
        <f xml:space="preserve"> トップス!AC108</f>
        <v>0</v>
      </c>
      <c r="AI108">
        <v>1</v>
      </c>
      <c r="AJ108">
        <f>トップス!T108</f>
        <v>0</v>
      </c>
    </row>
    <row r="109" spans="1:36" ht="13.5" hidden="1" customHeight="1">
      <c r="A109" s="3" t="str">
        <f>IF(トップス!A109="","",トップス!A109)</f>
        <v/>
      </c>
      <c r="B109" s="68" t="str">
        <f>IF(トップス!B109="","",トップス!B109)</f>
        <v/>
      </c>
      <c r="C109" s="3" t="str">
        <f>IF(トップス!C109="","",トップス!C109)</f>
        <v>◇ サイズ E</v>
      </c>
      <c r="D109" s="3" t="str">
        <f>IF(トップス!E109="","",トップス!E109)</f>
        <v>無</v>
      </c>
      <c r="E109" s="3" t="str">
        <f>IF(トップス!AA109="","",トップス!AA109)</f>
        <v>ベースW</v>
      </c>
      <c r="F109" s="3" t="str">
        <f>IF(トップス!G109="","",トップス!G109)</f>
        <v/>
      </c>
      <c r="G109" s="3" t="str">
        <f>IF(トップス!H109="","",トップス!H109)</f>
        <v/>
      </c>
      <c r="H109" s="3" t="str">
        <f>IF(トップス!I109="","",トップス!I109)</f>
        <v/>
      </c>
      <c r="I109" s="3" t="str">
        <f>IF(トップス!J109="","",トップス!J109)</f>
        <v>画像参照</v>
      </c>
      <c r="J109" s="3" t="str">
        <f>IF(トップス!K109="","",トップス!K109)</f>
        <v/>
      </c>
      <c r="K109" s="3" t="str">
        <f>IF(トップス!L109="","",トップス!L109)</f>
        <v>サイズ</v>
      </c>
      <c r="L109" s="3" t="str">
        <f xml:space="preserve"> トップス!Z109</f>
        <v>着丈：約cm　肩幅：約cm　身幅：約cm　袖丈：約cm</v>
      </c>
      <c r="M109" s="69" t="s">
        <v>19</v>
      </c>
      <c r="N109" s="69" t="s">
        <v>20</v>
      </c>
      <c r="O109" s="69" t="s">
        <v>21</v>
      </c>
      <c r="P109" s="4" t="s">
        <v>3036</v>
      </c>
      <c r="Q109" s="4" t="s">
        <v>3038</v>
      </c>
      <c r="R109" s="69" t="s">
        <v>22</v>
      </c>
      <c r="S109" s="69" t="s">
        <v>23</v>
      </c>
      <c r="T109" s="69" t="s">
        <v>22</v>
      </c>
      <c r="U109" s="69" t="s">
        <v>24</v>
      </c>
      <c r="V109" s="69" t="s">
        <v>25</v>
      </c>
      <c r="W109" s="69" t="s">
        <v>26</v>
      </c>
      <c r="X109" s="69" t="s">
        <v>27</v>
      </c>
      <c r="Y109" s="69" t="s">
        <v>28</v>
      </c>
      <c r="Z109" s="69" t="s">
        <v>29</v>
      </c>
      <c r="AA109" s="4"/>
      <c r="AB109" s="4"/>
      <c r="AC109" s="4"/>
      <c r="AD109" s="70"/>
      <c r="AE109" s="70">
        <f>トップス!AE109</f>
        <v>0</v>
      </c>
      <c r="AF109" s="70" t="str">
        <f>トップス!Q109</f>
        <v>通常</v>
      </c>
      <c r="AG109" s="70">
        <v>0</v>
      </c>
      <c r="AH109" s="6">
        <f xml:space="preserve"> トップス!AC109</f>
        <v>0</v>
      </c>
      <c r="AI109">
        <v>1</v>
      </c>
      <c r="AJ109">
        <f>トップス!T109</f>
        <v>0</v>
      </c>
    </row>
    <row r="110" spans="1:36" ht="13.5" hidden="1" customHeight="1">
      <c r="A110" s="3" t="str">
        <f>IF(トップス!A110="","",トップス!A110)</f>
        <v/>
      </c>
      <c r="B110" s="68" t="str">
        <f>IF(トップス!B110="","",トップス!B110)</f>
        <v/>
      </c>
      <c r="C110" s="3" t="str">
        <f>IF(トップス!C110="","",トップス!C110)</f>
        <v>◇ サイズ E</v>
      </c>
      <c r="D110" s="3" t="str">
        <f>IF(トップス!E110="","",トップス!E110)</f>
        <v>無</v>
      </c>
      <c r="E110" s="3" t="str">
        <f>IF(トップス!AA110="","",トップス!AA110)</f>
        <v>ベースW</v>
      </c>
      <c r="F110" s="3" t="str">
        <f>IF(トップス!G110="","",トップス!G110)</f>
        <v/>
      </c>
      <c r="G110" s="3" t="str">
        <f>IF(トップス!H110="","",トップス!H110)</f>
        <v/>
      </c>
      <c r="H110" s="3" t="str">
        <f>IF(トップス!I110="","",トップス!I110)</f>
        <v/>
      </c>
      <c r="I110" s="3" t="str">
        <f>IF(トップス!J110="","",トップス!J110)</f>
        <v>画像参照</v>
      </c>
      <c r="J110" s="3" t="str">
        <f>IF(トップス!K110="","",トップス!K110)</f>
        <v/>
      </c>
      <c r="K110" s="3" t="str">
        <f>IF(トップス!L110="","",トップス!L110)</f>
        <v>サイズ</v>
      </c>
      <c r="L110" s="3" t="str">
        <f xml:space="preserve"> トップス!Z110</f>
        <v>着丈：約cm　肩幅：約cm　身幅：約cm　袖丈：約cm</v>
      </c>
      <c r="M110" s="69" t="s">
        <v>19</v>
      </c>
      <c r="N110" s="69" t="s">
        <v>20</v>
      </c>
      <c r="O110" s="69" t="s">
        <v>21</v>
      </c>
      <c r="P110" s="4" t="s">
        <v>3036</v>
      </c>
      <c r="Q110" s="4" t="s">
        <v>3038</v>
      </c>
      <c r="R110" s="69" t="s">
        <v>22</v>
      </c>
      <c r="S110" s="69" t="s">
        <v>23</v>
      </c>
      <c r="T110" s="69" t="s">
        <v>22</v>
      </c>
      <c r="U110" s="69" t="s">
        <v>24</v>
      </c>
      <c r="V110" s="69" t="s">
        <v>25</v>
      </c>
      <c r="W110" s="69" t="s">
        <v>26</v>
      </c>
      <c r="X110" s="69" t="s">
        <v>27</v>
      </c>
      <c r="Y110" s="69" t="s">
        <v>28</v>
      </c>
      <c r="Z110" s="69" t="s">
        <v>29</v>
      </c>
      <c r="AA110" s="4"/>
      <c r="AB110" s="4"/>
      <c r="AC110" s="4"/>
      <c r="AD110" s="70"/>
      <c r="AE110" s="70">
        <f>トップス!AE110</f>
        <v>0</v>
      </c>
      <c r="AF110" s="70" t="str">
        <f>トップス!Q110</f>
        <v>通常</v>
      </c>
      <c r="AG110" s="70">
        <v>0</v>
      </c>
      <c r="AH110" s="6">
        <f xml:space="preserve"> トップス!AC110</f>
        <v>0</v>
      </c>
      <c r="AI110">
        <v>1</v>
      </c>
      <c r="AJ110">
        <f>トップス!T110</f>
        <v>0</v>
      </c>
    </row>
    <row r="111" spans="1:36" ht="13.5" hidden="1" customHeight="1">
      <c r="A111" s="3" t="str">
        <f>IF(トップス!A111="","",トップス!A111)</f>
        <v/>
      </c>
      <c r="B111" s="68" t="str">
        <f>IF(トップス!B111="","",トップス!B111)</f>
        <v/>
      </c>
      <c r="C111" s="3" t="str">
        <f>IF(トップス!C111="","",トップス!C111)</f>
        <v>◇ サイズ E</v>
      </c>
      <c r="D111" s="3" t="str">
        <f>IF(トップス!E111="","",トップス!E111)</f>
        <v>無</v>
      </c>
      <c r="E111" s="3" t="str">
        <f>IF(トップス!AA111="","",トップス!AA111)</f>
        <v>ベースW</v>
      </c>
      <c r="F111" s="3" t="str">
        <f>IF(トップス!G111="","",トップス!G111)</f>
        <v/>
      </c>
      <c r="G111" s="3" t="str">
        <f>IF(トップス!H111="","",トップス!H111)</f>
        <v/>
      </c>
      <c r="H111" s="3" t="str">
        <f>IF(トップス!I111="","",トップス!I111)</f>
        <v/>
      </c>
      <c r="I111" s="3" t="str">
        <f>IF(トップス!J111="","",トップス!J111)</f>
        <v>画像参照</v>
      </c>
      <c r="J111" s="3" t="str">
        <f>IF(トップス!K111="","",トップス!K111)</f>
        <v/>
      </c>
      <c r="K111" s="3" t="str">
        <f>IF(トップス!L111="","",トップス!L111)</f>
        <v>サイズ</v>
      </c>
      <c r="L111" s="3" t="str">
        <f xml:space="preserve"> トップス!Z111</f>
        <v>着丈：約cm　肩幅：約cm　身幅：約cm　袖丈：約cm</v>
      </c>
      <c r="M111" s="69" t="s">
        <v>19</v>
      </c>
      <c r="N111" s="69" t="s">
        <v>20</v>
      </c>
      <c r="O111" s="69" t="s">
        <v>21</v>
      </c>
      <c r="P111" s="4" t="s">
        <v>3036</v>
      </c>
      <c r="Q111" s="4" t="s">
        <v>3038</v>
      </c>
      <c r="R111" s="69" t="s">
        <v>22</v>
      </c>
      <c r="S111" s="69" t="s">
        <v>23</v>
      </c>
      <c r="T111" s="69" t="s">
        <v>22</v>
      </c>
      <c r="U111" s="69" t="s">
        <v>24</v>
      </c>
      <c r="V111" s="69" t="s">
        <v>25</v>
      </c>
      <c r="W111" s="69" t="s">
        <v>26</v>
      </c>
      <c r="X111" s="69" t="s">
        <v>27</v>
      </c>
      <c r="Y111" s="69" t="s">
        <v>28</v>
      </c>
      <c r="Z111" s="69" t="s">
        <v>29</v>
      </c>
      <c r="AA111" s="4"/>
      <c r="AB111" s="4"/>
      <c r="AC111" s="4"/>
      <c r="AD111" s="70"/>
      <c r="AE111" s="70">
        <f>トップス!AE111</f>
        <v>0</v>
      </c>
      <c r="AF111" s="70" t="str">
        <f>トップス!Q111</f>
        <v>通常</v>
      </c>
      <c r="AG111" s="70">
        <v>0</v>
      </c>
      <c r="AH111" s="6">
        <f xml:space="preserve"> トップス!AC111</f>
        <v>0</v>
      </c>
      <c r="AI111">
        <v>1</v>
      </c>
      <c r="AJ111">
        <f>トップス!T111</f>
        <v>0</v>
      </c>
    </row>
    <row r="112" spans="1:36" ht="13.5" hidden="1" customHeight="1">
      <c r="A112" s="3" t="str">
        <f>IF(トップス!A112="","",トップス!A112)</f>
        <v/>
      </c>
      <c r="B112" s="68" t="str">
        <f>IF(トップス!B112="","",トップス!B112)</f>
        <v/>
      </c>
      <c r="C112" s="3" t="str">
        <f>IF(トップス!C112="","",トップス!C112)</f>
        <v>◇ サイズ E</v>
      </c>
      <c r="D112" s="3" t="str">
        <f>IF(トップス!E112="","",トップス!E112)</f>
        <v>無</v>
      </c>
      <c r="E112" s="3" t="str">
        <f>IF(トップス!AA112="","",トップス!AA112)</f>
        <v>ベースW</v>
      </c>
      <c r="F112" s="3" t="str">
        <f>IF(トップス!G112="","",トップス!G112)</f>
        <v/>
      </c>
      <c r="G112" s="3" t="str">
        <f>IF(トップス!H112="","",トップス!H112)</f>
        <v/>
      </c>
      <c r="H112" s="3" t="str">
        <f>IF(トップス!I112="","",トップス!I112)</f>
        <v/>
      </c>
      <c r="I112" s="3" t="str">
        <f>IF(トップス!J112="","",トップス!J112)</f>
        <v>画像参照</v>
      </c>
      <c r="J112" s="3" t="str">
        <f>IF(トップス!K112="","",トップス!K112)</f>
        <v/>
      </c>
      <c r="K112" s="3" t="str">
        <f>IF(トップス!L112="","",トップス!L112)</f>
        <v>サイズ</v>
      </c>
      <c r="L112" s="3" t="str">
        <f xml:space="preserve"> トップス!Z112</f>
        <v>着丈：約cm　肩幅：約cm　身幅：約cm　袖丈：約cm</v>
      </c>
      <c r="M112" s="69" t="s">
        <v>19</v>
      </c>
      <c r="N112" s="69" t="s">
        <v>20</v>
      </c>
      <c r="O112" s="69" t="s">
        <v>21</v>
      </c>
      <c r="P112" s="4" t="s">
        <v>3036</v>
      </c>
      <c r="Q112" s="4" t="s">
        <v>3038</v>
      </c>
      <c r="R112" s="69" t="s">
        <v>22</v>
      </c>
      <c r="S112" s="69" t="s">
        <v>23</v>
      </c>
      <c r="T112" s="69" t="s">
        <v>22</v>
      </c>
      <c r="U112" s="69" t="s">
        <v>24</v>
      </c>
      <c r="V112" s="69" t="s">
        <v>25</v>
      </c>
      <c r="W112" s="69" t="s">
        <v>26</v>
      </c>
      <c r="X112" s="69" t="s">
        <v>27</v>
      </c>
      <c r="Y112" s="69" t="s">
        <v>28</v>
      </c>
      <c r="Z112" s="69" t="s">
        <v>29</v>
      </c>
      <c r="AA112" s="4"/>
      <c r="AB112" s="4"/>
      <c r="AC112" s="4"/>
      <c r="AD112" s="70"/>
      <c r="AE112" s="70">
        <f>トップス!AE112</f>
        <v>0</v>
      </c>
      <c r="AF112" s="70" t="str">
        <f>トップス!Q112</f>
        <v>通常</v>
      </c>
      <c r="AG112" s="70">
        <v>0</v>
      </c>
      <c r="AH112" s="6">
        <f xml:space="preserve"> トップス!AC112</f>
        <v>0</v>
      </c>
      <c r="AI112">
        <v>1</v>
      </c>
      <c r="AJ112">
        <f>トップス!T112</f>
        <v>0</v>
      </c>
    </row>
    <row r="113" spans="1:36" ht="13.5" hidden="1" customHeight="1">
      <c r="A113" s="3" t="str">
        <f>IF(トップス!A113="","",トップス!A113)</f>
        <v/>
      </c>
      <c r="B113" s="68" t="str">
        <f>IF(トップス!B113="","",トップス!B113)</f>
        <v/>
      </c>
      <c r="C113" s="3" t="str">
        <f>IF(トップス!C113="","",トップス!C113)</f>
        <v>◇ サイズ E</v>
      </c>
      <c r="D113" s="3" t="str">
        <f>IF(トップス!E113="","",トップス!E113)</f>
        <v>無</v>
      </c>
      <c r="E113" s="3" t="str">
        <f>IF(トップス!AA113="","",トップス!AA113)</f>
        <v>ベースW</v>
      </c>
      <c r="F113" s="3" t="str">
        <f>IF(トップス!G113="","",トップス!G113)</f>
        <v/>
      </c>
      <c r="G113" s="3" t="str">
        <f>IF(トップス!H113="","",トップス!H113)</f>
        <v/>
      </c>
      <c r="H113" s="3" t="str">
        <f>IF(トップス!I113="","",トップス!I113)</f>
        <v/>
      </c>
      <c r="I113" s="3" t="str">
        <f>IF(トップス!J113="","",トップス!J113)</f>
        <v>画像参照</v>
      </c>
      <c r="J113" s="3" t="str">
        <f>IF(トップス!K113="","",トップス!K113)</f>
        <v/>
      </c>
      <c r="K113" s="3" t="str">
        <f>IF(トップス!L113="","",トップス!L113)</f>
        <v>サイズ</v>
      </c>
      <c r="L113" s="3" t="str">
        <f xml:space="preserve"> トップス!Z113</f>
        <v>着丈：約cm　肩幅：約cm　身幅：約cm　袖丈：約cm</v>
      </c>
      <c r="M113" s="69" t="s">
        <v>19</v>
      </c>
      <c r="N113" s="69" t="s">
        <v>20</v>
      </c>
      <c r="O113" s="69" t="s">
        <v>21</v>
      </c>
      <c r="P113" s="4" t="s">
        <v>3036</v>
      </c>
      <c r="Q113" s="4" t="s">
        <v>3038</v>
      </c>
      <c r="R113" s="69" t="s">
        <v>22</v>
      </c>
      <c r="S113" s="69" t="s">
        <v>23</v>
      </c>
      <c r="T113" s="69" t="s">
        <v>22</v>
      </c>
      <c r="U113" s="69" t="s">
        <v>24</v>
      </c>
      <c r="V113" s="69" t="s">
        <v>25</v>
      </c>
      <c r="W113" s="69" t="s">
        <v>26</v>
      </c>
      <c r="X113" s="69" t="s">
        <v>27</v>
      </c>
      <c r="Y113" s="69" t="s">
        <v>28</v>
      </c>
      <c r="Z113" s="69" t="s">
        <v>29</v>
      </c>
      <c r="AA113" s="4"/>
      <c r="AB113" s="4"/>
      <c r="AC113" s="4"/>
      <c r="AD113" s="70"/>
      <c r="AE113" s="70">
        <f>トップス!AE113</f>
        <v>0</v>
      </c>
      <c r="AF113" s="70" t="str">
        <f>トップス!Q113</f>
        <v>通常</v>
      </c>
      <c r="AG113" s="70">
        <v>0</v>
      </c>
      <c r="AH113" s="6">
        <f xml:space="preserve"> トップス!AC113</f>
        <v>0</v>
      </c>
      <c r="AI113">
        <v>1</v>
      </c>
      <c r="AJ113">
        <f>トップス!T113</f>
        <v>0</v>
      </c>
    </row>
    <row r="114" spans="1:36" ht="13.5" hidden="1" customHeight="1">
      <c r="A114" s="3" t="str">
        <f>IF(トップス!A114="","",トップス!A114)</f>
        <v/>
      </c>
      <c r="B114" s="68" t="str">
        <f>IF(トップス!B114="","",トップス!B114)</f>
        <v/>
      </c>
      <c r="C114" s="3" t="str">
        <f>IF(トップス!C114="","",トップス!C114)</f>
        <v>◇ サイズ E</v>
      </c>
      <c r="D114" s="3" t="str">
        <f>IF(トップス!E114="","",トップス!E114)</f>
        <v>無</v>
      </c>
      <c r="E114" s="3" t="str">
        <f>IF(トップス!AA114="","",トップス!AA114)</f>
        <v>ベースW</v>
      </c>
      <c r="F114" s="3" t="str">
        <f>IF(トップス!G114="","",トップス!G114)</f>
        <v/>
      </c>
      <c r="G114" s="3" t="str">
        <f>IF(トップス!H114="","",トップス!H114)</f>
        <v/>
      </c>
      <c r="H114" s="3" t="str">
        <f>IF(トップス!I114="","",トップス!I114)</f>
        <v/>
      </c>
      <c r="I114" s="3" t="str">
        <f>IF(トップス!J114="","",トップス!J114)</f>
        <v>画像参照</v>
      </c>
      <c r="J114" s="3" t="str">
        <f>IF(トップス!K114="","",トップス!K114)</f>
        <v/>
      </c>
      <c r="K114" s="3" t="str">
        <f>IF(トップス!L114="","",トップス!L114)</f>
        <v>サイズ</v>
      </c>
      <c r="L114" s="3" t="str">
        <f xml:space="preserve"> トップス!Z114</f>
        <v>着丈：約cm　肩幅：約cm　身幅：約cm　袖丈：約cm</v>
      </c>
      <c r="M114" s="69" t="s">
        <v>19</v>
      </c>
      <c r="N114" s="69" t="s">
        <v>20</v>
      </c>
      <c r="O114" s="69" t="s">
        <v>21</v>
      </c>
      <c r="P114" s="4" t="s">
        <v>3036</v>
      </c>
      <c r="Q114" s="4" t="s">
        <v>3038</v>
      </c>
      <c r="R114" s="69" t="s">
        <v>22</v>
      </c>
      <c r="S114" s="69" t="s">
        <v>23</v>
      </c>
      <c r="T114" s="69" t="s">
        <v>22</v>
      </c>
      <c r="U114" s="69" t="s">
        <v>24</v>
      </c>
      <c r="V114" s="69" t="s">
        <v>25</v>
      </c>
      <c r="W114" s="69" t="s">
        <v>26</v>
      </c>
      <c r="X114" s="69" t="s">
        <v>27</v>
      </c>
      <c r="Y114" s="69" t="s">
        <v>28</v>
      </c>
      <c r="Z114" s="69" t="s">
        <v>29</v>
      </c>
      <c r="AA114" s="4"/>
      <c r="AB114" s="4"/>
      <c r="AC114" s="4"/>
      <c r="AD114" s="70"/>
      <c r="AE114" s="70">
        <f>トップス!AE114</f>
        <v>0</v>
      </c>
      <c r="AF114" s="70" t="str">
        <f>トップス!Q114</f>
        <v>通常</v>
      </c>
      <c r="AG114" s="70">
        <v>0</v>
      </c>
      <c r="AH114" s="6">
        <f xml:space="preserve"> トップス!AC114</f>
        <v>0</v>
      </c>
      <c r="AI114">
        <v>1</v>
      </c>
      <c r="AJ114">
        <f>トップス!T114</f>
        <v>0</v>
      </c>
    </row>
    <row r="115" spans="1:36" ht="13.5" hidden="1" customHeight="1">
      <c r="A115" s="3" t="str">
        <f>IF(トップス!A115="","",トップス!A115)</f>
        <v/>
      </c>
      <c r="B115" s="68" t="str">
        <f>IF(トップス!B115="","",トップス!B115)</f>
        <v/>
      </c>
      <c r="C115" s="3" t="str">
        <f>IF(トップス!C115="","",トップス!C115)</f>
        <v>◇ サイズ E</v>
      </c>
      <c r="D115" s="3" t="str">
        <f>IF(トップス!E115="","",トップス!E115)</f>
        <v>無</v>
      </c>
      <c r="E115" s="3" t="str">
        <f>IF(トップス!AA115="","",トップス!AA115)</f>
        <v>ベースW</v>
      </c>
      <c r="F115" s="3" t="str">
        <f>IF(トップス!G115="","",トップス!G115)</f>
        <v/>
      </c>
      <c r="G115" s="3" t="str">
        <f>IF(トップス!H115="","",トップス!H115)</f>
        <v/>
      </c>
      <c r="H115" s="3" t="str">
        <f>IF(トップス!I115="","",トップス!I115)</f>
        <v/>
      </c>
      <c r="I115" s="3" t="str">
        <f>IF(トップス!J115="","",トップス!J115)</f>
        <v>画像参照</v>
      </c>
      <c r="J115" s="3" t="str">
        <f>IF(トップス!K115="","",トップス!K115)</f>
        <v/>
      </c>
      <c r="K115" s="3" t="str">
        <f>IF(トップス!L115="","",トップス!L115)</f>
        <v>サイズ</v>
      </c>
      <c r="L115" s="3" t="str">
        <f xml:space="preserve"> トップス!Z115</f>
        <v>着丈：約cm　肩幅：約cm　身幅：約cm　袖丈：約cm</v>
      </c>
      <c r="M115" s="69" t="s">
        <v>19</v>
      </c>
      <c r="N115" s="69" t="s">
        <v>20</v>
      </c>
      <c r="O115" s="69" t="s">
        <v>21</v>
      </c>
      <c r="P115" s="4" t="s">
        <v>3036</v>
      </c>
      <c r="Q115" s="4" t="s">
        <v>3038</v>
      </c>
      <c r="R115" s="69" t="s">
        <v>22</v>
      </c>
      <c r="S115" s="69" t="s">
        <v>23</v>
      </c>
      <c r="T115" s="69" t="s">
        <v>22</v>
      </c>
      <c r="U115" s="69" t="s">
        <v>24</v>
      </c>
      <c r="V115" s="69" t="s">
        <v>25</v>
      </c>
      <c r="W115" s="69" t="s">
        <v>26</v>
      </c>
      <c r="X115" s="69" t="s">
        <v>27</v>
      </c>
      <c r="Y115" s="69" t="s">
        <v>28</v>
      </c>
      <c r="Z115" s="69" t="s">
        <v>29</v>
      </c>
      <c r="AA115" s="4"/>
      <c r="AB115" s="4"/>
      <c r="AC115" s="4"/>
      <c r="AD115" s="70"/>
      <c r="AE115" s="70">
        <f>トップス!AE115</f>
        <v>0</v>
      </c>
      <c r="AF115" s="70" t="str">
        <f>トップス!Q115</f>
        <v>通常</v>
      </c>
      <c r="AG115" s="70">
        <v>0</v>
      </c>
      <c r="AH115" s="6">
        <f xml:space="preserve"> トップス!AC115</f>
        <v>0</v>
      </c>
      <c r="AI115">
        <v>1</v>
      </c>
      <c r="AJ115">
        <f>トップス!T115</f>
        <v>0</v>
      </c>
    </row>
    <row r="116" spans="1:36" ht="13.5" hidden="1" customHeight="1">
      <c r="A116" s="3" t="str">
        <f>IF(トップス!A116="","",トップス!A116)</f>
        <v/>
      </c>
      <c r="B116" s="68" t="str">
        <f>IF(トップス!B116="","",トップス!B116)</f>
        <v/>
      </c>
      <c r="C116" s="3" t="str">
        <f>IF(トップス!C116="","",トップス!C116)</f>
        <v>◇ サイズ E</v>
      </c>
      <c r="D116" s="3" t="str">
        <f>IF(トップス!E116="","",トップス!E116)</f>
        <v>無</v>
      </c>
      <c r="E116" s="3" t="str">
        <f>IF(トップス!AA116="","",トップス!AA116)</f>
        <v>ベースW</v>
      </c>
      <c r="F116" s="3" t="str">
        <f>IF(トップス!G116="","",トップス!G116)</f>
        <v/>
      </c>
      <c r="G116" s="3" t="str">
        <f>IF(トップス!H116="","",トップス!H116)</f>
        <v/>
      </c>
      <c r="H116" s="3" t="str">
        <f>IF(トップス!I116="","",トップス!I116)</f>
        <v/>
      </c>
      <c r="I116" s="3" t="str">
        <f>IF(トップス!J116="","",トップス!J116)</f>
        <v>画像参照</v>
      </c>
      <c r="J116" s="3" t="str">
        <f>IF(トップス!K116="","",トップス!K116)</f>
        <v/>
      </c>
      <c r="K116" s="3" t="str">
        <f>IF(トップス!L116="","",トップス!L116)</f>
        <v>サイズ</v>
      </c>
      <c r="L116" s="3" t="str">
        <f xml:space="preserve"> トップス!Z116</f>
        <v>着丈：約cm　肩幅：約cm　身幅：約cm　袖丈：約cm</v>
      </c>
      <c r="M116" s="69" t="s">
        <v>19</v>
      </c>
      <c r="N116" s="69" t="s">
        <v>20</v>
      </c>
      <c r="O116" s="69" t="s">
        <v>21</v>
      </c>
      <c r="P116" s="4" t="s">
        <v>3036</v>
      </c>
      <c r="Q116" s="4" t="s">
        <v>3038</v>
      </c>
      <c r="R116" s="69" t="s">
        <v>22</v>
      </c>
      <c r="S116" s="69" t="s">
        <v>23</v>
      </c>
      <c r="T116" s="69" t="s">
        <v>22</v>
      </c>
      <c r="U116" s="69" t="s">
        <v>24</v>
      </c>
      <c r="V116" s="69" t="s">
        <v>25</v>
      </c>
      <c r="W116" s="69" t="s">
        <v>26</v>
      </c>
      <c r="X116" s="69" t="s">
        <v>27</v>
      </c>
      <c r="Y116" s="69" t="s">
        <v>28</v>
      </c>
      <c r="Z116" s="69" t="s">
        <v>29</v>
      </c>
      <c r="AA116" s="4"/>
      <c r="AB116" s="4"/>
      <c r="AC116" s="4"/>
      <c r="AD116" s="70"/>
      <c r="AE116" s="70">
        <f>トップス!AE116</f>
        <v>0</v>
      </c>
      <c r="AF116" s="70" t="str">
        <f>トップス!Q116</f>
        <v>通常</v>
      </c>
      <c r="AG116" s="70">
        <v>0</v>
      </c>
      <c r="AH116" s="6">
        <f xml:space="preserve"> トップス!AC116</f>
        <v>0</v>
      </c>
      <c r="AI116">
        <v>1</v>
      </c>
      <c r="AJ116">
        <f>トップス!T116</f>
        <v>0</v>
      </c>
    </row>
    <row r="117" spans="1:36" ht="13.5" hidden="1" customHeight="1">
      <c r="A117" s="3" t="str">
        <f>IF(トップス!A117="","",トップス!A117)</f>
        <v/>
      </c>
      <c r="B117" s="68" t="str">
        <f>IF(トップス!B117="","",トップス!B117)</f>
        <v/>
      </c>
      <c r="C117" s="3" t="str">
        <f>IF(トップス!C117="","",トップス!C117)</f>
        <v>◇ サイズ E</v>
      </c>
      <c r="D117" s="3" t="str">
        <f>IF(トップス!E117="","",トップス!E117)</f>
        <v>無</v>
      </c>
      <c r="E117" s="3" t="str">
        <f>IF(トップス!AA117="","",トップス!AA117)</f>
        <v>ベースW</v>
      </c>
      <c r="F117" s="3" t="str">
        <f>IF(トップス!G117="","",トップス!G117)</f>
        <v/>
      </c>
      <c r="G117" s="3" t="str">
        <f>IF(トップス!H117="","",トップス!H117)</f>
        <v/>
      </c>
      <c r="H117" s="3" t="str">
        <f>IF(トップス!I117="","",トップス!I117)</f>
        <v/>
      </c>
      <c r="I117" s="3" t="str">
        <f>IF(トップス!J117="","",トップス!J117)</f>
        <v>画像参照</v>
      </c>
      <c r="J117" s="3" t="str">
        <f>IF(トップス!K117="","",トップス!K117)</f>
        <v/>
      </c>
      <c r="K117" s="3" t="str">
        <f>IF(トップス!L117="","",トップス!L117)</f>
        <v>サイズ</v>
      </c>
      <c r="L117" s="3" t="str">
        <f xml:space="preserve"> トップス!Z117</f>
        <v>着丈：約cm　肩幅：約cm　身幅：約cm　袖丈：約cm</v>
      </c>
      <c r="M117" s="69" t="s">
        <v>19</v>
      </c>
      <c r="N117" s="69" t="s">
        <v>20</v>
      </c>
      <c r="O117" s="69" t="s">
        <v>21</v>
      </c>
      <c r="P117" s="4" t="s">
        <v>3036</v>
      </c>
      <c r="Q117" s="4" t="s">
        <v>3038</v>
      </c>
      <c r="R117" s="69" t="s">
        <v>22</v>
      </c>
      <c r="S117" s="69" t="s">
        <v>23</v>
      </c>
      <c r="T117" s="69" t="s">
        <v>22</v>
      </c>
      <c r="U117" s="69" t="s">
        <v>24</v>
      </c>
      <c r="V117" s="69" t="s">
        <v>25</v>
      </c>
      <c r="W117" s="69" t="s">
        <v>26</v>
      </c>
      <c r="X117" s="69" t="s">
        <v>27</v>
      </c>
      <c r="Y117" s="69" t="s">
        <v>28</v>
      </c>
      <c r="Z117" s="69" t="s">
        <v>29</v>
      </c>
      <c r="AA117" s="4"/>
      <c r="AB117" s="4"/>
      <c r="AC117" s="4"/>
      <c r="AD117" s="70"/>
      <c r="AE117" s="70">
        <f>トップス!AE117</f>
        <v>0</v>
      </c>
      <c r="AF117" s="70" t="str">
        <f>トップス!Q117</f>
        <v>通常</v>
      </c>
      <c r="AG117" s="70">
        <v>0</v>
      </c>
      <c r="AH117" s="6">
        <f xml:space="preserve"> トップス!AC117</f>
        <v>0</v>
      </c>
      <c r="AI117">
        <v>1</v>
      </c>
      <c r="AJ117">
        <f>トップス!T117</f>
        <v>0</v>
      </c>
    </row>
    <row r="118" spans="1:36" ht="13.5" hidden="1" customHeight="1">
      <c r="A118" s="3" t="str">
        <f>IF(トップス!A118="","",トップス!A118)</f>
        <v/>
      </c>
      <c r="B118" s="68" t="str">
        <f>IF(トップス!B118="","",トップス!B118)</f>
        <v/>
      </c>
      <c r="C118" s="3" t="str">
        <f>IF(トップス!C118="","",トップス!C118)</f>
        <v>◇ サイズ E</v>
      </c>
      <c r="D118" s="3" t="str">
        <f>IF(トップス!E118="","",トップス!E118)</f>
        <v>無</v>
      </c>
      <c r="E118" s="3" t="str">
        <f>IF(トップス!AA118="","",トップス!AA118)</f>
        <v>ベースW</v>
      </c>
      <c r="F118" s="3" t="str">
        <f>IF(トップス!G118="","",トップス!G118)</f>
        <v/>
      </c>
      <c r="G118" s="3" t="str">
        <f>IF(トップス!H118="","",トップス!H118)</f>
        <v/>
      </c>
      <c r="H118" s="3" t="str">
        <f>IF(トップス!I118="","",トップス!I118)</f>
        <v/>
      </c>
      <c r="I118" s="3" t="str">
        <f>IF(トップス!J118="","",トップス!J118)</f>
        <v>画像参照</v>
      </c>
      <c r="J118" s="3" t="str">
        <f>IF(トップス!K118="","",トップス!K118)</f>
        <v/>
      </c>
      <c r="K118" s="3" t="str">
        <f>IF(トップス!L118="","",トップス!L118)</f>
        <v>サイズ</v>
      </c>
      <c r="L118" s="3" t="str">
        <f xml:space="preserve"> トップス!Z118</f>
        <v>着丈：約cm　肩幅：約cm　身幅：約cm　袖丈：約cm</v>
      </c>
      <c r="M118" s="69" t="s">
        <v>19</v>
      </c>
      <c r="N118" s="69" t="s">
        <v>20</v>
      </c>
      <c r="O118" s="69" t="s">
        <v>21</v>
      </c>
      <c r="P118" s="4" t="s">
        <v>3036</v>
      </c>
      <c r="Q118" s="4" t="s">
        <v>3038</v>
      </c>
      <c r="R118" s="69" t="s">
        <v>22</v>
      </c>
      <c r="S118" s="69" t="s">
        <v>23</v>
      </c>
      <c r="T118" s="69" t="s">
        <v>22</v>
      </c>
      <c r="U118" s="69" t="s">
        <v>24</v>
      </c>
      <c r="V118" s="69" t="s">
        <v>25</v>
      </c>
      <c r="W118" s="69" t="s">
        <v>26</v>
      </c>
      <c r="X118" s="69" t="s">
        <v>27</v>
      </c>
      <c r="Y118" s="69" t="s">
        <v>28</v>
      </c>
      <c r="Z118" s="69" t="s">
        <v>29</v>
      </c>
      <c r="AA118" s="4"/>
      <c r="AB118" s="4"/>
      <c r="AC118" s="4"/>
      <c r="AD118" s="70"/>
      <c r="AE118" s="70">
        <f>トップス!AE118</f>
        <v>0</v>
      </c>
      <c r="AF118" s="70" t="str">
        <f>トップス!Q118</f>
        <v>通常</v>
      </c>
      <c r="AG118" s="70">
        <v>0</v>
      </c>
      <c r="AH118" s="6">
        <f xml:space="preserve"> トップス!AC118</f>
        <v>0</v>
      </c>
      <c r="AI118">
        <v>1</v>
      </c>
      <c r="AJ118">
        <f>トップス!T118</f>
        <v>0</v>
      </c>
    </row>
    <row r="119" spans="1:36" ht="13.5" hidden="1" customHeight="1">
      <c r="A119" s="3" t="str">
        <f>IF(トップス!A119="","",トップス!A119)</f>
        <v/>
      </c>
      <c r="B119" s="68" t="str">
        <f>IF(トップス!B119="","",トップス!B119)</f>
        <v/>
      </c>
      <c r="C119" s="3" t="str">
        <f>IF(トップス!C119="","",トップス!C119)</f>
        <v>◇ サイズ E</v>
      </c>
      <c r="D119" s="3" t="str">
        <f>IF(トップス!E119="","",トップス!E119)</f>
        <v>無</v>
      </c>
      <c r="E119" s="3" t="str">
        <f>IF(トップス!AA119="","",トップス!AA119)</f>
        <v>ベースW</v>
      </c>
      <c r="F119" s="3" t="str">
        <f>IF(トップス!G119="","",トップス!G119)</f>
        <v/>
      </c>
      <c r="G119" s="3" t="str">
        <f>IF(トップス!H119="","",トップス!H119)</f>
        <v/>
      </c>
      <c r="H119" s="3" t="str">
        <f>IF(トップス!I119="","",トップス!I119)</f>
        <v/>
      </c>
      <c r="I119" s="3" t="str">
        <f>IF(トップス!J119="","",トップス!J119)</f>
        <v>画像参照</v>
      </c>
      <c r="J119" s="3" t="str">
        <f>IF(トップス!K119="","",トップス!K119)</f>
        <v/>
      </c>
      <c r="K119" s="3" t="str">
        <f>IF(トップス!L119="","",トップス!L119)</f>
        <v>サイズ</v>
      </c>
      <c r="L119" s="3" t="str">
        <f xml:space="preserve"> トップス!Z119</f>
        <v>着丈：約cm　肩幅：約cm　身幅：約cm　袖丈：約cm</v>
      </c>
      <c r="M119" s="69" t="s">
        <v>19</v>
      </c>
      <c r="N119" s="69" t="s">
        <v>20</v>
      </c>
      <c r="O119" s="69" t="s">
        <v>21</v>
      </c>
      <c r="P119" s="4" t="s">
        <v>3036</v>
      </c>
      <c r="Q119" s="4" t="s">
        <v>3038</v>
      </c>
      <c r="R119" s="69" t="s">
        <v>22</v>
      </c>
      <c r="S119" s="69" t="s">
        <v>23</v>
      </c>
      <c r="T119" s="69" t="s">
        <v>22</v>
      </c>
      <c r="U119" s="69" t="s">
        <v>24</v>
      </c>
      <c r="V119" s="69" t="s">
        <v>25</v>
      </c>
      <c r="W119" s="69" t="s">
        <v>26</v>
      </c>
      <c r="X119" s="69" t="s">
        <v>27</v>
      </c>
      <c r="Y119" s="69" t="s">
        <v>28</v>
      </c>
      <c r="Z119" s="69" t="s">
        <v>29</v>
      </c>
      <c r="AA119" s="4"/>
      <c r="AB119" s="4"/>
      <c r="AC119" s="4"/>
      <c r="AD119" s="70"/>
      <c r="AE119" s="70">
        <f>トップス!AE119</f>
        <v>0</v>
      </c>
      <c r="AF119" s="70" t="str">
        <f>トップス!Q119</f>
        <v>通常</v>
      </c>
      <c r="AG119" s="70">
        <v>0</v>
      </c>
      <c r="AH119" s="6">
        <f xml:space="preserve"> トップス!AC119</f>
        <v>0</v>
      </c>
      <c r="AI119">
        <v>1</v>
      </c>
      <c r="AJ119">
        <f>トップス!T119</f>
        <v>0</v>
      </c>
    </row>
    <row r="120" spans="1:36" ht="13.5" hidden="1" customHeight="1">
      <c r="A120" s="3" t="str">
        <f>IF(トップス!A120="","",トップス!A120)</f>
        <v/>
      </c>
      <c r="B120" s="68" t="str">
        <f>IF(トップス!B120="","",トップス!B120)</f>
        <v/>
      </c>
      <c r="C120" s="3" t="str">
        <f>IF(トップス!C120="","",トップス!C120)</f>
        <v>◇ サイズ E</v>
      </c>
      <c r="D120" s="3" t="str">
        <f>IF(トップス!E120="","",トップス!E120)</f>
        <v>無</v>
      </c>
      <c r="E120" s="3" t="str">
        <f>IF(トップス!AA120="","",トップス!AA120)</f>
        <v>ベースW</v>
      </c>
      <c r="F120" s="3" t="str">
        <f>IF(トップス!G120="","",トップス!G120)</f>
        <v/>
      </c>
      <c r="G120" s="3" t="str">
        <f>IF(トップス!H120="","",トップス!H120)</f>
        <v/>
      </c>
      <c r="H120" s="3" t="str">
        <f>IF(トップス!I120="","",トップス!I120)</f>
        <v/>
      </c>
      <c r="I120" s="3" t="str">
        <f>IF(トップス!J120="","",トップス!J120)</f>
        <v>画像参照</v>
      </c>
      <c r="J120" s="3" t="str">
        <f>IF(トップス!K120="","",トップス!K120)</f>
        <v/>
      </c>
      <c r="K120" s="3" t="str">
        <f>IF(トップス!L120="","",トップス!L120)</f>
        <v>サイズ</v>
      </c>
      <c r="L120" s="3" t="str">
        <f xml:space="preserve"> トップス!Z120</f>
        <v>着丈：約cm　肩幅：約cm　身幅：約cm　袖丈：約cm</v>
      </c>
      <c r="M120" s="69" t="s">
        <v>19</v>
      </c>
      <c r="N120" s="69" t="s">
        <v>20</v>
      </c>
      <c r="O120" s="69" t="s">
        <v>21</v>
      </c>
      <c r="P120" s="4" t="s">
        <v>3036</v>
      </c>
      <c r="Q120" s="4" t="s">
        <v>3038</v>
      </c>
      <c r="R120" s="69" t="s">
        <v>22</v>
      </c>
      <c r="S120" s="69" t="s">
        <v>23</v>
      </c>
      <c r="T120" s="69" t="s">
        <v>22</v>
      </c>
      <c r="U120" s="69" t="s">
        <v>24</v>
      </c>
      <c r="V120" s="69" t="s">
        <v>25</v>
      </c>
      <c r="W120" s="69" t="s">
        <v>26</v>
      </c>
      <c r="X120" s="69" t="s">
        <v>27</v>
      </c>
      <c r="Y120" s="69" t="s">
        <v>28</v>
      </c>
      <c r="Z120" s="69" t="s">
        <v>29</v>
      </c>
      <c r="AA120" s="4"/>
      <c r="AB120" s="4"/>
      <c r="AC120" s="4"/>
      <c r="AD120" s="70"/>
      <c r="AE120" s="70">
        <f>トップス!AE120</f>
        <v>0</v>
      </c>
      <c r="AF120" s="70" t="str">
        <f>トップス!Q120</f>
        <v>通常</v>
      </c>
      <c r="AG120" s="70">
        <v>0</v>
      </c>
      <c r="AH120" s="6">
        <f xml:space="preserve"> トップス!AC120</f>
        <v>0</v>
      </c>
      <c r="AI120">
        <v>1</v>
      </c>
      <c r="AJ120">
        <f>トップス!T120</f>
        <v>0</v>
      </c>
    </row>
    <row r="121" spans="1:36" ht="13.5" hidden="1" customHeight="1">
      <c r="A121" s="3" t="str">
        <f>IF(トップス!A121="","",トップス!A121)</f>
        <v/>
      </c>
      <c r="B121" s="68" t="str">
        <f>IF(トップス!B121="","",トップス!B121)</f>
        <v/>
      </c>
      <c r="C121" s="3" t="str">
        <f>IF(トップス!C121="","",トップス!C121)</f>
        <v>◇ サイズ E</v>
      </c>
      <c r="D121" s="3" t="str">
        <f>IF(トップス!E121="","",トップス!E121)</f>
        <v>無</v>
      </c>
      <c r="E121" s="3" t="str">
        <f>IF(トップス!AA121="","",トップス!AA121)</f>
        <v>ベースW</v>
      </c>
      <c r="F121" s="3" t="str">
        <f>IF(トップス!G121="","",トップス!G121)</f>
        <v/>
      </c>
      <c r="G121" s="3" t="str">
        <f>IF(トップス!H121="","",トップス!H121)</f>
        <v/>
      </c>
      <c r="H121" s="3" t="str">
        <f>IF(トップス!I121="","",トップス!I121)</f>
        <v/>
      </c>
      <c r="I121" s="3" t="str">
        <f>IF(トップス!J121="","",トップス!J121)</f>
        <v>画像参照</v>
      </c>
      <c r="J121" s="3" t="str">
        <f>IF(トップス!K121="","",トップス!K121)</f>
        <v/>
      </c>
      <c r="K121" s="3" t="str">
        <f>IF(トップス!L121="","",トップス!L121)</f>
        <v>サイズ</v>
      </c>
      <c r="L121" s="3" t="str">
        <f xml:space="preserve"> トップス!Z121</f>
        <v>着丈：約cm　肩幅：約cm　身幅：約cm　袖丈：約cm</v>
      </c>
      <c r="M121" s="69" t="s">
        <v>19</v>
      </c>
      <c r="N121" s="69" t="s">
        <v>20</v>
      </c>
      <c r="O121" s="69" t="s">
        <v>21</v>
      </c>
      <c r="P121" s="4" t="s">
        <v>3036</v>
      </c>
      <c r="Q121" s="4" t="s">
        <v>3038</v>
      </c>
      <c r="R121" s="69" t="s">
        <v>22</v>
      </c>
      <c r="S121" s="69" t="s">
        <v>23</v>
      </c>
      <c r="T121" s="69" t="s">
        <v>22</v>
      </c>
      <c r="U121" s="69" t="s">
        <v>24</v>
      </c>
      <c r="V121" s="69" t="s">
        <v>25</v>
      </c>
      <c r="W121" s="69" t="s">
        <v>26</v>
      </c>
      <c r="X121" s="69" t="s">
        <v>27</v>
      </c>
      <c r="Y121" s="69" t="s">
        <v>28</v>
      </c>
      <c r="Z121" s="69" t="s">
        <v>29</v>
      </c>
      <c r="AA121" s="4"/>
      <c r="AB121" s="4"/>
      <c r="AC121" s="4"/>
      <c r="AD121" s="70"/>
      <c r="AE121" s="70">
        <f>トップス!AE121</f>
        <v>0</v>
      </c>
      <c r="AF121" s="70" t="str">
        <f>トップス!Q121</f>
        <v>通常</v>
      </c>
      <c r="AG121" s="70">
        <v>0</v>
      </c>
      <c r="AH121" s="6">
        <f xml:space="preserve"> トップス!AC121</f>
        <v>0</v>
      </c>
      <c r="AI121">
        <v>1</v>
      </c>
      <c r="AJ121">
        <f>トップス!T121</f>
        <v>0</v>
      </c>
    </row>
    <row r="122" spans="1:36" ht="13.5" hidden="1" customHeight="1">
      <c r="A122" s="3" t="str">
        <f>IF(トップス!A122="","",トップス!A122)</f>
        <v/>
      </c>
      <c r="B122" s="68" t="str">
        <f>IF(トップス!B122="","",トップス!B122)</f>
        <v/>
      </c>
      <c r="C122" s="3" t="str">
        <f>IF(トップス!C122="","",トップス!C122)</f>
        <v>◇ サイズ E</v>
      </c>
      <c r="D122" s="3" t="str">
        <f>IF(トップス!E122="","",トップス!E122)</f>
        <v>無</v>
      </c>
      <c r="E122" s="3" t="str">
        <f>IF(トップス!AA122="","",トップス!AA122)</f>
        <v>ベースW</v>
      </c>
      <c r="F122" s="3" t="str">
        <f>IF(トップス!G122="","",トップス!G122)</f>
        <v/>
      </c>
      <c r="G122" s="3" t="str">
        <f>IF(トップス!H122="","",トップス!H122)</f>
        <v/>
      </c>
      <c r="H122" s="3" t="str">
        <f>IF(トップス!I122="","",トップス!I122)</f>
        <v/>
      </c>
      <c r="I122" s="3" t="str">
        <f>IF(トップス!J122="","",トップス!J122)</f>
        <v>画像参照</v>
      </c>
      <c r="J122" s="3" t="str">
        <f>IF(トップス!K122="","",トップス!K122)</f>
        <v/>
      </c>
      <c r="K122" s="3" t="str">
        <f>IF(トップス!L122="","",トップス!L122)</f>
        <v>サイズ</v>
      </c>
      <c r="L122" s="3" t="str">
        <f xml:space="preserve"> トップス!Z122</f>
        <v>着丈：約cm　肩幅：約cm　身幅：約cm　袖丈：約cm</v>
      </c>
      <c r="M122" s="69" t="s">
        <v>19</v>
      </c>
      <c r="N122" s="69" t="s">
        <v>20</v>
      </c>
      <c r="O122" s="69" t="s">
        <v>21</v>
      </c>
      <c r="P122" s="4" t="s">
        <v>3036</v>
      </c>
      <c r="Q122" s="4" t="s">
        <v>3038</v>
      </c>
      <c r="R122" s="69" t="s">
        <v>22</v>
      </c>
      <c r="S122" s="69" t="s">
        <v>23</v>
      </c>
      <c r="T122" s="69" t="s">
        <v>22</v>
      </c>
      <c r="U122" s="69" t="s">
        <v>24</v>
      </c>
      <c r="V122" s="69" t="s">
        <v>25</v>
      </c>
      <c r="W122" s="69" t="s">
        <v>26</v>
      </c>
      <c r="X122" s="69" t="s">
        <v>27</v>
      </c>
      <c r="Y122" s="69" t="s">
        <v>28</v>
      </c>
      <c r="Z122" s="69" t="s">
        <v>29</v>
      </c>
      <c r="AA122" s="4"/>
      <c r="AB122" s="4"/>
      <c r="AC122" s="4"/>
      <c r="AD122" s="70"/>
      <c r="AE122" s="70">
        <f>トップス!AE122</f>
        <v>0</v>
      </c>
      <c r="AF122" s="70" t="str">
        <f>トップス!Q122</f>
        <v>通常</v>
      </c>
      <c r="AG122" s="70">
        <v>0</v>
      </c>
      <c r="AH122" s="6">
        <f xml:space="preserve"> トップス!AC122</f>
        <v>0</v>
      </c>
      <c r="AI122">
        <v>1</v>
      </c>
      <c r="AJ122">
        <f>トップス!T122</f>
        <v>0</v>
      </c>
    </row>
    <row r="123" spans="1:36" ht="13.5" hidden="1" customHeight="1">
      <c r="A123" s="3" t="str">
        <f>IF(トップス!A123="","",トップス!A123)</f>
        <v/>
      </c>
      <c r="B123" s="68" t="str">
        <f>IF(トップス!B123="","",トップス!B123)</f>
        <v/>
      </c>
      <c r="C123" s="3" t="str">
        <f>IF(トップス!C123="","",トップス!C123)</f>
        <v>◇ サイズ E</v>
      </c>
      <c r="D123" s="3" t="str">
        <f>IF(トップス!E123="","",トップス!E123)</f>
        <v>無</v>
      </c>
      <c r="E123" s="3" t="str">
        <f>IF(トップス!AA123="","",トップス!AA123)</f>
        <v>ベースW</v>
      </c>
      <c r="F123" s="3" t="str">
        <f>IF(トップス!G123="","",トップス!G123)</f>
        <v/>
      </c>
      <c r="G123" s="3" t="str">
        <f>IF(トップス!H123="","",トップス!H123)</f>
        <v/>
      </c>
      <c r="H123" s="3" t="str">
        <f>IF(トップス!I123="","",トップス!I123)</f>
        <v/>
      </c>
      <c r="I123" s="3" t="str">
        <f>IF(トップス!J123="","",トップス!J123)</f>
        <v>画像参照</v>
      </c>
      <c r="J123" s="3" t="str">
        <f>IF(トップス!K123="","",トップス!K123)</f>
        <v/>
      </c>
      <c r="K123" s="3" t="str">
        <f>IF(トップス!L123="","",トップス!L123)</f>
        <v>サイズ</v>
      </c>
      <c r="L123" s="3" t="str">
        <f xml:space="preserve"> トップス!Z123</f>
        <v>着丈：約cm　肩幅：約cm　身幅：約cm　袖丈：約cm</v>
      </c>
      <c r="M123" s="69" t="s">
        <v>19</v>
      </c>
      <c r="N123" s="69" t="s">
        <v>20</v>
      </c>
      <c r="O123" s="69" t="s">
        <v>21</v>
      </c>
      <c r="P123" s="4" t="s">
        <v>3036</v>
      </c>
      <c r="Q123" s="4" t="s">
        <v>3038</v>
      </c>
      <c r="R123" s="69" t="s">
        <v>22</v>
      </c>
      <c r="S123" s="69" t="s">
        <v>23</v>
      </c>
      <c r="T123" s="69" t="s">
        <v>22</v>
      </c>
      <c r="U123" s="69" t="s">
        <v>24</v>
      </c>
      <c r="V123" s="69" t="s">
        <v>25</v>
      </c>
      <c r="W123" s="69" t="s">
        <v>26</v>
      </c>
      <c r="X123" s="69" t="s">
        <v>27</v>
      </c>
      <c r="Y123" s="69" t="s">
        <v>28</v>
      </c>
      <c r="Z123" s="69" t="s">
        <v>29</v>
      </c>
      <c r="AA123" s="4"/>
      <c r="AB123" s="4"/>
      <c r="AC123" s="4"/>
      <c r="AD123" s="70"/>
      <c r="AE123" s="70">
        <f>トップス!AE123</f>
        <v>0</v>
      </c>
      <c r="AF123" s="70" t="str">
        <f>トップス!Q123</f>
        <v>通常</v>
      </c>
      <c r="AG123" s="70">
        <v>0</v>
      </c>
      <c r="AH123" s="6">
        <f xml:space="preserve"> トップス!AC123</f>
        <v>0</v>
      </c>
      <c r="AI123">
        <v>1</v>
      </c>
      <c r="AJ123">
        <f>トップス!T123</f>
        <v>0</v>
      </c>
    </row>
    <row r="124" spans="1:36" ht="13.5" hidden="1" customHeight="1">
      <c r="A124" s="3" t="str">
        <f>IF(トップス!A124="","",トップス!A124)</f>
        <v/>
      </c>
      <c r="B124" s="68" t="str">
        <f>IF(トップス!B124="","",トップス!B124)</f>
        <v/>
      </c>
      <c r="C124" s="3" t="str">
        <f>IF(トップス!C124="","",トップス!C124)</f>
        <v>◇ サイズ E</v>
      </c>
      <c r="D124" s="3" t="str">
        <f>IF(トップス!E124="","",トップス!E124)</f>
        <v>無</v>
      </c>
      <c r="E124" s="3" t="str">
        <f>IF(トップス!AA124="","",トップス!AA124)</f>
        <v>ベースW</v>
      </c>
      <c r="F124" s="3" t="str">
        <f>IF(トップス!G124="","",トップス!G124)</f>
        <v/>
      </c>
      <c r="G124" s="3" t="str">
        <f>IF(トップス!H124="","",トップス!H124)</f>
        <v/>
      </c>
      <c r="H124" s="3" t="str">
        <f>IF(トップス!I124="","",トップス!I124)</f>
        <v/>
      </c>
      <c r="I124" s="3" t="str">
        <f>IF(トップス!J124="","",トップス!J124)</f>
        <v>画像参照</v>
      </c>
      <c r="J124" s="3" t="str">
        <f>IF(トップス!K124="","",トップス!K124)</f>
        <v/>
      </c>
      <c r="K124" s="3" t="str">
        <f>IF(トップス!L124="","",トップス!L124)</f>
        <v>サイズ</v>
      </c>
      <c r="L124" s="3" t="str">
        <f xml:space="preserve"> トップス!Z124</f>
        <v>着丈：約cm　肩幅：約cm　身幅：約cm　袖丈：約cm</v>
      </c>
      <c r="M124" s="69" t="s">
        <v>19</v>
      </c>
      <c r="N124" s="69" t="s">
        <v>20</v>
      </c>
      <c r="O124" s="69" t="s">
        <v>21</v>
      </c>
      <c r="P124" s="4" t="s">
        <v>3036</v>
      </c>
      <c r="Q124" s="4" t="s">
        <v>3038</v>
      </c>
      <c r="R124" s="69" t="s">
        <v>22</v>
      </c>
      <c r="S124" s="69" t="s">
        <v>23</v>
      </c>
      <c r="T124" s="69" t="s">
        <v>22</v>
      </c>
      <c r="U124" s="69" t="s">
        <v>24</v>
      </c>
      <c r="V124" s="69" t="s">
        <v>25</v>
      </c>
      <c r="W124" s="69" t="s">
        <v>26</v>
      </c>
      <c r="X124" s="69" t="s">
        <v>27</v>
      </c>
      <c r="Y124" s="69" t="s">
        <v>28</v>
      </c>
      <c r="Z124" s="69" t="s">
        <v>29</v>
      </c>
      <c r="AA124" s="4"/>
      <c r="AB124" s="4"/>
      <c r="AC124" s="4"/>
      <c r="AD124" s="70"/>
      <c r="AE124" s="70">
        <f>トップス!AE124</f>
        <v>0</v>
      </c>
      <c r="AF124" s="70" t="str">
        <f>トップス!Q124</f>
        <v>通常</v>
      </c>
      <c r="AG124" s="70">
        <v>0</v>
      </c>
      <c r="AH124" s="6">
        <f xml:space="preserve"> トップス!AC124</f>
        <v>0</v>
      </c>
      <c r="AI124">
        <v>1</v>
      </c>
      <c r="AJ124">
        <f>トップス!T124</f>
        <v>0</v>
      </c>
    </row>
    <row r="125" spans="1:36" ht="13.5" hidden="1" customHeight="1">
      <c r="A125" s="3" t="str">
        <f>IF(トップス!A125="","",トップス!A125)</f>
        <v/>
      </c>
      <c r="B125" s="68" t="str">
        <f>IF(トップス!B125="","",トップス!B125)</f>
        <v/>
      </c>
      <c r="C125" s="3" t="str">
        <f>IF(トップス!C125="","",トップス!C125)</f>
        <v>◇ サイズ E</v>
      </c>
      <c r="D125" s="3" t="str">
        <f>IF(トップス!E125="","",トップス!E125)</f>
        <v>無</v>
      </c>
      <c r="E125" s="3" t="str">
        <f>IF(トップス!AA125="","",トップス!AA125)</f>
        <v>ベースW</v>
      </c>
      <c r="F125" s="3" t="str">
        <f>IF(トップス!G125="","",トップス!G125)</f>
        <v/>
      </c>
      <c r="G125" s="3" t="str">
        <f>IF(トップス!H125="","",トップス!H125)</f>
        <v/>
      </c>
      <c r="H125" s="3" t="str">
        <f>IF(トップス!I125="","",トップス!I125)</f>
        <v/>
      </c>
      <c r="I125" s="3" t="str">
        <f>IF(トップス!J125="","",トップス!J125)</f>
        <v>画像参照</v>
      </c>
      <c r="J125" s="3" t="str">
        <f>IF(トップス!K125="","",トップス!K125)</f>
        <v/>
      </c>
      <c r="K125" s="3" t="str">
        <f>IF(トップス!L125="","",トップス!L125)</f>
        <v>サイズ</v>
      </c>
      <c r="L125" s="3" t="str">
        <f xml:space="preserve"> トップス!Z125</f>
        <v>着丈：約cm　肩幅：約cm　身幅：約cm　袖丈：約cm</v>
      </c>
      <c r="M125" s="69" t="s">
        <v>19</v>
      </c>
      <c r="N125" s="69" t="s">
        <v>20</v>
      </c>
      <c r="O125" s="69" t="s">
        <v>21</v>
      </c>
      <c r="P125" s="4" t="s">
        <v>3036</v>
      </c>
      <c r="Q125" s="4" t="s">
        <v>3038</v>
      </c>
      <c r="R125" s="69" t="s">
        <v>22</v>
      </c>
      <c r="S125" s="69" t="s">
        <v>23</v>
      </c>
      <c r="T125" s="69" t="s">
        <v>22</v>
      </c>
      <c r="U125" s="69" t="s">
        <v>24</v>
      </c>
      <c r="V125" s="69" t="s">
        <v>25</v>
      </c>
      <c r="W125" s="69" t="s">
        <v>26</v>
      </c>
      <c r="X125" s="69" t="s">
        <v>27</v>
      </c>
      <c r="Y125" s="69" t="s">
        <v>28</v>
      </c>
      <c r="Z125" s="69" t="s">
        <v>29</v>
      </c>
      <c r="AA125" s="4"/>
      <c r="AB125" s="4"/>
      <c r="AC125" s="4"/>
      <c r="AD125" s="70"/>
      <c r="AE125" s="70">
        <f>トップス!AE125</f>
        <v>0</v>
      </c>
      <c r="AF125" s="70" t="str">
        <f>トップス!Q125</f>
        <v>通常</v>
      </c>
      <c r="AG125" s="70">
        <v>0</v>
      </c>
      <c r="AH125" s="6">
        <f xml:space="preserve"> トップス!AC125</f>
        <v>0</v>
      </c>
      <c r="AI125">
        <v>1</v>
      </c>
      <c r="AJ125">
        <f>トップス!T125</f>
        <v>0</v>
      </c>
    </row>
    <row r="126" spans="1:36" ht="13.5" hidden="1" customHeight="1">
      <c r="A126" s="3" t="str">
        <f>IF(トップス!A126="","",トップス!A126)</f>
        <v/>
      </c>
      <c r="B126" s="68" t="str">
        <f>IF(トップス!B126="","",トップス!B126)</f>
        <v/>
      </c>
      <c r="C126" s="3" t="str">
        <f>IF(トップス!C126="","",トップス!C126)</f>
        <v>◇ サイズ E</v>
      </c>
      <c r="D126" s="3" t="str">
        <f>IF(トップス!E126="","",トップス!E126)</f>
        <v>無</v>
      </c>
      <c r="E126" s="3" t="str">
        <f>IF(トップス!AA126="","",トップス!AA126)</f>
        <v>ベースW</v>
      </c>
      <c r="F126" s="3" t="str">
        <f>IF(トップス!G126="","",トップス!G126)</f>
        <v/>
      </c>
      <c r="G126" s="3" t="str">
        <f>IF(トップス!H126="","",トップス!H126)</f>
        <v/>
      </c>
      <c r="H126" s="3" t="str">
        <f>IF(トップス!I126="","",トップス!I126)</f>
        <v/>
      </c>
      <c r="I126" s="3" t="str">
        <f>IF(トップス!J126="","",トップス!J126)</f>
        <v>画像参照</v>
      </c>
      <c r="J126" s="3" t="str">
        <f>IF(トップス!K126="","",トップス!K126)</f>
        <v/>
      </c>
      <c r="K126" s="3" t="str">
        <f>IF(トップス!L126="","",トップス!L126)</f>
        <v>サイズ</v>
      </c>
      <c r="L126" s="3" t="str">
        <f xml:space="preserve"> トップス!Z126</f>
        <v>着丈：約cm　肩幅：約cm　身幅：約cm　袖丈：約cm</v>
      </c>
      <c r="M126" s="69" t="s">
        <v>19</v>
      </c>
      <c r="N126" s="69" t="s">
        <v>20</v>
      </c>
      <c r="O126" s="69" t="s">
        <v>21</v>
      </c>
      <c r="P126" s="4" t="s">
        <v>3036</v>
      </c>
      <c r="Q126" s="4" t="s">
        <v>3038</v>
      </c>
      <c r="R126" s="69" t="s">
        <v>22</v>
      </c>
      <c r="S126" s="69" t="s">
        <v>23</v>
      </c>
      <c r="T126" s="69" t="s">
        <v>22</v>
      </c>
      <c r="U126" s="69" t="s">
        <v>24</v>
      </c>
      <c r="V126" s="69" t="s">
        <v>25</v>
      </c>
      <c r="W126" s="69" t="s">
        <v>26</v>
      </c>
      <c r="X126" s="69" t="s">
        <v>27</v>
      </c>
      <c r="Y126" s="69" t="s">
        <v>28</v>
      </c>
      <c r="Z126" s="69" t="s">
        <v>29</v>
      </c>
      <c r="AA126" s="4"/>
      <c r="AB126" s="4"/>
      <c r="AC126" s="4"/>
      <c r="AD126" s="70"/>
      <c r="AE126" s="70">
        <f>トップス!AE126</f>
        <v>0</v>
      </c>
      <c r="AF126" s="70" t="str">
        <f>トップス!Q126</f>
        <v>通常</v>
      </c>
      <c r="AG126" s="70">
        <v>0</v>
      </c>
      <c r="AH126" s="6">
        <f xml:space="preserve"> トップス!AC126</f>
        <v>0</v>
      </c>
      <c r="AI126">
        <v>1</v>
      </c>
      <c r="AJ126">
        <f>トップス!T126</f>
        <v>0</v>
      </c>
    </row>
    <row r="127" spans="1:36" ht="13.5" hidden="1" customHeight="1">
      <c r="A127" s="3" t="str">
        <f>IF(トップス!A127="","",トップス!A127)</f>
        <v/>
      </c>
      <c r="B127" s="68" t="str">
        <f>IF(トップス!B127="","",トップス!B127)</f>
        <v/>
      </c>
      <c r="C127" s="3" t="str">
        <f>IF(トップス!C127="","",トップス!C127)</f>
        <v>◇ サイズ E</v>
      </c>
      <c r="D127" s="3" t="str">
        <f>IF(トップス!E127="","",トップス!E127)</f>
        <v>無</v>
      </c>
      <c r="E127" s="3" t="str">
        <f>IF(トップス!AA127="","",トップス!AA127)</f>
        <v>ベースW</v>
      </c>
      <c r="F127" s="3" t="str">
        <f>IF(トップス!G127="","",トップス!G127)</f>
        <v/>
      </c>
      <c r="G127" s="3" t="str">
        <f>IF(トップス!H127="","",トップス!H127)</f>
        <v/>
      </c>
      <c r="H127" s="3" t="str">
        <f>IF(トップス!I127="","",トップス!I127)</f>
        <v/>
      </c>
      <c r="I127" s="3" t="str">
        <f>IF(トップス!J127="","",トップス!J127)</f>
        <v>画像参照</v>
      </c>
      <c r="J127" s="3" t="str">
        <f>IF(トップス!K127="","",トップス!K127)</f>
        <v/>
      </c>
      <c r="K127" s="3" t="str">
        <f>IF(トップス!L127="","",トップス!L127)</f>
        <v>サイズ</v>
      </c>
      <c r="L127" s="3" t="str">
        <f xml:space="preserve"> トップス!Z127</f>
        <v>着丈：約cm　肩幅：約cm　身幅：約cm　袖丈：約cm</v>
      </c>
      <c r="M127" s="69" t="s">
        <v>19</v>
      </c>
      <c r="N127" s="69" t="s">
        <v>20</v>
      </c>
      <c r="O127" s="69" t="s">
        <v>21</v>
      </c>
      <c r="P127" s="4" t="s">
        <v>3036</v>
      </c>
      <c r="Q127" s="4" t="s">
        <v>3038</v>
      </c>
      <c r="R127" s="69" t="s">
        <v>22</v>
      </c>
      <c r="S127" s="69" t="s">
        <v>23</v>
      </c>
      <c r="T127" s="69" t="s">
        <v>22</v>
      </c>
      <c r="U127" s="69" t="s">
        <v>24</v>
      </c>
      <c r="V127" s="69" t="s">
        <v>25</v>
      </c>
      <c r="W127" s="69" t="s">
        <v>26</v>
      </c>
      <c r="X127" s="69" t="s">
        <v>27</v>
      </c>
      <c r="Y127" s="69" t="s">
        <v>28</v>
      </c>
      <c r="Z127" s="69" t="s">
        <v>29</v>
      </c>
      <c r="AA127" s="4"/>
      <c r="AB127" s="4"/>
      <c r="AC127" s="4"/>
      <c r="AD127" s="70"/>
      <c r="AE127" s="70">
        <f>トップス!AE127</f>
        <v>0</v>
      </c>
      <c r="AF127" s="70" t="str">
        <f>トップス!Q127</f>
        <v>通常</v>
      </c>
      <c r="AG127" s="70">
        <v>0</v>
      </c>
      <c r="AH127" s="6">
        <f xml:space="preserve"> トップス!AC127</f>
        <v>0</v>
      </c>
      <c r="AI127">
        <v>1</v>
      </c>
      <c r="AJ127">
        <f>トップス!T127</f>
        <v>0</v>
      </c>
    </row>
    <row r="128" spans="1:36" ht="13.5" hidden="1" customHeight="1">
      <c r="A128" s="3" t="str">
        <f>IF(トップス!A128="","",トップス!A128)</f>
        <v/>
      </c>
      <c r="B128" s="68" t="str">
        <f>IF(トップス!B128="","",トップス!B128)</f>
        <v/>
      </c>
      <c r="C128" s="3" t="str">
        <f>IF(トップス!C128="","",トップス!C128)</f>
        <v>◇ サイズ E</v>
      </c>
      <c r="D128" s="3" t="str">
        <f>IF(トップス!E128="","",トップス!E128)</f>
        <v>無</v>
      </c>
      <c r="E128" s="3" t="str">
        <f>IF(トップス!AA128="","",トップス!AA128)</f>
        <v>ベースW</v>
      </c>
      <c r="F128" s="3" t="str">
        <f>IF(トップス!G128="","",トップス!G128)</f>
        <v/>
      </c>
      <c r="G128" s="3" t="str">
        <f>IF(トップス!H128="","",トップス!H128)</f>
        <v/>
      </c>
      <c r="H128" s="3" t="str">
        <f>IF(トップス!I128="","",トップス!I128)</f>
        <v/>
      </c>
      <c r="I128" s="3" t="str">
        <f>IF(トップス!J128="","",トップス!J128)</f>
        <v>画像参照</v>
      </c>
      <c r="J128" s="3" t="str">
        <f>IF(トップス!K128="","",トップス!K128)</f>
        <v/>
      </c>
      <c r="K128" s="3" t="str">
        <f>IF(トップス!L128="","",トップス!L128)</f>
        <v>サイズ</v>
      </c>
      <c r="L128" s="3" t="str">
        <f xml:space="preserve"> トップス!Z128</f>
        <v>着丈：約cm　肩幅：約cm　身幅：約cm　袖丈：約cm</v>
      </c>
      <c r="M128" s="69" t="s">
        <v>19</v>
      </c>
      <c r="N128" s="69" t="s">
        <v>20</v>
      </c>
      <c r="O128" s="69" t="s">
        <v>21</v>
      </c>
      <c r="P128" s="4" t="s">
        <v>3036</v>
      </c>
      <c r="Q128" s="4" t="s">
        <v>3038</v>
      </c>
      <c r="R128" s="69" t="s">
        <v>22</v>
      </c>
      <c r="S128" s="69" t="s">
        <v>23</v>
      </c>
      <c r="T128" s="69" t="s">
        <v>22</v>
      </c>
      <c r="U128" s="69" t="s">
        <v>24</v>
      </c>
      <c r="V128" s="69" t="s">
        <v>25</v>
      </c>
      <c r="W128" s="69" t="s">
        <v>26</v>
      </c>
      <c r="X128" s="69" t="s">
        <v>27</v>
      </c>
      <c r="Y128" s="69" t="s">
        <v>28</v>
      </c>
      <c r="Z128" s="69" t="s">
        <v>29</v>
      </c>
      <c r="AA128" s="4"/>
      <c r="AB128" s="4"/>
      <c r="AC128" s="4"/>
      <c r="AD128" s="70"/>
      <c r="AE128" s="70">
        <f>トップス!AE128</f>
        <v>0</v>
      </c>
      <c r="AF128" s="70" t="str">
        <f>トップス!Q128</f>
        <v>通常</v>
      </c>
      <c r="AG128" s="70">
        <v>0</v>
      </c>
      <c r="AH128" s="6">
        <f xml:space="preserve"> トップス!AC128</f>
        <v>0</v>
      </c>
      <c r="AI128">
        <v>1</v>
      </c>
      <c r="AJ128">
        <f>トップス!T128</f>
        <v>0</v>
      </c>
    </row>
    <row r="129" spans="1:36" ht="13.5" hidden="1" customHeight="1">
      <c r="A129" s="3" t="str">
        <f>IF(トップス!A129="","",トップス!A129)</f>
        <v/>
      </c>
      <c r="B129" s="68" t="str">
        <f>IF(トップス!B129="","",トップス!B129)</f>
        <v/>
      </c>
      <c r="C129" s="3" t="str">
        <f>IF(トップス!C129="","",トップス!C129)</f>
        <v>◇ サイズ E</v>
      </c>
      <c r="D129" s="3" t="str">
        <f>IF(トップス!E129="","",トップス!E129)</f>
        <v>無</v>
      </c>
      <c r="E129" s="3" t="str">
        <f>IF(トップス!AA129="","",トップス!AA129)</f>
        <v>ベースW</v>
      </c>
      <c r="F129" s="3" t="str">
        <f>IF(トップス!G129="","",トップス!G129)</f>
        <v/>
      </c>
      <c r="G129" s="3" t="str">
        <f>IF(トップス!H129="","",トップス!H129)</f>
        <v/>
      </c>
      <c r="H129" s="3" t="str">
        <f>IF(トップス!I129="","",トップス!I129)</f>
        <v/>
      </c>
      <c r="I129" s="3" t="str">
        <f>IF(トップス!J129="","",トップス!J129)</f>
        <v>画像参照</v>
      </c>
      <c r="J129" s="3" t="str">
        <f>IF(トップス!K129="","",トップス!K129)</f>
        <v/>
      </c>
      <c r="K129" s="3" t="str">
        <f>IF(トップス!L129="","",トップス!L129)</f>
        <v>サイズ</v>
      </c>
      <c r="L129" s="3" t="str">
        <f xml:space="preserve"> トップス!Z129</f>
        <v>着丈：約cm　肩幅：約cm　身幅：約cm　袖丈：約cm</v>
      </c>
      <c r="M129" s="69" t="s">
        <v>19</v>
      </c>
      <c r="N129" s="69" t="s">
        <v>20</v>
      </c>
      <c r="O129" s="69" t="s">
        <v>21</v>
      </c>
      <c r="P129" s="4" t="s">
        <v>3036</v>
      </c>
      <c r="Q129" s="4" t="s">
        <v>3038</v>
      </c>
      <c r="R129" s="69" t="s">
        <v>22</v>
      </c>
      <c r="S129" s="69" t="s">
        <v>23</v>
      </c>
      <c r="T129" s="69" t="s">
        <v>22</v>
      </c>
      <c r="U129" s="69" t="s">
        <v>24</v>
      </c>
      <c r="V129" s="69" t="s">
        <v>25</v>
      </c>
      <c r="W129" s="69" t="s">
        <v>26</v>
      </c>
      <c r="X129" s="69" t="s">
        <v>27</v>
      </c>
      <c r="Y129" s="69" t="s">
        <v>28</v>
      </c>
      <c r="Z129" s="69" t="s">
        <v>29</v>
      </c>
      <c r="AA129" s="4"/>
      <c r="AB129" s="4"/>
      <c r="AC129" s="4"/>
      <c r="AD129" s="70"/>
      <c r="AE129" s="70">
        <f>トップス!AE129</f>
        <v>0</v>
      </c>
      <c r="AF129" s="70" t="str">
        <f>トップス!Q129</f>
        <v>通常</v>
      </c>
      <c r="AG129" s="70">
        <v>0</v>
      </c>
      <c r="AH129" s="6">
        <f xml:space="preserve"> トップス!AC129</f>
        <v>0</v>
      </c>
      <c r="AI129">
        <v>1</v>
      </c>
      <c r="AJ129">
        <f>トップス!T129</f>
        <v>0</v>
      </c>
    </row>
    <row r="130" spans="1:36" ht="13.5" hidden="1" customHeight="1">
      <c r="A130" s="3" t="str">
        <f>IF(トップス!A130="","",トップス!A130)</f>
        <v/>
      </c>
      <c r="B130" s="68" t="str">
        <f>IF(トップス!B130="","",トップス!B130)</f>
        <v/>
      </c>
      <c r="C130" s="3" t="str">
        <f>IF(トップス!C130="","",トップス!C130)</f>
        <v>◇ サイズ E</v>
      </c>
      <c r="D130" s="3" t="str">
        <f>IF(トップス!E130="","",トップス!E130)</f>
        <v>無</v>
      </c>
      <c r="E130" s="3" t="str">
        <f>IF(トップス!AA130="","",トップス!AA130)</f>
        <v>ベースW</v>
      </c>
      <c r="F130" s="3" t="str">
        <f>IF(トップス!G130="","",トップス!G130)</f>
        <v/>
      </c>
      <c r="G130" s="3" t="str">
        <f>IF(トップス!H130="","",トップス!H130)</f>
        <v/>
      </c>
      <c r="H130" s="3" t="str">
        <f>IF(トップス!I130="","",トップス!I130)</f>
        <v/>
      </c>
      <c r="I130" s="3" t="str">
        <f>IF(トップス!J130="","",トップス!J130)</f>
        <v>画像参照</v>
      </c>
      <c r="J130" s="3" t="str">
        <f>IF(トップス!K130="","",トップス!K130)</f>
        <v/>
      </c>
      <c r="K130" s="3" t="str">
        <f>IF(トップス!L130="","",トップス!L130)</f>
        <v>サイズ</v>
      </c>
      <c r="L130" s="3" t="str">
        <f xml:space="preserve"> トップス!Z130</f>
        <v>着丈：約cm　肩幅：約cm　身幅：約cm　袖丈：約cm</v>
      </c>
      <c r="M130" s="69" t="s">
        <v>19</v>
      </c>
      <c r="N130" s="69" t="s">
        <v>20</v>
      </c>
      <c r="O130" s="69" t="s">
        <v>21</v>
      </c>
      <c r="P130" s="4" t="s">
        <v>3036</v>
      </c>
      <c r="Q130" s="4" t="s">
        <v>3038</v>
      </c>
      <c r="R130" s="69" t="s">
        <v>22</v>
      </c>
      <c r="S130" s="69" t="s">
        <v>23</v>
      </c>
      <c r="T130" s="69" t="s">
        <v>22</v>
      </c>
      <c r="U130" s="69" t="s">
        <v>24</v>
      </c>
      <c r="V130" s="69" t="s">
        <v>25</v>
      </c>
      <c r="W130" s="69" t="s">
        <v>26</v>
      </c>
      <c r="X130" s="69" t="s">
        <v>27</v>
      </c>
      <c r="Y130" s="69" t="s">
        <v>28</v>
      </c>
      <c r="Z130" s="69" t="s">
        <v>29</v>
      </c>
      <c r="AA130" s="4"/>
      <c r="AB130" s="4"/>
      <c r="AC130" s="4"/>
      <c r="AD130" s="70"/>
      <c r="AE130" s="70">
        <f>トップス!AE130</f>
        <v>0</v>
      </c>
      <c r="AF130" s="70" t="str">
        <f>トップス!Q130</f>
        <v>通常</v>
      </c>
      <c r="AG130" s="70">
        <v>0</v>
      </c>
      <c r="AH130" s="6">
        <f xml:space="preserve"> トップス!AC130</f>
        <v>0</v>
      </c>
      <c r="AI130">
        <v>1</v>
      </c>
      <c r="AJ130">
        <f>トップス!T130</f>
        <v>0</v>
      </c>
    </row>
    <row r="131" spans="1:36" ht="13.5" hidden="1" customHeight="1">
      <c r="A131" s="3" t="str">
        <f>IF(トップス!A131="","",トップス!A131)</f>
        <v/>
      </c>
      <c r="B131" s="68" t="str">
        <f>IF(トップス!B131="","",トップス!B131)</f>
        <v/>
      </c>
      <c r="C131" s="3" t="str">
        <f>IF(トップス!C131="","",トップス!C131)</f>
        <v>◇ サイズ E</v>
      </c>
      <c r="D131" s="3" t="str">
        <f>IF(トップス!E131="","",トップス!E131)</f>
        <v>無</v>
      </c>
      <c r="E131" s="3" t="str">
        <f>IF(トップス!AA131="","",トップス!AA131)</f>
        <v>ベースW</v>
      </c>
      <c r="F131" s="3" t="str">
        <f>IF(トップス!G131="","",トップス!G131)</f>
        <v/>
      </c>
      <c r="G131" s="3" t="str">
        <f>IF(トップス!H131="","",トップス!H131)</f>
        <v/>
      </c>
      <c r="H131" s="3" t="str">
        <f>IF(トップス!I131="","",トップス!I131)</f>
        <v/>
      </c>
      <c r="I131" s="3" t="str">
        <f>IF(トップス!J131="","",トップス!J131)</f>
        <v>画像参照</v>
      </c>
      <c r="J131" s="3" t="str">
        <f>IF(トップス!K131="","",トップス!K131)</f>
        <v/>
      </c>
      <c r="K131" s="3" t="str">
        <f>IF(トップス!L131="","",トップス!L131)</f>
        <v>サイズ</v>
      </c>
      <c r="L131" s="3" t="str">
        <f xml:space="preserve"> トップス!Z131</f>
        <v>着丈：約cm　肩幅：約cm　身幅：約cm　袖丈：約cm</v>
      </c>
      <c r="M131" s="69" t="s">
        <v>19</v>
      </c>
      <c r="N131" s="69" t="s">
        <v>20</v>
      </c>
      <c r="O131" s="69" t="s">
        <v>21</v>
      </c>
      <c r="P131" s="4" t="s">
        <v>3036</v>
      </c>
      <c r="Q131" s="4" t="s">
        <v>3038</v>
      </c>
      <c r="R131" s="69" t="s">
        <v>22</v>
      </c>
      <c r="S131" s="69" t="s">
        <v>23</v>
      </c>
      <c r="T131" s="69" t="s">
        <v>22</v>
      </c>
      <c r="U131" s="69" t="s">
        <v>24</v>
      </c>
      <c r="V131" s="69" t="s">
        <v>25</v>
      </c>
      <c r="W131" s="69" t="s">
        <v>26</v>
      </c>
      <c r="X131" s="69" t="s">
        <v>27</v>
      </c>
      <c r="Y131" s="69" t="s">
        <v>28</v>
      </c>
      <c r="Z131" s="69" t="s">
        <v>29</v>
      </c>
      <c r="AA131" s="4"/>
      <c r="AB131" s="4"/>
      <c r="AC131" s="4"/>
      <c r="AD131" s="70"/>
      <c r="AE131" s="70">
        <f>トップス!AE131</f>
        <v>0</v>
      </c>
      <c r="AF131" s="70" t="str">
        <f>トップス!Q131</f>
        <v>通常</v>
      </c>
      <c r="AG131" s="70">
        <v>0</v>
      </c>
      <c r="AH131" s="6">
        <f xml:space="preserve"> トップス!AC131</f>
        <v>0</v>
      </c>
      <c r="AI131">
        <v>1</v>
      </c>
      <c r="AJ131">
        <f>トップス!T131</f>
        <v>0</v>
      </c>
    </row>
    <row r="132" spans="1:36" ht="13.5" hidden="1" customHeight="1">
      <c r="A132" s="3" t="str">
        <f>IF(トップス!A132="","",トップス!A132)</f>
        <v/>
      </c>
      <c r="B132" s="68" t="str">
        <f>IF(トップス!B132="","",トップス!B132)</f>
        <v/>
      </c>
      <c r="C132" s="3" t="str">
        <f>IF(トップス!C132="","",トップス!C132)</f>
        <v>◇ サイズ E</v>
      </c>
      <c r="D132" s="3" t="str">
        <f>IF(トップス!E132="","",トップス!E132)</f>
        <v>無</v>
      </c>
      <c r="E132" s="3" t="str">
        <f>IF(トップス!AA132="","",トップス!AA132)</f>
        <v>ベースW</v>
      </c>
      <c r="F132" s="3" t="str">
        <f>IF(トップス!G132="","",トップス!G132)</f>
        <v/>
      </c>
      <c r="G132" s="3" t="str">
        <f>IF(トップス!H132="","",トップス!H132)</f>
        <v/>
      </c>
      <c r="H132" s="3" t="str">
        <f>IF(トップス!I132="","",トップス!I132)</f>
        <v/>
      </c>
      <c r="I132" s="3" t="str">
        <f>IF(トップス!J132="","",トップス!J132)</f>
        <v>画像参照</v>
      </c>
      <c r="J132" s="3" t="str">
        <f>IF(トップス!K132="","",トップス!K132)</f>
        <v/>
      </c>
      <c r="K132" s="3" t="str">
        <f>IF(トップス!L132="","",トップス!L132)</f>
        <v>サイズ</v>
      </c>
      <c r="L132" s="3" t="str">
        <f xml:space="preserve"> トップス!Z132</f>
        <v>着丈：約cm　肩幅：約cm　身幅：約cm　袖丈：約cm</v>
      </c>
      <c r="M132" s="69" t="s">
        <v>19</v>
      </c>
      <c r="N132" s="69" t="s">
        <v>20</v>
      </c>
      <c r="O132" s="69" t="s">
        <v>21</v>
      </c>
      <c r="P132" s="4" t="s">
        <v>3036</v>
      </c>
      <c r="Q132" s="4" t="s">
        <v>3038</v>
      </c>
      <c r="R132" s="69" t="s">
        <v>22</v>
      </c>
      <c r="S132" s="69" t="s">
        <v>23</v>
      </c>
      <c r="T132" s="69" t="s">
        <v>22</v>
      </c>
      <c r="U132" s="69" t="s">
        <v>24</v>
      </c>
      <c r="V132" s="69" t="s">
        <v>25</v>
      </c>
      <c r="W132" s="69" t="s">
        <v>26</v>
      </c>
      <c r="X132" s="69" t="s">
        <v>27</v>
      </c>
      <c r="Y132" s="69" t="s">
        <v>28</v>
      </c>
      <c r="Z132" s="69" t="s">
        <v>29</v>
      </c>
      <c r="AA132" s="4"/>
      <c r="AB132" s="4"/>
      <c r="AC132" s="4"/>
      <c r="AD132" s="70"/>
      <c r="AE132" s="70">
        <f>トップス!AE132</f>
        <v>0</v>
      </c>
      <c r="AF132" s="70" t="str">
        <f>トップス!Q132</f>
        <v>通常</v>
      </c>
      <c r="AG132" s="70">
        <v>0</v>
      </c>
      <c r="AH132" s="6">
        <f xml:space="preserve"> トップス!AC132</f>
        <v>0</v>
      </c>
      <c r="AI132">
        <v>1</v>
      </c>
      <c r="AJ132">
        <f>トップス!T132</f>
        <v>0</v>
      </c>
    </row>
    <row r="133" spans="1:36" ht="13.5" hidden="1" customHeight="1">
      <c r="A133" s="3" t="str">
        <f>IF(トップス!A133="","",トップス!A133)</f>
        <v/>
      </c>
      <c r="B133" s="68" t="str">
        <f>IF(トップス!B133="","",トップス!B133)</f>
        <v/>
      </c>
      <c r="C133" s="3" t="str">
        <f>IF(トップス!C133="","",トップス!C133)</f>
        <v>◇ サイズ E</v>
      </c>
      <c r="D133" s="3" t="str">
        <f>IF(トップス!E133="","",トップス!E133)</f>
        <v>無</v>
      </c>
      <c r="E133" s="3" t="str">
        <f>IF(トップス!AA133="","",トップス!AA133)</f>
        <v>ベースW</v>
      </c>
      <c r="F133" s="3" t="str">
        <f>IF(トップス!G133="","",トップス!G133)</f>
        <v/>
      </c>
      <c r="G133" s="3" t="str">
        <f>IF(トップス!H133="","",トップス!H133)</f>
        <v/>
      </c>
      <c r="H133" s="3" t="str">
        <f>IF(トップス!I133="","",トップス!I133)</f>
        <v/>
      </c>
      <c r="I133" s="3" t="str">
        <f>IF(トップス!J133="","",トップス!J133)</f>
        <v>画像参照</v>
      </c>
      <c r="J133" s="3" t="str">
        <f>IF(トップス!K133="","",トップス!K133)</f>
        <v/>
      </c>
      <c r="K133" s="3" t="str">
        <f>IF(トップス!L133="","",トップス!L133)</f>
        <v>サイズ</v>
      </c>
      <c r="L133" s="3" t="str">
        <f xml:space="preserve"> トップス!Z133</f>
        <v>着丈：約cm　肩幅：約cm　身幅：約cm　袖丈：約cm</v>
      </c>
      <c r="M133" s="69" t="s">
        <v>19</v>
      </c>
      <c r="N133" s="69" t="s">
        <v>20</v>
      </c>
      <c r="O133" s="69" t="s">
        <v>21</v>
      </c>
      <c r="P133" s="4" t="s">
        <v>3036</v>
      </c>
      <c r="Q133" s="4" t="s">
        <v>3038</v>
      </c>
      <c r="R133" s="69" t="s">
        <v>22</v>
      </c>
      <c r="S133" s="69" t="s">
        <v>23</v>
      </c>
      <c r="T133" s="69" t="s">
        <v>22</v>
      </c>
      <c r="U133" s="69" t="s">
        <v>24</v>
      </c>
      <c r="V133" s="69" t="s">
        <v>25</v>
      </c>
      <c r="W133" s="69" t="s">
        <v>26</v>
      </c>
      <c r="X133" s="69" t="s">
        <v>27</v>
      </c>
      <c r="Y133" s="69" t="s">
        <v>28</v>
      </c>
      <c r="Z133" s="69" t="s">
        <v>29</v>
      </c>
      <c r="AA133" s="4"/>
      <c r="AB133" s="4"/>
      <c r="AC133" s="4"/>
      <c r="AD133" s="70"/>
      <c r="AE133" s="70">
        <f>トップス!AE133</f>
        <v>0</v>
      </c>
      <c r="AF133" s="70" t="str">
        <f>トップス!Q133</f>
        <v>通常</v>
      </c>
      <c r="AG133" s="70">
        <v>0</v>
      </c>
      <c r="AH133" s="6">
        <f xml:space="preserve"> トップス!AC133</f>
        <v>0</v>
      </c>
      <c r="AI133">
        <v>1</v>
      </c>
      <c r="AJ133">
        <f>トップス!T133</f>
        <v>0</v>
      </c>
    </row>
    <row r="134" spans="1:36" ht="13.5" hidden="1" customHeight="1">
      <c r="A134" s="3" t="str">
        <f>IF(トップス!A134="","",トップス!A134)</f>
        <v/>
      </c>
      <c r="B134" s="68" t="str">
        <f>IF(トップス!B134="","",トップス!B134)</f>
        <v/>
      </c>
      <c r="C134" s="3" t="str">
        <f>IF(トップス!C134="","",トップス!C134)</f>
        <v>◇ サイズ E</v>
      </c>
      <c r="D134" s="3" t="str">
        <f>IF(トップス!E134="","",トップス!E134)</f>
        <v>無</v>
      </c>
      <c r="E134" s="3" t="str">
        <f>IF(トップス!AA134="","",トップス!AA134)</f>
        <v>ベースW</v>
      </c>
      <c r="F134" s="3" t="str">
        <f>IF(トップス!G134="","",トップス!G134)</f>
        <v/>
      </c>
      <c r="G134" s="3" t="str">
        <f>IF(トップス!H134="","",トップス!H134)</f>
        <v/>
      </c>
      <c r="H134" s="3" t="str">
        <f>IF(トップス!I134="","",トップス!I134)</f>
        <v/>
      </c>
      <c r="I134" s="3" t="str">
        <f>IF(トップス!J134="","",トップス!J134)</f>
        <v>画像参照</v>
      </c>
      <c r="J134" s="3" t="str">
        <f>IF(トップス!K134="","",トップス!K134)</f>
        <v/>
      </c>
      <c r="K134" s="3" t="str">
        <f>IF(トップス!L134="","",トップス!L134)</f>
        <v>サイズ</v>
      </c>
      <c r="L134" s="3" t="str">
        <f xml:space="preserve"> トップス!Z134</f>
        <v>着丈：約cm　肩幅：約cm　身幅：約cm　袖丈：約cm</v>
      </c>
      <c r="M134" s="69" t="s">
        <v>19</v>
      </c>
      <c r="N134" s="69" t="s">
        <v>20</v>
      </c>
      <c r="O134" s="69" t="s">
        <v>21</v>
      </c>
      <c r="P134" s="4" t="s">
        <v>3036</v>
      </c>
      <c r="Q134" s="4" t="s">
        <v>3038</v>
      </c>
      <c r="R134" s="69" t="s">
        <v>22</v>
      </c>
      <c r="S134" s="69" t="s">
        <v>23</v>
      </c>
      <c r="T134" s="69" t="s">
        <v>22</v>
      </c>
      <c r="U134" s="69" t="s">
        <v>24</v>
      </c>
      <c r="V134" s="69" t="s">
        <v>25</v>
      </c>
      <c r="W134" s="69" t="s">
        <v>26</v>
      </c>
      <c r="X134" s="69" t="s">
        <v>27</v>
      </c>
      <c r="Y134" s="69" t="s">
        <v>28</v>
      </c>
      <c r="Z134" s="69" t="s">
        <v>29</v>
      </c>
      <c r="AA134" s="4"/>
      <c r="AB134" s="4"/>
      <c r="AC134" s="4"/>
      <c r="AD134" s="70"/>
      <c r="AE134" s="70">
        <f>トップス!AE134</f>
        <v>0</v>
      </c>
      <c r="AF134" s="70" t="str">
        <f>トップス!Q134</f>
        <v>通常</v>
      </c>
      <c r="AG134" s="70">
        <v>0</v>
      </c>
      <c r="AH134" s="6">
        <f xml:space="preserve"> トップス!AC134</f>
        <v>0</v>
      </c>
      <c r="AI134">
        <v>1</v>
      </c>
      <c r="AJ134">
        <f>トップス!T134</f>
        <v>0</v>
      </c>
    </row>
    <row r="135" spans="1:36" ht="13.5" hidden="1" customHeight="1">
      <c r="A135" s="3" t="str">
        <f>IF(トップス!A135="","",トップス!A135)</f>
        <v/>
      </c>
      <c r="B135" s="68" t="str">
        <f>IF(トップス!B135="","",トップス!B135)</f>
        <v/>
      </c>
      <c r="C135" s="3" t="str">
        <f>IF(トップス!C135="","",トップス!C135)</f>
        <v>◇ サイズ E</v>
      </c>
      <c r="D135" s="3" t="str">
        <f>IF(トップス!E135="","",トップス!E135)</f>
        <v>無</v>
      </c>
      <c r="E135" s="3" t="str">
        <f>IF(トップス!AA135="","",トップス!AA135)</f>
        <v>ベースW</v>
      </c>
      <c r="F135" s="3" t="str">
        <f>IF(トップス!G135="","",トップス!G135)</f>
        <v/>
      </c>
      <c r="G135" s="3" t="str">
        <f>IF(トップス!H135="","",トップス!H135)</f>
        <v/>
      </c>
      <c r="H135" s="3" t="str">
        <f>IF(トップス!I135="","",トップス!I135)</f>
        <v/>
      </c>
      <c r="I135" s="3" t="str">
        <f>IF(トップス!J135="","",トップス!J135)</f>
        <v>画像参照</v>
      </c>
      <c r="J135" s="3" t="str">
        <f>IF(トップス!K135="","",トップス!K135)</f>
        <v/>
      </c>
      <c r="K135" s="3" t="str">
        <f>IF(トップス!L135="","",トップス!L135)</f>
        <v>サイズ</v>
      </c>
      <c r="L135" s="3" t="str">
        <f xml:space="preserve"> トップス!Z135</f>
        <v>着丈：約cm　肩幅：約cm　身幅：約cm　袖丈：約cm</v>
      </c>
      <c r="M135" s="69" t="s">
        <v>19</v>
      </c>
      <c r="N135" s="69" t="s">
        <v>20</v>
      </c>
      <c r="O135" s="69" t="s">
        <v>21</v>
      </c>
      <c r="P135" s="4" t="s">
        <v>3036</v>
      </c>
      <c r="Q135" s="4" t="s">
        <v>3038</v>
      </c>
      <c r="R135" s="69" t="s">
        <v>22</v>
      </c>
      <c r="S135" s="69" t="s">
        <v>23</v>
      </c>
      <c r="T135" s="69" t="s">
        <v>22</v>
      </c>
      <c r="U135" s="69" t="s">
        <v>24</v>
      </c>
      <c r="V135" s="69" t="s">
        <v>25</v>
      </c>
      <c r="W135" s="69" t="s">
        <v>26</v>
      </c>
      <c r="X135" s="69" t="s">
        <v>27</v>
      </c>
      <c r="Y135" s="69" t="s">
        <v>28</v>
      </c>
      <c r="Z135" s="69" t="s">
        <v>29</v>
      </c>
      <c r="AA135" s="4"/>
      <c r="AB135" s="4"/>
      <c r="AC135" s="4"/>
      <c r="AD135" s="70"/>
      <c r="AE135" s="70">
        <f>トップス!AE135</f>
        <v>0</v>
      </c>
      <c r="AF135" s="70" t="str">
        <f>トップス!Q135</f>
        <v>通常</v>
      </c>
      <c r="AG135" s="70">
        <v>0</v>
      </c>
      <c r="AH135" s="6">
        <f xml:space="preserve"> トップス!AC135</f>
        <v>0</v>
      </c>
      <c r="AI135">
        <v>1</v>
      </c>
      <c r="AJ135">
        <f>トップス!T135</f>
        <v>0</v>
      </c>
    </row>
    <row r="136" spans="1:36" ht="13.5" hidden="1" customHeight="1">
      <c r="A136" s="3" t="str">
        <f>IF(トップス!A136="","",トップス!A136)</f>
        <v/>
      </c>
      <c r="B136" s="68" t="str">
        <f>IF(トップス!B136="","",トップス!B136)</f>
        <v/>
      </c>
      <c r="C136" s="3" t="str">
        <f>IF(トップス!C136="","",トップス!C136)</f>
        <v>◇ サイズ E</v>
      </c>
      <c r="D136" s="3" t="str">
        <f>IF(トップス!E136="","",トップス!E136)</f>
        <v>無</v>
      </c>
      <c r="E136" s="3" t="str">
        <f>IF(トップス!AA136="","",トップス!AA136)</f>
        <v>ベースW</v>
      </c>
      <c r="F136" s="3" t="str">
        <f>IF(トップス!G136="","",トップス!G136)</f>
        <v/>
      </c>
      <c r="G136" s="3" t="str">
        <f>IF(トップス!H136="","",トップス!H136)</f>
        <v/>
      </c>
      <c r="H136" s="3" t="str">
        <f>IF(トップス!I136="","",トップス!I136)</f>
        <v/>
      </c>
      <c r="I136" s="3" t="str">
        <f>IF(トップス!J136="","",トップス!J136)</f>
        <v>画像参照</v>
      </c>
      <c r="J136" s="3" t="str">
        <f>IF(トップス!K136="","",トップス!K136)</f>
        <v/>
      </c>
      <c r="K136" s="3" t="str">
        <f>IF(トップス!L136="","",トップス!L136)</f>
        <v>サイズ</v>
      </c>
      <c r="L136" s="3" t="str">
        <f xml:space="preserve"> トップス!Z136</f>
        <v>着丈：約cm　肩幅：約cm　身幅：約cm　袖丈：約cm</v>
      </c>
      <c r="M136" s="69" t="s">
        <v>19</v>
      </c>
      <c r="N136" s="69" t="s">
        <v>20</v>
      </c>
      <c r="O136" s="69" t="s">
        <v>21</v>
      </c>
      <c r="P136" s="4" t="s">
        <v>3036</v>
      </c>
      <c r="Q136" s="4" t="s">
        <v>3038</v>
      </c>
      <c r="R136" s="69" t="s">
        <v>22</v>
      </c>
      <c r="S136" s="69" t="s">
        <v>23</v>
      </c>
      <c r="T136" s="69" t="s">
        <v>22</v>
      </c>
      <c r="U136" s="69" t="s">
        <v>24</v>
      </c>
      <c r="V136" s="69" t="s">
        <v>25</v>
      </c>
      <c r="W136" s="69" t="s">
        <v>26</v>
      </c>
      <c r="X136" s="69" t="s">
        <v>27</v>
      </c>
      <c r="Y136" s="69" t="s">
        <v>28</v>
      </c>
      <c r="Z136" s="69" t="s">
        <v>29</v>
      </c>
      <c r="AA136" s="4"/>
      <c r="AB136" s="4"/>
      <c r="AC136" s="4"/>
      <c r="AD136" s="70"/>
      <c r="AE136" s="70">
        <f>トップス!AE136</f>
        <v>0</v>
      </c>
      <c r="AF136" s="70" t="str">
        <f>トップス!Q136</f>
        <v>通常</v>
      </c>
      <c r="AG136" s="70">
        <v>0</v>
      </c>
      <c r="AH136" s="6">
        <f xml:space="preserve"> トップス!AC136</f>
        <v>0</v>
      </c>
      <c r="AI136">
        <v>1</v>
      </c>
      <c r="AJ136">
        <f>トップス!T136</f>
        <v>0</v>
      </c>
    </row>
    <row r="137" spans="1:36" ht="13.5" hidden="1" customHeight="1">
      <c r="A137" s="3" t="str">
        <f>IF(トップス!A137="","",トップス!A137)</f>
        <v/>
      </c>
      <c r="B137" s="68" t="str">
        <f>IF(トップス!B137="","",トップス!B137)</f>
        <v/>
      </c>
      <c r="C137" s="3" t="str">
        <f>IF(トップス!C137="","",トップス!C137)</f>
        <v>◇ サイズ E</v>
      </c>
      <c r="D137" s="3" t="str">
        <f>IF(トップス!E137="","",トップス!E137)</f>
        <v>無</v>
      </c>
      <c r="E137" s="3" t="str">
        <f>IF(トップス!AA137="","",トップス!AA137)</f>
        <v>ベースW</v>
      </c>
      <c r="F137" s="3" t="str">
        <f>IF(トップス!G137="","",トップス!G137)</f>
        <v/>
      </c>
      <c r="G137" s="3" t="str">
        <f>IF(トップス!H137="","",トップス!H137)</f>
        <v/>
      </c>
      <c r="H137" s="3" t="str">
        <f>IF(トップス!I137="","",トップス!I137)</f>
        <v/>
      </c>
      <c r="I137" s="3" t="str">
        <f>IF(トップス!J137="","",トップス!J137)</f>
        <v>画像参照</v>
      </c>
      <c r="J137" s="3" t="str">
        <f>IF(トップス!K137="","",トップス!K137)</f>
        <v/>
      </c>
      <c r="K137" s="3" t="str">
        <f>IF(トップス!L137="","",トップス!L137)</f>
        <v>サイズ</v>
      </c>
      <c r="L137" s="3" t="str">
        <f xml:space="preserve"> トップス!Z137</f>
        <v>着丈：約cm　肩幅：約cm　身幅：約cm　袖丈：約cm</v>
      </c>
      <c r="M137" s="69" t="s">
        <v>19</v>
      </c>
      <c r="N137" s="69" t="s">
        <v>20</v>
      </c>
      <c r="O137" s="69" t="s">
        <v>21</v>
      </c>
      <c r="P137" s="4" t="s">
        <v>3036</v>
      </c>
      <c r="Q137" s="4" t="s">
        <v>3038</v>
      </c>
      <c r="R137" s="69" t="s">
        <v>22</v>
      </c>
      <c r="S137" s="69" t="s">
        <v>23</v>
      </c>
      <c r="T137" s="69" t="s">
        <v>22</v>
      </c>
      <c r="U137" s="69" t="s">
        <v>24</v>
      </c>
      <c r="V137" s="69" t="s">
        <v>25</v>
      </c>
      <c r="W137" s="69" t="s">
        <v>26</v>
      </c>
      <c r="X137" s="69" t="s">
        <v>27</v>
      </c>
      <c r="Y137" s="69" t="s">
        <v>28</v>
      </c>
      <c r="Z137" s="69" t="s">
        <v>29</v>
      </c>
      <c r="AA137" s="4"/>
      <c r="AB137" s="4"/>
      <c r="AC137" s="4"/>
      <c r="AD137" s="70"/>
      <c r="AE137" s="70">
        <f>トップス!AE137</f>
        <v>0</v>
      </c>
      <c r="AF137" s="70" t="str">
        <f>トップス!Q137</f>
        <v>通常</v>
      </c>
      <c r="AG137" s="70">
        <v>0</v>
      </c>
      <c r="AH137" s="6">
        <f xml:space="preserve"> トップス!AC137</f>
        <v>0</v>
      </c>
      <c r="AI137">
        <v>1</v>
      </c>
      <c r="AJ137">
        <f>トップス!T137</f>
        <v>0</v>
      </c>
    </row>
    <row r="138" spans="1:36" ht="13.5" hidden="1" customHeight="1">
      <c r="A138" s="3" t="str">
        <f>IF(トップス!A138="","",トップス!A138)</f>
        <v/>
      </c>
      <c r="B138" s="68" t="str">
        <f>IF(トップス!B138="","",トップス!B138)</f>
        <v/>
      </c>
      <c r="C138" s="3" t="str">
        <f>IF(トップス!C138="","",トップス!C138)</f>
        <v>◇ サイズ E</v>
      </c>
      <c r="D138" s="3" t="str">
        <f>IF(トップス!E138="","",トップス!E138)</f>
        <v>無</v>
      </c>
      <c r="E138" s="3" t="str">
        <f>IF(トップス!AA138="","",トップス!AA138)</f>
        <v>ベースW</v>
      </c>
      <c r="F138" s="3" t="str">
        <f>IF(トップス!G138="","",トップス!G138)</f>
        <v/>
      </c>
      <c r="G138" s="3" t="str">
        <f>IF(トップス!H138="","",トップス!H138)</f>
        <v/>
      </c>
      <c r="H138" s="3" t="str">
        <f>IF(トップス!I138="","",トップス!I138)</f>
        <v/>
      </c>
      <c r="I138" s="3" t="str">
        <f>IF(トップス!J138="","",トップス!J138)</f>
        <v>画像参照</v>
      </c>
      <c r="J138" s="3" t="str">
        <f>IF(トップス!K138="","",トップス!K138)</f>
        <v/>
      </c>
      <c r="K138" s="3" t="str">
        <f>IF(トップス!L138="","",トップス!L138)</f>
        <v>サイズ</v>
      </c>
      <c r="L138" s="3" t="str">
        <f xml:space="preserve"> トップス!Z138</f>
        <v>着丈：約cm　肩幅：約cm　身幅：約cm　袖丈：約cm</v>
      </c>
      <c r="M138" s="69" t="s">
        <v>19</v>
      </c>
      <c r="N138" s="69" t="s">
        <v>20</v>
      </c>
      <c r="O138" s="69" t="s">
        <v>21</v>
      </c>
      <c r="P138" s="4" t="s">
        <v>3036</v>
      </c>
      <c r="Q138" s="4" t="s">
        <v>3038</v>
      </c>
      <c r="R138" s="69" t="s">
        <v>22</v>
      </c>
      <c r="S138" s="69" t="s">
        <v>23</v>
      </c>
      <c r="T138" s="69" t="s">
        <v>22</v>
      </c>
      <c r="U138" s="69" t="s">
        <v>24</v>
      </c>
      <c r="V138" s="69" t="s">
        <v>25</v>
      </c>
      <c r="W138" s="69" t="s">
        <v>26</v>
      </c>
      <c r="X138" s="69" t="s">
        <v>27</v>
      </c>
      <c r="Y138" s="69" t="s">
        <v>28</v>
      </c>
      <c r="Z138" s="69" t="s">
        <v>29</v>
      </c>
      <c r="AA138" s="4"/>
      <c r="AB138" s="4"/>
      <c r="AC138" s="4"/>
      <c r="AD138" s="70"/>
      <c r="AE138" s="70">
        <f>トップス!AE138</f>
        <v>0</v>
      </c>
      <c r="AF138" s="70" t="str">
        <f>トップス!Q138</f>
        <v>通常</v>
      </c>
      <c r="AG138" s="70">
        <v>0</v>
      </c>
      <c r="AH138" s="6">
        <f xml:space="preserve"> トップス!AC138</f>
        <v>0</v>
      </c>
      <c r="AI138">
        <v>1</v>
      </c>
      <c r="AJ138">
        <f>トップス!T138</f>
        <v>0</v>
      </c>
    </row>
    <row r="139" spans="1:36" ht="13.5" hidden="1" customHeight="1">
      <c r="A139" s="3" t="str">
        <f>IF(トップス!A139="","",トップス!A139)</f>
        <v/>
      </c>
      <c r="B139" s="68" t="str">
        <f>IF(トップス!B139="","",トップス!B139)</f>
        <v/>
      </c>
      <c r="C139" s="3" t="str">
        <f>IF(トップス!C139="","",トップス!C139)</f>
        <v>◇ サイズ E</v>
      </c>
      <c r="D139" s="3" t="str">
        <f>IF(トップス!E139="","",トップス!E139)</f>
        <v>無</v>
      </c>
      <c r="E139" s="3" t="str">
        <f>IF(トップス!AA139="","",トップス!AA139)</f>
        <v>ベースW</v>
      </c>
      <c r="F139" s="3" t="str">
        <f>IF(トップス!G139="","",トップス!G139)</f>
        <v/>
      </c>
      <c r="G139" s="3" t="str">
        <f>IF(トップス!H139="","",トップス!H139)</f>
        <v/>
      </c>
      <c r="H139" s="3" t="str">
        <f>IF(トップス!I139="","",トップス!I139)</f>
        <v/>
      </c>
      <c r="I139" s="3" t="str">
        <f>IF(トップス!J139="","",トップス!J139)</f>
        <v>画像参照</v>
      </c>
      <c r="J139" s="3" t="str">
        <f>IF(トップス!K139="","",トップス!K139)</f>
        <v/>
      </c>
      <c r="K139" s="3" t="str">
        <f>IF(トップス!L139="","",トップス!L139)</f>
        <v>サイズ</v>
      </c>
      <c r="L139" s="3" t="str">
        <f xml:space="preserve"> トップス!Z139</f>
        <v>着丈：約cm　肩幅：約cm　身幅：約cm　袖丈：約cm</v>
      </c>
      <c r="M139" s="69" t="s">
        <v>19</v>
      </c>
      <c r="N139" s="69" t="s">
        <v>20</v>
      </c>
      <c r="O139" s="69" t="s">
        <v>21</v>
      </c>
      <c r="P139" s="4" t="s">
        <v>3036</v>
      </c>
      <c r="Q139" s="4" t="s">
        <v>3038</v>
      </c>
      <c r="R139" s="69" t="s">
        <v>22</v>
      </c>
      <c r="S139" s="69" t="s">
        <v>23</v>
      </c>
      <c r="T139" s="69" t="s">
        <v>22</v>
      </c>
      <c r="U139" s="69" t="s">
        <v>24</v>
      </c>
      <c r="V139" s="69" t="s">
        <v>25</v>
      </c>
      <c r="W139" s="69" t="s">
        <v>26</v>
      </c>
      <c r="X139" s="69" t="s">
        <v>27</v>
      </c>
      <c r="Y139" s="69" t="s">
        <v>28</v>
      </c>
      <c r="Z139" s="69" t="s">
        <v>29</v>
      </c>
      <c r="AA139" s="4"/>
      <c r="AB139" s="4"/>
      <c r="AC139" s="4"/>
      <c r="AD139" s="70"/>
      <c r="AE139" s="70">
        <f>トップス!AE139</f>
        <v>0</v>
      </c>
      <c r="AF139" s="70" t="str">
        <f>トップス!Q139</f>
        <v>通常</v>
      </c>
      <c r="AG139" s="70">
        <v>0</v>
      </c>
      <c r="AH139" s="6">
        <f xml:space="preserve"> トップス!AC139</f>
        <v>0</v>
      </c>
      <c r="AI139">
        <v>1</v>
      </c>
      <c r="AJ139">
        <f>トップス!T139</f>
        <v>0</v>
      </c>
    </row>
    <row r="140" spans="1:36" ht="13.5" hidden="1" customHeight="1">
      <c r="A140" s="3" t="str">
        <f>IF(トップス!A140="","",トップス!A140)</f>
        <v/>
      </c>
      <c r="B140" s="68" t="str">
        <f>IF(トップス!B140="","",トップス!B140)</f>
        <v/>
      </c>
      <c r="C140" s="3" t="str">
        <f>IF(トップス!C140="","",トップス!C140)</f>
        <v>◇ サイズ E</v>
      </c>
      <c r="D140" s="3" t="str">
        <f>IF(トップス!E140="","",トップス!E140)</f>
        <v>無</v>
      </c>
      <c r="E140" s="3" t="str">
        <f>IF(トップス!AA140="","",トップス!AA140)</f>
        <v>ベースW</v>
      </c>
      <c r="F140" s="3" t="str">
        <f>IF(トップス!G140="","",トップス!G140)</f>
        <v/>
      </c>
      <c r="G140" s="3" t="str">
        <f>IF(トップス!H140="","",トップス!H140)</f>
        <v/>
      </c>
      <c r="H140" s="3" t="str">
        <f>IF(トップス!I140="","",トップス!I140)</f>
        <v/>
      </c>
      <c r="I140" s="3" t="str">
        <f>IF(トップス!J140="","",トップス!J140)</f>
        <v>画像参照</v>
      </c>
      <c r="J140" s="3" t="str">
        <f>IF(トップス!K140="","",トップス!K140)</f>
        <v/>
      </c>
      <c r="K140" s="3" t="str">
        <f>IF(トップス!L140="","",トップス!L140)</f>
        <v>サイズ</v>
      </c>
      <c r="L140" s="3" t="str">
        <f xml:space="preserve"> トップス!Z140</f>
        <v>着丈：約cm　肩幅：約cm　身幅：約cm　袖丈：約cm</v>
      </c>
      <c r="M140" s="69" t="s">
        <v>19</v>
      </c>
      <c r="N140" s="69" t="s">
        <v>20</v>
      </c>
      <c r="O140" s="69" t="s">
        <v>21</v>
      </c>
      <c r="P140" s="4" t="s">
        <v>3036</v>
      </c>
      <c r="Q140" s="4" t="s">
        <v>3038</v>
      </c>
      <c r="R140" s="69" t="s">
        <v>22</v>
      </c>
      <c r="S140" s="69" t="s">
        <v>23</v>
      </c>
      <c r="T140" s="69" t="s">
        <v>22</v>
      </c>
      <c r="U140" s="69" t="s">
        <v>24</v>
      </c>
      <c r="V140" s="69" t="s">
        <v>25</v>
      </c>
      <c r="W140" s="69" t="s">
        <v>26</v>
      </c>
      <c r="X140" s="69" t="s">
        <v>27</v>
      </c>
      <c r="Y140" s="69" t="s">
        <v>28</v>
      </c>
      <c r="Z140" s="69" t="s">
        <v>29</v>
      </c>
      <c r="AA140" s="4"/>
      <c r="AB140" s="4"/>
      <c r="AC140" s="4"/>
      <c r="AD140" s="70"/>
      <c r="AE140" s="70">
        <f>トップス!AE140</f>
        <v>0</v>
      </c>
      <c r="AF140" s="70" t="str">
        <f>トップス!Q140</f>
        <v>通常</v>
      </c>
      <c r="AG140" s="70">
        <v>0</v>
      </c>
      <c r="AH140" s="6">
        <f xml:space="preserve"> トップス!AC140</f>
        <v>0</v>
      </c>
      <c r="AI140">
        <v>1</v>
      </c>
      <c r="AJ140">
        <f>トップス!T140</f>
        <v>0</v>
      </c>
    </row>
    <row r="141" spans="1:36" ht="13.5" hidden="1" customHeight="1">
      <c r="A141" s="3" t="str">
        <f>IF(トップス!A141="","",トップス!A141)</f>
        <v/>
      </c>
      <c r="B141" s="68" t="str">
        <f>IF(トップス!B141="","",トップス!B141)</f>
        <v/>
      </c>
      <c r="C141" s="3" t="str">
        <f>IF(トップス!C141="","",トップス!C141)</f>
        <v>◇ サイズ E</v>
      </c>
      <c r="D141" s="3" t="str">
        <f>IF(トップス!E141="","",トップス!E141)</f>
        <v>無</v>
      </c>
      <c r="E141" s="3" t="str">
        <f>IF(トップス!AA141="","",トップス!AA141)</f>
        <v>ベースW</v>
      </c>
      <c r="F141" s="3" t="str">
        <f>IF(トップス!G141="","",トップス!G141)</f>
        <v/>
      </c>
      <c r="G141" s="3" t="str">
        <f>IF(トップス!H141="","",トップス!H141)</f>
        <v/>
      </c>
      <c r="H141" s="3" t="str">
        <f>IF(トップス!I141="","",トップス!I141)</f>
        <v/>
      </c>
      <c r="I141" s="3" t="str">
        <f>IF(トップス!J141="","",トップス!J141)</f>
        <v>画像参照</v>
      </c>
      <c r="J141" s="3" t="str">
        <f>IF(トップス!K141="","",トップス!K141)</f>
        <v/>
      </c>
      <c r="K141" s="3" t="str">
        <f>IF(トップス!L141="","",トップス!L141)</f>
        <v>サイズ</v>
      </c>
      <c r="L141" s="3" t="str">
        <f xml:space="preserve"> トップス!Z141</f>
        <v>着丈：約cm　肩幅：約cm　身幅：約cm　袖丈：約cm</v>
      </c>
      <c r="M141" s="69" t="s">
        <v>19</v>
      </c>
      <c r="N141" s="69" t="s">
        <v>20</v>
      </c>
      <c r="O141" s="69" t="s">
        <v>21</v>
      </c>
      <c r="P141" s="4" t="s">
        <v>3036</v>
      </c>
      <c r="Q141" s="4" t="s">
        <v>3038</v>
      </c>
      <c r="R141" s="69" t="s">
        <v>22</v>
      </c>
      <c r="S141" s="69" t="s">
        <v>23</v>
      </c>
      <c r="T141" s="69" t="s">
        <v>22</v>
      </c>
      <c r="U141" s="69" t="s">
        <v>24</v>
      </c>
      <c r="V141" s="69" t="s">
        <v>25</v>
      </c>
      <c r="W141" s="69" t="s">
        <v>26</v>
      </c>
      <c r="X141" s="69" t="s">
        <v>27</v>
      </c>
      <c r="Y141" s="69" t="s">
        <v>28</v>
      </c>
      <c r="Z141" s="69" t="s">
        <v>29</v>
      </c>
      <c r="AA141" s="4"/>
      <c r="AB141" s="4"/>
      <c r="AC141" s="4"/>
      <c r="AD141" s="70"/>
      <c r="AE141" s="70">
        <f>トップス!AE141</f>
        <v>0</v>
      </c>
      <c r="AF141" s="70" t="str">
        <f>トップス!Q141</f>
        <v>通常</v>
      </c>
      <c r="AG141" s="70">
        <v>0</v>
      </c>
      <c r="AH141" s="6">
        <f xml:space="preserve"> トップス!AC141</f>
        <v>0</v>
      </c>
      <c r="AI141">
        <v>1</v>
      </c>
      <c r="AJ141">
        <f>トップス!T141</f>
        <v>0</v>
      </c>
    </row>
    <row r="142" spans="1:36" ht="13.5" hidden="1" customHeight="1">
      <c r="A142" s="3" t="str">
        <f>IF(トップス!A142="","",トップス!A142)</f>
        <v/>
      </c>
      <c r="B142" s="68" t="str">
        <f>IF(トップス!B142="","",トップス!B142)</f>
        <v/>
      </c>
      <c r="C142" s="3" t="str">
        <f>IF(トップス!C142="","",トップス!C142)</f>
        <v>◇ サイズ E</v>
      </c>
      <c r="D142" s="3" t="str">
        <f>IF(トップス!E142="","",トップス!E142)</f>
        <v>無</v>
      </c>
      <c r="E142" s="3" t="str">
        <f>IF(トップス!AA142="","",トップス!AA142)</f>
        <v>ベースW</v>
      </c>
      <c r="F142" s="3" t="str">
        <f>IF(トップス!G142="","",トップス!G142)</f>
        <v/>
      </c>
      <c r="G142" s="3" t="str">
        <f>IF(トップス!H142="","",トップス!H142)</f>
        <v/>
      </c>
      <c r="H142" s="3" t="str">
        <f>IF(トップス!I142="","",トップス!I142)</f>
        <v/>
      </c>
      <c r="I142" s="3" t="str">
        <f>IF(トップス!J142="","",トップス!J142)</f>
        <v>画像参照</v>
      </c>
      <c r="J142" s="3" t="str">
        <f>IF(トップス!K142="","",トップス!K142)</f>
        <v/>
      </c>
      <c r="K142" s="3" t="str">
        <f>IF(トップス!L142="","",トップス!L142)</f>
        <v>サイズ</v>
      </c>
      <c r="L142" s="3" t="str">
        <f xml:space="preserve"> トップス!Z142</f>
        <v>着丈：約cm　肩幅：約cm　身幅：約cm　袖丈：約cm</v>
      </c>
      <c r="M142" s="69" t="s">
        <v>19</v>
      </c>
      <c r="N142" s="69" t="s">
        <v>20</v>
      </c>
      <c r="O142" s="69" t="s">
        <v>21</v>
      </c>
      <c r="P142" s="4" t="s">
        <v>3036</v>
      </c>
      <c r="Q142" s="4" t="s">
        <v>3038</v>
      </c>
      <c r="R142" s="69" t="s">
        <v>22</v>
      </c>
      <c r="S142" s="69" t="s">
        <v>23</v>
      </c>
      <c r="T142" s="69" t="s">
        <v>22</v>
      </c>
      <c r="U142" s="69" t="s">
        <v>24</v>
      </c>
      <c r="V142" s="69" t="s">
        <v>25</v>
      </c>
      <c r="W142" s="69" t="s">
        <v>26</v>
      </c>
      <c r="X142" s="69" t="s">
        <v>27</v>
      </c>
      <c r="Y142" s="69" t="s">
        <v>28</v>
      </c>
      <c r="Z142" s="69" t="s">
        <v>29</v>
      </c>
      <c r="AA142" s="4"/>
      <c r="AB142" s="4"/>
      <c r="AC142" s="4"/>
      <c r="AD142" s="70"/>
      <c r="AE142" s="70">
        <f>トップス!AE142</f>
        <v>0</v>
      </c>
      <c r="AF142" s="70" t="str">
        <f>トップス!Q142</f>
        <v>通常</v>
      </c>
      <c r="AG142" s="70">
        <v>0</v>
      </c>
      <c r="AH142" s="6">
        <f xml:space="preserve"> トップス!AC142</f>
        <v>0</v>
      </c>
      <c r="AI142">
        <v>1</v>
      </c>
      <c r="AJ142">
        <f>トップス!T142</f>
        <v>0</v>
      </c>
    </row>
    <row r="143" spans="1:36" ht="13.5" hidden="1" customHeight="1">
      <c r="A143" s="3" t="str">
        <f>IF(トップス!A143="","",トップス!A143)</f>
        <v/>
      </c>
      <c r="B143" s="68" t="str">
        <f>IF(トップス!B143="","",トップス!B143)</f>
        <v/>
      </c>
      <c r="C143" s="3" t="str">
        <f>IF(トップス!C143="","",トップス!C143)</f>
        <v>◇ サイズ E</v>
      </c>
      <c r="D143" s="3" t="str">
        <f>IF(トップス!E143="","",トップス!E143)</f>
        <v>無</v>
      </c>
      <c r="E143" s="3" t="str">
        <f>IF(トップス!AA143="","",トップス!AA143)</f>
        <v>ベースW</v>
      </c>
      <c r="F143" s="3" t="str">
        <f>IF(トップス!G143="","",トップス!G143)</f>
        <v/>
      </c>
      <c r="G143" s="3" t="str">
        <f>IF(トップス!H143="","",トップス!H143)</f>
        <v/>
      </c>
      <c r="H143" s="3" t="str">
        <f>IF(トップス!I143="","",トップス!I143)</f>
        <v/>
      </c>
      <c r="I143" s="3" t="str">
        <f>IF(トップス!J143="","",トップス!J143)</f>
        <v>画像参照</v>
      </c>
      <c r="J143" s="3" t="str">
        <f>IF(トップス!K143="","",トップス!K143)</f>
        <v/>
      </c>
      <c r="K143" s="3" t="str">
        <f>IF(トップス!L143="","",トップス!L143)</f>
        <v>サイズ</v>
      </c>
      <c r="L143" s="3" t="str">
        <f xml:space="preserve"> トップス!Z143</f>
        <v>着丈：約cm　肩幅：約cm　身幅：約cm　袖丈：約cm</v>
      </c>
      <c r="M143" s="69" t="s">
        <v>19</v>
      </c>
      <c r="N143" s="69" t="s">
        <v>20</v>
      </c>
      <c r="O143" s="69" t="s">
        <v>21</v>
      </c>
      <c r="P143" s="4" t="s">
        <v>3036</v>
      </c>
      <c r="Q143" s="4" t="s">
        <v>3038</v>
      </c>
      <c r="R143" s="69" t="s">
        <v>22</v>
      </c>
      <c r="S143" s="69" t="s">
        <v>23</v>
      </c>
      <c r="T143" s="69" t="s">
        <v>22</v>
      </c>
      <c r="U143" s="69" t="s">
        <v>24</v>
      </c>
      <c r="V143" s="69" t="s">
        <v>25</v>
      </c>
      <c r="W143" s="69" t="s">
        <v>26</v>
      </c>
      <c r="X143" s="69" t="s">
        <v>27</v>
      </c>
      <c r="Y143" s="69" t="s">
        <v>28</v>
      </c>
      <c r="Z143" s="69" t="s">
        <v>29</v>
      </c>
      <c r="AA143" s="4"/>
      <c r="AB143" s="4"/>
      <c r="AC143" s="4"/>
      <c r="AD143" s="70"/>
      <c r="AE143" s="70">
        <f>トップス!AE143</f>
        <v>0</v>
      </c>
      <c r="AF143" s="70" t="str">
        <f>トップス!Q143</f>
        <v>通常</v>
      </c>
      <c r="AG143" s="70">
        <v>0</v>
      </c>
      <c r="AH143" s="6">
        <f xml:space="preserve"> トップス!AC143</f>
        <v>0</v>
      </c>
      <c r="AI143">
        <v>1</v>
      </c>
      <c r="AJ143">
        <f>トップス!T143</f>
        <v>0</v>
      </c>
    </row>
    <row r="144" spans="1:36" ht="13.5" hidden="1" customHeight="1">
      <c r="A144" s="3" t="str">
        <f>IF(トップス!A144="","",トップス!A144)</f>
        <v/>
      </c>
      <c r="B144" s="68" t="str">
        <f>IF(トップス!B144="","",トップス!B144)</f>
        <v/>
      </c>
      <c r="C144" s="3" t="str">
        <f>IF(トップス!C144="","",トップス!C144)</f>
        <v>◇ サイズ E</v>
      </c>
      <c r="D144" s="3" t="str">
        <f>IF(トップス!E144="","",トップス!E144)</f>
        <v>無</v>
      </c>
      <c r="E144" s="3" t="str">
        <f>IF(トップス!AA144="","",トップス!AA144)</f>
        <v>ベースW</v>
      </c>
      <c r="F144" s="3" t="str">
        <f>IF(トップス!G144="","",トップス!G144)</f>
        <v/>
      </c>
      <c r="G144" s="3" t="str">
        <f>IF(トップス!H144="","",トップス!H144)</f>
        <v/>
      </c>
      <c r="H144" s="3" t="str">
        <f>IF(トップス!I144="","",トップス!I144)</f>
        <v/>
      </c>
      <c r="I144" s="3" t="str">
        <f>IF(トップス!J144="","",トップス!J144)</f>
        <v>画像参照</v>
      </c>
      <c r="J144" s="3" t="str">
        <f>IF(トップス!K144="","",トップス!K144)</f>
        <v/>
      </c>
      <c r="K144" s="3" t="str">
        <f>IF(トップス!L144="","",トップス!L144)</f>
        <v>サイズ</v>
      </c>
      <c r="L144" s="3" t="str">
        <f xml:space="preserve"> トップス!Z144</f>
        <v>着丈：約cm　肩幅：約cm　身幅：約cm　袖丈：約cm</v>
      </c>
      <c r="M144" s="69" t="s">
        <v>19</v>
      </c>
      <c r="N144" s="69" t="s">
        <v>20</v>
      </c>
      <c r="O144" s="69" t="s">
        <v>21</v>
      </c>
      <c r="P144" s="4" t="s">
        <v>3036</v>
      </c>
      <c r="Q144" s="4" t="s">
        <v>3038</v>
      </c>
      <c r="R144" s="69" t="s">
        <v>22</v>
      </c>
      <c r="S144" s="69" t="s">
        <v>23</v>
      </c>
      <c r="T144" s="69" t="s">
        <v>22</v>
      </c>
      <c r="U144" s="69" t="s">
        <v>24</v>
      </c>
      <c r="V144" s="69" t="s">
        <v>25</v>
      </c>
      <c r="W144" s="69" t="s">
        <v>26</v>
      </c>
      <c r="X144" s="69" t="s">
        <v>27</v>
      </c>
      <c r="Y144" s="69" t="s">
        <v>28</v>
      </c>
      <c r="Z144" s="69" t="s">
        <v>29</v>
      </c>
      <c r="AA144" s="4"/>
      <c r="AB144" s="4"/>
      <c r="AC144" s="4"/>
      <c r="AD144" s="70"/>
      <c r="AE144" s="70">
        <f>トップス!AE144</f>
        <v>0</v>
      </c>
      <c r="AF144" s="70" t="str">
        <f>トップス!Q144</f>
        <v>通常</v>
      </c>
      <c r="AG144" s="70">
        <v>0</v>
      </c>
      <c r="AH144" s="6">
        <f xml:space="preserve"> トップス!AC144</f>
        <v>0</v>
      </c>
      <c r="AI144">
        <v>1</v>
      </c>
      <c r="AJ144">
        <f>トップス!T144</f>
        <v>0</v>
      </c>
    </row>
    <row r="145" spans="1:36" ht="13.5" hidden="1" customHeight="1">
      <c r="A145" s="3" t="str">
        <f>IF(トップス!A145="","",トップス!A145)</f>
        <v/>
      </c>
      <c r="B145" s="68" t="str">
        <f>IF(トップス!B145="","",トップス!B145)</f>
        <v/>
      </c>
      <c r="C145" s="3" t="str">
        <f>IF(トップス!C145="","",トップス!C145)</f>
        <v>◇ サイズ E</v>
      </c>
      <c r="D145" s="3" t="str">
        <f>IF(トップス!E145="","",トップス!E145)</f>
        <v>無</v>
      </c>
      <c r="E145" s="3" t="str">
        <f>IF(トップス!AA145="","",トップス!AA145)</f>
        <v>ベースW</v>
      </c>
      <c r="F145" s="3" t="str">
        <f>IF(トップス!G145="","",トップス!G145)</f>
        <v/>
      </c>
      <c r="G145" s="3" t="str">
        <f>IF(トップス!H145="","",トップス!H145)</f>
        <v/>
      </c>
      <c r="H145" s="3" t="str">
        <f>IF(トップス!I145="","",トップス!I145)</f>
        <v/>
      </c>
      <c r="I145" s="3" t="str">
        <f>IF(トップス!J145="","",トップス!J145)</f>
        <v>画像参照</v>
      </c>
      <c r="J145" s="3" t="str">
        <f>IF(トップス!K145="","",トップス!K145)</f>
        <v/>
      </c>
      <c r="K145" s="3" t="str">
        <f>IF(トップス!L145="","",トップス!L145)</f>
        <v>サイズ</v>
      </c>
      <c r="L145" s="3" t="str">
        <f xml:space="preserve"> トップス!Z145</f>
        <v>着丈：約cm　肩幅：約cm　身幅：約cm　袖丈：約cm</v>
      </c>
      <c r="M145" s="69" t="s">
        <v>19</v>
      </c>
      <c r="N145" s="69" t="s">
        <v>20</v>
      </c>
      <c r="O145" s="69" t="s">
        <v>21</v>
      </c>
      <c r="P145" s="4" t="s">
        <v>3036</v>
      </c>
      <c r="Q145" s="4" t="s">
        <v>3038</v>
      </c>
      <c r="R145" s="69" t="s">
        <v>22</v>
      </c>
      <c r="S145" s="69" t="s">
        <v>23</v>
      </c>
      <c r="T145" s="69" t="s">
        <v>22</v>
      </c>
      <c r="U145" s="69" t="s">
        <v>24</v>
      </c>
      <c r="V145" s="69" t="s">
        <v>25</v>
      </c>
      <c r="W145" s="69" t="s">
        <v>26</v>
      </c>
      <c r="X145" s="69" t="s">
        <v>27</v>
      </c>
      <c r="Y145" s="69" t="s">
        <v>28</v>
      </c>
      <c r="Z145" s="69" t="s">
        <v>29</v>
      </c>
      <c r="AA145" s="4"/>
      <c r="AB145" s="4"/>
      <c r="AC145" s="4"/>
      <c r="AD145" s="70"/>
      <c r="AE145" s="70">
        <f>トップス!AE145</f>
        <v>0</v>
      </c>
      <c r="AF145" s="70" t="str">
        <f>トップス!Q145</f>
        <v>通常</v>
      </c>
      <c r="AG145" s="70">
        <v>0</v>
      </c>
      <c r="AH145" s="6">
        <f xml:space="preserve"> トップス!AC145</f>
        <v>0</v>
      </c>
      <c r="AI145">
        <v>1</v>
      </c>
      <c r="AJ145">
        <f>トップス!T145</f>
        <v>0</v>
      </c>
    </row>
    <row r="146" spans="1:36" ht="13.5" hidden="1" customHeight="1">
      <c r="A146" s="3" t="str">
        <f>IF(トップス!A146="","",トップス!A146)</f>
        <v/>
      </c>
      <c r="B146" s="68" t="str">
        <f>IF(トップス!B146="","",トップス!B146)</f>
        <v/>
      </c>
      <c r="C146" s="3" t="str">
        <f>IF(トップス!C146="","",トップス!C146)</f>
        <v>◇ サイズ E</v>
      </c>
      <c r="D146" s="3" t="str">
        <f>IF(トップス!E146="","",トップス!E146)</f>
        <v>無</v>
      </c>
      <c r="E146" s="3" t="str">
        <f>IF(トップス!AA146="","",トップス!AA146)</f>
        <v>ベースW</v>
      </c>
      <c r="F146" s="3" t="str">
        <f>IF(トップス!G146="","",トップス!G146)</f>
        <v/>
      </c>
      <c r="G146" s="3" t="str">
        <f>IF(トップス!H146="","",トップス!H146)</f>
        <v/>
      </c>
      <c r="H146" s="3" t="str">
        <f>IF(トップス!I146="","",トップス!I146)</f>
        <v/>
      </c>
      <c r="I146" s="3" t="str">
        <f>IF(トップス!J146="","",トップス!J146)</f>
        <v>画像参照</v>
      </c>
      <c r="J146" s="3" t="str">
        <f>IF(トップス!K146="","",トップス!K146)</f>
        <v/>
      </c>
      <c r="K146" s="3" t="str">
        <f>IF(トップス!L146="","",トップス!L146)</f>
        <v>サイズ</v>
      </c>
      <c r="L146" s="3" t="str">
        <f xml:space="preserve"> トップス!Z146</f>
        <v>着丈：約cm　肩幅：約cm　身幅：約cm　袖丈：約cm</v>
      </c>
      <c r="M146" s="69" t="s">
        <v>19</v>
      </c>
      <c r="N146" s="69" t="s">
        <v>20</v>
      </c>
      <c r="O146" s="69" t="s">
        <v>21</v>
      </c>
      <c r="P146" s="4" t="s">
        <v>3036</v>
      </c>
      <c r="Q146" s="4" t="s">
        <v>3038</v>
      </c>
      <c r="R146" s="69" t="s">
        <v>22</v>
      </c>
      <c r="S146" s="69" t="s">
        <v>23</v>
      </c>
      <c r="T146" s="69" t="s">
        <v>22</v>
      </c>
      <c r="U146" s="69" t="s">
        <v>24</v>
      </c>
      <c r="V146" s="69" t="s">
        <v>25</v>
      </c>
      <c r="W146" s="69" t="s">
        <v>26</v>
      </c>
      <c r="X146" s="69" t="s">
        <v>27</v>
      </c>
      <c r="Y146" s="69" t="s">
        <v>28</v>
      </c>
      <c r="Z146" s="69" t="s">
        <v>29</v>
      </c>
      <c r="AA146" s="4"/>
      <c r="AB146" s="4"/>
      <c r="AC146" s="4"/>
      <c r="AD146" s="70"/>
      <c r="AE146" s="70">
        <f>トップス!AE146</f>
        <v>0</v>
      </c>
      <c r="AF146" s="70" t="str">
        <f>トップス!Q146</f>
        <v>通常</v>
      </c>
      <c r="AG146" s="70">
        <v>0</v>
      </c>
      <c r="AH146" s="6">
        <f xml:space="preserve"> トップス!AC146</f>
        <v>0</v>
      </c>
      <c r="AI146">
        <v>1</v>
      </c>
      <c r="AJ146">
        <f>トップス!T146</f>
        <v>0</v>
      </c>
    </row>
    <row r="147" spans="1:36" ht="13.5" hidden="1" customHeight="1">
      <c r="A147" s="3" t="str">
        <f>IF(トップス!A147="","",トップス!A147)</f>
        <v/>
      </c>
      <c r="B147" s="68" t="str">
        <f>IF(トップス!B147="","",トップス!B147)</f>
        <v/>
      </c>
      <c r="C147" s="3" t="str">
        <f>IF(トップス!C147="","",トップス!C147)</f>
        <v>◇ サイズ E</v>
      </c>
      <c r="D147" s="3" t="str">
        <f>IF(トップス!E147="","",トップス!E147)</f>
        <v>無</v>
      </c>
      <c r="E147" s="3" t="str">
        <f>IF(トップス!AA147="","",トップス!AA147)</f>
        <v>ベースW</v>
      </c>
      <c r="F147" s="3" t="str">
        <f>IF(トップス!G147="","",トップス!G147)</f>
        <v/>
      </c>
      <c r="G147" s="3" t="str">
        <f>IF(トップス!H147="","",トップス!H147)</f>
        <v/>
      </c>
      <c r="H147" s="3" t="str">
        <f>IF(トップス!I147="","",トップス!I147)</f>
        <v/>
      </c>
      <c r="I147" s="3" t="str">
        <f>IF(トップス!J147="","",トップス!J147)</f>
        <v>画像参照</v>
      </c>
      <c r="J147" s="3" t="str">
        <f>IF(トップス!K147="","",トップス!K147)</f>
        <v/>
      </c>
      <c r="K147" s="3" t="str">
        <f>IF(トップス!L147="","",トップス!L147)</f>
        <v>サイズ</v>
      </c>
      <c r="L147" s="3" t="str">
        <f xml:space="preserve"> トップス!Z147</f>
        <v>着丈：約cm　肩幅：約cm　身幅：約cm　袖丈：約cm</v>
      </c>
      <c r="M147" s="69" t="s">
        <v>19</v>
      </c>
      <c r="N147" s="69" t="s">
        <v>20</v>
      </c>
      <c r="O147" s="69" t="s">
        <v>21</v>
      </c>
      <c r="P147" s="4" t="s">
        <v>3036</v>
      </c>
      <c r="Q147" s="4" t="s">
        <v>3038</v>
      </c>
      <c r="R147" s="69" t="s">
        <v>22</v>
      </c>
      <c r="S147" s="69" t="s">
        <v>23</v>
      </c>
      <c r="T147" s="69" t="s">
        <v>22</v>
      </c>
      <c r="U147" s="69" t="s">
        <v>24</v>
      </c>
      <c r="V147" s="69" t="s">
        <v>25</v>
      </c>
      <c r="W147" s="69" t="s">
        <v>26</v>
      </c>
      <c r="X147" s="69" t="s">
        <v>27</v>
      </c>
      <c r="Y147" s="69" t="s">
        <v>28</v>
      </c>
      <c r="Z147" s="69" t="s">
        <v>29</v>
      </c>
      <c r="AA147" s="4"/>
      <c r="AB147" s="4"/>
      <c r="AC147" s="4"/>
      <c r="AD147" s="70"/>
      <c r="AE147" s="70">
        <f>トップス!AE147</f>
        <v>0</v>
      </c>
      <c r="AF147" s="70" t="str">
        <f>トップス!Q147</f>
        <v>通常</v>
      </c>
      <c r="AG147" s="70">
        <v>0</v>
      </c>
      <c r="AH147" s="6">
        <f xml:space="preserve"> トップス!AC147</f>
        <v>0</v>
      </c>
      <c r="AI147">
        <v>1</v>
      </c>
      <c r="AJ147">
        <f>トップス!T147</f>
        <v>0</v>
      </c>
    </row>
    <row r="148" spans="1:36" ht="13.5" hidden="1" customHeight="1">
      <c r="A148" s="3" t="str">
        <f>IF(トップス!A148="","",トップス!A148)</f>
        <v/>
      </c>
      <c r="B148" s="68" t="str">
        <f>IF(トップス!B148="","",トップス!B148)</f>
        <v/>
      </c>
      <c r="C148" s="3" t="str">
        <f>IF(トップス!C148="","",トップス!C148)</f>
        <v>◇ サイズ E</v>
      </c>
      <c r="D148" s="3" t="str">
        <f>IF(トップス!E148="","",トップス!E148)</f>
        <v>無</v>
      </c>
      <c r="E148" s="3" t="str">
        <f>IF(トップス!AA148="","",トップス!AA148)</f>
        <v>ベースW</v>
      </c>
      <c r="F148" s="3" t="str">
        <f>IF(トップス!G148="","",トップス!G148)</f>
        <v/>
      </c>
      <c r="G148" s="3" t="str">
        <f>IF(トップス!H148="","",トップス!H148)</f>
        <v/>
      </c>
      <c r="H148" s="3" t="str">
        <f>IF(トップス!I148="","",トップス!I148)</f>
        <v/>
      </c>
      <c r="I148" s="3" t="str">
        <f>IF(トップス!J148="","",トップス!J148)</f>
        <v>画像参照</v>
      </c>
      <c r="J148" s="3" t="str">
        <f>IF(トップス!K148="","",トップス!K148)</f>
        <v/>
      </c>
      <c r="K148" s="3" t="str">
        <f>IF(トップス!L148="","",トップス!L148)</f>
        <v>サイズ</v>
      </c>
      <c r="L148" s="3" t="str">
        <f xml:space="preserve"> トップス!Z148</f>
        <v>着丈：約cm　肩幅：約cm　身幅：約cm　袖丈：約cm</v>
      </c>
      <c r="M148" s="69" t="s">
        <v>19</v>
      </c>
      <c r="N148" s="69" t="s">
        <v>20</v>
      </c>
      <c r="O148" s="69" t="s">
        <v>21</v>
      </c>
      <c r="P148" s="4" t="s">
        <v>3036</v>
      </c>
      <c r="Q148" s="4" t="s">
        <v>3038</v>
      </c>
      <c r="R148" s="69" t="s">
        <v>22</v>
      </c>
      <c r="S148" s="69" t="s">
        <v>23</v>
      </c>
      <c r="T148" s="69" t="s">
        <v>22</v>
      </c>
      <c r="U148" s="69" t="s">
        <v>24</v>
      </c>
      <c r="V148" s="69" t="s">
        <v>25</v>
      </c>
      <c r="W148" s="69" t="s">
        <v>26</v>
      </c>
      <c r="X148" s="69" t="s">
        <v>27</v>
      </c>
      <c r="Y148" s="69" t="s">
        <v>28</v>
      </c>
      <c r="Z148" s="69" t="s">
        <v>29</v>
      </c>
      <c r="AA148" s="4"/>
      <c r="AB148" s="4"/>
      <c r="AC148" s="4"/>
      <c r="AD148" s="70"/>
      <c r="AE148" s="70">
        <f>トップス!AE148</f>
        <v>0</v>
      </c>
      <c r="AF148" s="70" t="str">
        <f>トップス!Q148</f>
        <v>通常</v>
      </c>
      <c r="AG148" s="70">
        <v>0</v>
      </c>
      <c r="AH148" s="6">
        <f xml:space="preserve"> トップス!AC148</f>
        <v>0</v>
      </c>
      <c r="AI148">
        <v>1</v>
      </c>
      <c r="AJ148">
        <f>トップス!T148</f>
        <v>0</v>
      </c>
    </row>
    <row r="149" spans="1:36" ht="13.5" hidden="1" customHeight="1">
      <c r="A149" s="3" t="str">
        <f>IF(トップス!A149="","",トップス!A149)</f>
        <v/>
      </c>
      <c r="B149" s="68" t="str">
        <f>IF(トップス!B149="","",トップス!B149)</f>
        <v/>
      </c>
      <c r="C149" s="3" t="str">
        <f>IF(トップス!C149="","",トップス!C149)</f>
        <v>◇ サイズ E</v>
      </c>
      <c r="D149" s="3" t="str">
        <f>IF(トップス!E149="","",トップス!E149)</f>
        <v>無</v>
      </c>
      <c r="E149" s="3" t="str">
        <f>IF(トップス!AA149="","",トップス!AA149)</f>
        <v>ベースW</v>
      </c>
      <c r="F149" s="3" t="str">
        <f>IF(トップス!G149="","",トップス!G149)</f>
        <v/>
      </c>
      <c r="G149" s="3" t="str">
        <f>IF(トップス!H149="","",トップス!H149)</f>
        <v/>
      </c>
      <c r="H149" s="3" t="str">
        <f>IF(トップス!I149="","",トップス!I149)</f>
        <v/>
      </c>
      <c r="I149" s="3" t="str">
        <f>IF(トップス!J149="","",トップス!J149)</f>
        <v>画像参照</v>
      </c>
      <c r="J149" s="3" t="str">
        <f>IF(トップス!K149="","",トップス!K149)</f>
        <v/>
      </c>
      <c r="K149" s="3" t="str">
        <f>IF(トップス!L149="","",トップス!L149)</f>
        <v>サイズ</v>
      </c>
      <c r="L149" s="3" t="str">
        <f xml:space="preserve"> トップス!Z149</f>
        <v>着丈：約cm　肩幅：約cm　身幅：約cm　袖丈：約cm</v>
      </c>
      <c r="M149" s="69" t="s">
        <v>19</v>
      </c>
      <c r="N149" s="69" t="s">
        <v>20</v>
      </c>
      <c r="O149" s="69" t="s">
        <v>21</v>
      </c>
      <c r="P149" s="4" t="s">
        <v>3036</v>
      </c>
      <c r="Q149" s="4" t="s">
        <v>3038</v>
      </c>
      <c r="R149" s="69" t="s">
        <v>22</v>
      </c>
      <c r="S149" s="69" t="s">
        <v>23</v>
      </c>
      <c r="T149" s="69" t="s">
        <v>22</v>
      </c>
      <c r="U149" s="69" t="s">
        <v>24</v>
      </c>
      <c r="V149" s="69" t="s">
        <v>25</v>
      </c>
      <c r="W149" s="69" t="s">
        <v>26</v>
      </c>
      <c r="X149" s="69" t="s">
        <v>27</v>
      </c>
      <c r="Y149" s="69" t="s">
        <v>28</v>
      </c>
      <c r="Z149" s="69" t="s">
        <v>29</v>
      </c>
      <c r="AA149" s="4"/>
      <c r="AB149" s="4"/>
      <c r="AC149" s="4"/>
      <c r="AD149" s="70"/>
      <c r="AE149" s="70">
        <f>トップス!AE149</f>
        <v>0</v>
      </c>
      <c r="AF149" s="70" t="str">
        <f>トップス!Q149</f>
        <v>通常</v>
      </c>
      <c r="AG149" s="70">
        <v>0</v>
      </c>
      <c r="AH149" s="6">
        <f xml:space="preserve"> トップス!AC149</f>
        <v>0</v>
      </c>
      <c r="AI149">
        <v>1</v>
      </c>
      <c r="AJ149">
        <f>トップス!T149</f>
        <v>0</v>
      </c>
    </row>
    <row r="150" spans="1:36" ht="13.5" hidden="1" customHeight="1">
      <c r="A150" s="3" t="str">
        <f>IF(トップス!A150="","",トップス!A150)</f>
        <v/>
      </c>
      <c r="B150" s="68" t="str">
        <f>IF(トップス!B150="","",トップス!B150)</f>
        <v/>
      </c>
      <c r="C150" s="3" t="str">
        <f>IF(トップス!C150="","",トップス!C150)</f>
        <v>◇ サイズ E</v>
      </c>
      <c r="D150" s="3" t="str">
        <f>IF(トップス!E150="","",トップス!E150)</f>
        <v>無</v>
      </c>
      <c r="E150" s="3" t="str">
        <f>IF(トップス!AA150="","",トップス!AA150)</f>
        <v>ベースW</v>
      </c>
      <c r="F150" s="3" t="str">
        <f>IF(トップス!G150="","",トップス!G150)</f>
        <v/>
      </c>
      <c r="G150" s="3" t="str">
        <f>IF(トップス!H150="","",トップス!H150)</f>
        <v/>
      </c>
      <c r="H150" s="3" t="str">
        <f>IF(トップス!I150="","",トップス!I150)</f>
        <v/>
      </c>
      <c r="I150" s="3" t="str">
        <f>IF(トップス!J150="","",トップス!J150)</f>
        <v>画像参照</v>
      </c>
      <c r="J150" s="3" t="str">
        <f>IF(トップス!K150="","",トップス!K150)</f>
        <v/>
      </c>
      <c r="K150" s="3" t="str">
        <f>IF(トップス!L150="","",トップス!L150)</f>
        <v>サイズ</v>
      </c>
      <c r="L150" s="3" t="str">
        <f xml:space="preserve"> トップス!Z150</f>
        <v>着丈：約cm　肩幅：約cm　身幅：約cm　袖丈：約cm</v>
      </c>
      <c r="M150" s="69" t="s">
        <v>19</v>
      </c>
      <c r="N150" s="69" t="s">
        <v>20</v>
      </c>
      <c r="O150" s="69" t="s">
        <v>21</v>
      </c>
      <c r="P150" s="4" t="s">
        <v>3036</v>
      </c>
      <c r="Q150" s="4" t="s">
        <v>3038</v>
      </c>
      <c r="R150" s="69" t="s">
        <v>22</v>
      </c>
      <c r="S150" s="69" t="s">
        <v>23</v>
      </c>
      <c r="T150" s="69" t="s">
        <v>22</v>
      </c>
      <c r="U150" s="69" t="s">
        <v>24</v>
      </c>
      <c r="V150" s="69" t="s">
        <v>25</v>
      </c>
      <c r="W150" s="69" t="s">
        <v>26</v>
      </c>
      <c r="X150" s="69" t="s">
        <v>27</v>
      </c>
      <c r="Y150" s="69" t="s">
        <v>28</v>
      </c>
      <c r="Z150" s="69" t="s">
        <v>29</v>
      </c>
      <c r="AA150" s="4"/>
      <c r="AB150" s="4"/>
      <c r="AC150" s="4"/>
      <c r="AD150" s="70"/>
      <c r="AE150" s="70">
        <f>トップス!AE150</f>
        <v>0</v>
      </c>
      <c r="AF150" s="70" t="str">
        <f>トップス!Q150</f>
        <v>通常</v>
      </c>
      <c r="AG150" s="70">
        <v>0</v>
      </c>
      <c r="AH150" s="6">
        <f xml:space="preserve"> トップス!AC150</f>
        <v>0</v>
      </c>
      <c r="AI150">
        <v>1</v>
      </c>
      <c r="AJ150">
        <f>トップス!T150</f>
        <v>0</v>
      </c>
    </row>
    <row r="151" spans="1:36" ht="13.5" customHeight="1">
      <c r="A151" s="3">
        <v>2084224590</v>
      </c>
      <c r="B151" s="68">
        <f>IF(パンツ!B2="","",パンツ!B2)</f>
        <v>1211150014338</v>
      </c>
      <c r="C151" s="3" t="str">
        <f>IF(パンツ!C2="","",パンツ!C2)</f>
        <v>◇ ◎ KBF ウエストゴム、２タッグ コーデュロイパンツ サイズONE ホワイト レディース E 1211150014338</v>
      </c>
      <c r="D151" s="3" t="str">
        <f>IF(パンツ!E2="","",パンツ!E2)</f>
        <v>新品タグ。替えボタン</v>
      </c>
      <c r="E151" s="3" t="str">
        <f>IF(パンツ!AA2="","",パンツ!AA2)</f>
        <v>ベースW/9</v>
      </c>
      <c r="F151" s="3">
        <f>IF(パンツ!G2="","",パンツ!G2)</f>
        <v>1</v>
      </c>
      <c r="G151" s="3" t="str">
        <f>IF(パンツ!H2="","",パンツ!H2)</f>
        <v>新品</v>
      </c>
      <c r="H151" s="3" t="str">
        <f>IF(パンツ!I2="","",パンツ!I2)</f>
        <v/>
      </c>
      <c r="I151" s="3" t="str">
        <f>IF(パンツ!J2="","",パンツ!J2)</f>
        <v>画像参照</v>
      </c>
      <c r="J151" s="3" t="str">
        <f>IF(パンツ!K2="","",パンツ!K2)</f>
        <v>ホワイト</v>
      </c>
      <c r="K151" s="3" t="str">
        <f>IF(パンツ!L2="","",パンツ!L2)</f>
        <v>サイズONE</v>
      </c>
      <c r="L151" s="69" t="s">
        <v>117</v>
      </c>
      <c r="M151" s="3" t="str">
        <f xml:space="preserve"> パンツ!Z2</f>
        <v>股上：約34cm　股下：約61cm　ウエスト：約31cm　もも幅：約29cm　裾幅：約19cm</v>
      </c>
      <c r="N151" s="69" t="s">
        <v>20</v>
      </c>
      <c r="O151" s="69" t="s">
        <v>21</v>
      </c>
      <c r="P151" s="4" t="s">
        <v>3036</v>
      </c>
      <c r="Q151" s="4" t="s">
        <v>3038</v>
      </c>
      <c r="R151" s="69" t="s">
        <v>22</v>
      </c>
      <c r="S151" s="69" t="s">
        <v>23</v>
      </c>
      <c r="T151" s="69" t="s">
        <v>22</v>
      </c>
      <c r="U151" s="69" t="s">
        <v>24</v>
      </c>
      <c r="V151" s="69" t="s">
        <v>25</v>
      </c>
      <c r="W151" s="69" t="s">
        <v>26</v>
      </c>
      <c r="X151" s="69" t="s">
        <v>27</v>
      </c>
      <c r="Y151" s="69" t="s">
        <v>28</v>
      </c>
      <c r="Z151" s="69" t="s">
        <v>29</v>
      </c>
      <c r="AA151" s="4"/>
      <c r="AB151" s="4"/>
      <c r="AC151" s="4"/>
      <c r="AD151" s="70"/>
      <c r="AE151" s="70">
        <f>パンツ!AE2</f>
        <v>1000</v>
      </c>
      <c r="AF151" s="70" t="str">
        <f>パンツ!R2</f>
        <v>通常</v>
      </c>
      <c r="AG151" s="70">
        <v>0</v>
      </c>
      <c r="AH151" s="6">
        <f xml:space="preserve"> パンツ!AC2</f>
        <v>0</v>
      </c>
      <c r="AI151">
        <v>1</v>
      </c>
      <c r="AJ151" t="str">
        <f>パンツ!U2</f>
        <v>KBF</v>
      </c>
    </row>
    <row r="152" spans="1:36" ht="13.5" customHeight="1">
      <c r="A152" s="3">
        <v>2084224588</v>
      </c>
      <c r="B152" s="68">
        <f>IF(パンツ!B3="","",パンツ!B3)</f>
        <v>1212020007986</v>
      </c>
      <c r="C152" s="3" t="str">
        <f>IF(パンツ!C3="","",パンツ!C3)</f>
        <v>◇ 3/2WORKS サンニーワークス フロントファスナー。バックパッチ ストレートパンツ サイズXS カーキ レディース E 1212020007986</v>
      </c>
      <c r="D152" s="3" t="str">
        <f>IF(パンツ!E3="","",パンツ!E3)</f>
        <v>新品タグあり</v>
      </c>
      <c r="E152" s="3" t="str">
        <f>IF(パンツ!AA3="","",パンツ!AA3)</f>
        <v>ベースW/9</v>
      </c>
      <c r="F152" s="3">
        <f>IF(パンツ!G3="","",パンツ!G3)</f>
        <v>1</v>
      </c>
      <c r="G152" s="3" t="str">
        <f>IF(パンツ!H3="","",パンツ!H3)</f>
        <v>新品</v>
      </c>
      <c r="H152" s="3" t="str">
        <f>IF(パンツ!I3="","",パンツ!I3)</f>
        <v/>
      </c>
      <c r="I152" s="3" t="str">
        <f>IF(パンツ!J3="","",パンツ!J3)</f>
        <v>画像参照</v>
      </c>
      <c r="J152" s="3" t="str">
        <f>IF(パンツ!K3="","",パンツ!K3)</f>
        <v>カーキ</v>
      </c>
      <c r="K152" s="3" t="str">
        <f>IF(パンツ!L3="","",パンツ!L3)</f>
        <v>サイズXS</v>
      </c>
      <c r="L152" s="69" t="s">
        <v>117</v>
      </c>
      <c r="M152" s="3" t="str">
        <f xml:space="preserve"> パンツ!Z3</f>
        <v>股上：約33cm　股下：約61cm　ウエスト：約35cm　もも幅：約27cm　裾幅：約17cm</v>
      </c>
      <c r="N152" s="69" t="s">
        <v>20</v>
      </c>
      <c r="O152" s="69" t="s">
        <v>21</v>
      </c>
      <c r="P152" s="4" t="s">
        <v>3036</v>
      </c>
      <c r="Q152" s="4" t="s">
        <v>3038</v>
      </c>
      <c r="R152" s="69" t="s">
        <v>22</v>
      </c>
      <c r="S152" s="69" t="s">
        <v>23</v>
      </c>
      <c r="T152" s="69" t="s">
        <v>22</v>
      </c>
      <c r="U152" s="69" t="s">
        <v>24</v>
      </c>
      <c r="V152" s="69" t="s">
        <v>25</v>
      </c>
      <c r="W152" s="69" t="s">
        <v>26</v>
      </c>
      <c r="X152" s="69" t="s">
        <v>27</v>
      </c>
      <c r="Y152" s="69" t="s">
        <v>28</v>
      </c>
      <c r="Z152" s="69" t="s">
        <v>29</v>
      </c>
      <c r="AA152" s="4"/>
      <c r="AB152" s="4"/>
      <c r="AC152" s="4"/>
      <c r="AD152" s="70"/>
      <c r="AE152" s="70">
        <f>パンツ!AE3</f>
        <v>1000</v>
      </c>
      <c r="AF152" s="70" t="str">
        <f>パンツ!R3</f>
        <v>通常</v>
      </c>
      <c r="AG152" s="70">
        <v>0</v>
      </c>
      <c r="AH152" s="6">
        <f xml:space="preserve"> パンツ!AC3</f>
        <v>0</v>
      </c>
      <c r="AI152">
        <v>1</v>
      </c>
      <c r="AJ152" t="str">
        <f>パンツ!U3</f>
        <v>3/2WORKS サンニーワークス</v>
      </c>
    </row>
    <row r="153" spans="1:36" ht="13.5" customHeight="1">
      <c r="A153" s="3">
        <v>2084224590</v>
      </c>
      <c r="B153" s="68">
        <f>IF(パンツ!B4="","",パンツ!B4)</f>
        <v>1212020007931</v>
      </c>
      <c r="C153" s="3" t="str">
        <f>IF(パンツ!C4="","",パンツ!C4)</f>
        <v>◇ ARULE アルール ポケットあり、ウエストゴム カーゴパンツ 表記なし ホワイト レディース E 1212020007931</v>
      </c>
      <c r="D153" s="3" t="str">
        <f>IF(パンツ!E4="","",パンツ!E4)</f>
        <v>無</v>
      </c>
      <c r="E153" s="3" t="str">
        <f>IF(パンツ!AA4="","",パンツ!AA4)</f>
        <v>ベースW/9</v>
      </c>
      <c r="F153" s="3">
        <f>IF(パンツ!G4="","",パンツ!G4)</f>
        <v>3</v>
      </c>
      <c r="G153" s="3" t="str">
        <f>IF(パンツ!H4="","",パンツ!H4)</f>
        <v>目立った傷や汚れなし</v>
      </c>
      <c r="H153" s="3" t="str">
        <f>IF(パンツ!I4="","",パンツ!I4)</f>
        <v/>
      </c>
      <c r="I153" s="3" t="str">
        <f>IF(パンツ!J4="","",パンツ!J4)</f>
        <v>画像参照</v>
      </c>
      <c r="J153" s="3" t="str">
        <f>IF(パンツ!K4="","",パンツ!K4)</f>
        <v>ホワイト</v>
      </c>
      <c r="K153" s="3" t="str">
        <f>IF(パンツ!L4="","",パンツ!L4)</f>
        <v>表記なし</v>
      </c>
      <c r="L153" s="69" t="s">
        <v>117</v>
      </c>
      <c r="M153" s="3" t="str">
        <f xml:space="preserve"> パンツ!Z4</f>
        <v>股上：約68cm　股下：約62cm　ウエスト：約32cm　もも幅：約32cm　裾幅：約25cm</v>
      </c>
      <c r="N153" s="69" t="s">
        <v>20</v>
      </c>
      <c r="O153" s="69" t="s">
        <v>21</v>
      </c>
      <c r="P153" s="4" t="s">
        <v>3036</v>
      </c>
      <c r="Q153" s="4" t="s">
        <v>3038</v>
      </c>
      <c r="R153" s="69" t="s">
        <v>22</v>
      </c>
      <c r="S153" s="69" t="s">
        <v>23</v>
      </c>
      <c r="T153" s="69" t="s">
        <v>22</v>
      </c>
      <c r="U153" s="69" t="s">
        <v>24</v>
      </c>
      <c r="V153" s="69" t="s">
        <v>25</v>
      </c>
      <c r="W153" s="69" t="s">
        <v>26</v>
      </c>
      <c r="X153" s="69" t="s">
        <v>27</v>
      </c>
      <c r="Y153" s="69" t="s">
        <v>28</v>
      </c>
      <c r="Z153" s="69" t="s">
        <v>29</v>
      </c>
      <c r="AA153" s="4"/>
      <c r="AB153" s="4"/>
      <c r="AC153" s="4"/>
      <c r="AD153" s="70"/>
      <c r="AE153" s="70">
        <f>パンツ!AE4</f>
        <v>1000</v>
      </c>
      <c r="AF153" s="70" t="str">
        <f>パンツ!R4</f>
        <v>通常</v>
      </c>
      <c r="AG153" s="70">
        <v>0</v>
      </c>
      <c r="AH153" s="6">
        <f xml:space="preserve"> パンツ!AC4</f>
        <v>0</v>
      </c>
      <c r="AI153">
        <v>1</v>
      </c>
      <c r="AJ153" t="str">
        <f>パンツ!U4</f>
        <v>ARULE アルール</v>
      </c>
    </row>
    <row r="154" spans="1:36" ht="13.5" customHeight="1">
      <c r="A154" s="3">
        <v>2084224590</v>
      </c>
      <c r="B154" s="68">
        <f>IF(パンツ!B5="","",パンツ!B5)</f>
        <v>1212020007900</v>
      </c>
      <c r="C154" s="3" t="str">
        <f>IF(パンツ!C5="","",パンツ!C5)</f>
        <v>◇ 自由区 ウエストゴム ストレートパンツ サイズ36 ホワイト レディース E 1212020007900</v>
      </c>
      <c r="D154" s="3" t="str">
        <f>IF(パンツ!E5="","",パンツ!E5)</f>
        <v>無</v>
      </c>
      <c r="E154" s="3" t="str">
        <f>IF(パンツ!AA5="","",パンツ!AA5)</f>
        <v>ベースW/9</v>
      </c>
      <c r="F154" s="3">
        <f>IF(パンツ!G5="","",パンツ!G5)</f>
        <v>3</v>
      </c>
      <c r="G154" s="3" t="str">
        <f>IF(パンツ!H5="","",パンツ!H5)</f>
        <v>目立った傷や汚れなし</v>
      </c>
      <c r="H154" s="3" t="str">
        <f>IF(パンツ!I5="","",パンツ!I5)</f>
        <v/>
      </c>
      <c r="I154" s="3" t="str">
        <f>IF(パンツ!J5="","",パンツ!J5)</f>
        <v>画像参照</v>
      </c>
      <c r="J154" s="3" t="str">
        <f>IF(パンツ!K5="","",パンツ!K5)</f>
        <v>ホワイト</v>
      </c>
      <c r="K154" s="3" t="str">
        <f>IF(パンツ!L5="","",パンツ!L5)</f>
        <v>サイズ36</v>
      </c>
      <c r="L154" s="69" t="s">
        <v>80</v>
      </c>
      <c r="M154" s="3" t="str">
        <f xml:space="preserve"> パンツ!Z5</f>
        <v>股上：約29cm　股下：約26cm　ウエスト：約33cm　もも幅：約24cm　裾幅：約13cm</v>
      </c>
      <c r="N154" s="69" t="s">
        <v>20</v>
      </c>
      <c r="O154" s="69" t="s">
        <v>21</v>
      </c>
      <c r="P154" s="4" t="s">
        <v>3036</v>
      </c>
      <c r="Q154" s="4" t="s">
        <v>3038</v>
      </c>
      <c r="R154" s="69" t="s">
        <v>22</v>
      </c>
      <c r="S154" s="69" t="s">
        <v>23</v>
      </c>
      <c r="T154" s="69" t="s">
        <v>22</v>
      </c>
      <c r="U154" s="69" t="s">
        <v>24</v>
      </c>
      <c r="V154" s="69" t="s">
        <v>25</v>
      </c>
      <c r="W154" s="69" t="s">
        <v>26</v>
      </c>
      <c r="X154" s="69" t="s">
        <v>27</v>
      </c>
      <c r="Y154" s="69" t="s">
        <v>28</v>
      </c>
      <c r="Z154" s="69" t="s">
        <v>29</v>
      </c>
      <c r="AA154" s="4"/>
      <c r="AB154" s="4"/>
      <c r="AC154" s="4"/>
      <c r="AD154" s="70"/>
      <c r="AE154" s="70">
        <f>パンツ!AE5</f>
        <v>1000</v>
      </c>
      <c r="AF154" s="70" t="str">
        <f>パンツ!R5</f>
        <v>通常</v>
      </c>
      <c r="AG154" s="70">
        <v>0</v>
      </c>
      <c r="AH154" s="6">
        <f xml:space="preserve"> パンツ!AC5</f>
        <v>0</v>
      </c>
      <c r="AI154">
        <v>1</v>
      </c>
      <c r="AJ154" t="str">
        <f>パンツ!U5</f>
        <v>自由区</v>
      </c>
    </row>
    <row r="155" spans="1:36" ht="13.5" customHeight="1">
      <c r="A155" s="3">
        <v>2084224590</v>
      </c>
      <c r="B155" s="68">
        <f>IF(パンツ!B6="","",パンツ!B6)</f>
        <v>1212020007856</v>
      </c>
      <c r="C155" s="3" t="str">
        <f>IF(パンツ!C6="","",パンツ!C6)</f>
        <v>◇ 23区 フロントファスナー ストレートパンツ サイズ36 ピンク レディース E 1212020007856</v>
      </c>
      <c r="D155" s="3" t="str">
        <f>IF(パンツ!E6="","",パンツ!E6)</f>
        <v>無&lt;br&gt;ウエスト部分くすみあり</v>
      </c>
      <c r="E155" s="3" t="str">
        <f>IF(パンツ!AA6="","",パンツ!AA6)</f>
        <v>ベースW/9</v>
      </c>
      <c r="F155" s="3">
        <f>IF(パンツ!G6="","",パンツ!G6)</f>
        <v>4</v>
      </c>
      <c r="G155" s="3" t="str">
        <f>IF(パンツ!H6="","",パンツ!H6)</f>
        <v>やや傷や汚れあり</v>
      </c>
      <c r="H155" s="3" t="str">
        <f>IF(パンツ!I6="","",パンツ!I6)</f>
        <v/>
      </c>
      <c r="I155" s="3" t="str">
        <f>IF(パンツ!J6="","",パンツ!J6)</f>
        <v>画像参照</v>
      </c>
      <c r="J155" s="3" t="str">
        <f>IF(パンツ!K6="","",パンツ!K6)</f>
        <v>ピンク</v>
      </c>
      <c r="K155" s="3" t="str">
        <f>IF(パンツ!L6="","",パンツ!L6)</f>
        <v>サイズ36</v>
      </c>
      <c r="L155" s="69" t="s">
        <v>80</v>
      </c>
      <c r="M155" s="3" t="str">
        <f xml:space="preserve"> パンツ!Z6</f>
        <v>股上：約32cm　股下：約65cm　ウエスト：約35cm　もも幅：約28cm　裾幅：約25cm</v>
      </c>
      <c r="N155" s="69" t="s">
        <v>20</v>
      </c>
      <c r="O155" s="69" t="s">
        <v>21</v>
      </c>
      <c r="P155" s="4" t="s">
        <v>3036</v>
      </c>
      <c r="Q155" s="4" t="s">
        <v>3038</v>
      </c>
      <c r="R155" s="69" t="s">
        <v>22</v>
      </c>
      <c r="S155" s="69" t="s">
        <v>23</v>
      </c>
      <c r="T155" s="69" t="s">
        <v>22</v>
      </c>
      <c r="U155" s="69" t="s">
        <v>24</v>
      </c>
      <c r="V155" s="69" t="s">
        <v>25</v>
      </c>
      <c r="W155" s="69" t="s">
        <v>26</v>
      </c>
      <c r="X155" s="69" t="s">
        <v>27</v>
      </c>
      <c r="Y155" s="69" t="s">
        <v>28</v>
      </c>
      <c r="Z155" s="69" t="s">
        <v>29</v>
      </c>
      <c r="AA155" s="4"/>
      <c r="AB155" s="4"/>
      <c r="AC155" s="4"/>
      <c r="AD155" s="70"/>
      <c r="AE155" s="70">
        <f>パンツ!AE6</f>
        <v>1000</v>
      </c>
      <c r="AF155" s="70" t="str">
        <f>パンツ!R6</f>
        <v>通常</v>
      </c>
      <c r="AG155" s="70">
        <v>0</v>
      </c>
      <c r="AH155" s="6">
        <f xml:space="preserve"> パンツ!AC6</f>
        <v>0</v>
      </c>
      <c r="AI155">
        <v>1</v>
      </c>
      <c r="AJ155" t="str">
        <f>パンツ!U6</f>
        <v>23区</v>
      </c>
    </row>
    <row r="156" spans="1:36" ht="13.5" customHeight="1">
      <c r="A156" s="3">
        <v>2084224592</v>
      </c>
      <c r="B156" s="68">
        <f>IF(パンツ!B7="","",パンツ!B7)</f>
        <v>1212020007849</v>
      </c>
      <c r="C156" s="3" t="str">
        <f>IF(パンツ!C7="","",パンツ!C7)</f>
        <v>◇ coen コーエン タータンチェック、ウエストゴム ストレートパンツ サイズXL グリーン/ブルー レディース E 1212020007849</v>
      </c>
      <c r="D156" s="3" t="str">
        <f>IF(パンツ!E7="","",パンツ!E7)</f>
        <v>無</v>
      </c>
      <c r="E156" s="3" t="str">
        <f>IF(パンツ!AA7="","",パンツ!AA7)</f>
        <v>ベースW/9</v>
      </c>
      <c r="F156" s="3">
        <f>IF(パンツ!G7="","",パンツ!G7)</f>
        <v>3</v>
      </c>
      <c r="G156" s="3" t="str">
        <f>IF(パンツ!H7="","",パンツ!H7)</f>
        <v>目立った傷や汚れなし</v>
      </c>
      <c r="H156" s="3" t="str">
        <f>IF(パンツ!I7="","",パンツ!I7)</f>
        <v/>
      </c>
      <c r="I156" s="3" t="str">
        <f>IF(パンツ!J7="","",パンツ!J7)</f>
        <v>画像参照</v>
      </c>
      <c r="J156" s="3" t="str">
        <f>IF(パンツ!K7="","",パンツ!K7)</f>
        <v>グリーン/ブルー</v>
      </c>
      <c r="K156" s="3" t="str">
        <f>IF(パンツ!L7="","",パンツ!L7)</f>
        <v>サイズXL</v>
      </c>
      <c r="L156" s="69" t="s">
        <v>80</v>
      </c>
      <c r="M156" s="3" t="str">
        <f xml:space="preserve"> パンツ!Z7</f>
        <v>股上：約40cm　股下：約73cm　ウエスト：約34cm　もも幅：約33cm　裾幅：約21cm</v>
      </c>
      <c r="N156" s="69" t="s">
        <v>20</v>
      </c>
      <c r="O156" s="69" t="s">
        <v>21</v>
      </c>
      <c r="P156" s="4" t="s">
        <v>3036</v>
      </c>
      <c r="Q156" s="4" t="s">
        <v>3038</v>
      </c>
      <c r="R156" s="69" t="s">
        <v>22</v>
      </c>
      <c r="S156" s="69" t="s">
        <v>23</v>
      </c>
      <c r="T156" s="69" t="s">
        <v>22</v>
      </c>
      <c r="U156" s="69" t="s">
        <v>24</v>
      </c>
      <c r="V156" s="69" t="s">
        <v>25</v>
      </c>
      <c r="W156" s="69" t="s">
        <v>26</v>
      </c>
      <c r="X156" s="69" t="s">
        <v>27</v>
      </c>
      <c r="Y156" s="69" t="s">
        <v>28</v>
      </c>
      <c r="Z156" s="69" t="s">
        <v>29</v>
      </c>
      <c r="AA156" s="4"/>
      <c r="AB156" s="4"/>
      <c r="AC156" s="4"/>
      <c r="AD156" s="70"/>
      <c r="AE156" s="70">
        <f>パンツ!AE7</f>
        <v>1000</v>
      </c>
      <c r="AF156" s="70" t="str">
        <f>パンツ!R7</f>
        <v>通常</v>
      </c>
      <c r="AG156" s="70">
        <v>0</v>
      </c>
      <c r="AH156" s="6">
        <f xml:space="preserve"> パンツ!AC7</f>
        <v>0</v>
      </c>
      <c r="AI156">
        <v>1</v>
      </c>
      <c r="AJ156" t="str">
        <f>パンツ!U7</f>
        <v>coen コーエン</v>
      </c>
    </row>
    <row r="157" spans="1:36" ht="13.5" customHeight="1">
      <c r="A157" s="3">
        <v>2084224590</v>
      </c>
      <c r="B157" s="68">
        <f>IF(パンツ!B8="","",パンツ!B8)</f>
        <v>1212020007801</v>
      </c>
      <c r="C157" s="3" t="str">
        <f>IF(パンツ!C8="","",パンツ!C8)</f>
        <v>◇ ◎ BEAMS ビームス ギャザー、サイドファスナー ハーフパンツ サイズM ブラウン レディース E 1212020007801</v>
      </c>
      <c r="D157" s="3" t="str">
        <f>IF(パンツ!E8="","",パンツ!E8)</f>
        <v>新品タグあり</v>
      </c>
      <c r="E157" s="3" t="str">
        <f>IF(パンツ!AA8="","",パンツ!AA8)</f>
        <v>ベースW/9</v>
      </c>
      <c r="F157" s="3">
        <f>IF(パンツ!G8="","",パンツ!G8)</f>
        <v>1</v>
      </c>
      <c r="G157" s="3" t="str">
        <f>IF(パンツ!H8="","",パンツ!H8)</f>
        <v>新品</v>
      </c>
      <c r="H157" s="3" t="str">
        <f>IF(パンツ!I8="","",パンツ!I8)</f>
        <v/>
      </c>
      <c r="I157" s="3" t="str">
        <f>IF(パンツ!J8="","",パンツ!J8)</f>
        <v>画像参照</v>
      </c>
      <c r="J157" s="3" t="str">
        <f>IF(パンツ!K8="","",パンツ!K8)</f>
        <v>ブラウン</v>
      </c>
      <c r="K157" s="3" t="str">
        <f>IF(パンツ!L8="","",パンツ!L8)</f>
        <v>サイズM</v>
      </c>
      <c r="L157" s="69" t="s">
        <v>80</v>
      </c>
      <c r="M157" s="3" t="str">
        <f xml:space="preserve"> パンツ!Z8</f>
        <v>股上：約34cm　股下：約28cm　ウエスト：約32cm　もも幅：約40cm　裾幅：約51cm</v>
      </c>
      <c r="N157" s="69" t="s">
        <v>20</v>
      </c>
      <c r="O157" s="69" t="s">
        <v>21</v>
      </c>
      <c r="P157" s="4" t="s">
        <v>3036</v>
      </c>
      <c r="Q157" s="4" t="s">
        <v>3038</v>
      </c>
      <c r="R157" s="69" t="s">
        <v>22</v>
      </c>
      <c r="S157" s="69" t="s">
        <v>23</v>
      </c>
      <c r="T157" s="69" t="s">
        <v>22</v>
      </c>
      <c r="U157" s="69" t="s">
        <v>24</v>
      </c>
      <c r="V157" s="69" t="s">
        <v>25</v>
      </c>
      <c r="W157" s="69" t="s">
        <v>26</v>
      </c>
      <c r="X157" s="69" t="s">
        <v>27</v>
      </c>
      <c r="Y157" s="69" t="s">
        <v>28</v>
      </c>
      <c r="Z157" s="69" t="s">
        <v>29</v>
      </c>
      <c r="AA157" s="4"/>
      <c r="AB157" s="4"/>
      <c r="AC157" s="4"/>
      <c r="AD157" s="70"/>
      <c r="AE157" s="70">
        <f>パンツ!AE8</f>
        <v>1000</v>
      </c>
      <c r="AF157" s="70" t="str">
        <f>パンツ!R8</f>
        <v>通常</v>
      </c>
      <c r="AG157" s="70">
        <v>0</v>
      </c>
      <c r="AH157" s="6">
        <f xml:space="preserve"> パンツ!AC8</f>
        <v>0</v>
      </c>
      <c r="AI157">
        <v>1</v>
      </c>
      <c r="AJ157" t="str">
        <f>パンツ!U8</f>
        <v>BEAMS ビームス</v>
      </c>
    </row>
    <row r="158" spans="1:36" ht="13.5" customHeight="1">
      <c r="A158" s="3">
        <v>2084050501</v>
      </c>
      <c r="B158" s="68">
        <f>IF(パンツ!B9="","",パンツ!B9)</f>
        <v>1212020007740</v>
      </c>
      <c r="C158" s="3" t="str">
        <f>IF(パンツ!C9="","",パンツ!C9)</f>
        <v>◇ Levi's リーバイス フロントボタン デニムパンツ サイズ30 ブルー レディースメンズ E 1212020007740</v>
      </c>
      <c r="D158" s="3" t="str">
        <f>IF(パンツ!E9="","",パンツ!E9)</f>
        <v>無</v>
      </c>
      <c r="E158" s="3" t="str">
        <f>IF(パンツ!AA9="","",パンツ!AA9)</f>
        <v>ベースW/9</v>
      </c>
      <c r="F158" s="3">
        <f>IF(パンツ!G9="","",パンツ!G9)</f>
        <v>3</v>
      </c>
      <c r="G158" s="3" t="str">
        <f>IF(パンツ!H9="","",パンツ!H9)</f>
        <v>目立った傷や汚れなし</v>
      </c>
      <c r="H158" s="3" t="str">
        <f>IF(パンツ!I9="","",パンツ!I9)</f>
        <v/>
      </c>
      <c r="I158" s="3" t="str">
        <f>IF(パンツ!J9="","",パンツ!J9)</f>
        <v>画像参照</v>
      </c>
      <c r="J158" s="3" t="str">
        <f>IF(パンツ!K9="","",パンツ!K9)</f>
        <v>ブルー</v>
      </c>
      <c r="K158" s="3" t="str">
        <f>IF(パンツ!L9="","",パンツ!L9)</f>
        <v>サイズ30</v>
      </c>
      <c r="L158" s="69" t="s">
        <v>80</v>
      </c>
      <c r="M158" s="3" t="str">
        <f xml:space="preserve"> パンツ!Z9</f>
        <v>股上：約36cm　股下：約64cm　ウエスト：約40cm　もも幅：約30cm　裾幅：約20cm</v>
      </c>
      <c r="N158" s="69" t="s">
        <v>20</v>
      </c>
      <c r="O158" s="69" t="s">
        <v>21</v>
      </c>
      <c r="P158" s="4" t="s">
        <v>3036</v>
      </c>
      <c r="Q158" s="4" t="s">
        <v>3038</v>
      </c>
      <c r="R158" s="69" t="s">
        <v>22</v>
      </c>
      <c r="S158" s="69" t="s">
        <v>23</v>
      </c>
      <c r="T158" s="69" t="s">
        <v>22</v>
      </c>
      <c r="U158" s="69" t="s">
        <v>24</v>
      </c>
      <c r="V158" s="69" t="s">
        <v>25</v>
      </c>
      <c r="W158" s="69" t="s">
        <v>26</v>
      </c>
      <c r="X158" s="69" t="s">
        <v>27</v>
      </c>
      <c r="Y158" s="69" t="s">
        <v>28</v>
      </c>
      <c r="Z158" s="69" t="s">
        <v>29</v>
      </c>
      <c r="AA158" s="4"/>
      <c r="AB158" s="4"/>
      <c r="AC158" s="4"/>
      <c r="AD158" s="70"/>
      <c r="AE158" s="70">
        <f>パンツ!AE9</f>
        <v>1000</v>
      </c>
      <c r="AF158" s="70" t="str">
        <f>パンツ!R9</f>
        <v>通常</v>
      </c>
      <c r="AG158" s="70">
        <v>0</v>
      </c>
      <c r="AH158" s="6">
        <f xml:space="preserve"> パンツ!AC9</f>
        <v>0</v>
      </c>
      <c r="AI158">
        <v>1</v>
      </c>
      <c r="AJ158" t="str">
        <f>パンツ!U9</f>
        <v>Levi's リーバイス</v>
      </c>
    </row>
    <row r="159" spans="1:36" ht="13.5" customHeight="1">
      <c r="A159" s="3">
        <v>2084224590</v>
      </c>
      <c r="B159" s="68">
        <f>IF(パンツ!B10="","",パンツ!B10)</f>
        <v>1212020007672</v>
      </c>
      <c r="C159" s="3" t="str">
        <f>IF(パンツ!C10="","",パンツ!C10)</f>
        <v>◇ ROPE PICNIC ロペピクニック ウエストゴム、２タッグ ワイドパンツ サイズ38 カーキ レディースメンズ E 1212020007672</v>
      </c>
      <c r="D159" s="3" t="str">
        <f>IF(パンツ!E10="","",パンツ!E10)</f>
        <v/>
      </c>
      <c r="E159" s="3" t="str">
        <f>IF(パンツ!AA10="","",パンツ!AA10)</f>
        <v>ベースW/9</v>
      </c>
      <c r="F159" s="3">
        <f>IF(パンツ!G10="","",パンツ!G10)</f>
        <v>3</v>
      </c>
      <c r="G159" s="3" t="str">
        <f>IF(パンツ!H10="","",パンツ!H10)</f>
        <v>目立った傷や汚れなし</v>
      </c>
      <c r="H159" s="3" t="str">
        <f>IF(パンツ!I10="","",パンツ!I10)</f>
        <v/>
      </c>
      <c r="I159" s="3" t="str">
        <f>IF(パンツ!J10="","",パンツ!J10)</f>
        <v>画像参照</v>
      </c>
      <c r="J159" s="3" t="str">
        <f>IF(パンツ!K10="","",パンツ!K10)</f>
        <v>カーキ</v>
      </c>
      <c r="K159" s="3" t="str">
        <f>IF(パンツ!L10="","",パンツ!L10)</f>
        <v>サイズ38</v>
      </c>
      <c r="L159" s="69" t="s">
        <v>80</v>
      </c>
      <c r="M159" s="3" t="str">
        <f xml:space="preserve"> パンツ!Z10</f>
        <v>股上：約39cm　股下：約63cm　ウエスト：約32cm　もも幅：約32cm　裾幅：約30cm</v>
      </c>
      <c r="N159" s="69" t="s">
        <v>20</v>
      </c>
      <c r="O159" s="69" t="s">
        <v>21</v>
      </c>
      <c r="P159" s="4" t="s">
        <v>3036</v>
      </c>
      <c r="Q159" s="4" t="s">
        <v>3038</v>
      </c>
      <c r="R159" s="69" t="s">
        <v>22</v>
      </c>
      <c r="S159" s="69" t="s">
        <v>23</v>
      </c>
      <c r="T159" s="69" t="s">
        <v>22</v>
      </c>
      <c r="U159" s="69" t="s">
        <v>24</v>
      </c>
      <c r="V159" s="69" t="s">
        <v>25</v>
      </c>
      <c r="W159" s="69" t="s">
        <v>26</v>
      </c>
      <c r="X159" s="69" t="s">
        <v>27</v>
      </c>
      <c r="Y159" s="69" t="s">
        <v>28</v>
      </c>
      <c r="Z159" s="69" t="s">
        <v>29</v>
      </c>
      <c r="AA159" s="4"/>
      <c r="AB159" s="4"/>
      <c r="AC159" s="4"/>
      <c r="AD159" s="70"/>
      <c r="AE159" s="70">
        <f>パンツ!AE10</f>
        <v>1000</v>
      </c>
      <c r="AF159" s="70" t="str">
        <f>パンツ!R10</f>
        <v>通常</v>
      </c>
      <c r="AG159" s="70">
        <v>0</v>
      </c>
      <c r="AH159" s="6">
        <f xml:space="preserve"> パンツ!AC10</f>
        <v>0</v>
      </c>
      <c r="AI159">
        <v>1</v>
      </c>
      <c r="AJ159" t="str">
        <f>パンツ!U10</f>
        <v>ROPE PICNIC ロペピクニック</v>
      </c>
    </row>
    <row r="160" spans="1:36" ht="13.5" customHeight="1">
      <c r="A160" s="3">
        <v>2084057506</v>
      </c>
      <c r="B160" s="68">
        <f>IF(パンツ!B11="","",パンツ!B11)</f>
        <v>1212020007665</v>
      </c>
      <c r="C160" s="3" t="str">
        <f>IF(パンツ!C11="","",パンツ!C11)</f>
        <v>◇ UNITED ARROWS ユナイテッドアローズ ストレッチ素材 フロントファスナー サイズXL ブルー レディースメンズ E 1212020007665</v>
      </c>
      <c r="D160" s="3" t="str">
        <f>IF(パンツ!E11="","",パンツ!E11)</f>
        <v>無&lt;br&gt;膝部分シミあり</v>
      </c>
      <c r="E160" s="3" t="str">
        <f>IF(パンツ!AA11="","",パンツ!AA11)</f>
        <v>ベースW/9</v>
      </c>
      <c r="F160" s="3">
        <f>IF(パンツ!G11="","",パンツ!G11)</f>
        <v>4</v>
      </c>
      <c r="G160" s="3" t="str">
        <f>IF(パンツ!H11="","",パンツ!H11)</f>
        <v>やや傷や汚れあり</v>
      </c>
      <c r="H160" s="3" t="str">
        <f>IF(パンツ!I11="","",パンツ!I11)</f>
        <v/>
      </c>
      <c r="I160" s="3" t="str">
        <f>IF(パンツ!J11="","",パンツ!J11)</f>
        <v>画像参照</v>
      </c>
      <c r="J160" s="3" t="str">
        <f>IF(パンツ!K11="","",パンツ!K11)</f>
        <v>ブルー</v>
      </c>
      <c r="K160" s="3" t="str">
        <f>IF(パンツ!L11="","",パンツ!L11)</f>
        <v>サイズXL</v>
      </c>
      <c r="L160" s="69" t="s">
        <v>80</v>
      </c>
      <c r="M160" s="3" t="str">
        <f xml:space="preserve"> パンツ!Z11</f>
        <v>股上：約34cm　股下：約78cm　ウエスト：約43cm　もも幅：約26cm　裾幅：約17cm</v>
      </c>
      <c r="N160" s="69" t="s">
        <v>20</v>
      </c>
      <c r="O160" s="69" t="s">
        <v>21</v>
      </c>
      <c r="P160" s="4" t="s">
        <v>3036</v>
      </c>
      <c r="Q160" s="4" t="s">
        <v>3038</v>
      </c>
      <c r="R160" s="69" t="s">
        <v>22</v>
      </c>
      <c r="S160" s="69" t="s">
        <v>23</v>
      </c>
      <c r="T160" s="69" t="s">
        <v>22</v>
      </c>
      <c r="U160" s="69" t="s">
        <v>24</v>
      </c>
      <c r="V160" s="69" t="s">
        <v>25</v>
      </c>
      <c r="W160" s="69" t="s">
        <v>26</v>
      </c>
      <c r="X160" s="69" t="s">
        <v>27</v>
      </c>
      <c r="Y160" s="69" t="s">
        <v>28</v>
      </c>
      <c r="Z160" s="69" t="s">
        <v>29</v>
      </c>
      <c r="AA160" s="4"/>
      <c r="AB160" s="4"/>
      <c r="AC160" s="4"/>
      <c r="AD160" s="70"/>
      <c r="AE160" s="70">
        <f>パンツ!AE11</f>
        <v>1000</v>
      </c>
      <c r="AF160" s="70" t="str">
        <f>パンツ!R11</f>
        <v>通常</v>
      </c>
      <c r="AG160" s="70">
        <v>0</v>
      </c>
      <c r="AH160" s="6">
        <f xml:space="preserve"> パンツ!AC11</f>
        <v>0</v>
      </c>
      <c r="AI160">
        <v>1</v>
      </c>
      <c r="AJ160" t="str">
        <f>パンツ!U11</f>
        <v>UNITED ARROWS ユナイテッドアローズ</v>
      </c>
    </row>
    <row r="161" spans="1:36" ht="13.5" customHeight="1">
      <c r="A161" s="3">
        <v>2084057502</v>
      </c>
      <c r="B161" s="68">
        <f>IF(パンツ!B12="","",パンツ!B12)</f>
        <v>1212020007627</v>
      </c>
      <c r="C161" s="3" t="str">
        <f>IF(パンツ!C12="","",パンツ!C12)</f>
        <v>◇ w closet ダブルクローゼット ウエストフリンジ コーデュロイパンツ 表記なし パープル レディースメンズ E 1212020007627</v>
      </c>
      <c r="D161" s="3" t="str">
        <f>IF(パンツ!E12="","",パンツ!E12)</f>
        <v>無</v>
      </c>
      <c r="E161" s="3" t="str">
        <f>IF(パンツ!AA12="","",パンツ!AA12)</f>
        <v>ベースW/9</v>
      </c>
      <c r="F161" s="3">
        <f>IF(パンツ!G12="","",パンツ!G12)</f>
        <v>3</v>
      </c>
      <c r="G161" s="3" t="str">
        <f>IF(パンツ!H12="","",パンツ!H12)</f>
        <v>目立った傷や汚れなし</v>
      </c>
      <c r="H161" s="3" t="str">
        <f>IF(パンツ!I12="","",パンツ!I12)</f>
        <v/>
      </c>
      <c r="I161" s="3" t="str">
        <f>IF(パンツ!J12="","",パンツ!J12)</f>
        <v>画像参照</v>
      </c>
      <c r="J161" s="3" t="str">
        <f>IF(パンツ!K12="","",パンツ!K12)</f>
        <v>パープル</v>
      </c>
      <c r="K161" s="3" t="str">
        <f>IF(パンツ!L12="","",パンツ!L12)</f>
        <v>表記なし</v>
      </c>
      <c r="L161" s="69" t="s">
        <v>80</v>
      </c>
      <c r="M161" s="3" t="str">
        <f xml:space="preserve"> パンツ!Z12</f>
        <v>股上：約39cm　股下：約62cm　ウエスト：約35cm　もも幅：約31cm　裾幅：約29cm</v>
      </c>
      <c r="N161" s="69" t="s">
        <v>20</v>
      </c>
      <c r="O161" s="69" t="s">
        <v>21</v>
      </c>
      <c r="P161" s="4" t="s">
        <v>3036</v>
      </c>
      <c r="Q161" s="4" t="s">
        <v>3038</v>
      </c>
      <c r="R161" s="69" t="s">
        <v>22</v>
      </c>
      <c r="S161" s="69" t="s">
        <v>23</v>
      </c>
      <c r="T161" s="69" t="s">
        <v>22</v>
      </c>
      <c r="U161" s="69" t="s">
        <v>24</v>
      </c>
      <c r="V161" s="69" t="s">
        <v>25</v>
      </c>
      <c r="W161" s="69" t="s">
        <v>26</v>
      </c>
      <c r="X161" s="69" t="s">
        <v>27</v>
      </c>
      <c r="Y161" s="69" t="s">
        <v>28</v>
      </c>
      <c r="Z161" s="69" t="s">
        <v>29</v>
      </c>
      <c r="AA161" s="4"/>
      <c r="AB161" s="4"/>
      <c r="AC161" s="4"/>
      <c r="AD161" s="70"/>
      <c r="AE161" s="70">
        <f>パンツ!AE12</f>
        <v>1000</v>
      </c>
      <c r="AF161" s="70" t="str">
        <f>パンツ!R12</f>
        <v>通常</v>
      </c>
      <c r="AG161" s="70">
        <v>0</v>
      </c>
      <c r="AH161" s="6">
        <f xml:space="preserve"> パンツ!AC12</f>
        <v>0</v>
      </c>
      <c r="AI161">
        <v>1</v>
      </c>
      <c r="AJ161" t="str">
        <f>パンツ!U12</f>
        <v>w closet ダブルクローゼット</v>
      </c>
    </row>
    <row r="162" spans="1:36" ht="13.5" hidden="1" customHeight="1">
      <c r="A162" s="3" t="str">
        <f>IF(パンツ!A13="","",パンツ!A13)</f>
        <v/>
      </c>
      <c r="B162" s="68" t="str">
        <f>IF(パンツ!B13="","",パンツ!B13)</f>
        <v/>
      </c>
      <c r="C162" s="3" t="str">
        <f>IF(パンツ!C13="","",パンツ!C13)</f>
        <v>◇ サイズ E</v>
      </c>
      <c r="D162" s="3" t="str">
        <f>IF(パンツ!E13="","",パンツ!E13)</f>
        <v>無</v>
      </c>
      <c r="E162" s="3" t="str">
        <f>IF(パンツ!AA13="","",パンツ!AA13)</f>
        <v>ベースW</v>
      </c>
      <c r="F162" s="3" t="str">
        <f>IF(パンツ!G13="","",パンツ!G13)</f>
        <v/>
      </c>
      <c r="G162" s="3" t="str">
        <f>IF(パンツ!H13="","",パンツ!H13)</f>
        <v/>
      </c>
      <c r="H162" s="3" t="str">
        <f>IF(パンツ!I13="","",パンツ!I13)</f>
        <v/>
      </c>
      <c r="I162" s="3" t="str">
        <f>IF(パンツ!J13="","",パンツ!J13)</f>
        <v>画像参照</v>
      </c>
      <c r="J162" s="3" t="str">
        <f>IF(パンツ!K13="","",パンツ!K13)</f>
        <v/>
      </c>
      <c r="K162" s="3" t="str">
        <f>IF(パンツ!L13="","",パンツ!L13)</f>
        <v>サイズ</v>
      </c>
      <c r="L162" s="69" t="s">
        <v>80</v>
      </c>
      <c r="M162" s="3" t="str">
        <f xml:space="preserve"> パンツ!Z13</f>
        <v>股上：約cm　股下：約cm　ウエスト：約cm　もも幅：約cm　裾幅：約cm</v>
      </c>
      <c r="N162" s="69" t="s">
        <v>20</v>
      </c>
      <c r="O162" s="69" t="s">
        <v>21</v>
      </c>
      <c r="P162" s="4" t="s">
        <v>3036</v>
      </c>
      <c r="Q162" s="4" t="s">
        <v>3038</v>
      </c>
      <c r="R162" s="69" t="s">
        <v>22</v>
      </c>
      <c r="S162" s="69" t="s">
        <v>23</v>
      </c>
      <c r="T162" s="69" t="s">
        <v>22</v>
      </c>
      <c r="U162" s="69" t="s">
        <v>24</v>
      </c>
      <c r="V162" s="69" t="s">
        <v>25</v>
      </c>
      <c r="W162" s="69" t="s">
        <v>26</v>
      </c>
      <c r="X162" s="69" t="s">
        <v>27</v>
      </c>
      <c r="Y162" s="69" t="s">
        <v>28</v>
      </c>
      <c r="Z162" s="69" t="s">
        <v>29</v>
      </c>
      <c r="AA162" s="4"/>
      <c r="AB162" s="4"/>
      <c r="AC162" s="4"/>
      <c r="AD162" s="70"/>
      <c r="AE162" s="70">
        <f>パンツ!AE13</f>
        <v>0</v>
      </c>
      <c r="AF162" s="70" t="str">
        <f>パンツ!R13</f>
        <v>通常</v>
      </c>
      <c r="AG162" s="70">
        <v>0</v>
      </c>
      <c r="AH162" s="6">
        <f xml:space="preserve"> パンツ!AC13</f>
        <v>0</v>
      </c>
      <c r="AI162">
        <v>1</v>
      </c>
      <c r="AJ162">
        <f>パンツ!U13</f>
        <v>0</v>
      </c>
    </row>
    <row r="163" spans="1:36" ht="13.5" hidden="1" customHeight="1">
      <c r="A163" s="3" t="str">
        <f>IF(パンツ!A14="","",パンツ!A14)</f>
        <v/>
      </c>
      <c r="B163" s="68" t="str">
        <f>IF(パンツ!B14="","",パンツ!B14)</f>
        <v/>
      </c>
      <c r="C163" s="3" t="str">
        <f>IF(パンツ!C14="","",パンツ!C14)</f>
        <v>◇ サイズ E</v>
      </c>
      <c r="D163" s="3" t="str">
        <f>IF(パンツ!E14="","",パンツ!E14)</f>
        <v>無</v>
      </c>
      <c r="E163" s="3" t="str">
        <f>IF(パンツ!AA14="","",パンツ!AA14)</f>
        <v>ベースW</v>
      </c>
      <c r="F163" s="3" t="str">
        <f>IF(パンツ!G14="","",パンツ!G14)</f>
        <v/>
      </c>
      <c r="G163" s="3" t="str">
        <f>IF(パンツ!H14="","",パンツ!H14)</f>
        <v/>
      </c>
      <c r="H163" s="3" t="str">
        <f>IF(パンツ!I14="","",パンツ!I14)</f>
        <v/>
      </c>
      <c r="I163" s="3" t="str">
        <f>IF(パンツ!J14="","",パンツ!J14)</f>
        <v>画像参照</v>
      </c>
      <c r="J163" s="3" t="str">
        <f>IF(パンツ!K14="","",パンツ!K14)</f>
        <v/>
      </c>
      <c r="K163" s="3" t="str">
        <f>IF(パンツ!L14="","",パンツ!L14)</f>
        <v>サイズ</v>
      </c>
      <c r="L163" s="69" t="s">
        <v>80</v>
      </c>
      <c r="M163" s="3" t="str">
        <f xml:space="preserve"> パンツ!Z14</f>
        <v>股上：約cm　股下：約cm　ウエスト：約cm　もも幅：約cm　裾幅：約cm</v>
      </c>
      <c r="N163" s="69" t="s">
        <v>20</v>
      </c>
      <c r="O163" s="69" t="s">
        <v>21</v>
      </c>
      <c r="P163" s="4" t="s">
        <v>3036</v>
      </c>
      <c r="Q163" s="4" t="s">
        <v>3038</v>
      </c>
      <c r="R163" s="69" t="s">
        <v>22</v>
      </c>
      <c r="S163" s="69" t="s">
        <v>23</v>
      </c>
      <c r="T163" s="69" t="s">
        <v>22</v>
      </c>
      <c r="U163" s="69" t="s">
        <v>24</v>
      </c>
      <c r="V163" s="69" t="s">
        <v>25</v>
      </c>
      <c r="W163" s="69" t="s">
        <v>26</v>
      </c>
      <c r="X163" s="69" t="s">
        <v>27</v>
      </c>
      <c r="Y163" s="69" t="s">
        <v>28</v>
      </c>
      <c r="Z163" s="69" t="s">
        <v>29</v>
      </c>
      <c r="AA163" s="4"/>
      <c r="AB163" s="4"/>
      <c r="AC163" s="4"/>
      <c r="AD163" s="70"/>
      <c r="AE163" s="70">
        <f>パンツ!AE14</f>
        <v>0</v>
      </c>
      <c r="AF163" s="70" t="str">
        <f>パンツ!R14</f>
        <v>通常</v>
      </c>
      <c r="AG163" s="70">
        <v>0</v>
      </c>
      <c r="AH163" s="6">
        <f xml:space="preserve"> パンツ!AC14</f>
        <v>0</v>
      </c>
      <c r="AI163">
        <v>1</v>
      </c>
      <c r="AJ163">
        <f>パンツ!U14</f>
        <v>0</v>
      </c>
    </row>
    <row r="164" spans="1:36" ht="13.5" hidden="1" customHeight="1">
      <c r="A164" s="3" t="str">
        <f>IF(パンツ!A15="","",パンツ!A15)</f>
        <v/>
      </c>
      <c r="B164" s="68" t="str">
        <f>IF(パンツ!B15="","",パンツ!B15)</f>
        <v/>
      </c>
      <c r="C164" s="3" t="str">
        <f>IF(パンツ!C15="","",パンツ!C15)</f>
        <v>◇ サイズ E</v>
      </c>
      <c r="D164" s="3" t="str">
        <f>IF(パンツ!E15="","",パンツ!E15)</f>
        <v>無</v>
      </c>
      <c r="E164" s="3" t="str">
        <f>IF(パンツ!AA15="","",パンツ!AA15)</f>
        <v>ベースW</v>
      </c>
      <c r="F164" s="3" t="str">
        <f>IF(パンツ!G15="","",パンツ!G15)</f>
        <v/>
      </c>
      <c r="G164" s="3" t="str">
        <f>IF(パンツ!H15="","",パンツ!H15)</f>
        <v/>
      </c>
      <c r="H164" s="3" t="str">
        <f>IF(パンツ!I15="","",パンツ!I15)</f>
        <v/>
      </c>
      <c r="I164" s="3" t="str">
        <f>IF(パンツ!J15="","",パンツ!J15)</f>
        <v>画像参照</v>
      </c>
      <c r="J164" s="3" t="str">
        <f>IF(パンツ!K15="","",パンツ!K15)</f>
        <v/>
      </c>
      <c r="K164" s="3" t="str">
        <f>IF(パンツ!L15="","",パンツ!L15)</f>
        <v>サイズ</v>
      </c>
      <c r="L164" s="69" t="s">
        <v>80</v>
      </c>
      <c r="M164" s="3" t="str">
        <f xml:space="preserve"> パンツ!Z15</f>
        <v>股上：約cm　股下：約cm　ウエスト：約cm　もも幅：約cm　裾幅：約cm</v>
      </c>
      <c r="N164" s="69" t="s">
        <v>20</v>
      </c>
      <c r="O164" s="69" t="s">
        <v>21</v>
      </c>
      <c r="P164" s="4" t="s">
        <v>3036</v>
      </c>
      <c r="Q164" s="4" t="s">
        <v>3038</v>
      </c>
      <c r="R164" s="69" t="s">
        <v>22</v>
      </c>
      <c r="S164" s="69" t="s">
        <v>23</v>
      </c>
      <c r="T164" s="69" t="s">
        <v>22</v>
      </c>
      <c r="U164" s="69" t="s">
        <v>24</v>
      </c>
      <c r="V164" s="69" t="s">
        <v>25</v>
      </c>
      <c r="W164" s="69" t="s">
        <v>26</v>
      </c>
      <c r="X164" s="69" t="s">
        <v>27</v>
      </c>
      <c r="Y164" s="69" t="s">
        <v>28</v>
      </c>
      <c r="Z164" s="69" t="s">
        <v>29</v>
      </c>
      <c r="AA164" s="4"/>
      <c r="AB164" s="4"/>
      <c r="AC164" s="4"/>
      <c r="AD164" s="70"/>
      <c r="AE164" s="70">
        <f>パンツ!AE15</f>
        <v>0</v>
      </c>
      <c r="AF164" s="70" t="str">
        <f>パンツ!R15</f>
        <v>通常</v>
      </c>
      <c r="AG164" s="70">
        <v>0</v>
      </c>
      <c r="AH164" s="6">
        <f xml:space="preserve"> パンツ!AC15</f>
        <v>0</v>
      </c>
      <c r="AI164">
        <v>1</v>
      </c>
      <c r="AJ164">
        <f>パンツ!U15</f>
        <v>0</v>
      </c>
    </row>
    <row r="165" spans="1:36" ht="13.5" hidden="1" customHeight="1">
      <c r="A165" s="3" t="str">
        <f>IF(パンツ!A16="","",パンツ!A16)</f>
        <v/>
      </c>
      <c r="B165" s="68" t="str">
        <f>IF(パンツ!B16="","",パンツ!B16)</f>
        <v/>
      </c>
      <c r="C165" s="3" t="str">
        <f>IF(パンツ!C16="","",パンツ!C16)</f>
        <v>◇ サイズ E</v>
      </c>
      <c r="D165" s="3" t="str">
        <f>IF(パンツ!E16="","",パンツ!E16)</f>
        <v>無</v>
      </c>
      <c r="E165" s="3" t="str">
        <f>IF(パンツ!AA16="","",パンツ!AA16)</f>
        <v>ベースW</v>
      </c>
      <c r="F165" s="3" t="str">
        <f>IF(パンツ!G16="","",パンツ!G16)</f>
        <v/>
      </c>
      <c r="G165" s="3" t="str">
        <f>IF(パンツ!H16="","",パンツ!H16)</f>
        <v/>
      </c>
      <c r="H165" s="3" t="str">
        <f>IF(パンツ!I16="","",パンツ!I16)</f>
        <v/>
      </c>
      <c r="I165" s="3" t="str">
        <f>IF(パンツ!J16="","",パンツ!J16)</f>
        <v>画像参照</v>
      </c>
      <c r="J165" s="3" t="str">
        <f>IF(パンツ!K16="","",パンツ!K16)</f>
        <v/>
      </c>
      <c r="K165" s="3" t="str">
        <f>IF(パンツ!L16="","",パンツ!L16)</f>
        <v>サイズ</v>
      </c>
      <c r="L165" s="69" t="s">
        <v>80</v>
      </c>
      <c r="M165" s="3" t="str">
        <f xml:space="preserve"> パンツ!Z16</f>
        <v>股上：約cm　股下：約cm　ウエスト：約cm　もも幅：約cm　裾幅：約cm</v>
      </c>
      <c r="N165" s="69" t="s">
        <v>20</v>
      </c>
      <c r="O165" s="69" t="s">
        <v>21</v>
      </c>
      <c r="P165" s="4" t="s">
        <v>3036</v>
      </c>
      <c r="Q165" s="4" t="s">
        <v>3038</v>
      </c>
      <c r="R165" s="69" t="s">
        <v>22</v>
      </c>
      <c r="S165" s="69" t="s">
        <v>23</v>
      </c>
      <c r="T165" s="69" t="s">
        <v>22</v>
      </c>
      <c r="U165" s="69" t="s">
        <v>24</v>
      </c>
      <c r="V165" s="69" t="s">
        <v>25</v>
      </c>
      <c r="W165" s="69" t="s">
        <v>26</v>
      </c>
      <c r="X165" s="69" t="s">
        <v>27</v>
      </c>
      <c r="Y165" s="69" t="s">
        <v>28</v>
      </c>
      <c r="Z165" s="69" t="s">
        <v>29</v>
      </c>
      <c r="AA165" s="4"/>
      <c r="AB165" s="4"/>
      <c r="AC165" s="4"/>
      <c r="AD165" s="70"/>
      <c r="AE165" s="70">
        <f>パンツ!AE16</f>
        <v>0</v>
      </c>
      <c r="AF165" s="70" t="str">
        <f>パンツ!R16</f>
        <v>通常</v>
      </c>
      <c r="AG165" s="70">
        <v>0</v>
      </c>
      <c r="AH165" s="6">
        <f xml:space="preserve"> パンツ!AC16</f>
        <v>0</v>
      </c>
      <c r="AI165">
        <v>1</v>
      </c>
      <c r="AJ165">
        <f>パンツ!U16</f>
        <v>0</v>
      </c>
    </row>
    <row r="166" spans="1:36" ht="13.5" hidden="1" customHeight="1">
      <c r="A166" s="3" t="str">
        <f>IF(パンツ!A17="","",パンツ!A17)</f>
        <v/>
      </c>
      <c r="B166" s="68" t="str">
        <f>IF(パンツ!B17="","",パンツ!B17)</f>
        <v/>
      </c>
      <c r="C166" s="3" t="str">
        <f>IF(パンツ!C17="","",パンツ!C17)</f>
        <v>◇ サイズ E</v>
      </c>
      <c r="D166" s="3" t="str">
        <f>IF(パンツ!E17="","",パンツ!E17)</f>
        <v>無</v>
      </c>
      <c r="E166" s="3" t="str">
        <f>IF(パンツ!AA17="","",パンツ!AA17)</f>
        <v>ベースW</v>
      </c>
      <c r="F166" s="3" t="str">
        <f>IF(パンツ!G17="","",パンツ!G17)</f>
        <v/>
      </c>
      <c r="G166" s="3" t="str">
        <f>IF(パンツ!H17="","",パンツ!H17)</f>
        <v/>
      </c>
      <c r="H166" s="3" t="str">
        <f>IF(パンツ!I17="","",パンツ!I17)</f>
        <v/>
      </c>
      <c r="I166" s="3" t="str">
        <f>IF(パンツ!J17="","",パンツ!J17)</f>
        <v>画像参照</v>
      </c>
      <c r="J166" s="3" t="str">
        <f>IF(パンツ!K17="","",パンツ!K17)</f>
        <v/>
      </c>
      <c r="K166" s="3" t="str">
        <f>IF(パンツ!L17="","",パンツ!L17)</f>
        <v>サイズ</v>
      </c>
      <c r="L166" s="69" t="s">
        <v>80</v>
      </c>
      <c r="M166" s="3" t="str">
        <f xml:space="preserve"> パンツ!Z17</f>
        <v>股上：約cm　股下：約cm　ウエスト：約cm　もも幅：約cm　裾幅：約cm</v>
      </c>
      <c r="N166" s="69" t="s">
        <v>20</v>
      </c>
      <c r="O166" s="69" t="s">
        <v>21</v>
      </c>
      <c r="P166" s="4" t="s">
        <v>3036</v>
      </c>
      <c r="Q166" s="4" t="s">
        <v>3038</v>
      </c>
      <c r="R166" s="69" t="s">
        <v>22</v>
      </c>
      <c r="S166" s="69" t="s">
        <v>23</v>
      </c>
      <c r="T166" s="69" t="s">
        <v>22</v>
      </c>
      <c r="U166" s="69" t="s">
        <v>24</v>
      </c>
      <c r="V166" s="69" t="s">
        <v>25</v>
      </c>
      <c r="W166" s="69" t="s">
        <v>26</v>
      </c>
      <c r="X166" s="69" t="s">
        <v>27</v>
      </c>
      <c r="Y166" s="69" t="s">
        <v>28</v>
      </c>
      <c r="Z166" s="69" t="s">
        <v>29</v>
      </c>
      <c r="AA166" s="4"/>
      <c r="AB166" s="4"/>
      <c r="AC166" s="4"/>
      <c r="AD166" s="70"/>
      <c r="AE166" s="70">
        <f>パンツ!AE17</f>
        <v>0</v>
      </c>
      <c r="AF166" s="70" t="str">
        <f>パンツ!R17</f>
        <v>通常</v>
      </c>
      <c r="AG166" s="70">
        <v>0</v>
      </c>
      <c r="AH166" s="6">
        <f xml:space="preserve"> パンツ!AC17</f>
        <v>0</v>
      </c>
      <c r="AI166">
        <v>1</v>
      </c>
      <c r="AJ166">
        <f>パンツ!U17</f>
        <v>0</v>
      </c>
    </row>
    <row r="167" spans="1:36" ht="13.5" hidden="1" customHeight="1">
      <c r="A167" s="3" t="str">
        <f>IF(パンツ!A18="","",パンツ!A18)</f>
        <v/>
      </c>
      <c r="B167" s="68" t="str">
        <f>IF(パンツ!B18="","",パンツ!B18)</f>
        <v/>
      </c>
      <c r="C167" s="3" t="str">
        <f>IF(パンツ!C18="","",パンツ!C18)</f>
        <v>◇ サイズ E</v>
      </c>
      <c r="D167" s="3" t="str">
        <f>IF(パンツ!E18="","",パンツ!E18)</f>
        <v>無</v>
      </c>
      <c r="E167" s="3" t="str">
        <f>IF(パンツ!AA18="","",パンツ!AA18)</f>
        <v>ベースW</v>
      </c>
      <c r="F167" s="3" t="str">
        <f>IF(パンツ!G18="","",パンツ!G18)</f>
        <v/>
      </c>
      <c r="G167" s="3" t="str">
        <f>IF(パンツ!H18="","",パンツ!H18)</f>
        <v/>
      </c>
      <c r="H167" s="3" t="str">
        <f>IF(パンツ!I18="","",パンツ!I18)</f>
        <v/>
      </c>
      <c r="I167" s="3" t="str">
        <f>IF(パンツ!J18="","",パンツ!J18)</f>
        <v>画像参照</v>
      </c>
      <c r="J167" s="3" t="str">
        <f>IF(パンツ!K18="","",パンツ!K18)</f>
        <v/>
      </c>
      <c r="K167" s="3" t="str">
        <f>IF(パンツ!L18="","",パンツ!L18)</f>
        <v>サイズ</v>
      </c>
      <c r="L167" s="69" t="s">
        <v>80</v>
      </c>
      <c r="M167" s="3" t="str">
        <f xml:space="preserve"> パンツ!Z18</f>
        <v>股上：約cm　股下：約cm　ウエスト：約cm　もも幅：約cm　裾幅：約cm</v>
      </c>
      <c r="N167" s="69" t="s">
        <v>20</v>
      </c>
      <c r="O167" s="69" t="s">
        <v>21</v>
      </c>
      <c r="P167" s="4" t="s">
        <v>3036</v>
      </c>
      <c r="Q167" s="4" t="s">
        <v>3038</v>
      </c>
      <c r="R167" s="69" t="s">
        <v>22</v>
      </c>
      <c r="S167" s="69" t="s">
        <v>23</v>
      </c>
      <c r="T167" s="69" t="s">
        <v>22</v>
      </c>
      <c r="U167" s="69" t="s">
        <v>24</v>
      </c>
      <c r="V167" s="69" t="s">
        <v>25</v>
      </c>
      <c r="W167" s="69" t="s">
        <v>26</v>
      </c>
      <c r="X167" s="69" t="s">
        <v>27</v>
      </c>
      <c r="Y167" s="69" t="s">
        <v>28</v>
      </c>
      <c r="Z167" s="69" t="s">
        <v>29</v>
      </c>
      <c r="AA167" s="4"/>
      <c r="AB167" s="4"/>
      <c r="AC167" s="4"/>
      <c r="AD167" s="70"/>
      <c r="AE167" s="70">
        <f>パンツ!AE18</f>
        <v>0</v>
      </c>
      <c r="AF167" s="70" t="str">
        <f>パンツ!R18</f>
        <v>通常</v>
      </c>
      <c r="AG167" s="70">
        <v>0</v>
      </c>
      <c r="AH167" s="6">
        <f xml:space="preserve"> パンツ!AC18</f>
        <v>0</v>
      </c>
      <c r="AI167">
        <v>1</v>
      </c>
      <c r="AJ167">
        <f>パンツ!U18</f>
        <v>0</v>
      </c>
    </row>
    <row r="168" spans="1:36" ht="13.5" hidden="1" customHeight="1">
      <c r="A168" s="3" t="str">
        <f>IF(パンツ!A19="","",パンツ!A19)</f>
        <v/>
      </c>
      <c r="B168" s="68" t="str">
        <f>IF(パンツ!B19="","",パンツ!B19)</f>
        <v/>
      </c>
      <c r="C168" s="3" t="str">
        <f>IF(パンツ!C19="","",パンツ!C19)</f>
        <v>◇ サイズ E</v>
      </c>
      <c r="D168" s="3" t="str">
        <f>IF(パンツ!E19="","",パンツ!E19)</f>
        <v>無</v>
      </c>
      <c r="E168" s="3" t="str">
        <f>IF(パンツ!AA19="","",パンツ!AA19)</f>
        <v>ベースW</v>
      </c>
      <c r="F168" s="3" t="str">
        <f>IF(パンツ!G19="","",パンツ!G19)</f>
        <v/>
      </c>
      <c r="G168" s="3" t="str">
        <f>IF(パンツ!H19="","",パンツ!H19)</f>
        <v/>
      </c>
      <c r="H168" s="3" t="str">
        <f>IF(パンツ!I19="","",パンツ!I19)</f>
        <v/>
      </c>
      <c r="I168" s="3" t="str">
        <f>IF(パンツ!J19="","",パンツ!J19)</f>
        <v>画像参照</v>
      </c>
      <c r="J168" s="3" t="str">
        <f>IF(パンツ!K19="","",パンツ!K19)</f>
        <v/>
      </c>
      <c r="K168" s="3" t="str">
        <f>IF(パンツ!L19="","",パンツ!L19)</f>
        <v>サイズ</v>
      </c>
      <c r="L168" s="69" t="s">
        <v>80</v>
      </c>
      <c r="M168" s="3" t="str">
        <f xml:space="preserve"> パンツ!Z19</f>
        <v>股上：約cm　股下：約cm　ウエスト：約cm　もも幅：約cm　裾幅：約cm</v>
      </c>
      <c r="N168" s="69" t="s">
        <v>20</v>
      </c>
      <c r="O168" s="69" t="s">
        <v>21</v>
      </c>
      <c r="P168" s="4" t="s">
        <v>3036</v>
      </c>
      <c r="Q168" s="4" t="s">
        <v>3038</v>
      </c>
      <c r="R168" s="69" t="s">
        <v>22</v>
      </c>
      <c r="S168" s="69" t="s">
        <v>23</v>
      </c>
      <c r="T168" s="69" t="s">
        <v>22</v>
      </c>
      <c r="U168" s="69" t="s">
        <v>24</v>
      </c>
      <c r="V168" s="69" t="s">
        <v>25</v>
      </c>
      <c r="W168" s="69" t="s">
        <v>26</v>
      </c>
      <c r="X168" s="69" t="s">
        <v>27</v>
      </c>
      <c r="Y168" s="69" t="s">
        <v>28</v>
      </c>
      <c r="Z168" s="69" t="s">
        <v>29</v>
      </c>
      <c r="AA168" s="4"/>
      <c r="AB168" s="4"/>
      <c r="AC168" s="4"/>
      <c r="AD168" s="70"/>
      <c r="AE168" s="70">
        <f>パンツ!AE19</f>
        <v>0</v>
      </c>
      <c r="AF168" s="70" t="str">
        <f>パンツ!R19</f>
        <v>通常</v>
      </c>
      <c r="AG168" s="70">
        <v>0</v>
      </c>
      <c r="AH168" s="6">
        <f xml:space="preserve"> パンツ!AC19</f>
        <v>0</v>
      </c>
      <c r="AI168">
        <v>1</v>
      </c>
      <c r="AJ168">
        <f>パンツ!U19</f>
        <v>0</v>
      </c>
    </row>
    <row r="169" spans="1:36" ht="13.5" hidden="1" customHeight="1">
      <c r="A169" s="3" t="str">
        <f>IF(パンツ!A20="","",パンツ!A20)</f>
        <v/>
      </c>
      <c r="B169" s="68" t="str">
        <f>IF(パンツ!B20="","",パンツ!B20)</f>
        <v/>
      </c>
      <c r="C169" s="3" t="str">
        <f>IF(パンツ!C20="","",パンツ!C20)</f>
        <v>◇ サイズ E</v>
      </c>
      <c r="D169" s="3" t="str">
        <f>IF(パンツ!E20="","",パンツ!E20)</f>
        <v>無</v>
      </c>
      <c r="E169" s="3" t="str">
        <f>IF(パンツ!AA20="","",パンツ!AA20)</f>
        <v>ベースW</v>
      </c>
      <c r="F169" s="3" t="str">
        <f>IF(パンツ!G20="","",パンツ!G20)</f>
        <v/>
      </c>
      <c r="G169" s="3" t="str">
        <f>IF(パンツ!H20="","",パンツ!H20)</f>
        <v/>
      </c>
      <c r="H169" s="3" t="str">
        <f>IF(パンツ!I20="","",パンツ!I20)</f>
        <v/>
      </c>
      <c r="I169" s="3" t="str">
        <f>IF(パンツ!J20="","",パンツ!J20)</f>
        <v>画像参照</v>
      </c>
      <c r="J169" s="3" t="str">
        <f>IF(パンツ!K20="","",パンツ!K20)</f>
        <v/>
      </c>
      <c r="K169" s="3" t="str">
        <f>IF(パンツ!L20="","",パンツ!L20)</f>
        <v>サイズ</v>
      </c>
      <c r="L169" s="69" t="s">
        <v>80</v>
      </c>
      <c r="M169" s="3" t="str">
        <f xml:space="preserve"> パンツ!Z20</f>
        <v>股上：約cm　股下：約cm　ウエスト：約cm　もも幅：約cm　裾幅：約cm</v>
      </c>
      <c r="N169" s="69" t="s">
        <v>20</v>
      </c>
      <c r="O169" s="69" t="s">
        <v>21</v>
      </c>
      <c r="P169" s="4" t="s">
        <v>3036</v>
      </c>
      <c r="Q169" s="4" t="s">
        <v>3038</v>
      </c>
      <c r="R169" s="69" t="s">
        <v>22</v>
      </c>
      <c r="S169" s="69" t="s">
        <v>23</v>
      </c>
      <c r="T169" s="69" t="s">
        <v>22</v>
      </c>
      <c r="U169" s="69" t="s">
        <v>24</v>
      </c>
      <c r="V169" s="69" t="s">
        <v>25</v>
      </c>
      <c r="W169" s="69" t="s">
        <v>26</v>
      </c>
      <c r="X169" s="69" t="s">
        <v>27</v>
      </c>
      <c r="Y169" s="69" t="s">
        <v>28</v>
      </c>
      <c r="Z169" s="69" t="s">
        <v>29</v>
      </c>
      <c r="AA169" s="4"/>
      <c r="AB169" s="4"/>
      <c r="AC169" s="4"/>
      <c r="AD169" s="70"/>
      <c r="AE169" s="70">
        <f>パンツ!AE20</f>
        <v>0</v>
      </c>
      <c r="AF169" s="70" t="str">
        <f>パンツ!R20</f>
        <v>通常</v>
      </c>
      <c r="AG169" s="70">
        <v>0</v>
      </c>
      <c r="AH169" s="6">
        <f xml:space="preserve"> パンツ!AC20</f>
        <v>0</v>
      </c>
      <c r="AI169">
        <v>1</v>
      </c>
      <c r="AJ169">
        <f>パンツ!U20</f>
        <v>0</v>
      </c>
    </row>
    <row r="170" spans="1:36" ht="13.5" hidden="1" customHeight="1">
      <c r="A170" s="3" t="str">
        <f>IF(パンツ!A21="","",パンツ!A21)</f>
        <v/>
      </c>
      <c r="B170" s="68" t="str">
        <f>IF(パンツ!B21="","",パンツ!B21)</f>
        <v/>
      </c>
      <c r="C170" s="3" t="str">
        <f>IF(パンツ!C21="","",パンツ!C21)</f>
        <v>◇ サイズ E</v>
      </c>
      <c r="D170" s="3" t="str">
        <f>IF(パンツ!E21="","",パンツ!E21)</f>
        <v>無</v>
      </c>
      <c r="E170" s="3" t="str">
        <f>IF(パンツ!AA21="","",パンツ!AA21)</f>
        <v>ベースW</v>
      </c>
      <c r="F170" s="3" t="str">
        <f>IF(パンツ!G21="","",パンツ!G21)</f>
        <v/>
      </c>
      <c r="G170" s="3" t="str">
        <f>IF(パンツ!H21="","",パンツ!H21)</f>
        <v/>
      </c>
      <c r="H170" s="3" t="str">
        <f>IF(パンツ!I21="","",パンツ!I21)</f>
        <v/>
      </c>
      <c r="I170" s="3" t="str">
        <f>IF(パンツ!J21="","",パンツ!J21)</f>
        <v>画像参照</v>
      </c>
      <c r="J170" s="3" t="str">
        <f>IF(パンツ!K21="","",パンツ!K21)</f>
        <v/>
      </c>
      <c r="K170" s="3" t="str">
        <f>IF(パンツ!L21="","",パンツ!L21)</f>
        <v>サイズ</v>
      </c>
      <c r="L170" s="69" t="s">
        <v>80</v>
      </c>
      <c r="M170" s="3" t="str">
        <f xml:space="preserve"> パンツ!Z21</f>
        <v>股上：約cm　股下：約cm　ウエスト：約cm　もも幅：約cm　裾幅：約cm</v>
      </c>
      <c r="N170" s="69" t="s">
        <v>20</v>
      </c>
      <c r="O170" s="69" t="s">
        <v>21</v>
      </c>
      <c r="P170" s="4" t="s">
        <v>3036</v>
      </c>
      <c r="Q170" s="4" t="s">
        <v>3038</v>
      </c>
      <c r="R170" s="69" t="s">
        <v>22</v>
      </c>
      <c r="S170" s="69" t="s">
        <v>23</v>
      </c>
      <c r="T170" s="69" t="s">
        <v>22</v>
      </c>
      <c r="U170" s="69" t="s">
        <v>24</v>
      </c>
      <c r="V170" s="69" t="s">
        <v>25</v>
      </c>
      <c r="W170" s="69" t="s">
        <v>26</v>
      </c>
      <c r="X170" s="69" t="s">
        <v>27</v>
      </c>
      <c r="Y170" s="69" t="s">
        <v>28</v>
      </c>
      <c r="Z170" s="69" t="s">
        <v>29</v>
      </c>
      <c r="AA170" s="4"/>
      <c r="AB170" s="4"/>
      <c r="AC170" s="4"/>
      <c r="AD170" s="70"/>
      <c r="AE170" s="70">
        <f>パンツ!AE21</f>
        <v>0</v>
      </c>
      <c r="AF170" s="70" t="str">
        <f>パンツ!R21</f>
        <v>通常</v>
      </c>
      <c r="AG170" s="70">
        <v>0</v>
      </c>
      <c r="AH170" s="6">
        <f xml:space="preserve"> パンツ!AC21</f>
        <v>0</v>
      </c>
      <c r="AI170">
        <v>1</v>
      </c>
      <c r="AJ170">
        <f>パンツ!U21</f>
        <v>0</v>
      </c>
    </row>
    <row r="171" spans="1:36" ht="13.5" hidden="1" customHeight="1">
      <c r="A171" s="3" t="str">
        <f>IF(パンツ!A22="","",パンツ!A22)</f>
        <v/>
      </c>
      <c r="B171" s="68" t="str">
        <f>IF(パンツ!B22="","",パンツ!B22)</f>
        <v/>
      </c>
      <c r="C171" s="3" t="str">
        <f>IF(パンツ!C22="","",パンツ!C22)</f>
        <v>◇ サイズ E</v>
      </c>
      <c r="D171" s="3" t="str">
        <f>IF(パンツ!E22="","",パンツ!E22)</f>
        <v>無</v>
      </c>
      <c r="E171" s="3" t="str">
        <f>IF(パンツ!AA22="","",パンツ!AA22)</f>
        <v>ベースW</v>
      </c>
      <c r="F171" s="3" t="str">
        <f>IF(パンツ!G22="","",パンツ!G22)</f>
        <v/>
      </c>
      <c r="G171" s="3" t="str">
        <f>IF(パンツ!H22="","",パンツ!H22)</f>
        <v/>
      </c>
      <c r="H171" s="3" t="str">
        <f>IF(パンツ!I22="","",パンツ!I22)</f>
        <v/>
      </c>
      <c r="I171" s="3" t="str">
        <f>IF(パンツ!J22="","",パンツ!J22)</f>
        <v>画像参照</v>
      </c>
      <c r="J171" s="3" t="str">
        <f>IF(パンツ!K22="","",パンツ!K22)</f>
        <v/>
      </c>
      <c r="K171" s="3" t="str">
        <f>IF(パンツ!L22="","",パンツ!L22)</f>
        <v>サイズ</v>
      </c>
      <c r="L171" s="69" t="s">
        <v>80</v>
      </c>
      <c r="M171" s="3" t="str">
        <f xml:space="preserve"> パンツ!Z22</f>
        <v>股上：約cm　股下：約cm　ウエスト：約cm　もも幅：約cm　裾幅：約cm</v>
      </c>
      <c r="N171" s="69" t="s">
        <v>20</v>
      </c>
      <c r="O171" s="69" t="s">
        <v>21</v>
      </c>
      <c r="P171" s="4" t="s">
        <v>3036</v>
      </c>
      <c r="Q171" s="4" t="s">
        <v>3038</v>
      </c>
      <c r="R171" s="69" t="s">
        <v>22</v>
      </c>
      <c r="S171" s="69" t="s">
        <v>23</v>
      </c>
      <c r="T171" s="69" t="s">
        <v>22</v>
      </c>
      <c r="U171" s="69" t="s">
        <v>24</v>
      </c>
      <c r="V171" s="69" t="s">
        <v>25</v>
      </c>
      <c r="W171" s="69" t="s">
        <v>26</v>
      </c>
      <c r="X171" s="69" t="s">
        <v>27</v>
      </c>
      <c r="Y171" s="69" t="s">
        <v>28</v>
      </c>
      <c r="Z171" s="69" t="s">
        <v>29</v>
      </c>
      <c r="AA171" s="4"/>
      <c r="AB171" s="4"/>
      <c r="AC171" s="4"/>
      <c r="AD171" s="70"/>
      <c r="AE171" s="70">
        <f>パンツ!AE22</f>
        <v>0</v>
      </c>
      <c r="AF171" s="70" t="str">
        <f>パンツ!R22</f>
        <v>通常</v>
      </c>
      <c r="AG171" s="70">
        <v>0</v>
      </c>
      <c r="AH171" s="6">
        <f xml:space="preserve"> パンツ!AC22</f>
        <v>0</v>
      </c>
      <c r="AI171">
        <v>1</v>
      </c>
      <c r="AJ171">
        <f>パンツ!U22</f>
        <v>0</v>
      </c>
    </row>
    <row r="172" spans="1:36" ht="13.5" hidden="1" customHeight="1">
      <c r="A172" s="3" t="str">
        <f>IF(パンツ!A23="","",パンツ!A23)</f>
        <v/>
      </c>
      <c r="B172" s="68" t="str">
        <f>IF(パンツ!B23="","",パンツ!B23)</f>
        <v/>
      </c>
      <c r="C172" s="3" t="str">
        <f>IF(パンツ!C23="","",パンツ!C23)</f>
        <v>◇ サイズ E</v>
      </c>
      <c r="D172" s="3" t="str">
        <f>IF(パンツ!E23="","",パンツ!E23)</f>
        <v>無</v>
      </c>
      <c r="E172" s="3" t="str">
        <f>IF(パンツ!AA23="","",パンツ!AA23)</f>
        <v>ベースW</v>
      </c>
      <c r="F172" s="3" t="str">
        <f>IF(パンツ!G23="","",パンツ!G23)</f>
        <v/>
      </c>
      <c r="G172" s="3" t="str">
        <f>IF(パンツ!H23="","",パンツ!H23)</f>
        <v/>
      </c>
      <c r="H172" s="3" t="str">
        <f>IF(パンツ!I23="","",パンツ!I23)</f>
        <v/>
      </c>
      <c r="I172" s="3" t="str">
        <f>IF(パンツ!J23="","",パンツ!J23)</f>
        <v>画像参照</v>
      </c>
      <c r="J172" s="3" t="str">
        <f>IF(パンツ!K23="","",パンツ!K23)</f>
        <v/>
      </c>
      <c r="K172" s="3" t="str">
        <f>IF(パンツ!L23="","",パンツ!L23)</f>
        <v>サイズ</v>
      </c>
      <c r="L172" s="69" t="s">
        <v>80</v>
      </c>
      <c r="M172" s="3" t="str">
        <f xml:space="preserve"> パンツ!Z23</f>
        <v>股上：約cm　股下：約cm　ウエスト：約cm　もも幅：約cm　裾幅：約cm</v>
      </c>
      <c r="N172" s="69" t="s">
        <v>20</v>
      </c>
      <c r="O172" s="69" t="s">
        <v>21</v>
      </c>
      <c r="P172" s="4" t="s">
        <v>3036</v>
      </c>
      <c r="Q172" s="4" t="s">
        <v>3038</v>
      </c>
      <c r="R172" s="69" t="s">
        <v>22</v>
      </c>
      <c r="S172" s="69" t="s">
        <v>23</v>
      </c>
      <c r="T172" s="69" t="s">
        <v>22</v>
      </c>
      <c r="U172" s="69" t="s">
        <v>24</v>
      </c>
      <c r="V172" s="69" t="s">
        <v>25</v>
      </c>
      <c r="W172" s="69" t="s">
        <v>26</v>
      </c>
      <c r="X172" s="69" t="s">
        <v>27</v>
      </c>
      <c r="Y172" s="69" t="s">
        <v>28</v>
      </c>
      <c r="Z172" s="69" t="s">
        <v>29</v>
      </c>
      <c r="AA172" s="4"/>
      <c r="AB172" s="4"/>
      <c r="AC172" s="4"/>
      <c r="AD172" s="70"/>
      <c r="AE172" s="70">
        <f>パンツ!AE23</f>
        <v>0</v>
      </c>
      <c r="AF172" s="70" t="str">
        <f>パンツ!R23</f>
        <v>通常</v>
      </c>
      <c r="AG172" s="70">
        <v>0</v>
      </c>
      <c r="AH172" s="6">
        <f xml:space="preserve"> パンツ!AC23</f>
        <v>0</v>
      </c>
      <c r="AI172">
        <v>1</v>
      </c>
      <c r="AJ172">
        <f>パンツ!U23</f>
        <v>0</v>
      </c>
    </row>
    <row r="173" spans="1:36" ht="13.5" hidden="1" customHeight="1">
      <c r="A173" s="3" t="str">
        <f>IF(パンツ!A24="","",パンツ!A24)</f>
        <v/>
      </c>
      <c r="B173" s="68" t="str">
        <f>IF(パンツ!B24="","",パンツ!B24)</f>
        <v/>
      </c>
      <c r="C173" s="3" t="str">
        <f>IF(パンツ!C24="","",パンツ!C24)</f>
        <v>◇ サイズ E</v>
      </c>
      <c r="D173" s="3" t="str">
        <f>IF(パンツ!E24="","",パンツ!E24)</f>
        <v>無</v>
      </c>
      <c r="E173" s="3" t="str">
        <f>IF(パンツ!AA24="","",パンツ!AA24)</f>
        <v>ベースW</v>
      </c>
      <c r="F173" s="3" t="str">
        <f>IF(パンツ!G24="","",パンツ!G24)</f>
        <v/>
      </c>
      <c r="G173" s="3" t="str">
        <f>IF(パンツ!H24="","",パンツ!H24)</f>
        <v/>
      </c>
      <c r="H173" s="3" t="str">
        <f>IF(パンツ!I24="","",パンツ!I24)</f>
        <v/>
      </c>
      <c r="I173" s="3" t="str">
        <f>IF(パンツ!J24="","",パンツ!J24)</f>
        <v>画像参照</v>
      </c>
      <c r="J173" s="3" t="str">
        <f>IF(パンツ!K24="","",パンツ!K24)</f>
        <v/>
      </c>
      <c r="K173" s="3" t="str">
        <f>IF(パンツ!L24="","",パンツ!L24)</f>
        <v>サイズ</v>
      </c>
      <c r="L173" s="69" t="s">
        <v>80</v>
      </c>
      <c r="M173" s="3" t="str">
        <f xml:space="preserve"> パンツ!Z24</f>
        <v>股上：約cm　股下：約cm　ウエスト：約cm　もも幅：約cm　裾幅：約cm</v>
      </c>
      <c r="N173" s="69" t="s">
        <v>20</v>
      </c>
      <c r="O173" s="69" t="s">
        <v>21</v>
      </c>
      <c r="P173" s="4" t="s">
        <v>3036</v>
      </c>
      <c r="Q173" s="4" t="s">
        <v>3038</v>
      </c>
      <c r="R173" s="69" t="s">
        <v>22</v>
      </c>
      <c r="S173" s="69" t="s">
        <v>23</v>
      </c>
      <c r="T173" s="69" t="s">
        <v>22</v>
      </c>
      <c r="U173" s="69" t="s">
        <v>24</v>
      </c>
      <c r="V173" s="69" t="s">
        <v>25</v>
      </c>
      <c r="W173" s="69" t="s">
        <v>26</v>
      </c>
      <c r="X173" s="69" t="s">
        <v>27</v>
      </c>
      <c r="Y173" s="69" t="s">
        <v>28</v>
      </c>
      <c r="Z173" s="69" t="s">
        <v>29</v>
      </c>
      <c r="AA173" s="4"/>
      <c r="AB173" s="4"/>
      <c r="AC173" s="4"/>
      <c r="AD173" s="70"/>
      <c r="AE173" s="70">
        <f>パンツ!AE24</f>
        <v>0</v>
      </c>
      <c r="AF173" s="70" t="str">
        <f>パンツ!R24</f>
        <v>通常</v>
      </c>
      <c r="AG173" s="70">
        <v>0</v>
      </c>
      <c r="AH173" s="6">
        <f xml:space="preserve"> パンツ!AC24</f>
        <v>0</v>
      </c>
      <c r="AI173">
        <v>1</v>
      </c>
      <c r="AJ173">
        <f>パンツ!U24</f>
        <v>0</v>
      </c>
    </row>
    <row r="174" spans="1:36" ht="13.5" hidden="1" customHeight="1">
      <c r="A174" s="3" t="str">
        <f>IF(パンツ!A25="","",パンツ!A25)</f>
        <v/>
      </c>
      <c r="B174" s="68" t="str">
        <f>IF(パンツ!B25="","",パンツ!B25)</f>
        <v/>
      </c>
      <c r="C174" s="3" t="str">
        <f>IF(パンツ!C25="","",パンツ!C25)</f>
        <v>◇ サイズ E</v>
      </c>
      <c r="D174" s="3" t="str">
        <f>IF(パンツ!E25="","",パンツ!E25)</f>
        <v>無</v>
      </c>
      <c r="E174" s="3" t="str">
        <f>IF(パンツ!AA25="","",パンツ!AA25)</f>
        <v>ベースW</v>
      </c>
      <c r="F174" s="3" t="str">
        <f>IF(パンツ!G25="","",パンツ!G25)</f>
        <v/>
      </c>
      <c r="G174" s="3" t="str">
        <f>IF(パンツ!H25="","",パンツ!H25)</f>
        <v/>
      </c>
      <c r="H174" s="3" t="str">
        <f>IF(パンツ!I25="","",パンツ!I25)</f>
        <v/>
      </c>
      <c r="I174" s="3" t="str">
        <f>IF(パンツ!J25="","",パンツ!J25)</f>
        <v>画像参照</v>
      </c>
      <c r="J174" s="3" t="str">
        <f>IF(パンツ!K25="","",パンツ!K25)</f>
        <v/>
      </c>
      <c r="K174" s="3" t="str">
        <f>IF(パンツ!L25="","",パンツ!L25)</f>
        <v>サイズ</v>
      </c>
      <c r="L174" s="69" t="s">
        <v>80</v>
      </c>
      <c r="M174" s="3" t="str">
        <f xml:space="preserve"> パンツ!Z25</f>
        <v>股上：約cm　股下：約cm　ウエスト：約cm　もも幅：約cm　裾幅：約cm</v>
      </c>
      <c r="N174" s="69" t="s">
        <v>20</v>
      </c>
      <c r="O174" s="69" t="s">
        <v>21</v>
      </c>
      <c r="P174" s="4" t="s">
        <v>3036</v>
      </c>
      <c r="Q174" s="4" t="s">
        <v>3038</v>
      </c>
      <c r="R174" s="69" t="s">
        <v>22</v>
      </c>
      <c r="S174" s="69" t="s">
        <v>23</v>
      </c>
      <c r="T174" s="69" t="s">
        <v>22</v>
      </c>
      <c r="U174" s="69" t="s">
        <v>24</v>
      </c>
      <c r="V174" s="69" t="s">
        <v>25</v>
      </c>
      <c r="W174" s="69" t="s">
        <v>26</v>
      </c>
      <c r="X174" s="69" t="s">
        <v>27</v>
      </c>
      <c r="Y174" s="69" t="s">
        <v>28</v>
      </c>
      <c r="Z174" s="69" t="s">
        <v>29</v>
      </c>
      <c r="AA174" s="4"/>
      <c r="AB174" s="4"/>
      <c r="AC174" s="4"/>
      <c r="AD174" s="70"/>
      <c r="AE174" s="70">
        <f>パンツ!AE25</f>
        <v>0</v>
      </c>
      <c r="AF174" s="70" t="str">
        <f>パンツ!R25</f>
        <v>通常</v>
      </c>
      <c r="AG174" s="70">
        <v>0</v>
      </c>
      <c r="AH174" s="6">
        <f xml:space="preserve"> パンツ!AC25</f>
        <v>0</v>
      </c>
      <c r="AI174">
        <v>1</v>
      </c>
      <c r="AJ174">
        <f>パンツ!U25</f>
        <v>0</v>
      </c>
    </row>
    <row r="175" spans="1:36" ht="13.5" hidden="1" customHeight="1">
      <c r="A175" s="3" t="str">
        <f>IF(パンツ!A26="","",パンツ!A26)</f>
        <v/>
      </c>
      <c r="B175" s="68" t="str">
        <f>IF(パンツ!B26="","",パンツ!B26)</f>
        <v/>
      </c>
      <c r="C175" s="3" t="str">
        <f>IF(パンツ!C26="","",パンツ!C26)</f>
        <v>◇ サイズ E</v>
      </c>
      <c r="D175" s="3" t="str">
        <f>IF(パンツ!E26="","",パンツ!E26)</f>
        <v>無</v>
      </c>
      <c r="E175" s="3" t="str">
        <f>IF(パンツ!AA26="","",パンツ!AA26)</f>
        <v>ベースW</v>
      </c>
      <c r="F175" s="3" t="str">
        <f>IF(パンツ!G26="","",パンツ!G26)</f>
        <v/>
      </c>
      <c r="G175" s="3" t="str">
        <f>IF(パンツ!H26="","",パンツ!H26)</f>
        <v/>
      </c>
      <c r="H175" s="3" t="str">
        <f>IF(パンツ!I26="","",パンツ!I26)</f>
        <v/>
      </c>
      <c r="I175" s="3" t="str">
        <f>IF(パンツ!J26="","",パンツ!J26)</f>
        <v>画像参照</v>
      </c>
      <c r="J175" s="3" t="str">
        <f>IF(パンツ!K26="","",パンツ!K26)</f>
        <v/>
      </c>
      <c r="K175" s="3" t="str">
        <f>IF(パンツ!L26="","",パンツ!L26)</f>
        <v>サイズ</v>
      </c>
      <c r="L175" s="69" t="s">
        <v>80</v>
      </c>
      <c r="M175" s="3" t="str">
        <f xml:space="preserve"> パンツ!Z26</f>
        <v>股上：約cm　股下：約cm　ウエスト：約cm　もも幅：約cm　裾幅：約cm</v>
      </c>
      <c r="N175" s="69" t="s">
        <v>20</v>
      </c>
      <c r="O175" s="69" t="s">
        <v>21</v>
      </c>
      <c r="P175" s="4" t="s">
        <v>3036</v>
      </c>
      <c r="Q175" s="4" t="s">
        <v>3038</v>
      </c>
      <c r="R175" s="69" t="s">
        <v>22</v>
      </c>
      <c r="S175" s="69" t="s">
        <v>23</v>
      </c>
      <c r="T175" s="69" t="s">
        <v>22</v>
      </c>
      <c r="U175" s="69" t="s">
        <v>24</v>
      </c>
      <c r="V175" s="69" t="s">
        <v>25</v>
      </c>
      <c r="W175" s="69" t="s">
        <v>26</v>
      </c>
      <c r="X175" s="69" t="s">
        <v>27</v>
      </c>
      <c r="Y175" s="69" t="s">
        <v>28</v>
      </c>
      <c r="Z175" s="69" t="s">
        <v>29</v>
      </c>
      <c r="AA175" s="4"/>
      <c r="AB175" s="4"/>
      <c r="AC175" s="4"/>
      <c r="AD175" s="70"/>
      <c r="AE175" s="70">
        <f>パンツ!AE26</f>
        <v>0</v>
      </c>
      <c r="AF175" s="70" t="str">
        <f>パンツ!R26</f>
        <v>通常</v>
      </c>
      <c r="AG175" s="70">
        <v>0</v>
      </c>
      <c r="AH175" s="6">
        <f xml:space="preserve"> パンツ!AC26</f>
        <v>0</v>
      </c>
      <c r="AI175">
        <v>1</v>
      </c>
      <c r="AJ175">
        <f>パンツ!U26</f>
        <v>0</v>
      </c>
    </row>
    <row r="176" spans="1:36" ht="13.5" hidden="1" customHeight="1">
      <c r="A176" s="3" t="str">
        <f>IF(パンツ!A27="","",パンツ!A27)</f>
        <v/>
      </c>
      <c r="B176" s="68" t="str">
        <f>IF(パンツ!B27="","",パンツ!B27)</f>
        <v/>
      </c>
      <c r="C176" s="3" t="str">
        <f>IF(パンツ!C27="","",パンツ!C27)</f>
        <v>◇ サイズ E</v>
      </c>
      <c r="D176" s="3" t="str">
        <f>IF(パンツ!E27="","",パンツ!E27)</f>
        <v>無</v>
      </c>
      <c r="E176" s="3" t="str">
        <f>IF(パンツ!AA27="","",パンツ!AA27)</f>
        <v>ベースW</v>
      </c>
      <c r="F176" s="3" t="str">
        <f>IF(パンツ!G27="","",パンツ!G27)</f>
        <v/>
      </c>
      <c r="G176" s="3" t="str">
        <f>IF(パンツ!H27="","",パンツ!H27)</f>
        <v/>
      </c>
      <c r="H176" s="3" t="str">
        <f>IF(パンツ!I27="","",パンツ!I27)</f>
        <v/>
      </c>
      <c r="I176" s="3" t="str">
        <f>IF(パンツ!J27="","",パンツ!J27)</f>
        <v>画像参照</v>
      </c>
      <c r="J176" s="3" t="str">
        <f>IF(パンツ!K27="","",パンツ!K27)</f>
        <v/>
      </c>
      <c r="K176" s="3" t="str">
        <f>IF(パンツ!L27="","",パンツ!L27)</f>
        <v>サイズ</v>
      </c>
      <c r="L176" s="69" t="s">
        <v>80</v>
      </c>
      <c r="M176" s="3" t="str">
        <f xml:space="preserve"> パンツ!Z27</f>
        <v>股上：約cm　股下：約cm　ウエスト：約cm　もも幅：約cm　裾幅：約cm</v>
      </c>
      <c r="N176" s="69" t="s">
        <v>20</v>
      </c>
      <c r="O176" s="69" t="s">
        <v>21</v>
      </c>
      <c r="P176" s="4" t="s">
        <v>3036</v>
      </c>
      <c r="Q176" s="4" t="s">
        <v>3038</v>
      </c>
      <c r="R176" s="69" t="s">
        <v>22</v>
      </c>
      <c r="S176" s="69" t="s">
        <v>23</v>
      </c>
      <c r="T176" s="69" t="s">
        <v>22</v>
      </c>
      <c r="U176" s="69" t="s">
        <v>24</v>
      </c>
      <c r="V176" s="69" t="s">
        <v>25</v>
      </c>
      <c r="W176" s="69" t="s">
        <v>26</v>
      </c>
      <c r="X176" s="69" t="s">
        <v>27</v>
      </c>
      <c r="Y176" s="69" t="s">
        <v>28</v>
      </c>
      <c r="Z176" s="69" t="s">
        <v>29</v>
      </c>
      <c r="AA176" s="4"/>
      <c r="AB176" s="4"/>
      <c r="AC176" s="4"/>
      <c r="AD176" s="70"/>
      <c r="AE176" s="70">
        <f>パンツ!AE27</f>
        <v>0</v>
      </c>
      <c r="AF176" s="70" t="str">
        <f>パンツ!R27</f>
        <v>通常</v>
      </c>
      <c r="AG176" s="70">
        <v>0</v>
      </c>
      <c r="AH176" s="6">
        <f xml:space="preserve"> パンツ!AC27</f>
        <v>0</v>
      </c>
      <c r="AI176">
        <v>1</v>
      </c>
      <c r="AJ176">
        <f>パンツ!U27</f>
        <v>0</v>
      </c>
    </row>
    <row r="177" spans="1:36" ht="13.5" hidden="1" customHeight="1">
      <c r="A177" s="3" t="str">
        <f>IF(パンツ!A28="","",パンツ!A28)</f>
        <v/>
      </c>
      <c r="B177" s="68" t="str">
        <f>IF(パンツ!B28="","",パンツ!B28)</f>
        <v/>
      </c>
      <c r="C177" s="3" t="str">
        <f>IF(パンツ!C28="","",パンツ!C28)</f>
        <v>◇ サイズ E</v>
      </c>
      <c r="D177" s="3" t="str">
        <f>IF(パンツ!E28="","",パンツ!E28)</f>
        <v>無</v>
      </c>
      <c r="E177" s="3" t="str">
        <f>IF(パンツ!AA28="","",パンツ!AA28)</f>
        <v>ベースW</v>
      </c>
      <c r="F177" s="3" t="str">
        <f>IF(パンツ!G28="","",パンツ!G28)</f>
        <v/>
      </c>
      <c r="G177" s="3" t="str">
        <f>IF(パンツ!H28="","",パンツ!H28)</f>
        <v/>
      </c>
      <c r="H177" s="3" t="str">
        <f>IF(パンツ!I28="","",パンツ!I28)</f>
        <v/>
      </c>
      <c r="I177" s="3" t="str">
        <f>IF(パンツ!J28="","",パンツ!J28)</f>
        <v>画像参照</v>
      </c>
      <c r="J177" s="3" t="str">
        <f>IF(パンツ!K28="","",パンツ!K28)</f>
        <v/>
      </c>
      <c r="K177" s="3" t="str">
        <f>IF(パンツ!L28="","",パンツ!L28)</f>
        <v>サイズ</v>
      </c>
      <c r="L177" s="69" t="s">
        <v>80</v>
      </c>
      <c r="M177" s="3" t="str">
        <f xml:space="preserve"> パンツ!Z28</f>
        <v>股上：約cm　股下：約cm　ウエスト：約cm　もも幅：約cm　裾幅：約cm</v>
      </c>
      <c r="N177" s="69" t="s">
        <v>20</v>
      </c>
      <c r="O177" s="69" t="s">
        <v>21</v>
      </c>
      <c r="P177" s="4" t="s">
        <v>3036</v>
      </c>
      <c r="Q177" s="4" t="s">
        <v>3038</v>
      </c>
      <c r="R177" s="69" t="s">
        <v>22</v>
      </c>
      <c r="S177" s="69" t="s">
        <v>23</v>
      </c>
      <c r="T177" s="69" t="s">
        <v>22</v>
      </c>
      <c r="U177" s="69" t="s">
        <v>24</v>
      </c>
      <c r="V177" s="69" t="s">
        <v>25</v>
      </c>
      <c r="W177" s="69" t="s">
        <v>26</v>
      </c>
      <c r="X177" s="69" t="s">
        <v>27</v>
      </c>
      <c r="Y177" s="69" t="s">
        <v>28</v>
      </c>
      <c r="Z177" s="69" t="s">
        <v>29</v>
      </c>
      <c r="AA177" s="4"/>
      <c r="AB177" s="4"/>
      <c r="AC177" s="4"/>
      <c r="AD177" s="70"/>
      <c r="AE177" s="70">
        <f>パンツ!AE28</f>
        <v>0</v>
      </c>
      <c r="AF177" s="70" t="str">
        <f>パンツ!R28</f>
        <v>通常</v>
      </c>
      <c r="AG177" s="70">
        <v>0</v>
      </c>
      <c r="AH177" s="6">
        <f xml:space="preserve"> パンツ!AC28</f>
        <v>0</v>
      </c>
      <c r="AI177">
        <v>1</v>
      </c>
      <c r="AJ177">
        <f>パンツ!U28</f>
        <v>0</v>
      </c>
    </row>
    <row r="178" spans="1:36" ht="13.5" hidden="1" customHeight="1">
      <c r="A178" s="3" t="str">
        <f>IF(パンツ!A29="","",パンツ!A29)</f>
        <v/>
      </c>
      <c r="B178" s="68" t="str">
        <f>IF(パンツ!B29="","",パンツ!B29)</f>
        <v/>
      </c>
      <c r="C178" s="3" t="str">
        <f>IF(パンツ!C29="","",パンツ!C29)</f>
        <v>◇ サイズ E</v>
      </c>
      <c r="D178" s="3" t="str">
        <f>IF(パンツ!E29="","",パンツ!E29)</f>
        <v>無</v>
      </c>
      <c r="E178" s="3" t="str">
        <f>IF(パンツ!AA29="","",パンツ!AA29)</f>
        <v>ベースW</v>
      </c>
      <c r="F178" s="3" t="str">
        <f>IF(パンツ!G29="","",パンツ!G29)</f>
        <v/>
      </c>
      <c r="G178" s="3" t="str">
        <f>IF(パンツ!H29="","",パンツ!H29)</f>
        <v/>
      </c>
      <c r="H178" s="3" t="str">
        <f>IF(パンツ!I29="","",パンツ!I29)</f>
        <v/>
      </c>
      <c r="I178" s="3" t="str">
        <f>IF(パンツ!J29="","",パンツ!J29)</f>
        <v>画像参照</v>
      </c>
      <c r="J178" s="3" t="str">
        <f>IF(パンツ!K29="","",パンツ!K29)</f>
        <v/>
      </c>
      <c r="K178" s="3" t="str">
        <f>IF(パンツ!L29="","",パンツ!L29)</f>
        <v>サイズ</v>
      </c>
      <c r="L178" s="69" t="s">
        <v>80</v>
      </c>
      <c r="M178" s="3" t="str">
        <f xml:space="preserve"> パンツ!Z29</f>
        <v>股上：約cm　股下：約cm　ウエスト：約cm　もも幅：約cm　裾幅：約cm</v>
      </c>
      <c r="N178" s="69" t="s">
        <v>20</v>
      </c>
      <c r="O178" s="69" t="s">
        <v>21</v>
      </c>
      <c r="P178" s="4" t="s">
        <v>3036</v>
      </c>
      <c r="Q178" s="4" t="s">
        <v>3038</v>
      </c>
      <c r="R178" s="69" t="s">
        <v>22</v>
      </c>
      <c r="S178" s="69" t="s">
        <v>23</v>
      </c>
      <c r="T178" s="69" t="s">
        <v>22</v>
      </c>
      <c r="U178" s="69" t="s">
        <v>24</v>
      </c>
      <c r="V178" s="69" t="s">
        <v>25</v>
      </c>
      <c r="W178" s="69" t="s">
        <v>26</v>
      </c>
      <c r="X178" s="69" t="s">
        <v>27</v>
      </c>
      <c r="Y178" s="69" t="s">
        <v>28</v>
      </c>
      <c r="Z178" s="69" t="s">
        <v>29</v>
      </c>
      <c r="AA178" s="4"/>
      <c r="AB178" s="4"/>
      <c r="AC178" s="4"/>
      <c r="AD178" s="70"/>
      <c r="AE178" s="70">
        <f>パンツ!AE29</f>
        <v>0</v>
      </c>
      <c r="AF178" s="70" t="str">
        <f>パンツ!R29</f>
        <v>通常</v>
      </c>
      <c r="AG178" s="70">
        <v>0</v>
      </c>
      <c r="AH178" s="6">
        <f xml:space="preserve"> パンツ!AC29</f>
        <v>0</v>
      </c>
      <c r="AI178">
        <v>1</v>
      </c>
      <c r="AJ178">
        <f>パンツ!U29</f>
        <v>0</v>
      </c>
    </row>
    <row r="179" spans="1:36" ht="13.5" hidden="1" customHeight="1">
      <c r="A179" s="3" t="str">
        <f>IF(パンツ!A30="","",パンツ!A30)</f>
        <v/>
      </c>
      <c r="B179" s="68" t="str">
        <f>IF(パンツ!B30="","",パンツ!B30)</f>
        <v/>
      </c>
      <c r="C179" s="3" t="str">
        <f>IF(パンツ!C30="","",パンツ!C30)</f>
        <v>◇ サイズ E</v>
      </c>
      <c r="D179" s="3" t="str">
        <f>IF(パンツ!E30="","",パンツ!E30)</f>
        <v>無</v>
      </c>
      <c r="E179" s="3" t="str">
        <f>IF(パンツ!AA30="","",パンツ!AA30)</f>
        <v>ベースW</v>
      </c>
      <c r="F179" s="3" t="str">
        <f>IF(パンツ!G30="","",パンツ!G30)</f>
        <v/>
      </c>
      <c r="G179" s="3" t="str">
        <f>IF(パンツ!H30="","",パンツ!H30)</f>
        <v/>
      </c>
      <c r="H179" s="3" t="str">
        <f>IF(パンツ!I30="","",パンツ!I30)</f>
        <v/>
      </c>
      <c r="I179" s="3" t="str">
        <f>IF(パンツ!J30="","",パンツ!J30)</f>
        <v>画像参照</v>
      </c>
      <c r="J179" s="3" t="str">
        <f>IF(パンツ!K30="","",パンツ!K30)</f>
        <v/>
      </c>
      <c r="K179" s="3" t="str">
        <f>IF(パンツ!L30="","",パンツ!L30)</f>
        <v>サイズ</v>
      </c>
      <c r="L179" s="69" t="s">
        <v>80</v>
      </c>
      <c r="M179" s="3" t="str">
        <f xml:space="preserve"> パンツ!Z30</f>
        <v>股上：約cm　股下：約cm　ウエスト：約cm　もも幅：約cm　裾幅：約cm</v>
      </c>
      <c r="N179" s="69" t="s">
        <v>20</v>
      </c>
      <c r="O179" s="69" t="s">
        <v>21</v>
      </c>
      <c r="P179" s="4" t="s">
        <v>3036</v>
      </c>
      <c r="Q179" s="4" t="s">
        <v>3038</v>
      </c>
      <c r="R179" s="69" t="s">
        <v>22</v>
      </c>
      <c r="S179" s="69" t="s">
        <v>23</v>
      </c>
      <c r="T179" s="69" t="s">
        <v>22</v>
      </c>
      <c r="U179" s="69" t="s">
        <v>24</v>
      </c>
      <c r="V179" s="69" t="s">
        <v>25</v>
      </c>
      <c r="W179" s="69" t="s">
        <v>26</v>
      </c>
      <c r="X179" s="69" t="s">
        <v>27</v>
      </c>
      <c r="Y179" s="69" t="s">
        <v>28</v>
      </c>
      <c r="Z179" s="69" t="s">
        <v>29</v>
      </c>
      <c r="AA179" s="4"/>
      <c r="AB179" s="4"/>
      <c r="AC179" s="4"/>
      <c r="AD179" s="70"/>
      <c r="AE179" s="70">
        <f>パンツ!AE30</f>
        <v>0</v>
      </c>
      <c r="AF179" s="70" t="str">
        <f>パンツ!R30</f>
        <v>通常</v>
      </c>
      <c r="AG179" s="70">
        <v>0</v>
      </c>
      <c r="AH179" s="6">
        <f xml:space="preserve"> パンツ!AC30</f>
        <v>0</v>
      </c>
      <c r="AI179">
        <v>1</v>
      </c>
      <c r="AJ179">
        <f>パンツ!U30</f>
        <v>0</v>
      </c>
    </row>
    <row r="180" spans="1:36" ht="13.5" hidden="1" customHeight="1">
      <c r="A180" s="3" t="str">
        <f>IF(パンツ!A31="","",パンツ!A31)</f>
        <v/>
      </c>
      <c r="B180" s="68" t="str">
        <f>IF(パンツ!B31="","",パンツ!B31)</f>
        <v/>
      </c>
      <c r="C180" s="3" t="str">
        <f>IF(パンツ!C31="","",パンツ!C31)</f>
        <v>◇ サイズ E</v>
      </c>
      <c r="D180" s="3" t="str">
        <f>IF(パンツ!E31="","",パンツ!E31)</f>
        <v>無</v>
      </c>
      <c r="E180" s="3" t="str">
        <f>IF(パンツ!AA31="","",パンツ!AA31)</f>
        <v>ベースW</v>
      </c>
      <c r="F180" s="3" t="str">
        <f>IF(パンツ!G31="","",パンツ!G31)</f>
        <v/>
      </c>
      <c r="G180" s="3" t="str">
        <f>IF(パンツ!H31="","",パンツ!H31)</f>
        <v/>
      </c>
      <c r="H180" s="3" t="str">
        <f>IF(パンツ!I31="","",パンツ!I31)</f>
        <v/>
      </c>
      <c r="I180" s="3" t="str">
        <f>IF(パンツ!J31="","",パンツ!J31)</f>
        <v>画像参照</v>
      </c>
      <c r="J180" s="3" t="str">
        <f>IF(パンツ!K31="","",パンツ!K31)</f>
        <v/>
      </c>
      <c r="K180" s="3" t="str">
        <f>IF(パンツ!L31="","",パンツ!L31)</f>
        <v>サイズ</v>
      </c>
      <c r="L180" s="69" t="s">
        <v>80</v>
      </c>
      <c r="M180" s="3" t="str">
        <f xml:space="preserve"> パンツ!Z31</f>
        <v>股上：約cm　股下：約cm　ウエスト：約cm　もも幅：約cm　裾幅：約cm</v>
      </c>
      <c r="N180" s="69" t="s">
        <v>20</v>
      </c>
      <c r="O180" s="69" t="s">
        <v>21</v>
      </c>
      <c r="P180" s="4" t="s">
        <v>3036</v>
      </c>
      <c r="Q180" s="4" t="s">
        <v>3038</v>
      </c>
      <c r="R180" s="69" t="s">
        <v>22</v>
      </c>
      <c r="S180" s="69" t="s">
        <v>23</v>
      </c>
      <c r="T180" s="69" t="s">
        <v>22</v>
      </c>
      <c r="U180" s="69" t="s">
        <v>24</v>
      </c>
      <c r="V180" s="69" t="s">
        <v>25</v>
      </c>
      <c r="W180" s="69" t="s">
        <v>26</v>
      </c>
      <c r="X180" s="69" t="s">
        <v>27</v>
      </c>
      <c r="Y180" s="69" t="s">
        <v>28</v>
      </c>
      <c r="Z180" s="69" t="s">
        <v>29</v>
      </c>
      <c r="AA180" s="4"/>
      <c r="AB180" s="4"/>
      <c r="AC180" s="4"/>
      <c r="AD180" s="70"/>
      <c r="AE180" s="70">
        <f>パンツ!AE31</f>
        <v>0</v>
      </c>
      <c r="AF180" s="70" t="str">
        <f>パンツ!R31</f>
        <v>通常</v>
      </c>
      <c r="AG180" s="70">
        <v>0</v>
      </c>
      <c r="AH180" s="6">
        <f xml:space="preserve"> パンツ!AC31</f>
        <v>0</v>
      </c>
      <c r="AI180">
        <v>1</v>
      </c>
      <c r="AJ180">
        <f>パンツ!U31</f>
        <v>0</v>
      </c>
    </row>
    <row r="181" spans="1:36" ht="13.5" hidden="1" customHeight="1">
      <c r="A181" s="3" t="str">
        <f>IF(パンツ!A32="","",パンツ!A32)</f>
        <v/>
      </c>
      <c r="B181" s="68" t="str">
        <f>IF(パンツ!B32="","",パンツ!B32)</f>
        <v/>
      </c>
      <c r="C181" s="3" t="str">
        <f>IF(パンツ!C32="","",パンツ!C32)</f>
        <v>◇ サイズ E</v>
      </c>
      <c r="D181" s="3" t="str">
        <f>IF(パンツ!E32="","",パンツ!E32)</f>
        <v>無</v>
      </c>
      <c r="E181" s="3" t="str">
        <f>IF(パンツ!AA32="","",パンツ!AA32)</f>
        <v>ベースW</v>
      </c>
      <c r="F181" s="3" t="str">
        <f>IF(パンツ!G32="","",パンツ!G32)</f>
        <v/>
      </c>
      <c r="G181" s="3" t="str">
        <f>IF(パンツ!H32="","",パンツ!H32)</f>
        <v/>
      </c>
      <c r="H181" s="3" t="str">
        <f>IF(パンツ!I32="","",パンツ!I32)</f>
        <v/>
      </c>
      <c r="I181" s="3" t="str">
        <f>IF(パンツ!J32="","",パンツ!J32)</f>
        <v>画像参照</v>
      </c>
      <c r="J181" s="3" t="str">
        <f>IF(パンツ!K32="","",パンツ!K32)</f>
        <v/>
      </c>
      <c r="K181" s="3" t="str">
        <f>IF(パンツ!L32="","",パンツ!L32)</f>
        <v>サイズ</v>
      </c>
      <c r="L181" s="69" t="s">
        <v>80</v>
      </c>
      <c r="M181" s="3" t="str">
        <f xml:space="preserve"> パンツ!Z32</f>
        <v>股上：約cm　股下：約cm　ウエスト：約cm　もも幅：約cm　裾幅：約cm</v>
      </c>
      <c r="N181" s="69" t="s">
        <v>20</v>
      </c>
      <c r="O181" s="69" t="s">
        <v>21</v>
      </c>
      <c r="P181" s="4" t="s">
        <v>3036</v>
      </c>
      <c r="Q181" s="4" t="s">
        <v>3038</v>
      </c>
      <c r="R181" s="69" t="s">
        <v>22</v>
      </c>
      <c r="S181" s="69" t="s">
        <v>23</v>
      </c>
      <c r="T181" s="69" t="s">
        <v>22</v>
      </c>
      <c r="U181" s="69" t="s">
        <v>24</v>
      </c>
      <c r="V181" s="69" t="s">
        <v>25</v>
      </c>
      <c r="W181" s="69" t="s">
        <v>26</v>
      </c>
      <c r="X181" s="69" t="s">
        <v>27</v>
      </c>
      <c r="Y181" s="69" t="s">
        <v>28</v>
      </c>
      <c r="Z181" s="69" t="s">
        <v>29</v>
      </c>
      <c r="AA181" s="4"/>
      <c r="AB181" s="4"/>
      <c r="AC181" s="4"/>
      <c r="AD181" s="70"/>
      <c r="AE181" s="70">
        <f>パンツ!AE32</f>
        <v>0</v>
      </c>
      <c r="AF181" s="70" t="str">
        <f>パンツ!R32</f>
        <v>通常</v>
      </c>
      <c r="AG181" s="70">
        <v>0</v>
      </c>
      <c r="AH181" s="6">
        <f xml:space="preserve"> パンツ!AC32</f>
        <v>0</v>
      </c>
      <c r="AI181">
        <v>1</v>
      </c>
      <c r="AJ181">
        <f>パンツ!U32</f>
        <v>0</v>
      </c>
    </row>
    <row r="182" spans="1:36" ht="13.5" hidden="1" customHeight="1">
      <c r="A182" s="3" t="str">
        <f>IF(パンツ!A33="","",パンツ!A33)</f>
        <v/>
      </c>
      <c r="B182" s="68" t="str">
        <f>IF(パンツ!B33="","",パンツ!B33)</f>
        <v/>
      </c>
      <c r="C182" s="3" t="str">
        <f>IF(パンツ!C33="","",パンツ!C33)</f>
        <v>◇ サイズ E</v>
      </c>
      <c r="D182" s="3" t="str">
        <f>IF(パンツ!E33="","",パンツ!E33)</f>
        <v>無</v>
      </c>
      <c r="E182" s="3" t="str">
        <f>IF(パンツ!AA33="","",パンツ!AA33)</f>
        <v>ベースW</v>
      </c>
      <c r="F182" s="3" t="str">
        <f>IF(パンツ!G33="","",パンツ!G33)</f>
        <v/>
      </c>
      <c r="G182" s="3" t="str">
        <f>IF(パンツ!H33="","",パンツ!H33)</f>
        <v/>
      </c>
      <c r="H182" s="3" t="str">
        <f>IF(パンツ!I33="","",パンツ!I33)</f>
        <v/>
      </c>
      <c r="I182" s="3" t="str">
        <f>IF(パンツ!J33="","",パンツ!J33)</f>
        <v>画像参照</v>
      </c>
      <c r="J182" s="3" t="str">
        <f>IF(パンツ!K33="","",パンツ!K33)</f>
        <v/>
      </c>
      <c r="K182" s="3" t="str">
        <f>IF(パンツ!L33="","",パンツ!L33)</f>
        <v>サイズ</v>
      </c>
      <c r="L182" s="69" t="s">
        <v>80</v>
      </c>
      <c r="M182" s="3" t="str">
        <f xml:space="preserve"> パンツ!Z33</f>
        <v>股上：約cm　股下：約cm　ウエスト：約cm　もも幅：約cm　裾幅：約cm</v>
      </c>
      <c r="N182" s="69" t="s">
        <v>20</v>
      </c>
      <c r="O182" s="69" t="s">
        <v>21</v>
      </c>
      <c r="P182" s="4" t="s">
        <v>3036</v>
      </c>
      <c r="Q182" s="4" t="s">
        <v>3038</v>
      </c>
      <c r="R182" s="69" t="s">
        <v>22</v>
      </c>
      <c r="S182" s="69" t="s">
        <v>23</v>
      </c>
      <c r="T182" s="69" t="s">
        <v>22</v>
      </c>
      <c r="U182" s="69" t="s">
        <v>24</v>
      </c>
      <c r="V182" s="69" t="s">
        <v>25</v>
      </c>
      <c r="W182" s="69" t="s">
        <v>26</v>
      </c>
      <c r="X182" s="69" t="s">
        <v>27</v>
      </c>
      <c r="Y182" s="69" t="s">
        <v>28</v>
      </c>
      <c r="Z182" s="69" t="s">
        <v>29</v>
      </c>
      <c r="AA182" s="4"/>
      <c r="AB182" s="4"/>
      <c r="AC182" s="4"/>
      <c r="AD182" s="70"/>
      <c r="AE182" s="70">
        <f>パンツ!AE33</f>
        <v>0</v>
      </c>
      <c r="AF182" s="70" t="str">
        <f>パンツ!R33</f>
        <v>通常</v>
      </c>
      <c r="AG182" s="70">
        <v>0</v>
      </c>
      <c r="AH182" s="6">
        <f xml:space="preserve"> パンツ!AC33</f>
        <v>0</v>
      </c>
      <c r="AI182">
        <v>1</v>
      </c>
      <c r="AJ182">
        <f>パンツ!U33</f>
        <v>0</v>
      </c>
    </row>
    <row r="183" spans="1:36" ht="13.5" hidden="1" customHeight="1">
      <c r="A183" s="3" t="str">
        <f>IF(パンツ!A34="","",パンツ!A34)</f>
        <v/>
      </c>
      <c r="B183" s="68" t="str">
        <f>IF(パンツ!B34="","",パンツ!B34)</f>
        <v/>
      </c>
      <c r="C183" s="3" t="str">
        <f>IF(パンツ!C34="","",パンツ!C34)</f>
        <v>◇ サイズ E</v>
      </c>
      <c r="D183" s="3" t="str">
        <f>IF(パンツ!E34="","",パンツ!E34)</f>
        <v>無</v>
      </c>
      <c r="E183" s="3" t="str">
        <f>IF(パンツ!AA34="","",パンツ!AA34)</f>
        <v>ベースW</v>
      </c>
      <c r="F183" s="3" t="str">
        <f>IF(パンツ!G34="","",パンツ!G34)</f>
        <v/>
      </c>
      <c r="G183" s="3" t="str">
        <f>IF(パンツ!H34="","",パンツ!H34)</f>
        <v/>
      </c>
      <c r="H183" s="3" t="str">
        <f>IF(パンツ!I34="","",パンツ!I34)</f>
        <v/>
      </c>
      <c r="I183" s="3" t="str">
        <f>IF(パンツ!J34="","",パンツ!J34)</f>
        <v>画像参照</v>
      </c>
      <c r="J183" s="3" t="str">
        <f>IF(パンツ!K34="","",パンツ!K34)</f>
        <v/>
      </c>
      <c r="K183" s="3" t="str">
        <f>IF(パンツ!L34="","",パンツ!L34)</f>
        <v>サイズ</v>
      </c>
      <c r="L183" s="69" t="s">
        <v>80</v>
      </c>
      <c r="M183" s="3" t="str">
        <f xml:space="preserve"> パンツ!Z34</f>
        <v>股上：約cm　股下：約cm　ウエスト：約cm　もも幅：約cm　裾幅：約cm</v>
      </c>
      <c r="N183" s="69" t="s">
        <v>20</v>
      </c>
      <c r="O183" s="69" t="s">
        <v>21</v>
      </c>
      <c r="P183" s="4" t="s">
        <v>3036</v>
      </c>
      <c r="Q183" s="4" t="s">
        <v>3038</v>
      </c>
      <c r="R183" s="69" t="s">
        <v>22</v>
      </c>
      <c r="S183" s="69" t="s">
        <v>23</v>
      </c>
      <c r="T183" s="69" t="s">
        <v>22</v>
      </c>
      <c r="U183" s="69" t="s">
        <v>24</v>
      </c>
      <c r="V183" s="69" t="s">
        <v>25</v>
      </c>
      <c r="W183" s="69" t="s">
        <v>26</v>
      </c>
      <c r="X183" s="69" t="s">
        <v>27</v>
      </c>
      <c r="Y183" s="69" t="s">
        <v>28</v>
      </c>
      <c r="Z183" s="69" t="s">
        <v>29</v>
      </c>
      <c r="AA183" s="4"/>
      <c r="AB183" s="4"/>
      <c r="AC183" s="4"/>
      <c r="AD183" s="70"/>
      <c r="AE183" s="70">
        <f>パンツ!AE34</f>
        <v>0</v>
      </c>
      <c r="AF183" s="70" t="str">
        <f>パンツ!R34</f>
        <v>通常</v>
      </c>
      <c r="AG183" s="70">
        <v>0</v>
      </c>
      <c r="AH183" s="6">
        <f xml:space="preserve"> パンツ!AC34</f>
        <v>0</v>
      </c>
      <c r="AI183">
        <v>1</v>
      </c>
      <c r="AJ183">
        <f>パンツ!U34</f>
        <v>0</v>
      </c>
    </row>
    <row r="184" spans="1:36" ht="13.5" hidden="1" customHeight="1">
      <c r="A184" s="3" t="str">
        <f>IF(パンツ!A35="","",パンツ!A35)</f>
        <v/>
      </c>
      <c r="B184" s="68" t="str">
        <f>IF(パンツ!B35="","",パンツ!B35)</f>
        <v/>
      </c>
      <c r="C184" s="3" t="str">
        <f>IF(パンツ!C35="","",パンツ!C35)</f>
        <v>◇ サイズ E</v>
      </c>
      <c r="D184" s="3" t="str">
        <f>IF(パンツ!E35="","",パンツ!E35)</f>
        <v>無</v>
      </c>
      <c r="E184" s="3" t="str">
        <f>IF(パンツ!AA35="","",パンツ!AA35)</f>
        <v>ベースW</v>
      </c>
      <c r="F184" s="3" t="str">
        <f>IF(パンツ!G35="","",パンツ!G35)</f>
        <v/>
      </c>
      <c r="G184" s="3" t="str">
        <f>IF(パンツ!H35="","",パンツ!H35)</f>
        <v/>
      </c>
      <c r="H184" s="3" t="str">
        <f>IF(パンツ!I35="","",パンツ!I35)</f>
        <v/>
      </c>
      <c r="I184" s="3" t="str">
        <f>IF(パンツ!J35="","",パンツ!J35)</f>
        <v>画像参照</v>
      </c>
      <c r="J184" s="3" t="str">
        <f>IF(パンツ!K35="","",パンツ!K35)</f>
        <v/>
      </c>
      <c r="K184" s="3" t="str">
        <f>IF(パンツ!L35="","",パンツ!L35)</f>
        <v>サイズ</v>
      </c>
      <c r="L184" s="69" t="s">
        <v>80</v>
      </c>
      <c r="M184" s="3" t="str">
        <f xml:space="preserve"> パンツ!Z35</f>
        <v>股上：約cm　股下：約cm　ウエスト：約cm　もも幅：約cm　裾幅：約cm</v>
      </c>
      <c r="N184" s="69" t="s">
        <v>20</v>
      </c>
      <c r="O184" s="69" t="s">
        <v>21</v>
      </c>
      <c r="P184" s="4" t="s">
        <v>3036</v>
      </c>
      <c r="Q184" s="4" t="s">
        <v>3038</v>
      </c>
      <c r="R184" s="69" t="s">
        <v>22</v>
      </c>
      <c r="S184" s="69" t="s">
        <v>23</v>
      </c>
      <c r="T184" s="69" t="s">
        <v>22</v>
      </c>
      <c r="U184" s="69" t="s">
        <v>24</v>
      </c>
      <c r="V184" s="69" t="s">
        <v>25</v>
      </c>
      <c r="W184" s="69" t="s">
        <v>26</v>
      </c>
      <c r="X184" s="69" t="s">
        <v>27</v>
      </c>
      <c r="Y184" s="69" t="s">
        <v>28</v>
      </c>
      <c r="Z184" s="69" t="s">
        <v>29</v>
      </c>
      <c r="AA184" s="4"/>
      <c r="AB184" s="4"/>
      <c r="AC184" s="4"/>
      <c r="AD184" s="70"/>
      <c r="AE184" s="70">
        <f>パンツ!AE35</f>
        <v>0</v>
      </c>
      <c r="AF184" s="70" t="str">
        <f>パンツ!R35</f>
        <v>通常</v>
      </c>
      <c r="AG184" s="70">
        <v>0</v>
      </c>
      <c r="AH184" s="6">
        <f xml:space="preserve"> パンツ!AC35</f>
        <v>0</v>
      </c>
      <c r="AI184">
        <v>1</v>
      </c>
      <c r="AJ184">
        <f>パンツ!U35</f>
        <v>0</v>
      </c>
    </row>
    <row r="185" spans="1:36" ht="13.5" hidden="1" customHeight="1">
      <c r="A185" s="3" t="str">
        <f>IF(パンツ!A36="","",パンツ!A36)</f>
        <v/>
      </c>
      <c r="B185" s="68" t="str">
        <f>IF(パンツ!B36="","",パンツ!B36)</f>
        <v/>
      </c>
      <c r="C185" s="3" t="str">
        <f>IF(パンツ!C36="","",パンツ!C36)</f>
        <v>◇ サイズ E</v>
      </c>
      <c r="D185" s="3" t="str">
        <f>IF(パンツ!E36="","",パンツ!E36)</f>
        <v>無</v>
      </c>
      <c r="E185" s="3" t="str">
        <f>IF(パンツ!AA36="","",パンツ!AA36)</f>
        <v>ベースW</v>
      </c>
      <c r="F185" s="3" t="str">
        <f>IF(パンツ!G36="","",パンツ!G36)</f>
        <v/>
      </c>
      <c r="G185" s="3" t="str">
        <f>IF(パンツ!H36="","",パンツ!H36)</f>
        <v/>
      </c>
      <c r="H185" s="3" t="str">
        <f>IF(パンツ!I36="","",パンツ!I36)</f>
        <v/>
      </c>
      <c r="I185" s="3" t="str">
        <f>IF(パンツ!J36="","",パンツ!J36)</f>
        <v>画像参照</v>
      </c>
      <c r="J185" s="3" t="str">
        <f>IF(パンツ!K36="","",パンツ!K36)</f>
        <v/>
      </c>
      <c r="K185" s="3" t="str">
        <f>IF(パンツ!L36="","",パンツ!L36)</f>
        <v>サイズ</v>
      </c>
      <c r="L185" s="69" t="s">
        <v>80</v>
      </c>
      <c r="M185" s="3" t="str">
        <f xml:space="preserve"> パンツ!Z36</f>
        <v>股上：約cm　股下：約cm　ウエスト：約cm　もも幅：約cm　裾幅：約cm</v>
      </c>
      <c r="N185" s="69" t="s">
        <v>20</v>
      </c>
      <c r="O185" s="69" t="s">
        <v>21</v>
      </c>
      <c r="P185" s="4" t="s">
        <v>3036</v>
      </c>
      <c r="Q185" s="4" t="s">
        <v>3038</v>
      </c>
      <c r="R185" s="69" t="s">
        <v>22</v>
      </c>
      <c r="S185" s="69" t="s">
        <v>23</v>
      </c>
      <c r="T185" s="69" t="s">
        <v>22</v>
      </c>
      <c r="U185" s="69" t="s">
        <v>24</v>
      </c>
      <c r="V185" s="69" t="s">
        <v>25</v>
      </c>
      <c r="W185" s="69" t="s">
        <v>26</v>
      </c>
      <c r="X185" s="69" t="s">
        <v>27</v>
      </c>
      <c r="Y185" s="69" t="s">
        <v>28</v>
      </c>
      <c r="Z185" s="69" t="s">
        <v>29</v>
      </c>
      <c r="AA185" s="4"/>
      <c r="AB185" s="4"/>
      <c r="AC185" s="4"/>
      <c r="AD185" s="70"/>
      <c r="AE185" s="70">
        <f>パンツ!AE36</f>
        <v>0</v>
      </c>
      <c r="AF185" s="70" t="str">
        <f>パンツ!R36</f>
        <v>通常</v>
      </c>
      <c r="AG185" s="70">
        <v>0</v>
      </c>
      <c r="AH185" s="6">
        <f xml:space="preserve"> パンツ!AC36</f>
        <v>0</v>
      </c>
      <c r="AI185">
        <v>1</v>
      </c>
      <c r="AJ185">
        <f>パンツ!U36</f>
        <v>0</v>
      </c>
    </row>
    <row r="186" spans="1:36" ht="13.5" hidden="1" customHeight="1">
      <c r="A186" s="3" t="str">
        <f>IF(パンツ!A37="","",パンツ!A37)</f>
        <v/>
      </c>
      <c r="B186" s="68" t="str">
        <f>IF(パンツ!B37="","",パンツ!B37)</f>
        <v/>
      </c>
      <c r="C186" s="3" t="str">
        <f>IF(パンツ!C37="","",パンツ!C37)</f>
        <v>◇ サイズ E</v>
      </c>
      <c r="D186" s="3" t="str">
        <f>IF(パンツ!E37="","",パンツ!E37)</f>
        <v>無</v>
      </c>
      <c r="E186" s="3" t="str">
        <f>IF(パンツ!AA37="","",パンツ!AA37)</f>
        <v>ベースW</v>
      </c>
      <c r="F186" s="3" t="str">
        <f>IF(パンツ!G37="","",パンツ!G37)</f>
        <v/>
      </c>
      <c r="G186" s="3" t="str">
        <f>IF(パンツ!H37="","",パンツ!H37)</f>
        <v/>
      </c>
      <c r="H186" s="3" t="str">
        <f>IF(パンツ!I37="","",パンツ!I37)</f>
        <v/>
      </c>
      <c r="I186" s="3" t="str">
        <f>IF(パンツ!J37="","",パンツ!J37)</f>
        <v>画像参照</v>
      </c>
      <c r="J186" s="3" t="str">
        <f>IF(パンツ!K37="","",パンツ!K37)</f>
        <v/>
      </c>
      <c r="K186" s="3" t="str">
        <f>IF(パンツ!L37="","",パンツ!L37)</f>
        <v>サイズ</v>
      </c>
      <c r="L186" s="69" t="s">
        <v>80</v>
      </c>
      <c r="M186" s="3" t="str">
        <f xml:space="preserve"> パンツ!Z37</f>
        <v>股上：約cm　股下：約cm　ウエスト：約cm　もも幅：約cm　裾幅：約cm</v>
      </c>
      <c r="N186" s="69" t="s">
        <v>20</v>
      </c>
      <c r="O186" s="69" t="s">
        <v>21</v>
      </c>
      <c r="P186" s="4" t="s">
        <v>3036</v>
      </c>
      <c r="Q186" s="4" t="s">
        <v>3038</v>
      </c>
      <c r="R186" s="69" t="s">
        <v>22</v>
      </c>
      <c r="S186" s="69" t="s">
        <v>23</v>
      </c>
      <c r="T186" s="69" t="s">
        <v>22</v>
      </c>
      <c r="U186" s="69" t="s">
        <v>24</v>
      </c>
      <c r="V186" s="69" t="s">
        <v>25</v>
      </c>
      <c r="W186" s="69" t="s">
        <v>26</v>
      </c>
      <c r="X186" s="69" t="s">
        <v>27</v>
      </c>
      <c r="Y186" s="69" t="s">
        <v>28</v>
      </c>
      <c r="Z186" s="69" t="s">
        <v>29</v>
      </c>
      <c r="AA186" s="4"/>
      <c r="AB186" s="4"/>
      <c r="AC186" s="4"/>
      <c r="AD186" s="70"/>
      <c r="AE186" s="70">
        <f>パンツ!AE37</f>
        <v>0</v>
      </c>
      <c r="AF186" s="70" t="str">
        <f>パンツ!R37</f>
        <v>通常</v>
      </c>
      <c r="AG186" s="70">
        <v>0</v>
      </c>
      <c r="AH186" s="6">
        <f xml:space="preserve"> パンツ!AC37</f>
        <v>0</v>
      </c>
      <c r="AI186">
        <v>1</v>
      </c>
      <c r="AJ186">
        <f>パンツ!U37</f>
        <v>0</v>
      </c>
    </row>
    <row r="187" spans="1:36" ht="13.5" hidden="1" customHeight="1">
      <c r="A187" s="3" t="str">
        <f>IF(パンツ!A38="","",パンツ!A38)</f>
        <v/>
      </c>
      <c r="B187" s="68" t="str">
        <f>IF(パンツ!B38="","",パンツ!B38)</f>
        <v/>
      </c>
      <c r="C187" s="3" t="str">
        <f>IF(パンツ!C38="","",パンツ!C38)</f>
        <v>◇ サイズ E</v>
      </c>
      <c r="D187" s="3" t="str">
        <f>IF(パンツ!E38="","",パンツ!E38)</f>
        <v>無</v>
      </c>
      <c r="E187" s="3" t="str">
        <f>IF(パンツ!AA38="","",パンツ!AA38)</f>
        <v>ベースW</v>
      </c>
      <c r="F187" s="3" t="str">
        <f>IF(パンツ!G38="","",パンツ!G38)</f>
        <v/>
      </c>
      <c r="G187" s="3" t="str">
        <f>IF(パンツ!H38="","",パンツ!H38)</f>
        <v/>
      </c>
      <c r="H187" s="3" t="str">
        <f>IF(パンツ!I38="","",パンツ!I38)</f>
        <v/>
      </c>
      <c r="I187" s="3" t="str">
        <f>IF(パンツ!J38="","",パンツ!J38)</f>
        <v>画像参照</v>
      </c>
      <c r="J187" s="3" t="str">
        <f>IF(パンツ!K38="","",パンツ!K38)</f>
        <v/>
      </c>
      <c r="K187" s="3" t="str">
        <f>IF(パンツ!L38="","",パンツ!L38)</f>
        <v>サイズ</v>
      </c>
      <c r="L187" s="69" t="s">
        <v>80</v>
      </c>
      <c r="M187" s="3" t="str">
        <f xml:space="preserve"> パンツ!Z38</f>
        <v>股上：約cm　股下：約cm　ウエスト：約cm　もも幅：約cm　裾幅：約cm</v>
      </c>
      <c r="N187" s="69" t="s">
        <v>20</v>
      </c>
      <c r="O187" s="69" t="s">
        <v>21</v>
      </c>
      <c r="P187" s="4" t="s">
        <v>3036</v>
      </c>
      <c r="Q187" s="4" t="s">
        <v>3038</v>
      </c>
      <c r="R187" s="69" t="s">
        <v>22</v>
      </c>
      <c r="S187" s="69" t="s">
        <v>23</v>
      </c>
      <c r="T187" s="69" t="s">
        <v>22</v>
      </c>
      <c r="U187" s="69" t="s">
        <v>24</v>
      </c>
      <c r="V187" s="69" t="s">
        <v>25</v>
      </c>
      <c r="W187" s="69" t="s">
        <v>26</v>
      </c>
      <c r="X187" s="69" t="s">
        <v>27</v>
      </c>
      <c r="Y187" s="69" t="s">
        <v>28</v>
      </c>
      <c r="Z187" s="69" t="s">
        <v>29</v>
      </c>
      <c r="AA187" s="4"/>
      <c r="AB187" s="4"/>
      <c r="AC187" s="4"/>
      <c r="AD187" s="70"/>
      <c r="AE187" s="70">
        <f>パンツ!AE38</f>
        <v>0</v>
      </c>
      <c r="AF187" s="70" t="str">
        <f>パンツ!R38</f>
        <v>通常</v>
      </c>
      <c r="AG187" s="70">
        <v>0</v>
      </c>
      <c r="AH187" s="6">
        <f xml:space="preserve"> パンツ!AC38</f>
        <v>0</v>
      </c>
      <c r="AI187">
        <v>1</v>
      </c>
      <c r="AJ187">
        <f>パンツ!U38</f>
        <v>0</v>
      </c>
    </row>
    <row r="188" spans="1:36" ht="13.5" hidden="1" customHeight="1">
      <c r="A188" s="3" t="str">
        <f>IF(パンツ!A39="","",パンツ!A39)</f>
        <v/>
      </c>
      <c r="B188" s="68" t="str">
        <f>IF(パンツ!B39="","",パンツ!B39)</f>
        <v/>
      </c>
      <c r="C188" s="3" t="str">
        <f>IF(パンツ!C39="","",パンツ!C39)</f>
        <v>◇ サイズ E</v>
      </c>
      <c r="D188" s="3" t="str">
        <f>IF(パンツ!E39="","",パンツ!E39)</f>
        <v>無</v>
      </c>
      <c r="E188" s="3" t="str">
        <f>IF(パンツ!AA39="","",パンツ!AA39)</f>
        <v>ベースW</v>
      </c>
      <c r="F188" s="3" t="str">
        <f>IF(パンツ!G39="","",パンツ!G39)</f>
        <v/>
      </c>
      <c r="G188" s="3" t="str">
        <f>IF(パンツ!H39="","",パンツ!H39)</f>
        <v/>
      </c>
      <c r="H188" s="3" t="str">
        <f>IF(パンツ!I39="","",パンツ!I39)</f>
        <v/>
      </c>
      <c r="I188" s="3" t="str">
        <f>IF(パンツ!J39="","",パンツ!J39)</f>
        <v>画像参照</v>
      </c>
      <c r="J188" s="3" t="str">
        <f>IF(パンツ!K39="","",パンツ!K39)</f>
        <v/>
      </c>
      <c r="K188" s="3" t="str">
        <f>IF(パンツ!L39="","",パンツ!L39)</f>
        <v>サイズ</v>
      </c>
      <c r="L188" s="69" t="s">
        <v>80</v>
      </c>
      <c r="M188" s="3" t="str">
        <f xml:space="preserve"> パンツ!Z39</f>
        <v>股上：約cm　股下：約cm　ウエスト：約cm　もも幅：約cm　裾幅：約cm</v>
      </c>
      <c r="N188" s="69" t="s">
        <v>20</v>
      </c>
      <c r="O188" s="69" t="s">
        <v>21</v>
      </c>
      <c r="P188" s="4" t="s">
        <v>3036</v>
      </c>
      <c r="Q188" s="4" t="s">
        <v>3038</v>
      </c>
      <c r="R188" s="69" t="s">
        <v>22</v>
      </c>
      <c r="S188" s="69" t="s">
        <v>23</v>
      </c>
      <c r="T188" s="69" t="s">
        <v>22</v>
      </c>
      <c r="U188" s="69" t="s">
        <v>24</v>
      </c>
      <c r="V188" s="69" t="s">
        <v>25</v>
      </c>
      <c r="W188" s="69" t="s">
        <v>26</v>
      </c>
      <c r="X188" s="69" t="s">
        <v>27</v>
      </c>
      <c r="Y188" s="69" t="s">
        <v>28</v>
      </c>
      <c r="Z188" s="69" t="s">
        <v>29</v>
      </c>
      <c r="AA188" s="4"/>
      <c r="AB188" s="4"/>
      <c r="AC188" s="4"/>
      <c r="AD188" s="70"/>
      <c r="AE188" s="70">
        <f>パンツ!AE39</f>
        <v>0</v>
      </c>
      <c r="AF188" s="70" t="str">
        <f>パンツ!R39</f>
        <v>通常</v>
      </c>
      <c r="AG188" s="70">
        <v>0</v>
      </c>
      <c r="AH188" s="6">
        <f xml:space="preserve"> パンツ!AC39</f>
        <v>0</v>
      </c>
      <c r="AI188">
        <v>1</v>
      </c>
      <c r="AJ188">
        <f>パンツ!U39</f>
        <v>0</v>
      </c>
    </row>
    <row r="189" spans="1:36" ht="13.5" hidden="1" customHeight="1">
      <c r="A189" s="3" t="str">
        <f>IF(パンツ!A40="","",パンツ!A40)</f>
        <v/>
      </c>
      <c r="B189" s="68" t="str">
        <f>IF(パンツ!B40="","",パンツ!B40)</f>
        <v/>
      </c>
      <c r="C189" s="3" t="str">
        <f>IF(パンツ!C40="","",パンツ!C40)</f>
        <v>◇ サイズ E</v>
      </c>
      <c r="D189" s="3" t="str">
        <f>IF(パンツ!E40="","",パンツ!E40)</f>
        <v>無</v>
      </c>
      <c r="E189" s="3" t="str">
        <f>IF(パンツ!AA40="","",パンツ!AA40)</f>
        <v>ベースW</v>
      </c>
      <c r="F189" s="3" t="str">
        <f>IF(パンツ!G40="","",パンツ!G40)</f>
        <v/>
      </c>
      <c r="G189" s="3" t="str">
        <f>IF(パンツ!H40="","",パンツ!H40)</f>
        <v/>
      </c>
      <c r="H189" s="3" t="str">
        <f>IF(パンツ!I40="","",パンツ!I40)</f>
        <v/>
      </c>
      <c r="I189" s="3" t="str">
        <f>IF(パンツ!J40="","",パンツ!J40)</f>
        <v>画像参照</v>
      </c>
      <c r="J189" s="3" t="str">
        <f>IF(パンツ!K40="","",パンツ!K40)</f>
        <v/>
      </c>
      <c r="K189" s="3" t="str">
        <f>IF(パンツ!L40="","",パンツ!L40)</f>
        <v>サイズ</v>
      </c>
      <c r="L189" s="69" t="s">
        <v>80</v>
      </c>
      <c r="M189" s="3" t="str">
        <f xml:space="preserve"> パンツ!Z40</f>
        <v>股上：約cm　股下：約cm　ウエスト：約cm　もも幅：約cm　裾幅：約cm</v>
      </c>
      <c r="N189" s="69" t="s">
        <v>20</v>
      </c>
      <c r="O189" s="69" t="s">
        <v>21</v>
      </c>
      <c r="P189" s="4" t="s">
        <v>3036</v>
      </c>
      <c r="Q189" s="4" t="s">
        <v>3038</v>
      </c>
      <c r="R189" s="69" t="s">
        <v>22</v>
      </c>
      <c r="S189" s="69" t="s">
        <v>23</v>
      </c>
      <c r="T189" s="69" t="s">
        <v>22</v>
      </c>
      <c r="U189" s="69" t="s">
        <v>24</v>
      </c>
      <c r="V189" s="69" t="s">
        <v>25</v>
      </c>
      <c r="W189" s="69" t="s">
        <v>26</v>
      </c>
      <c r="X189" s="69" t="s">
        <v>27</v>
      </c>
      <c r="Y189" s="69" t="s">
        <v>28</v>
      </c>
      <c r="Z189" s="69" t="s">
        <v>29</v>
      </c>
      <c r="AA189" s="4"/>
      <c r="AB189" s="4"/>
      <c r="AC189" s="4"/>
      <c r="AD189" s="70"/>
      <c r="AE189" s="70">
        <f>パンツ!AE40</f>
        <v>0</v>
      </c>
      <c r="AF189" s="70" t="str">
        <f>パンツ!R40</f>
        <v>通常</v>
      </c>
      <c r="AG189" s="70">
        <v>0</v>
      </c>
      <c r="AH189" s="6">
        <f xml:space="preserve"> パンツ!AC40</f>
        <v>0</v>
      </c>
      <c r="AI189">
        <v>1</v>
      </c>
      <c r="AJ189">
        <f>パンツ!U40</f>
        <v>0</v>
      </c>
    </row>
    <row r="190" spans="1:36" ht="13.5" hidden="1" customHeight="1">
      <c r="A190" s="3" t="str">
        <f>IF(パンツ!A41="","",パンツ!A41)</f>
        <v/>
      </c>
      <c r="B190" s="68" t="str">
        <f>IF(パンツ!B41="","",パンツ!B41)</f>
        <v/>
      </c>
      <c r="C190" s="3" t="str">
        <f>IF(パンツ!C41="","",パンツ!C41)</f>
        <v>◇ サイズ E</v>
      </c>
      <c r="D190" s="3" t="str">
        <f>IF(パンツ!E41="","",パンツ!E41)</f>
        <v>無</v>
      </c>
      <c r="E190" s="3" t="str">
        <f>IF(パンツ!AA41="","",パンツ!AA41)</f>
        <v>ベースW</v>
      </c>
      <c r="F190" s="3" t="str">
        <f>IF(パンツ!G41="","",パンツ!G41)</f>
        <v/>
      </c>
      <c r="G190" s="3" t="str">
        <f>IF(パンツ!H41="","",パンツ!H41)</f>
        <v/>
      </c>
      <c r="H190" s="3" t="str">
        <f>IF(パンツ!I41="","",パンツ!I41)</f>
        <v/>
      </c>
      <c r="I190" s="3" t="str">
        <f>IF(パンツ!J41="","",パンツ!J41)</f>
        <v>画像参照</v>
      </c>
      <c r="J190" s="3" t="str">
        <f>IF(パンツ!K41="","",パンツ!K41)</f>
        <v/>
      </c>
      <c r="K190" s="3" t="str">
        <f>IF(パンツ!L41="","",パンツ!L41)</f>
        <v>サイズ</v>
      </c>
      <c r="L190" s="69" t="s">
        <v>80</v>
      </c>
      <c r="M190" s="3" t="str">
        <f xml:space="preserve"> パンツ!Z41</f>
        <v>股上：約cm　股下：約cm　ウエスト：約cm　もも幅：約cm　裾幅：約cm</v>
      </c>
      <c r="N190" s="69" t="s">
        <v>20</v>
      </c>
      <c r="O190" s="69" t="s">
        <v>21</v>
      </c>
      <c r="P190" s="4" t="s">
        <v>3036</v>
      </c>
      <c r="Q190" s="4" t="s">
        <v>3038</v>
      </c>
      <c r="R190" s="69" t="s">
        <v>22</v>
      </c>
      <c r="S190" s="69" t="s">
        <v>23</v>
      </c>
      <c r="T190" s="69" t="s">
        <v>22</v>
      </c>
      <c r="U190" s="69" t="s">
        <v>24</v>
      </c>
      <c r="V190" s="69" t="s">
        <v>25</v>
      </c>
      <c r="W190" s="69" t="s">
        <v>26</v>
      </c>
      <c r="X190" s="69" t="s">
        <v>27</v>
      </c>
      <c r="Y190" s="69" t="s">
        <v>28</v>
      </c>
      <c r="Z190" s="69" t="s">
        <v>29</v>
      </c>
      <c r="AA190" s="4"/>
      <c r="AB190" s="4"/>
      <c r="AC190" s="4"/>
      <c r="AD190" s="70"/>
      <c r="AE190" s="70">
        <f>パンツ!AE41</f>
        <v>0</v>
      </c>
      <c r="AF190" s="70" t="str">
        <f>パンツ!R41</f>
        <v>通常</v>
      </c>
      <c r="AG190" s="70">
        <v>0</v>
      </c>
      <c r="AH190" s="6">
        <f xml:space="preserve"> パンツ!AC41</f>
        <v>0</v>
      </c>
      <c r="AI190">
        <v>1</v>
      </c>
      <c r="AJ190">
        <f>パンツ!U41</f>
        <v>0</v>
      </c>
    </row>
    <row r="191" spans="1:36" ht="13.5" hidden="1" customHeight="1">
      <c r="A191" s="3" t="str">
        <f>IF(パンツ!A42="","",パンツ!A42)</f>
        <v/>
      </c>
      <c r="B191" s="68" t="str">
        <f>IF(パンツ!B42="","",パンツ!B42)</f>
        <v/>
      </c>
      <c r="C191" s="3" t="str">
        <f>IF(パンツ!C42="","",パンツ!C42)</f>
        <v>◇ サイズ E</v>
      </c>
      <c r="D191" s="3" t="str">
        <f>IF(パンツ!E42="","",パンツ!E42)</f>
        <v>無</v>
      </c>
      <c r="E191" s="3" t="str">
        <f>IF(パンツ!AA42="","",パンツ!AA42)</f>
        <v>ベースW</v>
      </c>
      <c r="F191" s="3" t="str">
        <f>IF(パンツ!G42="","",パンツ!G42)</f>
        <v/>
      </c>
      <c r="G191" s="3" t="str">
        <f>IF(パンツ!H42="","",パンツ!H42)</f>
        <v/>
      </c>
      <c r="H191" s="3" t="str">
        <f>IF(パンツ!I42="","",パンツ!I42)</f>
        <v/>
      </c>
      <c r="I191" s="3" t="str">
        <f>IF(パンツ!J42="","",パンツ!J42)</f>
        <v>画像参照</v>
      </c>
      <c r="J191" s="3" t="str">
        <f>IF(パンツ!K42="","",パンツ!K42)</f>
        <v/>
      </c>
      <c r="K191" s="3" t="str">
        <f>IF(パンツ!L42="","",パンツ!L42)</f>
        <v>サイズ</v>
      </c>
      <c r="L191" s="69" t="s">
        <v>80</v>
      </c>
      <c r="M191" s="3" t="str">
        <f xml:space="preserve"> パンツ!Z42</f>
        <v>股上：約cm　股下：約cm　ウエスト：約cm　もも幅：約cm　裾幅：約cm</v>
      </c>
      <c r="N191" s="69" t="s">
        <v>20</v>
      </c>
      <c r="O191" s="69" t="s">
        <v>21</v>
      </c>
      <c r="P191" s="4" t="s">
        <v>3036</v>
      </c>
      <c r="Q191" s="4" t="s">
        <v>3038</v>
      </c>
      <c r="R191" s="69" t="s">
        <v>22</v>
      </c>
      <c r="S191" s="69" t="s">
        <v>23</v>
      </c>
      <c r="T191" s="69" t="s">
        <v>22</v>
      </c>
      <c r="U191" s="69" t="s">
        <v>24</v>
      </c>
      <c r="V191" s="69" t="s">
        <v>25</v>
      </c>
      <c r="W191" s="69" t="s">
        <v>26</v>
      </c>
      <c r="X191" s="69" t="s">
        <v>27</v>
      </c>
      <c r="Y191" s="69" t="s">
        <v>28</v>
      </c>
      <c r="Z191" s="69" t="s">
        <v>29</v>
      </c>
      <c r="AA191" s="4"/>
      <c r="AB191" s="4"/>
      <c r="AC191" s="4"/>
      <c r="AD191" s="70"/>
      <c r="AE191" s="70">
        <f>パンツ!AE42</f>
        <v>0</v>
      </c>
      <c r="AF191" s="70" t="str">
        <f>パンツ!R42</f>
        <v>通常</v>
      </c>
      <c r="AG191" s="70">
        <v>0</v>
      </c>
      <c r="AH191" s="6">
        <f xml:space="preserve"> パンツ!AC42</f>
        <v>0</v>
      </c>
      <c r="AI191">
        <v>1</v>
      </c>
      <c r="AJ191">
        <f>パンツ!U42</f>
        <v>0</v>
      </c>
    </row>
    <row r="192" spans="1:36" ht="13.5" hidden="1" customHeight="1">
      <c r="A192" s="3" t="str">
        <f>IF(パンツ!A43="","",パンツ!A43)</f>
        <v/>
      </c>
      <c r="B192" s="68" t="str">
        <f>IF(パンツ!B43="","",パンツ!B43)</f>
        <v/>
      </c>
      <c r="C192" s="3" t="str">
        <f>IF(パンツ!C43="","",パンツ!C43)</f>
        <v>◇ サイズ E</v>
      </c>
      <c r="D192" s="3" t="str">
        <f>IF(パンツ!E43="","",パンツ!E43)</f>
        <v>無</v>
      </c>
      <c r="E192" s="3" t="str">
        <f>IF(パンツ!AA43="","",パンツ!AA43)</f>
        <v>ベースW</v>
      </c>
      <c r="F192" s="3" t="str">
        <f>IF(パンツ!G43="","",パンツ!G43)</f>
        <v/>
      </c>
      <c r="G192" s="3" t="str">
        <f>IF(パンツ!H43="","",パンツ!H43)</f>
        <v/>
      </c>
      <c r="H192" s="3" t="str">
        <f>IF(パンツ!I43="","",パンツ!I43)</f>
        <v/>
      </c>
      <c r="I192" s="3" t="str">
        <f>IF(パンツ!J43="","",パンツ!J43)</f>
        <v>画像参照</v>
      </c>
      <c r="J192" s="3" t="str">
        <f>IF(パンツ!K43="","",パンツ!K43)</f>
        <v/>
      </c>
      <c r="K192" s="3" t="str">
        <f>IF(パンツ!L43="","",パンツ!L43)</f>
        <v>サイズ</v>
      </c>
      <c r="L192" s="69" t="s">
        <v>80</v>
      </c>
      <c r="M192" s="3" t="str">
        <f xml:space="preserve"> パンツ!Z43</f>
        <v>股上：約cm　股下：約cm　ウエスト：約cm　もも幅：約cm　裾幅：約cm</v>
      </c>
      <c r="N192" s="69" t="s">
        <v>20</v>
      </c>
      <c r="O192" s="69" t="s">
        <v>21</v>
      </c>
      <c r="P192" s="4" t="s">
        <v>3036</v>
      </c>
      <c r="Q192" s="4" t="s">
        <v>3038</v>
      </c>
      <c r="R192" s="69" t="s">
        <v>22</v>
      </c>
      <c r="S192" s="69" t="s">
        <v>23</v>
      </c>
      <c r="T192" s="69" t="s">
        <v>22</v>
      </c>
      <c r="U192" s="69" t="s">
        <v>24</v>
      </c>
      <c r="V192" s="69" t="s">
        <v>25</v>
      </c>
      <c r="W192" s="69" t="s">
        <v>26</v>
      </c>
      <c r="X192" s="69" t="s">
        <v>27</v>
      </c>
      <c r="Y192" s="69" t="s">
        <v>28</v>
      </c>
      <c r="Z192" s="69" t="s">
        <v>29</v>
      </c>
      <c r="AA192" s="4"/>
      <c r="AB192" s="4"/>
      <c r="AC192" s="4"/>
      <c r="AD192" s="70"/>
      <c r="AE192" s="70">
        <f>パンツ!AE43</f>
        <v>0</v>
      </c>
      <c r="AF192" s="70" t="str">
        <f>パンツ!R43</f>
        <v>通常</v>
      </c>
      <c r="AG192" s="70">
        <v>0</v>
      </c>
      <c r="AH192" s="6">
        <f xml:space="preserve"> パンツ!AC43</f>
        <v>0</v>
      </c>
      <c r="AI192">
        <v>1</v>
      </c>
      <c r="AJ192">
        <f>パンツ!U43</f>
        <v>0</v>
      </c>
    </row>
    <row r="193" spans="1:36" ht="13.5" hidden="1" customHeight="1">
      <c r="A193" s="3" t="str">
        <f>IF(パンツ!A44="","",パンツ!A44)</f>
        <v/>
      </c>
      <c r="B193" s="68" t="str">
        <f>IF(パンツ!B44="","",パンツ!B44)</f>
        <v/>
      </c>
      <c r="C193" s="3" t="str">
        <f>IF(パンツ!C44="","",パンツ!C44)</f>
        <v>◇ サイズ E</v>
      </c>
      <c r="D193" s="3" t="str">
        <f>IF(パンツ!E44="","",パンツ!E44)</f>
        <v>無</v>
      </c>
      <c r="E193" s="3" t="str">
        <f>IF(パンツ!AA44="","",パンツ!AA44)</f>
        <v>ベースW</v>
      </c>
      <c r="F193" s="3" t="str">
        <f>IF(パンツ!G44="","",パンツ!G44)</f>
        <v/>
      </c>
      <c r="G193" s="3" t="str">
        <f>IF(パンツ!H44="","",パンツ!H44)</f>
        <v/>
      </c>
      <c r="H193" s="3" t="str">
        <f>IF(パンツ!I44="","",パンツ!I44)</f>
        <v/>
      </c>
      <c r="I193" s="3" t="str">
        <f>IF(パンツ!J44="","",パンツ!J44)</f>
        <v>画像参照</v>
      </c>
      <c r="J193" s="3" t="str">
        <f>IF(パンツ!K44="","",パンツ!K44)</f>
        <v/>
      </c>
      <c r="K193" s="3" t="str">
        <f>IF(パンツ!L44="","",パンツ!L44)</f>
        <v>サイズ</v>
      </c>
      <c r="L193" s="69" t="s">
        <v>80</v>
      </c>
      <c r="M193" s="3" t="str">
        <f xml:space="preserve"> パンツ!Z44</f>
        <v>股上：約cm　股下：約cm　ウエスト：約cm　もも幅：約cm　裾幅：約cm</v>
      </c>
      <c r="N193" s="69" t="s">
        <v>20</v>
      </c>
      <c r="O193" s="69" t="s">
        <v>21</v>
      </c>
      <c r="P193" s="4" t="s">
        <v>3036</v>
      </c>
      <c r="Q193" s="4" t="s">
        <v>3038</v>
      </c>
      <c r="R193" s="69" t="s">
        <v>22</v>
      </c>
      <c r="S193" s="69" t="s">
        <v>23</v>
      </c>
      <c r="T193" s="69" t="s">
        <v>22</v>
      </c>
      <c r="U193" s="69" t="s">
        <v>24</v>
      </c>
      <c r="V193" s="69" t="s">
        <v>25</v>
      </c>
      <c r="W193" s="69" t="s">
        <v>26</v>
      </c>
      <c r="X193" s="69" t="s">
        <v>27</v>
      </c>
      <c r="Y193" s="69" t="s">
        <v>28</v>
      </c>
      <c r="Z193" s="69" t="s">
        <v>29</v>
      </c>
      <c r="AA193" s="4"/>
      <c r="AB193" s="4"/>
      <c r="AC193" s="4"/>
      <c r="AD193" s="70"/>
      <c r="AE193" s="70">
        <f>パンツ!AE44</f>
        <v>0</v>
      </c>
      <c r="AF193" s="70" t="str">
        <f>パンツ!R44</f>
        <v>通常</v>
      </c>
      <c r="AG193" s="70">
        <v>0</v>
      </c>
      <c r="AH193" s="6">
        <f xml:space="preserve"> パンツ!AC44</f>
        <v>0</v>
      </c>
      <c r="AI193">
        <v>1</v>
      </c>
      <c r="AJ193">
        <f>パンツ!U44</f>
        <v>0</v>
      </c>
    </row>
    <row r="194" spans="1:36" ht="13.5" hidden="1" customHeight="1">
      <c r="A194" s="3" t="str">
        <f>IF(パンツ!A45="","",パンツ!A45)</f>
        <v/>
      </c>
      <c r="B194" s="68" t="str">
        <f>IF(パンツ!B45="","",パンツ!B45)</f>
        <v/>
      </c>
      <c r="C194" s="3" t="str">
        <f>IF(パンツ!C45="","",パンツ!C45)</f>
        <v>◇ サイズ E</v>
      </c>
      <c r="D194" s="3" t="str">
        <f>IF(パンツ!E45="","",パンツ!E45)</f>
        <v>無</v>
      </c>
      <c r="E194" s="3" t="str">
        <f>IF(パンツ!AA45="","",パンツ!AA45)</f>
        <v>ベースW</v>
      </c>
      <c r="F194" s="3" t="str">
        <f>IF(パンツ!G45="","",パンツ!G45)</f>
        <v/>
      </c>
      <c r="G194" s="3" t="str">
        <f>IF(パンツ!H45="","",パンツ!H45)</f>
        <v/>
      </c>
      <c r="H194" s="3" t="str">
        <f>IF(パンツ!I45="","",パンツ!I45)</f>
        <v/>
      </c>
      <c r="I194" s="3" t="str">
        <f>IF(パンツ!J45="","",パンツ!J45)</f>
        <v>画像参照</v>
      </c>
      <c r="J194" s="3" t="str">
        <f>IF(パンツ!K45="","",パンツ!K45)</f>
        <v/>
      </c>
      <c r="K194" s="3" t="str">
        <f>IF(パンツ!L45="","",パンツ!L45)</f>
        <v>サイズ</v>
      </c>
      <c r="L194" s="69" t="s">
        <v>80</v>
      </c>
      <c r="M194" s="3" t="str">
        <f xml:space="preserve"> パンツ!Z45</f>
        <v>股上：約cm　股下：約cm　ウエスト：約cm　もも幅：約cm　裾幅：約cm</v>
      </c>
      <c r="N194" s="69" t="s">
        <v>20</v>
      </c>
      <c r="O194" s="69" t="s">
        <v>21</v>
      </c>
      <c r="P194" s="4" t="s">
        <v>3036</v>
      </c>
      <c r="Q194" s="4" t="s">
        <v>3038</v>
      </c>
      <c r="R194" s="69" t="s">
        <v>22</v>
      </c>
      <c r="S194" s="69" t="s">
        <v>23</v>
      </c>
      <c r="T194" s="69" t="s">
        <v>22</v>
      </c>
      <c r="U194" s="69" t="s">
        <v>24</v>
      </c>
      <c r="V194" s="69" t="s">
        <v>25</v>
      </c>
      <c r="W194" s="69" t="s">
        <v>26</v>
      </c>
      <c r="X194" s="69" t="s">
        <v>27</v>
      </c>
      <c r="Y194" s="69" t="s">
        <v>28</v>
      </c>
      <c r="Z194" s="69" t="s">
        <v>29</v>
      </c>
      <c r="AA194" s="4"/>
      <c r="AB194" s="4"/>
      <c r="AC194" s="4"/>
      <c r="AD194" s="70"/>
      <c r="AE194" s="70">
        <f>パンツ!AE45</f>
        <v>0</v>
      </c>
      <c r="AF194" s="70" t="str">
        <f>パンツ!R45</f>
        <v>通常</v>
      </c>
      <c r="AG194" s="70">
        <v>0</v>
      </c>
      <c r="AH194" s="6">
        <f xml:space="preserve"> パンツ!AC45</f>
        <v>0</v>
      </c>
      <c r="AI194">
        <v>1</v>
      </c>
      <c r="AJ194">
        <f>パンツ!U45</f>
        <v>0</v>
      </c>
    </row>
    <row r="195" spans="1:36" ht="13.5" hidden="1" customHeight="1">
      <c r="A195" s="3" t="str">
        <f>IF(パンツ!A46="","",パンツ!A46)</f>
        <v/>
      </c>
      <c r="B195" s="68" t="str">
        <f>IF(パンツ!B46="","",パンツ!B46)</f>
        <v/>
      </c>
      <c r="C195" s="3" t="str">
        <f>IF(パンツ!C46="","",パンツ!C46)</f>
        <v>◇ サイズ E</v>
      </c>
      <c r="D195" s="3" t="str">
        <f>IF(パンツ!E46="","",パンツ!E46)</f>
        <v>無</v>
      </c>
      <c r="E195" s="3" t="str">
        <f>IF(パンツ!AA46="","",パンツ!AA46)</f>
        <v>ベースW</v>
      </c>
      <c r="F195" s="3" t="str">
        <f>IF(パンツ!G46="","",パンツ!G46)</f>
        <v/>
      </c>
      <c r="G195" s="3" t="str">
        <f>IF(パンツ!H46="","",パンツ!H46)</f>
        <v/>
      </c>
      <c r="H195" s="3" t="str">
        <f>IF(パンツ!I46="","",パンツ!I46)</f>
        <v/>
      </c>
      <c r="I195" s="3" t="str">
        <f>IF(パンツ!J46="","",パンツ!J46)</f>
        <v>画像参照</v>
      </c>
      <c r="J195" s="3" t="str">
        <f>IF(パンツ!K46="","",パンツ!K46)</f>
        <v/>
      </c>
      <c r="K195" s="3" t="str">
        <f>IF(パンツ!L46="","",パンツ!L46)</f>
        <v>サイズ</v>
      </c>
      <c r="L195" s="69" t="s">
        <v>80</v>
      </c>
      <c r="M195" s="3" t="str">
        <f xml:space="preserve"> パンツ!Z46</f>
        <v>股上：約cm　股下：約cm　ウエスト：約cm　もも幅：約cm　裾幅：約cm</v>
      </c>
      <c r="N195" s="69" t="s">
        <v>20</v>
      </c>
      <c r="O195" s="69" t="s">
        <v>21</v>
      </c>
      <c r="P195" s="4" t="s">
        <v>3036</v>
      </c>
      <c r="Q195" s="4" t="s">
        <v>3038</v>
      </c>
      <c r="R195" s="69" t="s">
        <v>22</v>
      </c>
      <c r="S195" s="69" t="s">
        <v>23</v>
      </c>
      <c r="T195" s="69" t="s">
        <v>22</v>
      </c>
      <c r="U195" s="69" t="s">
        <v>24</v>
      </c>
      <c r="V195" s="69" t="s">
        <v>25</v>
      </c>
      <c r="W195" s="69" t="s">
        <v>26</v>
      </c>
      <c r="X195" s="69" t="s">
        <v>27</v>
      </c>
      <c r="Y195" s="69" t="s">
        <v>28</v>
      </c>
      <c r="Z195" s="69" t="s">
        <v>29</v>
      </c>
      <c r="AA195" s="4"/>
      <c r="AB195" s="4"/>
      <c r="AC195" s="4"/>
      <c r="AD195" s="70"/>
      <c r="AE195" s="70">
        <f>パンツ!AE46</f>
        <v>0</v>
      </c>
      <c r="AF195" s="70" t="str">
        <f>パンツ!R46</f>
        <v>通常</v>
      </c>
      <c r="AG195" s="70">
        <v>0</v>
      </c>
      <c r="AH195" s="6">
        <f xml:space="preserve"> パンツ!AC46</f>
        <v>0</v>
      </c>
      <c r="AI195">
        <v>1</v>
      </c>
      <c r="AJ195">
        <f>パンツ!U46</f>
        <v>0</v>
      </c>
    </row>
    <row r="196" spans="1:36" ht="13.5" hidden="1" customHeight="1">
      <c r="A196" s="3" t="str">
        <f>IF(パンツ!A47="","",パンツ!A47)</f>
        <v/>
      </c>
      <c r="B196" s="68" t="str">
        <f>IF(パンツ!B47="","",パンツ!B47)</f>
        <v/>
      </c>
      <c r="C196" s="3" t="str">
        <f>IF(パンツ!C47="","",パンツ!C47)</f>
        <v>◇ サイズ E</v>
      </c>
      <c r="D196" s="3" t="str">
        <f>IF(パンツ!E47="","",パンツ!E47)</f>
        <v>無</v>
      </c>
      <c r="E196" s="3" t="str">
        <f>IF(パンツ!AA47="","",パンツ!AA47)</f>
        <v>ベースW</v>
      </c>
      <c r="F196" s="3" t="str">
        <f>IF(パンツ!G47="","",パンツ!G47)</f>
        <v/>
      </c>
      <c r="G196" s="3" t="str">
        <f>IF(パンツ!H47="","",パンツ!H47)</f>
        <v/>
      </c>
      <c r="H196" s="3" t="str">
        <f>IF(パンツ!I47="","",パンツ!I47)</f>
        <v/>
      </c>
      <c r="I196" s="3" t="str">
        <f>IF(パンツ!J47="","",パンツ!J47)</f>
        <v>画像参照</v>
      </c>
      <c r="J196" s="3" t="str">
        <f>IF(パンツ!K47="","",パンツ!K47)</f>
        <v/>
      </c>
      <c r="K196" s="3" t="str">
        <f>IF(パンツ!L47="","",パンツ!L47)</f>
        <v>サイズ</v>
      </c>
      <c r="L196" s="69" t="s">
        <v>80</v>
      </c>
      <c r="M196" s="3" t="str">
        <f xml:space="preserve"> パンツ!Z47</f>
        <v>股上：約cm　股下：約cm　ウエスト：約cm　もも幅：約cm　裾幅：約cm</v>
      </c>
      <c r="N196" s="69" t="s">
        <v>20</v>
      </c>
      <c r="O196" s="69" t="s">
        <v>21</v>
      </c>
      <c r="P196" s="4" t="s">
        <v>3036</v>
      </c>
      <c r="Q196" s="4" t="s">
        <v>3038</v>
      </c>
      <c r="R196" s="69" t="s">
        <v>22</v>
      </c>
      <c r="S196" s="69" t="s">
        <v>23</v>
      </c>
      <c r="T196" s="69" t="s">
        <v>22</v>
      </c>
      <c r="U196" s="69" t="s">
        <v>24</v>
      </c>
      <c r="V196" s="69" t="s">
        <v>25</v>
      </c>
      <c r="W196" s="69" t="s">
        <v>26</v>
      </c>
      <c r="X196" s="69" t="s">
        <v>27</v>
      </c>
      <c r="Y196" s="69" t="s">
        <v>28</v>
      </c>
      <c r="Z196" s="69" t="s">
        <v>29</v>
      </c>
      <c r="AA196" s="4"/>
      <c r="AB196" s="4"/>
      <c r="AC196" s="4"/>
      <c r="AD196" s="70"/>
      <c r="AE196" s="70">
        <f>パンツ!AE47</f>
        <v>0</v>
      </c>
      <c r="AF196" s="70" t="str">
        <f>パンツ!R47</f>
        <v>通常</v>
      </c>
      <c r="AG196" s="70">
        <v>0</v>
      </c>
      <c r="AH196" s="6">
        <f xml:space="preserve"> パンツ!AC47</f>
        <v>0</v>
      </c>
      <c r="AI196">
        <v>1</v>
      </c>
      <c r="AJ196">
        <f>パンツ!U47</f>
        <v>0</v>
      </c>
    </row>
    <row r="197" spans="1:36" ht="13.5" hidden="1" customHeight="1">
      <c r="A197" s="3" t="str">
        <f>IF(パンツ!A48="","",パンツ!A48)</f>
        <v/>
      </c>
      <c r="B197" s="68" t="str">
        <f>IF(パンツ!B48="","",パンツ!B48)</f>
        <v/>
      </c>
      <c r="C197" s="3" t="str">
        <f>IF(パンツ!C48="","",パンツ!C48)</f>
        <v>◇ サイズ E</v>
      </c>
      <c r="D197" s="3" t="str">
        <f>IF(パンツ!E48="","",パンツ!E48)</f>
        <v>無</v>
      </c>
      <c r="E197" s="3" t="str">
        <f>IF(パンツ!AA48="","",パンツ!AA48)</f>
        <v>ベースW</v>
      </c>
      <c r="F197" s="3" t="str">
        <f>IF(パンツ!G48="","",パンツ!G48)</f>
        <v/>
      </c>
      <c r="G197" s="3" t="str">
        <f>IF(パンツ!H48="","",パンツ!H48)</f>
        <v/>
      </c>
      <c r="H197" s="3" t="str">
        <f>IF(パンツ!I48="","",パンツ!I48)</f>
        <v/>
      </c>
      <c r="I197" s="3" t="str">
        <f>IF(パンツ!J48="","",パンツ!J48)</f>
        <v>画像参照</v>
      </c>
      <c r="J197" s="3" t="str">
        <f>IF(パンツ!K48="","",パンツ!K48)</f>
        <v/>
      </c>
      <c r="K197" s="3" t="str">
        <f>IF(パンツ!L48="","",パンツ!L48)</f>
        <v>サイズ</v>
      </c>
      <c r="L197" s="69" t="s">
        <v>80</v>
      </c>
      <c r="M197" s="3" t="str">
        <f xml:space="preserve"> パンツ!Z48</f>
        <v>股上：約cm　股下：約cm　ウエスト：約cm　もも幅：約cm　裾幅：約cm</v>
      </c>
      <c r="N197" s="69" t="s">
        <v>20</v>
      </c>
      <c r="O197" s="69" t="s">
        <v>21</v>
      </c>
      <c r="P197" s="4" t="s">
        <v>3036</v>
      </c>
      <c r="Q197" s="4" t="s">
        <v>3038</v>
      </c>
      <c r="R197" s="69" t="s">
        <v>22</v>
      </c>
      <c r="S197" s="69" t="s">
        <v>23</v>
      </c>
      <c r="T197" s="69" t="s">
        <v>22</v>
      </c>
      <c r="U197" s="69" t="s">
        <v>24</v>
      </c>
      <c r="V197" s="69" t="s">
        <v>25</v>
      </c>
      <c r="W197" s="69" t="s">
        <v>26</v>
      </c>
      <c r="X197" s="69" t="s">
        <v>27</v>
      </c>
      <c r="Y197" s="69" t="s">
        <v>28</v>
      </c>
      <c r="Z197" s="69" t="s">
        <v>29</v>
      </c>
      <c r="AA197" s="4"/>
      <c r="AB197" s="4"/>
      <c r="AC197" s="4"/>
      <c r="AD197" s="70"/>
      <c r="AE197" s="70">
        <f>パンツ!AE48</f>
        <v>0</v>
      </c>
      <c r="AF197" s="70" t="str">
        <f>パンツ!R48</f>
        <v>通常</v>
      </c>
      <c r="AG197" s="70">
        <v>0</v>
      </c>
      <c r="AH197" s="6">
        <f xml:space="preserve"> パンツ!AC48</f>
        <v>0</v>
      </c>
      <c r="AI197">
        <v>1</v>
      </c>
      <c r="AJ197">
        <f>パンツ!U48</f>
        <v>0</v>
      </c>
    </row>
    <row r="198" spans="1:36" ht="13.5" hidden="1" customHeight="1">
      <c r="A198" s="3" t="str">
        <f>IF(パンツ!A49="","",パンツ!A49)</f>
        <v/>
      </c>
      <c r="B198" s="68" t="str">
        <f>IF(パンツ!B49="","",パンツ!B49)</f>
        <v/>
      </c>
      <c r="C198" s="3" t="str">
        <f>IF(パンツ!C49="","",パンツ!C49)</f>
        <v>◇ サイズ E</v>
      </c>
      <c r="D198" s="3" t="str">
        <f>IF(パンツ!E49="","",パンツ!E49)</f>
        <v>無</v>
      </c>
      <c r="E198" s="3" t="str">
        <f>IF(パンツ!AA49="","",パンツ!AA49)</f>
        <v>ベースW</v>
      </c>
      <c r="F198" s="3" t="str">
        <f>IF(パンツ!G49="","",パンツ!G49)</f>
        <v/>
      </c>
      <c r="G198" s="3" t="str">
        <f>IF(パンツ!H49="","",パンツ!H49)</f>
        <v/>
      </c>
      <c r="H198" s="3" t="str">
        <f>IF(パンツ!I49="","",パンツ!I49)</f>
        <v/>
      </c>
      <c r="I198" s="3" t="str">
        <f>IF(パンツ!J49="","",パンツ!J49)</f>
        <v>画像参照</v>
      </c>
      <c r="J198" s="3" t="str">
        <f>IF(パンツ!K49="","",パンツ!K49)</f>
        <v/>
      </c>
      <c r="K198" s="3" t="str">
        <f>IF(パンツ!L49="","",パンツ!L49)</f>
        <v>サイズ</v>
      </c>
      <c r="L198" s="69" t="s">
        <v>80</v>
      </c>
      <c r="M198" s="3" t="str">
        <f xml:space="preserve"> パンツ!Z49</f>
        <v>股上：約cm　股下：約cm　ウエスト：約cm　もも幅：約cm　裾幅：約cm</v>
      </c>
      <c r="N198" s="69" t="s">
        <v>20</v>
      </c>
      <c r="O198" s="69" t="s">
        <v>21</v>
      </c>
      <c r="P198" s="4" t="s">
        <v>3036</v>
      </c>
      <c r="Q198" s="4" t="s">
        <v>3038</v>
      </c>
      <c r="R198" s="69" t="s">
        <v>22</v>
      </c>
      <c r="S198" s="69" t="s">
        <v>23</v>
      </c>
      <c r="T198" s="69" t="s">
        <v>22</v>
      </c>
      <c r="U198" s="69" t="s">
        <v>24</v>
      </c>
      <c r="V198" s="69" t="s">
        <v>25</v>
      </c>
      <c r="W198" s="69" t="s">
        <v>26</v>
      </c>
      <c r="X198" s="69" t="s">
        <v>27</v>
      </c>
      <c r="Y198" s="69" t="s">
        <v>28</v>
      </c>
      <c r="Z198" s="69" t="s">
        <v>29</v>
      </c>
      <c r="AA198" s="4"/>
      <c r="AB198" s="4"/>
      <c r="AC198" s="4"/>
      <c r="AD198" s="70"/>
      <c r="AE198" s="70">
        <f>パンツ!AE49</f>
        <v>0</v>
      </c>
      <c r="AF198" s="70" t="str">
        <f>パンツ!R49</f>
        <v>通常</v>
      </c>
      <c r="AG198" s="70">
        <v>0</v>
      </c>
      <c r="AH198" s="6">
        <f xml:space="preserve"> パンツ!AC49</f>
        <v>0</v>
      </c>
      <c r="AI198">
        <v>1</v>
      </c>
      <c r="AJ198">
        <f>パンツ!U49</f>
        <v>0</v>
      </c>
    </row>
    <row r="199" spans="1:36" ht="13.5" hidden="1" customHeight="1">
      <c r="A199" s="3" t="str">
        <f>IF(パンツ!A50="","",パンツ!A50)</f>
        <v/>
      </c>
      <c r="B199" s="68" t="str">
        <f>IF(パンツ!B50="","",パンツ!B50)</f>
        <v/>
      </c>
      <c r="C199" s="3" t="str">
        <f>IF(パンツ!C50="","",パンツ!C50)</f>
        <v>◇ サイズ E</v>
      </c>
      <c r="D199" s="3" t="str">
        <f>IF(パンツ!E50="","",パンツ!E50)</f>
        <v>無</v>
      </c>
      <c r="E199" s="3" t="str">
        <f>IF(パンツ!AA50="","",パンツ!AA50)</f>
        <v>ベースW</v>
      </c>
      <c r="F199" s="3" t="str">
        <f>IF(パンツ!G50="","",パンツ!G50)</f>
        <v/>
      </c>
      <c r="G199" s="3" t="str">
        <f>IF(パンツ!H50="","",パンツ!H50)</f>
        <v/>
      </c>
      <c r="H199" s="3" t="str">
        <f>IF(パンツ!I50="","",パンツ!I50)</f>
        <v/>
      </c>
      <c r="I199" s="3" t="str">
        <f>IF(パンツ!J50="","",パンツ!J50)</f>
        <v>画像参照</v>
      </c>
      <c r="J199" s="3" t="str">
        <f>IF(パンツ!K50="","",パンツ!K50)</f>
        <v/>
      </c>
      <c r="K199" s="3" t="str">
        <f>IF(パンツ!L50="","",パンツ!L50)</f>
        <v>サイズ</v>
      </c>
      <c r="L199" s="69" t="s">
        <v>80</v>
      </c>
      <c r="M199" s="3" t="str">
        <f xml:space="preserve"> パンツ!Z50</f>
        <v>股上：約cm　股下：約cm　ウエスト：約cm　もも幅：約cm　裾幅：約cm</v>
      </c>
      <c r="N199" s="69" t="s">
        <v>20</v>
      </c>
      <c r="O199" s="69" t="s">
        <v>21</v>
      </c>
      <c r="P199" s="4" t="s">
        <v>3036</v>
      </c>
      <c r="Q199" s="4" t="s">
        <v>3038</v>
      </c>
      <c r="R199" s="69" t="s">
        <v>22</v>
      </c>
      <c r="S199" s="69" t="s">
        <v>23</v>
      </c>
      <c r="T199" s="69" t="s">
        <v>22</v>
      </c>
      <c r="U199" s="69" t="s">
        <v>24</v>
      </c>
      <c r="V199" s="69" t="s">
        <v>25</v>
      </c>
      <c r="W199" s="69" t="s">
        <v>26</v>
      </c>
      <c r="X199" s="69" t="s">
        <v>27</v>
      </c>
      <c r="Y199" s="69" t="s">
        <v>28</v>
      </c>
      <c r="Z199" s="69" t="s">
        <v>29</v>
      </c>
      <c r="AA199" s="4"/>
      <c r="AB199" s="4"/>
      <c r="AC199" s="4"/>
      <c r="AD199" s="70"/>
      <c r="AE199" s="70">
        <f>パンツ!AE50</f>
        <v>0</v>
      </c>
      <c r="AF199" s="70" t="str">
        <f>パンツ!R50</f>
        <v>通常</v>
      </c>
      <c r="AG199" s="70">
        <v>0</v>
      </c>
      <c r="AH199" s="6">
        <f xml:space="preserve"> パンツ!AC50</f>
        <v>0</v>
      </c>
      <c r="AI199">
        <v>1</v>
      </c>
      <c r="AJ199">
        <f>パンツ!U50</f>
        <v>0</v>
      </c>
    </row>
    <row r="200" spans="1:36" ht="13.5" customHeight="1">
      <c r="A200" s="3">
        <v>2084007175</v>
      </c>
      <c r="B200" s="68">
        <f>IF(スカート!B2="","",スカート!B2)</f>
        <v>1212020007832</v>
      </c>
      <c r="C200" s="3" t="str">
        <f>IF(スカート!C2="","",スカート!C2)</f>
        <v>◇ apart by lowrys アパートバイローリーズ プリーツ２段重ね ロング ティアード スカート サイズF ブラック レディース E 1212020007832</v>
      </c>
      <c r="D200" s="3" t="str">
        <f>IF(スカート!E2="","",スカート!E2)</f>
        <v>無</v>
      </c>
      <c r="E200" s="3" t="str">
        <f>IF(スカート!AA2="","",スカート!AA2)</f>
        <v>ベースW/9</v>
      </c>
      <c r="F200" s="3">
        <f>IF(スカート!G2="","",スカート!G2)</f>
        <v>3</v>
      </c>
      <c r="G200" s="3" t="str">
        <f>IF(スカート!H2="","",スカート!H2)</f>
        <v>目立った傷や汚れなし</v>
      </c>
      <c r="H200" s="3" t="str">
        <f>IF(スカート!I2="","",スカート!I2)</f>
        <v/>
      </c>
      <c r="I200" s="3" t="str">
        <f>IF(スカート!J2="","",スカート!J2)</f>
        <v>画像参照</v>
      </c>
      <c r="J200" s="3" t="str">
        <f>IF(スカート!K2="","",スカート!K2)</f>
        <v>ブラック</v>
      </c>
      <c r="K200" s="3" t="str">
        <f>IF(スカート!L2="","",スカート!L2)</f>
        <v>サイズF</v>
      </c>
      <c r="L200" s="69" t="s">
        <v>80</v>
      </c>
      <c r="M200" s="69" t="s">
        <v>19</v>
      </c>
      <c r="N200" s="3" t="str">
        <f xml:space="preserve"> スカート!Z2</f>
        <v>総丈：約85cm　ウエスト：約31cm　ヒップ：約46cm</v>
      </c>
      <c r="O200" s="69" t="s">
        <v>21</v>
      </c>
      <c r="P200" s="4" t="s">
        <v>3036</v>
      </c>
      <c r="Q200" s="4" t="s">
        <v>3038</v>
      </c>
      <c r="R200" s="69" t="s">
        <v>22</v>
      </c>
      <c r="S200" s="69" t="s">
        <v>23</v>
      </c>
      <c r="T200" s="69" t="s">
        <v>22</v>
      </c>
      <c r="U200" s="69" t="s">
        <v>24</v>
      </c>
      <c r="V200" s="69" t="s">
        <v>25</v>
      </c>
      <c r="W200" s="69" t="s">
        <v>26</v>
      </c>
      <c r="X200" s="69" t="s">
        <v>27</v>
      </c>
      <c r="Y200" s="69" t="s">
        <v>28</v>
      </c>
      <c r="Z200" s="69" t="s">
        <v>29</v>
      </c>
      <c r="AA200" s="4"/>
      <c r="AB200" s="4"/>
      <c r="AC200" s="4"/>
      <c r="AD200" s="70"/>
      <c r="AE200" s="70">
        <f>スカート!AE2</f>
        <v>1000</v>
      </c>
      <c r="AF200" s="70" t="str">
        <f>スカート!P2</f>
        <v>通常</v>
      </c>
      <c r="AG200" s="70">
        <v>0</v>
      </c>
      <c r="AH200" s="6">
        <f xml:space="preserve"> スカート!AC2</f>
        <v>0</v>
      </c>
      <c r="AI200">
        <v>1</v>
      </c>
      <c r="AJ200" t="str">
        <f>スカート!S2</f>
        <v xml:space="preserve"> apart by lowrys アパートバイローリーズ</v>
      </c>
    </row>
    <row r="201" spans="1:36" ht="13.5" customHeight="1">
      <c r="A201" s="3">
        <v>2084222294</v>
      </c>
      <c r="B201" s="68">
        <f>IF(スカート!B3="","",スカート!B3)</f>
        <v>1212020007733</v>
      </c>
      <c r="C201" s="3" t="str">
        <f>IF(スカート!C3="","",スカート!C3)</f>
        <v>◇ LOWRYS FARM ウエスト１部ゴム。バックスリット ロング タイト スカート サイズL ブルー レディース E 1212020007733</v>
      </c>
      <c r="D201" s="3" t="str">
        <f>IF(スカート!E3="","",スカート!E3)</f>
        <v>新品タグ、替えボタン１つ</v>
      </c>
      <c r="E201" s="3" t="str">
        <f>IF(スカート!AA3="","",スカート!AA3)</f>
        <v>ベースW/9</v>
      </c>
      <c r="F201" s="3" t="str">
        <f>IF(スカート!G3="","",スカート!G3)</f>
        <v/>
      </c>
      <c r="G201" s="3" t="str">
        <f>IF(スカート!H3="","",スカート!H3)</f>
        <v/>
      </c>
      <c r="H201" s="3" t="str">
        <f>IF(スカート!I3="","",スカート!I3)</f>
        <v/>
      </c>
      <c r="I201" s="3" t="str">
        <f>IF(スカート!J3="","",スカート!J3)</f>
        <v>画像参照</v>
      </c>
      <c r="J201" s="3" t="str">
        <f>IF(スカート!K3="","",スカート!K3)</f>
        <v>ブルー</v>
      </c>
      <c r="K201" s="3" t="str">
        <f>IF(スカート!L3="","",スカート!L3)</f>
        <v>サイズL</v>
      </c>
      <c r="L201" s="69" t="s">
        <v>80</v>
      </c>
      <c r="M201" s="69" t="s">
        <v>19</v>
      </c>
      <c r="N201" s="3" t="str">
        <f xml:space="preserve"> スカート!Z3</f>
        <v>総丈：約80cm　ウエスト：約35cm　ヒップ：約45cm</v>
      </c>
      <c r="O201" s="69" t="s">
        <v>21</v>
      </c>
      <c r="P201" s="4" t="s">
        <v>3036</v>
      </c>
      <c r="Q201" s="4" t="s">
        <v>3038</v>
      </c>
      <c r="R201" s="69" t="s">
        <v>22</v>
      </c>
      <c r="S201" s="69" t="s">
        <v>23</v>
      </c>
      <c r="T201" s="69" t="s">
        <v>22</v>
      </c>
      <c r="U201" s="69" t="s">
        <v>24</v>
      </c>
      <c r="V201" s="69" t="s">
        <v>25</v>
      </c>
      <c r="W201" s="69" t="s">
        <v>26</v>
      </c>
      <c r="X201" s="69" t="s">
        <v>27</v>
      </c>
      <c r="Y201" s="69" t="s">
        <v>28</v>
      </c>
      <c r="Z201" s="69" t="s">
        <v>29</v>
      </c>
      <c r="AA201" s="4"/>
      <c r="AB201" s="4"/>
      <c r="AC201" s="4"/>
      <c r="AD201" s="70"/>
      <c r="AE201" s="70">
        <f>スカート!AE3</f>
        <v>1000</v>
      </c>
      <c r="AF201" s="70" t="str">
        <f>スカート!P3</f>
        <v>通常</v>
      </c>
      <c r="AG201" s="70">
        <v>0</v>
      </c>
      <c r="AH201" s="6">
        <f xml:space="preserve"> スカート!AC3</f>
        <v>0</v>
      </c>
      <c r="AI201">
        <v>1</v>
      </c>
      <c r="AJ201" t="str">
        <f>スカート!S3</f>
        <v>LOWRYS FARM</v>
      </c>
    </row>
    <row r="202" spans="1:36" ht="13.5" customHeight="1">
      <c r="A202" s="3">
        <v>2084007175</v>
      </c>
      <c r="B202" s="68">
        <f>IF(スカート!B4="","",スカート!B4)</f>
        <v>1212020007641</v>
      </c>
      <c r="C202" s="3" t="str">
        <f>IF(スカート!C4="","",スカート!C4)</f>
        <v>◇ Techichi テチチ ウエストゴム、サイドファスナー。総柄 ロング フレア スカート サイズS パープル レディース E 1212020007641</v>
      </c>
      <c r="D202" s="3" t="str">
        <f>IF(スカート!E4="","",スカート!E4)</f>
        <v>無</v>
      </c>
      <c r="E202" s="3" t="str">
        <f>IF(スカート!AA4="","",スカート!AA4)</f>
        <v>ベースW/9</v>
      </c>
      <c r="F202" s="3">
        <f>IF(スカート!G4="","",スカート!G4)</f>
        <v>3</v>
      </c>
      <c r="G202" s="3" t="str">
        <f>IF(スカート!H4="","",スカート!H4)</f>
        <v>目立った傷や汚れなし</v>
      </c>
      <c r="H202" s="3" t="str">
        <f>IF(スカート!I4="","",スカート!I4)</f>
        <v/>
      </c>
      <c r="I202" s="3" t="str">
        <f>IF(スカート!J4="","",スカート!J4)</f>
        <v>画像参照</v>
      </c>
      <c r="J202" s="3" t="str">
        <f>IF(スカート!K4="","",スカート!K4)</f>
        <v>パープル</v>
      </c>
      <c r="K202" s="3" t="str">
        <f>IF(スカート!L4="","",スカート!L4)</f>
        <v>サイズS</v>
      </c>
      <c r="L202" s="69" t="s">
        <v>80</v>
      </c>
      <c r="M202" s="69" t="s">
        <v>19</v>
      </c>
      <c r="N202" s="3" t="str">
        <f xml:space="preserve"> スカート!Z4</f>
        <v>総丈：約72cm　ウエスト：約30cm　ヒップ：約49cm</v>
      </c>
      <c r="O202" s="69" t="s">
        <v>21</v>
      </c>
      <c r="P202" s="4" t="s">
        <v>3036</v>
      </c>
      <c r="Q202" s="4" t="s">
        <v>3038</v>
      </c>
      <c r="R202" s="69" t="s">
        <v>22</v>
      </c>
      <c r="S202" s="69" t="s">
        <v>23</v>
      </c>
      <c r="T202" s="69" t="s">
        <v>22</v>
      </c>
      <c r="U202" s="69" t="s">
        <v>24</v>
      </c>
      <c r="V202" s="69" t="s">
        <v>25</v>
      </c>
      <c r="W202" s="69" t="s">
        <v>26</v>
      </c>
      <c r="X202" s="69" t="s">
        <v>27</v>
      </c>
      <c r="Y202" s="69" t="s">
        <v>28</v>
      </c>
      <c r="Z202" s="69" t="s">
        <v>29</v>
      </c>
      <c r="AA202" s="4"/>
      <c r="AB202" s="4"/>
      <c r="AC202" s="4"/>
      <c r="AD202" s="70"/>
      <c r="AE202" s="70">
        <f>スカート!AE4</f>
        <v>1000</v>
      </c>
      <c r="AF202" s="70" t="str">
        <f>スカート!P4</f>
        <v>通常</v>
      </c>
      <c r="AG202" s="70">
        <v>0</v>
      </c>
      <c r="AH202" s="6">
        <f xml:space="preserve"> スカート!AC4</f>
        <v>0</v>
      </c>
      <c r="AI202">
        <v>1</v>
      </c>
      <c r="AJ202" t="str">
        <f>スカート!S4</f>
        <v>Techichi テチチ</v>
      </c>
    </row>
    <row r="203" spans="1:36" ht="13.5" hidden="1" customHeight="1">
      <c r="A203" s="3" t="str">
        <f>IF(スカート!A5="","",スカート!A5)</f>
        <v/>
      </c>
      <c r="B203" s="68" t="str">
        <f>IF(スカート!B5="","",スカート!B5)</f>
        <v/>
      </c>
      <c r="C203" s="3" t="str">
        <f>IF(スカート!C5="","",スカート!C5)</f>
        <v>◇ スカート サイズ レディース E</v>
      </c>
      <c r="D203" s="3" t="str">
        <f>IF(スカート!E5="","",スカート!E5)</f>
        <v>無</v>
      </c>
      <c r="E203" s="3" t="str">
        <f>IF(スカート!AA5="","",スカート!AA5)</f>
        <v>ベースW</v>
      </c>
      <c r="F203" s="3" t="str">
        <f>IF(スカート!G5="","",スカート!G5)</f>
        <v/>
      </c>
      <c r="G203" s="3" t="str">
        <f>IF(スカート!H5="","",スカート!H5)</f>
        <v/>
      </c>
      <c r="H203" s="3" t="str">
        <f>IF(スカート!I5="","",スカート!I5)</f>
        <v/>
      </c>
      <c r="I203" s="3" t="str">
        <f>IF(スカート!J5="","",スカート!J5)</f>
        <v>画像参照</v>
      </c>
      <c r="J203" s="3" t="str">
        <f>IF(スカート!K5="","",スカート!K5)</f>
        <v/>
      </c>
      <c r="K203" s="3" t="str">
        <f>IF(スカート!L5="","",スカート!L5)</f>
        <v>サイズ</v>
      </c>
      <c r="L203" s="69" t="s">
        <v>80</v>
      </c>
      <c r="M203" s="69" t="s">
        <v>19</v>
      </c>
      <c r="N203" s="3" t="str">
        <f xml:space="preserve"> スカート!Z5</f>
        <v>総丈：約cm　ウエスト：約cm　ヒップ：約cm</v>
      </c>
      <c r="O203" s="69" t="s">
        <v>21</v>
      </c>
      <c r="P203" s="4" t="s">
        <v>3036</v>
      </c>
      <c r="Q203" s="4" t="s">
        <v>3038</v>
      </c>
      <c r="R203" s="69" t="s">
        <v>22</v>
      </c>
      <c r="S203" s="69" t="s">
        <v>23</v>
      </c>
      <c r="T203" s="69" t="s">
        <v>22</v>
      </c>
      <c r="U203" s="69" t="s">
        <v>24</v>
      </c>
      <c r="V203" s="69" t="s">
        <v>25</v>
      </c>
      <c r="W203" s="69" t="s">
        <v>26</v>
      </c>
      <c r="X203" s="69" t="s">
        <v>27</v>
      </c>
      <c r="Y203" s="69" t="s">
        <v>28</v>
      </c>
      <c r="Z203" s="69" t="s">
        <v>29</v>
      </c>
      <c r="AA203" s="4"/>
      <c r="AB203" s="4"/>
      <c r="AC203" s="4"/>
      <c r="AD203" s="70"/>
      <c r="AE203" s="70">
        <f>スカート!AE5</f>
        <v>0</v>
      </c>
      <c r="AF203" s="70" t="str">
        <f>スカート!P5</f>
        <v>通常</v>
      </c>
      <c r="AG203" s="70">
        <v>0</v>
      </c>
      <c r="AH203" s="6">
        <f xml:space="preserve"> スカート!AC5</f>
        <v>0</v>
      </c>
      <c r="AI203">
        <v>1</v>
      </c>
      <c r="AJ203">
        <f>スカート!S5</f>
        <v>0</v>
      </c>
    </row>
    <row r="204" spans="1:36" ht="13.5" hidden="1" customHeight="1">
      <c r="A204" s="3" t="str">
        <f>IF(スカート!A6="","",スカート!A6)</f>
        <v/>
      </c>
      <c r="B204" s="68" t="str">
        <f>IF(スカート!B6="","",スカート!B6)</f>
        <v/>
      </c>
      <c r="C204" s="3" t="str">
        <f>IF(スカート!C6="","",スカート!C6)</f>
        <v>◇ スカート サイズ レディース E</v>
      </c>
      <c r="D204" s="3" t="str">
        <f>IF(スカート!E6="","",スカート!E6)</f>
        <v>無</v>
      </c>
      <c r="E204" s="3" t="str">
        <f>IF(スカート!AA6="","",スカート!AA6)</f>
        <v>ベースW</v>
      </c>
      <c r="F204" s="3" t="str">
        <f>IF(スカート!G6="","",スカート!G6)</f>
        <v/>
      </c>
      <c r="G204" s="3" t="str">
        <f>IF(スカート!H6="","",スカート!H6)</f>
        <v/>
      </c>
      <c r="H204" s="3" t="str">
        <f>IF(スカート!I6="","",スカート!I6)</f>
        <v/>
      </c>
      <c r="I204" s="3" t="str">
        <f>IF(スカート!J6="","",スカート!J6)</f>
        <v>画像参照</v>
      </c>
      <c r="J204" s="3" t="str">
        <f>IF(スカート!K6="","",スカート!K6)</f>
        <v/>
      </c>
      <c r="K204" s="3" t="str">
        <f>IF(スカート!L6="","",スカート!L6)</f>
        <v>サイズ</v>
      </c>
      <c r="L204" s="69" t="s">
        <v>80</v>
      </c>
      <c r="M204" s="69" t="s">
        <v>19</v>
      </c>
      <c r="N204" s="3" t="str">
        <f xml:space="preserve"> スカート!Z6</f>
        <v>総丈：約cm　ウエスト：約cm　ヒップ：約cm</v>
      </c>
      <c r="O204" s="69" t="s">
        <v>21</v>
      </c>
      <c r="P204" s="4" t="s">
        <v>3036</v>
      </c>
      <c r="Q204" s="4" t="s">
        <v>3038</v>
      </c>
      <c r="R204" s="69" t="s">
        <v>22</v>
      </c>
      <c r="S204" s="69" t="s">
        <v>23</v>
      </c>
      <c r="T204" s="69" t="s">
        <v>22</v>
      </c>
      <c r="U204" s="69" t="s">
        <v>24</v>
      </c>
      <c r="V204" s="69" t="s">
        <v>25</v>
      </c>
      <c r="W204" s="69" t="s">
        <v>26</v>
      </c>
      <c r="X204" s="69" t="s">
        <v>27</v>
      </c>
      <c r="Y204" s="69" t="s">
        <v>28</v>
      </c>
      <c r="Z204" s="69" t="s">
        <v>29</v>
      </c>
      <c r="AA204" s="4"/>
      <c r="AB204" s="4"/>
      <c r="AC204" s="4"/>
      <c r="AD204" s="70"/>
      <c r="AE204" s="70">
        <f>スカート!AE6</f>
        <v>0</v>
      </c>
      <c r="AF204" s="70" t="str">
        <f>スカート!P6</f>
        <v>通常</v>
      </c>
      <c r="AG204" s="70">
        <v>0</v>
      </c>
      <c r="AH204" s="6">
        <f xml:space="preserve"> スカート!AC6</f>
        <v>0</v>
      </c>
      <c r="AI204">
        <v>1</v>
      </c>
      <c r="AJ204">
        <f>スカート!S6</f>
        <v>0</v>
      </c>
    </row>
    <row r="205" spans="1:36" ht="13.5" hidden="1" customHeight="1">
      <c r="A205" s="3" t="str">
        <f>IF(スカート!A7="","",スカート!A7)</f>
        <v/>
      </c>
      <c r="B205" s="68" t="str">
        <f>IF(スカート!B7="","",スカート!B7)</f>
        <v/>
      </c>
      <c r="C205" s="3" t="str">
        <f>IF(スカート!C7="","",スカート!C7)</f>
        <v>◇ スカート サイズ レディース E</v>
      </c>
      <c r="D205" s="3" t="str">
        <f>IF(スカート!E7="","",スカート!E7)</f>
        <v>無</v>
      </c>
      <c r="E205" s="3" t="str">
        <f>IF(スカート!AA7="","",スカート!AA7)</f>
        <v>ベースW</v>
      </c>
      <c r="F205" s="3" t="str">
        <f>IF(スカート!G7="","",スカート!G7)</f>
        <v/>
      </c>
      <c r="G205" s="3" t="str">
        <f>IF(スカート!H7="","",スカート!H7)</f>
        <v/>
      </c>
      <c r="H205" s="3" t="str">
        <f>IF(スカート!I7="","",スカート!I7)</f>
        <v/>
      </c>
      <c r="I205" s="3" t="str">
        <f>IF(スカート!J7="","",スカート!J7)</f>
        <v>画像参照</v>
      </c>
      <c r="J205" s="3" t="str">
        <f>IF(スカート!K7="","",スカート!K7)</f>
        <v/>
      </c>
      <c r="K205" s="3" t="str">
        <f>IF(スカート!L7="","",スカート!L7)</f>
        <v>サイズ</v>
      </c>
      <c r="L205" s="69" t="s">
        <v>80</v>
      </c>
      <c r="M205" s="69" t="s">
        <v>19</v>
      </c>
      <c r="N205" s="3" t="str">
        <f xml:space="preserve"> スカート!Z7</f>
        <v>総丈：約cm　ウエスト：約cm　ヒップ：約cm</v>
      </c>
      <c r="O205" s="69" t="s">
        <v>21</v>
      </c>
      <c r="P205" s="4" t="s">
        <v>3036</v>
      </c>
      <c r="Q205" s="4" t="s">
        <v>3038</v>
      </c>
      <c r="R205" s="69" t="s">
        <v>22</v>
      </c>
      <c r="S205" s="69" t="s">
        <v>23</v>
      </c>
      <c r="T205" s="69" t="s">
        <v>22</v>
      </c>
      <c r="U205" s="69" t="s">
        <v>24</v>
      </c>
      <c r="V205" s="69" t="s">
        <v>25</v>
      </c>
      <c r="W205" s="69" t="s">
        <v>26</v>
      </c>
      <c r="X205" s="69" t="s">
        <v>27</v>
      </c>
      <c r="Y205" s="69" t="s">
        <v>28</v>
      </c>
      <c r="Z205" s="69" t="s">
        <v>29</v>
      </c>
      <c r="AA205" s="4"/>
      <c r="AB205" s="4"/>
      <c r="AC205" s="4"/>
      <c r="AD205" s="70"/>
      <c r="AE205" s="70">
        <f>スカート!AE7</f>
        <v>0</v>
      </c>
      <c r="AF205" s="70" t="str">
        <f>スカート!P7</f>
        <v>通常</v>
      </c>
      <c r="AG205" s="70">
        <v>0</v>
      </c>
      <c r="AH205" s="6">
        <f xml:space="preserve"> スカート!AC7</f>
        <v>0</v>
      </c>
      <c r="AI205">
        <v>1</v>
      </c>
      <c r="AJ205">
        <f>スカート!S7</f>
        <v>0</v>
      </c>
    </row>
    <row r="206" spans="1:36" ht="13.5" hidden="1" customHeight="1">
      <c r="A206" s="3" t="str">
        <f>IF(スカート!A8="","",スカート!A8)</f>
        <v/>
      </c>
      <c r="B206" s="68" t="str">
        <f>IF(スカート!B8="","",スカート!B8)</f>
        <v/>
      </c>
      <c r="C206" s="3" t="str">
        <f>IF(スカート!C8="","",スカート!C8)</f>
        <v>◇ スカート サイズ レディース E</v>
      </c>
      <c r="D206" s="3" t="str">
        <f>IF(スカート!E8="","",スカート!E8)</f>
        <v>無</v>
      </c>
      <c r="E206" s="3" t="str">
        <f>IF(スカート!AA8="","",スカート!AA8)</f>
        <v>ベースW</v>
      </c>
      <c r="F206" s="3" t="str">
        <f>IF(スカート!G8="","",スカート!G8)</f>
        <v/>
      </c>
      <c r="G206" s="3" t="str">
        <f>IF(スカート!H8="","",スカート!H8)</f>
        <v/>
      </c>
      <c r="H206" s="3" t="str">
        <f>IF(スカート!I8="","",スカート!I8)</f>
        <v/>
      </c>
      <c r="I206" s="3" t="str">
        <f>IF(スカート!J8="","",スカート!J8)</f>
        <v>画像参照</v>
      </c>
      <c r="J206" s="3" t="str">
        <f>IF(スカート!K8="","",スカート!K8)</f>
        <v/>
      </c>
      <c r="K206" s="3" t="str">
        <f>IF(スカート!L8="","",スカート!L8)</f>
        <v>サイズ</v>
      </c>
      <c r="L206" s="69" t="s">
        <v>80</v>
      </c>
      <c r="M206" s="69" t="s">
        <v>19</v>
      </c>
      <c r="N206" s="3" t="str">
        <f xml:space="preserve"> スカート!Z8</f>
        <v>総丈：約cm　ウエスト：約cm　ヒップ：約cm</v>
      </c>
      <c r="O206" s="69" t="s">
        <v>21</v>
      </c>
      <c r="P206" s="4" t="s">
        <v>3036</v>
      </c>
      <c r="Q206" s="4" t="s">
        <v>3038</v>
      </c>
      <c r="R206" s="69" t="s">
        <v>22</v>
      </c>
      <c r="S206" s="69" t="s">
        <v>23</v>
      </c>
      <c r="T206" s="69" t="s">
        <v>22</v>
      </c>
      <c r="U206" s="69" t="s">
        <v>24</v>
      </c>
      <c r="V206" s="69" t="s">
        <v>25</v>
      </c>
      <c r="W206" s="69" t="s">
        <v>26</v>
      </c>
      <c r="X206" s="69" t="s">
        <v>27</v>
      </c>
      <c r="Y206" s="69" t="s">
        <v>28</v>
      </c>
      <c r="Z206" s="69" t="s">
        <v>29</v>
      </c>
      <c r="AA206" s="4"/>
      <c r="AB206" s="4"/>
      <c r="AC206" s="4"/>
      <c r="AD206" s="70"/>
      <c r="AE206" s="70">
        <f>スカート!AE8</f>
        <v>0</v>
      </c>
      <c r="AF206" s="70" t="str">
        <f>スカート!P8</f>
        <v>通常</v>
      </c>
      <c r="AG206" s="70">
        <v>0</v>
      </c>
      <c r="AH206" s="6">
        <f xml:space="preserve"> スカート!AC8</f>
        <v>0</v>
      </c>
      <c r="AI206">
        <v>1</v>
      </c>
      <c r="AJ206">
        <f>スカート!S8</f>
        <v>0</v>
      </c>
    </row>
    <row r="207" spans="1:36" ht="13.5" hidden="1" customHeight="1">
      <c r="A207" s="3" t="str">
        <f>IF(スカート!A9="","",スカート!A9)</f>
        <v/>
      </c>
      <c r="B207" s="68" t="str">
        <f>IF(スカート!B9="","",スカート!B9)</f>
        <v/>
      </c>
      <c r="C207" s="3" t="str">
        <f>IF(スカート!C9="","",スカート!C9)</f>
        <v>◇ スカート サイズ レディース E</v>
      </c>
      <c r="D207" s="3" t="str">
        <f>IF(スカート!E9="","",スカート!E9)</f>
        <v>無</v>
      </c>
      <c r="E207" s="3" t="str">
        <f>IF(スカート!AA9="","",スカート!AA9)</f>
        <v>ベースW</v>
      </c>
      <c r="F207" s="3" t="str">
        <f>IF(スカート!G9="","",スカート!G9)</f>
        <v/>
      </c>
      <c r="G207" s="3" t="str">
        <f>IF(スカート!H9="","",スカート!H9)</f>
        <v/>
      </c>
      <c r="H207" s="3" t="str">
        <f>IF(スカート!I9="","",スカート!I9)</f>
        <v/>
      </c>
      <c r="I207" s="3" t="str">
        <f>IF(スカート!J9="","",スカート!J9)</f>
        <v>画像参照</v>
      </c>
      <c r="J207" s="3" t="str">
        <f>IF(スカート!K9="","",スカート!K9)</f>
        <v/>
      </c>
      <c r="K207" s="3" t="str">
        <f>IF(スカート!L9="","",スカート!L9)</f>
        <v>サイズ</v>
      </c>
      <c r="L207" s="69" t="s">
        <v>80</v>
      </c>
      <c r="M207" s="69" t="s">
        <v>19</v>
      </c>
      <c r="N207" s="3" t="str">
        <f xml:space="preserve"> スカート!Z9</f>
        <v>総丈：約cm　ウエスト：約cm　ヒップ：約cm</v>
      </c>
      <c r="O207" s="69" t="s">
        <v>21</v>
      </c>
      <c r="P207" s="4" t="s">
        <v>3036</v>
      </c>
      <c r="Q207" s="4" t="s">
        <v>3038</v>
      </c>
      <c r="R207" s="69" t="s">
        <v>22</v>
      </c>
      <c r="S207" s="69" t="s">
        <v>23</v>
      </c>
      <c r="T207" s="69" t="s">
        <v>22</v>
      </c>
      <c r="U207" s="69" t="s">
        <v>24</v>
      </c>
      <c r="V207" s="69" t="s">
        <v>25</v>
      </c>
      <c r="W207" s="69" t="s">
        <v>26</v>
      </c>
      <c r="X207" s="69" t="s">
        <v>27</v>
      </c>
      <c r="Y207" s="69" t="s">
        <v>28</v>
      </c>
      <c r="Z207" s="69" t="s">
        <v>29</v>
      </c>
      <c r="AA207" s="4"/>
      <c r="AB207" s="4"/>
      <c r="AC207" s="4"/>
      <c r="AD207" s="70"/>
      <c r="AE207" s="70">
        <f>スカート!AE9</f>
        <v>0</v>
      </c>
      <c r="AF207" s="70" t="str">
        <f>スカート!P9</f>
        <v>通常</v>
      </c>
      <c r="AG207" s="70">
        <v>0</v>
      </c>
      <c r="AH207" s="6">
        <f xml:space="preserve"> スカート!AC9</f>
        <v>0</v>
      </c>
      <c r="AI207">
        <v>1</v>
      </c>
      <c r="AJ207">
        <f>スカート!S9</f>
        <v>0</v>
      </c>
    </row>
    <row r="208" spans="1:36" ht="13.5" hidden="1" customHeight="1">
      <c r="A208" s="3" t="str">
        <f>IF(スカート!A10="","",スカート!A10)</f>
        <v/>
      </c>
      <c r="B208" s="68" t="str">
        <f>IF(スカート!B10="","",スカート!B10)</f>
        <v/>
      </c>
      <c r="C208" s="3" t="str">
        <f>IF(スカート!C10="","",スカート!C10)</f>
        <v>◇ スカート サイズ レディース E</v>
      </c>
      <c r="D208" s="3" t="str">
        <f>IF(スカート!E10="","",スカート!E10)</f>
        <v>無</v>
      </c>
      <c r="E208" s="3" t="str">
        <f>IF(スカート!AA10="","",スカート!AA10)</f>
        <v>ベースW</v>
      </c>
      <c r="F208" s="3" t="str">
        <f>IF(スカート!G10="","",スカート!G10)</f>
        <v/>
      </c>
      <c r="G208" s="3" t="str">
        <f>IF(スカート!H10="","",スカート!H10)</f>
        <v/>
      </c>
      <c r="H208" s="3" t="str">
        <f>IF(スカート!I10="","",スカート!I10)</f>
        <v/>
      </c>
      <c r="I208" s="3" t="str">
        <f>IF(スカート!J10="","",スカート!J10)</f>
        <v>画像参照</v>
      </c>
      <c r="J208" s="3" t="str">
        <f>IF(スカート!K10="","",スカート!K10)</f>
        <v/>
      </c>
      <c r="K208" s="3" t="str">
        <f>IF(スカート!L10="","",スカート!L10)</f>
        <v>サイズ</v>
      </c>
      <c r="L208" s="69" t="s">
        <v>80</v>
      </c>
      <c r="M208" s="69" t="s">
        <v>19</v>
      </c>
      <c r="N208" s="3" t="str">
        <f xml:space="preserve"> スカート!Z10</f>
        <v>総丈：約cm　ウエスト：約cm　ヒップ：約cm</v>
      </c>
      <c r="O208" s="69" t="s">
        <v>21</v>
      </c>
      <c r="P208" s="4" t="s">
        <v>3036</v>
      </c>
      <c r="Q208" s="4" t="s">
        <v>3038</v>
      </c>
      <c r="R208" s="69" t="s">
        <v>22</v>
      </c>
      <c r="S208" s="69" t="s">
        <v>23</v>
      </c>
      <c r="T208" s="69" t="s">
        <v>22</v>
      </c>
      <c r="U208" s="69" t="s">
        <v>24</v>
      </c>
      <c r="V208" s="69" t="s">
        <v>25</v>
      </c>
      <c r="W208" s="69" t="s">
        <v>26</v>
      </c>
      <c r="X208" s="69" t="s">
        <v>27</v>
      </c>
      <c r="Y208" s="69" t="s">
        <v>28</v>
      </c>
      <c r="Z208" s="69" t="s">
        <v>29</v>
      </c>
      <c r="AA208" s="4"/>
      <c r="AB208" s="4"/>
      <c r="AC208" s="4"/>
      <c r="AD208" s="70"/>
      <c r="AE208" s="70">
        <f>スカート!AE10</f>
        <v>0</v>
      </c>
      <c r="AF208" s="70" t="str">
        <f>スカート!P10</f>
        <v>通常</v>
      </c>
      <c r="AG208" s="70">
        <v>0</v>
      </c>
      <c r="AH208" s="6">
        <f xml:space="preserve"> スカート!AC10</f>
        <v>0</v>
      </c>
      <c r="AI208">
        <v>1</v>
      </c>
      <c r="AJ208">
        <f>スカート!S10</f>
        <v>0</v>
      </c>
    </row>
    <row r="209" spans="1:36" ht="13.5" hidden="1" customHeight="1">
      <c r="A209" s="3" t="str">
        <f>IF(スカート!A11="","",スカート!A11)</f>
        <v/>
      </c>
      <c r="B209" s="68" t="str">
        <f>IF(スカート!B11="","",スカート!B11)</f>
        <v/>
      </c>
      <c r="C209" s="3" t="str">
        <f>IF(スカート!C11="","",スカート!C11)</f>
        <v>◇ スカート サイズ レディース E</v>
      </c>
      <c r="D209" s="3" t="str">
        <f>IF(スカート!E11="","",スカート!E11)</f>
        <v>無</v>
      </c>
      <c r="E209" s="3" t="str">
        <f>IF(スカート!AA11="","",スカート!AA11)</f>
        <v>ベースW</v>
      </c>
      <c r="F209" s="3" t="str">
        <f>IF(スカート!G11="","",スカート!G11)</f>
        <v/>
      </c>
      <c r="G209" s="3" t="str">
        <f>IF(スカート!H11="","",スカート!H11)</f>
        <v/>
      </c>
      <c r="H209" s="3" t="str">
        <f>IF(スカート!I11="","",スカート!I11)</f>
        <v/>
      </c>
      <c r="I209" s="3" t="str">
        <f>IF(スカート!J11="","",スカート!J11)</f>
        <v>画像参照</v>
      </c>
      <c r="J209" s="3" t="str">
        <f>IF(スカート!K11="","",スカート!K11)</f>
        <v/>
      </c>
      <c r="K209" s="3" t="str">
        <f>IF(スカート!L11="","",スカート!L11)</f>
        <v>サイズ</v>
      </c>
      <c r="L209" s="69" t="s">
        <v>80</v>
      </c>
      <c r="M209" s="69" t="s">
        <v>19</v>
      </c>
      <c r="N209" s="3" t="str">
        <f xml:space="preserve"> スカート!Z11</f>
        <v>総丈：約cm　ウエスト：約cm　ヒップ：約cm</v>
      </c>
      <c r="O209" s="69" t="s">
        <v>21</v>
      </c>
      <c r="P209" s="4" t="s">
        <v>3036</v>
      </c>
      <c r="Q209" s="4" t="s">
        <v>3038</v>
      </c>
      <c r="R209" s="69" t="s">
        <v>22</v>
      </c>
      <c r="S209" s="69" t="s">
        <v>23</v>
      </c>
      <c r="T209" s="69" t="s">
        <v>22</v>
      </c>
      <c r="U209" s="69" t="s">
        <v>24</v>
      </c>
      <c r="V209" s="69" t="s">
        <v>25</v>
      </c>
      <c r="W209" s="69" t="s">
        <v>26</v>
      </c>
      <c r="X209" s="69" t="s">
        <v>27</v>
      </c>
      <c r="Y209" s="69" t="s">
        <v>28</v>
      </c>
      <c r="Z209" s="69" t="s">
        <v>29</v>
      </c>
      <c r="AA209" s="4"/>
      <c r="AB209" s="4"/>
      <c r="AC209" s="4"/>
      <c r="AD209" s="70"/>
      <c r="AE209" s="70">
        <f>スカート!AE11</f>
        <v>0</v>
      </c>
      <c r="AF209" s="70" t="str">
        <f>スカート!P11</f>
        <v>通常</v>
      </c>
      <c r="AG209" s="70">
        <v>0</v>
      </c>
      <c r="AH209" s="6">
        <f xml:space="preserve"> スカート!AC11</f>
        <v>0</v>
      </c>
      <c r="AI209">
        <v>1</v>
      </c>
      <c r="AJ209">
        <f>スカート!S11</f>
        <v>0</v>
      </c>
    </row>
    <row r="210" spans="1:36" ht="13.5" hidden="1" customHeight="1">
      <c r="A210" s="3" t="str">
        <f>IF(スカート!A12="","",スカート!A12)</f>
        <v/>
      </c>
      <c r="B210" s="68" t="str">
        <f>IF(スカート!B12="","",スカート!B12)</f>
        <v/>
      </c>
      <c r="C210" s="3" t="str">
        <f>IF(スカート!C12="","",スカート!C12)</f>
        <v>◇ スカート サイズ レディース E</v>
      </c>
      <c r="D210" s="3" t="str">
        <f>IF(スカート!E12="","",スカート!E12)</f>
        <v>無</v>
      </c>
      <c r="E210" s="3" t="str">
        <f>IF(スカート!AA12="","",スカート!AA12)</f>
        <v>ベースW</v>
      </c>
      <c r="F210" s="3" t="str">
        <f>IF(スカート!G12="","",スカート!G12)</f>
        <v/>
      </c>
      <c r="G210" s="3" t="str">
        <f>IF(スカート!H12="","",スカート!H12)</f>
        <v/>
      </c>
      <c r="H210" s="3" t="str">
        <f>IF(スカート!I12="","",スカート!I12)</f>
        <v/>
      </c>
      <c r="I210" s="3" t="str">
        <f>IF(スカート!J12="","",スカート!J12)</f>
        <v>画像参照</v>
      </c>
      <c r="J210" s="3" t="str">
        <f>IF(スカート!K12="","",スカート!K12)</f>
        <v/>
      </c>
      <c r="K210" s="3" t="str">
        <f>IF(スカート!L12="","",スカート!L12)</f>
        <v>サイズ</v>
      </c>
      <c r="L210" s="69" t="s">
        <v>80</v>
      </c>
      <c r="M210" s="69" t="s">
        <v>19</v>
      </c>
      <c r="N210" s="3" t="str">
        <f xml:space="preserve"> スカート!Z12</f>
        <v>総丈：約cm　ウエスト：約cm　ヒップ：約cm</v>
      </c>
      <c r="O210" s="69" t="s">
        <v>21</v>
      </c>
      <c r="P210" s="4" t="s">
        <v>3036</v>
      </c>
      <c r="Q210" s="4" t="s">
        <v>3038</v>
      </c>
      <c r="R210" s="69" t="s">
        <v>22</v>
      </c>
      <c r="S210" s="69" t="s">
        <v>23</v>
      </c>
      <c r="T210" s="69" t="s">
        <v>22</v>
      </c>
      <c r="U210" s="69" t="s">
        <v>24</v>
      </c>
      <c r="V210" s="69" t="s">
        <v>25</v>
      </c>
      <c r="W210" s="69" t="s">
        <v>26</v>
      </c>
      <c r="X210" s="69" t="s">
        <v>27</v>
      </c>
      <c r="Y210" s="69" t="s">
        <v>28</v>
      </c>
      <c r="Z210" s="69" t="s">
        <v>29</v>
      </c>
      <c r="AA210" s="4"/>
      <c r="AB210" s="4"/>
      <c r="AC210" s="4"/>
      <c r="AD210" s="70"/>
      <c r="AE210" s="70">
        <f>スカート!AE12</f>
        <v>0</v>
      </c>
      <c r="AF210" s="70" t="str">
        <f>スカート!P12</f>
        <v>通常</v>
      </c>
      <c r="AG210" s="70">
        <v>0</v>
      </c>
      <c r="AH210" s="6">
        <f xml:space="preserve"> スカート!AC12</f>
        <v>0</v>
      </c>
      <c r="AI210">
        <v>1</v>
      </c>
      <c r="AJ210">
        <f>スカート!S12</f>
        <v>0</v>
      </c>
    </row>
    <row r="211" spans="1:36" ht="13.5" hidden="1" customHeight="1">
      <c r="A211" s="3" t="str">
        <f>IF(スカート!A13="","",スカート!A13)</f>
        <v/>
      </c>
      <c r="B211" s="68" t="str">
        <f>IF(スカート!B13="","",スカート!B13)</f>
        <v/>
      </c>
      <c r="C211" s="3" t="str">
        <f>IF(スカート!C13="","",スカート!C13)</f>
        <v>◇ スカート サイズ レディース E</v>
      </c>
      <c r="D211" s="3" t="str">
        <f>IF(スカート!E13="","",スカート!E13)</f>
        <v>無</v>
      </c>
      <c r="E211" s="3" t="str">
        <f>IF(スカート!AA13="","",スカート!AA13)</f>
        <v>ベースW</v>
      </c>
      <c r="F211" s="3" t="str">
        <f>IF(スカート!G13="","",スカート!G13)</f>
        <v/>
      </c>
      <c r="G211" s="3" t="str">
        <f>IF(スカート!H13="","",スカート!H13)</f>
        <v/>
      </c>
      <c r="H211" s="3" t="str">
        <f>IF(スカート!I13="","",スカート!I13)</f>
        <v/>
      </c>
      <c r="I211" s="3" t="str">
        <f>IF(スカート!J13="","",スカート!J13)</f>
        <v>画像参照</v>
      </c>
      <c r="J211" s="3" t="str">
        <f>IF(スカート!K13="","",スカート!K13)</f>
        <v/>
      </c>
      <c r="K211" s="3" t="str">
        <f>IF(スカート!L13="","",スカート!L13)</f>
        <v>サイズ</v>
      </c>
      <c r="L211" s="69" t="s">
        <v>80</v>
      </c>
      <c r="M211" s="69" t="s">
        <v>19</v>
      </c>
      <c r="N211" s="3" t="str">
        <f xml:space="preserve"> スカート!Z13</f>
        <v>総丈：約cm　ウエスト：約cm　ヒップ：約cm</v>
      </c>
      <c r="O211" s="69" t="s">
        <v>21</v>
      </c>
      <c r="P211" s="4" t="s">
        <v>3036</v>
      </c>
      <c r="Q211" s="4" t="s">
        <v>3038</v>
      </c>
      <c r="R211" s="69" t="s">
        <v>22</v>
      </c>
      <c r="S211" s="69" t="s">
        <v>23</v>
      </c>
      <c r="T211" s="69" t="s">
        <v>22</v>
      </c>
      <c r="U211" s="69" t="s">
        <v>24</v>
      </c>
      <c r="V211" s="69" t="s">
        <v>25</v>
      </c>
      <c r="W211" s="69" t="s">
        <v>26</v>
      </c>
      <c r="X211" s="69" t="s">
        <v>27</v>
      </c>
      <c r="Y211" s="69" t="s">
        <v>28</v>
      </c>
      <c r="Z211" s="69" t="s">
        <v>29</v>
      </c>
      <c r="AA211" s="4"/>
      <c r="AB211" s="4"/>
      <c r="AC211" s="4"/>
      <c r="AD211" s="70"/>
      <c r="AE211" s="70">
        <f>スカート!AE13</f>
        <v>0</v>
      </c>
      <c r="AF211" s="70" t="str">
        <f>スカート!P13</f>
        <v>通常</v>
      </c>
      <c r="AG211" s="70">
        <v>0</v>
      </c>
      <c r="AH211" s="6">
        <f xml:space="preserve"> スカート!AC13</f>
        <v>0</v>
      </c>
      <c r="AI211">
        <v>1</v>
      </c>
      <c r="AJ211">
        <f>スカート!S13</f>
        <v>0</v>
      </c>
    </row>
    <row r="212" spans="1:36" ht="13.5" hidden="1" customHeight="1">
      <c r="A212" s="3" t="str">
        <f>IF(スカート!A14="","",スカート!A14)</f>
        <v/>
      </c>
      <c r="B212" s="68" t="str">
        <f>IF(スカート!B14="","",スカート!B14)</f>
        <v/>
      </c>
      <c r="C212" s="3" t="str">
        <f>IF(スカート!C14="","",スカート!C14)</f>
        <v>◇ スカート サイズ レディース E</v>
      </c>
      <c r="D212" s="3" t="str">
        <f>IF(スカート!E14="","",スカート!E14)</f>
        <v>無</v>
      </c>
      <c r="E212" s="3" t="str">
        <f>IF(スカート!AA14="","",スカート!AA14)</f>
        <v>ベースW</v>
      </c>
      <c r="F212" s="3" t="str">
        <f>IF(スカート!G14="","",スカート!G14)</f>
        <v/>
      </c>
      <c r="G212" s="3" t="str">
        <f>IF(スカート!H14="","",スカート!H14)</f>
        <v/>
      </c>
      <c r="H212" s="3" t="str">
        <f>IF(スカート!I14="","",スカート!I14)</f>
        <v/>
      </c>
      <c r="I212" s="3" t="str">
        <f>IF(スカート!J14="","",スカート!J14)</f>
        <v>画像参照</v>
      </c>
      <c r="J212" s="3" t="str">
        <f>IF(スカート!K14="","",スカート!K14)</f>
        <v/>
      </c>
      <c r="K212" s="3" t="str">
        <f>IF(スカート!L14="","",スカート!L14)</f>
        <v>サイズ</v>
      </c>
      <c r="L212" s="69" t="s">
        <v>80</v>
      </c>
      <c r="M212" s="69" t="s">
        <v>19</v>
      </c>
      <c r="N212" s="3" t="str">
        <f xml:space="preserve"> スカート!Z14</f>
        <v>総丈：約cm　ウエスト：約cm　ヒップ：約cm</v>
      </c>
      <c r="O212" s="69" t="s">
        <v>21</v>
      </c>
      <c r="P212" s="4" t="s">
        <v>3036</v>
      </c>
      <c r="Q212" s="4" t="s">
        <v>3038</v>
      </c>
      <c r="R212" s="69" t="s">
        <v>22</v>
      </c>
      <c r="S212" s="69" t="s">
        <v>23</v>
      </c>
      <c r="T212" s="69" t="s">
        <v>22</v>
      </c>
      <c r="U212" s="69" t="s">
        <v>24</v>
      </c>
      <c r="V212" s="69" t="s">
        <v>25</v>
      </c>
      <c r="W212" s="69" t="s">
        <v>26</v>
      </c>
      <c r="X212" s="69" t="s">
        <v>27</v>
      </c>
      <c r="Y212" s="69" t="s">
        <v>28</v>
      </c>
      <c r="Z212" s="69" t="s">
        <v>29</v>
      </c>
      <c r="AA212" s="4"/>
      <c r="AB212" s="4"/>
      <c r="AC212" s="4"/>
      <c r="AD212" s="70"/>
      <c r="AE212" s="70">
        <f>スカート!AE14</f>
        <v>0</v>
      </c>
      <c r="AF212" s="70" t="str">
        <f>スカート!P14</f>
        <v>通常</v>
      </c>
      <c r="AG212" s="70">
        <v>0</v>
      </c>
      <c r="AH212" s="6">
        <f xml:space="preserve"> スカート!AC14</f>
        <v>0</v>
      </c>
      <c r="AI212">
        <v>1</v>
      </c>
      <c r="AJ212">
        <f>スカート!S14</f>
        <v>0</v>
      </c>
    </row>
    <row r="213" spans="1:36" ht="13.5" hidden="1" customHeight="1">
      <c r="A213" s="3" t="str">
        <f>IF(スカート!A15="","",スカート!A15)</f>
        <v/>
      </c>
      <c r="B213" s="68" t="str">
        <f>IF(スカート!B15="","",スカート!B15)</f>
        <v/>
      </c>
      <c r="C213" s="3" t="str">
        <f>IF(スカート!C15="","",スカート!C15)</f>
        <v>◇ スカート サイズ レディース E</v>
      </c>
      <c r="D213" s="3" t="str">
        <f>IF(スカート!E15="","",スカート!E15)</f>
        <v>無</v>
      </c>
      <c r="E213" s="3" t="str">
        <f>IF(スカート!AA15="","",スカート!AA15)</f>
        <v>ベースW</v>
      </c>
      <c r="F213" s="3" t="str">
        <f>IF(スカート!G15="","",スカート!G15)</f>
        <v/>
      </c>
      <c r="G213" s="3" t="str">
        <f>IF(スカート!H15="","",スカート!H15)</f>
        <v/>
      </c>
      <c r="H213" s="3" t="str">
        <f>IF(スカート!I15="","",スカート!I15)</f>
        <v/>
      </c>
      <c r="I213" s="3" t="str">
        <f>IF(スカート!J15="","",スカート!J15)</f>
        <v>画像参照</v>
      </c>
      <c r="J213" s="3" t="str">
        <f>IF(スカート!K15="","",スカート!K15)</f>
        <v/>
      </c>
      <c r="K213" s="3" t="str">
        <f>IF(スカート!L15="","",スカート!L15)</f>
        <v>サイズ</v>
      </c>
      <c r="L213" s="69" t="s">
        <v>80</v>
      </c>
      <c r="M213" s="69" t="s">
        <v>19</v>
      </c>
      <c r="N213" s="3" t="str">
        <f xml:space="preserve"> スカート!Z15</f>
        <v>総丈：約cm　ウエスト：約cm　ヒップ：約cm</v>
      </c>
      <c r="O213" s="69" t="s">
        <v>21</v>
      </c>
      <c r="P213" s="4" t="s">
        <v>3036</v>
      </c>
      <c r="Q213" s="4" t="s">
        <v>3038</v>
      </c>
      <c r="R213" s="69" t="s">
        <v>22</v>
      </c>
      <c r="S213" s="69" t="s">
        <v>23</v>
      </c>
      <c r="T213" s="69" t="s">
        <v>22</v>
      </c>
      <c r="U213" s="69" t="s">
        <v>24</v>
      </c>
      <c r="V213" s="69" t="s">
        <v>25</v>
      </c>
      <c r="W213" s="69" t="s">
        <v>26</v>
      </c>
      <c r="X213" s="69" t="s">
        <v>27</v>
      </c>
      <c r="Y213" s="69" t="s">
        <v>28</v>
      </c>
      <c r="Z213" s="69" t="s">
        <v>29</v>
      </c>
      <c r="AA213" s="4"/>
      <c r="AB213" s="4"/>
      <c r="AC213" s="4"/>
      <c r="AD213" s="70"/>
      <c r="AE213" s="70">
        <f>スカート!AE15</f>
        <v>0</v>
      </c>
      <c r="AF213" s="70" t="str">
        <f>スカート!P15</f>
        <v>通常</v>
      </c>
      <c r="AG213" s="70">
        <v>0</v>
      </c>
      <c r="AH213" s="6">
        <f xml:space="preserve"> スカート!AC15</f>
        <v>0</v>
      </c>
      <c r="AI213">
        <v>1</v>
      </c>
      <c r="AJ213">
        <f>スカート!S15</f>
        <v>0</v>
      </c>
    </row>
    <row r="214" spans="1:36" ht="13.5" hidden="1" customHeight="1">
      <c r="A214" s="3" t="str">
        <f>IF(スカート!A16="","",スカート!A16)</f>
        <v/>
      </c>
      <c r="B214" s="68" t="str">
        <f>IF(スカート!B16="","",スカート!B16)</f>
        <v/>
      </c>
      <c r="C214" s="3" t="str">
        <f>IF(スカート!C16="","",スカート!C16)</f>
        <v>◇ スカート サイズ レディース E</v>
      </c>
      <c r="D214" s="3" t="str">
        <f>IF(スカート!E16="","",スカート!E16)</f>
        <v>無</v>
      </c>
      <c r="E214" s="3" t="str">
        <f>IF(スカート!AA16="","",スカート!AA16)</f>
        <v>ベースW</v>
      </c>
      <c r="F214" s="3" t="str">
        <f>IF(スカート!G16="","",スカート!G16)</f>
        <v/>
      </c>
      <c r="G214" s="3" t="str">
        <f>IF(スカート!H16="","",スカート!H16)</f>
        <v/>
      </c>
      <c r="H214" s="3" t="str">
        <f>IF(スカート!I16="","",スカート!I16)</f>
        <v/>
      </c>
      <c r="I214" s="3" t="str">
        <f>IF(スカート!J16="","",スカート!J16)</f>
        <v>画像参照</v>
      </c>
      <c r="J214" s="3" t="str">
        <f>IF(スカート!K16="","",スカート!K16)</f>
        <v/>
      </c>
      <c r="K214" s="3" t="str">
        <f>IF(スカート!L16="","",スカート!L16)</f>
        <v>サイズ</v>
      </c>
      <c r="L214" s="69" t="s">
        <v>80</v>
      </c>
      <c r="M214" s="69" t="s">
        <v>19</v>
      </c>
      <c r="N214" s="3" t="str">
        <f xml:space="preserve"> スカート!Z16</f>
        <v>総丈：約cm　ウエスト：約cm　ヒップ：約cm</v>
      </c>
      <c r="O214" s="69" t="s">
        <v>21</v>
      </c>
      <c r="P214" s="4" t="s">
        <v>3036</v>
      </c>
      <c r="Q214" s="4" t="s">
        <v>3038</v>
      </c>
      <c r="R214" s="69" t="s">
        <v>22</v>
      </c>
      <c r="S214" s="69" t="s">
        <v>23</v>
      </c>
      <c r="T214" s="69" t="s">
        <v>22</v>
      </c>
      <c r="U214" s="69" t="s">
        <v>24</v>
      </c>
      <c r="V214" s="69" t="s">
        <v>25</v>
      </c>
      <c r="W214" s="69" t="s">
        <v>26</v>
      </c>
      <c r="X214" s="69" t="s">
        <v>27</v>
      </c>
      <c r="Y214" s="69" t="s">
        <v>28</v>
      </c>
      <c r="Z214" s="69" t="s">
        <v>29</v>
      </c>
      <c r="AA214" s="4"/>
      <c r="AB214" s="4"/>
      <c r="AC214" s="4"/>
      <c r="AD214" s="70"/>
      <c r="AE214" s="70">
        <f>スカート!AE16</f>
        <v>0</v>
      </c>
      <c r="AF214" s="70" t="str">
        <f>スカート!P16</f>
        <v>通常</v>
      </c>
      <c r="AG214" s="70">
        <v>0</v>
      </c>
      <c r="AH214" s="6">
        <f xml:space="preserve"> スカート!AC16</f>
        <v>0</v>
      </c>
      <c r="AI214">
        <v>1</v>
      </c>
      <c r="AJ214">
        <f>スカート!S16</f>
        <v>0</v>
      </c>
    </row>
    <row r="215" spans="1:36" ht="13.5" hidden="1" customHeight="1">
      <c r="A215" s="3" t="str">
        <f>IF(スカート!A17="","",スカート!A17)</f>
        <v/>
      </c>
      <c r="B215" s="68" t="str">
        <f>IF(スカート!B17="","",スカート!B17)</f>
        <v/>
      </c>
      <c r="C215" s="3" t="str">
        <f>IF(スカート!C17="","",スカート!C17)</f>
        <v>◇ スカート サイズ レディース E</v>
      </c>
      <c r="D215" s="3" t="str">
        <f>IF(スカート!E17="","",スカート!E17)</f>
        <v>無</v>
      </c>
      <c r="E215" s="3" t="str">
        <f>IF(スカート!AA17="","",スカート!AA17)</f>
        <v>ベースW</v>
      </c>
      <c r="F215" s="3" t="str">
        <f>IF(スカート!G17="","",スカート!G17)</f>
        <v/>
      </c>
      <c r="G215" s="3" t="str">
        <f>IF(スカート!H17="","",スカート!H17)</f>
        <v/>
      </c>
      <c r="H215" s="3" t="str">
        <f>IF(スカート!I17="","",スカート!I17)</f>
        <v/>
      </c>
      <c r="I215" s="3" t="str">
        <f>IF(スカート!J17="","",スカート!J17)</f>
        <v>画像参照</v>
      </c>
      <c r="J215" s="3" t="str">
        <f>IF(スカート!K17="","",スカート!K17)</f>
        <v/>
      </c>
      <c r="K215" s="3" t="str">
        <f>IF(スカート!L17="","",スカート!L17)</f>
        <v>サイズ</v>
      </c>
      <c r="L215" s="69" t="s">
        <v>80</v>
      </c>
      <c r="M215" s="69" t="s">
        <v>19</v>
      </c>
      <c r="N215" s="3" t="str">
        <f xml:space="preserve"> スカート!Z17</f>
        <v>総丈：約cm　ウエスト：約cm　ヒップ：約cm</v>
      </c>
      <c r="O215" s="69" t="s">
        <v>21</v>
      </c>
      <c r="P215" s="4" t="s">
        <v>3036</v>
      </c>
      <c r="Q215" s="4" t="s">
        <v>3038</v>
      </c>
      <c r="R215" s="69" t="s">
        <v>22</v>
      </c>
      <c r="S215" s="69" t="s">
        <v>23</v>
      </c>
      <c r="T215" s="69" t="s">
        <v>22</v>
      </c>
      <c r="U215" s="69" t="s">
        <v>24</v>
      </c>
      <c r="V215" s="69" t="s">
        <v>25</v>
      </c>
      <c r="W215" s="69" t="s">
        <v>26</v>
      </c>
      <c r="X215" s="69" t="s">
        <v>27</v>
      </c>
      <c r="Y215" s="69" t="s">
        <v>28</v>
      </c>
      <c r="Z215" s="69" t="s">
        <v>29</v>
      </c>
      <c r="AA215" s="4"/>
      <c r="AB215" s="4"/>
      <c r="AC215" s="4"/>
      <c r="AD215" s="70"/>
      <c r="AE215" s="70">
        <f>スカート!AE17</f>
        <v>0</v>
      </c>
      <c r="AF215" s="70" t="str">
        <f>スカート!P17</f>
        <v>通常</v>
      </c>
      <c r="AG215" s="70">
        <v>0</v>
      </c>
      <c r="AH215" s="6">
        <f xml:space="preserve"> スカート!AC17</f>
        <v>0</v>
      </c>
      <c r="AI215">
        <v>1</v>
      </c>
      <c r="AJ215">
        <f>スカート!S17</f>
        <v>0</v>
      </c>
    </row>
    <row r="216" spans="1:36" ht="13.5" hidden="1" customHeight="1">
      <c r="A216" s="3" t="str">
        <f>IF(スカート!A18="","",スカート!A18)</f>
        <v/>
      </c>
      <c r="B216" s="68" t="str">
        <f>IF(スカート!B18="","",スカート!B18)</f>
        <v/>
      </c>
      <c r="C216" s="3" t="str">
        <f>IF(スカート!C18="","",スカート!C18)</f>
        <v>◇ スカート サイズ レディース E</v>
      </c>
      <c r="D216" s="3" t="str">
        <f>IF(スカート!E18="","",スカート!E18)</f>
        <v>無</v>
      </c>
      <c r="E216" s="3" t="str">
        <f>IF(スカート!AA18="","",スカート!AA18)</f>
        <v>ベースW</v>
      </c>
      <c r="F216" s="3" t="str">
        <f>IF(スカート!G18="","",スカート!G18)</f>
        <v/>
      </c>
      <c r="G216" s="3" t="str">
        <f>IF(スカート!H18="","",スカート!H18)</f>
        <v/>
      </c>
      <c r="H216" s="3" t="str">
        <f>IF(スカート!I18="","",スカート!I18)</f>
        <v/>
      </c>
      <c r="I216" s="3" t="str">
        <f>IF(スカート!J18="","",スカート!J18)</f>
        <v>画像参照</v>
      </c>
      <c r="J216" s="3" t="str">
        <f>IF(スカート!K18="","",スカート!K18)</f>
        <v/>
      </c>
      <c r="K216" s="3" t="str">
        <f>IF(スカート!L18="","",スカート!L18)</f>
        <v>サイズ</v>
      </c>
      <c r="L216" s="69" t="s">
        <v>80</v>
      </c>
      <c r="M216" s="69" t="s">
        <v>19</v>
      </c>
      <c r="N216" s="3" t="str">
        <f xml:space="preserve"> スカート!Z18</f>
        <v>総丈：約cm　ウエスト：約cm　ヒップ：約cm</v>
      </c>
      <c r="O216" s="69" t="s">
        <v>21</v>
      </c>
      <c r="P216" s="4" t="s">
        <v>3036</v>
      </c>
      <c r="Q216" s="4" t="s">
        <v>3038</v>
      </c>
      <c r="R216" s="69" t="s">
        <v>22</v>
      </c>
      <c r="S216" s="69" t="s">
        <v>23</v>
      </c>
      <c r="T216" s="69" t="s">
        <v>22</v>
      </c>
      <c r="U216" s="69" t="s">
        <v>24</v>
      </c>
      <c r="V216" s="69" t="s">
        <v>25</v>
      </c>
      <c r="W216" s="69" t="s">
        <v>26</v>
      </c>
      <c r="X216" s="69" t="s">
        <v>27</v>
      </c>
      <c r="Y216" s="69" t="s">
        <v>28</v>
      </c>
      <c r="Z216" s="69" t="s">
        <v>29</v>
      </c>
      <c r="AA216" s="4"/>
      <c r="AB216" s="4"/>
      <c r="AC216" s="4"/>
      <c r="AD216" s="70"/>
      <c r="AE216" s="70">
        <f>スカート!AE18</f>
        <v>0</v>
      </c>
      <c r="AF216" s="70" t="str">
        <f>スカート!P18</f>
        <v>通常</v>
      </c>
      <c r="AG216" s="70">
        <v>0</v>
      </c>
      <c r="AH216" s="6">
        <f xml:space="preserve"> スカート!AC18</f>
        <v>0</v>
      </c>
      <c r="AI216">
        <v>1</v>
      </c>
      <c r="AJ216">
        <f>スカート!S18</f>
        <v>0</v>
      </c>
    </row>
    <row r="217" spans="1:36" ht="13.5" hidden="1" customHeight="1">
      <c r="A217" s="3" t="str">
        <f>IF(スカート!A19="","",スカート!A19)</f>
        <v/>
      </c>
      <c r="B217" s="68" t="str">
        <f>IF(スカート!B19="","",スカート!B19)</f>
        <v/>
      </c>
      <c r="C217" s="3" t="str">
        <f>IF(スカート!C19="","",スカート!C19)</f>
        <v>◇ スカート サイズ レディース E</v>
      </c>
      <c r="D217" s="3" t="str">
        <f>IF(スカート!E19="","",スカート!E19)</f>
        <v>無</v>
      </c>
      <c r="E217" s="3" t="str">
        <f>IF(スカート!AA19="","",スカート!AA19)</f>
        <v>ベースW</v>
      </c>
      <c r="F217" s="3" t="str">
        <f>IF(スカート!G19="","",スカート!G19)</f>
        <v/>
      </c>
      <c r="G217" s="3" t="str">
        <f>IF(スカート!H19="","",スカート!H19)</f>
        <v/>
      </c>
      <c r="H217" s="3" t="str">
        <f>IF(スカート!I19="","",スカート!I19)</f>
        <v/>
      </c>
      <c r="I217" s="3" t="str">
        <f>IF(スカート!J19="","",スカート!J19)</f>
        <v>画像参照</v>
      </c>
      <c r="J217" s="3" t="str">
        <f>IF(スカート!K19="","",スカート!K19)</f>
        <v/>
      </c>
      <c r="K217" s="3" t="str">
        <f>IF(スカート!L19="","",スカート!L19)</f>
        <v>サイズ</v>
      </c>
      <c r="L217" s="69" t="s">
        <v>80</v>
      </c>
      <c r="M217" s="69" t="s">
        <v>19</v>
      </c>
      <c r="N217" s="3" t="str">
        <f xml:space="preserve"> スカート!Z19</f>
        <v>総丈：約cm　ウエスト：約cm　ヒップ：約cm</v>
      </c>
      <c r="O217" s="69" t="s">
        <v>21</v>
      </c>
      <c r="P217" s="4" t="s">
        <v>3036</v>
      </c>
      <c r="Q217" s="4" t="s">
        <v>3038</v>
      </c>
      <c r="R217" s="69" t="s">
        <v>22</v>
      </c>
      <c r="S217" s="69" t="s">
        <v>23</v>
      </c>
      <c r="T217" s="69" t="s">
        <v>22</v>
      </c>
      <c r="U217" s="69" t="s">
        <v>24</v>
      </c>
      <c r="V217" s="69" t="s">
        <v>25</v>
      </c>
      <c r="W217" s="69" t="s">
        <v>26</v>
      </c>
      <c r="X217" s="69" t="s">
        <v>27</v>
      </c>
      <c r="Y217" s="69" t="s">
        <v>28</v>
      </c>
      <c r="Z217" s="69" t="s">
        <v>29</v>
      </c>
      <c r="AA217" s="4"/>
      <c r="AB217" s="4"/>
      <c r="AC217" s="4"/>
      <c r="AD217" s="70"/>
      <c r="AE217" s="70">
        <f>スカート!AE19</f>
        <v>0</v>
      </c>
      <c r="AF217" s="70" t="str">
        <f>スカート!P19</f>
        <v>通常</v>
      </c>
      <c r="AG217" s="70">
        <v>0</v>
      </c>
      <c r="AH217" s="6">
        <f xml:space="preserve"> スカート!AC19</f>
        <v>0</v>
      </c>
      <c r="AI217">
        <v>1</v>
      </c>
      <c r="AJ217">
        <f>スカート!S19</f>
        <v>0</v>
      </c>
    </row>
    <row r="218" spans="1:36" ht="13.5" hidden="1" customHeight="1">
      <c r="A218" s="3" t="str">
        <f>IF(スカート!A20="","",スカート!A20)</f>
        <v/>
      </c>
      <c r="B218" s="68" t="str">
        <f>IF(スカート!B20="","",スカート!B20)</f>
        <v/>
      </c>
      <c r="C218" s="3" t="str">
        <f>IF(スカート!C20="","",スカート!C20)</f>
        <v>◇ スカート サイズ レディース E</v>
      </c>
      <c r="D218" s="3" t="str">
        <f>IF(スカート!E20="","",スカート!E20)</f>
        <v>無</v>
      </c>
      <c r="E218" s="3" t="str">
        <f>IF(スカート!AA20="","",スカート!AA20)</f>
        <v>ベースW</v>
      </c>
      <c r="F218" s="3" t="str">
        <f>IF(スカート!G20="","",スカート!G20)</f>
        <v/>
      </c>
      <c r="G218" s="3" t="str">
        <f>IF(スカート!H20="","",スカート!H20)</f>
        <v/>
      </c>
      <c r="H218" s="3" t="str">
        <f>IF(スカート!I20="","",スカート!I20)</f>
        <v/>
      </c>
      <c r="I218" s="3" t="str">
        <f>IF(スカート!J20="","",スカート!J20)</f>
        <v>画像参照</v>
      </c>
      <c r="J218" s="3" t="str">
        <f>IF(スカート!K20="","",スカート!K20)</f>
        <v/>
      </c>
      <c r="K218" s="3" t="str">
        <f>IF(スカート!L20="","",スカート!L20)</f>
        <v>サイズ</v>
      </c>
      <c r="L218" s="69" t="s">
        <v>80</v>
      </c>
      <c r="M218" s="69" t="s">
        <v>19</v>
      </c>
      <c r="N218" s="3" t="str">
        <f xml:space="preserve"> スカート!Z20</f>
        <v>総丈：約cm　ウエスト：約cm　ヒップ：約cm</v>
      </c>
      <c r="O218" s="69" t="s">
        <v>21</v>
      </c>
      <c r="P218" s="4" t="s">
        <v>3036</v>
      </c>
      <c r="Q218" s="4" t="s">
        <v>3038</v>
      </c>
      <c r="R218" s="69" t="s">
        <v>22</v>
      </c>
      <c r="S218" s="69" t="s">
        <v>23</v>
      </c>
      <c r="T218" s="69" t="s">
        <v>22</v>
      </c>
      <c r="U218" s="69" t="s">
        <v>24</v>
      </c>
      <c r="V218" s="69" t="s">
        <v>25</v>
      </c>
      <c r="W218" s="69" t="s">
        <v>26</v>
      </c>
      <c r="X218" s="69" t="s">
        <v>27</v>
      </c>
      <c r="Y218" s="69" t="s">
        <v>28</v>
      </c>
      <c r="Z218" s="69" t="s">
        <v>29</v>
      </c>
      <c r="AA218" s="4"/>
      <c r="AB218" s="4"/>
      <c r="AC218" s="4"/>
      <c r="AD218" s="70"/>
      <c r="AE218" s="70">
        <f>スカート!AE20</f>
        <v>0</v>
      </c>
      <c r="AF218" s="70" t="str">
        <f>スカート!P20</f>
        <v>通常</v>
      </c>
      <c r="AG218" s="70">
        <v>0</v>
      </c>
      <c r="AH218" s="6">
        <f xml:space="preserve"> スカート!AC20</f>
        <v>0</v>
      </c>
      <c r="AI218">
        <v>1</v>
      </c>
      <c r="AJ218">
        <f>スカート!S20</f>
        <v>0</v>
      </c>
    </row>
    <row r="219" spans="1:36" ht="13.5" hidden="1" customHeight="1">
      <c r="A219" s="3" t="str">
        <f>IF(スカート!A21="","",スカート!A21)</f>
        <v/>
      </c>
      <c r="B219" s="68" t="str">
        <f>IF(スカート!B21="","",スカート!B21)</f>
        <v/>
      </c>
      <c r="C219" s="3" t="str">
        <f>IF(スカート!C21="","",スカート!C21)</f>
        <v>◇ スカート サイズ レディース E</v>
      </c>
      <c r="D219" s="3" t="str">
        <f>IF(スカート!E21="","",スカート!E21)</f>
        <v>無</v>
      </c>
      <c r="E219" s="3" t="str">
        <f>IF(スカート!AA21="","",スカート!AA21)</f>
        <v>ベースW</v>
      </c>
      <c r="F219" s="3" t="str">
        <f>IF(スカート!G21="","",スカート!G21)</f>
        <v/>
      </c>
      <c r="G219" s="3" t="str">
        <f>IF(スカート!H21="","",スカート!H21)</f>
        <v/>
      </c>
      <c r="H219" s="3" t="str">
        <f>IF(スカート!I21="","",スカート!I21)</f>
        <v/>
      </c>
      <c r="I219" s="3" t="str">
        <f>IF(スカート!J21="","",スカート!J21)</f>
        <v>画像参照</v>
      </c>
      <c r="J219" s="3" t="str">
        <f>IF(スカート!K21="","",スカート!K21)</f>
        <v/>
      </c>
      <c r="K219" s="3" t="str">
        <f>IF(スカート!L21="","",スカート!L21)</f>
        <v>サイズ</v>
      </c>
      <c r="L219" s="69" t="s">
        <v>80</v>
      </c>
      <c r="M219" s="69" t="s">
        <v>19</v>
      </c>
      <c r="N219" s="3" t="str">
        <f xml:space="preserve"> スカート!Z21</f>
        <v>総丈：約cm　ウエスト：約cm　ヒップ：約cm</v>
      </c>
      <c r="O219" s="69" t="s">
        <v>21</v>
      </c>
      <c r="P219" s="4" t="s">
        <v>3036</v>
      </c>
      <c r="Q219" s="4" t="s">
        <v>3038</v>
      </c>
      <c r="R219" s="69" t="s">
        <v>22</v>
      </c>
      <c r="S219" s="69" t="s">
        <v>23</v>
      </c>
      <c r="T219" s="69" t="s">
        <v>22</v>
      </c>
      <c r="U219" s="69" t="s">
        <v>24</v>
      </c>
      <c r="V219" s="69" t="s">
        <v>25</v>
      </c>
      <c r="W219" s="69" t="s">
        <v>26</v>
      </c>
      <c r="X219" s="69" t="s">
        <v>27</v>
      </c>
      <c r="Y219" s="69" t="s">
        <v>28</v>
      </c>
      <c r="Z219" s="69" t="s">
        <v>29</v>
      </c>
      <c r="AA219" s="4"/>
      <c r="AB219" s="4"/>
      <c r="AC219" s="4"/>
      <c r="AD219" s="70"/>
      <c r="AE219" s="70">
        <f>スカート!AE21</f>
        <v>0</v>
      </c>
      <c r="AF219" s="70" t="str">
        <f>スカート!P21</f>
        <v>通常</v>
      </c>
      <c r="AG219" s="70">
        <v>0</v>
      </c>
      <c r="AH219" s="6">
        <f xml:space="preserve"> スカート!AC21</f>
        <v>0</v>
      </c>
      <c r="AI219">
        <v>1</v>
      </c>
      <c r="AJ219">
        <f>スカート!S21</f>
        <v>0</v>
      </c>
    </row>
    <row r="220" spans="1:36" ht="13.5" hidden="1" customHeight="1">
      <c r="A220" s="3" t="str">
        <f>IF(スカート!A22="","",スカート!A22)</f>
        <v/>
      </c>
      <c r="B220" s="68" t="str">
        <f>IF(スカート!B22="","",スカート!B22)</f>
        <v/>
      </c>
      <c r="C220" s="3" t="str">
        <f>IF(スカート!C22="","",スカート!C22)</f>
        <v>◇ スカート サイズ レディース E</v>
      </c>
      <c r="D220" s="3" t="str">
        <f>IF(スカート!E22="","",スカート!E22)</f>
        <v>無</v>
      </c>
      <c r="E220" s="3" t="str">
        <f>IF(スカート!AA22="","",スカート!AA22)</f>
        <v>ベースW</v>
      </c>
      <c r="F220" s="3" t="str">
        <f>IF(スカート!G22="","",スカート!G22)</f>
        <v/>
      </c>
      <c r="G220" s="3" t="str">
        <f>IF(スカート!H22="","",スカート!H22)</f>
        <v/>
      </c>
      <c r="H220" s="3" t="str">
        <f>IF(スカート!I22="","",スカート!I22)</f>
        <v/>
      </c>
      <c r="I220" s="3" t="str">
        <f>IF(スカート!J22="","",スカート!J22)</f>
        <v>画像参照</v>
      </c>
      <c r="J220" s="3" t="str">
        <f>IF(スカート!K22="","",スカート!K22)</f>
        <v/>
      </c>
      <c r="K220" s="3" t="str">
        <f>IF(スカート!L22="","",スカート!L22)</f>
        <v>サイズ</v>
      </c>
      <c r="L220" s="69" t="s">
        <v>80</v>
      </c>
      <c r="M220" s="69" t="s">
        <v>19</v>
      </c>
      <c r="N220" s="3" t="str">
        <f xml:space="preserve"> スカート!Z22</f>
        <v>総丈：約cm　ウエスト：約cm　ヒップ：約cm</v>
      </c>
      <c r="O220" s="69" t="s">
        <v>21</v>
      </c>
      <c r="P220" s="4" t="s">
        <v>3036</v>
      </c>
      <c r="Q220" s="4" t="s">
        <v>3038</v>
      </c>
      <c r="R220" s="69" t="s">
        <v>22</v>
      </c>
      <c r="S220" s="69" t="s">
        <v>23</v>
      </c>
      <c r="T220" s="69" t="s">
        <v>22</v>
      </c>
      <c r="U220" s="69" t="s">
        <v>24</v>
      </c>
      <c r="V220" s="69" t="s">
        <v>25</v>
      </c>
      <c r="W220" s="69" t="s">
        <v>26</v>
      </c>
      <c r="X220" s="69" t="s">
        <v>27</v>
      </c>
      <c r="Y220" s="69" t="s">
        <v>28</v>
      </c>
      <c r="Z220" s="69" t="s">
        <v>29</v>
      </c>
      <c r="AA220" s="4"/>
      <c r="AB220" s="4"/>
      <c r="AC220" s="4"/>
      <c r="AD220" s="70"/>
      <c r="AE220" s="70">
        <f>スカート!AE22</f>
        <v>0</v>
      </c>
      <c r="AF220" s="70" t="str">
        <f>スカート!P22</f>
        <v>通常</v>
      </c>
      <c r="AG220" s="70">
        <v>0</v>
      </c>
      <c r="AH220" s="6">
        <f xml:space="preserve"> スカート!AC22</f>
        <v>0</v>
      </c>
      <c r="AI220">
        <v>1</v>
      </c>
      <c r="AJ220">
        <f>スカート!S22</f>
        <v>0</v>
      </c>
    </row>
    <row r="221" spans="1:36" ht="13.5" hidden="1" customHeight="1">
      <c r="A221" s="3" t="str">
        <f>IF(スカート!A23="","",スカート!A23)</f>
        <v/>
      </c>
      <c r="B221" s="68" t="str">
        <f>IF(スカート!B23="","",スカート!B23)</f>
        <v/>
      </c>
      <c r="C221" s="3" t="str">
        <f>IF(スカート!C23="","",スカート!C23)</f>
        <v>◇ スカート サイズ レディース E</v>
      </c>
      <c r="D221" s="3" t="str">
        <f>IF(スカート!E23="","",スカート!E23)</f>
        <v>無</v>
      </c>
      <c r="E221" s="3" t="str">
        <f>IF(スカート!AA23="","",スカート!AA23)</f>
        <v>ベースW</v>
      </c>
      <c r="F221" s="3" t="str">
        <f>IF(スカート!G23="","",スカート!G23)</f>
        <v/>
      </c>
      <c r="G221" s="3" t="str">
        <f>IF(スカート!H23="","",スカート!H23)</f>
        <v/>
      </c>
      <c r="H221" s="3" t="str">
        <f>IF(スカート!I23="","",スカート!I23)</f>
        <v/>
      </c>
      <c r="I221" s="3" t="str">
        <f>IF(スカート!J23="","",スカート!J23)</f>
        <v>画像参照</v>
      </c>
      <c r="J221" s="3" t="str">
        <f>IF(スカート!K23="","",スカート!K23)</f>
        <v/>
      </c>
      <c r="K221" s="3" t="str">
        <f>IF(スカート!L23="","",スカート!L23)</f>
        <v>サイズ</v>
      </c>
      <c r="L221" s="69" t="s">
        <v>80</v>
      </c>
      <c r="M221" s="69" t="s">
        <v>19</v>
      </c>
      <c r="N221" s="3" t="str">
        <f xml:space="preserve"> スカート!Z23</f>
        <v>総丈：約cm　ウエスト：約cm　ヒップ：約cm</v>
      </c>
      <c r="O221" s="69" t="s">
        <v>21</v>
      </c>
      <c r="P221" s="4" t="s">
        <v>3036</v>
      </c>
      <c r="Q221" s="4" t="s">
        <v>3038</v>
      </c>
      <c r="R221" s="69" t="s">
        <v>22</v>
      </c>
      <c r="S221" s="69" t="s">
        <v>23</v>
      </c>
      <c r="T221" s="69" t="s">
        <v>22</v>
      </c>
      <c r="U221" s="69" t="s">
        <v>24</v>
      </c>
      <c r="V221" s="69" t="s">
        <v>25</v>
      </c>
      <c r="W221" s="69" t="s">
        <v>26</v>
      </c>
      <c r="X221" s="69" t="s">
        <v>27</v>
      </c>
      <c r="Y221" s="69" t="s">
        <v>28</v>
      </c>
      <c r="Z221" s="69" t="s">
        <v>29</v>
      </c>
      <c r="AA221" s="4"/>
      <c r="AB221" s="4"/>
      <c r="AC221" s="4"/>
      <c r="AD221" s="70"/>
      <c r="AE221" s="70">
        <f>スカート!AE23</f>
        <v>0</v>
      </c>
      <c r="AF221" s="70" t="str">
        <f>スカート!P23</f>
        <v>通常</v>
      </c>
      <c r="AG221" s="70">
        <v>0</v>
      </c>
      <c r="AH221" s="6">
        <f xml:space="preserve"> スカート!AC23</f>
        <v>0</v>
      </c>
      <c r="AI221">
        <v>1</v>
      </c>
      <c r="AJ221">
        <f>スカート!S23</f>
        <v>0</v>
      </c>
    </row>
    <row r="222" spans="1:36" ht="13.5" hidden="1" customHeight="1">
      <c r="A222" s="3" t="str">
        <f>IF(スカート!A24="","",スカート!A24)</f>
        <v/>
      </c>
      <c r="B222" s="68" t="str">
        <f>IF(スカート!B24="","",スカート!B24)</f>
        <v/>
      </c>
      <c r="C222" s="3" t="str">
        <f>IF(スカート!C24="","",スカート!C24)</f>
        <v>◇ スカート サイズ レディース E</v>
      </c>
      <c r="D222" s="3" t="str">
        <f>IF(スカート!E24="","",スカート!E24)</f>
        <v>無</v>
      </c>
      <c r="E222" s="3" t="str">
        <f>IF(スカート!AA24="","",スカート!AA24)</f>
        <v>ベースW</v>
      </c>
      <c r="F222" s="3" t="str">
        <f>IF(スカート!G24="","",スカート!G24)</f>
        <v/>
      </c>
      <c r="G222" s="3" t="str">
        <f>IF(スカート!H24="","",スカート!H24)</f>
        <v/>
      </c>
      <c r="H222" s="3" t="str">
        <f>IF(スカート!I24="","",スカート!I24)</f>
        <v/>
      </c>
      <c r="I222" s="3" t="str">
        <f>IF(スカート!J24="","",スカート!J24)</f>
        <v>画像参照</v>
      </c>
      <c r="J222" s="3" t="str">
        <f>IF(スカート!K24="","",スカート!K24)</f>
        <v/>
      </c>
      <c r="K222" s="3" t="str">
        <f>IF(スカート!L24="","",スカート!L24)</f>
        <v>サイズ</v>
      </c>
      <c r="L222" s="69" t="s">
        <v>80</v>
      </c>
      <c r="M222" s="69" t="s">
        <v>19</v>
      </c>
      <c r="N222" s="3" t="str">
        <f xml:space="preserve"> スカート!Z24</f>
        <v>総丈：約cm　ウエスト：約cm　ヒップ：約cm</v>
      </c>
      <c r="O222" s="69" t="s">
        <v>21</v>
      </c>
      <c r="P222" s="4" t="s">
        <v>3036</v>
      </c>
      <c r="Q222" s="4" t="s">
        <v>3038</v>
      </c>
      <c r="R222" s="69" t="s">
        <v>22</v>
      </c>
      <c r="S222" s="69" t="s">
        <v>23</v>
      </c>
      <c r="T222" s="69" t="s">
        <v>22</v>
      </c>
      <c r="U222" s="69" t="s">
        <v>24</v>
      </c>
      <c r="V222" s="69" t="s">
        <v>25</v>
      </c>
      <c r="W222" s="69" t="s">
        <v>26</v>
      </c>
      <c r="X222" s="69" t="s">
        <v>27</v>
      </c>
      <c r="Y222" s="69" t="s">
        <v>28</v>
      </c>
      <c r="Z222" s="69" t="s">
        <v>29</v>
      </c>
      <c r="AA222" s="4"/>
      <c r="AB222" s="4"/>
      <c r="AC222" s="4"/>
      <c r="AD222" s="70"/>
      <c r="AE222" s="70">
        <f>スカート!AE24</f>
        <v>0</v>
      </c>
      <c r="AF222" s="70" t="str">
        <f>スカート!P24</f>
        <v>通常</v>
      </c>
      <c r="AG222" s="70">
        <v>0</v>
      </c>
      <c r="AH222" s="6">
        <f xml:space="preserve"> スカート!AC24</f>
        <v>0</v>
      </c>
      <c r="AI222">
        <v>1</v>
      </c>
      <c r="AJ222">
        <f>スカート!S24</f>
        <v>0</v>
      </c>
    </row>
    <row r="223" spans="1:36" ht="13.5" hidden="1" customHeight="1">
      <c r="A223" s="3" t="str">
        <f>IF(スカート!A25="","",スカート!A25)</f>
        <v/>
      </c>
      <c r="B223" s="68" t="str">
        <f>IF(スカート!B25="","",スカート!B25)</f>
        <v/>
      </c>
      <c r="C223" s="3" t="str">
        <f>IF(スカート!C25="","",スカート!C25)</f>
        <v>◇ スカート サイズ レディース E</v>
      </c>
      <c r="D223" s="3" t="str">
        <f>IF(スカート!E25="","",スカート!E25)</f>
        <v>無</v>
      </c>
      <c r="E223" s="3" t="str">
        <f>IF(スカート!AA25="","",スカート!AA25)</f>
        <v>ベースW</v>
      </c>
      <c r="F223" s="3" t="str">
        <f>IF(スカート!G25="","",スカート!G25)</f>
        <v/>
      </c>
      <c r="G223" s="3" t="str">
        <f>IF(スカート!H25="","",スカート!H25)</f>
        <v/>
      </c>
      <c r="H223" s="3" t="str">
        <f>IF(スカート!I25="","",スカート!I25)</f>
        <v/>
      </c>
      <c r="I223" s="3" t="str">
        <f>IF(スカート!J25="","",スカート!J25)</f>
        <v>画像参照</v>
      </c>
      <c r="J223" s="3" t="str">
        <f>IF(スカート!K25="","",スカート!K25)</f>
        <v/>
      </c>
      <c r="K223" s="3" t="str">
        <f>IF(スカート!L25="","",スカート!L25)</f>
        <v>サイズ</v>
      </c>
      <c r="L223" s="69" t="s">
        <v>80</v>
      </c>
      <c r="M223" s="69" t="s">
        <v>19</v>
      </c>
      <c r="N223" s="3" t="str">
        <f xml:space="preserve"> スカート!Z25</f>
        <v>総丈：約cm　ウエスト：約cm　ヒップ：約cm</v>
      </c>
      <c r="O223" s="69" t="s">
        <v>21</v>
      </c>
      <c r="P223" s="4" t="s">
        <v>3036</v>
      </c>
      <c r="Q223" s="4" t="s">
        <v>3038</v>
      </c>
      <c r="R223" s="69" t="s">
        <v>22</v>
      </c>
      <c r="S223" s="69" t="s">
        <v>23</v>
      </c>
      <c r="T223" s="69" t="s">
        <v>22</v>
      </c>
      <c r="U223" s="69" t="s">
        <v>24</v>
      </c>
      <c r="V223" s="69" t="s">
        <v>25</v>
      </c>
      <c r="W223" s="69" t="s">
        <v>26</v>
      </c>
      <c r="X223" s="69" t="s">
        <v>27</v>
      </c>
      <c r="Y223" s="69" t="s">
        <v>28</v>
      </c>
      <c r="Z223" s="69" t="s">
        <v>29</v>
      </c>
      <c r="AA223" s="4"/>
      <c r="AB223" s="4"/>
      <c r="AC223" s="4"/>
      <c r="AD223" s="70"/>
      <c r="AE223" s="70">
        <f>スカート!AE25</f>
        <v>0</v>
      </c>
      <c r="AF223" s="70" t="str">
        <f>スカート!P25</f>
        <v>通常</v>
      </c>
      <c r="AG223" s="70">
        <v>0</v>
      </c>
      <c r="AH223" s="6">
        <f xml:space="preserve"> スカート!AC25</f>
        <v>0</v>
      </c>
      <c r="AI223">
        <v>1</v>
      </c>
      <c r="AJ223">
        <f>スカート!S25</f>
        <v>0</v>
      </c>
    </row>
    <row r="224" spans="1:36" ht="13.5" hidden="1" customHeight="1">
      <c r="A224" s="3" t="str">
        <f>IF(スカート!A26="","",スカート!A26)</f>
        <v/>
      </c>
      <c r="B224" s="68" t="str">
        <f>IF(スカート!B26="","",スカート!B26)</f>
        <v/>
      </c>
      <c r="C224" s="3" t="str">
        <f>IF(スカート!C26="","",スカート!C26)</f>
        <v>◇ スカート サイズ レディース E</v>
      </c>
      <c r="D224" s="3" t="str">
        <f>IF(スカート!E26="","",スカート!E26)</f>
        <v>無</v>
      </c>
      <c r="E224" s="3" t="str">
        <f>IF(スカート!AA26="","",スカート!AA26)</f>
        <v>ベースW</v>
      </c>
      <c r="F224" s="3" t="str">
        <f>IF(スカート!G26="","",スカート!G26)</f>
        <v/>
      </c>
      <c r="G224" s="3" t="str">
        <f>IF(スカート!H26="","",スカート!H26)</f>
        <v/>
      </c>
      <c r="H224" s="3" t="str">
        <f>IF(スカート!I26="","",スカート!I26)</f>
        <v/>
      </c>
      <c r="I224" s="3" t="str">
        <f>IF(スカート!J26="","",スカート!J26)</f>
        <v>画像参照</v>
      </c>
      <c r="J224" s="3" t="str">
        <f>IF(スカート!K26="","",スカート!K26)</f>
        <v/>
      </c>
      <c r="K224" s="3" t="str">
        <f>IF(スカート!L26="","",スカート!L26)</f>
        <v>サイズ</v>
      </c>
      <c r="L224" s="69" t="s">
        <v>80</v>
      </c>
      <c r="M224" s="69" t="s">
        <v>19</v>
      </c>
      <c r="N224" s="3" t="str">
        <f xml:space="preserve"> スカート!Z26</f>
        <v>総丈：約cm　ウエスト：約cm　ヒップ：約cm</v>
      </c>
      <c r="O224" s="69" t="s">
        <v>21</v>
      </c>
      <c r="P224" s="4" t="s">
        <v>3036</v>
      </c>
      <c r="Q224" s="4" t="s">
        <v>3038</v>
      </c>
      <c r="R224" s="69" t="s">
        <v>22</v>
      </c>
      <c r="S224" s="69" t="s">
        <v>23</v>
      </c>
      <c r="T224" s="69" t="s">
        <v>22</v>
      </c>
      <c r="U224" s="69" t="s">
        <v>24</v>
      </c>
      <c r="V224" s="69" t="s">
        <v>25</v>
      </c>
      <c r="W224" s="69" t="s">
        <v>26</v>
      </c>
      <c r="X224" s="69" t="s">
        <v>27</v>
      </c>
      <c r="Y224" s="69" t="s">
        <v>28</v>
      </c>
      <c r="Z224" s="69" t="s">
        <v>29</v>
      </c>
      <c r="AA224" s="4"/>
      <c r="AB224" s="4"/>
      <c r="AC224" s="4"/>
      <c r="AD224" s="70"/>
      <c r="AE224" s="70">
        <f>スカート!AE26</f>
        <v>0</v>
      </c>
      <c r="AF224" s="70" t="str">
        <f>スカート!P26</f>
        <v>通常</v>
      </c>
      <c r="AG224" s="70">
        <v>0</v>
      </c>
      <c r="AH224" s="6">
        <f xml:space="preserve"> スカート!AC26</f>
        <v>0</v>
      </c>
      <c r="AI224">
        <v>1</v>
      </c>
      <c r="AJ224">
        <f>スカート!S26</f>
        <v>0</v>
      </c>
    </row>
    <row r="225" spans="1:36" ht="13.5" hidden="1" customHeight="1">
      <c r="A225" s="3" t="str">
        <f>IF(スカート!A27="","",スカート!A27)</f>
        <v/>
      </c>
      <c r="B225" s="68" t="str">
        <f>IF(スカート!B27="","",スカート!B27)</f>
        <v/>
      </c>
      <c r="C225" s="3" t="str">
        <f>IF(スカート!C27="","",スカート!C27)</f>
        <v>◇ スカート サイズ レディース E</v>
      </c>
      <c r="D225" s="3" t="str">
        <f>IF(スカート!E27="","",スカート!E27)</f>
        <v>無</v>
      </c>
      <c r="E225" s="3" t="str">
        <f>IF(スカート!AA27="","",スカート!AA27)</f>
        <v>ベースW</v>
      </c>
      <c r="F225" s="3" t="str">
        <f>IF(スカート!G27="","",スカート!G27)</f>
        <v/>
      </c>
      <c r="G225" s="3" t="str">
        <f>IF(スカート!H27="","",スカート!H27)</f>
        <v/>
      </c>
      <c r="H225" s="3" t="str">
        <f>IF(スカート!I27="","",スカート!I27)</f>
        <v/>
      </c>
      <c r="I225" s="3" t="str">
        <f>IF(スカート!J27="","",スカート!J27)</f>
        <v>画像参照</v>
      </c>
      <c r="J225" s="3" t="str">
        <f>IF(スカート!K27="","",スカート!K27)</f>
        <v/>
      </c>
      <c r="K225" s="3" t="str">
        <f>IF(スカート!L27="","",スカート!L27)</f>
        <v>サイズ</v>
      </c>
      <c r="L225" s="69" t="s">
        <v>80</v>
      </c>
      <c r="M225" s="69" t="s">
        <v>19</v>
      </c>
      <c r="N225" s="3" t="str">
        <f xml:space="preserve"> スカート!Z27</f>
        <v>総丈：約cm　ウエスト：約cm　ヒップ：約cm</v>
      </c>
      <c r="O225" s="69" t="s">
        <v>21</v>
      </c>
      <c r="P225" s="4" t="s">
        <v>3036</v>
      </c>
      <c r="Q225" s="4" t="s">
        <v>3038</v>
      </c>
      <c r="R225" s="69" t="s">
        <v>22</v>
      </c>
      <c r="S225" s="69" t="s">
        <v>23</v>
      </c>
      <c r="T225" s="69" t="s">
        <v>22</v>
      </c>
      <c r="U225" s="69" t="s">
        <v>24</v>
      </c>
      <c r="V225" s="69" t="s">
        <v>25</v>
      </c>
      <c r="W225" s="69" t="s">
        <v>26</v>
      </c>
      <c r="X225" s="69" t="s">
        <v>27</v>
      </c>
      <c r="Y225" s="69" t="s">
        <v>28</v>
      </c>
      <c r="Z225" s="69" t="s">
        <v>29</v>
      </c>
      <c r="AA225" s="4"/>
      <c r="AB225" s="4"/>
      <c r="AC225" s="4"/>
      <c r="AD225" s="70"/>
      <c r="AE225" s="70">
        <f>スカート!AE27</f>
        <v>0</v>
      </c>
      <c r="AF225" s="70" t="str">
        <f>スカート!P27</f>
        <v>通常</v>
      </c>
      <c r="AG225" s="70">
        <v>0</v>
      </c>
      <c r="AH225" s="6">
        <f xml:space="preserve"> スカート!AC27</f>
        <v>0</v>
      </c>
      <c r="AI225">
        <v>1</v>
      </c>
      <c r="AJ225">
        <f>スカート!S27</f>
        <v>0</v>
      </c>
    </row>
    <row r="226" spans="1:36" ht="13.5" hidden="1" customHeight="1">
      <c r="A226" s="3" t="str">
        <f>IF(スカート!A28="","",スカート!A28)</f>
        <v/>
      </c>
      <c r="B226" s="68" t="str">
        <f>IF(スカート!B28="","",スカート!B28)</f>
        <v/>
      </c>
      <c r="C226" s="3" t="str">
        <f>IF(スカート!C28="","",スカート!C28)</f>
        <v>◇ スカート サイズ レディース E</v>
      </c>
      <c r="D226" s="3" t="str">
        <f>IF(スカート!E28="","",スカート!E28)</f>
        <v>無</v>
      </c>
      <c r="E226" s="3" t="str">
        <f>IF(スカート!AA28="","",スカート!AA28)</f>
        <v>ベースW</v>
      </c>
      <c r="F226" s="3" t="str">
        <f>IF(スカート!G28="","",スカート!G28)</f>
        <v/>
      </c>
      <c r="G226" s="3" t="str">
        <f>IF(スカート!H28="","",スカート!H28)</f>
        <v/>
      </c>
      <c r="H226" s="3" t="str">
        <f>IF(スカート!I28="","",スカート!I28)</f>
        <v/>
      </c>
      <c r="I226" s="3" t="str">
        <f>IF(スカート!J28="","",スカート!J28)</f>
        <v>画像参照</v>
      </c>
      <c r="J226" s="3" t="str">
        <f>IF(スカート!K28="","",スカート!K28)</f>
        <v/>
      </c>
      <c r="K226" s="3" t="str">
        <f>IF(スカート!L28="","",スカート!L28)</f>
        <v>サイズ</v>
      </c>
      <c r="L226" s="69" t="s">
        <v>80</v>
      </c>
      <c r="M226" s="69" t="s">
        <v>19</v>
      </c>
      <c r="N226" s="3" t="str">
        <f xml:space="preserve"> スカート!Z28</f>
        <v>総丈：約cm　ウエスト：約cm　ヒップ：約cm</v>
      </c>
      <c r="O226" s="69" t="s">
        <v>21</v>
      </c>
      <c r="P226" s="4" t="s">
        <v>3036</v>
      </c>
      <c r="Q226" s="4" t="s">
        <v>3038</v>
      </c>
      <c r="R226" s="69" t="s">
        <v>22</v>
      </c>
      <c r="S226" s="69" t="s">
        <v>23</v>
      </c>
      <c r="T226" s="69" t="s">
        <v>22</v>
      </c>
      <c r="U226" s="69" t="s">
        <v>24</v>
      </c>
      <c r="V226" s="69" t="s">
        <v>25</v>
      </c>
      <c r="W226" s="69" t="s">
        <v>26</v>
      </c>
      <c r="X226" s="69" t="s">
        <v>27</v>
      </c>
      <c r="Y226" s="69" t="s">
        <v>28</v>
      </c>
      <c r="Z226" s="69" t="s">
        <v>29</v>
      </c>
      <c r="AA226" s="4"/>
      <c r="AB226" s="4"/>
      <c r="AC226" s="4"/>
      <c r="AD226" s="70"/>
      <c r="AE226" s="70">
        <f>スカート!AE28</f>
        <v>0</v>
      </c>
      <c r="AF226" s="70" t="str">
        <f>スカート!P28</f>
        <v>通常</v>
      </c>
      <c r="AG226" s="70">
        <v>0</v>
      </c>
      <c r="AH226" s="6">
        <f xml:space="preserve"> スカート!AC28</f>
        <v>0</v>
      </c>
      <c r="AI226">
        <v>1</v>
      </c>
      <c r="AJ226">
        <f>スカート!S28</f>
        <v>0</v>
      </c>
    </row>
    <row r="227" spans="1:36" ht="13.5" hidden="1" customHeight="1">
      <c r="A227" s="3" t="str">
        <f>IF(スカート!A29="","",スカート!A29)</f>
        <v/>
      </c>
      <c r="B227" s="68" t="str">
        <f>IF(スカート!B29="","",スカート!B29)</f>
        <v/>
      </c>
      <c r="C227" s="3" t="str">
        <f>IF(スカート!C29="","",スカート!C29)</f>
        <v>◇ スカート サイズ レディース E</v>
      </c>
      <c r="D227" s="3" t="str">
        <f>IF(スカート!E29="","",スカート!E29)</f>
        <v>無</v>
      </c>
      <c r="E227" s="3" t="str">
        <f>IF(スカート!AA29="","",スカート!AA29)</f>
        <v>ベースW</v>
      </c>
      <c r="F227" s="3" t="str">
        <f>IF(スカート!G29="","",スカート!G29)</f>
        <v/>
      </c>
      <c r="G227" s="3" t="str">
        <f>IF(スカート!H29="","",スカート!H29)</f>
        <v/>
      </c>
      <c r="H227" s="3" t="str">
        <f>IF(スカート!I29="","",スカート!I29)</f>
        <v/>
      </c>
      <c r="I227" s="3" t="str">
        <f>IF(スカート!J29="","",スカート!J29)</f>
        <v>画像参照</v>
      </c>
      <c r="J227" s="3" t="str">
        <f>IF(スカート!K29="","",スカート!K29)</f>
        <v/>
      </c>
      <c r="K227" s="3" t="str">
        <f>IF(スカート!L29="","",スカート!L29)</f>
        <v>サイズ</v>
      </c>
      <c r="L227" s="69" t="s">
        <v>80</v>
      </c>
      <c r="M227" s="69" t="s">
        <v>19</v>
      </c>
      <c r="N227" s="3" t="str">
        <f xml:space="preserve"> スカート!Z29</f>
        <v>総丈：約cm　ウエスト：約cm　ヒップ：約cm</v>
      </c>
      <c r="O227" s="69" t="s">
        <v>21</v>
      </c>
      <c r="P227" s="4" t="s">
        <v>3036</v>
      </c>
      <c r="Q227" s="4" t="s">
        <v>3038</v>
      </c>
      <c r="R227" s="69" t="s">
        <v>22</v>
      </c>
      <c r="S227" s="69" t="s">
        <v>23</v>
      </c>
      <c r="T227" s="69" t="s">
        <v>22</v>
      </c>
      <c r="U227" s="69" t="s">
        <v>24</v>
      </c>
      <c r="V227" s="69" t="s">
        <v>25</v>
      </c>
      <c r="W227" s="69" t="s">
        <v>26</v>
      </c>
      <c r="X227" s="69" t="s">
        <v>27</v>
      </c>
      <c r="Y227" s="69" t="s">
        <v>28</v>
      </c>
      <c r="Z227" s="69" t="s">
        <v>29</v>
      </c>
      <c r="AA227" s="4"/>
      <c r="AB227" s="4"/>
      <c r="AC227" s="4"/>
      <c r="AD227" s="70"/>
      <c r="AE227" s="70">
        <f>スカート!AE29</f>
        <v>0</v>
      </c>
      <c r="AF227" s="70" t="str">
        <f>スカート!P29</f>
        <v>通常</v>
      </c>
      <c r="AG227" s="70">
        <v>0</v>
      </c>
      <c r="AH227" s="6">
        <f xml:space="preserve"> スカート!AC29</f>
        <v>0</v>
      </c>
      <c r="AI227">
        <v>1</v>
      </c>
      <c r="AJ227">
        <f>スカート!S29</f>
        <v>0</v>
      </c>
    </row>
    <row r="228" spans="1:36" ht="13.5" hidden="1" customHeight="1">
      <c r="A228" s="3" t="str">
        <f>IF(スカート!A30="","",スカート!A30)</f>
        <v/>
      </c>
      <c r="B228" s="68" t="str">
        <f>IF(スカート!B30="","",スカート!B30)</f>
        <v/>
      </c>
      <c r="C228" s="3" t="str">
        <f>IF(スカート!C30="","",スカート!C30)</f>
        <v>◇ スカート サイズ レディース E</v>
      </c>
      <c r="D228" s="3" t="str">
        <f>IF(スカート!E30="","",スカート!E30)</f>
        <v>無</v>
      </c>
      <c r="E228" s="3" t="str">
        <f>IF(スカート!AA30="","",スカート!AA30)</f>
        <v>ベースW</v>
      </c>
      <c r="F228" s="3" t="str">
        <f>IF(スカート!G30="","",スカート!G30)</f>
        <v/>
      </c>
      <c r="G228" s="3" t="str">
        <f>IF(スカート!H30="","",スカート!H30)</f>
        <v/>
      </c>
      <c r="H228" s="3" t="str">
        <f>IF(スカート!I30="","",スカート!I30)</f>
        <v/>
      </c>
      <c r="I228" s="3" t="str">
        <f>IF(スカート!J30="","",スカート!J30)</f>
        <v>画像参照</v>
      </c>
      <c r="J228" s="3" t="str">
        <f>IF(スカート!K30="","",スカート!K30)</f>
        <v/>
      </c>
      <c r="K228" s="3" t="str">
        <f>IF(スカート!L30="","",スカート!L30)</f>
        <v>サイズ</v>
      </c>
      <c r="L228" s="69" t="s">
        <v>80</v>
      </c>
      <c r="M228" s="69" t="s">
        <v>19</v>
      </c>
      <c r="N228" s="3" t="str">
        <f xml:space="preserve"> スカート!Z30</f>
        <v>総丈：約cm　ウエスト：約cm　ヒップ：約cm</v>
      </c>
      <c r="O228" s="69" t="s">
        <v>21</v>
      </c>
      <c r="P228" s="4" t="s">
        <v>3036</v>
      </c>
      <c r="Q228" s="4" t="s">
        <v>3038</v>
      </c>
      <c r="R228" s="69" t="s">
        <v>22</v>
      </c>
      <c r="S228" s="69" t="s">
        <v>23</v>
      </c>
      <c r="T228" s="69" t="s">
        <v>22</v>
      </c>
      <c r="U228" s="69" t="s">
        <v>24</v>
      </c>
      <c r="V228" s="69" t="s">
        <v>25</v>
      </c>
      <c r="W228" s="69" t="s">
        <v>26</v>
      </c>
      <c r="X228" s="69" t="s">
        <v>27</v>
      </c>
      <c r="Y228" s="69" t="s">
        <v>28</v>
      </c>
      <c r="Z228" s="69" t="s">
        <v>29</v>
      </c>
      <c r="AA228" s="4"/>
      <c r="AB228" s="4"/>
      <c r="AC228" s="4"/>
      <c r="AD228" s="70"/>
      <c r="AE228" s="70">
        <f>スカート!AE30</f>
        <v>0</v>
      </c>
      <c r="AF228" s="70" t="str">
        <f>スカート!P30</f>
        <v>通常</v>
      </c>
      <c r="AG228" s="70">
        <v>0</v>
      </c>
      <c r="AH228" s="6">
        <f xml:space="preserve"> スカート!AC30</f>
        <v>0</v>
      </c>
      <c r="AI228">
        <v>1</v>
      </c>
      <c r="AJ228">
        <f>スカート!S30</f>
        <v>0</v>
      </c>
    </row>
    <row r="229" spans="1:36" ht="13.5" hidden="1" customHeight="1">
      <c r="A229" s="3" t="str">
        <f>IF(スカート!A31="","",スカート!A31)</f>
        <v/>
      </c>
      <c r="B229" s="68" t="str">
        <f>IF(スカート!B31="","",スカート!B31)</f>
        <v/>
      </c>
      <c r="C229" s="3" t="str">
        <f>IF(スカート!C31="","",スカート!C31)</f>
        <v>◇ スカート サイズ レディース E</v>
      </c>
      <c r="D229" s="3" t="str">
        <f>IF(スカート!E31="","",スカート!E31)</f>
        <v>無</v>
      </c>
      <c r="E229" s="3" t="str">
        <f>IF(スカート!AA31="","",スカート!AA31)</f>
        <v>ベースW</v>
      </c>
      <c r="F229" s="3" t="str">
        <f>IF(スカート!G31="","",スカート!G31)</f>
        <v/>
      </c>
      <c r="G229" s="3" t="str">
        <f>IF(スカート!H31="","",スカート!H31)</f>
        <v/>
      </c>
      <c r="H229" s="3" t="str">
        <f>IF(スカート!I31="","",スカート!I31)</f>
        <v/>
      </c>
      <c r="I229" s="3" t="str">
        <f>IF(スカート!J31="","",スカート!J31)</f>
        <v>画像参照</v>
      </c>
      <c r="J229" s="3" t="str">
        <f>IF(スカート!K31="","",スカート!K31)</f>
        <v/>
      </c>
      <c r="K229" s="3" t="str">
        <f>IF(スカート!L31="","",スカート!L31)</f>
        <v>サイズ</v>
      </c>
      <c r="L229" s="69" t="s">
        <v>80</v>
      </c>
      <c r="M229" s="69" t="s">
        <v>19</v>
      </c>
      <c r="N229" s="3" t="str">
        <f xml:space="preserve"> スカート!Z31</f>
        <v>総丈：約cm　ウエスト：約cm　ヒップ：約cm</v>
      </c>
      <c r="O229" s="69" t="s">
        <v>21</v>
      </c>
      <c r="P229" s="4" t="s">
        <v>3036</v>
      </c>
      <c r="Q229" s="4" t="s">
        <v>3038</v>
      </c>
      <c r="R229" s="69" t="s">
        <v>22</v>
      </c>
      <c r="S229" s="69" t="s">
        <v>23</v>
      </c>
      <c r="T229" s="69" t="s">
        <v>22</v>
      </c>
      <c r="U229" s="69" t="s">
        <v>24</v>
      </c>
      <c r="V229" s="69" t="s">
        <v>25</v>
      </c>
      <c r="W229" s="69" t="s">
        <v>26</v>
      </c>
      <c r="X229" s="69" t="s">
        <v>27</v>
      </c>
      <c r="Y229" s="69" t="s">
        <v>28</v>
      </c>
      <c r="Z229" s="69" t="s">
        <v>29</v>
      </c>
      <c r="AA229" s="4"/>
      <c r="AB229" s="4"/>
      <c r="AC229" s="4"/>
      <c r="AD229" s="70"/>
      <c r="AE229" s="70">
        <f>スカート!AE31</f>
        <v>0</v>
      </c>
      <c r="AF229" s="70" t="str">
        <f>スカート!P31</f>
        <v>通常</v>
      </c>
      <c r="AG229" s="70">
        <v>0</v>
      </c>
      <c r="AH229" s="6">
        <f xml:space="preserve"> スカート!AC31</f>
        <v>0</v>
      </c>
      <c r="AI229">
        <v>1</v>
      </c>
      <c r="AJ229">
        <f>スカート!S31</f>
        <v>0</v>
      </c>
    </row>
    <row r="230" spans="1:36" ht="13.5" hidden="1" customHeight="1">
      <c r="A230" s="3" t="str">
        <f>IF(スカート!A32="","",スカート!A32)</f>
        <v/>
      </c>
      <c r="B230" s="68" t="str">
        <f>IF(スカート!B32="","",スカート!B32)</f>
        <v/>
      </c>
      <c r="C230" s="3" t="str">
        <f>IF(スカート!C32="","",スカート!C32)</f>
        <v>◇ スカート サイズ レディース E</v>
      </c>
      <c r="D230" s="3" t="str">
        <f>IF(スカート!E32="","",スカート!E32)</f>
        <v>無</v>
      </c>
      <c r="E230" s="3" t="str">
        <f>IF(スカート!AA32="","",スカート!AA32)</f>
        <v>ベースW</v>
      </c>
      <c r="F230" s="3" t="str">
        <f>IF(スカート!G32="","",スカート!G32)</f>
        <v/>
      </c>
      <c r="G230" s="3" t="str">
        <f>IF(スカート!H32="","",スカート!H32)</f>
        <v/>
      </c>
      <c r="H230" s="3" t="str">
        <f>IF(スカート!I32="","",スカート!I32)</f>
        <v/>
      </c>
      <c r="I230" s="3" t="str">
        <f>IF(スカート!J32="","",スカート!J32)</f>
        <v>画像参照</v>
      </c>
      <c r="J230" s="3" t="str">
        <f>IF(スカート!K32="","",スカート!K32)</f>
        <v/>
      </c>
      <c r="K230" s="3" t="str">
        <f>IF(スカート!L32="","",スカート!L32)</f>
        <v>サイズ</v>
      </c>
      <c r="L230" s="69" t="s">
        <v>80</v>
      </c>
      <c r="M230" s="69" t="s">
        <v>19</v>
      </c>
      <c r="N230" s="3" t="str">
        <f xml:space="preserve"> スカート!Z32</f>
        <v>総丈：約cm　ウエスト：約cm　ヒップ：約cm</v>
      </c>
      <c r="O230" s="69" t="s">
        <v>21</v>
      </c>
      <c r="P230" s="4" t="s">
        <v>3036</v>
      </c>
      <c r="Q230" s="4" t="s">
        <v>3038</v>
      </c>
      <c r="R230" s="69" t="s">
        <v>22</v>
      </c>
      <c r="S230" s="69" t="s">
        <v>23</v>
      </c>
      <c r="T230" s="69" t="s">
        <v>22</v>
      </c>
      <c r="U230" s="69" t="s">
        <v>24</v>
      </c>
      <c r="V230" s="69" t="s">
        <v>25</v>
      </c>
      <c r="W230" s="69" t="s">
        <v>26</v>
      </c>
      <c r="X230" s="69" t="s">
        <v>27</v>
      </c>
      <c r="Y230" s="69" t="s">
        <v>28</v>
      </c>
      <c r="Z230" s="69" t="s">
        <v>29</v>
      </c>
      <c r="AA230" s="4"/>
      <c r="AB230" s="4"/>
      <c r="AC230" s="4"/>
      <c r="AD230" s="70"/>
      <c r="AE230" s="70">
        <f>スカート!AE32</f>
        <v>0</v>
      </c>
      <c r="AF230" s="70" t="str">
        <f>スカート!P32</f>
        <v>通常</v>
      </c>
      <c r="AG230" s="70">
        <v>0</v>
      </c>
      <c r="AH230" s="6">
        <f xml:space="preserve"> スカート!AC32</f>
        <v>0</v>
      </c>
      <c r="AI230">
        <v>1</v>
      </c>
      <c r="AJ230">
        <f>スカート!S32</f>
        <v>0</v>
      </c>
    </row>
    <row r="231" spans="1:36" ht="13.5" hidden="1" customHeight="1">
      <c r="A231" s="3" t="str">
        <f>IF(スカート!A33="","",スカート!A33)</f>
        <v/>
      </c>
      <c r="B231" s="68" t="str">
        <f>IF(スカート!B33="","",スカート!B33)</f>
        <v/>
      </c>
      <c r="C231" s="3" t="str">
        <f>IF(スカート!C33="","",スカート!C33)</f>
        <v>◇ スカート サイズ レディース E</v>
      </c>
      <c r="D231" s="3" t="str">
        <f>IF(スカート!E33="","",スカート!E33)</f>
        <v>無</v>
      </c>
      <c r="E231" s="3" t="str">
        <f>IF(スカート!AA33="","",スカート!AA33)</f>
        <v>ベースW</v>
      </c>
      <c r="F231" s="3" t="str">
        <f>IF(スカート!G33="","",スカート!G33)</f>
        <v/>
      </c>
      <c r="G231" s="3" t="str">
        <f>IF(スカート!H33="","",スカート!H33)</f>
        <v/>
      </c>
      <c r="H231" s="3" t="str">
        <f>IF(スカート!I33="","",スカート!I33)</f>
        <v/>
      </c>
      <c r="I231" s="3" t="str">
        <f>IF(スカート!J33="","",スカート!J33)</f>
        <v>画像参照</v>
      </c>
      <c r="J231" s="3" t="str">
        <f>IF(スカート!K33="","",スカート!K33)</f>
        <v/>
      </c>
      <c r="K231" s="3" t="str">
        <f>IF(スカート!L33="","",スカート!L33)</f>
        <v>サイズ</v>
      </c>
      <c r="L231" s="69" t="s">
        <v>80</v>
      </c>
      <c r="M231" s="69" t="s">
        <v>19</v>
      </c>
      <c r="N231" s="3" t="str">
        <f xml:space="preserve"> スカート!Z33</f>
        <v>総丈：約cm　ウエスト：約cm　ヒップ：約cm</v>
      </c>
      <c r="O231" s="69" t="s">
        <v>21</v>
      </c>
      <c r="P231" s="4" t="s">
        <v>3036</v>
      </c>
      <c r="Q231" s="4" t="s">
        <v>3038</v>
      </c>
      <c r="R231" s="69" t="s">
        <v>22</v>
      </c>
      <c r="S231" s="69" t="s">
        <v>23</v>
      </c>
      <c r="T231" s="69" t="s">
        <v>22</v>
      </c>
      <c r="U231" s="69" t="s">
        <v>24</v>
      </c>
      <c r="V231" s="69" t="s">
        <v>25</v>
      </c>
      <c r="W231" s="69" t="s">
        <v>26</v>
      </c>
      <c r="X231" s="69" t="s">
        <v>27</v>
      </c>
      <c r="Y231" s="69" t="s">
        <v>28</v>
      </c>
      <c r="Z231" s="69" t="s">
        <v>29</v>
      </c>
      <c r="AA231" s="4"/>
      <c r="AB231" s="4"/>
      <c r="AC231" s="4"/>
      <c r="AD231" s="70"/>
      <c r="AE231" s="70">
        <f>スカート!AE33</f>
        <v>0</v>
      </c>
      <c r="AF231" s="70" t="str">
        <f>スカート!P33</f>
        <v>通常</v>
      </c>
      <c r="AG231" s="70">
        <v>0</v>
      </c>
      <c r="AH231" s="6">
        <f xml:space="preserve"> スカート!AC33</f>
        <v>0</v>
      </c>
      <c r="AI231">
        <v>1</v>
      </c>
      <c r="AJ231">
        <f>スカート!S33</f>
        <v>0</v>
      </c>
    </row>
    <row r="232" spans="1:36" ht="13.5" hidden="1" customHeight="1">
      <c r="A232" s="3" t="str">
        <f>IF(スカート!A34="","",スカート!A34)</f>
        <v/>
      </c>
      <c r="B232" s="68" t="str">
        <f>IF(スカート!B34="","",スカート!B34)</f>
        <v/>
      </c>
      <c r="C232" s="3" t="str">
        <f>IF(スカート!C34="","",スカート!C34)</f>
        <v>◇ スカート サイズ レディース E</v>
      </c>
      <c r="D232" s="3" t="str">
        <f>IF(スカート!E34="","",スカート!E34)</f>
        <v>無</v>
      </c>
      <c r="E232" s="3" t="str">
        <f>IF(スカート!AA34="","",スカート!AA34)</f>
        <v>ベースW</v>
      </c>
      <c r="F232" s="3" t="str">
        <f>IF(スカート!G34="","",スカート!G34)</f>
        <v/>
      </c>
      <c r="G232" s="3" t="str">
        <f>IF(スカート!H34="","",スカート!H34)</f>
        <v/>
      </c>
      <c r="H232" s="3" t="str">
        <f>IF(スカート!I34="","",スカート!I34)</f>
        <v/>
      </c>
      <c r="I232" s="3" t="str">
        <f>IF(スカート!J34="","",スカート!J34)</f>
        <v>画像参照</v>
      </c>
      <c r="J232" s="3" t="str">
        <f>IF(スカート!K34="","",スカート!K34)</f>
        <v/>
      </c>
      <c r="K232" s="3" t="str">
        <f>IF(スカート!L34="","",スカート!L34)</f>
        <v>サイズ</v>
      </c>
      <c r="L232" s="69" t="s">
        <v>80</v>
      </c>
      <c r="M232" s="69" t="s">
        <v>19</v>
      </c>
      <c r="N232" s="3" t="str">
        <f xml:space="preserve"> スカート!Z34</f>
        <v>総丈：約cm　ウエスト：約cm　ヒップ：約cm</v>
      </c>
      <c r="O232" s="69" t="s">
        <v>21</v>
      </c>
      <c r="P232" s="4" t="s">
        <v>3036</v>
      </c>
      <c r="Q232" s="4" t="s">
        <v>3038</v>
      </c>
      <c r="R232" s="69" t="s">
        <v>22</v>
      </c>
      <c r="S232" s="69" t="s">
        <v>23</v>
      </c>
      <c r="T232" s="69" t="s">
        <v>22</v>
      </c>
      <c r="U232" s="69" t="s">
        <v>24</v>
      </c>
      <c r="V232" s="69" t="s">
        <v>25</v>
      </c>
      <c r="W232" s="69" t="s">
        <v>26</v>
      </c>
      <c r="X232" s="69" t="s">
        <v>27</v>
      </c>
      <c r="Y232" s="69" t="s">
        <v>28</v>
      </c>
      <c r="Z232" s="69" t="s">
        <v>29</v>
      </c>
      <c r="AA232" s="4"/>
      <c r="AB232" s="4"/>
      <c r="AC232" s="4"/>
      <c r="AD232" s="70"/>
      <c r="AE232" s="70">
        <f>スカート!AE34</f>
        <v>0</v>
      </c>
      <c r="AF232" s="70" t="str">
        <f>スカート!P34</f>
        <v>通常</v>
      </c>
      <c r="AG232" s="70">
        <v>0</v>
      </c>
      <c r="AH232" s="6">
        <f xml:space="preserve"> スカート!AC34</f>
        <v>0</v>
      </c>
      <c r="AI232">
        <v>1</v>
      </c>
      <c r="AJ232">
        <f>スカート!S34</f>
        <v>0</v>
      </c>
    </row>
    <row r="233" spans="1:36" ht="13.5" hidden="1" customHeight="1">
      <c r="A233" s="3" t="str">
        <f>IF(スカート!A35="","",スカート!A35)</f>
        <v/>
      </c>
      <c r="B233" s="68" t="str">
        <f>IF(スカート!B35="","",スカート!B35)</f>
        <v/>
      </c>
      <c r="C233" s="3" t="str">
        <f>IF(スカート!C35="","",スカート!C35)</f>
        <v>◇ スカート サイズ レディース E</v>
      </c>
      <c r="D233" s="3" t="str">
        <f>IF(スカート!E35="","",スカート!E35)</f>
        <v>無</v>
      </c>
      <c r="E233" s="3" t="str">
        <f>IF(スカート!AA35="","",スカート!AA35)</f>
        <v>ベースW</v>
      </c>
      <c r="F233" s="3" t="str">
        <f>IF(スカート!G35="","",スカート!G35)</f>
        <v/>
      </c>
      <c r="G233" s="3" t="str">
        <f>IF(スカート!H35="","",スカート!H35)</f>
        <v/>
      </c>
      <c r="H233" s="3" t="str">
        <f>IF(スカート!I35="","",スカート!I35)</f>
        <v/>
      </c>
      <c r="I233" s="3" t="str">
        <f>IF(スカート!J35="","",スカート!J35)</f>
        <v>画像参照</v>
      </c>
      <c r="J233" s="3" t="str">
        <f>IF(スカート!K35="","",スカート!K35)</f>
        <v/>
      </c>
      <c r="K233" s="3" t="str">
        <f>IF(スカート!L35="","",スカート!L35)</f>
        <v>サイズ</v>
      </c>
      <c r="L233" s="69" t="s">
        <v>80</v>
      </c>
      <c r="M233" s="69" t="s">
        <v>19</v>
      </c>
      <c r="N233" s="3" t="str">
        <f xml:space="preserve"> スカート!Z35</f>
        <v>総丈：約cm　ウエスト：約cm　ヒップ：約cm</v>
      </c>
      <c r="O233" s="69" t="s">
        <v>21</v>
      </c>
      <c r="P233" s="4" t="s">
        <v>3036</v>
      </c>
      <c r="Q233" s="4" t="s">
        <v>3038</v>
      </c>
      <c r="R233" s="69" t="s">
        <v>22</v>
      </c>
      <c r="S233" s="69" t="s">
        <v>23</v>
      </c>
      <c r="T233" s="69" t="s">
        <v>22</v>
      </c>
      <c r="U233" s="69" t="s">
        <v>24</v>
      </c>
      <c r="V233" s="69" t="s">
        <v>25</v>
      </c>
      <c r="W233" s="69" t="s">
        <v>26</v>
      </c>
      <c r="X233" s="69" t="s">
        <v>27</v>
      </c>
      <c r="Y233" s="69" t="s">
        <v>28</v>
      </c>
      <c r="Z233" s="69" t="s">
        <v>29</v>
      </c>
      <c r="AA233" s="4"/>
      <c r="AB233" s="4"/>
      <c r="AC233" s="4"/>
      <c r="AD233" s="70"/>
      <c r="AE233" s="70">
        <f>スカート!AE35</f>
        <v>0</v>
      </c>
      <c r="AF233" s="70" t="str">
        <f>スカート!P35</f>
        <v>通常</v>
      </c>
      <c r="AG233" s="70">
        <v>0</v>
      </c>
      <c r="AH233" s="6">
        <f xml:space="preserve"> スカート!AC35</f>
        <v>0</v>
      </c>
      <c r="AI233">
        <v>1</v>
      </c>
      <c r="AJ233">
        <f>スカート!S35</f>
        <v>0</v>
      </c>
    </row>
    <row r="234" spans="1:36" ht="13.5" hidden="1" customHeight="1">
      <c r="A234" s="3" t="str">
        <f>IF(スカート!A36="","",スカート!A36)</f>
        <v/>
      </c>
      <c r="B234" s="68" t="str">
        <f>IF(スカート!B36="","",スカート!B36)</f>
        <v/>
      </c>
      <c r="C234" s="3" t="str">
        <f>IF(スカート!C36="","",スカート!C36)</f>
        <v>◇ スカート サイズ レディース E</v>
      </c>
      <c r="D234" s="3" t="str">
        <f>IF(スカート!E36="","",スカート!E36)</f>
        <v>無</v>
      </c>
      <c r="E234" s="3" t="str">
        <f>IF(スカート!AA36="","",スカート!AA36)</f>
        <v>ベースW</v>
      </c>
      <c r="F234" s="3" t="str">
        <f>IF(スカート!G36="","",スカート!G36)</f>
        <v/>
      </c>
      <c r="G234" s="3" t="str">
        <f>IF(スカート!H36="","",スカート!H36)</f>
        <v/>
      </c>
      <c r="H234" s="3" t="str">
        <f>IF(スカート!I36="","",スカート!I36)</f>
        <v/>
      </c>
      <c r="I234" s="3" t="str">
        <f>IF(スカート!J36="","",スカート!J36)</f>
        <v>画像参照</v>
      </c>
      <c r="J234" s="3" t="str">
        <f>IF(スカート!K36="","",スカート!K36)</f>
        <v/>
      </c>
      <c r="K234" s="3" t="str">
        <f>IF(スカート!L36="","",スカート!L36)</f>
        <v>サイズ</v>
      </c>
      <c r="L234" s="69" t="s">
        <v>80</v>
      </c>
      <c r="M234" s="69" t="s">
        <v>19</v>
      </c>
      <c r="N234" s="3" t="str">
        <f xml:space="preserve"> スカート!Z36</f>
        <v>総丈：約cm　ウエスト：約cm　ヒップ：約cm</v>
      </c>
      <c r="O234" s="69" t="s">
        <v>21</v>
      </c>
      <c r="P234" s="4" t="s">
        <v>3036</v>
      </c>
      <c r="Q234" s="4" t="s">
        <v>3038</v>
      </c>
      <c r="R234" s="69" t="s">
        <v>22</v>
      </c>
      <c r="S234" s="69" t="s">
        <v>23</v>
      </c>
      <c r="T234" s="69" t="s">
        <v>22</v>
      </c>
      <c r="U234" s="69" t="s">
        <v>24</v>
      </c>
      <c r="V234" s="69" t="s">
        <v>25</v>
      </c>
      <c r="W234" s="69" t="s">
        <v>26</v>
      </c>
      <c r="X234" s="69" t="s">
        <v>27</v>
      </c>
      <c r="Y234" s="69" t="s">
        <v>28</v>
      </c>
      <c r="Z234" s="69" t="s">
        <v>29</v>
      </c>
      <c r="AA234" s="4"/>
      <c r="AB234" s="4"/>
      <c r="AC234" s="4"/>
      <c r="AD234" s="70"/>
      <c r="AE234" s="70">
        <f>スカート!AE36</f>
        <v>0</v>
      </c>
      <c r="AF234" s="70" t="str">
        <f>スカート!P36</f>
        <v>通常</v>
      </c>
      <c r="AG234" s="70">
        <v>0</v>
      </c>
      <c r="AH234" s="6">
        <f xml:space="preserve"> スカート!AC36</f>
        <v>0</v>
      </c>
      <c r="AI234">
        <v>1</v>
      </c>
      <c r="AJ234">
        <f>スカート!S36</f>
        <v>0</v>
      </c>
    </row>
    <row r="235" spans="1:36" ht="13.5" hidden="1" customHeight="1">
      <c r="A235" s="3" t="str">
        <f>IF(スカート!A37="","",スカート!A37)</f>
        <v/>
      </c>
      <c r="B235" s="68" t="str">
        <f>IF(スカート!B37="","",スカート!B37)</f>
        <v/>
      </c>
      <c r="C235" s="3" t="str">
        <f>IF(スカート!C37="","",スカート!C37)</f>
        <v>◇ スカート サイズ レディース E</v>
      </c>
      <c r="D235" s="3" t="str">
        <f>IF(スカート!E37="","",スカート!E37)</f>
        <v>無</v>
      </c>
      <c r="E235" s="3" t="str">
        <f>IF(スカート!AA37="","",スカート!AA37)</f>
        <v>ベースW</v>
      </c>
      <c r="F235" s="3" t="str">
        <f>IF(スカート!G37="","",スカート!G37)</f>
        <v/>
      </c>
      <c r="G235" s="3" t="str">
        <f>IF(スカート!H37="","",スカート!H37)</f>
        <v/>
      </c>
      <c r="H235" s="3" t="str">
        <f>IF(スカート!I37="","",スカート!I37)</f>
        <v/>
      </c>
      <c r="I235" s="3" t="str">
        <f>IF(スカート!J37="","",スカート!J37)</f>
        <v>画像参照</v>
      </c>
      <c r="J235" s="3" t="str">
        <f>IF(スカート!K37="","",スカート!K37)</f>
        <v/>
      </c>
      <c r="K235" s="3" t="str">
        <f>IF(スカート!L37="","",スカート!L37)</f>
        <v>サイズ</v>
      </c>
      <c r="L235" s="69" t="s">
        <v>80</v>
      </c>
      <c r="M235" s="69" t="s">
        <v>19</v>
      </c>
      <c r="N235" s="3" t="str">
        <f xml:space="preserve"> スカート!Z37</f>
        <v>総丈：約cm　ウエスト：約cm　ヒップ：約cm</v>
      </c>
      <c r="O235" s="69" t="s">
        <v>21</v>
      </c>
      <c r="P235" s="4" t="s">
        <v>3036</v>
      </c>
      <c r="Q235" s="4" t="s">
        <v>3038</v>
      </c>
      <c r="R235" s="69" t="s">
        <v>22</v>
      </c>
      <c r="S235" s="69" t="s">
        <v>23</v>
      </c>
      <c r="T235" s="69" t="s">
        <v>22</v>
      </c>
      <c r="U235" s="69" t="s">
        <v>24</v>
      </c>
      <c r="V235" s="69" t="s">
        <v>25</v>
      </c>
      <c r="W235" s="69" t="s">
        <v>26</v>
      </c>
      <c r="X235" s="69" t="s">
        <v>27</v>
      </c>
      <c r="Y235" s="69" t="s">
        <v>28</v>
      </c>
      <c r="Z235" s="69" t="s">
        <v>29</v>
      </c>
      <c r="AA235" s="4"/>
      <c r="AB235" s="4"/>
      <c r="AC235" s="4"/>
      <c r="AD235" s="70"/>
      <c r="AE235" s="70">
        <f>スカート!AE37</f>
        <v>0</v>
      </c>
      <c r="AF235" s="70" t="str">
        <f>スカート!P37</f>
        <v>通常</v>
      </c>
      <c r="AG235" s="70">
        <v>0</v>
      </c>
      <c r="AH235" s="6">
        <f xml:space="preserve"> スカート!AC37</f>
        <v>0</v>
      </c>
      <c r="AI235">
        <v>1</v>
      </c>
      <c r="AJ235">
        <f>スカート!S37</f>
        <v>0</v>
      </c>
    </row>
    <row r="236" spans="1:36" ht="13.5" hidden="1" customHeight="1">
      <c r="A236" s="3" t="str">
        <f>IF(スカート!A38="","",スカート!A38)</f>
        <v/>
      </c>
      <c r="B236" s="68" t="str">
        <f>IF(スカート!B38="","",スカート!B38)</f>
        <v/>
      </c>
      <c r="C236" s="3" t="str">
        <f>IF(スカート!C38="","",スカート!C38)</f>
        <v>◇ スカート サイズ レディース E</v>
      </c>
      <c r="D236" s="3" t="str">
        <f>IF(スカート!E38="","",スカート!E38)</f>
        <v>無</v>
      </c>
      <c r="E236" s="3" t="str">
        <f>IF(スカート!AA38="","",スカート!AA38)</f>
        <v>ベースW</v>
      </c>
      <c r="F236" s="3" t="str">
        <f>IF(スカート!G38="","",スカート!G38)</f>
        <v/>
      </c>
      <c r="G236" s="3" t="str">
        <f>IF(スカート!H38="","",スカート!H38)</f>
        <v/>
      </c>
      <c r="H236" s="3" t="str">
        <f>IF(スカート!I38="","",スカート!I38)</f>
        <v/>
      </c>
      <c r="I236" s="3" t="str">
        <f>IF(スカート!J38="","",スカート!J38)</f>
        <v>画像参照</v>
      </c>
      <c r="J236" s="3" t="str">
        <f>IF(スカート!K38="","",スカート!K38)</f>
        <v/>
      </c>
      <c r="K236" s="3" t="str">
        <f>IF(スカート!L38="","",スカート!L38)</f>
        <v>サイズ</v>
      </c>
      <c r="L236" s="69" t="s">
        <v>80</v>
      </c>
      <c r="M236" s="69" t="s">
        <v>19</v>
      </c>
      <c r="N236" s="3" t="str">
        <f xml:space="preserve"> スカート!Z38</f>
        <v>総丈：約cm　ウエスト：約cm　ヒップ：約cm</v>
      </c>
      <c r="O236" s="69" t="s">
        <v>21</v>
      </c>
      <c r="P236" s="4" t="s">
        <v>3036</v>
      </c>
      <c r="Q236" s="4" t="s">
        <v>3038</v>
      </c>
      <c r="R236" s="69" t="s">
        <v>22</v>
      </c>
      <c r="S236" s="69" t="s">
        <v>23</v>
      </c>
      <c r="T236" s="69" t="s">
        <v>22</v>
      </c>
      <c r="U236" s="69" t="s">
        <v>24</v>
      </c>
      <c r="V236" s="69" t="s">
        <v>25</v>
      </c>
      <c r="W236" s="69" t="s">
        <v>26</v>
      </c>
      <c r="X236" s="69" t="s">
        <v>27</v>
      </c>
      <c r="Y236" s="69" t="s">
        <v>28</v>
      </c>
      <c r="Z236" s="69" t="s">
        <v>29</v>
      </c>
      <c r="AA236" s="4"/>
      <c r="AB236" s="4"/>
      <c r="AC236" s="4"/>
      <c r="AD236" s="70"/>
      <c r="AE236" s="70">
        <f>スカート!AE38</f>
        <v>0</v>
      </c>
      <c r="AF236" s="70" t="str">
        <f>スカート!P38</f>
        <v>通常</v>
      </c>
      <c r="AG236" s="70">
        <v>0</v>
      </c>
      <c r="AH236" s="6">
        <f xml:space="preserve"> スカート!AC38</f>
        <v>0</v>
      </c>
      <c r="AI236">
        <v>1</v>
      </c>
      <c r="AJ236">
        <f>スカート!S38</f>
        <v>0</v>
      </c>
    </row>
    <row r="237" spans="1:36" ht="13.5" hidden="1" customHeight="1">
      <c r="A237" s="3" t="str">
        <f>IF(スカート!A39="","",スカート!A39)</f>
        <v/>
      </c>
      <c r="B237" s="68" t="str">
        <f>IF(スカート!B39="","",スカート!B39)</f>
        <v/>
      </c>
      <c r="C237" s="3" t="str">
        <f>IF(スカート!C39="","",スカート!C39)</f>
        <v>◇ スカート サイズ レディース E</v>
      </c>
      <c r="D237" s="3" t="str">
        <f>IF(スカート!E39="","",スカート!E39)</f>
        <v>無</v>
      </c>
      <c r="E237" s="3" t="str">
        <f>IF(スカート!AA39="","",スカート!AA39)</f>
        <v>ベースW</v>
      </c>
      <c r="F237" s="3" t="str">
        <f>IF(スカート!G39="","",スカート!G39)</f>
        <v/>
      </c>
      <c r="G237" s="3" t="str">
        <f>IF(スカート!H39="","",スカート!H39)</f>
        <v/>
      </c>
      <c r="H237" s="3" t="str">
        <f>IF(スカート!I39="","",スカート!I39)</f>
        <v/>
      </c>
      <c r="I237" s="3" t="str">
        <f>IF(スカート!J39="","",スカート!J39)</f>
        <v>画像参照</v>
      </c>
      <c r="J237" s="3" t="str">
        <f>IF(スカート!K39="","",スカート!K39)</f>
        <v/>
      </c>
      <c r="K237" s="3" t="str">
        <f>IF(スカート!L39="","",スカート!L39)</f>
        <v>サイズ</v>
      </c>
      <c r="L237" s="69" t="s">
        <v>80</v>
      </c>
      <c r="M237" s="69" t="s">
        <v>19</v>
      </c>
      <c r="N237" s="3" t="str">
        <f xml:space="preserve"> スカート!Z39</f>
        <v>総丈：約cm　ウエスト：約cm　ヒップ：約cm</v>
      </c>
      <c r="O237" s="69" t="s">
        <v>21</v>
      </c>
      <c r="P237" s="4" t="s">
        <v>3036</v>
      </c>
      <c r="Q237" s="4" t="s">
        <v>3038</v>
      </c>
      <c r="R237" s="69" t="s">
        <v>22</v>
      </c>
      <c r="S237" s="69" t="s">
        <v>23</v>
      </c>
      <c r="T237" s="69" t="s">
        <v>22</v>
      </c>
      <c r="U237" s="69" t="s">
        <v>24</v>
      </c>
      <c r="V237" s="69" t="s">
        <v>25</v>
      </c>
      <c r="W237" s="69" t="s">
        <v>26</v>
      </c>
      <c r="X237" s="69" t="s">
        <v>27</v>
      </c>
      <c r="Y237" s="69" t="s">
        <v>28</v>
      </c>
      <c r="Z237" s="69" t="s">
        <v>29</v>
      </c>
      <c r="AA237" s="4"/>
      <c r="AB237" s="4"/>
      <c r="AC237" s="4"/>
      <c r="AD237" s="70"/>
      <c r="AE237" s="70">
        <f>スカート!AE39</f>
        <v>0</v>
      </c>
      <c r="AF237" s="70" t="str">
        <f>スカート!P39</f>
        <v>通常</v>
      </c>
      <c r="AG237" s="70">
        <v>0</v>
      </c>
      <c r="AH237" s="6">
        <f xml:space="preserve"> スカート!AC39</f>
        <v>0</v>
      </c>
      <c r="AI237">
        <v>1</v>
      </c>
      <c r="AJ237">
        <f>スカート!S39</f>
        <v>0</v>
      </c>
    </row>
    <row r="238" spans="1:36" ht="13.5" hidden="1" customHeight="1">
      <c r="A238" s="3" t="str">
        <f>IF(スカート!A40="","",スカート!A40)</f>
        <v/>
      </c>
      <c r="B238" s="68" t="str">
        <f>IF(スカート!B40="","",スカート!B40)</f>
        <v/>
      </c>
      <c r="C238" s="3" t="str">
        <f>IF(スカート!C40="","",スカート!C40)</f>
        <v>◇ スカート サイズ レディース E</v>
      </c>
      <c r="D238" s="3" t="str">
        <f>IF(スカート!E40="","",スカート!E40)</f>
        <v>無</v>
      </c>
      <c r="E238" s="3" t="str">
        <f>IF(スカート!AA40="","",スカート!AA40)</f>
        <v>ベースW</v>
      </c>
      <c r="F238" s="3" t="str">
        <f>IF(スカート!G40="","",スカート!G40)</f>
        <v/>
      </c>
      <c r="G238" s="3" t="str">
        <f>IF(スカート!H40="","",スカート!H40)</f>
        <v/>
      </c>
      <c r="H238" s="3" t="str">
        <f>IF(スカート!I40="","",スカート!I40)</f>
        <v/>
      </c>
      <c r="I238" s="3" t="str">
        <f>IF(スカート!J40="","",スカート!J40)</f>
        <v>画像参照</v>
      </c>
      <c r="J238" s="3" t="str">
        <f>IF(スカート!K40="","",スカート!K40)</f>
        <v/>
      </c>
      <c r="K238" s="3" t="str">
        <f>IF(スカート!L40="","",スカート!L40)</f>
        <v>サイズ</v>
      </c>
      <c r="L238" s="69" t="s">
        <v>80</v>
      </c>
      <c r="M238" s="69" t="s">
        <v>19</v>
      </c>
      <c r="N238" s="3" t="str">
        <f xml:space="preserve"> スカート!Z40</f>
        <v>総丈：約cm　ウエスト：約cm　ヒップ：約cm</v>
      </c>
      <c r="O238" s="69" t="s">
        <v>21</v>
      </c>
      <c r="P238" s="4" t="s">
        <v>3036</v>
      </c>
      <c r="Q238" s="4" t="s">
        <v>3038</v>
      </c>
      <c r="R238" s="69" t="s">
        <v>22</v>
      </c>
      <c r="S238" s="69" t="s">
        <v>23</v>
      </c>
      <c r="T238" s="69" t="s">
        <v>22</v>
      </c>
      <c r="U238" s="69" t="s">
        <v>24</v>
      </c>
      <c r="V238" s="69" t="s">
        <v>25</v>
      </c>
      <c r="W238" s="69" t="s">
        <v>26</v>
      </c>
      <c r="X238" s="69" t="s">
        <v>27</v>
      </c>
      <c r="Y238" s="69" t="s">
        <v>28</v>
      </c>
      <c r="Z238" s="69" t="s">
        <v>29</v>
      </c>
      <c r="AA238" s="4"/>
      <c r="AB238" s="4"/>
      <c r="AC238" s="4"/>
      <c r="AD238" s="70"/>
      <c r="AE238" s="70">
        <f>スカート!AE40</f>
        <v>0</v>
      </c>
      <c r="AF238" s="70" t="str">
        <f>スカート!P40</f>
        <v>通常</v>
      </c>
      <c r="AG238" s="70">
        <v>0</v>
      </c>
      <c r="AH238" s="6">
        <f xml:space="preserve"> スカート!AC40</f>
        <v>0</v>
      </c>
      <c r="AI238">
        <v>1</v>
      </c>
      <c r="AJ238">
        <f>スカート!S40</f>
        <v>0</v>
      </c>
    </row>
    <row r="239" spans="1:36" ht="13.5" hidden="1" customHeight="1">
      <c r="A239" s="3" t="str">
        <f>IF(スカート!A41="","",スカート!A41)</f>
        <v/>
      </c>
      <c r="B239" s="68" t="str">
        <f>IF(スカート!B41="","",スカート!B41)</f>
        <v/>
      </c>
      <c r="C239" s="3" t="str">
        <f>IF(スカート!C41="","",スカート!C41)</f>
        <v>◇ スカート サイズ レディース E</v>
      </c>
      <c r="D239" s="3" t="str">
        <f>IF(スカート!E41="","",スカート!E41)</f>
        <v>無</v>
      </c>
      <c r="E239" s="3" t="str">
        <f>IF(スカート!AA41="","",スカート!AA41)</f>
        <v>ベースW</v>
      </c>
      <c r="F239" s="3" t="str">
        <f>IF(スカート!G41="","",スカート!G41)</f>
        <v/>
      </c>
      <c r="G239" s="3" t="str">
        <f>IF(スカート!H41="","",スカート!H41)</f>
        <v/>
      </c>
      <c r="H239" s="3" t="str">
        <f>IF(スカート!I41="","",スカート!I41)</f>
        <v/>
      </c>
      <c r="I239" s="3" t="str">
        <f>IF(スカート!J41="","",スカート!J41)</f>
        <v>画像参照</v>
      </c>
      <c r="J239" s="3" t="str">
        <f>IF(スカート!K41="","",スカート!K41)</f>
        <v/>
      </c>
      <c r="K239" s="3" t="str">
        <f>IF(スカート!L41="","",スカート!L41)</f>
        <v>サイズ</v>
      </c>
      <c r="L239" s="69" t="s">
        <v>80</v>
      </c>
      <c r="M239" s="69" t="s">
        <v>19</v>
      </c>
      <c r="N239" s="3" t="str">
        <f xml:space="preserve"> スカート!Z41</f>
        <v>総丈：約cm　ウエスト：約cm　ヒップ：約cm</v>
      </c>
      <c r="O239" s="69" t="s">
        <v>21</v>
      </c>
      <c r="P239" s="4" t="s">
        <v>3036</v>
      </c>
      <c r="Q239" s="4" t="s">
        <v>3038</v>
      </c>
      <c r="R239" s="69" t="s">
        <v>22</v>
      </c>
      <c r="S239" s="69" t="s">
        <v>23</v>
      </c>
      <c r="T239" s="69" t="s">
        <v>22</v>
      </c>
      <c r="U239" s="69" t="s">
        <v>24</v>
      </c>
      <c r="V239" s="69" t="s">
        <v>25</v>
      </c>
      <c r="W239" s="69" t="s">
        <v>26</v>
      </c>
      <c r="X239" s="69" t="s">
        <v>27</v>
      </c>
      <c r="Y239" s="69" t="s">
        <v>28</v>
      </c>
      <c r="Z239" s="69" t="s">
        <v>29</v>
      </c>
      <c r="AA239" s="4"/>
      <c r="AB239" s="4"/>
      <c r="AC239" s="4"/>
      <c r="AD239" s="70"/>
      <c r="AE239" s="70">
        <f>スカート!AE41</f>
        <v>0</v>
      </c>
      <c r="AF239" s="70" t="str">
        <f>スカート!P41</f>
        <v>通常</v>
      </c>
      <c r="AG239" s="70">
        <v>0</v>
      </c>
      <c r="AH239" s="6">
        <f xml:space="preserve"> スカート!AC41</f>
        <v>0</v>
      </c>
      <c r="AI239">
        <v>1</v>
      </c>
      <c r="AJ239">
        <f>スカート!S41</f>
        <v>0</v>
      </c>
    </row>
    <row r="240" spans="1:36" ht="13.5" hidden="1" customHeight="1">
      <c r="A240" s="3" t="str">
        <f>IF(スカート!A42="","",スカート!A42)</f>
        <v/>
      </c>
      <c r="B240" s="68" t="str">
        <f>IF(スカート!B42="","",スカート!B42)</f>
        <v/>
      </c>
      <c r="C240" s="3" t="str">
        <f>IF(スカート!C42="","",スカート!C42)</f>
        <v>◇ スカート サイズ レディース E</v>
      </c>
      <c r="D240" s="3" t="str">
        <f>IF(スカート!E42="","",スカート!E42)</f>
        <v>無</v>
      </c>
      <c r="E240" s="3" t="str">
        <f>IF(スカート!AA42="","",スカート!AA42)</f>
        <v>ベースW</v>
      </c>
      <c r="F240" s="3" t="str">
        <f>IF(スカート!G42="","",スカート!G42)</f>
        <v/>
      </c>
      <c r="G240" s="3" t="str">
        <f>IF(スカート!H42="","",スカート!H42)</f>
        <v/>
      </c>
      <c r="H240" s="3" t="str">
        <f>IF(スカート!I42="","",スカート!I42)</f>
        <v/>
      </c>
      <c r="I240" s="3" t="str">
        <f>IF(スカート!J42="","",スカート!J42)</f>
        <v>画像参照</v>
      </c>
      <c r="J240" s="3" t="str">
        <f>IF(スカート!K42="","",スカート!K42)</f>
        <v/>
      </c>
      <c r="K240" s="3" t="str">
        <f>IF(スカート!L42="","",スカート!L42)</f>
        <v>サイズ</v>
      </c>
      <c r="L240" s="69" t="s">
        <v>80</v>
      </c>
      <c r="M240" s="69" t="s">
        <v>19</v>
      </c>
      <c r="N240" s="3" t="str">
        <f xml:space="preserve"> スカート!Z42</f>
        <v>総丈：約cm　ウエスト：約cm　ヒップ：約cm</v>
      </c>
      <c r="O240" s="69" t="s">
        <v>21</v>
      </c>
      <c r="P240" s="4" t="s">
        <v>3036</v>
      </c>
      <c r="Q240" s="4" t="s">
        <v>3038</v>
      </c>
      <c r="R240" s="69" t="s">
        <v>22</v>
      </c>
      <c r="S240" s="69" t="s">
        <v>23</v>
      </c>
      <c r="T240" s="69" t="s">
        <v>22</v>
      </c>
      <c r="U240" s="69" t="s">
        <v>24</v>
      </c>
      <c r="V240" s="69" t="s">
        <v>25</v>
      </c>
      <c r="W240" s="69" t="s">
        <v>26</v>
      </c>
      <c r="X240" s="69" t="s">
        <v>27</v>
      </c>
      <c r="Y240" s="69" t="s">
        <v>28</v>
      </c>
      <c r="Z240" s="69" t="s">
        <v>29</v>
      </c>
      <c r="AA240" s="4"/>
      <c r="AB240" s="4"/>
      <c r="AC240" s="4"/>
      <c r="AD240" s="70"/>
      <c r="AE240" s="70">
        <f>スカート!AE42</f>
        <v>0</v>
      </c>
      <c r="AF240" s="70" t="str">
        <f>スカート!P42</f>
        <v>通常</v>
      </c>
      <c r="AG240" s="70">
        <v>0</v>
      </c>
      <c r="AH240" s="6">
        <f xml:space="preserve"> スカート!AC42</f>
        <v>0</v>
      </c>
      <c r="AI240">
        <v>1</v>
      </c>
      <c r="AJ240">
        <f>スカート!S42</f>
        <v>0</v>
      </c>
    </row>
    <row r="241" spans="1:36" ht="13.5" hidden="1" customHeight="1">
      <c r="A241" s="3" t="str">
        <f>IF(スカート!A43="","",スカート!A43)</f>
        <v/>
      </c>
      <c r="B241" s="68" t="str">
        <f>IF(スカート!B43="","",スカート!B43)</f>
        <v/>
      </c>
      <c r="C241" s="3" t="str">
        <f>IF(スカート!C43="","",スカート!C43)</f>
        <v>◇ スカート サイズ レディース E</v>
      </c>
      <c r="D241" s="3" t="str">
        <f>IF(スカート!E43="","",スカート!E43)</f>
        <v>無</v>
      </c>
      <c r="E241" s="3" t="str">
        <f>IF(スカート!AA43="","",スカート!AA43)</f>
        <v>ベースW</v>
      </c>
      <c r="F241" s="3" t="str">
        <f>IF(スカート!G43="","",スカート!G43)</f>
        <v/>
      </c>
      <c r="G241" s="3" t="str">
        <f>IF(スカート!H43="","",スカート!H43)</f>
        <v/>
      </c>
      <c r="H241" s="3" t="str">
        <f>IF(スカート!I43="","",スカート!I43)</f>
        <v/>
      </c>
      <c r="I241" s="3" t="str">
        <f>IF(スカート!J43="","",スカート!J43)</f>
        <v>画像参照</v>
      </c>
      <c r="J241" s="3" t="str">
        <f>IF(スカート!K43="","",スカート!K43)</f>
        <v/>
      </c>
      <c r="K241" s="3" t="str">
        <f>IF(スカート!L43="","",スカート!L43)</f>
        <v>サイズ</v>
      </c>
      <c r="L241" s="69" t="s">
        <v>80</v>
      </c>
      <c r="M241" s="69" t="s">
        <v>19</v>
      </c>
      <c r="N241" s="3" t="str">
        <f xml:space="preserve"> スカート!Z43</f>
        <v>総丈：約cm　ウエスト：約cm　ヒップ：約cm</v>
      </c>
      <c r="O241" s="69" t="s">
        <v>21</v>
      </c>
      <c r="P241" s="4" t="s">
        <v>3036</v>
      </c>
      <c r="Q241" s="4" t="s">
        <v>3038</v>
      </c>
      <c r="R241" s="69" t="s">
        <v>22</v>
      </c>
      <c r="S241" s="69" t="s">
        <v>23</v>
      </c>
      <c r="T241" s="69" t="s">
        <v>22</v>
      </c>
      <c r="U241" s="69" t="s">
        <v>24</v>
      </c>
      <c r="V241" s="69" t="s">
        <v>25</v>
      </c>
      <c r="W241" s="69" t="s">
        <v>26</v>
      </c>
      <c r="X241" s="69" t="s">
        <v>27</v>
      </c>
      <c r="Y241" s="69" t="s">
        <v>28</v>
      </c>
      <c r="Z241" s="69" t="s">
        <v>29</v>
      </c>
      <c r="AA241" s="4"/>
      <c r="AB241" s="4"/>
      <c r="AC241" s="4"/>
      <c r="AD241" s="70"/>
      <c r="AE241" s="70">
        <f>スカート!AE43</f>
        <v>0</v>
      </c>
      <c r="AF241" s="70" t="str">
        <f>スカート!P43</f>
        <v>通常</v>
      </c>
      <c r="AG241" s="70">
        <v>0</v>
      </c>
      <c r="AH241" s="6">
        <f xml:space="preserve"> スカート!AC43</f>
        <v>0</v>
      </c>
      <c r="AI241">
        <v>1</v>
      </c>
      <c r="AJ241">
        <f>スカート!S43</f>
        <v>0</v>
      </c>
    </row>
    <row r="242" spans="1:36" ht="13.5" hidden="1" customHeight="1">
      <c r="A242" s="3" t="str">
        <f>IF(スカート!A44="","",スカート!A44)</f>
        <v/>
      </c>
      <c r="B242" s="68" t="str">
        <f>IF(スカート!B44="","",スカート!B44)</f>
        <v/>
      </c>
      <c r="C242" s="3" t="str">
        <f>IF(スカート!C44="","",スカート!C44)</f>
        <v>◇ スカート サイズ レディース E</v>
      </c>
      <c r="D242" s="3" t="str">
        <f>IF(スカート!E44="","",スカート!E44)</f>
        <v>無</v>
      </c>
      <c r="E242" s="3" t="str">
        <f>IF(スカート!AA44="","",スカート!AA44)</f>
        <v>ベースW</v>
      </c>
      <c r="F242" s="3" t="str">
        <f>IF(スカート!G44="","",スカート!G44)</f>
        <v/>
      </c>
      <c r="G242" s="3" t="str">
        <f>IF(スカート!H44="","",スカート!H44)</f>
        <v/>
      </c>
      <c r="H242" s="3" t="str">
        <f>IF(スカート!I44="","",スカート!I44)</f>
        <v/>
      </c>
      <c r="I242" s="3" t="str">
        <f>IF(スカート!J44="","",スカート!J44)</f>
        <v>画像参照</v>
      </c>
      <c r="J242" s="3" t="str">
        <f>IF(スカート!K44="","",スカート!K44)</f>
        <v/>
      </c>
      <c r="K242" s="3" t="str">
        <f>IF(スカート!L44="","",スカート!L44)</f>
        <v>サイズ</v>
      </c>
      <c r="L242" s="69" t="s">
        <v>80</v>
      </c>
      <c r="M242" s="69" t="s">
        <v>19</v>
      </c>
      <c r="N242" s="3" t="str">
        <f xml:space="preserve"> スカート!Z44</f>
        <v>総丈：約cm　ウエスト：約cm　ヒップ：約cm</v>
      </c>
      <c r="O242" s="69" t="s">
        <v>21</v>
      </c>
      <c r="P242" s="4" t="s">
        <v>3036</v>
      </c>
      <c r="Q242" s="4" t="s">
        <v>3038</v>
      </c>
      <c r="R242" s="69" t="s">
        <v>22</v>
      </c>
      <c r="S242" s="69" t="s">
        <v>23</v>
      </c>
      <c r="T242" s="69" t="s">
        <v>22</v>
      </c>
      <c r="U242" s="69" t="s">
        <v>24</v>
      </c>
      <c r="V242" s="69" t="s">
        <v>25</v>
      </c>
      <c r="W242" s="69" t="s">
        <v>26</v>
      </c>
      <c r="X242" s="69" t="s">
        <v>27</v>
      </c>
      <c r="Y242" s="69" t="s">
        <v>28</v>
      </c>
      <c r="Z242" s="69" t="s">
        <v>29</v>
      </c>
      <c r="AA242" s="4"/>
      <c r="AB242" s="4"/>
      <c r="AC242" s="4"/>
      <c r="AD242" s="70"/>
      <c r="AE242" s="70">
        <f>スカート!AE44</f>
        <v>0</v>
      </c>
      <c r="AF242" s="70" t="str">
        <f>スカート!P44</f>
        <v>通常</v>
      </c>
      <c r="AG242" s="70">
        <v>0</v>
      </c>
      <c r="AH242" s="6">
        <f xml:space="preserve"> スカート!AC44</f>
        <v>0</v>
      </c>
      <c r="AI242">
        <v>1</v>
      </c>
      <c r="AJ242">
        <f>スカート!S44</f>
        <v>0</v>
      </c>
    </row>
    <row r="243" spans="1:36" ht="13.5" hidden="1" customHeight="1">
      <c r="A243" s="3" t="str">
        <f>IF(スカート!A45="","",スカート!A45)</f>
        <v/>
      </c>
      <c r="B243" s="68" t="str">
        <f>IF(スカート!B45="","",スカート!B45)</f>
        <v/>
      </c>
      <c r="C243" s="3" t="str">
        <f>IF(スカート!C45="","",スカート!C45)</f>
        <v>◇ スカート サイズ レディース E</v>
      </c>
      <c r="D243" s="3" t="str">
        <f>IF(スカート!E45="","",スカート!E45)</f>
        <v>無</v>
      </c>
      <c r="E243" s="3" t="str">
        <f>IF(スカート!AA45="","",スカート!AA45)</f>
        <v>ベースW</v>
      </c>
      <c r="F243" s="3" t="str">
        <f>IF(スカート!G45="","",スカート!G45)</f>
        <v/>
      </c>
      <c r="G243" s="3" t="str">
        <f>IF(スカート!H45="","",スカート!H45)</f>
        <v/>
      </c>
      <c r="H243" s="3" t="str">
        <f>IF(スカート!I45="","",スカート!I45)</f>
        <v/>
      </c>
      <c r="I243" s="3" t="str">
        <f>IF(スカート!J45="","",スカート!J45)</f>
        <v>画像参照</v>
      </c>
      <c r="J243" s="3" t="str">
        <f>IF(スカート!K45="","",スカート!K45)</f>
        <v/>
      </c>
      <c r="K243" s="3" t="str">
        <f>IF(スカート!L45="","",スカート!L45)</f>
        <v>サイズ</v>
      </c>
      <c r="L243" s="69" t="s">
        <v>80</v>
      </c>
      <c r="M243" s="69" t="s">
        <v>19</v>
      </c>
      <c r="N243" s="3" t="str">
        <f xml:space="preserve"> スカート!Z45</f>
        <v>総丈：約cm　ウエスト：約cm　ヒップ：約cm</v>
      </c>
      <c r="O243" s="69" t="s">
        <v>21</v>
      </c>
      <c r="P243" s="4" t="s">
        <v>3036</v>
      </c>
      <c r="Q243" s="4" t="s">
        <v>3038</v>
      </c>
      <c r="R243" s="69" t="s">
        <v>22</v>
      </c>
      <c r="S243" s="69" t="s">
        <v>23</v>
      </c>
      <c r="T243" s="69" t="s">
        <v>22</v>
      </c>
      <c r="U243" s="69" t="s">
        <v>24</v>
      </c>
      <c r="V243" s="69" t="s">
        <v>25</v>
      </c>
      <c r="W243" s="69" t="s">
        <v>26</v>
      </c>
      <c r="X243" s="69" t="s">
        <v>27</v>
      </c>
      <c r="Y243" s="69" t="s">
        <v>28</v>
      </c>
      <c r="Z243" s="69" t="s">
        <v>29</v>
      </c>
      <c r="AA243" s="4"/>
      <c r="AB243" s="4"/>
      <c r="AC243" s="4"/>
      <c r="AD243" s="70"/>
      <c r="AE243" s="70">
        <f>スカート!AE45</f>
        <v>0</v>
      </c>
      <c r="AF243" s="70" t="str">
        <f>スカート!P45</f>
        <v>通常</v>
      </c>
      <c r="AG243" s="70">
        <v>0</v>
      </c>
      <c r="AH243" s="6">
        <f xml:space="preserve"> スカート!AC45</f>
        <v>0</v>
      </c>
      <c r="AI243">
        <v>1</v>
      </c>
      <c r="AJ243">
        <f>スカート!S45</f>
        <v>0</v>
      </c>
    </row>
    <row r="244" spans="1:36" ht="13.5" hidden="1" customHeight="1">
      <c r="A244" s="3" t="str">
        <f>IF(スカート!A46="","",スカート!A46)</f>
        <v/>
      </c>
      <c r="B244" s="68" t="str">
        <f>IF(スカート!B46="","",スカート!B46)</f>
        <v/>
      </c>
      <c r="C244" s="3" t="str">
        <f>IF(スカート!C46="","",スカート!C46)</f>
        <v>◇ スカート サイズ レディース E</v>
      </c>
      <c r="D244" s="3" t="str">
        <f>IF(スカート!E46="","",スカート!E46)</f>
        <v>無</v>
      </c>
      <c r="E244" s="3" t="str">
        <f>IF(スカート!AA46="","",スカート!AA46)</f>
        <v>ベースW</v>
      </c>
      <c r="F244" s="3" t="str">
        <f>IF(スカート!G46="","",スカート!G46)</f>
        <v/>
      </c>
      <c r="G244" s="3" t="str">
        <f>IF(スカート!H46="","",スカート!H46)</f>
        <v/>
      </c>
      <c r="H244" s="3" t="str">
        <f>IF(スカート!I46="","",スカート!I46)</f>
        <v/>
      </c>
      <c r="I244" s="3" t="str">
        <f>IF(スカート!J46="","",スカート!J46)</f>
        <v>画像参照</v>
      </c>
      <c r="J244" s="3" t="str">
        <f>IF(スカート!K46="","",スカート!K46)</f>
        <v/>
      </c>
      <c r="K244" s="3" t="str">
        <f>IF(スカート!L46="","",スカート!L46)</f>
        <v>サイズ</v>
      </c>
      <c r="L244" s="69" t="s">
        <v>80</v>
      </c>
      <c r="M244" s="69" t="s">
        <v>19</v>
      </c>
      <c r="N244" s="3" t="str">
        <f xml:space="preserve"> スカート!Z46</f>
        <v>総丈：約cm　ウエスト：約cm　ヒップ：約cm</v>
      </c>
      <c r="O244" s="69" t="s">
        <v>21</v>
      </c>
      <c r="P244" s="4" t="s">
        <v>3036</v>
      </c>
      <c r="Q244" s="4" t="s">
        <v>3038</v>
      </c>
      <c r="R244" s="69" t="s">
        <v>22</v>
      </c>
      <c r="S244" s="69" t="s">
        <v>23</v>
      </c>
      <c r="T244" s="69" t="s">
        <v>22</v>
      </c>
      <c r="U244" s="69" t="s">
        <v>24</v>
      </c>
      <c r="V244" s="69" t="s">
        <v>25</v>
      </c>
      <c r="W244" s="69" t="s">
        <v>26</v>
      </c>
      <c r="X244" s="69" t="s">
        <v>27</v>
      </c>
      <c r="Y244" s="69" t="s">
        <v>28</v>
      </c>
      <c r="Z244" s="69" t="s">
        <v>29</v>
      </c>
      <c r="AA244" s="4"/>
      <c r="AB244" s="4"/>
      <c r="AC244" s="4"/>
      <c r="AD244" s="70"/>
      <c r="AE244" s="70">
        <f>スカート!AE46</f>
        <v>0</v>
      </c>
      <c r="AF244" s="70" t="str">
        <f>スカート!P46</f>
        <v>通常</v>
      </c>
      <c r="AG244" s="70">
        <v>0</v>
      </c>
      <c r="AH244" s="6">
        <f xml:space="preserve"> スカート!AC46</f>
        <v>0</v>
      </c>
      <c r="AI244">
        <v>1</v>
      </c>
      <c r="AJ244">
        <f>スカート!S46</f>
        <v>0</v>
      </c>
    </row>
    <row r="245" spans="1:36" ht="13.5" hidden="1" customHeight="1">
      <c r="A245" s="3" t="str">
        <f>IF(スカート!A47="","",スカート!A47)</f>
        <v/>
      </c>
      <c r="B245" s="68" t="str">
        <f>IF(スカート!B47="","",スカート!B47)</f>
        <v/>
      </c>
      <c r="C245" s="3" t="str">
        <f>IF(スカート!C47="","",スカート!C47)</f>
        <v>◇ スカート サイズ レディース E</v>
      </c>
      <c r="D245" s="3" t="str">
        <f>IF(スカート!E47="","",スカート!E47)</f>
        <v>無</v>
      </c>
      <c r="E245" s="3" t="str">
        <f>IF(スカート!AA47="","",スカート!AA47)</f>
        <v>ベースW</v>
      </c>
      <c r="F245" s="3" t="str">
        <f>IF(スカート!G47="","",スカート!G47)</f>
        <v/>
      </c>
      <c r="G245" s="3" t="str">
        <f>IF(スカート!H47="","",スカート!H47)</f>
        <v/>
      </c>
      <c r="H245" s="3" t="str">
        <f>IF(スカート!I47="","",スカート!I47)</f>
        <v/>
      </c>
      <c r="I245" s="3" t="str">
        <f>IF(スカート!J47="","",スカート!J47)</f>
        <v>画像参照</v>
      </c>
      <c r="J245" s="3" t="str">
        <f>IF(スカート!K47="","",スカート!K47)</f>
        <v/>
      </c>
      <c r="K245" s="3" t="str">
        <f>IF(スカート!L47="","",スカート!L47)</f>
        <v>サイズ</v>
      </c>
      <c r="L245" s="69" t="s">
        <v>80</v>
      </c>
      <c r="M245" s="69" t="s">
        <v>19</v>
      </c>
      <c r="N245" s="3" t="str">
        <f xml:space="preserve"> スカート!Z47</f>
        <v>総丈：約cm　ウエスト：約cm　ヒップ：約cm</v>
      </c>
      <c r="O245" s="69" t="s">
        <v>21</v>
      </c>
      <c r="P245" s="4" t="s">
        <v>3036</v>
      </c>
      <c r="Q245" s="4" t="s">
        <v>3038</v>
      </c>
      <c r="R245" s="69" t="s">
        <v>22</v>
      </c>
      <c r="S245" s="69" t="s">
        <v>23</v>
      </c>
      <c r="T245" s="69" t="s">
        <v>22</v>
      </c>
      <c r="U245" s="69" t="s">
        <v>24</v>
      </c>
      <c r="V245" s="69" t="s">
        <v>25</v>
      </c>
      <c r="W245" s="69" t="s">
        <v>26</v>
      </c>
      <c r="X245" s="69" t="s">
        <v>27</v>
      </c>
      <c r="Y245" s="69" t="s">
        <v>28</v>
      </c>
      <c r="Z245" s="69" t="s">
        <v>29</v>
      </c>
      <c r="AA245" s="4"/>
      <c r="AB245" s="4"/>
      <c r="AC245" s="4"/>
      <c r="AD245" s="70"/>
      <c r="AE245" s="70">
        <f>スカート!AE47</f>
        <v>0</v>
      </c>
      <c r="AF245" s="70" t="str">
        <f>スカート!P47</f>
        <v>通常</v>
      </c>
      <c r="AG245" s="70">
        <v>0</v>
      </c>
      <c r="AH245" s="6">
        <f xml:space="preserve"> スカート!AC47</f>
        <v>0</v>
      </c>
      <c r="AI245">
        <v>1</v>
      </c>
      <c r="AJ245">
        <f>スカート!S47</f>
        <v>0</v>
      </c>
    </row>
    <row r="246" spans="1:36" ht="13.5" hidden="1" customHeight="1">
      <c r="A246" s="3" t="str">
        <f>IF(スカート!A48="","",スカート!A48)</f>
        <v/>
      </c>
      <c r="B246" s="68" t="str">
        <f>IF(スカート!B48="","",スカート!B48)</f>
        <v/>
      </c>
      <c r="C246" s="3" t="str">
        <f>IF(スカート!C48="","",スカート!C48)</f>
        <v>◇ スカート サイズ レディース E</v>
      </c>
      <c r="D246" s="3" t="str">
        <f>IF(スカート!E48="","",スカート!E48)</f>
        <v>無</v>
      </c>
      <c r="E246" s="3" t="str">
        <f>IF(スカート!AA48="","",スカート!AA48)</f>
        <v>ベースW</v>
      </c>
      <c r="F246" s="3" t="str">
        <f>IF(スカート!G48="","",スカート!G48)</f>
        <v/>
      </c>
      <c r="G246" s="3" t="str">
        <f>IF(スカート!H48="","",スカート!H48)</f>
        <v/>
      </c>
      <c r="H246" s="3" t="str">
        <f>IF(スカート!I48="","",スカート!I48)</f>
        <v/>
      </c>
      <c r="I246" s="3" t="str">
        <f>IF(スカート!J48="","",スカート!J48)</f>
        <v>画像参照</v>
      </c>
      <c r="J246" s="3" t="str">
        <f>IF(スカート!K48="","",スカート!K48)</f>
        <v/>
      </c>
      <c r="K246" s="3" t="str">
        <f>IF(スカート!L48="","",スカート!L48)</f>
        <v>サイズ</v>
      </c>
      <c r="L246" s="69" t="s">
        <v>80</v>
      </c>
      <c r="M246" s="69" t="s">
        <v>19</v>
      </c>
      <c r="N246" s="3" t="str">
        <f xml:space="preserve"> スカート!Z48</f>
        <v>総丈：約cm　ウエスト：約cm　ヒップ：約cm</v>
      </c>
      <c r="O246" s="69" t="s">
        <v>21</v>
      </c>
      <c r="P246" s="4" t="s">
        <v>3036</v>
      </c>
      <c r="Q246" s="4" t="s">
        <v>3038</v>
      </c>
      <c r="R246" s="69" t="s">
        <v>22</v>
      </c>
      <c r="S246" s="69" t="s">
        <v>23</v>
      </c>
      <c r="T246" s="69" t="s">
        <v>22</v>
      </c>
      <c r="U246" s="69" t="s">
        <v>24</v>
      </c>
      <c r="V246" s="69" t="s">
        <v>25</v>
      </c>
      <c r="W246" s="69" t="s">
        <v>26</v>
      </c>
      <c r="X246" s="69" t="s">
        <v>27</v>
      </c>
      <c r="Y246" s="69" t="s">
        <v>28</v>
      </c>
      <c r="Z246" s="69" t="s">
        <v>29</v>
      </c>
      <c r="AA246" s="4"/>
      <c r="AB246" s="4"/>
      <c r="AC246" s="4"/>
      <c r="AD246" s="70"/>
      <c r="AE246" s="70">
        <f>スカート!AE48</f>
        <v>0</v>
      </c>
      <c r="AF246" s="70" t="str">
        <f>スカート!P48</f>
        <v>通常</v>
      </c>
      <c r="AG246" s="70">
        <v>0</v>
      </c>
      <c r="AH246" s="6">
        <f xml:space="preserve"> スカート!AC48</f>
        <v>0</v>
      </c>
      <c r="AI246">
        <v>1</v>
      </c>
      <c r="AJ246">
        <f>スカート!S48</f>
        <v>0</v>
      </c>
    </row>
    <row r="247" spans="1:36" ht="13.5" hidden="1" customHeight="1">
      <c r="A247" s="3" t="str">
        <f>IF(スカート!A49="","",スカート!A49)</f>
        <v/>
      </c>
      <c r="B247" s="68" t="str">
        <f>IF(スカート!B49="","",スカート!B49)</f>
        <v/>
      </c>
      <c r="C247" s="3" t="str">
        <f>IF(スカート!C49="","",スカート!C49)</f>
        <v>◇ スカート サイズ レディース E</v>
      </c>
      <c r="D247" s="3" t="str">
        <f>IF(スカート!E49="","",スカート!E49)</f>
        <v>無</v>
      </c>
      <c r="E247" s="3" t="str">
        <f>IF(スカート!AA49="","",スカート!AA49)</f>
        <v>ベースW</v>
      </c>
      <c r="F247" s="3" t="str">
        <f>IF(スカート!G49="","",スカート!G49)</f>
        <v/>
      </c>
      <c r="G247" s="3" t="str">
        <f>IF(スカート!H49="","",スカート!H49)</f>
        <v/>
      </c>
      <c r="H247" s="3" t="str">
        <f>IF(スカート!I49="","",スカート!I49)</f>
        <v/>
      </c>
      <c r="I247" s="3" t="str">
        <f>IF(スカート!J49="","",スカート!J49)</f>
        <v>画像参照</v>
      </c>
      <c r="J247" s="3" t="str">
        <f>IF(スカート!K49="","",スカート!K49)</f>
        <v/>
      </c>
      <c r="K247" s="3" t="str">
        <f>IF(スカート!L49="","",スカート!L49)</f>
        <v>サイズ</v>
      </c>
      <c r="L247" s="69" t="s">
        <v>80</v>
      </c>
      <c r="M247" s="69" t="s">
        <v>19</v>
      </c>
      <c r="N247" s="3" t="str">
        <f xml:space="preserve"> スカート!Z49</f>
        <v>総丈：約cm　ウエスト：約cm　ヒップ：約cm</v>
      </c>
      <c r="O247" s="69" t="s">
        <v>21</v>
      </c>
      <c r="P247" s="4" t="s">
        <v>3036</v>
      </c>
      <c r="Q247" s="4" t="s">
        <v>3038</v>
      </c>
      <c r="R247" s="69" t="s">
        <v>22</v>
      </c>
      <c r="S247" s="69" t="s">
        <v>23</v>
      </c>
      <c r="T247" s="69" t="s">
        <v>22</v>
      </c>
      <c r="U247" s="69" t="s">
        <v>24</v>
      </c>
      <c r="V247" s="69" t="s">
        <v>25</v>
      </c>
      <c r="W247" s="69" t="s">
        <v>26</v>
      </c>
      <c r="X247" s="69" t="s">
        <v>27</v>
      </c>
      <c r="Y247" s="69" t="s">
        <v>28</v>
      </c>
      <c r="Z247" s="69" t="s">
        <v>29</v>
      </c>
      <c r="AA247" s="4"/>
      <c r="AB247" s="4"/>
      <c r="AC247" s="4"/>
      <c r="AD247" s="70"/>
      <c r="AE247" s="70">
        <f>スカート!AE49</f>
        <v>0</v>
      </c>
      <c r="AF247" s="70" t="str">
        <f>スカート!P49</f>
        <v>通常</v>
      </c>
      <c r="AG247" s="70">
        <v>0</v>
      </c>
      <c r="AH247" s="6">
        <f xml:space="preserve"> スカート!AC49</f>
        <v>0</v>
      </c>
      <c r="AI247">
        <v>1</v>
      </c>
      <c r="AJ247">
        <f>スカート!S49</f>
        <v>0</v>
      </c>
    </row>
    <row r="248" spans="1:36" ht="13.5" hidden="1" customHeight="1">
      <c r="A248" s="3" t="str">
        <f>IF(スカート!A50="","",スカート!A50)</f>
        <v/>
      </c>
      <c r="B248" s="68" t="str">
        <f>IF(スカート!B50="","",スカート!B50)</f>
        <v/>
      </c>
      <c r="C248" s="3" t="str">
        <f>IF(スカート!C50="","",スカート!C50)</f>
        <v>◇ スカート サイズ レディース E</v>
      </c>
      <c r="D248" s="3" t="str">
        <f>IF(スカート!E50="","",スカート!E50)</f>
        <v>無</v>
      </c>
      <c r="E248" s="3" t="str">
        <f>IF(スカート!AA50="","",スカート!AA50)</f>
        <v>ベースW</v>
      </c>
      <c r="F248" s="3" t="str">
        <f>IF(スカート!G50="","",スカート!G50)</f>
        <v/>
      </c>
      <c r="G248" s="3" t="str">
        <f>IF(スカート!H50="","",スカート!H50)</f>
        <v/>
      </c>
      <c r="H248" s="3" t="str">
        <f>IF(スカート!I50="","",スカート!I50)</f>
        <v/>
      </c>
      <c r="I248" s="3" t="str">
        <f>IF(スカート!J50="","",スカート!J50)</f>
        <v>画像参照</v>
      </c>
      <c r="J248" s="3" t="str">
        <f>IF(スカート!K50="","",スカート!K50)</f>
        <v/>
      </c>
      <c r="K248" s="3" t="str">
        <f>IF(スカート!L50="","",スカート!L50)</f>
        <v>サイズ</v>
      </c>
      <c r="L248" s="69" t="s">
        <v>80</v>
      </c>
      <c r="M248" s="69" t="s">
        <v>19</v>
      </c>
      <c r="N248" s="3" t="str">
        <f xml:space="preserve"> スカート!Z50</f>
        <v>総丈：約cm　ウエスト：約cm　ヒップ：約cm</v>
      </c>
      <c r="O248" s="69" t="s">
        <v>21</v>
      </c>
      <c r="P248" s="4" t="s">
        <v>3036</v>
      </c>
      <c r="Q248" s="4" t="s">
        <v>3038</v>
      </c>
      <c r="R248" s="69" t="s">
        <v>22</v>
      </c>
      <c r="S248" s="69" t="s">
        <v>23</v>
      </c>
      <c r="T248" s="69" t="s">
        <v>22</v>
      </c>
      <c r="U248" s="69" t="s">
        <v>24</v>
      </c>
      <c r="V248" s="69" t="s">
        <v>25</v>
      </c>
      <c r="W248" s="69" t="s">
        <v>26</v>
      </c>
      <c r="X248" s="69" t="s">
        <v>27</v>
      </c>
      <c r="Y248" s="69" t="s">
        <v>28</v>
      </c>
      <c r="Z248" s="69" t="s">
        <v>29</v>
      </c>
      <c r="AA248" s="4"/>
      <c r="AB248" s="4"/>
      <c r="AC248" s="4"/>
      <c r="AD248" s="70"/>
      <c r="AE248" s="70">
        <f>スカート!AE50</f>
        <v>0</v>
      </c>
      <c r="AF248" s="70" t="str">
        <f>スカート!P50</f>
        <v>通常</v>
      </c>
      <c r="AG248" s="70">
        <v>0</v>
      </c>
      <c r="AH248" s="6">
        <f xml:space="preserve"> スカート!AC50</f>
        <v>0</v>
      </c>
      <c r="AI248">
        <v>1</v>
      </c>
      <c r="AJ248">
        <f>スカート!S50</f>
        <v>0</v>
      </c>
    </row>
    <row r="249" spans="1:36" ht="13.5" hidden="1" customHeight="1">
      <c r="A249" s="3" t="str">
        <f>IF(スカート!A51="","",スカート!A51)</f>
        <v/>
      </c>
      <c r="B249" s="68" t="str">
        <f>IF(スカート!B51="","",スカート!B51)</f>
        <v/>
      </c>
      <c r="C249" s="3" t="str">
        <f>IF(スカート!C51="","",スカート!C51)</f>
        <v>◇ スカート サイズ レディース E</v>
      </c>
      <c r="D249" s="3" t="str">
        <f>IF(スカート!E51="","",スカート!E51)</f>
        <v>無</v>
      </c>
      <c r="E249" s="3" t="str">
        <f>IF(スカート!AA51="","",スカート!AA51)</f>
        <v>ベースW</v>
      </c>
      <c r="F249" s="3" t="str">
        <f>IF(スカート!G51="","",スカート!G51)</f>
        <v/>
      </c>
      <c r="G249" s="3" t="str">
        <f>IF(スカート!H51="","",スカート!H51)</f>
        <v/>
      </c>
      <c r="H249" s="3" t="str">
        <f>IF(スカート!I51="","",スカート!I51)</f>
        <v/>
      </c>
      <c r="I249" s="3" t="str">
        <f>IF(スカート!J51="","",スカート!J51)</f>
        <v>画像参照</v>
      </c>
      <c r="J249" s="3" t="str">
        <f>IF(スカート!K51="","",スカート!K51)</f>
        <v/>
      </c>
      <c r="K249" s="3" t="str">
        <f>IF(スカート!L51="","",スカート!L51)</f>
        <v>サイズ</v>
      </c>
      <c r="L249" s="69" t="s">
        <v>80</v>
      </c>
      <c r="M249" s="69" t="s">
        <v>19</v>
      </c>
      <c r="N249" s="3" t="str">
        <f xml:space="preserve"> スカート!Z51</f>
        <v>総丈：約cm　ウエスト：約cm　ヒップ：約cm</v>
      </c>
      <c r="O249" s="69" t="s">
        <v>21</v>
      </c>
      <c r="P249" s="4" t="s">
        <v>3036</v>
      </c>
      <c r="Q249" s="4" t="s">
        <v>3038</v>
      </c>
      <c r="R249" s="69" t="s">
        <v>22</v>
      </c>
      <c r="S249" s="69" t="s">
        <v>23</v>
      </c>
      <c r="T249" s="69" t="s">
        <v>22</v>
      </c>
      <c r="U249" s="69" t="s">
        <v>24</v>
      </c>
      <c r="V249" s="69" t="s">
        <v>25</v>
      </c>
      <c r="W249" s="69" t="s">
        <v>26</v>
      </c>
      <c r="X249" s="69" t="s">
        <v>27</v>
      </c>
      <c r="Y249" s="69" t="s">
        <v>28</v>
      </c>
      <c r="Z249" s="69" t="s">
        <v>29</v>
      </c>
      <c r="AA249" s="4"/>
      <c r="AB249" s="4"/>
      <c r="AC249" s="4"/>
      <c r="AD249" s="70"/>
      <c r="AE249" s="70">
        <f>スカート!AE51</f>
        <v>0</v>
      </c>
      <c r="AF249" s="70" t="str">
        <f>スカート!P51</f>
        <v>通常</v>
      </c>
      <c r="AG249" s="70">
        <v>0</v>
      </c>
      <c r="AH249" s="6">
        <f xml:space="preserve"> スカート!AC51</f>
        <v>0</v>
      </c>
      <c r="AI249">
        <v>1</v>
      </c>
      <c r="AJ249">
        <f>スカート!S51</f>
        <v>0</v>
      </c>
    </row>
    <row r="250" spans="1:36" ht="13.5" customHeight="1">
      <c r="A250" s="3">
        <v>2084224585</v>
      </c>
      <c r="B250" s="68">
        <f>IF(ワンピース!B2="","",ワンピース!B2)</f>
        <v>1211150014291</v>
      </c>
      <c r="C250" s="3" t="str">
        <f>IF(ワンピース!C2="","",ワンピース!C2)</f>
        <v>◇ merlot メルロー イラストプリント 半袖 ロング ワンピース 表記なし ホワイト/マルチ レディース E 1211150014291</v>
      </c>
      <c r="D250" s="3" t="str">
        <f>IF(ワンピース!E2="","",ワンピース!E2)</f>
        <v>無</v>
      </c>
      <c r="E250" s="3" t="str">
        <f>IF(ワンピース!AC2="","",ワンピース!AC2)</f>
        <v>ベースW/9</v>
      </c>
      <c r="F250" s="3">
        <f>IF(ワンピース!G2="","",ワンピース!G2)</f>
        <v>3</v>
      </c>
      <c r="G250" s="3" t="str">
        <f>IF(ワンピース!H2="","",ワンピース!H2)</f>
        <v>目立った傷や汚れなし</v>
      </c>
      <c r="H250" s="3" t="str">
        <f>IF(ワンピース!I2="","",ワンピース!I2)</f>
        <v/>
      </c>
      <c r="I250" s="3" t="str">
        <f>IF(ワンピース!J2="","",ワンピース!J2)</f>
        <v>画像参照</v>
      </c>
      <c r="J250" s="3" t="str">
        <f>IF(ワンピース!K2="","",ワンピース!K2)</f>
        <v>ホワイト/マルチ</v>
      </c>
      <c r="K250" s="3" t="str">
        <f>IF(ワンピース!L2="","",ワンピース!L2)</f>
        <v>表記なし</v>
      </c>
      <c r="L250" s="69" t="s">
        <v>80</v>
      </c>
      <c r="M250" s="69" t="s">
        <v>19</v>
      </c>
      <c r="N250" s="69" t="s">
        <v>20</v>
      </c>
      <c r="O250" s="3" t="str">
        <f xml:space="preserve"> ワンピース!AB2</f>
        <v>着丈：約98cm　肩幅：約39cm　身幅：約44cm　ウエスト：約48cm　袖丈：約23cm</v>
      </c>
      <c r="P250" s="4" t="s">
        <v>3036</v>
      </c>
      <c r="Q250" s="4" t="s">
        <v>3038</v>
      </c>
      <c r="R250" s="69" t="s">
        <v>22</v>
      </c>
      <c r="S250" s="69" t="s">
        <v>23</v>
      </c>
      <c r="T250" s="69" t="s">
        <v>22</v>
      </c>
      <c r="U250" s="69" t="s">
        <v>24</v>
      </c>
      <c r="V250" s="69" t="s">
        <v>25</v>
      </c>
      <c r="W250" s="69" t="s">
        <v>26</v>
      </c>
      <c r="X250" s="69" t="s">
        <v>27</v>
      </c>
      <c r="Y250" s="69" t="s">
        <v>28</v>
      </c>
      <c r="Z250" s="69" t="s">
        <v>29</v>
      </c>
      <c r="AA250" s="4"/>
      <c r="AB250" s="4"/>
      <c r="AC250" s="4"/>
      <c r="AD250" s="70"/>
      <c r="AE250" s="70">
        <f>ワンピース!AG2</f>
        <v>1000</v>
      </c>
      <c r="AF250" s="70" t="str">
        <f>ワンピース!R2</f>
        <v>通常</v>
      </c>
      <c r="AG250" s="70">
        <v>0</v>
      </c>
      <c r="AH250" s="6">
        <f xml:space="preserve"> ワンピース!AE2</f>
        <v>0</v>
      </c>
      <c r="AI250">
        <v>1</v>
      </c>
      <c r="AJ250" t="str">
        <f>ワンピース!U2</f>
        <v>merlot メルロー</v>
      </c>
    </row>
    <row r="251" spans="1:36" ht="13.5" customHeight="1">
      <c r="A251" s="3">
        <v>2084224585</v>
      </c>
      <c r="B251" s="68">
        <f>IF(ワンピース!B3="","",ワンピース!B3)</f>
        <v>1212020007818</v>
      </c>
      <c r="C251" s="3" t="str">
        <f>IF(ワンピース!C3="","",ワンピース!C3)</f>
        <v>◇ titty&amp;Co ティティー&amp;コーティアンド ビブカラー。パール付き 長袖 ロング ワンピース サイズM ブルー レディース E 1212020007818</v>
      </c>
      <c r="D251" s="3" t="str">
        <f>IF(ワンピース!E3="","",ワンピース!E3)</f>
        <v>無</v>
      </c>
      <c r="E251" s="3" t="str">
        <f>IF(ワンピース!AC3="","",ワンピース!AC3)</f>
        <v>ベースW/9</v>
      </c>
      <c r="F251" s="3">
        <f>IF(ワンピース!G3="","",ワンピース!G3)</f>
        <v>3</v>
      </c>
      <c r="G251" s="3" t="str">
        <f>IF(ワンピース!H3="","",ワンピース!H3)</f>
        <v>目立った傷や汚れなし</v>
      </c>
      <c r="H251" s="3" t="str">
        <f>IF(ワンピース!I3="","",ワンピース!I3)</f>
        <v/>
      </c>
      <c r="I251" s="3" t="str">
        <f>IF(ワンピース!J3="","",ワンピース!J3)</f>
        <v>画像参照</v>
      </c>
      <c r="J251" s="3" t="str">
        <f>IF(ワンピース!K3="","",ワンピース!K3)</f>
        <v>ブルー</v>
      </c>
      <c r="K251" s="3" t="str">
        <f>IF(ワンピース!L3="","",ワンピース!L3)</f>
        <v>サイズM</v>
      </c>
      <c r="L251" s="69" t="s">
        <v>80</v>
      </c>
      <c r="M251" s="69" t="s">
        <v>19</v>
      </c>
      <c r="N251" s="69" t="s">
        <v>20</v>
      </c>
      <c r="O251" s="3" t="str">
        <f xml:space="preserve"> ワンピース!AB3</f>
        <v>着丈：約96cm　肩幅：約31cm　身幅：約40cm　ウエスト：約35cm　袖丈：約62cm</v>
      </c>
      <c r="P251" s="4" t="s">
        <v>3036</v>
      </c>
      <c r="Q251" s="4" t="s">
        <v>3038</v>
      </c>
      <c r="R251" s="69" t="s">
        <v>22</v>
      </c>
      <c r="S251" s="69" t="s">
        <v>23</v>
      </c>
      <c r="T251" s="69" t="s">
        <v>22</v>
      </c>
      <c r="U251" s="69" t="s">
        <v>24</v>
      </c>
      <c r="V251" s="69" t="s">
        <v>25</v>
      </c>
      <c r="W251" s="69" t="s">
        <v>26</v>
      </c>
      <c r="X251" s="69" t="s">
        <v>27</v>
      </c>
      <c r="Y251" s="69" t="s">
        <v>28</v>
      </c>
      <c r="Z251" s="69" t="s">
        <v>29</v>
      </c>
      <c r="AA251" s="4"/>
      <c r="AB251" s="4"/>
      <c r="AC251" s="4"/>
      <c r="AD251" s="70"/>
      <c r="AE251" s="70">
        <f>ワンピース!AG3</f>
        <v>1000</v>
      </c>
      <c r="AF251" s="70" t="str">
        <f>ワンピース!R3</f>
        <v>通常</v>
      </c>
      <c r="AG251" s="70">
        <v>0</v>
      </c>
      <c r="AH251" s="6">
        <f xml:space="preserve"> ワンピース!AE3</f>
        <v>0</v>
      </c>
      <c r="AI251">
        <v>1</v>
      </c>
      <c r="AJ251" t="str">
        <f>ワンピース!U3</f>
        <v>titty&amp;Co ティティー&amp;コーティアンド</v>
      </c>
    </row>
    <row r="252" spans="1:36" ht="13.5" customHeight="1">
      <c r="A252" s="3">
        <v>2084224584</v>
      </c>
      <c r="B252" s="68">
        <f>IF(ワンピース!B4="","",ワンピース!B4)</f>
        <v>1212020007795</v>
      </c>
      <c r="C252" s="3" t="str">
        <f>IF(ワンピース!C4="","",ワンピース!C4)</f>
        <v>◇ rienda リエンダ 花柄。襟リボン 長袖 ロング ワンピース サイズS ライトブルー レディース E 1212020007795</v>
      </c>
      <c r="D252" s="3" t="str">
        <f>IF(ワンピース!E4="","",ワンピース!E4)</f>
        <v>無</v>
      </c>
      <c r="E252" s="3" t="str">
        <f>IF(ワンピース!AC4="","",ワンピース!AC4)</f>
        <v>ベースW/9</v>
      </c>
      <c r="F252" s="3">
        <f>IF(ワンピース!G4="","",ワンピース!G4)</f>
        <v>3</v>
      </c>
      <c r="G252" s="3" t="str">
        <f>IF(ワンピース!H4="","",ワンピース!H4)</f>
        <v>目立った傷や汚れなし</v>
      </c>
      <c r="H252" s="3" t="str">
        <f>IF(ワンピース!I4="","",ワンピース!I4)</f>
        <v/>
      </c>
      <c r="I252" s="3" t="str">
        <f>IF(ワンピース!J4="","",ワンピース!J4)</f>
        <v>画像参照</v>
      </c>
      <c r="J252" s="3" t="str">
        <f>IF(ワンピース!K4="","",ワンピース!K4)</f>
        <v>ライトブルー</v>
      </c>
      <c r="K252" s="3" t="str">
        <f>IF(ワンピース!L4="","",ワンピース!L4)</f>
        <v>サイズS</v>
      </c>
      <c r="L252" s="69" t="s">
        <v>80</v>
      </c>
      <c r="M252" s="69" t="s">
        <v>19</v>
      </c>
      <c r="N252" s="69" t="s">
        <v>20</v>
      </c>
      <c r="O252" s="3" t="str">
        <f xml:space="preserve"> ワンピース!AB4</f>
        <v>着丈：約126cm　肩幅：約41cm　身幅：約57cm　ウエスト：約55cm　袖丈：約61cm</v>
      </c>
      <c r="P252" s="4" t="s">
        <v>3036</v>
      </c>
      <c r="Q252" s="4" t="s">
        <v>3038</v>
      </c>
      <c r="R252" s="69" t="s">
        <v>22</v>
      </c>
      <c r="S252" s="69" t="s">
        <v>23</v>
      </c>
      <c r="T252" s="69" t="s">
        <v>22</v>
      </c>
      <c r="U252" s="69" t="s">
        <v>24</v>
      </c>
      <c r="V252" s="69" t="s">
        <v>25</v>
      </c>
      <c r="W252" s="69" t="s">
        <v>26</v>
      </c>
      <c r="X252" s="69" t="s">
        <v>27</v>
      </c>
      <c r="Y252" s="69" t="s">
        <v>28</v>
      </c>
      <c r="Z252" s="69" t="s">
        <v>29</v>
      </c>
      <c r="AA252" s="4"/>
      <c r="AB252" s="4"/>
      <c r="AC252" s="4"/>
      <c r="AD252" s="70"/>
      <c r="AE252" s="70">
        <f>ワンピース!AG4</f>
        <v>1000</v>
      </c>
      <c r="AF252" s="70" t="str">
        <f>ワンピース!R4</f>
        <v>通常</v>
      </c>
      <c r="AG252" s="70">
        <v>0</v>
      </c>
      <c r="AH252" s="6">
        <f xml:space="preserve"> ワンピース!AE4</f>
        <v>0</v>
      </c>
      <c r="AI252">
        <v>1</v>
      </c>
      <c r="AJ252" t="str">
        <f>ワンピース!U4</f>
        <v>rienda リエンダ</v>
      </c>
    </row>
    <row r="253" spans="1:36" ht="13.5" customHeight="1">
      <c r="A253" s="3">
        <v>2084224585</v>
      </c>
      <c r="B253" s="68">
        <f>IF(ワンピース!B5="","",ワンピース!B5)</f>
        <v>1212020007689</v>
      </c>
      <c r="C253" s="3" t="str">
        <f>IF(ワンピース!C5="","",ワンピース!C5)</f>
        <v>◇ GLOBAL WORK ボーダー、ポケット２つ 七分袖 ロング ワンピース サイズM ホワイト/ネイビー レディース E 1212020007689</v>
      </c>
      <c r="D253" s="3" t="str">
        <f>IF(ワンピース!E5="","",ワンピース!E5)</f>
        <v>無</v>
      </c>
      <c r="E253" s="3" t="str">
        <f>IF(ワンピース!AC5="","",ワンピース!AC5)</f>
        <v>ベースW/9</v>
      </c>
      <c r="F253" s="3">
        <f>IF(ワンピース!G5="","",ワンピース!G5)</f>
        <v>3</v>
      </c>
      <c r="G253" s="3" t="str">
        <f>IF(ワンピース!H5="","",ワンピース!H5)</f>
        <v>目立った傷や汚れなし</v>
      </c>
      <c r="H253" s="3" t="str">
        <f>IF(ワンピース!I5="","",ワンピース!I5)</f>
        <v/>
      </c>
      <c r="I253" s="3" t="str">
        <f>IF(ワンピース!J5="","",ワンピース!J5)</f>
        <v>画像参照</v>
      </c>
      <c r="J253" s="3" t="str">
        <f>IF(ワンピース!K5="","",ワンピース!K5)</f>
        <v>ホワイト/ネイビー</v>
      </c>
      <c r="K253" s="3" t="str">
        <f>IF(ワンピース!L5="","",ワンピース!L5)</f>
        <v>サイズM</v>
      </c>
      <c r="L253" s="69" t="s">
        <v>80</v>
      </c>
      <c r="M253" s="69" t="s">
        <v>19</v>
      </c>
      <c r="N253" s="69" t="s">
        <v>20</v>
      </c>
      <c r="O253" s="3" t="str">
        <f xml:space="preserve"> ワンピース!AB5</f>
        <v>着丈：約83cm　肩幅：約50cm　身幅：約53cm　ウエスト：約53cm　袖丈：約34cm</v>
      </c>
      <c r="P253" s="4" t="s">
        <v>3036</v>
      </c>
      <c r="Q253" s="4" t="s">
        <v>3038</v>
      </c>
      <c r="R253" s="69" t="s">
        <v>22</v>
      </c>
      <c r="S253" s="69" t="s">
        <v>23</v>
      </c>
      <c r="T253" s="69" t="s">
        <v>22</v>
      </c>
      <c r="U253" s="69" t="s">
        <v>24</v>
      </c>
      <c r="V253" s="69" t="s">
        <v>25</v>
      </c>
      <c r="W253" s="69" t="s">
        <v>26</v>
      </c>
      <c r="X253" s="69" t="s">
        <v>27</v>
      </c>
      <c r="Y253" s="69" t="s">
        <v>28</v>
      </c>
      <c r="Z253" s="69" t="s">
        <v>29</v>
      </c>
      <c r="AA253" s="4"/>
      <c r="AB253" s="4"/>
      <c r="AC253" s="4"/>
      <c r="AD253" s="70"/>
      <c r="AE253" s="70">
        <f>ワンピース!AG5</f>
        <v>1000</v>
      </c>
      <c r="AF253" s="70" t="str">
        <f>ワンピース!R5</f>
        <v>通常</v>
      </c>
      <c r="AG253" s="70">
        <v>0</v>
      </c>
      <c r="AH253" s="6">
        <f xml:space="preserve"> ワンピース!AE5</f>
        <v>0</v>
      </c>
      <c r="AI253">
        <v>1</v>
      </c>
      <c r="AJ253" t="str">
        <f>ワンピース!U5</f>
        <v>GLOBAL WORK</v>
      </c>
    </row>
    <row r="254" spans="1:36" ht="13.5" customHeight="1">
      <c r="A254" s="3">
        <v>2084224585</v>
      </c>
      <c r="B254" s="68">
        <f>IF(ワンピース!B6="","",ワンピース!B6)</f>
        <v>1212020007658</v>
      </c>
      <c r="C254" s="3" t="str">
        <f>IF(ワンピース!C6="","",ワンピース!C6)</f>
        <v>◇ each イーチ Vネック、後ろフェイクポケット ロング ワンピース 表記なし ベージュ レディース E 1212020007658</v>
      </c>
      <c r="D254" s="3" t="str">
        <f>IF(ワンピース!E6="","",ワンピース!E6)</f>
        <v>無</v>
      </c>
      <c r="E254" s="3" t="str">
        <f>IF(ワンピース!AC6="","",ワンピース!AC6)</f>
        <v>ベースW/9</v>
      </c>
      <c r="F254" s="3">
        <f>IF(ワンピース!G6="","",ワンピース!G6)</f>
        <v>3</v>
      </c>
      <c r="G254" s="3" t="str">
        <f>IF(ワンピース!H6="","",ワンピース!H6)</f>
        <v>目立った傷や汚れなし</v>
      </c>
      <c r="H254" s="3" t="str">
        <f>IF(ワンピース!I6="","",ワンピース!I6)</f>
        <v/>
      </c>
      <c r="I254" s="3" t="str">
        <f>IF(ワンピース!J6="","",ワンピース!J6)</f>
        <v>画像参照</v>
      </c>
      <c r="J254" s="3" t="str">
        <f>IF(ワンピース!K6="","",ワンピース!K6)</f>
        <v>ベージュ</v>
      </c>
      <c r="K254" s="3" t="str">
        <f>IF(ワンピース!L6="","",ワンピース!L6)</f>
        <v>表記なし</v>
      </c>
      <c r="L254" s="69" t="s">
        <v>80</v>
      </c>
      <c r="M254" s="69" t="s">
        <v>19</v>
      </c>
      <c r="N254" s="69" t="s">
        <v>20</v>
      </c>
      <c r="O254" s="3" t="str">
        <f xml:space="preserve"> ワンピース!AB6</f>
        <v>着丈：約124cm　肩幅：約40cm　身幅：約47cm　ウエスト：約46cm　袖丈：-cm</v>
      </c>
      <c r="P254" s="4" t="s">
        <v>3036</v>
      </c>
      <c r="Q254" s="4" t="s">
        <v>3038</v>
      </c>
      <c r="R254" s="69" t="s">
        <v>22</v>
      </c>
      <c r="S254" s="69" t="s">
        <v>23</v>
      </c>
      <c r="T254" s="69" t="s">
        <v>22</v>
      </c>
      <c r="U254" s="69" t="s">
        <v>24</v>
      </c>
      <c r="V254" s="69" t="s">
        <v>25</v>
      </c>
      <c r="W254" s="69" t="s">
        <v>26</v>
      </c>
      <c r="X254" s="69" t="s">
        <v>27</v>
      </c>
      <c r="Y254" s="69" t="s">
        <v>28</v>
      </c>
      <c r="Z254" s="69" t="s">
        <v>29</v>
      </c>
      <c r="AA254" s="4"/>
      <c r="AB254" s="4"/>
      <c r="AC254" s="4"/>
      <c r="AD254" s="70"/>
      <c r="AE254" s="70">
        <f>ワンピース!AG6</f>
        <v>1000</v>
      </c>
      <c r="AF254" s="70" t="str">
        <f>ワンピース!R6</f>
        <v>通常</v>
      </c>
      <c r="AG254" s="70">
        <v>0</v>
      </c>
      <c r="AH254" s="6">
        <f xml:space="preserve"> ワンピース!AE6</f>
        <v>0</v>
      </c>
      <c r="AI254">
        <v>1</v>
      </c>
      <c r="AJ254" t="str">
        <f>ワンピース!U6</f>
        <v>each イーチ</v>
      </c>
    </row>
    <row r="255" spans="1:36" ht="13.5" customHeight="1">
      <c r="A255" s="3">
        <v>2084224585</v>
      </c>
      <c r="B255" s="68">
        <f>IF(ワンピース!B7="","",ワンピース!B7)</f>
        <v>1212020007610</v>
      </c>
      <c r="C255" s="3" t="str">
        <f>IF(ワンピース!C7="","",ワンピース!C7)</f>
        <v>◇ miette. ミエット ウエストゴム。肩紐調節可能 ロング ワンピース サイズF ブラック レディース E 1212020007610</v>
      </c>
      <c r="D255" s="3" t="str">
        <f>IF(ワンピース!E7="","",ワンピース!E7)</f>
        <v>無</v>
      </c>
      <c r="E255" s="3" t="str">
        <f>IF(ワンピース!AC7="","",ワンピース!AC7)</f>
        <v>ベースW/9</v>
      </c>
      <c r="F255" s="3">
        <f>IF(ワンピース!G7="","",ワンピース!G7)</f>
        <v>3</v>
      </c>
      <c r="G255" s="3" t="str">
        <f>IF(ワンピース!H7="","",ワンピース!H7)</f>
        <v>目立った傷や汚れなし</v>
      </c>
      <c r="H255" s="3" t="str">
        <f>IF(ワンピース!I7="","",ワンピース!I7)</f>
        <v/>
      </c>
      <c r="I255" s="3" t="str">
        <f>IF(ワンピース!J7="","",ワンピース!J7)</f>
        <v>画像参照</v>
      </c>
      <c r="J255" s="3" t="str">
        <f>IF(ワンピース!K7="","",ワンピース!K7)</f>
        <v>ブラック</v>
      </c>
      <c r="K255" s="3" t="str">
        <f>IF(ワンピース!L7="","",ワンピース!L7)</f>
        <v>サイズF</v>
      </c>
      <c r="L255" s="69" t="s">
        <v>80</v>
      </c>
      <c r="M255" s="69" t="s">
        <v>19</v>
      </c>
      <c r="N255" s="69" t="s">
        <v>20</v>
      </c>
      <c r="O255" s="3" t="str">
        <f xml:space="preserve"> ワンピース!AB7</f>
        <v>着丈：約116cm　肩幅：-cm　身幅：約36cm　ウエスト：約34cm　袖丈：-cm</v>
      </c>
      <c r="P255" s="4" t="s">
        <v>3036</v>
      </c>
      <c r="Q255" s="4" t="s">
        <v>3038</v>
      </c>
      <c r="R255" s="69" t="s">
        <v>22</v>
      </c>
      <c r="S255" s="69" t="s">
        <v>23</v>
      </c>
      <c r="T255" s="69" t="s">
        <v>22</v>
      </c>
      <c r="U255" s="69" t="s">
        <v>24</v>
      </c>
      <c r="V255" s="69" t="s">
        <v>25</v>
      </c>
      <c r="W255" s="69" t="s">
        <v>26</v>
      </c>
      <c r="X255" s="69" t="s">
        <v>27</v>
      </c>
      <c r="Y255" s="69" t="s">
        <v>28</v>
      </c>
      <c r="Z255" s="69" t="s">
        <v>29</v>
      </c>
      <c r="AA255" s="4"/>
      <c r="AB255" s="4"/>
      <c r="AC255" s="4"/>
      <c r="AD255" s="70"/>
      <c r="AE255" s="70">
        <f>ワンピース!AG7</f>
        <v>1000</v>
      </c>
      <c r="AF255" s="70" t="str">
        <f>ワンピース!R7</f>
        <v>通常</v>
      </c>
      <c r="AG255" s="70">
        <v>0</v>
      </c>
      <c r="AH255" s="6">
        <f xml:space="preserve"> ワンピース!AE7</f>
        <v>0</v>
      </c>
      <c r="AI255">
        <v>1</v>
      </c>
      <c r="AJ255" t="str">
        <f>ワンピース!U7</f>
        <v>miette. ミエット</v>
      </c>
    </row>
    <row r="256" spans="1:36" ht="13.5" customHeight="1">
      <c r="A256" s="3">
        <v>2084224585</v>
      </c>
      <c r="B256" s="68">
        <f>IF(ワンピース!B8="","",ワンピース!B8)</f>
        <v>1212020007573</v>
      </c>
      <c r="C256" s="3" t="str">
        <f>IF(ワンピース!C8="","",ワンピース!C8)</f>
        <v>◇ Quelle Chance ケルシャンス 花柄。ウエストゴム 長袖 ロング ワンピース サイズL ブラウン レディース E 1212020007573</v>
      </c>
      <c r="D256" s="3" t="str">
        <f>IF(ワンピース!E8="","",ワンピース!E8)</f>
        <v>無</v>
      </c>
      <c r="E256" s="3" t="str">
        <f>IF(ワンピース!AC8="","",ワンピース!AC8)</f>
        <v>ベースW/9</v>
      </c>
      <c r="F256" s="3">
        <f>IF(ワンピース!G8="","",ワンピース!G8)</f>
        <v>3</v>
      </c>
      <c r="G256" s="3" t="str">
        <f>IF(ワンピース!H8="","",ワンピース!H8)</f>
        <v>目立った傷や汚れなし</v>
      </c>
      <c r="H256" s="3" t="str">
        <f>IF(ワンピース!I8="","",ワンピース!I8)</f>
        <v/>
      </c>
      <c r="I256" s="3" t="str">
        <f>IF(ワンピース!J8="","",ワンピース!J8)</f>
        <v>画像参照</v>
      </c>
      <c r="J256" s="3" t="str">
        <f>IF(ワンピース!K8="","",ワンピース!K8)</f>
        <v>ブラウン</v>
      </c>
      <c r="K256" s="3" t="str">
        <f>IF(ワンピース!L8="","",ワンピース!L8)</f>
        <v>サイズL</v>
      </c>
      <c r="L256" s="69" t="s">
        <v>118</v>
      </c>
      <c r="M256" s="69" t="s">
        <v>19</v>
      </c>
      <c r="N256" s="69" t="s">
        <v>20</v>
      </c>
      <c r="O256" s="3" t="str">
        <f xml:space="preserve"> ワンピース!AB8</f>
        <v>着丈：約114cm　肩幅：約35cm　身幅：約41cm　ウエスト：約34cm　袖丈：約50cm</v>
      </c>
      <c r="P256" s="4" t="s">
        <v>3036</v>
      </c>
      <c r="Q256" s="4" t="s">
        <v>3038</v>
      </c>
      <c r="R256" s="69" t="s">
        <v>22</v>
      </c>
      <c r="S256" s="69" t="s">
        <v>23</v>
      </c>
      <c r="T256" s="69" t="s">
        <v>22</v>
      </c>
      <c r="U256" s="69" t="s">
        <v>24</v>
      </c>
      <c r="V256" s="69" t="s">
        <v>25</v>
      </c>
      <c r="W256" s="69" t="s">
        <v>26</v>
      </c>
      <c r="X256" s="69" t="s">
        <v>27</v>
      </c>
      <c r="Y256" s="69" t="s">
        <v>28</v>
      </c>
      <c r="Z256" s="69" t="s">
        <v>29</v>
      </c>
      <c r="AA256" s="4"/>
      <c r="AB256" s="4"/>
      <c r="AC256" s="4"/>
      <c r="AD256" s="70"/>
      <c r="AE256" s="70">
        <f>ワンピース!AG8</f>
        <v>1000</v>
      </c>
      <c r="AF256" s="70" t="str">
        <f>ワンピース!R8</f>
        <v>通常</v>
      </c>
      <c r="AG256" s="70">
        <v>0</v>
      </c>
      <c r="AH256" s="6">
        <f xml:space="preserve"> ワンピース!AE8</f>
        <v>0</v>
      </c>
      <c r="AI256">
        <v>1</v>
      </c>
      <c r="AJ256" t="str">
        <f>ワンピース!U8</f>
        <v>Quelle Chance ケルシャンス</v>
      </c>
    </row>
    <row r="257" spans="1:36" ht="13.5" customHeight="1">
      <c r="A257" s="3">
        <v>2084224585</v>
      </c>
      <c r="B257" s="68">
        <f>IF(ワンピース!B9="","",ワンピース!B9)</f>
        <v>1212020007528</v>
      </c>
      <c r="C257" s="3" t="str">
        <f>IF(ワンピース!C9="","",ワンピース!C9)</f>
        <v>◇ N WITH. デニム。肩ひもは調節可能です ロング ワンピース サイズF ブラック レディース E 1212020007528</v>
      </c>
      <c r="D257" s="3" t="str">
        <f>IF(ワンピース!E9="","",ワンピース!E9)</f>
        <v>無</v>
      </c>
      <c r="E257" s="3" t="str">
        <f>IF(ワンピース!AC9="","",ワンピース!AC9)</f>
        <v>ベースW/9</v>
      </c>
      <c r="F257" s="3">
        <f>IF(ワンピース!G9="","",ワンピース!G9)</f>
        <v>3</v>
      </c>
      <c r="G257" s="3" t="str">
        <f>IF(ワンピース!H9="","",ワンピース!H9)</f>
        <v>目立った傷や汚れなし</v>
      </c>
      <c r="H257" s="3" t="str">
        <f>IF(ワンピース!I9="","",ワンピース!I9)</f>
        <v/>
      </c>
      <c r="I257" s="3" t="str">
        <f>IF(ワンピース!J9="","",ワンピース!J9)</f>
        <v>画像参照</v>
      </c>
      <c r="J257" s="3" t="str">
        <f>IF(ワンピース!K9="","",ワンピース!K9)</f>
        <v>ブラック</v>
      </c>
      <c r="K257" s="3" t="str">
        <f>IF(ワンピース!L9="","",ワンピース!L9)</f>
        <v>サイズF</v>
      </c>
      <c r="L257" s="69" t="s">
        <v>118</v>
      </c>
      <c r="M257" s="69" t="s">
        <v>19</v>
      </c>
      <c r="N257" s="69" t="s">
        <v>20</v>
      </c>
      <c r="O257" s="3" t="str">
        <f xml:space="preserve"> ワンピース!AB9</f>
        <v>着丈：約114cm　肩幅：-cm　身幅：約35cm　ウエスト：約34cm　袖丈：-cm</v>
      </c>
      <c r="P257" s="4" t="s">
        <v>3036</v>
      </c>
      <c r="Q257" s="4" t="s">
        <v>3038</v>
      </c>
      <c r="R257" s="69" t="s">
        <v>22</v>
      </c>
      <c r="S257" s="69" t="s">
        <v>23</v>
      </c>
      <c r="T257" s="69" t="s">
        <v>22</v>
      </c>
      <c r="U257" s="69" t="s">
        <v>24</v>
      </c>
      <c r="V257" s="69" t="s">
        <v>25</v>
      </c>
      <c r="W257" s="69" t="s">
        <v>26</v>
      </c>
      <c r="X257" s="69" t="s">
        <v>27</v>
      </c>
      <c r="Y257" s="69" t="s">
        <v>28</v>
      </c>
      <c r="Z257" s="69" t="s">
        <v>29</v>
      </c>
      <c r="AA257" s="4"/>
      <c r="AB257" s="4"/>
      <c r="AC257" s="4"/>
      <c r="AD257" s="70"/>
      <c r="AE257" s="70">
        <f>ワンピース!AG9</f>
        <v>2000</v>
      </c>
      <c r="AF257" s="70" t="str">
        <f>ワンピース!R9</f>
        <v>通常</v>
      </c>
      <c r="AG257" s="70">
        <v>0</v>
      </c>
      <c r="AH257" s="6">
        <f xml:space="preserve"> ワンピース!AE9</f>
        <v>0</v>
      </c>
      <c r="AI257">
        <v>1</v>
      </c>
      <c r="AJ257" t="str">
        <f>ワンピース!U9</f>
        <v>N WITH.</v>
      </c>
    </row>
    <row r="258" spans="1:36" ht="13.5" hidden="1" customHeight="1">
      <c r="A258" s="3" t="str">
        <f>IF(ワンピース!A10="","",ワンピース!A10)</f>
        <v/>
      </c>
      <c r="B258" s="68" t="str">
        <f>IF(ワンピース!B10="","",ワンピース!B10)</f>
        <v/>
      </c>
      <c r="C258" s="3" t="str">
        <f>IF(ワンピース!C10="","",ワンピース!C10)</f>
        <v>◇ ワンピース サイズ レディース E</v>
      </c>
      <c r="D258" s="3" t="str">
        <f>IF(ワンピース!E10="","",ワンピース!E10)</f>
        <v>無</v>
      </c>
      <c r="E258" s="3" t="str">
        <f>IF(ワンピース!AC10="","",ワンピース!AC10)</f>
        <v>ベースW</v>
      </c>
      <c r="F258" s="3" t="str">
        <f>IF(ワンピース!G10="","",ワンピース!G10)</f>
        <v/>
      </c>
      <c r="G258" s="3" t="str">
        <f>IF(ワンピース!H10="","",ワンピース!H10)</f>
        <v/>
      </c>
      <c r="H258" s="3" t="str">
        <f>IF(ワンピース!I10="","",ワンピース!I10)</f>
        <v/>
      </c>
      <c r="I258" s="3" t="str">
        <f>IF(ワンピース!J10="","",ワンピース!J10)</f>
        <v>画像参照</v>
      </c>
      <c r="J258" s="3" t="str">
        <f>IF(ワンピース!K10="","",ワンピース!K10)</f>
        <v/>
      </c>
      <c r="K258" s="3" t="str">
        <f>IF(ワンピース!L10="","",ワンピース!L10)</f>
        <v>サイズ</v>
      </c>
      <c r="L258" s="69" t="s">
        <v>119</v>
      </c>
      <c r="M258" s="69" t="s">
        <v>19</v>
      </c>
      <c r="N258" s="69" t="s">
        <v>20</v>
      </c>
      <c r="O258" s="3" t="str">
        <f xml:space="preserve"> ワンピース!AB10</f>
        <v>着丈：約cm　肩幅：約cm　身幅：約cm　ウエスト：約cm　袖丈：約cm</v>
      </c>
      <c r="P258" s="4" t="s">
        <v>3036</v>
      </c>
      <c r="Q258" s="4" t="s">
        <v>3038</v>
      </c>
      <c r="R258" s="69" t="s">
        <v>22</v>
      </c>
      <c r="S258" s="69" t="s">
        <v>23</v>
      </c>
      <c r="T258" s="69" t="s">
        <v>22</v>
      </c>
      <c r="U258" s="69" t="s">
        <v>24</v>
      </c>
      <c r="V258" s="69" t="s">
        <v>25</v>
      </c>
      <c r="W258" s="69" t="s">
        <v>26</v>
      </c>
      <c r="X258" s="69" t="s">
        <v>27</v>
      </c>
      <c r="Y258" s="69" t="s">
        <v>28</v>
      </c>
      <c r="Z258" s="69" t="s">
        <v>29</v>
      </c>
      <c r="AA258" s="4"/>
      <c r="AB258" s="4"/>
      <c r="AC258" s="4"/>
      <c r="AD258" s="70"/>
      <c r="AE258" s="70">
        <f>ワンピース!AG10</f>
        <v>0</v>
      </c>
      <c r="AF258" s="70" t="str">
        <f>ワンピース!R10</f>
        <v>通常</v>
      </c>
      <c r="AG258" s="70">
        <v>0</v>
      </c>
      <c r="AH258" s="6">
        <f xml:space="preserve"> ワンピース!AE10</f>
        <v>0</v>
      </c>
      <c r="AI258">
        <v>1</v>
      </c>
      <c r="AJ258">
        <f>ワンピース!U10</f>
        <v>0</v>
      </c>
    </row>
    <row r="259" spans="1:36" ht="13.5" hidden="1" customHeight="1">
      <c r="A259" s="3" t="str">
        <f>IF(ワンピース!A11="","",ワンピース!A11)</f>
        <v/>
      </c>
      <c r="B259" s="68" t="str">
        <f>IF(ワンピース!B11="","",ワンピース!B11)</f>
        <v/>
      </c>
      <c r="C259" s="3" t="str">
        <f>IF(ワンピース!C11="","",ワンピース!C11)</f>
        <v>◇ ワンピース サイズ レディース E</v>
      </c>
      <c r="D259" s="3" t="str">
        <f>IF(ワンピース!E11="","",ワンピース!E11)</f>
        <v>無</v>
      </c>
      <c r="E259" s="3" t="str">
        <f>IF(ワンピース!AC11="","",ワンピース!AC11)</f>
        <v>ベースW</v>
      </c>
      <c r="F259" s="3" t="str">
        <f>IF(ワンピース!G11="","",ワンピース!G11)</f>
        <v/>
      </c>
      <c r="G259" s="3" t="str">
        <f>IF(ワンピース!H11="","",ワンピース!H11)</f>
        <v/>
      </c>
      <c r="H259" s="3" t="str">
        <f>IF(ワンピース!I11="","",ワンピース!I11)</f>
        <v/>
      </c>
      <c r="I259" s="3" t="str">
        <f>IF(ワンピース!J11="","",ワンピース!J11)</f>
        <v>画像参照</v>
      </c>
      <c r="J259" s="3" t="str">
        <f>IF(ワンピース!K11="","",ワンピース!K11)</f>
        <v/>
      </c>
      <c r="K259" s="3" t="str">
        <f>IF(ワンピース!L11="","",ワンピース!L11)</f>
        <v>サイズ</v>
      </c>
      <c r="L259" s="69" t="s">
        <v>80</v>
      </c>
      <c r="M259" s="69" t="s">
        <v>19</v>
      </c>
      <c r="N259" s="69" t="s">
        <v>20</v>
      </c>
      <c r="O259" s="3" t="str">
        <f xml:space="preserve"> ワンピース!AB11</f>
        <v>着丈：約cm　肩幅：約cm　身幅：約cm　ウエスト：約cm　袖丈：約cm</v>
      </c>
      <c r="P259" s="4" t="s">
        <v>3036</v>
      </c>
      <c r="Q259" s="4" t="s">
        <v>3038</v>
      </c>
      <c r="R259" s="69" t="s">
        <v>22</v>
      </c>
      <c r="S259" s="69" t="s">
        <v>23</v>
      </c>
      <c r="T259" s="69" t="s">
        <v>22</v>
      </c>
      <c r="U259" s="69" t="s">
        <v>24</v>
      </c>
      <c r="V259" s="69" t="s">
        <v>25</v>
      </c>
      <c r="W259" s="69" t="s">
        <v>26</v>
      </c>
      <c r="X259" s="69" t="s">
        <v>27</v>
      </c>
      <c r="Y259" s="69" t="s">
        <v>28</v>
      </c>
      <c r="Z259" s="69" t="s">
        <v>29</v>
      </c>
      <c r="AA259" s="4"/>
      <c r="AB259" s="4"/>
      <c r="AC259" s="4"/>
      <c r="AD259" s="70"/>
      <c r="AE259" s="70">
        <f>ワンピース!AG11</f>
        <v>0</v>
      </c>
      <c r="AF259" s="70" t="str">
        <f>ワンピース!R11</f>
        <v>通常</v>
      </c>
      <c r="AG259" s="70">
        <v>0</v>
      </c>
      <c r="AH259" s="6">
        <f xml:space="preserve"> ワンピース!AE11</f>
        <v>0</v>
      </c>
      <c r="AI259">
        <v>1</v>
      </c>
      <c r="AJ259">
        <f>ワンピース!U11</f>
        <v>0</v>
      </c>
    </row>
    <row r="260" spans="1:36" ht="13.5" hidden="1" customHeight="1">
      <c r="A260" s="3" t="str">
        <f>IF(ワンピース!A12="","",ワンピース!A12)</f>
        <v/>
      </c>
      <c r="B260" s="68" t="str">
        <f>IF(ワンピース!B12="","",ワンピース!B12)</f>
        <v/>
      </c>
      <c r="C260" s="3" t="str">
        <f>IF(ワンピース!C12="","",ワンピース!C12)</f>
        <v>◇ ワンピース サイズ レディース E</v>
      </c>
      <c r="D260" s="3" t="str">
        <f>IF(ワンピース!E12="","",ワンピース!E12)</f>
        <v>無</v>
      </c>
      <c r="E260" s="3" t="str">
        <f>IF(ワンピース!AC12="","",ワンピース!AC12)</f>
        <v>ベースW</v>
      </c>
      <c r="F260" s="3" t="str">
        <f>IF(ワンピース!G12="","",ワンピース!G12)</f>
        <v/>
      </c>
      <c r="G260" s="3" t="str">
        <f>IF(ワンピース!H12="","",ワンピース!H12)</f>
        <v/>
      </c>
      <c r="H260" s="3" t="str">
        <f>IF(ワンピース!I12="","",ワンピース!I12)</f>
        <v/>
      </c>
      <c r="I260" s="3" t="str">
        <f>IF(ワンピース!J12="","",ワンピース!J12)</f>
        <v>画像参照</v>
      </c>
      <c r="J260" s="3" t="str">
        <f>IF(ワンピース!K12="","",ワンピース!K12)</f>
        <v/>
      </c>
      <c r="K260" s="3" t="str">
        <f>IF(ワンピース!L12="","",ワンピース!L12)</f>
        <v>サイズ</v>
      </c>
      <c r="L260" s="69" t="s">
        <v>80</v>
      </c>
      <c r="M260" s="69" t="s">
        <v>19</v>
      </c>
      <c r="N260" s="69" t="s">
        <v>20</v>
      </c>
      <c r="O260" s="3" t="str">
        <f xml:space="preserve"> ワンピース!AB12</f>
        <v>着丈：約cm　肩幅：約cm　身幅：約cm　ウエスト：約cm　袖丈：約cm</v>
      </c>
      <c r="P260" s="4" t="s">
        <v>3036</v>
      </c>
      <c r="Q260" s="4" t="s">
        <v>3038</v>
      </c>
      <c r="R260" s="69" t="s">
        <v>22</v>
      </c>
      <c r="S260" s="69" t="s">
        <v>23</v>
      </c>
      <c r="T260" s="69" t="s">
        <v>22</v>
      </c>
      <c r="U260" s="69" t="s">
        <v>24</v>
      </c>
      <c r="V260" s="69" t="s">
        <v>25</v>
      </c>
      <c r="W260" s="69" t="s">
        <v>26</v>
      </c>
      <c r="X260" s="69" t="s">
        <v>27</v>
      </c>
      <c r="Y260" s="69" t="s">
        <v>28</v>
      </c>
      <c r="Z260" s="69" t="s">
        <v>29</v>
      </c>
      <c r="AA260" s="4"/>
      <c r="AB260" s="4"/>
      <c r="AC260" s="4"/>
      <c r="AD260" s="70"/>
      <c r="AE260" s="70">
        <f>ワンピース!AG12</f>
        <v>0</v>
      </c>
      <c r="AF260" s="70" t="str">
        <f>ワンピース!R12</f>
        <v>通常</v>
      </c>
      <c r="AG260" s="70">
        <v>0</v>
      </c>
      <c r="AH260" s="6">
        <f xml:space="preserve"> ワンピース!AE12</f>
        <v>0</v>
      </c>
      <c r="AI260">
        <v>1</v>
      </c>
      <c r="AJ260">
        <f>ワンピース!U12</f>
        <v>0</v>
      </c>
    </row>
    <row r="261" spans="1:36" ht="13.5" hidden="1" customHeight="1">
      <c r="A261" s="3" t="str">
        <f>IF(ワンピース!A13="","",ワンピース!A13)</f>
        <v/>
      </c>
      <c r="B261" s="68" t="str">
        <f>IF(ワンピース!B13="","",ワンピース!B13)</f>
        <v/>
      </c>
      <c r="C261" s="3" t="str">
        <f>IF(ワンピース!C13="","",ワンピース!C13)</f>
        <v>◇ ワンピース サイズ レディース E</v>
      </c>
      <c r="D261" s="3" t="str">
        <f>IF(ワンピース!E13="","",ワンピース!E13)</f>
        <v>無</v>
      </c>
      <c r="E261" s="3" t="str">
        <f>IF(ワンピース!AC13="","",ワンピース!AC13)</f>
        <v>ベースW</v>
      </c>
      <c r="F261" s="3" t="str">
        <f>IF(ワンピース!G13="","",ワンピース!G13)</f>
        <v/>
      </c>
      <c r="G261" s="3" t="str">
        <f>IF(ワンピース!H13="","",ワンピース!H13)</f>
        <v/>
      </c>
      <c r="H261" s="3" t="str">
        <f>IF(ワンピース!I13="","",ワンピース!I13)</f>
        <v/>
      </c>
      <c r="I261" s="3" t="str">
        <f>IF(ワンピース!J13="","",ワンピース!J13)</f>
        <v>画像参照</v>
      </c>
      <c r="J261" s="3" t="str">
        <f>IF(ワンピース!K13="","",ワンピース!K13)</f>
        <v/>
      </c>
      <c r="K261" s="3" t="str">
        <f>IF(ワンピース!L13="","",ワンピース!L13)</f>
        <v>サイズ</v>
      </c>
      <c r="L261" s="69" t="s">
        <v>80</v>
      </c>
      <c r="M261" s="69" t="s">
        <v>19</v>
      </c>
      <c r="N261" s="69" t="s">
        <v>20</v>
      </c>
      <c r="O261" s="3" t="str">
        <f xml:space="preserve"> ワンピース!AB13</f>
        <v>着丈：約cm　肩幅：約cm　身幅：約cm　ウエスト：約cm　袖丈：約cm</v>
      </c>
      <c r="P261" s="4" t="s">
        <v>3036</v>
      </c>
      <c r="Q261" s="4" t="s">
        <v>3038</v>
      </c>
      <c r="R261" s="69" t="s">
        <v>22</v>
      </c>
      <c r="S261" s="69" t="s">
        <v>23</v>
      </c>
      <c r="T261" s="69" t="s">
        <v>22</v>
      </c>
      <c r="U261" s="69" t="s">
        <v>24</v>
      </c>
      <c r="V261" s="69" t="s">
        <v>25</v>
      </c>
      <c r="W261" s="69" t="s">
        <v>26</v>
      </c>
      <c r="X261" s="69" t="s">
        <v>27</v>
      </c>
      <c r="Y261" s="69" t="s">
        <v>28</v>
      </c>
      <c r="Z261" s="69" t="s">
        <v>29</v>
      </c>
      <c r="AA261" s="4"/>
      <c r="AB261" s="4"/>
      <c r="AC261" s="4"/>
      <c r="AD261" s="70"/>
      <c r="AE261" s="70">
        <f>ワンピース!AG13</f>
        <v>0</v>
      </c>
      <c r="AF261" s="70" t="str">
        <f>ワンピース!R13</f>
        <v>通常</v>
      </c>
      <c r="AG261" s="70">
        <v>0</v>
      </c>
      <c r="AH261" s="6">
        <f xml:space="preserve"> ワンピース!AE13</f>
        <v>0</v>
      </c>
      <c r="AI261">
        <v>1</v>
      </c>
      <c r="AJ261">
        <f>ワンピース!U13</f>
        <v>0</v>
      </c>
    </row>
    <row r="262" spans="1:36" ht="13.5" hidden="1" customHeight="1">
      <c r="A262" s="3" t="str">
        <f>IF(ワンピース!A14="","",ワンピース!A14)</f>
        <v/>
      </c>
      <c r="B262" s="68" t="str">
        <f>IF(ワンピース!B14="","",ワンピース!B14)</f>
        <v/>
      </c>
      <c r="C262" s="3" t="str">
        <f>IF(ワンピース!C14="","",ワンピース!C14)</f>
        <v>◇ ワンピース サイズ レディース E</v>
      </c>
      <c r="D262" s="3" t="str">
        <f>IF(ワンピース!E14="","",ワンピース!E14)</f>
        <v>無</v>
      </c>
      <c r="E262" s="3" t="str">
        <f>IF(ワンピース!AC14="","",ワンピース!AC14)</f>
        <v>ベースW</v>
      </c>
      <c r="F262" s="3" t="str">
        <f>IF(ワンピース!G14="","",ワンピース!G14)</f>
        <v/>
      </c>
      <c r="G262" s="3" t="str">
        <f>IF(ワンピース!H14="","",ワンピース!H14)</f>
        <v/>
      </c>
      <c r="H262" s="3" t="str">
        <f>IF(ワンピース!I14="","",ワンピース!I14)</f>
        <v/>
      </c>
      <c r="I262" s="3" t="str">
        <f>IF(ワンピース!J14="","",ワンピース!J14)</f>
        <v>画像参照</v>
      </c>
      <c r="J262" s="3" t="str">
        <f>IF(ワンピース!K14="","",ワンピース!K14)</f>
        <v/>
      </c>
      <c r="K262" s="3" t="str">
        <f>IF(ワンピース!L14="","",ワンピース!L14)</f>
        <v>サイズ</v>
      </c>
      <c r="L262" s="69" t="s">
        <v>80</v>
      </c>
      <c r="M262" s="69" t="s">
        <v>19</v>
      </c>
      <c r="N262" s="69" t="s">
        <v>20</v>
      </c>
      <c r="O262" s="3" t="str">
        <f xml:space="preserve"> ワンピース!AB14</f>
        <v>着丈：約cm　肩幅：約cm　身幅：約cm　ウエスト：約cm　袖丈：約cm</v>
      </c>
      <c r="P262" s="4" t="s">
        <v>3036</v>
      </c>
      <c r="Q262" s="4" t="s">
        <v>3038</v>
      </c>
      <c r="R262" s="69" t="s">
        <v>22</v>
      </c>
      <c r="S262" s="69" t="s">
        <v>23</v>
      </c>
      <c r="T262" s="69" t="s">
        <v>22</v>
      </c>
      <c r="U262" s="69" t="s">
        <v>24</v>
      </c>
      <c r="V262" s="69" t="s">
        <v>25</v>
      </c>
      <c r="W262" s="69" t="s">
        <v>26</v>
      </c>
      <c r="X262" s="69" t="s">
        <v>27</v>
      </c>
      <c r="Y262" s="69" t="s">
        <v>28</v>
      </c>
      <c r="Z262" s="69" t="s">
        <v>29</v>
      </c>
      <c r="AA262" s="4"/>
      <c r="AB262" s="4"/>
      <c r="AC262" s="4"/>
      <c r="AD262" s="70"/>
      <c r="AE262" s="70">
        <f>ワンピース!AG14</f>
        <v>0</v>
      </c>
      <c r="AF262" s="70" t="str">
        <f>ワンピース!R14</f>
        <v>通常</v>
      </c>
      <c r="AG262" s="70">
        <v>0</v>
      </c>
      <c r="AH262" s="6">
        <f xml:space="preserve"> ワンピース!AE14</f>
        <v>0</v>
      </c>
      <c r="AI262">
        <v>1</v>
      </c>
      <c r="AJ262">
        <f>ワンピース!U14</f>
        <v>0</v>
      </c>
    </row>
    <row r="263" spans="1:36" ht="13.5" hidden="1" customHeight="1">
      <c r="A263" s="3" t="str">
        <f>IF(ワンピース!A15="","",ワンピース!A15)</f>
        <v/>
      </c>
      <c r="B263" s="68" t="str">
        <f>IF(ワンピース!B15="","",ワンピース!B15)</f>
        <v/>
      </c>
      <c r="C263" s="3" t="str">
        <f>IF(ワンピース!C15="","",ワンピース!C15)</f>
        <v>◇ ワンピース サイズ レディース E</v>
      </c>
      <c r="D263" s="3" t="str">
        <f>IF(ワンピース!E15="","",ワンピース!E15)</f>
        <v>無</v>
      </c>
      <c r="E263" s="3" t="str">
        <f>IF(ワンピース!AC15="","",ワンピース!AC15)</f>
        <v>ベースW</v>
      </c>
      <c r="F263" s="3" t="str">
        <f>IF(ワンピース!G15="","",ワンピース!G15)</f>
        <v/>
      </c>
      <c r="G263" s="3" t="str">
        <f>IF(ワンピース!H15="","",ワンピース!H15)</f>
        <v/>
      </c>
      <c r="H263" s="3" t="str">
        <f>IF(ワンピース!I15="","",ワンピース!I15)</f>
        <v/>
      </c>
      <c r="I263" s="3" t="str">
        <f>IF(ワンピース!J15="","",ワンピース!J15)</f>
        <v>画像参照</v>
      </c>
      <c r="J263" s="3" t="str">
        <f>IF(ワンピース!K15="","",ワンピース!K15)</f>
        <v/>
      </c>
      <c r="K263" s="3" t="str">
        <f>IF(ワンピース!L15="","",ワンピース!L15)</f>
        <v>サイズ</v>
      </c>
      <c r="L263" s="69" t="s">
        <v>80</v>
      </c>
      <c r="M263" s="69" t="s">
        <v>19</v>
      </c>
      <c r="N263" s="69" t="s">
        <v>20</v>
      </c>
      <c r="O263" s="3" t="str">
        <f xml:space="preserve"> ワンピース!AB15</f>
        <v>着丈：約cm　肩幅：約cm　身幅：約cm　ウエスト：約cm　袖丈：約cm</v>
      </c>
      <c r="P263" s="4" t="s">
        <v>3036</v>
      </c>
      <c r="Q263" s="4" t="s">
        <v>3038</v>
      </c>
      <c r="R263" s="69" t="s">
        <v>22</v>
      </c>
      <c r="S263" s="69" t="s">
        <v>23</v>
      </c>
      <c r="T263" s="69" t="s">
        <v>22</v>
      </c>
      <c r="U263" s="69" t="s">
        <v>24</v>
      </c>
      <c r="V263" s="69" t="s">
        <v>25</v>
      </c>
      <c r="W263" s="69" t="s">
        <v>26</v>
      </c>
      <c r="X263" s="69" t="s">
        <v>27</v>
      </c>
      <c r="Y263" s="69" t="s">
        <v>28</v>
      </c>
      <c r="Z263" s="69" t="s">
        <v>29</v>
      </c>
      <c r="AA263" s="4"/>
      <c r="AB263" s="4"/>
      <c r="AC263" s="4"/>
      <c r="AD263" s="70"/>
      <c r="AE263" s="70">
        <f>ワンピース!AG15</f>
        <v>0</v>
      </c>
      <c r="AF263" s="70" t="str">
        <f>ワンピース!R15</f>
        <v>通常</v>
      </c>
      <c r="AG263" s="70">
        <v>0</v>
      </c>
      <c r="AH263" s="6">
        <f xml:space="preserve"> ワンピース!AE15</f>
        <v>0</v>
      </c>
      <c r="AI263">
        <v>1</v>
      </c>
      <c r="AJ263">
        <f>ワンピース!U15</f>
        <v>0</v>
      </c>
    </row>
    <row r="264" spans="1:36" ht="13.5" hidden="1" customHeight="1">
      <c r="A264" s="3" t="str">
        <f>IF(ワンピース!A16="","",ワンピース!A16)</f>
        <v/>
      </c>
      <c r="B264" s="68" t="str">
        <f>IF(ワンピース!B16="","",ワンピース!B16)</f>
        <v/>
      </c>
      <c r="C264" s="3" t="str">
        <f>IF(ワンピース!C16="","",ワンピース!C16)</f>
        <v>◇ ワンピース サイズ レディース E</v>
      </c>
      <c r="D264" s="3" t="str">
        <f>IF(ワンピース!E16="","",ワンピース!E16)</f>
        <v>無</v>
      </c>
      <c r="E264" s="3" t="str">
        <f>IF(ワンピース!AC16="","",ワンピース!AC16)</f>
        <v>ベースW</v>
      </c>
      <c r="F264" s="3" t="str">
        <f>IF(ワンピース!G16="","",ワンピース!G16)</f>
        <v/>
      </c>
      <c r="G264" s="3" t="str">
        <f>IF(ワンピース!H16="","",ワンピース!H16)</f>
        <v/>
      </c>
      <c r="H264" s="3" t="str">
        <f>IF(ワンピース!I16="","",ワンピース!I16)</f>
        <v/>
      </c>
      <c r="I264" s="3" t="str">
        <f>IF(ワンピース!J16="","",ワンピース!J16)</f>
        <v>画像参照</v>
      </c>
      <c r="J264" s="3" t="str">
        <f>IF(ワンピース!K16="","",ワンピース!K16)</f>
        <v/>
      </c>
      <c r="K264" s="3" t="str">
        <f>IF(ワンピース!L16="","",ワンピース!L16)</f>
        <v>サイズ</v>
      </c>
      <c r="L264" s="69" t="s">
        <v>80</v>
      </c>
      <c r="M264" s="69" t="s">
        <v>19</v>
      </c>
      <c r="N264" s="69" t="s">
        <v>20</v>
      </c>
      <c r="O264" s="3" t="str">
        <f xml:space="preserve"> ワンピース!AB16</f>
        <v>着丈：約cm　肩幅：約cm　身幅：約cm　ウエスト：約cm　袖丈：約cm</v>
      </c>
      <c r="P264" s="4" t="s">
        <v>3036</v>
      </c>
      <c r="Q264" s="4" t="s">
        <v>3038</v>
      </c>
      <c r="R264" s="69" t="s">
        <v>22</v>
      </c>
      <c r="S264" s="69" t="s">
        <v>23</v>
      </c>
      <c r="T264" s="69" t="s">
        <v>22</v>
      </c>
      <c r="U264" s="69" t="s">
        <v>24</v>
      </c>
      <c r="V264" s="69" t="s">
        <v>25</v>
      </c>
      <c r="W264" s="69" t="s">
        <v>26</v>
      </c>
      <c r="X264" s="69" t="s">
        <v>27</v>
      </c>
      <c r="Y264" s="69" t="s">
        <v>28</v>
      </c>
      <c r="Z264" s="69" t="s">
        <v>29</v>
      </c>
      <c r="AA264" s="4"/>
      <c r="AB264" s="4"/>
      <c r="AC264" s="4"/>
      <c r="AD264" s="70"/>
      <c r="AE264" s="70">
        <f>ワンピース!AG16</f>
        <v>0</v>
      </c>
      <c r="AF264" s="70" t="str">
        <f>ワンピース!R16</f>
        <v>通常</v>
      </c>
      <c r="AG264" s="70">
        <v>0</v>
      </c>
      <c r="AH264" s="6">
        <f xml:space="preserve"> ワンピース!AE16</f>
        <v>0</v>
      </c>
      <c r="AI264">
        <v>1</v>
      </c>
      <c r="AJ264">
        <f>ワンピース!U16</f>
        <v>0</v>
      </c>
    </row>
    <row r="265" spans="1:36" ht="13.5" hidden="1" customHeight="1">
      <c r="A265" s="3" t="str">
        <f>IF(ワンピース!A17="","",ワンピース!A17)</f>
        <v/>
      </c>
      <c r="B265" s="68" t="str">
        <f>IF(ワンピース!B17="","",ワンピース!B17)</f>
        <v/>
      </c>
      <c r="C265" s="3" t="str">
        <f>IF(ワンピース!C17="","",ワンピース!C17)</f>
        <v>◇ ワンピース サイズ レディース E</v>
      </c>
      <c r="D265" s="3" t="str">
        <f>IF(ワンピース!E17="","",ワンピース!E17)</f>
        <v>無</v>
      </c>
      <c r="E265" s="3" t="str">
        <f>IF(ワンピース!AC17="","",ワンピース!AC17)</f>
        <v>ベースW</v>
      </c>
      <c r="F265" s="3" t="str">
        <f>IF(ワンピース!G17="","",ワンピース!G17)</f>
        <v/>
      </c>
      <c r="G265" s="3" t="str">
        <f>IF(ワンピース!H17="","",ワンピース!H17)</f>
        <v/>
      </c>
      <c r="H265" s="3" t="str">
        <f>IF(ワンピース!I17="","",ワンピース!I17)</f>
        <v/>
      </c>
      <c r="I265" s="3" t="str">
        <f>IF(ワンピース!J17="","",ワンピース!J17)</f>
        <v>画像参照</v>
      </c>
      <c r="J265" s="3" t="str">
        <f>IF(ワンピース!K17="","",ワンピース!K17)</f>
        <v/>
      </c>
      <c r="K265" s="3" t="str">
        <f>IF(ワンピース!L17="","",ワンピース!L17)</f>
        <v>サイズ</v>
      </c>
      <c r="L265" s="69" t="s">
        <v>80</v>
      </c>
      <c r="M265" s="69" t="s">
        <v>19</v>
      </c>
      <c r="N265" s="69" t="s">
        <v>20</v>
      </c>
      <c r="O265" s="3" t="str">
        <f xml:space="preserve"> ワンピース!AB17</f>
        <v>着丈：約cm　肩幅：約cm　身幅：約cm　ウエスト：約cm　袖丈：約cm</v>
      </c>
      <c r="P265" s="4" t="s">
        <v>3036</v>
      </c>
      <c r="Q265" s="4" t="s">
        <v>3038</v>
      </c>
      <c r="R265" s="69" t="s">
        <v>22</v>
      </c>
      <c r="S265" s="69" t="s">
        <v>23</v>
      </c>
      <c r="T265" s="69" t="s">
        <v>22</v>
      </c>
      <c r="U265" s="69" t="s">
        <v>24</v>
      </c>
      <c r="V265" s="69" t="s">
        <v>25</v>
      </c>
      <c r="W265" s="69" t="s">
        <v>26</v>
      </c>
      <c r="X265" s="69" t="s">
        <v>27</v>
      </c>
      <c r="Y265" s="69" t="s">
        <v>28</v>
      </c>
      <c r="Z265" s="69" t="s">
        <v>29</v>
      </c>
      <c r="AA265" s="4"/>
      <c r="AB265" s="4"/>
      <c r="AC265" s="4"/>
      <c r="AD265" s="70"/>
      <c r="AE265" s="70">
        <f>ワンピース!AG17</f>
        <v>0</v>
      </c>
      <c r="AF265" s="70" t="str">
        <f>ワンピース!R17</f>
        <v>通常</v>
      </c>
      <c r="AG265" s="70">
        <v>0</v>
      </c>
      <c r="AH265" s="6">
        <f xml:space="preserve"> ワンピース!AE17</f>
        <v>0</v>
      </c>
      <c r="AI265">
        <v>1</v>
      </c>
      <c r="AJ265">
        <f>ワンピース!U17</f>
        <v>0</v>
      </c>
    </row>
    <row r="266" spans="1:36" ht="13.5" hidden="1" customHeight="1">
      <c r="A266" s="3" t="str">
        <f>IF(ワンピース!A18="","",ワンピース!A18)</f>
        <v/>
      </c>
      <c r="B266" s="68" t="str">
        <f>IF(ワンピース!B18="","",ワンピース!B18)</f>
        <v/>
      </c>
      <c r="C266" s="3" t="str">
        <f>IF(ワンピース!C18="","",ワンピース!C18)</f>
        <v>◇ ワンピース サイズ レディース E</v>
      </c>
      <c r="D266" s="3" t="str">
        <f>IF(ワンピース!E18="","",ワンピース!E18)</f>
        <v>無</v>
      </c>
      <c r="E266" s="3" t="str">
        <f>IF(ワンピース!AC18="","",ワンピース!AC18)</f>
        <v>ベースW</v>
      </c>
      <c r="F266" s="3" t="str">
        <f>IF(ワンピース!G18="","",ワンピース!G18)</f>
        <v/>
      </c>
      <c r="G266" s="3" t="str">
        <f>IF(ワンピース!H18="","",ワンピース!H18)</f>
        <v/>
      </c>
      <c r="H266" s="3" t="str">
        <f>IF(ワンピース!I18="","",ワンピース!I18)</f>
        <v/>
      </c>
      <c r="I266" s="3" t="str">
        <f>IF(ワンピース!J18="","",ワンピース!J18)</f>
        <v>画像参照</v>
      </c>
      <c r="J266" s="3" t="str">
        <f>IF(ワンピース!K18="","",ワンピース!K18)</f>
        <v/>
      </c>
      <c r="K266" s="3" t="str">
        <f>IF(ワンピース!L18="","",ワンピース!L18)</f>
        <v>サイズ</v>
      </c>
      <c r="L266" s="69" t="s">
        <v>80</v>
      </c>
      <c r="M266" s="69" t="s">
        <v>19</v>
      </c>
      <c r="N266" s="69" t="s">
        <v>20</v>
      </c>
      <c r="O266" s="3" t="str">
        <f xml:space="preserve"> ワンピース!AB18</f>
        <v>着丈：約cm　肩幅：約cm　身幅：約cm　ウエスト：約cm　袖丈：約cm</v>
      </c>
      <c r="P266" s="4" t="s">
        <v>3036</v>
      </c>
      <c r="Q266" s="4" t="s">
        <v>3038</v>
      </c>
      <c r="R266" s="69" t="s">
        <v>22</v>
      </c>
      <c r="S266" s="69" t="s">
        <v>23</v>
      </c>
      <c r="T266" s="69" t="s">
        <v>22</v>
      </c>
      <c r="U266" s="69" t="s">
        <v>24</v>
      </c>
      <c r="V266" s="69" t="s">
        <v>25</v>
      </c>
      <c r="W266" s="69" t="s">
        <v>26</v>
      </c>
      <c r="X266" s="69" t="s">
        <v>27</v>
      </c>
      <c r="Y266" s="69" t="s">
        <v>28</v>
      </c>
      <c r="Z266" s="69" t="s">
        <v>29</v>
      </c>
      <c r="AA266" s="4"/>
      <c r="AB266" s="4"/>
      <c r="AC266" s="4"/>
      <c r="AD266" s="70"/>
      <c r="AE266" s="70">
        <f>ワンピース!AG18</f>
        <v>0</v>
      </c>
      <c r="AF266" s="70" t="str">
        <f>ワンピース!R18</f>
        <v>通常</v>
      </c>
      <c r="AG266" s="70">
        <v>0</v>
      </c>
      <c r="AH266" s="6">
        <f xml:space="preserve"> ワンピース!AE18</f>
        <v>0</v>
      </c>
      <c r="AI266">
        <v>1</v>
      </c>
      <c r="AJ266">
        <f>ワンピース!U18</f>
        <v>0</v>
      </c>
    </row>
    <row r="267" spans="1:36" ht="13.5" hidden="1" customHeight="1">
      <c r="A267" s="3" t="str">
        <f>IF(ワンピース!A19="","",ワンピース!A19)</f>
        <v/>
      </c>
      <c r="B267" s="68" t="str">
        <f>IF(ワンピース!B19="","",ワンピース!B19)</f>
        <v/>
      </c>
      <c r="C267" s="3" t="str">
        <f>IF(ワンピース!C19="","",ワンピース!C19)</f>
        <v>◇ ワンピース サイズ レディース E</v>
      </c>
      <c r="D267" s="3" t="str">
        <f>IF(ワンピース!E19="","",ワンピース!E19)</f>
        <v>無</v>
      </c>
      <c r="E267" s="3" t="str">
        <f>IF(ワンピース!AC19="","",ワンピース!AC19)</f>
        <v>ベースW</v>
      </c>
      <c r="F267" s="3" t="str">
        <f>IF(ワンピース!G19="","",ワンピース!G19)</f>
        <v/>
      </c>
      <c r="G267" s="3" t="str">
        <f>IF(ワンピース!H19="","",ワンピース!H19)</f>
        <v/>
      </c>
      <c r="H267" s="3" t="str">
        <f>IF(ワンピース!I19="","",ワンピース!I19)</f>
        <v/>
      </c>
      <c r="I267" s="3" t="str">
        <f>IF(ワンピース!J19="","",ワンピース!J19)</f>
        <v>画像参照</v>
      </c>
      <c r="J267" s="3" t="str">
        <f>IF(ワンピース!K19="","",ワンピース!K19)</f>
        <v/>
      </c>
      <c r="K267" s="3" t="str">
        <f>IF(ワンピース!L19="","",ワンピース!L19)</f>
        <v>サイズ</v>
      </c>
      <c r="L267" s="69" t="s">
        <v>80</v>
      </c>
      <c r="M267" s="69" t="s">
        <v>19</v>
      </c>
      <c r="N267" s="69" t="s">
        <v>20</v>
      </c>
      <c r="O267" s="3" t="str">
        <f xml:space="preserve"> ワンピース!AB19</f>
        <v>着丈：約cm　肩幅：約cm　身幅：約cm　ウエスト：約cm　袖丈：約cm</v>
      </c>
      <c r="P267" s="4" t="s">
        <v>3036</v>
      </c>
      <c r="Q267" s="4" t="s">
        <v>3038</v>
      </c>
      <c r="R267" s="69" t="s">
        <v>22</v>
      </c>
      <c r="S267" s="69" t="s">
        <v>23</v>
      </c>
      <c r="T267" s="69" t="s">
        <v>22</v>
      </c>
      <c r="U267" s="69" t="s">
        <v>24</v>
      </c>
      <c r="V267" s="69" t="s">
        <v>25</v>
      </c>
      <c r="W267" s="69" t="s">
        <v>26</v>
      </c>
      <c r="X267" s="69" t="s">
        <v>27</v>
      </c>
      <c r="Y267" s="69" t="s">
        <v>28</v>
      </c>
      <c r="Z267" s="69" t="s">
        <v>29</v>
      </c>
      <c r="AA267" s="4"/>
      <c r="AB267" s="4"/>
      <c r="AC267" s="4"/>
      <c r="AD267" s="70"/>
      <c r="AE267" s="70">
        <f>ワンピース!AG19</f>
        <v>0</v>
      </c>
      <c r="AF267" s="70" t="str">
        <f>ワンピース!R19</f>
        <v>通常</v>
      </c>
      <c r="AG267" s="70">
        <v>0</v>
      </c>
      <c r="AH267" s="6">
        <f xml:space="preserve"> ワンピース!AE19</f>
        <v>0</v>
      </c>
      <c r="AI267">
        <v>1</v>
      </c>
      <c r="AJ267">
        <f>ワンピース!U19</f>
        <v>0</v>
      </c>
    </row>
    <row r="268" spans="1:36" ht="13.5" hidden="1" customHeight="1">
      <c r="A268" s="3" t="str">
        <f>IF(ワンピース!A20="","",ワンピース!A20)</f>
        <v/>
      </c>
      <c r="B268" s="68" t="str">
        <f>IF(ワンピース!B20="","",ワンピース!B20)</f>
        <v/>
      </c>
      <c r="C268" s="3" t="str">
        <f>IF(ワンピース!C20="","",ワンピース!C20)</f>
        <v>◇ ワンピース サイズ レディース E</v>
      </c>
      <c r="D268" s="3" t="str">
        <f>IF(ワンピース!E20="","",ワンピース!E20)</f>
        <v>無</v>
      </c>
      <c r="E268" s="3" t="str">
        <f>IF(ワンピース!AC20="","",ワンピース!AC20)</f>
        <v>ベースW</v>
      </c>
      <c r="F268" s="3" t="str">
        <f>IF(ワンピース!G20="","",ワンピース!G20)</f>
        <v/>
      </c>
      <c r="G268" s="3" t="str">
        <f>IF(ワンピース!H20="","",ワンピース!H20)</f>
        <v/>
      </c>
      <c r="H268" s="3" t="str">
        <f>IF(ワンピース!I20="","",ワンピース!I20)</f>
        <v/>
      </c>
      <c r="I268" s="3" t="str">
        <f>IF(ワンピース!J20="","",ワンピース!J20)</f>
        <v>画像参照</v>
      </c>
      <c r="J268" s="3" t="str">
        <f>IF(ワンピース!K20="","",ワンピース!K20)</f>
        <v/>
      </c>
      <c r="K268" s="3" t="str">
        <f>IF(ワンピース!L20="","",ワンピース!L20)</f>
        <v>サイズ</v>
      </c>
      <c r="L268" s="69" t="s">
        <v>80</v>
      </c>
      <c r="M268" s="69" t="s">
        <v>19</v>
      </c>
      <c r="N268" s="69" t="s">
        <v>20</v>
      </c>
      <c r="O268" s="3" t="str">
        <f xml:space="preserve"> ワンピース!AB20</f>
        <v>着丈：約cm　肩幅：約cm　身幅：約cm　ウエスト：約cm　袖丈：約cm</v>
      </c>
      <c r="P268" s="4" t="s">
        <v>3036</v>
      </c>
      <c r="Q268" s="4" t="s">
        <v>3038</v>
      </c>
      <c r="R268" s="69" t="s">
        <v>22</v>
      </c>
      <c r="S268" s="69" t="s">
        <v>23</v>
      </c>
      <c r="T268" s="69" t="s">
        <v>22</v>
      </c>
      <c r="U268" s="69" t="s">
        <v>24</v>
      </c>
      <c r="V268" s="69" t="s">
        <v>25</v>
      </c>
      <c r="W268" s="69" t="s">
        <v>26</v>
      </c>
      <c r="X268" s="69" t="s">
        <v>27</v>
      </c>
      <c r="Y268" s="69" t="s">
        <v>28</v>
      </c>
      <c r="Z268" s="69" t="s">
        <v>29</v>
      </c>
      <c r="AA268" s="4"/>
      <c r="AB268" s="4"/>
      <c r="AC268" s="4"/>
      <c r="AD268" s="70"/>
      <c r="AE268" s="70">
        <f>ワンピース!AG20</f>
        <v>0</v>
      </c>
      <c r="AF268" s="70" t="str">
        <f>ワンピース!R20</f>
        <v>通常</v>
      </c>
      <c r="AG268" s="70">
        <v>0</v>
      </c>
      <c r="AH268" s="6">
        <f xml:space="preserve"> ワンピース!AE20</f>
        <v>0</v>
      </c>
      <c r="AI268">
        <v>1</v>
      </c>
      <c r="AJ268">
        <f>ワンピース!U20</f>
        <v>0</v>
      </c>
    </row>
    <row r="269" spans="1:36" ht="13.5" hidden="1" customHeight="1">
      <c r="A269" s="3" t="str">
        <f>IF(ワンピース!A21="","",ワンピース!A21)</f>
        <v/>
      </c>
      <c r="B269" s="68" t="str">
        <f>IF(ワンピース!B21="","",ワンピース!B21)</f>
        <v/>
      </c>
      <c r="C269" s="3" t="str">
        <f>IF(ワンピース!C21="","",ワンピース!C21)</f>
        <v>◇ ワンピース サイズ レディース E</v>
      </c>
      <c r="D269" s="3" t="str">
        <f>IF(ワンピース!E21="","",ワンピース!E21)</f>
        <v>無</v>
      </c>
      <c r="E269" s="3" t="str">
        <f>IF(ワンピース!AC21="","",ワンピース!AC21)</f>
        <v>ベースW</v>
      </c>
      <c r="F269" s="3" t="str">
        <f>IF(ワンピース!G21="","",ワンピース!G21)</f>
        <v/>
      </c>
      <c r="G269" s="3" t="str">
        <f>IF(ワンピース!H21="","",ワンピース!H21)</f>
        <v/>
      </c>
      <c r="H269" s="3" t="str">
        <f>IF(ワンピース!I21="","",ワンピース!I21)</f>
        <v/>
      </c>
      <c r="I269" s="3" t="str">
        <f>IF(ワンピース!J21="","",ワンピース!J21)</f>
        <v>画像参照</v>
      </c>
      <c r="J269" s="3" t="str">
        <f>IF(ワンピース!K21="","",ワンピース!K21)</f>
        <v/>
      </c>
      <c r="K269" s="3" t="str">
        <f>IF(ワンピース!L21="","",ワンピース!L21)</f>
        <v>サイズ</v>
      </c>
      <c r="L269" s="69" t="s">
        <v>80</v>
      </c>
      <c r="M269" s="69" t="s">
        <v>19</v>
      </c>
      <c r="N269" s="69" t="s">
        <v>20</v>
      </c>
      <c r="O269" s="3" t="str">
        <f xml:space="preserve"> ワンピース!AB21</f>
        <v>着丈：約cm　肩幅：約cm　身幅：約cm　ウエスト：約cm　袖丈：約cm</v>
      </c>
      <c r="P269" s="4" t="s">
        <v>3036</v>
      </c>
      <c r="Q269" s="4" t="s">
        <v>3038</v>
      </c>
      <c r="R269" s="69" t="s">
        <v>22</v>
      </c>
      <c r="S269" s="69" t="s">
        <v>23</v>
      </c>
      <c r="T269" s="69" t="s">
        <v>22</v>
      </c>
      <c r="U269" s="69" t="s">
        <v>24</v>
      </c>
      <c r="V269" s="69" t="s">
        <v>25</v>
      </c>
      <c r="W269" s="69" t="s">
        <v>26</v>
      </c>
      <c r="X269" s="69" t="s">
        <v>27</v>
      </c>
      <c r="Y269" s="69" t="s">
        <v>28</v>
      </c>
      <c r="Z269" s="69" t="s">
        <v>29</v>
      </c>
      <c r="AA269" s="4"/>
      <c r="AB269" s="4"/>
      <c r="AC269" s="4"/>
      <c r="AD269" s="70"/>
      <c r="AE269" s="70">
        <f>ワンピース!AG21</f>
        <v>0</v>
      </c>
      <c r="AF269" s="70" t="str">
        <f>ワンピース!R21</f>
        <v>通常</v>
      </c>
      <c r="AG269" s="70">
        <v>0</v>
      </c>
      <c r="AH269" s="6">
        <f xml:space="preserve"> ワンピース!AE21</f>
        <v>0</v>
      </c>
      <c r="AI269">
        <v>1</v>
      </c>
      <c r="AJ269">
        <f>ワンピース!U21</f>
        <v>0</v>
      </c>
    </row>
    <row r="270" spans="1:36" ht="13.5" hidden="1" customHeight="1">
      <c r="A270" s="3" t="str">
        <f>IF(ワンピース!A22="","",ワンピース!A22)</f>
        <v/>
      </c>
      <c r="B270" s="68" t="str">
        <f>IF(ワンピース!B22="","",ワンピース!B22)</f>
        <v/>
      </c>
      <c r="C270" s="3" t="str">
        <f>IF(ワンピース!C22="","",ワンピース!C22)</f>
        <v>◇ ワンピース サイズ レディース E</v>
      </c>
      <c r="D270" s="3" t="str">
        <f>IF(ワンピース!E22="","",ワンピース!E22)</f>
        <v>無</v>
      </c>
      <c r="E270" s="3" t="str">
        <f>IF(ワンピース!AC22="","",ワンピース!AC22)</f>
        <v>ベースW</v>
      </c>
      <c r="F270" s="3" t="str">
        <f>IF(ワンピース!G22="","",ワンピース!G22)</f>
        <v/>
      </c>
      <c r="G270" s="3" t="str">
        <f>IF(ワンピース!H22="","",ワンピース!H22)</f>
        <v/>
      </c>
      <c r="H270" s="3" t="str">
        <f>IF(ワンピース!I22="","",ワンピース!I22)</f>
        <v/>
      </c>
      <c r="I270" s="3" t="str">
        <f>IF(ワンピース!J22="","",ワンピース!J22)</f>
        <v>画像参照</v>
      </c>
      <c r="J270" s="3" t="str">
        <f>IF(ワンピース!K22="","",ワンピース!K22)</f>
        <v/>
      </c>
      <c r="K270" s="3" t="str">
        <f>IF(ワンピース!L22="","",ワンピース!L22)</f>
        <v>サイズ</v>
      </c>
      <c r="L270" s="69" t="s">
        <v>80</v>
      </c>
      <c r="M270" s="69" t="s">
        <v>19</v>
      </c>
      <c r="N270" s="69" t="s">
        <v>20</v>
      </c>
      <c r="O270" s="3" t="str">
        <f xml:space="preserve"> ワンピース!AB22</f>
        <v>着丈：約cm　肩幅：約cm　身幅：約cm　ウエスト：約cm　袖丈：約cm</v>
      </c>
      <c r="P270" s="4" t="s">
        <v>3036</v>
      </c>
      <c r="Q270" s="4" t="s">
        <v>3038</v>
      </c>
      <c r="R270" s="69" t="s">
        <v>22</v>
      </c>
      <c r="S270" s="69" t="s">
        <v>23</v>
      </c>
      <c r="T270" s="69" t="s">
        <v>22</v>
      </c>
      <c r="U270" s="69" t="s">
        <v>24</v>
      </c>
      <c r="V270" s="69" t="s">
        <v>25</v>
      </c>
      <c r="W270" s="69" t="s">
        <v>26</v>
      </c>
      <c r="X270" s="69" t="s">
        <v>27</v>
      </c>
      <c r="Y270" s="69" t="s">
        <v>28</v>
      </c>
      <c r="Z270" s="69" t="s">
        <v>29</v>
      </c>
      <c r="AA270" s="4"/>
      <c r="AB270" s="4"/>
      <c r="AC270" s="4"/>
      <c r="AD270" s="70"/>
      <c r="AE270" s="70">
        <f>ワンピース!AG22</f>
        <v>0</v>
      </c>
      <c r="AF270" s="70" t="str">
        <f>ワンピース!R22</f>
        <v>通常</v>
      </c>
      <c r="AG270" s="70">
        <v>0</v>
      </c>
      <c r="AH270" s="6">
        <f xml:space="preserve"> ワンピース!AE22</f>
        <v>0</v>
      </c>
      <c r="AI270">
        <v>1</v>
      </c>
      <c r="AJ270">
        <f>ワンピース!U22</f>
        <v>0</v>
      </c>
    </row>
    <row r="271" spans="1:36" ht="13.5" hidden="1" customHeight="1">
      <c r="A271" s="3" t="str">
        <f>IF(ワンピース!A23="","",ワンピース!A23)</f>
        <v/>
      </c>
      <c r="B271" s="68" t="str">
        <f>IF(ワンピース!B23="","",ワンピース!B23)</f>
        <v/>
      </c>
      <c r="C271" s="3" t="str">
        <f>IF(ワンピース!C23="","",ワンピース!C23)</f>
        <v>◇ ワンピース サイズ レディース E</v>
      </c>
      <c r="D271" s="3" t="str">
        <f>IF(ワンピース!E23="","",ワンピース!E23)</f>
        <v>無</v>
      </c>
      <c r="E271" s="3" t="str">
        <f>IF(ワンピース!AC23="","",ワンピース!AC23)</f>
        <v>ベースW</v>
      </c>
      <c r="F271" s="3" t="str">
        <f>IF(ワンピース!G23="","",ワンピース!G23)</f>
        <v/>
      </c>
      <c r="G271" s="3" t="str">
        <f>IF(ワンピース!H23="","",ワンピース!H23)</f>
        <v/>
      </c>
      <c r="H271" s="3" t="str">
        <f>IF(ワンピース!I23="","",ワンピース!I23)</f>
        <v/>
      </c>
      <c r="I271" s="3" t="str">
        <f>IF(ワンピース!J23="","",ワンピース!J23)</f>
        <v>画像参照</v>
      </c>
      <c r="J271" s="3" t="str">
        <f>IF(ワンピース!K23="","",ワンピース!K23)</f>
        <v/>
      </c>
      <c r="K271" s="3" t="str">
        <f>IF(ワンピース!L23="","",ワンピース!L23)</f>
        <v>サイズ</v>
      </c>
      <c r="L271" s="69" t="s">
        <v>80</v>
      </c>
      <c r="M271" s="69" t="s">
        <v>19</v>
      </c>
      <c r="N271" s="69" t="s">
        <v>20</v>
      </c>
      <c r="O271" s="3" t="str">
        <f xml:space="preserve"> ワンピース!AB23</f>
        <v>着丈：約cm　肩幅：約cm　身幅：約cm　ウエスト：約cm　袖丈：約cm</v>
      </c>
      <c r="P271" s="4" t="s">
        <v>3036</v>
      </c>
      <c r="Q271" s="4" t="s">
        <v>3038</v>
      </c>
      <c r="R271" s="69" t="s">
        <v>22</v>
      </c>
      <c r="S271" s="69" t="s">
        <v>23</v>
      </c>
      <c r="T271" s="69" t="s">
        <v>22</v>
      </c>
      <c r="U271" s="69" t="s">
        <v>24</v>
      </c>
      <c r="V271" s="69" t="s">
        <v>25</v>
      </c>
      <c r="W271" s="69" t="s">
        <v>26</v>
      </c>
      <c r="X271" s="69" t="s">
        <v>27</v>
      </c>
      <c r="Y271" s="69" t="s">
        <v>28</v>
      </c>
      <c r="Z271" s="69" t="s">
        <v>29</v>
      </c>
      <c r="AA271" s="4"/>
      <c r="AB271" s="4"/>
      <c r="AC271" s="4"/>
      <c r="AD271" s="70"/>
      <c r="AE271" s="70">
        <f>ワンピース!AG23</f>
        <v>0</v>
      </c>
      <c r="AF271" s="70" t="str">
        <f>ワンピース!R23</f>
        <v>通常</v>
      </c>
      <c r="AG271" s="70">
        <v>0</v>
      </c>
      <c r="AH271" s="6">
        <f xml:space="preserve"> ワンピース!AE23</f>
        <v>0</v>
      </c>
      <c r="AI271">
        <v>1</v>
      </c>
      <c r="AJ271">
        <f>ワンピース!U23</f>
        <v>0</v>
      </c>
    </row>
    <row r="272" spans="1:36" ht="13.5" hidden="1" customHeight="1">
      <c r="A272" s="3" t="str">
        <f>IF(ワンピース!A24="","",ワンピース!A24)</f>
        <v/>
      </c>
      <c r="B272" s="68" t="str">
        <f>IF(ワンピース!B24="","",ワンピース!B24)</f>
        <v/>
      </c>
      <c r="C272" s="3" t="str">
        <f>IF(ワンピース!C24="","",ワンピース!C24)</f>
        <v>◇ ワンピース サイズ レディース E</v>
      </c>
      <c r="D272" s="3" t="str">
        <f>IF(ワンピース!E24="","",ワンピース!E24)</f>
        <v>無</v>
      </c>
      <c r="E272" s="3" t="str">
        <f>IF(ワンピース!AC24="","",ワンピース!AC24)</f>
        <v>ベースW</v>
      </c>
      <c r="F272" s="3" t="str">
        <f>IF(ワンピース!G24="","",ワンピース!G24)</f>
        <v/>
      </c>
      <c r="G272" s="3" t="str">
        <f>IF(ワンピース!H24="","",ワンピース!H24)</f>
        <v/>
      </c>
      <c r="H272" s="3" t="str">
        <f>IF(ワンピース!I24="","",ワンピース!I24)</f>
        <v/>
      </c>
      <c r="I272" s="3" t="str">
        <f>IF(ワンピース!J24="","",ワンピース!J24)</f>
        <v>画像参照</v>
      </c>
      <c r="J272" s="3" t="str">
        <f>IF(ワンピース!K24="","",ワンピース!K24)</f>
        <v/>
      </c>
      <c r="K272" s="3" t="str">
        <f>IF(ワンピース!L24="","",ワンピース!L24)</f>
        <v>サイズ</v>
      </c>
      <c r="L272" s="69" t="s">
        <v>80</v>
      </c>
      <c r="M272" s="69" t="s">
        <v>19</v>
      </c>
      <c r="N272" s="69" t="s">
        <v>20</v>
      </c>
      <c r="O272" s="3" t="str">
        <f xml:space="preserve"> ワンピース!AB24</f>
        <v>着丈：約cm　肩幅：約cm　身幅：約cm　ウエスト：約cm　袖丈：約cm</v>
      </c>
      <c r="P272" s="4" t="s">
        <v>3036</v>
      </c>
      <c r="Q272" s="4" t="s">
        <v>3038</v>
      </c>
      <c r="R272" s="69" t="s">
        <v>22</v>
      </c>
      <c r="S272" s="69" t="s">
        <v>23</v>
      </c>
      <c r="T272" s="69" t="s">
        <v>22</v>
      </c>
      <c r="U272" s="69" t="s">
        <v>24</v>
      </c>
      <c r="V272" s="69" t="s">
        <v>25</v>
      </c>
      <c r="W272" s="69" t="s">
        <v>26</v>
      </c>
      <c r="X272" s="69" t="s">
        <v>27</v>
      </c>
      <c r="Y272" s="69" t="s">
        <v>28</v>
      </c>
      <c r="Z272" s="69" t="s">
        <v>29</v>
      </c>
      <c r="AA272" s="4"/>
      <c r="AB272" s="4"/>
      <c r="AC272" s="4"/>
      <c r="AD272" s="70"/>
      <c r="AE272" s="70">
        <f>ワンピース!AG24</f>
        <v>0</v>
      </c>
      <c r="AF272" s="70" t="str">
        <f>ワンピース!R24</f>
        <v>通常</v>
      </c>
      <c r="AG272" s="70">
        <v>0</v>
      </c>
      <c r="AH272" s="6">
        <f xml:space="preserve"> ワンピース!AE24</f>
        <v>0</v>
      </c>
      <c r="AI272">
        <v>1</v>
      </c>
      <c r="AJ272">
        <f>ワンピース!U24</f>
        <v>0</v>
      </c>
    </row>
    <row r="273" spans="1:36" ht="13.5" hidden="1" customHeight="1">
      <c r="A273" s="3" t="str">
        <f>IF(ワンピース!A25="","",ワンピース!A25)</f>
        <v/>
      </c>
      <c r="B273" s="68" t="str">
        <f>IF(ワンピース!B25="","",ワンピース!B25)</f>
        <v/>
      </c>
      <c r="C273" s="3" t="str">
        <f>IF(ワンピース!C25="","",ワンピース!C25)</f>
        <v>◇ ワンピース サイズ レディース E</v>
      </c>
      <c r="D273" s="3" t="str">
        <f>IF(ワンピース!E25="","",ワンピース!E25)</f>
        <v>無</v>
      </c>
      <c r="E273" s="3" t="str">
        <f>IF(ワンピース!AC25="","",ワンピース!AC25)</f>
        <v>ベースW</v>
      </c>
      <c r="F273" s="3" t="str">
        <f>IF(ワンピース!G25="","",ワンピース!G25)</f>
        <v/>
      </c>
      <c r="G273" s="3" t="str">
        <f>IF(ワンピース!H25="","",ワンピース!H25)</f>
        <v/>
      </c>
      <c r="H273" s="3" t="str">
        <f>IF(ワンピース!I25="","",ワンピース!I25)</f>
        <v/>
      </c>
      <c r="I273" s="3" t="str">
        <f>IF(ワンピース!J25="","",ワンピース!J25)</f>
        <v>画像参照</v>
      </c>
      <c r="J273" s="3" t="str">
        <f>IF(ワンピース!K25="","",ワンピース!K25)</f>
        <v/>
      </c>
      <c r="K273" s="3" t="str">
        <f>IF(ワンピース!L25="","",ワンピース!L25)</f>
        <v>サイズ</v>
      </c>
      <c r="L273" s="69" t="s">
        <v>80</v>
      </c>
      <c r="M273" s="69" t="s">
        <v>19</v>
      </c>
      <c r="N273" s="69" t="s">
        <v>20</v>
      </c>
      <c r="O273" s="3" t="str">
        <f xml:space="preserve"> ワンピース!AB25</f>
        <v>着丈：約cm　肩幅：約cm　身幅：約cm　ウエスト：約cm　袖丈：約cm</v>
      </c>
      <c r="P273" s="4" t="s">
        <v>3036</v>
      </c>
      <c r="Q273" s="4" t="s">
        <v>3038</v>
      </c>
      <c r="R273" s="69" t="s">
        <v>22</v>
      </c>
      <c r="S273" s="69" t="s">
        <v>23</v>
      </c>
      <c r="T273" s="69" t="s">
        <v>22</v>
      </c>
      <c r="U273" s="69" t="s">
        <v>24</v>
      </c>
      <c r="V273" s="69" t="s">
        <v>25</v>
      </c>
      <c r="W273" s="69" t="s">
        <v>26</v>
      </c>
      <c r="X273" s="69" t="s">
        <v>27</v>
      </c>
      <c r="Y273" s="69" t="s">
        <v>28</v>
      </c>
      <c r="Z273" s="69" t="s">
        <v>29</v>
      </c>
      <c r="AA273" s="4"/>
      <c r="AB273" s="4"/>
      <c r="AC273" s="4"/>
      <c r="AD273" s="70"/>
      <c r="AE273" s="70">
        <f>ワンピース!AG25</f>
        <v>0</v>
      </c>
      <c r="AF273" s="70" t="str">
        <f>ワンピース!R25</f>
        <v>通常</v>
      </c>
      <c r="AG273" s="70">
        <v>0</v>
      </c>
      <c r="AH273" s="6">
        <f xml:space="preserve"> ワンピース!AE25</f>
        <v>0</v>
      </c>
      <c r="AI273">
        <v>1</v>
      </c>
      <c r="AJ273">
        <f>ワンピース!U25</f>
        <v>0</v>
      </c>
    </row>
    <row r="274" spans="1:36" ht="13.5" hidden="1" customHeight="1">
      <c r="A274" s="3" t="str">
        <f>IF(ワンピース!A26="","",ワンピース!A26)</f>
        <v/>
      </c>
      <c r="B274" s="68" t="str">
        <f>IF(ワンピース!B26="","",ワンピース!B26)</f>
        <v/>
      </c>
      <c r="C274" s="3" t="str">
        <f>IF(ワンピース!C26="","",ワンピース!C26)</f>
        <v>◇ ワンピース サイズ レディース E</v>
      </c>
      <c r="D274" s="3" t="str">
        <f>IF(ワンピース!E26="","",ワンピース!E26)</f>
        <v>無</v>
      </c>
      <c r="E274" s="3" t="str">
        <f>IF(ワンピース!AC26="","",ワンピース!AC26)</f>
        <v>ベースW</v>
      </c>
      <c r="F274" s="3" t="str">
        <f>IF(ワンピース!G26="","",ワンピース!G26)</f>
        <v/>
      </c>
      <c r="G274" s="3" t="str">
        <f>IF(ワンピース!H26="","",ワンピース!H26)</f>
        <v/>
      </c>
      <c r="H274" s="3" t="str">
        <f>IF(ワンピース!I26="","",ワンピース!I26)</f>
        <v/>
      </c>
      <c r="I274" s="3" t="str">
        <f>IF(ワンピース!J26="","",ワンピース!J26)</f>
        <v>画像参照</v>
      </c>
      <c r="J274" s="3" t="str">
        <f>IF(ワンピース!K26="","",ワンピース!K26)</f>
        <v/>
      </c>
      <c r="K274" s="3" t="str">
        <f>IF(ワンピース!L26="","",ワンピース!L26)</f>
        <v>サイズ</v>
      </c>
      <c r="L274" s="69" t="s">
        <v>80</v>
      </c>
      <c r="M274" s="69" t="s">
        <v>19</v>
      </c>
      <c r="N274" s="69" t="s">
        <v>20</v>
      </c>
      <c r="O274" s="3" t="str">
        <f xml:space="preserve"> ワンピース!AB26</f>
        <v>着丈：約cm　肩幅：約cm　身幅：約cm　ウエスト：約cm　袖丈：約cm</v>
      </c>
      <c r="P274" s="4" t="s">
        <v>3036</v>
      </c>
      <c r="Q274" s="4" t="s">
        <v>3038</v>
      </c>
      <c r="R274" s="69" t="s">
        <v>22</v>
      </c>
      <c r="S274" s="69" t="s">
        <v>23</v>
      </c>
      <c r="T274" s="69" t="s">
        <v>22</v>
      </c>
      <c r="U274" s="69" t="s">
        <v>24</v>
      </c>
      <c r="V274" s="69" t="s">
        <v>25</v>
      </c>
      <c r="W274" s="69" t="s">
        <v>26</v>
      </c>
      <c r="X274" s="69" t="s">
        <v>27</v>
      </c>
      <c r="Y274" s="69" t="s">
        <v>28</v>
      </c>
      <c r="Z274" s="69" t="s">
        <v>29</v>
      </c>
      <c r="AA274" s="4"/>
      <c r="AB274" s="4"/>
      <c r="AC274" s="4"/>
      <c r="AD274" s="70"/>
      <c r="AE274" s="70">
        <f>ワンピース!AG26</f>
        <v>0</v>
      </c>
      <c r="AF274" s="70" t="str">
        <f>ワンピース!R26</f>
        <v>通常</v>
      </c>
      <c r="AG274" s="70">
        <v>0</v>
      </c>
      <c r="AH274" s="6">
        <f xml:space="preserve"> ワンピース!AE26</f>
        <v>0</v>
      </c>
      <c r="AI274">
        <v>1</v>
      </c>
      <c r="AJ274">
        <f>ワンピース!U26</f>
        <v>0</v>
      </c>
    </row>
    <row r="275" spans="1:36" ht="13.5" hidden="1" customHeight="1">
      <c r="A275" s="3" t="str">
        <f>IF(ワンピース!A27="","",ワンピース!A27)</f>
        <v/>
      </c>
      <c r="B275" s="68" t="str">
        <f>IF(ワンピース!B27="","",ワンピース!B27)</f>
        <v/>
      </c>
      <c r="C275" s="3" t="str">
        <f>IF(ワンピース!C27="","",ワンピース!C27)</f>
        <v>◇ ワンピース サイズ レディース E</v>
      </c>
      <c r="D275" s="3" t="str">
        <f>IF(ワンピース!E27="","",ワンピース!E27)</f>
        <v>無</v>
      </c>
      <c r="E275" s="3" t="str">
        <f>IF(ワンピース!AC27="","",ワンピース!AC27)</f>
        <v>ベースW</v>
      </c>
      <c r="F275" s="3" t="str">
        <f>IF(ワンピース!G27="","",ワンピース!G27)</f>
        <v/>
      </c>
      <c r="G275" s="3" t="str">
        <f>IF(ワンピース!H27="","",ワンピース!H27)</f>
        <v/>
      </c>
      <c r="H275" s="3" t="str">
        <f>IF(ワンピース!I27="","",ワンピース!I27)</f>
        <v/>
      </c>
      <c r="I275" s="3" t="str">
        <f>IF(ワンピース!J27="","",ワンピース!J27)</f>
        <v>画像参照</v>
      </c>
      <c r="J275" s="3" t="str">
        <f>IF(ワンピース!K27="","",ワンピース!K27)</f>
        <v/>
      </c>
      <c r="K275" s="3" t="str">
        <f>IF(ワンピース!L27="","",ワンピース!L27)</f>
        <v>サイズ</v>
      </c>
      <c r="L275" s="69" t="s">
        <v>80</v>
      </c>
      <c r="M275" s="69" t="s">
        <v>19</v>
      </c>
      <c r="N275" s="69" t="s">
        <v>20</v>
      </c>
      <c r="O275" s="3" t="str">
        <f xml:space="preserve"> ワンピース!AB27</f>
        <v>着丈：約cm　肩幅：約cm　身幅：約cm　ウエスト：約cm　袖丈：約cm</v>
      </c>
      <c r="P275" s="4" t="s">
        <v>3036</v>
      </c>
      <c r="Q275" s="4" t="s">
        <v>3038</v>
      </c>
      <c r="R275" s="69" t="s">
        <v>22</v>
      </c>
      <c r="S275" s="69" t="s">
        <v>23</v>
      </c>
      <c r="T275" s="69" t="s">
        <v>22</v>
      </c>
      <c r="U275" s="69" t="s">
        <v>24</v>
      </c>
      <c r="V275" s="69" t="s">
        <v>25</v>
      </c>
      <c r="W275" s="69" t="s">
        <v>26</v>
      </c>
      <c r="X275" s="69" t="s">
        <v>27</v>
      </c>
      <c r="Y275" s="69" t="s">
        <v>28</v>
      </c>
      <c r="Z275" s="69" t="s">
        <v>29</v>
      </c>
      <c r="AA275" s="4"/>
      <c r="AB275" s="4"/>
      <c r="AC275" s="4"/>
      <c r="AD275" s="70"/>
      <c r="AE275" s="70">
        <f>ワンピース!AG27</f>
        <v>0</v>
      </c>
      <c r="AF275" s="70" t="str">
        <f>ワンピース!R27</f>
        <v>通常</v>
      </c>
      <c r="AG275" s="70">
        <v>0</v>
      </c>
      <c r="AH275" s="6">
        <f xml:space="preserve"> ワンピース!AE27</f>
        <v>0</v>
      </c>
      <c r="AI275">
        <v>1</v>
      </c>
      <c r="AJ275">
        <f>ワンピース!U27</f>
        <v>0</v>
      </c>
    </row>
    <row r="276" spans="1:36" ht="13.5" hidden="1" customHeight="1">
      <c r="A276" s="3" t="str">
        <f>IF(ワンピース!A28="","",ワンピース!A28)</f>
        <v/>
      </c>
      <c r="B276" s="68" t="str">
        <f>IF(ワンピース!B28="","",ワンピース!B28)</f>
        <v/>
      </c>
      <c r="C276" s="3" t="str">
        <f>IF(ワンピース!C28="","",ワンピース!C28)</f>
        <v>◇ ワンピース サイズ レディース E</v>
      </c>
      <c r="D276" s="3" t="str">
        <f>IF(ワンピース!E28="","",ワンピース!E28)</f>
        <v>無</v>
      </c>
      <c r="E276" s="3" t="str">
        <f>IF(ワンピース!AC28="","",ワンピース!AC28)</f>
        <v>ベースW</v>
      </c>
      <c r="F276" s="3" t="str">
        <f>IF(ワンピース!G28="","",ワンピース!G28)</f>
        <v/>
      </c>
      <c r="G276" s="3" t="str">
        <f>IF(ワンピース!H28="","",ワンピース!H28)</f>
        <v/>
      </c>
      <c r="H276" s="3" t="str">
        <f>IF(ワンピース!I28="","",ワンピース!I28)</f>
        <v/>
      </c>
      <c r="I276" s="3" t="str">
        <f>IF(ワンピース!J28="","",ワンピース!J28)</f>
        <v>画像参照</v>
      </c>
      <c r="J276" s="3" t="str">
        <f>IF(ワンピース!K28="","",ワンピース!K28)</f>
        <v/>
      </c>
      <c r="K276" s="3" t="str">
        <f>IF(ワンピース!L28="","",ワンピース!L28)</f>
        <v>サイズ</v>
      </c>
      <c r="L276" s="69" t="s">
        <v>80</v>
      </c>
      <c r="M276" s="69" t="s">
        <v>19</v>
      </c>
      <c r="N276" s="69" t="s">
        <v>20</v>
      </c>
      <c r="O276" s="3" t="str">
        <f xml:space="preserve"> ワンピース!AB28</f>
        <v>着丈：約cm　肩幅：約cm　身幅：約cm　ウエスト：約cm　袖丈：約cm</v>
      </c>
      <c r="P276" s="4" t="s">
        <v>3036</v>
      </c>
      <c r="Q276" s="4" t="s">
        <v>3038</v>
      </c>
      <c r="R276" s="69" t="s">
        <v>22</v>
      </c>
      <c r="S276" s="69" t="s">
        <v>23</v>
      </c>
      <c r="T276" s="69" t="s">
        <v>22</v>
      </c>
      <c r="U276" s="69" t="s">
        <v>24</v>
      </c>
      <c r="V276" s="69" t="s">
        <v>25</v>
      </c>
      <c r="W276" s="69" t="s">
        <v>26</v>
      </c>
      <c r="X276" s="69" t="s">
        <v>27</v>
      </c>
      <c r="Y276" s="69" t="s">
        <v>28</v>
      </c>
      <c r="Z276" s="69" t="s">
        <v>29</v>
      </c>
      <c r="AA276" s="4"/>
      <c r="AB276" s="4"/>
      <c r="AC276" s="4"/>
      <c r="AD276" s="70"/>
      <c r="AE276" s="70">
        <f>ワンピース!AG28</f>
        <v>0</v>
      </c>
      <c r="AF276" s="70" t="str">
        <f>ワンピース!R28</f>
        <v>通常</v>
      </c>
      <c r="AG276" s="70">
        <v>0</v>
      </c>
      <c r="AH276" s="6">
        <f xml:space="preserve"> ワンピース!AE28</f>
        <v>0</v>
      </c>
      <c r="AI276">
        <v>1</v>
      </c>
      <c r="AJ276">
        <f>ワンピース!U28</f>
        <v>0</v>
      </c>
    </row>
    <row r="277" spans="1:36" ht="13.5" hidden="1" customHeight="1">
      <c r="A277" s="3" t="str">
        <f>IF(ワンピース!A29="","",ワンピース!A29)</f>
        <v/>
      </c>
      <c r="B277" s="68" t="str">
        <f>IF(ワンピース!B29="","",ワンピース!B29)</f>
        <v/>
      </c>
      <c r="C277" s="3" t="str">
        <f>IF(ワンピース!C29="","",ワンピース!C29)</f>
        <v>◇ ワンピース サイズ レディース E</v>
      </c>
      <c r="D277" s="3" t="str">
        <f>IF(ワンピース!E29="","",ワンピース!E29)</f>
        <v>無</v>
      </c>
      <c r="E277" s="3" t="str">
        <f>IF(ワンピース!AC29="","",ワンピース!AC29)</f>
        <v>ベースW</v>
      </c>
      <c r="F277" s="3" t="str">
        <f>IF(ワンピース!G29="","",ワンピース!G29)</f>
        <v/>
      </c>
      <c r="G277" s="3" t="str">
        <f>IF(ワンピース!H29="","",ワンピース!H29)</f>
        <v/>
      </c>
      <c r="H277" s="3" t="str">
        <f>IF(ワンピース!I29="","",ワンピース!I29)</f>
        <v/>
      </c>
      <c r="I277" s="3" t="str">
        <f>IF(ワンピース!J29="","",ワンピース!J29)</f>
        <v>画像参照</v>
      </c>
      <c r="J277" s="3" t="str">
        <f>IF(ワンピース!K29="","",ワンピース!K29)</f>
        <v/>
      </c>
      <c r="K277" s="3" t="str">
        <f>IF(ワンピース!L29="","",ワンピース!L29)</f>
        <v>サイズ</v>
      </c>
      <c r="L277" s="69" t="s">
        <v>80</v>
      </c>
      <c r="M277" s="69" t="s">
        <v>19</v>
      </c>
      <c r="N277" s="69" t="s">
        <v>20</v>
      </c>
      <c r="O277" s="3" t="str">
        <f xml:space="preserve"> ワンピース!AB29</f>
        <v>着丈：約cm　肩幅：約cm　身幅：約cm　ウエスト：約cm　袖丈：約cm</v>
      </c>
      <c r="P277" s="4" t="s">
        <v>3036</v>
      </c>
      <c r="Q277" s="4" t="s">
        <v>3038</v>
      </c>
      <c r="R277" s="69" t="s">
        <v>22</v>
      </c>
      <c r="S277" s="69" t="s">
        <v>23</v>
      </c>
      <c r="T277" s="69" t="s">
        <v>22</v>
      </c>
      <c r="U277" s="69" t="s">
        <v>24</v>
      </c>
      <c r="V277" s="69" t="s">
        <v>25</v>
      </c>
      <c r="W277" s="69" t="s">
        <v>26</v>
      </c>
      <c r="X277" s="69" t="s">
        <v>27</v>
      </c>
      <c r="Y277" s="69" t="s">
        <v>28</v>
      </c>
      <c r="Z277" s="69" t="s">
        <v>29</v>
      </c>
      <c r="AA277" s="4"/>
      <c r="AB277" s="4"/>
      <c r="AC277" s="4"/>
      <c r="AD277" s="70"/>
      <c r="AE277" s="70">
        <f>ワンピース!AG29</f>
        <v>0</v>
      </c>
      <c r="AF277" s="70" t="str">
        <f>ワンピース!R29</f>
        <v>通常</v>
      </c>
      <c r="AG277" s="70">
        <v>0</v>
      </c>
      <c r="AH277" s="6">
        <f xml:space="preserve"> ワンピース!AE29</f>
        <v>0</v>
      </c>
      <c r="AI277">
        <v>1</v>
      </c>
      <c r="AJ277">
        <f>ワンピース!U29</f>
        <v>0</v>
      </c>
    </row>
    <row r="278" spans="1:36" ht="13.5" hidden="1" customHeight="1">
      <c r="A278" s="3" t="str">
        <f>IF(ワンピース!A30="","",ワンピース!A30)</f>
        <v/>
      </c>
      <c r="B278" s="68" t="str">
        <f>IF(ワンピース!B30="","",ワンピース!B30)</f>
        <v/>
      </c>
      <c r="C278" s="3" t="str">
        <f>IF(ワンピース!C30="","",ワンピース!C30)</f>
        <v>◇ ワンピース サイズ レディース E</v>
      </c>
      <c r="D278" s="3" t="str">
        <f>IF(ワンピース!E30="","",ワンピース!E30)</f>
        <v>無</v>
      </c>
      <c r="E278" s="3" t="str">
        <f>IF(ワンピース!AC30="","",ワンピース!AC30)</f>
        <v>ベースW</v>
      </c>
      <c r="F278" s="3" t="str">
        <f>IF(ワンピース!G30="","",ワンピース!G30)</f>
        <v/>
      </c>
      <c r="G278" s="3" t="str">
        <f>IF(ワンピース!H30="","",ワンピース!H30)</f>
        <v/>
      </c>
      <c r="H278" s="3" t="str">
        <f>IF(ワンピース!I30="","",ワンピース!I30)</f>
        <v/>
      </c>
      <c r="I278" s="3" t="str">
        <f>IF(ワンピース!J30="","",ワンピース!J30)</f>
        <v>画像参照</v>
      </c>
      <c r="J278" s="3" t="str">
        <f>IF(ワンピース!K30="","",ワンピース!K30)</f>
        <v/>
      </c>
      <c r="K278" s="3" t="str">
        <f>IF(ワンピース!L30="","",ワンピース!L30)</f>
        <v>サイズ</v>
      </c>
      <c r="L278" s="69" t="s">
        <v>80</v>
      </c>
      <c r="M278" s="69" t="s">
        <v>19</v>
      </c>
      <c r="N278" s="69" t="s">
        <v>20</v>
      </c>
      <c r="O278" s="3" t="str">
        <f xml:space="preserve"> ワンピース!AB30</f>
        <v>着丈：約cm　肩幅：約cm　身幅：約cm　ウエスト：約cm　袖丈：約cm</v>
      </c>
      <c r="P278" s="4" t="s">
        <v>3036</v>
      </c>
      <c r="Q278" s="4" t="s">
        <v>3038</v>
      </c>
      <c r="R278" s="69" t="s">
        <v>22</v>
      </c>
      <c r="S278" s="69" t="s">
        <v>23</v>
      </c>
      <c r="T278" s="69" t="s">
        <v>22</v>
      </c>
      <c r="U278" s="69" t="s">
        <v>24</v>
      </c>
      <c r="V278" s="69" t="s">
        <v>25</v>
      </c>
      <c r="W278" s="69" t="s">
        <v>26</v>
      </c>
      <c r="X278" s="69" t="s">
        <v>27</v>
      </c>
      <c r="Y278" s="69" t="s">
        <v>28</v>
      </c>
      <c r="Z278" s="69" t="s">
        <v>29</v>
      </c>
      <c r="AA278" s="4"/>
      <c r="AB278" s="4"/>
      <c r="AC278" s="4"/>
      <c r="AD278" s="70"/>
      <c r="AE278" s="70">
        <f>ワンピース!AG30</f>
        <v>0</v>
      </c>
      <c r="AF278" s="70" t="str">
        <f>ワンピース!R30</f>
        <v>通常</v>
      </c>
      <c r="AG278" s="70">
        <v>0</v>
      </c>
      <c r="AH278" s="6">
        <f xml:space="preserve"> ワンピース!AE30</f>
        <v>0</v>
      </c>
      <c r="AI278">
        <v>1</v>
      </c>
      <c r="AJ278">
        <f>ワンピース!U30</f>
        <v>0</v>
      </c>
    </row>
    <row r="279" spans="1:36" ht="13.5" hidden="1" customHeight="1">
      <c r="A279" s="3" t="str">
        <f>IF(ワンピース!A31="","",ワンピース!A31)</f>
        <v/>
      </c>
      <c r="B279" s="68" t="str">
        <f>IF(ワンピース!B31="","",ワンピース!B31)</f>
        <v/>
      </c>
      <c r="C279" s="3" t="str">
        <f>IF(ワンピース!C31="","",ワンピース!C31)</f>
        <v>◇ ワンピース サイズ レディース E</v>
      </c>
      <c r="D279" s="3" t="str">
        <f>IF(ワンピース!E31="","",ワンピース!E31)</f>
        <v>無</v>
      </c>
      <c r="E279" s="3" t="str">
        <f>IF(ワンピース!AC31="","",ワンピース!AC31)</f>
        <v>ベースW</v>
      </c>
      <c r="F279" s="3" t="str">
        <f>IF(ワンピース!G31="","",ワンピース!G31)</f>
        <v/>
      </c>
      <c r="G279" s="3" t="str">
        <f>IF(ワンピース!H31="","",ワンピース!H31)</f>
        <v/>
      </c>
      <c r="H279" s="3" t="str">
        <f>IF(ワンピース!I31="","",ワンピース!I31)</f>
        <v/>
      </c>
      <c r="I279" s="3" t="str">
        <f>IF(ワンピース!J31="","",ワンピース!J31)</f>
        <v>画像参照</v>
      </c>
      <c r="J279" s="3" t="str">
        <f>IF(ワンピース!K31="","",ワンピース!K31)</f>
        <v/>
      </c>
      <c r="K279" s="3" t="str">
        <f>IF(ワンピース!L31="","",ワンピース!L31)</f>
        <v>サイズ</v>
      </c>
      <c r="L279" s="69" t="s">
        <v>80</v>
      </c>
      <c r="M279" s="69" t="s">
        <v>19</v>
      </c>
      <c r="N279" s="69" t="s">
        <v>20</v>
      </c>
      <c r="O279" s="3" t="str">
        <f xml:space="preserve"> ワンピース!AB31</f>
        <v>着丈：約cm　肩幅：約cm　身幅：約cm　ウエスト：約cm　袖丈：約cm</v>
      </c>
      <c r="P279" s="4" t="s">
        <v>3036</v>
      </c>
      <c r="Q279" s="4" t="s">
        <v>3038</v>
      </c>
      <c r="R279" s="69" t="s">
        <v>22</v>
      </c>
      <c r="S279" s="69" t="s">
        <v>23</v>
      </c>
      <c r="T279" s="69" t="s">
        <v>22</v>
      </c>
      <c r="U279" s="69" t="s">
        <v>24</v>
      </c>
      <c r="V279" s="69" t="s">
        <v>25</v>
      </c>
      <c r="W279" s="69" t="s">
        <v>26</v>
      </c>
      <c r="X279" s="69" t="s">
        <v>27</v>
      </c>
      <c r="Y279" s="69" t="s">
        <v>28</v>
      </c>
      <c r="Z279" s="69" t="s">
        <v>29</v>
      </c>
      <c r="AA279" s="4"/>
      <c r="AB279" s="4"/>
      <c r="AC279" s="4"/>
      <c r="AD279" s="70"/>
      <c r="AE279" s="70">
        <f>ワンピース!AG31</f>
        <v>0</v>
      </c>
      <c r="AF279" s="70" t="str">
        <f>ワンピース!R31</f>
        <v>通常</v>
      </c>
      <c r="AG279" s="70">
        <v>0</v>
      </c>
      <c r="AH279" s="6">
        <f xml:space="preserve"> ワンピース!AE31</f>
        <v>0</v>
      </c>
      <c r="AI279">
        <v>1</v>
      </c>
      <c r="AJ279">
        <f>ワンピース!U31</f>
        <v>0</v>
      </c>
    </row>
    <row r="280" spans="1:36" ht="13.5" hidden="1" customHeight="1">
      <c r="A280" s="3" t="str">
        <f>IF(ワンピース!A32="","",ワンピース!A32)</f>
        <v/>
      </c>
      <c r="B280" s="68" t="str">
        <f>IF(ワンピース!B32="","",ワンピース!B32)</f>
        <v/>
      </c>
      <c r="C280" s="3" t="str">
        <f>IF(ワンピース!C32="","",ワンピース!C32)</f>
        <v>◇ ワンピース サイズ レディース E</v>
      </c>
      <c r="D280" s="3" t="str">
        <f>IF(ワンピース!E32="","",ワンピース!E32)</f>
        <v>無</v>
      </c>
      <c r="E280" s="3" t="str">
        <f>IF(ワンピース!AC32="","",ワンピース!AC32)</f>
        <v>ベースW</v>
      </c>
      <c r="F280" s="3" t="str">
        <f>IF(ワンピース!G32="","",ワンピース!G32)</f>
        <v/>
      </c>
      <c r="G280" s="3" t="str">
        <f>IF(ワンピース!H32="","",ワンピース!H32)</f>
        <v/>
      </c>
      <c r="H280" s="3" t="str">
        <f>IF(ワンピース!I32="","",ワンピース!I32)</f>
        <v/>
      </c>
      <c r="I280" s="3" t="str">
        <f>IF(ワンピース!J32="","",ワンピース!J32)</f>
        <v>画像参照</v>
      </c>
      <c r="J280" s="3" t="str">
        <f>IF(ワンピース!K32="","",ワンピース!K32)</f>
        <v/>
      </c>
      <c r="K280" s="3" t="str">
        <f>IF(ワンピース!L32="","",ワンピース!L32)</f>
        <v>サイズ</v>
      </c>
      <c r="L280" s="69" t="s">
        <v>80</v>
      </c>
      <c r="M280" s="69" t="s">
        <v>19</v>
      </c>
      <c r="N280" s="69" t="s">
        <v>20</v>
      </c>
      <c r="O280" s="3" t="str">
        <f xml:space="preserve"> ワンピース!AB32</f>
        <v>着丈：約cm　肩幅：約cm　身幅：約cm　ウエスト：約cm　袖丈：約cm</v>
      </c>
      <c r="P280" s="4" t="s">
        <v>3036</v>
      </c>
      <c r="Q280" s="4" t="s">
        <v>3038</v>
      </c>
      <c r="R280" s="69" t="s">
        <v>22</v>
      </c>
      <c r="S280" s="69" t="s">
        <v>23</v>
      </c>
      <c r="T280" s="69" t="s">
        <v>22</v>
      </c>
      <c r="U280" s="69" t="s">
        <v>24</v>
      </c>
      <c r="V280" s="69" t="s">
        <v>25</v>
      </c>
      <c r="W280" s="69" t="s">
        <v>26</v>
      </c>
      <c r="X280" s="69" t="s">
        <v>27</v>
      </c>
      <c r="Y280" s="69" t="s">
        <v>28</v>
      </c>
      <c r="Z280" s="69" t="s">
        <v>29</v>
      </c>
      <c r="AA280" s="4"/>
      <c r="AB280" s="4"/>
      <c r="AC280" s="4"/>
      <c r="AD280" s="70"/>
      <c r="AE280" s="70">
        <f>ワンピース!AG32</f>
        <v>0</v>
      </c>
      <c r="AF280" s="70" t="str">
        <f>ワンピース!R32</f>
        <v>通常</v>
      </c>
      <c r="AG280" s="70">
        <v>0</v>
      </c>
      <c r="AH280" s="6">
        <f xml:space="preserve"> ワンピース!AE32</f>
        <v>0</v>
      </c>
      <c r="AI280">
        <v>1</v>
      </c>
      <c r="AJ280">
        <f>ワンピース!U32</f>
        <v>0</v>
      </c>
    </row>
    <row r="281" spans="1:36" ht="13.5" hidden="1" customHeight="1">
      <c r="A281" s="3" t="str">
        <f>IF(ワンピース!A33="","",ワンピース!A33)</f>
        <v/>
      </c>
      <c r="B281" s="68" t="str">
        <f>IF(ワンピース!B33="","",ワンピース!B33)</f>
        <v/>
      </c>
      <c r="C281" s="3" t="str">
        <f>IF(ワンピース!C33="","",ワンピース!C33)</f>
        <v>◇ ワンピース サイズ レディース E</v>
      </c>
      <c r="D281" s="3" t="str">
        <f>IF(ワンピース!E33="","",ワンピース!E33)</f>
        <v>無</v>
      </c>
      <c r="E281" s="3" t="str">
        <f>IF(ワンピース!AC33="","",ワンピース!AC33)</f>
        <v>ベースW</v>
      </c>
      <c r="F281" s="3" t="str">
        <f>IF(ワンピース!G33="","",ワンピース!G33)</f>
        <v/>
      </c>
      <c r="G281" s="3" t="str">
        <f>IF(ワンピース!H33="","",ワンピース!H33)</f>
        <v/>
      </c>
      <c r="H281" s="3" t="str">
        <f>IF(ワンピース!I33="","",ワンピース!I33)</f>
        <v/>
      </c>
      <c r="I281" s="3" t="str">
        <f>IF(ワンピース!J33="","",ワンピース!J33)</f>
        <v>画像参照</v>
      </c>
      <c r="J281" s="3" t="str">
        <f>IF(ワンピース!K33="","",ワンピース!K33)</f>
        <v/>
      </c>
      <c r="K281" s="3" t="str">
        <f>IF(ワンピース!L33="","",ワンピース!L33)</f>
        <v>サイズ</v>
      </c>
      <c r="L281" s="69" t="s">
        <v>80</v>
      </c>
      <c r="M281" s="69" t="s">
        <v>19</v>
      </c>
      <c r="N281" s="69" t="s">
        <v>20</v>
      </c>
      <c r="O281" s="3" t="str">
        <f xml:space="preserve"> ワンピース!AB33</f>
        <v>着丈：約cm　肩幅：約cm　身幅：約cm　ウエスト：約cm　袖丈：約cm</v>
      </c>
      <c r="P281" s="4" t="s">
        <v>3036</v>
      </c>
      <c r="Q281" s="4" t="s">
        <v>3038</v>
      </c>
      <c r="R281" s="69" t="s">
        <v>22</v>
      </c>
      <c r="S281" s="69" t="s">
        <v>23</v>
      </c>
      <c r="T281" s="69" t="s">
        <v>22</v>
      </c>
      <c r="U281" s="69" t="s">
        <v>24</v>
      </c>
      <c r="V281" s="69" t="s">
        <v>25</v>
      </c>
      <c r="W281" s="69" t="s">
        <v>26</v>
      </c>
      <c r="X281" s="69" t="s">
        <v>27</v>
      </c>
      <c r="Y281" s="69" t="s">
        <v>28</v>
      </c>
      <c r="Z281" s="69" t="s">
        <v>29</v>
      </c>
      <c r="AA281" s="4"/>
      <c r="AB281" s="4"/>
      <c r="AC281" s="4"/>
      <c r="AD281" s="70"/>
      <c r="AE281" s="70">
        <f>ワンピース!AG33</f>
        <v>0</v>
      </c>
      <c r="AF281" s="70" t="str">
        <f>ワンピース!R33</f>
        <v>通常</v>
      </c>
      <c r="AG281" s="70">
        <v>0</v>
      </c>
      <c r="AH281" s="6">
        <f xml:space="preserve"> ワンピース!AE33</f>
        <v>0</v>
      </c>
      <c r="AI281">
        <v>1</v>
      </c>
      <c r="AJ281">
        <f>ワンピース!U33</f>
        <v>0</v>
      </c>
    </row>
    <row r="282" spans="1:36" ht="13.5" hidden="1" customHeight="1">
      <c r="A282" s="3" t="str">
        <f>IF(ワンピース!A34="","",ワンピース!A34)</f>
        <v/>
      </c>
      <c r="B282" s="68" t="str">
        <f>IF(ワンピース!B34="","",ワンピース!B34)</f>
        <v/>
      </c>
      <c r="C282" s="3" t="str">
        <f>IF(ワンピース!C34="","",ワンピース!C34)</f>
        <v>◇ ワンピース サイズ レディース E</v>
      </c>
      <c r="D282" s="3" t="str">
        <f>IF(ワンピース!E34="","",ワンピース!E34)</f>
        <v>無</v>
      </c>
      <c r="E282" s="3" t="str">
        <f>IF(ワンピース!AC34="","",ワンピース!AC34)</f>
        <v>ベースW</v>
      </c>
      <c r="F282" s="3" t="str">
        <f>IF(ワンピース!G34="","",ワンピース!G34)</f>
        <v/>
      </c>
      <c r="G282" s="3" t="str">
        <f>IF(ワンピース!H34="","",ワンピース!H34)</f>
        <v/>
      </c>
      <c r="H282" s="3" t="str">
        <f>IF(ワンピース!I34="","",ワンピース!I34)</f>
        <v/>
      </c>
      <c r="I282" s="3" t="str">
        <f>IF(ワンピース!J34="","",ワンピース!J34)</f>
        <v>画像参照</v>
      </c>
      <c r="J282" s="3" t="str">
        <f>IF(ワンピース!K34="","",ワンピース!K34)</f>
        <v/>
      </c>
      <c r="K282" s="3" t="str">
        <f>IF(ワンピース!L34="","",ワンピース!L34)</f>
        <v>サイズ</v>
      </c>
      <c r="L282" s="69" t="s">
        <v>80</v>
      </c>
      <c r="M282" s="69" t="s">
        <v>19</v>
      </c>
      <c r="N282" s="69" t="s">
        <v>20</v>
      </c>
      <c r="O282" s="3" t="str">
        <f xml:space="preserve"> ワンピース!AB34</f>
        <v>着丈：約cm　肩幅：約cm　身幅：約cm　ウエスト：約cm　袖丈：約cm</v>
      </c>
      <c r="P282" s="4" t="s">
        <v>3036</v>
      </c>
      <c r="Q282" s="4" t="s">
        <v>3038</v>
      </c>
      <c r="R282" s="69" t="s">
        <v>22</v>
      </c>
      <c r="S282" s="69" t="s">
        <v>23</v>
      </c>
      <c r="T282" s="69" t="s">
        <v>22</v>
      </c>
      <c r="U282" s="69" t="s">
        <v>24</v>
      </c>
      <c r="V282" s="69" t="s">
        <v>25</v>
      </c>
      <c r="W282" s="69" t="s">
        <v>26</v>
      </c>
      <c r="X282" s="69" t="s">
        <v>27</v>
      </c>
      <c r="Y282" s="69" t="s">
        <v>28</v>
      </c>
      <c r="Z282" s="69" t="s">
        <v>29</v>
      </c>
      <c r="AA282" s="4"/>
      <c r="AB282" s="4"/>
      <c r="AC282" s="4"/>
      <c r="AD282" s="70"/>
      <c r="AE282" s="70">
        <f>ワンピース!AG34</f>
        <v>0</v>
      </c>
      <c r="AF282" s="70" t="str">
        <f>ワンピース!R34</f>
        <v>通常</v>
      </c>
      <c r="AG282" s="70">
        <v>0</v>
      </c>
      <c r="AH282" s="6">
        <f xml:space="preserve"> ワンピース!AE34</f>
        <v>0</v>
      </c>
      <c r="AI282">
        <v>1</v>
      </c>
      <c r="AJ282">
        <f>ワンピース!U34</f>
        <v>0</v>
      </c>
    </row>
    <row r="283" spans="1:36" ht="13.5" hidden="1" customHeight="1">
      <c r="A283" s="3" t="str">
        <f>IF(ワンピース!A35="","",ワンピース!A35)</f>
        <v/>
      </c>
      <c r="B283" s="68" t="str">
        <f>IF(ワンピース!B35="","",ワンピース!B35)</f>
        <v/>
      </c>
      <c r="C283" s="3" t="str">
        <f>IF(ワンピース!C35="","",ワンピース!C35)</f>
        <v>◇ ワンピース サイズ レディース E</v>
      </c>
      <c r="D283" s="3" t="str">
        <f>IF(ワンピース!E35="","",ワンピース!E35)</f>
        <v>無</v>
      </c>
      <c r="E283" s="3" t="str">
        <f>IF(ワンピース!AC35="","",ワンピース!AC35)</f>
        <v>ベースW</v>
      </c>
      <c r="F283" s="3" t="str">
        <f>IF(ワンピース!G35="","",ワンピース!G35)</f>
        <v/>
      </c>
      <c r="G283" s="3" t="str">
        <f>IF(ワンピース!H35="","",ワンピース!H35)</f>
        <v/>
      </c>
      <c r="H283" s="3" t="str">
        <f>IF(ワンピース!I35="","",ワンピース!I35)</f>
        <v/>
      </c>
      <c r="I283" s="3" t="str">
        <f>IF(ワンピース!J35="","",ワンピース!J35)</f>
        <v>画像参照</v>
      </c>
      <c r="J283" s="3" t="str">
        <f>IF(ワンピース!K35="","",ワンピース!K35)</f>
        <v/>
      </c>
      <c r="K283" s="3" t="str">
        <f>IF(ワンピース!L35="","",ワンピース!L35)</f>
        <v>サイズ</v>
      </c>
      <c r="L283" s="69" t="s">
        <v>80</v>
      </c>
      <c r="M283" s="69" t="s">
        <v>19</v>
      </c>
      <c r="N283" s="69" t="s">
        <v>20</v>
      </c>
      <c r="O283" s="3" t="str">
        <f xml:space="preserve"> ワンピース!AB35</f>
        <v>着丈：約cm　肩幅：約cm　身幅：約cm　ウエスト：約cm　袖丈：約cm</v>
      </c>
      <c r="P283" s="4" t="s">
        <v>3036</v>
      </c>
      <c r="Q283" s="4" t="s">
        <v>3038</v>
      </c>
      <c r="R283" s="69" t="s">
        <v>22</v>
      </c>
      <c r="S283" s="69" t="s">
        <v>23</v>
      </c>
      <c r="T283" s="69" t="s">
        <v>22</v>
      </c>
      <c r="U283" s="69" t="s">
        <v>24</v>
      </c>
      <c r="V283" s="69" t="s">
        <v>25</v>
      </c>
      <c r="W283" s="69" t="s">
        <v>26</v>
      </c>
      <c r="X283" s="69" t="s">
        <v>27</v>
      </c>
      <c r="Y283" s="69" t="s">
        <v>28</v>
      </c>
      <c r="Z283" s="69" t="s">
        <v>29</v>
      </c>
      <c r="AA283" s="4"/>
      <c r="AB283" s="4"/>
      <c r="AC283" s="4"/>
      <c r="AD283" s="70"/>
      <c r="AE283" s="70">
        <f>ワンピース!AG35</f>
        <v>0</v>
      </c>
      <c r="AF283" s="70" t="str">
        <f>ワンピース!R35</f>
        <v>通常</v>
      </c>
      <c r="AG283" s="70">
        <v>0</v>
      </c>
      <c r="AH283" s="6">
        <f xml:space="preserve"> ワンピース!AE35</f>
        <v>0</v>
      </c>
      <c r="AI283">
        <v>1</v>
      </c>
      <c r="AJ283">
        <f>ワンピース!U35</f>
        <v>0</v>
      </c>
    </row>
    <row r="284" spans="1:36" ht="13.5" hidden="1" customHeight="1">
      <c r="A284" s="3" t="str">
        <f>IF(ワンピース!A36="","",ワンピース!A36)</f>
        <v/>
      </c>
      <c r="B284" s="68" t="str">
        <f>IF(ワンピース!B36="","",ワンピース!B36)</f>
        <v/>
      </c>
      <c r="C284" s="3" t="str">
        <f>IF(ワンピース!C36="","",ワンピース!C36)</f>
        <v>◇ ワンピース サイズ レディース E</v>
      </c>
      <c r="D284" s="3" t="str">
        <f>IF(ワンピース!E36="","",ワンピース!E36)</f>
        <v>無</v>
      </c>
      <c r="E284" s="3" t="str">
        <f>IF(ワンピース!AC36="","",ワンピース!AC36)</f>
        <v>ベースW</v>
      </c>
      <c r="F284" s="3" t="str">
        <f>IF(ワンピース!G36="","",ワンピース!G36)</f>
        <v/>
      </c>
      <c r="G284" s="3" t="str">
        <f>IF(ワンピース!H36="","",ワンピース!H36)</f>
        <v/>
      </c>
      <c r="H284" s="3" t="str">
        <f>IF(ワンピース!I36="","",ワンピース!I36)</f>
        <v/>
      </c>
      <c r="I284" s="3" t="str">
        <f>IF(ワンピース!J36="","",ワンピース!J36)</f>
        <v>画像参照</v>
      </c>
      <c r="J284" s="3" t="str">
        <f>IF(ワンピース!K36="","",ワンピース!K36)</f>
        <v/>
      </c>
      <c r="K284" s="3" t="str">
        <f>IF(ワンピース!L36="","",ワンピース!L36)</f>
        <v>サイズ</v>
      </c>
      <c r="L284" s="69" t="s">
        <v>80</v>
      </c>
      <c r="M284" s="69" t="s">
        <v>19</v>
      </c>
      <c r="N284" s="69" t="s">
        <v>20</v>
      </c>
      <c r="O284" s="3" t="str">
        <f xml:space="preserve"> ワンピース!AB36</f>
        <v>着丈：約cm　肩幅：約cm　身幅：約cm　ウエスト：約cm　袖丈：約cm</v>
      </c>
      <c r="P284" s="4" t="s">
        <v>3036</v>
      </c>
      <c r="Q284" s="4" t="s">
        <v>3038</v>
      </c>
      <c r="R284" s="69" t="s">
        <v>22</v>
      </c>
      <c r="S284" s="69" t="s">
        <v>23</v>
      </c>
      <c r="T284" s="69" t="s">
        <v>22</v>
      </c>
      <c r="U284" s="69" t="s">
        <v>24</v>
      </c>
      <c r="V284" s="69" t="s">
        <v>25</v>
      </c>
      <c r="W284" s="69" t="s">
        <v>26</v>
      </c>
      <c r="X284" s="69" t="s">
        <v>27</v>
      </c>
      <c r="Y284" s="69" t="s">
        <v>28</v>
      </c>
      <c r="Z284" s="69" t="s">
        <v>29</v>
      </c>
      <c r="AA284" s="4"/>
      <c r="AB284" s="4"/>
      <c r="AC284" s="4"/>
      <c r="AD284" s="70"/>
      <c r="AE284" s="70">
        <f>ワンピース!AG36</f>
        <v>0</v>
      </c>
      <c r="AF284" s="70" t="str">
        <f>ワンピース!R36</f>
        <v>通常</v>
      </c>
      <c r="AG284" s="70">
        <v>0</v>
      </c>
      <c r="AH284" s="6">
        <f xml:space="preserve"> ワンピース!AE36</f>
        <v>0</v>
      </c>
      <c r="AI284">
        <v>1</v>
      </c>
      <c r="AJ284">
        <f>ワンピース!U36</f>
        <v>0</v>
      </c>
    </row>
    <row r="285" spans="1:36" ht="13.5" hidden="1" customHeight="1">
      <c r="A285" s="3" t="str">
        <f>IF(ワンピース!A37="","",ワンピース!A37)</f>
        <v/>
      </c>
      <c r="B285" s="68" t="str">
        <f>IF(ワンピース!B37="","",ワンピース!B37)</f>
        <v/>
      </c>
      <c r="C285" s="3" t="str">
        <f>IF(ワンピース!C37="","",ワンピース!C37)</f>
        <v>◇ ワンピース サイズ レディース E</v>
      </c>
      <c r="D285" s="3" t="str">
        <f>IF(ワンピース!E37="","",ワンピース!E37)</f>
        <v>無</v>
      </c>
      <c r="E285" s="3" t="str">
        <f>IF(ワンピース!AC37="","",ワンピース!AC37)</f>
        <v>ベースW</v>
      </c>
      <c r="F285" s="3" t="str">
        <f>IF(ワンピース!G37="","",ワンピース!G37)</f>
        <v/>
      </c>
      <c r="G285" s="3" t="str">
        <f>IF(ワンピース!H37="","",ワンピース!H37)</f>
        <v/>
      </c>
      <c r="H285" s="3" t="str">
        <f>IF(ワンピース!I37="","",ワンピース!I37)</f>
        <v/>
      </c>
      <c r="I285" s="3" t="str">
        <f>IF(ワンピース!J37="","",ワンピース!J37)</f>
        <v>画像参照</v>
      </c>
      <c r="J285" s="3" t="str">
        <f>IF(ワンピース!K37="","",ワンピース!K37)</f>
        <v/>
      </c>
      <c r="K285" s="3" t="str">
        <f>IF(ワンピース!L37="","",ワンピース!L37)</f>
        <v>サイズ</v>
      </c>
      <c r="L285" s="69" t="s">
        <v>80</v>
      </c>
      <c r="M285" s="69" t="s">
        <v>19</v>
      </c>
      <c r="N285" s="69" t="s">
        <v>20</v>
      </c>
      <c r="O285" s="3" t="str">
        <f xml:space="preserve"> ワンピース!AB37</f>
        <v>着丈：約cm　肩幅：約cm　身幅：約cm　ウエスト：約cm　袖丈：約cm</v>
      </c>
      <c r="P285" s="4" t="s">
        <v>3036</v>
      </c>
      <c r="Q285" s="4" t="s">
        <v>3038</v>
      </c>
      <c r="R285" s="69" t="s">
        <v>22</v>
      </c>
      <c r="S285" s="69" t="s">
        <v>23</v>
      </c>
      <c r="T285" s="69" t="s">
        <v>22</v>
      </c>
      <c r="U285" s="69" t="s">
        <v>24</v>
      </c>
      <c r="V285" s="69" t="s">
        <v>25</v>
      </c>
      <c r="W285" s="69" t="s">
        <v>26</v>
      </c>
      <c r="X285" s="69" t="s">
        <v>27</v>
      </c>
      <c r="Y285" s="69" t="s">
        <v>28</v>
      </c>
      <c r="Z285" s="69" t="s">
        <v>29</v>
      </c>
      <c r="AA285" s="4"/>
      <c r="AB285" s="4"/>
      <c r="AC285" s="4"/>
      <c r="AD285" s="70"/>
      <c r="AE285" s="70">
        <f>ワンピース!AG37</f>
        <v>0</v>
      </c>
      <c r="AF285" s="70" t="str">
        <f>ワンピース!R37</f>
        <v>通常</v>
      </c>
      <c r="AG285" s="70">
        <v>0</v>
      </c>
      <c r="AH285" s="6">
        <f xml:space="preserve"> ワンピース!AE37</f>
        <v>0</v>
      </c>
      <c r="AI285">
        <v>1</v>
      </c>
      <c r="AJ285">
        <f>ワンピース!U37</f>
        <v>0</v>
      </c>
    </row>
    <row r="286" spans="1:36" ht="13.5" hidden="1" customHeight="1">
      <c r="A286" s="3" t="str">
        <f>IF(ワンピース!A38="","",ワンピース!A38)</f>
        <v/>
      </c>
      <c r="B286" s="68" t="str">
        <f>IF(ワンピース!B38="","",ワンピース!B38)</f>
        <v/>
      </c>
      <c r="C286" s="3" t="str">
        <f>IF(ワンピース!C38="","",ワンピース!C38)</f>
        <v>◇ ワンピース サイズ レディース E</v>
      </c>
      <c r="D286" s="3" t="str">
        <f>IF(ワンピース!E38="","",ワンピース!E38)</f>
        <v>無</v>
      </c>
      <c r="E286" s="3" t="str">
        <f>IF(ワンピース!AC38="","",ワンピース!AC38)</f>
        <v>ベースW</v>
      </c>
      <c r="F286" s="3" t="str">
        <f>IF(ワンピース!G38="","",ワンピース!G38)</f>
        <v/>
      </c>
      <c r="G286" s="3" t="str">
        <f>IF(ワンピース!H38="","",ワンピース!H38)</f>
        <v/>
      </c>
      <c r="H286" s="3" t="str">
        <f>IF(ワンピース!I38="","",ワンピース!I38)</f>
        <v/>
      </c>
      <c r="I286" s="3" t="str">
        <f>IF(ワンピース!J38="","",ワンピース!J38)</f>
        <v>画像参照</v>
      </c>
      <c r="J286" s="3" t="str">
        <f>IF(ワンピース!K38="","",ワンピース!K38)</f>
        <v/>
      </c>
      <c r="K286" s="3" t="str">
        <f>IF(ワンピース!L38="","",ワンピース!L38)</f>
        <v>サイズ</v>
      </c>
      <c r="L286" s="69" t="s">
        <v>80</v>
      </c>
      <c r="M286" s="69" t="s">
        <v>19</v>
      </c>
      <c r="N286" s="69" t="s">
        <v>20</v>
      </c>
      <c r="O286" s="3" t="str">
        <f xml:space="preserve"> ワンピース!AB38</f>
        <v>着丈：約cm　肩幅：約cm　身幅：約cm　ウエスト：約cm　袖丈：約cm</v>
      </c>
      <c r="P286" s="4" t="s">
        <v>3036</v>
      </c>
      <c r="Q286" s="4" t="s">
        <v>3038</v>
      </c>
      <c r="R286" s="69" t="s">
        <v>22</v>
      </c>
      <c r="S286" s="69" t="s">
        <v>23</v>
      </c>
      <c r="T286" s="69" t="s">
        <v>22</v>
      </c>
      <c r="U286" s="69" t="s">
        <v>24</v>
      </c>
      <c r="V286" s="69" t="s">
        <v>25</v>
      </c>
      <c r="W286" s="69" t="s">
        <v>26</v>
      </c>
      <c r="X286" s="69" t="s">
        <v>27</v>
      </c>
      <c r="Y286" s="69" t="s">
        <v>28</v>
      </c>
      <c r="Z286" s="69" t="s">
        <v>29</v>
      </c>
      <c r="AA286" s="4"/>
      <c r="AB286" s="4"/>
      <c r="AC286" s="4"/>
      <c r="AD286" s="70"/>
      <c r="AE286" s="70">
        <f>ワンピース!AG38</f>
        <v>0</v>
      </c>
      <c r="AF286" s="70" t="str">
        <f>ワンピース!R38</f>
        <v>通常</v>
      </c>
      <c r="AG286" s="70">
        <v>0</v>
      </c>
      <c r="AH286" s="6">
        <f xml:space="preserve"> ワンピース!AE38</f>
        <v>0</v>
      </c>
      <c r="AI286">
        <v>1</v>
      </c>
      <c r="AJ286">
        <f>ワンピース!U38</f>
        <v>0</v>
      </c>
    </row>
    <row r="287" spans="1:36" ht="13.5" hidden="1" customHeight="1">
      <c r="A287" s="3" t="str">
        <f>IF(ワンピース!A39="","",ワンピース!A39)</f>
        <v/>
      </c>
      <c r="B287" s="68" t="str">
        <f>IF(ワンピース!B39="","",ワンピース!B39)</f>
        <v/>
      </c>
      <c r="C287" s="3" t="str">
        <f>IF(ワンピース!C39="","",ワンピース!C39)</f>
        <v>◇ ワンピース サイズ レディース E</v>
      </c>
      <c r="D287" s="3" t="str">
        <f>IF(ワンピース!E39="","",ワンピース!E39)</f>
        <v>無</v>
      </c>
      <c r="E287" s="3" t="str">
        <f>IF(ワンピース!AC39="","",ワンピース!AC39)</f>
        <v>ベースW</v>
      </c>
      <c r="F287" s="3" t="str">
        <f>IF(ワンピース!G39="","",ワンピース!G39)</f>
        <v/>
      </c>
      <c r="G287" s="3" t="str">
        <f>IF(ワンピース!H39="","",ワンピース!H39)</f>
        <v/>
      </c>
      <c r="H287" s="3" t="str">
        <f>IF(ワンピース!I39="","",ワンピース!I39)</f>
        <v/>
      </c>
      <c r="I287" s="3" t="str">
        <f>IF(ワンピース!J39="","",ワンピース!J39)</f>
        <v>画像参照</v>
      </c>
      <c r="J287" s="3" t="str">
        <f>IF(ワンピース!K39="","",ワンピース!K39)</f>
        <v/>
      </c>
      <c r="K287" s="3" t="str">
        <f>IF(ワンピース!L39="","",ワンピース!L39)</f>
        <v>サイズ</v>
      </c>
      <c r="L287" s="69" t="s">
        <v>80</v>
      </c>
      <c r="M287" s="69" t="s">
        <v>19</v>
      </c>
      <c r="N287" s="69" t="s">
        <v>20</v>
      </c>
      <c r="O287" s="3" t="str">
        <f xml:space="preserve"> ワンピース!AB39</f>
        <v>着丈：約cm　肩幅：約cm　身幅：約cm　ウエスト：約cm　袖丈：約cm</v>
      </c>
      <c r="P287" s="4" t="s">
        <v>3036</v>
      </c>
      <c r="Q287" s="4" t="s">
        <v>3038</v>
      </c>
      <c r="R287" s="69" t="s">
        <v>22</v>
      </c>
      <c r="S287" s="69" t="s">
        <v>23</v>
      </c>
      <c r="T287" s="69" t="s">
        <v>22</v>
      </c>
      <c r="U287" s="69" t="s">
        <v>24</v>
      </c>
      <c r="V287" s="69" t="s">
        <v>25</v>
      </c>
      <c r="W287" s="69" t="s">
        <v>26</v>
      </c>
      <c r="X287" s="69" t="s">
        <v>27</v>
      </c>
      <c r="Y287" s="69" t="s">
        <v>28</v>
      </c>
      <c r="Z287" s="69" t="s">
        <v>29</v>
      </c>
      <c r="AA287" s="4"/>
      <c r="AB287" s="4"/>
      <c r="AC287" s="4"/>
      <c r="AD287" s="70"/>
      <c r="AE287" s="70">
        <f>ワンピース!AG39</f>
        <v>0</v>
      </c>
      <c r="AF287" s="70" t="str">
        <f>ワンピース!R39</f>
        <v>通常</v>
      </c>
      <c r="AG287" s="70">
        <v>0</v>
      </c>
      <c r="AH287" s="6">
        <f xml:space="preserve"> ワンピース!AE39</f>
        <v>0</v>
      </c>
      <c r="AI287">
        <v>1</v>
      </c>
      <c r="AJ287">
        <f>ワンピース!U39</f>
        <v>0</v>
      </c>
    </row>
    <row r="288" spans="1:36" ht="13.5" hidden="1" customHeight="1">
      <c r="A288" s="3" t="str">
        <f>IF(ワンピース!A40="","",ワンピース!A40)</f>
        <v/>
      </c>
      <c r="B288" s="68" t="str">
        <f>IF(ワンピース!B40="","",ワンピース!B40)</f>
        <v/>
      </c>
      <c r="C288" s="3" t="str">
        <f>IF(ワンピース!C40="","",ワンピース!C40)</f>
        <v>◇ ワンピース サイズ レディース E</v>
      </c>
      <c r="D288" s="3" t="str">
        <f>IF(ワンピース!E40="","",ワンピース!E40)</f>
        <v>無</v>
      </c>
      <c r="E288" s="3" t="str">
        <f>IF(ワンピース!AC40="","",ワンピース!AC40)</f>
        <v>ベースW</v>
      </c>
      <c r="F288" s="3" t="str">
        <f>IF(ワンピース!G40="","",ワンピース!G40)</f>
        <v/>
      </c>
      <c r="G288" s="3" t="str">
        <f>IF(ワンピース!H40="","",ワンピース!H40)</f>
        <v/>
      </c>
      <c r="H288" s="3" t="str">
        <f>IF(ワンピース!I40="","",ワンピース!I40)</f>
        <v/>
      </c>
      <c r="I288" s="3" t="str">
        <f>IF(ワンピース!J40="","",ワンピース!J40)</f>
        <v>画像参照</v>
      </c>
      <c r="J288" s="3" t="str">
        <f>IF(ワンピース!K40="","",ワンピース!K40)</f>
        <v/>
      </c>
      <c r="K288" s="3" t="str">
        <f>IF(ワンピース!L40="","",ワンピース!L40)</f>
        <v>サイズ</v>
      </c>
      <c r="L288" s="69" t="s">
        <v>80</v>
      </c>
      <c r="M288" s="69" t="s">
        <v>19</v>
      </c>
      <c r="N288" s="69" t="s">
        <v>20</v>
      </c>
      <c r="O288" s="3" t="str">
        <f xml:space="preserve"> ワンピース!AB40</f>
        <v>着丈：約cm　肩幅：約cm　身幅：約cm　ウエスト：約cm　袖丈：約cm</v>
      </c>
      <c r="P288" s="4" t="s">
        <v>3036</v>
      </c>
      <c r="Q288" s="4" t="s">
        <v>3038</v>
      </c>
      <c r="R288" s="69" t="s">
        <v>22</v>
      </c>
      <c r="S288" s="69" t="s">
        <v>23</v>
      </c>
      <c r="T288" s="69" t="s">
        <v>22</v>
      </c>
      <c r="U288" s="69" t="s">
        <v>24</v>
      </c>
      <c r="V288" s="69" t="s">
        <v>25</v>
      </c>
      <c r="W288" s="69" t="s">
        <v>26</v>
      </c>
      <c r="X288" s="69" t="s">
        <v>27</v>
      </c>
      <c r="Y288" s="69" t="s">
        <v>28</v>
      </c>
      <c r="Z288" s="69" t="s">
        <v>29</v>
      </c>
      <c r="AA288" s="4"/>
      <c r="AB288" s="4"/>
      <c r="AC288" s="4"/>
      <c r="AD288" s="70"/>
      <c r="AE288" s="70">
        <f>ワンピース!AG40</f>
        <v>0</v>
      </c>
      <c r="AF288" s="70" t="str">
        <f>ワンピース!R40</f>
        <v>通常</v>
      </c>
      <c r="AG288" s="70">
        <v>0</v>
      </c>
      <c r="AH288" s="6">
        <f xml:space="preserve"> ワンピース!AE40</f>
        <v>0</v>
      </c>
      <c r="AI288">
        <v>1</v>
      </c>
      <c r="AJ288">
        <f>ワンピース!U40</f>
        <v>0</v>
      </c>
    </row>
    <row r="289" spans="1:36" ht="13.5" hidden="1" customHeight="1">
      <c r="A289" s="3" t="str">
        <f>IF(ワンピース!A41="","",ワンピース!A41)</f>
        <v/>
      </c>
      <c r="B289" s="68" t="str">
        <f>IF(ワンピース!B41="","",ワンピース!B41)</f>
        <v/>
      </c>
      <c r="C289" s="3" t="str">
        <f>IF(ワンピース!C41="","",ワンピース!C41)</f>
        <v>◇ ワンピース サイズ レディース E</v>
      </c>
      <c r="D289" s="3" t="str">
        <f>IF(ワンピース!E41="","",ワンピース!E41)</f>
        <v>無</v>
      </c>
      <c r="E289" s="3" t="str">
        <f>IF(ワンピース!AC41="","",ワンピース!AC41)</f>
        <v>ベースW</v>
      </c>
      <c r="F289" s="3" t="str">
        <f>IF(ワンピース!G41="","",ワンピース!G41)</f>
        <v/>
      </c>
      <c r="G289" s="3" t="str">
        <f>IF(ワンピース!H41="","",ワンピース!H41)</f>
        <v/>
      </c>
      <c r="H289" s="3" t="str">
        <f>IF(ワンピース!I41="","",ワンピース!I41)</f>
        <v/>
      </c>
      <c r="I289" s="3" t="str">
        <f>IF(ワンピース!J41="","",ワンピース!J41)</f>
        <v>画像参照</v>
      </c>
      <c r="J289" s="3" t="str">
        <f>IF(ワンピース!K41="","",ワンピース!K41)</f>
        <v/>
      </c>
      <c r="K289" s="3" t="str">
        <f>IF(ワンピース!L41="","",ワンピース!L41)</f>
        <v>サイズ</v>
      </c>
      <c r="L289" s="69" t="s">
        <v>80</v>
      </c>
      <c r="M289" s="69" t="s">
        <v>19</v>
      </c>
      <c r="N289" s="69" t="s">
        <v>20</v>
      </c>
      <c r="O289" s="3" t="str">
        <f xml:space="preserve"> ワンピース!AB41</f>
        <v>着丈：約cm　肩幅：約cm　身幅：約cm　ウエスト：約cm　袖丈：約cm</v>
      </c>
      <c r="P289" s="4" t="s">
        <v>3036</v>
      </c>
      <c r="Q289" s="4" t="s">
        <v>3038</v>
      </c>
      <c r="R289" s="69" t="s">
        <v>22</v>
      </c>
      <c r="S289" s="69" t="s">
        <v>23</v>
      </c>
      <c r="T289" s="69" t="s">
        <v>22</v>
      </c>
      <c r="U289" s="69" t="s">
        <v>24</v>
      </c>
      <c r="V289" s="69" t="s">
        <v>25</v>
      </c>
      <c r="W289" s="69" t="s">
        <v>26</v>
      </c>
      <c r="X289" s="69" t="s">
        <v>27</v>
      </c>
      <c r="Y289" s="69" t="s">
        <v>28</v>
      </c>
      <c r="Z289" s="69" t="s">
        <v>29</v>
      </c>
      <c r="AA289" s="4"/>
      <c r="AB289" s="4"/>
      <c r="AC289" s="4"/>
      <c r="AD289" s="70"/>
      <c r="AE289" s="70">
        <f>ワンピース!AG41</f>
        <v>0</v>
      </c>
      <c r="AF289" s="70" t="str">
        <f>ワンピース!R41</f>
        <v>通常</v>
      </c>
      <c r="AG289" s="70">
        <v>0</v>
      </c>
      <c r="AH289" s="6">
        <f xml:space="preserve"> ワンピース!AE41</f>
        <v>0</v>
      </c>
      <c r="AI289">
        <v>1</v>
      </c>
      <c r="AJ289">
        <f>ワンピース!U41</f>
        <v>0</v>
      </c>
    </row>
    <row r="290" spans="1:36" ht="13.5" hidden="1" customHeight="1">
      <c r="A290" s="3" t="str">
        <f>IF(ワンピース!A42="","",ワンピース!A42)</f>
        <v/>
      </c>
      <c r="B290" s="68" t="str">
        <f>IF(ワンピース!B42="","",ワンピース!B42)</f>
        <v/>
      </c>
      <c r="C290" s="3" t="str">
        <f>IF(ワンピース!C42="","",ワンピース!C42)</f>
        <v>◇ ワンピース サイズ レディース E</v>
      </c>
      <c r="D290" s="3" t="str">
        <f>IF(ワンピース!E42="","",ワンピース!E42)</f>
        <v>無</v>
      </c>
      <c r="E290" s="3" t="str">
        <f>IF(ワンピース!AC42="","",ワンピース!AC42)</f>
        <v>ベースW</v>
      </c>
      <c r="F290" s="3" t="str">
        <f>IF(ワンピース!G42="","",ワンピース!G42)</f>
        <v/>
      </c>
      <c r="G290" s="3" t="str">
        <f>IF(ワンピース!H42="","",ワンピース!H42)</f>
        <v/>
      </c>
      <c r="H290" s="3" t="str">
        <f>IF(ワンピース!I42="","",ワンピース!I42)</f>
        <v/>
      </c>
      <c r="I290" s="3" t="str">
        <f>IF(ワンピース!J42="","",ワンピース!J42)</f>
        <v>画像参照</v>
      </c>
      <c r="J290" s="3" t="str">
        <f>IF(ワンピース!K42="","",ワンピース!K42)</f>
        <v/>
      </c>
      <c r="K290" s="3" t="str">
        <f>IF(ワンピース!L42="","",ワンピース!L42)</f>
        <v>サイズ</v>
      </c>
      <c r="L290" s="69" t="s">
        <v>80</v>
      </c>
      <c r="M290" s="69" t="s">
        <v>19</v>
      </c>
      <c r="N290" s="69" t="s">
        <v>20</v>
      </c>
      <c r="O290" s="3" t="str">
        <f xml:space="preserve"> ワンピース!AB42</f>
        <v>着丈：約cm　肩幅：約cm　身幅：約cm　ウエスト：約cm　袖丈：約cm</v>
      </c>
      <c r="P290" s="4" t="s">
        <v>3036</v>
      </c>
      <c r="Q290" s="4" t="s">
        <v>3038</v>
      </c>
      <c r="R290" s="69" t="s">
        <v>22</v>
      </c>
      <c r="S290" s="69" t="s">
        <v>23</v>
      </c>
      <c r="T290" s="69" t="s">
        <v>22</v>
      </c>
      <c r="U290" s="69" t="s">
        <v>24</v>
      </c>
      <c r="V290" s="69" t="s">
        <v>25</v>
      </c>
      <c r="W290" s="69" t="s">
        <v>26</v>
      </c>
      <c r="X290" s="69" t="s">
        <v>27</v>
      </c>
      <c r="Y290" s="69" t="s">
        <v>28</v>
      </c>
      <c r="Z290" s="69" t="s">
        <v>29</v>
      </c>
      <c r="AA290" s="4"/>
      <c r="AB290" s="4"/>
      <c r="AC290" s="4"/>
      <c r="AD290" s="70"/>
      <c r="AE290" s="70">
        <f>ワンピース!AG42</f>
        <v>0</v>
      </c>
      <c r="AF290" s="70" t="str">
        <f>ワンピース!R42</f>
        <v>通常</v>
      </c>
      <c r="AG290" s="70">
        <v>0</v>
      </c>
      <c r="AH290" s="6">
        <f xml:space="preserve"> ワンピース!AE42</f>
        <v>0</v>
      </c>
      <c r="AI290">
        <v>1</v>
      </c>
      <c r="AJ290">
        <f>ワンピース!U42</f>
        <v>0</v>
      </c>
    </row>
    <row r="291" spans="1:36" ht="13.5" hidden="1" customHeight="1">
      <c r="A291" s="3" t="str">
        <f>IF(ワンピース!A43="","",ワンピース!A43)</f>
        <v/>
      </c>
      <c r="B291" s="68" t="str">
        <f>IF(ワンピース!B43="","",ワンピース!B43)</f>
        <v/>
      </c>
      <c r="C291" s="3" t="str">
        <f>IF(ワンピース!C43="","",ワンピース!C43)</f>
        <v>◇ ワンピース サイズ レディース E</v>
      </c>
      <c r="D291" s="3" t="str">
        <f>IF(ワンピース!E43="","",ワンピース!E43)</f>
        <v>無</v>
      </c>
      <c r="E291" s="3" t="str">
        <f>IF(ワンピース!AC43="","",ワンピース!AC43)</f>
        <v>ベースW</v>
      </c>
      <c r="F291" s="3" t="str">
        <f>IF(ワンピース!G43="","",ワンピース!G43)</f>
        <v/>
      </c>
      <c r="G291" s="3" t="str">
        <f>IF(ワンピース!H43="","",ワンピース!H43)</f>
        <v/>
      </c>
      <c r="H291" s="3" t="str">
        <f>IF(ワンピース!I43="","",ワンピース!I43)</f>
        <v/>
      </c>
      <c r="I291" s="3" t="str">
        <f>IF(ワンピース!J43="","",ワンピース!J43)</f>
        <v>画像参照</v>
      </c>
      <c r="J291" s="3" t="str">
        <f>IF(ワンピース!K43="","",ワンピース!K43)</f>
        <v/>
      </c>
      <c r="K291" s="3" t="str">
        <f>IF(ワンピース!L43="","",ワンピース!L43)</f>
        <v>サイズ</v>
      </c>
      <c r="L291" s="69" t="s">
        <v>80</v>
      </c>
      <c r="M291" s="69" t="s">
        <v>19</v>
      </c>
      <c r="N291" s="69" t="s">
        <v>20</v>
      </c>
      <c r="O291" s="3" t="str">
        <f xml:space="preserve"> ワンピース!AB43</f>
        <v>着丈：約cm　肩幅：約cm　身幅：約cm　ウエスト：約cm　袖丈：約cm</v>
      </c>
      <c r="P291" s="4" t="s">
        <v>3036</v>
      </c>
      <c r="Q291" s="4" t="s">
        <v>3038</v>
      </c>
      <c r="R291" s="69" t="s">
        <v>22</v>
      </c>
      <c r="S291" s="69" t="s">
        <v>23</v>
      </c>
      <c r="T291" s="69" t="s">
        <v>22</v>
      </c>
      <c r="U291" s="69" t="s">
        <v>24</v>
      </c>
      <c r="V291" s="69" t="s">
        <v>25</v>
      </c>
      <c r="W291" s="69" t="s">
        <v>26</v>
      </c>
      <c r="X291" s="69" t="s">
        <v>27</v>
      </c>
      <c r="Y291" s="69" t="s">
        <v>28</v>
      </c>
      <c r="Z291" s="69" t="s">
        <v>29</v>
      </c>
      <c r="AA291" s="4"/>
      <c r="AB291" s="4"/>
      <c r="AC291" s="4"/>
      <c r="AD291" s="70"/>
      <c r="AE291" s="70">
        <f>ワンピース!AG43</f>
        <v>0</v>
      </c>
      <c r="AF291" s="70" t="str">
        <f>ワンピース!R43</f>
        <v>通常</v>
      </c>
      <c r="AG291" s="70">
        <v>0</v>
      </c>
      <c r="AH291" s="6">
        <f xml:space="preserve"> ワンピース!AE43</f>
        <v>0</v>
      </c>
      <c r="AI291">
        <v>1</v>
      </c>
      <c r="AJ291">
        <f>ワンピース!U43</f>
        <v>0</v>
      </c>
    </row>
    <row r="292" spans="1:36" ht="13.5" hidden="1" customHeight="1">
      <c r="A292" s="3" t="str">
        <f>IF(ワンピース!A44="","",ワンピース!A44)</f>
        <v/>
      </c>
      <c r="B292" s="68" t="str">
        <f>IF(ワンピース!B44="","",ワンピース!B44)</f>
        <v/>
      </c>
      <c r="C292" s="3" t="str">
        <f>IF(ワンピース!C44="","",ワンピース!C44)</f>
        <v>◇ ワンピース サイズ レディース E</v>
      </c>
      <c r="D292" s="3" t="str">
        <f>IF(ワンピース!E44="","",ワンピース!E44)</f>
        <v>無</v>
      </c>
      <c r="E292" s="3" t="str">
        <f>IF(ワンピース!AC44="","",ワンピース!AC44)</f>
        <v>ベースW</v>
      </c>
      <c r="F292" s="3" t="str">
        <f>IF(ワンピース!G44="","",ワンピース!G44)</f>
        <v/>
      </c>
      <c r="G292" s="3" t="str">
        <f>IF(ワンピース!H44="","",ワンピース!H44)</f>
        <v/>
      </c>
      <c r="H292" s="3" t="str">
        <f>IF(ワンピース!I44="","",ワンピース!I44)</f>
        <v/>
      </c>
      <c r="I292" s="3" t="str">
        <f>IF(ワンピース!J44="","",ワンピース!J44)</f>
        <v>画像参照</v>
      </c>
      <c r="J292" s="3" t="str">
        <f>IF(ワンピース!K44="","",ワンピース!K44)</f>
        <v/>
      </c>
      <c r="K292" s="3" t="str">
        <f>IF(ワンピース!L44="","",ワンピース!L44)</f>
        <v>サイズ</v>
      </c>
      <c r="L292" s="69" t="s">
        <v>80</v>
      </c>
      <c r="M292" s="69" t="s">
        <v>19</v>
      </c>
      <c r="N292" s="69" t="s">
        <v>20</v>
      </c>
      <c r="O292" s="3" t="str">
        <f xml:space="preserve"> ワンピース!AB44</f>
        <v>着丈：約cm　肩幅：約cm　身幅：約cm　ウエスト：約cm　袖丈：約cm</v>
      </c>
      <c r="P292" s="4" t="s">
        <v>3036</v>
      </c>
      <c r="Q292" s="4" t="s">
        <v>3038</v>
      </c>
      <c r="R292" s="69" t="s">
        <v>22</v>
      </c>
      <c r="S292" s="69" t="s">
        <v>23</v>
      </c>
      <c r="T292" s="69" t="s">
        <v>22</v>
      </c>
      <c r="U292" s="69" t="s">
        <v>24</v>
      </c>
      <c r="V292" s="69" t="s">
        <v>25</v>
      </c>
      <c r="W292" s="69" t="s">
        <v>26</v>
      </c>
      <c r="X292" s="69" t="s">
        <v>27</v>
      </c>
      <c r="Y292" s="69" t="s">
        <v>28</v>
      </c>
      <c r="Z292" s="69" t="s">
        <v>29</v>
      </c>
      <c r="AA292" s="4"/>
      <c r="AB292" s="4"/>
      <c r="AC292" s="4"/>
      <c r="AD292" s="70"/>
      <c r="AE292" s="70">
        <f>ワンピース!AG44</f>
        <v>0</v>
      </c>
      <c r="AF292" s="70" t="str">
        <f>ワンピース!R44</f>
        <v>通常</v>
      </c>
      <c r="AG292" s="70">
        <v>0</v>
      </c>
      <c r="AH292" s="6">
        <f xml:space="preserve"> ワンピース!AE44</f>
        <v>0</v>
      </c>
      <c r="AI292">
        <v>1</v>
      </c>
      <c r="AJ292">
        <f>ワンピース!U44</f>
        <v>0</v>
      </c>
    </row>
    <row r="293" spans="1:36" ht="13.5" hidden="1" customHeight="1">
      <c r="A293" s="3" t="str">
        <f>IF(ワンピース!A45="","",ワンピース!A45)</f>
        <v/>
      </c>
      <c r="B293" s="68" t="str">
        <f>IF(ワンピース!B45="","",ワンピース!B45)</f>
        <v/>
      </c>
      <c r="C293" s="3" t="str">
        <f>IF(ワンピース!C45="","",ワンピース!C45)</f>
        <v>◇ ワンピース サイズ レディース E</v>
      </c>
      <c r="D293" s="3" t="str">
        <f>IF(ワンピース!E45="","",ワンピース!E45)</f>
        <v>無</v>
      </c>
      <c r="E293" s="3" t="str">
        <f>IF(ワンピース!AC45="","",ワンピース!AC45)</f>
        <v>ベースW</v>
      </c>
      <c r="F293" s="3" t="str">
        <f>IF(ワンピース!G45="","",ワンピース!G45)</f>
        <v/>
      </c>
      <c r="G293" s="3" t="str">
        <f>IF(ワンピース!H45="","",ワンピース!H45)</f>
        <v/>
      </c>
      <c r="H293" s="3" t="str">
        <f>IF(ワンピース!I45="","",ワンピース!I45)</f>
        <v/>
      </c>
      <c r="I293" s="3" t="str">
        <f>IF(ワンピース!J45="","",ワンピース!J45)</f>
        <v>画像参照</v>
      </c>
      <c r="J293" s="3" t="str">
        <f>IF(ワンピース!K45="","",ワンピース!K45)</f>
        <v/>
      </c>
      <c r="K293" s="3" t="str">
        <f>IF(ワンピース!L45="","",ワンピース!L45)</f>
        <v>サイズ</v>
      </c>
      <c r="L293" s="69" t="s">
        <v>80</v>
      </c>
      <c r="M293" s="69" t="s">
        <v>19</v>
      </c>
      <c r="N293" s="69" t="s">
        <v>20</v>
      </c>
      <c r="O293" s="3" t="str">
        <f xml:space="preserve"> ワンピース!AB45</f>
        <v>着丈：約cm　肩幅：約cm　身幅：約cm　ウエスト：約cm　袖丈：約cm</v>
      </c>
      <c r="P293" s="4" t="s">
        <v>3036</v>
      </c>
      <c r="Q293" s="4" t="s">
        <v>3038</v>
      </c>
      <c r="R293" s="69" t="s">
        <v>22</v>
      </c>
      <c r="S293" s="69" t="s">
        <v>23</v>
      </c>
      <c r="T293" s="69" t="s">
        <v>22</v>
      </c>
      <c r="U293" s="69" t="s">
        <v>24</v>
      </c>
      <c r="V293" s="69" t="s">
        <v>25</v>
      </c>
      <c r="W293" s="69" t="s">
        <v>26</v>
      </c>
      <c r="X293" s="69" t="s">
        <v>27</v>
      </c>
      <c r="Y293" s="69" t="s">
        <v>28</v>
      </c>
      <c r="Z293" s="69" t="s">
        <v>29</v>
      </c>
      <c r="AA293" s="4"/>
      <c r="AB293" s="4"/>
      <c r="AC293" s="4"/>
      <c r="AD293" s="70"/>
      <c r="AE293" s="70">
        <f>ワンピース!AG45</f>
        <v>0</v>
      </c>
      <c r="AF293" s="70" t="str">
        <f>ワンピース!R45</f>
        <v>通常</v>
      </c>
      <c r="AG293" s="70">
        <v>0</v>
      </c>
      <c r="AH293" s="6">
        <f xml:space="preserve"> ワンピース!AE45</f>
        <v>0</v>
      </c>
      <c r="AI293">
        <v>1</v>
      </c>
      <c r="AJ293">
        <f>ワンピース!U45</f>
        <v>0</v>
      </c>
    </row>
    <row r="294" spans="1:36" ht="13.5" hidden="1" customHeight="1">
      <c r="A294" s="3" t="str">
        <f>IF(ワンピース!A46="","",ワンピース!A46)</f>
        <v/>
      </c>
      <c r="B294" s="68" t="str">
        <f>IF(ワンピース!B46="","",ワンピース!B46)</f>
        <v/>
      </c>
      <c r="C294" s="3" t="str">
        <f>IF(ワンピース!C46="","",ワンピース!C46)</f>
        <v>◇ ワンピース サイズ レディース E</v>
      </c>
      <c r="D294" s="3" t="str">
        <f>IF(ワンピース!E46="","",ワンピース!E46)</f>
        <v>無</v>
      </c>
      <c r="E294" s="3" t="str">
        <f>IF(ワンピース!AC46="","",ワンピース!AC46)</f>
        <v>ベースW</v>
      </c>
      <c r="F294" s="3" t="str">
        <f>IF(ワンピース!G46="","",ワンピース!G46)</f>
        <v/>
      </c>
      <c r="G294" s="3" t="str">
        <f>IF(ワンピース!H46="","",ワンピース!H46)</f>
        <v/>
      </c>
      <c r="H294" s="3" t="str">
        <f>IF(ワンピース!I46="","",ワンピース!I46)</f>
        <v/>
      </c>
      <c r="I294" s="3" t="str">
        <f>IF(ワンピース!J46="","",ワンピース!J46)</f>
        <v>画像参照</v>
      </c>
      <c r="J294" s="3" t="str">
        <f>IF(ワンピース!K46="","",ワンピース!K46)</f>
        <v/>
      </c>
      <c r="K294" s="3" t="str">
        <f>IF(ワンピース!L46="","",ワンピース!L46)</f>
        <v>サイズ</v>
      </c>
      <c r="L294" s="69" t="s">
        <v>80</v>
      </c>
      <c r="M294" s="69" t="s">
        <v>19</v>
      </c>
      <c r="N294" s="69" t="s">
        <v>20</v>
      </c>
      <c r="O294" s="3" t="str">
        <f xml:space="preserve"> ワンピース!AB46</f>
        <v>着丈：約cm　肩幅：約cm　身幅：約cm　ウエスト：約cm　袖丈：約cm</v>
      </c>
      <c r="P294" s="4" t="s">
        <v>3036</v>
      </c>
      <c r="Q294" s="4" t="s">
        <v>3038</v>
      </c>
      <c r="R294" s="69" t="s">
        <v>22</v>
      </c>
      <c r="S294" s="69" t="s">
        <v>23</v>
      </c>
      <c r="T294" s="69" t="s">
        <v>22</v>
      </c>
      <c r="U294" s="69" t="s">
        <v>24</v>
      </c>
      <c r="V294" s="69" t="s">
        <v>25</v>
      </c>
      <c r="W294" s="69" t="s">
        <v>26</v>
      </c>
      <c r="X294" s="69" t="s">
        <v>27</v>
      </c>
      <c r="Y294" s="69" t="s">
        <v>28</v>
      </c>
      <c r="Z294" s="69" t="s">
        <v>29</v>
      </c>
      <c r="AA294" s="4"/>
      <c r="AB294" s="4"/>
      <c r="AC294" s="4"/>
      <c r="AD294" s="70"/>
      <c r="AE294" s="70">
        <f>ワンピース!AG46</f>
        <v>0</v>
      </c>
      <c r="AF294" s="70" t="str">
        <f>ワンピース!R46</f>
        <v>通常</v>
      </c>
      <c r="AG294" s="70">
        <v>0</v>
      </c>
      <c r="AH294" s="6">
        <f xml:space="preserve"> ワンピース!AE46</f>
        <v>0</v>
      </c>
      <c r="AI294">
        <v>1</v>
      </c>
      <c r="AJ294">
        <f>ワンピース!U46</f>
        <v>0</v>
      </c>
    </row>
    <row r="295" spans="1:36" ht="13.5" hidden="1" customHeight="1">
      <c r="A295" s="3" t="str">
        <f>IF(ワンピース!A47="","",ワンピース!A47)</f>
        <v/>
      </c>
      <c r="B295" s="68" t="str">
        <f>IF(ワンピース!B47="","",ワンピース!B47)</f>
        <v/>
      </c>
      <c r="C295" s="3" t="str">
        <f>IF(ワンピース!C47="","",ワンピース!C47)</f>
        <v>◇ ワンピース サイズ レディース E</v>
      </c>
      <c r="D295" s="3" t="str">
        <f>IF(ワンピース!E47="","",ワンピース!E47)</f>
        <v>無</v>
      </c>
      <c r="E295" s="3" t="str">
        <f>IF(ワンピース!AC47="","",ワンピース!AC47)</f>
        <v>ベースW</v>
      </c>
      <c r="F295" s="3" t="str">
        <f>IF(ワンピース!G47="","",ワンピース!G47)</f>
        <v/>
      </c>
      <c r="G295" s="3" t="str">
        <f>IF(ワンピース!H47="","",ワンピース!H47)</f>
        <v/>
      </c>
      <c r="H295" s="3" t="str">
        <f>IF(ワンピース!I47="","",ワンピース!I47)</f>
        <v/>
      </c>
      <c r="I295" s="3" t="str">
        <f>IF(ワンピース!J47="","",ワンピース!J47)</f>
        <v>画像参照</v>
      </c>
      <c r="J295" s="3" t="str">
        <f>IF(ワンピース!K47="","",ワンピース!K47)</f>
        <v/>
      </c>
      <c r="K295" s="3" t="str">
        <f>IF(ワンピース!L47="","",ワンピース!L47)</f>
        <v>サイズ</v>
      </c>
      <c r="L295" s="69" t="s">
        <v>80</v>
      </c>
      <c r="M295" s="69" t="s">
        <v>19</v>
      </c>
      <c r="N295" s="69" t="s">
        <v>20</v>
      </c>
      <c r="O295" s="3" t="str">
        <f xml:space="preserve"> ワンピース!AB47</f>
        <v>着丈：約cm　肩幅：約cm　身幅：約cm　ウエスト：約cm　袖丈：約cm</v>
      </c>
      <c r="P295" s="4" t="s">
        <v>3036</v>
      </c>
      <c r="Q295" s="4" t="s">
        <v>3038</v>
      </c>
      <c r="R295" s="69" t="s">
        <v>22</v>
      </c>
      <c r="S295" s="69" t="s">
        <v>23</v>
      </c>
      <c r="T295" s="69" t="s">
        <v>22</v>
      </c>
      <c r="U295" s="69" t="s">
        <v>24</v>
      </c>
      <c r="V295" s="69" t="s">
        <v>25</v>
      </c>
      <c r="W295" s="69" t="s">
        <v>26</v>
      </c>
      <c r="X295" s="69" t="s">
        <v>27</v>
      </c>
      <c r="Y295" s="69" t="s">
        <v>28</v>
      </c>
      <c r="Z295" s="69" t="s">
        <v>29</v>
      </c>
      <c r="AA295" s="4"/>
      <c r="AB295" s="4"/>
      <c r="AC295" s="4"/>
      <c r="AD295" s="70"/>
      <c r="AE295" s="70">
        <f>ワンピース!AG47</f>
        <v>0</v>
      </c>
      <c r="AF295" s="70" t="str">
        <f>ワンピース!R47</f>
        <v>通常</v>
      </c>
      <c r="AG295" s="70">
        <v>0</v>
      </c>
      <c r="AH295" s="6">
        <f xml:space="preserve"> ワンピース!AE47</f>
        <v>0</v>
      </c>
      <c r="AI295">
        <v>1</v>
      </c>
      <c r="AJ295">
        <f>ワンピース!U47</f>
        <v>0</v>
      </c>
    </row>
    <row r="296" spans="1:36" ht="13.5" hidden="1" customHeight="1">
      <c r="A296" s="3" t="str">
        <f>IF(ワンピース!A48="","",ワンピース!A48)</f>
        <v/>
      </c>
      <c r="B296" s="68" t="str">
        <f>IF(ワンピース!B48="","",ワンピース!B48)</f>
        <v/>
      </c>
      <c r="C296" s="3" t="str">
        <f>IF(ワンピース!C48="","",ワンピース!C48)</f>
        <v>◇ ワンピース サイズ レディース E</v>
      </c>
      <c r="D296" s="3" t="str">
        <f>IF(ワンピース!E48="","",ワンピース!E48)</f>
        <v>無</v>
      </c>
      <c r="E296" s="3" t="str">
        <f>IF(ワンピース!AC48="","",ワンピース!AC48)</f>
        <v>ベースW</v>
      </c>
      <c r="F296" s="3" t="str">
        <f>IF(ワンピース!G48="","",ワンピース!G48)</f>
        <v/>
      </c>
      <c r="G296" s="3" t="str">
        <f>IF(ワンピース!H48="","",ワンピース!H48)</f>
        <v/>
      </c>
      <c r="H296" s="3" t="str">
        <f>IF(ワンピース!I48="","",ワンピース!I48)</f>
        <v/>
      </c>
      <c r="I296" s="3" t="str">
        <f>IF(ワンピース!J48="","",ワンピース!J48)</f>
        <v>画像参照</v>
      </c>
      <c r="J296" s="3" t="str">
        <f>IF(ワンピース!K48="","",ワンピース!K48)</f>
        <v/>
      </c>
      <c r="K296" s="3" t="str">
        <f>IF(ワンピース!L48="","",ワンピース!L48)</f>
        <v>サイズ</v>
      </c>
      <c r="L296" s="69" t="s">
        <v>80</v>
      </c>
      <c r="M296" s="69" t="s">
        <v>19</v>
      </c>
      <c r="N296" s="69" t="s">
        <v>20</v>
      </c>
      <c r="O296" s="3" t="str">
        <f xml:space="preserve"> ワンピース!AB48</f>
        <v>着丈：約cm　肩幅：約cm　身幅：約cm　ウエスト：約cm　袖丈：約cm</v>
      </c>
      <c r="P296" s="4" t="s">
        <v>3036</v>
      </c>
      <c r="Q296" s="4" t="s">
        <v>3038</v>
      </c>
      <c r="R296" s="69" t="s">
        <v>22</v>
      </c>
      <c r="S296" s="69" t="s">
        <v>23</v>
      </c>
      <c r="T296" s="69" t="s">
        <v>22</v>
      </c>
      <c r="U296" s="69" t="s">
        <v>24</v>
      </c>
      <c r="V296" s="69" t="s">
        <v>25</v>
      </c>
      <c r="W296" s="69" t="s">
        <v>26</v>
      </c>
      <c r="X296" s="69" t="s">
        <v>27</v>
      </c>
      <c r="Y296" s="69" t="s">
        <v>28</v>
      </c>
      <c r="Z296" s="69" t="s">
        <v>29</v>
      </c>
      <c r="AA296" s="4"/>
      <c r="AB296" s="4"/>
      <c r="AC296" s="4"/>
      <c r="AD296" s="70"/>
      <c r="AE296" s="70">
        <f>ワンピース!AG48</f>
        <v>0</v>
      </c>
      <c r="AF296" s="70" t="str">
        <f>ワンピース!R48</f>
        <v>通常</v>
      </c>
      <c r="AG296" s="70">
        <v>0</v>
      </c>
      <c r="AH296" s="6">
        <f xml:space="preserve"> ワンピース!AE48</f>
        <v>0</v>
      </c>
      <c r="AI296">
        <v>1</v>
      </c>
      <c r="AJ296">
        <f>ワンピース!U48</f>
        <v>0</v>
      </c>
    </row>
    <row r="297" spans="1:36" ht="13.5" hidden="1" customHeight="1">
      <c r="A297" s="3" t="str">
        <f>IF(ワンピース!A49="","",ワンピース!A49)</f>
        <v/>
      </c>
      <c r="B297" s="68" t="str">
        <f>IF(ワンピース!B49="","",ワンピース!B49)</f>
        <v/>
      </c>
      <c r="C297" s="3" t="str">
        <f>IF(ワンピース!C49="","",ワンピース!C49)</f>
        <v>◇ ワンピース サイズ レディース E</v>
      </c>
      <c r="D297" s="3" t="str">
        <f>IF(ワンピース!E49="","",ワンピース!E49)</f>
        <v>無</v>
      </c>
      <c r="E297" s="3" t="str">
        <f>IF(ワンピース!AC49="","",ワンピース!AC49)</f>
        <v>ベースW</v>
      </c>
      <c r="F297" s="3" t="str">
        <f>IF(ワンピース!G49="","",ワンピース!G49)</f>
        <v/>
      </c>
      <c r="G297" s="3" t="str">
        <f>IF(ワンピース!H49="","",ワンピース!H49)</f>
        <v/>
      </c>
      <c r="H297" s="3" t="str">
        <f>IF(ワンピース!I49="","",ワンピース!I49)</f>
        <v/>
      </c>
      <c r="I297" s="3" t="str">
        <f>IF(ワンピース!J49="","",ワンピース!J49)</f>
        <v>画像参照</v>
      </c>
      <c r="J297" s="3" t="str">
        <f>IF(ワンピース!K49="","",ワンピース!K49)</f>
        <v/>
      </c>
      <c r="K297" s="3" t="str">
        <f>IF(ワンピース!L49="","",ワンピース!L49)</f>
        <v>サイズ</v>
      </c>
      <c r="L297" s="69" t="s">
        <v>80</v>
      </c>
      <c r="M297" s="69" t="s">
        <v>19</v>
      </c>
      <c r="N297" s="69" t="s">
        <v>20</v>
      </c>
      <c r="O297" s="3" t="str">
        <f xml:space="preserve"> ワンピース!AB49</f>
        <v>着丈：約cm　肩幅：約cm　身幅：約cm　ウエスト：約cm　袖丈：約cm</v>
      </c>
      <c r="P297" s="4" t="s">
        <v>3036</v>
      </c>
      <c r="Q297" s="4" t="s">
        <v>3038</v>
      </c>
      <c r="R297" s="69" t="s">
        <v>22</v>
      </c>
      <c r="S297" s="69" t="s">
        <v>23</v>
      </c>
      <c r="T297" s="69" t="s">
        <v>22</v>
      </c>
      <c r="U297" s="69" t="s">
        <v>24</v>
      </c>
      <c r="V297" s="69" t="s">
        <v>25</v>
      </c>
      <c r="W297" s="69" t="s">
        <v>26</v>
      </c>
      <c r="X297" s="69" t="s">
        <v>27</v>
      </c>
      <c r="Y297" s="69" t="s">
        <v>28</v>
      </c>
      <c r="Z297" s="69" t="s">
        <v>29</v>
      </c>
      <c r="AA297" s="4"/>
      <c r="AB297" s="4"/>
      <c r="AC297" s="4"/>
      <c r="AD297" s="70"/>
      <c r="AE297" s="70">
        <f>ワンピース!AG49</f>
        <v>0</v>
      </c>
      <c r="AF297" s="70" t="str">
        <f>ワンピース!R49</f>
        <v>通常</v>
      </c>
      <c r="AG297" s="70">
        <v>0</v>
      </c>
      <c r="AH297" s="6">
        <f xml:space="preserve"> ワンピース!AE49</f>
        <v>0</v>
      </c>
      <c r="AI297">
        <v>1</v>
      </c>
      <c r="AJ297">
        <f>ワンピース!U49</f>
        <v>0</v>
      </c>
    </row>
    <row r="298" spans="1:36" ht="13.5" hidden="1" customHeight="1">
      <c r="A298" s="3" t="str">
        <f>IF(ワンピース!A50="","",ワンピース!A50)</f>
        <v/>
      </c>
      <c r="B298" s="68" t="str">
        <f>IF(ワンピース!B50="","",ワンピース!B50)</f>
        <v/>
      </c>
      <c r="C298" s="3" t="str">
        <f>IF(ワンピース!C50="","",ワンピース!C50)</f>
        <v>◇ ワンピース サイズ レディース E</v>
      </c>
      <c r="D298" s="3" t="str">
        <f>IF(ワンピース!E50="","",ワンピース!E50)</f>
        <v>無</v>
      </c>
      <c r="E298" s="3" t="str">
        <f>IF(ワンピース!AC50="","",ワンピース!AC50)</f>
        <v>ベースW</v>
      </c>
      <c r="F298" s="3" t="str">
        <f>IF(ワンピース!G50="","",ワンピース!G50)</f>
        <v/>
      </c>
      <c r="G298" s="3" t="str">
        <f>IF(ワンピース!H50="","",ワンピース!H50)</f>
        <v/>
      </c>
      <c r="H298" s="3" t="str">
        <f>IF(ワンピース!I50="","",ワンピース!I50)</f>
        <v/>
      </c>
      <c r="I298" s="3" t="str">
        <f>IF(ワンピース!J50="","",ワンピース!J50)</f>
        <v>画像参照</v>
      </c>
      <c r="J298" s="3" t="str">
        <f>IF(ワンピース!K50="","",ワンピース!K50)</f>
        <v/>
      </c>
      <c r="K298" s="3" t="str">
        <f>IF(ワンピース!L50="","",ワンピース!L50)</f>
        <v>サイズ</v>
      </c>
      <c r="L298" s="69" t="s">
        <v>80</v>
      </c>
      <c r="M298" s="69" t="s">
        <v>19</v>
      </c>
      <c r="N298" s="69" t="s">
        <v>20</v>
      </c>
      <c r="O298" s="3" t="str">
        <f xml:space="preserve"> ワンピース!AB50</f>
        <v>着丈：約cm　肩幅：約cm　身幅：約cm　ウエスト：約cm　袖丈：約cm</v>
      </c>
      <c r="P298" s="4" t="s">
        <v>3036</v>
      </c>
      <c r="Q298" s="4" t="s">
        <v>3038</v>
      </c>
      <c r="R298" s="69" t="s">
        <v>22</v>
      </c>
      <c r="S298" s="69" t="s">
        <v>23</v>
      </c>
      <c r="T298" s="69" t="s">
        <v>22</v>
      </c>
      <c r="U298" s="69" t="s">
        <v>24</v>
      </c>
      <c r="V298" s="69" t="s">
        <v>25</v>
      </c>
      <c r="W298" s="69" t="s">
        <v>26</v>
      </c>
      <c r="X298" s="69" t="s">
        <v>27</v>
      </c>
      <c r="Y298" s="69" t="s">
        <v>28</v>
      </c>
      <c r="Z298" s="69" t="s">
        <v>29</v>
      </c>
      <c r="AA298" s="4"/>
      <c r="AB298" s="4"/>
      <c r="AC298" s="4"/>
      <c r="AD298" s="70"/>
      <c r="AE298" s="70">
        <f>ワンピース!AG50</f>
        <v>0</v>
      </c>
      <c r="AF298" s="70" t="str">
        <f>ワンピース!R50</f>
        <v>通常</v>
      </c>
      <c r="AG298" s="70">
        <v>0</v>
      </c>
      <c r="AH298" s="6">
        <f xml:space="preserve"> ワンピース!AE50</f>
        <v>0</v>
      </c>
      <c r="AI298">
        <v>1</v>
      </c>
      <c r="AJ298">
        <f>ワンピース!U50</f>
        <v>0</v>
      </c>
    </row>
    <row r="299" spans="1:36" ht="13.5" hidden="1" customHeight="1">
      <c r="A299" s="3" t="str">
        <f>IF(ワンピース!A51="","",ワンピース!A51)</f>
        <v/>
      </c>
      <c r="B299" s="68" t="str">
        <f>IF(ワンピース!B51="","",ワンピース!B51)</f>
        <v/>
      </c>
      <c r="C299" s="3" t="str">
        <f>IF(ワンピース!C51="","",ワンピース!C51)</f>
        <v>◇ ワンピース サイズ レディース E</v>
      </c>
      <c r="D299" s="3" t="str">
        <f>IF(ワンピース!E51="","",ワンピース!E51)</f>
        <v>無</v>
      </c>
      <c r="E299" s="3" t="str">
        <f>IF(ワンピース!AC51="","",ワンピース!AC51)</f>
        <v>ベースW</v>
      </c>
      <c r="F299" s="3" t="str">
        <f>IF(ワンピース!G51="","",ワンピース!G51)</f>
        <v/>
      </c>
      <c r="G299" s="3" t="str">
        <f>IF(ワンピース!H51="","",ワンピース!H51)</f>
        <v/>
      </c>
      <c r="H299" s="3" t="str">
        <f>IF(ワンピース!I51="","",ワンピース!I51)</f>
        <v/>
      </c>
      <c r="I299" s="3" t="str">
        <f>IF(ワンピース!J51="","",ワンピース!J51)</f>
        <v>画像参照</v>
      </c>
      <c r="J299" s="3" t="str">
        <f>IF(ワンピース!K51="","",ワンピース!K51)</f>
        <v/>
      </c>
      <c r="K299" s="3" t="str">
        <f>IF(ワンピース!L51="","",ワンピース!L51)</f>
        <v>サイズ</v>
      </c>
      <c r="L299" s="69" t="s">
        <v>80</v>
      </c>
      <c r="M299" s="69" t="s">
        <v>19</v>
      </c>
      <c r="N299" s="69" t="s">
        <v>20</v>
      </c>
      <c r="O299" s="3" t="str">
        <f xml:space="preserve"> ワンピース!AB51</f>
        <v>着丈：約cm　肩幅：約cm　身幅：約cm　ウエスト：約cm　袖丈：約cm</v>
      </c>
      <c r="P299" s="4" t="s">
        <v>3036</v>
      </c>
      <c r="Q299" s="4" t="s">
        <v>3038</v>
      </c>
      <c r="R299" s="69" t="s">
        <v>22</v>
      </c>
      <c r="S299" s="69" t="s">
        <v>23</v>
      </c>
      <c r="T299" s="69" t="s">
        <v>22</v>
      </c>
      <c r="U299" s="69" t="s">
        <v>24</v>
      </c>
      <c r="V299" s="69" t="s">
        <v>25</v>
      </c>
      <c r="W299" s="69" t="s">
        <v>26</v>
      </c>
      <c r="X299" s="69" t="s">
        <v>27</v>
      </c>
      <c r="Y299" s="69" t="s">
        <v>28</v>
      </c>
      <c r="Z299" s="69" t="s">
        <v>29</v>
      </c>
      <c r="AA299" s="4"/>
      <c r="AB299" s="4"/>
      <c r="AC299" s="4"/>
      <c r="AD299" s="70"/>
      <c r="AE299" s="70">
        <f>ワンピース!AG51</f>
        <v>0</v>
      </c>
      <c r="AF299" s="70" t="str">
        <f>ワンピース!R51</f>
        <v>通常</v>
      </c>
      <c r="AG299" s="70">
        <v>0</v>
      </c>
      <c r="AH299" s="6">
        <f xml:space="preserve"> ワンピース!AE51</f>
        <v>0</v>
      </c>
      <c r="AI299">
        <v>1</v>
      </c>
      <c r="AJ299">
        <f>ワンピース!U51</f>
        <v>0</v>
      </c>
    </row>
    <row r="300" spans="1:36" ht="13.5" hidden="1" customHeight="1">
      <c r="A300" s="3" t="str">
        <f>IF(オールインワン!A2="","",オールインワン!A2)</f>
        <v/>
      </c>
      <c r="B300" s="68" t="str">
        <f>IF(オールインワン!B2="","",オールインワン!B2)</f>
        <v/>
      </c>
      <c r="C300" s="3" t="str">
        <f>IF(オールインワン!C2="","",オールインワン!C2)</f>
        <v>◇ サイズ E</v>
      </c>
      <c r="D300" s="3" t="str">
        <f>IF(オールインワン!E2="","",オールインワン!E2)</f>
        <v>無</v>
      </c>
      <c r="E300" s="3" t="str">
        <f>IF(オールインワン!AF2="","",オールインワン!AF2)</f>
        <v>ベースW</v>
      </c>
      <c r="F300" s="3" t="str">
        <f>IF(オールインワン!G2="","",オールインワン!G2)</f>
        <v/>
      </c>
      <c r="G300" s="3" t="str">
        <f>IF(オールインワン!H2="","",オールインワン!H2)</f>
        <v/>
      </c>
      <c r="H300" s="3" t="str">
        <f>IF(オールインワン!I2="","",オールインワン!I2)</f>
        <v/>
      </c>
      <c r="I300" s="3" t="str">
        <f>IF(オールインワン!J2="","",オールインワン!J2)</f>
        <v>画像参照</v>
      </c>
      <c r="J300" s="3" t="str">
        <f>IF(オールインワン!K2="","",オールインワン!K2)</f>
        <v/>
      </c>
      <c r="K300" s="3" t="str">
        <f>IF(オールインワン!L2="","",オールインワン!L2)</f>
        <v>サイズ</v>
      </c>
      <c r="L300" s="69" t="s">
        <v>80</v>
      </c>
      <c r="M300" s="69" t="s">
        <v>19</v>
      </c>
      <c r="N300" s="69" t="s">
        <v>20</v>
      </c>
      <c r="O300" s="3" t="str">
        <f xml:space="preserve"> オールインワン!AE2</f>
        <v>総丈：約cm　肩幅：約cm　身幅：約cm　袖丈：約cm 股上：約cm 股下：約cm ウエスト：約cm もも幅：約cm 裾幅：約cm</v>
      </c>
      <c r="P300" s="4" t="s">
        <v>3036</v>
      </c>
      <c r="Q300" s="4" t="s">
        <v>3038</v>
      </c>
      <c r="R300" s="69" t="s">
        <v>22</v>
      </c>
      <c r="S300" s="69" t="s">
        <v>23</v>
      </c>
      <c r="T300" s="69" t="s">
        <v>22</v>
      </c>
      <c r="U300" s="69" t="s">
        <v>24</v>
      </c>
      <c r="V300" s="69" t="s">
        <v>25</v>
      </c>
      <c r="W300" s="69" t="s">
        <v>26</v>
      </c>
      <c r="X300" s="69" t="s">
        <v>27</v>
      </c>
      <c r="Y300" s="69" t="s">
        <v>28</v>
      </c>
      <c r="Z300" s="69" t="s">
        <v>29</v>
      </c>
      <c r="AA300" s="4"/>
      <c r="AB300" s="4"/>
      <c r="AC300" s="4"/>
      <c r="AD300" s="70"/>
      <c r="AE300" s="70">
        <f>オールインワン!AJ2</f>
        <v>0</v>
      </c>
      <c r="AF300" s="70" t="str">
        <f>オールインワン!V2</f>
        <v>通常</v>
      </c>
      <c r="AG300" s="70">
        <v>0</v>
      </c>
      <c r="AH300" s="6">
        <f xml:space="preserve"> オールインワン!AH2</f>
        <v>0</v>
      </c>
      <c r="AI300">
        <v>1</v>
      </c>
      <c r="AJ300">
        <f>オールインワン!Y2</f>
        <v>0</v>
      </c>
    </row>
    <row r="301" spans="1:36" ht="13.5" hidden="1" customHeight="1">
      <c r="A301" s="3" t="str">
        <f>IF(オールインワン!A3="","",オールインワン!A3)</f>
        <v/>
      </c>
      <c r="B301" s="68" t="str">
        <f>IF(オールインワン!B3="","",オールインワン!B3)</f>
        <v/>
      </c>
      <c r="C301" s="3" t="str">
        <f>IF(オールインワン!C3="","",オールインワン!C3)</f>
        <v>◇ サイズ E</v>
      </c>
      <c r="D301" s="3" t="str">
        <f>IF(オールインワン!E3="","",オールインワン!E3)</f>
        <v>無</v>
      </c>
      <c r="E301" s="3" t="str">
        <f>IF(オールインワン!AF3="","",オールインワン!AF3)</f>
        <v>ベースW</v>
      </c>
      <c r="F301" s="3" t="str">
        <f>IF(オールインワン!G3="","",オールインワン!G3)</f>
        <v/>
      </c>
      <c r="G301" s="3" t="str">
        <f>IF(オールインワン!H3="","",オールインワン!H3)</f>
        <v/>
      </c>
      <c r="H301" s="3" t="str">
        <f>IF(オールインワン!I3="","",オールインワン!I3)</f>
        <v/>
      </c>
      <c r="I301" s="3" t="str">
        <f>IF(オールインワン!J3="","",オールインワン!J3)</f>
        <v>画像参照</v>
      </c>
      <c r="J301" s="3" t="str">
        <f>IF(オールインワン!K3="","",オールインワン!K3)</f>
        <v/>
      </c>
      <c r="K301" s="3" t="str">
        <f>IF(オールインワン!L3="","",オールインワン!L3)</f>
        <v>サイズ</v>
      </c>
      <c r="L301" s="69" t="s">
        <v>80</v>
      </c>
      <c r="M301" s="69" t="s">
        <v>19</v>
      </c>
      <c r="N301" s="69" t="s">
        <v>20</v>
      </c>
      <c r="O301" s="3" t="str">
        <f xml:space="preserve"> オールインワン!AE3</f>
        <v>総丈：約cm　肩幅：約cm　身幅：約cm　袖丈：約cm 股上：約cm 股下：約cm ウエスト：約cm もも幅：約cm 裾幅：約cm</v>
      </c>
      <c r="P301" s="4" t="s">
        <v>3036</v>
      </c>
      <c r="Q301" s="4" t="s">
        <v>3038</v>
      </c>
      <c r="R301" s="69" t="s">
        <v>22</v>
      </c>
      <c r="S301" s="69" t="s">
        <v>23</v>
      </c>
      <c r="T301" s="69" t="s">
        <v>22</v>
      </c>
      <c r="U301" s="69" t="s">
        <v>24</v>
      </c>
      <c r="V301" s="69" t="s">
        <v>25</v>
      </c>
      <c r="W301" s="69" t="s">
        <v>26</v>
      </c>
      <c r="X301" s="69" t="s">
        <v>27</v>
      </c>
      <c r="Y301" s="69" t="s">
        <v>28</v>
      </c>
      <c r="Z301" s="69" t="s">
        <v>29</v>
      </c>
      <c r="AA301" s="4"/>
      <c r="AB301" s="4"/>
      <c r="AC301" s="4"/>
      <c r="AD301" s="70"/>
      <c r="AE301" s="70">
        <f>オールインワン!AJ3</f>
        <v>0</v>
      </c>
      <c r="AF301" s="70" t="str">
        <f>オールインワン!V3</f>
        <v>通常</v>
      </c>
      <c r="AG301" s="70">
        <v>0</v>
      </c>
      <c r="AH301" s="6">
        <f xml:space="preserve"> オールインワン!AH3</f>
        <v>0</v>
      </c>
      <c r="AI301">
        <v>1</v>
      </c>
      <c r="AJ301">
        <f>オールインワン!Y3</f>
        <v>0</v>
      </c>
    </row>
    <row r="302" spans="1:36" ht="13.5" hidden="1" customHeight="1">
      <c r="A302" s="3" t="str">
        <f>IF(オールインワン!A4="","",オールインワン!A4)</f>
        <v/>
      </c>
      <c r="B302" s="68" t="str">
        <f>IF(オールインワン!B4="","",オールインワン!B4)</f>
        <v/>
      </c>
      <c r="C302" s="3" t="str">
        <f>IF(オールインワン!C4="","",オールインワン!C4)</f>
        <v>◇ サイズ E</v>
      </c>
      <c r="D302" s="3" t="str">
        <f>IF(オールインワン!E4="","",オールインワン!E4)</f>
        <v>無</v>
      </c>
      <c r="E302" s="3" t="str">
        <f>IF(オールインワン!AF4="","",オールインワン!AF4)</f>
        <v>ベースW</v>
      </c>
      <c r="F302" s="3" t="str">
        <f>IF(オールインワン!G4="","",オールインワン!G4)</f>
        <v/>
      </c>
      <c r="G302" s="3" t="str">
        <f>IF(オールインワン!H4="","",オールインワン!H4)</f>
        <v/>
      </c>
      <c r="H302" s="3" t="str">
        <f>IF(オールインワン!I4="","",オールインワン!I4)</f>
        <v/>
      </c>
      <c r="I302" s="3" t="str">
        <f>IF(オールインワン!J4="","",オールインワン!J4)</f>
        <v>画像参照</v>
      </c>
      <c r="J302" s="3" t="str">
        <f>IF(オールインワン!K4="","",オールインワン!K4)</f>
        <v/>
      </c>
      <c r="K302" s="3" t="str">
        <f>IF(オールインワン!L4="","",オールインワン!L4)</f>
        <v>サイズ</v>
      </c>
      <c r="L302" s="69" t="s">
        <v>80</v>
      </c>
      <c r="M302" s="69" t="s">
        <v>19</v>
      </c>
      <c r="N302" s="69" t="s">
        <v>20</v>
      </c>
      <c r="O302" s="3" t="str">
        <f xml:space="preserve"> オールインワン!AE4</f>
        <v>総丈：約cm　肩幅：約cm　身幅：約cm　袖丈：約cm 股上：約cm 股下：約cm ウエスト：約cm もも幅：約cm 裾幅：約cm</v>
      </c>
      <c r="P302" s="4" t="s">
        <v>3036</v>
      </c>
      <c r="Q302" s="4" t="s">
        <v>3038</v>
      </c>
      <c r="R302" s="69" t="s">
        <v>22</v>
      </c>
      <c r="S302" s="69" t="s">
        <v>23</v>
      </c>
      <c r="T302" s="69" t="s">
        <v>22</v>
      </c>
      <c r="U302" s="69" t="s">
        <v>24</v>
      </c>
      <c r="V302" s="69" t="s">
        <v>25</v>
      </c>
      <c r="W302" s="69" t="s">
        <v>26</v>
      </c>
      <c r="X302" s="69" t="s">
        <v>27</v>
      </c>
      <c r="Y302" s="69" t="s">
        <v>28</v>
      </c>
      <c r="Z302" s="69" t="s">
        <v>29</v>
      </c>
      <c r="AA302" s="4"/>
      <c r="AB302" s="4"/>
      <c r="AC302" s="4"/>
      <c r="AD302" s="70"/>
      <c r="AE302" s="70">
        <f>オールインワン!AJ4</f>
        <v>0</v>
      </c>
      <c r="AF302" s="70" t="str">
        <f>オールインワン!V4</f>
        <v>通常</v>
      </c>
      <c r="AG302" s="70">
        <v>0</v>
      </c>
      <c r="AH302" s="6">
        <f xml:space="preserve"> オールインワン!AH4</f>
        <v>0</v>
      </c>
      <c r="AI302">
        <v>1</v>
      </c>
      <c r="AJ302">
        <f>オールインワン!Y4</f>
        <v>0</v>
      </c>
    </row>
    <row r="303" spans="1:36" ht="13.5" hidden="1" customHeight="1">
      <c r="A303" s="3" t="str">
        <f>IF(オールインワン!A5="","",オールインワン!A5)</f>
        <v/>
      </c>
      <c r="B303" s="68" t="str">
        <f>IF(オールインワン!B5="","",オールインワン!B5)</f>
        <v/>
      </c>
      <c r="C303" s="3" t="str">
        <f>IF(オールインワン!C5="","",オールインワン!C5)</f>
        <v>◇ サイズ E</v>
      </c>
      <c r="D303" s="3" t="str">
        <f>IF(オールインワン!E5="","",オールインワン!E5)</f>
        <v>無</v>
      </c>
      <c r="E303" s="3" t="str">
        <f>IF(オールインワン!AF5="","",オールインワン!AF5)</f>
        <v>ベースW</v>
      </c>
      <c r="F303" s="3" t="str">
        <f>IF(オールインワン!G5="","",オールインワン!G5)</f>
        <v/>
      </c>
      <c r="G303" s="3" t="str">
        <f>IF(オールインワン!H5="","",オールインワン!H5)</f>
        <v/>
      </c>
      <c r="H303" s="3" t="str">
        <f>IF(オールインワン!I5="","",オールインワン!I5)</f>
        <v/>
      </c>
      <c r="I303" s="3" t="str">
        <f>IF(オールインワン!J5="","",オールインワン!J5)</f>
        <v>画像参照</v>
      </c>
      <c r="J303" s="3" t="str">
        <f>IF(オールインワン!K5="","",オールインワン!K5)</f>
        <v/>
      </c>
      <c r="K303" s="3" t="str">
        <f>IF(オールインワン!L5="","",オールインワン!L5)</f>
        <v>サイズ</v>
      </c>
      <c r="L303" s="69" t="s">
        <v>80</v>
      </c>
      <c r="M303" s="69" t="s">
        <v>19</v>
      </c>
      <c r="N303" s="69" t="s">
        <v>20</v>
      </c>
      <c r="O303" s="3" t="str">
        <f xml:space="preserve"> オールインワン!AE5</f>
        <v>総丈：約cm　肩幅：約cm　身幅：約cm　袖丈：約cm 股上：約cm 股下：約cm ウエスト：約cm もも幅：約cm 裾幅：約cm</v>
      </c>
      <c r="P303" s="4" t="s">
        <v>3036</v>
      </c>
      <c r="Q303" s="4" t="s">
        <v>3038</v>
      </c>
      <c r="R303" s="69" t="s">
        <v>22</v>
      </c>
      <c r="S303" s="69" t="s">
        <v>23</v>
      </c>
      <c r="T303" s="69" t="s">
        <v>22</v>
      </c>
      <c r="U303" s="69" t="s">
        <v>24</v>
      </c>
      <c r="V303" s="69" t="s">
        <v>25</v>
      </c>
      <c r="W303" s="69" t="s">
        <v>26</v>
      </c>
      <c r="X303" s="69" t="s">
        <v>27</v>
      </c>
      <c r="Y303" s="69" t="s">
        <v>28</v>
      </c>
      <c r="Z303" s="69" t="s">
        <v>29</v>
      </c>
      <c r="AA303" s="4"/>
      <c r="AB303" s="4"/>
      <c r="AC303" s="4"/>
      <c r="AD303" s="70"/>
      <c r="AE303" s="70">
        <f>オールインワン!AJ5</f>
        <v>0</v>
      </c>
      <c r="AF303" s="70" t="str">
        <f>オールインワン!V5</f>
        <v>通常</v>
      </c>
      <c r="AG303" s="70">
        <v>0</v>
      </c>
      <c r="AH303" s="6">
        <f xml:space="preserve"> オールインワン!AH5</f>
        <v>0</v>
      </c>
      <c r="AI303">
        <v>1</v>
      </c>
      <c r="AJ303">
        <f>オールインワン!Y5</f>
        <v>0</v>
      </c>
    </row>
    <row r="304" spans="1:36" ht="13.5" hidden="1" customHeight="1">
      <c r="A304" s="3" t="str">
        <f>IF(オールインワン!A6="","",オールインワン!A6)</f>
        <v/>
      </c>
      <c r="B304" s="68" t="str">
        <f>IF(オールインワン!B6="","",オールインワン!B6)</f>
        <v/>
      </c>
      <c r="C304" s="3" t="str">
        <f>IF(オールインワン!C6="","",オールインワン!C6)</f>
        <v>◇ サイズ E</v>
      </c>
      <c r="D304" s="3" t="str">
        <f>IF(オールインワン!E6="","",オールインワン!E6)</f>
        <v>無</v>
      </c>
      <c r="E304" s="3" t="str">
        <f>IF(オールインワン!AF6="","",オールインワン!AF6)</f>
        <v>ベースW</v>
      </c>
      <c r="F304" s="3" t="str">
        <f>IF(オールインワン!G6="","",オールインワン!G6)</f>
        <v/>
      </c>
      <c r="G304" s="3" t="str">
        <f>IF(オールインワン!H6="","",オールインワン!H6)</f>
        <v/>
      </c>
      <c r="H304" s="3" t="str">
        <f>IF(オールインワン!I6="","",オールインワン!I6)</f>
        <v/>
      </c>
      <c r="I304" s="3" t="str">
        <f>IF(オールインワン!J6="","",オールインワン!J6)</f>
        <v>画像参照</v>
      </c>
      <c r="J304" s="3" t="str">
        <f>IF(オールインワン!K6="","",オールインワン!K6)</f>
        <v/>
      </c>
      <c r="K304" s="3" t="str">
        <f>IF(オールインワン!L6="","",オールインワン!L6)</f>
        <v>サイズ</v>
      </c>
      <c r="L304" s="69" t="s">
        <v>80</v>
      </c>
      <c r="M304" s="69" t="s">
        <v>19</v>
      </c>
      <c r="N304" s="69" t="s">
        <v>20</v>
      </c>
      <c r="O304" s="3" t="str">
        <f xml:space="preserve"> オールインワン!AE6</f>
        <v>総丈：約cm　肩幅：約cm　身幅：約cm　袖丈：約cm 股上：約cm 股下：約cm ウエスト：約cm もも幅：約cm 裾幅：約cm</v>
      </c>
      <c r="P304" s="4" t="s">
        <v>3036</v>
      </c>
      <c r="Q304" s="4" t="s">
        <v>3038</v>
      </c>
      <c r="R304" s="69" t="s">
        <v>22</v>
      </c>
      <c r="S304" s="69" t="s">
        <v>23</v>
      </c>
      <c r="T304" s="69" t="s">
        <v>22</v>
      </c>
      <c r="U304" s="69" t="s">
        <v>24</v>
      </c>
      <c r="V304" s="69" t="s">
        <v>25</v>
      </c>
      <c r="W304" s="69" t="s">
        <v>26</v>
      </c>
      <c r="X304" s="69" t="s">
        <v>27</v>
      </c>
      <c r="Y304" s="69" t="s">
        <v>28</v>
      </c>
      <c r="Z304" s="69" t="s">
        <v>29</v>
      </c>
      <c r="AA304" s="4"/>
      <c r="AB304" s="4"/>
      <c r="AC304" s="4"/>
      <c r="AD304" s="70"/>
      <c r="AE304" s="70">
        <f>オールインワン!AJ6</f>
        <v>0</v>
      </c>
      <c r="AF304" s="70" t="str">
        <f>オールインワン!V6</f>
        <v>通常</v>
      </c>
      <c r="AG304" s="70">
        <v>0</v>
      </c>
      <c r="AH304" s="6">
        <f xml:space="preserve"> オールインワン!AH6</f>
        <v>0</v>
      </c>
      <c r="AI304">
        <v>1</v>
      </c>
      <c r="AJ304">
        <f>オールインワン!Y6</f>
        <v>0</v>
      </c>
    </row>
    <row r="305" spans="1:36" ht="13.5" hidden="1" customHeight="1">
      <c r="A305" s="3" t="str">
        <f>IF(オールインワン!A7="","",オールインワン!A7)</f>
        <v/>
      </c>
      <c r="B305" s="68" t="str">
        <f>IF(オールインワン!B7="","",オールインワン!B7)</f>
        <v/>
      </c>
      <c r="C305" s="3" t="str">
        <f>IF(オールインワン!C7="","",オールインワン!C7)</f>
        <v>◇ サイズ E</v>
      </c>
      <c r="D305" s="3" t="str">
        <f>IF(オールインワン!E7="","",オールインワン!E7)</f>
        <v>無</v>
      </c>
      <c r="E305" s="3" t="str">
        <f>IF(オールインワン!AF7="","",オールインワン!AF7)</f>
        <v>ベースW</v>
      </c>
      <c r="F305" s="3" t="str">
        <f>IF(オールインワン!G7="","",オールインワン!G7)</f>
        <v/>
      </c>
      <c r="G305" s="3" t="str">
        <f>IF(オールインワン!H7="","",オールインワン!H7)</f>
        <v/>
      </c>
      <c r="H305" s="3" t="str">
        <f>IF(オールインワン!I7="","",オールインワン!I7)</f>
        <v/>
      </c>
      <c r="I305" s="3" t="str">
        <f>IF(オールインワン!J7="","",オールインワン!J7)</f>
        <v>画像参照</v>
      </c>
      <c r="J305" s="3" t="str">
        <f>IF(オールインワン!K7="","",オールインワン!K7)</f>
        <v/>
      </c>
      <c r="K305" s="3" t="str">
        <f>IF(オールインワン!L7="","",オールインワン!L7)</f>
        <v>サイズ</v>
      </c>
      <c r="L305" s="69" t="s">
        <v>80</v>
      </c>
      <c r="M305" s="69" t="s">
        <v>19</v>
      </c>
      <c r="N305" s="69" t="s">
        <v>20</v>
      </c>
      <c r="O305" s="3" t="str">
        <f xml:space="preserve"> オールインワン!AE7</f>
        <v>総丈：約cm　肩幅：約cm　身幅：約cm　袖丈：約cm 股上：約cm 股下：約cm ウエスト：約cm もも幅：約cm 裾幅：約cm</v>
      </c>
      <c r="P305" s="4" t="s">
        <v>3036</v>
      </c>
      <c r="Q305" s="4" t="s">
        <v>3038</v>
      </c>
      <c r="R305" s="69" t="s">
        <v>22</v>
      </c>
      <c r="S305" s="69" t="s">
        <v>23</v>
      </c>
      <c r="T305" s="69" t="s">
        <v>22</v>
      </c>
      <c r="U305" s="69" t="s">
        <v>24</v>
      </c>
      <c r="V305" s="69" t="s">
        <v>25</v>
      </c>
      <c r="W305" s="69" t="s">
        <v>26</v>
      </c>
      <c r="X305" s="69" t="s">
        <v>27</v>
      </c>
      <c r="Y305" s="69" t="s">
        <v>28</v>
      </c>
      <c r="Z305" s="69" t="s">
        <v>29</v>
      </c>
      <c r="AA305" s="4"/>
      <c r="AB305" s="4"/>
      <c r="AC305" s="4"/>
      <c r="AD305" s="70"/>
      <c r="AE305" s="70">
        <f>オールインワン!AJ7</f>
        <v>0</v>
      </c>
      <c r="AF305" s="70" t="str">
        <f>オールインワン!V7</f>
        <v>通常</v>
      </c>
      <c r="AG305" s="70">
        <v>0</v>
      </c>
      <c r="AH305" s="6">
        <f xml:space="preserve"> オールインワン!AH7</f>
        <v>0</v>
      </c>
      <c r="AI305">
        <v>1</v>
      </c>
      <c r="AJ305">
        <f>オールインワン!Y7</f>
        <v>0</v>
      </c>
    </row>
    <row r="306" spans="1:36" ht="13.5" hidden="1" customHeight="1">
      <c r="A306" s="3" t="str">
        <f>IF(オールインワン!A8="","",オールインワン!A8)</f>
        <v/>
      </c>
      <c r="B306" s="68" t="str">
        <f>IF(オールインワン!B8="","",オールインワン!B8)</f>
        <v/>
      </c>
      <c r="C306" s="3" t="str">
        <f>IF(オールインワン!C8="","",オールインワン!C8)</f>
        <v>◇ サイズ E</v>
      </c>
      <c r="D306" s="3" t="str">
        <f>IF(オールインワン!E8="","",オールインワン!E8)</f>
        <v>無</v>
      </c>
      <c r="E306" s="3" t="str">
        <f>IF(オールインワン!AF8="","",オールインワン!AF8)</f>
        <v>ベースW</v>
      </c>
      <c r="F306" s="3" t="str">
        <f>IF(オールインワン!G8="","",オールインワン!G8)</f>
        <v/>
      </c>
      <c r="G306" s="3" t="str">
        <f>IF(オールインワン!H8="","",オールインワン!H8)</f>
        <v/>
      </c>
      <c r="H306" s="3" t="str">
        <f>IF(オールインワン!I8="","",オールインワン!I8)</f>
        <v/>
      </c>
      <c r="I306" s="3" t="str">
        <f>IF(オールインワン!J8="","",オールインワン!J8)</f>
        <v>画像参照</v>
      </c>
      <c r="J306" s="3" t="str">
        <f>IF(オールインワン!K8="","",オールインワン!K8)</f>
        <v/>
      </c>
      <c r="K306" s="3" t="str">
        <f>IF(オールインワン!L8="","",オールインワン!L8)</f>
        <v>サイズ</v>
      </c>
      <c r="L306" s="69" t="s">
        <v>80</v>
      </c>
      <c r="M306" s="69" t="s">
        <v>19</v>
      </c>
      <c r="N306" s="69" t="s">
        <v>20</v>
      </c>
      <c r="O306" s="3" t="str">
        <f xml:space="preserve"> オールインワン!AE8</f>
        <v>総丈：約cm　肩幅：約cm　身幅：約cm　袖丈：約cm 股上：約cm 股下：約cm ウエスト：約cm もも幅：約cm 裾幅：約cm</v>
      </c>
      <c r="P306" s="4" t="s">
        <v>3036</v>
      </c>
      <c r="Q306" s="4" t="s">
        <v>3038</v>
      </c>
      <c r="R306" s="69" t="s">
        <v>22</v>
      </c>
      <c r="S306" s="69" t="s">
        <v>23</v>
      </c>
      <c r="T306" s="69" t="s">
        <v>22</v>
      </c>
      <c r="U306" s="69" t="s">
        <v>24</v>
      </c>
      <c r="V306" s="69" t="s">
        <v>25</v>
      </c>
      <c r="W306" s="69" t="s">
        <v>26</v>
      </c>
      <c r="X306" s="69" t="s">
        <v>27</v>
      </c>
      <c r="Y306" s="69" t="s">
        <v>28</v>
      </c>
      <c r="Z306" s="69" t="s">
        <v>29</v>
      </c>
      <c r="AA306" s="4"/>
      <c r="AB306" s="4"/>
      <c r="AC306" s="4"/>
      <c r="AD306" s="70"/>
      <c r="AE306" s="70">
        <f>オールインワン!AJ8</f>
        <v>0</v>
      </c>
      <c r="AF306" s="70" t="str">
        <f>オールインワン!V8</f>
        <v>通常</v>
      </c>
      <c r="AG306" s="70">
        <v>0</v>
      </c>
      <c r="AH306" s="6">
        <f xml:space="preserve"> オールインワン!AH8</f>
        <v>0</v>
      </c>
      <c r="AI306">
        <v>1</v>
      </c>
      <c r="AJ306">
        <f>オールインワン!Y8</f>
        <v>0</v>
      </c>
    </row>
    <row r="307" spans="1:36" ht="13.5" hidden="1" customHeight="1">
      <c r="A307" s="3" t="str">
        <f>IF(オールインワン!A9="","",オールインワン!A9)</f>
        <v/>
      </c>
      <c r="B307" s="68" t="str">
        <f>IF(オールインワン!B9="","",オールインワン!B9)</f>
        <v/>
      </c>
      <c r="C307" s="3" t="str">
        <f>IF(オールインワン!C9="","",オールインワン!C9)</f>
        <v>◇ サイズ E</v>
      </c>
      <c r="D307" s="3" t="str">
        <f>IF(オールインワン!E9="","",オールインワン!E9)</f>
        <v>無</v>
      </c>
      <c r="E307" s="3" t="str">
        <f>IF(オールインワン!AF9="","",オールインワン!AF9)</f>
        <v>ベースW</v>
      </c>
      <c r="F307" s="3" t="str">
        <f>IF(オールインワン!G9="","",オールインワン!G9)</f>
        <v/>
      </c>
      <c r="G307" s="3" t="str">
        <f>IF(オールインワン!H9="","",オールインワン!H9)</f>
        <v/>
      </c>
      <c r="H307" s="3" t="str">
        <f>IF(オールインワン!I9="","",オールインワン!I9)</f>
        <v/>
      </c>
      <c r="I307" s="3" t="str">
        <f>IF(オールインワン!J9="","",オールインワン!J9)</f>
        <v>画像参照</v>
      </c>
      <c r="J307" s="3" t="str">
        <f>IF(オールインワン!K9="","",オールインワン!K9)</f>
        <v/>
      </c>
      <c r="K307" s="3" t="str">
        <f>IF(オールインワン!L9="","",オールインワン!L9)</f>
        <v>サイズ</v>
      </c>
      <c r="L307" s="69" t="s">
        <v>80</v>
      </c>
      <c r="M307" s="69" t="s">
        <v>19</v>
      </c>
      <c r="N307" s="69" t="s">
        <v>20</v>
      </c>
      <c r="O307" s="3" t="str">
        <f xml:space="preserve"> オールインワン!AE9</f>
        <v>総丈：約cm　肩幅：約cm　身幅：約cm　袖丈：約cm 股上：約cm 股下：約cm ウエスト：約cm もも幅：約cm 裾幅：約cm</v>
      </c>
      <c r="P307" s="4" t="s">
        <v>3036</v>
      </c>
      <c r="Q307" s="4" t="s">
        <v>3038</v>
      </c>
      <c r="R307" s="69" t="s">
        <v>22</v>
      </c>
      <c r="S307" s="69" t="s">
        <v>23</v>
      </c>
      <c r="T307" s="69" t="s">
        <v>22</v>
      </c>
      <c r="U307" s="69" t="s">
        <v>24</v>
      </c>
      <c r="V307" s="69" t="s">
        <v>25</v>
      </c>
      <c r="W307" s="69" t="s">
        <v>26</v>
      </c>
      <c r="X307" s="69" t="s">
        <v>27</v>
      </c>
      <c r="Y307" s="69" t="s">
        <v>28</v>
      </c>
      <c r="Z307" s="69" t="s">
        <v>29</v>
      </c>
      <c r="AA307" s="4"/>
      <c r="AB307" s="4"/>
      <c r="AC307" s="4"/>
      <c r="AD307" s="70"/>
      <c r="AE307" s="70">
        <f>オールインワン!AJ9</f>
        <v>0</v>
      </c>
      <c r="AF307" s="70" t="str">
        <f>オールインワン!V9</f>
        <v>通常</v>
      </c>
      <c r="AG307" s="70">
        <v>0</v>
      </c>
      <c r="AH307" s="6">
        <f xml:space="preserve"> オールインワン!AH9</f>
        <v>0</v>
      </c>
      <c r="AI307">
        <v>1</v>
      </c>
      <c r="AJ307">
        <f>オールインワン!Y9</f>
        <v>0</v>
      </c>
    </row>
    <row r="308" spans="1:36" ht="13.5" hidden="1" customHeight="1">
      <c r="A308" s="3" t="str">
        <f>IF(オールインワン!A10="","",オールインワン!A10)</f>
        <v/>
      </c>
      <c r="B308" s="68" t="str">
        <f>IF(オールインワン!B10="","",オールインワン!B10)</f>
        <v/>
      </c>
      <c r="C308" s="3" t="str">
        <f>IF(オールインワン!C10="","",オールインワン!C10)</f>
        <v>◇ サイズ E</v>
      </c>
      <c r="D308" s="3" t="str">
        <f>IF(オールインワン!E10="","",オールインワン!E10)</f>
        <v>無</v>
      </c>
      <c r="E308" s="3" t="str">
        <f>IF(オールインワン!AF10="","",オールインワン!AF10)</f>
        <v>ベースW</v>
      </c>
      <c r="F308" s="3" t="str">
        <f>IF(オールインワン!G10="","",オールインワン!G10)</f>
        <v/>
      </c>
      <c r="G308" s="3" t="str">
        <f>IF(オールインワン!H10="","",オールインワン!H10)</f>
        <v/>
      </c>
      <c r="H308" s="3" t="str">
        <f>IF(オールインワン!I10="","",オールインワン!I10)</f>
        <v/>
      </c>
      <c r="I308" s="3" t="str">
        <f>IF(オールインワン!J10="","",オールインワン!J10)</f>
        <v>画像参照</v>
      </c>
      <c r="J308" s="3" t="str">
        <f>IF(オールインワン!K10="","",オールインワン!K10)</f>
        <v/>
      </c>
      <c r="K308" s="3" t="str">
        <f>IF(オールインワン!L10="","",オールインワン!L10)</f>
        <v>サイズ</v>
      </c>
      <c r="L308" s="69" t="s">
        <v>80</v>
      </c>
      <c r="M308" s="69" t="s">
        <v>19</v>
      </c>
      <c r="N308" s="69" t="s">
        <v>20</v>
      </c>
      <c r="O308" s="3" t="str">
        <f xml:space="preserve"> オールインワン!AE10</f>
        <v>総丈：約cm　肩幅：約cm　身幅：約cm　袖丈：約cm 股上：約cm 股下：約cm ウエスト：約cm もも幅：約cm 裾幅：約cm</v>
      </c>
      <c r="P308" s="4" t="s">
        <v>3036</v>
      </c>
      <c r="Q308" s="4" t="s">
        <v>3038</v>
      </c>
      <c r="R308" s="69" t="s">
        <v>22</v>
      </c>
      <c r="S308" s="69" t="s">
        <v>23</v>
      </c>
      <c r="T308" s="69" t="s">
        <v>22</v>
      </c>
      <c r="U308" s="69" t="s">
        <v>24</v>
      </c>
      <c r="V308" s="69" t="s">
        <v>25</v>
      </c>
      <c r="W308" s="69" t="s">
        <v>26</v>
      </c>
      <c r="X308" s="69" t="s">
        <v>27</v>
      </c>
      <c r="Y308" s="69" t="s">
        <v>28</v>
      </c>
      <c r="Z308" s="69" t="s">
        <v>29</v>
      </c>
      <c r="AA308" s="4"/>
      <c r="AB308" s="4"/>
      <c r="AC308" s="4"/>
      <c r="AD308" s="70"/>
      <c r="AE308" s="70">
        <f>オールインワン!AJ10</f>
        <v>0</v>
      </c>
      <c r="AF308" s="70" t="str">
        <f>オールインワン!V10</f>
        <v>通常</v>
      </c>
      <c r="AG308" s="70">
        <v>0</v>
      </c>
      <c r="AH308" s="6">
        <f xml:space="preserve"> オールインワン!AH10</f>
        <v>0</v>
      </c>
      <c r="AI308">
        <v>1</v>
      </c>
      <c r="AJ308">
        <f>オールインワン!Y10</f>
        <v>0</v>
      </c>
    </row>
    <row r="309" spans="1:36" ht="13.5" hidden="1" customHeight="1">
      <c r="A309" s="3" t="str">
        <f>IF(オールインワン!A11="","",オールインワン!A11)</f>
        <v/>
      </c>
      <c r="B309" s="68" t="str">
        <f>IF(オールインワン!B11="","",オールインワン!B11)</f>
        <v/>
      </c>
      <c r="C309" s="3" t="str">
        <f>IF(オールインワン!C11="","",オールインワン!C11)</f>
        <v>◇ サイズ E</v>
      </c>
      <c r="D309" s="3" t="str">
        <f>IF(オールインワン!E11="","",オールインワン!E11)</f>
        <v>無</v>
      </c>
      <c r="E309" s="3" t="str">
        <f>IF(オールインワン!AF11="","",オールインワン!AF11)</f>
        <v>ベースW</v>
      </c>
      <c r="F309" s="3" t="str">
        <f>IF(オールインワン!G11="","",オールインワン!G11)</f>
        <v/>
      </c>
      <c r="G309" s="3" t="str">
        <f>IF(オールインワン!H11="","",オールインワン!H11)</f>
        <v/>
      </c>
      <c r="H309" s="3" t="str">
        <f>IF(オールインワン!I11="","",オールインワン!I11)</f>
        <v/>
      </c>
      <c r="I309" s="3" t="str">
        <f>IF(オールインワン!J11="","",オールインワン!J11)</f>
        <v>画像参照</v>
      </c>
      <c r="J309" s="3" t="str">
        <f>IF(オールインワン!K11="","",オールインワン!K11)</f>
        <v/>
      </c>
      <c r="K309" s="3" t="str">
        <f>IF(オールインワン!L11="","",オールインワン!L11)</f>
        <v>サイズ</v>
      </c>
      <c r="L309" s="69" t="s">
        <v>80</v>
      </c>
      <c r="M309" s="69" t="s">
        <v>19</v>
      </c>
      <c r="N309" s="69" t="s">
        <v>20</v>
      </c>
      <c r="O309" s="3" t="str">
        <f xml:space="preserve"> オールインワン!AE11</f>
        <v>総丈：約cm　肩幅：約cm　身幅：約cm　袖丈：約cm 股上：約cm 股下：約cm ウエスト：約cm もも幅：約cm 裾幅：約cm</v>
      </c>
      <c r="P309" s="4" t="s">
        <v>3036</v>
      </c>
      <c r="Q309" s="4" t="s">
        <v>3038</v>
      </c>
      <c r="R309" s="69" t="s">
        <v>22</v>
      </c>
      <c r="S309" s="69" t="s">
        <v>23</v>
      </c>
      <c r="T309" s="69" t="s">
        <v>22</v>
      </c>
      <c r="U309" s="69" t="s">
        <v>24</v>
      </c>
      <c r="V309" s="69" t="s">
        <v>25</v>
      </c>
      <c r="W309" s="69" t="s">
        <v>26</v>
      </c>
      <c r="X309" s="69" t="s">
        <v>27</v>
      </c>
      <c r="Y309" s="69" t="s">
        <v>28</v>
      </c>
      <c r="Z309" s="69" t="s">
        <v>29</v>
      </c>
      <c r="AA309" s="4"/>
      <c r="AB309" s="4"/>
      <c r="AC309" s="4"/>
      <c r="AD309" s="70"/>
      <c r="AE309" s="70">
        <f>オールインワン!AJ11</f>
        <v>0</v>
      </c>
      <c r="AF309" s="70" t="str">
        <f>オールインワン!V11</f>
        <v>通常</v>
      </c>
      <c r="AG309" s="70">
        <v>0</v>
      </c>
      <c r="AH309" s="6">
        <f xml:space="preserve"> オールインワン!AH11</f>
        <v>0</v>
      </c>
      <c r="AI309">
        <v>1</v>
      </c>
      <c r="AJ309">
        <f>オールインワン!Y11</f>
        <v>0</v>
      </c>
    </row>
    <row r="310" spans="1:36" ht="13.5" hidden="1" customHeight="1">
      <c r="A310" s="3" t="str">
        <f>IF(オールインワン!A12="","",オールインワン!A12)</f>
        <v/>
      </c>
      <c r="B310" s="68" t="str">
        <f>IF(オールインワン!B12="","",オールインワン!B12)</f>
        <v/>
      </c>
      <c r="C310" s="3" t="str">
        <f>IF(オールインワン!C12="","",オールインワン!C12)</f>
        <v>◇ サイズ E</v>
      </c>
      <c r="D310" s="3" t="str">
        <f>IF(オールインワン!E12="","",オールインワン!E12)</f>
        <v>無</v>
      </c>
      <c r="E310" s="3" t="str">
        <f>IF(オールインワン!AF12="","",オールインワン!AF12)</f>
        <v>ベースW</v>
      </c>
      <c r="F310" s="3" t="str">
        <f>IF(オールインワン!G12="","",オールインワン!G12)</f>
        <v/>
      </c>
      <c r="G310" s="3" t="str">
        <f>IF(オールインワン!H12="","",オールインワン!H12)</f>
        <v/>
      </c>
      <c r="H310" s="3" t="str">
        <f>IF(オールインワン!I12="","",オールインワン!I12)</f>
        <v/>
      </c>
      <c r="I310" s="3" t="str">
        <f>IF(オールインワン!J12="","",オールインワン!J12)</f>
        <v>画像参照</v>
      </c>
      <c r="J310" s="3" t="str">
        <f>IF(オールインワン!K12="","",オールインワン!K12)</f>
        <v/>
      </c>
      <c r="K310" s="3" t="str">
        <f>IF(オールインワン!L12="","",オールインワン!L12)</f>
        <v>サイズ</v>
      </c>
      <c r="L310" s="69" t="s">
        <v>80</v>
      </c>
      <c r="M310" s="69" t="s">
        <v>19</v>
      </c>
      <c r="N310" s="69" t="s">
        <v>20</v>
      </c>
      <c r="O310" s="3" t="str">
        <f xml:space="preserve"> オールインワン!AE12</f>
        <v>総丈：約cm　肩幅：約cm　身幅：約cm　袖丈：約cm 股上：約cm 股下：約cm ウエスト：約cm もも幅：約cm 裾幅：約cm</v>
      </c>
      <c r="P310" s="4" t="s">
        <v>3036</v>
      </c>
      <c r="Q310" s="4" t="s">
        <v>3038</v>
      </c>
      <c r="R310" s="69" t="s">
        <v>22</v>
      </c>
      <c r="S310" s="69" t="s">
        <v>23</v>
      </c>
      <c r="T310" s="69" t="s">
        <v>22</v>
      </c>
      <c r="U310" s="69" t="s">
        <v>24</v>
      </c>
      <c r="V310" s="69" t="s">
        <v>25</v>
      </c>
      <c r="W310" s="69" t="s">
        <v>26</v>
      </c>
      <c r="X310" s="69" t="s">
        <v>27</v>
      </c>
      <c r="Y310" s="69" t="s">
        <v>28</v>
      </c>
      <c r="Z310" s="69" t="s">
        <v>29</v>
      </c>
      <c r="AA310" s="4"/>
      <c r="AB310" s="4"/>
      <c r="AC310" s="4"/>
      <c r="AD310" s="70"/>
      <c r="AE310" s="70">
        <f>オールインワン!AJ12</f>
        <v>0</v>
      </c>
      <c r="AF310" s="70" t="str">
        <f>オールインワン!V12</f>
        <v>通常</v>
      </c>
      <c r="AG310" s="70">
        <v>0</v>
      </c>
      <c r="AH310" s="6">
        <f xml:space="preserve"> オールインワン!AH12</f>
        <v>0</v>
      </c>
      <c r="AI310">
        <v>1</v>
      </c>
      <c r="AJ310">
        <f>オールインワン!Y12</f>
        <v>0</v>
      </c>
    </row>
    <row r="311" spans="1:36" ht="13.5" hidden="1" customHeight="1">
      <c r="A311" s="3" t="str">
        <f>IF(オールインワン!A13="","",オールインワン!A13)</f>
        <v/>
      </c>
      <c r="B311" s="68" t="str">
        <f>IF(オールインワン!B13="","",オールインワン!B13)</f>
        <v/>
      </c>
      <c r="C311" s="3" t="str">
        <f>IF(オールインワン!C13="","",オールインワン!C13)</f>
        <v>◇ サイズ E</v>
      </c>
      <c r="D311" s="3" t="str">
        <f>IF(オールインワン!E13="","",オールインワン!E13)</f>
        <v>無</v>
      </c>
      <c r="E311" s="3" t="str">
        <f>IF(オールインワン!AF13="","",オールインワン!AF13)</f>
        <v>ベースW</v>
      </c>
      <c r="F311" s="3" t="str">
        <f>IF(オールインワン!G13="","",オールインワン!G13)</f>
        <v/>
      </c>
      <c r="G311" s="3" t="str">
        <f>IF(オールインワン!H13="","",オールインワン!H13)</f>
        <v/>
      </c>
      <c r="H311" s="3" t="str">
        <f>IF(オールインワン!I13="","",オールインワン!I13)</f>
        <v/>
      </c>
      <c r="I311" s="3" t="str">
        <f>IF(オールインワン!J13="","",オールインワン!J13)</f>
        <v>画像参照</v>
      </c>
      <c r="J311" s="3" t="str">
        <f>IF(オールインワン!K13="","",オールインワン!K13)</f>
        <v/>
      </c>
      <c r="K311" s="3" t="str">
        <f>IF(オールインワン!L13="","",オールインワン!L13)</f>
        <v>サイズ</v>
      </c>
      <c r="L311" s="69" t="s">
        <v>80</v>
      </c>
      <c r="M311" s="69" t="s">
        <v>19</v>
      </c>
      <c r="N311" s="69" t="s">
        <v>20</v>
      </c>
      <c r="O311" s="3" t="str">
        <f xml:space="preserve"> オールインワン!AE13</f>
        <v>総丈：約cm　肩幅：約cm　身幅：約cm　袖丈：約cm 股上：約cm 股下：約cm ウエスト：約cm もも幅：約cm 裾幅：約cm</v>
      </c>
      <c r="P311" s="4" t="s">
        <v>3036</v>
      </c>
      <c r="Q311" s="4" t="s">
        <v>3038</v>
      </c>
      <c r="R311" s="69" t="s">
        <v>22</v>
      </c>
      <c r="S311" s="69" t="s">
        <v>23</v>
      </c>
      <c r="T311" s="69" t="s">
        <v>22</v>
      </c>
      <c r="U311" s="69" t="s">
        <v>24</v>
      </c>
      <c r="V311" s="69" t="s">
        <v>25</v>
      </c>
      <c r="W311" s="69" t="s">
        <v>26</v>
      </c>
      <c r="X311" s="69" t="s">
        <v>27</v>
      </c>
      <c r="Y311" s="69" t="s">
        <v>28</v>
      </c>
      <c r="Z311" s="69" t="s">
        <v>29</v>
      </c>
      <c r="AA311" s="4"/>
      <c r="AB311" s="4"/>
      <c r="AC311" s="4"/>
      <c r="AD311" s="70"/>
      <c r="AE311" s="70">
        <f>オールインワン!AJ13</f>
        <v>0</v>
      </c>
      <c r="AF311" s="70" t="str">
        <f>オールインワン!V13</f>
        <v>通常</v>
      </c>
      <c r="AG311" s="70">
        <v>0</v>
      </c>
      <c r="AH311" s="6">
        <f xml:space="preserve"> オールインワン!AH13</f>
        <v>0</v>
      </c>
      <c r="AI311">
        <v>1</v>
      </c>
      <c r="AJ311">
        <f>オールインワン!Y13</f>
        <v>0</v>
      </c>
    </row>
    <row r="312" spans="1:36" ht="13.5" hidden="1" customHeight="1">
      <c r="A312" s="3" t="str">
        <f>IF(オールインワン!A14="","",オールインワン!A14)</f>
        <v/>
      </c>
      <c r="B312" s="68" t="str">
        <f>IF(オールインワン!B14="","",オールインワン!B14)</f>
        <v/>
      </c>
      <c r="C312" s="3" t="str">
        <f>IF(オールインワン!C14="","",オールインワン!C14)</f>
        <v>◇ サイズ E</v>
      </c>
      <c r="D312" s="3" t="str">
        <f>IF(オールインワン!E14="","",オールインワン!E14)</f>
        <v>無</v>
      </c>
      <c r="E312" s="3" t="str">
        <f>IF(オールインワン!AF14="","",オールインワン!AF14)</f>
        <v>ベースW</v>
      </c>
      <c r="F312" s="3" t="str">
        <f>IF(オールインワン!G14="","",オールインワン!G14)</f>
        <v/>
      </c>
      <c r="G312" s="3" t="str">
        <f>IF(オールインワン!H14="","",オールインワン!H14)</f>
        <v/>
      </c>
      <c r="H312" s="3" t="str">
        <f>IF(オールインワン!I14="","",オールインワン!I14)</f>
        <v/>
      </c>
      <c r="I312" s="3" t="str">
        <f>IF(オールインワン!J14="","",オールインワン!J14)</f>
        <v>画像参照</v>
      </c>
      <c r="J312" s="3" t="str">
        <f>IF(オールインワン!K14="","",オールインワン!K14)</f>
        <v/>
      </c>
      <c r="K312" s="3" t="str">
        <f>IF(オールインワン!L14="","",オールインワン!L14)</f>
        <v>サイズ</v>
      </c>
      <c r="L312" s="69" t="s">
        <v>80</v>
      </c>
      <c r="M312" s="69" t="s">
        <v>19</v>
      </c>
      <c r="N312" s="69" t="s">
        <v>20</v>
      </c>
      <c r="O312" s="3" t="str">
        <f xml:space="preserve"> オールインワン!AE14</f>
        <v>総丈：約cm　肩幅：約cm　身幅：約cm　袖丈：約cm 股上：約cm 股下：約cm ウエスト：約cm もも幅：約cm 裾幅：約cm</v>
      </c>
      <c r="P312" s="4" t="s">
        <v>3036</v>
      </c>
      <c r="Q312" s="4" t="s">
        <v>3038</v>
      </c>
      <c r="R312" s="69" t="s">
        <v>22</v>
      </c>
      <c r="S312" s="69" t="s">
        <v>23</v>
      </c>
      <c r="T312" s="69" t="s">
        <v>22</v>
      </c>
      <c r="U312" s="69" t="s">
        <v>24</v>
      </c>
      <c r="V312" s="69" t="s">
        <v>25</v>
      </c>
      <c r="W312" s="69" t="s">
        <v>26</v>
      </c>
      <c r="X312" s="69" t="s">
        <v>27</v>
      </c>
      <c r="Y312" s="69" t="s">
        <v>28</v>
      </c>
      <c r="Z312" s="69" t="s">
        <v>29</v>
      </c>
      <c r="AA312" s="4"/>
      <c r="AB312" s="4"/>
      <c r="AC312" s="4"/>
      <c r="AD312" s="70"/>
      <c r="AE312" s="70">
        <f>オールインワン!AJ14</f>
        <v>0</v>
      </c>
      <c r="AF312" s="70" t="str">
        <f>オールインワン!V14</f>
        <v>通常</v>
      </c>
      <c r="AG312" s="70">
        <v>0</v>
      </c>
      <c r="AH312" s="6">
        <f xml:space="preserve"> オールインワン!AH14</f>
        <v>0</v>
      </c>
      <c r="AI312">
        <v>1</v>
      </c>
      <c r="AJ312">
        <f>オールインワン!Y14</f>
        <v>0</v>
      </c>
    </row>
    <row r="313" spans="1:36" ht="13.5" hidden="1" customHeight="1">
      <c r="A313" s="3" t="str">
        <f>IF(オールインワン!A15="","",オールインワン!A15)</f>
        <v/>
      </c>
      <c r="B313" s="68" t="str">
        <f>IF(オールインワン!B15="","",オールインワン!B15)</f>
        <v/>
      </c>
      <c r="C313" s="3" t="str">
        <f>IF(オールインワン!C15="","",オールインワン!C15)</f>
        <v>◇ サイズ E</v>
      </c>
      <c r="D313" s="3" t="str">
        <f>IF(オールインワン!E15="","",オールインワン!E15)</f>
        <v>無</v>
      </c>
      <c r="E313" s="3" t="str">
        <f>IF(オールインワン!AF15="","",オールインワン!AF15)</f>
        <v>ベースW</v>
      </c>
      <c r="F313" s="3" t="str">
        <f>IF(オールインワン!G15="","",オールインワン!G15)</f>
        <v/>
      </c>
      <c r="G313" s="3" t="str">
        <f>IF(オールインワン!H15="","",オールインワン!H15)</f>
        <v/>
      </c>
      <c r="H313" s="3" t="str">
        <f>IF(オールインワン!I15="","",オールインワン!I15)</f>
        <v/>
      </c>
      <c r="I313" s="3" t="str">
        <f>IF(オールインワン!J15="","",オールインワン!J15)</f>
        <v>画像参照</v>
      </c>
      <c r="J313" s="3" t="str">
        <f>IF(オールインワン!K15="","",オールインワン!K15)</f>
        <v/>
      </c>
      <c r="K313" s="3" t="str">
        <f>IF(オールインワン!L15="","",オールインワン!L15)</f>
        <v>サイズ</v>
      </c>
      <c r="L313" s="69" t="s">
        <v>80</v>
      </c>
      <c r="M313" s="69" t="s">
        <v>19</v>
      </c>
      <c r="N313" s="69" t="s">
        <v>20</v>
      </c>
      <c r="O313" s="3" t="str">
        <f xml:space="preserve"> オールインワン!AE15</f>
        <v>総丈：約cm　肩幅：約cm　身幅：約cm　袖丈：約cm 股上：約cm 股下：約cm ウエスト：約cm もも幅：約cm 裾幅：約cm</v>
      </c>
      <c r="P313" s="4" t="s">
        <v>3036</v>
      </c>
      <c r="Q313" s="4" t="s">
        <v>3038</v>
      </c>
      <c r="R313" s="69" t="s">
        <v>22</v>
      </c>
      <c r="S313" s="69" t="s">
        <v>23</v>
      </c>
      <c r="T313" s="69" t="s">
        <v>22</v>
      </c>
      <c r="U313" s="69" t="s">
        <v>24</v>
      </c>
      <c r="V313" s="69" t="s">
        <v>25</v>
      </c>
      <c r="W313" s="69" t="s">
        <v>26</v>
      </c>
      <c r="X313" s="69" t="s">
        <v>27</v>
      </c>
      <c r="Y313" s="69" t="s">
        <v>28</v>
      </c>
      <c r="Z313" s="69" t="s">
        <v>29</v>
      </c>
      <c r="AA313" s="4"/>
      <c r="AB313" s="4"/>
      <c r="AC313" s="4"/>
      <c r="AD313" s="70"/>
      <c r="AE313" s="70">
        <f>オールインワン!AJ15</f>
        <v>0</v>
      </c>
      <c r="AF313" s="70" t="str">
        <f>オールインワン!V15</f>
        <v>通常</v>
      </c>
      <c r="AG313" s="70">
        <v>0</v>
      </c>
      <c r="AH313" s="6">
        <f xml:space="preserve"> オールインワン!AH15</f>
        <v>0</v>
      </c>
      <c r="AI313">
        <v>1</v>
      </c>
      <c r="AJ313">
        <f>オールインワン!Y15</f>
        <v>0</v>
      </c>
    </row>
    <row r="314" spans="1:36" ht="13.5" hidden="1" customHeight="1">
      <c r="A314" s="3" t="str">
        <f>IF(オールインワン!A16="","",オールインワン!A16)</f>
        <v/>
      </c>
      <c r="B314" s="68" t="str">
        <f>IF(オールインワン!B16="","",オールインワン!B16)</f>
        <v/>
      </c>
      <c r="C314" s="3" t="str">
        <f>IF(オールインワン!C16="","",オールインワン!C16)</f>
        <v>◇ サイズ E</v>
      </c>
      <c r="D314" s="3" t="str">
        <f>IF(オールインワン!E16="","",オールインワン!E16)</f>
        <v>無</v>
      </c>
      <c r="E314" s="3" t="str">
        <f>IF(オールインワン!AF16="","",オールインワン!AF16)</f>
        <v>ベースW</v>
      </c>
      <c r="F314" s="3" t="str">
        <f>IF(オールインワン!G16="","",オールインワン!G16)</f>
        <v/>
      </c>
      <c r="G314" s="3" t="str">
        <f>IF(オールインワン!H16="","",オールインワン!H16)</f>
        <v/>
      </c>
      <c r="H314" s="3" t="str">
        <f>IF(オールインワン!I16="","",オールインワン!I16)</f>
        <v/>
      </c>
      <c r="I314" s="3" t="str">
        <f>IF(オールインワン!J16="","",オールインワン!J16)</f>
        <v>画像参照</v>
      </c>
      <c r="J314" s="3" t="str">
        <f>IF(オールインワン!K16="","",オールインワン!K16)</f>
        <v/>
      </c>
      <c r="K314" s="3" t="str">
        <f>IF(オールインワン!L16="","",オールインワン!L16)</f>
        <v>サイズ</v>
      </c>
      <c r="L314" s="69" t="s">
        <v>80</v>
      </c>
      <c r="M314" s="69" t="s">
        <v>19</v>
      </c>
      <c r="N314" s="69" t="s">
        <v>20</v>
      </c>
      <c r="O314" s="3" t="str">
        <f xml:space="preserve"> オールインワン!AE16</f>
        <v>総丈：約cm　肩幅：約cm　身幅：約cm　袖丈：約cm 股上：約cm 股下：約cm ウエスト：約cm もも幅：約cm 裾幅：約cm</v>
      </c>
      <c r="P314" s="4" t="s">
        <v>3036</v>
      </c>
      <c r="Q314" s="4" t="s">
        <v>3038</v>
      </c>
      <c r="R314" s="69" t="s">
        <v>22</v>
      </c>
      <c r="S314" s="69" t="s">
        <v>23</v>
      </c>
      <c r="T314" s="69" t="s">
        <v>22</v>
      </c>
      <c r="U314" s="69" t="s">
        <v>24</v>
      </c>
      <c r="V314" s="69" t="s">
        <v>25</v>
      </c>
      <c r="W314" s="69" t="s">
        <v>26</v>
      </c>
      <c r="X314" s="69" t="s">
        <v>27</v>
      </c>
      <c r="Y314" s="69" t="s">
        <v>28</v>
      </c>
      <c r="Z314" s="69" t="s">
        <v>29</v>
      </c>
      <c r="AA314" s="4"/>
      <c r="AB314" s="4"/>
      <c r="AC314" s="4"/>
      <c r="AD314" s="70"/>
      <c r="AE314" s="70">
        <f>オールインワン!AJ16</f>
        <v>0</v>
      </c>
      <c r="AF314" s="70" t="str">
        <f>オールインワン!V16</f>
        <v>通常</v>
      </c>
      <c r="AG314" s="70">
        <v>0</v>
      </c>
      <c r="AH314" s="6">
        <f xml:space="preserve"> オールインワン!AH16</f>
        <v>0</v>
      </c>
      <c r="AI314">
        <v>1</v>
      </c>
      <c r="AJ314">
        <f>オールインワン!Y16</f>
        <v>0</v>
      </c>
    </row>
    <row r="315" spans="1:36" ht="13.5" hidden="1" customHeight="1">
      <c r="A315" s="3" t="str">
        <f>IF(オールインワン!A17="","",オールインワン!A17)</f>
        <v/>
      </c>
      <c r="B315" s="68" t="str">
        <f>IF(オールインワン!B17="","",オールインワン!B17)</f>
        <v/>
      </c>
      <c r="C315" s="3" t="str">
        <f>IF(オールインワン!C17="","",オールインワン!C17)</f>
        <v>◇ サイズ E</v>
      </c>
      <c r="D315" s="3" t="str">
        <f>IF(オールインワン!E17="","",オールインワン!E17)</f>
        <v>無</v>
      </c>
      <c r="E315" s="3" t="str">
        <f>IF(オールインワン!AF17="","",オールインワン!AF17)</f>
        <v>ベースW</v>
      </c>
      <c r="F315" s="3" t="str">
        <f>IF(オールインワン!G17="","",オールインワン!G17)</f>
        <v/>
      </c>
      <c r="G315" s="3" t="str">
        <f>IF(オールインワン!H17="","",オールインワン!H17)</f>
        <v/>
      </c>
      <c r="H315" s="3" t="str">
        <f>IF(オールインワン!I17="","",オールインワン!I17)</f>
        <v/>
      </c>
      <c r="I315" s="3" t="str">
        <f>IF(オールインワン!J17="","",オールインワン!J17)</f>
        <v>画像参照</v>
      </c>
      <c r="J315" s="3" t="str">
        <f>IF(オールインワン!K17="","",オールインワン!K17)</f>
        <v/>
      </c>
      <c r="K315" s="3" t="str">
        <f>IF(オールインワン!L17="","",オールインワン!L17)</f>
        <v>サイズ</v>
      </c>
      <c r="L315" s="69" t="s">
        <v>80</v>
      </c>
      <c r="M315" s="69" t="s">
        <v>19</v>
      </c>
      <c r="N315" s="69" t="s">
        <v>20</v>
      </c>
      <c r="O315" s="3" t="str">
        <f xml:space="preserve"> オールインワン!AE17</f>
        <v>総丈：約cm　肩幅：約cm　身幅：約cm　袖丈：約cm 股上：約cm 股下：約cm ウエスト：約cm もも幅：約cm 裾幅：約cm</v>
      </c>
      <c r="P315" s="4" t="s">
        <v>3036</v>
      </c>
      <c r="Q315" s="4" t="s">
        <v>3038</v>
      </c>
      <c r="R315" s="69" t="s">
        <v>22</v>
      </c>
      <c r="S315" s="69" t="s">
        <v>23</v>
      </c>
      <c r="T315" s="69" t="s">
        <v>22</v>
      </c>
      <c r="U315" s="69" t="s">
        <v>24</v>
      </c>
      <c r="V315" s="69" t="s">
        <v>25</v>
      </c>
      <c r="W315" s="69" t="s">
        <v>26</v>
      </c>
      <c r="X315" s="69" t="s">
        <v>27</v>
      </c>
      <c r="Y315" s="69" t="s">
        <v>28</v>
      </c>
      <c r="Z315" s="69" t="s">
        <v>29</v>
      </c>
      <c r="AA315" s="4"/>
      <c r="AB315" s="4"/>
      <c r="AC315" s="4"/>
      <c r="AD315" s="70"/>
      <c r="AE315" s="70">
        <f>オールインワン!AJ17</f>
        <v>0</v>
      </c>
      <c r="AF315" s="70" t="str">
        <f>オールインワン!V17</f>
        <v>通常</v>
      </c>
      <c r="AG315" s="70">
        <v>0</v>
      </c>
      <c r="AH315" s="6">
        <f xml:space="preserve"> オールインワン!AH17</f>
        <v>0</v>
      </c>
      <c r="AI315">
        <v>1</v>
      </c>
      <c r="AJ315">
        <f>オールインワン!Y17</f>
        <v>0</v>
      </c>
    </row>
    <row r="316" spans="1:36" ht="13.5" hidden="1" customHeight="1">
      <c r="A316" s="3" t="str">
        <f>IF(オールインワン!A18="","",オールインワン!A18)</f>
        <v/>
      </c>
      <c r="B316" s="68" t="str">
        <f>IF(オールインワン!B18="","",オールインワン!B18)</f>
        <v/>
      </c>
      <c r="C316" s="3" t="str">
        <f>IF(オールインワン!C18="","",オールインワン!C18)</f>
        <v>◇ サイズ E</v>
      </c>
      <c r="D316" s="3" t="str">
        <f>IF(オールインワン!E18="","",オールインワン!E18)</f>
        <v>無</v>
      </c>
      <c r="E316" s="3" t="str">
        <f>IF(オールインワン!AF18="","",オールインワン!AF18)</f>
        <v>ベースW</v>
      </c>
      <c r="F316" s="3" t="str">
        <f>IF(オールインワン!G18="","",オールインワン!G18)</f>
        <v/>
      </c>
      <c r="G316" s="3" t="str">
        <f>IF(オールインワン!H18="","",オールインワン!H18)</f>
        <v/>
      </c>
      <c r="H316" s="3" t="str">
        <f>IF(オールインワン!I18="","",オールインワン!I18)</f>
        <v/>
      </c>
      <c r="I316" s="3" t="str">
        <f>IF(オールインワン!J18="","",オールインワン!J18)</f>
        <v>画像参照</v>
      </c>
      <c r="J316" s="3" t="str">
        <f>IF(オールインワン!K18="","",オールインワン!K18)</f>
        <v/>
      </c>
      <c r="K316" s="3" t="str">
        <f>IF(オールインワン!L18="","",オールインワン!L18)</f>
        <v>サイズ</v>
      </c>
      <c r="L316" s="69" t="s">
        <v>80</v>
      </c>
      <c r="M316" s="69" t="s">
        <v>19</v>
      </c>
      <c r="N316" s="69" t="s">
        <v>20</v>
      </c>
      <c r="O316" s="3" t="str">
        <f xml:space="preserve"> オールインワン!AE18</f>
        <v>総丈：約cm　肩幅：約cm　身幅：約cm　袖丈：約cm 股上：約cm 股下：約cm ウエスト：約cm もも幅：約cm 裾幅：約cm</v>
      </c>
      <c r="P316" s="4" t="s">
        <v>3036</v>
      </c>
      <c r="Q316" s="4" t="s">
        <v>3038</v>
      </c>
      <c r="R316" s="69" t="s">
        <v>22</v>
      </c>
      <c r="S316" s="69" t="s">
        <v>23</v>
      </c>
      <c r="T316" s="69" t="s">
        <v>22</v>
      </c>
      <c r="U316" s="69" t="s">
        <v>24</v>
      </c>
      <c r="V316" s="69" t="s">
        <v>25</v>
      </c>
      <c r="W316" s="69" t="s">
        <v>26</v>
      </c>
      <c r="X316" s="69" t="s">
        <v>27</v>
      </c>
      <c r="Y316" s="69" t="s">
        <v>28</v>
      </c>
      <c r="Z316" s="69" t="s">
        <v>29</v>
      </c>
      <c r="AA316" s="4"/>
      <c r="AB316" s="4"/>
      <c r="AC316" s="4"/>
      <c r="AD316" s="70"/>
      <c r="AE316" s="70">
        <f>オールインワン!AJ18</f>
        <v>0</v>
      </c>
      <c r="AF316" s="70" t="str">
        <f>オールインワン!V18</f>
        <v>通常</v>
      </c>
      <c r="AG316" s="70">
        <v>0</v>
      </c>
      <c r="AH316" s="6">
        <f xml:space="preserve"> オールインワン!AH18</f>
        <v>0</v>
      </c>
      <c r="AI316">
        <v>1</v>
      </c>
      <c r="AJ316">
        <f>オールインワン!Y18</f>
        <v>0</v>
      </c>
    </row>
    <row r="317" spans="1:36" ht="13.5" hidden="1" customHeight="1">
      <c r="A317" s="3" t="str">
        <f>IF(オールインワン!A19="","",オールインワン!A19)</f>
        <v/>
      </c>
      <c r="B317" s="68" t="str">
        <f>IF(オールインワン!B19="","",オールインワン!B19)</f>
        <v/>
      </c>
      <c r="C317" s="3" t="str">
        <f>IF(オールインワン!C19="","",オールインワン!C19)</f>
        <v>◇ サイズ E</v>
      </c>
      <c r="D317" s="3" t="str">
        <f>IF(オールインワン!E19="","",オールインワン!E19)</f>
        <v>無</v>
      </c>
      <c r="E317" s="3" t="str">
        <f>IF(オールインワン!AF19="","",オールインワン!AF19)</f>
        <v>ベースW</v>
      </c>
      <c r="F317" s="3" t="str">
        <f>IF(オールインワン!G19="","",オールインワン!G19)</f>
        <v/>
      </c>
      <c r="G317" s="3" t="str">
        <f>IF(オールインワン!H19="","",オールインワン!H19)</f>
        <v/>
      </c>
      <c r="H317" s="3" t="str">
        <f>IF(オールインワン!I19="","",オールインワン!I19)</f>
        <v/>
      </c>
      <c r="I317" s="3" t="str">
        <f>IF(オールインワン!J19="","",オールインワン!J19)</f>
        <v>画像参照</v>
      </c>
      <c r="J317" s="3" t="str">
        <f>IF(オールインワン!K19="","",オールインワン!K19)</f>
        <v/>
      </c>
      <c r="K317" s="3" t="str">
        <f>IF(オールインワン!L19="","",オールインワン!L19)</f>
        <v>サイズ</v>
      </c>
      <c r="L317" s="69" t="s">
        <v>80</v>
      </c>
      <c r="M317" s="69" t="s">
        <v>19</v>
      </c>
      <c r="N317" s="69" t="s">
        <v>20</v>
      </c>
      <c r="O317" s="3" t="str">
        <f xml:space="preserve"> オールインワン!AE19</f>
        <v>総丈：約cm　肩幅：約cm　身幅：約cm　袖丈：約cm 股上：約cm 股下：約cm ウエスト：約cm もも幅：約cm 裾幅：約cm</v>
      </c>
      <c r="P317" s="4" t="s">
        <v>3036</v>
      </c>
      <c r="Q317" s="4" t="s">
        <v>3038</v>
      </c>
      <c r="R317" s="69" t="s">
        <v>22</v>
      </c>
      <c r="S317" s="69" t="s">
        <v>23</v>
      </c>
      <c r="T317" s="69" t="s">
        <v>22</v>
      </c>
      <c r="U317" s="69" t="s">
        <v>24</v>
      </c>
      <c r="V317" s="69" t="s">
        <v>25</v>
      </c>
      <c r="W317" s="69" t="s">
        <v>26</v>
      </c>
      <c r="X317" s="69" t="s">
        <v>27</v>
      </c>
      <c r="Y317" s="69" t="s">
        <v>28</v>
      </c>
      <c r="Z317" s="69" t="s">
        <v>29</v>
      </c>
      <c r="AA317" s="4"/>
      <c r="AB317" s="4"/>
      <c r="AC317" s="4"/>
      <c r="AD317" s="70"/>
      <c r="AE317" s="70">
        <f>オールインワン!AJ19</f>
        <v>0</v>
      </c>
      <c r="AF317" s="70" t="str">
        <f>オールインワン!V19</f>
        <v>通常</v>
      </c>
      <c r="AG317" s="70">
        <v>0</v>
      </c>
      <c r="AH317" s="6">
        <f xml:space="preserve"> オールインワン!AH19</f>
        <v>0</v>
      </c>
      <c r="AI317">
        <v>1</v>
      </c>
      <c r="AJ317">
        <f>オールインワン!Y19</f>
        <v>0</v>
      </c>
    </row>
    <row r="318" spans="1:36" ht="13.5" hidden="1" customHeight="1">
      <c r="A318" s="3" t="str">
        <f>IF(オールインワン!A20="","",オールインワン!A20)</f>
        <v/>
      </c>
      <c r="B318" s="68" t="str">
        <f>IF(オールインワン!B20="","",オールインワン!B20)</f>
        <v/>
      </c>
      <c r="C318" s="3" t="str">
        <f>IF(オールインワン!C20="","",オールインワン!C20)</f>
        <v>◇ サイズ E</v>
      </c>
      <c r="D318" s="3" t="str">
        <f>IF(オールインワン!E20="","",オールインワン!E20)</f>
        <v>無</v>
      </c>
      <c r="E318" s="3" t="str">
        <f>IF(オールインワン!AF20="","",オールインワン!AF20)</f>
        <v>ベースW</v>
      </c>
      <c r="F318" s="3" t="str">
        <f>IF(オールインワン!G20="","",オールインワン!G20)</f>
        <v/>
      </c>
      <c r="G318" s="3" t="str">
        <f>IF(オールインワン!H20="","",オールインワン!H20)</f>
        <v/>
      </c>
      <c r="H318" s="3" t="str">
        <f>IF(オールインワン!I20="","",オールインワン!I20)</f>
        <v/>
      </c>
      <c r="I318" s="3" t="str">
        <f>IF(オールインワン!J20="","",オールインワン!J20)</f>
        <v>画像参照</v>
      </c>
      <c r="J318" s="3" t="str">
        <f>IF(オールインワン!K20="","",オールインワン!K20)</f>
        <v/>
      </c>
      <c r="K318" s="3" t="str">
        <f>IF(オールインワン!L20="","",オールインワン!L20)</f>
        <v>サイズ</v>
      </c>
      <c r="L318" s="69" t="s">
        <v>80</v>
      </c>
      <c r="M318" s="69" t="s">
        <v>19</v>
      </c>
      <c r="N318" s="69" t="s">
        <v>20</v>
      </c>
      <c r="O318" s="3" t="str">
        <f xml:space="preserve"> オールインワン!AE20</f>
        <v>総丈：約cm　肩幅：約cm　身幅：約cm　袖丈：約cm 股上：約cm 股下：約cm ウエスト：約cm もも幅：約cm 裾幅：約cm</v>
      </c>
      <c r="P318" s="4" t="s">
        <v>3036</v>
      </c>
      <c r="Q318" s="4" t="s">
        <v>3038</v>
      </c>
      <c r="R318" s="69" t="s">
        <v>22</v>
      </c>
      <c r="S318" s="69" t="s">
        <v>23</v>
      </c>
      <c r="T318" s="69" t="s">
        <v>22</v>
      </c>
      <c r="U318" s="69" t="s">
        <v>24</v>
      </c>
      <c r="V318" s="69" t="s">
        <v>25</v>
      </c>
      <c r="W318" s="69" t="s">
        <v>26</v>
      </c>
      <c r="X318" s="69" t="s">
        <v>27</v>
      </c>
      <c r="Y318" s="69" t="s">
        <v>28</v>
      </c>
      <c r="Z318" s="69" t="s">
        <v>29</v>
      </c>
      <c r="AA318" s="4"/>
      <c r="AB318" s="4"/>
      <c r="AC318" s="4"/>
      <c r="AD318" s="70"/>
      <c r="AE318" s="70">
        <f>オールインワン!AJ20</f>
        <v>0</v>
      </c>
      <c r="AF318" s="70" t="str">
        <f>オールインワン!V20</f>
        <v>通常</v>
      </c>
      <c r="AG318" s="70">
        <v>0</v>
      </c>
      <c r="AH318" s="6">
        <f xml:space="preserve"> オールインワン!AH20</f>
        <v>0</v>
      </c>
      <c r="AI318">
        <v>1</v>
      </c>
      <c r="AJ318">
        <f>オールインワン!Y20</f>
        <v>0</v>
      </c>
    </row>
    <row r="319" spans="1:36" ht="13.5" hidden="1" customHeight="1">
      <c r="A319" s="3" t="str">
        <f>IF(オールインワン!A21="","",オールインワン!A21)</f>
        <v/>
      </c>
      <c r="B319" s="68" t="str">
        <f>IF(オールインワン!B21="","",オールインワン!B21)</f>
        <v/>
      </c>
      <c r="C319" s="3" t="str">
        <f>IF(オールインワン!C21="","",オールインワン!C21)</f>
        <v>◇ サイズ E</v>
      </c>
      <c r="D319" s="3" t="str">
        <f>IF(オールインワン!E21="","",オールインワン!E21)</f>
        <v>無</v>
      </c>
      <c r="E319" s="3" t="str">
        <f>IF(オールインワン!AF21="","",オールインワン!AF21)</f>
        <v>ベースW</v>
      </c>
      <c r="F319" s="3" t="str">
        <f>IF(オールインワン!G21="","",オールインワン!G21)</f>
        <v/>
      </c>
      <c r="G319" s="3" t="str">
        <f>IF(オールインワン!H21="","",オールインワン!H21)</f>
        <v/>
      </c>
      <c r="H319" s="3" t="str">
        <f>IF(オールインワン!I21="","",オールインワン!I21)</f>
        <v/>
      </c>
      <c r="I319" s="3" t="str">
        <f>IF(オールインワン!J21="","",オールインワン!J21)</f>
        <v>画像参照</v>
      </c>
      <c r="J319" s="3" t="str">
        <f>IF(オールインワン!K21="","",オールインワン!K21)</f>
        <v/>
      </c>
      <c r="K319" s="3" t="str">
        <f>IF(オールインワン!L21="","",オールインワン!L21)</f>
        <v>サイズ</v>
      </c>
      <c r="L319" s="69" t="s">
        <v>80</v>
      </c>
      <c r="M319" s="69" t="s">
        <v>19</v>
      </c>
      <c r="N319" s="69" t="s">
        <v>20</v>
      </c>
      <c r="O319" s="3" t="str">
        <f xml:space="preserve"> オールインワン!AE21</f>
        <v>総丈：約cm　肩幅：約cm　身幅：約cm　袖丈：約cm 股上：約cm 股下：約cm ウエスト：約cm もも幅：約cm 裾幅：約cm</v>
      </c>
      <c r="P319" s="4" t="s">
        <v>3036</v>
      </c>
      <c r="Q319" s="4" t="s">
        <v>3038</v>
      </c>
      <c r="R319" s="69" t="s">
        <v>22</v>
      </c>
      <c r="S319" s="69" t="s">
        <v>23</v>
      </c>
      <c r="T319" s="69" t="s">
        <v>22</v>
      </c>
      <c r="U319" s="69" t="s">
        <v>24</v>
      </c>
      <c r="V319" s="69" t="s">
        <v>25</v>
      </c>
      <c r="W319" s="69" t="s">
        <v>26</v>
      </c>
      <c r="X319" s="69" t="s">
        <v>27</v>
      </c>
      <c r="Y319" s="69" t="s">
        <v>28</v>
      </c>
      <c r="Z319" s="69" t="s">
        <v>29</v>
      </c>
      <c r="AA319" s="4"/>
      <c r="AB319" s="4"/>
      <c r="AC319" s="4"/>
      <c r="AD319" s="70"/>
      <c r="AE319" s="70">
        <f>オールインワン!AJ21</f>
        <v>0</v>
      </c>
      <c r="AF319" s="70" t="str">
        <f>オールインワン!V21</f>
        <v>通常</v>
      </c>
      <c r="AG319" s="70">
        <v>0</v>
      </c>
      <c r="AH319" s="6">
        <f xml:space="preserve"> オールインワン!AH21</f>
        <v>0</v>
      </c>
      <c r="AI319">
        <v>1</v>
      </c>
      <c r="AJ319">
        <f>オールインワン!Y21</f>
        <v>0</v>
      </c>
    </row>
    <row r="320" spans="1:36" ht="13.5" customHeight="1">
      <c r="A320" s="3">
        <v>23316</v>
      </c>
      <c r="B320" s="68">
        <f>IF(スカートスーツ!B2="","",スカートスーツ!B2)</f>
        <v>1212020007924</v>
      </c>
      <c r="C320" s="3" t="str">
        <f>IF(スカートスーツ!C2="","",スカートスーツ!C2)</f>
        <v>◇ fifth フィフス フロントボタン。ウエスト絞り ロング セットアップ サイズS カーキ レディース E 1212020007924</v>
      </c>
      <c r="D320" s="3" t="str">
        <f>IF(スカートスーツ!E2="","",スカートスーツ!E2)</f>
        <v>無</v>
      </c>
      <c r="E320" s="3" t="str">
        <f>IF(スカートスーツ!AG2="","",スカートスーツ!AG2)</f>
        <v>ベースW/9</v>
      </c>
      <c r="F320" s="3">
        <f>IF(スカートスーツ!G2="","",スカートスーツ!G2)</f>
        <v>3</v>
      </c>
      <c r="G320" s="3" t="str">
        <f>IF(スカートスーツ!H2="","",スカートスーツ!H2)</f>
        <v>目立った傷や汚れなし</v>
      </c>
      <c r="H320" s="3" t="str">
        <f>IF(スカートスーツ!I2="","",スカートスーツ!I2)&amp;"仕立"</f>
        <v>仕立</v>
      </c>
      <c r="I320" s="3" t="str">
        <f>IF(スカートスーツ!J2="","",スカートスーツ!J2)</f>
        <v>画像参照</v>
      </c>
      <c r="J320" s="3" t="str">
        <f>IF(スカートスーツ!K2="","",スカートスーツ!K2)</f>
        <v>カーキ</v>
      </c>
      <c r="K320" s="3" t="str">
        <f>IF(スカートスーツ!L2="","",スカートスーツ!L2)</f>
        <v>サイズS</v>
      </c>
      <c r="L320" s="69" t="s">
        <v>80</v>
      </c>
      <c r="M320" s="69" t="s">
        <v>19</v>
      </c>
      <c r="N320" s="69" t="s">
        <v>20</v>
      </c>
      <c r="O320" s="69" t="s">
        <v>21</v>
      </c>
      <c r="P320" s="71" t="str">
        <f>スカートスーツ!AF2</f>
        <v>【ジャケット】サイズS　着丈：約33cm　肩幅：約36cm　身幅：約32cm　袖丈：約17cm&lt;br&gt;【スカート】　総丈：約81cm  ウエスト：約30cm　ヒップ：約45cm</v>
      </c>
      <c r="Q320" s="69" t="s">
        <v>3038</v>
      </c>
      <c r="R320" s="69" t="s">
        <v>22</v>
      </c>
      <c r="S320" s="69" t="s">
        <v>23</v>
      </c>
      <c r="T320" s="69" t="s">
        <v>22</v>
      </c>
      <c r="U320" s="69" t="s">
        <v>24</v>
      </c>
      <c r="V320" s="69" t="s">
        <v>25</v>
      </c>
      <c r="W320" s="69" t="s">
        <v>26</v>
      </c>
      <c r="X320" s="69" t="s">
        <v>27</v>
      </c>
      <c r="Y320" s="69" t="s">
        <v>28</v>
      </c>
      <c r="Z320" s="69" t="s">
        <v>29</v>
      </c>
      <c r="AA320" s="4"/>
      <c r="AB320" s="4"/>
      <c r="AC320" s="4"/>
      <c r="AD320" s="70"/>
      <c r="AE320" s="70">
        <f>スカートスーツ!AK2</f>
        <v>1000</v>
      </c>
      <c r="AF320" s="70" t="str">
        <f>スカートスーツ!V2</f>
        <v>通常</v>
      </c>
      <c r="AG320" s="70">
        <v>0</v>
      </c>
      <c r="AH320" s="6">
        <f xml:space="preserve"> スカートスーツ!AI2</f>
        <v>0</v>
      </c>
      <c r="AI320">
        <v>1</v>
      </c>
      <c r="AJ320" t="str">
        <f>スカートスーツ!Y2</f>
        <v>fifth フィフス</v>
      </c>
    </row>
    <row r="321" spans="1:36" ht="13.5" customHeight="1">
      <c r="A321" s="3">
        <v>23316</v>
      </c>
      <c r="B321" s="68">
        <f>IF(スカートスーツ!B3="","",スカートスーツ!B3)</f>
        <v>1212020007726</v>
      </c>
      <c r="C321" s="3" t="str">
        <f>IF(スカートスーツ!C3="","",スカートスーツ!C3)</f>
        <v>◇ La-gemme ラジェム プルオーバー。スウェット素材 ロング セットアップ サイズL グリーン レディース E 1212020007726</v>
      </c>
      <c r="D321" s="3" t="str">
        <f>IF(スカートスーツ!E3="","",スカートスーツ!E3)</f>
        <v>無</v>
      </c>
      <c r="E321" s="3" t="str">
        <f>IF(スカートスーツ!AG3="","",スカートスーツ!AG3)</f>
        <v>ベースW/9</v>
      </c>
      <c r="F321" s="3">
        <f>IF(スカートスーツ!G3="","",スカートスーツ!G3)</f>
        <v>3</v>
      </c>
      <c r="G321" s="3" t="str">
        <f>IF(スカートスーツ!H3="","",スカートスーツ!H3)</f>
        <v>目立った傷や汚れなし</v>
      </c>
      <c r="H321" s="3" t="str">
        <f>IF(スカートスーツ!I3="","",スカートスーツ!I3)&amp;"仕立"</f>
        <v>仕立</v>
      </c>
      <c r="I321" s="3" t="str">
        <f>IF(スカートスーツ!J3="","",スカートスーツ!J3)</f>
        <v>画像参照</v>
      </c>
      <c r="J321" s="3" t="str">
        <f>IF(スカートスーツ!K3="","",スカートスーツ!K3)</f>
        <v>グリーン</v>
      </c>
      <c r="K321" s="3" t="str">
        <f>IF(スカートスーツ!L3="","",スカートスーツ!L3)</f>
        <v>サイズL</v>
      </c>
      <c r="L321" s="69" t="s">
        <v>80</v>
      </c>
      <c r="M321" s="69" t="s">
        <v>19</v>
      </c>
      <c r="N321" s="69" t="s">
        <v>20</v>
      </c>
      <c r="O321" s="69" t="s">
        <v>21</v>
      </c>
      <c r="P321" s="71" t="str">
        <f>スカートスーツ!AF3</f>
        <v>【ジャケット】サイズL　着丈：約50cm　肩幅：約55cm　身幅：約53cm　袖丈：約53cm&lt;br&gt;【スカート】　総丈：約84cm  ウエスト：約32cm　ヒップ：約38cm</v>
      </c>
      <c r="Q321" s="69" t="s">
        <v>3038</v>
      </c>
      <c r="R321" s="69" t="s">
        <v>22</v>
      </c>
      <c r="S321" s="69" t="s">
        <v>23</v>
      </c>
      <c r="T321" s="69" t="s">
        <v>22</v>
      </c>
      <c r="U321" s="69" t="s">
        <v>24</v>
      </c>
      <c r="V321" s="69" t="s">
        <v>25</v>
      </c>
      <c r="W321" s="69" t="s">
        <v>26</v>
      </c>
      <c r="X321" s="69" t="s">
        <v>27</v>
      </c>
      <c r="Y321" s="69" t="s">
        <v>28</v>
      </c>
      <c r="Z321" s="69" t="s">
        <v>29</v>
      </c>
      <c r="AA321" s="4"/>
      <c r="AB321" s="4"/>
      <c r="AC321" s="4"/>
      <c r="AD321" s="70"/>
      <c r="AE321" s="70">
        <f>スカートスーツ!AK3</f>
        <v>1000</v>
      </c>
      <c r="AF321" s="70" t="str">
        <f>スカートスーツ!V3</f>
        <v>通常</v>
      </c>
      <c r="AG321" s="70">
        <v>0</v>
      </c>
      <c r="AH321" s="6">
        <f xml:space="preserve"> スカートスーツ!AI3</f>
        <v>0</v>
      </c>
      <c r="AI321">
        <v>1</v>
      </c>
      <c r="AJ321" t="str">
        <f>スカートスーツ!Y3</f>
        <v>La-gemme ラジェム</v>
      </c>
    </row>
    <row r="322" spans="1:36" ht="13.5" hidden="1" customHeight="1">
      <c r="A322" s="3" t="str">
        <f>IF(スカートスーツ!A4="","",スカートスーツ!A4)</f>
        <v/>
      </c>
      <c r="B322" s="68" t="str">
        <f>IF(スカートスーツ!B4="","",スカートスーツ!B4)</f>
        <v/>
      </c>
      <c r="C322" s="3" t="str">
        <f>IF(スカートスーツ!C4="","",スカートスーツ!C4)</f>
        <v>◇ サイズ レディース E</v>
      </c>
      <c r="D322" s="3" t="str">
        <f>IF(スカートスーツ!E4="","",スカートスーツ!E4)</f>
        <v>無</v>
      </c>
      <c r="E322" s="3" t="str">
        <f>IF(スカートスーツ!AG4="","",スカートスーツ!AG4)</f>
        <v>ベースW</v>
      </c>
      <c r="F322" s="3" t="str">
        <f>IF(スカートスーツ!G4="","",スカートスーツ!G4)</f>
        <v/>
      </c>
      <c r="G322" s="3" t="str">
        <f>IF(スカートスーツ!H4="","",スカートスーツ!H4)</f>
        <v/>
      </c>
      <c r="H322" s="3" t="str">
        <f>IF(スカートスーツ!I4="","",スカートスーツ!I4)&amp;"仕立"</f>
        <v>仕立</v>
      </c>
      <c r="I322" s="3" t="str">
        <f>IF(スカートスーツ!J4="","",スカートスーツ!J4)</f>
        <v>画像参照</v>
      </c>
      <c r="J322" s="3" t="str">
        <f>IF(スカートスーツ!K4="","",スカートスーツ!K4)</f>
        <v/>
      </c>
      <c r="K322" s="3" t="str">
        <f>IF(スカートスーツ!L4="","",スカートスーツ!L4)</f>
        <v>サイズ</v>
      </c>
      <c r="L322" s="69" t="s">
        <v>80</v>
      </c>
      <c r="M322" s="69" t="s">
        <v>19</v>
      </c>
      <c r="N322" s="69" t="s">
        <v>20</v>
      </c>
      <c r="O322" s="69" t="s">
        <v>21</v>
      </c>
      <c r="P322" s="71" t="str">
        <f>スカートスーツ!AF4</f>
        <v>【ジャケット】サイズ　着丈：約cm　肩幅：約cm　身幅：約cm　袖丈：約cm&lt;br&gt;【スカート】　総丈：約cm  ウエスト：約cm　ヒップ：約cm</v>
      </c>
      <c r="Q322" s="69" t="s">
        <v>3038</v>
      </c>
      <c r="R322" s="69" t="s">
        <v>22</v>
      </c>
      <c r="S322" s="69" t="s">
        <v>23</v>
      </c>
      <c r="T322" s="69" t="s">
        <v>22</v>
      </c>
      <c r="U322" s="69" t="s">
        <v>24</v>
      </c>
      <c r="V322" s="69" t="s">
        <v>25</v>
      </c>
      <c r="W322" s="69" t="s">
        <v>26</v>
      </c>
      <c r="X322" s="69" t="s">
        <v>27</v>
      </c>
      <c r="Y322" s="69" t="s">
        <v>28</v>
      </c>
      <c r="Z322" s="69" t="s">
        <v>29</v>
      </c>
      <c r="AA322" s="4"/>
      <c r="AB322" s="4"/>
      <c r="AC322" s="4"/>
      <c r="AD322" s="70"/>
      <c r="AE322" s="70">
        <f>スカートスーツ!AK4</f>
        <v>0</v>
      </c>
      <c r="AF322" s="70" t="str">
        <f>スカートスーツ!V4</f>
        <v>通常</v>
      </c>
      <c r="AG322" s="70">
        <v>0</v>
      </c>
      <c r="AH322" s="6">
        <f xml:space="preserve"> スカートスーツ!AI4</f>
        <v>0</v>
      </c>
      <c r="AI322">
        <v>1</v>
      </c>
      <c r="AJ322">
        <f>スカートスーツ!Y4</f>
        <v>0</v>
      </c>
    </row>
    <row r="323" spans="1:36" ht="13.5" hidden="1" customHeight="1">
      <c r="A323" s="3" t="str">
        <f>IF(スカートスーツ!A5="","",スカートスーツ!A5)</f>
        <v/>
      </c>
      <c r="B323" s="68" t="str">
        <f>IF(スカートスーツ!B5="","",スカートスーツ!B5)</f>
        <v/>
      </c>
      <c r="C323" s="3" t="str">
        <f>IF(スカートスーツ!C5="","",スカートスーツ!C5)</f>
        <v>◇ サイズ レディース E</v>
      </c>
      <c r="D323" s="3" t="str">
        <f>IF(スカートスーツ!E5="","",スカートスーツ!E5)</f>
        <v>無</v>
      </c>
      <c r="E323" s="3" t="str">
        <f>IF(スカートスーツ!AG5="","",スカートスーツ!AG5)</f>
        <v>ベースW</v>
      </c>
      <c r="F323" s="3" t="str">
        <f>IF(スカートスーツ!G5="","",スカートスーツ!G5)</f>
        <v/>
      </c>
      <c r="G323" s="3" t="str">
        <f>IF(スカートスーツ!H5="","",スカートスーツ!H5)</f>
        <v/>
      </c>
      <c r="H323" s="3" t="str">
        <f>IF(スカートスーツ!I5="","",スカートスーツ!I5)&amp;"仕立"</f>
        <v>仕立</v>
      </c>
      <c r="I323" s="3" t="str">
        <f>IF(スカートスーツ!J5="","",スカートスーツ!J5)</f>
        <v>画像参照</v>
      </c>
      <c r="J323" s="3" t="str">
        <f>IF(スカートスーツ!K5="","",スカートスーツ!K5)</f>
        <v/>
      </c>
      <c r="K323" s="3" t="str">
        <f>IF(スカートスーツ!L5="","",スカートスーツ!L5)</f>
        <v>サイズ</v>
      </c>
      <c r="L323" s="69" t="s">
        <v>80</v>
      </c>
      <c r="M323" s="69" t="s">
        <v>19</v>
      </c>
      <c r="N323" s="69" t="s">
        <v>20</v>
      </c>
      <c r="O323" s="69" t="s">
        <v>21</v>
      </c>
      <c r="P323" s="71" t="str">
        <f>スカートスーツ!AF5</f>
        <v>【ジャケット】サイズ　着丈：約cm　肩幅：約cm　身幅：約cm　袖丈：約cm&lt;br&gt;【スカート】　総丈：約cm  ウエスト：約cm　ヒップ：約cm</v>
      </c>
      <c r="Q323" s="69" t="s">
        <v>3038</v>
      </c>
      <c r="R323" s="69" t="s">
        <v>22</v>
      </c>
      <c r="S323" s="69" t="s">
        <v>23</v>
      </c>
      <c r="T323" s="69" t="s">
        <v>22</v>
      </c>
      <c r="U323" s="69" t="s">
        <v>24</v>
      </c>
      <c r="V323" s="69" t="s">
        <v>25</v>
      </c>
      <c r="W323" s="69" t="s">
        <v>26</v>
      </c>
      <c r="X323" s="69" t="s">
        <v>27</v>
      </c>
      <c r="Y323" s="69" t="s">
        <v>28</v>
      </c>
      <c r="Z323" s="69" t="s">
        <v>29</v>
      </c>
      <c r="AA323" s="4"/>
      <c r="AB323" s="4"/>
      <c r="AC323" s="4"/>
      <c r="AD323" s="70"/>
      <c r="AE323" s="70">
        <f>スカートスーツ!AK5</f>
        <v>0</v>
      </c>
      <c r="AF323" s="70" t="str">
        <f>スカートスーツ!V5</f>
        <v>通常</v>
      </c>
      <c r="AG323" s="70">
        <v>0</v>
      </c>
      <c r="AH323" s="6">
        <f xml:space="preserve"> スカートスーツ!AI5</f>
        <v>0</v>
      </c>
      <c r="AI323">
        <v>1</v>
      </c>
      <c r="AJ323">
        <f>スカートスーツ!Y5</f>
        <v>0</v>
      </c>
    </row>
    <row r="324" spans="1:36" ht="13.5" hidden="1" customHeight="1">
      <c r="A324" s="3" t="str">
        <f>IF(スカートスーツ!A6="","",スカートスーツ!A6)</f>
        <v/>
      </c>
      <c r="B324" s="68" t="str">
        <f>IF(スカートスーツ!B6="","",スカートスーツ!B6)</f>
        <v/>
      </c>
      <c r="C324" s="3" t="str">
        <f>IF(スカートスーツ!C6="","",スカートスーツ!C6)</f>
        <v>◇ サイズ レディース E</v>
      </c>
      <c r="D324" s="3" t="str">
        <f>IF(スカートスーツ!E6="","",スカートスーツ!E6)</f>
        <v>無</v>
      </c>
      <c r="E324" s="3" t="str">
        <f>IF(スカートスーツ!AG6="","",スカートスーツ!AG6)</f>
        <v>ベースW</v>
      </c>
      <c r="F324" s="3" t="str">
        <f>IF(スカートスーツ!G6="","",スカートスーツ!G6)</f>
        <v/>
      </c>
      <c r="G324" s="3" t="str">
        <f>IF(スカートスーツ!H6="","",スカートスーツ!H6)</f>
        <v/>
      </c>
      <c r="H324" s="3" t="str">
        <f>IF(スカートスーツ!I6="","",スカートスーツ!I6)&amp;"仕立"</f>
        <v>仕立</v>
      </c>
      <c r="I324" s="3" t="str">
        <f>IF(スカートスーツ!J6="","",スカートスーツ!J6)</f>
        <v>画像参照</v>
      </c>
      <c r="J324" s="3" t="str">
        <f>IF(スカートスーツ!K6="","",スカートスーツ!K6)</f>
        <v/>
      </c>
      <c r="K324" s="3" t="str">
        <f>IF(スカートスーツ!L6="","",スカートスーツ!L6)</f>
        <v>サイズ</v>
      </c>
      <c r="L324" s="69" t="s">
        <v>80</v>
      </c>
      <c r="M324" s="69" t="s">
        <v>19</v>
      </c>
      <c r="N324" s="69" t="s">
        <v>20</v>
      </c>
      <c r="O324" s="69" t="s">
        <v>21</v>
      </c>
      <c r="P324" s="71" t="str">
        <f>スカートスーツ!AF6</f>
        <v>【ジャケット】サイズ　着丈：約cm　肩幅：約cm　身幅：約cm　袖丈：約cm&lt;br&gt;【スカート】　総丈：約cm  ウエスト：約cm　ヒップ：約cm</v>
      </c>
      <c r="Q324" s="69" t="s">
        <v>3038</v>
      </c>
      <c r="R324" s="69" t="s">
        <v>22</v>
      </c>
      <c r="S324" s="69" t="s">
        <v>23</v>
      </c>
      <c r="T324" s="69" t="s">
        <v>22</v>
      </c>
      <c r="U324" s="69" t="s">
        <v>24</v>
      </c>
      <c r="V324" s="69" t="s">
        <v>25</v>
      </c>
      <c r="W324" s="69" t="s">
        <v>26</v>
      </c>
      <c r="X324" s="69" t="s">
        <v>27</v>
      </c>
      <c r="Y324" s="69" t="s">
        <v>28</v>
      </c>
      <c r="Z324" s="69" t="s">
        <v>29</v>
      </c>
      <c r="AA324" s="4"/>
      <c r="AB324" s="4"/>
      <c r="AC324" s="4"/>
      <c r="AD324" s="70"/>
      <c r="AE324" s="70">
        <f>スカートスーツ!AK6</f>
        <v>0</v>
      </c>
      <c r="AF324" s="70" t="str">
        <f>スカートスーツ!V6</f>
        <v>通常</v>
      </c>
      <c r="AG324" s="70">
        <v>0</v>
      </c>
      <c r="AH324" s="6">
        <f xml:space="preserve"> スカートスーツ!AI6</f>
        <v>0</v>
      </c>
      <c r="AI324">
        <v>1</v>
      </c>
      <c r="AJ324">
        <f>スカートスーツ!Y6</f>
        <v>0</v>
      </c>
    </row>
    <row r="325" spans="1:36" ht="13.5" hidden="1" customHeight="1">
      <c r="A325" s="3" t="str">
        <f>IF(スカートスーツ!A7="","",スカートスーツ!A7)</f>
        <v/>
      </c>
      <c r="B325" s="68" t="str">
        <f>IF(スカートスーツ!B7="","",スカートスーツ!B7)</f>
        <v/>
      </c>
      <c r="C325" s="3" t="str">
        <f>IF(スカートスーツ!C7="","",スカートスーツ!C7)</f>
        <v>◇ サイズ レディース E</v>
      </c>
      <c r="D325" s="3" t="str">
        <f>IF(スカートスーツ!E7="","",スカートスーツ!E7)</f>
        <v>無</v>
      </c>
      <c r="E325" s="3" t="str">
        <f>IF(スカートスーツ!AG7="","",スカートスーツ!AG7)</f>
        <v>ベースW</v>
      </c>
      <c r="F325" s="3" t="str">
        <f>IF(スカートスーツ!G7="","",スカートスーツ!G7)</f>
        <v/>
      </c>
      <c r="G325" s="3" t="str">
        <f>IF(スカートスーツ!H7="","",スカートスーツ!H7)</f>
        <v/>
      </c>
      <c r="H325" s="3" t="str">
        <f>IF(スカートスーツ!I7="","",スカートスーツ!I7)&amp;"仕立"</f>
        <v>仕立</v>
      </c>
      <c r="I325" s="3" t="str">
        <f>IF(スカートスーツ!J7="","",スカートスーツ!J7)</f>
        <v>画像参照</v>
      </c>
      <c r="J325" s="3" t="str">
        <f>IF(スカートスーツ!K7="","",スカートスーツ!K7)</f>
        <v/>
      </c>
      <c r="K325" s="3" t="str">
        <f>IF(スカートスーツ!L7="","",スカートスーツ!L7)</f>
        <v>サイズ</v>
      </c>
      <c r="L325" s="69" t="s">
        <v>80</v>
      </c>
      <c r="M325" s="69" t="s">
        <v>19</v>
      </c>
      <c r="N325" s="69" t="s">
        <v>20</v>
      </c>
      <c r="O325" s="69" t="s">
        <v>21</v>
      </c>
      <c r="P325" s="71" t="str">
        <f>スカートスーツ!AF7</f>
        <v>【ジャケット】サイズ　着丈：約cm　肩幅：約cm　身幅：約cm　袖丈：約cm&lt;br&gt;【スカート】　総丈：約cm  ウエスト：約cm　ヒップ：約cm</v>
      </c>
      <c r="Q325" s="69" t="s">
        <v>3038</v>
      </c>
      <c r="R325" s="69" t="s">
        <v>22</v>
      </c>
      <c r="S325" s="69" t="s">
        <v>23</v>
      </c>
      <c r="T325" s="69" t="s">
        <v>22</v>
      </c>
      <c r="U325" s="69" t="s">
        <v>24</v>
      </c>
      <c r="V325" s="69" t="s">
        <v>25</v>
      </c>
      <c r="W325" s="69" t="s">
        <v>26</v>
      </c>
      <c r="X325" s="69" t="s">
        <v>27</v>
      </c>
      <c r="Y325" s="69" t="s">
        <v>28</v>
      </c>
      <c r="Z325" s="69" t="s">
        <v>29</v>
      </c>
      <c r="AA325" s="4"/>
      <c r="AB325" s="4"/>
      <c r="AC325" s="4"/>
      <c r="AD325" s="70"/>
      <c r="AE325" s="70">
        <f>スカートスーツ!AK7</f>
        <v>0</v>
      </c>
      <c r="AF325" s="70" t="str">
        <f>スカートスーツ!V7</f>
        <v>通常</v>
      </c>
      <c r="AG325" s="70">
        <v>0</v>
      </c>
      <c r="AH325" s="6">
        <f xml:space="preserve"> スカートスーツ!AI7</f>
        <v>0</v>
      </c>
      <c r="AI325">
        <v>1</v>
      </c>
      <c r="AJ325">
        <f>スカートスーツ!Y7</f>
        <v>0</v>
      </c>
    </row>
    <row r="326" spans="1:36" ht="13.5" hidden="1" customHeight="1">
      <c r="A326" s="3" t="str">
        <f>IF(スカートスーツ!A8="","",スカートスーツ!A8)</f>
        <v/>
      </c>
      <c r="B326" s="68" t="str">
        <f>IF(スカートスーツ!B8="","",スカートスーツ!B8)</f>
        <v/>
      </c>
      <c r="C326" s="3" t="str">
        <f>IF(スカートスーツ!C8="","",スカートスーツ!C8)</f>
        <v>◇ サイズ レディース E</v>
      </c>
      <c r="D326" s="3" t="str">
        <f>IF(スカートスーツ!E8="","",スカートスーツ!E8)</f>
        <v>無</v>
      </c>
      <c r="E326" s="3" t="str">
        <f>IF(スカートスーツ!AG8="","",スカートスーツ!AG8)</f>
        <v>ベースW</v>
      </c>
      <c r="F326" s="3" t="str">
        <f>IF(スカートスーツ!G8="","",スカートスーツ!G8)</f>
        <v/>
      </c>
      <c r="G326" s="3" t="str">
        <f>IF(スカートスーツ!H8="","",スカートスーツ!H8)</f>
        <v/>
      </c>
      <c r="H326" s="3" t="str">
        <f>IF(スカートスーツ!I8="","",スカートスーツ!I8)&amp;"仕立"</f>
        <v>仕立</v>
      </c>
      <c r="I326" s="3" t="str">
        <f>IF(スカートスーツ!J8="","",スカートスーツ!J8)</f>
        <v>画像参照</v>
      </c>
      <c r="J326" s="3" t="str">
        <f>IF(スカートスーツ!K8="","",スカートスーツ!K8)</f>
        <v/>
      </c>
      <c r="K326" s="3" t="str">
        <f>IF(スカートスーツ!L8="","",スカートスーツ!L8)</f>
        <v>サイズ</v>
      </c>
      <c r="L326" s="69" t="s">
        <v>80</v>
      </c>
      <c r="M326" s="69" t="s">
        <v>19</v>
      </c>
      <c r="N326" s="69" t="s">
        <v>20</v>
      </c>
      <c r="O326" s="69" t="s">
        <v>21</v>
      </c>
      <c r="P326" s="71" t="str">
        <f>スカートスーツ!AF8</f>
        <v>【ジャケット】サイズ　着丈：約cm　肩幅：約cm　身幅：約cm　袖丈：約cm&lt;br&gt;【スカート】　総丈：約cm  ウエスト：約cm　ヒップ：約cm</v>
      </c>
      <c r="Q326" s="69" t="s">
        <v>3038</v>
      </c>
      <c r="R326" s="69" t="s">
        <v>22</v>
      </c>
      <c r="S326" s="69" t="s">
        <v>23</v>
      </c>
      <c r="T326" s="69" t="s">
        <v>22</v>
      </c>
      <c r="U326" s="69" t="s">
        <v>24</v>
      </c>
      <c r="V326" s="69" t="s">
        <v>25</v>
      </c>
      <c r="W326" s="69" t="s">
        <v>26</v>
      </c>
      <c r="X326" s="69" t="s">
        <v>27</v>
      </c>
      <c r="Y326" s="69" t="s">
        <v>28</v>
      </c>
      <c r="Z326" s="69" t="s">
        <v>29</v>
      </c>
      <c r="AA326" s="4"/>
      <c r="AB326" s="4"/>
      <c r="AC326" s="4"/>
      <c r="AD326" s="70"/>
      <c r="AE326" s="70">
        <f>スカートスーツ!AK8</f>
        <v>0</v>
      </c>
      <c r="AF326" s="70" t="str">
        <f>スカートスーツ!V8</f>
        <v>通常</v>
      </c>
      <c r="AG326" s="70">
        <v>0</v>
      </c>
      <c r="AH326" s="6">
        <f xml:space="preserve"> スカートスーツ!AI8</f>
        <v>0</v>
      </c>
      <c r="AI326">
        <v>1</v>
      </c>
      <c r="AJ326">
        <f>スカートスーツ!Y8</f>
        <v>0</v>
      </c>
    </row>
    <row r="327" spans="1:36" ht="13.5" hidden="1" customHeight="1">
      <c r="A327" s="3" t="str">
        <f>IF(スカートスーツ!A9="","",スカートスーツ!A9)</f>
        <v/>
      </c>
      <c r="B327" s="68" t="str">
        <f>IF(スカートスーツ!B9="","",スカートスーツ!B9)</f>
        <v/>
      </c>
      <c r="C327" s="3" t="str">
        <f>IF(スカートスーツ!C9="","",スカートスーツ!C9)</f>
        <v>◇ サイズ レディース E</v>
      </c>
      <c r="D327" s="3" t="str">
        <f>IF(スカートスーツ!E9="","",スカートスーツ!E9)</f>
        <v>無</v>
      </c>
      <c r="E327" s="3" t="str">
        <f>IF(スカートスーツ!AG9="","",スカートスーツ!AG9)</f>
        <v>ベースW</v>
      </c>
      <c r="F327" s="3" t="str">
        <f>IF(スカートスーツ!G9="","",スカートスーツ!G9)</f>
        <v/>
      </c>
      <c r="G327" s="3" t="str">
        <f>IF(スカートスーツ!H9="","",スカートスーツ!H9)</f>
        <v/>
      </c>
      <c r="H327" s="3" t="str">
        <f>IF(スカートスーツ!I9="","",スカートスーツ!I9)&amp;"仕立"</f>
        <v>仕立</v>
      </c>
      <c r="I327" s="3" t="str">
        <f>IF(スカートスーツ!J9="","",スカートスーツ!J9)</f>
        <v>画像参照</v>
      </c>
      <c r="J327" s="3" t="str">
        <f>IF(スカートスーツ!K9="","",スカートスーツ!K9)</f>
        <v/>
      </c>
      <c r="K327" s="3" t="str">
        <f>IF(スカートスーツ!L9="","",スカートスーツ!L9)</f>
        <v>サイズ</v>
      </c>
      <c r="L327" s="69" t="s">
        <v>80</v>
      </c>
      <c r="M327" s="69" t="s">
        <v>19</v>
      </c>
      <c r="N327" s="69" t="s">
        <v>20</v>
      </c>
      <c r="O327" s="69" t="s">
        <v>21</v>
      </c>
      <c r="P327" s="71" t="str">
        <f>スカートスーツ!AF9</f>
        <v>【ジャケット】サイズ　着丈：約cm　肩幅：約cm　身幅：約cm　袖丈：約cm&lt;br&gt;【スカート】　総丈：約cm  ウエスト：約cm　ヒップ：約cm</v>
      </c>
      <c r="Q327" s="69" t="s">
        <v>3038</v>
      </c>
      <c r="R327" s="69" t="s">
        <v>22</v>
      </c>
      <c r="S327" s="69" t="s">
        <v>23</v>
      </c>
      <c r="T327" s="69" t="s">
        <v>22</v>
      </c>
      <c r="U327" s="69" t="s">
        <v>24</v>
      </c>
      <c r="V327" s="69" t="s">
        <v>25</v>
      </c>
      <c r="W327" s="69" t="s">
        <v>26</v>
      </c>
      <c r="X327" s="69" t="s">
        <v>27</v>
      </c>
      <c r="Y327" s="69" t="s">
        <v>28</v>
      </c>
      <c r="Z327" s="69" t="s">
        <v>29</v>
      </c>
      <c r="AA327" s="4"/>
      <c r="AB327" s="4"/>
      <c r="AC327" s="4"/>
      <c r="AD327" s="70"/>
      <c r="AE327" s="70">
        <f>スカートスーツ!AK9</f>
        <v>0</v>
      </c>
      <c r="AF327" s="70" t="str">
        <f>スカートスーツ!V9</f>
        <v>通常</v>
      </c>
      <c r="AG327" s="70">
        <v>0</v>
      </c>
      <c r="AH327" s="6">
        <f xml:space="preserve"> スカートスーツ!AI9</f>
        <v>0</v>
      </c>
      <c r="AI327">
        <v>1</v>
      </c>
      <c r="AJ327">
        <f>スカートスーツ!Y9</f>
        <v>0</v>
      </c>
    </row>
    <row r="328" spans="1:36" ht="13.5" hidden="1" customHeight="1">
      <c r="A328" s="3" t="str">
        <f>IF(スカートスーツ!A10="","",スカートスーツ!A10)</f>
        <v/>
      </c>
      <c r="B328" s="68" t="str">
        <f>IF(スカートスーツ!B10="","",スカートスーツ!B10)</f>
        <v/>
      </c>
      <c r="C328" s="3" t="str">
        <f>IF(スカートスーツ!C10="","",スカートスーツ!C10)</f>
        <v>◇ サイズ レディース E</v>
      </c>
      <c r="D328" s="3" t="str">
        <f>IF(スカートスーツ!E10="","",スカートスーツ!E10)</f>
        <v>無</v>
      </c>
      <c r="E328" s="3" t="str">
        <f>IF(スカートスーツ!AG10="","",スカートスーツ!AG10)</f>
        <v>ベースW</v>
      </c>
      <c r="F328" s="3" t="str">
        <f>IF(スカートスーツ!G10="","",スカートスーツ!G10)</f>
        <v/>
      </c>
      <c r="G328" s="3" t="str">
        <f>IF(スカートスーツ!H10="","",スカートスーツ!H10)</f>
        <v/>
      </c>
      <c r="H328" s="3" t="str">
        <f>IF(スカートスーツ!I10="","",スカートスーツ!I10)&amp;"仕立"</f>
        <v>仕立</v>
      </c>
      <c r="I328" s="3" t="str">
        <f>IF(スカートスーツ!J10="","",スカートスーツ!J10)</f>
        <v>画像参照</v>
      </c>
      <c r="J328" s="3" t="str">
        <f>IF(スカートスーツ!K10="","",スカートスーツ!K10)</f>
        <v/>
      </c>
      <c r="K328" s="3" t="str">
        <f>IF(スカートスーツ!L10="","",スカートスーツ!L10)</f>
        <v>サイズ</v>
      </c>
      <c r="L328" s="69" t="s">
        <v>80</v>
      </c>
      <c r="M328" s="69" t="s">
        <v>19</v>
      </c>
      <c r="N328" s="69" t="s">
        <v>20</v>
      </c>
      <c r="O328" s="69" t="s">
        <v>21</v>
      </c>
      <c r="P328" s="71" t="str">
        <f>スカートスーツ!AF10</f>
        <v>【ジャケット】サイズ　着丈：約cm　肩幅：約cm　身幅：約cm　袖丈：約cm&lt;br&gt;【スカート】　総丈：約cm  ウエスト：約cm　ヒップ：約cm</v>
      </c>
      <c r="Q328" s="69" t="s">
        <v>3038</v>
      </c>
      <c r="R328" s="69" t="s">
        <v>22</v>
      </c>
      <c r="S328" s="69" t="s">
        <v>23</v>
      </c>
      <c r="T328" s="69" t="s">
        <v>22</v>
      </c>
      <c r="U328" s="69" t="s">
        <v>24</v>
      </c>
      <c r="V328" s="69" t="s">
        <v>25</v>
      </c>
      <c r="W328" s="69" t="s">
        <v>26</v>
      </c>
      <c r="X328" s="69" t="s">
        <v>27</v>
      </c>
      <c r="Y328" s="69" t="s">
        <v>28</v>
      </c>
      <c r="Z328" s="69" t="s">
        <v>29</v>
      </c>
      <c r="AA328" s="4"/>
      <c r="AB328" s="4"/>
      <c r="AC328" s="4"/>
      <c r="AD328" s="70"/>
      <c r="AE328" s="70">
        <f>スカートスーツ!AK10</f>
        <v>0</v>
      </c>
      <c r="AF328" s="70" t="str">
        <f>スカートスーツ!V10</f>
        <v>通常</v>
      </c>
      <c r="AG328" s="70">
        <v>0</v>
      </c>
      <c r="AH328" s="6">
        <f xml:space="preserve"> スカートスーツ!AI10</f>
        <v>0</v>
      </c>
      <c r="AI328">
        <v>1</v>
      </c>
      <c r="AJ328">
        <f>スカートスーツ!Y10</f>
        <v>0</v>
      </c>
    </row>
    <row r="329" spans="1:36" ht="13.5" hidden="1" customHeight="1">
      <c r="A329" s="3" t="str">
        <f>IF(スカートスーツ!A11="","",スカートスーツ!A11)</f>
        <v/>
      </c>
      <c r="B329" s="68" t="str">
        <f>IF(スカートスーツ!B11="","",スカートスーツ!B11)</f>
        <v/>
      </c>
      <c r="C329" s="3" t="str">
        <f>IF(スカートスーツ!C11="","",スカートスーツ!C11)</f>
        <v>◇ サイズ レディース E</v>
      </c>
      <c r="D329" s="3" t="str">
        <f>IF(スカートスーツ!E11="","",スカートスーツ!E11)</f>
        <v>無</v>
      </c>
      <c r="E329" s="3" t="str">
        <f>IF(スカートスーツ!AG11="","",スカートスーツ!AG11)</f>
        <v>ベースW</v>
      </c>
      <c r="F329" s="3" t="str">
        <f>IF(スカートスーツ!G11="","",スカートスーツ!G11)</f>
        <v/>
      </c>
      <c r="G329" s="3" t="str">
        <f>IF(スカートスーツ!H11="","",スカートスーツ!H11)</f>
        <v/>
      </c>
      <c r="H329" s="3" t="str">
        <f>IF(スカートスーツ!I11="","",スカートスーツ!I11)&amp;"仕立"</f>
        <v>仕立</v>
      </c>
      <c r="I329" s="3" t="str">
        <f>IF(スカートスーツ!J11="","",スカートスーツ!J11)</f>
        <v>画像参照</v>
      </c>
      <c r="J329" s="3" t="str">
        <f>IF(スカートスーツ!K11="","",スカートスーツ!K11)</f>
        <v/>
      </c>
      <c r="K329" s="3" t="str">
        <f>IF(スカートスーツ!L11="","",スカートスーツ!L11)</f>
        <v>サイズ</v>
      </c>
      <c r="L329" s="69" t="s">
        <v>80</v>
      </c>
      <c r="M329" s="69" t="s">
        <v>19</v>
      </c>
      <c r="N329" s="69" t="s">
        <v>20</v>
      </c>
      <c r="O329" s="69" t="s">
        <v>21</v>
      </c>
      <c r="P329" s="71" t="str">
        <f>スカートスーツ!AF11</f>
        <v>【ジャケット】サイズ　着丈：約cm　肩幅：約cm　身幅：約cm　袖丈：約cm&lt;br&gt;【スカート】　総丈：約cm  ウエスト：約cm　ヒップ：約cm</v>
      </c>
      <c r="Q329" s="69" t="s">
        <v>3038</v>
      </c>
      <c r="R329" s="69" t="s">
        <v>22</v>
      </c>
      <c r="S329" s="69" t="s">
        <v>23</v>
      </c>
      <c r="T329" s="69" t="s">
        <v>22</v>
      </c>
      <c r="U329" s="69" t="s">
        <v>24</v>
      </c>
      <c r="V329" s="69" t="s">
        <v>25</v>
      </c>
      <c r="W329" s="69" t="s">
        <v>26</v>
      </c>
      <c r="X329" s="69" t="s">
        <v>27</v>
      </c>
      <c r="Y329" s="69" t="s">
        <v>28</v>
      </c>
      <c r="Z329" s="69" t="s">
        <v>29</v>
      </c>
      <c r="AA329" s="4"/>
      <c r="AB329" s="4"/>
      <c r="AC329" s="4"/>
      <c r="AD329" s="70"/>
      <c r="AE329" s="70">
        <f>スカートスーツ!AK11</f>
        <v>0</v>
      </c>
      <c r="AF329" s="70" t="str">
        <f>スカートスーツ!V11</f>
        <v>通常</v>
      </c>
      <c r="AG329" s="70">
        <v>0</v>
      </c>
      <c r="AH329" s="6">
        <f xml:space="preserve"> スカートスーツ!AI11</f>
        <v>0</v>
      </c>
      <c r="AI329">
        <v>1</v>
      </c>
      <c r="AJ329">
        <f>スカートスーツ!Y11</f>
        <v>0</v>
      </c>
    </row>
    <row r="330" spans="1:36" ht="13.5" hidden="1" customHeight="1">
      <c r="A330" s="3" t="str">
        <f>IF(スカートスーツ!A12="","",スカートスーツ!A12)</f>
        <v/>
      </c>
      <c r="B330" s="68" t="str">
        <f>IF(スカートスーツ!B12="","",スカートスーツ!B12)</f>
        <v/>
      </c>
      <c r="C330" s="3" t="str">
        <f>IF(スカートスーツ!C12="","",スカートスーツ!C12)</f>
        <v>◇ サイズ レディース E</v>
      </c>
      <c r="D330" s="3" t="str">
        <f>IF(スカートスーツ!E12="","",スカートスーツ!E12)</f>
        <v>無</v>
      </c>
      <c r="E330" s="3" t="str">
        <f>IF(スカートスーツ!AG12="","",スカートスーツ!AG12)</f>
        <v>ベースW</v>
      </c>
      <c r="F330" s="3" t="str">
        <f>IF(スカートスーツ!G12="","",スカートスーツ!G12)</f>
        <v/>
      </c>
      <c r="G330" s="3" t="str">
        <f>IF(スカートスーツ!H12="","",スカートスーツ!H12)</f>
        <v/>
      </c>
      <c r="H330" s="3" t="str">
        <f>IF(スカートスーツ!I12="","",スカートスーツ!I12)&amp;"仕立"</f>
        <v>仕立</v>
      </c>
      <c r="I330" s="3" t="str">
        <f>IF(スカートスーツ!J12="","",スカートスーツ!J12)</f>
        <v>画像参照</v>
      </c>
      <c r="J330" s="3" t="str">
        <f>IF(スカートスーツ!K12="","",スカートスーツ!K12)</f>
        <v/>
      </c>
      <c r="K330" s="3" t="str">
        <f>IF(スカートスーツ!L12="","",スカートスーツ!L12)</f>
        <v>サイズ</v>
      </c>
      <c r="L330" s="69" t="s">
        <v>80</v>
      </c>
      <c r="M330" s="69" t="s">
        <v>19</v>
      </c>
      <c r="N330" s="69" t="s">
        <v>20</v>
      </c>
      <c r="O330" s="69" t="s">
        <v>21</v>
      </c>
      <c r="P330" s="71" t="str">
        <f>スカートスーツ!AF12</f>
        <v>【ジャケット】サイズ　着丈：約cm　肩幅：約cm　身幅：約cm　袖丈：約cm&lt;br&gt;【スカート】　総丈：約cm  ウエスト：約cm　ヒップ：約cm</v>
      </c>
      <c r="Q330" s="69" t="s">
        <v>3038</v>
      </c>
      <c r="R330" s="69" t="s">
        <v>22</v>
      </c>
      <c r="S330" s="69" t="s">
        <v>23</v>
      </c>
      <c r="T330" s="69" t="s">
        <v>22</v>
      </c>
      <c r="U330" s="69" t="s">
        <v>24</v>
      </c>
      <c r="V330" s="69" t="s">
        <v>25</v>
      </c>
      <c r="W330" s="69" t="s">
        <v>26</v>
      </c>
      <c r="X330" s="69" t="s">
        <v>27</v>
      </c>
      <c r="Y330" s="69" t="s">
        <v>28</v>
      </c>
      <c r="Z330" s="69" t="s">
        <v>29</v>
      </c>
      <c r="AA330" s="4"/>
      <c r="AB330" s="4"/>
      <c r="AC330" s="4"/>
      <c r="AD330" s="70"/>
      <c r="AE330" s="70">
        <f>スカートスーツ!AK12</f>
        <v>0</v>
      </c>
      <c r="AF330" s="70" t="str">
        <f>スカートスーツ!V12</f>
        <v>通常</v>
      </c>
      <c r="AG330" s="70">
        <v>0</v>
      </c>
      <c r="AH330" s="6">
        <f xml:space="preserve"> スカートスーツ!AI12</f>
        <v>0</v>
      </c>
      <c r="AI330">
        <v>1</v>
      </c>
      <c r="AJ330">
        <f>スカートスーツ!Y12</f>
        <v>0</v>
      </c>
    </row>
    <row r="331" spans="1:36" ht="13.5" hidden="1" customHeight="1">
      <c r="A331" s="3" t="str">
        <f>IF(スカートスーツ!A13="","",スカートスーツ!A13)</f>
        <v/>
      </c>
      <c r="B331" s="68" t="str">
        <f>IF(スカートスーツ!B13="","",スカートスーツ!B13)</f>
        <v/>
      </c>
      <c r="C331" s="3" t="str">
        <f>IF(スカートスーツ!C13="","",スカートスーツ!C13)</f>
        <v>◇ サイズ レディース E</v>
      </c>
      <c r="D331" s="3" t="str">
        <f>IF(スカートスーツ!E13="","",スカートスーツ!E13)</f>
        <v>無</v>
      </c>
      <c r="E331" s="3" t="str">
        <f>IF(スカートスーツ!AG13="","",スカートスーツ!AG13)</f>
        <v>ベースW</v>
      </c>
      <c r="F331" s="3" t="str">
        <f>IF(スカートスーツ!G13="","",スカートスーツ!G13)</f>
        <v/>
      </c>
      <c r="G331" s="3" t="str">
        <f>IF(スカートスーツ!H13="","",スカートスーツ!H13)</f>
        <v/>
      </c>
      <c r="H331" s="3" t="str">
        <f>IF(スカートスーツ!I13="","",スカートスーツ!I13)&amp;"仕立"</f>
        <v>仕立</v>
      </c>
      <c r="I331" s="3" t="str">
        <f>IF(スカートスーツ!J13="","",スカートスーツ!J13)</f>
        <v>画像参照</v>
      </c>
      <c r="J331" s="3" t="str">
        <f>IF(スカートスーツ!K13="","",スカートスーツ!K13)</f>
        <v/>
      </c>
      <c r="K331" s="3" t="str">
        <f>IF(スカートスーツ!L13="","",スカートスーツ!L13)</f>
        <v>サイズ</v>
      </c>
      <c r="L331" s="69" t="s">
        <v>80</v>
      </c>
      <c r="M331" s="69" t="s">
        <v>19</v>
      </c>
      <c r="N331" s="69" t="s">
        <v>20</v>
      </c>
      <c r="O331" s="69" t="s">
        <v>21</v>
      </c>
      <c r="P331" s="71" t="str">
        <f>スカートスーツ!AF13</f>
        <v>【ジャケット】サイズ　着丈：約cm　肩幅：約cm　身幅：約cm　袖丈：約cm&lt;br&gt;【スカート】　総丈：約cm  ウエスト：約cm　ヒップ：約cm</v>
      </c>
      <c r="Q331" s="69" t="s">
        <v>3038</v>
      </c>
      <c r="R331" s="69" t="s">
        <v>22</v>
      </c>
      <c r="S331" s="69" t="s">
        <v>23</v>
      </c>
      <c r="T331" s="69" t="s">
        <v>22</v>
      </c>
      <c r="U331" s="69" t="s">
        <v>24</v>
      </c>
      <c r="V331" s="69" t="s">
        <v>25</v>
      </c>
      <c r="W331" s="69" t="s">
        <v>26</v>
      </c>
      <c r="X331" s="69" t="s">
        <v>27</v>
      </c>
      <c r="Y331" s="69" t="s">
        <v>28</v>
      </c>
      <c r="Z331" s="69" t="s">
        <v>29</v>
      </c>
      <c r="AA331" s="4"/>
      <c r="AB331" s="4"/>
      <c r="AC331" s="4"/>
      <c r="AD331" s="70"/>
      <c r="AE331" s="70">
        <f>スカートスーツ!AK13</f>
        <v>0</v>
      </c>
      <c r="AF331" s="70" t="str">
        <f>スカートスーツ!V13</f>
        <v>通常</v>
      </c>
      <c r="AG331" s="70">
        <v>0</v>
      </c>
      <c r="AH331" s="6">
        <f xml:space="preserve"> スカートスーツ!AI13</f>
        <v>0</v>
      </c>
      <c r="AI331">
        <v>1</v>
      </c>
      <c r="AJ331">
        <f>スカートスーツ!Y13</f>
        <v>0</v>
      </c>
    </row>
    <row r="332" spans="1:36" ht="13.5" hidden="1" customHeight="1">
      <c r="A332" s="3" t="str">
        <f>IF(スカートスーツ!A14="","",スカートスーツ!A14)</f>
        <v/>
      </c>
      <c r="B332" s="68" t="str">
        <f>IF(スカートスーツ!B14="","",スカートスーツ!B14)</f>
        <v/>
      </c>
      <c r="C332" s="3" t="str">
        <f>IF(スカートスーツ!C14="","",スカートスーツ!C14)</f>
        <v>◇ サイズ レディース E</v>
      </c>
      <c r="D332" s="3" t="str">
        <f>IF(スカートスーツ!E14="","",スカートスーツ!E14)</f>
        <v>無</v>
      </c>
      <c r="E332" s="3" t="str">
        <f>IF(スカートスーツ!AG14="","",スカートスーツ!AG14)</f>
        <v>ベースW</v>
      </c>
      <c r="F332" s="3" t="str">
        <f>IF(スカートスーツ!G14="","",スカートスーツ!G14)</f>
        <v/>
      </c>
      <c r="G332" s="3" t="str">
        <f>IF(スカートスーツ!H14="","",スカートスーツ!H14)</f>
        <v/>
      </c>
      <c r="H332" s="3" t="str">
        <f>IF(スカートスーツ!I14="","",スカートスーツ!I14)&amp;"仕立"</f>
        <v>仕立</v>
      </c>
      <c r="I332" s="3" t="str">
        <f>IF(スカートスーツ!J14="","",スカートスーツ!J14)</f>
        <v>画像参照</v>
      </c>
      <c r="J332" s="3" t="str">
        <f>IF(スカートスーツ!K14="","",スカートスーツ!K14)</f>
        <v/>
      </c>
      <c r="K332" s="3" t="str">
        <f>IF(スカートスーツ!L14="","",スカートスーツ!L14)</f>
        <v>サイズ</v>
      </c>
      <c r="L332" s="69" t="s">
        <v>80</v>
      </c>
      <c r="M332" s="69" t="s">
        <v>19</v>
      </c>
      <c r="N332" s="69" t="s">
        <v>20</v>
      </c>
      <c r="O332" s="69" t="s">
        <v>21</v>
      </c>
      <c r="P332" s="71" t="str">
        <f>スカートスーツ!AF14</f>
        <v>【ジャケット】サイズ　着丈：約cm　肩幅：約cm　身幅：約cm　袖丈：約cm&lt;br&gt;【スカート】　総丈：約cm  ウエスト：約cm　ヒップ：約cm</v>
      </c>
      <c r="Q332" s="69" t="s">
        <v>3038</v>
      </c>
      <c r="R332" s="69" t="s">
        <v>22</v>
      </c>
      <c r="S332" s="69" t="s">
        <v>23</v>
      </c>
      <c r="T332" s="69" t="s">
        <v>22</v>
      </c>
      <c r="U332" s="69" t="s">
        <v>24</v>
      </c>
      <c r="V332" s="69" t="s">
        <v>25</v>
      </c>
      <c r="W332" s="69" t="s">
        <v>26</v>
      </c>
      <c r="X332" s="69" t="s">
        <v>27</v>
      </c>
      <c r="Y332" s="69" t="s">
        <v>28</v>
      </c>
      <c r="Z332" s="69" t="s">
        <v>29</v>
      </c>
      <c r="AA332" s="4"/>
      <c r="AB332" s="4"/>
      <c r="AC332" s="4"/>
      <c r="AD332" s="70"/>
      <c r="AE332" s="70">
        <f>スカートスーツ!AK14</f>
        <v>0</v>
      </c>
      <c r="AF332" s="70" t="str">
        <f>スカートスーツ!V14</f>
        <v>通常</v>
      </c>
      <c r="AG332" s="70">
        <v>0</v>
      </c>
      <c r="AH332" s="6">
        <f xml:space="preserve"> スカートスーツ!AI14</f>
        <v>0</v>
      </c>
      <c r="AI332">
        <v>1</v>
      </c>
      <c r="AJ332">
        <f>スカートスーツ!Y14</f>
        <v>0</v>
      </c>
    </row>
    <row r="333" spans="1:36" ht="13.5" hidden="1" customHeight="1">
      <c r="A333" s="3" t="str">
        <f>IF(スカートスーツ!A15="","",スカートスーツ!A15)</f>
        <v/>
      </c>
      <c r="B333" s="68" t="str">
        <f>IF(スカートスーツ!B15="","",スカートスーツ!B15)</f>
        <v/>
      </c>
      <c r="C333" s="3" t="str">
        <f>IF(スカートスーツ!C15="","",スカートスーツ!C15)</f>
        <v>◇ サイズ レディース E</v>
      </c>
      <c r="D333" s="3" t="str">
        <f>IF(スカートスーツ!E15="","",スカートスーツ!E15)</f>
        <v>無</v>
      </c>
      <c r="E333" s="3" t="str">
        <f>IF(スカートスーツ!AG15="","",スカートスーツ!AG15)</f>
        <v>ベースW</v>
      </c>
      <c r="F333" s="3" t="str">
        <f>IF(スカートスーツ!G15="","",スカートスーツ!G15)</f>
        <v/>
      </c>
      <c r="G333" s="3" t="str">
        <f>IF(スカートスーツ!H15="","",スカートスーツ!H15)</f>
        <v/>
      </c>
      <c r="H333" s="3" t="str">
        <f>IF(スカートスーツ!I15="","",スカートスーツ!I15)&amp;"仕立"</f>
        <v>仕立</v>
      </c>
      <c r="I333" s="3" t="str">
        <f>IF(スカートスーツ!J15="","",スカートスーツ!J15)</f>
        <v>画像参照</v>
      </c>
      <c r="J333" s="3" t="str">
        <f>IF(スカートスーツ!K15="","",スカートスーツ!K15)</f>
        <v/>
      </c>
      <c r="K333" s="3" t="str">
        <f>IF(スカートスーツ!L15="","",スカートスーツ!L15)</f>
        <v>サイズ</v>
      </c>
      <c r="L333" s="69" t="s">
        <v>80</v>
      </c>
      <c r="M333" s="69" t="s">
        <v>19</v>
      </c>
      <c r="N333" s="69" t="s">
        <v>20</v>
      </c>
      <c r="O333" s="69" t="s">
        <v>21</v>
      </c>
      <c r="P333" s="71" t="str">
        <f>スカートスーツ!AF15</f>
        <v>【ジャケット】サイズ　着丈：約cm　肩幅：約cm　身幅：約cm　袖丈：約cm&lt;br&gt;【スカート】　総丈：約cm  ウエスト：約cm　ヒップ：約cm</v>
      </c>
      <c r="Q333" s="69" t="s">
        <v>3038</v>
      </c>
      <c r="R333" s="69" t="s">
        <v>22</v>
      </c>
      <c r="S333" s="69" t="s">
        <v>23</v>
      </c>
      <c r="T333" s="69" t="s">
        <v>22</v>
      </c>
      <c r="U333" s="69" t="s">
        <v>24</v>
      </c>
      <c r="V333" s="69" t="s">
        <v>25</v>
      </c>
      <c r="W333" s="69" t="s">
        <v>26</v>
      </c>
      <c r="X333" s="69" t="s">
        <v>27</v>
      </c>
      <c r="Y333" s="69" t="s">
        <v>28</v>
      </c>
      <c r="Z333" s="69" t="s">
        <v>29</v>
      </c>
      <c r="AA333" s="4"/>
      <c r="AB333" s="4"/>
      <c r="AC333" s="4"/>
      <c r="AD333" s="70"/>
      <c r="AE333" s="70">
        <f>スカートスーツ!AK15</f>
        <v>0</v>
      </c>
      <c r="AF333" s="70" t="str">
        <f>スカートスーツ!V15</f>
        <v>通常</v>
      </c>
      <c r="AG333" s="70">
        <v>0</v>
      </c>
      <c r="AH333" s="6">
        <f xml:space="preserve"> スカートスーツ!AI15</f>
        <v>0</v>
      </c>
      <c r="AI333">
        <v>1</v>
      </c>
      <c r="AJ333">
        <f>スカートスーツ!Y15</f>
        <v>0</v>
      </c>
    </row>
    <row r="334" spans="1:36" ht="13.5" hidden="1" customHeight="1">
      <c r="A334" s="3" t="str">
        <f>IF(スカートスーツ!A16="","",スカートスーツ!A16)</f>
        <v/>
      </c>
      <c r="B334" s="68" t="str">
        <f>IF(スカートスーツ!B16="","",スカートスーツ!B16)</f>
        <v/>
      </c>
      <c r="C334" s="3" t="str">
        <f>IF(スカートスーツ!C16="","",スカートスーツ!C16)</f>
        <v>◇ サイズ レディース E</v>
      </c>
      <c r="D334" s="3" t="str">
        <f>IF(スカートスーツ!E16="","",スカートスーツ!E16)</f>
        <v>無</v>
      </c>
      <c r="E334" s="3" t="str">
        <f>IF(スカートスーツ!AG16="","",スカートスーツ!AG16)</f>
        <v>ベースW</v>
      </c>
      <c r="F334" s="3" t="str">
        <f>IF(スカートスーツ!G16="","",スカートスーツ!G16)</f>
        <v/>
      </c>
      <c r="G334" s="3" t="str">
        <f>IF(スカートスーツ!H16="","",スカートスーツ!H16)</f>
        <v/>
      </c>
      <c r="H334" s="3" t="str">
        <f>IF(スカートスーツ!I16="","",スカートスーツ!I16)&amp;"仕立"</f>
        <v>仕立</v>
      </c>
      <c r="I334" s="3" t="str">
        <f>IF(スカートスーツ!J16="","",スカートスーツ!J16)</f>
        <v>画像参照</v>
      </c>
      <c r="J334" s="3" t="str">
        <f>IF(スカートスーツ!K16="","",スカートスーツ!K16)</f>
        <v/>
      </c>
      <c r="K334" s="3" t="str">
        <f>IF(スカートスーツ!L16="","",スカートスーツ!L16)</f>
        <v>サイズ</v>
      </c>
      <c r="L334" s="69" t="s">
        <v>80</v>
      </c>
      <c r="M334" s="69" t="s">
        <v>19</v>
      </c>
      <c r="N334" s="69" t="s">
        <v>20</v>
      </c>
      <c r="O334" s="69" t="s">
        <v>21</v>
      </c>
      <c r="P334" s="71" t="str">
        <f>スカートスーツ!AF16</f>
        <v>【ジャケット】サイズ　着丈：約cm　肩幅：約cm　身幅：約cm　袖丈：約cm&lt;br&gt;【スカート】　総丈：約cm  ウエスト：約cm　ヒップ：約cm</v>
      </c>
      <c r="Q334" s="69" t="s">
        <v>3038</v>
      </c>
      <c r="R334" s="69" t="s">
        <v>22</v>
      </c>
      <c r="S334" s="69" t="s">
        <v>23</v>
      </c>
      <c r="T334" s="69" t="s">
        <v>22</v>
      </c>
      <c r="U334" s="69" t="s">
        <v>24</v>
      </c>
      <c r="V334" s="69" t="s">
        <v>25</v>
      </c>
      <c r="W334" s="69" t="s">
        <v>26</v>
      </c>
      <c r="X334" s="69" t="s">
        <v>27</v>
      </c>
      <c r="Y334" s="69" t="s">
        <v>28</v>
      </c>
      <c r="Z334" s="69" t="s">
        <v>29</v>
      </c>
      <c r="AA334" s="4"/>
      <c r="AB334" s="4"/>
      <c r="AC334" s="4"/>
      <c r="AD334" s="70"/>
      <c r="AE334" s="70">
        <f>スカートスーツ!AK16</f>
        <v>0</v>
      </c>
      <c r="AF334" s="70" t="str">
        <f>スカートスーツ!V16</f>
        <v>通常</v>
      </c>
      <c r="AG334" s="70">
        <v>0</v>
      </c>
      <c r="AH334" s="6">
        <f xml:space="preserve"> スカートスーツ!AI16</f>
        <v>0</v>
      </c>
      <c r="AI334">
        <v>1</v>
      </c>
      <c r="AJ334">
        <f>スカートスーツ!Y16</f>
        <v>0</v>
      </c>
    </row>
    <row r="335" spans="1:36" ht="13.5" hidden="1" customHeight="1">
      <c r="A335" s="3" t="str">
        <f>IF(スカートスーツ!A17="","",スカートスーツ!A17)</f>
        <v/>
      </c>
      <c r="B335" s="68" t="str">
        <f>IF(スカートスーツ!B17="","",スカートスーツ!B17)</f>
        <v/>
      </c>
      <c r="C335" s="3" t="str">
        <f>IF(スカートスーツ!C17="","",スカートスーツ!C17)</f>
        <v>◇ サイズ レディース E</v>
      </c>
      <c r="D335" s="3" t="str">
        <f>IF(スカートスーツ!E17="","",スカートスーツ!E17)</f>
        <v>無</v>
      </c>
      <c r="E335" s="3" t="str">
        <f>IF(スカートスーツ!AG17="","",スカートスーツ!AG17)</f>
        <v>ベースW</v>
      </c>
      <c r="F335" s="3" t="str">
        <f>IF(スカートスーツ!G17="","",スカートスーツ!G17)</f>
        <v/>
      </c>
      <c r="G335" s="3" t="str">
        <f>IF(スカートスーツ!H17="","",スカートスーツ!H17)</f>
        <v/>
      </c>
      <c r="H335" s="3" t="str">
        <f>IF(スカートスーツ!I17="","",スカートスーツ!I17)&amp;"仕立"</f>
        <v>仕立</v>
      </c>
      <c r="I335" s="3" t="str">
        <f>IF(スカートスーツ!J17="","",スカートスーツ!J17)</f>
        <v>画像参照</v>
      </c>
      <c r="J335" s="3" t="str">
        <f>IF(スカートスーツ!K17="","",スカートスーツ!K17)</f>
        <v/>
      </c>
      <c r="K335" s="3" t="str">
        <f>IF(スカートスーツ!L17="","",スカートスーツ!L17)</f>
        <v>サイズ</v>
      </c>
      <c r="L335" s="69" t="s">
        <v>80</v>
      </c>
      <c r="M335" s="69" t="s">
        <v>19</v>
      </c>
      <c r="N335" s="69" t="s">
        <v>20</v>
      </c>
      <c r="O335" s="69" t="s">
        <v>21</v>
      </c>
      <c r="P335" s="71" t="str">
        <f>スカートスーツ!AF17</f>
        <v>【ジャケット】サイズ　着丈：約cm　肩幅：約cm　身幅：約cm　袖丈：約cm&lt;br&gt;【スカート】　総丈：約cm  ウエスト：約cm　ヒップ：約cm</v>
      </c>
      <c r="Q335" s="69" t="s">
        <v>3038</v>
      </c>
      <c r="R335" s="69" t="s">
        <v>22</v>
      </c>
      <c r="S335" s="69" t="s">
        <v>23</v>
      </c>
      <c r="T335" s="69" t="s">
        <v>22</v>
      </c>
      <c r="U335" s="69" t="s">
        <v>24</v>
      </c>
      <c r="V335" s="69" t="s">
        <v>25</v>
      </c>
      <c r="W335" s="69" t="s">
        <v>26</v>
      </c>
      <c r="X335" s="69" t="s">
        <v>27</v>
      </c>
      <c r="Y335" s="69" t="s">
        <v>28</v>
      </c>
      <c r="Z335" s="69" t="s">
        <v>29</v>
      </c>
      <c r="AA335" s="4"/>
      <c r="AB335" s="4"/>
      <c r="AC335" s="4"/>
      <c r="AD335" s="70"/>
      <c r="AE335" s="70">
        <f>スカートスーツ!AK17</f>
        <v>0</v>
      </c>
      <c r="AF335" s="70" t="str">
        <f>スカートスーツ!V17</f>
        <v>通常</v>
      </c>
      <c r="AG335" s="70">
        <v>0</v>
      </c>
      <c r="AH335" s="6">
        <f xml:space="preserve"> スカートスーツ!AI17</f>
        <v>0</v>
      </c>
      <c r="AI335">
        <v>1</v>
      </c>
      <c r="AJ335">
        <f>スカートスーツ!Y17</f>
        <v>0</v>
      </c>
    </row>
    <row r="336" spans="1:36" ht="13.5" hidden="1" customHeight="1">
      <c r="A336" s="3" t="str">
        <f>IF(スカートスーツ!A18="","",スカートスーツ!A18)</f>
        <v/>
      </c>
      <c r="B336" s="68" t="str">
        <f>IF(スカートスーツ!B18="","",スカートスーツ!B18)</f>
        <v/>
      </c>
      <c r="C336" s="3" t="str">
        <f>IF(スカートスーツ!C18="","",スカートスーツ!C18)</f>
        <v>◇ サイズ レディース E</v>
      </c>
      <c r="D336" s="3" t="str">
        <f>IF(スカートスーツ!E18="","",スカートスーツ!E18)</f>
        <v>無</v>
      </c>
      <c r="E336" s="3" t="str">
        <f>IF(スカートスーツ!AG18="","",スカートスーツ!AG18)</f>
        <v>ベースW</v>
      </c>
      <c r="F336" s="3" t="str">
        <f>IF(スカートスーツ!G18="","",スカートスーツ!G18)</f>
        <v/>
      </c>
      <c r="G336" s="3" t="str">
        <f>IF(スカートスーツ!H18="","",スカートスーツ!H18)</f>
        <v/>
      </c>
      <c r="H336" s="3" t="str">
        <f>IF(スカートスーツ!I18="","",スカートスーツ!I18)&amp;"仕立"</f>
        <v>仕立</v>
      </c>
      <c r="I336" s="3" t="str">
        <f>IF(スカートスーツ!J18="","",スカートスーツ!J18)</f>
        <v>画像参照</v>
      </c>
      <c r="J336" s="3" t="str">
        <f>IF(スカートスーツ!K18="","",スカートスーツ!K18)</f>
        <v/>
      </c>
      <c r="K336" s="3" t="str">
        <f>IF(スカートスーツ!L18="","",スカートスーツ!L18)</f>
        <v>サイズ</v>
      </c>
      <c r="L336" s="69" t="s">
        <v>80</v>
      </c>
      <c r="M336" s="69" t="s">
        <v>19</v>
      </c>
      <c r="N336" s="69" t="s">
        <v>20</v>
      </c>
      <c r="O336" s="69" t="s">
        <v>21</v>
      </c>
      <c r="P336" s="71" t="str">
        <f>スカートスーツ!AF18</f>
        <v>【ジャケット】サイズ　着丈：約cm　肩幅：約cm　身幅：約cm　袖丈：約cm&lt;br&gt;【スカート】　総丈：約cm  ウエスト：約cm　ヒップ：約cm</v>
      </c>
      <c r="Q336" s="69" t="s">
        <v>3038</v>
      </c>
      <c r="R336" s="69" t="s">
        <v>22</v>
      </c>
      <c r="S336" s="69" t="s">
        <v>23</v>
      </c>
      <c r="T336" s="69" t="s">
        <v>22</v>
      </c>
      <c r="U336" s="69" t="s">
        <v>24</v>
      </c>
      <c r="V336" s="69" t="s">
        <v>25</v>
      </c>
      <c r="W336" s="69" t="s">
        <v>26</v>
      </c>
      <c r="X336" s="69" t="s">
        <v>27</v>
      </c>
      <c r="Y336" s="69" t="s">
        <v>28</v>
      </c>
      <c r="Z336" s="69" t="s">
        <v>29</v>
      </c>
      <c r="AA336" s="4"/>
      <c r="AB336" s="4"/>
      <c r="AC336" s="4"/>
      <c r="AD336" s="70"/>
      <c r="AE336" s="70">
        <f>スカートスーツ!AK18</f>
        <v>0</v>
      </c>
      <c r="AF336" s="70" t="str">
        <f>スカートスーツ!V18</f>
        <v>通常</v>
      </c>
      <c r="AG336" s="70">
        <v>0</v>
      </c>
      <c r="AH336" s="6">
        <f xml:space="preserve"> スカートスーツ!AI18</f>
        <v>0</v>
      </c>
      <c r="AI336">
        <v>1</v>
      </c>
      <c r="AJ336">
        <f>スカートスーツ!Y18</f>
        <v>0</v>
      </c>
    </row>
    <row r="337" spans="1:36" ht="13.5" hidden="1" customHeight="1">
      <c r="A337" s="3" t="str">
        <f>IF(スカートスーツ!A19="","",スカートスーツ!A19)</f>
        <v/>
      </c>
      <c r="B337" s="68" t="str">
        <f>IF(スカートスーツ!B19="","",スカートスーツ!B19)</f>
        <v/>
      </c>
      <c r="C337" s="3" t="str">
        <f>IF(スカートスーツ!C19="","",スカートスーツ!C19)</f>
        <v>◇ サイズ レディース E</v>
      </c>
      <c r="D337" s="3" t="str">
        <f>IF(スカートスーツ!E19="","",スカートスーツ!E19)</f>
        <v>無</v>
      </c>
      <c r="E337" s="3" t="str">
        <f>IF(スカートスーツ!AG19="","",スカートスーツ!AG19)</f>
        <v>ベースW</v>
      </c>
      <c r="F337" s="3" t="str">
        <f>IF(スカートスーツ!G19="","",スカートスーツ!G19)</f>
        <v/>
      </c>
      <c r="G337" s="3" t="str">
        <f>IF(スカートスーツ!H19="","",スカートスーツ!H19)</f>
        <v/>
      </c>
      <c r="H337" s="3" t="str">
        <f>IF(スカートスーツ!I19="","",スカートスーツ!I19)&amp;"仕立"</f>
        <v>仕立</v>
      </c>
      <c r="I337" s="3" t="str">
        <f>IF(スカートスーツ!J19="","",スカートスーツ!J19)</f>
        <v>画像参照</v>
      </c>
      <c r="J337" s="3" t="str">
        <f>IF(スカートスーツ!K19="","",スカートスーツ!K19)</f>
        <v/>
      </c>
      <c r="K337" s="3" t="str">
        <f>IF(スカートスーツ!L19="","",スカートスーツ!L19)</f>
        <v>サイズ</v>
      </c>
      <c r="L337" s="69" t="s">
        <v>80</v>
      </c>
      <c r="M337" s="69" t="s">
        <v>19</v>
      </c>
      <c r="N337" s="69" t="s">
        <v>20</v>
      </c>
      <c r="O337" s="69" t="s">
        <v>21</v>
      </c>
      <c r="P337" s="71" t="str">
        <f>スカートスーツ!AF19</f>
        <v>【ジャケット】サイズ　着丈：約cm　肩幅：約cm　身幅：約cm　袖丈：約cm&lt;br&gt;【スカート】　総丈：約cm  ウエスト：約cm　ヒップ：約cm</v>
      </c>
      <c r="Q337" s="69" t="s">
        <v>3038</v>
      </c>
      <c r="R337" s="69" t="s">
        <v>22</v>
      </c>
      <c r="S337" s="69" t="s">
        <v>23</v>
      </c>
      <c r="T337" s="69" t="s">
        <v>22</v>
      </c>
      <c r="U337" s="69" t="s">
        <v>24</v>
      </c>
      <c r="V337" s="69" t="s">
        <v>25</v>
      </c>
      <c r="W337" s="69" t="s">
        <v>26</v>
      </c>
      <c r="X337" s="69" t="s">
        <v>27</v>
      </c>
      <c r="Y337" s="69" t="s">
        <v>28</v>
      </c>
      <c r="Z337" s="69" t="s">
        <v>29</v>
      </c>
      <c r="AA337" s="4"/>
      <c r="AB337" s="4"/>
      <c r="AC337" s="4"/>
      <c r="AD337" s="70"/>
      <c r="AE337" s="70">
        <f>スカートスーツ!AK19</f>
        <v>0</v>
      </c>
      <c r="AF337" s="70" t="str">
        <f>スカートスーツ!V19</f>
        <v>通常</v>
      </c>
      <c r="AG337" s="70">
        <v>0</v>
      </c>
      <c r="AH337" s="6">
        <f xml:space="preserve"> スカートスーツ!AI19</f>
        <v>0</v>
      </c>
      <c r="AI337">
        <v>1</v>
      </c>
      <c r="AJ337">
        <f>スカートスーツ!Y19</f>
        <v>0</v>
      </c>
    </row>
    <row r="338" spans="1:36" ht="13.5" hidden="1" customHeight="1">
      <c r="A338" s="3" t="str">
        <f>IF(スカートスーツ!A20="","",スカートスーツ!A20)</f>
        <v/>
      </c>
      <c r="B338" s="68" t="str">
        <f>IF(スカートスーツ!B20="","",スカートスーツ!B20)</f>
        <v/>
      </c>
      <c r="C338" s="3" t="str">
        <f>IF(スカートスーツ!C20="","",スカートスーツ!C20)</f>
        <v>◇ サイズ レディース E</v>
      </c>
      <c r="D338" s="3" t="str">
        <f>IF(スカートスーツ!E20="","",スカートスーツ!E20)</f>
        <v>無</v>
      </c>
      <c r="E338" s="3" t="str">
        <f>IF(スカートスーツ!AG20="","",スカートスーツ!AG20)</f>
        <v>ベースW</v>
      </c>
      <c r="F338" s="3" t="str">
        <f>IF(スカートスーツ!G20="","",スカートスーツ!G20)</f>
        <v/>
      </c>
      <c r="G338" s="3" t="str">
        <f>IF(スカートスーツ!H20="","",スカートスーツ!H20)</f>
        <v/>
      </c>
      <c r="H338" s="3" t="str">
        <f>IF(スカートスーツ!I20="","",スカートスーツ!I20)&amp;"仕立"</f>
        <v>仕立</v>
      </c>
      <c r="I338" s="3" t="str">
        <f>IF(スカートスーツ!J20="","",スカートスーツ!J20)</f>
        <v>画像参照</v>
      </c>
      <c r="J338" s="3" t="str">
        <f>IF(スカートスーツ!K20="","",スカートスーツ!K20)</f>
        <v/>
      </c>
      <c r="K338" s="3" t="str">
        <f>IF(スカートスーツ!L20="","",スカートスーツ!L20)</f>
        <v>サイズ</v>
      </c>
      <c r="L338" s="69" t="s">
        <v>80</v>
      </c>
      <c r="M338" s="69" t="s">
        <v>19</v>
      </c>
      <c r="N338" s="69" t="s">
        <v>20</v>
      </c>
      <c r="O338" s="69" t="s">
        <v>21</v>
      </c>
      <c r="P338" s="71" t="str">
        <f>スカートスーツ!AF20</f>
        <v>【ジャケット】サイズ　着丈：約cm　肩幅：約cm　身幅：約cm　袖丈：約cm&lt;br&gt;【スカート】　総丈：約cm  ウエスト：約cm　ヒップ：約cm</v>
      </c>
      <c r="Q338" s="69" t="s">
        <v>3038</v>
      </c>
      <c r="R338" s="69" t="s">
        <v>22</v>
      </c>
      <c r="S338" s="69" t="s">
        <v>23</v>
      </c>
      <c r="T338" s="69" t="s">
        <v>22</v>
      </c>
      <c r="U338" s="69" t="s">
        <v>24</v>
      </c>
      <c r="V338" s="69" t="s">
        <v>25</v>
      </c>
      <c r="W338" s="69" t="s">
        <v>26</v>
      </c>
      <c r="X338" s="69" t="s">
        <v>27</v>
      </c>
      <c r="Y338" s="69" t="s">
        <v>28</v>
      </c>
      <c r="Z338" s="69" t="s">
        <v>29</v>
      </c>
      <c r="AA338" s="4"/>
      <c r="AB338" s="4"/>
      <c r="AC338" s="4"/>
      <c r="AD338" s="70"/>
      <c r="AE338" s="70">
        <f>スカートスーツ!AK20</f>
        <v>0</v>
      </c>
      <c r="AF338" s="70" t="str">
        <f>スカートスーツ!V20</f>
        <v>通常</v>
      </c>
      <c r="AG338" s="70">
        <v>0</v>
      </c>
      <c r="AH338" s="6">
        <f xml:space="preserve"> スカートスーツ!AI20</f>
        <v>0</v>
      </c>
      <c r="AI338">
        <v>1</v>
      </c>
      <c r="AJ338">
        <f>スカートスーツ!Y20</f>
        <v>0</v>
      </c>
    </row>
    <row r="339" spans="1:36" ht="13.5" hidden="1" customHeight="1">
      <c r="A339" s="3" t="str">
        <f>IF(スカートスーツ!A21="","",スカートスーツ!A21)</f>
        <v/>
      </c>
      <c r="B339" s="68" t="str">
        <f>IF(スカートスーツ!B21="","",スカートスーツ!B21)</f>
        <v/>
      </c>
      <c r="C339" s="3" t="str">
        <f>IF(スカートスーツ!C21="","",スカートスーツ!C21)</f>
        <v>◇ サイズ レディース E</v>
      </c>
      <c r="D339" s="3" t="str">
        <f>IF(スカートスーツ!E21="","",スカートスーツ!E21)</f>
        <v>無</v>
      </c>
      <c r="E339" s="3" t="str">
        <f>IF(スカートスーツ!AG21="","",スカートスーツ!AG21)</f>
        <v>ベースW</v>
      </c>
      <c r="F339" s="3" t="str">
        <f>IF(スカートスーツ!G21="","",スカートスーツ!G21)</f>
        <v/>
      </c>
      <c r="G339" s="3" t="str">
        <f>IF(スカートスーツ!H21="","",スカートスーツ!H21)</f>
        <v/>
      </c>
      <c r="H339" s="3" t="str">
        <f>IF(スカートスーツ!I21="","",スカートスーツ!I21)&amp;"仕立"</f>
        <v>仕立</v>
      </c>
      <c r="I339" s="3" t="str">
        <f>IF(スカートスーツ!J21="","",スカートスーツ!J21)</f>
        <v>画像参照</v>
      </c>
      <c r="J339" s="3" t="str">
        <f>IF(スカートスーツ!K21="","",スカートスーツ!K21)</f>
        <v/>
      </c>
      <c r="K339" s="3" t="str">
        <f>IF(スカートスーツ!L21="","",スカートスーツ!L21)</f>
        <v>サイズ</v>
      </c>
      <c r="L339" s="69" t="s">
        <v>80</v>
      </c>
      <c r="M339" s="69" t="s">
        <v>19</v>
      </c>
      <c r="N339" s="69" t="s">
        <v>20</v>
      </c>
      <c r="O339" s="69" t="s">
        <v>21</v>
      </c>
      <c r="P339" s="71" t="str">
        <f>スカートスーツ!AF21</f>
        <v>【ジャケット】サイズ　着丈：約cm　肩幅：約cm　身幅：約cm　袖丈：約cm&lt;br&gt;【スカート】　総丈：約cm  ウエスト：約cm　ヒップ：約cm</v>
      </c>
      <c r="Q339" s="69" t="s">
        <v>3038</v>
      </c>
      <c r="R339" s="69" t="s">
        <v>22</v>
      </c>
      <c r="S339" s="69" t="s">
        <v>23</v>
      </c>
      <c r="T339" s="69" t="s">
        <v>22</v>
      </c>
      <c r="U339" s="69" t="s">
        <v>24</v>
      </c>
      <c r="V339" s="69" t="s">
        <v>25</v>
      </c>
      <c r="W339" s="69" t="s">
        <v>26</v>
      </c>
      <c r="X339" s="69" t="s">
        <v>27</v>
      </c>
      <c r="Y339" s="69" t="s">
        <v>28</v>
      </c>
      <c r="Z339" s="69" t="s">
        <v>29</v>
      </c>
      <c r="AA339" s="4"/>
      <c r="AB339" s="4"/>
      <c r="AC339" s="4"/>
      <c r="AD339" s="70"/>
      <c r="AE339" s="70">
        <f>スカートスーツ!AK21</f>
        <v>0</v>
      </c>
      <c r="AF339" s="70" t="str">
        <f>スカートスーツ!V21</f>
        <v>通常</v>
      </c>
      <c r="AG339" s="70">
        <v>0</v>
      </c>
      <c r="AH339" s="6">
        <f xml:space="preserve"> スカートスーツ!AI21</f>
        <v>0</v>
      </c>
      <c r="AI339">
        <v>1</v>
      </c>
      <c r="AJ339">
        <f>スカートスーツ!Y21</f>
        <v>0</v>
      </c>
    </row>
    <row r="340" spans="1:36" ht="13.5" hidden="1" customHeight="1">
      <c r="A340" s="3" t="str">
        <f>IF(パンツスーツ!A2="","",パンツスーツ!A2)</f>
        <v/>
      </c>
      <c r="B340" s="68" t="str">
        <f>IF(パンツスーツ!B2="","",パンツスーツ!B2)</f>
        <v/>
      </c>
      <c r="C340" s="3" t="str">
        <f>IF(パンツスーツ!C2="","",パンツスーツ!C2)</f>
        <v>◇ サイズ E</v>
      </c>
      <c r="D340" s="3" t="str">
        <f>IF(パンツスーツ!E2="","",パンツスーツ!E2)</f>
        <v>無</v>
      </c>
      <c r="E340" s="3" t="str">
        <f>IF(パンツスーツ!AO2="","",パンツスーツ!AO2)</f>
        <v>ベースW</v>
      </c>
      <c r="F340" s="3" t="str">
        <f>IF(パンツスーツ!G2="","",パンツスーツ!G2)</f>
        <v/>
      </c>
      <c r="G340" s="3" t="str">
        <f>IF(パンツスーツ!H2="","",パンツスーツ!H2)</f>
        <v/>
      </c>
      <c r="H340" s="3" t="str">
        <f>パンツスーツ!AN2</f>
        <v>仕立　内収納：      ウエスト余り：約cm　裾余り：約cm</v>
      </c>
      <c r="I340" s="3" t="str">
        <f>IF(パンツスーツ!O2="","",パンツスーツ!O2)</f>
        <v>画像参照</v>
      </c>
      <c r="J340" s="3" t="str">
        <f>IF(パンツスーツ!P2="","",パンツスーツ!P2)</f>
        <v/>
      </c>
      <c r="K340" s="3" t="str">
        <f>IF(パンツスーツ!Q2="","",パンツスーツ!Q2)</f>
        <v>サイズ</v>
      </c>
      <c r="L340" s="69" t="s">
        <v>80</v>
      </c>
      <c r="M340" s="69" t="s">
        <v>19</v>
      </c>
      <c r="N340" s="69" t="s">
        <v>20</v>
      </c>
      <c r="O340" s="69" t="s">
        <v>21</v>
      </c>
      <c r="P340" s="69" t="s">
        <v>3036</v>
      </c>
      <c r="Q340" s="71" t="str">
        <f>パンツスーツ!AM2</f>
        <v>【ジャケット】サイズ　着丈：約cm　肩幅：約cm　身幅：約cm　袖丈：約cm&lt;br&gt;【パンツ】サイズ　股上：約cm　股下：約cm　ウエスト：約cm　もも幅：約cm　裾幅：約cm</v>
      </c>
      <c r="R340" s="69" t="s">
        <v>22</v>
      </c>
      <c r="S340" s="69" t="s">
        <v>23</v>
      </c>
      <c r="T340" s="69" t="s">
        <v>22</v>
      </c>
      <c r="U340" s="69" t="s">
        <v>24</v>
      </c>
      <c r="V340" s="69" t="s">
        <v>25</v>
      </c>
      <c r="W340" s="69" t="s">
        <v>26</v>
      </c>
      <c r="X340" s="69" t="s">
        <v>27</v>
      </c>
      <c r="Y340" s="69" t="s">
        <v>28</v>
      </c>
      <c r="Z340" s="69" t="s">
        <v>29</v>
      </c>
      <c r="AA340" s="4"/>
      <c r="AB340" s="4"/>
      <c r="AC340" s="4"/>
      <c r="AD340" s="70"/>
      <c r="AE340" s="70">
        <f>パンツスーツ!AS2</f>
        <v>0</v>
      </c>
      <c r="AF340" s="70" t="str">
        <f>パンツスーツ!AC2</f>
        <v>通常</v>
      </c>
      <c r="AG340" s="70">
        <v>0</v>
      </c>
      <c r="AH340" s="6">
        <f xml:space="preserve"> パンツスーツ!AQ2</f>
        <v>0</v>
      </c>
      <c r="AI340">
        <v>1</v>
      </c>
      <c r="AJ340">
        <f>パンツスーツ!AF2</f>
        <v>0</v>
      </c>
    </row>
    <row r="341" spans="1:36" ht="13.5" hidden="1" customHeight="1">
      <c r="A341" s="3" t="str">
        <f>IF(パンツスーツ!A3="","",パンツスーツ!A3)</f>
        <v/>
      </c>
      <c r="B341" s="68" t="str">
        <f>IF(パンツスーツ!B3="","",パンツスーツ!B3)</f>
        <v/>
      </c>
      <c r="C341" s="3" t="str">
        <f>IF(パンツスーツ!C3="","",パンツスーツ!C3)</f>
        <v>◇ サイズ E</v>
      </c>
      <c r="D341" s="3" t="str">
        <f>IF(パンツスーツ!E3="","",パンツスーツ!E3)</f>
        <v>無</v>
      </c>
      <c r="E341" s="3" t="str">
        <f>IF(パンツスーツ!AO3="","",パンツスーツ!AO3)</f>
        <v>ベースW</v>
      </c>
      <c r="F341" s="3" t="str">
        <f>IF(パンツスーツ!G3="","",パンツスーツ!G3)</f>
        <v/>
      </c>
      <c r="G341" s="3" t="str">
        <f>IF(パンツスーツ!H3="","",パンツスーツ!H3)</f>
        <v/>
      </c>
      <c r="H341" s="3" t="str">
        <f>パンツスーツ!AN3</f>
        <v>仕立　内収納：      ウエスト余り：約cm　裾余り：約cm</v>
      </c>
      <c r="I341" s="3" t="str">
        <f>IF(パンツスーツ!O3="","",パンツスーツ!O3)</f>
        <v>画像参照</v>
      </c>
      <c r="J341" s="3" t="str">
        <f>IF(パンツスーツ!P3="","",パンツスーツ!P3)</f>
        <v/>
      </c>
      <c r="K341" s="3" t="str">
        <f>IF(パンツスーツ!Q3="","",パンツスーツ!Q3)</f>
        <v>サイズ</v>
      </c>
      <c r="L341" s="69" t="s">
        <v>80</v>
      </c>
      <c r="M341" s="69" t="s">
        <v>19</v>
      </c>
      <c r="N341" s="69" t="s">
        <v>20</v>
      </c>
      <c r="O341" s="69" t="s">
        <v>21</v>
      </c>
      <c r="P341" s="69" t="s">
        <v>3036</v>
      </c>
      <c r="Q341" s="71" t="str">
        <f>パンツスーツ!AM3</f>
        <v>【ジャケット】サイズ　着丈：約cm　肩幅：約cm　身幅：約cm　袖丈：約cm&lt;br&gt;【パンツ】サイズ　股上：約cm　股下：約cm　ウエスト：約cm　もも幅：約cm　裾幅：約cm</v>
      </c>
      <c r="R341" s="69" t="s">
        <v>22</v>
      </c>
      <c r="S341" s="69" t="s">
        <v>23</v>
      </c>
      <c r="T341" s="69" t="s">
        <v>22</v>
      </c>
      <c r="U341" s="69" t="s">
        <v>24</v>
      </c>
      <c r="V341" s="69" t="s">
        <v>25</v>
      </c>
      <c r="W341" s="69" t="s">
        <v>26</v>
      </c>
      <c r="X341" s="69" t="s">
        <v>27</v>
      </c>
      <c r="Y341" s="69" t="s">
        <v>28</v>
      </c>
      <c r="Z341" s="69" t="s">
        <v>29</v>
      </c>
      <c r="AA341" s="4"/>
      <c r="AB341" s="4"/>
      <c r="AC341" s="4"/>
      <c r="AD341" s="70"/>
      <c r="AE341" s="70">
        <f>パンツスーツ!AS3</f>
        <v>0</v>
      </c>
      <c r="AF341" s="70" t="str">
        <f>パンツスーツ!AC3</f>
        <v>通常</v>
      </c>
      <c r="AG341" s="70">
        <v>0</v>
      </c>
      <c r="AH341" s="6">
        <f xml:space="preserve"> パンツスーツ!AQ3</f>
        <v>0</v>
      </c>
      <c r="AI341">
        <v>1</v>
      </c>
      <c r="AJ341">
        <f>パンツスーツ!AF3</f>
        <v>0</v>
      </c>
    </row>
    <row r="342" spans="1:36" ht="13.5" hidden="1" customHeight="1">
      <c r="A342" s="3" t="str">
        <f>IF(パンツスーツ!A4="","",パンツスーツ!A4)</f>
        <v/>
      </c>
      <c r="B342" s="68" t="str">
        <f>IF(パンツスーツ!B4="","",パンツスーツ!B4)</f>
        <v/>
      </c>
      <c r="C342" s="3" t="str">
        <f>IF(パンツスーツ!C4="","",パンツスーツ!C4)</f>
        <v>◇ サイズ E</v>
      </c>
      <c r="D342" s="3" t="str">
        <f>IF(パンツスーツ!E4="","",パンツスーツ!E4)</f>
        <v>無</v>
      </c>
      <c r="E342" s="3" t="str">
        <f>IF(パンツスーツ!AO4="","",パンツスーツ!AO4)</f>
        <v>ベースW</v>
      </c>
      <c r="F342" s="3" t="str">
        <f>IF(パンツスーツ!G4="","",パンツスーツ!G4)</f>
        <v/>
      </c>
      <c r="G342" s="3" t="str">
        <f>IF(パンツスーツ!H4="","",パンツスーツ!H4)</f>
        <v/>
      </c>
      <c r="H342" s="3" t="str">
        <f>パンツスーツ!AN4</f>
        <v>仕立　内収納：      ウエスト余り：約cm　裾余り：約cm</v>
      </c>
      <c r="I342" s="3" t="str">
        <f>IF(パンツスーツ!O4="","",パンツスーツ!O4)</f>
        <v>画像参照</v>
      </c>
      <c r="J342" s="3" t="str">
        <f>IF(パンツスーツ!P4="","",パンツスーツ!P4)</f>
        <v/>
      </c>
      <c r="K342" s="3" t="str">
        <f>IF(パンツスーツ!Q4="","",パンツスーツ!Q4)</f>
        <v>サイズ</v>
      </c>
      <c r="L342" s="69" t="s">
        <v>80</v>
      </c>
      <c r="M342" s="69" t="s">
        <v>19</v>
      </c>
      <c r="N342" s="69" t="s">
        <v>20</v>
      </c>
      <c r="O342" s="69" t="s">
        <v>21</v>
      </c>
      <c r="P342" s="69" t="s">
        <v>3036</v>
      </c>
      <c r="Q342" s="71" t="str">
        <f>パンツスーツ!AM4</f>
        <v>【ジャケット】サイズ　着丈：約cm　肩幅：約cm　身幅：約cm　袖丈：約cm&lt;br&gt;【パンツ】サイズ　股上：約cm　股下：約cm　ウエスト：約cm　もも幅：約cm　裾幅：約cm</v>
      </c>
      <c r="R342" s="69" t="s">
        <v>22</v>
      </c>
      <c r="S342" s="69" t="s">
        <v>23</v>
      </c>
      <c r="T342" s="69" t="s">
        <v>22</v>
      </c>
      <c r="U342" s="69" t="s">
        <v>24</v>
      </c>
      <c r="V342" s="69" t="s">
        <v>25</v>
      </c>
      <c r="W342" s="69" t="s">
        <v>26</v>
      </c>
      <c r="X342" s="69" t="s">
        <v>27</v>
      </c>
      <c r="Y342" s="69" t="s">
        <v>28</v>
      </c>
      <c r="Z342" s="69" t="s">
        <v>29</v>
      </c>
      <c r="AA342" s="4"/>
      <c r="AB342" s="4"/>
      <c r="AC342" s="4"/>
      <c r="AD342" s="70"/>
      <c r="AE342" s="70">
        <f>パンツスーツ!AS4</f>
        <v>0</v>
      </c>
      <c r="AF342" s="70" t="str">
        <f>パンツスーツ!AC4</f>
        <v>通常</v>
      </c>
      <c r="AG342" s="70">
        <v>0</v>
      </c>
      <c r="AH342" s="6">
        <f xml:space="preserve"> パンツスーツ!AQ4</f>
        <v>0</v>
      </c>
      <c r="AI342">
        <v>1</v>
      </c>
      <c r="AJ342">
        <f>パンツスーツ!AF4</f>
        <v>0</v>
      </c>
    </row>
    <row r="343" spans="1:36" ht="13.5" hidden="1" customHeight="1">
      <c r="A343" s="3" t="str">
        <f>IF(パンツスーツ!A5="","",パンツスーツ!A5)</f>
        <v/>
      </c>
      <c r="B343" s="68" t="str">
        <f>IF(パンツスーツ!B5="","",パンツスーツ!B5)</f>
        <v/>
      </c>
      <c r="C343" s="3" t="str">
        <f>IF(パンツスーツ!C5="","",パンツスーツ!C5)</f>
        <v>◇ サイズ E</v>
      </c>
      <c r="D343" s="3" t="str">
        <f>IF(パンツスーツ!E5="","",パンツスーツ!E5)</f>
        <v>無</v>
      </c>
      <c r="E343" s="3" t="str">
        <f>IF(パンツスーツ!AO5="","",パンツスーツ!AO5)</f>
        <v>ベースW</v>
      </c>
      <c r="F343" s="3" t="str">
        <f>IF(パンツスーツ!G5="","",パンツスーツ!G5)</f>
        <v/>
      </c>
      <c r="G343" s="3" t="str">
        <f>IF(パンツスーツ!H5="","",パンツスーツ!H5)</f>
        <v/>
      </c>
      <c r="H343" s="3" t="str">
        <f>パンツスーツ!AN5</f>
        <v>仕立　内収納：      ウエスト余り：約cm　裾余り：約cm</v>
      </c>
      <c r="I343" s="3" t="str">
        <f>IF(パンツスーツ!O5="","",パンツスーツ!O5)</f>
        <v>画像参照</v>
      </c>
      <c r="J343" s="3" t="str">
        <f>IF(パンツスーツ!P5="","",パンツスーツ!P5)</f>
        <v/>
      </c>
      <c r="K343" s="3" t="str">
        <f>IF(パンツスーツ!Q5="","",パンツスーツ!Q5)</f>
        <v>サイズ</v>
      </c>
      <c r="L343" s="69" t="s">
        <v>80</v>
      </c>
      <c r="M343" s="69" t="s">
        <v>19</v>
      </c>
      <c r="N343" s="69" t="s">
        <v>20</v>
      </c>
      <c r="O343" s="69" t="s">
        <v>21</v>
      </c>
      <c r="P343" s="69" t="s">
        <v>3036</v>
      </c>
      <c r="Q343" s="71" t="str">
        <f>パンツスーツ!AM5</f>
        <v>【ジャケット】サイズ　着丈：約cm　肩幅：約cm　身幅：約cm　袖丈：約cm&lt;br&gt;【パンツ】サイズ　股上：約cm　股下：約cm　ウエスト：約cm　もも幅：約cm　裾幅：約cm</v>
      </c>
      <c r="R343" s="69" t="s">
        <v>22</v>
      </c>
      <c r="S343" s="69" t="s">
        <v>23</v>
      </c>
      <c r="T343" s="69" t="s">
        <v>22</v>
      </c>
      <c r="U343" s="69" t="s">
        <v>24</v>
      </c>
      <c r="V343" s="69" t="s">
        <v>25</v>
      </c>
      <c r="W343" s="69" t="s">
        <v>26</v>
      </c>
      <c r="X343" s="69" t="s">
        <v>27</v>
      </c>
      <c r="Y343" s="69" t="s">
        <v>28</v>
      </c>
      <c r="Z343" s="69" t="s">
        <v>29</v>
      </c>
      <c r="AA343" s="4"/>
      <c r="AB343" s="4"/>
      <c r="AC343" s="4"/>
      <c r="AD343" s="70"/>
      <c r="AE343" s="70">
        <f>パンツスーツ!AS5</f>
        <v>0</v>
      </c>
      <c r="AF343" s="70" t="str">
        <f>パンツスーツ!AC5</f>
        <v>通常</v>
      </c>
      <c r="AG343" s="70">
        <v>0</v>
      </c>
      <c r="AH343" s="6">
        <f xml:space="preserve"> パンツスーツ!AQ5</f>
        <v>0</v>
      </c>
      <c r="AI343">
        <v>1</v>
      </c>
      <c r="AJ343">
        <f>パンツスーツ!AF5</f>
        <v>0</v>
      </c>
    </row>
    <row r="344" spans="1:36" ht="13.5" hidden="1" customHeight="1">
      <c r="A344" s="3" t="str">
        <f>IF(パンツスーツ!A6="","",パンツスーツ!A6)</f>
        <v/>
      </c>
      <c r="B344" s="68" t="str">
        <f>IF(パンツスーツ!B6="","",パンツスーツ!B6)</f>
        <v/>
      </c>
      <c r="C344" s="3" t="str">
        <f>IF(パンツスーツ!C6="","",パンツスーツ!C6)</f>
        <v>◇ サイズ E</v>
      </c>
      <c r="D344" s="3" t="str">
        <f>IF(パンツスーツ!E6="","",パンツスーツ!E6)</f>
        <v>無</v>
      </c>
      <c r="E344" s="3" t="str">
        <f>IF(パンツスーツ!AO6="","",パンツスーツ!AO6)</f>
        <v>ベースW</v>
      </c>
      <c r="F344" s="3" t="str">
        <f>IF(パンツスーツ!G6="","",パンツスーツ!G6)</f>
        <v/>
      </c>
      <c r="G344" s="3" t="str">
        <f>IF(パンツスーツ!H6="","",パンツスーツ!H6)</f>
        <v/>
      </c>
      <c r="H344" s="3" t="str">
        <f>パンツスーツ!AN6</f>
        <v>仕立　内収納：      ウエスト余り：約cm　裾余り：約cm</v>
      </c>
      <c r="I344" s="3" t="str">
        <f>IF(パンツスーツ!O6="","",パンツスーツ!O6)</f>
        <v>画像参照</v>
      </c>
      <c r="J344" s="3" t="str">
        <f>IF(パンツスーツ!P6="","",パンツスーツ!P6)</f>
        <v/>
      </c>
      <c r="K344" s="3" t="str">
        <f>IF(パンツスーツ!Q6="","",パンツスーツ!Q6)</f>
        <v>サイズ</v>
      </c>
      <c r="L344" s="69" t="s">
        <v>80</v>
      </c>
      <c r="M344" s="69" t="s">
        <v>19</v>
      </c>
      <c r="N344" s="69" t="s">
        <v>20</v>
      </c>
      <c r="O344" s="69" t="s">
        <v>21</v>
      </c>
      <c r="P344" s="69" t="s">
        <v>3036</v>
      </c>
      <c r="Q344" s="71" t="str">
        <f>パンツスーツ!AM6</f>
        <v>【ジャケット】サイズ　着丈：約cm　肩幅：約cm　身幅：約cm　袖丈：約cm&lt;br&gt;【パンツ】サイズ　股上：約cm　股下：約cm　ウエスト：約cm　もも幅：約cm　裾幅：約cm</v>
      </c>
      <c r="R344" s="69" t="s">
        <v>22</v>
      </c>
      <c r="S344" s="69" t="s">
        <v>23</v>
      </c>
      <c r="T344" s="69" t="s">
        <v>22</v>
      </c>
      <c r="U344" s="69" t="s">
        <v>24</v>
      </c>
      <c r="V344" s="69" t="s">
        <v>25</v>
      </c>
      <c r="W344" s="69" t="s">
        <v>26</v>
      </c>
      <c r="X344" s="69" t="s">
        <v>27</v>
      </c>
      <c r="Y344" s="69" t="s">
        <v>28</v>
      </c>
      <c r="Z344" s="69" t="s">
        <v>29</v>
      </c>
      <c r="AA344" s="4"/>
      <c r="AB344" s="4"/>
      <c r="AC344" s="4"/>
      <c r="AD344" s="70"/>
      <c r="AE344" s="70">
        <f>パンツスーツ!AS6</f>
        <v>0</v>
      </c>
      <c r="AF344" s="70" t="str">
        <f>パンツスーツ!AC6</f>
        <v>通常</v>
      </c>
      <c r="AG344" s="70">
        <v>0</v>
      </c>
      <c r="AH344" s="6">
        <f xml:space="preserve"> パンツスーツ!AQ6</f>
        <v>0</v>
      </c>
      <c r="AI344">
        <v>1</v>
      </c>
      <c r="AJ344">
        <f>パンツスーツ!AF6</f>
        <v>0</v>
      </c>
    </row>
    <row r="345" spans="1:36" ht="13.5" hidden="1" customHeight="1">
      <c r="A345" s="3" t="str">
        <f>IF(パンツスーツ!A7="","",パンツスーツ!A7)</f>
        <v/>
      </c>
      <c r="B345" s="68" t="str">
        <f>IF(パンツスーツ!B7="","",パンツスーツ!B7)</f>
        <v/>
      </c>
      <c r="C345" s="3" t="str">
        <f>IF(パンツスーツ!C7="","",パンツスーツ!C7)</f>
        <v>◇ サイズ E</v>
      </c>
      <c r="D345" s="3" t="str">
        <f>IF(パンツスーツ!E7="","",パンツスーツ!E7)</f>
        <v>無</v>
      </c>
      <c r="E345" s="3" t="str">
        <f>IF(パンツスーツ!AO7="","",パンツスーツ!AO7)</f>
        <v>ベースW</v>
      </c>
      <c r="F345" s="3" t="str">
        <f>IF(パンツスーツ!G7="","",パンツスーツ!G7)</f>
        <v/>
      </c>
      <c r="G345" s="3" t="str">
        <f>IF(パンツスーツ!H7="","",パンツスーツ!H7)</f>
        <v/>
      </c>
      <c r="H345" s="3" t="str">
        <f>パンツスーツ!AN7</f>
        <v>仕立　内収納：      ウエスト余り：約cm　裾余り：約cm</v>
      </c>
      <c r="I345" s="3" t="str">
        <f>IF(パンツスーツ!O7="","",パンツスーツ!O7)</f>
        <v>画像参照</v>
      </c>
      <c r="J345" s="3" t="str">
        <f>IF(パンツスーツ!P7="","",パンツスーツ!P7)</f>
        <v/>
      </c>
      <c r="K345" s="3" t="str">
        <f>IF(パンツスーツ!Q7="","",パンツスーツ!Q7)</f>
        <v>サイズ</v>
      </c>
      <c r="L345" s="69" t="s">
        <v>80</v>
      </c>
      <c r="M345" s="69" t="s">
        <v>19</v>
      </c>
      <c r="N345" s="69" t="s">
        <v>20</v>
      </c>
      <c r="O345" s="69" t="s">
        <v>21</v>
      </c>
      <c r="P345" s="69" t="s">
        <v>3036</v>
      </c>
      <c r="Q345" s="71" t="str">
        <f>パンツスーツ!AM7</f>
        <v>【ジャケット】サイズ　着丈：約cm　肩幅：約cm　身幅：約cm　袖丈：約cm&lt;br&gt;【パンツ】サイズ　股上：約cm　股下：約cm　ウエスト：約cm　もも幅：約cm　裾幅：約cm</v>
      </c>
      <c r="R345" s="69" t="s">
        <v>22</v>
      </c>
      <c r="S345" s="69" t="s">
        <v>23</v>
      </c>
      <c r="T345" s="69" t="s">
        <v>22</v>
      </c>
      <c r="U345" s="69" t="s">
        <v>24</v>
      </c>
      <c r="V345" s="69" t="s">
        <v>25</v>
      </c>
      <c r="W345" s="69" t="s">
        <v>26</v>
      </c>
      <c r="X345" s="69" t="s">
        <v>27</v>
      </c>
      <c r="Y345" s="69" t="s">
        <v>28</v>
      </c>
      <c r="Z345" s="69" t="s">
        <v>29</v>
      </c>
      <c r="AA345" s="4"/>
      <c r="AB345" s="4"/>
      <c r="AC345" s="4"/>
      <c r="AD345" s="70"/>
      <c r="AE345" s="70">
        <f>パンツスーツ!AS7</f>
        <v>0</v>
      </c>
      <c r="AF345" s="70" t="str">
        <f>パンツスーツ!AC7</f>
        <v>通常</v>
      </c>
      <c r="AG345" s="70">
        <v>0</v>
      </c>
      <c r="AH345" s="6">
        <f xml:space="preserve"> パンツスーツ!AQ7</f>
        <v>0</v>
      </c>
      <c r="AI345">
        <v>1</v>
      </c>
      <c r="AJ345">
        <f>パンツスーツ!AF7</f>
        <v>0</v>
      </c>
    </row>
    <row r="346" spans="1:36" ht="13.5" hidden="1" customHeight="1">
      <c r="A346" s="3" t="str">
        <f>IF(パンツスーツ!A8="","",パンツスーツ!A8)</f>
        <v/>
      </c>
      <c r="B346" s="68" t="str">
        <f>IF(パンツスーツ!B8="","",パンツスーツ!B8)</f>
        <v/>
      </c>
      <c r="C346" s="3" t="str">
        <f>IF(パンツスーツ!C8="","",パンツスーツ!C8)</f>
        <v>◇ サイズ E</v>
      </c>
      <c r="D346" s="3" t="str">
        <f>IF(パンツスーツ!E8="","",パンツスーツ!E8)</f>
        <v>無</v>
      </c>
      <c r="E346" s="3" t="str">
        <f>IF(パンツスーツ!AO8="","",パンツスーツ!AO8)</f>
        <v>ベースW</v>
      </c>
      <c r="F346" s="3" t="str">
        <f>IF(パンツスーツ!G8="","",パンツスーツ!G8)</f>
        <v/>
      </c>
      <c r="G346" s="3" t="str">
        <f>IF(パンツスーツ!H8="","",パンツスーツ!H8)</f>
        <v/>
      </c>
      <c r="H346" s="3" t="str">
        <f>パンツスーツ!AN8</f>
        <v>仕立　内収納：      ウエスト余り：約cm　裾余り：約cm</v>
      </c>
      <c r="I346" s="3" t="str">
        <f>IF(パンツスーツ!O8="","",パンツスーツ!O8)</f>
        <v>画像参照</v>
      </c>
      <c r="J346" s="3" t="str">
        <f>IF(パンツスーツ!P8="","",パンツスーツ!P8)</f>
        <v/>
      </c>
      <c r="K346" s="3" t="str">
        <f>IF(パンツスーツ!Q8="","",パンツスーツ!Q8)</f>
        <v>サイズ</v>
      </c>
      <c r="L346" s="69" t="s">
        <v>80</v>
      </c>
      <c r="M346" s="69" t="s">
        <v>19</v>
      </c>
      <c r="N346" s="69" t="s">
        <v>20</v>
      </c>
      <c r="O346" s="69" t="s">
        <v>21</v>
      </c>
      <c r="P346" s="69" t="s">
        <v>3036</v>
      </c>
      <c r="Q346" s="71" t="str">
        <f>パンツスーツ!AM8</f>
        <v>【ジャケット】サイズ　着丈：約cm　肩幅：約cm　身幅：約cm　袖丈：約cm&lt;br&gt;【パンツ】サイズ　股上：約cm　股下：約cm　ウエスト：約cm　もも幅：約cm　裾幅：約cm</v>
      </c>
      <c r="R346" s="69" t="s">
        <v>22</v>
      </c>
      <c r="S346" s="69" t="s">
        <v>23</v>
      </c>
      <c r="T346" s="69" t="s">
        <v>22</v>
      </c>
      <c r="U346" s="69" t="s">
        <v>24</v>
      </c>
      <c r="V346" s="69" t="s">
        <v>25</v>
      </c>
      <c r="W346" s="69" t="s">
        <v>26</v>
      </c>
      <c r="X346" s="69" t="s">
        <v>27</v>
      </c>
      <c r="Y346" s="69" t="s">
        <v>28</v>
      </c>
      <c r="Z346" s="69" t="s">
        <v>29</v>
      </c>
      <c r="AA346" s="4"/>
      <c r="AB346" s="4"/>
      <c r="AC346" s="4"/>
      <c r="AD346" s="70"/>
      <c r="AE346" s="70">
        <f>パンツスーツ!AS8</f>
        <v>0</v>
      </c>
      <c r="AF346" s="70" t="str">
        <f>パンツスーツ!AC8</f>
        <v>通常</v>
      </c>
      <c r="AG346" s="70">
        <v>0</v>
      </c>
      <c r="AH346" s="6">
        <f xml:space="preserve"> パンツスーツ!AQ8</f>
        <v>0</v>
      </c>
      <c r="AI346">
        <v>1</v>
      </c>
      <c r="AJ346">
        <f>パンツスーツ!AF8</f>
        <v>0</v>
      </c>
    </row>
    <row r="347" spans="1:36" ht="13.5" hidden="1" customHeight="1">
      <c r="A347" s="3" t="str">
        <f>IF(パンツスーツ!A9="","",パンツスーツ!A9)</f>
        <v/>
      </c>
      <c r="B347" s="68" t="str">
        <f>IF(パンツスーツ!B9="","",パンツスーツ!B9)</f>
        <v/>
      </c>
      <c r="C347" s="3" t="str">
        <f>IF(パンツスーツ!C9="","",パンツスーツ!C9)</f>
        <v>◇ サイズ E</v>
      </c>
      <c r="D347" s="3" t="str">
        <f>IF(パンツスーツ!E9="","",パンツスーツ!E9)</f>
        <v>無</v>
      </c>
      <c r="E347" s="3" t="str">
        <f>IF(パンツスーツ!AO9="","",パンツスーツ!AO9)</f>
        <v>ベースW</v>
      </c>
      <c r="F347" s="3" t="str">
        <f>IF(パンツスーツ!G9="","",パンツスーツ!G9)</f>
        <v/>
      </c>
      <c r="G347" s="3" t="str">
        <f>IF(パンツスーツ!H9="","",パンツスーツ!H9)</f>
        <v/>
      </c>
      <c r="H347" s="3" t="str">
        <f>パンツスーツ!AN9</f>
        <v>仕立　内収納：      ウエスト余り：約cm　裾余り：約cm</v>
      </c>
      <c r="I347" s="3" t="str">
        <f>IF(パンツスーツ!O9="","",パンツスーツ!O9)</f>
        <v>画像参照</v>
      </c>
      <c r="J347" s="3" t="str">
        <f>IF(パンツスーツ!P9="","",パンツスーツ!P9)</f>
        <v/>
      </c>
      <c r="K347" s="3" t="str">
        <f>IF(パンツスーツ!Q9="","",パンツスーツ!Q9)</f>
        <v>サイズ</v>
      </c>
      <c r="L347" s="69" t="s">
        <v>80</v>
      </c>
      <c r="M347" s="69" t="s">
        <v>19</v>
      </c>
      <c r="N347" s="69" t="s">
        <v>20</v>
      </c>
      <c r="O347" s="69" t="s">
        <v>21</v>
      </c>
      <c r="P347" s="69" t="s">
        <v>3036</v>
      </c>
      <c r="Q347" s="71" t="str">
        <f>パンツスーツ!AM9</f>
        <v>【ジャケット】サイズ　着丈：約cm　肩幅：約cm　身幅：約cm　袖丈：約cm&lt;br&gt;【パンツ】サイズ　股上：約cm　股下：約cm　ウエスト：約cm　もも幅：約cm　裾幅：約cm</v>
      </c>
      <c r="R347" s="69" t="s">
        <v>22</v>
      </c>
      <c r="S347" s="69" t="s">
        <v>23</v>
      </c>
      <c r="T347" s="69" t="s">
        <v>22</v>
      </c>
      <c r="U347" s="69" t="s">
        <v>24</v>
      </c>
      <c r="V347" s="69" t="s">
        <v>25</v>
      </c>
      <c r="W347" s="69" t="s">
        <v>26</v>
      </c>
      <c r="X347" s="69" t="s">
        <v>27</v>
      </c>
      <c r="Y347" s="69" t="s">
        <v>28</v>
      </c>
      <c r="Z347" s="69" t="s">
        <v>29</v>
      </c>
      <c r="AA347" s="4"/>
      <c r="AB347" s="4"/>
      <c r="AC347" s="4"/>
      <c r="AD347" s="70"/>
      <c r="AE347" s="70">
        <f>パンツスーツ!AS9</f>
        <v>0</v>
      </c>
      <c r="AF347" s="70" t="str">
        <f>パンツスーツ!AC9</f>
        <v>通常</v>
      </c>
      <c r="AG347" s="70">
        <v>0</v>
      </c>
      <c r="AH347" s="6">
        <f xml:space="preserve"> パンツスーツ!AQ9</f>
        <v>0</v>
      </c>
      <c r="AI347">
        <v>1</v>
      </c>
      <c r="AJ347">
        <f>パンツスーツ!AF9</f>
        <v>0</v>
      </c>
    </row>
    <row r="348" spans="1:36" ht="13.5" hidden="1" customHeight="1">
      <c r="A348" s="3" t="str">
        <f>IF(パンツスーツ!A10="","",パンツスーツ!A10)</f>
        <v/>
      </c>
      <c r="B348" s="68" t="str">
        <f>IF(パンツスーツ!B10="","",パンツスーツ!B10)</f>
        <v/>
      </c>
      <c r="C348" s="3" t="str">
        <f>IF(パンツスーツ!C10="","",パンツスーツ!C10)</f>
        <v>◇ サイズ E</v>
      </c>
      <c r="D348" s="3" t="str">
        <f>IF(パンツスーツ!E10="","",パンツスーツ!E10)</f>
        <v>無</v>
      </c>
      <c r="E348" s="3" t="str">
        <f>IF(パンツスーツ!AO10="","",パンツスーツ!AO10)</f>
        <v>ベースW</v>
      </c>
      <c r="F348" s="3" t="str">
        <f>IF(パンツスーツ!G10="","",パンツスーツ!G10)</f>
        <v/>
      </c>
      <c r="G348" s="3" t="str">
        <f>IF(パンツスーツ!H10="","",パンツスーツ!H10)</f>
        <v/>
      </c>
      <c r="H348" s="3" t="str">
        <f>パンツスーツ!AN10</f>
        <v>仕立　内収納：      ウエスト余り：約cm　裾余り：約cm</v>
      </c>
      <c r="I348" s="3" t="str">
        <f>IF(パンツスーツ!O10="","",パンツスーツ!O10)</f>
        <v>画像参照</v>
      </c>
      <c r="J348" s="3" t="str">
        <f>IF(パンツスーツ!P10="","",パンツスーツ!P10)</f>
        <v/>
      </c>
      <c r="K348" s="3" t="str">
        <f>IF(パンツスーツ!Q10="","",パンツスーツ!Q10)</f>
        <v>サイズ</v>
      </c>
      <c r="L348" s="69" t="s">
        <v>80</v>
      </c>
      <c r="M348" s="69" t="s">
        <v>19</v>
      </c>
      <c r="N348" s="69" t="s">
        <v>20</v>
      </c>
      <c r="O348" s="69" t="s">
        <v>21</v>
      </c>
      <c r="P348" s="69" t="s">
        <v>3036</v>
      </c>
      <c r="Q348" s="71" t="str">
        <f>パンツスーツ!AM10</f>
        <v>【ジャケット】サイズ　着丈：約cm　肩幅：約cm　身幅：約cm　袖丈：約cm&lt;br&gt;【パンツ】サイズ　股上：約cm　股下：約cm　ウエスト：約cm　もも幅：約cm　裾幅：約cm</v>
      </c>
      <c r="R348" s="69" t="s">
        <v>22</v>
      </c>
      <c r="S348" s="69" t="s">
        <v>23</v>
      </c>
      <c r="T348" s="69" t="s">
        <v>22</v>
      </c>
      <c r="U348" s="69" t="s">
        <v>24</v>
      </c>
      <c r="V348" s="69" t="s">
        <v>25</v>
      </c>
      <c r="W348" s="69" t="s">
        <v>26</v>
      </c>
      <c r="X348" s="69" t="s">
        <v>27</v>
      </c>
      <c r="Y348" s="69" t="s">
        <v>28</v>
      </c>
      <c r="Z348" s="69" t="s">
        <v>29</v>
      </c>
      <c r="AA348" s="4"/>
      <c r="AB348" s="4"/>
      <c r="AC348" s="4"/>
      <c r="AD348" s="70"/>
      <c r="AE348" s="70">
        <f>パンツスーツ!AS10</f>
        <v>0</v>
      </c>
      <c r="AF348" s="70" t="str">
        <f>パンツスーツ!AC10</f>
        <v>通常</v>
      </c>
      <c r="AG348" s="70">
        <v>0</v>
      </c>
      <c r="AH348" s="6">
        <f xml:space="preserve"> パンツスーツ!AQ10</f>
        <v>0</v>
      </c>
      <c r="AI348">
        <v>1</v>
      </c>
      <c r="AJ348">
        <f>パンツスーツ!AF10</f>
        <v>0</v>
      </c>
    </row>
    <row r="349" spans="1:36" ht="13.5" hidden="1" customHeight="1">
      <c r="A349" s="3" t="str">
        <f>IF(パンツスーツ!A11="","",パンツスーツ!A11)</f>
        <v/>
      </c>
      <c r="B349" s="68" t="str">
        <f>IF(パンツスーツ!B11="","",パンツスーツ!B11)</f>
        <v/>
      </c>
      <c r="C349" s="3" t="str">
        <f>IF(パンツスーツ!C11="","",パンツスーツ!C11)</f>
        <v>◇ サイズ E</v>
      </c>
      <c r="D349" s="3" t="str">
        <f>IF(パンツスーツ!E11="","",パンツスーツ!E11)</f>
        <v>無</v>
      </c>
      <c r="E349" s="3" t="str">
        <f>IF(パンツスーツ!AO11="","",パンツスーツ!AO11)</f>
        <v>ベースW</v>
      </c>
      <c r="F349" s="3" t="str">
        <f>IF(パンツスーツ!G11="","",パンツスーツ!G11)</f>
        <v/>
      </c>
      <c r="G349" s="3" t="str">
        <f>IF(パンツスーツ!H11="","",パンツスーツ!H11)</f>
        <v/>
      </c>
      <c r="H349" s="3" t="str">
        <f>パンツスーツ!AN11</f>
        <v>仕立　内収納：      ウエスト余り：約cm　裾余り：約cm</v>
      </c>
      <c r="I349" s="3" t="str">
        <f>IF(パンツスーツ!O11="","",パンツスーツ!O11)</f>
        <v>画像参照</v>
      </c>
      <c r="J349" s="3" t="str">
        <f>IF(パンツスーツ!P11="","",パンツスーツ!P11)</f>
        <v/>
      </c>
      <c r="K349" s="3" t="str">
        <f>IF(パンツスーツ!Q11="","",パンツスーツ!Q11)</f>
        <v>サイズ</v>
      </c>
      <c r="L349" s="69" t="s">
        <v>80</v>
      </c>
      <c r="M349" s="69" t="s">
        <v>19</v>
      </c>
      <c r="N349" s="69" t="s">
        <v>20</v>
      </c>
      <c r="O349" s="69" t="s">
        <v>21</v>
      </c>
      <c r="P349" s="69" t="s">
        <v>3036</v>
      </c>
      <c r="Q349" s="71" t="str">
        <f>パンツスーツ!AM11</f>
        <v>【ジャケット】サイズ　着丈：約cm　肩幅：約cm　身幅：約cm　袖丈：約cm&lt;br&gt;【パンツ】サイズ　股上：約cm　股下：約cm　ウエスト：約cm　もも幅：約cm　裾幅：約cm</v>
      </c>
      <c r="R349" s="69" t="s">
        <v>22</v>
      </c>
      <c r="S349" s="69" t="s">
        <v>23</v>
      </c>
      <c r="T349" s="69" t="s">
        <v>22</v>
      </c>
      <c r="U349" s="69" t="s">
        <v>24</v>
      </c>
      <c r="V349" s="69" t="s">
        <v>25</v>
      </c>
      <c r="W349" s="69" t="s">
        <v>26</v>
      </c>
      <c r="X349" s="69" t="s">
        <v>27</v>
      </c>
      <c r="Y349" s="69" t="s">
        <v>28</v>
      </c>
      <c r="Z349" s="69" t="s">
        <v>29</v>
      </c>
      <c r="AA349" s="4"/>
      <c r="AB349" s="4"/>
      <c r="AC349" s="4"/>
      <c r="AD349" s="70"/>
      <c r="AE349" s="70">
        <f>パンツスーツ!AS11</f>
        <v>0</v>
      </c>
      <c r="AF349" s="70" t="str">
        <f>パンツスーツ!AC11</f>
        <v>通常</v>
      </c>
      <c r="AG349" s="70">
        <v>0</v>
      </c>
      <c r="AH349" s="6">
        <f xml:space="preserve"> パンツスーツ!AQ11</f>
        <v>0</v>
      </c>
      <c r="AI349">
        <v>1</v>
      </c>
      <c r="AJ349">
        <f>パンツスーツ!AF11</f>
        <v>0</v>
      </c>
    </row>
    <row r="350" spans="1:36" ht="13.5" hidden="1" customHeight="1">
      <c r="A350" s="3" t="str">
        <f>IF(パンツスーツ!A12="","",パンツスーツ!A12)</f>
        <v/>
      </c>
      <c r="B350" s="68" t="str">
        <f>IF(パンツスーツ!B12="","",パンツスーツ!B12)</f>
        <v/>
      </c>
      <c r="C350" s="3" t="str">
        <f>IF(パンツスーツ!C12="","",パンツスーツ!C12)</f>
        <v>◇ サイズ E</v>
      </c>
      <c r="D350" s="3" t="str">
        <f>IF(パンツスーツ!E12="","",パンツスーツ!E12)</f>
        <v>無</v>
      </c>
      <c r="E350" s="3" t="str">
        <f>IF(パンツスーツ!AO12="","",パンツスーツ!AO12)</f>
        <v>ベースW</v>
      </c>
      <c r="F350" s="3" t="str">
        <f>IF(パンツスーツ!G12="","",パンツスーツ!G12)</f>
        <v/>
      </c>
      <c r="G350" s="3" t="str">
        <f>IF(パンツスーツ!H12="","",パンツスーツ!H12)</f>
        <v/>
      </c>
      <c r="H350" s="3" t="str">
        <f>パンツスーツ!AN12</f>
        <v>仕立　内収納：      ウエスト余り：約cm　裾余り：約cm</v>
      </c>
      <c r="I350" s="3" t="str">
        <f>IF(パンツスーツ!O12="","",パンツスーツ!O12)</f>
        <v>画像参照</v>
      </c>
      <c r="J350" s="3" t="str">
        <f>IF(パンツスーツ!P12="","",パンツスーツ!P12)</f>
        <v/>
      </c>
      <c r="K350" s="3" t="str">
        <f>IF(パンツスーツ!Q12="","",パンツスーツ!Q12)</f>
        <v>サイズ</v>
      </c>
      <c r="L350" s="69" t="s">
        <v>80</v>
      </c>
      <c r="M350" s="69" t="s">
        <v>19</v>
      </c>
      <c r="N350" s="69" t="s">
        <v>20</v>
      </c>
      <c r="O350" s="69" t="s">
        <v>21</v>
      </c>
      <c r="P350" s="69" t="s">
        <v>3036</v>
      </c>
      <c r="Q350" s="71" t="str">
        <f>パンツスーツ!AM12</f>
        <v>【ジャケット】サイズ　着丈：約cm　肩幅：約cm　身幅：約cm　袖丈：約cm&lt;br&gt;【パンツ】サイズ　股上：約cm　股下：約cm　ウエスト：約cm　もも幅：約cm　裾幅：約cm</v>
      </c>
      <c r="R350" s="69" t="s">
        <v>22</v>
      </c>
      <c r="S350" s="69" t="s">
        <v>23</v>
      </c>
      <c r="T350" s="69" t="s">
        <v>22</v>
      </c>
      <c r="U350" s="69" t="s">
        <v>24</v>
      </c>
      <c r="V350" s="69" t="s">
        <v>25</v>
      </c>
      <c r="W350" s="69" t="s">
        <v>26</v>
      </c>
      <c r="X350" s="69" t="s">
        <v>27</v>
      </c>
      <c r="Y350" s="69" t="s">
        <v>28</v>
      </c>
      <c r="Z350" s="69" t="s">
        <v>29</v>
      </c>
      <c r="AA350" s="4"/>
      <c r="AB350" s="4"/>
      <c r="AC350" s="4"/>
      <c r="AD350" s="70"/>
      <c r="AE350" s="70">
        <f>パンツスーツ!AS12</f>
        <v>0</v>
      </c>
      <c r="AF350" s="70" t="str">
        <f>パンツスーツ!AC12</f>
        <v>通常</v>
      </c>
      <c r="AG350" s="70">
        <v>0</v>
      </c>
      <c r="AH350" s="6">
        <f xml:space="preserve"> パンツスーツ!AQ12</f>
        <v>0</v>
      </c>
      <c r="AI350">
        <v>1</v>
      </c>
      <c r="AJ350">
        <f>パンツスーツ!AF12</f>
        <v>0</v>
      </c>
    </row>
    <row r="351" spans="1:36" ht="13.5" hidden="1" customHeight="1">
      <c r="A351" s="3" t="str">
        <f>IF(パンツスーツ!A13="","",パンツスーツ!A13)</f>
        <v/>
      </c>
      <c r="B351" s="68" t="str">
        <f>IF(パンツスーツ!B13="","",パンツスーツ!B13)</f>
        <v/>
      </c>
      <c r="C351" s="3" t="str">
        <f>IF(パンツスーツ!C13="","",パンツスーツ!C13)</f>
        <v>◇ サイズ E</v>
      </c>
      <c r="D351" s="3" t="str">
        <f>IF(パンツスーツ!E13="","",パンツスーツ!E13)</f>
        <v>無</v>
      </c>
      <c r="E351" s="3" t="str">
        <f>IF(パンツスーツ!AO13="","",パンツスーツ!AO13)</f>
        <v>ベースW</v>
      </c>
      <c r="F351" s="3" t="str">
        <f>IF(パンツスーツ!G13="","",パンツスーツ!G13)</f>
        <v/>
      </c>
      <c r="G351" s="3" t="str">
        <f>IF(パンツスーツ!H13="","",パンツスーツ!H13)</f>
        <v/>
      </c>
      <c r="H351" s="3" t="str">
        <f>パンツスーツ!AN13</f>
        <v>仕立　内収納：      ウエスト余り：約cm　裾余り：約cm</v>
      </c>
      <c r="I351" s="3" t="str">
        <f>IF(パンツスーツ!O13="","",パンツスーツ!O13)</f>
        <v>画像参照</v>
      </c>
      <c r="J351" s="3" t="str">
        <f>IF(パンツスーツ!P13="","",パンツスーツ!P13)</f>
        <v/>
      </c>
      <c r="K351" s="3" t="str">
        <f>IF(パンツスーツ!Q13="","",パンツスーツ!Q13)</f>
        <v>サイズ</v>
      </c>
      <c r="L351" s="69" t="s">
        <v>80</v>
      </c>
      <c r="M351" s="69" t="s">
        <v>19</v>
      </c>
      <c r="N351" s="69" t="s">
        <v>20</v>
      </c>
      <c r="O351" s="69" t="s">
        <v>21</v>
      </c>
      <c r="P351" s="69" t="s">
        <v>3036</v>
      </c>
      <c r="Q351" s="71" t="str">
        <f>パンツスーツ!AM13</f>
        <v>【ジャケット】サイズ　着丈：約cm　肩幅：約cm　身幅：約cm　袖丈：約cm&lt;br&gt;【パンツ】サイズ　股上：約cm　股下：約cm　ウエスト：約cm　もも幅：約cm　裾幅：約cm</v>
      </c>
      <c r="R351" s="69" t="s">
        <v>22</v>
      </c>
      <c r="S351" s="69" t="s">
        <v>23</v>
      </c>
      <c r="T351" s="69" t="s">
        <v>22</v>
      </c>
      <c r="U351" s="69" t="s">
        <v>24</v>
      </c>
      <c r="V351" s="69" t="s">
        <v>25</v>
      </c>
      <c r="W351" s="69" t="s">
        <v>26</v>
      </c>
      <c r="X351" s="69" t="s">
        <v>27</v>
      </c>
      <c r="Y351" s="69" t="s">
        <v>28</v>
      </c>
      <c r="Z351" s="69" t="s">
        <v>29</v>
      </c>
      <c r="AA351" s="4"/>
      <c r="AB351" s="4"/>
      <c r="AC351" s="4"/>
      <c r="AD351" s="70"/>
      <c r="AE351" s="70">
        <f>パンツスーツ!AS13</f>
        <v>0</v>
      </c>
      <c r="AF351" s="70" t="str">
        <f>パンツスーツ!AC13</f>
        <v>通常</v>
      </c>
      <c r="AG351" s="70">
        <v>0</v>
      </c>
      <c r="AH351" s="6">
        <f xml:space="preserve"> パンツスーツ!AQ13</f>
        <v>0</v>
      </c>
      <c r="AI351">
        <v>1</v>
      </c>
      <c r="AJ351">
        <f>パンツスーツ!AF13</f>
        <v>0</v>
      </c>
    </row>
    <row r="352" spans="1:36" ht="13.5" hidden="1" customHeight="1">
      <c r="A352" s="3" t="str">
        <f>IF(パンツスーツ!A14="","",パンツスーツ!A14)</f>
        <v/>
      </c>
      <c r="B352" s="68" t="str">
        <f>IF(パンツスーツ!B14="","",パンツスーツ!B14)</f>
        <v/>
      </c>
      <c r="C352" s="3" t="str">
        <f>IF(パンツスーツ!C14="","",パンツスーツ!C14)</f>
        <v>◇ サイズ E</v>
      </c>
      <c r="D352" s="3" t="str">
        <f>IF(パンツスーツ!E14="","",パンツスーツ!E14)</f>
        <v>無</v>
      </c>
      <c r="E352" s="3" t="str">
        <f>IF(パンツスーツ!AO14="","",パンツスーツ!AO14)</f>
        <v>ベースW</v>
      </c>
      <c r="F352" s="3" t="str">
        <f>IF(パンツスーツ!G14="","",パンツスーツ!G14)</f>
        <v/>
      </c>
      <c r="G352" s="3" t="str">
        <f>IF(パンツスーツ!H14="","",パンツスーツ!H14)</f>
        <v/>
      </c>
      <c r="H352" s="3" t="str">
        <f>パンツスーツ!AN14</f>
        <v>仕立　内収納：      ウエスト余り：約cm　裾余り：約cm</v>
      </c>
      <c r="I352" s="3" t="str">
        <f>IF(パンツスーツ!O14="","",パンツスーツ!O14)</f>
        <v>画像参照</v>
      </c>
      <c r="J352" s="3" t="str">
        <f>IF(パンツスーツ!P14="","",パンツスーツ!P14)</f>
        <v/>
      </c>
      <c r="K352" s="3" t="str">
        <f>IF(パンツスーツ!Q14="","",パンツスーツ!Q14)</f>
        <v>サイズ</v>
      </c>
      <c r="L352" s="69" t="s">
        <v>80</v>
      </c>
      <c r="M352" s="69" t="s">
        <v>19</v>
      </c>
      <c r="N352" s="69" t="s">
        <v>20</v>
      </c>
      <c r="O352" s="69" t="s">
        <v>21</v>
      </c>
      <c r="P352" s="69" t="s">
        <v>3036</v>
      </c>
      <c r="Q352" s="71" t="str">
        <f>パンツスーツ!AM14</f>
        <v>【ジャケット】サイズ　着丈：約cm　肩幅：約cm　身幅：約cm　袖丈：約cm&lt;br&gt;【パンツ】サイズ　股上：約cm　股下：約cm　ウエスト：約cm　もも幅：約cm　裾幅：約cm</v>
      </c>
      <c r="R352" s="69" t="s">
        <v>22</v>
      </c>
      <c r="S352" s="69" t="s">
        <v>23</v>
      </c>
      <c r="T352" s="69" t="s">
        <v>22</v>
      </c>
      <c r="U352" s="69" t="s">
        <v>24</v>
      </c>
      <c r="V352" s="69" t="s">
        <v>25</v>
      </c>
      <c r="W352" s="69" t="s">
        <v>26</v>
      </c>
      <c r="X352" s="69" t="s">
        <v>27</v>
      </c>
      <c r="Y352" s="69" t="s">
        <v>28</v>
      </c>
      <c r="Z352" s="69" t="s">
        <v>29</v>
      </c>
      <c r="AA352" s="4"/>
      <c r="AB352" s="4"/>
      <c r="AC352" s="4"/>
      <c r="AD352" s="70"/>
      <c r="AE352" s="70">
        <f>パンツスーツ!AS14</f>
        <v>0</v>
      </c>
      <c r="AF352" s="70" t="str">
        <f>パンツスーツ!AC14</f>
        <v>通常</v>
      </c>
      <c r="AG352" s="70">
        <v>0</v>
      </c>
      <c r="AH352" s="6">
        <f xml:space="preserve"> パンツスーツ!AQ14</f>
        <v>0</v>
      </c>
      <c r="AI352">
        <v>1</v>
      </c>
      <c r="AJ352">
        <f>パンツスーツ!AF14</f>
        <v>0</v>
      </c>
    </row>
    <row r="353" spans="1:36" ht="13.5" hidden="1" customHeight="1">
      <c r="A353" s="3" t="str">
        <f>IF(パンツスーツ!A15="","",パンツスーツ!A15)</f>
        <v/>
      </c>
      <c r="B353" s="68" t="str">
        <f>IF(パンツスーツ!B15="","",パンツスーツ!B15)</f>
        <v/>
      </c>
      <c r="C353" s="3" t="str">
        <f>IF(パンツスーツ!C15="","",パンツスーツ!C15)</f>
        <v>◇ サイズ E</v>
      </c>
      <c r="D353" s="3" t="str">
        <f>IF(パンツスーツ!E15="","",パンツスーツ!E15)</f>
        <v>無</v>
      </c>
      <c r="E353" s="3" t="str">
        <f>IF(パンツスーツ!AO15="","",パンツスーツ!AO15)</f>
        <v>ベースW</v>
      </c>
      <c r="F353" s="3" t="str">
        <f>IF(パンツスーツ!G15="","",パンツスーツ!G15)</f>
        <v/>
      </c>
      <c r="G353" s="3" t="str">
        <f>IF(パンツスーツ!H15="","",パンツスーツ!H15)</f>
        <v/>
      </c>
      <c r="H353" s="3" t="str">
        <f>パンツスーツ!AN15</f>
        <v>仕立　内収納：      ウエスト余り：約cm　裾余り：約cm</v>
      </c>
      <c r="I353" s="3" t="str">
        <f>IF(パンツスーツ!O15="","",パンツスーツ!O15)</f>
        <v>画像参照</v>
      </c>
      <c r="J353" s="3" t="str">
        <f>IF(パンツスーツ!P15="","",パンツスーツ!P15)</f>
        <v/>
      </c>
      <c r="K353" s="3" t="str">
        <f>IF(パンツスーツ!Q15="","",パンツスーツ!Q15)</f>
        <v>サイズ</v>
      </c>
      <c r="L353" s="69" t="s">
        <v>80</v>
      </c>
      <c r="M353" s="69" t="s">
        <v>19</v>
      </c>
      <c r="N353" s="69" t="s">
        <v>20</v>
      </c>
      <c r="O353" s="69" t="s">
        <v>21</v>
      </c>
      <c r="P353" s="69" t="s">
        <v>3036</v>
      </c>
      <c r="Q353" s="71" t="str">
        <f>パンツスーツ!AM15</f>
        <v>【ジャケット】サイズ　着丈：約cm　肩幅：約cm　身幅：約cm　袖丈：約cm&lt;br&gt;【パンツ】サイズ　股上：約cm　股下：約cm　ウエスト：約cm　もも幅：約cm　裾幅：約cm</v>
      </c>
      <c r="R353" s="69" t="s">
        <v>22</v>
      </c>
      <c r="S353" s="69" t="s">
        <v>23</v>
      </c>
      <c r="T353" s="69" t="s">
        <v>22</v>
      </c>
      <c r="U353" s="69" t="s">
        <v>24</v>
      </c>
      <c r="V353" s="69" t="s">
        <v>25</v>
      </c>
      <c r="W353" s="69" t="s">
        <v>26</v>
      </c>
      <c r="X353" s="69" t="s">
        <v>27</v>
      </c>
      <c r="Y353" s="69" t="s">
        <v>28</v>
      </c>
      <c r="Z353" s="69" t="s">
        <v>29</v>
      </c>
      <c r="AA353" s="4"/>
      <c r="AB353" s="4"/>
      <c r="AC353" s="4"/>
      <c r="AD353" s="70"/>
      <c r="AE353" s="70">
        <f>パンツスーツ!AS15</f>
        <v>0</v>
      </c>
      <c r="AF353" s="70" t="str">
        <f>パンツスーツ!AC15</f>
        <v>通常</v>
      </c>
      <c r="AG353" s="70">
        <v>0</v>
      </c>
      <c r="AH353" s="6">
        <f xml:space="preserve"> パンツスーツ!AQ15</f>
        <v>0</v>
      </c>
      <c r="AI353">
        <v>1</v>
      </c>
      <c r="AJ353">
        <f>パンツスーツ!AF15</f>
        <v>0</v>
      </c>
    </row>
    <row r="354" spans="1:36" ht="13.5" hidden="1" customHeight="1">
      <c r="A354" s="3" t="str">
        <f>IF(パンツスーツ!A16="","",パンツスーツ!A16)</f>
        <v/>
      </c>
      <c r="B354" s="68" t="str">
        <f>IF(パンツスーツ!B16="","",パンツスーツ!B16)</f>
        <v/>
      </c>
      <c r="C354" s="3" t="str">
        <f>IF(パンツスーツ!C16="","",パンツスーツ!C16)</f>
        <v>◇ サイズ E</v>
      </c>
      <c r="D354" s="3" t="str">
        <f>IF(パンツスーツ!E16="","",パンツスーツ!E16)</f>
        <v>無</v>
      </c>
      <c r="E354" s="3" t="str">
        <f>IF(パンツスーツ!AO16="","",パンツスーツ!AO16)</f>
        <v>ベースW</v>
      </c>
      <c r="F354" s="3" t="str">
        <f>IF(パンツスーツ!G16="","",パンツスーツ!G16)</f>
        <v/>
      </c>
      <c r="G354" s="3" t="str">
        <f>IF(パンツスーツ!H16="","",パンツスーツ!H16)</f>
        <v/>
      </c>
      <c r="H354" s="3" t="str">
        <f>パンツスーツ!AN16</f>
        <v>仕立　内収納：      ウエスト余り：約cm　裾余り：約cm</v>
      </c>
      <c r="I354" s="3" t="str">
        <f>IF(パンツスーツ!O16="","",パンツスーツ!O16)</f>
        <v>画像参照</v>
      </c>
      <c r="J354" s="3" t="str">
        <f>IF(パンツスーツ!P16="","",パンツスーツ!P16)</f>
        <v/>
      </c>
      <c r="K354" s="3" t="str">
        <f>IF(パンツスーツ!Q16="","",パンツスーツ!Q16)</f>
        <v>サイズ</v>
      </c>
      <c r="L354" s="69" t="s">
        <v>80</v>
      </c>
      <c r="M354" s="69" t="s">
        <v>19</v>
      </c>
      <c r="N354" s="69" t="s">
        <v>20</v>
      </c>
      <c r="O354" s="69" t="s">
        <v>21</v>
      </c>
      <c r="P354" s="69" t="s">
        <v>3036</v>
      </c>
      <c r="Q354" s="71" t="str">
        <f>パンツスーツ!AM16</f>
        <v>【ジャケット】サイズ　着丈：約cm　肩幅：約cm　身幅：約cm　袖丈：約cm&lt;br&gt;【パンツ】サイズ　股上：約cm　股下：約cm　ウエスト：約cm　もも幅：約cm　裾幅：約cm</v>
      </c>
      <c r="R354" s="69" t="s">
        <v>22</v>
      </c>
      <c r="S354" s="69" t="s">
        <v>23</v>
      </c>
      <c r="T354" s="69" t="s">
        <v>22</v>
      </c>
      <c r="U354" s="69" t="s">
        <v>24</v>
      </c>
      <c r="V354" s="69" t="s">
        <v>25</v>
      </c>
      <c r="W354" s="69" t="s">
        <v>26</v>
      </c>
      <c r="X354" s="69" t="s">
        <v>27</v>
      </c>
      <c r="Y354" s="69" t="s">
        <v>28</v>
      </c>
      <c r="Z354" s="69" t="s">
        <v>29</v>
      </c>
      <c r="AA354" s="4"/>
      <c r="AB354" s="4"/>
      <c r="AC354" s="4"/>
      <c r="AD354" s="70"/>
      <c r="AE354" s="70">
        <f>パンツスーツ!AS16</f>
        <v>0</v>
      </c>
      <c r="AF354" s="70" t="str">
        <f>パンツスーツ!AC16</f>
        <v>通常</v>
      </c>
      <c r="AG354" s="70">
        <v>0</v>
      </c>
      <c r="AH354" s="6">
        <f xml:space="preserve"> パンツスーツ!AQ16</f>
        <v>0</v>
      </c>
      <c r="AI354">
        <v>1</v>
      </c>
      <c r="AJ354">
        <f>パンツスーツ!AF16</f>
        <v>0</v>
      </c>
    </row>
    <row r="355" spans="1:36" ht="13.5" hidden="1" customHeight="1">
      <c r="A355" s="3" t="str">
        <f>IF(パンツスーツ!A17="","",パンツスーツ!A17)</f>
        <v/>
      </c>
      <c r="B355" s="68" t="str">
        <f>IF(パンツスーツ!B17="","",パンツスーツ!B17)</f>
        <v/>
      </c>
      <c r="C355" s="3" t="str">
        <f>IF(パンツスーツ!C17="","",パンツスーツ!C17)</f>
        <v>◇ サイズ E</v>
      </c>
      <c r="D355" s="3" t="str">
        <f>IF(パンツスーツ!E17="","",パンツスーツ!E17)</f>
        <v>無</v>
      </c>
      <c r="E355" s="3" t="str">
        <f>IF(パンツスーツ!AO17="","",パンツスーツ!AO17)</f>
        <v>ベースW</v>
      </c>
      <c r="F355" s="3" t="str">
        <f>IF(パンツスーツ!G17="","",パンツスーツ!G17)</f>
        <v/>
      </c>
      <c r="G355" s="3" t="str">
        <f>IF(パンツスーツ!H17="","",パンツスーツ!H17)</f>
        <v/>
      </c>
      <c r="H355" s="3" t="str">
        <f>パンツスーツ!AN17</f>
        <v>仕立　内収納：      ウエスト余り：約cm　裾余り：約cm</v>
      </c>
      <c r="I355" s="3" t="str">
        <f>IF(パンツスーツ!O17="","",パンツスーツ!O17)</f>
        <v>画像参照</v>
      </c>
      <c r="J355" s="3" t="str">
        <f>IF(パンツスーツ!P17="","",パンツスーツ!P17)</f>
        <v/>
      </c>
      <c r="K355" s="3" t="str">
        <f>IF(パンツスーツ!Q17="","",パンツスーツ!Q17)</f>
        <v>サイズ</v>
      </c>
      <c r="L355" s="69" t="s">
        <v>80</v>
      </c>
      <c r="M355" s="69" t="s">
        <v>19</v>
      </c>
      <c r="N355" s="69" t="s">
        <v>20</v>
      </c>
      <c r="O355" s="69" t="s">
        <v>21</v>
      </c>
      <c r="P355" s="69" t="s">
        <v>3036</v>
      </c>
      <c r="Q355" s="71" t="str">
        <f>パンツスーツ!AM17</f>
        <v>【ジャケット】サイズ　着丈：約cm　肩幅：約cm　身幅：約cm　袖丈：約cm&lt;br&gt;【パンツ】サイズ　股上：約cm　股下：約cm　ウエスト：約cm　もも幅：約cm　裾幅：約cm</v>
      </c>
      <c r="R355" s="69" t="s">
        <v>22</v>
      </c>
      <c r="S355" s="69" t="s">
        <v>23</v>
      </c>
      <c r="T355" s="69" t="s">
        <v>22</v>
      </c>
      <c r="U355" s="69" t="s">
        <v>24</v>
      </c>
      <c r="V355" s="69" t="s">
        <v>25</v>
      </c>
      <c r="W355" s="69" t="s">
        <v>26</v>
      </c>
      <c r="X355" s="69" t="s">
        <v>27</v>
      </c>
      <c r="Y355" s="69" t="s">
        <v>28</v>
      </c>
      <c r="Z355" s="69" t="s">
        <v>29</v>
      </c>
      <c r="AA355" s="4"/>
      <c r="AB355" s="4"/>
      <c r="AC355" s="4"/>
      <c r="AD355" s="70"/>
      <c r="AE355" s="70">
        <f>パンツスーツ!AS17</f>
        <v>0</v>
      </c>
      <c r="AF355" s="70" t="str">
        <f>パンツスーツ!AC17</f>
        <v>通常</v>
      </c>
      <c r="AG355" s="70">
        <v>0</v>
      </c>
      <c r="AH355" s="6">
        <f xml:space="preserve"> パンツスーツ!AQ17</f>
        <v>0</v>
      </c>
      <c r="AI355">
        <v>1</v>
      </c>
      <c r="AJ355">
        <f>パンツスーツ!AF17</f>
        <v>0</v>
      </c>
    </row>
    <row r="356" spans="1:36" ht="13.5" hidden="1" customHeight="1">
      <c r="A356" s="3" t="str">
        <f>IF(パンツスーツ!A18="","",パンツスーツ!A18)</f>
        <v/>
      </c>
      <c r="B356" s="68" t="str">
        <f>IF(パンツスーツ!B18="","",パンツスーツ!B18)</f>
        <v/>
      </c>
      <c r="C356" s="3" t="str">
        <f>IF(パンツスーツ!C18="","",パンツスーツ!C18)</f>
        <v>◇ サイズ E</v>
      </c>
      <c r="D356" s="3" t="str">
        <f>IF(パンツスーツ!E18="","",パンツスーツ!E18)</f>
        <v>無</v>
      </c>
      <c r="E356" s="3" t="str">
        <f>IF(パンツスーツ!AO18="","",パンツスーツ!AO18)</f>
        <v>ベースW</v>
      </c>
      <c r="F356" s="3" t="str">
        <f>IF(パンツスーツ!G18="","",パンツスーツ!G18)</f>
        <v/>
      </c>
      <c r="G356" s="3" t="str">
        <f>IF(パンツスーツ!H18="","",パンツスーツ!H18)</f>
        <v/>
      </c>
      <c r="H356" s="3" t="str">
        <f>パンツスーツ!AN18</f>
        <v>仕立　内収納：      ウエスト余り：約cm　裾余り：約cm</v>
      </c>
      <c r="I356" s="3" t="str">
        <f>IF(パンツスーツ!O18="","",パンツスーツ!O18)</f>
        <v>画像参照</v>
      </c>
      <c r="J356" s="3" t="str">
        <f>IF(パンツスーツ!P18="","",パンツスーツ!P18)</f>
        <v/>
      </c>
      <c r="K356" s="3" t="str">
        <f>IF(パンツスーツ!Q18="","",パンツスーツ!Q18)</f>
        <v>サイズ</v>
      </c>
      <c r="L356" s="69" t="s">
        <v>80</v>
      </c>
      <c r="M356" s="69" t="s">
        <v>19</v>
      </c>
      <c r="N356" s="69" t="s">
        <v>20</v>
      </c>
      <c r="O356" s="69" t="s">
        <v>21</v>
      </c>
      <c r="P356" s="69" t="s">
        <v>3036</v>
      </c>
      <c r="Q356" s="71" t="str">
        <f>パンツスーツ!AM18</f>
        <v>【ジャケット】サイズ　着丈：約cm　肩幅：約cm　身幅：約cm　袖丈：約cm&lt;br&gt;【パンツ】サイズ　股上：約cm　股下：約cm　ウエスト：約cm　もも幅：約cm　裾幅：約cm</v>
      </c>
      <c r="R356" s="69" t="s">
        <v>22</v>
      </c>
      <c r="S356" s="69" t="s">
        <v>23</v>
      </c>
      <c r="T356" s="69" t="s">
        <v>22</v>
      </c>
      <c r="U356" s="69" t="s">
        <v>24</v>
      </c>
      <c r="V356" s="69" t="s">
        <v>25</v>
      </c>
      <c r="W356" s="69" t="s">
        <v>26</v>
      </c>
      <c r="X356" s="69" t="s">
        <v>27</v>
      </c>
      <c r="Y356" s="69" t="s">
        <v>28</v>
      </c>
      <c r="Z356" s="69" t="s">
        <v>29</v>
      </c>
      <c r="AA356" s="4"/>
      <c r="AB356" s="4"/>
      <c r="AC356" s="4"/>
      <c r="AD356" s="70"/>
      <c r="AE356" s="70">
        <f>パンツスーツ!AS18</f>
        <v>0</v>
      </c>
      <c r="AF356" s="70" t="str">
        <f>パンツスーツ!AC18</f>
        <v>通常</v>
      </c>
      <c r="AG356" s="70">
        <v>0</v>
      </c>
      <c r="AH356" s="6">
        <f xml:space="preserve"> パンツスーツ!AQ18</f>
        <v>0</v>
      </c>
      <c r="AI356">
        <v>1</v>
      </c>
      <c r="AJ356">
        <f>パンツスーツ!AF18</f>
        <v>0</v>
      </c>
    </row>
    <row r="357" spans="1:36" ht="13.5" hidden="1" customHeight="1">
      <c r="A357" s="3" t="str">
        <f>IF(パンツスーツ!A19="","",パンツスーツ!A19)</f>
        <v/>
      </c>
      <c r="B357" s="68" t="str">
        <f>IF(パンツスーツ!B19="","",パンツスーツ!B19)</f>
        <v/>
      </c>
      <c r="C357" s="3" t="str">
        <f>IF(パンツスーツ!C19="","",パンツスーツ!C19)</f>
        <v>◇ サイズ E</v>
      </c>
      <c r="D357" s="3" t="str">
        <f>IF(パンツスーツ!E19="","",パンツスーツ!E19)</f>
        <v>無</v>
      </c>
      <c r="E357" s="3" t="str">
        <f>IF(パンツスーツ!AO19="","",パンツスーツ!AO19)</f>
        <v>ベースW</v>
      </c>
      <c r="F357" s="3" t="str">
        <f>IF(パンツスーツ!G19="","",パンツスーツ!G19)</f>
        <v/>
      </c>
      <c r="G357" s="3" t="str">
        <f>IF(パンツスーツ!H19="","",パンツスーツ!H19)</f>
        <v/>
      </c>
      <c r="H357" s="3" t="str">
        <f>パンツスーツ!AN19</f>
        <v>仕立　内収納：      ウエスト余り：約cm　裾余り：約cm</v>
      </c>
      <c r="I357" s="3" t="str">
        <f>IF(パンツスーツ!O19="","",パンツスーツ!O19)</f>
        <v>画像参照</v>
      </c>
      <c r="J357" s="3" t="str">
        <f>IF(パンツスーツ!P19="","",パンツスーツ!P19)</f>
        <v/>
      </c>
      <c r="K357" s="3" t="str">
        <f>IF(パンツスーツ!Q19="","",パンツスーツ!Q19)</f>
        <v>サイズ</v>
      </c>
      <c r="L357" s="69" t="s">
        <v>80</v>
      </c>
      <c r="M357" s="69" t="s">
        <v>19</v>
      </c>
      <c r="N357" s="69" t="s">
        <v>20</v>
      </c>
      <c r="O357" s="69" t="s">
        <v>21</v>
      </c>
      <c r="P357" s="69" t="s">
        <v>3036</v>
      </c>
      <c r="Q357" s="71" t="str">
        <f>パンツスーツ!AM19</f>
        <v>【ジャケット】サイズ　着丈：約cm　肩幅：約cm　身幅：約cm　袖丈：約cm&lt;br&gt;【パンツ】サイズ　股上：約cm　股下：約cm　ウエスト：約cm　もも幅：約cm　裾幅：約cm</v>
      </c>
      <c r="R357" s="69" t="s">
        <v>22</v>
      </c>
      <c r="S357" s="69" t="s">
        <v>23</v>
      </c>
      <c r="T357" s="69" t="s">
        <v>22</v>
      </c>
      <c r="U357" s="69" t="s">
        <v>24</v>
      </c>
      <c r="V357" s="69" t="s">
        <v>25</v>
      </c>
      <c r="W357" s="69" t="s">
        <v>26</v>
      </c>
      <c r="X357" s="69" t="s">
        <v>27</v>
      </c>
      <c r="Y357" s="69" t="s">
        <v>28</v>
      </c>
      <c r="Z357" s="69" t="s">
        <v>29</v>
      </c>
      <c r="AA357" s="4"/>
      <c r="AB357" s="4"/>
      <c r="AC357" s="4"/>
      <c r="AD357" s="70"/>
      <c r="AE357" s="70">
        <f>パンツスーツ!AS19</f>
        <v>0</v>
      </c>
      <c r="AF357" s="70" t="str">
        <f>パンツスーツ!AC19</f>
        <v>通常</v>
      </c>
      <c r="AG357" s="70">
        <v>0</v>
      </c>
      <c r="AH357" s="6">
        <f xml:space="preserve"> パンツスーツ!AQ19</f>
        <v>0</v>
      </c>
      <c r="AI357">
        <v>1</v>
      </c>
      <c r="AJ357">
        <f>パンツスーツ!AF19</f>
        <v>0</v>
      </c>
    </row>
    <row r="358" spans="1:36" ht="13.5" hidden="1" customHeight="1">
      <c r="A358" s="3" t="str">
        <f>IF(パンツスーツ!A20="","",パンツスーツ!A20)</f>
        <v/>
      </c>
      <c r="B358" s="68" t="str">
        <f>IF(パンツスーツ!B20="","",パンツスーツ!B20)</f>
        <v/>
      </c>
      <c r="C358" s="3" t="str">
        <f>IF(パンツスーツ!C20="","",パンツスーツ!C20)</f>
        <v>◇ サイズ E</v>
      </c>
      <c r="D358" s="3" t="str">
        <f>IF(パンツスーツ!E20="","",パンツスーツ!E20)</f>
        <v>無</v>
      </c>
      <c r="E358" s="3" t="str">
        <f>IF(パンツスーツ!AO20="","",パンツスーツ!AO20)</f>
        <v>ベースW</v>
      </c>
      <c r="F358" s="3" t="str">
        <f>IF(パンツスーツ!G20="","",パンツスーツ!G20)</f>
        <v/>
      </c>
      <c r="G358" s="3" t="str">
        <f>IF(パンツスーツ!H20="","",パンツスーツ!H20)</f>
        <v/>
      </c>
      <c r="H358" s="3" t="str">
        <f>パンツスーツ!AN20</f>
        <v>仕立　内収納：      ウエスト余り：約cm　裾余り：約cm</v>
      </c>
      <c r="I358" s="3" t="str">
        <f>IF(パンツスーツ!O20="","",パンツスーツ!O20)</f>
        <v>画像参照</v>
      </c>
      <c r="J358" s="3" t="str">
        <f>IF(パンツスーツ!P20="","",パンツスーツ!P20)</f>
        <v/>
      </c>
      <c r="K358" s="3" t="str">
        <f>IF(パンツスーツ!Q20="","",パンツスーツ!Q20)</f>
        <v>サイズ</v>
      </c>
      <c r="L358" s="69" t="s">
        <v>80</v>
      </c>
      <c r="M358" s="69" t="s">
        <v>19</v>
      </c>
      <c r="N358" s="69" t="s">
        <v>20</v>
      </c>
      <c r="O358" s="69" t="s">
        <v>21</v>
      </c>
      <c r="P358" s="69" t="s">
        <v>3036</v>
      </c>
      <c r="Q358" s="71" t="str">
        <f>パンツスーツ!AM20</f>
        <v>【ジャケット】サイズ　着丈：約cm　肩幅：約cm　身幅：約cm　袖丈：約cm&lt;br&gt;【パンツ】サイズ　股上：約cm　股下：約cm　ウエスト：約cm　もも幅：約cm　裾幅：約cm</v>
      </c>
      <c r="R358" s="69" t="s">
        <v>22</v>
      </c>
      <c r="S358" s="69" t="s">
        <v>23</v>
      </c>
      <c r="T358" s="69" t="s">
        <v>22</v>
      </c>
      <c r="U358" s="69" t="s">
        <v>24</v>
      </c>
      <c r="V358" s="69" t="s">
        <v>25</v>
      </c>
      <c r="W358" s="69" t="s">
        <v>26</v>
      </c>
      <c r="X358" s="69" t="s">
        <v>27</v>
      </c>
      <c r="Y358" s="69" t="s">
        <v>28</v>
      </c>
      <c r="Z358" s="69" t="s">
        <v>29</v>
      </c>
      <c r="AA358" s="4"/>
      <c r="AB358" s="4"/>
      <c r="AC358" s="4"/>
      <c r="AD358" s="70"/>
      <c r="AE358" s="70">
        <f>パンツスーツ!AS20</f>
        <v>0</v>
      </c>
      <c r="AF358" s="70" t="str">
        <f>パンツスーツ!AC20</f>
        <v>通常</v>
      </c>
      <c r="AG358" s="70">
        <v>0</v>
      </c>
      <c r="AH358" s="6">
        <f xml:space="preserve"> パンツスーツ!AQ20</f>
        <v>0</v>
      </c>
      <c r="AI358">
        <v>1</v>
      </c>
      <c r="AJ358">
        <f>パンツスーツ!AF20</f>
        <v>0</v>
      </c>
    </row>
    <row r="359" spans="1:36" ht="13.5" hidden="1" customHeight="1">
      <c r="A359" s="3" t="str">
        <f>IF(パンツスーツ!A21="","",パンツスーツ!A21)</f>
        <v/>
      </c>
      <c r="B359" s="68" t="str">
        <f>IF(パンツスーツ!B21="","",パンツスーツ!B21)</f>
        <v/>
      </c>
      <c r="C359" s="3" t="str">
        <f>IF(パンツスーツ!C21="","",パンツスーツ!C21)</f>
        <v>◇ サイズ E</v>
      </c>
      <c r="D359" s="3" t="str">
        <f>IF(パンツスーツ!E21="","",パンツスーツ!E21)</f>
        <v>無</v>
      </c>
      <c r="E359" s="3" t="str">
        <f>IF(パンツスーツ!AO21="","",パンツスーツ!AO21)</f>
        <v>ベースW</v>
      </c>
      <c r="F359" s="3" t="str">
        <f>IF(パンツスーツ!G21="","",パンツスーツ!G21)</f>
        <v/>
      </c>
      <c r="G359" s="3" t="str">
        <f>IF(パンツスーツ!H21="","",パンツスーツ!H21)</f>
        <v/>
      </c>
      <c r="H359" s="3" t="str">
        <f>パンツスーツ!AN21</f>
        <v>仕立　内収納：      ウエスト余り：約cm　裾余り：約cm</v>
      </c>
      <c r="I359" s="3" t="str">
        <f>IF(パンツスーツ!O21="","",パンツスーツ!O21)</f>
        <v>画像参照</v>
      </c>
      <c r="J359" s="3" t="str">
        <f>IF(パンツスーツ!P21="","",パンツスーツ!P21)</f>
        <v/>
      </c>
      <c r="K359" s="3" t="str">
        <f>IF(パンツスーツ!Q21="","",パンツスーツ!Q21)</f>
        <v>サイズ</v>
      </c>
      <c r="L359" s="69" t="s">
        <v>80</v>
      </c>
      <c r="M359" s="69" t="s">
        <v>19</v>
      </c>
      <c r="N359" s="69" t="s">
        <v>20</v>
      </c>
      <c r="O359" s="69" t="s">
        <v>21</v>
      </c>
      <c r="P359" s="69" t="s">
        <v>3036</v>
      </c>
      <c r="Q359" s="71" t="str">
        <f>パンツスーツ!AM21</f>
        <v>【ジャケット】サイズ　着丈：約cm　肩幅：約cm　身幅：約cm　袖丈：約cm&lt;br&gt;【パンツ】サイズ　股上：約cm　股下：約cm　ウエスト：約cm　もも幅：約cm　裾幅：約cm</v>
      </c>
      <c r="R359" s="69" t="s">
        <v>22</v>
      </c>
      <c r="S359" s="69" t="s">
        <v>23</v>
      </c>
      <c r="T359" s="69" t="s">
        <v>22</v>
      </c>
      <c r="U359" s="69" t="s">
        <v>24</v>
      </c>
      <c r="V359" s="69" t="s">
        <v>25</v>
      </c>
      <c r="W359" s="69" t="s">
        <v>26</v>
      </c>
      <c r="X359" s="69" t="s">
        <v>27</v>
      </c>
      <c r="Y359" s="69" t="s">
        <v>28</v>
      </c>
      <c r="Z359" s="69" t="s">
        <v>29</v>
      </c>
      <c r="AA359" s="4"/>
      <c r="AB359" s="4"/>
      <c r="AC359" s="4"/>
      <c r="AD359" s="70"/>
      <c r="AE359" s="70">
        <f>パンツスーツ!AS21</f>
        <v>0</v>
      </c>
      <c r="AF359" s="70" t="str">
        <f>パンツスーツ!AC21</f>
        <v>通常</v>
      </c>
      <c r="AG359" s="70">
        <v>0</v>
      </c>
      <c r="AH359" s="6">
        <f xml:space="preserve"> パンツスーツ!AQ21</f>
        <v>0</v>
      </c>
      <c r="AI359">
        <v>1</v>
      </c>
      <c r="AJ359">
        <f>パンツスーツ!AF21</f>
        <v>0</v>
      </c>
    </row>
    <row r="360" spans="1:36" ht="13.5" customHeight="1">
      <c r="A360" s="3">
        <v>2084237722</v>
      </c>
      <c r="B360" s="68">
        <f>IF(靴!B2="","",靴!B2)</f>
        <v>1212020007894</v>
      </c>
      <c r="C360" s="3" t="str">
        <f>IF(靴!C2="","",靴!C2)</f>
        <v>◇ PARADIS COULEUR パラディクルール 花ビジュー パンプス サイズ24 ブラウン レディース E 1212020007894</v>
      </c>
      <c r="D360" s="3" t="str">
        <f>IF(靴!E2="","",靴!E2)</f>
        <v>無&lt;br&gt;中敷き汚れあり</v>
      </c>
      <c r="E360" s="3" t="str">
        <f>IF(靴!AB2="","",靴!AB2)</f>
        <v>ベースS/9</v>
      </c>
      <c r="F360" s="3">
        <f>IF(靴!G2="","",靴!G2)</f>
        <v>3</v>
      </c>
      <c r="G360" s="3" t="str">
        <f>IF(靴!H2="","",靴!H2)</f>
        <v>目立った傷や汚れなし</v>
      </c>
      <c r="H360" s="3" t="str">
        <f>IF(靴!I2="","",靴!I2)</f>
        <v/>
      </c>
      <c r="I360" s="3" t="str">
        <f>靴!AA2</f>
        <v>エナメル系/ゴム系ソール</v>
      </c>
      <c r="J360" s="3" t="str">
        <f>IF(靴!M2="","",靴!M2)</f>
        <v>ブラウン</v>
      </c>
      <c r="K360" s="3" t="str">
        <f>IF(靴!N2="","",靴!N2)</f>
        <v>サイズ24</v>
      </c>
      <c r="L360" s="69" t="s">
        <v>120</v>
      </c>
      <c r="M360" s="69" t="s">
        <v>19</v>
      </c>
      <c r="N360" s="69" t="s">
        <v>20</v>
      </c>
      <c r="O360" s="69" t="s">
        <v>21</v>
      </c>
      <c r="P360" s="4" t="s">
        <v>3036</v>
      </c>
      <c r="Q360" s="4" t="s">
        <v>3038</v>
      </c>
      <c r="R360" s="71" t="str">
        <f>靴!Z2</f>
        <v>底長：約24cm　底甲幅：約8cm　ヒール：-cm</v>
      </c>
      <c r="S360" s="69" t="s">
        <v>23</v>
      </c>
      <c r="T360" s="69" t="s">
        <v>22</v>
      </c>
      <c r="U360" s="69" t="s">
        <v>24</v>
      </c>
      <c r="V360" s="69" t="s">
        <v>25</v>
      </c>
      <c r="W360" s="69" t="s">
        <v>26</v>
      </c>
      <c r="X360" s="69" t="s">
        <v>27</v>
      </c>
      <c r="Y360" s="69" t="s">
        <v>28</v>
      </c>
      <c r="Z360" s="69" t="s">
        <v>29</v>
      </c>
      <c r="AA360" s="4"/>
      <c r="AB360" s="4"/>
      <c r="AC360" s="4"/>
      <c r="AD360" s="70"/>
      <c r="AE360" s="70">
        <f>靴!AF2</f>
        <v>1000</v>
      </c>
      <c r="AF360" s="70" t="str">
        <f>靴!R2</f>
        <v>通常</v>
      </c>
      <c r="AG360" s="70">
        <v>0</v>
      </c>
      <c r="AH360" s="6">
        <f xml:space="preserve"> 靴!AD2</f>
        <v>0</v>
      </c>
      <c r="AI360">
        <v>1</v>
      </c>
      <c r="AJ360" t="str">
        <f>靴!U2</f>
        <v>PARADIS COULEUR パラディクルール</v>
      </c>
    </row>
    <row r="361" spans="1:36" ht="13.5" customHeight="1">
      <c r="A361" s="3">
        <v>2084237700</v>
      </c>
      <c r="B361" s="68">
        <f>IF(靴!B3="","",靴!B3)</f>
        <v>1212020007825</v>
      </c>
      <c r="C361" s="3" t="str">
        <f>IF(靴!C3="","",靴!C3)</f>
        <v>◇ KMB マジックテープ。ローファー風 パンプス サイズ37 ブラウン レディース E 1212020007825</v>
      </c>
      <c r="D361" s="3" t="str">
        <f>IF(靴!E3="","",靴!E3)</f>
        <v>無&lt;br&gt;ソール汚れあり</v>
      </c>
      <c r="E361" s="3" t="str">
        <f>IF(靴!AB3="","",靴!AB3)</f>
        <v>ベースS/9</v>
      </c>
      <c r="F361" s="3">
        <f>IF(靴!G3="","",靴!G3)</f>
        <v>4</v>
      </c>
      <c r="G361" s="3" t="str">
        <f>IF(靴!H3="","",靴!H3)</f>
        <v>やや傷や汚れあり</v>
      </c>
      <c r="H361" s="3" t="str">
        <f>IF(靴!I3="","",靴!I3)</f>
        <v/>
      </c>
      <c r="I361" s="3" t="str">
        <f>靴!AA3</f>
        <v>スエード生地/ゴム系ソール</v>
      </c>
      <c r="J361" s="3" t="str">
        <f>IF(靴!M3="","",靴!M3)</f>
        <v>ブラウン</v>
      </c>
      <c r="K361" s="3" t="str">
        <f>IF(靴!N3="","",靴!N3)</f>
        <v>サイズ37</v>
      </c>
      <c r="L361" s="69" t="s">
        <v>80</v>
      </c>
      <c r="M361" s="69" t="s">
        <v>19</v>
      </c>
      <c r="N361" s="69" t="s">
        <v>20</v>
      </c>
      <c r="O361" s="69" t="s">
        <v>21</v>
      </c>
      <c r="P361" s="4" t="s">
        <v>3036</v>
      </c>
      <c r="Q361" s="4" t="s">
        <v>3038</v>
      </c>
      <c r="R361" s="71" t="str">
        <f>靴!Z3</f>
        <v>底長：約26cm　底甲幅：約9cm　ヒール：-cm</v>
      </c>
      <c r="S361" s="69" t="s">
        <v>23</v>
      </c>
      <c r="T361" s="69" t="s">
        <v>22</v>
      </c>
      <c r="U361" s="69" t="s">
        <v>24</v>
      </c>
      <c r="V361" s="69" t="s">
        <v>25</v>
      </c>
      <c r="W361" s="69" t="s">
        <v>26</v>
      </c>
      <c r="X361" s="69" t="s">
        <v>27</v>
      </c>
      <c r="Y361" s="69" t="s">
        <v>28</v>
      </c>
      <c r="Z361" s="69" t="s">
        <v>29</v>
      </c>
      <c r="AA361" s="4"/>
      <c r="AB361" s="4"/>
      <c r="AC361" s="4"/>
      <c r="AD361" s="70"/>
      <c r="AE361" s="70">
        <f>靴!AF3</f>
        <v>1000</v>
      </c>
      <c r="AF361" s="70" t="str">
        <f>靴!R3</f>
        <v>通常</v>
      </c>
      <c r="AG361" s="70">
        <v>0</v>
      </c>
      <c r="AH361" s="6">
        <f xml:space="preserve"> 靴!AD2</f>
        <v>0</v>
      </c>
      <c r="AI361">
        <v>1</v>
      </c>
      <c r="AJ361" t="str">
        <f>靴!U3</f>
        <v>KMB</v>
      </c>
    </row>
    <row r="362" spans="1:36" ht="13.5" customHeight="1">
      <c r="A362" s="3">
        <v>2084237742</v>
      </c>
      <c r="B362" s="68">
        <f>IF(靴!B4="","",靴!B4)</f>
        <v>1212020007788</v>
      </c>
      <c r="C362" s="3" t="str">
        <f>IF(靴!C4="","",靴!C4)</f>
        <v>◇ ROPE PICNIC ロペピクニックピクニック ローファー風。金具あり パンプス サイズ40 パープル レディース E 1212020007788</v>
      </c>
      <c r="D362" s="3" t="str">
        <f>IF(靴!E4="","",靴!E4)</f>
        <v>無</v>
      </c>
      <c r="E362" s="3" t="str">
        <f>IF(靴!AB4="","",靴!AB4)</f>
        <v>ベースS/9</v>
      </c>
      <c r="F362" s="3">
        <f>IF(靴!G4="","",靴!G4)</f>
        <v>3</v>
      </c>
      <c r="G362" s="3" t="str">
        <f>IF(靴!H4="","",靴!H4)</f>
        <v>目立った傷や汚れなし</v>
      </c>
      <c r="H362" s="3" t="str">
        <f>IF(靴!I4="","",靴!I4)</f>
        <v/>
      </c>
      <c r="I362" s="3" t="str">
        <f>靴!AA4</f>
        <v>スエード生地/ゴム系ソール</v>
      </c>
      <c r="J362" s="3" t="str">
        <f>IF(靴!M4="","",靴!M4)</f>
        <v>パープル</v>
      </c>
      <c r="K362" s="3" t="str">
        <f>IF(靴!N4="","",靴!N4)</f>
        <v>サイズ40</v>
      </c>
      <c r="L362" s="69" t="s">
        <v>80</v>
      </c>
      <c r="M362" s="69" t="s">
        <v>19</v>
      </c>
      <c r="N362" s="69" t="s">
        <v>20</v>
      </c>
      <c r="O362" s="69" t="s">
        <v>21</v>
      </c>
      <c r="P362" s="4" t="s">
        <v>3036</v>
      </c>
      <c r="Q362" s="4" t="s">
        <v>3038</v>
      </c>
      <c r="R362" s="71" t="str">
        <f>靴!Z4</f>
        <v>底長：約25cm　底甲幅：約8cm　ヒール：約5.5cm</v>
      </c>
      <c r="S362" s="69" t="s">
        <v>23</v>
      </c>
      <c r="T362" s="69" t="s">
        <v>22</v>
      </c>
      <c r="U362" s="69" t="s">
        <v>24</v>
      </c>
      <c r="V362" s="69" t="s">
        <v>25</v>
      </c>
      <c r="W362" s="69" t="s">
        <v>26</v>
      </c>
      <c r="X362" s="69" t="s">
        <v>27</v>
      </c>
      <c r="Y362" s="69" t="s">
        <v>28</v>
      </c>
      <c r="Z362" s="69" t="s">
        <v>29</v>
      </c>
      <c r="AA362" s="4"/>
      <c r="AB362" s="4"/>
      <c r="AC362" s="4"/>
      <c r="AD362" s="70"/>
      <c r="AE362" s="70">
        <f>靴!AF4</f>
        <v>1000</v>
      </c>
      <c r="AF362" s="70" t="str">
        <f>靴!R4</f>
        <v>通常</v>
      </c>
      <c r="AG362" s="70">
        <v>0</v>
      </c>
      <c r="AH362" s="6">
        <f xml:space="preserve"> 靴!AD3</f>
        <v>0</v>
      </c>
      <c r="AI362">
        <v>1</v>
      </c>
      <c r="AJ362" t="str">
        <f>靴!U4</f>
        <v>ROPE PICNIC ロペピクニックピクニック</v>
      </c>
    </row>
    <row r="363" spans="1:36" ht="13.5" customHeight="1">
      <c r="A363" s="3">
        <v>2084007840</v>
      </c>
      <c r="B363" s="68">
        <f>IF(靴!B5="","",靴!B5)</f>
        <v>1212020007771</v>
      </c>
      <c r="C363" s="3" t="str">
        <f>IF(靴!C5="","",靴!C5)</f>
        <v>◇ RANDA ランダ リボンあり。オープントゥ サンダル サイズM ベージュ レディース E 1212020007771</v>
      </c>
      <c r="D363" s="3" t="str">
        <f>IF(靴!E5="","",靴!E5)</f>
        <v>無&lt;br&gt;ソール汚れあり</v>
      </c>
      <c r="E363" s="3" t="str">
        <f>IF(靴!AB5="","",靴!AB5)</f>
        <v>ベースS/9</v>
      </c>
      <c r="F363" s="3">
        <f>IF(靴!G5="","",靴!G5)</f>
        <v>4</v>
      </c>
      <c r="G363" s="3" t="str">
        <f>IF(靴!H5="","",靴!H5)</f>
        <v>やや傷や汚れあり</v>
      </c>
      <c r="H363" s="3" t="str">
        <f>IF(靴!I5="","",靴!I5)</f>
        <v/>
      </c>
      <c r="I363" s="3" t="str">
        <f>靴!AA5</f>
        <v>レザー系/ゴム系ソール</v>
      </c>
      <c r="J363" s="3" t="str">
        <f>IF(靴!M5="","",靴!M5)</f>
        <v>ベージュ</v>
      </c>
      <c r="K363" s="3" t="str">
        <f>IF(靴!N5="","",靴!N5)</f>
        <v>サイズM</v>
      </c>
      <c r="L363" s="69" t="s">
        <v>80</v>
      </c>
      <c r="M363" s="69" t="s">
        <v>19</v>
      </c>
      <c r="N363" s="69" t="s">
        <v>20</v>
      </c>
      <c r="O363" s="69" t="s">
        <v>21</v>
      </c>
      <c r="P363" s="4" t="s">
        <v>3036</v>
      </c>
      <c r="Q363" s="4" t="s">
        <v>3038</v>
      </c>
      <c r="R363" s="71" t="str">
        <f>靴!Z5</f>
        <v>底長：約23.5cm　底甲幅：約9cm　ヒール：約3cm</v>
      </c>
      <c r="S363" s="69" t="s">
        <v>23</v>
      </c>
      <c r="T363" s="69" t="s">
        <v>22</v>
      </c>
      <c r="U363" s="69" t="s">
        <v>24</v>
      </c>
      <c r="V363" s="69" t="s">
        <v>25</v>
      </c>
      <c r="W363" s="69" t="s">
        <v>26</v>
      </c>
      <c r="X363" s="69" t="s">
        <v>27</v>
      </c>
      <c r="Y363" s="69" t="s">
        <v>28</v>
      </c>
      <c r="Z363" s="69" t="s">
        <v>29</v>
      </c>
      <c r="AA363" s="4"/>
      <c r="AB363" s="4"/>
      <c r="AC363" s="4"/>
      <c r="AD363" s="70"/>
      <c r="AE363" s="70">
        <f>靴!AF5</f>
        <v>1000</v>
      </c>
      <c r="AF363" s="70" t="str">
        <f>靴!R5</f>
        <v>通常</v>
      </c>
      <c r="AG363" s="70">
        <v>0</v>
      </c>
      <c r="AH363" s="6">
        <f xml:space="preserve"> 靴!AD4</f>
        <v>0</v>
      </c>
      <c r="AI363">
        <v>1</v>
      </c>
      <c r="AJ363" t="str">
        <f>靴!U5</f>
        <v>RANDA ランダ</v>
      </c>
    </row>
    <row r="364" spans="1:36" ht="13.5" customHeight="1">
      <c r="A364" s="3">
        <v>2084053915</v>
      </c>
      <c r="B364" s="68">
        <f>IF(靴!B6="","",靴!B6)</f>
        <v>1212020007597</v>
      </c>
      <c r="C364" s="3" t="str">
        <f>IF(靴!C6="","",靴!C6)</f>
        <v>◇ lee ストラップ調節可能 サンダル サイズ17 ブラウン/ベージュ キッズ E 1212020007597</v>
      </c>
      <c r="D364" s="3" t="str">
        <f>IF(靴!E6="","",靴!E6)</f>
        <v>無&lt;br&gt;ソール汚れあり</v>
      </c>
      <c r="E364" s="3" t="str">
        <f>IF(靴!AB6="","",靴!AB6)</f>
        <v>ベースS/9</v>
      </c>
      <c r="F364" s="3">
        <f>IF(靴!G6="","",靴!G6)</f>
        <v>4</v>
      </c>
      <c r="G364" s="3" t="str">
        <f>IF(靴!H6="","",靴!H6)</f>
        <v>やや傷や汚れあり</v>
      </c>
      <c r="H364" s="3" t="str">
        <f>IF(靴!I6="","",靴!I6)</f>
        <v/>
      </c>
      <c r="I364" s="3" t="str">
        <f>靴!AA6</f>
        <v>レザー系/ゴム系ソール</v>
      </c>
      <c r="J364" s="3" t="str">
        <f>IF(靴!M6="","",靴!M6)</f>
        <v>ブラウン/ベージュ</v>
      </c>
      <c r="K364" s="3" t="str">
        <f>IF(靴!N6="","",靴!N6)</f>
        <v>サイズ17</v>
      </c>
      <c r="L364" s="69" t="s">
        <v>80</v>
      </c>
      <c r="M364" s="69" t="s">
        <v>19</v>
      </c>
      <c r="N364" s="69" t="s">
        <v>20</v>
      </c>
      <c r="O364" s="69" t="s">
        <v>21</v>
      </c>
      <c r="P364" s="4" t="s">
        <v>3036</v>
      </c>
      <c r="Q364" s="4" t="s">
        <v>3038</v>
      </c>
      <c r="R364" s="71" t="str">
        <f>靴!Z6</f>
        <v>底長：約18.5cm　底甲幅：約7cm　ヒール：-cm</v>
      </c>
      <c r="S364" s="69" t="s">
        <v>23</v>
      </c>
      <c r="T364" s="69" t="s">
        <v>22</v>
      </c>
      <c r="U364" s="69" t="s">
        <v>24</v>
      </c>
      <c r="V364" s="69" t="s">
        <v>25</v>
      </c>
      <c r="W364" s="69" t="s">
        <v>26</v>
      </c>
      <c r="X364" s="69" t="s">
        <v>27</v>
      </c>
      <c r="Y364" s="69" t="s">
        <v>28</v>
      </c>
      <c r="Z364" s="69" t="s">
        <v>29</v>
      </c>
      <c r="AA364" s="4"/>
      <c r="AB364" s="4"/>
      <c r="AC364" s="4"/>
      <c r="AD364" s="70"/>
      <c r="AE364" s="70">
        <f>靴!AF6</f>
        <v>1000</v>
      </c>
      <c r="AF364" s="70" t="str">
        <f>靴!R6</f>
        <v>通常</v>
      </c>
      <c r="AG364" s="70">
        <v>0</v>
      </c>
      <c r="AH364" s="6">
        <f xml:space="preserve"> 靴!AD5</f>
        <v>0</v>
      </c>
      <c r="AI364">
        <v>1</v>
      </c>
      <c r="AJ364" t="str">
        <f>靴!U6</f>
        <v>lee</v>
      </c>
    </row>
    <row r="365" spans="1:36" ht="13.5" hidden="1" customHeight="1">
      <c r="A365" s="3" t="str">
        <f>IF(靴!A7="","",靴!A7)</f>
        <v/>
      </c>
      <c r="B365" s="68" t="str">
        <f>IF(靴!B7="","",靴!B7)</f>
        <v/>
      </c>
      <c r="C365" s="3" t="str">
        <f>IF(靴!C7="","",靴!C7)</f>
        <v>◇ サイズ E</v>
      </c>
      <c r="D365" s="3" t="str">
        <f>IF(靴!E7="","",靴!E7)</f>
        <v>無</v>
      </c>
      <c r="E365" s="3" t="str">
        <f>IF(靴!AB7="","",靴!AB7)</f>
        <v>ベースS</v>
      </c>
      <c r="F365" s="3" t="str">
        <f>IF(靴!G7="","",靴!G7)</f>
        <v/>
      </c>
      <c r="G365" s="3" t="str">
        <f>IF(靴!H7="","",靴!H7)</f>
        <v/>
      </c>
      <c r="H365" s="3" t="str">
        <f>IF(靴!I7="","",靴!I7)</f>
        <v/>
      </c>
      <c r="I365" s="3" t="str">
        <f>靴!AA7</f>
        <v>/ソール</v>
      </c>
      <c r="J365" s="3" t="str">
        <f>IF(靴!M7="","",靴!M7)</f>
        <v/>
      </c>
      <c r="K365" s="3" t="str">
        <f>IF(靴!N7="","",靴!N7)</f>
        <v>サイズ</v>
      </c>
      <c r="L365" s="69" t="s">
        <v>80</v>
      </c>
      <c r="M365" s="69" t="s">
        <v>19</v>
      </c>
      <c r="N365" s="69" t="s">
        <v>20</v>
      </c>
      <c r="O365" s="69" t="s">
        <v>21</v>
      </c>
      <c r="P365" s="4" t="s">
        <v>3036</v>
      </c>
      <c r="Q365" s="4" t="s">
        <v>3038</v>
      </c>
      <c r="R365" s="71" t="str">
        <f>靴!Z7</f>
        <v>底長：約cm　底甲幅：約cm　ヒール：約cm</v>
      </c>
      <c r="S365" s="69" t="s">
        <v>23</v>
      </c>
      <c r="T365" s="69" t="s">
        <v>22</v>
      </c>
      <c r="U365" s="69" t="s">
        <v>24</v>
      </c>
      <c r="V365" s="69" t="s">
        <v>25</v>
      </c>
      <c r="W365" s="69" t="s">
        <v>26</v>
      </c>
      <c r="X365" s="69" t="s">
        <v>27</v>
      </c>
      <c r="Y365" s="69" t="s">
        <v>28</v>
      </c>
      <c r="Z365" s="69" t="s">
        <v>29</v>
      </c>
      <c r="AA365" s="4"/>
      <c r="AB365" s="4"/>
      <c r="AC365" s="4"/>
      <c r="AD365" s="70"/>
      <c r="AE365" s="70">
        <f>靴!AF7</f>
        <v>0</v>
      </c>
      <c r="AF365" s="70" t="str">
        <f>靴!R7</f>
        <v>通常</v>
      </c>
      <c r="AG365" s="70">
        <v>0</v>
      </c>
      <c r="AH365" s="6">
        <f xml:space="preserve"> 靴!AD6</f>
        <v>0</v>
      </c>
      <c r="AI365">
        <v>1</v>
      </c>
      <c r="AJ365">
        <f>靴!U7</f>
        <v>0</v>
      </c>
    </row>
    <row r="366" spans="1:36" ht="13.5" hidden="1" customHeight="1">
      <c r="A366" s="3" t="str">
        <f>IF(靴!A8="","",靴!A8)</f>
        <v/>
      </c>
      <c r="B366" s="68" t="str">
        <f>IF(靴!B8="","",靴!B8)</f>
        <v/>
      </c>
      <c r="C366" s="3" t="str">
        <f>IF(靴!C8="","",靴!C8)</f>
        <v>◇ サイズ E</v>
      </c>
      <c r="D366" s="3" t="str">
        <f>IF(靴!E8="","",靴!E8)</f>
        <v>無</v>
      </c>
      <c r="E366" s="3" t="str">
        <f>IF(靴!AB8="","",靴!AB8)</f>
        <v>ベースS</v>
      </c>
      <c r="F366" s="3" t="str">
        <f>IF(靴!G8="","",靴!G8)</f>
        <v/>
      </c>
      <c r="G366" s="3" t="str">
        <f>IF(靴!H8="","",靴!H8)</f>
        <v/>
      </c>
      <c r="H366" s="3" t="str">
        <f>IF(靴!I8="","",靴!I8)</f>
        <v/>
      </c>
      <c r="I366" s="3" t="str">
        <f>靴!AA8</f>
        <v>/ソール</v>
      </c>
      <c r="J366" s="3" t="str">
        <f>IF(靴!M8="","",靴!M8)</f>
        <v/>
      </c>
      <c r="K366" s="3" t="str">
        <f>IF(靴!N8="","",靴!N8)</f>
        <v>サイズ</v>
      </c>
      <c r="L366" s="69" t="s">
        <v>80</v>
      </c>
      <c r="M366" s="69" t="s">
        <v>19</v>
      </c>
      <c r="N366" s="69" t="s">
        <v>20</v>
      </c>
      <c r="O366" s="69" t="s">
        <v>21</v>
      </c>
      <c r="P366" s="4" t="s">
        <v>3036</v>
      </c>
      <c r="Q366" s="4" t="s">
        <v>3038</v>
      </c>
      <c r="R366" s="71" t="str">
        <f>靴!Z8</f>
        <v>底長：約cm　底甲幅：約cm　ヒール：約cm</v>
      </c>
      <c r="S366" s="69" t="s">
        <v>23</v>
      </c>
      <c r="T366" s="69" t="s">
        <v>22</v>
      </c>
      <c r="U366" s="69" t="s">
        <v>24</v>
      </c>
      <c r="V366" s="69" t="s">
        <v>25</v>
      </c>
      <c r="W366" s="69" t="s">
        <v>26</v>
      </c>
      <c r="X366" s="69" t="s">
        <v>27</v>
      </c>
      <c r="Y366" s="69" t="s">
        <v>28</v>
      </c>
      <c r="Z366" s="69" t="s">
        <v>29</v>
      </c>
      <c r="AA366" s="4"/>
      <c r="AB366" s="4"/>
      <c r="AC366" s="4"/>
      <c r="AD366" s="70"/>
      <c r="AE366" s="70">
        <f>靴!AF8</f>
        <v>0</v>
      </c>
      <c r="AF366" s="70" t="str">
        <f>靴!R8</f>
        <v>通常</v>
      </c>
      <c r="AG366" s="70">
        <v>0</v>
      </c>
      <c r="AH366" s="6">
        <f xml:space="preserve"> 靴!AD7</f>
        <v>0</v>
      </c>
      <c r="AI366">
        <v>1</v>
      </c>
      <c r="AJ366">
        <f>靴!U8</f>
        <v>0</v>
      </c>
    </row>
    <row r="367" spans="1:36" ht="13.5" hidden="1" customHeight="1">
      <c r="A367" s="3" t="str">
        <f>IF(靴!A9="","",靴!A9)</f>
        <v/>
      </c>
      <c r="B367" s="68" t="str">
        <f>IF(靴!B9="","",靴!B9)</f>
        <v/>
      </c>
      <c r="C367" s="3" t="str">
        <f>IF(靴!C9="","",靴!C9)</f>
        <v>◇ サイズ E</v>
      </c>
      <c r="D367" s="3" t="str">
        <f>IF(靴!E9="","",靴!E9)</f>
        <v>無</v>
      </c>
      <c r="E367" s="3" t="str">
        <f>IF(靴!AB9="","",靴!AB9)</f>
        <v>ベースS</v>
      </c>
      <c r="F367" s="3" t="str">
        <f>IF(靴!G9="","",靴!G9)</f>
        <v/>
      </c>
      <c r="G367" s="3" t="str">
        <f>IF(靴!H9="","",靴!H9)</f>
        <v/>
      </c>
      <c r="H367" s="3" t="str">
        <f>IF(靴!I9="","",靴!I9)</f>
        <v/>
      </c>
      <c r="I367" s="3" t="str">
        <f>靴!AA9</f>
        <v>/ソール</v>
      </c>
      <c r="J367" s="3" t="str">
        <f>IF(靴!M9="","",靴!M9)</f>
        <v/>
      </c>
      <c r="K367" s="3" t="str">
        <f>IF(靴!N9="","",靴!N9)</f>
        <v>サイズ</v>
      </c>
      <c r="L367" s="69" t="s">
        <v>80</v>
      </c>
      <c r="M367" s="69" t="s">
        <v>19</v>
      </c>
      <c r="N367" s="69" t="s">
        <v>20</v>
      </c>
      <c r="O367" s="69" t="s">
        <v>21</v>
      </c>
      <c r="P367" s="4" t="s">
        <v>3036</v>
      </c>
      <c r="Q367" s="4" t="s">
        <v>3038</v>
      </c>
      <c r="R367" s="71" t="str">
        <f>靴!Z9</f>
        <v>底長：約cm　底甲幅：約cm　ヒール：約cm</v>
      </c>
      <c r="S367" s="69" t="s">
        <v>23</v>
      </c>
      <c r="T367" s="69" t="s">
        <v>22</v>
      </c>
      <c r="U367" s="69" t="s">
        <v>24</v>
      </c>
      <c r="V367" s="69" t="s">
        <v>25</v>
      </c>
      <c r="W367" s="69" t="s">
        <v>26</v>
      </c>
      <c r="X367" s="69" t="s">
        <v>27</v>
      </c>
      <c r="Y367" s="69" t="s">
        <v>28</v>
      </c>
      <c r="Z367" s="69" t="s">
        <v>29</v>
      </c>
      <c r="AA367" s="4"/>
      <c r="AB367" s="4"/>
      <c r="AC367" s="4"/>
      <c r="AD367" s="70"/>
      <c r="AE367" s="70">
        <f>靴!AF9</f>
        <v>0</v>
      </c>
      <c r="AF367" s="70" t="str">
        <f>靴!R9</f>
        <v>通常</v>
      </c>
      <c r="AG367" s="70">
        <v>0</v>
      </c>
      <c r="AH367" s="6">
        <f xml:space="preserve"> 靴!AD8</f>
        <v>0</v>
      </c>
      <c r="AI367">
        <v>1</v>
      </c>
      <c r="AJ367">
        <f>靴!U9</f>
        <v>0</v>
      </c>
    </row>
    <row r="368" spans="1:36" ht="13.5" hidden="1" customHeight="1">
      <c r="A368" s="3" t="str">
        <f>IF(靴!A10="","",靴!A10)</f>
        <v/>
      </c>
      <c r="B368" s="68" t="str">
        <f>IF(靴!B10="","",靴!B10)</f>
        <v/>
      </c>
      <c r="C368" s="3" t="str">
        <f>IF(靴!C10="","",靴!C10)</f>
        <v>◇ サイズ E</v>
      </c>
      <c r="D368" s="3" t="str">
        <f>IF(靴!E10="","",靴!E10)</f>
        <v>無</v>
      </c>
      <c r="E368" s="3" t="str">
        <f>IF(靴!AB10="","",靴!AB10)</f>
        <v>ベースS</v>
      </c>
      <c r="F368" s="3" t="str">
        <f>IF(靴!G10="","",靴!G10)</f>
        <v/>
      </c>
      <c r="G368" s="3" t="str">
        <f>IF(靴!H10="","",靴!H10)</f>
        <v/>
      </c>
      <c r="H368" s="3" t="str">
        <f>IF(靴!I10="","",靴!I10)</f>
        <v/>
      </c>
      <c r="I368" s="3" t="str">
        <f>靴!AA10</f>
        <v>/ソール</v>
      </c>
      <c r="J368" s="3" t="str">
        <f>IF(靴!M10="","",靴!M10)</f>
        <v/>
      </c>
      <c r="K368" s="3" t="str">
        <f>IF(靴!N10="","",靴!N10)</f>
        <v>サイズ</v>
      </c>
      <c r="L368" s="69" t="s">
        <v>80</v>
      </c>
      <c r="M368" s="69" t="s">
        <v>19</v>
      </c>
      <c r="N368" s="69" t="s">
        <v>20</v>
      </c>
      <c r="O368" s="69" t="s">
        <v>21</v>
      </c>
      <c r="P368" s="4" t="s">
        <v>3036</v>
      </c>
      <c r="Q368" s="4" t="s">
        <v>3038</v>
      </c>
      <c r="R368" s="71" t="str">
        <f>靴!Z10</f>
        <v>底長：約cm　底甲幅：約cm　ヒール：約cm</v>
      </c>
      <c r="S368" s="69" t="s">
        <v>23</v>
      </c>
      <c r="T368" s="69" t="s">
        <v>22</v>
      </c>
      <c r="U368" s="69" t="s">
        <v>24</v>
      </c>
      <c r="V368" s="69" t="s">
        <v>25</v>
      </c>
      <c r="W368" s="69" t="s">
        <v>26</v>
      </c>
      <c r="X368" s="69" t="s">
        <v>27</v>
      </c>
      <c r="Y368" s="69" t="s">
        <v>28</v>
      </c>
      <c r="Z368" s="69" t="s">
        <v>29</v>
      </c>
      <c r="AA368" s="4"/>
      <c r="AB368" s="4"/>
      <c r="AC368" s="4"/>
      <c r="AD368" s="70"/>
      <c r="AE368" s="70">
        <f>靴!AF10</f>
        <v>0</v>
      </c>
      <c r="AF368" s="70" t="str">
        <f>靴!R10</f>
        <v>通常</v>
      </c>
      <c r="AG368" s="70">
        <v>0</v>
      </c>
      <c r="AH368" s="6">
        <f xml:space="preserve"> 靴!AD9</f>
        <v>0</v>
      </c>
      <c r="AI368">
        <v>1</v>
      </c>
      <c r="AJ368">
        <f>靴!U10</f>
        <v>0</v>
      </c>
    </row>
    <row r="369" spans="1:36" ht="13.5" hidden="1" customHeight="1">
      <c r="A369" s="3" t="str">
        <f>IF(靴!A11="","",靴!A11)</f>
        <v/>
      </c>
      <c r="B369" s="68" t="str">
        <f>IF(靴!B11="","",靴!B11)</f>
        <v/>
      </c>
      <c r="C369" s="3" t="str">
        <f>IF(靴!C11="","",靴!C11)</f>
        <v>◇ サイズ E</v>
      </c>
      <c r="D369" s="3" t="str">
        <f>IF(靴!E11="","",靴!E11)</f>
        <v>無</v>
      </c>
      <c r="E369" s="3" t="str">
        <f>IF(靴!AB11="","",靴!AB11)</f>
        <v>ベースS</v>
      </c>
      <c r="F369" s="3" t="str">
        <f>IF(靴!G11="","",靴!G11)</f>
        <v/>
      </c>
      <c r="G369" s="3" t="str">
        <f>IF(靴!H11="","",靴!H11)</f>
        <v/>
      </c>
      <c r="H369" s="3" t="str">
        <f>IF(靴!I11="","",靴!I11)</f>
        <v/>
      </c>
      <c r="I369" s="3" t="str">
        <f>靴!AA11</f>
        <v>/ソール</v>
      </c>
      <c r="J369" s="3" t="str">
        <f>IF(靴!M11="","",靴!M11)</f>
        <v/>
      </c>
      <c r="K369" s="3" t="str">
        <f>IF(靴!N11="","",靴!N11)</f>
        <v>サイズ</v>
      </c>
      <c r="L369" s="69" t="s">
        <v>80</v>
      </c>
      <c r="M369" s="69" t="s">
        <v>19</v>
      </c>
      <c r="N369" s="69" t="s">
        <v>20</v>
      </c>
      <c r="O369" s="69" t="s">
        <v>21</v>
      </c>
      <c r="P369" s="4" t="s">
        <v>3036</v>
      </c>
      <c r="Q369" s="4" t="s">
        <v>3038</v>
      </c>
      <c r="R369" s="71" t="str">
        <f>靴!Z11</f>
        <v>底長：約cm　底甲幅：約cm　ヒール：約cm</v>
      </c>
      <c r="S369" s="69" t="s">
        <v>23</v>
      </c>
      <c r="T369" s="69" t="s">
        <v>22</v>
      </c>
      <c r="U369" s="69" t="s">
        <v>24</v>
      </c>
      <c r="V369" s="69" t="s">
        <v>25</v>
      </c>
      <c r="W369" s="69" t="s">
        <v>26</v>
      </c>
      <c r="X369" s="69" t="s">
        <v>27</v>
      </c>
      <c r="Y369" s="69" t="s">
        <v>28</v>
      </c>
      <c r="Z369" s="69" t="s">
        <v>29</v>
      </c>
      <c r="AA369" s="4"/>
      <c r="AB369" s="4"/>
      <c r="AC369" s="4"/>
      <c r="AD369" s="70"/>
      <c r="AE369" s="70">
        <f>靴!AF11</f>
        <v>0</v>
      </c>
      <c r="AF369" s="70" t="str">
        <f>靴!R11</f>
        <v>通常</v>
      </c>
      <c r="AG369" s="70">
        <v>0</v>
      </c>
      <c r="AH369" s="6">
        <f xml:space="preserve"> 靴!AD10</f>
        <v>0</v>
      </c>
      <c r="AI369">
        <v>1</v>
      </c>
      <c r="AJ369">
        <f>靴!U11</f>
        <v>0</v>
      </c>
    </row>
    <row r="370" spans="1:36" ht="13.5" hidden="1" customHeight="1">
      <c r="A370" s="3" t="str">
        <f>IF(靴!A12="","",靴!A12)</f>
        <v/>
      </c>
      <c r="B370" s="68" t="str">
        <f>IF(靴!B12="","",靴!B12)</f>
        <v/>
      </c>
      <c r="C370" s="3" t="str">
        <f>IF(靴!C12="","",靴!C12)</f>
        <v>◇ サイズ E</v>
      </c>
      <c r="D370" s="3" t="str">
        <f>IF(靴!E12="","",靴!E12)</f>
        <v>無</v>
      </c>
      <c r="E370" s="3" t="str">
        <f>IF(靴!AB12="","",靴!AB12)</f>
        <v>ベースS</v>
      </c>
      <c r="F370" s="3" t="str">
        <f>IF(靴!G12="","",靴!G12)</f>
        <v/>
      </c>
      <c r="G370" s="3" t="str">
        <f>IF(靴!H12="","",靴!H12)</f>
        <v/>
      </c>
      <c r="H370" s="3" t="str">
        <f>IF(靴!I12="","",靴!I12)</f>
        <v/>
      </c>
      <c r="I370" s="3" t="str">
        <f>靴!AA12</f>
        <v>/ソール</v>
      </c>
      <c r="J370" s="3" t="str">
        <f>IF(靴!M12="","",靴!M12)</f>
        <v/>
      </c>
      <c r="K370" s="3" t="str">
        <f>IF(靴!N12="","",靴!N12)</f>
        <v>サイズ</v>
      </c>
      <c r="L370" s="69" t="s">
        <v>80</v>
      </c>
      <c r="M370" s="69" t="s">
        <v>19</v>
      </c>
      <c r="N370" s="69" t="s">
        <v>20</v>
      </c>
      <c r="O370" s="69" t="s">
        <v>21</v>
      </c>
      <c r="P370" s="4" t="s">
        <v>3036</v>
      </c>
      <c r="Q370" s="4" t="s">
        <v>3038</v>
      </c>
      <c r="R370" s="71" t="str">
        <f>靴!Z12</f>
        <v>底長：約cm　底甲幅：約cm　ヒール：約cm</v>
      </c>
      <c r="S370" s="69" t="s">
        <v>23</v>
      </c>
      <c r="T370" s="69" t="s">
        <v>22</v>
      </c>
      <c r="U370" s="69" t="s">
        <v>24</v>
      </c>
      <c r="V370" s="69" t="s">
        <v>25</v>
      </c>
      <c r="W370" s="69" t="s">
        <v>26</v>
      </c>
      <c r="X370" s="69" t="s">
        <v>27</v>
      </c>
      <c r="Y370" s="69" t="s">
        <v>28</v>
      </c>
      <c r="Z370" s="69" t="s">
        <v>29</v>
      </c>
      <c r="AA370" s="4"/>
      <c r="AB370" s="4"/>
      <c r="AC370" s="4"/>
      <c r="AD370" s="70"/>
      <c r="AE370" s="70">
        <f>靴!AF12</f>
        <v>0</v>
      </c>
      <c r="AF370" s="70" t="str">
        <f>靴!R12</f>
        <v>通常</v>
      </c>
      <c r="AG370" s="70">
        <v>0</v>
      </c>
      <c r="AH370" s="6">
        <f xml:space="preserve"> 靴!AD11</f>
        <v>0</v>
      </c>
      <c r="AI370">
        <v>1</v>
      </c>
      <c r="AJ370">
        <f>靴!U12</f>
        <v>0</v>
      </c>
    </row>
    <row r="371" spans="1:36" ht="13.5" hidden="1" customHeight="1">
      <c r="A371" s="3" t="str">
        <f>IF(靴!A13="","",靴!A13)</f>
        <v/>
      </c>
      <c r="B371" s="68" t="str">
        <f>IF(靴!B13="","",靴!B13)</f>
        <v/>
      </c>
      <c r="C371" s="3" t="str">
        <f>IF(靴!C13="","",靴!C13)</f>
        <v>◇ サイズ E</v>
      </c>
      <c r="D371" s="3" t="str">
        <f>IF(靴!E13="","",靴!E13)</f>
        <v>無</v>
      </c>
      <c r="E371" s="3" t="str">
        <f>IF(靴!AB13="","",靴!AB13)</f>
        <v>ベースS</v>
      </c>
      <c r="F371" s="3" t="str">
        <f>IF(靴!G13="","",靴!G13)</f>
        <v/>
      </c>
      <c r="G371" s="3" t="str">
        <f>IF(靴!H13="","",靴!H13)</f>
        <v/>
      </c>
      <c r="H371" s="3" t="str">
        <f>IF(靴!I13="","",靴!I13)</f>
        <v/>
      </c>
      <c r="I371" s="3" t="str">
        <f>靴!AA13</f>
        <v>/ソール</v>
      </c>
      <c r="J371" s="3" t="str">
        <f>IF(靴!M13="","",靴!M13)</f>
        <v/>
      </c>
      <c r="K371" s="3" t="str">
        <f>IF(靴!N13="","",靴!N13)</f>
        <v>サイズ</v>
      </c>
      <c r="L371" s="69" t="s">
        <v>80</v>
      </c>
      <c r="M371" s="69" t="s">
        <v>19</v>
      </c>
      <c r="N371" s="69" t="s">
        <v>20</v>
      </c>
      <c r="O371" s="69" t="s">
        <v>21</v>
      </c>
      <c r="P371" s="4" t="s">
        <v>3036</v>
      </c>
      <c r="Q371" s="4" t="s">
        <v>3038</v>
      </c>
      <c r="R371" s="71" t="str">
        <f>靴!Z13</f>
        <v>底長：約cm　底甲幅：約cm　ヒール：約cm</v>
      </c>
      <c r="S371" s="69" t="s">
        <v>23</v>
      </c>
      <c r="T371" s="69" t="s">
        <v>22</v>
      </c>
      <c r="U371" s="69" t="s">
        <v>24</v>
      </c>
      <c r="V371" s="69" t="s">
        <v>25</v>
      </c>
      <c r="W371" s="69" t="s">
        <v>26</v>
      </c>
      <c r="X371" s="69" t="s">
        <v>27</v>
      </c>
      <c r="Y371" s="69" t="s">
        <v>28</v>
      </c>
      <c r="Z371" s="69" t="s">
        <v>29</v>
      </c>
      <c r="AA371" s="4"/>
      <c r="AB371" s="4"/>
      <c r="AC371" s="4"/>
      <c r="AD371" s="70"/>
      <c r="AE371" s="70">
        <f>靴!AF13</f>
        <v>0</v>
      </c>
      <c r="AF371" s="70" t="str">
        <f>靴!R13</f>
        <v>通常</v>
      </c>
      <c r="AG371" s="70">
        <v>0</v>
      </c>
      <c r="AH371" s="6">
        <f xml:space="preserve"> 靴!AD12</f>
        <v>0</v>
      </c>
      <c r="AI371">
        <v>1</v>
      </c>
      <c r="AJ371">
        <f>靴!U13</f>
        <v>0</v>
      </c>
    </row>
    <row r="372" spans="1:36" ht="13.5" hidden="1" customHeight="1">
      <c r="A372" s="3" t="str">
        <f>IF(靴!A14="","",靴!A14)</f>
        <v/>
      </c>
      <c r="B372" s="68" t="str">
        <f>IF(靴!B14="","",靴!B14)</f>
        <v/>
      </c>
      <c r="C372" s="3" t="str">
        <f>IF(靴!C14="","",靴!C14)</f>
        <v>◇ サイズ E</v>
      </c>
      <c r="D372" s="3" t="str">
        <f>IF(靴!E14="","",靴!E14)</f>
        <v>無</v>
      </c>
      <c r="E372" s="3" t="str">
        <f>IF(靴!AB14="","",靴!AB14)</f>
        <v>ベースS</v>
      </c>
      <c r="F372" s="3" t="str">
        <f>IF(靴!G14="","",靴!G14)</f>
        <v/>
      </c>
      <c r="G372" s="3" t="str">
        <f>IF(靴!H14="","",靴!H14)</f>
        <v/>
      </c>
      <c r="H372" s="3" t="str">
        <f>IF(靴!I14="","",靴!I14)</f>
        <v/>
      </c>
      <c r="I372" s="3" t="str">
        <f>靴!AA14</f>
        <v>/ソール</v>
      </c>
      <c r="J372" s="3" t="str">
        <f>IF(靴!M14="","",靴!M14)</f>
        <v/>
      </c>
      <c r="K372" s="3" t="str">
        <f>IF(靴!N14="","",靴!N14)</f>
        <v>サイズ</v>
      </c>
      <c r="L372" s="69" t="s">
        <v>80</v>
      </c>
      <c r="M372" s="69" t="s">
        <v>19</v>
      </c>
      <c r="N372" s="69" t="s">
        <v>20</v>
      </c>
      <c r="O372" s="69" t="s">
        <v>21</v>
      </c>
      <c r="P372" s="4" t="s">
        <v>3036</v>
      </c>
      <c r="Q372" s="4" t="s">
        <v>3038</v>
      </c>
      <c r="R372" s="71" t="str">
        <f>靴!Z14</f>
        <v>底長：約cm　底甲幅：約cm　ヒール：約cm</v>
      </c>
      <c r="S372" s="69" t="s">
        <v>23</v>
      </c>
      <c r="T372" s="69" t="s">
        <v>22</v>
      </c>
      <c r="U372" s="69" t="s">
        <v>24</v>
      </c>
      <c r="V372" s="69" t="s">
        <v>25</v>
      </c>
      <c r="W372" s="69" t="s">
        <v>26</v>
      </c>
      <c r="X372" s="69" t="s">
        <v>27</v>
      </c>
      <c r="Y372" s="69" t="s">
        <v>28</v>
      </c>
      <c r="Z372" s="69" t="s">
        <v>29</v>
      </c>
      <c r="AA372" s="4"/>
      <c r="AB372" s="4"/>
      <c r="AC372" s="4"/>
      <c r="AD372" s="70"/>
      <c r="AE372" s="70">
        <f>靴!AF14</f>
        <v>0</v>
      </c>
      <c r="AF372" s="70" t="str">
        <f>靴!R14</f>
        <v>通常</v>
      </c>
      <c r="AG372" s="70">
        <v>0</v>
      </c>
      <c r="AH372" s="6">
        <f xml:space="preserve"> 靴!AD13</f>
        <v>0</v>
      </c>
      <c r="AI372">
        <v>1</v>
      </c>
      <c r="AJ372">
        <f>靴!U14</f>
        <v>0</v>
      </c>
    </row>
    <row r="373" spans="1:36" ht="13.5" hidden="1" customHeight="1">
      <c r="A373" s="3" t="str">
        <f>IF(靴!A15="","",靴!A15)</f>
        <v/>
      </c>
      <c r="B373" s="68" t="str">
        <f>IF(靴!B15="","",靴!B15)</f>
        <v/>
      </c>
      <c r="C373" s="3" t="str">
        <f>IF(靴!C15="","",靴!C15)</f>
        <v>◇ サイズ E</v>
      </c>
      <c r="D373" s="3" t="str">
        <f>IF(靴!E15="","",靴!E15)</f>
        <v>無</v>
      </c>
      <c r="E373" s="3" t="str">
        <f>IF(靴!AB15="","",靴!AB15)</f>
        <v>ベースS</v>
      </c>
      <c r="F373" s="3" t="str">
        <f>IF(靴!G15="","",靴!G15)</f>
        <v/>
      </c>
      <c r="G373" s="3" t="str">
        <f>IF(靴!H15="","",靴!H15)</f>
        <v/>
      </c>
      <c r="H373" s="3" t="str">
        <f>IF(靴!I15="","",靴!I15)</f>
        <v/>
      </c>
      <c r="I373" s="3" t="str">
        <f>靴!AA15</f>
        <v>/ソール</v>
      </c>
      <c r="J373" s="3" t="str">
        <f>IF(靴!M15="","",靴!M15)</f>
        <v/>
      </c>
      <c r="K373" s="3" t="str">
        <f>IF(靴!N15="","",靴!N15)</f>
        <v>サイズ</v>
      </c>
      <c r="L373" s="69" t="s">
        <v>80</v>
      </c>
      <c r="M373" s="69" t="s">
        <v>19</v>
      </c>
      <c r="N373" s="69" t="s">
        <v>20</v>
      </c>
      <c r="O373" s="69" t="s">
        <v>21</v>
      </c>
      <c r="P373" s="4" t="s">
        <v>3036</v>
      </c>
      <c r="Q373" s="4" t="s">
        <v>3038</v>
      </c>
      <c r="R373" s="71" t="str">
        <f>靴!Z15</f>
        <v>底長：約cm　底甲幅：約cm　ヒール：約cm</v>
      </c>
      <c r="S373" s="69" t="s">
        <v>23</v>
      </c>
      <c r="T373" s="69" t="s">
        <v>22</v>
      </c>
      <c r="U373" s="69" t="s">
        <v>24</v>
      </c>
      <c r="V373" s="69" t="s">
        <v>25</v>
      </c>
      <c r="W373" s="69" t="s">
        <v>26</v>
      </c>
      <c r="X373" s="69" t="s">
        <v>27</v>
      </c>
      <c r="Y373" s="69" t="s">
        <v>28</v>
      </c>
      <c r="Z373" s="69" t="s">
        <v>29</v>
      </c>
      <c r="AA373" s="4"/>
      <c r="AB373" s="4"/>
      <c r="AC373" s="4"/>
      <c r="AD373" s="70"/>
      <c r="AE373" s="70">
        <f>靴!AF15</f>
        <v>0</v>
      </c>
      <c r="AF373" s="70" t="str">
        <f>靴!R15</f>
        <v>通常</v>
      </c>
      <c r="AG373" s="70">
        <v>0</v>
      </c>
      <c r="AH373" s="6">
        <f xml:space="preserve"> 靴!AD14</f>
        <v>0</v>
      </c>
      <c r="AI373">
        <v>1</v>
      </c>
      <c r="AJ373">
        <f>靴!U15</f>
        <v>0</v>
      </c>
    </row>
    <row r="374" spans="1:36" ht="13.5" hidden="1" customHeight="1">
      <c r="A374" s="3" t="str">
        <f>IF(靴!A16="","",靴!A16)</f>
        <v/>
      </c>
      <c r="B374" s="68" t="str">
        <f>IF(靴!B16="","",靴!B16)</f>
        <v/>
      </c>
      <c r="C374" s="3" t="str">
        <f>IF(靴!C16="","",靴!C16)</f>
        <v>◇ サイズ E</v>
      </c>
      <c r="D374" s="3" t="str">
        <f>IF(靴!E16="","",靴!E16)</f>
        <v>無</v>
      </c>
      <c r="E374" s="3" t="str">
        <f>IF(靴!AB16="","",靴!AB16)</f>
        <v>ベースS</v>
      </c>
      <c r="F374" s="3" t="str">
        <f>IF(靴!G16="","",靴!G16)</f>
        <v/>
      </c>
      <c r="G374" s="3" t="str">
        <f>IF(靴!H16="","",靴!H16)</f>
        <v/>
      </c>
      <c r="H374" s="3" t="str">
        <f>IF(靴!I16="","",靴!I16)</f>
        <v/>
      </c>
      <c r="I374" s="3" t="str">
        <f>靴!AA16</f>
        <v>/ソール</v>
      </c>
      <c r="J374" s="3" t="str">
        <f>IF(靴!M16="","",靴!M16)</f>
        <v/>
      </c>
      <c r="K374" s="3" t="str">
        <f>IF(靴!N16="","",靴!N16)</f>
        <v>サイズ</v>
      </c>
      <c r="L374" s="69" t="s">
        <v>121</v>
      </c>
      <c r="M374" s="69" t="s">
        <v>19</v>
      </c>
      <c r="N374" s="69" t="s">
        <v>20</v>
      </c>
      <c r="O374" s="69" t="s">
        <v>21</v>
      </c>
      <c r="P374" s="4" t="s">
        <v>3036</v>
      </c>
      <c r="Q374" s="4" t="s">
        <v>3038</v>
      </c>
      <c r="R374" s="71" t="str">
        <f>靴!Z16</f>
        <v>底長：約cm　底甲幅：約cm　ヒール：約cm</v>
      </c>
      <c r="S374" s="69" t="s">
        <v>23</v>
      </c>
      <c r="T374" s="69" t="s">
        <v>22</v>
      </c>
      <c r="U374" s="69" t="s">
        <v>24</v>
      </c>
      <c r="V374" s="69" t="s">
        <v>25</v>
      </c>
      <c r="W374" s="69" t="s">
        <v>26</v>
      </c>
      <c r="X374" s="69" t="s">
        <v>27</v>
      </c>
      <c r="Y374" s="69" t="s">
        <v>28</v>
      </c>
      <c r="Z374" s="69" t="s">
        <v>29</v>
      </c>
      <c r="AA374" s="4"/>
      <c r="AB374" s="4"/>
      <c r="AC374" s="4"/>
      <c r="AD374" s="70"/>
      <c r="AE374" s="70">
        <f>靴!AF16</f>
        <v>0</v>
      </c>
      <c r="AF374" s="70" t="str">
        <f>靴!R16</f>
        <v>通常</v>
      </c>
      <c r="AG374" s="70">
        <v>0</v>
      </c>
      <c r="AH374" s="6">
        <f xml:space="preserve"> 靴!AD15</f>
        <v>0</v>
      </c>
      <c r="AI374">
        <v>1</v>
      </c>
      <c r="AJ374">
        <f>靴!U16</f>
        <v>0</v>
      </c>
    </row>
    <row r="375" spans="1:36" ht="13.5" hidden="1" customHeight="1">
      <c r="A375" s="3" t="str">
        <f>IF(靴!A17="","",靴!A17)</f>
        <v/>
      </c>
      <c r="B375" s="68" t="str">
        <f>IF(靴!B17="","",靴!B17)</f>
        <v/>
      </c>
      <c r="C375" s="3" t="str">
        <f>IF(靴!C17="","",靴!C17)</f>
        <v>◇ サイズ E</v>
      </c>
      <c r="D375" s="3" t="str">
        <f>IF(靴!E17="","",靴!E17)</f>
        <v>無</v>
      </c>
      <c r="E375" s="3" t="str">
        <f>IF(靴!AB17="","",靴!AB17)</f>
        <v>ベースS</v>
      </c>
      <c r="F375" s="3" t="str">
        <f>IF(靴!G17="","",靴!G17)</f>
        <v/>
      </c>
      <c r="G375" s="3" t="str">
        <f>IF(靴!H17="","",靴!H17)</f>
        <v/>
      </c>
      <c r="H375" s="3" t="str">
        <f>IF(靴!I17="","",靴!I17)</f>
        <v/>
      </c>
      <c r="I375" s="3" t="str">
        <f>靴!AA17</f>
        <v>/ソール</v>
      </c>
      <c r="J375" s="3" t="str">
        <f>IF(靴!M17="","",靴!M17)</f>
        <v/>
      </c>
      <c r="K375" s="3" t="str">
        <f>IF(靴!N17="","",靴!N17)</f>
        <v>サイズ</v>
      </c>
      <c r="L375" s="69" t="s">
        <v>80</v>
      </c>
      <c r="M375" s="69" t="s">
        <v>19</v>
      </c>
      <c r="N375" s="69" t="s">
        <v>20</v>
      </c>
      <c r="O375" s="69" t="s">
        <v>21</v>
      </c>
      <c r="P375" s="4" t="s">
        <v>3036</v>
      </c>
      <c r="Q375" s="4" t="s">
        <v>3038</v>
      </c>
      <c r="R375" s="71" t="str">
        <f>靴!Z17</f>
        <v>底長：約cm　底甲幅：約cm　ヒール：約cm</v>
      </c>
      <c r="S375" s="69" t="s">
        <v>23</v>
      </c>
      <c r="T375" s="69" t="s">
        <v>22</v>
      </c>
      <c r="U375" s="69" t="s">
        <v>24</v>
      </c>
      <c r="V375" s="69" t="s">
        <v>25</v>
      </c>
      <c r="W375" s="69" t="s">
        <v>26</v>
      </c>
      <c r="X375" s="69" t="s">
        <v>27</v>
      </c>
      <c r="Y375" s="69" t="s">
        <v>28</v>
      </c>
      <c r="Z375" s="69" t="s">
        <v>29</v>
      </c>
      <c r="AA375" s="4"/>
      <c r="AB375" s="4"/>
      <c r="AC375" s="4"/>
      <c r="AD375" s="70"/>
      <c r="AE375" s="70">
        <f>靴!AF17</f>
        <v>0</v>
      </c>
      <c r="AF375" s="70" t="str">
        <f>靴!R17</f>
        <v>通常</v>
      </c>
      <c r="AG375" s="70">
        <v>0</v>
      </c>
      <c r="AH375" s="6">
        <f xml:space="preserve"> 靴!AD16</f>
        <v>0</v>
      </c>
      <c r="AI375">
        <v>1</v>
      </c>
      <c r="AJ375">
        <f>靴!U17</f>
        <v>0</v>
      </c>
    </row>
    <row r="376" spans="1:36" ht="13.5" hidden="1" customHeight="1">
      <c r="A376" s="3" t="str">
        <f>IF(靴!A18="","",靴!A18)</f>
        <v/>
      </c>
      <c r="B376" s="68" t="str">
        <f>IF(靴!B18="","",靴!B18)</f>
        <v/>
      </c>
      <c r="C376" s="3" t="str">
        <f>IF(靴!C18="","",靴!C18)</f>
        <v>◇ サイズ E</v>
      </c>
      <c r="D376" s="3" t="str">
        <f>IF(靴!E18="","",靴!E18)</f>
        <v>無</v>
      </c>
      <c r="E376" s="3" t="str">
        <f>IF(靴!AB18="","",靴!AB18)</f>
        <v>ベースS</v>
      </c>
      <c r="F376" s="3" t="str">
        <f>IF(靴!G18="","",靴!G18)</f>
        <v/>
      </c>
      <c r="G376" s="3" t="str">
        <f>IF(靴!H18="","",靴!H18)</f>
        <v/>
      </c>
      <c r="H376" s="3" t="str">
        <f>IF(靴!I18="","",靴!I18)</f>
        <v/>
      </c>
      <c r="I376" s="3" t="str">
        <f>靴!AA18</f>
        <v>/ソール</v>
      </c>
      <c r="J376" s="3" t="str">
        <f>IF(靴!M18="","",靴!M18)</f>
        <v/>
      </c>
      <c r="K376" s="3" t="str">
        <f>IF(靴!N18="","",靴!N18)</f>
        <v>サイズ</v>
      </c>
      <c r="L376" s="69" t="s">
        <v>80</v>
      </c>
      <c r="M376" s="69" t="s">
        <v>19</v>
      </c>
      <c r="N376" s="69" t="s">
        <v>20</v>
      </c>
      <c r="O376" s="69" t="s">
        <v>21</v>
      </c>
      <c r="P376" s="4" t="s">
        <v>3036</v>
      </c>
      <c r="Q376" s="4" t="s">
        <v>3038</v>
      </c>
      <c r="R376" s="71" t="str">
        <f>靴!Z18</f>
        <v>底長：約cm　底甲幅：約cm　ヒール：約cm</v>
      </c>
      <c r="S376" s="69" t="s">
        <v>23</v>
      </c>
      <c r="T376" s="69" t="s">
        <v>22</v>
      </c>
      <c r="U376" s="69" t="s">
        <v>24</v>
      </c>
      <c r="V376" s="69" t="s">
        <v>25</v>
      </c>
      <c r="W376" s="69" t="s">
        <v>26</v>
      </c>
      <c r="X376" s="69" t="s">
        <v>27</v>
      </c>
      <c r="Y376" s="69" t="s">
        <v>28</v>
      </c>
      <c r="Z376" s="69" t="s">
        <v>29</v>
      </c>
      <c r="AA376" s="4"/>
      <c r="AB376" s="4"/>
      <c r="AC376" s="4"/>
      <c r="AD376" s="70"/>
      <c r="AE376" s="70">
        <f>靴!AF18</f>
        <v>0</v>
      </c>
      <c r="AF376" s="70" t="str">
        <f>靴!R18</f>
        <v>通常</v>
      </c>
      <c r="AG376" s="70">
        <v>0</v>
      </c>
      <c r="AH376" s="6">
        <f xml:space="preserve"> 靴!AD17</f>
        <v>0</v>
      </c>
      <c r="AI376">
        <v>1</v>
      </c>
      <c r="AJ376">
        <f>靴!U18</f>
        <v>0</v>
      </c>
    </row>
    <row r="377" spans="1:36" ht="13.5" hidden="1" customHeight="1">
      <c r="A377" s="3" t="str">
        <f>IF(靴!A19="","",靴!A19)</f>
        <v/>
      </c>
      <c r="B377" s="68" t="str">
        <f>IF(靴!B19="","",靴!B19)</f>
        <v/>
      </c>
      <c r="C377" s="3" t="str">
        <f>IF(靴!C19="","",靴!C19)</f>
        <v>◇ サイズ E</v>
      </c>
      <c r="D377" s="3" t="str">
        <f>IF(靴!E19="","",靴!E19)</f>
        <v>無</v>
      </c>
      <c r="E377" s="3" t="str">
        <f>IF(靴!AB19="","",靴!AB19)</f>
        <v>ベースS</v>
      </c>
      <c r="F377" s="3" t="str">
        <f>IF(靴!G19="","",靴!G19)</f>
        <v/>
      </c>
      <c r="G377" s="3" t="str">
        <f>IF(靴!H19="","",靴!H19)</f>
        <v/>
      </c>
      <c r="H377" s="3" t="str">
        <f>IF(靴!I19="","",靴!I19)</f>
        <v/>
      </c>
      <c r="I377" s="3" t="str">
        <f>靴!AA19</f>
        <v>/ソール</v>
      </c>
      <c r="J377" s="3" t="str">
        <f>IF(靴!M19="","",靴!M19)</f>
        <v/>
      </c>
      <c r="K377" s="3" t="str">
        <f>IF(靴!N19="","",靴!N19)</f>
        <v>サイズ</v>
      </c>
      <c r="L377" s="69" t="s">
        <v>80</v>
      </c>
      <c r="M377" s="69" t="s">
        <v>19</v>
      </c>
      <c r="N377" s="69" t="s">
        <v>20</v>
      </c>
      <c r="O377" s="69" t="s">
        <v>21</v>
      </c>
      <c r="P377" s="4" t="s">
        <v>3036</v>
      </c>
      <c r="Q377" s="4" t="s">
        <v>3038</v>
      </c>
      <c r="R377" s="71" t="str">
        <f>靴!Z19</f>
        <v>底長：約cm　底甲幅：約cm　ヒール：約cm</v>
      </c>
      <c r="S377" s="69" t="s">
        <v>23</v>
      </c>
      <c r="T377" s="69" t="s">
        <v>22</v>
      </c>
      <c r="U377" s="69" t="s">
        <v>24</v>
      </c>
      <c r="V377" s="69" t="s">
        <v>25</v>
      </c>
      <c r="W377" s="69" t="s">
        <v>26</v>
      </c>
      <c r="X377" s="69" t="s">
        <v>27</v>
      </c>
      <c r="Y377" s="69" t="s">
        <v>28</v>
      </c>
      <c r="Z377" s="69" t="s">
        <v>29</v>
      </c>
      <c r="AA377" s="4"/>
      <c r="AB377" s="4"/>
      <c r="AC377" s="4"/>
      <c r="AD377" s="70"/>
      <c r="AE377" s="70">
        <f>靴!AF19</f>
        <v>0</v>
      </c>
      <c r="AF377" s="70" t="str">
        <f>靴!R19</f>
        <v>通常</v>
      </c>
      <c r="AG377" s="70">
        <v>0</v>
      </c>
      <c r="AH377" s="6">
        <f xml:space="preserve"> 靴!AD18</f>
        <v>0</v>
      </c>
      <c r="AI377">
        <v>1</v>
      </c>
      <c r="AJ377">
        <f>靴!U19</f>
        <v>0</v>
      </c>
    </row>
    <row r="378" spans="1:36" ht="13.5" hidden="1" customHeight="1">
      <c r="A378" s="3" t="str">
        <f>IF(靴!A20="","",靴!A20)</f>
        <v/>
      </c>
      <c r="B378" s="68" t="str">
        <f>IF(靴!B20="","",靴!B20)</f>
        <v/>
      </c>
      <c r="C378" s="3" t="str">
        <f>IF(靴!C20="","",靴!C20)</f>
        <v>◇ サイズ E</v>
      </c>
      <c r="D378" s="3" t="str">
        <f>IF(靴!E20="","",靴!E20)</f>
        <v>無</v>
      </c>
      <c r="E378" s="3" t="str">
        <f>IF(靴!AB20="","",靴!AB20)</f>
        <v>ベースS</v>
      </c>
      <c r="F378" s="3" t="str">
        <f>IF(靴!G20="","",靴!G20)</f>
        <v/>
      </c>
      <c r="G378" s="3" t="str">
        <f>IF(靴!H20="","",靴!H20)</f>
        <v/>
      </c>
      <c r="H378" s="3" t="str">
        <f>IF(靴!I20="","",靴!I20)</f>
        <v/>
      </c>
      <c r="I378" s="3" t="str">
        <f>靴!AA20</f>
        <v>/ソール</v>
      </c>
      <c r="J378" s="3" t="str">
        <f>IF(靴!M20="","",靴!M20)</f>
        <v/>
      </c>
      <c r="K378" s="3" t="str">
        <f>IF(靴!N20="","",靴!N20)</f>
        <v>サイズ</v>
      </c>
      <c r="L378" s="69" t="s">
        <v>80</v>
      </c>
      <c r="M378" s="69" t="s">
        <v>19</v>
      </c>
      <c r="N378" s="69" t="s">
        <v>20</v>
      </c>
      <c r="O378" s="69" t="s">
        <v>21</v>
      </c>
      <c r="P378" s="4" t="s">
        <v>3036</v>
      </c>
      <c r="Q378" s="4" t="s">
        <v>3038</v>
      </c>
      <c r="R378" s="71" t="str">
        <f>靴!Z20</f>
        <v>底長：約cm　底甲幅：約cm　ヒール：約cm</v>
      </c>
      <c r="S378" s="69" t="s">
        <v>23</v>
      </c>
      <c r="T378" s="69" t="s">
        <v>22</v>
      </c>
      <c r="U378" s="69" t="s">
        <v>24</v>
      </c>
      <c r="V378" s="69" t="s">
        <v>25</v>
      </c>
      <c r="W378" s="69" t="s">
        <v>26</v>
      </c>
      <c r="X378" s="69" t="s">
        <v>27</v>
      </c>
      <c r="Y378" s="69" t="s">
        <v>28</v>
      </c>
      <c r="Z378" s="69" t="s">
        <v>29</v>
      </c>
      <c r="AA378" s="4"/>
      <c r="AB378" s="4"/>
      <c r="AC378" s="4"/>
      <c r="AD378" s="70"/>
      <c r="AE378" s="70">
        <f>靴!AF20</f>
        <v>0</v>
      </c>
      <c r="AF378" s="70" t="str">
        <f>靴!R20</f>
        <v>通常</v>
      </c>
      <c r="AG378" s="70">
        <v>0</v>
      </c>
      <c r="AH378" s="6">
        <f xml:space="preserve"> 靴!AD19</f>
        <v>0</v>
      </c>
      <c r="AI378">
        <v>1</v>
      </c>
      <c r="AJ378">
        <f>靴!U20</f>
        <v>0</v>
      </c>
    </row>
    <row r="379" spans="1:36" ht="13.5" hidden="1" customHeight="1">
      <c r="A379" s="3" t="str">
        <f>IF(靴!A21="","",靴!A21)</f>
        <v/>
      </c>
      <c r="B379" s="68" t="str">
        <f>IF(靴!B21="","",靴!B21)</f>
        <v/>
      </c>
      <c r="C379" s="3" t="str">
        <f>IF(靴!C21="","",靴!C21)</f>
        <v>◇ サイズ E</v>
      </c>
      <c r="D379" s="3" t="str">
        <f>IF(靴!E21="","",靴!E21)</f>
        <v>無</v>
      </c>
      <c r="E379" s="3" t="str">
        <f>IF(靴!AB21="","",靴!AB21)</f>
        <v>ベースS</v>
      </c>
      <c r="F379" s="3" t="str">
        <f>IF(靴!G21="","",靴!G21)</f>
        <v/>
      </c>
      <c r="G379" s="3" t="str">
        <f>IF(靴!H21="","",靴!H21)</f>
        <v/>
      </c>
      <c r="H379" s="3" t="str">
        <f>IF(靴!I21="","",靴!I21)</f>
        <v/>
      </c>
      <c r="I379" s="3" t="str">
        <f>靴!AA21</f>
        <v>/ソール</v>
      </c>
      <c r="J379" s="3" t="str">
        <f>IF(靴!M21="","",靴!M21)</f>
        <v/>
      </c>
      <c r="K379" s="3" t="str">
        <f>IF(靴!N21="","",靴!N21)</f>
        <v>サイズ</v>
      </c>
      <c r="L379" s="69" t="s">
        <v>118</v>
      </c>
      <c r="M379" s="69" t="s">
        <v>19</v>
      </c>
      <c r="N379" s="69" t="s">
        <v>20</v>
      </c>
      <c r="O379" s="69" t="s">
        <v>21</v>
      </c>
      <c r="P379" s="4" t="s">
        <v>3036</v>
      </c>
      <c r="Q379" s="4" t="s">
        <v>3038</v>
      </c>
      <c r="R379" s="71" t="str">
        <f>靴!Z21</f>
        <v>底長：約cm　底甲幅：約cm　ヒール：約cm</v>
      </c>
      <c r="S379" s="69" t="s">
        <v>23</v>
      </c>
      <c r="T379" s="69" t="s">
        <v>22</v>
      </c>
      <c r="U379" s="69" t="s">
        <v>24</v>
      </c>
      <c r="V379" s="69" t="s">
        <v>25</v>
      </c>
      <c r="W379" s="69" t="s">
        <v>26</v>
      </c>
      <c r="X379" s="69" t="s">
        <v>27</v>
      </c>
      <c r="Y379" s="69" t="s">
        <v>28</v>
      </c>
      <c r="Z379" s="69" t="s">
        <v>29</v>
      </c>
      <c r="AA379" s="4"/>
      <c r="AB379" s="4"/>
      <c r="AC379" s="4"/>
      <c r="AD379" s="70"/>
      <c r="AE379" s="70">
        <f>靴!AF21</f>
        <v>0</v>
      </c>
      <c r="AF379" s="70" t="str">
        <f>靴!R21</f>
        <v>通常</v>
      </c>
      <c r="AG379" s="70">
        <v>0</v>
      </c>
      <c r="AH379" s="6">
        <f xml:space="preserve"> 靴!AD20</f>
        <v>0</v>
      </c>
      <c r="AI379">
        <v>1</v>
      </c>
      <c r="AJ379">
        <f>靴!U21</f>
        <v>0</v>
      </c>
    </row>
    <row r="380" spans="1:36" ht="13.5" hidden="1" customHeight="1">
      <c r="A380" s="3" t="str">
        <f>IF(靴!A22="","",靴!A22)</f>
        <v/>
      </c>
      <c r="B380" s="68" t="str">
        <f>IF(靴!B22="","",靴!B22)</f>
        <v/>
      </c>
      <c r="C380" s="3" t="str">
        <f>IF(靴!C22="","",靴!C22)</f>
        <v>◇ サイズ E</v>
      </c>
      <c r="D380" s="3" t="str">
        <f>IF(靴!E22="","",靴!E22)</f>
        <v>無</v>
      </c>
      <c r="E380" s="3" t="str">
        <f>IF(靴!AB22="","",靴!AB22)</f>
        <v>ベースS</v>
      </c>
      <c r="F380" s="3" t="str">
        <f>IF(靴!G22="","",靴!G22)</f>
        <v/>
      </c>
      <c r="G380" s="3" t="str">
        <f>IF(靴!H22="","",靴!H22)</f>
        <v/>
      </c>
      <c r="H380" s="3" t="str">
        <f>IF(靴!I22="","",靴!I22)</f>
        <v/>
      </c>
      <c r="I380" s="3" t="str">
        <f>靴!AA22</f>
        <v>/ソール</v>
      </c>
      <c r="J380" s="3" t="str">
        <f>IF(靴!M22="","",靴!M22)</f>
        <v/>
      </c>
      <c r="K380" s="3" t="str">
        <f>IF(靴!N22="","",靴!N22)</f>
        <v>サイズ</v>
      </c>
      <c r="L380" s="69" t="s">
        <v>80</v>
      </c>
      <c r="M380" s="69" t="s">
        <v>19</v>
      </c>
      <c r="N380" s="69" t="s">
        <v>20</v>
      </c>
      <c r="O380" s="69" t="s">
        <v>21</v>
      </c>
      <c r="P380" s="4" t="s">
        <v>3036</v>
      </c>
      <c r="Q380" s="4" t="s">
        <v>3038</v>
      </c>
      <c r="R380" s="71" t="str">
        <f>靴!Z22</f>
        <v>底長：約cm　底甲幅：約cm　ヒール：約cm</v>
      </c>
      <c r="S380" s="69" t="s">
        <v>23</v>
      </c>
      <c r="T380" s="69" t="s">
        <v>22</v>
      </c>
      <c r="U380" s="69" t="s">
        <v>24</v>
      </c>
      <c r="V380" s="69" t="s">
        <v>25</v>
      </c>
      <c r="W380" s="69" t="s">
        <v>26</v>
      </c>
      <c r="X380" s="69" t="s">
        <v>27</v>
      </c>
      <c r="Y380" s="69" t="s">
        <v>28</v>
      </c>
      <c r="Z380" s="69" t="s">
        <v>29</v>
      </c>
      <c r="AA380" s="4"/>
      <c r="AB380" s="4"/>
      <c r="AC380" s="4"/>
      <c r="AD380" s="70"/>
      <c r="AE380" s="70">
        <f>靴!AF22</f>
        <v>0</v>
      </c>
      <c r="AF380" s="70" t="str">
        <f>靴!R22</f>
        <v>通常</v>
      </c>
      <c r="AG380" s="70">
        <v>0</v>
      </c>
      <c r="AH380" s="6">
        <f xml:space="preserve"> 靴!AD21</f>
        <v>0</v>
      </c>
      <c r="AI380">
        <v>1</v>
      </c>
      <c r="AJ380">
        <f>靴!U22</f>
        <v>0</v>
      </c>
    </row>
    <row r="381" spans="1:36" ht="13.5" hidden="1" customHeight="1">
      <c r="A381" s="3" t="str">
        <f>IF(靴!A23="","",靴!A23)</f>
        <v/>
      </c>
      <c r="B381" s="68" t="str">
        <f>IF(靴!B23="","",靴!B23)</f>
        <v/>
      </c>
      <c r="C381" s="3" t="str">
        <f>IF(靴!C23="","",靴!C23)</f>
        <v>◇ サイズ E</v>
      </c>
      <c r="D381" s="3" t="str">
        <f>IF(靴!E23="","",靴!E23)</f>
        <v>無</v>
      </c>
      <c r="E381" s="3" t="str">
        <f>IF(靴!AB23="","",靴!AB23)</f>
        <v>ベースS</v>
      </c>
      <c r="F381" s="3" t="str">
        <f>IF(靴!G23="","",靴!G23)</f>
        <v/>
      </c>
      <c r="G381" s="3" t="str">
        <f>IF(靴!H23="","",靴!H23)</f>
        <v/>
      </c>
      <c r="H381" s="3" t="str">
        <f>IF(靴!I23="","",靴!I23)</f>
        <v/>
      </c>
      <c r="I381" s="3" t="str">
        <f>靴!AA23</f>
        <v>/ソール</v>
      </c>
      <c r="J381" s="3" t="str">
        <f>IF(靴!M23="","",靴!M23)</f>
        <v/>
      </c>
      <c r="K381" s="3" t="str">
        <f>IF(靴!N23="","",靴!N23)</f>
        <v>サイズ</v>
      </c>
      <c r="L381" s="69" t="s">
        <v>80</v>
      </c>
      <c r="M381" s="69" t="s">
        <v>19</v>
      </c>
      <c r="N381" s="69" t="s">
        <v>20</v>
      </c>
      <c r="O381" s="69" t="s">
        <v>21</v>
      </c>
      <c r="P381" s="4" t="s">
        <v>3036</v>
      </c>
      <c r="Q381" s="4" t="s">
        <v>3038</v>
      </c>
      <c r="R381" s="71" t="str">
        <f>靴!Z23</f>
        <v>底長：約cm　底甲幅：約cm　ヒール：約cm</v>
      </c>
      <c r="S381" s="69" t="s">
        <v>23</v>
      </c>
      <c r="T381" s="69" t="s">
        <v>22</v>
      </c>
      <c r="U381" s="69" t="s">
        <v>24</v>
      </c>
      <c r="V381" s="69" t="s">
        <v>25</v>
      </c>
      <c r="W381" s="69" t="s">
        <v>26</v>
      </c>
      <c r="X381" s="69" t="s">
        <v>27</v>
      </c>
      <c r="Y381" s="69" t="s">
        <v>28</v>
      </c>
      <c r="Z381" s="69" t="s">
        <v>29</v>
      </c>
      <c r="AA381" s="4"/>
      <c r="AB381" s="4"/>
      <c r="AC381" s="4"/>
      <c r="AD381" s="70"/>
      <c r="AE381" s="70">
        <f>靴!AF23</f>
        <v>0</v>
      </c>
      <c r="AF381" s="70" t="str">
        <f>靴!R23</f>
        <v>通常</v>
      </c>
      <c r="AG381" s="70">
        <v>0</v>
      </c>
      <c r="AH381" s="6">
        <f xml:space="preserve"> 靴!AD22</f>
        <v>0</v>
      </c>
      <c r="AI381">
        <v>1</v>
      </c>
      <c r="AJ381">
        <f>靴!U23</f>
        <v>0</v>
      </c>
    </row>
    <row r="382" spans="1:36" ht="13.5" hidden="1" customHeight="1">
      <c r="A382" s="3" t="str">
        <f>IF(靴!A24="","",靴!A24)</f>
        <v/>
      </c>
      <c r="B382" s="68" t="str">
        <f>IF(靴!B24="","",靴!B24)</f>
        <v/>
      </c>
      <c r="C382" s="3" t="str">
        <f>IF(靴!C24="","",靴!C24)</f>
        <v>◇ サイズ E</v>
      </c>
      <c r="D382" s="3" t="str">
        <f>IF(靴!E24="","",靴!E24)</f>
        <v>無</v>
      </c>
      <c r="E382" s="3" t="str">
        <f>IF(靴!AB24="","",靴!AB24)</f>
        <v>ベースS</v>
      </c>
      <c r="F382" s="3" t="str">
        <f>IF(靴!G24="","",靴!G24)</f>
        <v/>
      </c>
      <c r="G382" s="3" t="str">
        <f>IF(靴!H24="","",靴!H24)</f>
        <v/>
      </c>
      <c r="H382" s="3" t="str">
        <f>IF(靴!I24="","",靴!I24)</f>
        <v/>
      </c>
      <c r="I382" s="3" t="str">
        <f>靴!AA24</f>
        <v>/ソール</v>
      </c>
      <c r="J382" s="3" t="str">
        <f>IF(靴!M24="","",靴!M24)</f>
        <v/>
      </c>
      <c r="K382" s="3" t="str">
        <f>IF(靴!N24="","",靴!N24)</f>
        <v>サイズ</v>
      </c>
      <c r="L382" s="69" t="s">
        <v>122</v>
      </c>
      <c r="M382" s="69" t="s">
        <v>19</v>
      </c>
      <c r="N382" s="69" t="s">
        <v>20</v>
      </c>
      <c r="O382" s="69" t="s">
        <v>21</v>
      </c>
      <c r="P382" s="4" t="s">
        <v>3036</v>
      </c>
      <c r="Q382" s="4" t="s">
        <v>3038</v>
      </c>
      <c r="R382" s="71" t="str">
        <f>靴!Z24</f>
        <v>底長：約cm　底甲幅：約cm　ヒール：約cm</v>
      </c>
      <c r="S382" s="69" t="s">
        <v>23</v>
      </c>
      <c r="T382" s="69" t="s">
        <v>22</v>
      </c>
      <c r="U382" s="69" t="s">
        <v>24</v>
      </c>
      <c r="V382" s="69" t="s">
        <v>25</v>
      </c>
      <c r="W382" s="69" t="s">
        <v>26</v>
      </c>
      <c r="X382" s="69" t="s">
        <v>27</v>
      </c>
      <c r="Y382" s="69" t="s">
        <v>28</v>
      </c>
      <c r="Z382" s="69" t="s">
        <v>29</v>
      </c>
      <c r="AA382" s="4"/>
      <c r="AB382" s="4"/>
      <c r="AC382" s="4"/>
      <c r="AD382" s="70"/>
      <c r="AE382" s="70">
        <f>靴!AF24</f>
        <v>0</v>
      </c>
      <c r="AF382" s="70" t="str">
        <f>靴!R24</f>
        <v>通常</v>
      </c>
      <c r="AG382" s="70">
        <v>0</v>
      </c>
      <c r="AH382" s="6">
        <f xml:space="preserve"> 靴!AD23</f>
        <v>0</v>
      </c>
      <c r="AI382">
        <v>1</v>
      </c>
      <c r="AJ382">
        <f>靴!U24</f>
        <v>0</v>
      </c>
    </row>
    <row r="383" spans="1:36" ht="13.5" hidden="1" customHeight="1">
      <c r="A383" s="3" t="str">
        <f>IF(靴!A25="","",靴!A25)</f>
        <v/>
      </c>
      <c r="B383" s="68" t="str">
        <f>IF(靴!B25="","",靴!B25)</f>
        <v/>
      </c>
      <c r="C383" s="3" t="str">
        <f>IF(靴!C25="","",靴!C25)</f>
        <v>◇ サイズ E</v>
      </c>
      <c r="D383" s="3" t="str">
        <f>IF(靴!E25="","",靴!E25)</f>
        <v>無</v>
      </c>
      <c r="E383" s="3" t="str">
        <f>IF(靴!AB25="","",靴!AB25)</f>
        <v>ベースS</v>
      </c>
      <c r="F383" s="3" t="str">
        <f>IF(靴!G25="","",靴!G25)</f>
        <v/>
      </c>
      <c r="G383" s="3" t="str">
        <f>IF(靴!H25="","",靴!H25)</f>
        <v/>
      </c>
      <c r="H383" s="3" t="str">
        <f>IF(靴!I25="","",靴!I25)</f>
        <v/>
      </c>
      <c r="I383" s="3" t="str">
        <f>靴!AA25</f>
        <v>/ソール</v>
      </c>
      <c r="J383" s="3" t="str">
        <f>IF(靴!M25="","",靴!M25)</f>
        <v/>
      </c>
      <c r="K383" s="3" t="str">
        <f>IF(靴!N25="","",靴!N25)</f>
        <v>サイズ</v>
      </c>
      <c r="L383" s="69" t="s">
        <v>80</v>
      </c>
      <c r="M383" s="69" t="s">
        <v>19</v>
      </c>
      <c r="N383" s="69" t="s">
        <v>20</v>
      </c>
      <c r="O383" s="69" t="s">
        <v>21</v>
      </c>
      <c r="P383" s="4" t="s">
        <v>3036</v>
      </c>
      <c r="Q383" s="4" t="s">
        <v>3038</v>
      </c>
      <c r="R383" s="71" t="str">
        <f>靴!Z25</f>
        <v>底長：約cm　底甲幅：約cm　ヒール：約cm</v>
      </c>
      <c r="S383" s="69" t="s">
        <v>23</v>
      </c>
      <c r="T383" s="69" t="s">
        <v>22</v>
      </c>
      <c r="U383" s="69" t="s">
        <v>24</v>
      </c>
      <c r="V383" s="69" t="s">
        <v>25</v>
      </c>
      <c r="W383" s="69" t="s">
        <v>26</v>
      </c>
      <c r="X383" s="69" t="s">
        <v>27</v>
      </c>
      <c r="Y383" s="69" t="s">
        <v>28</v>
      </c>
      <c r="Z383" s="69" t="s">
        <v>29</v>
      </c>
      <c r="AA383" s="4"/>
      <c r="AB383" s="4"/>
      <c r="AC383" s="4"/>
      <c r="AD383" s="70"/>
      <c r="AE383" s="70">
        <f>靴!AF25</f>
        <v>0</v>
      </c>
      <c r="AF383" s="70" t="str">
        <f>靴!R25</f>
        <v>通常</v>
      </c>
      <c r="AG383" s="70">
        <v>0</v>
      </c>
      <c r="AH383" s="6">
        <f xml:space="preserve"> 靴!AD24</f>
        <v>0</v>
      </c>
      <c r="AI383">
        <v>1</v>
      </c>
      <c r="AJ383">
        <f>靴!U25</f>
        <v>0</v>
      </c>
    </row>
    <row r="384" spans="1:36" ht="13.5" hidden="1" customHeight="1">
      <c r="A384" s="3" t="str">
        <f>IF(靴!A26="","",靴!A26)</f>
        <v/>
      </c>
      <c r="B384" s="68" t="str">
        <f>IF(靴!B26="","",靴!B26)</f>
        <v/>
      </c>
      <c r="C384" s="3" t="str">
        <f>IF(靴!C26="","",靴!C26)</f>
        <v>◇ サイズ E</v>
      </c>
      <c r="D384" s="3" t="str">
        <f>IF(靴!E26="","",靴!E26)</f>
        <v>無</v>
      </c>
      <c r="E384" s="3" t="str">
        <f>IF(靴!AB26="","",靴!AB26)</f>
        <v>ベースS</v>
      </c>
      <c r="F384" s="3" t="str">
        <f>IF(靴!G26="","",靴!G26)</f>
        <v/>
      </c>
      <c r="G384" s="3" t="str">
        <f>IF(靴!H26="","",靴!H26)</f>
        <v/>
      </c>
      <c r="H384" s="3" t="str">
        <f>IF(靴!I26="","",靴!I26)</f>
        <v/>
      </c>
      <c r="I384" s="3" t="str">
        <f>靴!AA26</f>
        <v>/ソール</v>
      </c>
      <c r="J384" s="3" t="str">
        <f>IF(靴!M26="","",靴!M26)</f>
        <v/>
      </c>
      <c r="K384" s="3" t="str">
        <f>IF(靴!N26="","",靴!N26)</f>
        <v>サイズ</v>
      </c>
      <c r="L384" s="69" t="s">
        <v>118</v>
      </c>
      <c r="M384" s="69" t="s">
        <v>19</v>
      </c>
      <c r="N384" s="69" t="s">
        <v>20</v>
      </c>
      <c r="O384" s="69" t="s">
        <v>21</v>
      </c>
      <c r="P384" s="4" t="s">
        <v>3036</v>
      </c>
      <c r="Q384" s="4" t="s">
        <v>3038</v>
      </c>
      <c r="R384" s="71" t="str">
        <f>靴!Z26</f>
        <v>底長：約cm　底甲幅：約cm　ヒール：約cm</v>
      </c>
      <c r="S384" s="69" t="s">
        <v>23</v>
      </c>
      <c r="T384" s="69" t="s">
        <v>22</v>
      </c>
      <c r="U384" s="69" t="s">
        <v>24</v>
      </c>
      <c r="V384" s="69" t="s">
        <v>25</v>
      </c>
      <c r="W384" s="69" t="s">
        <v>26</v>
      </c>
      <c r="X384" s="69" t="s">
        <v>27</v>
      </c>
      <c r="Y384" s="69" t="s">
        <v>28</v>
      </c>
      <c r="Z384" s="69" t="s">
        <v>29</v>
      </c>
      <c r="AA384" s="4"/>
      <c r="AB384" s="4"/>
      <c r="AC384" s="4"/>
      <c r="AD384" s="70"/>
      <c r="AE384" s="70">
        <f>靴!AF26</f>
        <v>0</v>
      </c>
      <c r="AF384" s="70" t="str">
        <f>靴!R26</f>
        <v>通常</v>
      </c>
      <c r="AG384" s="70">
        <v>0</v>
      </c>
      <c r="AH384" s="6">
        <f xml:space="preserve"> 靴!AD25</f>
        <v>0</v>
      </c>
      <c r="AI384">
        <v>1</v>
      </c>
      <c r="AJ384">
        <f>靴!U26</f>
        <v>0</v>
      </c>
    </row>
    <row r="385" spans="1:36" ht="13.5" hidden="1" customHeight="1">
      <c r="A385" s="3" t="str">
        <f>IF(靴!A27="","",靴!A27)</f>
        <v/>
      </c>
      <c r="B385" s="68" t="str">
        <f>IF(靴!B27="","",靴!B27)</f>
        <v/>
      </c>
      <c r="C385" s="3" t="str">
        <f>IF(靴!C27="","",靴!C27)</f>
        <v>◇ サイズ E</v>
      </c>
      <c r="D385" s="3" t="str">
        <f>IF(靴!E27="","",靴!E27)</f>
        <v>無</v>
      </c>
      <c r="E385" s="3" t="str">
        <f>IF(靴!AB27="","",靴!AB27)</f>
        <v>ベースS</v>
      </c>
      <c r="F385" s="3" t="str">
        <f>IF(靴!G27="","",靴!G27)</f>
        <v/>
      </c>
      <c r="G385" s="3" t="str">
        <f>IF(靴!H27="","",靴!H27)</f>
        <v/>
      </c>
      <c r="H385" s="3" t="str">
        <f>IF(靴!I27="","",靴!I27)</f>
        <v/>
      </c>
      <c r="I385" s="3" t="str">
        <f>靴!AA27</f>
        <v>/ソール</v>
      </c>
      <c r="J385" s="3" t="str">
        <f>IF(靴!M27="","",靴!M27)</f>
        <v/>
      </c>
      <c r="K385" s="3" t="str">
        <f>IF(靴!N27="","",靴!N27)</f>
        <v>サイズ</v>
      </c>
      <c r="L385" s="69" t="s">
        <v>123</v>
      </c>
      <c r="M385" s="69" t="s">
        <v>19</v>
      </c>
      <c r="N385" s="69" t="s">
        <v>20</v>
      </c>
      <c r="O385" s="69" t="s">
        <v>21</v>
      </c>
      <c r="P385" s="4" t="s">
        <v>3036</v>
      </c>
      <c r="Q385" s="4" t="s">
        <v>3038</v>
      </c>
      <c r="R385" s="71" t="str">
        <f>靴!Z27</f>
        <v>底長：約cm　底甲幅：約cm　ヒール：約cm</v>
      </c>
      <c r="S385" s="69" t="s">
        <v>23</v>
      </c>
      <c r="T385" s="69" t="s">
        <v>22</v>
      </c>
      <c r="U385" s="69" t="s">
        <v>24</v>
      </c>
      <c r="V385" s="69" t="s">
        <v>25</v>
      </c>
      <c r="W385" s="69" t="s">
        <v>26</v>
      </c>
      <c r="X385" s="69" t="s">
        <v>27</v>
      </c>
      <c r="Y385" s="69" t="s">
        <v>28</v>
      </c>
      <c r="Z385" s="69" t="s">
        <v>29</v>
      </c>
      <c r="AA385" s="4"/>
      <c r="AB385" s="4"/>
      <c r="AC385" s="4"/>
      <c r="AD385" s="70"/>
      <c r="AE385" s="70">
        <f>靴!AF27</f>
        <v>0</v>
      </c>
      <c r="AF385" s="70" t="str">
        <f>靴!R27</f>
        <v>通常</v>
      </c>
      <c r="AG385" s="70">
        <v>0</v>
      </c>
      <c r="AH385" s="6">
        <f xml:space="preserve"> 靴!AD26</f>
        <v>0</v>
      </c>
      <c r="AI385">
        <v>1</v>
      </c>
      <c r="AJ385">
        <f>靴!U27</f>
        <v>0</v>
      </c>
    </row>
    <row r="386" spans="1:36" ht="13.5" hidden="1" customHeight="1">
      <c r="A386" s="3" t="str">
        <f>IF(靴!A28="","",靴!A28)</f>
        <v/>
      </c>
      <c r="B386" s="68" t="str">
        <f>IF(靴!B28="","",靴!B28)</f>
        <v/>
      </c>
      <c r="C386" s="3" t="str">
        <f>IF(靴!C28="","",靴!C28)</f>
        <v>◇ サイズ E</v>
      </c>
      <c r="D386" s="3" t="str">
        <f>IF(靴!E28="","",靴!E28)</f>
        <v>無</v>
      </c>
      <c r="E386" s="3" t="str">
        <f>IF(靴!AB28="","",靴!AB28)</f>
        <v>ベースS</v>
      </c>
      <c r="F386" s="3" t="str">
        <f>IF(靴!G28="","",靴!G28)</f>
        <v/>
      </c>
      <c r="G386" s="3" t="str">
        <f>IF(靴!H28="","",靴!H28)</f>
        <v/>
      </c>
      <c r="H386" s="3" t="str">
        <f>IF(靴!I28="","",靴!I28)</f>
        <v/>
      </c>
      <c r="I386" s="3" t="str">
        <f>靴!AA28</f>
        <v>/ソール</v>
      </c>
      <c r="J386" s="3" t="str">
        <f>IF(靴!M28="","",靴!M28)</f>
        <v/>
      </c>
      <c r="K386" s="3" t="str">
        <f>IF(靴!N28="","",靴!N28)</f>
        <v>サイズ</v>
      </c>
      <c r="L386" s="69" t="s">
        <v>118</v>
      </c>
      <c r="M386" s="69" t="s">
        <v>19</v>
      </c>
      <c r="N386" s="69" t="s">
        <v>20</v>
      </c>
      <c r="O386" s="69" t="s">
        <v>21</v>
      </c>
      <c r="P386" s="4" t="s">
        <v>3036</v>
      </c>
      <c r="Q386" s="4" t="s">
        <v>3038</v>
      </c>
      <c r="R386" s="71" t="str">
        <f>靴!Z28</f>
        <v>底長：約cm　底甲幅：約cm　ヒール：約cm</v>
      </c>
      <c r="S386" s="69" t="s">
        <v>23</v>
      </c>
      <c r="T386" s="69" t="s">
        <v>22</v>
      </c>
      <c r="U386" s="69" t="s">
        <v>24</v>
      </c>
      <c r="V386" s="69" t="s">
        <v>25</v>
      </c>
      <c r="W386" s="69" t="s">
        <v>26</v>
      </c>
      <c r="X386" s="69" t="s">
        <v>27</v>
      </c>
      <c r="Y386" s="69" t="s">
        <v>28</v>
      </c>
      <c r="Z386" s="69" t="s">
        <v>29</v>
      </c>
      <c r="AA386" s="4"/>
      <c r="AB386" s="4"/>
      <c r="AC386" s="4"/>
      <c r="AD386" s="70"/>
      <c r="AE386" s="70">
        <f>靴!AF28</f>
        <v>0</v>
      </c>
      <c r="AF386" s="70" t="str">
        <f>靴!R28</f>
        <v>通常</v>
      </c>
      <c r="AG386" s="70">
        <v>0</v>
      </c>
      <c r="AH386" s="6">
        <f xml:space="preserve"> 靴!AD27</f>
        <v>0</v>
      </c>
      <c r="AI386">
        <v>1</v>
      </c>
      <c r="AJ386">
        <f>靴!U28</f>
        <v>0</v>
      </c>
    </row>
    <row r="387" spans="1:36" ht="13.5" hidden="1" customHeight="1">
      <c r="A387" s="3" t="str">
        <f>IF(靴!A29="","",靴!A29)</f>
        <v/>
      </c>
      <c r="B387" s="68" t="str">
        <f>IF(靴!B29="","",靴!B29)</f>
        <v/>
      </c>
      <c r="C387" s="3" t="str">
        <f>IF(靴!C29="","",靴!C29)</f>
        <v>◇ サイズ E</v>
      </c>
      <c r="D387" s="3" t="str">
        <f>IF(靴!E29="","",靴!E29)</f>
        <v>無</v>
      </c>
      <c r="E387" s="3" t="str">
        <f>IF(靴!AB29="","",靴!AB29)</f>
        <v>ベースS</v>
      </c>
      <c r="F387" s="3" t="str">
        <f>IF(靴!G29="","",靴!G29)</f>
        <v/>
      </c>
      <c r="G387" s="3" t="str">
        <f>IF(靴!H29="","",靴!H29)</f>
        <v/>
      </c>
      <c r="H387" s="3" t="str">
        <f>IF(靴!I29="","",靴!I29)</f>
        <v/>
      </c>
      <c r="I387" s="3" t="str">
        <f>靴!AA29</f>
        <v>/ソール</v>
      </c>
      <c r="J387" s="3" t="str">
        <f>IF(靴!M29="","",靴!M29)</f>
        <v/>
      </c>
      <c r="K387" s="3" t="str">
        <f>IF(靴!N29="","",靴!N29)</f>
        <v>サイズ</v>
      </c>
      <c r="L387" s="69" t="s">
        <v>123</v>
      </c>
      <c r="M387" s="69" t="s">
        <v>19</v>
      </c>
      <c r="N387" s="69" t="s">
        <v>20</v>
      </c>
      <c r="O387" s="69" t="s">
        <v>21</v>
      </c>
      <c r="P387" s="4" t="s">
        <v>3036</v>
      </c>
      <c r="Q387" s="4" t="s">
        <v>3038</v>
      </c>
      <c r="R387" s="71" t="str">
        <f>靴!Z29</f>
        <v>底長：約cm　底甲幅：約cm　ヒール：約cm</v>
      </c>
      <c r="S387" s="69" t="s">
        <v>23</v>
      </c>
      <c r="T387" s="69" t="s">
        <v>22</v>
      </c>
      <c r="U387" s="69" t="s">
        <v>24</v>
      </c>
      <c r="V387" s="69" t="s">
        <v>25</v>
      </c>
      <c r="W387" s="69" t="s">
        <v>26</v>
      </c>
      <c r="X387" s="69" t="s">
        <v>27</v>
      </c>
      <c r="Y387" s="69" t="s">
        <v>28</v>
      </c>
      <c r="Z387" s="69" t="s">
        <v>29</v>
      </c>
      <c r="AA387" s="4"/>
      <c r="AB387" s="4"/>
      <c r="AC387" s="4"/>
      <c r="AD387" s="70"/>
      <c r="AE387" s="70">
        <f>靴!AF29</f>
        <v>0</v>
      </c>
      <c r="AF387" s="70" t="str">
        <f>靴!R29</f>
        <v>通常</v>
      </c>
      <c r="AG387" s="70">
        <v>0</v>
      </c>
      <c r="AH387" s="6">
        <f xml:space="preserve"> 靴!AD28</f>
        <v>0</v>
      </c>
      <c r="AI387">
        <v>1</v>
      </c>
      <c r="AJ387">
        <f>靴!U29</f>
        <v>0</v>
      </c>
    </row>
    <row r="388" spans="1:36" ht="13.5" hidden="1" customHeight="1">
      <c r="A388" s="3" t="str">
        <f>IF(靴!A30="","",靴!A30)</f>
        <v/>
      </c>
      <c r="B388" s="68" t="str">
        <f>IF(靴!B30="","",靴!B30)</f>
        <v/>
      </c>
      <c r="C388" s="3" t="str">
        <f>IF(靴!C30="","",靴!C30)</f>
        <v>◇ サイズ E</v>
      </c>
      <c r="D388" s="3" t="str">
        <f>IF(靴!E30="","",靴!E30)</f>
        <v>無</v>
      </c>
      <c r="E388" s="3" t="str">
        <f>IF(靴!AB30="","",靴!AB30)</f>
        <v>ベースS</v>
      </c>
      <c r="F388" s="3" t="str">
        <f>IF(靴!G30="","",靴!G30)</f>
        <v/>
      </c>
      <c r="G388" s="3" t="str">
        <f>IF(靴!H30="","",靴!H30)</f>
        <v/>
      </c>
      <c r="H388" s="3" t="str">
        <f>IF(靴!I30="","",靴!I30)</f>
        <v/>
      </c>
      <c r="I388" s="3" t="str">
        <f>靴!AA30</f>
        <v>/ソール</v>
      </c>
      <c r="J388" s="3" t="str">
        <f>IF(靴!M30="","",靴!M30)</f>
        <v/>
      </c>
      <c r="K388" s="3" t="str">
        <f>IF(靴!N30="","",靴!N30)</f>
        <v>サイズ</v>
      </c>
      <c r="L388" s="69" t="s">
        <v>80</v>
      </c>
      <c r="M388" s="69" t="s">
        <v>19</v>
      </c>
      <c r="N388" s="69" t="s">
        <v>20</v>
      </c>
      <c r="O388" s="69" t="s">
        <v>21</v>
      </c>
      <c r="P388" s="4" t="s">
        <v>3036</v>
      </c>
      <c r="Q388" s="4" t="s">
        <v>3038</v>
      </c>
      <c r="R388" s="71" t="str">
        <f>靴!Z30</f>
        <v>底長：約cm　底甲幅：約cm　ヒール：約cm</v>
      </c>
      <c r="S388" s="69" t="s">
        <v>23</v>
      </c>
      <c r="T388" s="69" t="s">
        <v>22</v>
      </c>
      <c r="U388" s="69" t="s">
        <v>24</v>
      </c>
      <c r="V388" s="69" t="s">
        <v>25</v>
      </c>
      <c r="W388" s="69" t="s">
        <v>26</v>
      </c>
      <c r="X388" s="69" t="s">
        <v>27</v>
      </c>
      <c r="Y388" s="69" t="s">
        <v>28</v>
      </c>
      <c r="Z388" s="69" t="s">
        <v>29</v>
      </c>
      <c r="AA388" s="4"/>
      <c r="AB388" s="4"/>
      <c r="AC388" s="4"/>
      <c r="AD388" s="70"/>
      <c r="AE388" s="70">
        <f>靴!AF30</f>
        <v>0</v>
      </c>
      <c r="AF388" s="70" t="str">
        <f>靴!R30</f>
        <v>通常</v>
      </c>
      <c r="AG388" s="70">
        <v>0</v>
      </c>
      <c r="AH388" s="6">
        <f xml:space="preserve"> 靴!AD29</f>
        <v>0</v>
      </c>
      <c r="AI388">
        <v>1</v>
      </c>
      <c r="AJ388">
        <f>靴!U30</f>
        <v>0</v>
      </c>
    </row>
    <row r="389" spans="1:36" ht="13.5" hidden="1" customHeight="1">
      <c r="A389" s="3" t="str">
        <f>IF(靴!A31="","",靴!A31)</f>
        <v/>
      </c>
      <c r="B389" s="68" t="str">
        <f>IF(靴!B31="","",靴!B31)</f>
        <v/>
      </c>
      <c r="C389" s="3" t="str">
        <f>IF(靴!C31="","",靴!C31)</f>
        <v>◇ サイズ E</v>
      </c>
      <c r="D389" s="3" t="str">
        <f>IF(靴!E31="","",靴!E31)</f>
        <v>無</v>
      </c>
      <c r="E389" s="3" t="str">
        <f>IF(靴!AB31="","",靴!AB31)</f>
        <v>ベースS</v>
      </c>
      <c r="F389" s="3" t="str">
        <f>IF(靴!G31="","",靴!G31)</f>
        <v/>
      </c>
      <c r="G389" s="3" t="str">
        <f>IF(靴!H31="","",靴!H31)</f>
        <v/>
      </c>
      <c r="H389" s="3" t="str">
        <f>IF(靴!I31="","",靴!I31)</f>
        <v/>
      </c>
      <c r="I389" s="3" t="str">
        <f>靴!AA31</f>
        <v>/ソール</v>
      </c>
      <c r="J389" s="3" t="str">
        <f>IF(靴!M31="","",靴!M31)</f>
        <v/>
      </c>
      <c r="K389" s="3" t="str">
        <f>IF(靴!N31="","",靴!N31)</f>
        <v>サイズ</v>
      </c>
      <c r="L389" s="69" t="s">
        <v>121</v>
      </c>
      <c r="M389" s="69" t="s">
        <v>19</v>
      </c>
      <c r="N389" s="69" t="s">
        <v>20</v>
      </c>
      <c r="O389" s="69" t="s">
        <v>21</v>
      </c>
      <c r="P389" s="4" t="s">
        <v>3036</v>
      </c>
      <c r="Q389" s="4" t="s">
        <v>3038</v>
      </c>
      <c r="R389" s="71" t="str">
        <f>靴!Z31</f>
        <v>底長：約cm　底甲幅：約cm　ヒール：約cm</v>
      </c>
      <c r="S389" s="69" t="s">
        <v>23</v>
      </c>
      <c r="T389" s="69" t="s">
        <v>22</v>
      </c>
      <c r="U389" s="69" t="s">
        <v>24</v>
      </c>
      <c r="V389" s="69" t="s">
        <v>25</v>
      </c>
      <c r="W389" s="69" t="s">
        <v>26</v>
      </c>
      <c r="X389" s="69" t="s">
        <v>27</v>
      </c>
      <c r="Y389" s="69" t="s">
        <v>28</v>
      </c>
      <c r="Z389" s="69" t="s">
        <v>29</v>
      </c>
      <c r="AA389" s="4"/>
      <c r="AB389" s="4"/>
      <c r="AC389" s="4"/>
      <c r="AD389" s="70"/>
      <c r="AE389" s="70">
        <f>靴!AF31</f>
        <v>0</v>
      </c>
      <c r="AF389" s="70" t="str">
        <f>靴!R31</f>
        <v>通常</v>
      </c>
      <c r="AG389" s="70">
        <v>0</v>
      </c>
      <c r="AH389" s="6">
        <f xml:space="preserve"> 靴!AD30</f>
        <v>0</v>
      </c>
      <c r="AI389">
        <v>1</v>
      </c>
      <c r="AJ389">
        <f>靴!U31</f>
        <v>0</v>
      </c>
    </row>
    <row r="390" spans="1:36" ht="13.5" hidden="1" customHeight="1">
      <c r="A390" s="3" t="str">
        <f>IF(靴!A32="","",靴!A32)</f>
        <v/>
      </c>
      <c r="B390" s="68" t="str">
        <f>IF(靴!B32="","",靴!B32)</f>
        <v/>
      </c>
      <c r="C390" s="3" t="str">
        <f>IF(靴!C32="","",靴!C32)</f>
        <v>◇ サイズ E</v>
      </c>
      <c r="D390" s="3" t="str">
        <f>IF(靴!E32="","",靴!E32)</f>
        <v>無</v>
      </c>
      <c r="E390" s="3" t="str">
        <f>IF(靴!AB32="","",靴!AB32)</f>
        <v>ベースS</v>
      </c>
      <c r="F390" s="3" t="str">
        <f>IF(靴!G32="","",靴!G32)</f>
        <v/>
      </c>
      <c r="G390" s="3" t="str">
        <f>IF(靴!H32="","",靴!H32)</f>
        <v/>
      </c>
      <c r="H390" s="3" t="str">
        <f>IF(靴!I32="","",靴!I32)</f>
        <v/>
      </c>
      <c r="I390" s="3" t="str">
        <f>靴!AA32</f>
        <v>/ソール</v>
      </c>
      <c r="J390" s="3" t="str">
        <f>IF(靴!M32="","",靴!M32)</f>
        <v/>
      </c>
      <c r="K390" s="3" t="str">
        <f>IF(靴!N32="","",靴!N32)</f>
        <v>サイズ</v>
      </c>
      <c r="L390" s="69" t="s">
        <v>80</v>
      </c>
      <c r="M390" s="69" t="s">
        <v>19</v>
      </c>
      <c r="N390" s="69" t="s">
        <v>20</v>
      </c>
      <c r="O390" s="69" t="s">
        <v>21</v>
      </c>
      <c r="P390" s="4" t="s">
        <v>3036</v>
      </c>
      <c r="Q390" s="4" t="s">
        <v>3038</v>
      </c>
      <c r="R390" s="71" t="str">
        <f>靴!Z32</f>
        <v>底長：約cm　底甲幅：約cm　ヒール：約cm</v>
      </c>
      <c r="S390" s="69" t="s">
        <v>23</v>
      </c>
      <c r="T390" s="69" t="s">
        <v>22</v>
      </c>
      <c r="U390" s="69" t="s">
        <v>24</v>
      </c>
      <c r="V390" s="69" t="s">
        <v>25</v>
      </c>
      <c r="W390" s="69" t="s">
        <v>26</v>
      </c>
      <c r="X390" s="69" t="s">
        <v>27</v>
      </c>
      <c r="Y390" s="69" t="s">
        <v>28</v>
      </c>
      <c r="Z390" s="69" t="s">
        <v>29</v>
      </c>
      <c r="AA390" s="4"/>
      <c r="AB390" s="4"/>
      <c r="AC390" s="4"/>
      <c r="AD390" s="70"/>
      <c r="AE390" s="70">
        <f>靴!AF32</f>
        <v>0</v>
      </c>
      <c r="AF390" s="70" t="str">
        <f>靴!R32</f>
        <v>通常</v>
      </c>
      <c r="AG390" s="70">
        <v>0</v>
      </c>
      <c r="AH390" s="6">
        <f xml:space="preserve"> 靴!AD31</f>
        <v>0</v>
      </c>
      <c r="AI390">
        <v>1</v>
      </c>
      <c r="AJ390">
        <f>靴!U32</f>
        <v>0</v>
      </c>
    </row>
    <row r="391" spans="1:36" ht="13.5" hidden="1" customHeight="1">
      <c r="A391" s="3" t="str">
        <f>IF(靴!A33="","",靴!A33)</f>
        <v/>
      </c>
      <c r="B391" s="68" t="str">
        <f>IF(靴!B33="","",靴!B33)</f>
        <v/>
      </c>
      <c r="C391" s="3" t="str">
        <f>IF(靴!C33="","",靴!C33)</f>
        <v>◇ サイズ E</v>
      </c>
      <c r="D391" s="3" t="str">
        <f>IF(靴!E33="","",靴!E33)</f>
        <v>無</v>
      </c>
      <c r="E391" s="3" t="str">
        <f>IF(靴!AB33="","",靴!AB33)</f>
        <v>ベースS</v>
      </c>
      <c r="F391" s="3" t="str">
        <f>IF(靴!G33="","",靴!G33)</f>
        <v/>
      </c>
      <c r="G391" s="3" t="str">
        <f>IF(靴!H33="","",靴!H33)</f>
        <v/>
      </c>
      <c r="H391" s="3" t="str">
        <f>IF(靴!I33="","",靴!I33)</f>
        <v/>
      </c>
      <c r="I391" s="3" t="str">
        <f>靴!AA33</f>
        <v>/ソール</v>
      </c>
      <c r="J391" s="3" t="str">
        <f>IF(靴!M33="","",靴!M33)</f>
        <v/>
      </c>
      <c r="K391" s="3" t="str">
        <f>IF(靴!N33="","",靴!N33)</f>
        <v>サイズ</v>
      </c>
      <c r="L391" s="69" t="s">
        <v>80</v>
      </c>
      <c r="M391" s="69" t="s">
        <v>19</v>
      </c>
      <c r="N391" s="69" t="s">
        <v>20</v>
      </c>
      <c r="O391" s="69" t="s">
        <v>21</v>
      </c>
      <c r="P391" s="4" t="s">
        <v>3036</v>
      </c>
      <c r="Q391" s="4" t="s">
        <v>3038</v>
      </c>
      <c r="R391" s="71" t="str">
        <f>靴!Z33</f>
        <v>底長：約cm　底甲幅：約cm　ヒール：約cm</v>
      </c>
      <c r="S391" s="69" t="s">
        <v>23</v>
      </c>
      <c r="T391" s="69" t="s">
        <v>22</v>
      </c>
      <c r="U391" s="69" t="s">
        <v>24</v>
      </c>
      <c r="V391" s="69" t="s">
        <v>25</v>
      </c>
      <c r="W391" s="69" t="s">
        <v>26</v>
      </c>
      <c r="X391" s="69" t="s">
        <v>27</v>
      </c>
      <c r="Y391" s="69" t="s">
        <v>28</v>
      </c>
      <c r="Z391" s="69" t="s">
        <v>29</v>
      </c>
      <c r="AA391" s="4"/>
      <c r="AB391" s="4"/>
      <c r="AC391" s="4"/>
      <c r="AD391" s="70"/>
      <c r="AE391" s="70">
        <f>靴!AF33</f>
        <v>0</v>
      </c>
      <c r="AF391" s="70" t="str">
        <f>靴!R33</f>
        <v>通常</v>
      </c>
      <c r="AG391" s="70">
        <v>0</v>
      </c>
      <c r="AH391" s="6">
        <f xml:space="preserve"> 靴!AD32</f>
        <v>0</v>
      </c>
      <c r="AI391">
        <v>1</v>
      </c>
      <c r="AJ391">
        <f>靴!U33</f>
        <v>0</v>
      </c>
    </row>
    <row r="392" spans="1:36" ht="13.5" hidden="1" customHeight="1">
      <c r="A392" s="3" t="str">
        <f>IF(靴!A34="","",靴!A34)</f>
        <v/>
      </c>
      <c r="B392" s="68" t="str">
        <f>IF(靴!B34="","",靴!B34)</f>
        <v/>
      </c>
      <c r="C392" s="3" t="str">
        <f>IF(靴!C34="","",靴!C34)</f>
        <v>◇ サイズ E</v>
      </c>
      <c r="D392" s="3" t="str">
        <f>IF(靴!E34="","",靴!E34)</f>
        <v>無</v>
      </c>
      <c r="E392" s="3" t="str">
        <f>IF(靴!AB34="","",靴!AB34)</f>
        <v>ベースS</v>
      </c>
      <c r="F392" s="3" t="str">
        <f>IF(靴!G34="","",靴!G34)</f>
        <v/>
      </c>
      <c r="G392" s="3" t="str">
        <f>IF(靴!H34="","",靴!H34)</f>
        <v/>
      </c>
      <c r="H392" s="3" t="str">
        <f>IF(靴!I34="","",靴!I34)</f>
        <v/>
      </c>
      <c r="I392" s="3" t="str">
        <f>靴!AA34</f>
        <v>/ソール</v>
      </c>
      <c r="J392" s="3" t="str">
        <f>IF(靴!M34="","",靴!M34)</f>
        <v/>
      </c>
      <c r="K392" s="3" t="str">
        <f>IF(靴!N34="","",靴!N34)</f>
        <v>サイズ</v>
      </c>
      <c r="L392" s="69" t="s">
        <v>80</v>
      </c>
      <c r="M392" s="69" t="s">
        <v>19</v>
      </c>
      <c r="N392" s="69" t="s">
        <v>20</v>
      </c>
      <c r="O392" s="69" t="s">
        <v>21</v>
      </c>
      <c r="P392" s="4" t="s">
        <v>3036</v>
      </c>
      <c r="Q392" s="4" t="s">
        <v>3038</v>
      </c>
      <c r="R392" s="71" t="str">
        <f>靴!Z34</f>
        <v>底長：約cm　底甲幅：約cm　ヒール：約cm</v>
      </c>
      <c r="S392" s="69" t="s">
        <v>23</v>
      </c>
      <c r="T392" s="69" t="s">
        <v>22</v>
      </c>
      <c r="U392" s="69" t="s">
        <v>24</v>
      </c>
      <c r="V392" s="69" t="s">
        <v>25</v>
      </c>
      <c r="W392" s="69" t="s">
        <v>26</v>
      </c>
      <c r="X392" s="69" t="s">
        <v>27</v>
      </c>
      <c r="Y392" s="69" t="s">
        <v>28</v>
      </c>
      <c r="Z392" s="69" t="s">
        <v>29</v>
      </c>
      <c r="AA392" s="4"/>
      <c r="AB392" s="4"/>
      <c r="AC392" s="4"/>
      <c r="AD392" s="70"/>
      <c r="AE392" s="70">
        <f>靴!AF34</f>
        <v>0</v>
      </c>
      <c r="AF392" s="70" t="str">
        <f>靴!R34</f>
        <v>通常</v>
      </c>
      <c r="AG392" s="70">
        <v>0</v>
      </c>
      <c r="AH392" s="6">
        <f xml:space="preserve"> 靴!AD33</f>
        <v>0</v>
      </c>
      <c r="AI392">
        <v>1</v>
      </c>
      <c r="AJ392">
        <f>靴!U34</f>
        <v>0</v>
      </c>
    </row>
    <row r="393" spans="1:36" ht="13.5" hidden="1" customHeight="1">
      <c r="A393" s="3" t="str">
        <f>IF(靴!A35="","",靴!A35)</f>
        <v/>
      </c>
      <c r="B393" s="68" t="str">
        <f>IF(靴!B35="","",靴!B35)</f>
        <v/>
      </c>
      <c r="C393" s="3" t="str">
        <f>IF(靴!C35="","",靴!C35)</f>
        <v>◇ サイズ E</v>
      </c>
      <c r="D393" s="3" t="str">
        <f>IF(靴!E35="","",靴!E35)</f>
        <v>無</v>
      </c>
      <c r="E393" s="3" t="str">
        <f>IF(靴!AB35="","",靴!AB35)</f>
        <v>ベースS</v>
      </c>
      <c r="F393" s="3" t="str">
        <f>IF(靴!G35="","",靴!G35)</f>
        <v/>
      </c>
      <c r="G393" s="3" t="str">
        <f>IF(靴!H35="","",靴!H35)</f>
        <v/>
      </c>
      <c r="H393" s="3" t="str">
        <f>IF(靴!I35="","",靴!I35)</f>
        <v/>
      </c>
      <c r="I393" s="3" t="str">
        <f>靴!AA35</f>
        <v>/ソール</v>
      </c>
      <c r="J393" s="3" t="str">
        <f>IF(靴!M35="","",靴!M35)</f>
        <v/>
      </c>
      <c r="K393" s="3" t="str">
        <f>IF(靴!N35="","",靴!N35)</f>
        <v>サイズ</v>
      </c>
      <c r="L393" s="69" t="s">
        <v>80</v>
      </c>
      <c r="M393" s="69" t="s">
        <v>19</v>
      </c>
      <c r="N393" s="69" t="s">
        <v>20</v>
      </c>
      <c r="O393" s="69" t="s">
        <v>21</v>
      </c>
      <c r="P393" s="4" t="s">
        <v>3036</v>
      </c>
      <c r="Q393" s="4" t="s">
        <v>3038</v>
      </c>
      <c r="R393" s="71" t="str">
        <f>靴!Z35</f>
        <v>底長：約cm　底甲幅：約cm　ヒール：約cm</v>
      </c>
      <c r="S393" s="69" t="s">
        <v>23</v>
      </c>
      <c r="T393" s="69" t="s">
        <v>22</v>
      </c>
      <c r="U393" s="69" t="s">
        <v>24</v>
      </c>
      <c r="V393" s="69" t="s">
        <v>25</v>
      </c>
      <c r="W393" s="69" t="s">
        <v>26</v>
      </c>
      <c r="X393" s="69" t="s">
        <v>27</v>
      </c>
      <c r="Y393" s="69" t="s">
        <v>28</v>
      </c>
      <c r="Z393" s="69" t="s">
        <v>29</v>
      </c>
      <c r="AA393" s="4"/>
      <c r="AB393" s="4"/>
      <c r="AC393" s="4"/>
      <c r="AD393" s="70"/>
      <c r="AE393" s="70">
        <f>靴!AF35</f>
        <v>0</v>
      </c>
      <c r="AF393" s="70" t="str">
        <f>靴!R35</f>
        <v>通常</v>
      </c>
      <c r="AG393" s="70">
        <v>0</v>
      </c>
      <c r="AH393" s="6">
        <f xml:space="preserve"> 靴!AD34</f>
        <v>0</v>
      </c>
      <c r="AI393">
        <v>1</v>
      </c>
      <c r="AJ393">
        <f>靴!U35</f>
        <v>0</v>
      </c>
    </row>
    <row r="394" spans="1:36" ht="13.5" hidden="1" customHeight="1">
      <c r="A394" s="3" t="str">
        <f>IF(靴!A36="","",靴!A36)</f>
        <v/>
      </c>
      <c r="B394" s="68" t="str">
        <f>IF(靴!B36="","",靴!B36)</f>
        <v/>
      </c>
      <c r="C394" s="3" t="str">
        <f>IF(靴!C36="","",靴!C36)</f>
        <v>◇ サイズ E</v>
      </c>
      <c r="D394" s="3" t="str">
        <f>IF(靴!E36="","",靴!E36)</f>
        <v>無</v>
      </c>
      <c r="E394" s="3" t="str">
        <f>IF(靴!AB36="","",靴!AB36)</f>
        <v>ベースS</v>
      </c>
      <c r="F394" s="3" t="str">
        <f>IF(靴!G36="","",靴!G36)</f>
        <v/>
      </c>
      <c r="G394" s="3" t="str">
        <f>IF(靴!H36="","",靴!H36)</f>
        <v/>
      </c>
      <c r="H394" s="3" t="str">
        <f>IF(靴!I36="","",靴!I36)</f>
        <v/>
      </c>
      <c r="I394" s="3" t="str">
        <f>靴!AA36</f>
        <v>/ソール</v>
      </c>
      <c r="J394" s="3" t="str">
        <f>IF(靴!M36="","",靴!M36)</f>
        <v/>
      </c>
      <c r="K394" s="3" t="str">
        <f>IF(靴!N36="","",靴!N36)</f>
        <v>サイズ</v>
      </c>
      <c r="L394" s="69" t="s">
        <v>80</v>
      </c>
      <c r="M394" s="69" t="s">
        <v>19</v>
      </c>
      <c r="N394" s="69" t="s">
        <v>20</v>
      </c>
      <c r="O394" s="69" t="s">
        <v>21</v>
      </c>
      <c r="P394" s="4" t="s">
        <v>3036</v>
      </c>
      <c r="Q394" s="4" t="s">
        <v>3038</v>
      </c>
      <c r="R394" s="71" t="str">
        <f>靴!Z36</f>
        <v>底長：約cm　底甲幅：約cm　ヒール：約cm</v>
      </c>
      <c r="S394" s="69" t="s">
        <v>23</v>
      </c>
      <c r="T394" s="69" t="s">
        <v>22</v>
      </c>
      <c r="U394" s="69" t="s">
        <v>24</v>
      </c>
      <c r="V394" s="69" t="s">
        <v>25</v>
      </c>
      <c r="W394" s="69" t="s">
        <v>26</v>
      </c>
      <c r="X394" s="69" t="s">
        <v>27</v>
      </c>
      <c r="Y394" s="69" t="s">
        <v>28</v>
      </c>
      <c r="Z394" s="69" t="s">
        <v>29</v>
      </c>
      <c r="AA394" s="4"/>
      <c r="AB394" s="4"/>
      <c r="AC394" s="4"/>
      <c r="AD394" s="70"/>
      <c r="AE394" s="70">
        <f>靴!AF36</f>
        <v>0</v>
      </c>
      <c r="AF394" s="70" t="str">
        <f>靴!R36</f>
        <v>通常</v>
      </c>
      <c r="AG394" s="70">
        <v>0</v>
      </c>
      <c r="AH394" s="6">
        <f xml:space="preserve"> 靴!AD35</f>
        <v>0</v>
      </c>
      <c r="AI394">
        <v>1</v>
      </c>
      <c r="AJ394">
        <f>靴!U36</f>
        <v>0</v>
      </c>
    </row>
    <row r="395" spans="1:36" ht="13.5" hidden="1" customHeight="1">
      <c r="A395" s="3" t="str">
        <f>IF(靴!A37="","",靴!A37)</f>
        <v/>
      </c>
      <c r="B395" s="68" t="str">
        <f>IF(靴!B37="","",靴!B37)</f>
        <v/>
      </c>
      <c r="C395" s="3" t="str">
        <f>IF(靴!C37="","",靴!C37)</f>
        <v>◇ サイズ E</v>
      </c>
      <c r="D395" s="3" t="str">
        <f>IF(靴!E37="","",靴!E37)</f>
        <v>無</v>
      </c>
      <c r="E395" s="3" t="str">
        <f>IF(靴!AB37="","",靴!AB37)</f>
        <v>ベースS</v>
      </c>
      <c r="F395" s="3" t="str">
        <f>IF(靴!G37="","",靴!G37)</f>
        <v/>
      </c>
      <c r="G395" s="3" t="str">
        <f>IF(靴!H37="","",靴!H37)</f>
        <v/>
      </c>
      <c r="H395" s="3" t="str">
        <f>IF(靴!I37="","",靴!I37)</f>
        <v/>
      </c>
      <c r="I395" s="3" t="str">
        <f>靴!AA37</f>
        <v>/ソール</v>
      </c>
      <c r="J395" s="3" t="str">
        <f>IF(靴!M37="","",靴!M37)</f>
        <v/>
      </c>
      <c r="K395" s="3" t="str">
        <f>IF(靴!N37="","",靴!N37)</f>
        <v>サイズ</v>
      </c>
      <c r="L395" s="69" t="s">
        <v>80</v>
      </c>
      <c r="M395" s="69" t="s">
        <v>19</v>
      </c>
      <c r="N395" s="69" t="s">
        <v>20</v>
      </c>
      <c r="O395" s="69" t="s">
        <v>21</v>
      </c>
      <c r="P395" s="4" t="s">
        <v>3036</v>
      </c>
      <c r="Q395" s="4" t="s">
        <v>3038</v>
      </c>
      <c r="R395" s="71" t="str">
        <f>靴!Z37</f>
        <v>底長：約cm　底甲幅：約cm　ヒール：約cm</v>
      </c>
      <c r="S395" s="69" t="s">
        <v>23</v>
      </c>
      <c r="T395" s="69" t="s">
        <v>22</v>
      </c>
      <c r="U395" s="69" t="s">
        <v>24</v>
      </c>
      <c r="V395" s="69" t="s">
        <v>25</v>
      </c>
      <c r="W395" s="69" t="s">
        <v>26</v>
      </c>
      <c r="X395" s="69" t="s">
        <v>27</v>
      </c>
      <c r="Y395" s="69" t="s">
        <v>28</v>
      </c>
      <c r="Z395" s="69" t="s">
        <v>29</v>
      </c>
      <c r="AA395" s="4"/>
      <c r="AB395" s="4"/>
      <c r="AC395" s="4"/>
      <c r="AD395" s="70"/>
      <c r="AE395" s="70">
        <f>靴!AF37</f>
        <v>0</v>
      </c>
      <c r="AF395" s="70" t="str">
        <f>靴!R37</f>
        <v>通常</v>
      </c>
      <c r="AG395" s="70">
        <v>0</v>
      </c>
      <c r="AH395" s="6">
        <f xml:space="preserve"> 靴!AD36</f>
        <v>0</v>
      </c>
      <c r="AI395">
        <v>1</v>
      </c>
      <c r="AJ395">
        <f>靴!U37</f>
        <v>0</v>
      </c>
    </row>
    <row r="396" spans="1:36" ht="13.5" hidden="1" customHeight="1">
      <c r="A396" s="3" t="str">
        <f>IF(靴!A38="","",靴!A38)</f>
        <v/>
      </c>
      <c r="B396" s="68" t="str">
        <f>IF(靴!B38="","",靴!B38)</f>
        <v/>
      </c>
      <c r="C396" s="3" t="str">
        <f>IF(靴!C38="","",靴!C38)</f>
        <v>◇ サイズ E</v>
      </c>
      <c r="D396" s="3" t="str">
        <f>IF(靴!E38="","",靴!E38)</f>
        <v>無</v>
      </c>
      <c r="E396" s="3" t="str">
        <f>IF(靴!AB38="","",靴!AB38)</f>
        <v>ベースS</v>
      </c>
      <c r="F396" s="3" t="str">
        <f>IF(靴!G38="","",靴!G38)</f>
        <v/>
      </c>
      <c r="G396" s="3" t="str">
        <f>IF(靴!H38="","",靴!H38)</f>
        <v/>
      </c>
      <c r="H396" s="3" t="str">
        <f>IF(靴!I38="","",靴!I38)</f>
        <v/>
      </c>
      <c r="I396" s="3" t="str">
        <f>靴!AA38</f>
        <v>/ソール</v>
      </c>
      <c r="J396" s="3" t="str">
        <f>IF(靴!M38="","",靴!M38)</f>
        <v/>
      </c>
      <c r="K396" s="3" t="str">
        <f>IF(靴!N38="","",靴!N38)</f>
        <v>サイズ</v>
      </c>
      <c r="L396" s="69" t="s">
        <v>80</v>
      </c>
      <c r="M396" s="69" t="s">
        <v>19</v>
      </c>
      <c r="N396" s="69" t="s">
        <v>20</v>
      </c>
      <c r="O396" s="69" t="s">
        <v>21</v>
      </c>
      <c r="P396" s="4" t="s">
        <v>3036</v>
      </c>
      <c r="Q396" s="4" t="s">
        <v>3038</v>
      </c>
      <c r="R396" s="71" t="str">
        <f>靴!Z38</f>
        <v>底長：約cm　底甲幅：約cm　ヒール：約cm</v>
      </c>
      <c r="S396" s="69" t="s">
        <v>23</v>
      </c>
      <c r="T396" s="69" t="s">
        <v>22</v>
      </c>
      <c r="U396" s="69" t="s">
        <v>24</v>
      </c>
      <c r="V396" s="69" t="s">
        <v>25</v>
      </c>
      <c r="W396" s="69" t="s">
        <v>26</v>
      </c>
      <c r="X396" s="69" t="s">
        <v>27</v>
      </c>
      <c r="Y396" s="69" t="s">
        <v>28</v>
      </c>
      <c r="Z396" s="69" t="s">
        <v>29</v>
      </c>
      <c r="AA396" s="4"/>
      <c r="AB396" s="4"/>
      <c r="AC396" s="4"/>
      <c r="AD396" s="70"/>
      <c r="AE396" s="70">
        <f>靴!AF38</f>
        <v>0</v>
      </c>
      <c r="AF396" s="70" t="str">
        <f>靴!R38</f>
        <v>通常</v>
      </c>
      <c r="AG396" s="70">
        <v>0</v>
      </c>
      <c r="AH396" s="6">
        <f xml:space="preserve"> 靴!AD37</f>
        <v>0</v>
      </c>
      <c r="AI396">
        <v>1</v>
      </c>
      <c r="AJ396">
        <f>靴!U38</f>
        <v>0</v>
      </c>
    </row>
    <row r="397" spans="1:36" ht="13.5" hidden="1" customHeight="1">
      <c r="A397" s="3" t="str">
        <f>IF(靴!A39="","",靴!A39)</f>
        <v/>
      </c>
      <c r="B397" s="68" t="str">
        <f>IF(靴!B39="","",靴!B39)</f>
        <v/>
      </c>
      <c r="C397" s="3" t="str">
        <f>IF(靴!C39="","",靴!C39)</f>
        <v>◇ サイズ E</v>
      </c>
      <c r="D397" s="3" t="str">
        <f>IF(靴!E39="","",靴!E39)</f>
        <v>無</v>
      </c>
      <c r="E397" s="3" t="str">
        <f>IF(靴!AB39="","",靴!AB39)</f>
        <v>ベースS</v>
      </c>
      <c r="F397" s="3" t="str">
        <f>IF(靴!G39="","",靴!G39)</f>
        <v/>
      </c>
      <c r="G397" s="3" t="str">
        <f>IF(靴!H39="","",靴!H39)</f>
        <v/>
      </c>
      <c r="H397" s="3" t="str">
        <f>IF(靴!I39="","",靴!I39)</f>
        <v/>
      </c>
      <c r="I397" s="3" t="str">
        <f>靴!AA39</f>
        <v>/ソール</v>
      </c>
      <c r="J397" s="3" t="str">
        <f>IF(靴!M39="","",靴!M39)</f>
        <v/>
      </c>
      <c r="K397" s="3" t="str">
        <f>IF(靴!N39="","",靴!N39)</f>
        <v>サイズ</v>
      </c>
      <c r="L397" s="69" t="s">
        <v>80</v>
      </c>
      <c r="M397" s="69" t="s">
        <v>19</v>
      </c>
      <c r="N397" s="69" t="s">
        <v>20</v>
      </c>
      <c r="O397" s="69" t="s">
        <v>21</v>
      </c>
      <c r="P397" s="4" t="s">
        <v>3036</v>
      </c>
      <c r="Q397" s="4" t="s">
        <v>3038</v>
      </c>
      <c r="R397" s="71" t="str">
        <f>靴!Z39</f>
        <v>底長：約cm　底甲幅：約cm　ヒール：約cm</v>
      </c>
      <c r="S397" s="69" t="s">
        <v>23</v>
      </c>
      <c r="T397" s="69" t="s">
        <v>22</v>
      </c>
      <c r="U397" s="69" t="s">
        <v>24</v>
      </c>
      <c r="V397" s="69" t="s">
        <v>25</v>
      </c>
      <c r="W397" s="69" t="s">
        <v>26</v>
      </c>
      <c r="X397" s="69" t="s">
        <v>27</v>
      </c>
      <c r="Y397" s="69" t="s">
        <v>28</v>
      </c>
      <c r="Z397" s="69" t="s">
        <v>29</v>
      </c>
      <c r="AA397" s="4"/>
      <c r="AB397" s="4"/>
      <c r="AC397" s="4"/>
      <c r="AD397" s="70"/>
      <c r="AE397" s="70">
        <f>靴!AF39</f>
        <v>0</v>
      </c>
      <c r="AF397" s="70" t="str">
        <f>靴!R39</f>
        <v>通常</v>
      </c>
      <c r="AG397" s="70">
        <v>0</v>
      </c>
      <c r="AH397" s="6">
        <f xml:space="preserve"> 靴!AD38</f>
        <v>0</v>
      </c>
      <c r="AI397">
        <v>1</v>
      </c>
      <c r="AJ397">
        <f>靴!U39</f>
        <v>0</v>
      </c>
    </row>
    <row r="398" spans="1:36" ht="13.5" hidden="1" customHeight="1">
      <c r="A398" s="3" t="str">
        <f>IF(靴!A40="","",靴!A40)</f>
        <v/>
      </c>
      <c r="B398" s="68" t="str">
        <f>IF(靴!B40="","",靴!B40)</f>
        <v/>
      </c>
      <c r="C398" s="3" t="str">
        <f>IF(靴!C40="","",靴!C40)</f>
        <v>◇ サイズ E</v>
      </c>
      <c r="D398" s="3" t="str">
        <f>IF(靴!E40="","",靴!E40)</f>
        <v>無</v>
      </c>
      <c r="E398" s="3" t="str">
        <f>IF(靴!AB40="","",靴!AB40)</f>
        <v>ベースS</v>
      </c>
      <c r="F398" s="3" t="str">
        <f>IF(靴!G40="","",靴!G40)</f>
        <v/>
      </c>
      <c r="G398" s="3" t="str">
        <f>IF(靴!H40="","",靴!H40)</f>
        <v/>
      </c>
      <c r="H398" s="3" t="str">
        <f>IF(靴!I40="","",靴!I40)</f>
        <v/>
      </c>
      <c r="I398" s="3" t="str">
        <f>靴!AA40</f>
        <v>/ソール</v>
      </c>
      <c r="J398" s="3" t="str">
        <f>IF(靴!M40="","",靴!M40)</f>
        <v/>
      </c>
      <c r="K398" s="3" t="str">
        <f>IF(靴!N40="","",靴!N40)</f>
        <v>サイズ</v>
      </c>
      <c r="L398" s="69" t="s">
        <v>80</v>
      </c>
      <c r="M398" s="69" t="s">
        <v>19</v>
      </c>
      <c r="N398" s="69" t="s">
        <v>20</v>
      </c>
      <c r="O398" s="69" t="s">
        <v>21</v>
      </c>
      <c r="P398" s="4" t="s">
        <v>3036</v>
      </c>
      <c r="Q398" s="4" t="s">
        <v>3038</v>
      </c>
      <c r="R398" s="71" t="str">
        <f>靴!Z40</f>
        <v>底長：約cm　底甲幅：約cm　ヒール：約cm</v>
      </c>
      <c r="S398" s="69" t="s">
        <v>23</v>
      </c>
      <c r="T398" s="69" t="s">
        <v>22</v>
      </c>
      <c r="U398" s="69" t="s">
        <v>24</v>
      </c>
      <c r="V398" s="69" t="s">
        <v>25</v>
      </c>
      <c r="W398" s="69" t="s">
        <v>26</v>
      </c>
      <c r="X398" s="69" t="s">
        <v>27</v>
      </c>
      <c r="Y398" s="69" t="s">
        <v>28</v>
      </c>
      <c r="Z398" s="69" t="s">
        <v>29</v>
      </c>
      <c r="AA398" s="4"/>
      <c r="AB398" s="4"/>
      <c r="AC398" s="4"/>
      <c r="AD398" s="70"/>
      <c r="AE398" s="70">
        <f>靴!AF40</f>
        <v>0</v>
      </c>
      <c r="AF398" s="70" t="str">
        <f>靴!R40</f>
        <v>通常</v>
      </c>
      <c r="AG398" s="70">
        <v>0</v>
      </c>
      <c r="AH398" s="6">
        <f xml:space="preserve"> 靴!AD39</f>
        <v>0</v>
      </c>
      <c r="AI398">
        <v>1</v>
      </c>
      <c r="AJ398">
        <f>靴!U40</f>
        <v>0</v>
      </c>
    </row>
    <row r="399" spans="1:36" ht="13.5" hidden="1" customHeight="1">
      <c r="A399" s="3" t="str">
        <f>IF(靴!A41="","",靴!A41)</f>
        <v/>
      </c>
      <c r="B399" s="68" t="str">
        <f>IF(靴!B41="","",靴!B41)</f>
        <v/>
      </c>
      <c r="C399" s="3" t="str">
        <f>IF(靴!C41="","",靴!C41)</f>
        <v>◇ サイズ E</v>
      </c>
      <c r="D399" s="3" t="str">
        <f>IF(靴!E41="","",靴!E41)</f>
        <v>無</v>
      </c>
      <c r="E399" s="3" t="str">
        <f>IF(靴!AB41="","",靴!AB41)</f>
        <v>ベースS</v>
      </c>
      <c r="F399" s="3" t="str">
        <f>IF(靴!G41="","",靴!G41)</f>
        <v/>
      </c>
      <c r="G399" s="3" t="str">
        <f>IF(靴!H41="","",靴!H41)</f>
        <v/>
      </c>
      <c r="H399" s="3" t="str">
        <f>IF(靴!I41="","",靴!I41)</f>
        <v/>
      </c>
      <c r="I399" s="3" t="str">
        <f>靴!AA41</f>
        <v>/ソール</v>
      </c>
      <c r="J399" s="3" t="str">
        <f>IF(靴!M41="","",靴!M41)</f>
        <v/>
      </c>
      <c r="K399" s="3" t="str">
        <f>IF(靴!N41="","",靴!N41)</f>
        <v>サイズ</v>
      </c>
      <c r="L399" s="69" t="s">
        <v>80</v>
      </c>
      <c r="M399" s="69" t="s">
        <v>19</v>
      </c>
      <c r="N399" s="69" t="s">
        <v>20</v>
      </c>
      <c r="O399" s="69" t="s">
        <v>21</v>
      </c>
      <c r="P399" s="4" t="s">
        <v>3036</v>
      </c>
      <c r="Q399" s="4" t="s">
        <v>3038</v>
      </c>
      <c r="R399" s="71" t="str">
        <f>靴!Z41</f>
        <v>底長：約cm　底甲幅：約cm　ヒール：約cm</v>
      </c>
      <c r="S399" s="69" t="s">
        <v>23</v>
      </c>
      <c r="T399" s="69" t="s">
        <v>22</v>
      </c>
      <c r="U399" s="69" t="s">
        <v>24</v>
      </c>
      <c r="V399" s="69" t="s">
        <v>25</v>
      </c>
      <c r="W399" s="69" t="s">
        <v>26</v>
      </c>
      <c r="X399" s="69" t="s">
        <v>27</v>
      </c>
      <c r="Y399" s="69" t="s">
        <v>28</v>
      </c>
      <c r="Z399" s="69" t="s">
        <v>29</v>
      </c>
      <c r="AA399" s="4"/>
      <c r="AB399" s="4"/>
      <c r="AC399" s="4"/>
      <c r="AD399" s="70"/>
      <c r="AE399" s="70">
        <f>靴!AF41</f>
        <v>0</v>
      </c>
      <c r="AF399" s="70" t="str">
        <f>靴!R41</f>
        <v>通常</v>
      </c>
      <c r="AG399" s="70">
        <v>0</v>
      </c>
      <c r="AH399" s="6">
        <f xml:space="preserve"> 靴!AD40</f>
        <v>0</v>
      </c>
      <c r="AI399">
        <v>1</v>
      </c>
      <c r="AJ399">
        <f>靴!U41</f>
        <v>0</v>
      </c>
    </row>
    <row r="400" spans="1:36" ht="13.5" hidden="1" customHeight="1">
      <c r="A400" s="3" t="str">
        <f>IF(靴!A42="","",靴!A42)</f>
        <v/>
      </c>
      <c r="B400" s="68" t="str">
        <f>IF(靴!B42="","",靴!B42)</f>
        <v/>
      </c>
      <c r="C400" s="3" t="str">
        <f>IF(靴!C42="","",靴!C42)</f>
        <v>◇ サイズ E</v>
      </c>
      <c r="D400" s="3" t="str">
        <f>IF(靴!E42="","",靴!E42)</f>
        <v>無</v>
      </c>
      <c r="E400" s="3" t="str">
        <f>IF(靴!AB42="","",靴!AB42)</f>
        <v>ベースS</v>
      </c>
      <c r="F400" s="3" t="str">
        <f>IF(靴!G42="","",靴!G42)</f>
        <v/>
      </c>
      <c r="G400" s="3" t="str">
        <f>IF(靴!H42="","",靴!H42)</f>
        <v/>
      </c>
      <c r="H400" s="3" t="str">
        <f>IF(靴!I42="","",靴!I42)</f>
        <v/>
      </c>
      <c r="I400" s="3" t="str">
        <f>靴!AA42</f>
        <v>/ソール</v>
      </c>
      <c r="J400" s="3" t="str">
        <f>IF(靴!M42="","",靴!M42)</f>
        <v/>
      </c>
      <c r="K400" s="3" t="str">
        <f>IF(靴!N42="","",靴!N42)</f>
        <v>サイズ</v>
      </c>
      <c r="L400" s="69" t="s">
        <v>80</v>
      </c>
      <c r="M400" s="69" t="s">
        <v>19</v>
      </c>
      <c r="N400" s="69" t="s">
        <v>20</v>
      </c>
      <c r="O400" s="69" t="s">
        <v>21</v>
      </c>
      <c r="P400" s="4" t="s">
        <v>3036</v>
      </c>
      <c r="Q400" s="4" t="s">
        <v>3038</v>
      </c>
      <c r="R400" s="71" t="str">
        <f>靴!Z42</f>
        <v>底長：約cm　底甲幅：約cm　ヒール：約cm</v>
      </c>
      <c r="S400" s="69" t="s">
        <v>23</v>
      </c>
      <c r="T400" s="69" t="s">
        <v>22</v>
      </c>
      <c r="U400" s="69" t="s">
        <v>24</v>
      </c>
      <c r="V400" s="69" t="s">
        <v>25</v>
      </c>
      <c r="W400" s="69" t="s">
        <v>26</v>
      </c>
      <c r="X400" s="69" t="s">
        <v>27</v>
      </c>
      <c r="Y400" s="69" t="s">
        <v>28</v>
      </c>
      <c r="Z400" s="69" t="s">
        <v>29</v>
      </c>
      <c r="AA400" s="4"/>
      <c r="AB400" s="4"/>
      <c r="AC400" s="4"/>
      <c r="AD400" s="70"/>
      <c r="AE400" s="70">
        <f>靴!AF42</f>
        <v>0</v>
      </c>
      <c r="AF400" s="70" t="str">
        <f>靴!R42</f>
        <v>通常</v>
      </c>
      <c r="AG400" s="70">
        <v>0</v>
      </c>
      <c r="AH400" s="6">
        <f xml:space="preserve"> 靴!AD41</f>
        <v>0</v>
      </c>
      <c r="AI400">
        <v>1</v>
      </c>
      <c r="AJ400">
        <f>靴!U42</f>
        <v>0</v>
      </c>
    </row>
    <row r="401" spans="1:36" ht="13.5" hidden="1" customHeight="1">
      <c r="A401" s="3" t="str">
        <f>IF(靴!A43="","",靴!A43)</f>
        <v/>
      </c>
      <c r="B401" s="68" t="str">
        <f>IF(靴!B43="","",靴!B43)</f>
        <v/>
      </c>
      <c r="C401" s="3" t="str">
        <f>IF(靴!C43="","",靴!C43)</f>
        <v>◇ サイズ E</v>
      </c>
      <c r="D401" s="3" t="str">
        <f>IF(靴!E43="","",靴!E43)</f>
        <v>無</v>
      </c>
      <c r="E401" s="3" t="str">
        <f>IF(靴!AB43="","",靴!AB43)</f>
        <v>ベースS</v>
      </c>
      <c r="F401" s="3" t="str">
        <f>IF(靴!G43="","",靴!G43)</f>
        <v/>
      </c>
      <c r="G401" s="3" t="str">
        <f>IF(靴!H43="","",靴!H43)</f>
        <v/>
      </c>
      <c r="H401" s="3" t="str">
        <f>IF(靴!I43="","",靴!I43)</f>
        <v/>
      </c>
      <c r="I401" s="3" t="str">
        <f>靴!AA43</f>
        <v>/ソール</v>
      </c>
      <c r="J401" s="3" t="str">
        <f>IF(靴!M43="","",靴!M43)</f>
        <v/>
      </c>
      <c r="K401" s="3" t="str">
        <f>IF(靴!N43="","",靴!N43)</f>
        <v>サイズ</v>
      </c>
      <c r="L401" s="69" t="s">
        <v>80</v>
      </c>
      <c r="M401" s="69" t="s">
        <v>19</v>
      </c>
      <c r="N401" s="69" t="s">
        <v>20</v>
      </c>
      <c r="O401" s="69" t="s">
        <v>21</v>
      </c>
      <c r="P401" s="4" t="s">
        <v>3036</v>
      </c>
      <c r="Q401" s="4" t="s">
        <v>3038</v>
      </c>
      <c r="R401" s="71" t="str">
        <f>靴!Z43</f>
        <v>底長：約cm　底甲幅：約cm　ヒール：約cm</v>
      </c>
      <c r="S401" s="69" t="s">
        <v>23</v>
      </c>
      <c r="T401" s="69" t="s">
        <v>22</v>
      </c>
      <c r="U401" s="69" t="s">
        <v>24</v>
      </c>
      <c r="V401" s="69" t="s">
        <v>25</v>
      </c>
      <c r="W401" s="69" t="s">
        <v>26</v>
      </c>
      <c r="X401" s="69" t="s">
        <v>27</v>
      </c>
      <c r="Y401" s="69" t="s">
        <v>28</v>
      </c>
      <c r="Z401" s="69" t="s">
        <v>29</v>
      </c>
      <c r="AA401" s="4"/>
      <c r="AB401" s="4"/>
      <c r="AC401" s="4"/>
      <c r="AD401" s="70"/>
      <c r="AE401" s="70">
        <f>靴!AF43</f>
        <v>0</v>
      </c>
      <c r="AF401" s="70" t="str">
        <f>靴!R43</f>
        <v>通常</v>
      </c>
      <c r="AG401" s="70">
        <v>0</v>
      </c>
      <c r="AH401" s="6">
        <f xml:space="preserve"> 靴!AD42</f>
        <v>0</v>
      </c>
      <c r="AI401">
        <v>1</v>
      </c>
      <c r="AJ401">
        <f>靴!U43</f>
        <v>0</v>
      </c>
    </row>
    <row r="402" spans="1:36" ht="13.5" hidden="1" customHeight="1">
      <c r="A402" s="3" t="str">
        <f>IF(靴!A44="","",靴!A44)</f>
        <v/>
      </c>
      <c r="B402" s="68" t="str">
        <f>IF(靴!B44="","",靴!B44)</f>
        <v/>
      </c>
      <c r="C402" s="3" t="str">
        <f>IF(靴!C44="","",靴!C44)</f>
        <v>◇ サイズ E</v>
      </c>
      <c r="D402" s="3" t="str">
        <f>IF(靴!E44="","",靴!E44)</f>
        <v>無</v>
      </c>
      <c r="E402" s="3" t="str">
        <f>IF(靴!AB44="","",靴!AB44)</f>
        <v>ベースS</v>
      </c>
      <c r="F402" s="3" t="str">
        <f>IF(靴!G44="","",靴!G44)</f>
        <v/>
      </c>
      <c r="G402" s="3" t="str">
        <f>IF(靴!H44="","",靴!H44)</f>
        <v/>
      </c>
      <c r="H402" s="3" t="str">
        <f>IF(靴!I44="","",靴!I44)</f>
        <v/>
      </c>
      <c r="I402" s="3" t="str">
        <f>靴!AA44</f>
        <v>/ソール</v>
      </c>
      <c r="J402" s="3" t="str">
        <f>IF(靴!M44="","",靴!M44)</f>
        <v/>
      </c>
      <c r="K402" s="3" t="str">
        <f>IF(靴!N44="","",靴!N44)</f>
        <v>サイズ</v>
      </c>
      <c r="L402" s="69" t="s">
        <v>80</v>
      </c>
      <c r="M402" s="69" t="s">
        <v>19</v>
      </c>
      <c r="N402" s="69" t="s">
        <v>20</v>
      </c>
      <c r="O402" s="69" t="s">
        <v>21</v>
      </c>
      <c r="P402" s="4" t="s">
        <v>3036</v>
      </c>
      <c r="Q402" s="4" t="s">
        <v>3038</v>
      </c>
      <c r="R402" s="71" t="str">
        <f>靴!Z44</f>
        <v>底長：約cm　底甲幅：約cm　ヒール：約cm</v>
      </c>
      <c r="S402" s="69" t="s">
        <v>23</v>
      </c>
      <c r="T402" s="69" t="s">
        <v>22</v>
      </c>
      <c r="U402" s="69" t="s">
        <v>24</v>
      </c>
      <c r="V402" s="69" t="s">
        <v>25</v>
      </c>
      <c r="W402" s="69" t="s">
        <v>26</v>
      </c>
      <c r="X402" s="69" t="s">
        <v>27</v>
      </c>
      <c r="Y402" s="69" t="s">
        <v>28</v>
      </c>
      <c r="Z402" s="69" t="s">
        <v>29</v>
      </c>
      <c r="AA402" s="4"/>
      <c r="AB402" s="4"/>
      <c r="AC402" s="4"/>
      <c r="AD402" s="70"/>
      <c r="AE402" s="70">
        <f>靴!AF44</f>
        <v>0</v>
      </c>
      <c r="AF402" s="70" t="str">
        <f>靴!R44</f>
        <v>通常</v>
      </c>
      <c r="AG402" s="70">
        <v>0</v>
      </c>
      <c r="AH402" s="6">
        <f xml:space="preserve"> 靴!AD43</f>
        <v>0</v>
      </c>
      <c r="AI402">
        <v>1</v>
      </c>
      <c r="AJ402">
        <f>靴!U44</f>
        <v>0</v>
      </c>
    </row>
    <row r="403" spans="1:36" ht="13.5" hidden="1" customHeight="1">
      <c r="A403" s="3" t="str">
        <f>IF(靴!A45="","",靴!A45)</f>
        <v/>
      </c>
      <c r="B403" s="68" t="str">
        <f>IF(靴!B45="","",靴!B45)</f>
        <v/>
      </c>
      <c r="C403" s="3" t="str">
        <f>IF(靴!C45="","",靴!C45)</f>
        <v>◇ サイズ E</v>
      </c>
      <c r="D403" s="3" t="str">
        <f>IF(靴!E45="","",靴!E45)</f>
        <v>無</v>
      </c>
      <c r="E403" s="3" t="str">
        <f>IF(靴!AB45="","",靴!AB45)</f>
        <v>ベースS</v>
      </c>
      <c r="F403" s="3" t="str">
        <f>IF(靴!G45="","",靴!G45)</f>
        <v/>
      </c>
      <c r="G403" s="3" t="str">
        <f>IF(靴!H45="","",靴!H45)</f>
        <v/>
      </c>
      <c r="H403" s="3" t="str">
        <f>IF(靴!I45="","",靴!I45)</f>
        <v/>
      </c>
      <c r="I403" s="3" t="str">
        <f>靴!AA45</f>
        <v>/ソール</v>
      </c>
      <c r="J403" s="3" t="str">
        <f>IF(靴!M45="","",靴!M45)</f>
        <v/>
      </c>
      <c r="K403" s="3" t="str">
        <f>IF(靴!N45="","",靴!N45)</f>
        <v>サイズ</v>
      </c>
      <c r="L403" s="69" t="s">
        <v>80</v>
      </c>
      <c r="M403" s="69" t="s">
        <v>19</v>
      </c>
      <c r="N403" s="69" t="s">
        <v>20</v>
      </c>
      <c r="O403" s="69" t="s">
        <v>21</v>
      </c>
      <c r="P403" s="4" t="s">
        <v>3036</v>
      </c>
      <c r="Q403" s="4" t="s">
        <v>3038</v>
      </c>
      <c r="R403" s="71" t="str">
        <f>靴!Z45</f>
        <v>底長：約cm　底甲幅：約cm　ヒール：約cm</v>
      </c>
      <c r="S403" s="69" t="s">
        <v>23</v>
      </c>
      <c r="T403" s="69" t="s">
        <v>22</v>
      </c>
      <c r="U403" s="69" t="s">
        <v>24</v>
      </c>
      <c r="V403" s="69" t="s">
        <v>25</v>
      </c>
      <c r="W403" s="69" t="s">
        <v>26</v>
      </c>
      <c r="X403" s="69" t="s">
        <v>27</v>
      </c>
      <c r="Y403" s="69" t="s">
        <v>28</v>
      </c>
      <c r="Z403" s="69" t="s">
        <v>29</v>
      </c>
      <c r="AA403" s="4"/>
      <c r="AB403" s="4"/>
      <c r="AC403" s="4"/>
      <c r="AD403" s="70"/>
      <c r="AE403" s="70">
        <f>靴!AF45</f>
        <v>0</v>
      </c>
      <c r="AF403" s="70" t="str">
        <f>靴!R45</f>
        <v>通常</v>
      </c>
      <c r="AG403" s="70">
        <v>0</v>
      </c>
      <c r="AH403" s="6">
        <f xml:space="preserve"> 靴!AD44</f>
        <v>0</v>
      </c>
      <c r="AI403">
        <v>1</v>
      </c>
      <c r="AJ403">
        <f>靴!U45</f>
        <v>0</v>
      </c>
    </row>
    <row r="404" spans="1:36" ht="13.5" hidden="1" customHeight="1">
      <c r="A404" s="3" t="str">
        <f>IF(靴!A46="","",靴!A46)</f>
        <v/>
      </c>
      <c r="B404" s="68" t="str">
        <f>IF(靴!B46="","",靴!B46)</f>
        <v/>
      </c>
      <c r="C404" s="3" t="str">
        <f>IF(靴!C46="","",靴!C46)</f>
        <v>◇ サイズ E</v>
      </c>
      <c r="D404" s="3" t="str">
        <f>IF(靴!E46="","",靴!E46)</f>
        <v>無</v>
      </c>
      <c r="E404" s="3" t="str">
        <f>IF(靴!AB46="","",靴!AB46)</f>
        <v>ベースS</v>
      </c>
      <c r="F404" s="3" t="str">
        <f>IF(靴!G46="","",靴!G46)</f>
        <v/>
      </c>
      <c r="G404" s="3" t="str">
        <f>IF(靴!H46="","",靴!H46)</f>
        <v/>
      </c>
      <c r="H404" s="3" t="str">
        <f>IF(靴!I46="","",靴!I46)</f>
        <v/>
      </c>
      <c r="I404" s="3" t="str">
        <f>靴!AA46</f>
        <v>/ソール</v>
      </c>
      <c r="J404" s="3" t="str">
        <f>IF(靴!M46="","",靴!M46)</f>
        <v/>
      </c>
      <c r="K404" s="3" t="str">
        <f>IF(靴!N46="","",靴!N46)</f>
        <v>サイズ</v>
      </c>
      <c r="L404" s="69" t="s">
        <v>80</v>
      </c>
      <c r="M404" s="69" t="s">
        <v>19</v>
      </c>
      <c r="N404" s="69" t="s">
        <v>20</v>
      </c>
      <c r="O404" s="69" t="s">
        <v>21</v>
      </c>
      <c r="P404" s="4" t="s">
        <v>3036</v>
      </c>
      <c r="Q404" s="4" t="s">
        <v>3038</v>
      </c>
      <c r="R404" s="71" t="str">
        <f>靴!Z46</f>
        <v>底長：約cm　底甲幅：約cm　ヒール：約cm</v>
      </c>
      <c r="S404" s="69" t="s">
        <v>23</v>
      </c>
      <c r="T404" s="69" t="s">
        <v>22</v>
      </c>
      <c r="U404" s="69" t="s">
        <v>24</v>
      </c>
      <c r="V404" s="69" t="s">
        <v>25</v>
      </c>
      <c r="W404" s="69" t="s">
        <v>26</v>
      </c>
      <c r="X404" s="69" t="s">
        <v>27</v>
      </c>
      <c r="Y404" s="69" t="s">
        <v>28</v>
      </c>
      <c r="Z404" s="69" t="s">
        <v>29</v>
      </c>
      <c r="AA404" s="4"/>
      <c r="AB404" s="4"/>
      <c r="AC404" s="4"/>
      <c r="AD404" s="70"/>
      <c r="AE404" s="70">
        <f>靴!AF46</f>
        <v>0</v>
      </c>
      <c r="AF404" s="70" t="str">
        <f>靴!R46</f>
        <v>通常</v>
      </c>
      <c r="AG404" s="70">
        <v>0</v>
      </c>
      <c r="AH404" s="6">
        <f xml:space="preserve"> 靴!AD45</f>
        <v>0</v>
      </c>
      <c r="AI404">
        <v>1</v>
      </c>
      <c r="AJ404">
        <f>靴!U46</f>
        <v>0</v>
      </c>
    </row>
    <row r="405" spans="1:36" ht="13.5" hidden="1" customHeight="1">
      <c r="A405" s="3" t="str">
        <f>IF(靴!A47="","",靴!A47)</f>
        <v/>
      </c>
      <c r="B405" s="68" t="str">
        <f>IF(靴!B47="","",靴!B47)</f>
        <v/>
      </c>
      <c r="C405" s="3" t="str">
        <f>IF(靴!C47="","",靴!C47)</f>
        <v>◇ サイズ E</v>
      </c>
      <c r="D405" s="3" t="str">
        <f>IF(靴!E47="","",靴!E47)</f>
        <v>無</v>
      </c>
      <c r="E405" s="3" t="str">
        <f>IF(靴!AB47="","",靴!AB47)</f>
        <v>ベースS</v>
      </c>
      <c r="F405" s="3" t="str">
        <f>IF(靴!G47="","",靴!G47)</f>
        <v/>
      </c>
      <c r="G405" s="3" t="str">
        <f>IF(靴!H47="","",靴!H47)</f>
        <v/>
      </c>
      <c r="H405" s="3" t="str">
        <f>IF(靴!I47="","",靴!I47)</f>
        <v/>
      </c>
      <c r="I405" s="3" t="str">
        <f>靴!AA47</f>
        <v>/ソール</v>
      </c>
      <c r="J405" s="3" t="str">
        <f>IF(靴!M47="","",靴!M47)</f>
        <v/>
      </c>
      <c r="K405" s="3" t="str">
        <f>IF(靴!N47="","",靴!N47)</f>
        <v>サイズ</v>
      </c>
      <c r="L405" s="69" t="s">
        <v>80</v>
      </c>
      <c r="M405" s="69" t="s">
        <v>19</v>
      </c>
      <c r="N405" s="69" t="s">
        <v>20</v>
      </c>
      <c r="O405" s="69" t="s">
        <v>21</v>
      </c>
      <c r="P405" s="4" t="s">
        <v>3036</v>
      </c>
      <c r="Q405" s="4" t="s">
        <v>3038</v>
      </c>
      <c r="R405" s="71" t="str">
        <f>靴!Z47</f>
        <v>底長：約cm　底甲幅：約cm　ヒール：約cm</v>
      </c>
      <c r="S405" s="69" t="s">
        <v>23</v>
      </c>
      <c r="T405" s="69" t="s">
        <v>22</v>
      </c>
      <c r="U405" s="69" t="s">
        <v>24</v>
      </c>
      <c r="V405" s="69" t="s">
        <v>25</v>
      </c>
      <c r="W405" s="69" t="s">
        <v>26</v>
      </c>
      <c r="X405" s="69" t="s">
        <v>27</v>
      </c>
      <c r="Y405" s="69" t="s">
        <v>28</v>
      </c>
      <c r="Z405" s="69" t="s">
        <v>29</v>
      </c>
      <c r="AA405" s="4"/>
      <c r="AB405" s="4"/>
      <c r="AC405" s="4"/>
      <c r="AD405" s="70"/>
      <c r="AE405" s="70">
        <f>靴!AF47</f>
        <v>0</v>
      </c>
      <c r="AF405" s="70" t="str">
        <f>靴!R47</f>
        <v>通常</v>
      </c>
      <c r="AG405" s="70">
        <v>0</v>
      </c>
      <c r="AH405" s="6">
        <f xml:space="preserve"> 靴!AD46</f>
        <v>0</v>
      </c>
      <c r="AI405">
        <v>1</v>
      </c>
      <c r="AJ405">
        <f>靴!U47</f>
        <v>0</v>
      </c>
    </row>
    <row r="406" spans="1:36" ht="13.5" hidden="1" customHeight="1">
      <c r="A406" s="3" t="str">
        <f>IF(靴!A48="","",靴!A48)</f>
        <v/>
      </c>
      <c r="B406" s="68" t="str">
        <f>IF(靴!B48="","",靴!B48)</f>
        <v/>
      </c>
      <c r="C406" s="3" t="str">
        <f>IF(靴!C48="","",靴!C48)</f>
        <v>◇ サイズ E</v>
      </c>
      <c r="D406" s="3" t="str">
        <f>IF(靴!E48="","",靴!E48)</f>
        <v>無</v>
      </c>
      <c r="E406" s="3" t="str">
        <f>IF(靴!AB48="","",靴!AB48)</f>
        <v>ベースS</v>
      </c>
      <c r="F406" s="3" t="str">
        <f>IF(靴!G48="","",靴!G48)</f>
        <v/>
      </c>
      <c r="G406" s="3" t="str">
        <f>IF(靴!H48="","",靴!H48)</f>
        <v/>
      </c>
      <c r="H406" s="3" t="str">
        <f>IF(靴!I48="","",靴!I48)</f>
        <v/>
      </c>
      <c r="I406" s="3" t="str">
        <f>靴!AA48</f>
        <v>/ソール</v>
      </c>
      <c r="J406" s="3" t="str">
        <f>IF(靴!M48="","",靴!M48)</f>
        <v/>
      </c>
      <c r="K406" s="3" t="str">
        <f>IF(靴!N48="","",靴!N48)</f>
        <v>サイズ</v>
      </c>
      <c r="L406" s="69" t="s">
        <v>80</v>
      </c>
      <c r="M406" s="69" t="s">
        <v>19</v>
      </c>
      <c r="N406" s="69" t="s">
        <v>20</v>
      </c>
      <c r="O406" s="69" t="s">
        <v>21</v>
      </c>
      <c r="P406" s="4" t="s">
        <v>3036</v>
      </c>
      <c r="Q406" s="4" t="s">
        <v>3038</v>
      </c>
      <c r="R406" s="71" t="str">
        <f>靴!Z48</f>
        <v>底長：約cm　底甲幅：約cm　ヒール：約cm</v>
      </c>
      <c r="S406" s="69" t="s">
        <v>23</v>
      </c>
      <c r="T406" s="69" t="s">
        <v>22</v>
      </c>
      <c r="U406" s="69" t="s">
        <v>24</v>
      </c>
      <c r="V406" s="69" t="s">
        <v>25</v>
      </c>
      <c r="W406" s="69" t="s">
        <v>26</v>
      </c>
      <c r="X406" s="69" t="s">
        <v>27</v>
      </c>
      <c r="Y406" s="69" t="s">
        <v>28</v>
      </c>
      <c r="Z406" s="69" t="s">
        <v>29</v>
      </c>
      <c r="AA406" s="4"/>
      <c r="AB406" s="4"/>
      <c r="AC406" s="4"/>
      <c r="AD406" s="70"/>
      <c r="AE406" s="70">
        <f>靴!AF48</f>
        <v>0</v>
      </c>
      <c r="AF406" s="70" t="str">
        <f>靴!R48</f>
        <v>通常</v>
      </c>
      <c r="AG406" s="70">
        <v>0</v>
      </c>
      <c r="AH406" s="6">
        <f xml:space="preserve"> 靴!AD47</f>
        <v>0</v>
      </c>
      <c r="AI406">
        <v>1</v>
      </c>
      <c r="AJ406">
        <f>靴!U48</f>
        <v>0</v>
      </c>
    </row>
    <row r="407" spans="1:36" ht="13.5" hidden="1" customHeight="1">
      <c r="A407" s="3" t="str">
        <f>IF(靴!A49="","",靴!A49)</f>
        <v/>
      </c>
      <c r="B407" s="68" t="str">
        <f>IF(靴!B49="","",靴!B49)</f>
        <v/>
      </c>
      <c r="C407" s="3" t="str">
        <f>IF(靴!C49="","",靴!C49)</f>
        <v>◇ サイズ E</v>
      </c>
      <c r="D407" s="3" t="str">
        <f>IF(靴!E49="","",靴!E49)</f>
        <v>無</v>
      </c>
      <c r="E407" s="3" t="str">
        <f>IF(靴!AB49="","",靴!AB49)</f>
        <v>ベースS</v>
      </c>
      <c r="F407" s="3" t="str">
        <f>IF(靴!G49="","",靴!G49)</f>
        <v/>
      </c>
      <c r="G407" s="3" t="str">
        <f>IF(靴!H49="","",靴!H49)</f>
        <v/>
      </c>
      <c r="H407" s="3" t="str">
        <f>IF(靴!I49="","",靴!I49)</f>
        <v/>
      </c>
      <c r="I407" s="3" t="str">
        <f>靴!AA49</f>
        <v>/ソール</v>
      </c>
      <c r="J407" s="3" t="str">
        <f>IF(靴!M49="","",靴!M49)</f>
        <v/>
      </c>
      <c r="K407" s="3" t="str">
        <f>IF(靴!N49="","",靴!N49)</f>
        <v>サイズ</v>
      </c>
      <c r="L407" s="69" t="s">
        <v>80</v>
      </c>
      <c r="M407" s="69" t="s">
        <v>19</v>
      </c>
      <c r="N407" s="69" t="s">
        <v>20</v>
      </c>
      <c r="O407" s="69" t="s">
        <v>21</v>
      </c>
      <c r="P407" s="4" t="s">
        <v>3036</v>
      </c>
      <c r="Q407" s="4" t="s">
        <v>3038</v>
      </c>
      <c r="R407" s="71" t="str">
        <f>靴!Z49</f>
        <v>底長：約cm　底甲幅：約cm　ヒール：約cm</v>
      </c>
      <c r="S407" s="69" t="s">
        <v>23</v>
      </c>
      <c r="T407" s="69" t="s">
        <v>22</v>
      </c>
      <c r="U407" s="69" t="s">
        <v>24</v>
      </c>
      <c r="V407" s="69" t="s">
        <v>25</v>
      </c>
      <c r="W407" s="69" t="s">
        <v>26</v>
      </c>
      <c r="X407" s="69" t="s">
        <v>27</v>
      </c>
      <c r="Y407" s="69" t="s">
        <v>28</v>
      </c>
      <c r="Z407" s="69" t="s">
        <v>29</v>
      </c>
      <c r="AA407" s="4"/>
      <c r="AB407" s="4"/>
      <c r="AC407" s="4"/>
      <c r="AD407" s="70"/>
      <c r="AE407" s="70">
        <f>靴!AF49</f>
        <v>0</v>
      </c>
      <c r="AF407" s="70" t="str">
        <f>靴!R49</f>
        <v>通常</v>
      </c>
      <c r="AG407" s="70">
        <v>0</v>
      </c>
      <c r="AH407" s="6">
        <f xml:space="preserve"> 靴!AD48</f>
        <v>0</v>
      </c>
      <c r="AI407">
        <v>1</v>
      </c>
      <c r="AJ407">
        <f>靴!U49</f>
        <v>0</v>
      </c>
    </row>
    <row r="408" spans="1:36" ht="13.5" hidden="1" customHeight="1">
      <c r="A408" s="3" t="str">
        <f>IF(靴!A50="","",靴!A50)</f>
        <v/>
      </c>
      <c r="B408" s="68" t="str">
        <f>IF(靴!B50="","",靴!B50)</f>
        <v/>
      </c>
      <c r="C408" s="3" t="str">
        <f>IF(靴!C50="","",靴!C50)</f>
        <v>◇ サイズ E</v>
      </c>
      <c r="D408" s="3" t="str">
        <f>IF(靴!E50="","",靴!E50)</f>
        <v>無</v>
      </c>
      <c r="E408" s="3" t="str">
        <f>IF(靴!AB50="","",靴!AB50)</f>
        <v>ベースS</v>
      </c>
      <c r="F408" s="3" t="str">
        <f>IF(靴!G50="","",靴!G50)</f>
        <v/>
      </c>
      <c r="G408" s="3" t="str">
        <f>IF(靴!H50="","",靴!H50)</f>
        <v/>
      </c>
      <c r="H408" s="3" t="str">
        <f>IF(靴!I50="","",靴!I50)</f>
        <v/>
      </c>
      <c r="I408" s="3" t="str">
        <f>靴!AA50</f>
        <v>/ソール</v>
      </c>
      <c r="J408" s="3" t="str">
        <f>IF(靴!M50="","",靴!M50)</f>
        <v/>
      </c>
      <c r="K408" s="3" t="str">
        <f>IF(靴!N50="","",靴!N50)</f>
        <v>サイズ</v>
      </c>
      <c r="L408" s="69" t="s">
        <v>80</v>
      </c>
      <c r="M408" s="69" t="s">
        <v>19</v>
      </c>
      <c r="N408" s="69" t="s">
        <v>20</v>
      </c>
      <c r="O408" s="69" t="s">
        <v>21</v>
      </c>
      <c r="P408" s="4" t="s">
        <v>3036</v>
      </c>
      <c r="Q408" s="4" t="s">
        <v>3038</v>
      </c>
      <c r="R408" s="71" t="str">
        <f>靴!Z50</f>
        <v>底長：約cm　底甲幅：約cm　ヒール：約cm</v>
      </c>
      <c r="S408" s="69" t="s">
        <v>23</v>
      </c>
      <c r="T408" s="69" t="s">
        <v>22</v>
      </c>
      <c r="U408" s="69" t="s">
        <v>24</v>
      </c>
      <c r="V408" s="69" t="s">
        <v>25</v>
      </c>
      <c r="W408" s="69" t="s">
        <v>26</v>
      </c>
      <c r="X408" s="69" t="s">
        <v>27</v>
      </c>
      <c r="Y408" s="69" t="s">
        <v>28</v>
      </c>
      <c r="Z408" s="69" t="s">
        <v>29</v>
      </c>
      <c r="AA408" s="4"/>
      <c r="AB408" s="4"/>
      <c r="AC408" s="4"/>
      <c r="AD408" s="70"/>
      <c r="AE408" s="70">
        <f>靴!AF50</f>
        <v>0</v>
      </c>
      <c r="AF408" s="70" t="str">
        <f>靴!R50</f>
        <v>通常</v>
      </c>
      <c r="AG408" s="70">
        <v>0</v>
      </c>
      <c r="AH408" s="6">
        <f xml:space="preserve"> 靴!AD49</f>
        <v>0</v>
      </c>
      <c r="AI408">
        <v>1</v>
      </c>
      <c r="AJ408">
        <f>靴!U50</f>
        <v>0</v>
      </c>
    </row>
    <row r="409" spans="1:36" ht="13.5" hidden="1" customHeight="1">
      <c r="A409" s="3" t="str">
        <f>IF(靴!A51="","",靴!A51)</f>
        <v/>
      </c>
      <c r="B409" s="68" t="str">
        <f>IF(靴!B51="","",靴!B51)</f>
        <v/>
      </c>
      <c r="C409" s="3" t="str">
        <f>IF(靴!C51="","",靴!C51)</f>
        <v>◇ サイズ E</v>
      </c>
      <c r="D409" s="3" t="str">
        <f>IF(靴!E51="","",靴!E51)</f>
        <v>無</v>
      </c>
      <c r="E409" s="3" t="str">
        <f>IF(靴!AB51="","",靴!AB51)</f>
        <v>ベースS</v>
      </c>
      <c r="F409" s="3" t="str">
        <f>IF(靴!G51="","",靴!G51)</f>
        <v/>
      </c>
      <c r="G409" s="3" t="str">
        <f>IF(靴!H51="","",靴!H51)</f>
        <v/>
      </c>
      <c r="H409" s="3" t="str">
        <f>IF(靴!I51="","",靴!I51)</f>
        <v/>
      </c>
      <c r="I409" s="3" t="str">
        <f>靴!AA51</f>
        <v>/ソール</v>
      </c>
      <c r="J409" s="3" t="str">
        <f>IF(靴!M51="","",靴!M51)</f>
        <v/>
      </c>
      <c r="K409" s="3" t="str">
        <f>IF(靴!N51="","",靴!N51)</f>
        <v>サイズ</v>
      </c>
      <c r="L409" s="69" t="s">
        <v>118</v>
      </c>
      <c r="M409" s="69" t="s">
        <v>19</v>
      </c>
      <c r="N409" s="69" t="s">
        <v>20</v>
      </c>
      <c r="O409" s="69" t="s">
        <v>21</v>
      </c>
      <c r="P409" s="4" t="s">
        <v>3036</v>
      </c>
      <c r="Q409" s="4" t="s">
        <v>3038</v>
      </c>
      <c r="R409" s="71" t="str">
        <f>靴!Z51</f>
        <v>底長：約cm　底甲幅：約cm　ヒール：約cm</v>
      </c>
      <c r="S409" s="69" t="s">
        <v>23</v>
      </c>
      <c r="T409" s="69" t="s">
        <v>22</v>
      </c>
      <c r="U409" s="69" t="s">
        <v>24</v>
      </c>
      <c r="V409" s="69" t="s">
        <v>25</v>
      </c>
      <c r="W409" s="69" t="s">
        <v>26</v>
      </c>
      <c r="X409" s="69" t="s">
        <v>27</v>
      </c>
      <c r="Y409" s="69" t="s">
        <v>28</v>
      </c>
      <c r="Z409" s="69" t="s">
        <v>29</v>
      </c>
      <c r="AA409" s="4"/>
      <c r="AB409" s="4"/>
      <c r="AC409" s="4"/>
      <c r="AD409" s="70"/>
      <c r="AE409" s="70">
        <f>靴!AF51</f>
        <v>0</v>
      </c>
      <c r="AF409" s="70" t="str">
        <f>靴!R51</f>
        <v>通常</v>
      </c>
      <c r="AG409" s="70">
        <v>0</v>
      </c>
      <c r="AH409" s="6">
        <f xml:space="preserve"> 靴!AD50</f>
        <v>0</v>
      </c>
      <c r="AI409">
        <v>1</v>
      </c>
      <c r="AJ409">
        <f>靴!U51</f>
        <v>0</v>
      </c>
    </row>
    <row r="410" spans="1:36" ht="13.5" hidden="1" customHeight="1">
      <c r="A410" s="3" t="str">
        <f>IF(靴!A52="","",靴!A52)</f>
        <v/>
      </c>
      <c r="B410" s="68" t="str">
        <f>IF(靴!B52="","",靴!B52)</f>
        <v/>
      </c>
      <c r="C410" s="3" t="str">
        <f>IF(靴!C52="","",靴!C52)</f>
        <v>◇ サイズ E</v>
      </c>
      <c r="D410" s="3" t="str">
        <f>IF(靴!E52="","",靴!E52)</f>
        <v>無</v>
      </c>
      <c r="E410" s="3" t="str">
        <f>IF(靴!AB52="","",靴!AB52)</f>
        <v>ベースS</v>
      </c>
      <c r="F410" s="3" t="str">
        <f>IF(靴!G52="","",靴!G52)</f>
        <v/>
      </c>
      <c r="G410" s="3" t="str">
        <f>IF(靴!H52="","",靴!H52)</f>
        <v/>
      </c>
      <c r="H410" s="3" t="str">
        <f>IF(靴!I52="","",靴!I52)</f>
        <v/>
      </c>
      <c r="I410" s="3" t="str">
        <f>靴!AA52</f>
        <v>/ソール</v>
      </c>
      <c r="J410" s="3" t="str">
        <f>IF(靴!M52="","",靴!M52)</f>
        <v/>
      </c>
      <c r="K410" s="3" t="str">
        <f>IF(靴!N52="","",靴!N52)</f>
        <v>サイズ</v>
      </c>
      <c r="L410" s="69" t="s">
        <v>123</v>
      </c>
      <c r="M410" s="69" t="s">
        <v>19</v>
      </c>
      <c r="N410" s="69" t="s">
        <v>20</v>
      </c>
      <c r="O410" s="69" t="s">
        <v>21</v>
      </c>
      <c r="P410" s="4" t="s">
        <v>3036</v>
      </c>
      <c r="Q410" s="4" t="s">
        <v>3038</v>
      </c>
      <c r="R410" s="71" t="str">
        <f>靴!Z52</f>
        <v>底長：約cm　底甲幅：約cm　ヒール：約cm</v>
      </c>
      <c r="S410" s="69" t="s">
        <v>23</v>
      </c>
      <c r="T410" s="69" t="s">
        <v>124</v>
      </c>
      <c r="U410" s="69" t="s">
        <v>24</v>
      </c>
      <c r="V410" s="69" t="s">
        <v>25</v>
      </c>
      <c r="W410" s="69" t="s">
        <v>26</v>
      </c>
      <c r="X410" s="69" t="s">
        <v>27</v>
      </c>
      <c r="Y410" s="69" t="s">
        <v>28</v>
      </c>
      <c r="Z410" s="69" t="s">
        <v>29</v>
      </c>
      <c r="AA410" s="4"/>
      <c r="AB410" s="4"/>
      <c r="AC410" s="4"/>
      <c r="AD410" s="70"/>
      <c r="AE410" s="70">
        <f>靴!AF52</f>
        <v>0</v>
      </c>
      <c r="AF410" s="70" t="str">
        <f>靴!R52</f>
        <v>通常</v>
      </c>
      <c r="AG410" s="70">
        <v>0</v>
      </c>
      <c r="AH410" s="6">
        <f xml:space="preserve"> 靴!AD51</f>
        <v>0</v>
      </c>
      <c r="AI410">
        <v>1</v>
      </c>
      <c r="AJ410">
        <f>靴!U52</f>
        <v>0</v>
      </c>
    </row>
    <row r="411" spans="1:36" ht="13.5" hidden="1" customHeight="1">
      <c r="A411" s="3" t="str">
        <f>IF(靴!A53="","",靴!A53)</f>
        <v/>
      </c>
      <c r="B411" s="68" t="str">
        <f>IF(靴!B53="","",靴!B53)</f>
        <v/>
      </c>
      <c r="C411" s="3" t="str">
        <f>IF(靴!C53="","",靴!C53)</f>
        <v>◇ サイズ E</v>
      </c>
      <c r="D411" s="3" t="str">
        <f>IF(靴!E53="","",靴!E53)</f>
        <v>無</v>
      </c>
      <c r="E411" s="3" t="str">
        <f>IF(靴!AB53="","",靴!AB53)</f>
        <v>ベースS</v>
      </c>
      <c r="F411" s="3" t="str">
        <f>IF(靴!G53="","",靴!G53)</f>
        <v/>
      </c>
      <c r="G411" s="3" t="str">
        <f>IF(靴!H53="","",靴!H53)</f>
        <v/>
      </c>
      <c r="H411" s="3" t="str">
        <f>IF(靴!I53="","",靴!I53)</f>
        <v/>
      </c>
      <c r="I411" s="3" t="str">
        <f>靴!AA53</f>
        <v>/ソール</v>
      </c>
      <c r="J411" s="3" t="str">
        <f>IF(靴!M53="","",靴!M53)</f>
        <v/>
      </c>
      <c r="K411" s="3" t="str">
        <f>IF(靴!N53="","",靴!N53)</f>
        <v>サイズ</v>
      </c>
      <c r="L411" s="69" t="s">
        <v>118</v>
      </c>
      <c r="M411" s="69" t="s">
        <v>19</v>
      </c>
      <c r="N411" s="69" t="s">
        <v>20</v>
      </c>
      <c r="O411" s="69" t="s">
        <v>21</v>
      </c>
      <c r="P411" s="4" t="s">
        <v>3036</v>
      </c>
      <c r="Q411" s="4" t="s">
        <v>3038</v>
      </c>
      <c r="R411" s="71" t="str">
        <f>靴!Z53</f>
        <v>底長：約cm　底甲幅：約cm　ヒール：約cm</v>
      </c>
      <c r="S411" s="69" t="s">
        <v>23</v>
      </c>
      <c r="T411" s="69" t="s">
        <v>125</v>
      </c>
      <c r="U411" s="69" t="s">
        <v>24</v>
      </c>
      <c r="V411" s="69" t="s">
        <v>25</v>
      </c>
      <c r="W411" s="69" t="s">
        <v>26</v>
      </c>
      <c r="X411" s="69" t="s">
        <v>27</v>
      </c>
      <c r="Y411" s="69" t="s">
        <v>28</v>
      </c>
      <c r="Z411" s="69" t="s">
        <v>29</v>
      </c>
      <c r="AA411" s="4"/>
      <c r="AB411" s="4"/>
      <c r="AC411" s="4"/>
      <c r="AD411" s="70"/>
      <c r="AE411" s="70">
        <f>靴!AF53</f>
        <v>0</v>
      </c>
      <c r="AF411" s="70" t="str">
        <f>靴!R53</f>
        <v>通常</v>
      </c>
      <c r="AG411" s="70">
        <v>0</v>
      </c>
      <c r="AH411" s="6">
        <f xml:space="preserve"> 靴!AD52</f>
        <v>0</v>
      </c>
      <c r="AI411">
        <v>1</v>
      </c>
      <c r="AJ411">
        <f>靴!U53</f>
        <v>0</v>
      </c>
    </row>
    <row r="412" spans="1:36" ht="13.5" hidden="1" customHeight="1">
      <c r="A412" s="3" t="str">
        <f>IF(靴!A54="","",靴!A54)</f>
        <v/>
      </c>
      <c r="B412" s="68" t="str">
        <f>IF(靴!B54="","",靴!B54)</f>
        <v/>
      </c>
      <c r="C412" s="3" t="str">
        <f>IF(靴!C54="","",靴!C54)</f>
        <v>◇ サイズ E</v>
      </c>
      <c r="D412" s="3" t="str">
        <f>IF(靴!E54="","",靴!E54)</f>
        <v>無</v>
      </c>
      <c r="E412" s="3" t="str">
        <f>IF(靴!AB54="","",靴!AB54)</f>
        <v>ベースS</v>
      </c>
      <c r="F412" s="3" t="str">
        <f>IF(靴!G54="","",靴!G54)</f>
        <v/>
      </c>
      <c r="G412" s="3" t="str">
        <f>IF(靴!H54="","",靴!H54)</f>
        <v/>
      </c>
      <c r="H412" s="3" t="str">
        <f>IF(靴!I54="","",靴!I54)</f>
        <v/>
      </c>
      <c r="I412" s="3" t="str">
        <f>靴!AA54</f>
        <v>/ソール</v>
      </c>
      <c r="J412" s="3" t="str">
        <f>IF(靴!M54="","",靴!M54)</f>
        <v/>
      </c>
      <c r="K412" s="3" t="str">
        <f>IF(靴!N54="","",靴!N54)</f>
        <v>サイズ</v>
      </c>
      <c r="L412" s="69" t="s">
        <v>123</v>
      </c>
      <c r="M412" s="69" t="s">
        <v>19</v>
      </c>
      <c r="N412" s="69" t="s">
        <v>20</v>
      </c>
      <c r="O412" s="69" t="s">
        <v>21</v>
      </c>
      <c r="P412" s="4" t="s">
        <v>3036</v>
      </c>
      <c r="Q412" s="4" t="s">
        <v>3038</v>
      </c>
      <c r="R412" s="71" t="str">
        <f>靴!Z54</f>
        <v>底長：約cm　底甲幅：約cm　ヒール：約cm</v>
      </c>
      <c r="S412" s="69" t="s">
        <v>23</v>
      </c>
      <c r="T412" s="69" t="s">
        <v>124</v>
      </c>
      <c r="U412" s="69" t="s">
        <v>24</v>
      </c>
      <c r="V412" s="69" t="s">
        <v>25</v>
      </c>
      <c r="W412" s="69" t="s">
        <v>26</v>
      </c>
      <c r="X412" s="69" t="s">
        <v>27</v>
      </c>
      <c r="Y412" s="69" t="s">
        <v>28</v>
      </c>
      <c r="Z412" s="69" t="s">
        <v>29</v>
      </c>
      <c r="AA412" s="4"/>
      <c r="AB412" s="4"/>
      <c r="AC412" s="4"/>
      <c r="AD412" s="70"/>
      <c r="AE412" s="70">
        <f>靴!AF54</f>
        <v>0</v>
      </c>
      <c r="AF412" s="70" t="str">
        <f>靴!R54</f>
        <v>通常</v>
      </c>
      <c r="AG412" s="70">
        <v>0</v>
      </c>
      <c r="AH412" s="6">
        <f xml:space="preserve"> 靴!AD53</f>
        <v>0</v>
      </c>
      <c r="AI412">
        <v>1</v>
      </c>
      <c r="AJ412">
        <f>靴!U54</f>
        <v>0</v>
      </c>
    </row>
    <row r="413" spans="1:36" ht="13.5" hidden="1" customHeight="1">
      <c r="A413" s="3" t="str">
        <f>IF(靴!A55="","",靴!A55)</f>
        <v/>
      </c>
      <c r="B413" s="68" t="str">
        <f>IF(靴!B55="","",靴!B55)</f>
        <v/>
      </c>
      <c r="C413" s="3" t="str">
        <f>IF(靴!C55="","",靴!C55)</f>
        <v>◇ サイズ E</v>
      </c>
      <c r="D413" s="3" t="str">
        <f>IF(靴!E55="","",靴!E55)</f>
        <v>無</v>
      </c>
      <c r="E413" s="3" t="str">
        <f>IF(靴!AB55="","",靴!AB55)</f>
        <v>ベースS</v>
      </c>
      <c r="F413" s="3" t="str">
        <f>IF(靴!G55="","",靴!G55)</f>
        <v/>
      </c>
      <c r="G413" s="3" t="str">
        <f>IF(靴!H55="","",靴!H55)</f>
        <v/>
      </c>
      <c r="H413" s="3" t="str">
        <f>IF(靴!I55="","",靴!I55)</f>
        <v/>
      </c>
      <c r="I413" s="3" t="str">
        <f>靴!AA55</f>
        <v>/ソール</v>
      </c>
      <c r="J413" s="3" t="str">
        <f>IF(靴!M55="","",靴!M55)</f>
        <v/>
      </c>
      <c r="K413" s="3" t="str">
        <f>IF(靴!N55="","",靴!N55)</f>
        <v>サイズ</v>
      </c>
      <c r="L413" s="69" t="s">
        <v>80</v>
      </c>
      <c r="M413" s="69" t="s">
        <v>19</v>
      </c>
      <c r="N413" s="69" t="s">
        <v>20</v>
      </c>
      <c r="O413" s="69" t="s">
        <v>21</v>
      </c>
      <c r="P413" s="4" t="s">
        <v>3036</v>
      </c>
      <c r="Q413" s="4" t="s">
        <v>3038</v>
      </c>
      <c r="R413" s="71" t="str">
        <f>靴!Z55</f>
        <v>底長：約cm　底甲幅：約cm　ヒール：約cm</v>
      </c>
      <c r="S413" s="69" t="s">
        <v>23</v>
      </c>
      <c r="T413" s="69" t="s">
        <v>83</v>
      </c>
      <c r="U413" s="69" t="s">
        <v>24</v>
      </c>
      <c r="V413" s="69" t="s">
        <v>25</v>
      </c>
      <c r="W413" s="69" t="s">
        <v>26</v>
      </c>
      <c r="X413" s="69" t="s">
        <v>27</v>
      </c>
      <c r="Y413" s="69" t="s">
        <v>28</v>
      </c>
      <c r="Z413" s="69" t="s">
        <v>29</v>
      </c>
      <c r="AA413" s="4"/>
      <c r="AB413" s="4"/>
      <c r="AC413" s="4"/>
      <c r="AD413" s="70"/>
      <c r="AE413" s="70">
        <f>靴!AF55</f>
        <v>0</v>
      </c>
      <c r="AF413" s="70" t="str">
        <f>靴!R55</f>
        <v>通常</v>
      </c>
      <c r="AG413" s="70">
        <v>0</v>
      </c>
      <c r="AH413" s="6">
        <f xml:space="preserve"> 靴!AD54</f>
        <v>0</v>
      </c>
      <c r="AI413">
        <v>1</v>
      </c>
      <c r="AJ413">
        <f>靴!U55</f>
        <v>0</v>
      </c>
    </row>
    <row r="414" spans="1:36" ht="13.5" hidden="1" customHeight="1">
      <c r="A414" s="3" t="str">
        <f>IF(靴!A56="","",靴!A56)</f>
        <v/>
      </c>
      <c r="B414" s="68" t="str">
        <f>IF(靴!B56="","",靴!B56)</f>
        <v/>
      </c>
      <c r="C414" s="3" t="str">
        <f>IF(靴!C56="","",靴!C56)</f>
        <v>◇ サイズ E</v>
      </c>
      <c r="D414" s="3" t="str">
        <f>IF(靴!E56="","",靴!E56)</f>
        <v>無</v>
      </c>
      <c r="E414" s="3" t="str">
        <f>IF(靴!AB56="","",靴!AB56)</f>
        <v>ベースS</v>
      </c>
      <c r="F414" s="3" t="str">
        <f>IF(靴!G56="","",靴!G56)</f>
        <v/>
      </c>
      <c r="G414" s="3" t="str">
        <f>IF(靴!H56="","",靴!H56)</f>
        <v/>
      </c>
      <c r="H414" s="3" t="str">
        <f>IF(靴!I56="","",靴!I56)</f>
        <v/>
      </c>
      <c r="I414" s="3" t="str">
        <f>靴!AA56</f>
        <v>/ソール</v>
      </c>
      <c r="J414" s="3" t="str">
        <f>IF(靴!M56="","",靴!M56)</f>
        <v/>
      </c>
      <c r="K414" s="3" t="str">
        <f>IF(靴!N56="","",靴!N56)</f>
        <v>サイズ</v>
      </c>
      <c r="L414" s="69" t="s">
        <v>121</v>
      </c>
      <c r="M414" s="69" t="s">
        <v>19</v>
      </c>
      <c r="N414" s="69" t="s">
        <v>20</v>
      </c>
      <c r="O414" s="69" t="s">
        <v>21</v>
      </c>
      <c r="P414" s="4" t="s">
        <v>3036</v>
      </c>
      <c r="Q414" s="4" t="s">
        <v>3038</v>
      </c>
      <c r="R414" s="71" t="str">
        <f>靴!Z56</f>
        <v>底長：約cm　底甲幅：約cm　ヒール：約cm</v>
      </c>
      <c r="S414" s="69" t="s">
        <v>23</v>
      </c>
      <c r="T414" s="69" t="s">
        <v>126</v>
      </c>
      <c r="U414" s="69" t="s">
        <v>24</v>
      </c>
      <c r="V414" s="69" t="s">
        <v>25</v>
      </c>
      <c r="W414" s="69" t="s">
        <v>26</v>
      </c>
      <c r="X414" s="69" t="s">
        <v>27</v>
      </c>
      <c r="Y414" s="69" t="s">
        <v>28</v>
      </c>
      <c r="Z414" s="69" t="s">
        <v>29</v>
      </c>
      <c r="AA414" s="4"/>
      <c r="AB414" s="4"/>
      <c r="AC414" s="4"/>
      <c r="AD414" s="70"/>
      <c r="AE414" s="70">
        <f>靴!AF56</f>
        <v>0</v>
      </c>
      <c r="AF414" s="70" t="str">
        <f>靴!R56</f>
        <v>通常</v>
      </c>
      <c r="AG414" s="70">
        <v>0</v>
      </c>
      <c r="AH414" s="6">
        <f xml:space="preserve"> 靴!AD55</f>
        <v>0</v>
      </c>
      <c r="AI414">
        <v>1</v>
      </c>
      <c r="AJ414">
        <f>靴!U56</f>
        <v>0</v>
      </c>
    </row>
    <row r="415" spans="1:36" ht="13.5" hidden="1" customHeight="1">
      <c r="A415" s="3" t="str">
        <f>IF(靴!A57="","",靴!A57)</f>
        <v/>
      </c>
      <c r="B415" s="68" t="str">
        <f>IF(靴!B57="","",靴!B57)</f>
        <v/>
      </c>
      <c r="C415" s="3" t="str">
        <f>IF(靴!C57="","",靴!C57)</f>
        <v>◇ サイズ E</v>
      </c>
      <c r="D415" s="3" t="str">
        <f>IF(靴!E57="","",靴!E57)</f>
        <v>無</v>
      </c>
      <c r="E415" s="3" t="str">
        <f>IF(靴!AB57="","",靴!AB57)</f>
        <v>ベースS</v>
      </c>
      <c r="F415" s="3" t="str">
        <f>IF(靴!G57="","",靴!G57)</f>
        <v/>
      </c>
      <c r="G415" s="3" t="str">
        <f>IF(靴!H57="","",靴!H57)</f>
        <v/>
      </c>
      <c r="H415" s="3" t="str">
        <f>IF(靴!I57="","",靴!I57)</f>
        <v/>
      </c>
      <c r="I415" s="3" t="str">
        <f>靴!AA57</f>
        <v>/ソール</v>
      </c>
      <c r="J415" s="3" t="str">
        <f>IF(靴!M57="","",靴!M57)</f>
        <v/>
      </c>
      <c r="K415" s="3" t="str">
        <f>IF(靴!N57="","",靴!N57)</f>
        <v>サイズ</v>
      </c>
      <c r="L415" s="69" t="s">
        <v>80</v>
      </c>
      <c r="M415" s="69" t="s">
        <v>19</v>
      </c>
      <c r="N415" s="69" t="s">
        <v>20</v>
      </c>
      <c r="O415" s="69" t="s">
        <v>21</v>
      </c>
      <c r="P415" s="4" t="s">
        <v>3036</v>
      </c>
      <c r="Q415" s="4" t="s">
        <v>3038</v>
      </c>
      <c r="R415" s="71" t="str">
        <f>靴!Z57</f>
        <v>底長：約cm　底甲幅：約cm　ヒール：約cm</v>
      </c>
      <c r="S415" s="69" t="s">
        <v>23</v>
      </c>
      <c r="T415" s="69" t="s">
        <v>83</v>
      </c>
      <c r="U415" s="69" t="s">
        <v>24</v>
      </c>
      <c r="V415" s="69" t="s">
        <v>25</v>
      </c>
      <c r="W415" s="69" t="s">
        <v>26</v>
      </c>
      <c r="X415" s="69" t="s">
        <v>27</v>
      </c>
      <c r="Y415" s="69" t="s">
        <v>28</v>
      </c>
      <c r="Z415" s="69" t="s">
        <v>29</v>
      </c>
      <c r="AA415" s="4"/>
      <c r="AB415" s="4"/>
      <c r="AC415" s="4"/>
      <c r="AD415" s="70"/>
      <c r="AE415" s="70">
        <f>靴!AF57</f>
        <v>0</v>
      </c>
      <c r="AF415" s="70" t="str">
        <f>靴!R57</f>
        <v>通常</v>
      </c>
      <c r="AG415" s="70">
        <v>0</v>
      </c>
      <c r="AH415" s="6">
        <f xml:space="preserve"> 靴!AD56</f>
        <v>0</v>
      </c>
      <c r="AI415">
        <v>1</v>
      </c>
      <c r="AJ415">
        <f>靴!U57</f>
        <v>0</v>
      </c>
    </row>
    <row r="416" spans="1:36" ht="13.5" hidden="1" customHeight="1">
      <c r="A416" s="3" t="str">
        <f>IF(靴!A58="","",靴!A58)</f>
        <v/>
      </c>
      <c r="B416" s="68" t="str">
        <f>IF(靴!B58="","",靴!B58)</f>
        <v/>
      </c>
      <c r="C416" s="3" t="str">
        <f>IF(靴!C58="","",靴!C58)</f>
        <v>◇ サイズ E</v>
      </c>
      <c r="D416" s="3" t="str">
        <f>IF(靴!E58="","",靴!E58)</f>
        <v>無</v>
      </c>
      <c r="E416" s="3" t="str">
        <f>IF(靴!AB58="","",靴!AB58)</f>
        <v>ベースS</v>
      </c>
      <c r="F416" s="3" t="str">
        <f>IF(靴!G58="","",靴!G58)</f>
        <v/>
      </c>
      <c r="G416" s="3" t="str">
        <f>IF(靴!H58="","",靴!H58)</f>
        <v/>
      </c>
      <c r="H416" s="3" t="str">
        <f>IF(靴!I58="","",靴!I58)</f>
        <v/>
      </c>
      <c r="I416" s="3" t="str">
        <f>靴!AA58</f>
        <v>/ソール</v>
      </c>
      <c r="J416" s="3" t="str">
        <f>IF(靴!M58="","",靴!M58)</f>
        <v/>
      </c>
      <c r="K416" s="3" t="str">
        <f>IF(靴!N58="","",靴!N58)</f>
        <v>サイズ</v>
      </c>
      <c r="L416" s="69" t="s">
        <v>80</v>
      </c>
      <c r="M416" s="69" t="s">
        <v>19</v>
      </c>
      <c r="N416" s="69" t="s">
        <v>20</v>
      </c>
      <c r="O416" s="69" t="s">
        <v>21</v>
      </c>
      <c r="P416" s="4" t="s">
        <v>3036</v>
      </c>
      <c r="Q416" s="4" t="s">
        <v>3038</v>
      </c>
      <c r="R416" s="71" t="str">
        <f>靴!Z58</f>
        <v>底長：約cm　底甲幅：約cm　ヒール：約cm</v>
      </c>
      <c r="S416" s="69" t="s">
        <v>23</v>
      </c>
      <c r="T416" s="69" t="s">
        <v>83</v>
      </c>
      <c r="U416" s="69" t="s">
        <v>24</v>
      </c>
      <c r="V416" s="69" t="s">
        <v>25</v>
      </c>
      <c r="W416" s="69" t="s">
        <v>26</v>
      </c>
      <c r="X416" s="69" t="s">
        <v>27</v>
      </c>
      <c r="Y416" s="69" t="s">
        <v>28</v>
      </c>
      <c r="Z416" s="69" t="s">
        <v>29</v>
      </c>
      <c r="AA416" s="4"/>
      <c r="AB416" s="4"/>
      <c r="AC416" s="4"/>
      <c r="AD416" s="70"/>
      <c r="AE416" s="70">
        <f>靴!AF58</f>
        <v>0</v>
      </c>
      <c r="AF416" s="70" t="str">
        <f>靴!R58</f>
        <v>通常</v>
      </c>
      <c r="AG416" s="70">
        <v>0</v>
      </c>
      <c r="AH416" s="6">
        <f xml:space="preserve"> 靴!AD57</f>
        <v>0</v>
      </c>
      <c r="AI416">
        <v>1</v>
      </c>
      <c r="AJ416">
        <f>靴!U58</f>
        <v>0</v>
      </c>
    </row>
    <row r="417" spans="1:36" ht="13.5" hidden="1" customHeight="1">
      <c r="A417" s="3" t="str">
        <f>IF(靴!A59="","",靴!A59)</f>
        <v/>
      </c>
      <c r="B417" s="68" t="str">
        <f>IF(靴!B59="","",靴!B59)</f>
        <v/>
      </c>
      <c r="C417" s="3" t="str">
        <f>IF(靴!C59="","",靴!C59)</f>
        <v>◇ サイズ E</v>
      </c>
      <c r="D417" s="3" t="str">
        <f>IF(靴!E59="","",靴!E59)</f>
        <v>無</v>
      </c>
      <c r="E417" s="3" t="str">
        <f>IF(靴!AB59="","",靴!AB59)</f>
        <v>ベースS</v>
      </c>
      <c r="F417" s="3" t="str">
        <f>IF(靴!G59="","",靴!G59)</f>
        <v/>
      </c>
      <c r="G417" s="3" t="str">
        <f>IF(靴!H59="","",靴!H59)</f>
        <v/>
      </c>
      <c r="H417" s="3" t="str">
        <f>IF(靴!I59="","",靴!I59)</f>
        <v/>
      </c>
      <c r="I417" s="3" t="str">
        <f>靴!AA59</f>
        <v>/ソール</v>
      </c>
      <c r="J417" s="3" t="str">
        <f>IF(靴!M59="","",靴!M59)</f>
        <v/>
      </c>
      <c r="K417" s="3" t="str">
        <f>IF(靴!N59="","",靴!N59)</f>
        <v>サイズ</v>
      </c>
      <c r="L417" s="69" t="s">
        <v>127</v>
      </c>
      <c r="M417" s="69" t="s">
        <v>19</v>
      </c>
      <c r="N417" s="69" t="s">
        <v>20</v>
      </c>
      <c r="O417" s="69" t="s">
        <v>21</v>
      </c>
      <c r="P417" s="4" t="s">
        <v>3036</v>
      </c>
      <c r="Q417" s="4" t="s">
        <v>3038</v>
      </c>
      <c r="R417" s="71" t="str">
        <f>靴!Z59</f>
        <v>底長：約cm　底甲幅：約cm　ヒール：約cm</v>
      </c>
      <c r="S417" s="69" t="s">
        <v>23</v>
      </c>
      <c r="T417" s="69" t="s">
        <v>83</v>
      </c>
      <c r="U417" s="69" t="s">
        <v>24</v>
      </c>
      <c r="V417" s="69" t="s">
        <v>25</v>
      </c>
      <c r="W417" s="69" t="s">
        <v>26</v>
      </c>
      <c r="X417" s="69" t="s">
        <v>27</v>
      </c>
      <c r="Y417" s="69" t="s">
        <v>28</v>
      </c>
      <c r="Z417" s="69" t="s">
        <v>29</v>
      </c>
      <c r="AA417" s="4"/>
      <c r="AB417" s="4"/>
      <c r="AC417" s="4"/>
      <c r="AD417" s="70"/>
      <c r="AE417" s="70">
        <f>靴!AF59</f>
        <v>0</v>
      </c>
      <c r="AF417" s="70" t="str">
        <f>靴!R59</f>
        <v>通常</v>
      </c>
      <c r="AG417" s="70">
        <v>0</v>
      </c>
      <c r="AH417" s="6">
        <f xml:space="preserve"> 靴!AD58</f>
        <v>0</v>
      </c>
      <c r="AI417">
        <v>1</v>
      </c>
      <c r="AJ417">
        <f>靴!U59</f>
        <v>0</v>
      </c>
    </row>
    <row r="418" spans="1:36" ht="13.5" hidden="1" customHeight="1">
      <c r="A418" s="3" t="str">
        <f>IF(靴!A60="","",靴!A60)</f>
        <v/>
      </c>
      <c r="B418" s="68" t="str">
        <f>IF(靴!B60="","",靴!B60)</f>
        <v/>
      </c>
      <c r="C418" s="3" t="str">
        <f>IF(靴!C60="","",靴!C60)</f>
        <v>◇ サイズ E</v>
      </c>
      <c r="D418" s="3" t="str">
        <f>IF(靴!E60="","",靴!E60)</f>
        <v>無</v>
      </c>
      <c r="E418" s="3" t="str">
        <f>IF(靴!AB60="","",靴!AB60)</f>
        <v>ベースS</v>
      </c>
      <c r="F418" s="3" t="str">
        <f>IF(靴!G60="","",靴!G60)</f>
        <v/>
      </c>
      <c r="G418" s="3" t="str">
        <f>IF(靴!H60="","",靴!H60)</f>
        <v/>
      </c>
      <c r="H418" s="3" t="str">
        <f>IF(靴!I60="","",靴!I60)</f>
        <v/>
      </c>
      <c r="I418" s="3" t="str">
        <f>靴!AA60</f>
        <v>/ソール</v>
      </c>
      <c r="J418" s="3" t="str">
        <f>IF(靴!M60="","",靴!M60)</f>
        <v/>
      </c>
      <c r="K418" s="3" t="str">
        <f>IF(靴!N60="","",靴!N60)</f>
        <v>サイズ</v>
      </c>
      <c r="L418" s="69" t="s">
        <v>128</v>
      </c>
      <c r="M418" s="69" t="s">
        <v>19</v>
      </c>
      <c r="N418" s="69" t="s">
        <v>20</v>
      </c>
      <c r="O418" s="69" t="s">
        <v>21</v>
      </c>
      <c r="P418" s="4" t="s">
        <v>3036</v>
      </c>
      <c r="Q418" s="4" t="s">
        <v>3038</v>
      </c>
      <c r="R418" s="71" t="str">
        <f>靴!Z60</f>
        <v>底長：約cm　底甲幅：約cm　ヒール：約cm</v>
      </c>
      <c r="S418" s="69" t="s">
        <v>23</v>
      </c>
      <c r="T418" s="69" t="s">
        <v>83</v>
      </c>
      <c r="U418" s="69" t="s">
        <v>24</v>
      </c>
      <c r="V418" s="69" t="s">
        <v>25</v>
      </c>
      <c r="W418" s="69" t="s">
        <v>26</v>
      </c>
      <c r="X418" s="69" t="s">
        <v>27</v>
      </c>
      <c r="Y418" s="69" t="s">
        <v>28</v>
      </c>
      <c r="Z418" s="69" t="s">
        <v>29</v>
      </c>
      <c r="AA418" s="4"/>
      <c r="AB418" s="4"/>
      <c r="AC418" s="4"/>
      <c r="AD418" s="70"/>
      <c r="AE418" s="70">
        <f>靴!AF60</f>
        <v>0</v>
      </c>
      <c r="AF418" s="70" t="str">
        <f>靴!R60</f>
        <v>通常</v>
      </c>
      <c r="AG418" s="70">
        <v>0</v>
      </c>
      <c r="AH418" s="6">
        <f xml:space="preserve"> 靴!AD59</f>
        <v>0</v>
      </c>
      <c r="AI418">
        <v>1</v>
      </c>
      <c r="AJ418">
        <f>靴!U60</f>
        <v>0</v>
      </c>
    </row>
    <row r="419" spans="1:36" ht="13.5" hidden="1" customHeight="1">
      <c r="A419" s="3" t="str">
        <f>IF(靴!A61="","",靴!A61)</f>
        <v/>
      </c>
      <c r="B419" s="68" t="str">
        <f>IF(靴!B61="","",靴!B61)</f>
        <v/>
      </c>
      <c r="C419" s="3" t="str">
        <f>IF(靴!C61="","",靴!C61)</f>
        <v>◇ サイズ E</v>
      </c>
      <c r="D419" s="3" t="str">
        <f>IF(靴!E61="","",靴!E61)</f>
        <v>無</v>
      </c>
      <c r="E419" s="3" t="str">
        <f>IF(靴!AB61="","",靴!AB61)</f>
        <v>ベースS</v>
      </c>
      <c r="F419" s="3" t="str">
        <f>IF(靴!G61="","",靴!G61)</f>
        <v/>
      </c>
      <c r="G419" s="3" t="str">
        <f>IF(靴!H61="","",靴!H61)</f>
        <v/>
      </c>
      <c r="H419" s="3" t="str">
        <f>IF(靴!I61="","",靴!I61)</f>
        <v/>
      </c>
      <c r="I419" s="3" t="str">
        <f>靴!AA61</f>
        <v>/ソール</v>
      </c>
      <c r="J419" s="3" t="str">
        <f>IF(靴!M61="","",靴!M61)</f>
        <v/>
      </c>
      <c r="K419" s="3" t="str">
        <f>IF(靴!N61="","",靴!N61)</f>
        <v>サイズ</v>
      </c>
      <c r="L419" s="69" t="s">
        <v>80</v>
      </c>
      <c r="M419" s="69" t="s">
        <v>19</v>
      </c>
      <c r="N419" s="69" t="s">
        <v>20</v>
      </c>
      <c r="O419" s="69" t="s">
        <v>21</v>
      </c>
      <c r="P419" s="4" t="s">
        <v>3036</v>
      </c>
      <c r="Q419" s="4" t="s">
        <v>3038</v>
      </c>
      <c r="R419" s="71" t="str">
        <f>靴!Z61</f>
        <v>底長：約cm　底甲幅：約cm　ヒール：約cm</v>
      </c>
      <c r="S419" s="69" t="s">
        <v>23</v>
      </c>
      <c r="T419" s="69" t="s">
        <v>83</v>
      </c>
      <c r="U419" s="69" t="s">
        <v>24</v>
      </c>
      <c r="V419" s="69" t="s">
        <v>25</v>
      </c>
      <c r="W419" s="69" t="s">
        <v>26</v>
      </c>
      <c r="X419" s="69" t="s">
        <v>27</v>
      </c>
      <c r="Y419" s="69" t="s">
        <v>28</v>
      </c>
      <c r="Z419" s="69" t="s">
        <v>29</v>
      </c>
      <c r="AA419" s="4"/>
      <c r="AB419" s="4"/>
      <c r="AC419" s="4"/>
      <c r="AD419" s="70"/>
      <c r="AE419" s="70">
        <f>靴!AF61</f>
        <v>0</v>
      </c>
      <c r="AF419" s="70" t="str">
        <f>靴!R61</f>
        <v>通常</v>
      </c>
      <c r="AG419" s="70">
        <v>0</v>
      </c>
      <c r="AH419" s="6">
        <f xml:space="preserve"> 靴!AD60</f>
        <v>0</v>
      </c>
      <c r="AI419">
        <v>1</v>
      </c>
      <c r="AJ419">
        <f>靴!U61</f>
        <v>0</v>
      </c>
    </row>
    <row r="420" spans="1:36" ht="13.5" hidden="1" customHeight="1">
      <c r="A420" s="3" t="str">
        <f>IF(靴!A62="","",靴!A62)</f>
        <v/>
      </c>
      <c r="B420" s="68" t="str">
        <f>IF(靴!B62="","",靴!B62)</f>
        <v/>
      </c>
      <c r="C420" s="3" t="str">
        <f>IF(靴!C62="","",靴!C62)</f>
        <v>◇ サイズ E</v>
      </c>
      <c r="D420" s="3" t="str">
        <f>IF(靴!E62="","",靴!E62)</f>
        <v>無</v>
      </c>
      <c r="E420" s="3" t="str">
        <f>IF(靴!AB62="","",靴!AB62)</f>
        <v>ベースS</v>
      </c>
      <c r="F420" s="3" t="str">
        <f>IF(靴!G62="","",靴!G62)</f>
        <v/>
      </c>
      <c r="G420" s="3" t="str">
        <f>IF(靴!H62="","",靴!H62)</f>
        <v/>
      </c>
      <c r="H420" s="3" t="str">
        <f>IF(靴!I62="","",靴!I62)</f>
        <v/>
      </c>
      <c r="I420" s="3" t="str">
        <f>靴!AA62</f>
        <v>/ソール</v>
      </c>
      <c r="J420" s="3" t="str">
        <f>IF(靴!M62="","",靴!M62)</f>
        <v/>
      </c>
      <c r="K420" s="3" t="str">
        <f>IF(靴!N62="","",靴!N62)</f>
        <v>サイズ</v>
      </c>
      <c r="L420" s="69" t="s">
        <v>128</v>
      </c>
      <c r="M420" s="69" t="s">
        <v>19</v>
      </c>
      <c r="N420" s="69" t="s">
        <v>20</v>
      </c>
      <c r="O420" s="69" t="s">
        <v>21</v>
      </c>
      <c r="P420" s="4" t="s">
        <v>3036</v>
      </c>
      <c r="Q420" s="4" t="s">
        <v>3038</v>
      </c>
      <c r="R420" s="71" t="str">
        <f>靴!Z62</f>
        <v>底長：約cm　底甲幅：約cm　ヒール：約cm</v>
      </c>
      <c r="S420" s="69" t="s">
        <v>23</v>
      </c>
      <c r="T420" s="69" t="s">
        <v>83</v>
      </c>
      <c r="U420" s="69" t="s">
        <v>24</v>
      </c>
      <c r="V420" s="69" t="s">
        <v>25</v>
      </c>
      <c r="W420" s="69" t="s">
        <v>26</v>
      </c>
      <c r="X420" s="69" t="s">
        <v>27</v>
      </c>
      <c r="Y420" s="69" t="s">
        <v>28</v>
      </c>
      <c r="Z420" s="69" t="s">
        <v>29</v>
      </c>
      <c r="AA420" s="4"/>
      <c r="AB420" s="4"/>
      <c r="AC420" s="4"/>
      <c r="AD420" s="70"/>
      <c r="AE420" s="70">
        <f>靴!AF62</f>
        <v>0</v>
      </c>
      <c r="AF420" s="70" t="str">
        <f>靴!R62</f>
        <v>通常</v>
      </c>
      <c r="AG420" s="70">
        <v>0</v>
      </c>
      <c r="AH420" s="6">
        <f xml:space="preserve"> 靴!AD61</f>
        <v>0</v>
      </c>
      <c r="AI420">
        <v>1</v>
      </c>
      <c r="AJ420">
        <f>靴!U62</f>
        <v>0</v>
      </c>
    </row>
    <row r="421" spans="1:36" ht="13.5" hidden="1" customHeight="1">
      <c r="A421" s="3" t="str">
        <f>IF(靴!A63="","",靴!A63)</f>
        <v/>
      </c>
      <c r="B421" s="68" t="str">
        <f>IF(靴!B63="","",靴!B63)</f>
        <v/>
      </c>
      <c r="C421" s="3" t="str">
        <f>IF(靴!C63="","",靴!C63)</f>
        <v>◇ サイズ E</v>
      </c>
      <c r="D421" s="3" t="str">
        <f>IF(靴!E63="","",靴!E63)</f>
        <v>無</v>
      </c>
      <c r="E421" s="3" t="str">
        <f>IF(靴!AB63="","",靴!AB63)</f>
        <v>ベースS</v>
      </c>
      <c r="F421" s="3" t="str">
        <f>IF(靴!G63="","",靴!G63)</f>
        <v/>
      </c>
      <c r="G421" s="3" t="str">
        <f>IF(靴!H63="","",靴!H63)</f>
        <v/>
      </c>
      <c r="H421" s="3" t="str">
        <f>IF(靴!I63="","",靴!I63)</f>
        <v/>
      </c>
      <c r="I421" s="3" t="str">
        <f>靴!AA63</f>
        <v>/ソール</v>
      </c>
      <c r="J421" s="3" t="str">
        <f>IF(靴!M63="","",靴!M63)</f>
        <v/>
      </c>
      <c r="K421" s="3" t="str">
        <f>IF(靴!N63="","",靴!N63)</f>
        <v>サイズ</v>
      </c>
      <c r="L421" s="69" t="s">
        <v>128</v>
      </c>
      <c r="M421" s="69" t="s">
        <v>19</v>
      </c>
      <c r="N421" s="69" t="s">
        <v>20</v>
      </c>
      <c r="O421" s="69" t="s">
        <v>21</v>
      </c>
      <c r="P421" s="4" t="s">
        <v>3036</v>
      </c>
      <c r="Q421" s="4" t="s">
        <v>3038</v>
      </c>
      <c r="R421" s="71" t="str">
        <f>靴!Z63</f>
        <v>底長：約cm　底甲幅：約cm　ヒール：約cm</v>
      </c>
      <c r="S421" s="69" t="s">
        <v>23</v>
      </c>
      <c r="T421" s="69" t="s">
        <v>83</v>
      </c>
      <c r="U421" s="69" t="s">
        <v>24</v>
      </c>
      <c r="V421" s="69" t="s">
        <v>25</v>
      </c>
      <c r="W421" s="69" t="s">
        <v>26</v>
      </c>
      <c r="X421" s="69" t="s">
        <v>27</v>
      </c>
      <c r="Y421" s="69" t="s">
        <v>28</v>
      </c>
      <c r="Z421" s="69" t="s">
        <v>29</v>
      </c>
      <c r="AA421" s="4"/>
      <c r="AB421" s="4"/>
      <c r="AC421" s="4"/>
      <c r="AD421" s="70"/>
      <c r="AE421" s="70">
        <f>靴!AF63</f>
        <v>0</v>
      </c>
      <c r="AF421" s="70" t="str">
        <f>靴!R63</f>
        <v>通常</v>
      </c>
      <c r="AG421" s="70">
        <v>0</v>
      </c>
      <c r="AH421" s="6">
        <f xml:space="preserve"> 靴!AD62</f>
        <v>0</v>
      </c>
      <c r="AI421">
        <v>1</v>
      </c>
      <c r="AJ421">
        <f>靴!U63</f>
        <v>0</v>
      </c>
    </row>
    <row r="422" spans="1:36" ht="13.5" hidden="1" customHeight="1">
      <c r="A422" s="3" t="str">
        <f>IF(靴!A64="","",靴!A64)</f>
        <v/>
      </c>
      <c r="B422" s="68" t="str">
        <f>IF(靴!B64="","",靴!B64)</f>
        <v/>
      </c>
      <c r="C422" s="3" t="str">
        <f>IF(靴!C64="","",靴!C64)</f>
        <v>◇ サイズ E</v>
      </c>
      <c r="D422" s="3" t="str">
        <f>IF(靴!E64="","",靴!E64)</f>
        <v>無</v>
      </c>
      <c r="E422" s="3" t="str">
        <f>IF(靴!AB64="","",靴!AB64)</f>
        <v>ベースS</v>
      </c>
      <c r="F422" s="3" t="str">
        <f>IF(靴!G64="","",靴!G64)</f>
        <v/>
      </c>
      <c r="G422" s="3" t="str">
        <f>IF(靴!H64="","",靴!H64)</f>
        <v/>
      </c>
      <c r="H422" s="3" t="str">
        <f>IF(靴!I64="","",靴!I64)</f>
        <v/>
      </c>
      <c r="I422" s="3" t="str">
        <f>靴!AA64</f>
        <v>/ソール</v>
      </c>
      <c r="J422" s="3" t="str">
        <f>IF(靴!M64="","",靴!M64)</f>
        <v/>
      </c>
      <c r="K422" s="3" t="str">
        <f>IF(靴!N64="","",靴!N64)</f>
        <v>サイズ</v>
      </c>
      <c r="L422" s="69" t="s">
        <v>80</v>
      </c>
      <c r="M422" s="69" t="s">
        <v>19</v>
      </c>
      <c r="N422" s="69" t="s">
        <v>20</v>
      </c>
      <c r="O422" s="69" t="s">
        <v>21</v>
      </c>
      <c r="P422" s="4" t="s">
        <v>3036</v>
      </c>
      <c r="Q422" s="4" t="s">
        <v>3038</v>
      </c>
      <c r="R422" s="71" t="str">
        <f>靴!Z64</f>
        <v>底長：約cm　底甲幅：約cm　ヒール：約cm</v>
      </c>
      <c r="S422" s="69" t="s">
        <v>23</v>
      </c>
      <c r="T422" s="69" t="s">
        <v>83</v>
      </c>
      <c r="U422" s="69" t="s">
        <v>24</v>
      </c>
      <c r="V422" s="69" t="s">
        <v>25</v>
      </c>
      <c r="W422" s="69" t="s">
        <v>26</v>
      </c>
      <c r="X422" s="69" t="s">
        <v>27</v>
      </c>
      <c r="Y422" s="69" t="s">
        <v>28</v>
      </c>
      <c r="Z422" s="69" t="s">
        <v>29</v>
      </c>
      <c r="AA422" s="4"/>
      <c r="AB422" s="4"/>
      <c r="AC422" s="4"/>
      <c r="AD422" s="70"/>
      <c r="AE422" s="70">
        <f>靴!AF64</f>
        <v>0</v>
      </c>
      <c r="AF422" s="70" t="str">
        <f>靴!R64</f>
        <v>通常</v>
      </c>
      <c r="AG422" s="70">
        <v>0</v>
      </c>
      <c r="AH422" s="6">
        <f xml:space="preserve"> 靴!AD63</f>
        <v>0</v>
      </c>
      <c r="AI422">
        <v>1</v>
      </c>
      <c r="AJ422">
        <f>靴!U64</f>
        <v>0</v>
      </c>
    </row>
    <row r="423" spans="1:36" ht="13.5" hidden="1" customHeight="1">
      <c r="A423" s="3" t="str">
        <f>IF(靴!A65="","",靴!A65)</f>
        <v/>
      </c>
      <c r="B423" s="68" t="str">
        <f>IF(靴!B65="","",靴!B65)</f>
        <v/>
      </c>
      <c r="C423" s="3" t="str">
        <f>IF(靴!C65="","",靴!C65)</f>
        <v>◇ サイズ E</v>
      </c>
      <c r="D423" s="3" t="str">
        <f>IF(靴!E65="","",靴!E65)</f>
        <v>無</v>
      </c>
      <c r="E423" s="3" t="str">
        <f>IF(靴!AB65="","",靴!AB65)</f>
        <v>ベースS</v>
      </c>
      <c r="F423" s="3" t="str">
        <f>IF(靴!G65="","",靴!G65)</f>
        <v/>
      </c>
      <c r="G423" s="3" t="str">
        <f>IF(靴!H65="","",靴!H65)</f>
        <v/>
      </c>
      <c r="H423" s="3" t="str">
        <f>IF(靴!I65="","",靴!I65)</f>
        <v/>
      </c>
      <c r="I423" s="3" t="str">
        <f>靴!AA65</f>
        <v>/ソール</v>
      </c>
      <c r="J423" s="3" t="str">
        <f>IF(靴!M65="","",靴!M65)</f>
        <v/>
      </c>
      <c r="K423" s="3" t="str">
        <f>IF(靴!N65="","",靴!N65)</f>
        <v>サイズ</v>
      </c>
      <c r="L423" s="69" t="s">
        <v>80</v>
      </c>
      <c r="M423" s="69" t="s">
        <v>19</v>
      </c>
      <c r="N423" s="69" t="s">
        <v>20</v>
      </c>
      <c r="O423" s="69" t="s">
        <v>21</v>
      </c>
      <c r="P423" s="4" t="s">
        <v>3036</v>
      </c>
      <c r="Q423" s="4" t="s">
        <v>3038</v>
      </c>
      <c r="R423" s="71" t="str">
        <f>靴!Z65</f>
        <v>底長：約cm　底甲幅：約cm　ヒール：約cm</v>
      </c>
      <c r="S423" s="69" t="s">
        <v>23</v>
      </c>
      <c r="T423" s="69" t="s">
        <v>83</v>
      </c>
      <c r="U423" s="69" t="s">
        <v>24</v>
      </c>
      <c r="V423" s="69" t="s">
        <v>25</v>
      </c>
      <c r="W423" s="69" t="s">
        <v>26</v>
      </c>
      <c r="X423" s="69" t="s">
        <v>27</v>
      </c>
      <c r="Y423" s="69" t="s">
        <v>28</v>
      </c>
      <c r="Z423" s="69" t="s">
        <v>29</v>
      </c>
      <c r="AA423" s="4"/>
      <c r="AB423" s="4"/>
      <c r="AC423" s="4"/>
      <c r="AD423" s="70"/>
      <c r="AE423" s="70">
        <f>靴!AF65</f>
        <v>0</v>
      </c>
      <c r="AF423" s="70" t="str">
        <f>靴!R65</f>
        <v>通常</v>
      </c>
      <c r="AG423" s="70">
        <v>0</v>
      </c>
      <c r="AH423" s="6">
        <f xml:space="preserve"> 靴!AD64</f>
        <v>0</v>
      </c>
      <c r="AI423">
        <v>1</v>
      </c>
      <c r="AJ423">
        <f>靴!U65</f>
        <v>0</v>
      </c>
    </row>
    <row r="424" spans="1:36" ht="13.5" hidden="1" customHeight="1">
      <c r="A424" s="3" t="str">
        <f>IF(靴!A66="","",靴!A66)</f>
        <v/>
      </c>
      <c r="B424" s="68" t="str">
        <f>IF(靴!B66="","",靴!B66)</f>
        <v/>
      </c>
      <c r="C424" s="3" t="str">
        <f>IF(靴!C66="","",靴!C66)</f>
        <v>◇ サイズ E</v>
      </c>
      <c r="D424" s="3" t="str">
        <f>IF(靴!E66="","",靴!E66)</f>
        <v>無</v>
      </c>
      <c r="E424" s="3" t="str">
        <f>IF(靴!AB66="","",靴!AB66)</f>
        <v>ベースS</v>
      </c>
      <c r="F424" s="3" t="str">
        <f>IF(靴!G66="","",靴!G66)</f>
        <v/>
      </c>
      <c r="G424" s="3" t="str">
        <f>IF(靴!H66="","",靴!H66)</f>
        <v/>
      </c>
      <c r="H424" s="3" t="str">
        <f>IF(靴!I66="","",靴!I66)</f>
        <v/>
      </c>
      <c r="I424" s="3" t="str">
        <f>靴!AA66</f>
        <v>/ソール</v>
      </c>
      <c r="J424" s="3" t="str">
        <f>IF(靴!M66="","",靴!M66)</f>
        <v/>
      </c>
      <c r="K424" s="3" t="str">
        <f>IF(靴!N66="","",靴!N66)</f>
        <v>サイズ</v>
      </c>
      <c r="L424" s="69" t="s">
        <v>80</v>
      </c>
      <c r="M424" s="69" t="s">
        <v>19</v>
      </c>
      <c r="N424" s="69" t="s">
        <v>20</v>
      </c>
      <c r="O424" s="69" t="s">
        <v>21</v>
      </c>
      <c r="P424" s="4" t="s">
        <v>3036</v>
      </c>
      <c r="Q424" s="4" t="s">
        <v>3038</v>
      </c>
      <c r="R424" s="71" t="str">
        <f>靴!Z66</f>
        <v>底長：約cm　底甲幅：約cm　ヒール：約cm</v>
      </c>
      <c r="S424" s="69" t="s">
        <v>23</v>
      </c>
      <c r="T424" s="69" t="s">
        <v>83</v>
      </c>
      <c r="U424" s="69" t="s">
        <v>24</v>
      </c>
      <c r="V424" s="69" t="s">
        <v>25</v>
      </c>
      <c r="W424" s="69" t="s">
        <v>26</v>
      </c>
      <c r="X424" s="69" t="s">
        <v>27</v>
      </c>
      <c r="Y424" s="69" t="s">
        <v>28</v>
      </c>
      <c r="Z424" s="69" t="s">
        <v>29</v>
      </c>
      <c r="AA424" s="4"/>
      <c r="AB424" s="4"/>
      <c r="AC424" s="4"/>
      <c r="AD424" s="70"/>
      <c r="AE424" s="70">
        <f>靴!AF66</f>
        <v>0</v>
      </c>
      <c r="AF424" s="70" t="str">
        <f>靴!R66</f>
        <v>通常</v>
      </c>
      <c r="AG424" s="70">
        <v>0</v>
      </c>
      <c r="AH424" s="6">
        <f xml:space="preserve"> 靴!AD65</f>
        <v>0</v>
      </c>
      <c r="AI424">
        <v>1</v>
      </c>
      <c r="AJ424">
        <f>靴!U66</f>
        <v>0</v>
      </c>
    </row>
    <row r="425" spans="1:36" ht="13.5" hidden="1" customHeight="1">
      <c r="A425" s="3" t="str">
        <f>IF(靴!A67="","",靴!A67)</f>
        <v/>
      </c>
      <c r="B425" s="68" t="str">
        <f>IF(靴!B67="","",靴!B67)</f>
        <v/>
      </c>
      <c r="C425" s="3" t="str">
        <f>IF(靴!C67="","",靴!C67)</f>
        <v>◇ サイズ E</v>
      </c>
      <c r="D425" s="3" t="str">
        <f>IF(靴!E67="","",靴!E67)</f>
        <v>無</v>
      </c>
      <c r="E425" s="3" t="str">
        <f>IF(靴!AB67="","",靴!AB67)</f>
        <v>ベースS</v>
      </c>
      <c r="F425" s="3" t="str">
        <f>IF(靴!G67="","",靴!G67)</f>
        <v/>
      </c>
      <c r="G425" s="3" t="str">
        <f>IF(靴!H67="","",靴!H67)</f>
        <v/>
      </c>
      <c r="H425" s="3" t="str">
        <f>IF(靴!I67="","",靴!I67)</f>
        <v/>
      </c>
      <c r="I425" s="3" t="str">
        <f>靴!AA67</f>
        <v>/ソール</v>
      </c>
      <c r="J425" s="3" t="str">
        <f>IF(靴!M67="","",靴!M67)</f>
        <v/>
      </c>
      <c r="K425" s="3" t="str">
        <f>IF(靴!N67="","",靴!N67)</f>
        <v>サイズ</v>
      </c>
      <c r="L425" s="69" t="s">
        <v>80</v>
      </c>
      <c r="M425" s="69" t="s">
        <v>19</v>
      </c>
      <c r="N425" s="69" t="s">
        <v>20</v>
      </c>
      <c r="O425" s="69" t="s">
        <v>21</v>
      </c>
      <c r="P425" s="4" t="s">
        <v>3036</v>
      </c>
      <c r="Q425" s="4" t="s">
        <v>3038</v>
      </c>
      <c r="R425" s="71" t="str">
        <f>靴!Z67</f>
        <v>底長：約cm　底甲幅：約cm　ヒール：約cm</v>
      </c>
      <c r="S425" s="69" t="s">
        <v>23</v>
      </c>
      <c r="T425" s="69" t="s">
        <v>83</v>
      </c>
      <c r="U425" s="69" t="s">
        <v>24</v>
      </c>
      <c r="V425" s="69" t="s">
        <v>25</v>
      </c>
      <c r="W425" s="69" t="s">
        <v>26</v>
      </c>
      <c r="X425" s="69" t="s">
        <v>27</v>
      </c>
      <c r="Y425" s="69" t="s">
        <v>28</v>
      </c>
      <c r="Z425" s="69" t="s">
        <v>29</v>
      </c>
      <c r="AA425" s="4"/>
      <c r="AB425" s="4"/>
      <c r="AC425" s="4"/>
      <c r="AD425" s="70"/>
      <c r="AE425" s="70">
        <f>靴!AF67</f>
        <v>0</v>
      </c>
      <c r="AF425" s="70" t="str">
        <f>靴!R67</f>
        <v>通常</v>
      </c>
      <c r="AG425" s="70">
        <v>0</v>
      </c>
      <c r="AH425" s="6">
        <f xml:space="preserve"> 靴!AD66</f>
        <v>0</v>
      </c>
      <c r="AI425">
        <v>1</v>
      </c>
      <c r="AJ425">
        <f>靴!U67</f>
        <v>0</v>
      </c>
    </row>
    <row r="426" spans="1:36" ht="13.5" hidden="1" customHeight="1">
      <c r="A426" s="3" t="str">
        <f>IF(靴!A68="","",靴!A68)</f>
        <v/>
      </c>
      <c r="B426" s="68" t="str">
        <f>IF(靴!B68="","",靴!B68)</f>
        <v/>
      </c>
      <c r="C426" s="3" t="str">
        <f>IF(靴!C68="","",靴!C68)</f>
        <v>◇ サイズ E</v>
      </c>
      <c r="D426" s="3" t="str">
        <f>IF(靴!E68="","",靴!E68)</f>
        <v>無</v>
      </c>
      <c r="E426" s="3" t="str">
        <f>IF(靴!AB68="","",靴!AB68)</f>
        <v>ベースS</v>
      </c>
      <c r="F426" s="3" t="str">
        <f>IF(靴!G68="","",靴!G68)</f>
        <v/>
      </c>
      <c r="G426" s="3" t="str">
        <f>IF(靴!H68="","",靴!H68)</f>
        <v/>
      </c>
      <c r="H426" s="3" t="str">
        <f>IF(靴!I68="","",靴!I68)</f>
        <v/>
      </c>
      <c r="I426" s="3" t="str">
        <f>靴!AA68</f>
        <v>/ソール</v>
      </c>
      <c r="J426" s="3" t="str">
        <f>IF(靴!M68="","",靴!M68)</f>
        <v/>
      </c>
      <c r="K426" s="3" t="str">
        <f>IF(靴!N68="","",靴!N68)</f>
        <v>サイズ</v>
      </c>
      <c r="L426" s="69" t="s">
        <v>80</v>
      </c>
      <c r="M426" s="69" t="s">
        <v>19</v>
      </c>
      <c r="N426" s="69" t="s">
        <v>20</v>
      </c>
      <c r="O426" s="69" t="s">
        <v>21</v>
      </c>
      <c r="P426" s="4" t="s">
        <v>3036</v>
      </c>
      <c r="Q426" s="4" t="s">
        <v>3038</v>
      </c>
      <c r="R426" s="71" t="str">
        <f>靴!Z68</f>
        <v>底長：約cm　底甲幅：約cm　ヒール：約cm</v>
      </c>
      <c r="S426" s="69" t="s">
        <v>23</v>
      </c>
      <c r="T426" s="69" t="s">
        <v>83</v>
      </c>
      <c r="U426" s="69" t="s">
        <v>24</v>
      </c>
      <c r="V426" s="69" t="s">
        <v>25</v>
      </c>
      <c r="W426" s="69" t="s">
        <v>26</v>
      </c>
      <c r="X426" s="69" t="s">
        <v>27</v>
      </c>
      <c r="Y426" s="69" t="s">
        <v>28</v>
      </c>
      <c r="Z426" s="69" t="s">
        <v>29</v>
      </c>
      <c r="AA426" s="4"/>
      <c r="AB426" s="4"/>
      <c r="AC426" s="4"/>
      <c r="AD426" s="70"/>
      <c r="AE426" s="70">
        <f>靴!AF68</f>
        <v>0</v>
      </c>
      <c r="AF426" s="70" t="str">
        <f>靴!R68</f>
        <v>通常</v>
      </c>
      <c r="AG426" s="70">
        <v>0</v>
      </c>
      <c r="AH426" s="6">
        <f xml:space="preserve"> 靴!AD67</f>
        <v>0</v>
      </c>
      <c r="AI426">
        <v>1</v>
      </c>
      <c r="AJ426">
        <f>靴!U68</f>
        <v>0</v>
      </c>
    </row>
    <row r="427" spans="1:36" ht="13.5" hidden="1" customHeight="1">
      <c r="A427" s="3" t="str">
        <f>IF(靴!A69="","",靴!A69)</f>
        <v/>
      </c>
      <c r="B427" s="68" t="str">
        <f>IF(靴!B69="","",靴!B69)</f>
        <v/>
      </c>
      <c r="C427" s="3" t="str">
        <f>IF(靴!C69="","",靴!C69)</f>
        <v>◇ サイズ E</v>
      </c>
      <c r="D427" s="3" t="str">
        <f>IF(靴!E69="","",靴!E69)</f>
        <v>無</v>
      </c>
      <c r="E427" s="3" t="str">
        <f>IF(靴!AB69="","",靴!AB69)</f>
        <v>ベースS</v>
      </c>
      <c r="F427" s="3" t="str">
        <f>IF(靴!G69="","",靴!G69)</f>
        <v/>
      </c>
      <c r="G427" s="3" t="str">
        <f>IF(靴!H69="","",靴!H69)</f>
        <v/>
      </c>
      <c r="H427" s="3" t="str">
        <f>IF(靴!I69="","",靴!I69)</f>
        <v/>
      </c>
      <c r="I427" s="3" t="str">
        <f>靴!AA69</f>
        <v>/ソール</v>
      </c>
      <c r="J427" s="3" t="str">
        <f>IF(靴!M69="","",靴!M69)</f>
        <v/>
      </c>
      <c r="K427" s="3" t="str">
        <f>IF(靴!N69="","",靴!N69)</f>
        <v>サイズ</v>
      </c>
      <c r="L427" s="69" t="s">
        <v>80</v>
      </c>
      <c r="M427" s="69" t="s">
        <v>19</v>
      </c>
      <c r="N427" s="69" t="s">
        <v>20</v>
      </c>
      <c r="O427" s="69" t="s">
        <v>21</v>
      </c>
      <c r="P427" s="4" t="s">
        <v>3036</v>
      </c>
      <c r="Q427" s="4" t="s">
        <v>3038</v>
      </c>
      <c r="R427" s="71" t="str">
        <f>靴!Z69</f>
        <v>底長：約cm　底甲幅：約cm　ヒール：約cm</v>
      </c>
      <c r="S427" s="69" t="s">
        <v>23</v>
      </c>
      <c r="T427" s="69" t="s">
        <v>83</v>
      </c>
      <c r="U427" s="69" t="s">
        <v>24</v>
      </c>
      <c r="V427" s="69" t="s">
        <v>25</v>
      </c>
      <c r="W427" s="69" t="s">
        <v>26</v>
      </c>
      <c r="X427" s="69" t="s">
        <v>27</v>
      </c>
      <c r="Y427" s="69" t="s">
        <v>28</v>
      </c>
      <c r="Z427" s="69" t="s">
        <v>29</v>
      </c>
      <c r="AA427" s="4"/>
      <c r="AB427" s="4"/>
      <c r="AC427" s="4"/>
      <c r="AD427" s="70"/>
      <c r="AE427" s="70">
        <f>靴!AF69</f>
        <v>0</v>
      </c>
      <c r="AF427" s="70" t="str">
        <f>靴!R69</f>
        <v>通常</v>
      </c>
      <c r="AG427" s="70">
        <v>0</v>
      </c>
      <c r="AH427" s="6">
        <f xml:space="preserve"> 靴!AD68</f>
        <v>0</v>
      </c>
      <c r="AI427">
        <v>1</v>
      </c>
      <c r="AJ427">
        <f>靴!U69</f>
        <v>0</v>
      </c>
    </row>
    <row r="428" spans="1:36" ht="13.5" hidden="1" customHeight="1">
      <c r="A428" s="3" t="str">
        <f>IF(靴!A70="","",靴!A70)</f>
        <v/>
      </c>
      <c r="B428" s="68" t="str">
        <f>IF(靴!B70="","",靴!B70)</f>
        <v/>
      </c>
      <c r="C428" s="3" t="str">
        <f>IF(靴!C70="","",靴!C70)</f>
        <v>◇ サイズ E</v>
      </c>
      <c r="D428" s="3" t="str">
        <f>IF(靴!E70="","",靴!E70)</f>
        <v>無</v>
      </c>
      <c r="E428" s="3" t="str">
        <f>IF(靴!AB70="","",靴!AB70)</f>
        <v>ベースS</v>
      </c>
      <c r="F428" s="3" t="str">
        <f>IF(靴!G70="","",靴!G70)</f>
        <v/>
      </c>
      <c r="G428" s="3" t="str">
        <f>IF(靴!H70="","",靴!H70)</f>
        <v/>
      </c>
      <c r="H428" s="3" t="str">
        <f>IF(靴!I70="","",靴!I70)</f>
        <v/>
      </c>
      <c r="I428" s="3" t="str">
        <f>靴!AA70</f>
        <v>/ソール</v>
      </c>
      <c r="J428" s="3" t="str">
        <f>IF(靴!M70="","",靴!M70)</f>
        <v/>
      </c>
      <c r="K428" s="3" t="str">
        <f>IF(靴!N70="","",靴!N70)</f>
        <v>サイズ</v>
      </c>
      <c r="L428" s="69" t="s">
        <v>80</v>
      </c>
      <c r="M428" s="69" t="s">
        <v>19</v>
      </c>
      <c r="N428" s="69" t="s">
        <v>20</v>
      </c>
      <c r="O428" s="69" t="s">
        <v>21</v>
      </c>
      <c r="P428" s="4" t="s">
        <v>3036</v>
      </c>
      <c r="Q428" s="4" t="s">
        <v>3038</v>
      </c>
      <c r="R428" s="71" t="str">
        <f>靴!Z70</f>
        <v>底長：約cm　底甲幅：約cm　ヒール：約cm</v>
      </c>
      <c r="S428" s="69" t="s">
        <v>23</v>
      </c>
      <c r="T428" s="69" t="s">
        <v>83</v>
      </c>
      <c r="U428" s="69" t="s">
        <v>24</v>
      </c>
      <c r="V428" s="69" t="s">
        <v>25</v>
      </c>
      <c r="W428" s="69" t="s">
        <v>26</v>
      </c>
      <c r="X428" s="69" t="s">
        <v>27</v>
      </c>
      <c r="Y428" s="69" t="s">
        <v>28</v>
      </c>
      <c r="Z428" s="69" t="s">
        <v>29</v>
      </c>
      <c r="AA428" s="4"/>
      <c r="AB428" s="4"/>
      <c r="AC428" s="4"/>
      <c r="AD428" s="70"/>
      <c r="AE428" s="70">
        <f>靴!AF70</f>
        <v>0</v>
      </c>
      <c r="AF428" s="70" t="str">
        <f>靴!R70</f>
        <v>通常</v>
      </c>
      <c r="AG428" s="70">
        <v>0</v>
      </c>
      <c r="AH428" s="6">
        <f xml:space="preserve"> 靴!AD69</f>
        <v>0</v>
      </c>
      <c r="AI428">
        <v>1</v>
      </c>
      <c r="AJ428">
        <f>靴!U70</f>
        <v>0</v>
      </c>
    </row>
    <row r="429" spans="1:36" ht="13.5" hidden="1" customHeight="1">
      <c r="A429" s="3" t="str">
        <f>IF(靴!A71="","",靴!A71)</f>
        <v/>
      </c>
      <c r="B429" s="68" t="str">
        <f>IF(靴!B71="","",靴!B71)</f>
        <v/>
      </c>
      <c r="C429" s="3" t="str">
        <f>IF(靴!C71="","",靴!C71)</f>
        <v>◇ サイズ E</v>
      </c>
      <c r="D429" s="3" t="str">
        <f>IF(靴!E71="","",靴!E71)</f>
        <v>無</v>
      </c>
      <c r="E429" s="3" t="str">
        <f>IF(靴!AB71="","",靴!AB71)</f>
        <v>ベースS</v>
      </c>
      <c r="F429" s="3" t="str">
        <f>IF(靴!G71="","",靴!G71)</f>
        <v/>
      </c>
      <c r="G429" s="3" t="str">
        <f>IF(靴!H71="","",靴!H71)</f>
        <v/>
      </c>
      <c r="H429" s="3" t="str">
        <f>IF(靴!I71="","",靴!I71)</f>
        <v/>
      </c>
      <c r="I429" s="3" t="str">
        <f>靴!AA71</f>
        <v>/ソール</v>
      </c>
      <c r="J429" s="3" t="str">
        <f>IF(靴!M71="","",靴!M71)</f>
        <v/>
      </c>
      <c r="K429" s="3" t="str">
        <f>IF(靴!N71="","",靴!N71)</f>
        <v>サイズ</v>
      </c>
      <c r="L429" s="69" t="s">
        <v>80</v>
      </c>
      <c r="M429" s="69" t="s">
        <v>19</v>
      </c>
      <c r="N429" s="69" t="s">
        <v>20</v>
      </c>
      <c r="O429" s="69" t="s">
        <v>21</v>
      </c>
      <c r="P429" s="4" t="s">
        <v>3036</v>
      </c>
      <c r="Q429" s="4" t="s">
        <v>3038</v>
      </c>
      <c r="R429" s="71" t="str">
        <f>靴!Z71</f>
        <v>底長：約cm　底甲幅：約cm　ヒール：約cm</v>
      </c>
      <c r="S429" s="69" t="s">
        <v>23</v>
      </c>
      <c r="T429" s="69" t="s">
        <v>22</v>
      </c>
      <c r="U429" s="69" t="s">
        <v>24</v>
      </c>
      <c r="V429" s="69" t="s">
        <v>25</v>
      </c>
      <c r="W429" s="69" t="s">
        <v>26</v>
      </c>
      <c r="X429" s="69" t="s">
        <v>27</v>
      </c>
      <c r="Y429" s="69" t="s">
        <v>28</v>
      </c>
      <c r="Z429" s="69" t="s">
        <v>29</v>
      </c>
      <c r="AA429" s="4"/>
      <c r="AB429" s="4"/>
      <c r="AC429" s="4"/>
      <c r="AD429" s="70"/>
      <c r="AE429" s="70">
        <f>靴!AF71</f>
        <v>0</v>
      </c>
      <c r="AF429" s="70" t="str">
        <f>靴!R71</f>
        <v>通常</v>
      </c>
      <c r="AG429" s="70">
        <v>0</v>
      </c>
      <c r="AH429" s="6">
        <f xml:space="preserve"> 靴!AD70</f>
        <v>0</v>
      </c>
      <c r="AI429">
        <v>1</v>
      </c>
      <c r="AJ429">
        <f>靴!U71</f>
        <v>0</v>
      </c>
    </row>
    <row r="430" spans="1:36" ht="13.5" hidden="1" customHeight="1">
      <c r="A430" s="3" t="str">
        <f>IF(靴!A72="","",靴!A72)</f>
        <v/>
      </c>
      <c r="B430" s="68" t="str">
        <f>IF(靴!B72="","",靴!B72)</f>
        <v/>
      </c>
      <c r="C430" s="3" t="str">
        <f>IF(靴!C72="","",靴!C72)</f>
        <v>◇ サイズ E</v>
      </c>
      <c r="D430" s="3" t="str">
        <f>IF(靴!E72="","",靴!E72)</f>
        <v>無</v>
      </c>
      <c r="E430" s="3" t="str">
        <f>IF(靴!AB72="","",靴!AB72)</f>
        <v>ベースS</v>
      </c>
      <c r="F430" s="3" t="str">
        <f>IF(靴!G72="","",靴!G72)</f>
        <v/>
      </c>
      <c r="G430" s="3" t="str">
        <f>IF(靴!H72="","",靴!H72)</f>
        <v/>
      </c>
      <c r="H430" s="3" t="str">
        <f>IF(靴!I72="","",靴!I72)</f>
        <v/>
      </c>
      <c r="I430" s="3" t="str">
        <f>靴!AA72</f>
        <v>/ソール</v>
      </c>
      <c r="J430" s="3" t="str">
        <f>IF(靴!M72="","",靴!M72)</f>
        <v/>
      </c>
      <c r="K430" s="3" t="str">
        <f>IF(靴!N72="","",靴!N72)</f>
        <v>サイズ</v>
      </c>
      <c r="L430" s="69" t="s">
        <v>80</v>
      </c>
      <c r="M430" s="69" t="s">
        <v>19</v>
      </c>
      <c r="N430" s="69" t="s">
        <v>20</v>
      </c>
      <c r="O430" s="69" t="s">
        <v>21</v>
      </c>
      <c r="P430" s="4" t="s">
        <v>3036</v>
      </c>
      <c r="Q430" s="4" t="s">
        <v>3038</v>
      </c>
      <c r="R430" s="71" t="str">
        <f>靴!Z72</f>
        <v>底長：約cm　底甲幅：約cm　ヒール：約cm</v>
      </c>
      <c r="S430" s="69" t="s">
        <v>23</v>
      </c>
      <c r="T430" s="69" t="s">
        <v>22</v>
      </c>
      <c r="U430" s="69" t="s">
        <v>24</v>
      </c>
      <c r="V430" s="69" t="s">
        <v>25</v>
      </c>
      <c r="W430" s="69" t="s">
        <v>26</v>
      </c>
      <c r="X430" s="69" t="s">
        <v>27</v>
      </c>
      <c r="Y430" s="69" t="s">
        <v>28</v>
      </c>
      <c r="Z430" s="69" t="s">
        <v>29</v>
      </c>
      <c r="AA430" s="4"/>
      <c r="AB430" s="4"/>
      <c r="AC430" s="4"/>
      <c r="AD430" s="70"/>
      <c r="AE430" s="70">
        <f>靴!AF72</f>
        <v>0</v>
      </c>
      <c r="AF430" s="70" t="str">
        <f>靴!R72</f>
        <v>通常</v>
      </c>
      <c r="AG430" s="70">
        <v>0</v>
      </c>
      <c r="AH430" s="6">
        <f xml:space="preserve"> 靴!AD71</f>
        <v>0</v>
      </c>
      <c r="AI430">
        <v>1</v>
      </c>
      <c r="AJ430">
        <f>靴!U72</f>
        <v>0</v>
      </c>
    </row>
    <row r="431" spans="1:36" ht="13.5" hidden="1" customHeight="1">
      <c r="A431" s="3" t="str">
        <f>IF(靴!A73="","",靴!A73)</f>
        <v/>
      </c>
      <c r="B431" s="68" t="str">
        <f>IF(靴!B73="","",靴!B73)</f>
        <v/>
      </c>
      <c r="C431" s="3" t="str">
        <f>IF(靴!C73="","",靴!C73)</f>
        <v>◇ サイズ E</v>
      </c>
      <c r="D431" s="3" t="str">
        <f>IF(靴!E73="","",靴!E73)</f>
        <v>無</v>
      </c>
      <c r="E431" s="3" t="str">
        <f>IF(靴!AB73="","",靴!AB73)</f>
        <v>ベースS</v>
      </c>
      <c r="F431" s="3" t="str">
        <f>IF(靴!G73="","",靴!G73)</f>
        <v/>
      </c>
      <c r="G431" s="3" t="str">
        <f>IF(靴!H73="","",靴!H73)</f>
        <v/>
      </c>
      <c r="H431" s="3" t="str">
        <f>IF(靴!I73="","",靴!I73)</f>
        <v/>
      </c>
      <c r="I431" s="3" t="str">
        <f>靴!AA73</f>
        <v>/ソール</v>
      </c>
      <c r="J431" s="3" t="str">
        <f>IF(靴!M73="","",靴!M73)</f>
        <v/>
      </c>
      <c r="K431" s="3" t="str">
        <f>IF(靴!N73="","",靴!N73)</f>
        <v>サイズ</v>
      </c>
      <c r="L431" s="69" t="s">
        <v>80</v>
      </c>
      <c r="M431" s="69" t="s">
        <v>19</v>
      </c>
      <c r="N431" s="69" t="s">
        <v>20</v>
      </c>
      <c r="O431" s="69" t="s">
        <v>21</v>
      </c>
      <c r="P431" s="4" t="s">
        <v>3036</v>
      </c>
      <c r="Q431" s="4" t="s">
        <v>3038</v>
      </c>
      <c r="R431" s="71" t="str">
        <f>靴!Z73</f>
        <v>底長：約cm　底甲幅：約cm　ヒール：約cm</v>
      </c>
      <c r="S431" s="69" t="s">
        <v>23</v>
      </c>
      <c r="T431" s="69" t="s">
        <v>22</v>
      </c>
      <c r="U431" s="69" t="s">
        <v>24</v>
      </c>
      <c r="V431" s="69" t="s">
        <v>25</v>
      </c>
      <c r="W431" s="69" t="s">
        <v>26</v>
      </c>
      <c r="X431" s="69" t="s">
        <v>27</v>
      </c>
      <c r="Y431" s="69" t="s">
        <v>28</v>
      </c>
      <c r="Z431" s="69" t="s">
        <v>29</v>
      </c>
      <c r="AA431" s="4"/>
      <c r="AB431" s="4"/>
      <c r="AC431" s="4"/>
      <c r="AD431" s="70"/>
      <c r="AE431" s="70">
        <f>靴!AF73</f>
        <v>0</v>
      </c>
      <c r="AF431" s="70" t="str">
        <f>靴!R73</f>
        <v>通常</v>
      </c>
      <c r="AG431" s="70">
        <v>0</v>
      </c>
      <c r="AH431" s="6">
        <f xml:space="preserve"> 靴!AD72</f>
        <v>0</v>
      </c>
      <c r="AI431">
        <v>1</v>
      </c>
      <c r="AJ431">
        <f>靴!U73</f>
        <v>0</v>
      </c>
    </row>
    <row r="432" spans="1:36" ht="13.5" hidden="1" customHeight="1">
      <c r="A432" s="3" t="str">
        <f>IF(靴!A74="","",靴!A74)</f>
        <v/>
      </c>
      <c r="B432" s="68" t="str">
        <f>IF(靴!B74="","",靴!B74)</f>
        <v/>
      </c>
      <c r="C432" s="3" t="str">
        <f>IF(靴!C74="","",靴!C74)</f>
        <v>◇ サイズ E</v>
      </c>
      <c r="D432" s="3" t="str">
        <f>IF(靴!E74="","",靴!E74)</f>
        <v>無</v>
      </c>
      <c r="E432" s="3" t="str">
        <f>IF(靴!AB74="","",靴!AB74)</f>
        <v>ベースS</v>
      </c>
      <c r="F432" s="3" t="str">
        <f>IF(靴!G74="","",靴!G74)</f>
        <v/>
      </c>
      <c r="G432" s="3" t="str">
        <f>IF(靴!H74="","",靴!H74)</f>
        <v/>
      </c>
      <c r="H432" s="3" t="str">
        <f>IF(靴!I74="","",靴!I74)</f>
        <v/>
      </c>
      <c r="I432" s="3" t="str">
        <f>靴!AA74</f>
        <v>/ソール</v>
      </c>
      <c r="J432" s="3" t="str">
        <f>IF(靴!M74="","",靴!M74)</f>
        <v/>
      </c>
      <c r="K432" s="3" t="str">
        <f>IF(靴!N74="","",靴!N74)</f>
        <v>サイズ</v>
      </c>
      <c r="L432" s="69" t="s">
        <v>80</v>
      </c>
      <c r="M432" s="69" t="s">
        <v>19</v>
      </c>
      <c r="N432" s="69" t="s">
        <v>20</v>
      </c>
      <c r="O432" s="69" t="s">
        <v>21</v>
      </c>
      <c r="P432" s="4" t="s">
        <v>3036</v>
      </c>
      <c r="Q432" s="4" t="s">
        <v>3038</v>
      </c>
      <c r="R432" s="71" t="str">
        <f>靴!Z74</f>
        <v>底長：約cm　底甲幅：約cm　ヒール：約cm</v>
      </c>
      <c r="S432" s="69" t="s">
        <v>23</v>
      </c>
      <c r="T432" s="69" t="s">
        <v>22</v>
      </c>
      <c r="U432" s="69" t="s">
        <v>24</v>
      </c>
      <c r="V432" s="69" t="s">
        <v>25</v>
      </c>
      <c r="W432" s="69" t="s">
        <v>26</v>
      </c>
      <c r="X432" s="69" t="s">
        <v>27</v>
      </c>
      <c r="Y432" s="69" t="s">
        <v>28</v>
      </c>
      <c r="Z432" s="69" t="s">
        <v>29</v>
      </c>
      <c r="AA432" s="4"/>
      <c r="AB432" s="4"/>
      <c r="AC432" s="4"/>
      <c r="AD432" s="70"/>
      <c r="AE432" s="70">
        <f>靴!AF74</f>
        <v>0</v>
      </c>
      <c r="AF432" s="70" t="str">
        <f>靴!R74</f>
        <v>通常</v>
      </c>
      <c r="AG432" s="70">
        <v>0</v>
      </c>
      <c r="AH432" s="6">
        <f xml:space="preserve"> 靴!AD73</f>
        <v>0</v>
      </c>
      <c r="AI432">
        <v>1</v>
      </c>
      <c r="AJ432">
        <f>靴!U74</f>
        <v>0</v>
      </c>
    </row>
    <row r="433" spans="1:36" ht="13.5" hidden="1" customHeight="1">
      <c r="A433" s="3" t="str">
        <f>IF(靴!A75="","",靴!A75)</f>
        <v/>
      </c>
      <c r="B433" s="68" t="str">
        <f>IF(靴!B75="","",靴!B75)</f>
        <v/>
      </c>
      <c r="C433" s="3" t="str">
        <f>IF(靴!C75="","",靴!C75)</f>
        <v>◇ サイズ E</v>
      </c>
      <c r="D433" s="3" t="str">
        <f>IF(靴!E75="","",靴!E75)</f>
        <v>無</v>
      </c>
      <c r="E433" s="3" t="str">
        <f>IF(靴!AB75="","",靴!AB75)</f>
        <v>ベースS</v>
      </c>
      <c r="F433" s="3" t="str">
        <f>IF(靴!G75="","",靴!G75)</f>
        <v/>
      </c>
      <c r="G433" s="3" t="str">
        <f>IF(靴!H75="","",靴!H75)</f>
        <v/>
      </c>
      <c r="H433" s="3" t="str">
        <f>IF(靴!I75="","",靴!I75)</f>
        <v/>
      </c>
      <c r="I433" s="3" t="str">
        <f>靴!AA75</f>
        <v>/ソール</v>
      </c>
      <c r="J433" s="3" t="str">
        <f>IF(靴!M75="","",靴!M75)</f>
        <v/>
      </c>
      <c r="K433" s="3" t="str">
        <f>IF(靴!N75="","",靴!N75)</f>
        <v>サイズ</v>
      </c>
      <c r="L433" s="69" t="s">
        <v>80</v>
      </c>
      <c r="M433" s="69" t="s">
        <v>19</v>
      </c>
      <c r="N433" s="69" t="s">
        <v>20</v>
      </c>
      <c r="O433" s="69" t="s">
        <v>21</v>
      </c>
      <c r="P433" s="4" t="s">
        <v>3036</v>
      </c>
      <c r="Q433" s="4" t="s">
        <v>3038</v>
      </c>
      <c r="R433" s="71" t="str">
        <f>靴!Z75</f>
        <v>底長：約cm　底甲幅：約cm　ヒール：約cm</v>
      </c>
      <c r="S433" s="69" t="s">
        <v>23</v>
      </c>
      <c r="T433" s="69" t="s">
        <v>22</v>
      </c>
      <c r="U433" s="69" t="s">
        <v>24</v>
      </c>
      <c r="V433" s="69" t="s">
        <v>25</v>
      </c>
      <c r="W433" s="69" t="s">
        <v>26</v>
      </c>
      <c r="X433" s="69" t="s">
        <v>27</v>
      </c>
      <c r="Y433" s="69" t="s">
        <v>28</v>
      </c>
      <c r="Z433" s="69" t="s">
        <v>29</v>
      </c>
      <c r="AA433" s="4"/>
      <c r="AB433" s="4"/>
      <c r="AC433" s="4"/>
      <c r="AD433" s="70"/>
      <c r="AE433" s="70">
        <f>靴!AF75</f>
        <v>0</v>
      </c>
      <c r="AF433" s="70" t="str">
        <f>靴!R75</f>
        <v>通常</v>
      </c>
      <c r="AG433" s="70">
        <v>0</v>
      </c>
      <c r="AH433" s="6">
        <f xml:space="preserve"> 靴!AD74</f>
        <v>0</v>
      </c>
      <c r="AI433">
        <v>1</v>
      </c>
      <c r="AJ433">
        <f>靴!U75</f>
        <v>0</v>
      </c>
    </row>
    <row r="434" spans="1:36" ht="13.5" hidden="1" customHeight="1">
      <c r="A434" s="3" t="str">
        <f>IF(靴!A76="","",靴!A76)</f>
        <v/>
      </c>
      <c r="B434" s="68" t="str">
        <f>IF(靴!B76="","",靴!B76)</f>
        <v/>
      </c>
      <c r="C434" s="3" t="str">
        <f>IF(靴!C76="","",靴!C76)</f>
        <v>◇ サイズ E</v>
      </c>
      <c r="D434" s="3" t="str">
        <f>IF(靴!E76="","",靴!E76)</f>
        <v>無</v>
      </c>
      <c r="E434" s="3" t="str">
        <f>IF(靴!AB76="","",靴!AB76)</f>
        <v>ベースS</v>
      </c>
      <c r="F434" s="3" t="str">
        <f>IF(靴!G76="","",靴!G76)</f>
        <v/>
      </c>
      <c r="G434" s="3" t="str">
        <f>IF(靴!H76="","",靴!H76)</f>
        <v/>
      </c>
      <c r="H434" s="3" t="str">
        <f>IF(靴!I76="","",靴!I76)</f>
        <v/>
      </c>
      <c r="I434" s="3" t="str">
        <f>靴!AA76</f>
        <v>/ソール</v>
      </c>
      <c r="J434" s="3" t="str">
        <f>IF(靴!M76="","",靴!M76)</f>
        <v/>
      </c>
      <c r="K434" s="3" t="str">
        <f>IF(靴!N76="","",靴!N76)</f>
        <v>サイズ</v>
      </c>
      <c r="L434" s="69" t="s">
        <v>80</v>
      </c>
      <c r="M434" s="69" t="s">
        <v>19</v>
      </c>
      <c r="N434" s="69" t="s">
        <v>20</v>
      </c>
      <c r="O434" s="69" t="s">
        <v>21</v>
      </c>
      <c r="P434" s="4" t="s">
        <v>3036</v>
      </c>
      <c r="Q434" s="4" t="s">
        <v>3038</v>
      </c>
      <c r="R434" s="71" t="str">
        <f>靴!Z76</f>
        <v>底長：約cm　底甲幅：約cm　ヒール：約cm</v>
      </c>
      <c r="S434" s="69" t="s">
        <v>23</v>
      </c>
      <c r="T434" s="69" t="s">
        <v>22</v>
      </c>
      <c r="U434" s="69" t="s">
        <v>24</v>
      </c>
      <c r="V434" s="69" t="s">
        <v>25</v>
      </c>
      <c r="W434" s="69" t="s">
        <v>26</v>
      </c>
      <c r="X434" s="69" t="s">
        <v>27</v>
      </c>
      <c r="Y434" s="69" t="s">
        <v>28</v>
      </c>
      <c r="Z434" s="69" t="s">
        <v>29</v>
      </c>
      <c r="AA434" s="4"/>
      <c r="AB434" s="4"/>
      <c r="AC434" s="4"/>
      <c r="AD434" s="70"/>
      <c r="AE434" s="70">
        <f>靴!AF76</f>
        <v>0</v>
      </c>
      <c r="AF434" s="70" t="str">
        <f>靴!R76</f>
        <v>通常</v>
      </c>
      <c r="AG434" s="70">
        <v>0</v>
      </c>
      <c r="AH434" s="6">
        <f xml:space="preserve"> 靴!AD75</f>
        <v>0</v>
      </c>
      <c r="AI434">
        <v>1</v>
      </c>
      <c r="AJ434">
        <f>靴!U76</f>
        <v>0</v>
      </c>
    </row>
    <row r="435" spans="1:36" ht="13.5" hidden="1" customHeight="1">
      <c r="A435" s="3" t="str">
        <f>IF(靴!A77="","",靴!A77)</f>
        <v/>
      </c>
      <c r="B435" s="68" t="str">
        <f>IF(靴!B77="","",靴!B77)</f>
        <v/>
      </c>
      <c r="C435" s="3" t="str">
        <f>IF(靴!C77="","",靴!C77)</f>
        <v>◇ サイズ E</v>
      </c>
      <c r="D435" s="3" t="str">
        <f>IF(靴!E77="","",靴!E77)</f>
        <v>無</v>
      </c>
      <c r="E435" s="3" t="str">
        <f>IF(靴!AB77="","",靴!AB77)</f>
        <v>ベースS</v>
      </c>
      <c r="F435" s="3" t="str">
        <f>IF(靴!G77="","",靴!G77)</f>
        <v/>
      </c>
      <c r="G435" s="3" t="str">
        <f>IF(靴!H77="","",靴!H77)</f>
        <v/>
      </c>
      <c r="H435" s="3" t="str">
        <f>IF(靴!I77="","",靴!I77)</f>
        <v/>
      </c>
      <c r="I435" s="3" t="str">
        <f>靴!AA77</f>
        <v>/ソール</v>
      </c>
      <c r="J435" s="3" t="str">
        <f>IF(靴!M77="","",靴!M77)</f>
        <v/>
      </c>
      <c r="K435" s="3" t="str">
        <f>IF(靴!N77="","",靴!N77)</f>
        <v>サイズ</v>
      </c>
      <c r="L435" s="69" t="s">
        <v>80</v>
      </c>
      <c r="M435" s="69" t="s">
        <v>19</v>
      </c>
      <c r="N435" s="69" t="s">
        <v>20</v>
      </c>
      <c r="O435" s="69" t="s">
        <v>21</v>
      </c>
      <c r="P435" s="4" t="s">
        <v>3036</v>
      </c>
      <c r="Q435" s="4" t="s">
        <v>3038</v>
      </c>
      <c r="R435" s="71" t="str">
        <f>靴!Z77</f>
        <v>底長：約cm　底甲幅：約cm　ヒール：約cm</v>
      </c>
      <c r="S435" s="69" t="s">
        <v>23</v>
      </c>
      <c r="T435" s="69" t="s">
        <v>22</v>
      </c>
      <c r="U435" s="69" t="s">
        <v>24</v>
      </c>
      <c r="V435" s="69" t="s">
        <v>25</v>
      </c>
      <c r="W435" s="69" t="s">
        <v>26</v>
      </c>
      <c r="X435" s="69" t="s">
        <v>27</v>
      </c>
      <c r="Y435" s="69" t="s">
        <v>28</v>
      </c>
      <c r="Z435" s="69" t="s">
        <v>29</v>
      </c>
      <c r="AA435" s="4"/>
      <c r="AB435" s="4"/>
      <c r="AC435" s="4"/>
      <c r="AD435" s="70"/>
      <c r="AE435" s="70">
        <f>靴!AF77</f>
        <v>0</v>
      </c>
      <c r="AF435" s="70" t="str">
        <f>靴!R77</f>
        <v>通常</v>
      </c>
      <c r="AG435" s="70">
        <v>0</v>
      </c>
      <c r="AH435" s="6">
        <f xml:space="preserve"> 靴!AD76</f>
        <v>0</v>
      </c>
      <c r="AI435">
        <v>1</v>
      </c>
      <c r="AJ435">
        <f>靴!U77</f>
        <v>0</v>
      </c>
    </row>
    <row r="436" spans="1:36" ht="13.5" hidden="1" customHeight="1">
      <c r="A436" s="3" t="str">
        <f>IF(靴!A78="","",靴!A78)</f>
        <v/>
      </c>
      <c r="B436" s="68" t="str">
        <f>IF(靴!B78="","",靴!B78)</f>
        <v/>
      </c>
      <c r="C436" s="3" t="str">
        <f>IF(靴!C78="","",靴!C78)</f>
        <v>◇ サイズ E</v>
      </c>
      <c r="D436" s="3" t="str">
        <f>IF(靴!E78="","",靴!E78)</f>
        <v>無</v>
      </c>
      <c r="E436" s="3" t="str">
        <f>IF(靴!AB78="","",靴!AB78)</f>
        <v>ベースS</v>
      </c>
      <c r="F436" s="3" t="str">
        <f>IF(靴!G78="","",靴!G78)</f>
        <v/>
      </c>
      <c r="G436" s="3" t="str">
        <f>IF(靴!H78="","",靴!H78)</f>
        <v/>
      </c>
      <c r="H436" s="3" t="str">
        <f>IF(靴!I78="","",靴!I78)</f>
        <v/>
      </c>
      <c r="I436" s="3" t="str">
        <f>靴!AA78</f>
        <v>/ソール</v>
      </c>
      <c r="J436" s="3" t="str">
        <f>IF(靴!M78="","",靴!M78)</f>
        <v/>
      </c>
      <c r="K436" s="3" t="str">
        <f>IF(靴!N78="","",靴!N78)</f>
        <v>サイズ</v>
      </c>
      <c r="L436" s="69" t="s">
        <v>80</v>
      </c>
      <c r="M436" s="69" t="s">
        <v>19</v>
      </c>
      <c r="N436" s="69" t="s">
        <v>20</v>
      </c>
      <c r="O436" s="69" t="s">
        <v>21</v>
      </c>
      <c r="P436" s="4" t="s">
        <v>3036</v>
      </c>
      <c r="Q436" s="4" t="s">
        <v>3038</v>
      </c>
      <c r="R436" s="71" t="str">
        <f>靴!Z78</f>
        <v>底長：約cm　底甲幅：約cm　ヒール：約cm</v>
      </c>
      <c r="S436" s="69" t="s">
        <v>23</v>
      </c>
      <c r="T436" s="69" t="s">
        <v>22</v>
      </c>
      <c r="U436" s="69" t="s">
        <v>24</v>
      </c>
      <c r="V436" s="69" t="s">
        <v>25</v>
      </c>
      <c r="W436" s="69" t="s">
        <v>26</v>
      </c>
      <c r="X436" s="69" t="s">
        <v>27</v>
      </c>
      <c r="Y436" s="69" t="s">
        <v>28</v>
      </c>
      <c r="Z436" s="69" t="s">
        <v>29</v>
      </c>
      <c r="AA436" s="4"/>
      <c r="AB436" s="4"/>
      <c r="AC436" s="4"/>
      <c r="AD436" s="70"/>
      <c r="AE436" s="70">
        <f>靴!AF78</f>
        <v>0</v>
      </c>
      <c r="AF436" s="70" t="str">
        <f>靴!R78</f>
        <v>通常</v>
      </c>
      <c r="AG436" s="70">
        <v>0</v>
      </c>
      <c r="AH436" s="6">
        <f xml:space="preserve"> 靴!AD77</f>
        <v>0</v>
      </c>
      <c r="AI436">
        <v>1</v>
      </c>
      <c r="AJ436">
        <f>靴!U78</f>
        <v>0</v>
      </c>
    </row>
    <row r="437" spans="1:36" ht="13.5" hidden="1" customHeight="1">
      <c r="A437" s="3" t="str">
        <f>IF(靴!A79="","",靴!A79)</f>
        <v/>
      </c>
      <c r="B437" s="68" t="str">
        <f>IF(靴!B79="","",靴!B79)</f>
        <v/>
      </c>
      <c r="C437" s="3" t="str">
        <f>IF(靴!C79="","",靴!C79)</f>
        <v>◇ サイズ E</v>
      </c>
      <c r="D437" s="3" t="str">
        <f>IF(靴!E79="","",靴!E79)</f>
        <v>無</v>
      </c>
      <c r="E437" s="3" t="str">
        <f>IF(靴!AB79="","",靴!AB79)</f>
        <v>ベースS</v>
      </c>
      <c r="F437" s="3" t="str">
        <f>IF(靴!G79="","",靴!G79)</f>
        <v/>
      </c>
      <c r="G437" s="3" t="str">
        <f>IF(靴!H79="","",靴!H79)</f>
        <v/>
      </c>
      <c r="H437" s="3" t="str">
        <f>IF(靴!I79="","",靴!I79)</f>
        <v/>
      </c>
      <c r="I437" s="3" t="str">
        <f>靴!AA79</f>
        <v>/ソール</v>
      </c>
      <c r="J437" s="3" t="str">
        <f>IF(靴!M79="","",靴!M79)</f>
        <v/>
      </c>
      <c r="K437" s="3" t="str">
        <f>IF(靴!N79="","",靴!N79)</f>
        <v>サイズ</v>
      </c>
      <c r="L437" s="69" t="s">
        <v>80</v>
      </c>
      <c r="M437" s="69" t="s">
        <v>19</v>
      </c>
      <c r="N437" s="69" t="s">
        <v>20</v>
      </c>
      <c r="O437" s="69" t="s">
        <v>21</v>
      </c>
      <c r="P437" s="4" t="s">
        <v>3036</v>
      </c>
      <c r="Q437" s="4" t="s">
        <v>3038</v>
      </c>
      <c r="R437" s="71" t="str">
        <f>靴!Z79</f>
        <v>底長：約cm　底甲幅：約cm　ヒール：約cm</v>
      </c>
      <c r="S437" s="69" t="s">
        <v>23</v>
      </c>
      <c r="T437" s="69" t="s">
        <v>22</v>
      </c>
      <c r="U437" s="69" t="s">
        <v>24</v>
      </c>
      <c r="V437" s="69" t="s">
        <v>25</v>
      </c>
      <c r="W437" s="69" t="s">
        <v>26</v>
      </c>
      <c r="X437" s="69" t="s">
        <v>27</v>
      </c>
      <c r="Y437" s="69" t="s">
        <v>28</v>
      </c>
      <c r="Z437" s="69" t="s">
        <v>29</v>
      </c>
      <c r="AA437" s="4"/>
      <c r="AB437" s="4"/>
      <c r="AC437" s="4"/>
      <c r="AD437" s="70"/>
      <c r="AE437" s="70">
        <f>靴!AF79</f>
        <v>0</v>
      </c>
      <c r="AF437" s="70" t="str">
        <f>靴!R79</f>
        <v>通常</v>
      </c>
      <c r="AG437" s="70">
        <v>0</v>
      </c>
      <c r="AH437" s="6">
        <f xml:space="preserve"> 靴!AD78</f>
        <v>0</v>
      </c>
      <c r="AI437">
        <v>1</v>
      </c>
      <c r="AJ437">
        <f>靴!U79</f>
        <v>0</v>
      </c>
    </row>
    <row r="438" spans="1:36" ht="13.5" hidden="1" customHeight="1">
      <c r="A438" s="3" t="str">
        <f>IF(靴!A80="","",靴!A80)</f>
        <v/>
      </c>
      <c r="B438" s="68" t="str">
        <f>IF(靴!B80="","",靴!B80)</f>
        <v/>
      </c>
      <c r="C438" s="3" t="str">
        <f>IF(靴!C80="","",靴!C80)</f>
        <v>◇ サイズ E</v>
      </c>
      <c r="D438" s="3" t="str">
        <f>IF(靴!E80="","",靴!E80)</f>
        <v>無</v>
      </c>
      <c r="E438" s="3" t="str">
        <f>IF(靴!AB80="","",靴!AB80)</f>
        <v>ベースS</v>
      </c>
      <c r="F438" s="3" t="str">
        <f>IF(靴!G80="","",靴!G80)</f>
        <v/>
      </c>
      <c r="G438" s="3" t="str">
        <f>IF(靴!H80="","",靴!H80)</f>
        <v/>
      </c>
      <c r="H438" s="3" t="str">
        <f>IF(靴!I80="","",靴!I80)</f>
        <v/>
      </c>
      <c r="I438" s="3" t="str">
        <f>靴!AA80</f>
        <v>/ソール</v>
      </c>
      <c r="J438" s="3" t="str">
        <f>IF(靴!M80="","",靴!M80)</f>
        <v/>
      </c>
      <c r="K438" s="3" t="str">
        <f>IF(靴!N80="","",靴!N80)</f>
        <v>サイズ</v>
      </c>
      <c r="L438" s="69" t="s">
        <v>80</v>
      </c>
      <c r="M438" s="69" t="s">
        <v>19</v>
      </c>
      <c r="N438" s="69" t="s">
        <v>20</v>
      </c>
      <c r="O438" s="69" t="s">
        <v>21</v>
      </c>
      <c r="P438" s="4" t="s">
        <v>3036</v>
      </c>
      <c r="Q438" s="4" t="s">
        <v>3038</v>
      </c>
      <c r="R438" s="71" t="str">
        <f>靴!Z80</f>
        <v>底長：約cm　底甲幅：約cm　ヒール：約cm</v>
      </c>
      <c r="S438" s="69" t="s">
        <v>23</v>
      </c>
      <c r="T438" s="69" t="s">
        <v>22</v>
      </c>
      <c r="U438" s="69" t="s">
        <v>24</v>
      </c>
      <c r="V438" s="69" t="s">
        <v>25</v>
      </c>
      <c r="W438" s="69" t="s">
        <v>26</v>
      </c>
      <c r="X438" s="69" t="s">
        <v>27</v>
      </c>
      <c r="Y438" s="69" t="s">
        <v>28</v>
      </c>
      <c r="Z438" s="69" t="s">
        <v>29</v>
      </c>
      <c r="AA438" s="4"/>
      <c r="AB438" s="4"/>
      <c r="AC438" s="4"/>
      <c r="AD438" s="70"/>
      <c r="AE438" s="70">
        <f>靴!AF80</f>
        <v>0</v>
      </c>
      <c r="AF438" s="70" t="str">
        <f>靴!R80</f>
        <v>通常</v>
      </c>
      <c r="AG438" s="70">
        <v>0</v>
      </c>
      <c r="AH438" s="6">
        <f xml:space="preserve"> 靴!AD79</f>
        <v>0</v>
      </c>
      <c r="AI438">
        <v>1</v>
      </c>
      <c r="AJ438">
        <f>靴!U80</f>
        <v>0</v>
      </c>
    </row>
    <row r="439" spans="1:36" ht="13.5" hidden="1" customHeight="1">
      <c r="A439" s="3" t="str">
        <f>IF(靴!A81="","",靴!A81)</f>
        <v/>
      </c>
      <c r="B439" s="68" t="str">
        <f>IF(靴!B81="","",靴!B81)</f>
        <v/>
      </c>
      <c r="C439" s="3" t="str">
        <f>IF(靴!C81="","",靴!C81)</f>
        <v>◇ サイズ E</v>
      </c>
      <c r="D439" s="3" t="str">
        <f>IF(靴!E81="","",靴!E81)</f>
        <v>無</v>
      </c>
      <c r="E439" s="3" t="str">
        <f>IF(靴!AB81="","",靴!AB81)</f>
        <v>ベースS</v>
      </c>
      <c r="F439" s="3" t="str">
        <f>IF(靴!G81="","",靴!G81)</f>
        <v/>
      </c>
      <c r="G439" s="3" t="str">
        <f>IF(靴!H81="","",靴!H81)</f>
        <v/>
      </c>
      <c r="H439" s="3" t="str">
        <f>IF(靴!I81="","",靴!I81)</f>
        <v/>
      </c>
      <c r="I439" s="3" t="str">
        <f>靴!AA81</f>
        <v>/ソール</v>
      </c>
      <c r="J439" s="3" t="str">
        <f>IF(靴!M81="","",靴!M81)</f>
        <v/>
      </c>
      <c r="K439" s="3" t="str">
        <f>IF(靴!N81="","",靴!N81)</f>
        <v>サイズ</v>
      </c>
      <c r="L439" s="69" t="s">
        <v>80</v>
      </c>
      <c r="M439" s="69" t="s">
        <v>19</v>
      </c>
      <c r="N439" s="69" t="s">
        <v>20</v>
      </c>
      <c r="O439" s="69" t="s">
        <v>21</v>
      </c>
      <c r="P439" s="4" t="s">
        <v>3036</v>
      </c>
      <c r="Q439" s="4" t="s">
        <v>3038</v>
      </c>
      <c r="R439" s="71" t="str">
        <f>靴!Z81</f>
        <v>底長：約cm　底甲幅：約cm　ヒール：約cm</v>
      </c>
      <c r="S439" s="69" t="s">
        <v>23</v>
      </c>
      <c r="T439" s="69" t="s">
        <v>22</v>
      </c>
      <c r="U439" s="69" t="s">
        <v>24</v>
      </c>
      <c r="V439" s="69" t="s">
        <v>25</v>
      </c>
      <c r="W439" s="69" t="s">
        <v>26</v>
      </c>
      <c r="X439" s="69" t="s">
        <v>27</v>
      </c>
      <c r="Y439" s="69" t="s">
        <v>28</v>
      </c>
      <c r="Z439" s="69" t="s">
        <v>29</v>
      </c>
      <c r="AA439" s="4"/>
      <c r="AB439" s="4"/>
      <c r="AC439" s="4"/>
      <c r="AD439" s="70"/>
      <c r="AE439" s="70">
        <f>靴!AF81</f>
        <v>0</v>
      </c>
      <c r="AF439" s="70" t="str">
        <f>靴!R81</f>
        <v>通常</v>
      </c>
      <c r="AG439" s="70">
        <v>0</v>
      </c>
      <c r="AH439" s="6">
        <f xml:space="preserve"> 靴!AD80</f>
        <v>0</v>
      </c>
      <c r="AI439">
        <v>1</v>
      </c>
      <c r="AJ439">
        <f>靴!U81</f>
        <v>0</v>
      </c>
    </row>
    <row r="440" spans="1:36" ht="13.5" hidden="1" customHeight="1">
      <c r="A440" s="3" t="str">
        <f>IF(靴!A82="","",靴!A82)</f>
        <v/>
      </c>
      <c r="B440" s="68" t="str">
        <f>IF(靴!B82="","",靴!B82)</f>
        <v/>
      </c>
      <c r="C440" s="3" t="str">
        <f>IF(靴!C82="","",靴!C82)</f>
        <v>◇ サイズ E</v>
      </c>
      <c r="D440" s="3" t="str">
        <f>IF(靴!E82="","",靴!E82)</f>
        <v>無</v>
      </c>
      <c r="E440" s="3" t="str">
        <f>IF(靴!AB82="","",靴!AB82)</f>
        <v>ベースS</v>
      </c>
      <c r="F440" s="3" t="str">
        <f>IF(靴!G82="","",靴!G82)</f>
        <v/>
      </c>
      <c r="G440" s="3" t="str">
        <f>IF(靴!H82="","",靴!H82)</f>
        <v/>
      </c>
      <c r="H440" s="3" t="str">
        <f>IF(靴!I82="","",靴!I82)</f>
        <v/>
      </c>
      <c r="I440" s="3" t="str">
        <f>靴!AA82</f>
        <v>/ソール</v>
      </c>
      <c r="J440" s="3" t="str">
        <f>IF(靴!M82="","",靴!M82)</f>
        <v/>
      </c>
      <c r="K440" s="3" t="str">
        <f>IF(靴!N82="","",靴!N82)</f>
        <v>サイズ</v>
      </c>
      <c r="L440" s="69" t="s">
        <v>80</v>
      </c>
      <c r="M440" s="69" t="s">
        <v>19</v>
      </c>
      <c r="N440" s="69" t="s">
        <v>20</v>
      </c>
      <c r="O440" s="69" t="s">
        <v>21</v>
      </c>
      <c r="P440" s="4" t="s">
        <v>3036</v>
      </c>
      <c r="Q440" s="4" t="s">
        <v>3038</v>
      </c>
      <c r="R440" s="71" t="str">
        <f>靴!Z82</f>
        <v>底長：約cm　底甲幅：約cm　ヒール：約cm</v>
      </c>
      <c r="S440" s="69" t="s">
        <v>23</v>
      </c>
      <c r="T440" s="69" t="s">
        <v>22</v>
      </c>
      <c r="U440" s="69" t="s">
        <v>24</v>
      </c>
      <c r="V440" s="69" t="s">
        <v>25</v>
      </c>
      <c r="W440" s="69" t="s">
        <v>26</v>
      </c>
      <c r="X440" s="69" t="s">
        <v>27</v>
      </c>
      <c r="Y440" s="69" t="s">
        <v>28</v>
      </c>
      <c r="Z440" s="69" t="s">
        <v>29</v>
      </c>
      <c r="AA440" s="4"/>
      <c r="AB440" s="4"/>
      <c r="AC440" s="4"/>
      <c r="AD440" s="70"/>
      <c r="AE440" s="70">
        <f>靴!AF82</f>
        <v>0</v>
      </c>
      <c r="AF440" s="70" t="str">
        <f>靴!R82</f>
        <v>通常</v>
      </c>
      <c r="AG440" s="70">
        <v>0</v>
      </c>
      <c r="AH440" s="6">
        <f xml:space="preserve"> 靴!AD81</f>
        <v>0</v>
      </c>
      <c r="AI440">
        <v>1</v>
      </c>
      <c r="AJ440">
        <f>靴!U82</f>
        <v>0</v>
      </c>
    </row>
    <row r="441" spans="1:36" ht="13.5" hidden="1" customHeight="1">
      <c r="A441" s="3" t="str">
        <f>IF(靴!A83="","",靴!A83)</f>
        <v/>
      </c>
      <c r="B441" s="68" t="str">
        <f>IF(靴!B83="","",靴!B83)</f>
        <v/>
      </c>
      <c r="C441" s="3" t="str">
        <f>IF(靴!C83="","",靴!C83)</f>
        <v>◇ サイズ E</v>
      </c>
      <c r="D441" s="3" t="str">
        <f>IF(靴!E83="","",靴!E83)</f>
        <v>無</v>
      </c>
      <c r="E441" s="3" t="str">
        <f>IF(靴!AB83="","",靴!AB83)</f>
        <v>ベースS</v>
      </c>
      <c r="F441" s="3" t="str">
        <f>IF(靴!G83="","",靴!G83)</f>
        <v/>
      </c>
      <c r="G441" s="3" t="str">
        <f>IF(靴!H83="","",靴!H83)</f>
        <v/>
      </c>
      <c r="H441" s="3" t="str">
        <f>IF(靴!I83="","",靴!I83)</f>
        <v/>
      </c>
      <c r="I441" s="3" t="str">
        <f>靴!AA83</f>
        <v>/ソール</v>
      </c>
      <c r="J441" s="3" t="str">
        <f>IF(靴!M83="","",靴!M83)</f>
        <v/>
      </c>
      <c r="K441" s="3" t="str">
        <f>IF(靴!N83="","",靴!N83)</f>
        <v>サイズ</v>
      </c>
      <c r="L441" s="69" t="s">
        <v>118</v>
      </c>
      <c r="M441" s="69" t="s">
        <v>19</v>
      </c>
      <c r="N441" s="69" t="s">
        <v>20</v>
      </c>
      <c r="O441" s="69" t="s">
        <v>21</v>
      </c>
      <c r="P441" s="4" t="s">
        <v>3036</v>
      </c>
      <c r="Q441" s="4" t="s">
        <v>3038</v>
      </c>
      <c r="R441" s="71" t="str">
        <f>靴!Z83</f>
        <v>底長：約cm　底甲幅：約cm　ヒール：約cm</v>
      </c>
      <c r="S441" s="69" t="s">
        <v>23</v>
      </c>
      <c r="T441" s="69" t="s">
        <v>22</v>
      </c>
      <c r="U441" s="69" t="s">
        <v>24</v>
      </c>
      <c r="V441" s="69" t="s">
        <v>25</v>
      </c>
      <c r="W441" s="69" t="s">
        <v>26</v>
      </c>
      <c r="X441" s="69" t="s">
        <v>27</v>
      </c>
      <c r="Y441" s="69" t="s">
        <v>28</v>
      </c>
      <c r="Z441" s="69" t="s">
        <v>29</v>
      </c>
      <c r="AA441" s="4"/>
      <c r="AB441" s="4"/>
      <c r="AC441" s="4"/>
      <c r="AD441" s="70"/>
      <c r="AE441" s="70">
        <f>靴!AF83</f>
        <v>0</v>
      </c>
      <c r="AF441" s="70" t="str">
        <f>靴!R83</f>
        <v>通常</v>
      </c>
      <c r="AG441" s="70">
        <v>0</v>
      </c>
      <c r="AH441" s="6">
        <f xml:space="preserve"> 靴!AD82</f>
        <v>0</v>
      </c>
      <c r="AI441">
        <v>1</v>
      </c>
      <c r="AJ441">
        <f>靴!U83</f>
        <v>0</v>
      </c>
    </row>
    <row r="442" spans="1:36" ht="13.5" hidden="1" customHeight="1">
      <c r="A442" s="3" t="str">
        <f>IF(靴!A84="","",靴!A84)</f>
        <v/>
      </c>
      <c r="B442" s="68" t="str">
        <f>IF(靴!B84="","",靴!B84)</f>
        <v/>
      </c>
      <c r="C442" s="3" t="str">
        <f>IF(靴!C84="","",靴!C84)</f>
        <v>◇ サイズ E</v>
      </c>
      <c r="D442" s="3" t="str">
        <f>IF(靴!E84="","",靴!E84)</f>
        <v>無</v>
      </c>
      <c r="E442" s="3" t="str">
        <f>IF(靴!AB84="","",靴!AB84)</f>
        <v>ベースS</v>
      </c>
      <c r="F442" s="3" t="str">
        <f>IF(靴!G84="","",靴!G84)</f>
        <v/>
      </c>
      <c r="G442" s="3" t="str">
        <f>IF(靴!H84="","",靴!H84)</f>
        <v/>
      </c>
      <c r="H442" s="3" t="str">
        <f>IF(靴!I84="","",靴!I84)</f>
        <v/>
      </c>
      <c r="I442" s="3" t="str">
        <f>靴!AA84</f>
        <v>/ソール</v>
      </c>
      <c r="J442" s="3" t="str">
        <f>IF(靴!M84="","",靴!M84)</f>
        <v/>
      </c>
      <c r="K442" s="3" t="str">
        <f>IF(靴!N84="","",靴!N84)</f>
        <v>サイズ</v>
      </c>
      <c r="L442" s="69" t="s">
        <v>123</v>
      </c>
      <c r="M442" s="69" t="s">
        <v>19</v>
      </c>
      <c r="N442" s="69" t="s">
        <v>20</v>
      </c>
      <c r="O442" s="69" t="s">
        <v>21</v>
      </c>
      <c r="P442" s="4" t="s">
        <v>3036</v>
      </c>
      <c r="Q442" s="4" t="s">
        <v>3038</v>
      </c>
      <c r="R442" s="71" t="str">
        <f>靴!Z84</f>
        <v>底長：約cm　底甲幅：約cm　ヒール：約cm</v>
      </c>
      <c r="S442" s="69" t="s">
        <v>23</v>
      </c>
      <c r="T442" s="69" t="s">
        <v>22</v>
      </c>
      <c r="U442" s="69" t="s">
        <v>24</v>
      </c>
      <c r="V442" s="69" t="s">
        <v>25</v>
      </c>
      <c r="W442" s="69" t="s">
        <v>26</v>
      </c>
      <c r="X442" s="69" t="s">
        <v>27</v>
      </c>
      <c r="Y442" s="69" t="s">
        <v>28</v>
      </c>
      <c r="Z442" s="69" t="s">
        <v>29</v>
      </c>
      <c r="AA442" s="4"/>
      <c r="AB442" s="4"/>
      <c r="AC442" s="4"/>
      <c r="AD442" s="70"/>
      <c r="AE442" s="70">
        <f>靴!AF84</f>
        <v>0</v>
      </c>
      <c r="AF442" s="70" t="str">
        <f>靴!R84</f>
        <v>通常</v>
      </c>
      <c r="AG442" s="70">
        <v>0</v>
      </c>
      <c r="AH442" s="6">
        <f xml:space="preserve"> 靴!AD83</f>
        <v>0</v>
      </c>
      <c r="AI442">
        <v>1</v>
      </c>
      <c r="AJ442">
        <f>靴!U84</f>
        <v>0</v>
      </c>
    </row>
    <row r="443" spans="1:36" ht="13.5" hidden="1" customHeight="1">
      <c r="A443" s="3" t="str">
        <f>IF(靴!A85="","",靴!A85)</f>
        <v/>
      </c>
      <c r="B443" s="68" t="str">
        <f>IF(靴!B85="","",靴!B85)</f>
        <v/>
      </c>
      <c r="C443" s="3" t="str">
        <f>IF(靴!C85="","",靴!C85)</f>
        <v>◇ サイズ E</v>
      </c>
      <c r="D443" s="3" t="str">
        <f>IF(靴!E85="","",靴!E85)</f>
        <v>無</v>
      </c>
      <c r="E443" s="3" t="str">
        <f>IF(靴!AB85="","",靴!AB85)</f>
        <v>ベースS</v>
      </c>
      <c r="F443" s="3" t="str">
        <f>IF(靴!G85="","",靴!G85)</f>
        <v/>
      </c>
      <c r="G443" s="3" t="str">
        <f>IF(靴!H85="","",靴!H85)</f>
        <v/>
      </c>
      <c r="H443" s="3" t="str">
        <f>IF(靴!I85="","",靴!I85)</f>
        <v/>
      </c>
      <c r="I443" s="3" t="str">
        <f>靴!AA85</f>
        <v>/ソール</v>
      </c>
      <c r="J443" s="3" t="str">
        <f>IF(靴!M85="","",靴!M85)</f>
        <v/>
      </c>
      <c r="K443" s="3" t="str">
        <f>IF(靴!N85="","",靴!N85)</f>
        <v>サイズ</v>
      </c>
      <c r="L443" s="69" t="s">
        <v>118</v>
      </c>
      <c r="M443" s="69" t="s">
        <v>19</v>
      </c>
      <c r="N443" s="69" t="s">
        <v>20</v>
      </c>
      <c r="O443" s="69" t="s">
        <v>21</v>
      </c>
      <c r="P443" s="4" t="s">
        <v>3036</v>
      </c>
      <c r="Q443" s="4" t="s">
        <v>3038</v>
      </c>
      <c r="R443" s="71" t="str">
        <f>靴!Z85</f>
        <v>底長：約cm　底甲幅：約cm　ヒール：約cm</v>
      </c>
      <c r="S443" s="69" t="s">
        <v>23</v>
      </c>
      <c r="T443" s="69" t="s">
        <v>22</v>
      </c>
      <c r="U443" s="69" t="s">
        <v>24</v>
      </c>
      <c r="V443" s="69" t="s">
        <v>25</v>
      </c>
      <c r="W443" s="69" t="s">
        <v>26</v>
      </c>
      <c r="X443" s="69" t="s">
        <v>27</v>
      </c>
      <c r="Y443" s="69" t="s">
        <v>28</v>
      </c>
      <c r="Z443" s="69" t="s">
        <v>29</v>
      </c>
      <c r="AA443" s="4"/>
      <c r="AB443" s="4"/>
      <c r="AC443" s="4"/>
      <c r="AD443" s="70"/>
      <c r="AE443" s="70">
        <f>靴!AF85</f>
        <v>0</v>
      </c>
      <c r="AF443" s="70" t="str">
        <f>靴!R85</f>
        <v>通常</v>
      </c>
      <c r="AG443" s="70">
        <v>0</v>
      </c>
      <c r="AH443" s="6">
        <f xml:space="preserve"> 靴!AD84</f>
        <v>0</v>
      </c>
      <c r="AI443">
        <v>1</v>
      </c>
      <c r="AJ443">
        <f>靴!U85</f>
        <v>0</v>
      </c>
    </row>
    <row r="444" spans="1:36" ht="13.5" hidden="1" customHeight="1">
      <c r="A444" s="3" t="str">
        <f>IF(靴!A86="","",靴!A86)</f>
        <v/>
      </c>
      <c r="B444" s="68" t="str">
        <f>IF(靴!B86="","",靴!B86)</f>
        <v/>
      </c>
      <c r="C444" s="3" t="str">
        <f>IF(靴!C86="","",靴!C86)</f>
        <v>◇ サイズ E</v>
      </c>
      <c r="D444" s="3" t="str">
        <f>IF(靴!E86="","",靴!E86)</f>
        <v>無</v>
      </c>
      <c r="E444" s="3" t="str">
        <f>IF(靴!AB86="","",靴!AB86)</f>
        <v>ベースS</v>
      </c>
      <c r="F444" s="3" t="str">
        <f>IF(靴!G86="","",靴!G86)</f>
        <v/>
      </c>
      <c r="G444" s="3" t="str">
        <f>IF(靴!H86="","",靴!H86)</f>
        <v/>
      </c>
      <c r="H444" s="3" t="str">
        <f>IF(靴!I86="","",靴!I86)</f>
        <v/>
      </c>
      <c r="I444" s="3" t="str">
        <f>靴!AA86</f>
        <v>/ソール</v>
      </c>
      <c r="J444" s="3" t="str">
        <f>IF(靴!M86="","",靴!M86)</f>
        <v/>
      </c>
      <c r="K444" s="3" t="str">
        <f>IF(靴!N86="","",靴!N86)</f>
        <v>サイズ</v>
      </c>
      <c r="L444" s="69" t="s">
        <v>123</v>
      </c>
      <c r="M444" s="69" t="s">
        <v>19</v>
      </c>
      <c r="N444" s="69" t="s">
        <v>20</v>
      </c>
      <c r="O444" s="69" t="s">
        <v>21</v>
      </c>
      <c r="P444" s="4" t="s">
        <v>3036</v>
      </c>
      <c r="Q444" s="4" t="s">
        <v>3038</v>
      </c>
      <c r="R444" s="71" t="str">
        <f>靴!Z86</f>
        <v>底長：約cm　底甲幅：約cm　ヒール：約cm</v>
      </c>
      <c r="S444" s="69" t="s">
        <v>23</v>
      </c>
      <c r="T444" s="69" t="s">
        <v>22</v>
      </c>
      <c r="U444" s="69" t="s">
        <v>24</v>
      </c>
      <c r="V444" s="69" t="s">
        <v>25</v>
      </c>
      <c r="W444" s="69" t="s">
        <v>26</v>
      </c>
      <c r="X444" s="69" t="s">
        <v>27</v>
      </c>
      <c r="Y444" s="69" t="s">
        <v>28</v>
      </c>
      <c r="Z444" s="69" t="s">
        <v>29</v>
      </c>
      <c r="AA444" s="4"/>
      <c r="AB444" s="4"/>
      <c r="AC444" s="4"/>
      <c r="AD444" s="70"/>
      <c r="AE444" s="70">
        <f>靴!AF86</f>
        <v>0</v>
      </c>
      <c r="AF444" s="70" t="str">
        <f>靴!R86</f>
        <v>通常</v>
      </c>
      <c r="AG444" s="70">
        <v>0</v>
      </c>
      <c r="AH444" s="6">
        <f xml:space="preserve"> 靴!AD85</f>
        <v>0</v>
      </c>
      <c r="AI444">
        <v>1</v>
      </c>
      <c r="AJ444">
        <f>靴!U86</f>
        <v>0</v>
      </c>
    </row>
    <row r="445" spans="1:36" ht="13.5" hidden="1" customHeight="1">
      <c r="A445" s="3" t="str">
        <f>IF(靴!A87="","",靴!A87)</f>
        <v/>
      </c>
      <c r="B445" s="68" t="str">
        <f>IF(靴!B87="","",靴!B87)</f>
        <v/>
      </c>
      <c r="C445" s="3" t="str">
        <f>IF(靴!C87="","",靴!C87)</f>
        <v>◇ サイズ E</v>
      </c>
      <c r="D445" s="3" t="str">
        <f>IF(靴!E87="","",靴!E87)</f>
        <v>無</v>
      </c>
      <c r="E445" s="3" t="str">
        <f>IF(靴!AB87="","",靴!AB87)</f>
        <v>ベースS</v>
      </c>
      <c r="F445" s="3" t="str">
        <f>IF(靴!G87="","",靴!G87)</f>
        <v/>
      </c>
      <c r="G445" s="3" t="str">
        <f>IF(靴!H87="","",靴!H87)</f>
        <v/>
      </c>
      <c r="H445" s="3" t="str">
        <f>IF(靴!I87="","",靴!I87)</f>
        <v/>
      </c>
      <c r="I445" s="3" t="str">
        <f>靴!AA87</f>
        <v>/ソール</v>
      </c>
      <c r="J445" s="3" t="str">
        <f>IF(靴!M87="","",靴!M87)</f>
        <v/>
      </c>
      <c r="K445" s="3" t="str">
        <f>IF(靴!N87="","",靴!N87)</f>
        <v>サイズ</v>
      </c>
      <c r="L445" s="69" t="s">
        <v>80</v>
      </c>
      <c r="M445" s="69" t="s">
        <v>19</v>
      </c>
      <c r="N445" s="69" t="s">
        <v>20</v>
      </c>
      <c r="O445" s="69" t="s">
        <v>21</v>
      </c>
      <c r="P445" s="4" t="s">
        <v>3036</v>
      </c>
      <c r="Q445" s="4" t="s">
        <v>3038</v>
      </c>
      <c r="R445" s="71" t="str">
        <f>靴!Z87</f>
        <v>底長：約cm　底甲幅：約cm　ヒール：約cm</v>
      </c>
      <c r="S445" s="69" t="s">
        <v>23</v>
      </c>
      <c r="T445" s="69" t="s">
        <v>22</v>
      </c>
      <c r="U445" s="69" t="s">
        <v>24</v>
      </c>
      <c r="V445" s="69" t="s">
        <v>25</v>
      </c>
      <c r="W445" s="69" t="s">
        <v>26</v>
      </c>
      <c r="X445" s="69" t="s">
        <v>27</v>
      </c>
      <c r="Y445" s="69" t="s">
        <v>28</v>
      </c>
      <c r="Z445" s="69" t="s">
        <v>29</v>
      </c>
      <c r="AA445" s="4"/>
      <c r="AB445" s="4"/>
      <c r="AC445" s="4"/>
      <c r="AD445" s="70"/>
      <c r="AE445" s="70">
        <f>靴!AF87</f>
        <v>0</v>
      </c>
      <c r="AF445" s="70" t="str">
        <f>靴!R87</f>
        <v>通常</v>
      </c>
      <c r="AG445" s="70">
        <v>0</v>
      </c>
      <c r="AH445" s="6">
        <f xml:space="preserve"> 靴!AD86</f>
        <v>0</v>
      </c>
      <c r="AI445">
        <v>1</v>
      </c>
      <c r="AJ445">
        <f>靴!U87</f>
        <v>0</v>
      </c>
    </row>
    <row r="446" spans="1:36" ht="13.5" hidden="1" customHeight="1">
      <c r="A446" s="3" t="str">
        <f>IF(靴!A88="","",靴!A88)</f>
        <v/>
      </c>
      <c r="B446" s="68" t="str">
        <f>IF(靴!B88="","",靴!B88)</f>
        <v/>
      </c>
      <c r="C446" s="3" t="str">
        <f>IF(靴!C88="","",靴!C88)</f>
        <v>◇ サイズ E</v>
      </c>
      <c r="D446" s="3" t="str">
        <f>IF(靴!E88="","",靴!E88)</f>
        <v>無</v>
      </c>
      <c r="E446" s="3" t="str">
        <f>IF(靴!AB88="","",靴!AB88)</f>
        <v>ベースS</v>
      </c>
      <c r="F446" s="3" t="str">
        <f>IF(靴!G88="","",靴!G88)</f>
        <v/>
      </c>
      <c r="G446" s="3" t="str">
        <f>IF(靴!H88="","",靴!H88)</f>
        <v/>
      </c>
      <c r="H446" s="3" t="str">
        <f>IF(靴!I88="","",靴!I88)</f>
        <v/>
      </c>
      <c r="I446" s="3" t="str">
        <f>靴!AA88</f>
        <v>/ソール</v>
      </c>
      <c r="J446" s="3" t="str">
        <f>IF(靴!M88="","",靴!M88)</f>
        <v/>
      </c>
      <c r="K446" s="3" t="str">
        <f>IF(靴!N88="","",靴!N88)</f>
        <v>サイズ</v>
      </c>
      <c r="L446" s="69" t="s">
        <v>121</v>
      </c>
      <c r="M446" s="69" t="s">
        <v>19</v>
      </c>
      <c r="N446" s="69" t="s">
        <v>20</v>
      </c>
      <c r="O446" s="69" t="s">
        <v>21</v>
      </c>
      <c r="P446" s="4" t="s">
        <v>3036</v>
      </c>
      <c r="Q446" s="4" t="s">
        <v>3038</v>
      </c>
      <c r="R446" s="71" t="str">
        <f>靴!Z88</f>
        <v>底長：約cm　底甲幅：約cm　ヒール：約cm</v>
      </c>
      <c r="S446" s="69" t="s">
        <v>23</v>
      </c>
      <c r="T446" s="69" t="s">
        <v>22</v>
      </c>
      <c r="U446" s="69" t="s">
        <v>24</v>
      </c>
      <c r="V446" s="69" t="s">
        <v>25</v>
      </c>
      <c r="W446" s="69" t="s">
        <v>26</v>
      </c>
      <c r="X446" s="69" t="s">
        <v>27</v>
      </c>
      <c r="Y446" s="69" t="s">
        <v>28</v>
      </c>
      <c r="Z446" s="69" t="s">
        <v>29</v>
      </c>
      <c r="AA446" s="4"/>
      <c r="AB446" s="4"/>
      <c r="AC446" s="4"/>
      <c r="AD446" s="70"/>
      <c r="AE446" s="70">
        <f>靴!AF88</f>
        <v>0</v>
      </c>
      <c r="AF446" s="70" t="str">
        <f>靴!R88</f>
        <v>通常</v>
      </c>
      <c r="AG446" s="70">
        <v>0</v>
      </c>
      <c r="AH446" s="6">
        <f xml:space="preserve"> 靴!AD87</f>
        <v>0</v>
      </c>
      <c r="AI446">
        <v>1</v>
      </c>
      <c r="AJ446">
        <f>靴!U88</f>
        <v>0</v>
      </c>
    </row>
    <row r="447" spans="1:36" ht="13.5" hidden="1" customHeight="1">
      <c r="A447" s="3" t="str">
        <f>IF(靴!A89="","",靴!A89)</f>
        <v/>
      </c>
      <c r="B447" s="68" t="str">
        <f>IF(靴!B89="","",靴!B89)</f>
        <v/>
      </c>
      <c r="C447" s="3" t="str">
        <f>IF(靴!C89="","",靴!C89)</f>
        <v>◇ サイズ E</v>
      </c>
      <c r="D447" s="3" t="str">
        <f>IF(靴!E89="","",靴!E89)</f>
        <v>無</v>
      </c>
      <c r="E447" s="3" t="str">
        <f>IF(靴!AB89="","",靴!AB89)</f>
        <v>ベースS</v>
      </c>
      <c r="F447" s="3" t="str">
        <f>IF(靴!G89="","",靴!G89)</f>
        <v/>
      </c>
      <c r="G447" s="3" t="str">
        <f>IF(靴!H89="","",靴!H89)</f>
        <v/>
      </c>
      <c r="H447" s="3" t="str">
        <f>IF(靴!I89="","",靴!I89)</f>
        <v/>
      </c>
      <c r="I447" s="3" t="str">
        <f>靴!AA89</f>
        <v>/ソール</v>
      </c>
      <c r="J447" s="3" t="str">
        <f>IF(靴!M89="","",靴!M89)</f>
        <v/>
      </c>
      <c r="K447" s="3" t="str">
        <f>IF(靴!N89="","",靴!N89)</f>
        <v>サイズ</v>
      </c>
      <c r="L447" s="69" t="s">
        <v>80</v>
      </c>
      <c r="M447" s="69" t="s">
        <v>19</v>
      </c>
      <c r="N447" s="69" t="s">
        <v>20</v>
      </c>
      <c r="O447" s="69" t="s">
        <v>21</v>
      </c>
      <c r="P447" s="4" t="s">
        <v>3036</v>
      </c>
      <c r="Q447" s="4" t="s">
        <v>3038</v>
      </c>
      <c r="R447" s="71" t="str">
        <f>靴!Z89</f>
        <v>底長：約cm　底甲幅：約cm　ヒール：約cm</v>
      </c>
      <c r="S447" s="69" t="s">
        <v>23</v>
      </c>
      <c r="T447" s="69" t="s">
        <v>22</v>
      </c>
      <c r="U447" s="69" t="s">
        <v>24</v>
      </c>
      <c r="V447" s="69" t="s">
        <v>25</v>
      </c>
      <c r="W447" s="69" t="s">
        <v>26</v>
      </c>
      <c r="X447" s="69" t="s">
        <v>27</v>
      </c>
      <c r="Y447" s="69" t="s">
        <v>28</v>
      </c>
      <c r="Z447" s="69" t="s">
        <v>29</v>
      </c>
      <c r="AA447" s="4"/>
      <c r="AB447" s="4"/>
      <c r="AC447" s="4"/>
      <c r="AD447" s="70"/>
      <c r="AE447" s="70">
        <f>靴!AF89</f>
        <v>0</v>
      </c>
      <c r="AF447" s="70" t="str">
        <f>靴!R89</f>
        <v>通常</v>
      </c>
      <c r="AG447" s="70">
        <v>0</v>
      </c>
      <c r="AH447" s="6">
        <f xml:space="preserve"> 靴!AD88</f>
        <v>0</v>
      </c>
      <c r="AI447">
        <v>1</v>
      </c>
      <c r="AJ447">
        <f>靴!U89</f>
        <v>0</v>
      </c>
    </row>
    <row r="448" spans="1:36" ht="13.5" hidden="1" customHeight="1">
      <c r="A448" s="3" t="str">
        <f>IF(靴!A90="","",靴!A90)</f>
        <v/>
      </c>
      <c r="B448" s="68" t="str">
        <f>IF(靴!B90="","",靴!B90)</f>
        <v/>
      </c>
      <c r="C448" s="3" t="str">
        <f>IF(靴!C90="","",靴!C90)</f>
        <v>◇ サイズ E</v>
      </c>
      <c r="D448" s="3" t="str">
        <f>IF(靴!E90="","",靴!E90)</f>
        <v>無</v>
      </c>
      <c r="E448" s="3" t="str">
        <f>IF(靴!AB90="","",靴!AB90)</f>
        <v>ベースS</v>
      </c>
      <c r="F448" s="3" t="str">
        <f>IF(靴!G90="","",靴!G90)</f>
        <v/>
      </c>
      <c r="G448" s="3" t="str">
        <f>IF(靴!H90="","",靴!H90)</f>
        <v/>
      </c>
      <c r="H448" s="3" t="str">
        <f>IF(靴!I90="","",靴!I90)</f>
        <v/>
      </c>
      <c r="I448" s="3" t="str">
        <f>靴!AA90</f>
        <v>/ソール</v>
      </c>
      <c r="J448" s="3" t="str">
        <f>IF(靴!M90="","",靴!M90)</f>
        <v/>
      </c>
      <c r="K448" s="3" t="str">
        <f>IF(靴!N90="","",靴!N90)</f>
        <v>サイズ</v>
      </c>
      <c r="L448" s="69" t="s">
        <v>80</v>
      </c>
      <c r="M448" s="69" t="s">
        <v>19</v>
      </c>
      <c r="N448" s="69" t="s">
        <v>20</v>
      </c>
      <c r="O448" s="69" t="s">
        <v>21</v>
      </c>
      <c r="P448" s="4" t="s">
        <v>3036</v>
      </c>
      <c r="Q448" s="4" t="s">
        <v>3038</v>
      </c>
      <c r="R448" s="71" t="str">
        <f>靴!Z90</f>
        <v>底長：約cm　底甲幅：約cm　ヒール：約cm</v>
      </c>
      <c r="S448" s="69" t="s">
        <v>23</v>
      </c>
      <c r="T448" s="69" t="s">
        <v>22</v>
      </c>
      <c r="U448" s="69" t="s">
        <v>24</v>
      </c>
      <c r="V448" s="69" t="s">
        <v>25</v>
      </c>
      <c r="W448" s="69" t="s">
        <v>26</v>
      </c>
      <c r="X448" s="69" t="s">
        <v>27</v>
      </c>
      <c r="Y448" s="69" t="s">
        <v>28</v>
      </c>
      <c r="Z448" s="69" t="s">
        <v>29</v>
      </c>
      <c r="AA448" s="4"/>
      <c r="AB448" s="4"/>
      <c r="AC448" s="4"/>
      <c r="AD448" s="70"/>
      <c r="AE448" s="70">
        <f>靴!AF90</f>
        <v>0</v>
      </c>
      <c r="AF448" s="70" t="str">
        <f>靴!R90</f>
        <v>通常</v>
      </c>
      <c r="AG448" s="70">
        <v>0</v>
      </c>
      <c r="AH448" s="6">
        <f xml:space="preserve"> 靴!AD89</f>
        <v>0</v>
      </c>
      <c r="AI448">
        <v>1</v>
      </c>
      <c r="AJ448">
        <f>靴!U90</f>
        <v>0</v>
      </c>
    </row>
    <row r="449" spans="1:36" ht="13.5" hidden="1" customHeight="1">
      <c r="A449" s="3" t="str">
        <f>IF(靴!A91="","",靴!A91)</f>
        <v/>
      </c>
      <c r="B449" s="68" t="str">
        <f>IF(靴!B91="","",靴!B91)</f>
        <v/>
      </c>
      <c r="C449" s="3" t="str">
        <f>IF(靴!C91="","",靴!C91)</f>
        <v>◇ サイズ E</v>
      </c>
      <c r="D449" s="3" t="str">
        <f>IF(靴!E91="","",靴!E91)</f>
        <v>無</v>
      </c>
      <c r="E449" s="3" t="str">
        <f>IF(靴!AB91="","",靴!AB91)</f>
        <v>ベースS</v>
      </c>
      <c r="F449" s="3" t="str">
        <f>IF(靴!G91="","",靴!G91)</f>
        <v/>
      </c>
      <c r="G449" s="3" t="str">
        <f>IF(靴!H91="","",靴!H91)</f>
        <v/>
      </c>
      <c r="H449" s="3" t="str">
        <f>IF(靴!I91="","",靴!I91)</f>
        <v/>
      </c>
      <c r="I449" s="3" t="str">
        <f>靴!AA91</f>
        <v>/ソール</v>
      </c>
      <c r="J449" s="3" t="str">
        <f>IF(靴!M91="","",靴!M91)</f>
        <v/>
      </c>
      <c r="K449" s="3" t="str">
        <f>IF(靴!N91="","",靴!N91)</f>
        <v>サイズ</v>
      </c>
      <c r="L449" s="69" t="s">
        <v>80</v>
      </c>
      <c r="M449" s="69" t="s">
        <v>19</v>
      </c>
      <c r="N449" s="69" t="s">
        <v>20</v>
      </c>
      <c r="O449" s="69" t="s">
        <v>21</v>
      </c>
      <c r="P449" s="4" t="s">
        <v>3036</v>
      </c>
      <c r="Q449" s="4" t="s">
        <v>3038</v>
      </c>
      <c r="R449" s="71" t="str">
        <f>靴!Z91</f>
        <v>底長：約cm　底甲幅：約cm　ヒール：約cm</v>
      </c>
      <c r="S449" s="69" t="s">
        <v>23</v>
      </c>
      <c r="T449" s="69" t="s">
        <v>22</v>
      </c>
      <c r="U449" s="69" t="s">
        <v>24</v>
      </c>
      <c r="V449" s="69" t="s">
        <v>25</v>
      </c>
      <c r="W449" s="69" t="s">
        <v>26</v>
      </c>
      <c r="X449" s="69" t="s">
        <v>27</v>
      </c>
      <c r="Y449" s="69" t="s">
        <v>28</v>
      </c>
      <c r="Z449" s="69" t="s">
        <v>29</v>
      </c>
      <c r="AA449" s="4"/>
      <c r="AB449" s="4"/>
      <c r="AC449" s="4"/>
      <c r="AD449" s="70"/>
      <c r="AE449" s="70">
        <f>靴!AF91</f>
        <v>0</v>
      </c>
      <c r="AF449" s="70" t="str">
        <f>靴!R91</f>
        <v>通常</v>
      </c>
      <c r="AG449" s="70">
        <v>0</v>
      </c>
      <c r="AH449" s="6">
        <f xml:space="preserve"> 靴!AD90</f>
        <v>0</v>
      </c>
      <c r="AI449">
        <v>1</v>
      </c>
      <c r="AJ449">
        <f>靴!U91</f>
        <v>0</v>
      </c>
    </row>
    <row r="450" spans="1:36" ht="13.5" hidden="1" customHeight="1">
      <c r="A450" s="3" t="str">
        <f>IF(靴!A92="","",靴!A92)</f>
        <v/>
      </c>
      <c r="B450" s="68" t="str">
        <f>IF(靴!B92="","",靴!B92)</f>
        <v/>
      </c>
      <c r="C450" s="3" t="str">
        <f>IF(靴!C92="","",靴!C92)</f>
        <v>◇ サイズ E</v>
      </c>
      <c r="D450" s="3" t="str">
        <f>IF(靴!E92="","",靴!E92)</f>
        <v>無</v>
      </c>
      <c r="E450" s="3" t="str">
        <f>IF(靴!AB92="","",靴!AB92)</f>
        <v>ベースS</v>
      </c>
      <c r="F450" s="3" t="str">
        <f>IF(靴!G92="","",靴!G92)</f>
        <v/>
      </c>
      <c r="G450" s="3" t="str">
        <f>IF(靴!H92="","",靴!H92)</f>
        <v/>
      </c>
      <c r="H450" s="3" t="str">
        <f>IF(靴!I92="","",靴!I92)</f>
        <v/>
      </c>
      <c r="I450" s="3" t="str">
        <f>靴!AA92</f>
        <v>/ソール</v>
      </c>
      <c r="J450" s="3" t="str">
        <f>IF(靴!M92="","",靴!M92)</f>
        <v/>
      </c>
      <c r="K450" s="3" t="str">
        <f>IF(靴!N92="","",靴!N92)</f>
        <v>サイズ</v>
      </c>
      <c r="L450" s="69" t="s">
        <v>80</v>
      </c>
      <c r="M450" s="69" t="s">
        <v>19</v>
      </c>
      <c r="N450" s="69" t="s">
        <v>20</v>
      </c>
      <c r="O450" s="69" t="s">
        <v>21</v>
      </c>
      <c r="P450" s="4" t="s">
        <v>3036</v>
      </c>
      <c r="Q450" s="4" t="s">
        <v>3038</v>
      </c>
      <c r="R450" s="71" t="str">
        <f>靴!Z92</f>
        <v>底長：約cm　底甲幅：約cm　ヒール：約cm</v>
      </c>
      <c r="S450" s="69" t="s">
        <v>23</v>
      </c>
      <c r="T450" s="69" t="s">
        <v>22</v>
      </c>
      <c r="U450" s="69" t="s">
        <v>24</v>
      </c>
      <c r="V450" s="69" t="s">
        <v>25</v>
      </c>
      <c r="W450" s="69" t="s">
        <v>26</v>
      </c>
      <c r="X450" s="69" t="s">
        <v>27</v>
      </c>
      <c r="Y450" s="69" t="s">
        <v>28</v>
      </c>
      <c r="Z450" s="69" t="s">
        <v>29</v>
      </c>
      <c r="AA450" s="4"/>
      <c r="AB450" s="4"/>
      <c r="AC450" s="4"/>
      <c r="AD450" s="70"/>
      <c r="AE450" s="70">
        <f>靴!AF92</f>
        <v>0</v>
      </c>
      <c r="AF450" s="70" t="str">
        <f>靴!R92</f>
        <v>通常</v>
      </c>
      <c r="AG450" s="70">
        <v>0</v>
      </c>
      <c r="AH450" s="6">
        <f xml:space="preserve"> 靴!AD91</f>
        <v>0</v>
      </c>
      <c r="AI450">
        <v>1</v>
      </c>
      <c r="AJ450">
        <f>靴!U92</f>
        <v>0</v>
      </c>
    </row>
    <row r="451" spans="1:36" ht="13.5" hidden="1" customHeight="1">
      <c r="A451" s="3" t="str">
        <f>IF(靴!A93="","",靴!A93)</f>
        <v/>
      </c>
      <c r="B451" s="68" t="str">
        <f>IF(靴!B93="","",靴!B93)</f>
        <v/>
      </c>
      <c r="C451" s="3" t="str">
        <f>IF(靴!C93="","",靴!C93)</f>
        <v>◇ サイズ E</v>
      </c>
      <c r="D451" s="3" t="str">
        <f>IF(靴!E93="","",靴!E93)</f>
        <v>無</v>
      </c>
      <c r="E451" s="3" t="str">
        <f>IF(靴!AB93="","",靴!AB93)</f>
        <v>ベースS</v>
      </c>
      <c r="F451" s="3" t="str">
        <f>IF(靴!G93="","",靴!G93)</f>
        <v/>
      </c>
      <c r="G451" s="3" t="str">
        <f>IF(靴!H93="","",靴!H93)</f>
        <v/>
      </c>
      <c r="H451" s="3" t="str">
        <f>IF(靴!I93="","",靴!I93)</f>
        <v/>
      </c>
      <c r="I451" s="3" t="str">
        <f>靴!AA93</f>
        <v>/ソール</v>
      </c>
      <c r="J451" s="3" t="str">
        <f>IF(靴!M93="","",靴!M93)</f>
        <v/>
      </c>
      <c r="K451" s="3" t="str">
        <f>IF(靴!N93="","",靴!N93)</f>
        <v>サイズ</v>
      </c>
      <c r="L451" s="69" t="s">
        <v>80</v>
      </c>
      <c r="M451" s="69" t="s">
        <v>19</v>
      </c>
      <c r="N451" s="69" t="s">
        <v>20</v>
      </c>
      <c r="O451" s="69" t="s">
        <v>21</v>
      </c>
      <c r="P451" s="4" t="s">
        <v>3036</v>
      </c>
      <c r="Q451" s="4" t="s">
        <v>3038</v>
      </c>
      <c r="R451" s="71" t="str">
        <f>靴!Z93</f>
        <v>底長：約cm　底甲幅：約cm　ヒール：約cm</v>
      </c>
      <c r="S451" s="69" t="s">
        <v>23</v>
      </c>
      <c r="T451" s="69" t="s">
        <v>22</v>
      </c>
      <c r="U451" s="69" t="s">
        <v>24</v>
      </c>
      <c r="V451" s="69" t="s">
        <v>25</v>
      </c>
      <c r="W451" s="69" t="s">
        <v>26</v>
      </c>
      <c r="X451" s="69" t="s">
        <v>27</v>
      </c>
      <c r="Y451" s="69" t="s">
        <v>28</v>
      </c>
      <c r="Z451" s="69" t="s">
        <v>29</v>
      </c>
      <c r="AA451" s="4"/>
      <c r="AB451" s="4"/>
      <c r="AC451" s="4"/>
      <c r="AD451" s="70"/>
      <c r="AE451" s="70">
        <f>靴!AF93</f>
        <v>0</v>
      </c>
      <c r="AF451" s="70" t="str">
        <f>靴!R93</f>
        <v>通常</v>
      </c>
      <c r="AG451" s="70">
        <v>0</v>
      </c>
      <c r="AH451" s="6">
        <f xml:space="preserve"> 靴!AD92</f>
        <v>0</v>
      </c>
      <c r="AI451">
        <v>1</v>
      </c>
      <c r="AJ451">
        <f>靴!U93</f>
        <v>0</v>
      </c>
    </row>
    <row r="452" spans="1:36" ht="13.5" hidden="1" customHeight="1">
      <c r="A452" s="3" t="str">
        <f>IF(靴!A94="","",靴!A94)</f>
        <v/>
      </c>
      <c r="B452" s="68" t="str">
        <f>IF(靴!B94="","",靴!B94)</f>
        <v/>
      </c>
      <c r="C452" s="3" t="str">
        <f>IF(靴!C94="","",靴!C94)</f>
        <v>◇ サイズ E</v>
      </c>
      <c r="D452" s="3" t="str">
        <f>IF(靴!E94="","",靴!E94)</f>
        <v>無</v>
      </c>
      <c r="E452" s="3" t="str">
        <f>IF(靴!AB94="","",靴!AB94)</f>
        <v>ベースS</v>
      </c>
      <c r="F452" s="3" t="str">
        <f>IF(靴!G94="","",靴!G94)</f>
        <v/>
      </c>
      <c r="G452" s="3" t="str">
        <f>IF(靴!H94="","",靴!H94)</f>
        <v/>
      </c>
      <c r="H452" s="3" t="str">
        <f>IF(靴!I94="","",靴!I94)</f>
        <v/>
      </c>
      <c r="I452" s="3" t="str">
        <f>靴!AA94</f>
        <v>/ソール</v>
      </c>
      <c r="J452" s="3" t="str">
        <f>IF(靴!M94="","",靴!M94)</f>
        <v/>
      </c>
      <c r="K452" s="3" t="str">
        <f>IF(靴!N94="","",靴!N94)</f>
        <v>サイズ</v>
      </c>
      <c r="L452" s="69" t="s">
        <v>80</v>
      </c>
      <c r="M452" s="69" t="s">
        <v>19</v>
      </c>
      <c r="N452" s="69" t="s">
        <v>20</v>
      </c>
      <c r="O452" s="69" t="s">
        <v>21</v>
      </c>
      <c r="P452" s="4" t="s">
        <v>3036</v>
      </c>
      <c r="Q452" s="4" t="s">
        <v>3038</v>
      </c>
      <c r="R452" s="71" t="str">
        <f>靴!Z94</f>
        <v>底長：約cm　底甲幅：約cm　ヒール：約cm</v>
      </c>
      <c r="S452" s="69" t="s">
        <v>23</v>
      </c>
      <c r="T452" s="69" t="s">
        <v>22</v>
      </c>
      <c r="U452" s="69" t="s">
        <v>24</v>
      </c>
      <c r="V452" s="69" t="s">
        <v>25</v>
      </c>
      <c r="W452" s="69" t="s">
        <v>26</v>
      </c>
      <c r="X452" s="69" t="s">
        <v>27</v>
      </c>
      <c r="Y452" s="69" t="s">
        <v>28</v>
      </c>
      <c r="Z452" s="69" t="s">
        <v>29</v>
      </c>
      <c r="AA452" s="4"/>
      <c r="AB452" s="4"/>
      <c r="AC452" s="4"/>
      <c r="AD452" s="70"/>
      <c r="AE452" s="70">
        <f>靴!AF94</f>
        <v>0</v>
      </c>
      <c r="AF452" s="70" t="str">
        <f>靴!R94</f>
        <v>通常</v>
      </c>
      <c r="AG452" s="70">
        <v>0</v>
      </c>
      <c r="AH452" s="6">
        <f xml:space="preserve"> 靴!AD93</f>
        <v>0</v>
      </c>
      <c r="AI452">
        <v>1</v>
      </c>
      <c r="AJ452">
        <f>靴!U94</f>
        <v>0</v>
      </c>
    </row>
    <row r="453" spans="1:36" ht="13.5" hidden="1" customHeight="1">
      <c r="A453" s="3" t="str">
        <f>IF(靴!A95="","",靴!A95)</f>
        <v/>
      </c>
      <c r="B453" s="68" t="str">
        <f>IF(靴!B95="","",靴!B95)</f>
        <v/>
      </c>
      <c r="C453" s="3" t="str">
        <f>IF(靴!C95="","",靴!C95)</f>
        <v>◇ サイズ E</v>
      </c>
      <c r="D453" s="3" t="str">
        <f>IF(靴!E95="","",靴!E95)</f>
        <v>無</v>
      </c>
      <c r="E453" s="3" t="str">
        <f>IF(靴!AB95="","",靴!AB95)</f>
        <v>ベースS</v>
      </c>
      <c r="F453" s="3" t="str">
        <f>IF(靴!G95="","",靴!G95)</f>
        <v/>
      </c>
      <c r="G453" s="3" t="str">
        <f>IF(靴!H95="","",靴!H95)</f>
        <v/>
      </c>
      <c r="H453" s="3" t="str">
        <f>IF(靴!I95="","",靴!I95)</f>
        <v/>
      </c>
      <c r="I453" s="3" t="str">
        <f>靴!AA95</f>
        <v>/ソール</v>
      </c>
      <c r="J453" s="3" t="str">
        <f>IF(靴!M95="","",靴!M95)</f>
        <v/>
      </c>
      <c r="K453" s="3" t="str">
        <f>IF(靴!N95="","",靴!N95)</f>
        <v>サイズ</v>
      </c>
      <c r="L453" s="69" t="s">
        <v>80</v>
      </c>
      <c r="M453" s="69" t="s">
        <v>19</v>
      </c>
      <c r="N453" s="69" t="s">
        <v>20</v>
      </c>
      <c r="O453" s="69" t="s">
        <v>21</v>
      </c>
      <c r="P453" s="4" t="s">
        <v>3036</v>
      </c>
      <c r="Q453" s="4" t="s">
        <v>3038</v>
      </c>
      <c r="R453" s="71" t="str">
        <f>靴!Z95</f>
        <v>底長：約cm　底甲幅：約cm　ヒール：約cm</v>
      </c>
      <c r="S453" s="69" t="s">
        <v>23</v>
      </c>
      <c r="T453" s="69" t="s">
        <v>22</v>
      </c>
      <c r="U453" s="69" t="s">
        <v>24</v>
      </c>
      <c r="V453" s="69" t="s">
        <v>25</v>
      </c>
      <c r="W453" s="69" t="s">
        <v>26</v>
      </c>
      <c r="X453" s="69" t="s">
        <v>27</v>
      </c>
      <c r="Y453" s="69" t="s">
        <v>28</v>
      </c>
      <c r="Z453" s="69" t="s">
        <v>29</v>
      </c>
      <c r="AA453" s="4"/>
      <c r="AB453" s="4"/>
      <c r="AC453" s="4"/>
      <c r="AD453" s="70"/>
      <c r="AE453" s="70">
        <f>靴!AF95</f>
        <v>0</v>
      </c>
      <c r="AF453" s="70" t="str">
        <f>靴!R95</f>
        <v>通常</v>
      </c>
      <c r="AG453" s="70">
        <v>0</v>
      </c>
      <c r="AH453" s="6">
        <f xml:space="preserve"> 靴!AD94</f>
        <v>0</v>
      </c>
      <c r="AI453">
        <v>1</v>
      </c>
      <c r="AJ453">
        <f>靴!U95</f>
        <v>0</v>
      </c>
    </row>
    <row r="454" spans="1:36" ht="13.5" hidden="1" customHeight="1">
      <c r="A454" s="3" t="str">
        <f>IF(靴!A96="","",靴!A96)</f>
        <v/>
      </c>
      <c r="B454" s="68" t="str">
        <f>IF(靴!B96="","",靴!B96)</f>
        <v/>
      </c>
      <c r="C454" s="3" t="str">
        <f>IF(靴!C96="","",靴!C96)</f>
        <v>◇ サイズ E</v>
      </c>
      <c r="D454" s="3" t="str">
        <f>IF(靴!E96="","",靴!E96)</f>
        <v>無</v>
      </c>
      <c r="E454" s="3" t="str">
        <f>IF(靴!AB96="","",靴!AB96)</f>
        <v>ベースS</v>
      </c>
      <c r="F454" s="3" t="str">
        <f>IF(靴!G96="","",靴!G96)</f>
        <v/>
      </c>
      <c r="G454" s="3" t="str">
        <f>IF(靴!H96="","",靴!H96)</f>
        <v/>
      </c>
      <c r="H454" s="3" t="str">
        <f>IF(靴!I96="","",靴!I96)</f>
        <v/>
      </c>
      <c r="I454" s="3" t="str">
        <f>靴!AA96</f>
        <v>/ソール</v>
      </c>
      <c r="J454" s="3" t="str">
        <f>IF(靴!M96="","",靴!M96)</f>
        <v/>
      </c>
      <c r="K454" s="3" t="str">
        <f>IF(靴!N96="","",靴!N96)</f>
        <v>サイズ</v>
      </c>
      <c r="L454" s="69" t="s">
        <v>80</v>
      </c>
      <c r="M454" s="69" t="s">
        <v>19</v>
      </c>
      <c r="N454" s="69" t="s">
        <v>20</v>
      </c>
      <c r="O454" s="69" t="s">
        <v>21</v>
      </c>
      <c r="P454" s="4" t="s">
        <v>3036</v>
      </c>
      <c r="Q454" s="4" t="s">
        <v>3038</v>
      </c>
      <c r="R454" s="71" t="str">
        <f>靴!Z96</f>
        <v>底長：約cm　底甲幅：約cm　ヒール：約cm</v>
      </c>
      <c r="S454" s="69" t="s">
        <v>23</v>
      </c>
      <c r="T454" s="69" t="s">
        <v>22</v>
      </c>
      <c r="U454" s="69" t="s">
        <v>24</v>
      </c>
      <c r="V454" s="69" t="s">
        <v>25</v>
      </c>
      <c r="W454" s="69" t="s">
        <v>26</v>
      </c>
      <c r="X454" s="69" t="s">
        <v>27</v>
      </c>
      <c r="Y454" s="69" t="s">
        <v>28</v>
      </c>
      <c r="Z454" s="69" t="s">
        <v>29</v>
      </c>
      <c r="AA454" s="4"/>
      <c r="AB454" s="4"/>
      <c r="AC454" s="4"/>
      <c r="AD454" s="70"/>
      <c r="AE454" s="70">
        <f>靴!AF96</f>
        <v>0</v>
      </c>
      <c r="AF454" s="70" t="str">
        <f>靴!R96</f>
        <v>通常</v>
      </c>
      <c r="AG454" s="70">
        <v>0</v>
      </c>
      <c r="AH454" s="6">
        <f xml:space="preserve"> 靴!AD95</f>
        <v>0</v>
      </c>
      <c r="AI454">
        <v>1</v>
      </c>
      <c r="AJ454">
        <f>靴!U96</f>
        <v>0</v>
      </c>
    </row>
    <row r="455" spans="1:36" ht="13.5" hidden="1" customHeight="1">
      <c r="A455" s="3" t="str">
        <f>IF(靴!A97="","",靴!A97)</f>
        <v/>
      </c>
      <c r="B455" s="68" t="str">
        <f>IF(靴!B97="","",靴!B97)</f>
        <v/>
      </c>
      <c r="C455" s="3" t="str">
        <f>IF(靴!C97="","",靴!C97)</f>
        <v>◇ サイズ E</v>
      </c>
      <c r="D455" s="3" t="str">
        <f>IF(靴!E97="","",靴!E97)</f>
        <v>無</v>
      </c>
      <c r="E455" s="3" t="str">
        <f>IF(靴!AB97="","",靴!AB97)</f>
        <v>ベースS</v>
      </c>
      <c r="F455" s="3" t="str">
        <f>IF(靴!G97="","",靴!G97)</f>
        <v/>
      </c>
      <c r="G455" s="3" t="str">
        <f>IF(靴!H97="","",靴!H97)</f>
        <v/>
      </c>
      <c r="H455" s="3" t="str">
        <f>IF(靴!I97="","",靴!I97)</f>
        <v/>
      </c>
      <c r="I455" s="3" t="str">
        <f>靴!AA97</f>
        <v>/ソール</v>
      </c>
      <c r="J455" s="3" t="str">
        <f>IF(靴!M97="","",靴!M97)</f>
        <v/>
      </c>
      <c r="K455" s="3" t="str">
        <f>IF(靴!N97="","",靴!N97)</f>
        <v>サイズ</v>
      </c>
      <c r="L455" s="69" t="s">
        <v>80</v>
      </c>
      <c r="M455" s="69" t="s">
        <v>19</v>
      </c>
      <c r="N455" s="69" t="s">
        <v>20</v>
      </c>
      <c r="O455" s="69" t="s">
        <v>21</v>
      </c>
      <c r="P455" s="4" t="s">
        <v>3036</v>
      </c>
      <c r="Q455" s="4" t="s">
        <v>3038</v>
      </c>
      <c r="R455" s="71" t="str">
        <f>靴!Z97</f>
        <v>底長：約cm　底甲幅：約cm　ヒール：約cm</v>
      </c>
      <c r="S455" s="69" t="s">
        <v>23</v>
      </c>
      <c r="T455" s="69" t="s">
        <v>22</v>
      </c>
      <c r="U455" s="69" t="s">
        <v>24</v>
      </c>
      <c r="V455" s="69" t="s">
        <v>25</v>
      </c>
      <c r="W455" s="69" t="s">
        <v>26</v>
      </c>
      <c r="X455" s="69" t="s">
        <v>27</v>
      </c>
      <c r="Y455" s="69" t="s">
        <v>28</v>
      </c>
      <c r="Z455" s="69" t="s">
        <v>29</v>
      </c>
      <c r="AA455" s="4"/>
      <c r="AB455" s="4"/>
      <c r="AC455" s="4"/>
      <c r="AD455" s="70"/>
      <c r="AE455" s="70">
        <f>靴!AF97</f>
        <v>0</v>
      </c>
      <c r="AF455" s="70" t="str">
        <f>靴!R97</f>
        <v>通常</v>
      </c>
      <c r="AG455" s="70">
        <v>0</v>
      </c>
      <c r="AH455" s="6">
        <f xml:space="preserve"> 靴!AD96</f>
        <v>0</v>
      </c>
      <c r="AI455">
        <v>1</v>
      </c>
      <c r="AJ455">
        <f>靴!U97</f>
        <v>0</v>
      </c>
    </row>
    <row r="456" spans="1:36" ht="13.5" hidden="1" customHeight="1">
      <c r="A456" s="3" t="str">
        <f>IF(靴!A98="","",靴!A98)</f>
        <v/>
      </c>
      <c r="B456" s="68" t="str">
        <f>IF(靴!B98="","",靴!B98)</f>
        <v/>
      </c>
      <c r="C456" s="3" t="str">
        <f>IF(靴!C98="","",靴!C98)</f>
        <v>◇ サイズ E</v>
      </c>
      <c r="D456" s="3" t="str">
        <f>IF(靴!E98="","",靴!E98)</f>
        <v>無</v>
      </c>
      <c r="E456" s="3" t="str">
        <f>IF(靴!AB98="","",靴!AB98)</f>
        <v>ベースS</v>
      </c>
      <c r="F456" s="3" t="str">
        <f>IF(靴!G98="","",靴!G98)</f>
        <v/>
      </c>
      <c r="G456" s="3" t="str">
        <f>IF(靴!H98="","",靴!H98)</f>
        <v/>
      </c>
      <c r="H456" s="3" t="str">
        <f>IF(靴!I98="","",靴!I98)</f>
        <v/>
      </c>
      <c r="I456" s="3" t="str">
        <f>靴!AA98</f>
        <v>/ソール</v>
      </c>
      <c r="J456" s="3" t="str">
        <f>IF(靴!M98="","",靴!M98)</f>
        <v/>
      </c>
      <c r="K456" s="3" t="str">
        <f>IF(靴!N98="","",靴!N98)</f>
        <v>サイズ</v>
      </c>
      <c r="L456" s="69" t="s">
        <v>80</v>
      </c>
      <c r="M456" s="69" t="s">
        <v>19</v>
      </c>
      <c r="N456" s="69" t="s">
        <v>20</v>
      </c>
      <c r="O456" s="69" t="s">
        <v>21</v>
      </c>
      <c r="P456" s="4" t="s">
        <v>3036</v>
      </c>
      <c r="Q456" s="4" t="s">
        <v>3038</v>
      </c>
      <c r="R456" s="71" t="str">
        <f>靴!Z98</f>
        <v>底長：約cm　底甲幅：約cm　ヒール：約cm</v>
      </c>
      <c r="S456" s="69" t="s">
        <v>23</v>
      </c>
      <c r="T456" s="69" t="s">
        <v>22</v>
      </c>
      <c r="U456" s="69" t="s">
        <v>24</v>
      </c>
      <c r="V456" s="69" t="s">
        <v>25</v>
      </c>
      <c r="W456" s="69" t="s">
        <v>26</v>
      </c>
      <c r="X456" s="69" t="s">
        <v>27</v>
      </c>
      <c r="Y456" s="69" t="s">
        <v>28</v>
      </c>
      <c r="Z456" s="69" t="s">
        <v>29</v>
      </c>
      <c r="AA456" s="4"/>
      <c r="AB456" s="4"/>
      <c r="AC456" s="4"/>
      <c r="AD456" s="70"/>
      <c r="AE456" s="70">
        <f>靴!AF98</f>
        <v>0</v>
      </c>
      <c r="AF456" s="70" t="str">
        <f>靴!R98</f>
        <v>通常</v>
      </c>
      <c r="AG456" s="70">
        <v>0</v>
      </c>
      <c r="AH456" s="6">
        <f xml:space="preserve"> 靴!AD97</f>
        <v>0</v>
      </c>
      <c r="AI456">
        <v>1</v>
      </c>
      <c r="AJ456">
        <f>靴!U98</f>
        <v>0</v>
      </c>
    </row>
    <row r="457" spans="1:36" ht="13.5" hidden="1" customHeight="1">
      <c r="A457" s="3" t="str">
        <f>IF(靴!A99="","",靴!A99)</f>
        <v/>
      </c>
      <c r="B457" s="68" t="str">
        <f>IF(靴!B99="","",靴!B99)</f>
        <v/>
      </c>
      <c r="C457" s="3" t="str">
        <f>IF(靴!C99="","",靴!C99)</f>
        <v>◇ サイズ E</v>
      </c>
      <c r="D457" s="3" t="str">
        <f>IF(靴!E99="","",靴!E99)</f>
        <v>無</v>
      </c>
      <c r="E457" s="3" t="str">
        <f>IF(靴!AB99="","",靴!AB99)</f>
        <v>ベースS</v>
      </c>
      <c r="F457" s="3" t="str">
        <f>IF(靴!G99="","",靴!G99)</f>
        <v/>
      </c>
      <c r="G457" s="3" t="str">
        <f>IF(靴!H99="","",靴!H99)</f>
        <v/>
      </c>
      <c r="H457" s="3" t="str">
        <f>IF(靴!I99="","",靴!I99)</f>
        <v/>
      </c>
      <c r="I457" s="3" t="str">
        <f>靴!AA99</f>
        <v>/ソール</v>
      </c>
      <c r="J457" s="3" t="str">
        <f>IF(靴!M99="","",靴!M99)</f>
        <v/>
      </c>
      <c r="K457" s="3" t="str">
        <f>IF(靴!N99="","",靴!N99)</f>
        <v>サイズ</v>
      </c>
      <c r="L457" s="69" t="s">
        <v>80</v>
      </c>
      <c r="M457" s="69" t="s">
        <v>19</v>
      </c>
      <c r="N457" s="69" t="s">
        <v>20</v>
      </c>
      <c r="O457" s="69" t="s">
        <v>21</v>
      </c>
      <c r="P457" s="4" t="s">
        <v>3036</v>
      </c>
      <c r="Q457" s="4" t="s">
        <v>3038</v>
      </c>
      <c r="R457" s="71" t="str">
        <f>靴!Z99</f>
        <v>底長：約cm　底甲幅：約cm　ヒール：約cm</v>
      </c>
      <c r="S457" s="69" t="s">
        <v>23</v>
      </c>
      <c r="T457" s="69" t="s">
        <v>22</v>
      </c>
      <c r="U457" s="69" t="s">
        <v>24</v>
      </c>
      <c r="V457" s="69" t="s">
        <v>25</v>
      </c>
      <c r="W457" s="69" t="s">
        <v>26</v>
      </c>
      <c r="X457" s="69" t="s">
        <v>27</v>
      </c>
      <c r="Y457" s="69" t="s">
        <v>28</v>
      </c>
      <c r="Z457" s="69" t="s">
        <v>29</v>
      </c>
      <c r="AA457" s="4"/>
      <c r="AB457" s="4"/>
      <c r="AC457" s="4"/>
      <c r="AD457" s="70"/>
      <c r="AE457" s="70">
        <f>靴!AF99</f>
        <v>0</v>
      </c>
      <c r="AF457" s="70" t="str">
        <f>靴!R99</f>
        <v>通常</v>
      </c>
      <c r="AG457" s="70">
        <v>0</v>
      </c>
      <c r="AH457" s="6">
        <f xml:space="preserve"> 靴!AD98</f>
        <v>0</v>
      </c>
      <c r="AI457">
        <v>1</v>
      </c>
      <c r="AJ457">
        <f>靴!U99</f>
        <v>0</v>
      </c>
    </row>
    <row r="458" spans="1:36" ht="13.5" hidden="1" customHeight="1">
      <c r="A458" s="3" t="str">
        <f>IF(靴!A100="","",靴!A100)</f>
        <v/>
      </c>
      <c r="B458" s="68" t="str">
        <f>IF(靴!B100="","",靴!B100)</f>
        <v/>
      </c>
      <c r="C458" s="3" t="str">
        <f>IF(靴!C100="","",靴!C100)</f>
        <v>◇ サイズ E</v>
      </c>
      <c r="D458" s="3" t="str">
        <f>IF(靴!E100="","",靴!E100)</f>
        <v>無</v>
      </c>
      <c r="E458" s="3" t="str">
        <f>IF(靴!AB100="","",靴!AB100)</f>
        <v>ベースS</v>
      </c>
      <c r="F458" s="3" t="str">
        <f>IF(靴!G100="","",靴!G100)</f>
        <v/>
      </c>
      <c r="G458" s="3" t="str">
        <f>IF(靴!H100="","",靴!H100)</f>
        <v/>
      </c>
      <c r="H458" s="3" t="str">
        <f>IF(靴!I100="","",靴!I100)</f>
        <v/>
      </c>
      <c r="I458" s="3" t="str">
        <f>靴!AA100</f>
        <v>/ソール</v>
      </c>
      <c r="J458" s="3" t="str">
        <f>IF(靴!M100="","",靴!M100)</f>
        <v/>
      </c>
      <c r="K458" s="3" t="str">
        <f>IF(靴!N100="","",靴!N100)</f>
        <v>サイズ</v>
      </c>
      <c r="L458" s="69" t="s">
        <v>80</v>
      </c>
      <c r="M458" s="69" t="s">
        <v>19</v>
      </c>
      <c r="N458" s="69" t="s">
        <v>20</v>
      </c>
      <c r="O458" s="69" t="s">
        <v>21</v>
      </c>
      <c r="P458" s="4" t="s">
        <v>3036</v>
      </c>
      <c r="Q458" s="4" t="s">
        <v>3038</v>
      </c>
      <c r="R458" s="71" t="str">
        <f>靴!Z100</f>
        <v>底長：約cm　底甲幅：約cm　ヒール：約cm</v>
      </c>
      <c r="S458" s="69" t="s">
        <v>23</v>
      </c>
      <c r="T458" s="69" t="s">
        <v>22</v>
      </c>
      <c r="U458" s="69" t="s">
        <v>24</v>
      </c>
      <c r="V458" s="69" t="s">
        <v>25</v>
      </c>
      <c r="W458" s="69" t="s">
        <v>26</v>
      </c>
      <c r="X458" s="69" t="s">
        <v>27</v>
      </c>
      <c r="Y458" s="69" t="s">
        <v>28</v>
      </c>
      <c r="Z458" s="69" t="s">
        <v>29</v>
      </c>
      <c r="AA458" s="4"/>
      <c r="AB458" s="4"/>
      <c r="AC458" s="4"/>
      <c r="AD458" s="70"/>
      <c r="AE458" s="70">
        <f>靴!AF100</f>
        <v>0</v>
      </c>
      <c r="AF458" s="70" t="str">
        <f>靴!R100</f>
        <v>通常</v>
      </c>
      <c r="AG458" s="70">
        <v>0</v>
      </c>
      <c r="AH458" s="6">
        <f xml:space="preserve"> 靴!AD99</f>
        <v>0</v>
      </c>
      <c r="AI458">
        <v>1</v>
      </c>
      <c r="AJ458">
        <f>靴!U100</f>
        <v>0</v>
      </c>
    </row>
    <row r="459" spans="1:36" ht="13.5" hidden="1" customHeight="1">
      <c r="A459" s="3" t="str">
        <f>IF(靴!A101="","",靴!A101)</f>
        <v/>
      </c>
      <c r="B459" s="68" t="str">
        <f>IF(靴!B101="","",靴!B101)</f>
        <v/>
      </c>
      <c r="C459" s="3" t="str">
        <f>IF(靴!C101="","",靴!C101)</f>
        <v>◇ サイズ E</v>
      </c>
      <c r="D459" s="3" t="str">
        <f>IF(靴!E101="","",靴!E101)</f>
        <v>無</v>
      </c>
      <c r="E459" s="3" t="str">
        <f>IF(靴!AB101="","",靴!AB101)</f>
        <v>ベースS</v>
      </c>
      <c r="F459" s="3" t="str">
        <f>IF(靴!G101="","",靴!G101)</f>
        <v/>
      </c>
      <c r="G459" s="3" t="str">
        <f>IF(靴!H101="","",靴!H101)</f>
        <v/>
      </c>
      <c r="H459" s="3" t="str">
        <f>IF(靴!I101="","",靴!I101)</f>
        <v/>
      </c>
      <c r="I459" s="3" t="str">
        <f>靴!AA101</f>
        <v>/ソール</v>
      </c>
      <c r="J459" s="3" t="str">
        <f>IF(靴!M101="","",靴!M101)</f>
        <v/>
      </c>
      <c r="K459" s="3" t="str">
        <f>IF(靴!N101="","",靴!N101)</f>
        <v>サイズ</v>
      </c>
      <c r="L459" s="69" t="s">
        <v>80</v>
      </c>
      <c r="M459" s="69" t="s">
        <v>19</v>
      </c>
      <c r="N459" s="69" t="s">
        <v>20</v>
      </c>
      <c r="O459" s="69" t="s">
        <v>21</v>
      </c>
      <c r="P459" s="4" t="s">
        <v>3036</v>
      </c>
      <c r="Q459" s="4" t="s">
        <v>3038</v>
      </c>
      <c r="R459" s="71" t="str">
        <f>靴!Z101</f>
        <v>底長：約cm　底甲幅：約cm　ヒール：約cm</v>
      </c>
      <c r="S459" s="69" t="s">
        <v>23</v>
      </c>
      <c r="T459" s="69" t="s">
        <v>22</v>
      </c>
      <c r="U459" s="69" t="s">
        <v>24</v>
      </c>
      <c r="V459" s="69" t="s">
        <v>25</v>
      </c>
      <c r="W459" s="69" t="s">
        <v>26</v>
      </c>
      <c r="X459" s="69" t="s">
        <v>27</v>
      </c>
      <c r="Y459" s="69" t="s">
        <v>28</v>
      </c>
      <c r="Z459" s="69" t="s">
        <v>29</v>
      </c>
      <c r="AA459" s="4"/>
      <c r="AB459" s="4"/>
      <c r="AC459" s="4"/>
      <c r="AD459" s="70"/>
      <c r="AE459" s="70">
        <f>靴!AF101</f>
        <v>0</v>
      </c>
      <c r="AF459" s="70" t="str">
        <f>靴!R101</f>
        <v>通常</v>
      </c>
      <c r="AG459" s="70">
        <v>0</v>
      </c>
      <c r="AH459" s="6">
        <f xml:space="preserve"> 靴!AD100</f>
        <v>0</v>
      </c>
      <c r="AI459">
        <v>1</v>
      </c>
      <c r="AJ459">
        <f>靴!U101</f>
        <v>0</v>
      </c>
    </row>
    <row r="460" spans="1:36" ht="13.5" hidden="1" customHeight="1">
      <c r="A460" s="3" t="str">
        <f>IF(ブーツ!A2="","",ブーツ!A2)</f>
        <v/>
      </c>
      <c r="B460" s="68" t="str">
        <f>IF(ブーツ!B2="","",ブーツ!B2)</f>
        <v/>
      </c>
      <c r="C460" s="3" t="str">
        <f>IF(ブーツ!C2="","",ブーツ!C2)</f>
        <v>■ サイズ E</v>
      </c>
      <c r="D460" s="3" t="str">
        <f>IF(ブーツ!E2="","",ブーツ!E2)</f>
        <v>無</v>
      </c>
      <c r="E460" s="3" t="str">
        <f>IF(ブーツ!AE2="","",ブーツ!AE2)</f>
        <v>ベースS</v>
      </c>
      <c r="F460" s="3" t="str">
        <f>IF(ブーツ!G2="","",ブーツ!G2)</f>
        <v/>
      </c>
      <c r="G460" s="3" t="str">
        <f>IF(ブーツ!H2="","",ブーツ!H2)</f>
        <v/>
      </c>
      <c r="H460" s="3"/>
      <c r="I460" s="3" t="str">
        <f>IF(ブーツ!AD2="","",ブーツ!AD2)</f>
        <v>/ソール</v>
      </c>
      <c r="J460" s="3" t="str">
        <f>IF(ブーツ!M2="","",ブーツ!M2)</f>
        <v/>
      </c>
      <c r="K460" s="3" t="str">
        <f>IF(ブーツ!N2="","",ブーツ!N2)</f>
        <v>サイズ</v>
      </c>
      <c r="L460" s="69" t="s">
        <v>80</v>
      </c>
      <c r="M460" s="69" t="s">
        <v>19</v>
      </c>
      <c r="N460" s="69" t="s">
        <v>20</v>
      </c>
      <c r="O460" s="69" t="s">
        <v>21</v>
      </c>
      <c r="P460" s="4" t="s">
        <v>3036</v>
      </c>
      <c r="Q460" s="4" t="s">
        <v>3038</v>
      </c>
      <c r="R460" s="69" t="s">
        <v>22</v>
      </c>
      <c r="S460" s="3" t="str">
        <f>ブーツ!AC2</f>
        <v>底長：約cm　底甲幅：約cm　ヒール：約cm 高さ：約cm　足入れ口円周：約cm</v>
      </c>
      <c r="T460" s="69" t="s">
        <v>22</v>
      </c>
      <c r="U460" s="69" t="s">
        <v>24</v>
      </c>
      <c r="V460" s="69" t="s">
        <v>25</v>
      </c>
      <c r="W460" s="69" t="s">
        <v>26</v>
      </c>
      <c r="X460" s="69" t="s">
        <v>27</v>
      </c>
      <c r="Y460" s="69" t="s">
        <v>28</v>
      </c>
      <c r="Z460" s="69" t="s">
        <v>29</v>
      </c>
      <c r="AA460" s="4"/>
      <c r="AB460" s="4"/>
      <c r="AC460" s="4"/>
      <c r="AD460" s="70"/>
      <c r="AE460" s="70">
        <f>ブーツ!AI2</f>
        <v>0</v>
      </c>
      <c r="AF460" s="70" t="str">
        <f>ブーツ!T2</f>
        <v>梱包サイズは大サイズになります。</v>
      </c>
      <c r="AG460" s="70">
        <v>0</v>
      </c>
      <c r="AH460" s="6">
        <f xml:space="preserve"> ブーツ!AG2</f>
        <v>0</v>
      </c>
      <c r="AI460">
        <v>1</v>
      </c>
      <c r="AJ460">
        <f>ブーツ!W2</f>
        <v>0</v>
      </c>
    </row>
    <row r="461" spans="1:36" ht="13.5" hidden="1" customHeight="1">
      <c r="A461" s="3" t="str">
        <f>IF(ブーツ!A3="","",ブーツ!A3)</f>
        <v/>
      </c>
      <c r="B461" s="68" t="str">
        <f>IF(ブーツ!B3="","",ブーツ!B3)</f>
        <v/>
      </c>
      <c r="C461" s="3" t="str">
        <f>IF(ブーツ!C3="","",ブーツ!C3)</f>
        <v>■ サイズ E</v>
      </c>
      <c r="D461" s="3" t="str">
        <f>IF(ブーツ!E3="","",ブーツ!E3)</f>
        <v>無</v>
      </c>
      <c r="E461" s="3" t="str">
        <f>IF(ブーツ!AE3="","",ブーツ!AE3)</f>
        <v>ベースS</v>
      </c>
      <c r="F461" s="3" t="str">
        <f>IF(ブーツ!G3="","",ブーツ!G3)</f>
        <v/>
      </c>
      <c r="G461" s="3" t="str">
        <f>IF(ブーツ!H3="","",ブーツ!H3)</f>
        <v/>
      </c>
      <c r="H461" s="3"/>
      <c r="I461" s="3" t="str">
        <f>IF(ブーツ!AD3="","",ブーツ!AD3)</f>
        <v>/ソール</v>
      </c>
      <c r="J461" s="3" t="str">
        <f>IF(ブーツ!M3="","",ブーツ!M3)</f>
        <v/>
      </c>
      <c r="K461" s="3" t="str">
        <f>IF(ブーツ!N3="","",ブーツ!N3)</f>
        <v>サイズ</v>
      </c>
      <c r="L461" s="69" t="s">
        <v>80</v>
      </c>
      <c r="M461" s="69" t="s">
        <v>19</v>
      </c>
      <c r="N461" s="69" t="s">
        <v>20</v>
      </c>
      <c r="O461" s="69" t="s">
        <v>21</v>
      </c>
      <c r="P461" s="4" t="s">
        <v>3036</v>
      </c>
      <c r="Q461" s="4" t="s">
        <v>3038</v>
      </c>
      <c r="R461" s="69" t="s">
        <v>22</v>
      </c>
      <c r="S461" s="3" t="str">
        <f>ブーツ!AC3</f>
        <v>底長：約cm　底甲幅：約cm　ヒール：約cm 高さ：約cm　足入れ口円周：約cm</v>
      </c>
      <c r="T461" s="69" t="s">
        <v>22</v>
      </c>
      <c r="U461" s="69" t="s">
        <v>24</v>
      </c>
      <c r="V461" s="69" t="s">
        <v>25</v>
      </c>
      <c r="W461" s="69" t="s">
        <v>26</v>
      </c>
      <c r="X461" s="69" t="s">
        <v>27</v>
      </c>
      <c r="Y461" s="69" t="s">
        <v>28</v>
      </c>
      <c r="Z461" s="69" t="s">
        <v>29</v>
      </c>
      <c r="AA461" s="4"/>
      <c r="AB461" s="4"/>
      <c r="AC461" s="4"/>
      <c r="AD461" s="70"/>
      <c r="AE461" s="70">
        <f>ブーツ!AI3</f>
        <v>0</v>
      </c>
      <c r="AF461" s="70" t="str">
        <f>ブーツ!T3</f>
        <v>梱包サイズは大サイズになります。</v>
      </c>
      <c r="AG461" s="70">
        <v>0</v>
      </c>
      <c r="AH461" s="6">
        <f xml:space="preserve"> ブーツ!AG3</f>
        <v>0</v>
      </c>
      <c r="AI461">
        <v>1</v>
      </c>
      <c r="AJ461">
        <f>ブーツ!W3</f>
        <v>0</v>
      </c>
    </row>
    <row r="462" spans="1:36" ht="13.5" hidden="1" customHeight="1">
      <c r="A462" s="3" t="str">
        <f>IF(ブーツ!A4="","",ブーツ!A4)</f>
        <v/>
      </c>
      <c r="B462" s="68" t="str">
        <f>IF(ブーツ!B4="","",ブーツ!B4)</f>
        <v/>
      </c>
      <c r="C462" s="3" t="str">
        <f>IF(ブーツ!C4="","",ブーツ!C4)</f>
        <v>■ サイズ E</v>
      </c>
      <c r="D462" s="3" t="str">
        <f>IF(ブーツ!E4="","",ブーツ!E4)</f>
        <v>無</v>
      </c>
      <c r="E462" s="3" t="str">
        <f>IF(ブーツ!AE4="","",ブーツ!AE4)</f>
        <v>ベースS</v>
      </c>
      <c r="F462" s="3" t="str">
        <f>IF(ブーツ!G4="","",ブーツ!G4)</f>
        <v/>
      </c>
      <c r="G462" s="3" t="str">
        <f>IF(ブーツ!H4="","",ブーツ!H4)</f>
        <v/>
      </c>
      <c r="H462" s="3"/>
      <c r="I462" s="3" t="str">
        <f>IF(ブーツ!AD4="","",ブーツ!AD4)</f>
        <v>/ソール</v>
      </c>
      <c r="J462" s="3" t="str">
        <f>IF(ブーツ!M4="","",ブーツ!M4)</f>
        <v/>
      </c>
      <c r="K462" s="3" t="str">
        <f>IF(ブーツ!N4="","",ブーツ!N4)</f>
        <v>サイズ</v>
      </c>
      <c r="L462" s="69" t="s">
        <v>80</v>
      </c>
      <c r="M462" s="69" t="s">
        <v>19</v>
      </c>
      <c r="N462" s="69" t="s">
        <v>20</v>
      </c>
      <c r="O462" s="69" t="s">
        <v>21</v>
      </c>
      <c r="P462" s="4" t="s">
        <v>3036</v>
      </c>
      <c r="Q462" s="4" t="s">
        <v>3038</v>
      </c>
      <c r="R462" s="69" t="s">
        <v>22</v>
      </c>
      <c r="S462" s="3" t="str">
        <f>ブーツ!AC4</f>
        <v>底長：約cm　底甲幅：約cm　ヒール：約cm 高さ：約cm　足入れ口円周：約cm</v>
      </c>
      <c r="T462" s="69" t="s">
        <v>22</v>
      </c>
      <c r="U462" s="69" t="s">
        <v>24</v>
      </c>
      <c r="V462" s="69" t="s">
        <v>25</v>
      </c>
      <c r="W462" s="69" t="s">
        <v>26</v>
      </c>
      <c r="X462" s="69" t="s">
        <v>27</v>
      </c>
      <c r="Y462" s="69" t="s">
        <v>28</v>
      </c>
      <c r="Z462" s="69" t="s">
        <v>29</v>
      </c>
      <c r="AA462" s="4"/>
      <c r="AB462" s="4"/>
      <c r="AC462" s="4"/>
      <c r="AD462" s="70"/>
      <c r="AE462" s="70">
        <f>ブーツ!AI4</f>
        <v>0</v>
      </c>
      <c r="AF462" s="70" t="str">
        <f>ブーツ!T4</f>
        <v>梱包サイズは大サイズになります。</v>
      </c>
      <c r="AG462" s="70">
        <v>0</v>
      </c>
      <c r="AH462" s="6">
        <f xml:space="preserve"> ブーツ!AG4</f>
        <v>0</v>
      </c>
      <c r="AI462">
        <v>1</v>
      </c>
      <c r="AJ462">
        <f>ブーツ!W4</f>
        <v>0</v>
      </c>
    </row>
    <row r="463" spans="1:36" ht="13.5" hidden="1" customHeight="1">
      <c r="A463" s="3" t="str">
        <f>IF(ブーツ!A5="","",ブーツ!A5)</f>
        <v/>
      </c>
      <c r="B463" s="68" t="str">
        <f>IF(ブーツ!B5="","",ブーツ!B5)</f>
        <v/>
      </c>
      <c r="C463" s="3" t="str">
        <f>IF(ブーツ!C5="","",ブーツ!C5)</f>
        <v>■ サイズ E</v>
      </c>
      <c r="D463" s="3" t="str">
        <f>IF(ブーツ!E5="","",ブーツ!E5)</f>
        <v>無</v>
      </c>
      <c r="E463" s="3" t="str">
        <f>IF(ブーツ!AE5="","",ブーツ!AE5)</f>
        <v>ベースS</v>
      </c>
      <c r="F463" s="3" t="str">
        <f>IF(ブーツ!G5="","",ブーツ!G5)</f>
        <v/>
      </c>
      <c r="G463" s="3" t="str">
        <f>IF(ブーツ!H5="","",ブーツ!H5)</f>
        <v/>
      </c>
      <c r="H463" s="3"/>
      <c r="I463" s="3" t="str">
        <f>IF(ブーツ!AD5="","",ブーツ!AD5)</f>
        <v>/ソール</v>
      </c>
      <c r="J463" s="3" t="str">
        <f>IF(ブーツ!M5="","",ブーツ!M5)</f>
        <v/>
      </c>
      <c r="K463" s="3" t="str">
        <f>IF(ブーツ!N5="","",ブーツ!N5)</f>
        <v>サイズ</v>
      </c>
      <c r="L463" s="69" t="s">
        <v>80</v>
      </c>
      <c r="M463" s="69" t="s">
        <v>19</v>
      </c>
      <c r="N463" s="69" t="s">
        <v>20</v>
      </c>
      <c r="O463" s="69" t="s">
        <v>21</v>
      </c>
      <c r="P463" s="4" t="s">
        <v>3036</v>
      </c>
      <c r="Q463" s="4" t="s">
        <v>3038</v>
      </c>
      <c r="R463" s="69" t="s">
        <v>22</v>
      </c>
      <c r="S463" s="3" t="str">
        <f>ブーツ!AC5</f>
        <v>底長：約cm　底甲幅：約cm　ヒール：約cm 高さ：約cm　足入れ口円周：約cm</v>
      </c>
      <c r="T463" s="69" t="s">
        <v>22</v>
      </c>
      <c r="U463" s="69" t="s">
        <v>24</v>
      </c>
      <c r="V463" s="69" t="s">
        <v>25</v>
      </c>
      <c r="W463" s="69" t="s">
        <v>26</v>
      </c>
      <c r="X463" s="69" t="s">
        <v>27</v>
      </c>
      <c r="Y463" s="69" t="s">
        <v>28</v>
      </c>
      <c r="Z463" s="69" t="s">
        <v>29</v>
      </c>
      <c r="AA463" s="4"/>
      <c r="AB463" s="4"/>
      <c r="AC463" s="4"/>
      <c r="AD463" s="70"/>
      <c r="AE463" s="70">
        <f>ブーツ!AI5</f>
        <v>0</v>
      </c>
      <c r="AF463" s="70" t="str">
        <f>ブーツ!T5</f>
        <v>梱包サイズは大サイズになります。</v>
      </c>
      <c r="AG463" s="70">
        <v>0</v>
      </c>
      <c r="AH463" s="6">
        <f xml:space="preserve"> ブーツ!AG5</f>
        <v>0</v>
      </c>
      <c r="AI463">
        <v>1</v>
      </c>
      <c r="AJ463">
        <f>ブーツ!W5</f>
        <v>0</v>
      </c>
    </row>
    <row r="464" spans="1:36" ht="13.5" hidden="1" customHeight="1">
      <c r="A464" s="3" t="str">
        <f>IF(ブーツ!A6="","",ブーツ!A6)</f>
        <v/>
      </c>
      <c r="B464" s="68" t="str">
        <f>IF(ブーツ!B6="","",ブーツ!B6)</f>
        <v/>
      </c>
      <c r="C464" s="3" t="str">
        <f>IF(ブーツ!C6="","",ブーツ!C6)</f>
        <v>■ サイズ E</v>
      </c>
      <c r="D464" s="3" t="str">
        <f>IF(ブーツ!E6="","",ブーツ!E6)</f>
        <v>無</v>
      </c>
      <c r="E464" s="3" t="str">
        <f>IF(ブーツ!AE6="","",ブーツ!AE6)</f>
        <v>ベースS</v>
      </c>
      <c r="F464" s="3" t="str">
        <f>IF(ブーツ!G6="","",ブーツ!G6)</f>
        <v/>
      </c>
      <c r="G464" s="3" t="str">
        <f>IF(ブーツ!H6="","",ブーツ!H6)</f>
        <v/>
      </c>
      <c r="H464" s="3"/>
      <c r="I464" s="3" t="str">
        <f>IF(ブーツ!AD6="","",ブーツ!AD6)</f>
        <v>/ソール</v>
      </c>
      <c r="J464" s="3" t="str">
        <f>IF(ブーツ!M6="","",ブーツ!M6)</f>
        <v/>
      </c>
      <c r="K464" s="3" t="str">
        <f>IF(ブーツ!N6="","",ブーツ!N6)</f>
        <v>サイズ</v>
      </c>
      <c r="L464" s="69" t="s">
        <v>80</v>
      </c>
      <c r="M464" s="69" t="s">
        <v>19</v>
      </c>
      <c r="N464" s="69" t="s">
        <v>20</v>
      </c>
      <c r="O464" s="69" t="s">
        <v>21</v>
      </c>
      <c r="P464" s="4" t="s">
        <v>3036</v>
      </c>
      <c r="Q464" s="4" t="s">
        <v>3038</v>
      </c>
      <c r="R464" s="69" t="s">
        <v>22</v>
      </c>
      <c r="S464" s="3" t="str">
        <f>ブーツ!AC6</f>
        <v>底長：約cm　底甲幅：約cm　ヒール：約cm 高さ：約cm　足入れ口円周：約cm</v>
      </c>
      <c r="T464" s="69" t="s">
        <v>22</v>
      </c>
      <c r="U464" s="69" t="s">
        <v>24</v>
      </c>
      <c r="V464" s="69" t="s">
        <v>25</v>
      </c>
      <c r="W464" s="69" t="s">
        <v>26</v>
      </c>
      <c r="X464" s="69" t="s">
        <v>27</v>
      </c>
      <c r="Y464" s="69" t="s">
        <v>28</v>
      </c>
      <c r="Z464" s="69" t="s">
        <v>29</v>
      </c>
      <c r="AA464" s="4"/>
      <c r="AB464" s="4"/>
      <c r="AC464" s="4"/>
      <c r="AD464" s="70"/>
      <c r="AE464" s="70">
        <f>ブーツ!AI6</f>
        <v>0</v>
      </c>
      <c r="AF464" s="70" t="str">
        <f>ブーツ!T6</f>
        <v>梱包サイズは大サイズになります。</v>
      </c>
      <c r="AG464" s="70">
        <v>0</v>
      </c>
      <c r="AH464" s="6">
        <f xml:space="preserve"> ブーツ!AG6</f>
        <v>0</v>
      </c>
      <c r="AI464">
        <v>1</v>
      </c>
      <c r="AJ464">
        <f>ブーツ!W6</f>
        <v>0</v>
      </c>
    </row>
    <row r="465" spans="1:36" ht="13.5" hidden="1" customHeight="1">
      <c r="A465" s="3" t="str">
        <f>IF(ブーツ!A7="","",ブーツ!A7)</f>
        <v/>
      </c>
      <c r="B465" s="68" t="str">
        <f>IF(ブーツ!B7="","",ブーツ!B7)</f>
        <v/>
      </c>
      <c r="C465" s="3" t="str">
        <f>IF(ブーツ!C7="","",ブーツ!C7)</f>
        <v>■ サイズ E</v>
      </c>
      <c r="D465" s="3" t="str">
        <f>IF(ブーツ!E7="","",ブーツ!E7)</f>
        <v>無</v>
      </c>
      <c r="E465" s="3" t="str">
        <f>IF(ブーツ!AE7="","",ブーツ!AE7)</f>
        <v>ベースS</v>
      </c>
      <c r="F465" s="3" t="str">
        <f>IF(ブーツ!G7="","",ブーツ!G7)</f>
        <v/>
      </c>
      <c r="G465" s="3" t="str">
        <f>IF(ブーツ!H7="","",ブーツ!H7)</f>
        <v/>
      </c>
      <c r="H465" s="3"/>
      <c r="I465" s="3" t="str">
        <f>IF(ブーツ!AD7="","",ブーツ!AD7)</f>
        <v>/ソール</v>
      </c>
      <c r="J465" s="3" t="str">
        <f>IF(ブーツ!M7="","",ブーツ!M7)</f>
        <v/>
      </c>
      <c r="K465" s="3" t="str">
        <f>IF(ブーツ!N7="","",ブーツ!N7)</f>
        <v>サイズ</v>
      </c>
      <c r="L465" s="69" t="s">
        <v>80</v>
      </c>
      <c r="M465" s="69" t="s">
        <v>19</v>
      </c>
      <c r="N465" s="69" t="s">
        <v>20</v>
      </c>
      <c r="O465" s="69" t="s">
        <v>21</v>
      </c>
      <c r="P465" s="4" t="s">
        <v>3036</v>
      </c>
      <c r="Q465" s="4" t="s">
        <v>3038</v>
      </c>
      <c r="R465" s="69" t="s">
        <v>22</v>
      </c>
      <c r="S465" s="3" t="str">
        <f>ブーツ!AC7</f>
        <v>底長：約cm　底甲幅：約cm　ヒール：約cm 高さ：約cm　足入れ口円周：約cm</v>
      </c>
      <c r="T465" s="69" t="s">
        <v>22</v>
      </c>
      <c r="U465" s="69" t="s">
        <v>24</v>
      </c>
      <c r="V465" s="69" t="s">
        <v>25</v>
      </c>
      <c r="W465" s="69" t="s">
        <v>26</v>
      </c>
      <c r="X465" s="69" t="s">
        <v>27</v>
      </c>
      <c r="Y465" s="69" t="s">
        <v>28</v>
      </c>
      <c r="Z465" s="69" t="s">
        <v>29</v>
      </c>
      <c r="AA465" s="4"/>
      <c r="AB465" s="4"/>
      <c r="AC465" s="4"/>
      <c r="AD465" s="70"/>
      <c r="AE465" s="70">
        <f>ブーツ!AI7</f>
        <v>0</v>
      </c>
      <c r="AF465" s="70" t="str">
        <f>ブーツ!T7</f>
        <v>梱包サイズは大サイズになります。</v>
      </c>
      <c r="AG465" s="70">
        <v>0</v>
      </c>
      <c r="AH465" s="6">
        <f xml:space="preserve"> ブーツ!AG7</f>
        <v>0</v>
      </c>
      <c r="AI465">
        <v>1</v>
      </c>
      <c r="AJ465">
        <f>ブーツ!W7</f>
        <v>0</v>
      </c>
    </row>
    <row r="466" spans="1:36" ht="13.5" hidden="1" customHeight="1">
      <c r="A466" s="3" t="str">
        <f>IF(ブーツ!A8="","",ブーツ!A8)</f>
        <v/>
      </c>
      <c r="B466" s="68" t="str">
        <f>IF(ブーツ!B8="","",ブーツ!B8)</f>
        <v/>
      </c>
      <c r="C466" s="3" t="str">
        <f>IF(ブーツ!C8="","",ブーツ!C8)</f>
        <v>■ サイズ E</v>
      </c>
      <c r="D466" s="3" t="str">
        <f>IF(ブーツ!E8="","",ブーツ!E8)</f>
        <v>無</v>
      </c>
      <c r="E466" s="3" t="str">
        <f>IF(ブーツ!AE8="","",ブーツ!AE8)</f>
        <v>ベースS</v>
      </c>
      <c r="F466" s="3" t="str">
        <f>IF(ブーツ!G8="","",ブーツ!G8)</f>
        <v/>
      </c>
      <c r="G466" s="3" t="str">
        <f>IF(ブーツ!H8="","",ブーツ!H8)</f>
        <v/>
      </c>
      <c r="H466" s="3"/>
      <c r="I466" s="3" t="str">
        <f>IF(ブーツ!AD8="","",ブーツ!AD8)</f>
        <v>/ソール</v>
      </c>
      <c r="J466" s="3" t="str">
        <f>IF(ブーツ!M8="","",ブーツ!M8)</f>
        <v/>
      </c>
      <c r="K466" s="3" t="str">
        <f>IF(ブーツ!N8="","",ブーツ!N8)</f>
        <v>サイズ</v>
      </c>
      <c r="L466" s="69" t="s">
        <v>118</v>
      </c>
      <c r="M466" s="69" t="s">
        <v>19</v>
      </c>
      <c r="N466" s="69" t="s">
        <v>20</v>
      </c>
      <c r="O466" s="69" t="s">
        <v>21</v>
      </c>
      <c r="P466" s="4" t="s">
        <v>3036</v>
      </c>
      <c r="Q466" s="4" t="s">
        <v>3038</v>
      </c>
      <c r="R466" s="69" t="s">
        <v>22</v>
      </c>
      <c r="S466" s="3" t="str">
        <f>ブーツ!AC8</f>
        <v>底長：約cm　底甲幅：約cm　ヒール：約cm 高さ：約cm　足入れ口円周：約cm</v>
      </c>
      <c r="T466" s="69" t="s">
        <v>22</v>
      </c>
      <c r="U466" s="69" t="s">
        <v>24</v>
      </c>
      <c r="V466" s="69" t="s">
        <v>25</v>
      </c>
      <c r="W466" s="69" t="s">
        <v>26</v>
      </c>
      <c r="X466" s="69" t="s">
        <v>27</v>
      </c>
      <c r="Y466" s="69" t="s">
        <v>28</v>
      </c>
      <c r="Z466" s="69" t="s">
        <v>29</v>
      </c>
      <c r="AA466" s="4"/>
      <c r="AB466" s="4"/>
      <c r="AC466" s="4"/>
      <c r="AD466" s="70"/>
      <c r="AE466" s="70">
        <f>ブーツ!AI8</f>
        <v>0</v>
      </c>
      <c r="AF466" s="70" t="str">
        <f>ブーツ!T8</f>
        <v>梱包サイズは大サイズになります。</v>
      </c>
      <c r="AG466" s="70">
        <v>0</v>
      </c>
      <c r="AH466" s="6">
        <f xml:space="preserve"> ブーツ!AG8</f>
        <v>0</v>
      </c>
      <c r="AI466">
        <v>1</v>
      </c>
      <c r="AJ466">
        <f>ブーツ!W8</f>
        <v>0</v>
      </c>
    </row>
    <row r="467" spans="1:36" ht="13.5" hidden="1" customHeight="1">
      <c r="A467" s="3" t="str">
        <f>IF(ブーツ!A9="","",ブーツ!A9)</f>
        <v/>
      </c>
      <c r="B467" s="68" t="str">
        <f>IF(ブーツ!B9="","",ブーツ!B9)</f>
        <v/>
      </c>
      <c r="C467" s="3" t="str">
        <f>IF(ブーツ!C9="","",ブーツ!C9)</f>
        <v>■ サイズ E</v>
      </c>
      <c r="D467" s="3" t="str">
        <f>IF(ブーツ!E9="","",ブーツ!E9)</f>
        <v>無</v>
      </c>
      <c r="E467" s="3" t="str">
        <f>IF(ブーツ!AE9="","",ブーツ!AE9)</f>
        <v>ベースS</v>
      </c>
      <c r="F467" s="3" t="str">
        <f>IF(ブーツ!G9="","",ブーツ!G9)</f>
        <v/>
      </c>
      <c r="G467" s="3" t="str">
        <f>IF(ブーツ!H9="","",ブーツ!H9)</f>
        <v/>
      </c>
      <c r="H467" s="3"/>
      <c r="I467" s="3" t="str">
        <f>IF(ブーツ!AD9="","",ブーツ!AD9)</f>
        <v>/ソール</v>
      </c>
      <c r="J467" s="3" t="str">
        <f>IF(ブーツ!M9="","",ブーツ!M9)</f>
        <v/>
      </c>
      <c r="K467" s="3" t="str">
        <f>IF(ブーツ!N9="","",ブーツ!N9)</f>
        <v>サイズ</v>
      </c>
      <c r="L467" s="69" t="s">
        <v>123</v>
      </c>
      <c r="M467" s="69" t="s">
        <v>19</v>
      </c>
      <c r="N467" s="69" t="s">
        <v>20</v>
      </c>
      <c r="O467" s="69" t="s">
        <v>21</v>
      </c>
      <c r="P467" s="4" t="s">
        <v>3036</v>
      </c>
      <c r="Q467" s="4" t="s">
        <v>3038</v>
      </c>
      <c r="R467" s="69" t="s">
        <v>22</v>
      </c>
      <c r="S467" s="3" t="str">
        <f>ブーツ!AC9</f>
        <v>底長：約cm　底甲幅：約cm　ヒール：約cm 高さ：約cm　足入れ口円周：約cm</v>
      </c>
      <c r="T467" s="69" t="s">
        <v>22</v>
      </c>
      <c r="U467" s="69" t="s">
        <v>24</v>
      </c>
      <c r="V467" s="69" t="s">
        <v>25</v>
      </c>
      <c r="W467" s="69" t="s">
        <v>26</v>
      </c>
      <c r="X467" s="69" t="s">
        <v>27</v>
      </c>
      <c r="Y467" s="69" t="s">
        <v>28</v>
      </c>
      <c r="Z467" s="69" t="s">
        <v>29</v>
      </c>
      <c r="AA467" s="4"/>
      <c r="AB467" s="4"/>
      <c r="AC467" s="4"/>
      <c r="AD467" s="70"/>
      <c r="AE467" s="70">
        <f>ブーツ!AI9</f>
        <v>0</v>
      </c>
      <c r="AF467" s="70" t="str">
        <f>ブーツ!T9</f>
        <v>梱包サイズは大サイズになります。</v>
      </c>
      <c r="AG467" s="70">
        <v>0</v>
      </c>
      <c r="AH467" s="6">
        <f xml:space="preserve"> ブーツ!AG9</f>
        <v>0</v>
      </c>
      <c r="AI467">
        <v>1</v>
      </c>
      <c r="AJ467">
        <f>ブーツ!W9</f>
        <v>0</v>
      </c>
    </row>
    <row r="468" spans="1:36" ht="13.5" hidden="1" customHeight="1">
      <c r="A468" s="3" t="str">
        <f>IF(ブーツ!A10="","",ブーツ!A10)</f>
        <v/>
      </c>
      <c r="B468" s="68" t="str">
        <f>IF(ブーツ!B10="","",ブーツ!B10)</f>
        <v/>
      </c>
      <c r="C468" s="3" t="str">
        <f>IF(ブーツ!C10="","",ブーツ!C10)</f>
        <v>■ サイズ E</v>
      </c>
      <c r="D468" s="3" t="str">
        <f>IF(ブーツ!E10="","",ブーツ!E10)</f>
        <v>無</v>
      </c>
      <c r="E468" s="3" t="str">
        <f>IF(ブーツ!AE10="","",ブーツ!AE10)</f>
        <v>ベースS</v>
      </c>
      <c r="F468" s="3" t="str">
        <f>IF(ブーツ!G10="","",ブーツ!G10)</f>
        <v/>
      </c>
      <c r="G468" s="3" t="str">
        <f>IF(ブーツ!H10="","",ブーツ!H10)</f>
        <v/>
      </c>
      <c r="H468" s="3"/>
      <c r="I468" s="3" t="str">
        <f>IF(ブーツ!AD10="","",ブーツ!AD10)</f>
        <v>/ソール</v>
      </c>
      <c r="J468" s="3" t="str">
        <f>IF(ブーツ!M10="","",ブーツ!M10)</f>
        <v/>
      </c>
      <c r="K468" s="3" t="str">
        <f>IF(ブーツ!N10="","",ブーツ!N10)</f>
        <v>サイズ</v>
      </c>
      <c r="L468" s="69" t="s">
        <v>118</v>
      </c>
      <c r="M468" s="69" t="s">
        <v>19</v>
      </c>
      <c r="N468" s="69" t="s">
        <v>20</v>
      </c>
      <c r="O468" s="69" t="s">
        <v>21</v>
      </c>
      <c r="P468" s="4" t="s">
        <v>3036</v>
      </c>
      <c r="Q468" s="4" t="s">
        <v>3038</v>
      </c>
      <c r="R468" s="69" t="s">
        <v>22</v>
      </c>
      <c r="S468" s="3" t="str">
        <f>ブーツ!AC10</f>
        <v>底長：約cm　底甲幅：約cm　ヒール：約cm 高さ：約cm　足入れ口円周：約cm</v>
      </c>
      <c r="T468" s="69" t="s">
        <v>22</v>
      </c>
      <c r="U468" s="69" t="s">
        <v>24</v>
      </c>
      <c r="V468" s="69" t="s">
        <v>25</v>
      </c>
      <c r="W468" s="69" t="s">
        <v>26</v>
      </c>
      <c r="X468" s="69" t="s">
        <v>27</v>
      </c>
      <c r="Y468" s="69" t="s">
        <v>28</v>
      </c>
      <c r="Z468" s="69" t="s">
        <v>29</v>
      </c>
      <c r="AA468" s="4"/>
      <c r="AB468" s="4"/>
      <c r="AC468" s="4"/>
      <c r="AD468" s="70"/>
      <c r="AE468" s="70">
        <f>ブーツ!AI10</f>
        <v>0</v>
      </c>
      <c r="AF468" s="70" t="str">
        <f>ブーツ!T10</f>
        <v>梱包サイズは大サイズになります。</v>
      </c>
      <c r="AG468" s="70">
        <v>0</v>
      </c>
      <c r="AH468" s="6">
        <f xml:space="preserve"> ブーツ!AG10</f>
        <v>0</v>
      </c>
      <c r="AI468">
        <v>1</v>
      </c>
      <c r="AJ468">
        <f>ブーツ!W10</f>
        <v>0</v>
      </c>
    </row>
    <row r="469" spans="1:36" ht="13.5" hidden="1" customHeight="1">
      <c r="A469" s="3" t="str">
        <f>IF(ブーツ!A11="","",ブーツ!A11)</f>
        <v/>
      </c>
      <c r="B469" s="68" t="str">
        <f>IF(ブーツ!B11="","",ブーツ!B11)</f>
        <v/>
      </c>
      <c r="C469" s="3" t="str">
        <f>IF(ブーツ!C11="","",ブーツ!C11)</f>
        <v>■ サイズ E</v>
      </c>
      <c r="D469" s="3" t="str">
        <f>IF(ブーツ!E11="","",ブーツ!E11)</f>
        <v>無</v>
      </c>
      <c r="E469" s="3" t="str">
        <f>IF(ブーツ!AE11="","",ブーツ!AE11)</f>
        <v>ベースS</v>
      </c>
      <c r="F469" s="3" t="str">
        <f>IF(ブーツ!G11="","",ブーツ!G11)</f>
        <v/>
      </c>
      <c r="G469" s="3" t="str">
        <f>IF(ブーツ!H11="","",ブーツ!H11)</f>
        <v/>
      </c>
      <c r="H469" s="3"/>
      <c r="I469" s="3" t="str">
        <f>IF(ブーツ!AD11="","",ブーツ!AD11)</f>
        <v>/ソール</v>
      </c>
      <c r="J469" s="3" t="str">
        <f>IF(ブーツ!M11="","",ブーツ!M11)</f>
        <v/>
      </c>
      <c r="K469" s="3" t="str">
        <f>IF(ブーツ!N11="","",ブーツ!N11)</f>
        <v>サイズ</v>
      </c>
      <c r="L469" s="69" t="s">
        <v>123</v>
      </c>
      <c r="M469" s="69" t="s">
        <v>19</v>
      </c>
      <c r="N469" s="69" t="s">
        <v>20</v>
      </c>
      <c r="O469" s="69" t="s">
        <v>21</v>
      </c>
      <c r="P469" s="4" t="s">
        <v>3036</v>
      </c>
      <c r="Q469" s="4" t="s">
        <v>3038</v>
      </c>
      <c r="R469" s="69" t="s">
        <v>22</v>
      </c>
      <c r="S469" s="3" t="str">
        <f>ブーツ!AC11</f>
        <v>底長：約cm　底甲幅：約cm　ヒール：約cm 高さ：約cm　足入れ口円周：約cm</v>
      </c>
      <c r="T469" s="69" t="s">
        <v>22</v>
      </c>
      <c r="U469" s="69" t="s">
        <v>24</v>
      </c>
      <c r="V469" s="69" t="s">
        <v>25</v>
      </c>
      <c r="W469" s="69" t="s">
        <v>26</v>
      </c>
      <c r="X469" s="69" t="s">
        <v>27</v>
      </c>
      <c r="Y469" s="69" t="s">
        <v>28</v>
      </c>
      <c r="Z469" s="69" t="s">
        <v>29</v>
      </c>
      <c r="AA469" s="4"/>
      <c r="AB469" s="4"/>
      <c r="AC469" s="4"/>
      <c r="AD469" s="70"/>
      <c r="AE469" s="70">
        <f>ブーツ!AI11</f>
        <v>0</v>
      </c>
      <c r="AF469" s="70" t="str">
        <f>ブーツ!T11</f>
        <v>梱包サイズは大サイズになります。</v>
      </c>
      <c r="AG469" s="70">
        <v>0</v>
      </c>
      <c r="AH469" s="6">
        <f xml:space="preserve"> ブーツ!AG11</f>
        <v>0</v>
      </c>
      <c r="AI469">
        <v>1</v>
      </c>
      <c r="AJ469">
        <f>ブーツ!W11</f>
        <v>0</v>
      </c>
    </row>
    <row r="470" spans="1:36" ht="13.5" hidden="1" customHeight="1">
      <c r="A470" s="3" t="str">
        <f>IF(ブーツ!A12="","",ブーツ!A12)</f>
        <v/>
      </c>
      <c r="B470" s="68" t="str">
        <f>IF(ブーツ!B12="","",ブーツ!B12)</f>
        <v/>
      </c>
      <c r="C470" s="3" t="str">
        <f>IF(ブーツ!C12="","",ブーツ!C12)</f>
        <v>■ サイズ E</v>
      </c>
      <c r="D470" s="3" t="str">
        <f>IF(ブーツ!E12="","",ブーツ!E12)</f>
        <v>無</v>
      </c>
      <c r="E470" s="3" t="str">
        <f>IF(ブーツ!AE12="","",ブーツ!AE12)</f>
        <v>ベースS</v>
      </c>
      <c r="F470" s="3" t="str">
        <f>IF(ブーツ!G12="","",ブーツ!G12)</f>
        <v/>
      </c>
      <c r="G470" s="3" t="str">
        <f>IF(ブーツ!H12="","",ブーツ!H12)</f>
        <v/>
      </c>
      <c r="H470" s="3"/>
      <c r="I470" s="3" t="str">
        <f>IF(ブーツ!AD12="","",ブーツ!AD12)</f>
        <v>/ソール</v>
      </c>
      <c r="J470" s="3" t="str">
        <f>IF(ブーツ!M12="","",ブーツ!M12)</f>
        <v/>
      </c>
      <c r="K470" s="3" t="str">
        <f>IF(ブーツ!N12="","",ブーツ!N12)</f>
        <v>サイズ</v>
      </c>
      <c r="L470" s="69" t="s">
        <v>80</v>
      </c>
      <c r="M470" s="69" t="s">
        <v>19</v>
      </c>
      <c r="N470" s="69" t="s">
        <v>20</v>
      </c>
      <c r="O470" s="69" t="s">
        <v>21</v>
      </c>
      <c r="P470" s="4" t="s">
        <v>3036</v>
      </c>
      <c r="Q470" s="4" t="s">
        <v>3038</v>
      </c>
      <c r="R470" s="69" t="s">
        <v>22</v>
      </c>
      <c r="S470" s="3" t="str">
        <f>ブーツ!AC12</f>
        <v>底長：約cm　底甲幅：約cm　ヒール：約cm 高さ：約cm　足入れ口円周：約cm</v>
      </c>
      <c r="T470" s="69" t="s">
        <v>22</v>
      </c>
      <c r="U470" s="69" t="s">
        <v>24</v>
      </c>
      <c r="V470" s="69" t="s">
        <v>25</v>
      </c>
      <c r="W470" s="69" t="s">
        <v>26</v>
      </c>
      <c r="X470" s="69" t="s">
        <v>27</v>
      </c>
      <c r="Y470" s="69" t="s">
        <v>28</v>
      </c>
      <c r="Z470" s="69" t="s">
        <v>29</v>
      </c>
      <c r="AA470" s="4"/>
      <c r="AB470" s="4"/>
      <c r="AC470" s="4"/>
      <c r="AD470" s="70"/>
      <c r="AE470" s="70">
        <f>ブーツ!AI12</f>
        <v>0</v>
      </c>
      <c r="AF470" s="70" t="str">
        <f>ブーツ!T12</f>
        <v>梱包サイズは大サイズになります。</v>
      </c>
      <c r="AG470" s="70">
        <v>0</v>
      </c>
      <c r="AH470" s="6">
        <f xml:space="preserve"> ブーツ!AG12</f>
        <v>0</v>
      </c>
      <c r="AI470">
        <v>1</v>
      </c>
      <c r="AJ470">
        <f>ブーツ!W12</f>
        <v>0</v>
      </c>
    </row>
    <row r="471" spans="1:36" ht="13.5" hidden="1" customHeight="1">
      <c r="A471" s="3" t="str">
        <f>IF(ブーツ!A13="","",ブーツ!A13)</f>
        <v/>
      </c>
      <c r="B471" s="68" t="str">
        <f>IF(ブーツ!B13="","",ブーツ!B13)</f>
        <v/>
      </c>
      <c r="C471" s="3" t="str">
        <f>IF(ブーツ!C13="","",ブーツ!C13)</f>
        <v>■ サイズ E</v>
      </c>
      <c r="D471" s="3" t="str">
        <f>IF(ブーツ!E13="","",ブーツ!E13)</f>
        <v>無</v>
      </c>
      <c r="E471" s="3" t="str">
        <f>IF(ブーツ!AE13="","",ブーツ!AE13)</f>
        <v>ベースS</v>
      </c>
      <c r="F471" s="3" t="str">
        <f>IF(ブーツ!G13="","",ブーツ!G13)</f>
        <v/>
      </c>
      <c r="G471" s="3" t="str">
        <f>IF(ブーツ!H13="","",ブーツ!H13)</f>
        <v/>
      </c>
      <c r="H471" s="3"/>
      <c r="I471" s="3" t="str">
        <f>IF(ブーツ!AD13="","",ブーツ!AD13)</f>
        <v>/ソール</v>
      </c>
      <c r="J471" s="3" t="str">
        <f>IF(ブーツ!M13="","",ブーツ!M13)</f>
        <v/>
      </c>
      <c r="K471" s="3" t="str">
        <f>IF(ブーツ!N13="","",ブーツ!N13)</f>
        <v>サイズ</v>
      </c>
      <c r="L471" s="69" t="s">
        <v>121</v>
      </c>
      <c r="M471" s="69" t="s">
        <v>19</v>
      </c>
      <c r="N471" s="69" t="s">
        <v>20</v>
      </c>
      <c r="O471" s="69" t="s">
        <v>21</v>
      </c>
      <c r="P471" s="4" t="s">
        <v>3036</v>
      </c>
      <c r="Q471" s="4" t="s">
        <v>3038</v>
      </c>
      <c r="R471" s="69" t="s">
        <v>22</v>
      </c>
      <c r="S471" s="3" t="str">
        <f>ブーツ!AC13</f>
        <v>底長：約cm　底甲幅：約cm　ヒール：約cm 高さ：約cm　足入れ口円周：約cm</v>
      </c>
      <c r="T471" s="69" t="s">
        <v>22</v>
      </c>
      <c r="U471" s="69" t="s">
        <v>24</v>
      </c>
      <c r="V471" s="69" t="s">
        <v>25</v>
      </c>
      <c r="W471" s="69" t="s">
        <v>26</v>
      </c>
      <c r="X471" s="69" t="s">
        <v>27</v>
      </c>
      <c r="Y471" s="69" t="s">
        <v>28</v>
      </c>
      <c r="Z471" s="69" t="s">
        <v>29</v>
      </c>
      <c r="AA471" s="4"/>
      <c r="AB471" s="4"/>
      <c r="AC471" s="4"/>
      <c r="AD471" s="70"/>
      <c r="AE471" s="70">
        <f>ブーツ!AI13</f>
        <v>0</v>
      </c>
      <c r="AF471" s="70" t="str">
        <f>ブーツ!T13</f>
        <v>梱包サイズは大サイズになります。</v>
      </c>
      <c r="AG471" s="70">
        <v>0</v>
      </c>
      <c r="AH471" s="6">
        <f xml:space="preserve"> ブーツ!AG13</f>
        <v>0</v>
      </c>
      <c r="AI471">
        <v>1</v>
      </c>
      <c r="AJ471">
        <f>ブーツ!W13</f>
        <v>0</v>
      </c>
    </row>
    <row r="472" spans="1:36" ht="13.5" hidden="1" customHeight="1">
      <c r="A472" s="3" t="str">
        <f>IF(ブーツ!A14="","",ブーツ!A14)</f>
        <v/>
      </c>
      <c r="B472" s="68" t="str">
        <f>IF(ブーツ!B14="","",ブーツ!B14)</f>
        <v/>
      </c>
      <c r="C472" s="3" t="str">
        <f>IF(ブーツ!C14="","",ブーツ!C14)</f>
        <v>■ サイズ E</v>
      </c>
      <c r="D472" s="3" t="str">
        <f>IF(ブーツ!E14="","",ブーツ!E14)</f>
        <v>無</v>
      </c>
      <c r="E472" s="3" t="str">
        <f>IF(ブーツ!AE14="","",ブーツ!AE14)</f>
        <v>ベースS</v>
      </c>
      <c r="F472" s="3" t="str">
        <f>IF(ブーツ!G14="","",ブーツ!G14)</f>
        <v/>
      </c>
      <c r="G472" s="3" t="str">
        <f>IF(ブーツ!H14="","",ブーツ!H14)</f>
        <v/>
      </c>
      <c r="H472" s="3"/>
      <c r="I472" s="3" t="str">
        <f>IF(ブーツ!AD14="","",ブーツ!AD14)</f>
        <v>/ソール</v>
      </c>
      <c r="J472" s="3" t="str">
        <f>IF(ブーツ!M14="","",ブーツ!M14)</f>
        <v/>
      </c>
      <c r="K472" s="3" t="str">
        <f>IF(ブーツ!N14="","",ブーツ!N14)</f>
        <v>サイズ</v>
      </c>
      <c r="L472" s="69" t="s">
        <v>80</v>
      </c>
      <c r="M472" s="69" t="s">
        <v>19</v>
      </c>
      <c r="N472" s="69" t="s">
        <v>20</v>
      </c>
      <c r="O472" s="69" t="s">
        <v>21</v>
      </c>
      <c r="P472" s="4" t="s">
        <v>3036</v>
      </c>
      <c r="Q472" s="4" t="s">
        <v>3038</v>
      </c>
      <c r="R472" s="69" t="s">
        <v>22</v>
      </c>
      <c r="S472" s="3" t="str">
        <f>ブーツ!AC14</f>
        <v>底長：約cm　底甲幅：約cm　ヒール：約cm 高さ：約cm　足入れ口円周：約cm</v>
      </c>
      <c r="T472" s="69" t="s">
        <v>22</v>
      </c>
      <c r="U472" s="69" t="s">
        <v>24</v>
      </c>
      <c r="V472" s="69" t="s">
        <v>25</v>
      </c>
      <c r="W472" s="69" t="s">
        <v>26</v>
      </c>
      <c r="X472" s="69" t="s">
        <v>27</v>
      </c>
      <c r="Y472" s="69" t="s">
        <v>28</v>
      </c>
      <c r="Z472" s="69" t="s">
        <v>29</v>
      </c>
      <c r="AA472" s="4"/>
      <c r="AB472" s="4"/>
      <c r="AC472" s="4"/>
      <c r="AD472" s="70"/>
      <c r="AE472" s="70">
        <f>ブーツ!AI14</f>
        <v>0</v>
      </c>
      <c r="AF472" s="70" t="str">
        <f>ブーツ!T14</f>
        <v>梱包サイズは大サイズになります。</v>
      </c>
      <c r="AG472" s="70">
        <v>0</v>
      </c>
      <c r="AH472" s="6">
        <f xml:space="preserve"> ブーツ!AG14</f>
        <v>0</v>
      </c>
      <c r="AI472">
        <v>1</v>
      </c>
      <c r="AJ472">
        <f>ブーツ!W14</f>
        <v>0</v>
      </c>
    </row>
    <row r="473" spans="1:36" ht="13.5" hidden="1" customHeight="1">
      <c r="A473" s="3" t="str">
        <f>IF(ブーツ!A15="","",ブーツ!A15)</f>
        <v/>
      </c>
      <c r="B473" s="68" t="str">
        <f>IF(ブーツ!B15="","",ブーツ!B15)</f>
        <v/>
      </c>
      <c r="C473" s="3" t="str">
        <f>IF(ブーツ!C15="","",ブーツ!C15)</f>
        <v>■ サイズ E</v>
      </c>
      <c r="D473" s="3" t="str">
        <f>IF(ブーツ!E15="","",ブーツ!E15)</f>
        <v>無</v>
      </c>
      <c r="E473" s="3" t="str">
        <f>IF(ブーツ!AE15="","",ブーツ!AE15)</f>
        <v>ベースS</v>
      </c>
      <c r="F473" s="3" t="str">
        <f>IF(ブーツ!G15="","",ブーツ!G15)</f>
        <v/>
      </c>
      <c r="G473" s="3" t="str">
        <f>IF(ブーツ!H15="","",ブーツ!H15)</f>
        <v/>
      </c>
      <c r="H473" s="3"/>
      <c r="I473" s="3" t="str">
        <f>IF(ブーツ!AD15="","",ブーツ!AD15)</f>
        <v>/ソール</v>
      </c>
      <c r="J473" s="3" t="str">
        <f>IF(ブーツ!M15="","",ブーツ!M15)</f>
        <v/>
      </c>
      <c r="K473" s="3" t="str">
        <f>IF(ブーツ!N15="","",ブーツ!N15)</f>
        <v>サイズ</v>
      </c>
      <c r="L473" s="69" t="s">
        <v>80</v>
      </c>
      <c r="M473" s="69" t="s">
        <v>19</v>
      </c>
      <c r="N473" s="69" t="s">
        <v>20</v>
      </c>
      <c r="O473" s="69" t="s">
        <v>21</v>
      </c>
      <c r="P473" s="4" t="s">
        <v>3036</v>
      </c>
      <c r="Q473" s="4" t="s">
        <v>3038</v>
      </c>
      <c r="R473" s="69" t="s">
        <v>22</v>
      </c>
      <c r="S473" s="3" t="str">
        <f>ブーツ!AC15</f>
        <v>底長：約cm　底甲幅：約cm　ヒール：約cm 高さ：約cm　足入れ口円周：約cm</v>
      </c>
      <c r="T473" s="69" t="s">
        <v>22</v>
      </c>
      <c r="U473" s="69" t="s">
        <v>24</v>
      </c>
      <c r="V473" s="69" t="s">
        <v>25</v>
      </c>
      <c r="W473" s="69" t="s">
        <v>26</v>
      </c>
      <c r="X473" s="69" t="s">
        <v>27</v>
      </c>
      <c r="Y473" s="69" t="s">
        <v>28</v>
      </c>
      <c r="Z473" s="69" t="s">
        <v>29</v>
      </c>
      <c r="AA473" s="4"/>
      <c r="AB473" s="4"/>
      <c r="AC473" s="4"/>
      <c r="AD473" s="70"/>
      <c r="AE473" s="70">
        <f>ブーツ!AI15</f>
        <v>0</v>
      </c>
      <c r="AF473" s="70" t="str">
        <f>ブーツ!T15</f>
        <v>梱包サイズは大サイズになります。</v>
      </c>
      <c r="AG473" s="70">
        <v>0</v>
      </c>
      <c r="AH473" s="6">
        <f xml:space="preserve"> ブーツ!AG15</f>
        <v>0</v>
      </c>
      <c r="AI473">
        <v>1</v>
      </c>
      <c r="AJ473">
        <f>ブーツ!W15</f>
        <v>0</v>
      </c>
    </row>
    <row r="474" spans="1:36" ht="13.5" hidden="1" customHeight="1">
      <c r="A474" s="3" t="str">
        <f>IF(ブーツ!A16="","",ブーツ!A16)</f>
        <v/>
      </c>
      <c r="B474" s="68" t="str">
        <f>IF(ブーツ!B16="","",ブーツ!B16)</f>
        <v/>
      </c>
      <c r="C474" s="3" t="str">
        <f>IF(ブーツ!C16="","",ブーツ!C16)</f>
        <v>■ サイズ E</v>
      </c>
      <c r="D474" s="3" t="str">
        <f>IF(ブーツ!E16="","",ブーツ!E16)</f>
        <v>無</v>
      </c>
      <c r="E474" s="3" t="str">
        <f>IF(ブーツ!AE16="","",ブーツ!AE16)</f>
        <v>ベースS</v>
      </c>
      <c r="F474" s="3" t="str">
        <f>IF(ブーツ!G16="","",ブーツ!G16)</f>
        <v/>
      </c>
      <c r="G474" s="3" t="str">
        <f>IF(ブーツ!H16="","",ブーツ!H16)</f>
        <v/>
      </c>
      <c r="H474" s="3"/>
      <c r="I474" s="3" t="str">
        <f>IF(ブーツ!AD16="","",ブーツ!AD16)</f>
        <v>/ソール</v>
      </c>
      <c r="J474" s="3" t="str">
        <f>IF(ブーツ!M16="","",ブーツ!M16)</f>
        <v/>
      </c>
      <c r="K474" s="3" t="str">
        <f>IF(ブーツ!N16="","",ブーツ!N16)</f>
        <v>サイズ</v>
      </c>
      <c r="L474" s="69" t="s">
        <v>80</v>
      </c>
      <c r="M474" s="69" t="s">
        <v>19</v>
      </c>
      <c r="N474" s="69" t="s">
        <v>20</v>
      </c>
      <c r="O474" s="69" t="s">
        <v>21</v>
      </c>
      <c r="P474" s="4" t="s">
        <v>3036</v>
      </c>
      <c r="Q474" s="4" t="s">
        <v>3038</v>
      </c>
      <c r="R474" s="69" t="s">
        <v>22</v>
      </c>
      <c r="S474" s="3" t="str">
        <f>ブーツ!AC16</f>
        <v>底長：約cm　底甲幅：約cm　ヒール：約cm 高さ：約cm　足入れ口円周：約cm</v>
      </c>
      <c r="T474" s="69" t="s">
        <v>22</v>
      </c>
      <c r="U474" s="69" t="s">
        <v>24</v>
      </c>
      <c r="V474" s="69" t="s">
        <v>25</v>
      </c>
      <c r="W474" s="69" t="s">
        <v>26</v>
      </c>
      <c r="X474" s="69" t="s">
        <v>27</v>
      </c>
      <c r="Y474" s="69" t="s">
        <v>28</v>
      </c>
      <c r="Z474" s="69" t="s">
        <v>29</v>
      </c>
      <c r="AA474" s="4"/>
      <c r="AB474" s="4"/>
      <c r="AC474" s="4"/>
      <c r="AD474" s="70"/>
      <c r="AE474" s="70">
        <f>ブーツ!AI16</f>
        <v>0</v>
      </c>
      <c r="AF474" s="70" t="str">
        <f>ブーツ!T16</f>
        <v>梱包サイズは大サイズになります。</v>
      </c>
      <c r="AG474" s="70">
        <v>0</v>
      </c>
      <c r="AH474" s="6">
        <f xml:space="preserve"> ブーツ!AG16</f>
        <v>0</v>
      </c>
      <c r="AI474">
        <v>1</v>
      </c>
      <c r="AJ474">
        <f>ブーツ!W16</f>
        <v>0</v>
      </c>
    </row>
    <row r="475" spans="1:36" ht="13.5" hidden="1" customHeight="1">
      <c r="A475" s="3" t="str">
        <f>IF(ブーツ!A17="","",ブーツ!A17)</f>
        <v/>
      </c>
      <c r="B475" s="68" t="str">
        <f>IF(ブーツ!B17="","",ブーツ!B17)</f>
        <v/>
      </c>
      <c r="C475" s="3" t="str">
        <f>IF(ブーツ!C17="","",ブーツ!C17)</f>
        <v>■ サイズ E</v>
      </c>
      <c r="D475" s="3" t="str">
        <f>IF(ブーツ!E17="","",ブーツ!E17)</f>
        <v>無</v>
      </c>
      <c r="E475" s="3" t="str">
        <f>IF(ブーツ!AE17="","",ブーツ!AE17)</f>
        <v>ベースS</v>
      </c>
      <c r="F475" s="3" t="str">
        <f>IF(ブーツ!G17="","",ブーツ!G17)</f>
        <v/>
      </c>
      <c r="G475" s="3" t="str">
        <f>IF(ブーツ!H17="","",ブーツ!H17)</f>
        <v/>
      </c>
      <c r="H475" s="3"/>
      <c r="I475" s="3" t="str">
        <f>IF(ブーツ!AD17="","",ブーツ!AD17)</f>
        <v>/ソール</v>
      </c>
      <c r="J475" s="3" t="str">
        <f>IF(ブーツ!M17="","",ブーツ!M17)</f>
        <v/>
      </c>
      <c r="K475" s="3" t="str">
        <f>IF(ブーツ!N17="","",ブーツ!N17)</f>
        <v>サイズ</v>
      </c>
      <c r="L475" s="69" t="s">
        <v>80</v>
      </c>
      <c r="M475" s="69" t="s">
        <v>19</v>
      </c>
      <c r="N475" s="69" t="s">
        <v>20</v>
      </c>
      <c r="O475" s="69" t="s">
        <v>21</v>
      </c>
      <c r="P475" s="4" t="s">
        <v>3036</v>
      </c>
      <c r="Q475" s="4" t="s">
        <v>3038</v>
      </c>
      <c r="R475" s="69" t="s">
        <v>22</v>
      </c>
      <c r="S475" s="3" t="str">
        <f>ブーツ!AC17</f>
        <v>底長：約cm　底甲幅：約cm　ヒール：約cm 高さ：約cm　足入れ口円周：約cm</v>
      </c>
      <c r="T475" s="69" t="s">
        <v>22</v>
      </c>
      <c r="U475" s="69" t="s">
        <v>24</v>
      </c>
      <c r="V475" s="69" t="s">
        <v>25</v>
      </c>
      <c r="W475" s="69" t="s">
        <v>26</v>
      </c>
      <c r="X475" s="69" t="s">
        <v>27</v>
      </c>
      <c r="Y475" s="69" t="s">
        <v>28</v>
      </c>
      <c r="Z475" s="69" t="s">
        <v>29</v>
      </c>
      <c r="AA475" s="4"/>
      <c r="AB475" s="4"/>
      <c r="AC475" s="4"/>
      <c r="AD475" s="70"/>
      <c r="AE475" s="70">
        <f>ブーツ!AI17</f>
        <v>0</v>
      </c>
      <c r="AF475" s="70" t="str">
        <f>ブーツ!T17</f>
        <v>梱包サイズは大サイズになります。</v>
      </c>
      <c r="AG475" s="70">
        <v>0</v>
      </c>
      <c r="AH475" s="6">
        <f xml:space="preserve"> ブーツ!AG17</f>
        <v>0</v>
      </c>
      <c r="AI475">
        <v>1</v>
      </c>
      <c r="AJ475">
        <f>ブーツ!W17</f>
        <v>0</v>
      </c>
    </row>
    <row r="476" spans="1:36" ht="13.5" hidden="1" customHeight="1">
      <c r="A476" s="3" t="str">
        <f>IF(ブーツ!A18="","",ブーツ!A18)</f>
        <v/>
      </c>
      <c r="B476" s="68" t="str">
        <f>IF(ブーツ!B18="","",ブーツ!B18)</f>
        <v/>
      </c>
      <c r="C476" s="3" t="str">
        <f>IF(ブーツ!C18="","",ブーツ!C18)</f>
        <v>■ サイズ E</v>
      </c>
      <c r="D476" s="3" t="str">
        <f>IF(ブーツ!E18="","",ブーツ!E18)</f>
        <v>無</v>
      </c>
      <c r="E476" s="3" t="str">
        <f>IF(ブーツ!AE18="","",ブーツ!AE18)</f>
        <v>ベースS</v>
      </c>
      <c r="F476" s="3" t="str">
        <f>IF(ブーツ!G18="","",ブーツ!G18)</f>
        <v/>
      </c>
      <c r="G476" s="3" t="str">
        <f>IF(ブーツ!H18="","",ブーツ!H18)</f>
        <v/>
      </c>
      <c r="H476" s="3"/>
      <c r="I476" s="3" t="str">
        <f>IF(ブーツ!AD18="","",ブーツ!AD18)</f>
        <v>/ソール</v>
      </c>
      <c r="J476" s="3" t="str">
        <f>IF(ブーツ!M18="","",ブーツ!M18)</f>
        <v/>
      </c>
      <c r="K476" s="3" t="str">
        <f>IF(ブーツ!N18="","",ブーツ!N18)</f>
        <v>サイズ</v>
      </c>
      <c r="L476" s="69" t="s">
        <v>80</v>
      </c>
      <c r="M476" s="69" t="s">
        <v>19</v>
      </c>
      <c r="N476" s="69" t="s">
        <v>20</v>
      </c>
      <c r="O476" s="69" t="s">
        <v>21</v>
      </c>
      <c r="P476" s="4" t="s">
        <v>3036</v>
      </c>
      <c r="Q476" s="4" t="s">
        <v>3038</v>
      </c>
      <c r="R476" s="69" t="s">
        <v>22</v>
      </c>
      <c r="S476" s="3" t="str">
        <f>ブーツ!AC18</f>
        <v>底長：約cm　底甲幅：約cm　ヒール：約cm 高さ：約cm　足入れ口円周：約cm</v>
      </c>
      <c r="T476" s="69" t="s">
        <v>22</v>
      </c>
      <c r="U476" s="69" t="s">
        <v>24</v>
      </c>
      <c r="V476" s="69" t="s">
        <v>25</v>
      </c>
      <c r="W476" s="69" t="s">
        <v>26</v>
      </c>
      <c r="X476" s="69" t="s">
        <v>27</v>
      </c>
      <c r="Y476" s="69" t="s">
        <v>28</v>
      </c>
      <c r="Z476" s="69" t="s">
        <v>29</v>
      </c>
      <c r="AA476" s="4"/>
      <c r="AB476" s="4"/>
      <c r="AC476" s="4"/>
      <c r="AD476" s="70"/>
      <c r="AE476" s="70">
        <f>ブーツ!AI18</f>
        <v>0</v>
      </c>
      <c r="AF476" s="70" t="str">
        <f>ブーツ!T18</f>
        <v>梱包サイズは大サイズになります。</v>
      </c>
      <c r="AG476" s="70">
        <v>0</v>
      </c>
      <c r="AH476" s="6">
        <f xml:space="preserve"> ブーツ!AG18</f>
        <v>0</v>
      </c>
      <c r="AI476">
        <v>1</v>
      </c>
      <c r="AJ476">
        <f>ブーツ!W18</f>
        <v>0</v>
      </c>
    </row>
    <row r="477" spans="1:36" ht="13.5" hidden="1" customHeight="1">
      <c r="A477" s="3" t="str">
        <f>IF(ブーツ!A19="","",ブーツ!A19)</f>
        <v/>
      </c>
      <c r="B477" s="68" t="str">
        <f>IF(ブーツ!B19="","",ブーツ!B19)</f>
        <v/>
      </c>
      <c r="C477" s="3" t="str">
        <f>IF(ブーツ!C19="","",ブーツ!C19)</f>
        <v>■ サイズ E</v>
      </c>
      <c r="D477" s="3" t="str">
        <f>IF(ブーツ!E19="","",ブーツ!E19)</f>
        <v>無</v>
      </c>
      <c r="E477" s="3" t="str">
        <f>IF(ブーツ!AE19="","",ブーツ!AE19)</f>
        <v>ベースS</v>
      </c>
      <c r="F477" s="3" t="str">
        <f>IF(ブーツ!G19="","",ブーツ!G19)</f>
        <v/>
      </c>
      <c r="G477" s="3" t="str">
        <f>IF(ブーツ!H19="","",ブーツ!H19)</f>
        <v/>
      </c>
      <c r="H477" s="3"/>
      <c r="I477" s="3" t="str">
        <f>IF(ブーツ!AD19="","",ブーツ!AD19)</f>
        <v>/ソール</v>
      </c>
      <c r="J477" s="3" t="str">
        <f>IF(ブーツ!M19="","",ブーツ!M19)</f>
        <v/>
      </c>
      <c r="K477" s="3" t="str">
        <f>IF(ブーツ!N19="","",ブーツ!N19)</f>
        <v>サイズ</v>
      </c>
      <c r="L477" s="69" t="s">
        <v>80</v>
      </c>
      <c r="M477" s="69" t="s">
        <v>19</v>
      </c>
      <c r="N477" s="69" t="s">
        <v>20</v>
      </c>
      <c r="O477" s="69" t="s">
        <v>21</v>
      </c>
      <c r="P477" s="4" t="s">
        <v>3036</v>
      </c>
      <c r="Q477" s="4" t="s">
        <v>3038</v>
      </c>
      <c r="R477" s="69" t="s">
        <v>22</v>
      </c>
      <c r="S477" s="3" t="str">
        <f>ブーツ!AC19</f>
        <v>底長：約cm　底甲幅：約cm　ヒール：約cm 高さ：約cm　足入れ口円周：約cm</v>
      </c>
      <c r="T477" s="69" t="s">
        <v>22</v>
      </c>
      <c r="U477" s="69" t="s">
        <v>24</v>
      </c>
      <c r="V477" s="69" t="s">
        <v>25</v>
      </c>
      <c r="W477" s="69" t="s">
        <v>26</v>
      </c>
      <c r="X477" s="69" t="s">
        <v>27</v>
      </c>
      <c r="Y477" s="69" t="s">
        <v>28</v>
      </c>
      <c r="Z477" s="69" t="s">
        <v>29</v>
      </c>
      <c r="AA477" s="4"/>
      <c r="AB477" s="4"/>
      <c r="AC477" s="4"/>
      <c r="AD477" s="70"/>
      <c r="AE477" s="70">
        <f>ブーツ!AI19</f>
        <v>0</v>
      </c>
      <c r="AF477" s="70" t="str">
        <f>ブーツ!T19</f>
        <v>梱包サイズは大サイズになります。</v>
      </c>
      <c r="AG477" s="70">
        <v>0</v>
      </c>
      <c r="AH477" s="6">
        <f xml:space="preserve"> ブーツ!AG19</f>
        <v>0</v>
      </c>
      <c r="AI477">
        <v>1</v>
      </c>
      <c r="AJ477">
        <f>ブーツ!W19</f>
        <v>0</v>
      </c>
    </row>
    <row r="478" spans="1:36" ht="13.5" hidden="1" customHeight="1">
      <c r="A478" s="3" t="str">
        <f>IF(ブーツ!A20="","",ブーツ!A20)</f>
        <v/>
      </c>
      <c r="B478" s="68" t="str">
        <f>IF(ブーツ!B20="","",ブーツ!B20)</f>
        <v/>
      </c>
      <c r="C478" s="3" t="str">
        <f>IF(ブーツ!C20="","",ブーツ!C20)</f>
        <v>■ サイズ E</v>
      </c>
      <c r="D478" s="3" t="str">
        <f>IF(ブーツ!E20="","",ブーツ!E20)</f>
        <v>無</v>
      </c>
      <c r="E478" s="3" t="str">
        <f>IF(ブーツ!AE20="","",ブーツ!AE20)</f>
        <v>ベースS</v>
      </c>
      <c r="F478" s="3" t="str">
        <f>IF(ブーツ!G20="","",ブーツ!G20)</f>
        <v/>
      </c>
      <c r="G478" s="3" t="str">
        <f>IF(ブーツ!H20="","",ブーツ!H20)</f>
        <v/>
      </c>
      <c r="H478" s="3"/>
      <c r="I478" s="3" t="str">
        <f>IF(ブーツ!AD20="","",ブーツ!AD20)</f>
        <v>/ソール</v>
      </c>
      <c r="J478" s="3" t="str">
        <f>IF(ブーツ!M20="","",ブーツ!M20)</f>
        <v/>
      </c>
      <c r="K478" s="3" t="str">
        <f>IF(ブーツ!N20="","",ブーツ!N20)</f>
        <v>サイズ</v>
      </c>
      <c r="L478" s="69" t="s">
        <v>80</v>
      </c>
      <c r="M478" s="69" t="s">
        <v>19</v>
      </c>
      <c r="N478" s="69" t="s">
        <v>20</v>
      </c>
      <c r="O478" s="69" t="s">
        <v>21</v>
      </c>
      <c r="P478" s="4" t="s">
        <v>3036</v>
      </c>
      <c r="Q478" s="4" t="s">
        <v>3038</v>
      </c>
      <c r="R478" s="69" t="s">
        <v>22</v>
      </c>
      <c r="S478" s="3" t="str">
        <f>ブーツ!AC20</f>
        <v>底長：約cm　底甲幅：約cm　ヒール：約cm 高さ：約cm　足入れ口円周：約cm</v>
      </c>
      <c r="T478" s="69" t="s">
        <v>22</v>
      </c>
      <c r="U478" s="69" t="s">
        <v>24</v>
      </c>
      <c r="V478" s="69" t="s">
        <v>25</v>
      </c>
      <c r="W478" s="69" t="s">
        <v>26</v>
      </c>
      <c r="X478" s="69" t="s">
        <v>27</v>
      </c>
      <c r="Y478" s="69" t="s">
        <v>28</v>
      </c>
      <c r="Z478" s="69" t="s">
        <v>29</v>
      </c>
      <c r="AA478" s="4"/>
      <c r="AB478" s="4"/>
      <c r="AC478" s="4"/>
      <c r="AD478" s="70"/>
      <c r="AE478" s="70">
        <f>ブーツ!AI20</f>
        <v>0</v>
      </c>
      <c r="AF478" s="70" t="str">
        <f>ブーツ!T20</f>
        <v>梱包サイズは大サイズになります。</v>
      </c>
      <c r="AG478" s="70">
        <v>0</v>
      </c>
      <c r="AH478" s="6">
        <f xml:space="preserve"> ブーツ!AG20</f>
        <v>0</v>
      </c>
      <c r="AI478">
        <v>1</v>
      </c>
      <c r="AJ478">
        <f>ブーツ!W20</f>
        <v>0</v>
      </c>
    </row>
    <row r="479" spans="1:36" ht="13.5" hidden="1" customHeight="1">
      <c r="A479" s="3" t="str">
        <f>IF(ブーツ!A21="","",ブーツ!A21)</f>
        <v/>
      </c>
      <c r="B479" s="68" t="str">
        <f>IF(ブーツ!B21="","",ブーツ!B21)</f>
        <v/>
      </c>
      <c r="C479" s="3" t="str">
        <f>IF(ブーツ!C21="","",ブーツ!C21)</f>
        <v>■ サイズ E</v>
      </c>
      <c r="D479" s="3" t="str">
        <f>IF(ブーツ!E21="","",ブーツ!E21)</f>
        <v>無</v>
      </c>
      <c r="E479" s="3" t="str">
        <f>IF(ブーツ!AE21="","",ブーツ!AE21)</f>
        <v>ベースS</v>
      </c>
      <c r="F479" s="3" t="str">
        <f>IF(ブーツ!G21="","",ブーツ!G21)</f>
        <v/>
      </c>
      <c r="G479" s="3" t="str">
        <f>IF(ブーツ!H21="","",ブーツ!H21)</f>
        <v/>
      </c>
      <c r="H479" s="3"/>
      <c r="I479" s="3" t="str">
        <f>IF(ブーツ!AD21="","",ブーツ!AD21)</f>
        <v>/ソール</v>
      </c>
      <c r="J479" s="3" t="str">
        <f>IF(ブーツ!M21="","",ブーツ!M21)</f>
        <v/>
      </c>
      <c r="K479" s="3" t="str">
        <f>IF(ブーツ!N21="","",ブーツ!N21)</f>
        <v>サイズ</v>
      </c>
      <c r="L479" s="69" t="s">
        <v>80</v>
      </c>
      <c r="M479" s="69" t="s">
        <v>19</v>
      </c>
      <c r="N479" s="69" t="s">
        <v>20</v>
      </c>
      <c r="O479" s="69" t="s">
        <v>21</v>
      </c>
      <c r="P479" s="4" t="s">
        <v>3036</v>
      </c>
      <c r="Q479" s="4" t="s">
        <v>3038</v>
      </c>
      <c r="R479" s="69" t="s">
        <v>22</v>
      </c>
      <c r="S479" s="3" t="str">
        <f>ブーツ!AC21</f>
        <v>底長：約cm　底甲幅：約cm　ヒール：約cm 高さ：約cm　足入れ口円周：約cm</v>
      </c>
      <c r="T479" s="69" t="s">
        <v>22</v>
      </c>
      <c r="U479" s="69" t="s">
        <v>24</v>
      </c>
      <c r="V479" s="69" t="s">
        <v>25</v>
      </c>
      <c r="W479" s="69" t="s">
        <v>26</v>
      </c>
      <c r="X479" s="69" t="s">
        <v>27</v>
      </c>
      <c r="Y479" s="69" t="s">
        <v>28</v>
      </c>
      <c r="Z479" s="69" t="s">
        <v>29</v>
      </c>
      <c r="AA479" s="4"/>
      <c r="AB479" s="4"/>
      <c r="AC479" s="4"/>
      <c r="AD479" s="70"/>
      <c r="AE479" s="70">
        <f>ブーツ!AI21</f>
        <v>0</v>
      </c>
      <c r="AF479" s="70" t="str">
        <f>ブーツ!T21</f>
        <v>梱包サイズは大サイズになります。</v>
      </c>
      <c r="AG479" s="70">
        <v>0</v>
      </c>
      <c r="AH479" s="6">
        <f xml:space="preserve"> ブーツ!AG21</f>
        <v>0</v>
      </c>
      <c r="AI479">
        <v>1</v>
      </c>
      <c r="AJ479">
        <f>ブーツ!W21</f>
        <v>0</v>
      </c>
    </row>
    <row r="480" spans="1:36" ht="13.5" hidden="1" customHeight="1">
      <c r="A480" s="3" t="str">
        <f>IF(ブーツ!A22="","",ブーツ!A22)</f>
        <v/>
      </c>
      <c r="B480" s="68" t="str">
        <f>IF(ブーツ!B22="","",ブーツ!B22)</f>
        <v/>
      </c>
      <c r="C480" s="3" t="str">
        <f>IF(ブーツ!C22="","",ブーツ!C22)</f>
        <v>■ サイズ E</v>
      </c>
      <c r="D480" s="3" t="str">
        <f>IF(ブーツ!E22="","",ブーツ!E22)</f>
        <v>無</v>
      </c>
      <c r="E480" s="3" t="str">
        <f>IF(ブーツ!AE22="","",ブーツ!AE22)</f>
        <v>ベースS</v>
      </c>
      <c r="F480" s="3" t="str">
        <f>IF(ブーツ!G22="","",ブーツ!G22)</f>
        <v/>
      </c>
      <c r="G480" s="3" t="str">
        <f>IF(ブーツ!H22="","",ブーツ!H22)</f>
        <v/>
      </c>
      <c r="H480" s="3"/>
      <c r="I480" s="3" t="str">
        <f>IF(ブーツ!AD22="","",ブーツ!AD22)</f>
        <v>/ソール</v>
      </c>
      <c r="J480" s="3" t="str">
        <f>IF(ブーツ!M22="","",ブーツ!M22)</f>
        <v/>
      </c>
      <c r="K480" s="3" t="str">
        <f>IF(ブーツ!N22="","",ブーツ!N22)</f>
        <v>サイズ</v>
      </c>
      <c r="L480" s="69" t="s">
        <v>80</v>
      </c>
      <c r="M480" s="69" t="s">
        <v>19</v>
      </c>
      <c r="N480" s="69" t="s">
        <v>20</v>
      </c>
      <c r="O480" s="69" t="s">
        <v>21</v>
      </c>
      <c r="P480" s="4" t="s">
        <v>3036</v>
      </c>
      <c r="Q480" s="4" t="s">
        <v>3038</v>
      </c>
      <c r="R480" s="69" t="s">
        <v>22</v>
      </c>
      <c r="S480" s="3" t="str">
        <f>ブーツ!AC22</f>
        <v>底長：約cm　底甲幅：約cm　ヒール：約cm 高さ：約cm　足入れ口円周：約cm</v>
      </c>
      <c r="T480" s="69" t="s">
        <v>22</v>
      </c>
      <c r="U480" s="69" t="s">
        <v>24</v>
      </c>
      <c r="V480" s="69" t="s">
        <v>25</v>
      </c>
      <c r="W480" s="69" t="s">
        <v>26</v>
      </c>
      <c r="X480" s="69" t="s">
        <v>27</v>
      </c>
      <c r="Y480" s="69" t="s">
        <v>28</v>
      </c>
      <c r="Z480" s="69" t="s">
        <v>29</v>
      </c>
      <c r="AA480" s="4"/>
      <c r="AB480" s="4"/>
      <c r="AC480" s="4"/>
      <c r="AD480" s="70"/>
      <c r="AE480" s="70">
        <f>ブーツ!AI22</f>
        <v>0</v>
      </c>
      <c r="AF480" s="70" t="str">
        <f>ブーツ!T22</f>
        <v>梱包サイズは大サイズになります。</v>
      </c>
      <c r="AG480" s="70">
        <v>0</v>
      </c>
      <c r="AH480" s="6">
        <f xml:space="preserve"> ブーツ!AG22</f>
        <v>0</v>
      </c>
      <c r="AI480">
        <v>1</v>
      </c>
      <c r="AJ480">
        <f>ブーツ!W22</f>
        <v>0</v>
      </c>
    </row>
    <row r="481" spans="1:36" ht="13.5" hidden="1" customHeight="1">
      <c r="A481" s="3" t="str">
        <f>IF(ブーツ!A23="","",ブーツ!A23)</f>
        <v/>
      </c>
      <c r="B481" s="68" t="str">
        <f>IF(ブーツ!B23="","",ブーツ!B23)</f>
        <v/>
      </c>
      <c r="C481" s="3" t="str">
        <f>IF(ブーツ!C23="","",ブーツ!C23)</f>
        <v>■ サイズ E</v>
      </c>
      <c r="D481" s="3" t="str">
        <f>IF(ブーツ!E23="","",ブーツ!E23)</f>
        <v>無</v>
      </c>
      <c r="E481" s="3" t="str">
        <f>IF(ブーツ!AE23="","",ブーツ!AE23)</f>
        <v>ベースS</v>
      </c>
      <c r="F481" s="3" t="str">
        <f>IF(ブーツ!G23="","",ブーツ!G23)</f>
        <v/>
      </c>
      <c r="G481" s="3" t="str">
        <f>IF(ブーツ!H23="","",ブーツ!H23)</f>
        <v/>
      </c>
      <c r="H481" s="3"/>
      <c r="I481" s="3" t="str">
        <f>IF(ブーツ!AD23="","",ブーツ!AD23)</f>
        <v>/ソール</v>
      </c>
      <c r="J481" s="3" t="str">
        <f>IF(ブーツ!M23="","",ブーツ!M23)</f>
        <v/>
      </c>
      <c r="K481" s="3" t="str">
        <f>IF(ブーツ!N23="","",ブーツ!N23)</f>
        <v>サイズ</v>
      </c>
      <c r="L481" s="69" t="s">
        <v>80</v>
      </c>
      <c r="M481" s="69" t="s">
        <v>19</v>
      </c>
      <c r="N481" s="69" t="s">
        <v>20</v>
      </c>
      <c r="O481" s="69" t="s">
        <v>21</v>
      </c>
      <c r="P481" s="4" t="s">
        <v>3036</v>
      </c>
      <c r="Q481" s="4" t="s">
        <v>3038</v>
      </c>
      <c r="R481" s="69" t="s">
        <v>22</v>
      </c>
      <c r="S481" s="3" t="str">
        <f>ブーツ!AC23</f>
        <v>底長：約cm　底甲幅：約cm　ヒール：約cm 高さ：約cm　足入れ口円周：約cm</v>
      </c>
      <c r="T481" s="69" t="s">
        <v>22</v>
      </c>
      <c r="U481" s="69" t="s">
        <v>24</v>
      </c>
      <c r="V481" s="69" t="s">
        <v>25</v>
      </c>
      <c r="W481" s="69" t="s">
        <v>26</v>
      </c>
      <c r="X481" s="69" t="s">
        <v>27</v>
      </c>
      <c r="Y481" s="69" t="s">
        <v>28</v>
      </c>
      <c r="Z481" s="69" t="s">
        <v>29</v>
      </c>
      <c r="AA481" s="4"/>
      <c r="AB481" s="4"/>
      <c r="AC481" s="4"/>
      <c r="AD481" s="70"/>
      <c r="AE481" s="70">
        <f>ブーツ!AI23</f>
        <v>0</v>
      </c>
      <c r="AF481" s="70" t="str">
        <f>ブーツ!T23</f>
        <v>梱包サイズは大サイズになります。</v>
      </c>
      <c r="AG481" s="70">
        <v>0</v>
      </c>
      <c r="AH481" s="6">
        <f xml:space="preserve"> ブーツ!AG23</f>
        <v>0</v>
      </c>
      <c r="AI481">
        <v>1</v>
      </c>
      <c r="AJ481">
        <f>ブーツ!W23</f>
        <v>0</v>
      </c>
    </row>
    <row r="482" spans="1:36" ht="13.5" hidden="1" customHeight="1">
      <c r="A482" s="3" t="str">
        <f>IF(ブーツ!A24="","",ブーツ!A24)</f>
        <v/>
      </c>
      <c r="B482" s="68" t="str">
        <f>IF(ブーツ!B24="","",ブーツ!B24)</f>
        <v/>
      </c>
      <c r="C482" s="3" t="str">
        <f>IF(ブーツ!C24="","",ブーツ!C24)</f>
        <v>■ サイズ E</v>
      </c>
      <c r="D482" s="3" t="str">
        <f>IF(ブーツ!E24="","",ブーツ!E24)</f>
        <v>無</v>
      </c>
      <c r="E482" s="3" t="str">
        <f>IF(ブーツ!AE24="","",ブーツ!AE24)</f>
        <v>ベースS</v>
      </c>
      <c r="F482" s="3" t="str">
        <f>IF(ブーツ!G24="","",ブーツ!G24)</f>
        <v/>
      </c>
      <c r="G482" s="3" t="str">
        <f>IF(ブーツ!H24="","",ブーツ!H24)</f>
        <v/>
      </c>
      <c r="H482" s="3"/>
      <c r="I482" s="3" t="str">
        <f>IF(ブーツ!AD24="","",ブーツ!AD24)</f>
        <v>/ソール</v>
      </c>
      <c r="J482" s="3" t="str">
        <f>IF(ブーツ!M24="","",ブーツ!M24)</f>
        <v/>
      </c>
      <c r="K482" s="3" t="str">
        <f>IF(ブーツ!N24="","",ブーツ!N24)</f>
        <v>サイズ</v>
      </c>
      <c r="L482" s="69" t="s">
        <v>80</v>
      </c>
      <c r="M482" s="69" t="s">
        <v>19</v>
      </c>
      <c r="N482" s="69" t="s">
        <v>20</v>
      </c>
      <c r="O482" s="69" t="s">
        <v>21</v>
      </c>
      <c r="P482" s="4" t="s">
        <v>3036</v>
      </c>
      <c r="Q482" s="4" t="s">
        <v>3038</v>
      </c>
      <c r="R482" s="69" t="s">
        <v>22</v>
      </c>
      <c r="S482" s="3" t="str">
        <f>ブーツ!AC24</f>
        <v>底長：約cm　底甲幅：約cm　ヒール：約cm 高さ：約cm　足入れ口円周：約cm</v>
      </c>
      <c r="T482" s="69" t="s">
        <v>22</v>
      </c>
      <c r="U482" s="69" t="s">
        <v>24</v>
      </c>
      <c r="V482" s="69" t="s">
        <v>25</v>
      </c>
      <c r="W482" s="69" t="s">
        <v>26</v>
      </c>
      <c r="X482" s="69" t="s">
        <v>27</v>
      </c>
      <c r="Y482" s="69" t="s">
        <v>28</v>
      </c>
      <c r="Z482" s="69" t="s">
        <v>29</v>
      </c>
      <c r="AA482" s="4"/>
      <c r="AB482" s="4"/>
      <c r="AC482" s="4"/>
      <c r="AD482" s="70"/>
      <c r="AE482" s="70">
        <f>ブーツ!AI24</f>
        <v>0</v>
      </c>
      <c r="AF482" s="70" t="str">
        <f>ブーツ!T24</f>
        <v>梱包サイズは大サイズになります。</v>
      </c>
      <c r="AG482" s="70">
        <v>0</v>
      </c>
      <c r="AH482" s="6">
        <f xml:space="preserve"> ブーツ!AG24</f>
        <v>0</v>
      </c>
      <c r="AI482">
        <v>1</v>
      </c>
      <c r="AJ482">
        <f>ブーツ!W24</f>
        <v>0</v>
      </c>
    </row>
    <row r="483" spans="1:36" ht="13.5" hidden="1" customHeight="1">
      <c r="A483" s="3" t="str">
        <f>IF(ブーツ!A25="","",ブーツ!A25)</f>
        <v/>
      </c>
      <c r="B483" s="68" t="str">
        <f>IF(ブーツ!B25="","",ブーツ!B25)</f>
        <v/>
      </c>
      <c r="C483" s="3" t="str">
        <f>IF(ブーツ!C25="","",ブーツ!C25)</f>
        <v>■ サイズ E</v>
      </c>
      <c r="D483" s="3" t="str">
        <f>IF(ブーツ!E25="","",ブーツ!E25)</f>
        <v>無</v>
      </c>
      <c r="E483" s="3" t="str">
        <f>IF(ブーツ!AE25="","",ブーツ!AE25)</f>
        <v>ベースS</v>
      </c>
      <c r="F483" s="3" t="str">
        <f>IF(ブーツ!G25="","",ブーツ!G25)</f>
        <v/>
      </c>
      <c r="G483" s="3" t="str">
        <f>IF(ブーツ!H25="","",ブーツ!H25)</f>
        <v/>
      </c>
      <c r="H483" s="3"/>
      <c r="I483" s="3" t="str">
        <f>IF(ブーツ!AD25="","",ブーツ!AD25)</f>
        <v>/ソール</v>
      </c>
      <c r="J483" s="3" t="str">
        <f>IF(ブーツ!M25="","",ブーツ!M25)</f>
        <v/>
      </c>
      <c r="K483" s="3" t="str">
        <f>IF(ブーツ!N25="","",ブーツ!N25)</f>
        <v>サイズ</v>
      </c>
      <c r="L483" s="69" t="s">
        <v>80</v>
      </c>
      <c r="M483" s="69" t="s">
        <v>19</v>
      </c>
      <c r="N483" s="69" t="s">
        <v>20</v>
      </c>
      <c r="O483" s="69" t="s">
        <v>21</v>
      </c>
      <c r="P483" s="4" t="s">
        <v>3036</v>
      </c>
      <c r="Q483" s="4" t="s">
        <v>3038</v>
      </c>
      <c r="R483" s="69" t="s">
        <v>22</v>
      </c>
      <c r="S483" s="3" t="str">
        <f>ブーツ!AC25</f>
        <v>底長：約cm　底甲幅：約cm　ヒール：約cm 高さ：約cm　足入れ口円周：約cm</v>
      </c>
      <c r="T483" s="69" t="s">
        <v>22</v>
      </c>
      <c r="U483" s="69" t="s">
        <v>24</v>
      </c>
      <c r="V483" s="69" t="s">
        <v>25</v>
      </c>
      <c r="W483" s="69" t="s">
        <v>26</v>
      </c>
      <c r="X483" s="69" t="s">
        <v>27</v>
      </c>
      <c r="Y483" s="69" t="s">
        <v>28</v>
      </c>
      <c r="Z483" s="69" t="s">
        <v>29</v>
      </c>
      <c r="AA483" s="4"/>
      <c r="AB483" s="4"/>
      <c r="AC483" s="4"/>
      <c r="AD483" s="70"/>
      <c r="AE483" s="70">
        <f>ブーツ!AI25</f>
        <v>0</v>
      </c>
      <c r="AF483" s="70" t="str">
        <f>ブーツ!T25</f>
        <v>梱包サイズは大サイズになります。</v>
      </c>
      <c r="AG483" s="70">
        <v>0</v>
      </c>
      <c r="AH483" s="6">
        <f xml:space="preserve"> ブーツ!AG25</f>
        <v>0</v>
      </c>
      <c r="AI483">
        <v>1</v>
      </c>
      <c r="AJ483">
        <f>ブーツ!W25</f>
        <v>0</v>
      </c>
    </row>
    <row r="484" spans="1:36" ht="13.5" hidden="1" customHeight="1">
      <c r="A484" s="3" t="str">
        <f>IF(ブーツ!A26="","",ブーツ!A26)</f>
        <v/>
      </c>
      <c r="B484" s="68" t="str">
        <f>IF(ブーツ!B26="","",ブーツ!B26)</f>
        <v/>
      </c>
      <c r="C484" s="3" t="str">
        <f>IF(ブーツ!C26="","",ブーツ!C26)</f>
        <v>■ サイズ E</v>
      </c>
      <c r="D484" s="3" t="str">
        <f>IF(ブーツ!E26="","",ブーツ!E26)</f>
        <v>無</v>
      </c>
      <c r="E484" s="3" t="str">
        <f>IF(ブーツ!AE26="","",ブーツ!AE26)</f>
        <v>ベースS</v>
      </c>
      <c r="F484" s="3" t="str">
        <f>IF(ブーツ!G26="","",ブーツ!G26)</f>
        <v/>
      </c>
      <c r="G484" s="3" t="str">
        <f>IF(ブーツ!H26="","",ブーツ!H26)</f>
        <v/>
      </c>
      <c r="H484" s="3"/>
      <c r="I484" s="3" t="str">
        <f>IF(ブーツ!AD26="","",ブーツ!AD26)</f>
        <v>/ソール</v>
      </c>
      <c r="J484" s="3" t="str">
        <f>IF(ブーツ!M26="","",ブーツ!M26)</f>
        <v/>
      </c>
      <c r="K484" s="3" t="str">
        <f>IF(ブーツ!N26="","",ブーツ!N26)</f>
        <v>サイズ</v>
      </c>
      <c r="L484" s="69" t="s">
        <v>80</v>
      </c>
      <c r="M484" s="69" t="s">
        <v>19</v>
      </c>
      <c r="N484" s="69" t="s">
        <v>20</v>
      </c>
      <c r="O484" s="69" t="s">
        <v>21</v>
      </c>
      <c r="P484" s="4" t="s">
        <v>3036</v>
      </c>
      <c r="Q484" s="4" t="s">
        <v>3038</v>
      </c>
      <c r="R484" s="69" t="s">
        <v>22</v>
      </c>
      <c r="S484" s="3" t="str">
        <f>ブーツ!AC26</f>
        <v>底長：約cm　底甲幅：約cm　ヒール：約cm 高さ：約cm　足入れ口円周：約cm</v>
      </c>
      <c r="T484" s="69" t="s">
        <v>22</v>
      </c>
      <c r="U484" s="69" t="s">
        <v>24</v>
      </c>
      <c r="V484" s="69" t="s">
        <v>25</v>
      </c>
      <c r="W484" s="69" t="s">
        <v>26</v>
      </c>
      <c r="X484" s="69" t="s">
        <v>27</v>
      </c>
      <c r="Y484" s="69" t="s">
        <v>28</v>
      </c>
      <c r="Z484" s="69" t="s">
        <v>29</v>
      </c>
      <c r="AA484" s="4"/>
      <c r="AB484" s="4"/>
      <c r="AC484" s="4"/>
      <c r="AD484" s="70"/>
      <c r="AE484" s="70">
        <f>ブーツ!AI26</f>
        <v>0</v>
      </c>
      <c r="AF484" s="70" t="str">
        <f>ブーツ!T26</f>
        <v>梱包サイズは大サイズになります。</v>
      </c>
      <c r="AG484" s="70">
        <v>0</v>
      </c>
      <c r="AH484" s="6">
        <f xml:space="preserve"> ブーツ!AG26</f>
        <v>0</v>
      </c>
      <c r="AI484">
        <v>1</v>
      </c>
      <c r="AJ484">
        <f>ブーツ!W26</f>
        <v>0</v>
      </c>
    </row>
    <row r="485" spans="1:36" ht="13.5" hidden="1" customHeight="1">
      <c r="A485" s="3" t="str">
        <f>IF(ブーツ!A27="","",ブーツ!A27)</f>
        <v/>
      </c>
      <c r="B485" s="68" t="str">
        <f>IF(ブーツ!B27="","",ブーツ!B27)</f>
        <v/>
      </c>
      <c r="C485" s="3" t="str">
        <f>IF(ブーツ!C27="","",ブーツ!C27)</f>
        <v>■ サイズ E</v>
      </c>
      <c r="D485" s="3" t="str">
        <f>IF(ブーツ!E27="","",ブーツ!E27)</f>
        <v>無</v>
      </c>
      <c r="E485" s="3" t="str">
        <f>IF(ブーツ!AE27="","",ブーツ!AE27)</f>
        <v>ベースS</v>
      </c>
      <c r="F485" s="3" t="str">
        <f>IF(ブーツ!G27="","",ブーツ!G27)</f>
        <v/>
      </c>
      <c r="G485" s="3" t="str">
        <f>IF(ブーツ!H27="","",ブーツ!H27)</f>
        <v/>
      </c>
      <c r="H485" s="3"/>
      <c r="I485" s="3" t="str">
        <f>IF(ブーツ!AD27="","",ブーツ!AD27)</f>
        <v>/ソール</v>
      </c>
      <c r="J485" s="3" t="str">
        <f>IF(ブーツ!M27="","",ブーツ!M27)</f>
        <v/>
      </c>
      <c r="K485" s="3" t="str">
        <f>IF(ブーツ!N27="","",ブーツ!N27)</f>
        <v>サイズ</v>
      </c>
      <c r="L485" s="69" t="s">
        <v>80</v>
      </c>
      <c r="M485" s="69" t="s">
        <v>19</v>
      </c>
      <c r="N485" s="69" t="s">
        <v>20</v>
      </c>
      <c r="O485" s="69" t="s">
        <v>21</v>
      </c>
      <c r="P485" s="4" t="s">
        <v>3036</v>
      </c>
      <c r="Q485" s="4" t="s">
        <v>3038</v>
      </c>
      <c r="R485" s="69" t="s">
        <v>22</v>
      </c>
      <c r="S485" s="3" t="str">
        <f>ブーツ!AC27</f>
        <v>底長：約cm　底甲幅：約cm　ヒール：約cm 高さ：約cm　足入れ口円周：約cm</v>
      </c>
      <c r="T485" s="69" t="s">
        <v>22</v>
      </c>
      <c r="U485" s="69" t="s">
        <v>24</v>
      </c>
      <c r="V485" s="69" t="s">
        <v>25</v>
      </c>
      <c r="W485" s="69" t="s">
        <v>26</v>
      </c>
      <c r="X485" s="69" t="s">
        <v>27</v>
      </c>
      <c r="Y485" s="69" t="s">
        <v>28</v>
      </c>
      <c r="Z485" s="69" t="s">
        <v>29</v>
      </c>
      <c r="AA485" s="4"/>
      <c r="AB485" s="4"/>
      <c r="AC485" s="4"/>
      <c r="AD485" s="70"/>
      <c r="AE485" s="70">
        <f>ブーツ!AI27</f>
        <v>0</v>
      </c>
      <c r="AF485" s="70" t="str">
        <f>ブーツ!T27</f>
        <v>梱包サイズは大サイズになります。</v>
      </c>
      <c r="AG485" s="70">
        <v>0</v>
      </c>
      <c r="AH485" s="6">
        <f xml:space="preserve"> ブーツ!AG27</f>
        <v>0</v>
      </c>
      <c r="AI485">
        <v>1</v>
      </c>
      <c r="AJ485">
        <f>ブーツ!W27</f>
        <v>0</v>
      </c>
    </row>
    <row r="486" spans="1:36" ht="13.5" hidden="1" customHeight="1">
      <c r="A486" s="3" t="str">
        <f>IF(ブーツ!A28="","",ブーツ!A28)</f>
        <v/>
      </c>
      <c r="B486" s="68" t="str">
        <f>IF(ブーツ!B28="","",ブーツ!B28)</f>
        <v/>
      </c>
      <c r="C486" s="3" t="str">
        <f>IF(ブーツ!C28="","",ブーツ!C28)</f>
        <v>■ サイズ E</v>
      </c>
      <c r="D486" s="3" t="str">
        <f>IF(ブーツ!E28="","",ブーツ!E28)</f>
        <v>無</v>
      </c>
      <c r="E486" s="3" t="str">
        <f>IF(ブーツ!AE28="","",ブーツ!AE28)</f>
        <v>ベースS</v>
      </c>
      <c r="F486" s="3" t="str">
        <f>IF(ブーツ!G28="","",ブーツ!G28)</f>
        <v/>
      </c>
      <c r="G486" s="3" t="str">
        <f>IF(ブーツ!H28="","",ブーツ!H28)</f>
        <v/>
      </c>
      <c r="H486" s="3"/>
      <c r="I486" s="3" t="str">
        <f>IF(ブーツ!AD28="","",ブーツ!AD28)</f>
        <v>/ソール</v>
      </c>
      <c r="J486" s="3" t="str">
        <f>IF(ブーツ!M28="","",ブーツ!M28)</f>
        <v/>
      </c>
      <c r="K486" s="3" t="str">
        <f>IF(ブーツ!N28="","",ブーツ!N28)</f>
        <v>サイズ</v>
      </c>
      <c r="L486" s="69" t="s">
        <v>80</v>
      </c>
      <c r="M486" s="69" t="s">
        <v>19</v>
      </c>
      <c r="N486" s="69" t="s">
        <v>20</v>
      </c>
      <c r="O486" s="69" t="s">
        <v>21</v>
      </c>
      <c r="P486" s="4" t="s">
        <v>3036</v>
      </c>
      <c r="Q486" s="4" t="s">
        <v>3038</v>
      </c>
      <c r="R486" s="69" t="s">
        <v>22</v>
      </c>
      <c r="S486" s="3" t="str">
        <f>ブーツ!AC28</f>
        <v>底長：約cm　底甲幅：約cm　ヒール：約cm 高さ：約cm　足入れ口円周：約cm</v>
      </c>
      <c r="T486" s="69" t="s">
        <v>22</v>
      </c>
      <c r="U486" s="69" t="s">
        <v>24</v>
      </c>
      <c r="V486" s="69" t="s">
        <v>25</v>
      </c>
      <c r="W486" s="69" t="s">
        <v>26</v>
      </c>
      <c r="X486" s="69" t="s">
        <v>27</v>
      </c>
      <c r="Y486" s="69" t="s">
        <v>28</v>
      </c>
      <c r="Z486" s="69" t="s">
        <v>29</v>
      </c>
      <c r="AA486" s="4"/>
      <c r="AB486" s="4"/>
      <c r="AC486" s="4"/>
      <c r="AD486" s="70"/>
      <c r="AE486" s="70">
        <f>ブーツ!AI28</f>
        <v>0</v>
      </c>
      <c r="AF486" s="70" t="str">
        <f>ブーツ!T28</f>
        <v>梱包サイズは大サイズになります。</v>
      </c>
      <c r="AG486" s="70">
        <v>0</v>
      </c>
      <c r="AH486" s="6">
        <f xml:space="preserve"> ブーツ!AG28</f>
        <v>0</v>
      </c>
      <c r="AI486">
        <v>1</v>
      </c>
      <c r="AJ486">
        <f>ブーツ!W28</f>
        <v>0</v>
      </c>
    </row>
    <row r="487" spans="1:36" ht="13.5" hidden="1" customHeight="1">
      <c r="A487" s="3" t="str">
        <f>IF(ブーツ!A29="","",ブーツ!A29)</f>
        <v/>
      </c>
      <c r="B487" s="68" t="str">
        <f>IF(ブーツ!B29="","",ブーツ!B29)</f>
        <v/>
      </c>
      <c r="C487" s="3" t="str">
        <f>IF(ブーツ!C29="","",ブーツ!C29)</f>
        <v>■ サイズ E</v>
      </c>
      <c r="D487" s="3" t="str">
        <f>IF(ブーツ!E29="","",ブーツ!E29)</f>
        <v>無</v>
      </c>
      <c r="E487" s="3" t="str">
        <f>IF(ブーツ!AE29="","",ブーツ!AE29)</f>
        <v>ベースS</v>
      </c>
      <c r="F487" s="3" t="str">
        <f>IF(ブーツ!G29="","",ブーツ!G29)</f>
        <v/>
      </c>
      <c r="G487" s="3" t="str">
        <f>IF(ブーツ!H29="","",ブーツ!H29)</f>
        <v/>
      </c>
      <c r="H487" s="3"/>
      <c r="I487" s="3" t="str">
        <f>IF(ブーツ!AD29="","",ブーツ!AD29)</f>
        <v>/ソール</v>
      </c>
      <c r="J487" s="3" t="str">
        <f>IF(ブーツ!M29="","",ブーツ!M29)</f>
        <v/>
      </c>
      <c r="K487" s="3" t="str">
        <f>IF(ブーツ!N29="","",ブーツ!N29)</f>
        <v>サイズ</v>
      </c>
      <c r="L487" s="69" t="s">
        <v>80</v>
      </c>
      <c r="M487" s="69" t="s">
        <v>19</v>
      </c>
      <c r="N487" s="69" t="s">
        <v>20</v>
      </c>
      <c r="O487" s="69" t="s">
        <v>21</v>
      </c>
      <c r="P487" s="4" t="s">
        <v>3036</v>
      </c>
      <c r="Q487" s="4" t="s">
        <v>3038</v>
      </c>
      <c r="R487" s="69" t="s">
        <v>22</v>
      </c>
      <c r="S487" s="3" t="str">
        <f>ブーツ!AC29</f>
        <v>底長：約cm　底甲幅：約cm　ヒール：約cm 高さ：約cm　足入れ口円周：約cm</v>
      </c>
      <c r="T487" s="69" t="s">
        <v>22</v>
      </c>
      <c r="U487" s="69" t="s">
        <v>24</v>
      </c>
      <c r="V487" s="69" t="s">
        <v>25</v>
      </c>
      <c r="W487" s="69" t="s">
        <v>26</v>
      </c>
      <c r="X487" s="69" t="s">
        <v>27</v>
      </c>
      <c r="Y487" s="69" t="s">
        <v>28</v>
      </c>
      <c r="Z487" s="69" t="s">
        <v>29</v>
      </c>
      <c r="AA487" s="4"/>
      <c r="AB487" s="4"/>
      <c r="AC487" s="4"/>
      <c r="AD487" s="70"/>
      <c r="AE487" s="70">
        <f>ブーツ!AI29</f>
        <v>0</v>
      </c>
      <c r="AF487" s="70" t="str">
        <f>ブーツ!T29</f>
        <v>梱包サイズは大サイズになります。</v>
      </c>
      <c r="AG487" s="70">
        <v>0</v>
      </c>
      <c r="AH487" s="6">
        <f xml:space="preserve"> ブーツ!AG29</f>
        <v>0</v>
      </c>
      <c r="AI487">
        <v>1</v>
      </c>
      <c r="AJ487">
        <f>ブーツ!W29</f>
        <v>0</v>
      </c>
    </row>
    <row r="488" spans="1:36" ht="13.5" hidden="1" customHeight="1">
      <c r="A488" s="3" t="str">
        <f>IF(ブーツ!A30="","",ブーツ!A30)</f>
        <v/>
      </c>
      <c r="B488" s="68" t="str">
        <f>IF(ブーツ!B30="","",ブーツ!B30)</f>
        <v/>
      </c>
      <c r="C488" s="3" t="str">
        <f>IF(ブーツ!C30="","",ブーツ!C30)</f>
        <v>■ サイズ E</v>
      </c>
      <c r="D488" s="3" t="str">
        <f>IF(ブーツ!E30="","",ブーツ!E30)</f>
        <v>無</v>
      </c>
      <c r="E488" s="3" t="str">
        <f>IF(ブーツ!AE30="","",ブーツ!AE30)</f>
        <v>ベースS</v>
      </c>
      <c r="F488" s="3" t="str">
        <f>IF(ブーツ!G30="","",ブーツ!G30)</f>
        <v/>
      </c>
      <c r="G488" s="3" t="str">
        <f>IF(ブーツ!H30="","",ブーツ!H30)</f>
        <v/>
      </c>
      <c r="H488" s="3"/>
      <c r="I488" s="3" t="str">
        <f>IF(ブーツ!AD30="","",ブーツ!AD30)</f>
        <v>/ソール</v>
      </c>
      <c r="J488" s="3" t="str">
        <f>IF(ブーツ!M30="","",ブーツ!M30)</f>
        <v/>
      </c>
      <c r="K488" s="3" t="str">
        <f>IF(ブーツ!N30="","",ブーツ!N30)</f>
        <v>サイズ</v>
      </c>
      <c r="L488" s="69" t="s">
        <v>80</v>
      </c>
      <c r="M488" s="69" t="s">
        <v>19</v>
      </c>
      <c r="N488" s="69" t="s">
        <v>20</v>
      </c>
      <c r="O488" s="69" t="s">
        <v>21</v>
      </c>
      <c r="P488" s="4" t="s">
        <v>3036</v>
      </c>
      <c r="Q488" s="4" t="s">
        <v>3038</v>
      </c>
      <c r="R488" s="69" t="s">
        <v>22</v>
      </c>
      <c r="S488" s="3" t="str">
        <f>ブーツ!AC30</f>
        <v>底長：約cm　底甲幅：約cm　ヒール：約cm 高さ：約cm　足入れ口円周：約cm</v>
      </c>
      <c r="T488" s="69" t="s">
        <v>22</v>
      </c>
      <c r="U488" s="69" t="s">
        <v>24</v>
      </c>
      <c r="V488" s="69" t="s">
        <v>25</v>
      </c>
      <c r="W488" s="69" t="s">
        <v>26</v>
      </c>
      <c r="X488" s="69" t="s">
        <v>27</v>
      </c>
      <c r="Y488" s="69" t="s">
        <v>28</v>
      </c>
      <c r="Z488" s="69" t="s">
        <v>29</v>
      </c>
      <c r="AA488" s="4"/>
      <c r="AB488" s="4"/>
      <c r="AC488" s="4"/>
      <c r="AD488" s="70"/>
      <c r="AE488" s="70">
        <f>ブーツ!AI30</f>
        <v>0</v>
      </c>
      <c r="AF488" s="70" t="str">
        <f>ブーツ!T30</f>
        <v>梱包サイズは大サイズになります。</v>
      </c>
      <c r="AG488" s="70">
        <v>0</v>
      </c>
      <c r="AH488" s="6">
        <f xml:space="preserve"> ブーツ!AG30</f>
        <v>0</v>
      </c>
      <c r="AI488">
        <v>1</v>
      </c>
      <c r="AJ488">
        <f>ブーツ!W30</f>
        <v>0</v>
      </c>
    </row>
    <row r="489" spans="1:36" ht="13.5" hidden="1" customHeight="1">
      <c r="A489" s="3" t="str">
        <f>IF(ブーツ!A31="","",ブーツ!A31)</f>
        <v/>
      </c>
      <c r="B489" s="68" t="str">
        <f>IF(ブーツ!B31="","",ブーツ!B31)</f>
        <v/>
      </c>
      <c r="C489" s="3" t="str">
        <f>IF(ブーツ!C31="","",ブーツ!C31)</f>
        <v>■ サイズ E</v>
      </c>
      <c r="D489" s="3" t="str">
        <f>IF(ブーツ!E31="","",ブーツ!E31)</f>
        <v>無</v>
      </c>
      <c r="E489" s="3" t="str">
        <f>IF(ブーツ!AE31="","",ブーツ!AE31)</f>
        <v>ベースS</v>
      </c>
      <c r="F489" s="3" t="str">
        <f>IF(ブーツ!G31="","",ブーツ!G31)</f>
        <v/>
      </c>
      <c r="G489" s="3" t="str">
        <f>IF(ブーツ!H31="","",ブーツ!H31)</f>
        <v/>
      </c>
      <c r="H489" s="3"/>
      <c r="I489" s="3" t="str">
        <f>IF(ブーツ!AD31="","",ブーツ!AD31)</f>
        <v>/ソール</v>
      </c>
      <c r="J489" s="3" t="str">
        <f>IF(ブーツ!M31="","",ブーツ!M31)</f>
        <v/>
      </c>
      <c r="K489" s="3" t="str">
        <f>IF(ブーツ!N31="","",ブーツ!N31)</f>
        <v>サイズ</v>
      </c>
      <c r="L489" s="69" t="s">
        <v>80</v>
      </c>
      <c r="M489" s="69" t="s">
        <v>19</v>
      </c>
      <c r="N489" s="69" t="s">
        <v>20</v>
      </c>
      <c r="O489" s="69" t="s">
        <v>21</v>
      </c>
      <c r="P489" s="4" t="s">
        <v>3036</v>
      </c>
      <c r="Q489" s="4" t="s">
        <v>3038</v>
      </c>
      <c r="R489" s="69" t="s">
        <v>22</v>
      </c>
      <c r="S489" s="3" t="str">
        <f>ブーツ!AC31</f>
        <v>底長：約cm　底甲幅：約cm　ヒール：約cm 高さ：約cm　足入れ口円周：約cm</v>
      </c>
      <c r="T489" s="69" t="s">
        <v>22</v>
      </c>
      <c r="U489" s="69" t="s">
        <v>24</v>
      </c>
      <c r="V489" s="69" t="s">
        <v>25</v>
      </c>
      <c r="W489" s="69" t="s">
        <v>26</v>
      </c>
      <c r="X489" s="69" t="s">
        <v>27</v>
      </c>
      <c r="Y489" s="69" t="s">
        <v>28</v>
      </c>
      <c r="Z489" s="69" t="s">
        <v>29</v>
      </c>
      <c r="AA489" s="4"/>
      <c r="AB489" s="4"/>
      <c r="AC489" s="4"/>
      <c r="AD489" s="70"/>
      <c r="AE489" s="70">
        <f>ブーツ!AI31</f>
        <v>0</v>
      </c>
      <c r="AF489" s="70" t="str">
        <f>ブーツ!T31</f>
        <v>梱包サイズは大サイズになります。</v>
      </c>
      <c r="AG489" s="70">
        <v>0</v>
      </c>
      <c r="AH489" s="6">
        <f xml:space="preserve"> ブーツ!AG31</f>
        <v>0</v>
      </c>
      <c r="AI489">
        <v>1</v>
      </c>
      <c r="AJ489">
        <f>ブーツ!W31</f>
        <v>0</v>
      </c>
    </row>
    <row r="490" spans="1:36" ht="13.5" hidden="1" customHeight="1">
      <c r="A490" s="3" t="str">
        <f>IF(ブーツ!A32="","",ブーツ!A32)</f>
        <v/>
      </c>
      <c r="B490" s="68" t="str">
        <f>IF(ブーツ!B32="","",ブーツ!B32)</f>
        <v/>
      </c>
      <c r="C490" s="3" t="str">
        <f>IF(ブーツ!C32="","",ブーツ!C32)</f>
        <v>■ サイズ E</v>
      </c>
      <c r="D490" s="3" t="str">
        <f>IF(ブーツ!E32="","",ブーツ!E32)</f>
        <v>無</v>
      </c>
      <c r="E490" s="3" t="str">
        <f>IF(ブーツ!AE32="","",ブーツ!AE32)</f>
        <v>ベースS</v>
      </c>
      <c r="F490" s="3" t="str">
        <f>IF(ブーツ!G32="","",ブーツ!G32)</f>
        <v/>
      </c>
      <c r="G490" s="3" t="str">
        <f>IF(ブーツ!H32="","",ブーツ!H32)</f>
        <v/>
      </c>
      <c r="H490" s="3"/>
      <c r="I490" s="3" t="str">
        <f>IF(ブーツ!AD32="","",ブーツ!AD32)</f>
        <v>/ソール</v>
      </c>
      <c r="J490" s="3" t="str">
        <f>IF(ブーツ!M32="","",ブーツ!M32)</f>
        <v/>
      </c>
      <c r="K490" s="3" t="str">
        <f>IF(ブーツ!N32="","",ブーツ!N32)</f>
        <v>サイズ</v>
      </c>
      <c r="L490" s="69" t="s">
        <v>80</v>
      </c>
      <c r="M490" s="69" t="s">
        <v>19</v>
      </c>
      <c r="N490" s="69" t="s">
        <v>20</v>
      </c>
      <c r="O490" s="69" t="s">
        <v>21</v>
      </c>
      <c r="P490" s="4" t="s">
        <v>3036</v>
      </c>
      <c r="Q490" s="4" t="s">
        <v>3038</v>
      </c>
      <c r="R490" s="69" t="s">
        <v>22</v>
      </c>
      <c r="S490" s="3" t="str">
        <f>ブーツ!AC32</f>
        <v>底長：約cm　底甲幅：約cm　ヒール：約cm 高さ：約cm　足入れ口円周：約cm</v>
      </c>
      <c r="T490" s="69" t="s">
        <v>22</v>
      </c>
      <c r="U490" s="69" t="s">
        <v>24</v>
      </c>
      <c r="V490" s="69" t="s">
        <v>25</v>
      </c>
      <c r="W490" s="69" t="s">
        <v>26</v>
      </c>
      <c r="X490" s="69" t="s">
        <v>27</v>
      </c>
      <c r="Y490" s="69" t="s">
        <v>28</v>
      </c>
      <c r="Z490" s="69" t="s">
        <v>29</v>
      </c>
      <c r="AA490" s="4"/>
      <c r="AB490" s="4"/>
      <c r="AC490" s="4"/>
      <c r="AD490" s="70"/>
      <c r="AE490" s="70">
        <f>ブーツ!AI32</f>
        <v>0</v>
      </c>
      <c r="AF490" s="70" t="str">
        <f>ブーツ!T32</f>
        <v>梱包サイズは大サイズになります。</v>
      </c>
      <c r="AG490" s="70">
        <v>0</v>
      </c>
      <c r="AH490" s="6">
        <f xml:space="preserve"> ブーツ!AG32</f>
        <v>0</v>
      </c>
      <c r="AI490">
        <v>1</v>
      </c>
      <c r="AJ490">
        <f>ブーツ!W32</f>
        <v>0</v>
      </c>
    </row>
    <row r="491" spans="1:36" ht="13.5" hidden="1" customHeight="1">
      <c r="A491" s="3" t="str">
        <f>IF(ブーツ!A33="","",ブーツ!A33)</f>
        <v/>
      </c>
      <c r="B491" s="68" t="str">
        <f>IF(ブーツ!B33="","",ブーツ!B33)</f>
        <v/>
      </c>
      <c r="C491" s="3" t="str">
        <f>IF(ブーツ!C33="","",ブーツ!C33)</f>
        <v>■ サイズ E</v>
      </c>
      <c r="D491" s="3" t="str">
        <f>IF(ブーツ!E33="","",ブーツ!E33)</f>
        <v>無</v>
      </c>
      <c r="E491" s="3" t="str">
        <f>IF(ブーツ!AE33="","",ブーツ!AE33)</f>
        <v>ベースS</v>
      </c>
      <c r="F491" s="3" t="str">
        <f>IF(ブーツ!G33="","",ブーツ!G33)</f>
        <v/>
      </c>
      <c r="G491" s="3" t="str">
        <f>IF(ブーツ!H33="","",ブーツ!H33)</f>
        <v/>
      </c>
      <c r="H491" s="3"/>
      <c r="I491" s="3" t="str">
        <f>IF(ブーツ!AD33="","",ブーツ!AD33)</f>
        <v>/ソール</v>
      </c>
      <c r="J491" s="3" t="str">
        <f>IF(ブーツ!M33="","",ブーツ!M33)</f>
        <v/>
      </c>
      <c r="K491" s="3" t="str">
        <f>IF(ブーツ!N33="","",ブーツ!N33)</f>
        <v>サイズ</v>
      </c>
      <c r="L491" s="69" t="s">
        <v>118</v>
      </c>
      <c r="M491" s="69" t="s">
        <v>19</v>
      </c>
      <c r="N491" s="69" t="s">
        <v>20</v>
      </c>
      <c r="O491" s="69" t="s">
        <v>21</v>
      </c>
      <c r="P491" s="4" t="s">
        <v>3036</v>
      </c>
      <c r="Q491" s="4" t="s">
        <v>3038</v>
      </c>
      <c r="R491" s="69" t="s">
        <v>22</v>
      </c>
      <c r="S491" s="3" t="str">
        <f>ブーツ!AC33</f>
        <v>底長：約cm　底甲幅：約cm　ヒール：約cm 高さ：約cm　足入れ口円周：約cm</v>
      </c>
      <c r="T491" s="69" t="s">
        <v>22</v>
      </c>
      <c r="U491" s="69" t="s">
        <v>24</v>
      </c>
      <c r="V491" s="69" t="s">
        <v>25</v>
      </c>
      <c r="W491" s="69" t="s">
        <v>26</v>
      </c>
      <c r="X491" s="69" t="s">
        <v>27</v>
      </c>
      <c r="Y491" s="69" t="s">
        <v>28</v>
      </c>
      <c r="Z491" s="69" t="s">
        <v>29</v>
      </c>
      <c r="AA491" s="4"/>
      <c r="AB491" s="4"/>
      <c r="AC491" s="4"/>
      <c r="AD491" s="70"/>
      <c r="AE491" s="70">
        <f>ブーツ!AI33</f>
        <v>0</v>
      </c>
      <c r="AF491" s="70" t="str">
        <f>ブーツ!T33</f>
        <v>梱包サイズは大サイズになります。</v>
      </c>
      <c r="AG491" s="70">
        <v>0</v>
      </c>
      <c r="AH491" s="6">
        <f xml:space="preserve"> ブーツ!AG33</f>
        <v>0</v>
      </c>
      <c r="AI491">
        <v>1</v>
      </c>
      <c r="AJ491">
        <f>ブーツ!W33</f>
        <v>0</v>
      </c>
    </row>
    <row r="492" spans="1:36" ht="13.5" hidden="1" customHeight="1">
      <c r="A492" s="3" t="str">
        <f>IF(ブーツ!A34="","",ブーツ!A34)</f>
        <v/>
      </c>
      <c r="B492" s="68" t="str">
        <f>IF(ブーツ!B34="","",ブーツ!B34)</f>
        <v/>
      </c>
      <c r="C492" s="3" t="str">
        <f>IF(ブーツ!C34="","",ブーツ!C34)</f>
        <v>■ サイズ E</v>
      </c>
      <c r="D492" s="3" t="str">
        <f>IF(ブーツ!E34="","",ブーツ!E34)</f>
        <v>無</v>
      </c>
      <c r="E492" s="3" t="str">
        <f>IF(ブーツ!AE34="","",ブーツ!AE34)</f>
        <v>ベースS</v>
      </c>
      <c r="F492" s="3" t="str">
        <f>IF(ブーツ!G34="","",ブーツ!G34)</f>
        <v/>
      </c>
      <c r="G492" s="3" t="str">
        <f>IF(ブーツ!H34="","",ブーツ!H34)</f>
        <v/>
      </c>
      <c r="H492" s="3"/>
      <c r="I492" s="3" t="str">
        <f>IF(ブーツ!AD34="","",ブーツ!AD34)</f>
        <v>/ソール</v>
      </c>
      <c r="J492" s="3" t="str">
        <f>IF(ブーツ!M34="","",ブーツ!M34)</f>
        <v/>
      </c>
      <c r="K492" s="3" t="str">
        <f>IF(ブーツ!N34="","",ブーツ!N34)</f>
        <v>サイズ</v>
      </c>
      <c r="L492" s="69" t="s">
        <v>123</v>
      </c>
      <c r="M492" s="69" t="s">
        <v>19</v>
      </c>
      <c r="N492" s="69" t="s">
        <v>20</v>
      </c>
      <c r="O492" s="69" t="s">
        <v>21</v>
      </c>
      <c r="P492" s="4" t="s">
        <v>3036</v>
      </c>
      <c r="Q492" s="4" t="s">
        <v>3038</v>
      </c>
      <c r="R492" s="69" t="s">
        <v>22</v>
      </c>
      <c r="S492" s="3" t="str">
        <f>ブーツ!AC34</f>
        <v>底長：約cm　底甲幅：約cm　ヒール：約cm 高さ：約cm　足入れ口円周：約cm</v>
      </c>
      <c r="T492" s="69" t="s">
        <v>22</v>
      </c>
      <c r="U492" s="69" t="s">
        <v>24</v>
      </c>
      <c r="V492" s="69" t="s">
        <v>25</v>
      </c>
      <c r="W492" s="69" t="s">
        <v>26</v>
      </c>
      <c r="X492" s="69" t="s">
        <v>27</v>
      </c>
      <c r="Y492" s="69" t="s">
        <v>28</v>
      </c>
      <c r="Z492" s="69" t="s">
        <v>29</v>
      </c>
      <c r="AA492" s="4"/>
      <c r="AB492" s="4"/>
      <c r="AC492" s="4"/>
      <c r="AD492" s="70"/>
      <c r="AE492" s="70">
        <f>ブーツ!AI34</f>
        <v>0</v>
      </c>
      <c r="AF492" s="70" t="str">
        <f>ブーツ!T34</f>
        <v>梱包サイズは大サイズになります。</v>
      </c>
      <c r="AG492" s="70">
        <v>0</v>
      </c>
      <c r="AH492" s="6">
        <f xml:space="preserve"> ブーツ!AG34</f>
        <v>0</v>
      </c>
      <c r="AI492">
        <v>1</v>
      </c>
      <c r="AJ492">
        <f>ブーツ!W34</f>
        <v>0</v>
      </c>
    </row>
    <row r="493" spans="1:36" ht="13.5" hidden="1" customHeight="1">
      <c r="A493" s="3" t="str">
        <f>IF(ブーツ!A35="","",ブーツ!A35)</f>
        <v/>
      </c>
      <c r="B493" s="68" t="str">
        <f>IF(ブーツ!B35="","",ブーツ!B35)</f>
        <v/>
      </c>
      <c r="C493" s="3" t="str">
        <f>IF(ブーツ!C35="","",ブーツ!C35)</f>
        <v>■ サイズ E</v>
      </c>
      <c r="D493" s="3" t="str">
        <f>IF(ブーツ!E35="","",ブーツ!E35)</f>
        <v>無</v>
      </c>
      <c r="E493" s="3" t="str">
        <f>IF(ブーツ!AE35="","",ブーツ!AE35)</f>
        <v>ベースS</v>
      </c>
      <c r="F493" s="3" t="str">
        <f>IF(ブーツ!G35="","",ブーツ!G35)</f>
        <v/>
      </c>
      <c r="G493" s="3" t="str">
        <f>IF(ブーツ!H35="","",ブーツ!H35)</f>
        <v/>
      </c>
      <c r="H493" s="3"/>
      <c r="I493" s="3" t="str">
        <f>IF(ブーツ!AD35="","",ブーツ!AD35)</f>
        <v>/ソール</v>
      </c>
      <c r="J493" s="3" t="str">
        <f>IF(ブーツ!M35="","",ブーツ!M35)</f>
        <v/>
      </c>
      <c r="K493" s="3" t="str">
        <f>IF(ブーツ!N35="","",ブーツ!N35)</f>
        <v>サイズ</v>
      </c>
      <c r="L493" s="69" t="s">
        <v>118</v>
      </c>
      <c r="M493" s="69" t="s">
        <v>19</v>
      </c>
      <c r="N493" s="69" t="s">
        <v>20</v>
      </c>
      <c r="O493" s="69" t="s">
        <v>21</v>
      </c>
      <c r="P493" s="4" t="s">
        <v>3036</v>
      </c>
      <c r="Q493" s="4" t="s">
        <v>3038</v>
      </c>
      <c r="R493" s="69" t="s">
        <v>22</v>
      </c>
      <c r="S493" s="3" t="str">
        <f>ブーツ!AC35</f>
        <v>底長：約cm　底甲幅：約cm　ヒール：約cm 高さ：約cm　足入れ口円周：約cm</v>
      </c>
      <c r="T493" s="69" t="s">
        <v>22</v>
      </c>
      <c r="U493" s="69" t="s">
        <v>24</v>
      </c>
      <c r="V493" s="69" t="s">
        <v>25</v>
      </c>
      <c r="W493" s="69" t="s">
        <v>26</v>
      </c>
      <c r="X493" s="69" t="s">
        <v>27</v>
      </c>
      <c r="Y493" s="69" t="s">
        <v>28</v>
      </c>
      <c r="Z493" s="69" t="s">
        <v>29</v>
      </c>
      <c r="AA493" s="4"/>
      <c r="AB493" s="4"/>
      <c r="AC493" s="4"/>
      <c r="AD493" s="70"/>
      <c r="AE493" s="70">
        <f>ブーツ!AI35</f>
        <v>0</v>
      </c>
      <c r="AF493" s="70" t="str">
        <f>ブーツ!T35</f>
        <v>梱包サイズは大サイズになります。</v>
      </c>
      <c r="AG493" s="70">
        <v>0</v>
      </c>
      <c r="AH493" s="6">
        <f xml:space="preserve"> ブーツ!AG35</f>
        <v>0</v>
      </c>
      <c r="AI493">
        <v>1</v>
      </c>
      <c r="AJ493">
        <f>ブーツ!W35</f>
        <v>0</v>
      </c>
    </row>
    <row r="494" spans="1:36" ht="13.5" hidden="1" customHeight="1">
      <c r="A494" s="3" t="str">
        <f>IF(ブーツ!A36="","",ブーツ!A36)</f>
        <v/>
      </c>
      <c r="B494" s="68" t="str">
        <f>IF(ブーツ!B36="","",ブーツ!B36)</f>
        <v/>
      </c>
      <c r="C494" s="3" t="str">
        <f>IF(ブーツ!C36="","",ブーツ!C36)</f>
        <v>■ サイズ E</v>
      </c>
      <c r="D494" s="3" t="str">
        <f>IF(ブーツ!E36="","",ブーツ!E36)</f>
        <v>無</v>
      </c>
      <c r="E494" s="3" t="str">
        <f>IF(ブーツ!AE36="","",ブーツ!AE36)</f>
        <v>ベースS</v>
      </c>
      <c r="F494" s="3" t="str">
        <f>IF(ブーツ!G36="","",ブーツ!G36)</f>
        <v/>
      </c>
      <c r="G494" s="3" t="str">
        <f>IF(ブーツ!H36="","",ブーツ!H36)</f>
        <v/>
      </c>
      <c r="H494" s="3"/>
      <c r="I494" s="3" t="str">
        <f>IF(ブーツ!AD36="","",ブーツ!AD36)</f>
        <v>/ソール</v>
      </c>
      <c r="J494" s="3" t="str">
        <f>IF(ブーツ!M36="","",ブーツ!M36)</f>
        <v/>
      </c>
      <c r="K494" s="3" t="str">
        <f>IF(ブーツ!N36="","",ブーツ!N36)</f>
        <v>サイズ</v>
      </c>
      <c r="L494" s="69" t="s">
        <v>123</v>
      </c>
      <c r="M494" s="69" t="s">
        <v>19</v>
      </c>
      <c r="N494" s="69" t="s">
        <v>20</v>
      </c>
      <c r="O494" s="69" t="s">
        <v>21</v>
      </c>
      <c r="P494" s="4" t="s">
        <v>3036</v>
      </c>
      <c r="Q494" s="4" t="s">
        <v>3038</v>
      </c>
      <c r="R494" s="69" t="s">
        <v>22</v>
      </c>
      <c r="S494" s="3" t="str">
        <f>ブーツ!AC36</f>
        <v>底長：約cm　底甲幅：約cm　ヒール：約cm 高さ：約cm　足入れ口円周：約cm</v>
      </c>
      <c r="T494" s="69" t="s">
        <v>22</v>
      </c>
      <c r="U494" s="69" t="s">
        <v>24</v>
      </c>
      <c r="V494" s="69" t="s">
        <v>25</v>
      </c>
      <c r="W494" s="69" t="s">
        <v>26</v>
      </c>
      <c r="X494" s="69" t="s">
        <v>27</v>
      </c>
      <c r="Y494" s="69" t="s">
        <v>28</v>
      </c>
      <c r="Z494" s="69" t="s">
        <v>29</v>
      </c>
      <c r="AA494" s="4"/>
      <c r="AB494" s="4"/>
      <c r="AC494" s="4"/>
      <c r="AD494" s="70"/>
      <c r="AE494" s="70">
        <f>ブーツ!AI36</f>
        <v>0</v>
      </c>
      <c r="AF494" s="70" t="str">
        <f>ブーツ!T36</f>
        <v>梱包サイズは大サイズになります。</v>
      </c>
      <c r="AG494" s="70">
        <v>0</v>
      </c>
      <c r="AH494" s="6">
        <f xml:space="preserve"> ブーツ!AG36</f>
        <v>0</v>
      </c>
      <c r="AI494">
        <v>1</v>
      </c>
      <c r="AJ494">
        <f>ブーツ!W36</f>
        <v>0</v>
      </c>
    </row>
    <row r="495" spans="1:36" ht="13.5" hidden="1" customHeight="1">
      <c r="A495" s="3" t="str">
        <f>IF(ブーツ!A37="","",ブーツ!A37)</f>
        <v/>
      </c>
      <c r="B495" s="68" t="str">
        <f>IF(ブーツ!B37="","",ブーツ!B37)</f>
        <v/>
      </c>
      <c r="C495" s="3" t="str">
        <f>IF(ブーツ!C37="","",ブーツ!C37)</f>
        <v>■ サイズ E</v>
      </c>
      <c r="D495" s="3" t="str">
        <f>IF(ブーツ!E37="","",ブーツ!E37)</f>
        <v>無</v>
      </c>
      <c r="E495" s="3" t="str">
        <f>IF(ブーツ!AE37="","",ブーツ!AE37)</f>
        <v>ベースS</v>
      </c>
      <c r="F495" s="3" t="str">
        <f>IF(ブーツ!G37="","",ブーツ!G37)</f>
        <v/>
      </c>
      <c r="G495" s="3" t="str">
        <f>IF(ブーツ!H37="","",ブーツ!H37)</f>
        <v/>
      </c>
      <c r="H495" s="3"/>
      <c r="I495" s="3" t="str">
        <f>IF(ブーツ!AD37="","",ブーツ!AD37)</f>
        <v>/ソール</v>
      </c>
      <c r="J495" s="3" t="str">
        <f>IF(ブーツ!M37="","",ブーツ!M37)</f>
        <v/>
      </c>
      <c r="K495" s="3" t="str">
        <f>IF(ブーツ!N37="","",ブーツ!N37)</f>
        <v>サイズ</v>
      </c>
      <c r="L495" s="69" t="s">
        <v>80</v>
      </c>
      <c r="M495" s="69" t="s">
        <v>19</v>
      </c>
      <c r="N495" s="69" t="s">
        <v>20</v>
      </c>
      <c r="O495" s="69" t="s">
        <v>21</v>
      </c>
      <c r="P495" s="4" t="s">
        <v>3036</v>
      </c>
      <c r="Q495" s="4" t="s">
        <v>3038</v>
      </c>
      <c r="R495" s="69" t="s">
        <v>22</v>
      </c>
      <c r="S495" s="3" t="str">
        <f>ブーツ!AC37</f>
        <v>底長：約cm　底甲幅：約cm　ヒール：約cm 高さ：約cm　足入れ口円周：約cm</v>
      </c>
      <c r="T495" s="69" t="s">
        <v>22</v>
      </c>
      <c r="U495" s="69" t="s">
        <v>24</v>
      </c>
      <c r="V495" s="69" t="s">
        <v>25</v>
      </c>
      <c r="W495" s="69" t="s">
        <v>26</v>
      </c>
      <c r="X495" s="69" t="s">
        <v>27</v>
      </c>
      <c r="Y495" s="69" t="s">
        <v>28</v>
      </c>
      <c r="Z495" s="69" t="s">
        <v>29</v>
      </c>
      <c r="AA495" s="4"/>
      <c r="AB495" s="4"/>
      <c r="AC495" s="4"/>
      <c r="AD495" s="70"/>
      <c r="AE495" s="70">
        <f>ブーツ!AI37</f>
        <v>0</v>
      </c>
      <c r="AF495" s="70" t="str">
        <f>ブーツ!T37</f>
        <v>梱包サイズは大サイズになります。</v>
      </c>
      <c r="AG495" s="70">
        <v>0</v>
      </c>
      <c r="AH495" s="6">
        <f xml:space="preserve"> ブーツ!AG37</f>
        <v>0</v>
      </c>
      <c r="AI495">
        <v>1</v>
      </c>
      <c r="AJ495">
        <f>ブーツ!W37</f>
        <v>0</v>
      </c>
    </row>
    <row r="496" spans="1:36" ht="13.5" hidden="1" customHeight="1">
      <c r="A496" s="3" t="str">
        <f>IF(ブーツ!A38="","",ブーツ!A38)</f>
        <v/>
      </c>
      <c r="B496" s="68" t="str">
        <f>IF(ブーツ!B38="","",ブーツ!B38)</f>
        <v/>
      </c>
      <c r="C496" s="3" t="str">
        <f>IF(ブーツ!C38="","",ブーツ!C38)</f>
        <v>■ サイズ E</v>
      </c>
      <c r="D496" s="3" t="str">
        <f>IF(ブーツ!E38="","",ブーツ!E38)</f>
        <v>無</v>
      </c>
      <c r="E496" s="3" t="str">
        <f>IF(ブーツ!AE38="","",ブーツ!AE38)</f>
        <v>ベースS</v>
      </c>
      <c r="F496" s="3" t="str">
        <f>IF(ブーツ!G38="","",ブーツ!G38)</f>
        <v/>
      </c>
      <c r="G496" s="3" t="str">
        <f>IF(ブーツ!H38="","",ブーツ!H38)</f>
        <v/>
      </c>
      <c r="H496" s="3"/>
      <c r="I496" s="3" t="str">
        <f>IF(ブーツ!AD38="","",ブーツ!AD38)</f>
        <v>/ソール</v>
      </c>
      <c r="J496" s="3" t="str">
        <f>IF(ブーツ!M38="","",ブーツ!M38)</f>
        <v/>
      </c>
      <c r="K496" s="3" t="str">
        <f>IF(ブーツ!N38="","",ブーツ!N38)</f>
        <v>サイズ</v>
      </c>
      <c r="L496" s="69" t="s">
        <v>121</v>
      </c>
      <c r="M496" s="69" t="s">
        <v>19</v>
      </c>
      <c r="N496" s="69" t="s">
        <v>20</v>
      </c>
      <c r="O496" s="69" t="s">
        <v>21</v>
      </c>
      <c r="P496" s="4" t="s">
        <v>3036</v>
      </c>
      <c r="Q496" s="4" t="s">
        <v>3038</v>
      </c>
      <c r="R496" s="69" t="s">
        <v>22</v>
      </c>
      <c r="S496" s="3" t="str">
        <f>ブーツ!AC38</f>
        <v>底長：約cm　底甲幅：約cm　ヒール：約cm 高さ：約cm　足入れ口円周：約cm</v>
      </c>
      <c r="T496" s="69" t="s">
        <v>22</v>
      </c>
      <c r="U496" s="69" t="s">
        <v>24</v>
      </c>
      <c r="V496" s="69" t="s">
        <v>25</v>
      </c>
      <c r="W496" s="69" t="s">
        <v>26</v>
      </c>
      <c r="X496" s="69" t="s">
        <v>27</v>
      </c>
      <c r="Y496" s="69" t="s">
        <v>28</v>
      </c>
      <c r="Z496" s="69" t="s">
        <v>29</v>
      </c>
      <c r="AA496" s="4"/>
      <c r="AB496" s="4"/>
      <c r="AC496" s="4"/>
      <c r="AD496" s="70"/>
      <c r="AE496" s="70">
        <f>ブーツ!AI38</f>
        <v>0</v>
      </c>
      <c r="AF496" s="70" t="str">
        <f>ブーツ!T38</f>
        <v>梱包サイズは大サイズになります。</v>
      </c>
      <c r="AG496" s="70">
        <v>0</v>
      </c>
      <c r="AH496" s="6">
        <f xml:space="preserve"> ブーツ!AG38</f>
        <v>0</v>
      </c>
      <c r="AI496">
        <v>1</v>
      </c>
      <c r="AJ496">
        <f>ブーツ!W38</f>
        <v>0</v>
      </c>
    </row>
    <row r="497" spans="1:36" ht="13.5" hidden="1" customHeight="1">
      <c r="A497" s="3" t="str">
        <f>IF(ブーツ!A39="","",ブーツ!A39)</f>
        <v/>
      </c>
      <c r="B497" s="68" t="str">
        <f>IF(ブーツ!B39="","",ブーツ!B39)</f>
        <v/>
      </c>
      <c r="C497" s="3" t="str">
        <f>IF(ブーツ!C39="","",ブーツ!C39)</f>
        <v>■ サイズ E</v>
      </c>
      <c r="D497" s="3" t="str">
        <f>IF(ブーツ!E39="","",ブーツ!E39)</f>
        <v>無</v>
      </c>
      <c r="E497" s="3" t="str">
        <f>IF(ブーツ!AE39="","",ブーツ!AE39)</f>
        <v>ベースS</v>
      </c>
      <c r="F497" s="3" t="str">
        <f>IF(ブーツ!G39="","",ブーツ!G39)</f>
        <v/>
      </c>
      <c r="G497" s="3" t="str">
        <f>IF(ブーツ!H39="","",ブーツ!H39)</f>
        <v/>
      </c>
      <c r="H497" s="3"/>
      <c r="I497" s="3" t="str">
        <f>IF(ブーツ!AD39="","",ブーツ!AD39)</f>
        <v>/ソール</v>
      </c>
      <c r="J497" s="3" t="str">
        <f>IF(ブーツ!M39="","",ブーツ!M39)</f>
        <v/>
      </c>
      <c r="K497" s="3" t="str">
        <f>IF(ブーツ!N39="","",ブーツ!N39)</f>
        <v>サイズ</v>
      </c>
      <c r="L497" s="69" t="s">
        <v>80</v>
      </c>
      <c r="M497" s="69" t="s">
        <v>19</v>
      </c>
      <c r="N497" s="69" t="s">
        <v>20</v>
      </c>
      <c r="O497" s="69" t="s">
        <v>21</v>
      </c>
      <c r="P497" s="4" t="s">
        <v>3036</v>
      </c>
      <c r="Q497" s="4" t="s">
        <v>3038</v>
      </c>
      <c r="R497" s="69" t="s">
        <v>22</v>
      </c>
      <c r="S497" s="3" t="str">
        <f>ブーツ!AC39</f>
        <v>底長：約cm　底甲幅：約cm　ヒール：約cm 高さ：約cm　足入れ口円周：約cm</v>
      </c>
      <c r="T497" s="69" t="s">
        <v>22</v>
      </c>
      <c r="U497" s="69" t="s">
        <v>24</v>
      </c>
      <c r="V497" s="69" t="s">
        <v>25</v>
      </c>
      <c r="W497" s="69" t="s">
        <v>26</v>
      </c>
      <c r="X497" s="69" t="s">
        <v>27</v>
      </c>
      <c r="Y497" s="69" t="s">
        <v>28</v>
      </c>
      <c r="Z497" s="69" t="s">
        <v>29</v>
      </c>
      <c r="AA497" s="4"/>
      <c r="AB497" s="4"/>
      <c r="AC497" s="4"/>
      <c r="AD497" s="70"/>
      <c r="AE497" s="70">
        <f>ブーツ!AI39</f>
        <v>0</v>
      </c>
      <c r="AF497" s="70" t="str">
        <f>ブーツ!T39</f>
        <v>梱包サイズは大サイズになります。</v>
      </c>
      <c r="AG497" s="70">
        <v>0</v>
      </c>
      <c r="AH497" s="6">
        <f xml:space="preserve"> ブーツ!AG39</f>
        <v>0</v>
      </c>
      <c r="AI497">
        <v>1</v>
      </c>
      <c r="AJ497">
        <f>ブーツ!W39</f>
        <v>0</v>
      </c>
    </row>
    <row r="498" spans="1:36" ht="13.5" hidden="1" customHeight="1">
      <c r="A498" s="3" t="str">
        <f>IF(ブーツ!A40="","",ブーツ!A40)</f>
        <v/>
      </c>
      <c r="B498" s="68" t="str">
        <f>IF(ブーツ!B40="","",ブーツ!B40)</f>
        <v/>
      </c>
      <c r="C498" s="3" t="str">
        <f>IF(ブーツ!C40="","",ブーツ!C40)</f>
        <v>■ サイズ E</v>
      </c>
      <c r="D498" s="3" t="str">
        <f>IF(ブーツ!E40="","",ブーツ!E40)</f>
        <v>無</v>
      </c>
      <c r="E498" s="3" t="str">
        <f>IF(ブーツ!AE40="","",ブーツ!AE40)</f>
        <v>ベースS</v>
      </c>
      <c r="F498" s="3" t="str">
        <f>IF(ブーツ!G40="","",ブーツ!G40)</f>
        <v/>
      </c>
      <c r="G498" s="3" t="str">
        <f>IF(ブーツ!H40="","",ブーツ!H40)</f>
        <v/>
      </c>
      <c r="H498" s="3"/>
      <c r="I498" s="3" t="str">
        <f>IF(ブーツ!AD40="","",ブーツ!AD40)</f>
        <v>/ソール</v>
      </c>
      <c r="J498" s="3" t="str">
        <f>IF(ブーツ!M40="","",ブーツ!M40)</f>
        <v/>
      </c>
      <c r="K498" s="3" t="str">
        <f>IF(ブーツ!N40="","",ブーツ!N40)</f>
        <v>サイズ</v>
      </c>
      <c r="L498" s="69" t="s">
        <v>80</v>
      </c>
      <c r="M498" s="69" t="s">
        <v>19</v>
      </c>
      <c r="N498" s="69" t="s">
        <v>20</v>
      </c>
      <c r="O498" s="69" t="s">
        <v>21</v>
      </c>
      <c r="P498" s="4" t="s">
        <v>3036</v>
      </c>
      <c r="Q498" s="4" t="s">
        <v>3038</v>
      </c>
      <c r="R498" s="69" t="s">
        <v>22</v>
      </c>
      <c r="S498" s="3" t="str">
        <f>ブーツ!AC40</f>
        <v>底長：約cm　底甲幅：約cm　ヒール：約cm 高さ：約cm　足入れ口円周：約cm</v>
      </c>
      <c r="T498" s="69" t="s">
        <v>22</v>
      </c>
      <c r="U498" s="69" t="s">
        <v>24</v>
      </c>
      <c r="V498" s="69" t="s">
        <v>25</v>
      </c>
      <c r="W498" s="69" t="s">
        <v>26</v>
      </c>
      <c r="X498" s="69" t="s">
        <v>27</v>
      </c>
      <c r="Y498" s="69" t="s">
        <v>28</v>
      </c>
      <c r="Z498" s="69" t="s">
        <v>29</v>
      </c>
      <c r="AA498" s="4"/>
      <c r="AB498" s="4"/>
      <c r="AC498" s="4"/>
      <c r="AD498" s="70"/>
      <c r="AE498" s="70">
        <f>ブーツ!AI40</f>
        <v>0</v>
      </c>
      <c r="AF498" s="70" t="str">
        <f>ブーツ!T40</f>
        <v>梱包サイズは大サイズになります。</v>
      </c>
      <c r="AG498" s="70">
        <v>0</v>
      </c>
      <c r="AH498" s="6">
        <f xml:space="preserve"> ブーツ!AG40</f>
        <v>0</v>
      </c>
      <c r="AI498">
        <v>1</v>
      </c>
      <c r="AJ498">
        <f>ブーツ!W40</f>
        <v>0</v>
      </c>
    </row>
    <row r="499" spans="1:36" ht="13.5" hidden="1" customHeight="1">
      <c r="A499" s="3" t="str">
        <f>IF(ブーツ!A41="","",ブーツ!A41)</f>
        <v/>
      </c>
      <c r="B499" s="68" t="str">
        <f>IF(ブーツ!B41="","",ブーツ!B41)</f>
        <v/>
      </c>
      <c r="C499" s="3" t="str">
        <f>IF(ブーツ!C41="","",ブーツ!C41)</f>
        <v>■ サイズ E</v>
      </c>
      <c r="D499" s="3" t="str">
        <f>IF(ブーツ!E41="","",ブーツ!E41)</f>
        <v>無</v>
      </c>
      <c r="E499" s="3" t="str">
        <f>IF(ブーツ!AE41="","",ブーツ!AE41)</f>
        <v>ベースS</v>
      </c>
      <c r="F499" s="3" t="str">
        <f>IF(ブーツ!G41="","",ブーツ!G41)</f>
        <v/>
      </c>
      <c r="G499" s="3" t="str">
        <f>IF(ブーツ!H41="","",ブーツ!H41)</f>
        <v/>
      </c>
      <c r="H499" s="3"/>
      <c r="I499" s="3" t="str">
        <f>IF(ブーツ!AD41="","",ブーツ!AD41)</f>
        <v>/ソール</v>
      </c>
      <c r="J499" s="3" t="str">
        <f>IF(ブーツ!M41="","",ブーツ!M41)</f>
        <v/>
      </c>
      <c r="K499" s="3" t="str">
        <f>IF(ブーツ!N41="","",ブーツ!N41)</f>
        <v>サイズ</v>
      </c>
      <c r="L499" s="69" t="s">
        <v>80</v>
      </c>
      <c r="M499" s="69" t="s">
        <v>19</v>
      </c>
      <c r="N499" s="69" t="s">
        <v>20</v>
      </c>
      <c r="O499" s="69" t="s">
        <v>21</v>
      </c>
      <c r="P499" s="4" t="s">
        <v>3036</v>
      </c>
      <c r="Q499" s="4" t="s">
        <v>3038</v>
      </c>
      <c r="R499" s="69" t="s">
        <v>22</v>
      </c>
      <c r="S499" s="3" t="str">
        <f>ブーツ!AC41</f>
        <v>底長：約cm　底甲幅：約cm　ヒール：約cm 高さ：約cm　足入れ口円周：約cm</v>
      </c>
      <c r="T499" s="69" t="s">
        <v>22</v>
      </c>
      <c r="U499" s="69" t="s">
        <v>24</v>
      </c>
      <c r="V499" s="69" t="s">
        <v>25</v>
      </c>
      <c r="W499" s="69" t="s">
        <v>26</v>
      </c>
      <c r="X499" s="69" t="s">
        <v>27</v>
      </c>
      <c r="Y499" s="69" t="s">
        <v>28</v>
      </c>
      <c r="Z499" s="69" t="s">
        <v>29</v>
      </c>
      <c r="AA499" s="4"/>
      <c r="AB499" s="4"/>
      <c r="AC499" s="4"/>
      <c r="AD499" s="70"/>
      <c r="AE499" s="70">
        <f>ブーツ!AI41</f>
        <v>0</v>
      </c>
      <c r="AF499" s="70" t="str">
        <f>ブーツ!T41</f>
        <v>梱包サイズは大サイズになります。</v>
      </c>
      <c r="AG499" s="70">
        <v>0</v>
      </c>
      <c r="AH499" s="6">
        <f xml:space="preserve"> ブーツ!AG41</f>
        <v>0</v>
      </c>
      <c r="AI499">
        <v>1</v>
      </c>
      <c r="AJ499">
        <f>ブーツ!W41</f>
        <v>0</v>
      </c>
    </row>
    <row r="500" spans="1:36" ht="13.5" hidden="1" customHeight="1">
      <c r="A500" s="3" t="str">
        <f>IF(ブーツ!A42="","",ブーツ!A42)</f>
        <v/>
      </c>
      <c r="B500" s="68" t="str">
        <f>IF(ブーツ!B42="","",ブーツ!B42)</f>
        <v/>
      </c>
      <c r="C500" s="3" t="str">
        <f>IF(ブーツ!C42="","",ブーツ!C42)</f>
        <v>■ サイズ E</v>
      </c>
      <c r="D500" s="3" t="str">
        <f>IF(ブーツ!E42="","",ブーツ!E42)</f>
        <v>無</v>
      </c>
      <c r="E500" s="3" t="str">
        <f>IF(ブーツ!AE42="","",ブーツ!AE42)</f>
        <v>ベースS</v>
      </c>
      <c r="F500" s="3" t="str">
        <f>IF(ブーツ!G42="","",ブーツ!G42)</f>
        <v/>
      </c>
      <c r="G500" s="3" t="str">
        <f>IF(ブーツ!H42="","",ブーツ!H42)</f>
        <v/>
      </c>
      <c r="H500" s="3"/>
      <c r="I500" s="3" t="str">
        <f>IF(ブーツ!AD42="","",ブーツ!AD42)</f>
        <v>/ソール</v>
      </c>
      <c r="J500" s="3" t="str">
        <f>IF(ブーツ!M42="","",ブーツ!M42)</f>
        <v/>
      </c>
      <c r="K500" s="3" t="str">
        <f>IF(ブーツ!N42="","",ブーツ!N42)</f>
        <v>サイズ</v>
      </c>
      <c r="L500" s="69" t="s">
        <v>80</v>
      </c>
      <c r="M500" s="69" t="s">
        <v>19</v>
      </c>
      <c r="N500" s="69" t="s">
        <v>20</v>
      </c>
      <c r="O500" s="69" t="s">
        <v>21</v>
      </c>
      <c r="P500" s="4" t="s">
        <v>3036</v>
      </c>
      <c r="Q500" s="4" t="s">
        <v>3038</v>
      </c>
      <c r="R500" s="69" t="s">
        <v>22</v>
      </c>
      <c r="S500" s="3" t="str">
        <f>ブーツ!AC42</f>
        <v>底長：約cm　底甲幅：約cm　ヒール：約cm 高さ：約cm　足入れ口円周：約cm</v>
      </c>
      <c r="T500" s="69" t="s">
        <v>22</v>
      </c>
      <c r="U500" s="69" t="s">
        <v>24</v>
      </c>
      <c r="V500" s="69" t="s">
        <v>25</v>
      </c>
      <c r="W500" s="69" t="s">
        <v>26</v>
      </c>
      <c r="X500" s="69" t="s">
        <v>27</v>
      </c>
      <c r="Y500" s="69" t="s">
        <v>28</v>
      </c>
      <c r="Z500" s="69" t="s">
        <v>29</v>
      </c>
      <c r="AA500" s="4"/>
      <c r="AB500" s="4"/>
      <c r="AC500" s="4"/>
      <c r="AD500" s="70"/>
      <c r="AE500" s="70">
        <f>ブーツ!AI42</f>
        <v>0</v>
      </c>
      <c r="AF500" s="70" t="str">
        <f>ブーツ!T42</f>
        <v>梱包サイズは大サイズになります。</v>
      </c>
      <c r="AG500" s="70">
        <v>0</v>
      </c>
      <c r="AH500" s="6">
        <f xml:space="preserve"> ブーツ!AG42</f>
        <v>0</v>
      </c>
      <c r="AI500">
        <v>1</v>
      </c>
      <c r="AJ500">
        <f>ブーツ!W42</f>
        <v>0</v>
      </c>
    </row>
    <row r="501" spans="1:36" ht="13.5" hidden="1" customHeight="1">
      <c r="A501" s="3" t="str">
        <f>IF(ブーツ!A43="","",ブーツ!A43)</f>
        <v/>
      </c>
      <c r="B501" s="68" t="str">
        <f>IF(ブーツ!B43="","",ブーツ!B43)</f>
        <v/>
      </c>
      <c r="C501" s="3" t="str">
        <f>IF(ブーツ!C43="","",ブーツ!C43)</f>
        <v>■ サイズ E</v>
      </c>
      <c r="D501" s="3" t="str">
        <f>IF(ブーツ!E43="","",ブーツ!E43)</f>
        <v>無</v>
      </c>
      <c r="E501" s="3" t="str">
        <f>IF(ブーツ!AE43="","",ブーツ!AE43)</f>
        <v>ベースS</v>
      </c>
      <c r="F501" s="3" t="str">
        <f>IF(ブーツ!G43="","",ブーツ!G43)</f>
        <v/>
      </c>
      <c r="G501" s="3" t="str">
        <f>IF(ブーツ!H43="","",ブーツ!H43)</f>
        <v/>
      </c>
      <c r="H501" s="3"/>
      <c r="I501" s="3" t="str">
        <f>IF(ブーツ!AD43="","",ブーツ!AD43)</f>
        <v>/ソール</v>
      </c>
      <c r="J501" s="3" t="str">
        <f>IF(ブーツ!M43="","",ブーツ!M43)</f>
        <v/>
      </c>
      <c r="K501" s="3" t="str">
        <f>IF(ブーツ!N43="","",ブーツ!N43)</f>
        <v>サイズ</v>
      </c>
      <c r="L501" s="69" t="s">
        <v>80</v>
      </c>
      <c r="M501" s="69" t="s">
        <v>19</v>
      </c>
      <c r="N501" s="69" t="s">
        <v>20</v>
      </c>
      <c r="O501" s="69" t="s">
        <v>21</v>
      </c>
      <c r="P501" s="4" t="s">
        <v>3036</v>
      </c>
      <c r="Q501" s="4" t="s">
        <v>3038</v>
      </c>
      <c r="R501" s="69" t="s">
        <v>22</v>
      </c>
      <c r="S501" s="3" t="str">
        <f>ブーツ!AC43</f>
        <v>底長：約cm　底甲幅：約cm　ヒール：約cm 高さ：約cm　足入れ口円周：約cm</v>
      </c>
      <c r="T501" s="69" t="s">
        <v>22</v>
      </c>
      <c r="U501" s="69" t="s">
        <v>24</v>
      </c>
      <c r="V501" s="69" t="s">
        <v>25</v>
      </c>
      <c r="W501" s="69" t="s">
        <v>26</v>
      </c>
      <c r="X501" s="69" t="s">
        <v>27</v>
      </c>
      <c r="Y501" s="69" t="s">
        <v>28</v>
      </c>
      <c r="Z501" s="69" t="s">
        <v>29</v>
      </c>
      <c r="AA501" s="4"/>
      <c r="AB501" s="4"/>
      <c r="AC501" s="4"/>
      <c r="AD501" s="70"/>
      <c r="AE501" s="70">
        <f>ブーツ!AI43</f>
        <v>0</v>
      </c>
      <c r="AF501" s="70" t="str">
        <f>ブーツ!T43</f>
        <v>梱包サイズは大サイズになります。</v>
      </c>
      <c r="AG501" s="70">
        <v>0</v>
      </c>
      <c r="AH501" s="6">
        <f xml:space="preserve"> ブーツ!AG43</f>
        <v>0</v>
      </c>
      <c r="AI501">
        <v>1</v>
      </c>
      <c r="AJ501">
        <f>ブーツ!W43</f>
        <v>0</v>
      </c>
    </row>
    <row r="502" spans="1:36" ht="13.5" hidden="1" customHeight="1">
      <c r="A502" s="3" t="str">
        <f>IF(ブーツ!A44="","",ブーツ!A44)</f>
        <v/>
      </c>
      <c r="B502" s="68" t="str">
        <f>IF(ブーツ!B44="","",ブーツ!B44)</f>
        <v/>
      </c>
      <c r="C502" s="3" t="str">
        <f>IF(ブーツ!C44="","",ブーツ!C44)</f>
        <v>■ サイズ E</v>
      </c>
      <c r="D502" s="3" t="str">
        <f>IF(ブーツ!E44="","",ブーツ!E44)</f>
        <v>無</v>
      </c>
      <c r="E502" s="3" t="str">
        <f>IF(ブーツ!AE44="","",ブーツ!AE44)</f>
        <v>ベースS</v>
      </c>
      <c r="F502" s="3" t="str">
        <f>IF(ブーツ!G44="","",ブーツ!G44)</f>
        <v/>
      </c>
      <c r="G502" s="3" t="str">
        <f>IF(ブーツ!H44="","",ブーツ!H44)</f>
        <v/>
      </c>
      <c r="H502" s="3"/>
      <c r="I502" s="3" t="str">
        <f>IF(ブーツ!AD44="","",ブーツ!AD44)</f>
        <v>/ソール</v>
      </c>
      <c r="J502" s="3" t="str">
        <f>IF(ブーツ!M44="","",ブーツ!M44)</f>
        <v/>
      </c>
      <c r="K502" s="3" t="str">
        <f>IF(ブーツ!N44="","",ブーツ!N44)</f>
        <v>サイズ</v>
      </c>
      <c r="L502" s="69" t="s">
        <v>80</v>
      </c>
      <c r="M502" s="69" t="s">
        <v>19</v>
      </c>
      <c r="N502" s="69" t="s">
        <v>20</v>
      </c>
      <c r="O502" s="69" t="s">
        <v>21</v>
      </c>
      <c r="P502" s="4" t="s">
        <v>3036</v>
      </c>
      <c r="Q502" s="4" t="s">
        <v>3038</v>
      </c>
      <c r="R502" s="69" t="s">
        <v>22</v>
      </c>
      <c r="S502" s="3" t="str">
        <f>ブーツ!AC44</f>
        <v>底長：約cm　底甲幅：約cm　ヒール：約cm 高さ：約cm　足入れ口円周：約cm</v>
      </c>
      <c r="T502" s="69" t="s">
        <v>22</v>
      </c>
      <c r="U502" s="69" t="s">
        <v>24</v>
      </c>
      <c r="V502" s="69" t="s">
        <v>25</v>
      </c>
      <c r="W502" s="69" t="s">
        <v>26</v>
      </c>
      <c r="X502" s="69" t="s">
        <v>27</v>
      </c>
      <c r="Y502" s="69" t="s">
        <v>28</v>
      </c>
      <c r="Z502" s="69" t="s">
        <v>29</v>
      </c>
      <c r="AA502" s="4"/>
      <c r="AB502" s="4"/>
      <c r="AC502" s="4"/>
      <c r="AD502" s="70"/>
      <c r="AE502" s="70">
        <f>ブーツ!AI44</f>
        <v>0</v>
      </c>
      <c r="AF502" s="70" t="str">
        <f>ブーツ!T44</f>
        <v>梱包サイズは大サイズになります。</v>
      </c>
      <c r="AG502" s="70">
        <v>0</v>
      </c>
      <c r="AH502" s="6">
        <f xml:space="preserve"> ブーツ!AG44</f>
        <v>0</v>
      </c>
      <c r="AI502">
        <v>1</v>
      </c>
      <c r="AJ502">
        <f>ブーツ!W44</f>
        <v>0</v>
      </c>
    </row>
    <row r="503" spans="1:36" ht="13.5" hidden="1" customHeight="1">
      <c r="A503" s="3" t="str">
        <f>IF(ブーツ!A45="","",ブーツ!A45)</f>
        <v/>
      </c>
      <c r="B503" s="68" t="str">
        <f>IF(ブーツ!B45="","",ブーツ!B45)</f>
        <v/>
      </c>
      <c r="C503" s="3" t="str">
        <f>IF(ブーツ!C45="","",ブーツ!C45)</f>
        <v>■ サイズ E</v>
      </c>
      <c r="D503" s="3" t="str">
        <f>IF(ブーツ!E45="","",ブーツ!E45)</f>
        <v>無</v>
      </c>
      <c r="E503" s="3" t="str">
        <f>IF(ブーツ!AE45="","",ブーツ!AE45)</f>
        <v>ベースS</v>
      </c>
      <c r="F503" s="3" t="str">
        <f>IF(ブーツ!G45="","",ブーツ!G45)</f>
        <v/>
      </c>
      <c r="G503" s="3" t="str">
        <f>IF(ブーツ!H45="","",ブーツ!H45)</f>
        <v/>
      </c>
      <c r="H503" s="3"/>
      <c r="I503" s="3" t="str">
        <f>IF(ブーツ!AD45="","",ブーツ!AD45)</f>
        <v>/ソール</v>
      </c>
      <c r="J503" s="3" t="str">
        <f>IF(ブーツ!M45="","",ブーツ!M45)</f>
        <v/>
      </c>
      <c r="K503" s="3" t="str">
        <f>IF(ブーツ!N45="","",ブーツ!N45)</f>
        <v>サイズ</v>
      </c>
      <c r="L503" s="69" t="s">
        <v>80</v>
      </c>
      <c r="M503" s="69" t="s">
        <v>19</v>
      </c>
      <c r="N503" s="69" t="s">
        <v>20</v>
      </c>
      <c r="O503" s="69" t="s">
        <v>21</v>
      </c>
      <c r="P503" s="4" t="s">
        <v>3036</v>
      </c>
      <c r="Q503" s="4" t="s">
        <v>3038</v>
      </c>
      <c r="R503" s="69" t="s">
        <v>22</v>
      </c>
      <c r="S503" s="3" t="str">
        <f>ブーツ!AC45</f>
        <v>底長：約cm　底甲幅：約cm　ヒール：約cm 高さ：約cm　足入れ口円周：約cm</v>
      </c>
      <c r="T503" s="69" t="s">
        <v>22</v>
      </c>
      <c r="U503" s="69" t="s">
        <v>24</v>
      </c>
      <c r="V503" s="69" t="s">
        <v>25</v>
      </c>
      <c r="W503" s="69" t="s">
        <v>26</v>
      </c>
      <c r="X503" s="69" t="s">
        <v>27</v>
      </c>
      <c r="Y503" s="69" t="s">
        <v>28</v>
      </c>
      <c r="Z503" s="69" t="s">
        <v>29</v>
      </c>
      <c r="AA503" s="4"/>
      <c r="AB503" s="4"/>
      <c r="AC503" s="4"/>
      <c r="AD503" s="70"/>
      <c r="AE503" s="70">
        <f>ブーツ!AI45</f>
        <v>0</v>
      </c>
      <c r="AF503" s="70" t="str">
        <f>ブーツ!T45</f>
        <v>梱包サイズは大サイズになります。</v>
      </c>
      <c r="AG503" s="70">
        <v>0</v>
      </c>
      <c r="AH503" s="6">
        <f xml:space="preserve"> ブーツ!AG45</f>
        <v>0</v>
      </c>
      <c r="AI503">
        <v>1</v>
      </c>
      <c r="AJ503">
        <f>ブーツ!W45</f>
        <v>0</v>
      </c>
    </row>
    <row r="504" spans="1:36" ht="13.5" hidden="1" customHeight="1">
      <c r="A504" s="3" t="str">
        <f>IF(ブーツ!A46="","",ブーツ!A46)</f>
        <v/>
      </c>
      <c r="B504" s="68" t="str">
        <f>IF(ブーツ!B46="","",ブーツ!B46)</f>
        <v/>
      </c>
      <c r="C504" s="3" t="str">
        <f>IF(ブーツ!C46="","",ブーツ!C46)</f>
        <v>■ サイズ E</v>
      </c>
      <c r="D504" s="3" t="str">
        <f>IF(ブーツ!E46="","",ブーツ!E46)</f>
        <v>無</v>
      </c>
      <c r="E504" s="3" t="str">
        <f>IF(ブーツ!AE46="","",ブーツ!AE46)</f>
        <v>ベースS</v>
      </c>
      <c r="F504" s="3" t="str">
        <f>IF(ブーツ!G46="","",ブーツ!G46)</f>
        <v/>
      </c>
      <c r="G504" s="3" t="str">
        <f>IF(ブーツ!H46="","",ブーツ!H46)</f>
        <v/>
      </c>
      <c r="H504" s="3"/>
      <c r="I504" s="3" t="str">
        <f>IF(ブーツ!AD46="","",ブーツ!AD46)</f>
        <v>/ソール</v>
      </c>
      <c r="J504" s="3" t="str">
        <f>IF(ブーツ!M46="","",ブーツ!M46)</f>
        <v/>
      </c>
      <c r="K504" s="3" t="str">
        <f>IF(ブーツ!N46="","",ブーツ!N46)</f>
        <v>サイズ</v>
      </c>
      <c r="L504" s="69" t="s">
        <v>80</v>
      </c>
      <c r="M504" s="69" t="s">
        <v>19</v>
      </c>
      <c r="N504" s="69" t="s">
        <v>20</v>
      </c>
      <c r="O504" s="69" t="s">
        <v>21</v>
      </c>
      <c r="P504" s="4" t="s">
        <v>3036</v>
      </c>
      <c r="Q504" s="4" t="s">
        <v>3038</v>
      </c>
      <c r="R504" s="69" t="s">
        <v>22</v>
      </c>
      <c r="S504" s="3" t="str">
        <f>ブーツ!AC46</f>
        <v>底長：約cm　底甲幅：約cm　ヒール：約cm 高さ：約cm　足入れ口円周：約cm</v>
      </c>
      <c r="T504" s="69" t="s">
        <v>22</v>
      </c>
      <c r="U504" s="69" t="s">
        <v>24</v>
      </c>
      <c r="V504" s="69" t="s">
        <v>25</v>
      </c>
      <c r="W504" s="69" t="s">
        <v>26</v>
      </c>
      <c r="X504" s="69" t="s">
        <v>27</v>
      </c>
      <c r="Y504" s="69" t="s">
        <v>28</v>
      </c>
      <c r="Z504" s="69" t="s">
        <v>29</v>
      </c>
      <c r="AA504" s="4"/>
      <c r="AB504" s="4"/>
      <c r="AC504" s="4"/>
      <c r="AD504" s="70"/>
      <c r="AE504" s="70">
        <f>ブーツ!AI46</f>
        <v>0</v>
      </c>
      <c r="AF504" s="70" t="str">
        <f>ブーツ!T46</f>
        <v>梱包サイズは大サイズになります。</v>
      </c>
      <c r="AG504" s="70">
        <v>0</v>
      </c>
      <c r="AH504" s="6">
        <f xml:space="preserve"> ブーツ!AG46</f>
        <v>0</v>
      </c>
      <c r="AI504">
        <v>1</v>
      </c>
      <c r="AJ504">
        <f>ブーツ!W46</f>
        <v>0</v>
      </c>
    </row>
    <row r="505" spans="1:36" ht="13.5" hidden="1" customHeight="1">
      <c r="A505" s="3" t="str">
        <f>IF(ブーツ!A47="","",ブーツ!A47)</f>
        <v/>
      </c>
      <c r="B505" s="68" t="str">
        <f>IF(ブーツ!B47="","",ブーツ!B47)</f>
        <v/>
      </c>
      <c r="C505" s="3" t="str">
        <f>IF(ブーツ!C47="","",ブーツ!C47)</f>
        <v>■ サイズ E</v>
      </c>
      <c r="D505" s="3" t="str">
        <f>IF(ブーツ!E47="","",ブーツ!E47)</f>
        <v>無</v>
      </c>
      <c r="E505" s="3" t="str">
        <f>IF(ブーツ!AE47="","",ブーツ!AE47)</f>
        <v>ベースS</v>
      </c>
      <c r="F505" s="3" t="str">
        <f>IF(ブーツ!G47="","",ブーツ!G47)</f>
        <v/>
      </c>
      <c r="G505" s="3" t="str">
        <f>IF(ブーツ!H47="","",ブーツ!H47)</f>
        <v/>
      </c>
      <c r="H505" s="3"/>
      <c r="I505" s="3" t="str">
        <f>IF(ブーツ!AD47="","",ブーツ!AD47)</f>
        <v>/ソール</v>
      </c>
      <c r="J505" s="3" t="str">
        <f>IF(ブーツ!M47="","",ブーツ!M47)</f>
        <v/>
      </c>
      <c r="K505" s="3" t="str">
        <f>IF(ブーツ!N47="","",ブーツ!N47)</f>
        <v>サイズ</v>
      </c>
      <c r="L505" s="69" t="s">
        <v>80</v>
      </c>
      <c r="M505" s="69" t="s">
        <v>19</v>
      </c>
      <c r="N505" s="69" t="s">
        <v>20</v>
      </c>
      <c r="O505" s="69" t="s">
        <v>21</v>
      </c>
      <c r="P505" s="4" t="s">
        <v>3036</v>
      </c>
      <c r="Q505" s="4" t="s">
        <v>3038</v>
      </c>
      <c r="R505" s="69" t="s">
        <v>22</v>
      </c>
      <c r="S505" s="3" t="str">
        <f>ブーツ!AC47</f>
        <v>底長：約cm　底甲幅：約cm　ヒール：約cm 高さ：約cm　足入れ口円周：約cm</v>
      </c>
      <c r="T505" s="69" t="s">
        <v>22</v>
      </c>
      <c r="U505" s="69" t="s">
        <v>24</v>
      </c>
      <c r="V505" s="69" t="s">
        <v>25</v>
      </c>
      <c r="W505" s="69" t="s">
        <v>26</v>
      </c>
      <c r="X505" s="69" t="s">
        <v>27</v>
      </c>
      <c r="Y505" s="69" t="s">
        <v>28</v>
      </c>
      <c r="Z505" s="69" t="s">
        <v>29</v>
      </c>
      <c r="AA505" s="4"/>
      <c r="AB505" s="4"/>
      <c r="AC505" s="4"/>
      <c r="AD505" s="70"/>
      <c r="AE505" s="70">
        <f>ブーツ!AI47</f>
        <v>0</v>
      </c>
      <c r="AF505" s="70" t="str">
        <f>ブーツ!T47</f>
        <v>梱包サイズは大サイズになります。</v>
      </c>
      <c r="AG505" s="70">
        <v>0</v>
      </c>
      <c r="AH505" s="6">
        <f xml:space="preserve"> ブーツ!AG47</f>
        <v>0</v>
      </c>
      <c r="AI505">
        <v>1</v>
      </c>
      <c r="AJ505">
        <f>ブーツ!W47</f>
        <v>0</v>
      </c>
    </row>
    <row r="506" spans="1:36" ht="13.5" hidden="1" customHeight="1">
      <c r="A506" s="3" t="str">
        <f>IF(ブーツ!A48="","",ブーツ!A48)</f>
        <v/>
      </c>
      <c r="B506" s="68" t="str">
        <f>IF(ブーツ!B48="","",ブーツ!B48)</f>
        <v/>
      </c>
      <c r="C506" s="3" t="str">
        <f>IF(ブーツ!C48="","",ブーツ!C48)</f>
        <v>■ サイズ E</v>
      </c>
      <c r="D506" s="3" t="str">
        <f>IF(ブーツ!E48="","",ブーツ!E48)</f>
        <v>無</v>
      </c>
      <c r="E506" s="3" t="str">
        <f>IF(ブーツ!AE48="","",ブーツ!AE48)</f>
        <v>ベースS</v>
      </c>
      <c r="F506" s="3" t="str">
        <f>IF(ブーツ!G48="","",ブーツ!G48)</f>
        <v/>
      </c>
      <c r="G506" s="3" t="str">
        <f>IF(ブーツ!H48="","",ブーツ!H48)</f>
        <v/>
      </c>
      <c r="H506" s="3"/>
      <c r="I506" s="3" t="str">
        <f>IF(ブーツ!AD48="","",ブーツ!AD48)</f>
        <v>/ソール</v>
      </c>
      <c r="J506" s="3" t="str">
        <f>IF(ブーツ!M48="","",ブーツ!M48)</f>
        <v/>
      </c>
      <c r="K506" s="3" t="str">
        <f>IF(ブーツ!N48="","",ブーツ!N48)</f>
        <v>サイズ</v>
      </c>
      <c r="L506" s="69" t="s">
        <v>80</v>
      </c>
      <c r="M506" s="69" t="s">
        <v>19</v>
      </c>
      <c r="N506" s="69" t="s">
        <v>20</v>
      </c>
      <c r="O506" s="69" t="s">
        <v>21</v>
      </c>
      <c r="P506" s="4" t="s">
        <v>3036</v>
      </c>
      <c r="Q506" s="4" t="s">
        <v>3038</v>
      </c>
      <c r="R506" s="69" t="s">
        <v>22</v>
      </c>
      <c r="S506" s="3" t="str">
        <f>ブーツ!AC48</f>
        <v>底長：約cm　底甲幅：約cm　ヒール：約cm 高さ：約cm　足入れ口円周：約cm</v>
      </c>
      <c r="T506" s="69" t="s">
        <v>22</v>
      </c>
      <c r="U506" s="69" t="s">
        <v>24</v>
      </c>
      <c r="V506" s="69" t="s">
        <v>25</v>
      </c>
      <c r="W506" s="69" t="s">
        <v>26</v>
      </c>
      <c r="X506" s="69" t="s">
        <v>27</v>
      </c>
      <c r="Y506" s="69" t="s">
        <v>28</v>
      </c>
      <c r="Z506" s="69" t="s">
        <v>29</v>
      </c>
      <c r="AA506" s="4"/>
      <c r="AB506" s="4"/>
      <c r="AC506" s="4"/>
      <c r="AD506" s="70"/>
      <c r="AE506" s="70">
        <f>ブーツ!AI48</f>
        <v>0</v>
      </c>
      <c r="AF506" s="70" t="str">
        <f>ブーツ!T48</f>
        <v>梱包サイズは大サイズになります。</v>
      </c>
      <c r="AG506" s="70">
        <v>0</v>
      </c>
      <c r="AH506" s="6">
        <f xml:space="preserve"> ブーツ!AG48</f>
        <v>0</v>
      </c>
      <c r="AI506">
        <v>1</v>
      </c>
      <c r="AJ506">
        <f>ブーツ!W48</f>
        <v>0</v>
      </c>
    </row>
    <row r="507" spans="1:36" ht="13.5" hidden="1" customHeight="1">
      <c r="A507" s="3" t="str">
        <f>IF(ブーツ!A49="","",ブーツ!A49)</f>
        <v/>
      </c>
      <c r="B507" s="68" t="str">
        <f>IF(ブーツ!B49="","",ブーツ!B49)</f>
        <v/>
      </c>
      <c r="C507" s="3" t="str">
        <f>IF(ブーツ!C49="","",ブーツ!C49)</f>
        <v>■ サイズ E</v>
      </c>
      <c r="D507" s="3" t="str">
        <f>IF(ブーツ!E49="","",ブーツ!E49)</f>
        <v>無</v>
      </c>
      <c r="E507" s="3" t="str">
        <f>IF(ブーツ!AE49="","",ブーツ!AE49)</f>
        <v>ベースS</v>
      </c>
      <c r="F507" s="3" t="str">
        <f>IF(ブーツ!G49="","",ブーツ!G49)</f>
        <v/>
      </c>
      <c r="G507" s="3" t="str">
        <f>IF(ブーツ!H49="","",ブーツ!H49)</f>
        <v/>
      </c>
      <c r="H507" s="3"/>
      <c r="I507" s="3" t="str">
        <f>IF(ブーツ!AD49="","",ブーツ!AD49)</f>
        <v>/ソール</v>
      </c>
      <c r="J507" s="3" t="str">
        <f>IF(ブーツ!M49="","",ブーツ!M49)</f>
        <v/>
      </c>
      <c r="K507" s="3" t="str">
        <f>IF(ブーツ!N49="","",ブーツ!N49)</f>
        <v>サイズ</v>
      </c>
      <c r="L507" s="69" t="s">
        <v>80</v>
      </c>
      <c r="M507" s="69" t="s">
        <v>19</v>
      </c>
      <c r="N507" s="69" t="s">
        <v>20</v>
      </c>
      <c r="O507" s="69" t="s">
        <v>21</v>
      </c>
      <c r="P507" s="4" t="s">
        <v>3036</v>
      </c>
      <c r="Q507" s="4" t="s">
        <v>3038</v>
      </c>
      <c r="R507" s="69" t="s">
        <v>22</v>
      </c>
      <c r="S507" s="3" t="str">
        <f>ブーツ!AC49</f>
        <v>底長：約cm　底甲幅：約cm　ヒール：約cm 高さ：約cm　足入れ口円周：約cm</v>
      </c>
      <c r="T507" s="69" t="s">
        <v>22</v>
      </c>
      <c r="U507" s="69" t="s">
        <v>24</v>
      </c>
      <c r="V507" s="69" t="s">
        <v>25</v>
      </c>
      <c r="W507" s="69" t="s">
        <v>26</v>
      </c>
      <c r="X507" s="69" t="s">
        <v>27</v>
      </c>
      <c r="Y507" s="69" t="s">
        <v>28</v>
      </c>
      <c r="Z507" s="69" t="s">
        <v>29</v>
      </c>
      <c r="AA507" s="4"/>
      <c r="AB507" s="4"/>
      <c r="AC507" s="4"/>
      <c r="AD507" s="70"/>
      <c r="AE507" s="70">
        <f>ブーツ!AI49</f>
        <v>0</v>
      </c>
      <c r="AF507" s="70" t="str">
        <f>ブーツ!T49</f>
        <v>梱包サイズは大サイズになります。</v>
      </c>
      <c r="AG507" s="70">
        <v>0</v>
      </c>
      <c r="AH507" s="6">
        <f xml:space="preserve"> ブーツ!AG49</f>
        <v>0</v>
      </c>
      <c r="AI507">
        <v>1</v>
      </c>
      <c r="AJ507">
        <f>ブーツ!W49</f>
        <v>0</v>
      </c>
    </row>
    <row r="508" spans="1:36" ht="13.5" hidden="1" customHeight="1">
      <c r="A508" s="3" t="str">
        <f>IF(ブーツ!A50="","",ブーツ!A50)</f>
        <v/>
      </c>
      <c r="B508" s="68" t="str">
        <f>IF(ブーツ!B50="","",ブーツ!B50)</f>
        <v/>
      </c>
      <c r="C508" s="3" t="str">
        <f>IF(ブーツ!C50="","",ブーツ!C50)</f>
        <v>■ サイズ E</v>
      </c>
      <c r="D508" s="3" t="str">
        <f>IF(ブーツ!E50="","",ブーツ!E50)</f>
        <v>無</v>
      </c>
      <c r="E508" s="3" t="str">
        <f>IF(ブーツ!AE50="","",ブーツ!AE50)</f>
        <v>ベースS</v>
      </c>
      <c r="F508" s="3" t="str">
        <f>IF(ブーツ!G50="","",ブーツ!G50)</f>
        <v/>
      </c>
      <c r="G508" s="3" t="str">
        <f>IF(ブーツ!H50="","",ブーツ!H50)</f>
        <v/>
      </c>
      <c r="H508" s="3"/>
      <c r="I508" s="3" t="str">
        <f>IF(ブーツ!AD50="","",ブーツ!AD50)</f>
        <v>/ソール</v>
      </c>
      <c r="J508" s="3" t="str">
        <f>IF(ブーツ!M50="","",ブーツ!M50)</f>
        <v/>
      </c>
      <c r="K508" s="3" t="str">
        <f>IF(ブーツ!N50="","",ブーツ!N50)</f>
        <v>サイズ</v>
      </c>
      <c r="L508" s="69" t="s">
        <v>80</v>
      </c>
      <c r="M508" s="69" t="s">
        <v>19</v>
      </c>
      <c r="N508" s="69" t="s">
        <v>20</v>
      </c>
      <c r="O508" s="69" t="s">
        <v>21</v>
      </c>
      <c r="P508" s="4" t="s">
        <v>3036</v>
      </c>
      <c r="Q508" s="4" t="s">
        <v>3038</v>
      </c>
      <c r="R508" s="69" t="s">
        <v>22</v>
      </c>
      <c r="S508" s="3" t="str">
        <f>ブーツ!AC50</f>
        <v>底長：約cm　底甲幅：約cm　ヒール：約cm 高さ：約cm　足入れ口円周：約cm</v>
      </c>
      <c r="T508" s="69" t="s">
        <v>22</v>
      </c>
      <c r="U508" s="69" t="s">
        <v>24</v>
      </c>
      <c r="V508" s="69" t="s">
        <v>25</v>
      </c>
      <c r="W508" s="69" t="s">
        <v>26</v>
      </c>
      <c r="X508" s="69" t="s">
        <v>27</v>
      </c>
      <c r="Y508" s="69" t="s">
        <v>28</v>
      </c>
      <c r="Z508" s="69" t="s">
        <v>29</v>
      </c>
      <c r="AA508" s="4"/>
      <c r="AB508" s="4"/>
      <c r="AC508" s="4"/>
      <c r="AD508" s="70"/>
      <c r="AE508" s="70">
        <f>ブーツ!AI50</f>
        <v>0</v>
      </c>
      <c r="AF508" s="70" t="str">
        <f>ブーツ!T50</f>
        <v>梱包サイズは大サイズになります。</v>
      </c>
      <c r="AG508" s="70">
        <v>0</v>
      </c>
      <c r="AH508" s="6">
        <f xml:space="preserve"> ブーツ!AG50</f>
        <v>0</v>
      </c>
      <c r="AI508">
        <v>1</v>
      </c>
      <c r="AJ508">
        <f>ブーツ!W50</f>
        <v>0</v>
      </c>
    </row>
    <row r="509" spans="1:36" ht="13.5" hidden="1" customHeight="1">
      <c r="A509" s="3" t="str">
        <f>IF(ブーツ!A51="","",ブーツ!A51)</f>
        <v/>
      </c>
      <c r="B509" s="68" t="str">
        <f>IF(ブーツ!B51="","",ブーツ!B51)</f>
        <v/>
      </c>
      <c r="C509" s="3" t="str">
        <f>IF(ブーツ!C51="","",ブーツ!C51)</f>
        <v>■ サイズ E</v>
      </c>
      <c r="D509" s="3" t="str">
        <f>IF(ブーツ!E51="","",ブーツ!E51)</f>
        <v>無</v>
      </c>
      <c r="E509" s="3" t="str">
        <f>IF(ブーツ!AE51="","",ブーツ!AE51)</f>
        <v>ベースS</v>
      </c>
      <c r="F509" s="3" t="str">
        <f>IF(ブーツ!G51="","",ブーツ!G51)</f>
        <v/>
      </c>
      <c r="G509" s="3" t="str">
        <f>IF(ブーツ!H51="","",ブーツ!H51)</f>
        <v/>
      </c>
      <c r="H509" s="3"/>
      <c r="I509" s="3" t="str">
        <f>IF(ブーツ!AD51="","",ブーツ!AD51)</f>
        <v>/ソール</v>
      </c>
      <c r="J509" s="3" t="str">
        <f>IF(ブーツ!M51="","",ブーツ!M51)</f>
        <v/>
      </c>
      <c r="K509" s="3" t="str">
        <f>IF(ブーツ!N51="","",ブーツ!N51)</f>
        <v>サイズ</v>
      </c>
      <c r="L509" s="69" t="s">
        <v>80</v>
      </c>
      <c r="M509" s="69" t="s">
        <v>19</v>
      </c>
      <c r="N509" s="69" t="s">
        <v>20</v>
      </c>
      <c r="O509" s="69" t="s">
        <v>21</v>
      </c>
      <c r="P509" s="4" t="s">
        <v>3036</v>
      </c>
      <c r="Q509" s="4" t="s">
        <v>3038</v>
      </c>
      <c r="R509" s="69" t="s">
        <v>22</v>
      </c>
      <c r="S509" s="3" t="str">
        <f>ブーツ!AC51</f>
        <v>底長：約cm　底甲幅：約cm　ヒール：約cm 高さ：約cm　足入れ口円周：約cm</v>
      </c>
      <c r="T509" s="69" t="s">
        <v>22</v>
      </c>
      <c r="U509" s="69" t="s">
        <v>24</v>
      </c>
      <c r="V509" s="69" t="s">
        <v>25</v>
      </c>
      <c r="W509" s="69" t="s">
        <v>26</v>
      </c>
      <c r="X509" s="69" t="s">
        <v>27</v>
      </c>
      <c r="Y509" s="69" t="s">
        <v>28</v>
      </c>
      <c r="Z509" s="69" t="s">
        <v>29</v>
      </c>
      <c r="AA509" s="4"/>
      <c r="AB509" s="4"/>
      <c r="AC509" s="4"/>
      <c r="AD509" s="70"/>
      <c r="AE509" s="70">
        <f>ブーツ!AI51</f>
        <v>0</v>
      </c>
      <c r="AF509" s="70" t="str">
        <f>ブーツ!T51</f>
        <v>梱包サイズは大サイズになります。</v>
      </c>
      <c r="AG509" s="70">
        <v>0</v>
      </c>
      <c r="AH509" s="6">
        <f xml:space="preserve"> ブーツ!AG51</f>
        <v>0</v>
      </c>
      <c r="AI509">
        <v>1</v>
      </c>
      <c r="AJ509">
        <f>ブーツ!W51</f>
        <v>0</v>
      </c>
    </row>
    <row r="510" spans="1:36" ht="13.5" hidden="1" customHeight="1">
      <c r="A510" s="3" t="str">
        <f>IF(ベルト!A2="","",ベルト!A2)</f>
        <v/>
      </c>
      <c r="B510" s="68" t="str">
        <f>IF(ベルト!B2="","",ベルト!B2)</f>
        <v/>
      </c>
      <c r="C510" s="3" t="str">
        <f>IF(ベルト!C2="","",ベルト!C2)</f>
        <v>◇ サイズ E</v>
      </c>
      <c r="D510" s="3" t="str">
        <f>IF(ベルト!E2="","",ベルト!E2)</f>
        <v>無</v>
      </c>
      <c r="E510" s="3" t="str">
        <f>IF(ベルト!AA2="","",ベルト!AA2)</f>
        <v>ベースB</v>
      </c>
      <c r="F510" s="3" t="str">
        <f>IF(ベルト!G2="","",ベルト!G2)</f>
        <v/>
      </c>
      <c r="G510" s="3" t="str">
        <f>IF(ベルト!H2="","",ベルト!H2)</f>
        <v/>
      </c>
      <c r="H510" s="3"/>
      <c r="I510" s="3" t="str">
        <f>IF(ベルト!J2="","",ベルト!J2)</f>
        <v/>
      </c>
      <c r="J510" s="3" t="str">
        <f>IF(ベルト!K2="","",ベルト!K2)</f>
        <v/>
      </c>
      <c r="K510" s="3" t="str">
        <f>IF(ベルト!L2="","",ベルト!L2)</f>
        <v>サイズ</v>
      </c>
      <c r="L510" s="69" t="s">
        <v>80</v>
      </c>
      <c r="M510" s="69" t="s">
        <v>19</v>
      </c>
      <c r="N510" s="69" t="s">
        <v>20</v>
      </c>
      <c r="O510" s="69" t="s">
        <v>21</v>
      </c>
      <c r="P510" s="4" t="s">
        <v>3036</v>
      </c>
      <c r="Q510" s="4" t="s">
        <v>3038</v>
      </c>
      <c r="R510" s="69" t="s">
        <v>22</v>
      </c>
      <c r="S510" s="69" t="s">
        <v>23</v>
      </c>
      <c r="T510" s="69" t="s">
        <v>22</v>
      </c>
      <c r="U510" s="3" t="str">
        <f>ベルト!Z2</f>
        <v>全長：約cm　幅：約cm　間隔：約cm　最短：約cm  穴：個</v>
      </c>
      <c r="V510" s="69" t="s">
        <v>25</v>
      </c>
      <c r="W510" s="69" t="s">
        <v>26</v>
      </c>
      <c r="X510" s="69" t="s">
        <v>27</v>
      </c>
      <c r="Y510" s="69" t="s">
        <v>28</v>
      </c>
      <c r="Z510" s="69" t="s">
        <v>29</v>
      </c>
      <c r="AA510" s="4"/>
      <c r="AB510" s="4"/>
      <c r="AC510" s="4"/>
      <c r="AD510" s="70"/>
      <c r="AE510" s="70">
        <f>ベルト!AE2</f>
        <v>0</v>
      </c>
      <c r="AF510" s="70" t="str">
        <f>ベルト!R2</f>
        <v>通常</v>
      </c>
      <c r="AG510" s="70">
        <v>0</v>
      </c>
      <c r="AH510" s="6">
        <f xml:space="preserve"> ベルト!AC2</f>
        <v>0</v>
      </c>
      <c r="AI510">
        <v>1</v>
      </c>
      <c r="AJ510">
        <f>ベルト!U2</f>
        <v>0</v>
      </c>
    </row>
    <row r="511" spans="1:36" ht="13.5" hidden="1" customHeight="1">
      <c r="A511" s="3" t="str">
        <f>IF(ベルト!A3="","",ベルト!A3)</f>
        <v/>
      </c>
      <c r="B511" s="68" t="str">
        <f>IF(ベルト!B3="","",ベルト!B3)</f>
        <v/>
      </c>
      <c r="C511" s="3" t="str">
        <f>IF(ベルト!C3="","",ベルト!C3)</f>
        <v>◇ サイズ E</v>
      </c>
      <c r="D511" s="3" t="str">
        <f>IF(ベルト!E3="","",ベルト!E3)</f>
        <v>無</v>
      </c>
      <c r="E511" s="3" t="str">
        <f>IF(ベルト!AA3="","",ベルト!AA3)</f>
        <v>ベースB</v>
      </c>
      <c r="F511" s="3" t="str">
        <f>IF(ベルト!G3="","",ベルト!G3)</f>
        <v/>
      </c>
      <c r="G511" s="3" t="str">
        <f>IF(ベルト!H3="","",ベルト!H3)</f>
        <v/>
      </c>
      <c r="H511" s="3"/>
      <c r="I511" s="3" t="str">
        <f>IF(ベルト!J3="","",ベルト!J3)</f>
        <v/>
      </c>
      <c r="J511" s="3" t="str">
        <f>IF(ベルト!K3="","",ベルト!K3)</f>
        <v/>
      </c>
      <c r="K511" s="3" t="str">
        <f>IF(ベルト!L3="","",ベルト!L3)</f>
        <v>サイズ</v>
      </c>
      <c r="L511" s="69" t="s">
        <v>80</v>
      </c>
      <c r="M511" s="69" t="s">
        <v>19</v>
      </c>
      <c r="N511" s="69" t="s">
        <v>20</v>
      </c>
      <c r="O511" s="69" t="s">
        <v>21</v>
      </c>
      <c r="P511" s="4" t="s">
        <v>3036</v>
      </c>
      <c r="Q511" s="4" t="s">
        <v>3038</v>
      </c>
      <c r="R511" s="69" t="s">
        <v>22</v>
      </c>
      <c r="S511" s="69" t="s">
        <v>23</v>
      </c>
      <c r="T511" s="69" t="s">
        <v>22</v>
      </c>
      <c r="U511" s="3" t="str">
        <f>ベルト!Z3</f>
        <v>全長：約cm　幅：約cm　間隔：約cm　最短：約cm  穴：個</v>
      </c>
      <c r="V511" s="69" t="s">
        <v>25</v>
      </c>
      <c r="W511" s="69" t="s">
        <v>26</v>
      </c>
      <c r="X511" s="69" t="s">
        <v>27</v>
      </c>
      <c r="Y511" s="69" t="s">
        <v>28</v>
      </c>
      <c r="Z511" s="69" t="s">
        <v>29</v>
      </c>
      <c r="AA511" s="4"/>
      <c r="AB511" s="4"/>
      <c r="AC511" s="4"/>
      <c r="AD511" s="70"/>
      <c r="AE511" s="70">
        <f>ベルト!AE3</f>
        <v>0</v>
      </c>
      <c r="AF511" s="70" t="str">
        <f>ベルト!R3</f>
        <v>通常</v>
      </c>
      <c r="AG511" s="70">
        <v>0</v>
      </c>
      <c r="AH511" s="6">
        <f xml:space="preserve"> ベルト!AC3</f>
        <v>0</v>
      </c>
      <c r="AI511">
        <v>1</v>
      </c>
      <c r="AJ511">
        <f>ベルト!U3</f>
        <v>0</v>
      </c>
    </row>
    <row r="512" spans="1:36" ht="13.5" hidden="1" customHeight="1">
      <c r="A512" s="3" t="str">
        <f>IF(ベルト!A4="","",ベルト!A4)</f>
        <v/>
      </c>
      <c r="B512" s="68" t="str">
        <f>IF(ベルト!B4="","",ベルト!B4)</f>
        <v/>
      </c>
      <c r="C512" s="3" t="str">
        <f>IF(ベルト!C4="","",ベルト!C4)</f>
        <v>◇ サイズ E</v>
      </c>
      <c r="D512" s="3" t="str">
        <f>IF(ベルト!E4="","",ベルト!E4)</f>
        <v>無</v>
      </c>
      <c r="E512" s="3" t="str">
        <f>IF(ベルト!AA4="","",ベルト!AA4)</f>
        <v>ベースB</v>
      </c>
      <c r="F512" s="3" t="str">
        <f>IF(ベルト!G4="","",ベルト!G4)</f>
        <v/>
      </c>
      <c r="G512" s="3" t="str">
        <f>IF(ベルト!H4="","",ベルト!H4)</f>
        <v/>
      </c>
      <c r="H512" s="3"/>
      <c r="I512" s="3" t="str">
        <f>IF(ベルト!J4="","",ベルト!J4)</f>
        <v/>
      </c>
      <c r="J512" s="3" t="str">
        <f>IF(ベルト!K4="","",ベルト!K4)</f>
        <v/>
      </c>
      <c r="K512" s="3" t="str">
        <f>IF(ベルト!L4="","",ベルト!L4)</f>
        <v>サイズ</v>
      </c>
      <c r="L512" s="69" t="s">
        <v>80</v>
      </c>
      <c r="M512" s="69" t="s">
        <v>19</v>
      </c>
      <c r="N512" s="69" t="s">
        <v>20</v>
      </c>
      <c r="O512" s="69" t="s">
        <v>21</v>
      </c>
      <c r="P512" s="4" t="s">
        <v>3036</v>
      </c>
      <c r="Q512" s="4" t="s">
        <v>3038</v>
      </c>
      <c r="R512" s="69" t="s">
        <v>22</v>
      </c>
      <c r="S512" s="69" t="s">
        <v>23</v>
      </c>
      <c r="T512" s="69" t="s">
        <v>22</v>
      </c>
      <c r="U512" s="3" t="str">
        <f>ベルト!Z4</f>
        <v>全長：約cm　幅：約cm　間隔：約cm　最短：約cm  穴：個</v>
      </c>
      <c r="V512" s="69" t="s">
        <v>25</v>
      </c>
      <c r="W512" s="69" t="s">
        <v>26</v>
      </c>
      <c r="X512" s="69" t="s">
        <v>27</v>
      </c>
      <c r="Y512" s="69" t="s">
        <v>28</v>
      </c>
      <c r="Z512" s="69" t="s">
        <v>29</v>
      </c>
      <c r="AA512" s="4"/>
      <c r="AB512" s="4"/>
      <c r="AC512" s="4"/>
      <c r="AD512" s="70"/>
      <c r="AE512" s="70">
        <f>ベルト!AE4</f>
        <v>0</v>
      </c>
      <c r="AF512" s="70" t="str">
        <f>ベルト!R4</f>
        <v>通常</v>
      </c>
      <c r="AG512" s="70">
        <v>0</v>
      </c>
      <c r="AH512" s="6">
        <f xml:space="preserve"> ベルト!AC4</f>
        <v>0</v>
      </c>
      <c r="AI512">
        <v>1</v>
      </c>
      <c r="AJ512">
        <f>ベルト!U4</f>
        <v>0</v>
      </c>
    </row>
    <row r="513" spans="1:36" ht="13.5" hidden="1" customHeight="1">
      <c r="A513" s="3" t="str">
        <f>IF(ベルト!A5="","",ベルト!A5)</f>
        <v/>
      </c>
      <c r="B513" s="68" t="str">
        <f>IF(ベルト!B5="","",ベルト!B5)</f>
        <v/>
      </c>
      <c r="C513" s="3" t="str">
        <f>IF(ベルト!C5="","",ベルト!C5)</f>
        <v>◇ サイズ E</v>
      </c>
      <c r="D513" s="3" t="str">
        <f>IF(ベルト!E5="","",ベルト!E5)</f>
        <v>無</v>
      </c>
      <c r="E513" s="3" t="str">
        <f>IF(ベルト!AA5="","",ベルト!AA5)</f>
        <v>ベースB</v>
      </c>
      <c r="F513" s="3" t="str">
        <f>IF(ベルト!G5="","",ベルト!G5)</f>
        <v/>
      </c>
      <c r="G513" s="3" t="str">
        <f>IF(ベルト!H5="","",ベルト!H5)</f>
        <v/>
      </c>
      <c r="H513" s="3"/>
      <c r="I513" s="3" t="str">
        <f>IF(ベルト!J5="","",ベルト!J5)</f>
        <v/>
      </c>
      <c r="J513" s="3" t="str">
        <f>IF(ベルト!K5="","",ベルト!K5)</f>
        <v/>
      </c>
      <c r="K513" s="3" t="str">
        <f>IF(ベルト!L5="","",ベルト!L5)</f>
        <v>サイズ</v>
      </c>
      <c r="L513" s="69" t="s">
        <v>80</v>
      </c>
      <c r="M513" s="69" t="s">
        <v>19</v>
      </c>
      <c r="N513" s="69" t="s">
        <v>20</v>
      </c>
      <c r="O513" s="69" t="s">
        <v>21</v>
      </c>
      <c r="P513" s="4" t="s">
        <v>3036</v>
      </c>
      <c r="Q513" s="4" t="s">
        <v>3038</v>
      </c>
      <c r="R513" s="69" t="s">
        <v>22</v>
      </c>
      <c r="S513" s="69" t="s">
        <v>23</v>
      </c>
      <c r="T513" s="69" t="s">
        <v>22</v>
      </c>
      <c r="U513" s="3" t="str">
        <f>ベルト!Z5</f>
        <v>全長：約cm　幅：約cm　間隔：約cm　最短：約cm  穴：個</v>
      </c>
      <c r="V513" s="69" t="s">
        <v>25</v>
      </c>
      <c r="W513" s="69" t="s">
        <v>26</v>
      </c>
      <c r="X513" s="69" t="s">
        <v>27</v>
      </c>
      <c r="Y513" s="69" t="s">
        <v>28</v>
      </c>
      <c r="Z513" s="69" t="s">
        <v>29</v>
      </c>
      <c r="AA513" s="4"/>
      <c r="AB513" s="4"/>
      <c r="AC513" s="4"/>
      <c r="AD513" s="70"/>
      <c r="AE513" s="70">
        <f>ベルト!AE5</f>
        <v>0</v>
      </c>
      <c r="AF513" s="70" t="str">
        <f>ベルト!R5</f>
        <v>通常</v>
      </c>
      <c r="AG513" s="70">
        <v>0</v>
      </c>
      <c r="AH513" s="6">
        <f xml:space="preserve"> ベルト!AC5</f>
        <v>0</v>
      </c>
      <c r="AI513">
        <v>1</v>
      </c>
      <c r="AJ513">
        <f>ベルト!U5</f>
        <v>0</v>
      </c>
    </row>
    <row r="514" spans="1:36" ht="13.5" hidden="1" customHeight="1">
      <c r="A514" s="3" t="str">
        <f>IF(ベルト!A6="","",ベルト!A6)</f>
        <v/>
      </c>
      <c r="B514" s="68" t="str">
        <f>IF(ベルト!B6="","",ベルト!B6)</f>
        <v/>
      </c>
      <c r="C514" s="3" t="str">
        <f>IF(ベルト!C6="","",ベルト!C6)</f>
        <v>◇ サイズ E</v>
      </c>
      <c r="D514" s="3" t="str">
        <f>IF(ベルト!E6="","",ベルト!E6)</f>
        <v>無</v>
      </c>
      <c r="E514" s="3" t="str">
        <f>IF(ベルト!AA6="","",ベルト!AA6)</f>
        <v>ベースB</v>
      </c>
      <c r="F514" s="3" t="str">
        <f>IF(ベルト!G6="","",ベルト!G6)</f>
        <v/>
      </c>
      <c r="G514" s="3" t="str">
        <f>IF(ベルト!H6="","",ベルト!H6)</f>
        <v/>
      </c>
      <c r="H514" s="3"/>
      <c r="I514" s="3" t="str">
        <f>IF(ベルト!J6="","",ベルト!J6)</f>
        <v/>
      </c>
      <c r="J514" s="3" t="str">
        <f>IF(ベルト!K6="","",ベルト!K6)</f>
        <v/>
      </c>
      <c r="K514" s="3" t="str">
        <f>IF(ベルト!L6="","",ベルト!L6)</f>
        <v>サイズ</v>
      </c>
      <c r="L514" s="69" t="s">
        <v>80</v>
      </c>
      <c r="M514" s="69" t="s">
        <v>19</v>
      </c>
      <c r="N514" s="69" t="s">
        <v>20</v>
      </c>
      <c r="O514" s="69" t="s">
        <v>21</v>
      </c>
      <c r="P514" s="4" t="s">
        <v>3036</v>
      </c>
      <c r="Q514" s="4" t="s">
        <v>3038</v>
      </c>
      <c r="R514" s="69" t="s">
        <v>22</v>
      </c>
      <c r="S514" s="69" t="s">
        <v>23</v>
      </c>
      <c r="T514" s="69" t="s">
        <v>22</v>
      </c>
      <c r="U514" s="3" t="str">
        <f>ベルト!Z6</f>
        <v>全長：約cm　幅：約cm　間隔：約cm　最短：約cm  穴：個</v>
      </c>
      <c r="V514" s="69" t="s">
        <v>25</v>
      </c>
      <c r="W514" s="69" t="s">
        <v>26</v>
      </c>
      <c r="X514" s="69" t="s">
        <v>27</v>
      </c>
      <c r="Y514" s="69" t="s">
        <v>28</v>
      </c>
      <c r="Z514" s="69" t="s">
        <v>29</v>
      </c>
      <c r="AA514" s="4"/>
      <c r="AB514" s="4"/>
      <c r="AC514" s="4"/>
      <c r="AD514" s="70"/>
      <c r="AE514" s="70">
        <f>ベルト!AE6</f>
        <v>0</v>
      </c>
      <c r="AF514" s="70" t="str">
        <f>ベルト!R6</f>
        <v>通常</v>
      </c>
      <c r="AG514" s="70">
        <v>0</v>
      </c>
      <c r="AH514" s="6">
        <f xml:space="preserve"> ベルト!AC6</f>
        <v>0</v>
      </c>
      <c r="AI514">
        <v>1</v>
      </c>
      <c r="AJ514">
        <f>ベルト!U6</f>
        <v>0</v>
      </c>
    </row>
    <row r="515" spans="1:36" ht="13.5" hidden="1" customHeight="1">
      <c r="A515" s="3" t="str">
        <f>IF(ベルト!A7="","",ベルト!A7)</f>
        <v/>
      </c>
      <c r="B515" s="68" t="str">
        <f>IF(ベルト!B7="","",ベルト!B7)</f>
        <v/>
      </c>
      <c r="C515" s="3" t="str">
        <f>IF(ベルト!C7="","",ベルト!C7)</f>
        <v>◇ サイズ E</v>
      </c>
      <c r="D515" s="3" t="str">
        <f>IF(ベルト!E7="","",ベルト!E7)</f>
        <v>無</v>
      </c>
      <c r="E515" s="3" t="str">
        <f>IF(ベルト!AA7="","",ベルト!AA7)</f>
        <v>ベースB</v>
      </c>
      <c r="F515" s="3" t="str">
        <f>IF(ベルト!G7="","",ベルト!G7)</f>
        <v/>
      </c>
      <c r="G515" s="3" t="str">
        <f>IF(ベルト!H7="","",ベルト!H7)</f>
        <v/>
      </c>
      <c r="H515" s="3"/>
      <c r="I515" s="3" t="str">
        <f>IF(ベルト!J7="","",ベルト!J7)</f>
        <v/>
      </c>
      <c r="J515" s="3" t="str">
        <f>IF(ベルト!K7="","",ベルト!K7)</f>
        <v/>
      </c>
      <c r="K515" s="3" t="str">
        <f>IF(ベルト!L7="","",ベルト!L7)</f>
        <v>サイズ</v>
      </c>
      <c r="L515" s="69" t="s">
        <v>80</v>
      </c>
      <c r="M515" s="69" t="s">
        <v>19</v>
      </c>
      <c r="N515" s="69" t="s">
        <v>20</v>
      </c>
      <c r="O515" s="69" t="s">
        <v>21</v>
      </c>
      <c r="P515" s="4" t="s">
        <v>3036</v>
      </c>
      <c r="Q515" s="4" t="s">
        <v>3038</v>
      </c>
      <c r="R515" s="69" t="s">
        <v>22</v>
      </c>
      <c r="S515" s="69" t="s">
        <v>23</v>
      </c>
      <c r="T515" s="69" t="s">
        <v>22</v>
      </c>
      <c r="U515" s="3" t="str">
        <f>ベルト!Z7</f>
        <v>全長：約cm　幅：約cm　間隔：約cm　最短：約cm  穴：個</v>
      </c>
      <c r="V515" s="69" t="s">
        <v>25</v>
      </c>
      <c r="W515" s="69" t="s">
        <v>26</v>
      </c>
      <c r="X515" s="69" t="s">
        <v>27</v>
      </c>
      <c r="Y515" s="69" t="s">
        <v>28</v>
      </c>
      <c r="Z515" s="69" t="s">
        <v>29</v>
      </c>
      <c r="AA515" s="4"/>
      <c r="AB515" s="4"/>
      <c r="AC515" s="4"/>
      <c r="AD515" s="70"/>
      <c r="AE515" s="70">
        <f>ベルト!AE7</f>
        <v>0</v>
      </c>
      <c r="AF515" s="70" t="str">
        <f>ベルト!R7</f>
        <v>通常</v>
      </c>
      <c r="AG515" s="70">
        <v>0</v>
      </c>
      <c r="AH515" s="6">
        <f xml:space="preserve"> ベルト!AC7</f>
        <v>0</v>
      </c>
      <c r="AI515">
        <v>1</v>
      </c>
      <c r="AJ515">
        <f>ベルト!U7</f>
        <v>0</v>
      </c>
    </row>
    <row r="516" spans="1:36" ht="13.5" hidden="1" customHeight="1">
      <c r="A516" s="3" t="str">
        <f>IF(ベルト!A8="","",ベルト!A8)</f>
        <v/>
      </c>
      <c r="B516" s="68" t="str">
        <f>IF(ベルト!B8="","",ベルト!B8)</f>
        <v/>
      </c>
      <c r="C516" s="3" t="str">
        <f>IF(ベルト!C8="","",ベルト!C8)</f>
        <v>◇ サイズ E</v>
      </c>
      <c r="D516" s="3" t="str">
        <f>IF(ベルト!E8="","",ベルト!E8)</f>
        <v>無</v>
      </c>
      <c r="E516" s="3" t="str">
        <f>IF(ベルト!AA8="","",ベルト!AA8)</f>
        <v>ベースB</v>
      </c>
      <c r="F516" s="3" t="str">
        <f>IF(ベルト!G8="","",ベルト!G8)</f>
        <v/>
      </c>
      <c r="G516" s="3" t="str">
        <f>IF(ベルト!H8="","",ベルト!H8)</f>
        <v/>
      </c>
      <c r="H516" s="3"/>
      <c r="I516" s="3" t="str">
        <f>IF(ベルト!J8="","",ベルト!J8)</f>
        <v/>
      </c>
      <c r="J516" s="3" t="str">
        <f>IF(ベルト!K8="","",ベルト!K8)</f>
        <v/>
      </c>
      <c r="K516" s="3" t="str">
        <f>IF(ベルト!L8="","",ベルト!L8)</f>
        <v>サイズ</v>
      </c>
      <c r="L516" s="69" t="s">
        <v>80</v>
      </c>
      <c r="M516" s="69" t="s">
        <v>19</v>
      </c>
      <c r="N516" s="69" t="s">
        <v>20</v>
      </c>
      <c r="O516" s="69" t="s">
        <v>21</v>
      </c>
      <c r="P516" s="4" t="s">
        <v>3036</v>
      </c>
      <c r="Q516" s="4" t="s">
        <v>3038</v>
      </c>
      <c r="R516" s="69" t="s">
        <v>22</v>
      </c>
      <c r="S516" s="69" t="s">
        <v>23</v>
      </c>
      <c r="T516" s="69" t="s">
        <v>22</v>
      </c>
      <c r="U516" s="3" t="str">
        <f>ベルト!Z8</f>
        <v>全長：約cm　幅：約cm　間隔：約cm　最短：約cm  穴：個</v>
      </c>
      <c r="V516" s="69" t="s">
        <v>25</v>
      </c>
      <c r="W516" s="69" t="s">
        <v>26</v>
      </c>
      <c r="X516" s="69" t="s">
        <v>27</v>
      </c>
      <c r="Y516" s="69" t="s">
        <v>28</v>
      </c>
      <c r="Z516" s="69" t="s">
        <v>29</v>
      </c>
      <c r="AA516" s="4"/>
      <c r="AB516" s="4"/>
      <c r="AC516" s="4"/>
      <c r="AD516" s="70"/>
      <c r="AE516" s="70">
        <f>ベルト!AE8</f>
        <v>0</v>
      </c>
      <c r="AF516" s="70" t="str">
        <f>ベルト!R8</f>
        <v>通常</v>
      </c>
      <c r="AG516" s="70">
        <v>0</v>
      </c>
      <c r="AH516" s="6">
        <f xml:space="preserve"> ベルト!AC8</f>
        <v>0</v>
      </c>
      <c r="AI516">
        <v>1</v>
      </c>
      <c r="AJ516">
        <f>ベルト!U8</f>
        <v>0</v>
      </c>
    </row>
    <row r="517" spans="1:36" ht="13.5" hidden="1" customHeight="1">
      <c r="A517" s="3" t="str">
        <f>IF(ベルト!A9="","",ベルト!A9)</f>
        <v/>
      </c>
      <c r="B517" s="68" t="str">
        <f>IF(ベルト!B9="","",ベルト!B9)</f>
        <v/>
      </c>
      <c r="C517" s="3" t="str">
        <f>IF(ベルト!C9="","",ベルト!C9)</f>
        <v>◇ サイズ E</v>
      </c>
      <c r="D517" s="3" t="str">
        <f>IF(ベルト!E9="","",ベルト!E9)</f>
        <v>無</v>
      </c>
      <c r="E517" s="3" t="str">
        <f>IF(ベルト!AA9="","",ベルト!AA9)</f>
        <v>ベースB</v>
      </c>
      <c r="F517" s="3" t="str">
        <f>IF(ベルト!G9="","",ベルト!G9)</f>
        <v/>
      </c>
      <c r="G517" s="3" t="str">
        <f>IF(ベルト!H9="","",ベルト!H9)</f>
        <v/>
      </c>
      <c r="H517" s="3"/>
      <c r="I517" s="3" t="str">
        <f>IF(ベルト!J9="","",ベルト!J9)</f>
        <v/>
      </c>
      <c r="J517" s="3" t="str">
        <f>IF(ベルト!K9="","",ベルト!K9)</f>
        <v/>
      </c>
      <c r="K517" s="3" t="str">
        <f>IF(ベルト!L9="","",ベルト!L9)</f>
        <v>サイズ</v>
      </c>
      <c r="L517" s="69" t="s">
        <v>80</v>
      </c>
      <c r="M517" s="69" t="s">
        <v>19</v>
      </c>
      <c r="N517" s="69" t="s">
        <v>20</v>
      </c>
      <c r="O517" s="69" t="s">
        <v>21</v>
      </c>
      <c r="P517" s="4" t="s">
        <v>3036</v>
      </c>
      <c r="Q517" s="4" t="s">
        <v>3038</v>
      </c>
      <c r="R517" s="69" t="s">
        <v>22</v>
      </c>
      <c r="S517" s="69" t="s">
        <v>23</v>
      </c>
      <c r="T517" s="69" t="s">
        <v>22</v>
      </c>
      <c r="U517" s="3" t="str">
        <f>ベルト!Z9</f>
        <v>全長：約cm　幅：約cm　間隔：約cm　最短：約cm  穴：個</v>
      </c>
      <c r="V517" s="69" t="s">
        <v>25</v>
      </c>
      <c r="W517" s="69" t="s">
        <v>26</v>
      </c>
      <c r="X517" s="69" t="s">
        <v>27</v>
      </c>
      <c r="Y517" s="69" t="s">
        <v>28</v>
      </c>
      <c r="Z517" s="69" t="s">
        <v>29</v>
      </c>
      <c r="AA517" s="4"/>
      <c r="AB517" s="4"/>
      <c r="AC517" s="4"/>
      <c r="AD517" s="70"/>
      <c r="AE517" s="70">
        <f>ベルト!AE9</f>
        <v>0</v>
      </c>
      <c r="AF517" s="70" t="str">
        <f>ベルト!R9</f>
        <v>通常</v>
      </c>
      <c r="AG517" s="70">
        <v>0</v>
      </c>
      <c r="AH517" s="6">
        <f xml:space="preserve"> ベルト!AC9</f>
        <v>0</v>
      </c>
      <c r="AI517">
        <v>1</v>
      </c>
      <c r="AJ517">
        <f>ベルト!U9</f>
        <v>0</v>
      </c>
    </row>
    <row r="518" spans="1:36" ht="13.5" hidden="1" customHeight="1">
      <c r="A518" s="3" t="str">
        <f>IF(ベルト!A10="","",ベルト!A10)</f>
        <v/>
      </c>
      <c r="B518" s="68" t="str">
        <f>IF(ベルト!B10="","",ベルト!B10)</f>
        <v/>
      </c>
      <c r="C518" s="3" t="str">
        <f>IF(ベルト!C10="","",ベルト!C10)</f>
        <v>◇ サイズ E</v>
      </c>
      <c r="D518" s="3" t="str">
        <f>IF(ベルト!E10="","",ベルト!E10)</f>
        <v>無</v>
      </c>
      <c r="E518" s="3" t="str">
        <f>IF(ベルト!AA10="","",ベルト!AA10)</f>
        <v>ベースB</v>
      </c>
      <c r="F518" s="3" t="str">
        <f>IF(ベルト!G10="","",ベルト!G10)</f>
        <v/>
      </c>
      <c r="G518" s="3" t="str">
        <f>IF(ベルト!H10="","",ベルト!H10)</f>
        <v/>
      </c>
      <c r="H518" s="3"/>
      <c r="I518" s="3" t="str">
        <f>IF(ベルト!J10="","",ベルト!J10)</f>
        <v/>
      </c>
      <c r="J518" s="3" t="str">
        <f>IF(ベルト!K10="","",ベルト!K10)</f>
        <v/>
      </c>
      <c r="K518" s="3" t="str">
        <f>IF(ベルト!L10="","",ベルト!L10)</f>
        <v>サイズ</v>
      </c>
      <c r="L518" s="69" t="s">
        <v>80</v>
      </c>
      <c r="M518" s="69" t="s">
        <v>19</v>
      </c>
      <c r="N518" s="69" t="s">
        <v>20</v>
      </c>
      <c r="O518" s="69" t="s">
        <v>21</v>
      </c>
      <c r="P518" s="4" t="s">
        <v>3036</v>
      </c>
      <c r="Q518" s="4" t="s">
        <v>3038</v>
      </c>
      <c r="R518" s="69" t="s">
        <v>22</v>
      </c>
      <c r="S518" s="69" t="s">
        <v>23</v>
      </c>
      <c r="T518" s="69" t="s">
        <v>22</v>
      </c>
      <c r="U518" s="3" t="str">
        <f>ベルト!Z10</f>
        <v>全長：約cm　幅：約cm　間隔：約cm　最短：約cm  穴：個</v>
      </c>
      <c r="V518" s="69" t="s">
        <v>25</v>
      </c>
      <c r="W518" s="69" t="s">
        <v>26</v>
      </c>
      <c r="X518" s="69" t="s">
        <v>27</v>
      </c>
      <c r="Y518" s="69" t="s">
        <v>28</v>
      </c>
      <c r="Z518" s="69" t="s">
        <v>29</v>
      </c>
      <c r="AA518" s="4"/>
      <c r="AB518" s="4"/>
      <c r="AC518" s="4"/>
      <c r="AD518" s="70"/>
      <c r="AE518" s="70">
        <f>ベルト!AE10</f>
        <v>0</v>
      </c>
      <c r="AF518" s="70" t="str">
        <f>ベルト!R10</f>
        <v>通常</v>
      </c>
      <c r="AG518" s="70">
        <v>0</v>
      </c>
      <c r="AH518" s="6">
        <f xml:space="preserve"> ベルト!AC10</f>
        <v>0</v>
      </c>
      <c r="AI518">
        <v>1</v>
      </c>
      <c r="AJ518">
        <f>ベルト!U10</f>
        <v>0</v>
      </c>
    </row>
    <row r="519" spans="1:36" ht="13.5" hidden="1" customHeight="1">
      <c r="A519" s="3" t="str">
        <f>IF(ベルト!A11="","",ベルト!A11)</f>
        <v/>
      </c>
      <c r="B519" s="68" t="str">
        <f>IF(ベルト!B11="","",ベルト!B11)</f>
        <v/>
      </c>
      <c r="C519" s="3" t="str">
        <f>IF(ベルト!C11="","",ベルト!C11)</f>
        <v>◇ サイズ E</v>
      </c>
      <c r="D519" s="3" t="str">
        <f>IF(ベルト!E11="","",ベルト!E11)</f>
        <v>無</v>
      </c>
      <c r="E519" s="3" t="str">
        <f>IF(ベルト!AA11="","",ベルト!AA11)</f>
        <v>ベースB</v>
      </c>
      <c r="F519" s="3" t="str">
        <f>IF(ベルト!G11="","",ベルト!G11)</f>
        <v/>
      </c>
      <c r="G519" s="3" t="str">
        <f>IF(ベルト!H11="","",ベルト!H11)</f>
        <v/>
      </c>
      <c r="H519" s="3"/>
      <c r="I519" s="3" t="str">
        <f>IF(ベルト!J11="","",ベルト!J11)</f>
        <v/>
      </c>
      <c r="J519" s="3" t="str">
        <f>IF(ベルト!K11="","",ベルト!K11)</f>
        <v/>
      </c>
      <c r="K519" s="3" t="str">
        <f>IF(ベルト!L11="","",ベルト!L11)</f>
        <v>サイズ</v>
      </c>
      <c r="L519" s="69" t="s">
        <v>80</v>
      </c>
      <c r="M519" s="69" t="s">
        <v>19</v>
      </c>
      <c r="N519" s="69" t="s">
        <v>20</v>
      </c>
      <c r="O519" s="69" t="s">
        <v>21</v>
      </c>
      <c r="P519" s="4" t="s">
        <v>3036</v>
      </c>
      <c r="Q519" s="4" t="s">
        <v>3038</v>
      </c>
      <c r="R519" s="69" t="s">
        <v>22</v>
      </c>
      <c r="S519" s="69" t="s">
        <v>23</v>
      </c>
      <c r="T519" s="69" t="s">
        <v>22</v>
      </c>
      <c r="U519" s="3" t="str">
        <f>ベルト!Z11</f>
        <v>全長：約cm　幅：約cm　間隔：約cm　最短：約cm  穴：個</v>
      </c>
      <c r="V519" s="69" t="s">
        <v>25</v>
      </c>
      <c r="W519" s="69" t="s">
        <v>26</v>
      </c>
      <c r="X519" s="69" t="s">
        <v>27</v>
      </c>
      <c r="Y519" s="69" t="s">
        <v>28</v>
      </c>
      <c r="Z519" s="69" t="s">
        <v>29</v>
      </c>
      <c r="AA519" s="4"/>
      <c r="AB519" s="4"/>
      <c r="AC519" s="4"/>
      <c r="AD519" s="70"/>
      <c r="AE519" s="70">
        <f>ベルト!AE11</f>
        <v>0</v>
      </c>
      <c r="AF519" s="70" t="str">
        <f>ベルト!R11</f>
        <v>通常</v>
      </c>
      <c r="AG519" s="70">
        <v>0</v>
      </c>
      <c r="AH519" s="6">
        <f xml:space="preserve"> ベルト!AC11</f>
        <v>0</v>
      </c>
      <c r="AI519">
        <v>1</v>
      </c>
      <c r="AJ519">
        <f>ベルト!U11</f>
        <v>0</v>
      </c>
    </row>
    <row r="520" spans="1:36" ht="13.5" hidden="1" customHeight="1">
      <c r="A520" s="3" t="str">
        <f>IF(ネクタイ縦横!A2="","",ネクタイ縦横!A2)</f>
        <v/>
      </c>
      <c r="B520" s="68" t="str">
        <f>IF(ネクタイ縦横!B2="","",ネクタイ縦横!B2)</f>
        <v/>
      </c>
      <c r="C520" s="3" t="str">
        <f>IF(ネクタイ縦横!C2="","",ネクタイ縦横!C2)</f>
        <v>◇ E</v>
      </c>
      <c r="D520" s="3" t="str">
        <f>IF(ネクタイ縦横!E2="","",ネクタイ縦横!E2)</f>
        <v>無</v>
      </c>
      <c r="E520" s="3" t="str">
        <f>IF(ネクタイ縦横!X2="","",ネクタイ縦横!X2)</f>
        <v>ベースB</v>
      </c>
      <c r="F520" s="3" t="str">
        <f>IF(ネクタイ縦横!G2="","",ネクタイ縦横!G2)</f>
        <v/>
      </c>
      <c r="G520" s="3" t="str">
        <f>IF(ネクタイ縦横!H2="","",ネクタイ縦横!H2)</f>
        <v/>
      </c>
      <c r="H520" s="3" t="str">
        <f>IF(ネクタイ縦横!I2="","",ネクタイ縦横!I2)</f>
        <v/>
      </c>
      <c r="I520" s="3" t="str">
        <f>IF(ネクタイ縦横!J2="","",ネクタイ縦横!J2)</f>
        <v/>
      </c>
      <c r="J520" s="3" t="str">
        <f>IF(ネクタイ縦横!K2="","",ネクタイ縦横!K2)</f>
        <v/>
      </c>
      <c r="K520" s="3" t="str">
        <f>IF(ネクタイ縦横!L2="","",ネクタイ縦横!L2)</f>
        <v/>
      </c>
      <c r="L520" s="69" t="s">
        <v>80</v>
      </c>
      <c r="M520" s="69" t="s">
        <v>19</v>
      </c>
      <c r="N520" s="69" t="s">
        <v>20</v>
      </c>
      <c r="O520" s="69" t="s">
        <v>21</v>
      </c>
      <c r="P520" s="4" t="s">
        <v>3036</v>
      </c>
      <c r="Q520" s="4" t="s">
        <v>3038</v>
      </c>
      <c r="R520" s="69" t="s">
        <v>22</v>
      </c>
      <c r="S520" s="69" t="s">
        <v>23</v>
      </c>
      <c r="T520" s="69" t="s">
        <v>22</v>
      </c>
      <c r="U520" s="69" t="s">
        <v>24</v>
      </c>
      <c r="V520" s="3" t="str">
        <f>ネクタイ縦横!W2</f>
        <v>全長：約cm　最大幅：約cm</v>
      </c>
      <c r="W520" s="69" t="s">
        <v>26</v>
      </c>
      <c r="X520" s="69" t="s">
        <v>27</v>
      </c>
      <c r="Y520" s="69" t="s">
        <v>28</v>
      </c>
      <c r="Z520" s="69" t="s">
        <v>29</v>
      </c>
      <c r="AA520" s="4"/>
      <c r="AB520" s="4"/>
      <c r="AC520" s="4"/>
      <c r="AD520" s="70"/>
      <c r="AE520" s="70">
        <f>ネクタイ縦横!AB2</f>
        <v>0</v>
      </c>
      <c r="AF520" s="70" t="str">
        <f>ネクタイ縦横!O2</f>
        <v>通常</v>
      </c>
      <c r="AG520" s="70">
        <v>0</v>
      </c>
      <c r="AH520" s="6">
        <f>ネクタイ縦横!Z2</f>
        <v>0</v>
      </c>
      <c r="AI520">
        <v>1</v>
      </c>
      <c r="AJ520">
        <f>ネクタイ縦横!R2</f>
        <v>0</v>
      </c>
    </row>
    <row r="521" spans="1:36" ht="13.5" hidden="1" customHeight="1">
      <c r="A521" s="3" t="str">
        <f>IF(ネクタイ縦横!A3="","",ネクタイ縦横!A3)</f>
        <v/>
      </c>
      <c r="B521" s="68" t="str">
        <f>IF(ネクタイ縦横!B3="","",ネクタイ縦横!B3)</f>
        <v/>
      </c>
      <c r="C521" s="3" t="str">
        <f>IF(ネクタイ縦横!C3="","",ネクタイ縦横!C3)</f>
        <v>◇ E</v>
      </c>
      <c r="D521" s="3" t="str">
        <f>IF(ネクタイ縦横!E3="","",ネクタイ縦横!E3)</f>
        <v>無</v>
      </c>
      <c r="E521" s="3" t="str">
        <f>IF(ネクタイ縦横!X3="","",ネクタイ縦横!X3)</f>
        <v>ベースB</v>
      </c>
      <c r="F521" s="3" t="str">
        <f>IF(ネクタイ縦横!G3="","",ネクタイ縦横!G3)</f>
        <v/>
      </c>
      <c r="G521" s="3" t="str">
        <f>IF(ネクタイ縦横!H3="","",ネクタイ縦横!H3)</f>
        <v/>
      </c>
      <c r="H521" s="3" t="str">
        <f>IF(ネクタイ縦横!I3="","",ネクタイ縦横!I3)</f>
        <v/>
      </c>
      <c r="I521" s="3" t="str">
        <f>IF(ネクタイ縦横!J3="","",ネクタイ縦横!J3)</f>
        <v/>
      </c>
      <c r="J521" s="3" t="str">
        <f>IF(ネクタイ縦横!K3="","",ネクタイ縦横!K3)</f>
        <v/>
      </c>
      <c r="K521" s="3" t="str">
        <f>IF(ネクタイ縦横!L3="","",ネクタイ縦横!L3)</f>
        <v/>
      </c>
      <c r="L521" s="69" t="s">
        <v>80</v>
      </c>
      <c r="M521" s="69" t="s">
        <v>19</v>
      </c>
      <c r="N521" s="69" t="s">
        <v>20</v>
      </c>
      <c r="O521" s="69" t="s">
        <v>21</v>
      </c>
      <c r="P521" s="4" t="s">
        <v>3036</v>
      </c>
      <c r="Q521" s="4" t="s">
        <v>3038</v>
      </c>
      <c r="R521" s="69" t="s">
        <v>22</v>
      </c>
      <c r="S521" s="69" t="s">
        <v>23</v>
      </c>
      <c r="T521" s="69" t="s">
        <v>22</v>
      </c>
      <c r="U521" s="69" t="s">
        <v>24</v>
      </c>
      <c r="V521" s="3" t="str">
        <f>ネクタイ縦横!W3</f>
        <v>全長：約cm　最大幅：約cm</v>
      </c>
      <c r="W521" s="69" t="s">
        <v>26</v>
      </c>
      <c r="X521" s="69" t="s">
        <v>27</v>
      </c>
      <c r="Y521" s="69" t="s">
        <v>28</v>
      </c>
      <c r="Z521" s="69" t="s">
        <v>29</v>
      </c>
      <c r="AA521" s="4"/>
      <c r="AB521" s="4"/>
      <c r="AC521" s="4"/>
      <c r="AD521" s="70"/>
      <c r="AE521" s="70">
        <f>ネクタイ縦横!AB3</f>
        <v>0</v>
      </c>
      <c r="AF521" s="70" t="str">
        <f>ネクタイ縦横!O3</f>
        <v>通常</v>
      </c>
      <c r="AG521" s="70">
        <v>0</v>
      </c>
      <c r="AH521" s="6">
        <f>ネクタイ縦横!Z3</f>
        <v>0</v>
      </c>
      <c r="AI521">
        <v>1</v>
      </c>
      <c r="AJ521">
        <f>ネクタイ縦横!R3</f>
        <v>0</v>
      </c>
    </row>
    <row r="522" spans="1:36" ht="13.5" hidden="1" customHeight="1">
      <c r="A522" s="3" t="str">
        <f>IF(ネクタイ縦横!A4="","",ネクタイ縦横!A4)</f>
        <v/>
      </c>
      <c r="B522" s="68" t="str">
        <f>IF(ネクタイ縦横!B4="","",ネクタイ縦横!B4)</f>
        <v/>
      </c>
      <c r="C522" s="3" t="str">
        <f>IF(ネクタイ縦横!C4="","",ネクタイ縦横!C4)</f>
        <v>◇ E</v>
      </c>
      <c r="D522" s="3" t="str">
        <f>IF(ネクタイ縦横!E4="","",ネクタイ縦横!E4)</f>
        <v>無</v>
      </c>
      <c r="E522" s="3" t="str">
        <f>IF(ネクタイ縦横!X4="","",ネクタイ縦横!X4)</f>
        <v>ベースB</v>
      </c>
      <c r="F522" s="3" t="str">
        <f>IF(ネクタイ縦横!G4="","",ネクタイ縦横!G4)</f>
        <v/>
      </c>
      <c r="G522" s="3" t="str">
        <f>IF(ネクタイ縦横!H4="","",ネクタイ縦横!H4)</f>
        <v/>
      </c>
      <c r="H522" s="3" t="str">
        <f>IF(ネクタイ縦横!I4="","",ネクタイ縦横!I4)</f>
        <v/>
      </c>
      <c r="I522" s="3" t="str">
        <f>IF(ネクタイ縦横!J4="","",ネクタイ縦横!J4)</f>
        <v/>
      </c>
      <c r="J522" s="3" t="str">
        <f>IF(ネクタイ縦横!K4="","",ネクタイ縦横!K4)</f>
        <v/>
      </c>
      <c r="K522" s="3" t="str">
        <f>IF(ネクタイ縦横!L4="","",ネクタイ縦横!L4)</f>
        <v/>
      </c>
      <c r="L522" s="69" t="s">
        <v>80</v>
      </c>
      <c r="M522" s="69" t="s">
        <v>19</v>
      </c>
      <c r="N522" s="69" t="s">
        <v>20</v>
      </c>
      <c r="O522" s="69" t="s">
        <v>21</v>
      </c>
      <c r="P522" s="4" t="s">
        <v>3036</v>
      </c>
      <c r="Q522" s="4" t="s">
        <v>3038</v>
      </c>
      <c r="R522" s="69" t="s">
        <v>22</v>
      </c>
      <c r="S522" s="69" t="s">
        <v>23</v>
      </c>
      <c r="T522" s="69" t="s">
        <v>22</v>
      </c>
      <c r="U522" s="69" t="s">
        <v>24</v>
      </c>
      <c r="V522" s="3" t="str">
        <f>ネクタイ縦横!W4</f>
        <v>全長：約cm　最大幅：約cm</v>
      </c>
      <c r="W522" s="69" t="s">
        <v>26</v>
      </c>
      <c r="X522" s="69" t="s">
        <v>27</v>
      </c>
      <c r="Y522" s="69" t="s">
        <v>28</v>
      </c>
      <c r="Z522" s="69" t="s">
        <v>29</v>
      </c>
      <c r="AA522" s="4"/>
      <c r="AB522" s="4"/>
      <c r="AC522" s="4"/>
      <c r="AD522" s="70"/>
      <c r="AE522" s="70">
        <f>ネクタイ縦横!AB4</f>
        <v>0</v>
      </c>
      <c r="AF522" s="70" t="str">
        <f>ネクタイ縦横!O4</f>
        <v>通常</v>
      </c>
      <c r="AG522" s="70">
        <v>0</v>
      </c>
      <c r="AH522" s="6">
        <f>ネクタイ縦横!Z4</f>
        <v>0</v>
      </c>
      <c r="AI522">
        <v>1</v>
      </c>
      <c r="AJ522">
        <f>ネクタイ縦横!R4</f>
        <v>0</v>
      </c>
    </row>
    <row r="523" spans="1:36" ht="13.5" hidden="1" customHeight="1">
      <c r="A523" s="3" t="str">
        <f>IF(ネクタイ縦横!A5="","",ネクタイ縦横!A5)</f>
        <v/>
      </c>
      <c r="B523" s="68" t="str">
        <f>IF(ネクタイ縦横!B5="","",ネクタイ縦横!B5)</f>
        <v/>
      </c>
      <c r="C523" s="3" t="str">
        <f>IF(ネクタイ縦横!C5="","",ネクタイ縦横!C5)</f>
        <v>◇ E</v>
      </c>
      <c r="D523" s="3" t="str">
        <f>IF(ネクタイ縦横!E5="","",ネクタイ縦横!E5)</f>
        <v>無</v>
      </c>
      <c r="E523" s="3" t="str">
        <f>IF(ネクタイ縦横!X5="","",ネクタイ縦横!X5)</f>
        <v>ベースB</v>
      </c>
      <c r="F523" s="3" t="str">
        <f>IF(ネクタイ縦横!G5="","",ネクタイ縦横!G5)</f>
        <v/>
      </c>
      <c r="G523" s="3" t="str">
        <f>IF(ネクタイ縦横!H5="","",ネクタイ縦横!H5)</f>
        <v/>
      </c>
      <c r="H523" s="3" t="str">
        <f>IF(ネクタイ縦横!I5="","",ネクタイ縦横!I5)</f>
        <v/>
      </c>
      <c r="I523" s="3" t="str">
        <f>IF(ネクタイ縦横!J5="","",ネクタイ縦横!J5)</f>
        <v/>
      </c>
      <c r="J523" s="3" t="str">
        <f>IF(ネクタイ縦横!K5="","",ネクタイ縦横!K5)</f>
        <v/>
      </c>
      <c r="K523" s="3" t="str">
        <f>IF(ネクタイ縦横!L5="","",ネクタイ縦横!L5)</f>
        <v/>
      </c>
      <c r="L523" s="69" t="s">
        <v>80</v>
      </c>
      <c r="M523" s="69" t="s">
        <v>19</v>
      </c>
      <c r="N523" s="69" t="s">
        <v>20</v>
      </c>
      <c r="O523" s="69" t="s">
        <v>21</v>
      </c>
      <c r="P523" s="4" t="s">
        <v>3036</v>
      </c>
      <c r="Q523" s="4" t="s">
        <v>3038</v>
      </c>
      <c r="R523" s="69" t="s">
        <v>22</v>
      </c>
      <c r="S523" s="69" t="s">
        <v>23</v>
      </c>
      <c r="T523" s="69" t="s">
        <v>22</v>
      </c>
      <c r="U523" s="69" t="s">
        <v>24</v>
      </c>
      <c r="V523" s="3" t="str">
        <f>ネクタイ縦横!W5</f>
        <v>全長：約cm　最大幅：約cm</v>
      </c>
      <c r="W523" s="69" t="s">
        <v>26</v>
      </c>
      <c r="X523" s="69" t="s">
        <v>27</v>
      </c>
      <c r="Y523" s="69" t="s">
        <v>28</v>
      </c>
      <c r="Z523" s="69" t="s">
        <v>29</v>
      </c>
      <c r="AA523" s="4"/>
      <c r="AB523" s="4"/>
      <c r="AC523" s="4"/>
      <c r="AD523" s="70"/>
      <c r="AE523" s="70">
        <f>ネクタイ縦横!AB5</f>
        <v>0</v>
      </c>
      <c r="AF523" s="70" t="str">
        <f>ネクタイ縦横!O5</f>
        <v>通常</v>
      </c>
      <c r="AG523" s="70">
        <v>0</v>
      </c>
      <c r="AH523" s="6">
        <f>ネクタイ縦横!Z5</f>
        <v>0</v>
      </c>
      <c r="AI523">
        <v>1</v>
      </c>
      <c r="AJ523">
        <f>ネクタイ縦横!R5</f>
        <v>0</v>
      </c>
    </row>
    <row r="524" spans="1:36" ht="13.5" hidden="1" customHeight="1">
      <c r="A524" s="3" t="str">
        <f>IF(ネクタイ縦横!A6="","",ネクタイ縦横!A6)</f>
        <v/>
      </c>
      <c r="B524" s="68" t="str">
        <f>IF(ネクタイ縦横!B6="","",ネクタイ縦横!B6)</f>
        <v/>
      </c>
      <c r="C524" s="3" t="str">
        <f>IF(ネクタイ縦横!C6="","",ネクタイ縦横!C6)</f>
        <v>◇ E</v>
      </c>
      <c r="D524" s="3" t="str">
        <f>IF(ネクタイ縦横!E6="","",ネクタイ縦横!E6)</f>
        <v>無</v>
      </c>
      <c r="E524" s="3" t="str">
        <f>IF(ネクタイ縦横!X6="","",ネクタイ縦横!X6)</f>
        <v>ベースB</v>
      </c>
      <c r="F524" s="3" t="str">
        <f>IF(ネクタイ縦横!G6="","",ネクタイ縦横!G6)</f>
        <v/>
      </c>
      <c r="G524" s="3" t="str">
        <f>IF(ネクタイ縦横!H6="","",ネクタイ縦横!H6)</f>
        <v/>
      </c>
      <c r="H524" s="3" t="str">
        <f>IF(ネクタイ縦横!I6="","",ネクタイ縦横!I6)</f>
        <v/>
      </c>
      <c r="I524" s="3" t="str">
        <f>IF(ネクタイ縦横!J6="","",ネクタイ縦横!J6)</f>
        <v/>
      </c>
      <c r="J524" s="3" t="str">
        <f>IF(ネクタイ縦横!K6="","",ネクタイ縦横!K6)</f>
        <v/>
      </c>
      <c r="K524" s="3" t="str">
        <f>IF(ネクタイ縦横!L6="","",ネクタイ縦横!L6)</f>
        <v/>
      </c>
      <c r="L524" s="69" t="s">
        <v>80</v>
      </c>
      <c r="M524" s="69" t="s">
        <v>19</v>
      </c>
      <c r="N524" s="69" t="s">
        <v>20</v>
      </c>
      <c r="O524" s="69" t="s">
        <v>21</v>
      </c>
      <c r="P524" s="4" t="s">
        <v>3036</v>
      </c>
      <c r="Q524" s="4" t="s">
        <v>3038</v>
      </c>
      <c r="R524" s="69" t="s">
        <v>22</v>
      </c>
      <c r="S524" s="69" t="s">
        <v>23</v>
      </c>
      <c r="T524" s="69" t="s">
        <v>22</v>
      </c>
      <c r="U524" s="69" t="s">
        <v>24</v>
      </c>
      <c r="V524" s="3" t="str">
        <f>ネクタイ縦横!W6</f>
        <v>全長：約cm　最大幅：約cm</v>
      </c>
      <c r="W524" s="69" t="s">
        <v>26</v>
      </c>
      <c r="X524" s="69" t="s">
        <v>27</v>
      </c>
      <c r="Y524" s="69" t="s">
        <v>28</v>
      </c>
      <c r="Z524" s="69" t="s">
        <v>29</v>
      </c>
      <c r="AA524" s="4"/>
      <c r="AB524" s="4"/>
      <c r="AC524" s="4"/>
      <c r="AD524" s="70"/>
      <c r="AE524" s="70">
        <f>ネクタイ縦横!AB6</f>
        <v>0</v>
      </c>
      <c r="AF524" s="70" t="str">
        <f>ネクタイ縦横!O6</f>
        <v>通常</v>
      </c>
      <c r="AG524" s="70">
        <v>0</v>
      </c>
      <c r="AH524" s="6">
        <f>ネクタイ縦横!Z6</f>
        <v>0</v>
      </c>
      <c r="AI524">
        <v>1</v>
      </c>
      <c r="AJ524">
        <f>ネクタイ縦横!R6</f>
        <v>0</v>
      </c>
    </row>
    <row r="525" spans="1:36" ht="13.5" hidden="1" customHeight="1">
      <c r="A525" s="3" t="str">
        <f>IF(ネクタイ縦横!A7="","",ネクタイ縦横!A7)</f>
        <v/>
      </c>
      <c r="B525" s="68" t="str">
        <f>IF(ネクタイ縦横!B7="","",ネクタイ縦横!B7)</f>
        <v/>
      </c>
      <c r="C525" s="3" t="str">
        <f>IF(ネクタイ縦横!C7="","",ネクタイ縦横!C7)</f>
        <v>◇ E</v>
      </c>
      <c r="D525" s="3" t="str">
        <f>IF(ネクタイ縦横!E7="","",ネクタイ縦横!E7)</f>
        <v>無</v>
      </c>
      <c r="E525" s="3" t="str">
        <f>IF(ネクタイ縦横!X7="","",ネクタイ縦横!X7)</f>
        <v>ベースB</v>
      </c>
      <c r="F525" s="3" t="str">
        <f>IF(ネクタイ縦横!G7="","",ネクタイ縦横!G7)</f>
        <v/>
      </c>
      <c r="G525" s="3" t="str">
        <f>IF(ネクタイ縦横!H7="","",ネクタイ縦横!H7)</f>
        <v/>
      </c>
      <c r="H525" s="3" t="str">
        <f>IF(ネクタイ縦横!I7="","",ネクタイ縦横!I7)</f>
        <v/>
      </c>
      <c r="I525" s="3" t="str">
        <f>IF(ネクタイ縦横!J7="","",ネクタイ縦横!J7)</f>
        <v/>
      </c>
      <c r="J525" s="3" t="str">
        <f>IF(ネクタイ縦横!K7="","",ネクタイ縦横!K7)</f>
        <v/>
      </c>
      <c r="K525" s="3" t="str">
        <f>IF(ネクタイ縦横!L7="","",ネクタイ縦横!L7)</f>
        <v/>
      </c>
      <c r="L525" s="69" t="s">
        <v>80</v>
      </c>
      <c r="M525" s="69" t="s">
        <v>19</v>
      </c>
      <c r="N525" s="69" t="s">
        <v>20</v>
      </c>
      <c r="O525" s="69" t="s">
        <v>21</v>
      </c>
      <c r="P525" s="4" t="s">
        <v>3036</v>
      </c>
      <c r="Q525" s="4" t="s">
        <v>3038</v>
      </c>
      <c r="R525" s="69" t="s">
        <v>22</v>
      </c>
      <c r="S525" s="69" t="s">
        <v>23</v>
      </c>
      <c r="T525" s="69" t="s">
        <v>22</v>
      </c>
      <c r="U525" s="69" t="s">
        <v>24</v>
      </c>
      <c r="V525" s="3" t="str">
        <f>ネクタイ縦横!W7</f>
        <v>全長：約cm　最大幅：約cm</v>
      </c>
      <c r="W525" s="69" t="s">
        <v>26</v>
      </c>
      <c r="X525" s="69" t="s">
        <v>27</v>
      </c>
      <c r="Y525" s="69" t="s">
        <v>28</v>
      </c>
      <c r="Z525" s="69" t="s">
        <v>29</v>
      </c>
      <c r="AA525" s="4"/>
      <c r="AB525" s="4"/>
      <c r="AC525" s="4"/>
      <c r="AD525" s="70"/>
      <c r="AE525" s="70">
        <f>ネクタイ縦横!AB7</f>
        <v>0</v>
      </c>
      <c r="AF525" s="70" t="str">
        <f>ネクタイ縦横!O7</f>
        <v>通常</v>
      </c>
      <c r="AG525" s="70">
        <v>0</v>
      </c>
      <c r="AH525" s="6">
        <f>ネクタイ縦横!Z7</f>
        <v>0</v>
      </c>
      <c r="AI525">
        <v>1</v>
      </c>
      <c r="AJ525">
        <f>ネクタイ縦横!R7</f>
        <v>0</v>
      </c>
    </row>
    <row r="526" spans="1:36" ht="13.5" hidden="1" customHeight="1">
      <c r="A526" s="3" t="str">
        <f>IF(ネクタイ縦横!A8="","",ネクタイ縦横!A8)</f>
        <v/>
      </c>
      <c r="B526" s="68" t="str">
        <f>IF(ネクタイ縦横!B8="","",ネクタイ縦横!B8)</f>
        <v/>
      </c>
      <c r="C526" s="3" t="str">
        <f>IF(ネクタイ縦横!C8="","",ネクタイ縦横!C8)</f>
        <v>◇ E</v>
      </c>
      <c r="D526" s="3" t="str">
        <f>IF(ネクタイ縦横!E8="","",ネクタイ縦横!E8)</f>
        <v>無</v>
      </c>
      <c r="E526" s="3" t="str">
        <f>IF(ネクタイ縦横!X8="","",ネクタイ縦横!X8)</f>
        <v>ベースB</v>
      </c>
      <c r="F526" s="3" t="str">
        <f>IF(ネクタイ縦横!G8="","",ネクタイ縦横!G8)</f>
        <v/>
      </c>
      <c r="G526" s="3" t="str">
        <f>IF(ネクタイ縦横!H8="","",ネクタイ縦横!H8)</f>
        <v/>
      </c>
      <c r="H526" s="3" t="str">
        <f>IF(ネクタイ縦横!I8="","",ネクタイ縦横!I8)</f>
        <v/>
      </c>
      <c r="I526" s="3" t="str">
        <f>IF(ネクタイ縦横!J8="","",ネクタイ縦横!J8)</f>
        <v/>
      </c>
      <c r="J526" s="3" t="str">
        <f>IF(ネクタイ縦横!K8="","",ネクタイ縦横!K8)</f>
        <v/>
      </c>
      <c r="K526" s="3" t="str">
        <f>IF(ネクタイ縦横!L8="","",ネクタイ縦横!L8)</f>
        <v/>
      </c>
      <c r="L526" s="69" t="s">
        <v>80</v>
      </c>
      <c r="M526" s="69" t="s">
        <v>19</v>
      </c>
      <c r="N526" s="69" t="s">
        <v>20</v>
      </c>
      <c r="O526" s="69" t="s">
        <v>21</v>
      </c>
      <c r="P526" s="4" t="s">
        <v>3036</v>
      </c>
      <c r="Q526" s="4" t="s">
        <v>3038</v>
      </c>
      <c r="R526" s="69" t="s">
        <v>22</v>
      </c>
      <c r="S526" s="69" t="s">
        <v>23</v>
      </c>
      <c r="T526" s="69" t="s">
        <v>22</v>
      </c>
      <c r="U526" s="69" t="s">
        <v>24</v>
      </c>
      <c r="V526" s="3" t="str">
        <f>ネクタイ縦横!W8</f>
        <v>全長：約cm　最大幅：約cm</v>
      </c>
      <c r="W526" s="69" t="s">
        <v>26</v>
      </c>
      <c r="X526" s="69" t="s">
        <v>27</v>
      </c>
      <c r="Y526" s="69" t="s">
        <v>28</v>
      </c>
      <c r="Z526" s="69" t="s">
        <v>29</v>
      </c>
      <c r="AA526" s="4"/>
      <c r="AB526" s="4"/>
      <c r="AC526" s="4"/>
      <c r="AD526" s="70"/>
      <c r="AE526" s="70">
        <f>ネクタイ縦横!AB8</f>
        <v>0</v>
      </c>
      <c r="AF526" s="70" t="str">
        <f>ネクタイ縦横!O8</f>
        <v>通常</v>
      </c>
      <c r="AG526" s="70">
        <v>0</v>
      </c>
      <c r="AH526" s="6">
        <f>ネクタイ縦横!Z8</f>
        <v>0</v>
      </c>
      <c r="AI526">
        <v>1</v>
      </c>
      <c r="AJ526">
        <f>ネクタイ縦横!R8</f>
        <v>0</v>
      </c>
    </row>
    <row r="527" spans="1:36" ht="13.5" hidden="1" customHeight="1">
      <c r="A527" s="3" t="str">
        <f>IF(ネクタイ縦横!A9="","",ネクタイ縦横!A9)</f>
        <v/>
      </c>
      <c r="B527" s="68" t="str">
        <f>IF(ネクタイ縦横!B9="","",ネクタイ縦横!B9)</f>
        <v/>
      </c>
      <c r="C527" s="3" t="str">
        <f>IF(ネクタイ縦横!C9="","",ネクタイ縦横!C9)</f>
        <v>◇ E</v>
      </c>
      <c r="D527" s="3" t="str">
        <f>IF(ネクタイ縦横!E9="","",ネクタイ縦横!E9)</f>
        <v>無</v>
      </c>
      <c r="E527" s="3" t="str">
        <f>IF(ネクタイ縦横!X9="","",ネクタイ縦横!X9)</f>
        <v>ベースB</v>
      </c>
      <c r="F527" s="3" t="str">
        <f>IF(ネクタイ縦横!G9="","",ネクタイ縦横!G9)</f>
        <v/>
      </c>
      <c r="G527" s="3" t="str">
        <f>IF(ネクタイ縦横!H9="","",ネクタイ縦横!H9)</f>
        <v/>
      </c>
      <c r="H527" s="3" t="str">
        <f>IF(ネクタイ縦横!I9="","",ネクタイ縦横!I9)</f>
        <v/>
      </c>
      <c r="I527" s="3" t="str">
        <f>IF(ネクタイ縦横!J9="","",ネクタイ縦横!J9)</f>
        <v/>
      </c>
      <c r="J527" s="3" t="str">
        <f>IF(ネクタイ縦横!K9="","",ネクタイ縦横!K9)</f>
        <v/>
      </c>
      <c r="K527" s="3" t="str">
        <f>IF(ネクタイ縦横!L9="","",ネクタイ縦横!L9)</f>
        <v/>
      </c>
      <c r="L527" s="69" t="s">
        <v>80</v>
      </c>
      <c r="M527" s="69" t="s">
        <v>19</v>
      </c>
      <c r="N527" s="69" t="s">
        <v>20</v>
      </c>
      <c r="O527" s="69" t="s">
        <v>21</v>
      </c>
      <c r="P527" s="4" t="s">
        <v>3036</v>
      </c>
      <c r="Q527" s="4" t="s">
        <v>3038</v>
      </c>
      <c r="R527" s="69" t="s">
        <v>22</v>
      </c>
      <c r="S527" s="69" t="s">
        <v>23</v>
      </c>
      <c r="T527" s="69" t="s">
        <v>22</v>
      </c>
      <c r="U527" s="69" t="s">
        <v>24</v>
      </c>
      <c r="V527" s="3" t="str">
        <f>ネクタイ縦横!W9</f>
        <v>全長：約cm　最大幅：約cm</v>
      </c>
      <c r="W527" s="69" t="s">
        <v>26</v>
      </c>
      <c r="X527" s="69" t="s">
        <v>27</v>
      </c>
      <c r="Y527" s="69" t="s">
        <v>28</v>
      </c>
      <c r="Z527" s="69" t="s">
        <v>29</v>
      </c>
      <c r="AA527" s="4"/>
      <c r="AB527" s="4"/>
      <c r="AC527" s="4"/>
      <c r="AD527" s="70"/>
      <c r="AE527" s="70">
        <f>ネクタイ縦横!AB9</f>
        <v>0</v>
      </c>
      <c r="AF527" s="70" t="str">
        <f>ネクタイ縦横!O9</f>
        <v>通常</v>
      </c>
      <c r="AG527" s="70">
        <v>0</v>
      </c>
      <c r="AH527" s="6">
        <f>ネクタイ縦横!Z9</f>
        <v>0</v>
      </c>
      <c r="AI527">
        <v>1</v>
      </c>
      <c r="AJ527">
        <f>ネクタイ縦横!R9</f>
        <v>0</v>
      </c>
    </row>
    <row r="528" spans="1:36" ht="13.5" hidden="1" customHeight="1">
      <c r="A528" s="3" t="str">
        <f>IF(ネクタイ縦横!A10="","",ネクタイ縦横!A10)</f>
        <v/>
      </c>
      <c r="B528" s="68" t="str">
        <f>IF(ネクタイ縦横!B10="","",ネクタイ縦横!B10)</f>
        <v/>
      </c>
      <c r="C528" s="3" t="str">
        <f>IF(ネクタイ縦横!C10="","",ネクタイ縦横!C10)</f>
        <v>◇ E</v>
      </c>
      <c r="D528" s="3" t="str">
        <f>IF(ネクタイ縦横!E10="","",ネクタイ縦横!E10)</f>
        <v>無</v>
      </c>
      <c r="E528" s="3" t="str">
        <f>IF(ネクタイ縦横!X10="","",ネクタイ縦横!X10)</f>
        <v>ベースB</v>
      </c>
      <c r="F528" s="3" t="str">
        <f>IF(ネクタイ縦横!G10="","",ネクタイ縦横!G10)</f>
        <v/>
      </c>
      <c r="G528" s="3" t="str">
        <f>IF(ネクタイ縦横!H10="","",ネクタイ縦横!H10)</f>
        <v/>
      </c>
      <c r="H528" s="3" t="str">
        <f>IF(ネクタイ縦横!I10="","",ネクタイ縦横!I10)</f>
        <v/>
      </c>
      <c r="I528" s="3" t="str">
        <f>IF(ネクタイ縦横!J10="","",ネクタイ縦横!J10)</f>
        <v/>
      </c>
      <c r="J528" s="3" t="str">
        <f>IF(ネクタイ縦横!K10="","",ネクタイ縦横!K10)</f>
        <v/>
      </c>
      <c r="K528" s="3" t="str">
        <f>IF(ネクタイ縦横!L10="","",ネクタイ縦横!L10)</f>
        <v/>
      </c>
      <c r="L528" s="69" t="s">
        <v>80</v>
      </c>
      <c r="M528" s="69" t="s">
        <v>19</v>
      </c>
      <c r="N528" s="69" t="s">
        <v>20</v>
      </c>
      <c r="O528" s="69" t="s">
        <v>21</v>
      </c>
      <c r="P528" s="4" t="s">
        <v>3036</v>
      </c>
      <c r="Q528" s="4" t="s">
        <v>3038</v>
      </c>
      <c r="R528" s="69" t="s">
        <v>22</v>
      </c>
      <c r="S528" s="69" t="s">
        <v>23</v>
      </c>
      <c r="T528" s="69" t="s">
        <v>22</v>
      </c>
      <c r="U528" s="69" t="s">
        <v>24</v>
      </c>
      <c r="V528" s="3" t="str">
        <f>ネクタイ縦横!W10</f>
        <v>全長：約cm　最大幅：約cm</v>
      </c>
      <c r="W528" s="69" t="s">
        <v>26</v>
      </c>
      <c r="X528" s="69" t="s">
        <v>27</v>
      </c>
      <c r="Y528" s="69" t="s">
        <v>28</v>
      </c>
      <c r="Z528" s="69" t="s">
        <v>29</v>
      </c>
      <c r="AA528" s="4"/>
      <c r="AB528" s="4"/>
      <c r="AC528" s="4"/>
      <c r="AD528" s="70"/>
      <c r="AE528" s="70">
        <f>ネクタイ縦横!AB10</f>
        <v>0</v>
      </c>
      <c r="AF528" s="70" t="str">
        <f>ネクタイ縦横!O10</f>
        <v>通常</v>
      </c>
      <c r="AG528" s="70">
        <v>0</v>
      </c>
      <c r="AH528" s="6">
        <f>ネクタイ縦横!Z10</f>
        <v>0</v>
      </c>
      <c r="AI528">
        <v>1</v>
      </c>
      <c r="AJ528">
        <f>ネクタイ縦横!R10</f>
        <v>0</v>
      </c>
    </row>
    <row r="529" spans="1:36" ht="13.5" hidden="1" customHeight="1">
      <c r="A529" s="3" t="str">
        <f>IF(ネクタイ縦横!A11="","",ネクタイ縦横!A11)</f>
        <v/>
      </c>
      <c r="B529" s="68" t="str">
        <f>IF(ネクタイ縦横!B11="","",ネクタイ縦横!B11)</f>
        <v/>
      </c>
      <c r="C529" s="3" t="str">
        <f>IF(ネクタイ縦横!C11="","",ネクタイ縦横!C11)</f>
        <v>◇ E</v>
      </c>
      <c r="D529" s="3" t="str">
        <f>IF(ネクタイ縦横!E11="","",ネクタイ縦横!E11)</f>
        <v>無</v>
      </c>
      <c r="E529" s="3" t="str">
        <f>IF(ネクタイ縦横!X11="","",ネクタイ縦横!X11)</f>
        <v>ベースB</v>
      </c>
      <c r="F529" s="3" t="str">
        <f>IF(ネクタイ縦横!G11="","",ネクタイ縦横!G11)</f>
        <v/>
      </c>
      <c r="G529" s="3" t="str">
        <f>IF(ネクタイ縦横!H11="","",ネクタイ縦横!H11)</f>
        <v/>
      </c>
      <c r="H529" s="3" t="str">
        <f>IF(ネクタイ縦横!I11="","",ネクタイ縦横!I11)</f>
        <v/>
      </c>
      <c r="I529" s="3" t="str">
        <f>IF(ネクタイ縦横!J11="","",ネクタイ縦横!J11)</f>
        <v/>
      </c>
      <c r="J529" s="3" t="str">
        <f>IF(ネクタイ縦横!K11="","",ネクタイ縦横!K11)</f>
        <v/>
      </c>
      <c r="K529" s="3" t="str">
        <f>IF(ネクタイ縦横!L11="","",ネクタイ縦横!L11)</f>
        <v/>
      </c>
      <c r="L529" s="69" t="s">
        <v>80</v>
      </c>
      <c r="M529" s="69" t="s">
        <v>19</v>
      </c>
      <c r="N529" s="69" t="s">
        <v>20</v>
      </c>
      <c r="O529" s="69" t="s">
        <v>21</v>
      </c>
      <c r="P529" s="4" t="s">
        <v>3036</v>
      </c>
      <c r="Q529" s="4" t="s">
        <v>3038</v>
      </c>
      <c r="R529" s="69" t="s">
        <v>22</v>
      </c>
      <c r="S529" s="69" t="s">
        <v>23</v>
      </c>
      <c r="T529" s="69" t="s">
        <v>22</v>
      </c>
      <c r="U529" s="69" t="s">
        <v>24</v>
      </c>
      <c r="V529" s="3" t="str">
        <f>ネクタイ縦横!W11</f>
        <v>全長：約cm　最大幅：約cm</v>
      </c>
      <c r="W529" s="69" t="s">
        <v>26</v>
      </c>
      <c r="X529" s="69" t="s">
        <v>27</v>
      </c>
      <c r="Y529" s="69" t="s">
        <v>28</v>
      </c>
      <c r="Z529" s="69" t="s">
        <v>29</v>
      </c>
      <c r="AA529" s="4"/>
      <c r="AB529" s="4"/>
      <c r="AC529" s="4"/>
      <c r="AD529" s="70"/>
      <c r="AE529" s="70">
        <f>ネクタイ縦横!AB11</f>
        <v>0</v>
      </c>
      <c r="AF529" s="70" t="str">
        <f>ネクタイ縦横!O11</f>
        <v>通常</v>
      </c>
      <c r="AG529" s="70">
        <v>0</v>
      </c>
      <c r="AH529" s="6">
        <f>ネクタイ縦横!Z11</f>
        <v>0</v>
      </c>
      <c r="AI529">
        <v>1</v>
      </c>
      <c r="AJ529">
        <f>ネクタイ縦横!R11</f>
        <v>0</v>
      </c>
    </row>
    <row r="530" spans="1:36" ht="13.5" hidden="1" customHeight="1">
      <c r="A530" s="3" t="str">
        <f>IF(ネクタイ縦横!A12="","",ネクタイ縦横!A12)</f>
        <v/>
      </c>
      <c r="B530" s="68" t="str">
        <f>IF(ネクタイ縦横!B12="","",ネクタイ縦横!B12)</f>
        <v/>
      </c>
      <c r="C530" s="3" t="str">
        <f>IF(ネクタイ縦横!C12="","",ネクタイ縦横!C12)</f>
        <v>◇ E</v>
      </c>
      <c r="D530" s="3" t="str">
        <f>IF(ネクタイ縦横!E12="","",ネクタイ縦横!E12)</f>
        <v>無</v>
      </c>
      <c r="E530" s="3" t="str">
        <f>IF(ネクタイ縦横!X12="","",ネクタイ縦横!X12)</f>
        <v>ベースB</v>
      </c>
      <c r="F530" s="3" t="str">
        <f>IF(ネクタイ縦横!G12="","",ネクタイ縦横!G12)</f>
        <v/>
      </c>
      <c r="G530" s="3" t="str">
        <f>IF(ネクタイ縦横!H12="","",ネクタイ縦横!H12)</f>
        <v/>
      </c>
      <c r="H530" s="3" t="str">
        <f>IF(ネクタイ縦横!I12="","",ネクタイ縦横!I12)</f>
        <v/>
      </c>
      <c r="I530" s="3" t="str">
        <f>IF(ネクタイ縦横!J12="","",ネクタイ縦横!J12)</f>
        <v/>
      </c>
      <c r="J530" s="3" t="str">
        <f>IF(ネクタイ縦横!K12="","",ネクタイ縦横!K12)</f>
        <v/>
      </c>
      <c r="K530" s="3" t="str">
        <f>IF(ネクタイ縦横!L12="","",ネクタイ縦横!L12)</f>
        <v/>
      </c>
      <c r="L530" s="69" t="s">
        <v>80</v>
      </c>
      <c r="M530" s="69" t="s">
        <v>19</v>
      </c>
      <c r="N530" s="69" t="s">
        <v>20</v>
      </c>
      <c r="O530" s="69" t="s">
        <v>21</v>
      </c>
      <c r="P530" s="4" t="s">
        <v>3036</v>
      </c>
      <c r="Q530" s="4" t="s">
        <v>3038</v>
      </c>
      <c r="R530" s="69" t="s">
        <v>22</v>
      </c>
      <c r="S530" s="69" t="s">
        <v>23</v>
      </c>
      <c r="T530" s="69" t="s">
        <v>22</v>
      </c>
      <c r="U530" s="69" t="s">
        <v>24</v>
      </c>
      <c r="V530" s="3" t="str">
        <f>ネクタイ縦横!W12</f>
        <v>全長：約cm　最大幅：約cm</v>
      </c>
      <c r="W530" s="69" t="s">
        <v>26</v>
      </c>
      <c r="X530" s="69" t="s">
        <v>27</v>
      </c>
      <c r="Y530" s="69" t="s">
        <v>28</v>
      </c>
      <c r="Z530" s="69" t="s">
        <v>29</v>
      </c>
      <c r="AA530" s="4"/>
      <c r="AB530" s="4"/>
      <c r="AC530" s="4"/>
      <c r="AD530" s="70"/>
      <c r="AE530" s="70">
        <f>ネクタイ縦横!AB12</f>
        <v>0</v>
      </c>
      <c r="AF530" s="70" t="str">
        <f>ネクタイ縦横!O12</f>
        <v>通常</v>
      </c>
      <c r="AG530" s="70">
        <v>0</v>
      </c>
      <c r="AH530" s="6">
        <f>ネクタイ縦横!Z12</f>
        <v>0</v>
      </c>
      <c r="AI530">
        <v>1</v>
      </c>
      <c r="AJ530">
        <f>ネクタイ縦横!R12</f>
        <v>0</v>
      </c>
    </row>
    <row r="531" spans="1:36" ht="13.5" hidden="1" customHeight="1">
      <c r="A531" s="3" t="str">
        <f>IF(ネクタイ縦横!A13="","",ネクタイ縦横!A13)</f>
        <v/>
      </c>
      <c r="B531" s="68" t="str">
        <f>IF(ネクタイ縦横!B13="","",ネクタイ縦横!B13)</f>
        <v/>
      </c>
      <c r="C531" s="3" t="str">
        <f>IF(ネクタイ縦横!C13="","",ネクタイ縦横!C13)</f>
        <v>◇ E</v>
      </c>
      <c r="D531" s="3" t="str">
        <f>IF(ネクタイ縦横!E13="","",ネクタイ縦横!E13)</f>
        <v>無</v>
      </c>
      <c r="E531" s="3" t="str">
        <f>IF(ネクタイ縦横!X13="","",ネクタイ縦横!X13)</f>
        <v>ベースB</v>
      </c>
      <c r="F531" s="3" t="str">
        <f>IF(ネクタイ縦横!G13="","",ネクタイ縦横!G13)</f>
        <v/>
      </c>
      <c r="G531" s="3" t="str">
        <f>IF(ネクタイ縦横!H13="","",ネクタイ縦横!H13)</f>
        <v/>
      </c>
      <c r="H531" s="3" t="str">
        <f>IF(ネクタイ縦横!I13="","",ネクタイ縦横!I13)</f>
        <v/>
      </c>
      <c r="I531" s="3" t="str">
        <f>IF(ネクタイ縦横!J13="","",ネクタイ縦横!J13)</f>
        <v/>
      </c>
      <c r="J531" s="3" t="str">
        <f>IF(ネクタイ縦横!K13="","",ネクタイ縦横!K13)</f>
        <v/>
      </c>
      <c r="K531" s="3" t="str">
        <f>IF(ネクタイ縦横!L13="","",ネクタイ縦横!L13)</f>
        <v/>
      </c>
      <c r="L531" s="69" t="s">
        <v>80</v>
      </c>
      <c r="M531" s="69" t="s">
        <v>19</v>
      </c>
      <c r="N531" s="69" t="s">
        <v>20</v>
      </c>
      <c r="O531" s="69" t="s">
        <v>21</v>
      </c>
      <c r="P531" s="4" t="s">
        <v>3036</v>
      </c>
      <c r="Q531" s="4" t="s">
        <v>3038</v>
      </c>
      <c r="R531" s="69" t="s">
        <v>22</v>
      </c>
      <c r="S531" s="69" t="s">
        <v>23</v>
      </c>
      <c r="T531" s="69" t="s">
        <v>22</v>
      </c>
      <c r="U531" s="69" t="s">
        <v>24</v>
      </c>
      <c r="V531" s="3" t="str">
        <f>ネクタイ縦横!W13</f>
        <v>全長：約cm　最大幅：約cm</v>
      </c>
      <c r="W531" s="69" t="s">
        <v>26</v>
      </c>
      <c r="X531" s="69" t="s">
        <v>27</v>
      </c>
      <c r="Y531" s="69" t="s">
        <v>28</v>
      </c>
      <c r="Z531" s="69" t="s">
        <v>29</v>
      </c>
      <c r="AA531" s="4"/>
      <c r="AB531" s="4"/>
      <c r="AC531" s="4"/>
      <c r="AD531" s="70"/>
      <c r="AE531" s="70">
        <f>ネクタイ縦横!AB13</f>
        <v>0</v>
      </c>
      <c r="AF531" s="70" t="str">
        <f>ネクタイ縦横!O13</f>
        <v>通常</v>
      </c>
      <c r="AG531" s="70">
        <v>0</v>
      </c>
      <c r="AH531" s="6">
        <f>ネクタイ縦横!Z13</f>
        <v>0</v>
      </c>
      <c r="AI531">
        <v>1</v>
      </c>
      <c r="AJ531">
        <f>ネクタイ縦横!R13</f>
        <v>0</v>
      </c>
    </row>
    <row r="532" spans="1:36" ht="13.5" hidden="1" customHeight="1">
      <c r="A532" s="3" t="str">
        <f>IF(ネクタイ縦横!A14="","",ネクタイ縦横!A14)</f>
        <v/>
      </c>
      <c r="B532" s="68" t="str">
        <f>IF(ネクタイ縦横!B14="","",ネクタイ縦横!B14)</f>
        <v/>
      </c>
      <c r="C532" s="3" t="str">
        <f>IF(ネクタイ縦横!C14="","",ネクタイ縦横!C14)</f>
        <v>◇ E</v>
      </c>
      <c r="D532" s="3" t="str">
        <f>IF(ネクタイ縦横!E14="","",ネクタイ縦横!E14)</f>
        <v>無</v>
      </c>
      <c r="E532" s="3" t="str">
        <f>IF(ネクタイ縦横!X14="","",ネクタイ縦横!X14)</f>
        <v>ベースB</v>
      </c>
      <c r="F532" s="3" t="str">
        <f>IF(ネクタイ縦横!G14="","",ネクタイ縦横!G14)</f>
        <v/>
      </c>
      <c r="G532" s="3" t="str">
        <f>IF(ネクタイ縦横!H14="","",ネクタイ縦横!H14)</f>
        <v/>
      </c>
      <c r="H532" s="3" t="str">
        <f>IF(ネクタイ縦横!I14="","",ネクタイ縦横!I14)</f>
        <v/>
      </c>
      <c r="I532" s="3" t="str">
        <f>IF(ネクタイ縦横!J14="","",ネクタイ縦横!J14)</f>
        <v/>
      </c>
      <c r="J532" s="3" t="str">
        <f>IF(ネクタイ縦横!K14="","",ネクタイ縦横!K14)</f>
        <v/>
      </c>
      <c r="K532" s="3" t="str">
        <f>IF(ネクタイ縦横!L14="","",ネクタイ縦横!L14)</f>
        <v/>
      </c>
      <c r="L532" s="69" t="s">
        <v>80</v>
      </c>
      <c r="M532" s="69" t="s">
        <v>19</v>
      </c>
      <c r="N532" s="69" t="s">
        <v>20</v>
      </c>
      <c r="O532" s="69" t="s">
        <v>21</v>
      </c>
      <c r="P532" s="4" t="s">
        <v>3036</v>
      </c>
      <c r="Q532" s="4" t="s">
        <v>3038</v>
      </c>
      <c r="R532" s="69" t="s">
        <v>22</v>
      </c>
      <c r="S532" s="69" t="s">
        <v>23</v>
      </c>
      <c r="T532" s="69" t="s">
        <v>22</v>
      </c>
      <c r="U532" s="69" t="s">
        <v>24</v>
      </c>
      <c r="V532" s="3" t="str">
        <f>ネクタイ縦横!W14</f>
        <v>全長：約cm　最大幅：約cm</v>
      </c>
      <c r="W532" s="69" t="s">
        <v>26</v>
      </c>
      <c r="X532" s="69" t="s">
        <v>27</v>
      </c>
      <c r="Y532" s="69" t="s">
        <v>28</v>
      </c>
      <c r="Z532" s="69" t="s">
        <v>29</v>
      </c>
      <c r="AA532" s="4"/>
      <c r="AB532" s="4"/>
      <c r="AC532" s="4"/>
      <c r="AD532" s="70"/>
      <c r="AE532" s="70">
        <f>ネクタイ縦横!AB14</f>
        <v>0</v>
      </c>
      <c r="AF532" s="70" t="str">
        <f>ネクタイ縦横!O14</f>
        <v>通常</v>
      </c>
      <c r="AG532" s="70">
        <v>0</v>
      </c>
      <c r="AH532" s="6">
        <f>ネクタイ縦横!Z14</f>
        <v>0</v>
      </c>
      <c r="AI532">
        <v>1</v>
      </c>
      <c r="AJ532">
        <f>ネクタイ縦横!R14</f>
        <v>0</v>
      </c>
    </row>
    <row r="533" spans="1:36" ht="13.5" hidden="1" customHeight="1">
      <c r="A533" s="3" t="str">
        <f>IF(ネクタイ縦横!A15="","",ネクタイ縦横!A15)</f>
        <v/>
      </c>
      <c r="B533" s="68" t="str">
        <f>IF(ネクタイ縦横!B15="","",ネクタイ縦横!B15)</f>
        <v/>
      </c>
      <c r="C533" s="3" t="str">
        <f>IF(ネクタイ縦横!C15="","",ネクタイ縦横!C15)</f>
        <v>◇ E</v>
      </c>
      <c r="D533" s="3" t="str">
        <f>IF(ネクタイ縦横!E15="","",ネクタイ縦横!E15)</f>
        <v>無</v>
      </c>
      <c r="E533" s="3" t="str">
        <f>IF(ネクタイ縦横!X15="","",ネクタイ縦横!X15)</f>
        <v>ベースB</v>
      </c>
      <c r="F533" s="3" t="str">
        <f>IF(ネクタイ縦横!G15="","",ネクタイ縦横!G15)</f>
        <v/>
      </c>
      <c r="G533" s="3" t="str">
        <f>IF(ネクタイ縦横!H15="","",ネクタイ縦横!H15)</f>
        <v/>
      </c>
      <c r="H533" s="3" t="str">
        <f>IF(ネクタイ縦横!I15="","",ネクタイ縦横!I15)</f>
        <v/>
      </c>
      <c r="I533" s="3" t="str">
        <f>IF(ネクタイ縦横!J15="","",ネクタイ縦横!J15)</f>
        <v/>
      </c>
      <c r="J533" s="3" t="str">
        <f>IF(ネクタイ縦横!K15="","",ネクタイ縦横!K15)</f>
        <v/>
      </c>
      <c r="K533" s="3" t="str">
        <f>IF(ネクタイ縦横!L15="","",ネクタイ縦横!L15)</f>
        <v/>
      </c>
      <c r="L533" s="69" t="s">
        <v>80</v>
      </c>
      <c r="M533" s="69" t="s">
        <v>19</v>
      </c>
      <c r="N533" s="69" t="s">
        <v>20</v>
      </c>
      <c r="O533" s="69" t="s">
        <v>21</v>
      </c>
      <c r="P533" s="4" t="s">
        <v>3036</v>
      </c>
      <c r="Q533" s="4" t="s">
        <v>3038</v>
      </c>
      <c r="R533" s="69" t="s">
        <v>22</v>
      </c>
      <c r="S533" s="69" t="s">
        <v>23</v>
      </c>
      <c r="T533" s="69" t="s">
        <v>22</v>
      </c>
      <c r="U533" s="69" t="s">
        <v>24</v>
      </c>
      <c r="V533" s="3" t="str">
        <f>ネクタイ縦横!W15</f>
        <v>全長：約cm　最大幅：約cm</v>
      </c>
      <c r="W533" s="69" t="s">
        <v>26</v>
      </c>
      <c r="X533" s="69" t="s">
        <v>27</v>
      </c>
      <c r="Y533" s="69" t="s">
        <v>28</v>
      </c>
      <c r="Z533" s="69" t="s">
        <v>29</v>
      </c>
      <c r="AA533" s="4"/>
      <c r="AB533" s="4"/>
      <c r="AC533" s="4"/>
      <c r="AD533" s="70"/>
      <c r="AE533" s="70">
        <f>ネクタイ縦横!AB15</f>
        <v>0</v>
      </c>
      <c r="AF533" s="70" t="str">
        <f>ネクタイ縦横!O15</f>
        <v>通常</v>
      </c>
      <c r="AG533" s="70">
        <v>0</v>
      </c>
      <c r="AH533" s="6">
        <f>ネクタイ縦横!Z15</f>
        <v>0</v>
      </c>
      <c r="AI533">
        <v>1</v>
      </c>
      <c r="AJ533">
        <f>ネクタイ縦横!R15</f>
        <v>0</v>
      </c>
    </row>
    <row r="534" spans="1:36" ht="13.5" hidden="1" customHeight="1">
      <c r="A534" s="3" t="str">
        <f>IF(ネクタイ縦横!A16="","",ネクタイ縦横!A16)</f>
        <v/>
      </c>
      <c r="B534" s="68" t="str">
        <f>IF(ネクタイ縦横!B16="","",ネクタイ縦横!B16)</f>
        <v/>
      </c>
      <c r="C534" s="3" t="str">
        <f>IF(ネクタイ縦横!C16="","",ネクタイ縦横!C16)</f>
        <v>◇ E</v>
      </c>
      <c r="D534" s="3" t="str">
        <f>IF(ネクタイ縦横!E16="","",ネクタイ縦横!E16)</f>
        <v>無</v>
      </c>
      <c r="E534" s="3" t="str">
        <f>IF(ネクタイ縦横!X16="","",ネクタイ縦横!X16)</f>
        <v>ベースB</v>
      </c>
      <c r="F534" s="3" t="str">
        <f>IF(ネクタイ縦横!G16="","",ネクタイ縦横!G16)</f>
        <v/>
      </c>
      <c r="G534" s="3" t="str">
        <f>IF(ネクタイ縦横!H16="","",ネクタイ縦横!H16)</f>
        <v/>
      </c>
      <c r="H534" s="3" t="str">
        <f>IF(ネクタイ縦横!I16="","",ネクタイ縦横!I16)</f>
        <v/>
      </c>
      <c r="I534" s="3" t="str">
        <f>IF(ネクタイ縦横!J16="","",ネクタイ縦横!J16)</f>
        <v/>
      </c>
      <c r="J534" s="3" t="str">
        <f>IF(ネクタイ縦横!K16="","",ネクタイ縦横!K16)</f>
        <v/>
      </c>
      <c r="K534" s="3" t="str">
        <f>IF(ネクタイ縦横!L16="","",ネクタイ縦横!L16)</f>
        <v/>
      </c>
      <c r="L534" s="69" t="s">
        <v>80</v>
      </c>
      <c r="M534" s="69" t="s">
        <v>19</v>
      </c>
      <c r="N534" s="69" t="s">
        <v>20</v>
      </c>
      <c r="O534" s="69" t="s">
        <v>21</v>
      </c>
      <c r="P534" s="4" t="s">
        <v>3036</v>
      </c>
      <c r="Q534" s="4" t="s">
        <v>3038</v>
      </c>
      <c r="R534" s="69" t="s">
        <v>22</v>
      </c>
      <c r="S534" s="69" t="s">
        <v>23</v>
      </c>
      <c r="T534" s="69" t="s">
        <v>22</v>
      </c>
      <c r="U534" s="69" t="s">
        <v>24</v>
      </c>
      <c r="V534" s="3" t="str">
        <f>ネクタイ縦横!W16</f>
        <v>全長：約cm　最大幅：約cm</v>
      </c>
      <c r="W534" s="69" t="s">
        <v>26</v>
      </c>
      <c r="X534" s="69" t="s">
        <v>27</v>
      </c>
      <c r="Y534" s="69" t="s">
        <v>28</v>
      </c>
      <c r="Z534" s="69" t="s">
        <v>29</v>
      </c>
      <c r="AA534" s="4"/>
      <c r="AB534" s="4"/>
      <c r="AC534" s="4"/>
      <c r="AD534" s="70"/>
      <c r="AE534" s="70">
        <f>ネクタイ縦横!AB16</f>
        <v>0</v>
      </c>
      <c r="AF534" s="70" t="str">
        <f>ネクタイ縦横!O16</f>
        <v>通常</v>
      </c>
      <c r="AG534" s="70">
        <v>0</v>
      </c>
      <c r="AH534" s="6">
        <f>ネクタイ縦横!Z16</f>
        <v>0</v>
      </c>
      <c r="AI534">
        <v>1</v>
      </c>
      <c r="AJ534">
        <f>ネクタイ縦横!R16</f>
        <v>0</v>
      </c>
    </row>
    <row r="535" spans="1:36" ht="13.5" hidden="1" customHeight="1">
      <c r="A535" s="3" t="str">
        <f>IF(ネクタイ縦横!A17="","",ネクタイ縦横!A17)</f>
        <v/>
      </c>
      <c r="B535" s="68" t="str">
        <f>IF(ネクタイ縦横!B17="","",ネクタイ縦横!B17)</f>
        <v/>
      </c>
      <c r="C535" s="3" t="str">
        <f>IF(ネクタイ縦横!C17="","",ネクタイ縦横!C17)</f>
        <v>◇ E</v>
      </c>
      <c r="D535" s="3" t="str">
        <f>IF(ネクタイ縦横!E17="","",ネクタイ縦横!E17)</f>
        <v>無</v>
      </c>
      <c r="E535" s="3" t="str">
        <f>IF(ネクタイ縦横!X17="","",ネクタイ縦横!X17)</f>
        <v>ベースB</v>
      </c>
      <c r="F535" s="3" t="str">
        <f>IF(ネクタイ縦横!G17="","",ネクタイ縦横!G17)</f>
        <v/>
      </c>
      <c r="G535" s="3" t="str">
        <f>IF(ネクタイ縦横!H17="","",ネクタイ縦横!H17)</f>
        <v/>
      </c>
      <c r="H535" s="3" t="str">
        <f>IF(ネクタイ縦横!I17="","",ネクタイ縦横!I17)</f>
        <v/>
      </c>
      <c r="I535" s="3" t="str">
        <f>IF(ネクタイ縦横!J17="","",ネクタイ縦横!J17)</f>
        <v/>
      </c>
      <c r="J535" s="3" t="str">
        <f>IF(ネクタイ縦横!K17="","",ネクタイ縦横!K17)</f>
        <v/>
      </c>
      <c r="K535" s="3" t="str">
        <f>IF(ネクタイ縦横!L17="","",ネクタイ縦横!L17)</f>
        <v/>
      </c>
      <c r="L535" s="69" t="s">
        <v>80</v>
      </c>
      <c r="M535" s="69" t="s">
        <v>19</v>
      </c>
      <c r="N535" s="69" t="s">
        <v>20</v>
      </c>
      <c r="O535" s="69" t="s">
        <v>21</v>
      </c>
      <c r="P535" s="4" t="s">
        <v>3036</v>
      </c>
      <c r="Q535" s="4" t="s">
        <v>3038</v>
      </c>
      <c r="R535" s="69" t="s">
        <v>22</v>
      </c>
      <c r="S535" s="69" t="s">
        <v>23</v>
      </c>
      <c r="T535" s="69" t="s">
        <v>22</v>
      </c>
      <c r="U535" s="69" t="s">
        <v>24</v>
      </c>
      <c r="V535" s="3" t="str">
        <f>ネクタイ縦横!W17</f>
        <v>全長：約cm　最大幅：約cm</v>
      </c>
      <c r="W535" s="69" t="s">
        <v>26</v>
      </c>
      <c r="X535" s="69" t="s">
        <v>27</v>
      </c>
      <c r="Y535" s="69" t="s">
        <v>28</v>
      </c>
      <c r="Z535" s="69" t="s">
        <v>29</v>
      </c>
      <c r="AA535" s="4"/>
      <c r="AB535" s="4"/>
      <c r="AC535" s="4"/>
      <c r="AD535" s="70"/>
      <c r="AE535" s="70">
        <f>ネクタイ縦横!AB17</f>
        <v>0</v>
      </c>
      <c r="AF535" s="70" t="str">
        <f>ネクタイ縦横!O17</f>
        <v>通常</v>
      </c>
      <c r="AG535" s="70">
        <v>0</v>
      </c>
      <c r="AH535" s="6">
        <f>ネクタイ縦横!Z17</f>
        <v>0</v>
      </c>
      <c r="AI535">
        <v>1</v>
      </c>
      <c r="AJ535">
        <f>ネクタイ縦横!R17</f>
        <v>0</v>
      </c>
    </row>
    <row r="536" spans="1:36" ht="13.5" hidden="1" customHeight="1">
      <c r="A536" s="3" t="str">
        <f>IF(ネクタイ縦横!A18="","",ネクタイ縦横!A18)</f>
        <v/>
      </c>
      <c r="B536" s="68" t="str">
        <f>IF(ネクタイ縦横!B18="","",ネクタイ縦横!B18)</f>
        <v/>
      </c>
      <c r="C536" s="3" t="str">
        <f>IF(ネクタイ縦横!C18="","",ネクタイ縦横!C18)</f>
        <v>◇ E</v>
      </c>
      <c r="D536" s="3" t="str">
        <f>IF(ネクタイ縦横!E18="","",ネクタイ縦横!E18)</f>
        <v>無</v>
      </c>
      <c r="E536" s="3" t="str">
        <f>IF(ネクタイ縦横!X18="","",ネクタイ縦横!X18)</f>
        <v>ベースB</v>
      </c>
      <c r="F536" s="3" t="str">
        <f>IF(ネクタイ縦横!G18="","",ネクタイ縦横!G18)</f>
        <v/>
      </c>
      <c r="G536" s="3" t="str">
        <f>IF(ネクタイ縦横!H18="","",ネクタイ縦横!H18)</f>
        <v/>
      </c>
      <c r="H536" s="3" t="str">
        <f>IF(ネクタイ縦横!I18="","",ネクタイ縦横!I18)</f>
        <v/>
      </c>
      <c r="I536" s="3" t="str">
        <f>IF(ネクタイ縦横!J18="","",ネクタイ縦横!J18)</f>
        <v/>
      </c>
      <c r="J536" s="3" t="str">
        <f>IF(ネクタイ縦横!K18="","",ネクタイ縦横!K18)</f>
        <v/>
      </c>
      <c r="K536" s="3" t="str">
        <f>IF(ネクタイ縦横!L18="","",ネクタイ縦横!L18)</f>
        <v/>
      </c>
      <c r="L536" s="69" t="s">
        <v>80</v>
      </c>
      <c r="M536" s="69" t="s">
        <v>19</v>
      </c>
      <c r="N536" s="69" t="s">
        <v>20</v>
      </c>
      <c r="O536" s="69" t="s">
        <v>21</v>
      </c>
      <c r="P536" s="4" t="s">
        <v>3036</v>
      </c>
      <c r="Q536" s="4" t="s">
        <v>3038</v>
      </c>
      <c r="R536" s="69" t="s">
        <v>22</v>
      </c>
      <c r="S536" s="69" t="s">
        <v>23</v>
      </c>
      <c r="T536" s="69" t="s">
        <v>22</v>
      </c>
      <c r="U536" s="69" t="s">
        <v>24</v>
      </c>
      <c r="V536" s="3" t="str">
        <f>ネクタイ縦横!W18</f>
        <v>全長：約cm　最大幅：約cm</v>
      </c>
      <c r="W536" s="69" t="s">
        <v>26</v>
      </c>
      <c r="X536" s="69" t="s">
        <v>27</v>
      </c>
      <c r="Y536" s="69" t="s">
        <v>28</v>
      </c>
      <c r="Z536" s="69" t="s">
        <v>29</v>
      </c>
      <c r="AA536" s="4"/>
      <c r="AB536" s="4"/>
      <c r="AC536" s="4"/>
      <c r="AD536" s="70"/>
      <c r="AE536" s="70">
        <f>ネクタイ縦横!AB18</f>
        <v>0</v>
      </c>
      <c r="AF536" s="70" t="str">
        <f>ネクタイ縦横!O18</f>
        <v>通常</v>
      </c>
      <c r="AG536" s="70">
        <v>0</v>
      </c>
      <c r="AH536" s="6">
        <f>ネクタイ縦横!Z18</f>
        <v>0</v>
      </c>
      <c r="AI536">
        <v>1</v>
      </c>
      <c r="AJ536">
        <f>ネクタイ縦横!R18</f>
        <v>0</v>
      </c>
    </row>
    <row r="537" spans="1:36" ht="13.5" hidden="1" customHeight="1">
      <c r="A537" s="3" t="str">
        <f>IF(ネクタイ縦横!A19="","",ネクタイ縦横!A19)</f>
        <v/>
      </c>
      <c r="B537" s="68" t="str">
        <f>IF(ネクタイ縦横!B19="","",ネクタイ縦横!B19)</f>
        <v/>
      </c>
      <c r="C537" s="3" t="str">
        <f>IF(ネクタイ縦横!C19="","",ネクタイ縦横!C19)</f>
        <v>◇ E</v>
      </c>
      <c r="D537" s="3" t="str">
        <f>IF(ネクタイ縦横!E19="","",ネクタイ縦横!E19)</f>
        <v>無</v>
      </c>
      <c r="E537" s="3" t="str">
        <f>IF(ネクタイ縦横!X19="","",ネクタイ縦横!X19)</f>
        <v>ベースB</v>
      </c>
      <c r="F537" s="3" t="str">
        <f>IF(ネクタイ縦横!G19="","",ネクタイ縦横!G19)</f>
        <v/>
      </c>
      <c r="G537" s="3" t="str">
        <f>IF(ネクタイ縦横!H19="","",ネクタイ縦横!H19)</f>
        <v/>
      </c>
      <c r="H537" s="3" t="str">
        <f>IF(ネクタイ縦横!I19="","",ネクタイ縦横!I19)</f>
        <v/>
      </c>
      <c r="I537" s="3" t="str">
        <f>IF(ネクタイ縦横!J19="","",ネクタイ縦横!J19)</f>
        <v/>
      </c>
      <c r="J537" s="3" t="str">
        <f>IF(ネクタイ縦横!K19="","",ネクタイ縦横!K19)</f>
        <v/>
      </c>
      <c r="K537" s="3" t="str">
        <f>IF(ネクタイ縦横!L19="","",ネクタイ縦横!L19)</f>
        <v/>
      </c>
      <c r="L537" s="69" t="s">
        <v>80</v>
      </c>
      <c r="M537" s="69" t="s">
        <v>19</v>
      </c>
      <c r="N537" s="69" t="s">
        <v>20</v>
      </c>
      <c r="O537" s="69" t="s">
        <v>21</v>
      </c>
      <c r="P537" s="4" t="s">
        <v>3036</v>
      </c>
      <c r="Q537" s="4" t="s">
        <v>3038</v>
      </c>
      <c r="R537" s="69" t="s">
        <v>22</v>
      </c>
      <c r="S537" s="69" t="s">
        <v>23</v>
      </c>
      <c r="T537" s="69" t="s">
        <v>22</v>
      </c>
      <c r="U537" s="69" t="s">
        <v>24</v>
      </c>
      <c r="V537" s="3" t="str">
        <f>ネクタイ縦横!W19</f>
        <v>全長：約cm　最大幅：約cm</v>
      </c>
      <c r="W537" s="69" t="s">
        <v>26</v>
      </c>
      <c r="X537" s="69" t="s">
        <v>27</v>
      </c>
      <c r="Y537" s="69" t="s">
        <v>28</v>
      </c>
      <c r="Z537" s="69" t="s">
        <v>29</v>
      </c>
      <c r="AA537" s="4"/>
      <c r="AB537" s="4"/>
      <c r="AC537" s="4"/>
      <c r="AD537" s="70"/>
      <c r="AE537" s="70">
        <f>ネクタイ縦横!AB19</f>
        <v>0</v>
      </c>
      <c r="AF537" s="70" t="str">
        <f>ネクタイ縦横!O19</f>
        <v>通常</v>
      </c>
      <c r="AG537" s="70">
        <v>0</v>
      </c>
      <c r="AH537" s="6">
        <f>ネクタイ縦横!Z19</f>
        <v>0</v>
      </c>
      <c r="AI537">
        <v>1</v>
      </c>
      <c r="AJ537">
        <f>ネクタイ縦横!R19</f>
        <v>0</v>
      </c>
    </row>
    <row r="538" spans="1:36" ht="13.5" hidden="1" customHeight="1">
      <c r="A538" s="3" t="str">
        <f>IF(ネクタイ縦横!A20="","",ネクタイ縦横!A20)</f>
        <v/>
      </c>
      <c r="B538" s="68" t="str">
        <f>IF(ネクタイ縦横!B20="","",ネクタイ縦横!B20)</f>
        <v/>
      </c>
      <c r="C538" s="3" t="str">
        <f>IF(ネクタイ縦横!C20="","",ネクタイ縦横!C20)</f>
        <v>◇ E</v>
      </c>
      <c r="D538" s="3" t="str">
        <f>IF(ネクタイ縦横!E20="","",ネクタイ縦横!E20)</f>
        <v>無</v>
      </c>
      <c r="E538" s="3" t="str">
        <f>IF(ネクタイ縦横!X20="","",ネクタイ縦横!X20)</f>
        <v>ベースB</v>
      </c>
      <c r="F538" s="3" t="str">
        <f>IF(ネクタイ縦横!G20="","",ネクタイ縦横!G20)</f>
        <v/>
      </c>
      <c r="G538" s="3" t="str">
        <f>IF(ネクタイ縦横!H20="","",ネクタイ縦横!H20)</f>
        <v/>
      </c>
      <c r="H538" s="3" t="str">
        <f>IF(ネクタイ縦横!I20="","",ネクタイ縦横!I20)</f>
        <v/>
      </c>
      <c r="I538" s="3" t="str">
        <f>IF(ネクタイ縦横!J20="","",ネクタイ縦横!J20)</f>
        <v/>
      </c>
      <c r="J538" s="3" t="str">
        <f>IF(ネクタイ縦横!K20="","",ネクタイ縦横!K20)</f>
        <v/>
      </c>
      <c r="K538" s="3" t="str">
        <f>IF(ネクタイ縦横!L20="","",ネクタイ縦横!L20)</f>
        <v/>
      </c>
      <c r="L538" s="69" t="s">
        <v>80</v>
      </c>
      <c r="M538" s="69" t="s">
        <v>19</v>
      </c>
      <c r="N538" s="69" t="s">
        <v>20</v>
      </c>
      <c r="O538" s="69" t="s">
        <v>21</v>
      </c>
      <c r="P538" s="4" t="s">
        <v>3036</v>
      </c>
      <c r="Q538" s="4" t="s">
        <v>3038</v>
      </c>
      <c r="R538" s="69" t="s">
        <v>22</v>
      </c>
      <c r="S538" s="69" t="s">
        <v>23</v>
      </c>
      <c r="T538" s="69" t="s">
        <v>22</v>
      </c>
      <c r="U538" s="69" t="s">
        <v>24</v>
      </c>
      <c r="V538" s="3" t="str">
        <f>ネクタイ縦横!W20</f>
        <v>全長：約cm　最大幅：約cm</v>
      </c>
      <c r="W538" s="69" t="s">
        <v>26</v>
      </c>
      <c r="X538" s="69" t="s">
        <v>27</v>
      </c>
      <c r="Y538" s="69" t="s">
        <v>28</v>
      </c>
      <c r="Z538" s="69" t="s">
        <v>29</v>
      </c>
      <c r="AA538" s="4"/>
      <c r="AB538" s="4"/>
      <c r="AC538" s="4"/>
      <c r="AD538" s="70"/>
      <c r="AE538" s="70">
        <f>ネクタイ縦横!AB20</f>
        <v>0</v>
      </c>
      <c r="AF538" s="70" t="str">
        <f>ネクタイ縦横!O20</f>
        <v>通常</v>
      </c>
      <c r="AG538" s="70">
        <v>0</v>
      </c>
      <c r="AH538" s="6">
        <f>ネクタイ縦横!Z20</f>
        <v>0</v>
      </c>
      <c r="AI538">
        <v>1</v>
      </c>
      <c r="AJ538">
        <f>ネクタイ縦横!R20</f>
        <v>0</v>
      </c>
    </row>
    <row r="539" spans="1:36" ht="13.5" hidden="1" customHeight="1">
      <c r="A539" s="3" t="str">
        <f>IF(ネクタイ縦横!A21="","",ネクタイ縦横!A21)</f>
        <v/>
      </c>
      <c r="B539" s="68" t="str">
        <f>IF(ネクタイ縦横!B21="","",ネクタイ縦横!B21)</f>
        <v/>
      </c>
      <c r="C539" s="3" t="str">
        <f>IF(ネクタイ縦横!C21="","",ネクタイ縦横!C21)</f>
        <v>◇ E</v>
      </c>
      <c r="D539" s="3" t="str">
        <f>IF(ネクタイ縦横!E21="","",ネクタイ縦横!E21)</f>
        <v>無</v>
      </c>
      <c r="E539" s="3" t="str">
        <f>IF(ネクタイ縦横!X21="","",ネクタイ縦横!X21)</f>
        <v>ベースB</v>
      </c>
      <c r="F539" s="3" t="str">
        <f>IF(ネクタイ縦横!G21="","",ネクタイ縦横!G21)</f>
        <v/>
      </c>
      <c r="G539" s="3" t="str">
        <f>IF(ネクタイ縦横!H21="","",ネクタイ縦横!H21)</f>
        <v/>
      </c>
      <c r="H539" s="3" t="str">
        <f>IF(ネクタイ縦横!I21="","",ネクタイ縦横!I21)</f>
        <v/>
      </c>
      <c r="I539" s="3" t="str">
        <f>IF(ネクタイ縦横!J21="","",ネクタイ縦横!J21)</f>
        <v/>
      </c>
      <c r="J539" s="3" t="str">
        <f>IF(ネクタイ縦横!K21="","",ネクタイ縦横!K21)</f>
        <v/>
      </c>
      <c r="K539" s="3" t="str">
        <f>IF(ネクタイ縦横!L21="","",ネクタイ縦横!L21)</f>
        <v/>
      </c>
      <c r="L539" s="69" t="s">
        <v>80</v>
      </c>
      <c r="M539" s="69" t="s">
        <v>19</v>
      </c>
      <c r="N539" s="69" t="s">
        <v>20</v>
      </c>
      <c r="O539" s="69" t="s">
        <v>21</v>
      </c>
      <c r="P539" s="4" t="s">
        <v>3036</v>
      </c>
      <c r="Q539" s="4" t="s">
        <v>3038</v>
      </c>
      <c r="R539" s="69" t="s">
        <v>22</v>
      </c>
      <c r="S539" s="69" t="s">
        <v>23</v>
      </c>
      <c r="T539" s="69" t="s">
        <v>22</v>
      </c>
      <c r="U539" s="69" t="s">
        <v>24</v>
      </c>
      <c r="V539" s="3" t="str">
        <f>ネクタイ縦横!W21</f>
        <v>全長：約cm　最大幅：約cm</v>
      </c>
      <c r="W539" s="69" t="s">
        <v>26</v>
      </c>
      <c r="X539" s="69" t="s">
        <v>27</v>
      </c>
      <c r="Y539" s="69" t="s">
        <v>28</v>
      </c>
      <c r="Z539" s="69" t="s">
        <v>29</v>
      </c>
      <c r="AA539" s="4"/>
      <c r="AB539" s="4"/>
      <c r="AC539" s="4"/>
      <c r="AD539" s="70"/>
      <c r="AE539" s="70">
        <f>ネクタイ縦横!AB21</f>
        <v>0</v>
      </c>
      <c r="AF539" s="70" t="str">
        <f>ネクタイ縦横!O21</f>
        <v>通常</v>
      </c>
      <c r="AG539" s="70">
        <v>0</v>
      </c>
      <c r="AH539" s="6">
        <f>ネクタイ縦横!Z21</f>
        <v>0</v>
      </c>
      <c r="AI539">
        <v>1</v>
      </c>
      <c r="AJ539">
        <f>ネクタイ縦横!R21</f>
        <v>0</v>
      </c>
    </row>
    <row r="540" spans="1:36" ht="13.5" hidden="1" customHeight="1">
      <c r="A540" s="3" t="str">
        <f>IF(ネクタイ縦横!A22="","",ネクタイ縦横!A22)</f>
        <v/>
      </c>
      <c r="B540" s="68" t="str">
        <f>IF(ネクタイ縦横!B22="","",ネクタイ縦横!B22)</f>
        <v/>
      </c>
      <c r="C540" s="3" t="str">
        <f>IF(ネクタイ縦横!C22="","",ネクタイ縦横!C22)</f>
        <v>◇ E</v>
      </c>
      <c r="D540" s="3" t="str">
        <f>IF(ネクタイ縦横!E22="","",ネクタイ縦横!E22)</f>
        <v>無</v>
      </c>
      <c r="E540" s="3" t="str">
        <f>IF(ネクタイ縦横!X22="","",ネクタイ縦横!X22)</f>
        <v>ベースB</v>
      </c>
      <c r="F540" s="3" t="str">
        <f>IF(ネクタイ縦横!G22="","",ネクタイ縦横!G22)</f>
        <v/>
      </c>
      <c r="G540" s="3" t="str">
        <f>IF(ネクタイ縦横!H22="","",ネクタイ縦横!H22)</f>
        <v/>
      </c>
      <c r="H540" s="3" t="str">
        <f>IF(ネクタイ縦横!I22="","",ネクタイ縦横!I22)</f>
        <v/>
      </c>
      <c r="I540" s="3" t="str">
        <f>IF(ネクタイ縦横!J22="","",ネクタイ縦横!J22)</f>
        <v/>
      </c>
      <c r="J540" s="3" t="str">
        <f>IF(ネクタイ縦横!K22="","",ネクタイ縦横!K22)</f>
        <v/>
      </c>
      <c r="K540" s="3" t="str">
        <f>IF(ネクタイ縦横!L22="","",ネクタイ縦横!L22)</f>
        <v/>
      </c>
      <c r="L540" s="69" t="s">
        <v>80</v>
      </c>
      <c r="M540" s="69" t="s">
        <v>19</v>
      </c>
      <c r="N540" s="69" t="s">
        <v>20</v>
      </c>
      <c r="O540" s="69" t="s">
        <v>21</v>
      </c>
      <c r="P540" s="4" t="s">
        <v>3036</v>
      </c>
      <c r="Q540" s="4" t="s">
        <v>3038</v>
      </c>
      <c r="R540" s="69" t="s">
        <v>22</v>
      </c>
      <c r="S540" s="69" t="s">
        <v>23</v>
      </c>
      <c r="T540" s="69" t="s">
        <v>22</v>
      </c>
      <c r="U540" s="69" t="s">
        <v>24</v>
      </c>
      <c r="V540" s="3" t="str">
        <f>ネクタイ縦横!W22</f>
        <v>全長：約cm　最大幅：約cm</v>
      </c>
      <c r="W540" s="69" t="s">
        <v>26</v>
      </c>
      <c r="X540" s="69" t="s">
        <v>27</v>
      </c>
      <c r="Y540" s="69" t="s">
        <v>28</v>
      </c>
      <c r="Z540" s="69" t="s">
        <v>29</v>
      </c>
      <c r="AA540" s="4"/>
      <c r="AB540" s="4"/>
      <c r="AC540" s="4"/>
      <c r="AD540" s="70"/>
      <c r="AE540" s="70">
        <f>ネクタイ縦横!AB22</f>
        <v>0</v>
      </c>
      <c r="AF540" s="70" t="str">
        <f>ネクタイ縦横!O22</f>
        <v>通常</v>
      </c>
      <c r="AG540" s="70">
        <v>0</v>
      </c>
      <c r="AH540" s="6">
        <f>ネクタイ縦横!Z22</f>
        <v>0</v>
      </c>
      <c r="AI540">
        <v>1</v>
      </c>
      <c r="AJ540">
        <f>ネクタイ縦横!R22</f>
        <v>0</v>
      </c>
    </row>
    <row r="541" spans="1:36" ht="13.5" hidden="1" customHeight="1">
      <c r="A541" s="3" t="str">
        <f>IF(ネクタイ縦横!A23="","",ネクタイ縦横!A23)</f>
        <v/>
      </c>
      <c r="B541" s="68" t="str">
        <f>IF(ネクタイ縦横!B23="","",ネクタイ縦横!B23)</f>
        <v/>
      </c>
      <c r="C541" s="3" t="str">
        <f>IF(ネクタイ縦横!C23="","",ネクタイ縦横!C23)</f>
        <v>◇ E</v>
      </c>
      <c r="D541" s="3" t="str">
        <f>IF(ネクタイ縦横!E23="","",ネクタイ縦横!E23)</f>
        <v>無</v>
      </c>
      <c r="E541" s="3" t="str">
        <f>IF(ネクタイ縦横!X23="","",ネクタイ縦横!X23)</f>
        <v>ベースB</v>
      </c>
      <c r="F541" s="3" t="str">
        <f>IF(ネクタイ縦横!G23="","",ネクタイ縦横!G23)</f>
        <v/>
      </c>
      <c r="G541" s="3" t="str">
        <f>IF(ネクタイ縦横!H23="","",ネクタイ縦横!H23)</f>
        <v/>
      </c>
      <c r="H541" s="3" t="str">
        <f>IF(ネクタイ縦横!I23="","",ネクタイ縦横!I23)</f>
        <v/>
      </c>
      <c r="I541" s="3" t="str">
        <f>IF(ネクタイ縦横!J23="","",ネクタイ縦横!J23)</f>
        <v/>
      </c>
      <c r="J541" s="3" t="str">
        <f>IF(ネクタイ縦横!K23="","",ネクタイ縦横!K23)</f>
        <v/>
      </c>
      <c r="K541" s="3" t="str">
        <f>IF(ネクタイ縦横!L23="","",ネクタイ縦横!L23)</f>
        <v/>
      </c>
      <c r="L541" s="69" t="s">
        <v>80</v>
      </c>
      <c r="M541" s="69" t="s">
        <v>19</v>
      </c>
      <c r="N541" s="69" t="s">
        <v>20</v>
      </c>
      <c r="O541" s="69" t="s">
        <v>21</v>
      </c>
      <c r="P541" s="4" t="s">
        <v>3036</v>
      </c>
      <c r="Q541" s="4" t="s">
        <v>3038</v>
      </c>
      <c r="R541" s="69" t="s">
        <v>22</v>
      </c>
      <c r="S541" s="69" t="s">
        <v>23</v>
      </c>
      <c r="T541" s="69" t="s">
        <v>22</v>
      </c>
      <c r="U541" s="69" t="s">
        <v>24</v>
      </c>
      <c r="V541" s="3" t="str">
        <f>ネクタイ縦横!W23</f>
        <v>全長：約cm　最大幅：約cm</v>
      </c>
      <c r="W541" s="69" t="s">
        <v>26</v>
      </c>
      <c r="X541" s="69" t="s">
        <v>27</v>
      </c>
      <c r="Y541" s="69" t="s">
        <v>28</v>
      </c>
      <c r="Z541" s="69" t="s">
        <v>29</v>
      </c>
      <c r="AA541" s="4"/>
      <c r="AB541" s="4"/>
      <c r="AC541" s="4"/>
      <c r="AD541" s="70"/>
      <c r="AE541" s="70">
        <f>ネクタイ縦横!AB23</f>
        <v>0</v>
      </c>
      <c r="AF541" s="70" t="str">
        <f>ネクタイ縦横!O23</f>
        <v>通常</v>
      </c>
      <c r="AG541" s="70">
        <v>0</v>
      </c>
      <c r="AH541" s="6">
        <f>ネクタイ縦横!Z23</f>
        <v>0</v>
      </c>
      <c r="AI541">
        <v>1</v>
      </c>
      <c r="AJ541">
        <f>ネクタイ縦横!R23</f>
        <v>0</v>
      </c>
    </row>
    <row r="542" spans="1:36" ht="13.5" hidden="1" customHeight="1">
      <c r="A542" s="3" t="str">
        <f>IF(ネクタイ縦横!A24="","",ネクタイ縦横!A24)</f>
        <v/>
      </c>
      <c r="B542" s="68" t="str">
        <f>IF(ネクタイ縦横!B24="","",ネクタイ縦横!B24)</f>
        <v/>
      </c>
      <c r="C542" s="3" t="str">
        <f>IF(ネクタイ縦横!C24="","",ネクタイ縦横!C24)</f>
        <v>◇ E</v>
      </c>
      <c r="D542" s="3" t="str">
        <f>IF(ネクタイ縦横!E24="","",ネクタイ縦横!E24)</f>
        <v>無</v>
      </c>
      <c r="E542" s="3" t="str">
        <f>IF(ネクタイ縦横!X24="","",ネクタイ縦横!X24)</f>
        <v>ベースB</v>
      </c>
      <c r="F542" s="3" t="str">
        <f>IF(ネクタイ縦横!G24="","",ネクタイ縦横!G24)</f>
        <v/>
      </c>
      <c r="G542" s="3" t="str">
        <f>IF(ネクタイ縦横!H24="","",ネクタイ縦横!H24)</f>
        <v/>
      </c>
      <c r="H542" s="3" t="str">
        <f>IF(ネクタイ縦横!I24="","",ネクタイ縦横!I24)</f>
        <v/>
      </c>
      <c r="I542" s="3" t="str">
        <f>IF(ネクタイ縦横!J24="","",ネクタイ縦横!J24)</f>
        <v/>
      </c>
      <c r="J542" s="3" t="str">
        <f>IF(ネクタイ縦横!K24="","",ネクタイ縦横!K24)</f>
        <v/>
      </c>
      <c r="K542" s="3" t="str">
        <f>IF(ネクタイ縦横!L24="","",ネクタイ縦横!L24)</f>
        <v/>
      </c>
      <c r="L542" s="69" t="s">
        <v>80</v>
      </c>
      <c r="M542" s="69" t="s">
        <v>19</v>
      </c>
      <c r="N542" s="69" t="s">
        <v>20</v>
      </c>
      <c r="O542" s="69" t="s">
        <v>21</v>
      </c>
      <c r="P542" s="4" t="s">
        <v>3036</v>
      </c>
      <c r="Q542" s="4" t="s">
        <v>3038</v>
      </c>
      <c r="R542" s="69" t="s">
        <v>22</v>
      </c>
      <c r="S542" s="69" t="s">
        <v>23</v>
      </c>
      <c r="T542" s="69" t="s">
        <v>22</v>
      </c>
      <c r="U542" s="69" t="s">
        <v>24</v>
      </c>
      <c r="V542" s="3" t="str">
        <f>ネクタイ縦横!W24</f>
        <v>全長：約cm　最大幅：約cm</v>
      </c>
      <c r="W542" s="69" t="s">
        <v>26</v>
      </c>
      <c r="X542" s="69" t="s">
        <v>27</v>
      </c>
      <c r="Y542" s="69" t="s">
        <v>28</v>
      </c>
      <c r="Z542" s="69" t="s">
        <v>29</v>
      </c>
      <c r="AA542" s="4"/>
      <c r="AB542" s="4"/>
      <c r="AC542" s="4"/>
      <c r="AD542" s="70"/>
      <c r="AE542" s="70">
        <f>ネクタイ縦横!AB24</f>
        <v>0</v>
      </c>
      <c r="AF542" s="70" t="str">
        <f>ネクタイ縦横!O24</f>
        <v>通常</v>
      </c>
      <c r="AG542" s="70">
        <v>0</v>
      </c>
      <c r="AH542" s="6">
        <f>ネクタイ縦横!Z24</f>
        <v>0</v>
      </c>
      <c r="AI542">
        <v>1</v>
      </c>
      <c r="AJ542">
        <f>ネクタイ縦横!R24</f>
        <v>0</v>
      </c>
    </row>
    <row r="543" spans="1:36" ht="13.5" hidden="1" customHeight="1">
      <c r="A543" s="3" t="str">
        <f>IF(ネクタイ縦横!A25="","",ネクタイ縦横!A25)</f>
        <v/>
      </c>
      <c r="B543" s="68" t="str">
        <f>IF(ネクタイ縦横!B25="","",ネクタイ縦横!B25)</f>
        <v/>
      </c>
      <c r="C543" s="3" t="str">
        <f>IF(ネクタイ縦横!C25="","",ネクタイ縦横!C25)</f>
        <v>◇ E</v>
      </c>
      <c r="D543" s="3" t="str">
        <f>IF(ネクタイ縦横!E25="","",ネクタイ縦横!E25)</f>
        <v>無</v>
      </c>
      <c r="E543" s="3" t="str">
        <f>IF(ネクタイ縦横!X25="","",ネクタイ縦横!X25)</f>
        <v>ベースB</v>
      </c>
      <c r="F543" s="3" t="str">
        <f>IF(ネクタイ縦横!G25="","",ネクタイ縦横!G25)</f>
        <v/>
      </c>
      <c r="G543" s="3" t="str">
        <f>IF(ネクタイ縦横!H25="","",ネクタイ縦横!H25)</f>
        <v/>
      </c>
      <c r="H543" s="3" t="str">
        <f>IF(ネクタイ縦横!I25="","",ネクタイ縦横!I25)</f>
        <v/>
      </c>
      <c r="I543" s="3" t="str">
        <f>IF(ネクタイ縦横!J25="","",ネクタイ縦横!J25)</f>
        <v/>
      </c>
      <c r="J543" s="3" t="str">
        <f>IF(ネクタイ縦横!K25="","",ネクタイ縦横!K25)</f>
        <v/>
      </c>
      <c r="K543" s="3" t="str">
        <f>IF(ネクタイ縦横!L25="","",ネクタイ縦横!L25)</f>
        <v/>
      </c>
      <c r="L543" s="69" t="s">
        <v>80</v>
      </c>
      <c r="M543" s="69" t="s">
        <v>19</v>
      </c>
      <c r="N543" s="69" t="s">
        <v>20</v>
      </c>
      <c r="O543" s="69" t="s">
        <v>21</v>
      </c>
      <c r="P543" s="4" t="s">
        <v>3036</v>
      </c>
      <c r="Q543" s="4" t="s">
        <v>3038</v>
      </c>
      <c r="R543" s="69" t="s">
        <v>22</v>
      </c>
      <c r="S543" s="69" t="s">
        <v>23</v>
      </c>
      <c r="T543" s="69" t="s">
        <v>22</v>
      </c>
      <c r="U543" s="69" t="s">
        <v>24</v>
      </c>
      <c r="V543" s="3" t="str">
        <f>ネクタイ縦横!W25</f>
        <v>全長：約cm　最大幅：約cm</v>
      </c>
      <c r="W543" s="69" t="s">
        <v>26</v>
      </c>
      <c r="X543" s="69" t="s">
        <v>27</v>
      </c>
      <c r="Y543" s="69" t="s">
        <v>28</v>
      </c>
      <c r="Z543" s="69" t="s">
        <v>29</v>
      </c>
      <c r="AA543" s="4"/>
      <c r="AB543" s="4"/>
      <c r="AC543" s="4"/>
      <c r="AD543" s="70"/>
      <c r="AE543" s="70">
        <f>ネクタイ縦横!AB25</f>
        <v>0</v>
      </c>
      <c r="AF543" s="70" t="str">
        <f>ネクタイ縦横!O25</f>
        <v>通常</v>
      </c>
      <c r="AG543" s="70">
        <v>0</v>
      </c>
      <c r="AH543" s="6">
        <f>ネクタイ縦横!Z25</f>
        <v>0</v>
      </c>
      <c r="AI543">
        <v>1</v>
      </c>
      <c r="AJ543">
        <f>ネクタイ縦横!R25</f>
        <v>0</v>
      </c>
    </row>
    <row r="544" spans="1:36" ht="13.5" hidden="1" customHeight="1">
      <c r="A544" s="3" t="str">
        <f>IF(ネクタイ縦横!A26="","",ネクタイ縦横!A26)</f>
        <v/>
      </c>
      <c r="B544" s="68" t="str">
        <f>IF(ネクタイ縦横!B26="","",ネクタイ縦横!B26)</f>
        <v/>
      </c>
      <c r="C544" s="3" t="str">
        <f>IF(ネクタイ縦横!C26="","",ネクタイ縦横!C26)</f>
        <v>◇ E</v>
      </c>
      <c r="D544" s="3" t="str">
        <f>IF(ネクタイ縦横!E26="","",ネクタイ縦横!E26)</f>
        <v>無</v>
      </c>
      <c r="E544" s="3" t="str">
        <f>IF(ネクタイ縦横!X26="","",ネクタイ縦横!X26)</f>
        <v>ベースB</v>
      </c>
      <c r="F544" s="3" t="str">
        <f>IF(ネクタイ縦横!G26="","",ネクタイ縦横!G26)</f>
        <v/>
      </c>
      <c r="G544" s="3" t="str">
        <f>IF(ネクタイ縦横!H26="","",ネクタイ縦横!H26)</f>
        <v/>
      </c>
      <c r="H544" s="3" t="str">
        <f>IF(ネクタイ縦横!I26="","",ネクタイ縦横!I26)</f>
        <v/>
      </c>
      <c r="I544" s="3" t="str">
        <f>IF(ネクタイ縦横!J26="","",ネクタイ縦横!J26)</f>
        <v/>
      </c>
      <c r="J544" s="3" t="str">
        <f>IF(ネクタイ縦横!K26="","",ネクタイ縦横!K26)</f>
        <v/>
      </c>
      <c r="K544" s="3" t="str">
        <f>IF(ネクタイ縦横!L26="","",ネクタイ縦横!L26)</f>
        <v/>
      </c>
      <c r="L544" s="69" t="s">
        <v>80</v>
      </c>
      <c r="M544" s="69" t="s">
        <v>19</v>
      </c>
      <c r="N544" s="69" t="s">
        <v>20</v>
      </c>
      <c r="O544" s="69" t="s">
        <v>21</v>
      </c>
      <c r="P544" s="4" t="s">
        <v>3036</v>
      </c>
      <c r="Q544" s="4" t="s">
        <v>3038</v>
      </c>
      <c r="R544" s="69" t="s">
        <v>22</v>
      </c>
      <c r="S544" s="69" t="s">
        <v>23</v>
      </c>
      <c r="T544" s="69" t="s">
        <v>22</v>
      </c>
      <c r="U544" s="69" t="s">
        <v>24</v>
      </c>
      <c r="V544" s="3" t="str">
        <f>ネクタイ縦横!W26</f>
        <v>全長：約cm　最大幅：約cm</v>
      </c>
      <c r="W544" s="69" t="s">
        <v>26</v>
      </c>
      <c r="X544" s="69" t="s">
        <v>27</v>
      </c>
      <c r="Y544" s="69" t="s">
        <v>28</v>
      </c>
      <c r="Z544" s="69" t="s">
        <v>29</v>
      </c>
      <c r="AA544" s="4"/>
      <c r="AB544" s="4"/>
      <c r="AC544" s="4"/>
      <c r="AD544" s="70"/>
      <c r="AE544" s="70">
        <f>ネクタイ縦横!AB26</f>
        <v>0</v>
      </c>
      <c r="AF544" s="70" t="str">
        <f>ネクタイ縦横!O26</f>
        <v>通常</v>
      </c>
      <c r="AG544" s="70">
        <v>0</v>
      </c>
      <c r="AH544" s="6">
        <f>ネクタイ縦横!Z26</f>
        <v>0</v>
      </c>
      <c r="AI544">
        <v>1</v>
      </c>
      <c r="AJ544">
        <f>ネクタイ縦横!R26</f>
        <v>0</v>
      </c>
    </row>
    <row r="545" spans="1:36" ht="13.5" hidden="1" customHeight="1">
      <c r="A545" s="3" t="str">
        <f>IF(ネクタイ縦横!A27="","",ネクタイ縦横!A27)</f>
        <v/>
      </c>
      <c r="B545" s="68" t="str">
        <f>IF(ネクタイ縦横!B27="","",ネクタイ縦横!B27)</f>
        <v/>
      </c>
      <c r="C545" s="3" t="str">
        <f>IF(ネクタイ縦横!C27="","",ネクタイ縦横!C27)</f>
        <v>◇ E</v>
      </c>
      <c r="D545" s="3" t="str">
        <f>IF(ネクタイ縦横!E27="","",ネクタイ縦横!E27)</f>
        <v>無</v>
      </c>
      <c r="E545" s="3" t="str">
        <f>IF(ネクタイ縦横!X27="","",ネクタイ縦横!X27)</f>
        <v>ベースB</v>
      </c>
      <c r="F545" s="3" t="str">
        <f>IF(ネクタイ縦横!G27="","",ネクタイ縦横!G27)</f>
        <v/>
      </c>
      <c r="G545" s="3" t="str">
        <f>IF(ネクタイ縦横!H27="","",ネクタイ縦横!H27)</f>
        <v/>
      </c>
      <c r="H545" s="3" t="str">
        <f>IF(ネクタイ縦横!I27="","",ネクタイ縦横!I27)</f>
        <v/>
      </c>
      <c r="I545" s="3" t="str">
        <f>IF(ネクタイ縦横!J27="","",ネクタイ縦横!J27)</f>
        <v/>
      </c>
      <c r="J545" s="3" t="str">
        <f>IF(ネクタイ縦横!K27="","",ネクタイ縦横!K27)</f>
        <v/>
      </c>
      <c r="K545" s="3" t="str">
        <f>IF(ネクタイ縦横!L27="","",ネクタイ縦横!L27)</f>
        <v/>
      </c>
      <c r="L545" s="69" t="s">
        <v>80</v>
      </c>
      <c r="M545" s="69" t="s">
        <v>19</v>
      </c>
      <c r="N545" s="69" t="s">
        <v>20</v>
      </c>
      <c r="O545" s="69" t="s">
        <v>21</v>
      </c>
      <c r="P545" s="4" t="s">
        <v>3036</v>
      </c>
      <c r="Q545" s="4" t="s">
        <v>3038</v>
      </c>
      <c r="R545" s="69" t="s">
        <v>22</v>
      </c>
      <c r="S545" s="69" t="s">
        <v>23</v>
      </c>
      <c r="T545" s="69" t="s">
        <v>22</v>
      </c>
      <c r="U545" s="69" t="s">
        <v>24</v>
      </c>
      <c r="V545" s="3" t="str">
        <f>ネクタイ縦横!W27</f>
        <v>全長：約cm　最大幅：約cm</v>
      </c>
      <c r="W545" s="69" t="s">
        <v>26</v>
      </c>
      <c r="X545" s="69" t="s">
        <v>27</v>
      </c>
      <c r="Y545" s="69" t="s">
        <v>28</v>
      </c>
      <c r="Z545" s="69" t="s">
        <v>29</v>
      </c>
      <c r="AA545" s="4"/>
      <c r="AB545" s="4"/>
      <c r="AC545" s="4"/>
      <c r="AD545" s="70"/>
      <c r="AE545" s="70">
        <f>ネクタイ縦横!AB27</f>
        <v>0</v>
      </c>
      <c r="AF545" s="70" t="str">
        <f>ネクタイ縦横!O27</f>
        <v>通常</v>
      </c>
      <c r="AG545" s="70">
        <v>0</v>
      </c>
      <c r="AH545" s="6">
        <f>ネクタイ縦横!Z27</f>
        <v>0</v>
      </c>
      <c r="AI545">
        <v>1</v>
      </c>
      <c r="AJ545">
        <f>ネクタイ縦横!R27</f>
        <v>0</v>
      </c>
    </row>
    <row r="546" spans="1:36" ht="13.5" hidden="1" customHeight="1">
      <c r="A546" s="3" t="str">
        <f>IF(ネクタイ縦横!A28="","",ネクタイ縦横!A28)</f>
        <v/>
      </c>
      <c r="B546" s="68" t="str">
        <f>IF(ネクタイ縦横!B28="","",ネクタイ縦横!B28)</f>
        <v/>
      </c>
      <c r="C546" s="3" t="str">
        <f>IF(ネクタイ縦横!C28="","",ネクタイ縦横!C28)</f>
        <v>◇ E</v>
      </c>
      <c r="D546" s="3" t="str">
        <f>IF(ネクタイ縦横!E28="","",ネクタイ縦横!E28)</f>
        <v>無</v>
      </c>
      <c r="E546" s="3" t="str">
        <f>IF(ネクタイ縦横!X28="","",ネクタイ縦横!X28)</f>
        <v>ベースB</v>
      </c>
      <c r="F546" s="3" t="str">
        <f>IF(ネクタイ縦横!G28="","",ネクタイ縦横!G28)</f>
        <v/>
      </c>
      <c r="G546" s="3" t="str">
        <f>IF(ネクタイ縦横!H28="","",ネクタイ縦横!H28)</f>
        <v/>
      </c>
      <c r="H546" s="3" t="str">
        <f>IF(ネクタイ縦横!I28="","",ネクタイ縦横!I28)</f>
        <v/>
      </c>
      <c r="I546" s="3" t="str">
        <f>IF(ネクタイ縦横!J28="","",ネクタイ縦横!J28)</f>
        <v/>
      </c>
      <c r="J546" s="3" t="str">
        <f>IF(ネクタイ縦横!K28="","",ネクタイ縦横!K28)</f>
        <v/>
      </c>
      <c r="K546" s="3" t="str">
        <f>IF(ネクタイ縦横!L28="","",ネクタイ縦横!L28)</f>
        <v/>
      </c>
      <c r="L546" s="69" t="s">
        <v>80</v>
      </c>
      <c r="M546" s="69" t="s">
        <v>19</v>
      </c>
      <c r="N546" s="69" t="s">
        <v>20</v>
      </c>
      <c r="O546" s="69" t="s">
        <v>21</v>
      </c>
      <c r="P546" s="4" t="s">
        <v>3036</v>
      </c>
      <c r="Q546" s="4" t="s">
        <v>3038</v>
      </c>
      <c r="R546" s="69" t="s">
        <v>22</v>
      </c>
      <c r="S546" s="69" t="s">
        <v>23</v>
      </c>
      <c r="T546" s="69" t="s">
        <v>22</v>
      </c>
      <c r="U546" s="69" t="s">
        <v>24</v>
      </c>
      <c r="V546" s="3" t="str">
        <f>ネクタイ縦横!W28</f>
        <v>全長：約cm　最大幅：約cm</v>
      </c>
      <c r="W546" s="69" t="s">
        <v>26</v>
      </c>
      <c r="X546" s="69" t="s">
        <v>27</v>
      </c>
      <c r="Y546" s="69" t="s">
        <v>28</v>
      </c>
      <c r="Z546" s="69" t="s">
        <v>29</v>
      </c>
      <c r="AA546" s="4"/>
      <c r="AB546" s="4"/>
      <c r="AC546" s="4"/>
      <c r="AD546" s="70"/>
      <c r="AE546" s="70">
        <f>ネクタイ縦横!AB28</f>
        <v>0</v>
      </c>
      <c r="AF546" s="70" t="str">
        <f>ネクタイ縦横!O28</f>
        <v>通常</v>
      </c>
      <c r="AG546" s="70">
        <v>0</v>
      </c>
      <c r="AH546" s="6">
        <f>ネクタイ縦横!Z28</f>
        <v>0</v>
      </c>
      <c r="AI546">
        <v>1</v>
      </c>
      <c r="AJ546">
        <f>ネクタイ縦横!R28</f>
        <v>0</v>
      </c>
    </row>
    <row r="547" spans="1:36" ht="13.5" hidden="1" customHeight="1">
      <c r="A547" s="3" t="str">
        <f>IF(ネクタイ縦横!A29="","",ネクタイ縦横!A29)</f>
        <v/>
      </c>
      <c r="B547" s="68" t="str">
        <f>IF(ネクタイ縦横!B29="","",ネクタイ縦横!B29)</f>
        <v/>
      </c>
      <c r="C547" s="3" t="str">
        <f>IF(ネクタイ縦横!C29="","",ネクタイ縦横!C29)</f>
        <v>◇ E</v>
      </c>
      <c r="D547" s="3" t="str">
        <f>IF(ネクタイ縦横!E29="","",ネクタイ縦横!E29)</f>
        <v>無</v>
      </c>
      <c r="E547" s="3" t="str">
        <f>IF(ネクタイ縦横!X29="","",ネクタイ縦横!X29)</f>
        <v>ベースB</v>
      </c>
      <c r="F547" s="3" t="str">
        <f>IF(ネクタイ縦横!G29="","",ネクタイ縦横!G29)</f>
        <v/>
      </c>
      <c r="G547" s="3" t="str">
        <f>IF(ネクタイ縦横!H29="","",ネクタイ縦横!H29)</f>
        <v/>
      </c>
      <c r="H547" s="3" t="str">
        <f>IF(ネクタイ縦横!I29="","",ネクタイ縦横!I29)</f>
        <v/>
      </c>
      <c r="I547" s="3" t="str">
        <f>IF(ネクタイ縦横!J29="","",ネクタイ縦横!J29)</f>
        <v/>
      </c>
      <c r="J547" s="3" t="str">
        <f>IF(ネクタイ縦横!K29="","",ネクタイ縦横!K29)</f>
        <v/>
      </c>
      <c r="K547" s="3" t="str">
        <f>IF(ネクタイ縦横!L29="","",ネクタイ縦横!L29)</f>
        <v/>
      </c>
      <c r="L547" s="69" t="s">
        <v>80</v>
      </c>
      <c r="M547" s="69" t="s">
        <v>19</v>
      </c>
      <c r="N547" s="69" t="s">
        <v>20</v>
      </c>
      <c r="O547" s="69" t="s">
        <v>21</v>
      </c>
      <c r="P547" s="4" t="s">
        <v>3036</v>
      </c>
      <c r="Q547" s="4" t="s">
        <v>3038</v>
      </c>
      <c r="R547" s="69" t="s">
        <v>22</v>
      </c>
      <c r="S547" s="69" t="s">
        <v>23</v>
      </c>
      <c r="T547" s="69" t="s">
        <v>22</v>
      </c>
      <c r="U547" s="69" t="s">
        <v>24</v>
      </c>
      <c r="V547" s="3" t="str">
        <f>ネクタイ縦横!W29</f>
        <v>全長：約cm　最大幅：約cm</v>
      </c>
      <c r="W547" s="69" t="s">
        <v>26</v>
      </c>
      <c r="X547" s="69" t="s">
        <v>27</v>
      </c>
      <c r="Y547" s="69" t="s">
        <v>28</v>
      </c>
      <c r="Z547" s="69" t="s">
        <v>29</v>
      </c>
      <c r="AA547" s="4"/>
      <c r="AB547" s="4"/>
      <c r="AC547" s="4"/>
      <c r="AD547" s="70"/>
      <c r="AE547" s="70">
        <f>ネクタイ縦横!AB29</f>
        <v>0</v>
      </c>
      <c r="AF547" s="70" t="str">
        <f>ネクタイ縦横!O29</f>
        <v>通常</v>
      </c>
      <c r="AG547" s="70">
        <v>0</v>
      </c>
      <c r="AH547" s="6">
        <f>ネクタイ縦横!Z29</f>
        <v>0</v>
      </c>
      <c r="AI547">
        <v>1</v>
      </c>
      <c r="AJ547">
        <f>ネクタイ縦横!R29</f>
        <v>0</v>
      </c>
    </row>
    <row r="548" spans="1:36" ht="13.5" hidden="1" customHeight="1">
      <c r="A548" s="3" t="str">
        <f>IF(ネクタイ縦横!A30="","",ネクタイ縦横!A30)</f>
        <v/>
      </c>
      <c r="B548" s="68" t="str">
        <f>IF(ネクタイ縦横!B30="","",ネクタイ縦横!B30)</f>
        <v/>
      </c>
      <c r="C548" s="3" t="str">
        <f>IF(ネクタイ縦横!C30="","",ネクタイ縦横!C30)</f>
        <v>◇ E</v>
      </c>
      <c r="D548" s="3" t="str">
        <f>IF(ネクタイ縦横!E30="","",ネクタイ縦横!E30)</f>
        <v>無</v>
      </c>
      <c r="E548" s="3" t="str">
        <f>IF(ネクタイ縦横!X30="","",ネクタイ縦横!X30)</f>
        <v>ベースB</v>
      </c>
      <c r="F548" s="3" t="str">
        <f>IF(ネクタイ縦横!G30="","",ネクタイ縦横!G30)</f>
        <v/>
      </c>
      <c r="G548" s="3" t="str">
        <f>IF(ネクタイ縦横!H30="","",ネクタイ縦横!H30)</f>
        <v/>
      </c>
      <c r="H548" s="3" t="str">
        <f>IF(ネクタイ縦横!I30="","",ネクタイ縦横!I30)</f>
        <v/>
      </c>
      <c r="I548" s="3" t="str">
        <f>IF(ネクタイ縦横!J30="","",ネクタイ縦横!J30)</f>
        <v/>
      </c>
      <c r="J548" s="3" t="str">
        <f>IF(ネクタイ縦横!K30="","",ネクタイ縦横!K30)</f>
        <v/>
      </c>
      <c r="K548" s="3" t="str">
        <f>IF(ネクタイ縦横!L30="","",ネクタイ縦横!L30)</f>
        <v/>
      </c>
      <c r="L548" s="69" t="s">
        <v>80</v>
      </c>
      <c r="M548" s="69" t="s">
        <v>19</v>
      </c>
      <c r="N548" s="69" t="s">
        <v>20</v>
      </c>
      <c r="O548" s="69" t="s">
        <v>21</v>
      </c>
      <c r="P548" s="4" t="s">
        <v>3036</v>
      </c>
      <c r="Q548" s="4" t="s">
        <v>3038</v>
      </c>
      <c r="R548" s="69" t="s">
        <v>22</v>
      </c>
      <c r="S548" s="69" t="s">
        <v>23</v>
      </c>
      <c r="T548" s="69" t="s">
        <v>22</v>
      </c>
      <c r="U548" s="69" t="s">
        <v>24</v>
      </c>
      <c r="V548" s="3" t="str">
        <f>ネクタイ縦横!W30</f>
        <v>全長：約cm　最大幅：約cm</v>
      </c>
      <c r="W548" s="69" t="s">
        <v>26</v>
      </c>
      <c r="X548" s="69" t="s">
        <v>27</v>
      </c>
      <c r="Y548" s="69" t="s">
        <v>28</v>
      </c>
      <c r="Z548" s="69" t="s">
        <v>29</v>
      </c>
      <c r="AA548" s="4"/>
      <c r="AB548" s="4"/>
      <c r="AC548" s="4"/>
      <c r="AD548" s="70"/>
      <c r="AE548" s="70">
        <f>ネクタイ縦横!AB30</f>
        <v>0</v>
      </c>
      <c r="AF548" s="70" t="str">
        <f>ネクタイ縦横!O30</f>
        <v>通常</v>
      </c>
      <c r="AG548" s="70">
        <v>0</v>
      </c>
      <c r="AH548" s="6">
        <f>ネクタイ縦横!Z30</f>
        <v>0</v>
      </c>
      <c r="AI548">
        <v>1</v>
      </c>
      <c r="AJ548">
        <f>ネクタイ縦横!R30</f>
        <v>0</v>
      </c>
    </row>
    <row r="549" spans="1:36" ht="13.5" hidden="1" customHeight="1">
      <c r="A549" s="3" t="str">
        <f>IF(ネクタイ縦横!A31="","",ネクタイ縦横!A31)</f>
        <v/>
      </c>
      <c r="B549" s="68" t="str">
        <f>IF(ネクタイ縦横!B31="","",ネクタイ縦横!B31)</f>
        <v/>
      </c>
      <c r="C549" s="3" t="str">
        <f>IF(ネクタイ縦横!C31="","",ネクタイ縦横!C31)</f>
        <v>◇ E</v>
      </c>
      <c r="D549" s="3" t="str">
        <f>IF(ネクタイ縦横!E31="","",ネクタイ縦横!E31)</f>
        <v>無</v>
      </c>
      <c r="E549" s="3" t="str">
        <f>IF(ネクタイ縦横!X31="","",ネクタイ縦横!X31)</f>
        <v>ベースB</v>
      </c>
      <c r="F549" s="3" t="str">
        <f>IF(ネクタイ縦横!G31="","",ネクタイ縦横!G31)</f>
        <v/>
      </c>
      <c r="G549" s="3" t="str">
        <f>IF(ネクタイ縦横!H31="","",ネクタイ縦横!H31)</f>
        <v/>
      </c>
      <c r="H549" s="3" t="str">
        <f>IF(ネクタイ縦横!I31="","",ネクタイ縦横!I31)</f>
        <v/>
      </c>
      <c r="I549" s="3" t="str">
        <f>IF(ネクタイ縦横!J31="","",ネクタイ縦横!J31)</f>
        <v/>
      </c>
      <c r="J549" s="3" t="str">
        <f>IF(ネクタイ縦横!K31="","",ネクタイ縦横!K31)</f>
        <v/>
      </c>
      <c r="K549" s="3" t="str">
        <f>IF(ネクタイ縦横!L31="","",ネクタイ縦横!L31)</f>
        <v/>
      </c>
      <c r="L549" s="69" t="s">
        <v>80</v>
      </c>
      <c r="M549" s="69" t="s">
        <v>19</v>
      </c>
      <c r="N549" s="69" t="s">
        <v>20</v>
      </c>
      <c r="O549" s="69" t="s">
        <v>21</v>
      </c>
      <c r="P549" s="4" t="s">
        <v>3036</v>
      </c>
      <c r="Q549" s="4" t="s">
        <v>3038</v>
      </c>
      <c r="R549" s="69" t="s">
        <v>22</v>
      </c>
      <c r="S549" s="69" t="s">
        <v>23</v>
      </c>
      <c r="T549" s="69" t="s">
        <v>22</v>
      </c>
      <c r="U549" s="69" t="s">
        <v>24</v>
      </c>
      <c r="V549" s="3" t="str">
        <f>ネクタイ縦横!W31</f>
        <v>全長：約cm　最大幅：約cm</v>
      </c>
      <c r="W549" s="69" t="s">
        <v>26</v>
      </c>
      <c r="X549" s="69" t="s">
        <v>27</v>
      </c>
      <c r="Y549" s="69" t="s">
        <v>28</v>
      </c>
      <c r="Z549" s="69" t="s">
        <v>29</v>
      </c>
      <c r="AA549" s="4"/>
      <c r="AB549" s="4"/>
      <c r="AC549" s="4"/>
      <c r="AD549" s="70"/>
      <c r="AE549" s="70">
        <f>ネクタイ縦横!AB31</f>
        <v>0</v>
      </c>
      <c r="AF549" s="70" t="str">
        <f>ネクタイ縦横!O31</f>
        <v>通常</v>
      </c>
      <c r="AG549" s="70">
        <v>0</v>
      </c>
      <c r="AH549" s="6">
        <f>ネクタイ縦横!Z31</f>
        <v>0</v>
      </c>
      <c r="AI549">
        <v>1</v>
      </c>
      <c r="AJ549">
        <f>ネクタイ縦横!R31</f>
        <v>0</v>
      </c>
    </row>
    <row r="550" spans="1:36" ht="13.5" hidden="1" customHeight="1">
      <c r="A550" s="3" t="str">
        <f>IF(ネクタイ縦横!A32="","",ネクタイ縦横!A32)</f>
        <v/>
      </c>
      <c r="B550" s="68" t="str">
        <f>IF(ネクタイ縦横!B32="","",ネクタイ縦横!B32)</f>
        <v/>
      </c>
      <c r="C550" s="3" t="str">
        <f>IF(ネクタイ縦横!C32="","",ネクタイ縦横!C32)</f>
        <v>◇ E</v>
      </c>
      <c r="D550" s="3" t="str">
        <f>IF(ネクタイ縦横!E32="","",ネクタイ縦横!E32)</f>
        <v>無</v>
      </c>
      <c r="E550" s="3" t="str">
        <f>IF(ネクタイ縦横!X32="","",ネクタイ縦横!X32)</f>
        <v>ベースB</v>
      </c>
      <c r="F550" s="3" t="str">
        <f>IF(ネクタイ縦横!G32="","",ネクタイ縦横!G32)</f>
        <v/>
      </c>
      <c r="G550" s="3" t="str">
        <f>IF(ネクタイ縦横!H32="","",ネクタイ縦横!H32)</f>
        <v/>
      </c>
      <c r="H550" s="3" t="str">
        <f>IF(ネクタイ縦横!I32="","",ネクタイ縦横!I32)</f>
        <v/>
      </c>
      <c r="I550" s="3" t="str">
        <f>IF(ネクタイ縦横!J32="","",ネクタイ縦横!J32)</f>
        <v/>
      </c>
      <c r="J550" s="3" t="str">
        <f>IF(ネクタイ縦横!K32="","",ネクタイ縦横!K32)</f>
        <v/>
      </c>
      <c r="K550" s="3" t="str">
        <f>IF(ネクタイ縦横!L32="","",ネクタイ縦横!L32)</f>
        <v/>
      </c>
      <c r="L550" s="69" t="s">
        <v>80</v>
      </c>
      <c r="M550" s="69" t="s">
        <v>19</v>
      </c>
      <c r="N550" s="69" t="s">
        <v>20</v>
      </c>
      <c r="O550" s="69" t="s">
        <v>21</v>
      </c>
      <c r="P550" s="4" t="s">
        <v>3036</v>
      </c>
      <c r="Q550" s="4" t="s">
        <v>3038</v>
      </c>
      <c r="R550" s="69" t="s">
        <v>22</v>
      </c>
      <c r="S550" s="69" t="s">
        <v>23</v>
      </c>
      <c r="T550" s="69" t="s">
        <v>22</v>
      </c>
      <c r="U550" s="69" t="s">
        <v>24</v>
      </c>
      <c r="V550" s="3" t="str">
        <f>ネクタイ縦横!W32</f>
        <v>全長：約cm　最大幅：約cm</v>
      </c>
      <c r="W550" s="69" t="s">
        <v>26</v>
      </c>
      <c r="X550" s="69" t="s">
        <v>27</v>
      </c>
      <c r="Y550" s="69" t="s">
        <v>28</v>
      </c>
      <c r="Z550" s="69" t="s">
        <v>29</v>
      </c>
      <c r="AA550" s="4"/>
      <c r="AB550" s="4"/>
      <c r="AC550" s="4"/>
      <c r="AD550" s="70"/>
      <c r="AE550" s="70">
        <f>ネクタイ縦横!AB32</f>
        <v>0</v>
      </c>
      <c r="AF550" s="70" t="str">
        <f>ネクタイ縦横!O32</f>
        <v>通常</v>
      </c>
      <c r="AG550" s="70">
        <v>0</v>
      </c>
      <c r="AH550" s="6">
        <f>ネクタイ縦横!Z32</f>
        <v>0</v>
      </c>
      <c r="AI550">
        <v>1</v>
      </c>
      <c r="AJ550">
        <f>ネクタイ縦横!R32</f>
        <v>0</v>
      </c>
    </row>
    <row r="551" spans="1:36" ht="13.5" hidden="1" customHeight="1">
      <c r="A551" s="3" t="str">
        <f>IF(ネクタイ縦横!A33="","",ネクタイ縦横!A33)</f>
        <v/>
      </c>
      <c r="B551" s="68" t="str">
        <f>IF(ネクタイ縦横!B33="","",ネクタイ縦横!B33)</f>
        <v/>
      </c>
      <c r="C551" s="3" t="str">
        <f>IF(ネクタイ縦横!C33="","",ネクタイ縦横!C33)</f>
        <v>◇ E</v>
      </c>
      <c r="D551" s="3" t="str">
        <f>IF(ネクタイ縦横!E33="","",ネクタイ縦横!E33)</f>
        <v>無</v>
      </c>
      <c r="E551" s="3" t="str">
        <f>IF(ネクタイ縦横!X33="","",ネクタイ縦横!X33)</f>
        <v>ベースB</v>
      </c>
      <c r="F551" s="3" t="str">
        <f>IF(ネクタイ縦横!G33="","",ネクタイ縦横!G33)</f>
        <v/>
      </c>
      <c r="G551" s="3" t="str">
        <f>IF(ネクタイ縦横!H33="","",ネクタイ縦横!H33)</f>
        <v/>
      </c>
      <c r="H551" s="3" t="str">
        <f>IF(ネクタイ縦横!I33="","",ネクタイ縦横!I33)</f>
        <v/>
      </c>
      <c r="I551" s="3" t="str">
        <f>IF(ネクタイ縦横!J33="","",ネクタイ縦横!J33)</f>
        <v/>
      </c>
      <c r="J551" s="3" t="str">
        <f>IF(ネクタイ縦横!K33="","",ネクタイ縦横!K33)</f>
        <v/>
      </c>
      <c r="K551" s="3" t="str">
        <f>IF(ネクタイ縦横!L33="","",ネクタイ縦横!L33)</f>
        <v/>
      </c>
      <c r="L551" s="69" t="s">
        <v>80</v>
      </c>
      <c r="M551" s="69" t="s">
        <v>19</v>
      </c>
      <c r="N551" s="69" t="s">
        <v>20</v>
      </c>
      <c r="O551" s="69" t="s">
        <v>21</v>
      </c>
      <c r="P551" s="4" t="s">
        <v>3036</v>
      </c>
      <c r="Q551" s="4" t="s">
        <v>3038</v>
      </c>
      <c r="R551" s="69" t="s">
        <v>22</v>
      </c>
      <c r="S551" s="69" t="s">
        <v>23</v>
      </c>
      <c r="T551" s="69" t="s">
        <v>22</v>
      </c>
      <c r="U551" s="69" t="s">
        <v>24</v>
      </c>
      <c r="V551" s="3" t="str">
        <f>ネクタイ縦横!W33</f>
        <v>全長：約cm　最大幅：約cm</v>
      </c>
      <c r="W551" s="69" t="s">
        <v>26</v>
      </c>
      <c r="X551" s="69" t="s">
        <v>27</v>
      </c>
      <c r="Y551" s="69" t="s">
        <v>28</v>
      </c>
      <c r="Z551" s="69" t="s">
        <v>29</v>
      </c>
      <c r="AA551" s="4"/>
      <c r="AB551" s="4"/>
      <c r="AC551" s="4"/>
      <c r="AD551" s="70"/>
      <c r="AE551" s="70">
        <f>ネクタイ縦横!AB33</f>
        <v>0</v>
      </c>
      <c r="AF551" s="70" t="str">
        <f>ネクタイ縦横!O33</f>
        <v>通常</v>
      </c>
      <c r="AG551" s="70">
        <v>0</v>
      </c>
      <c r="AH551" s="6">
        <f>ネクタイ縦横!Z33</f>
        <v>0</v>
      </c>
      <c r="AI551">
        <v>1</v>
      </c>
      <c r="AJ551">
        <f>ネクタイ縦横!R33</f>
        <v>0</v>
      </c>
    </row>
    <row r="552" spans="1:36" ht="13.5" hidden="1" customHeight="1">
      <c r="A552" s="3" t="str">
        <f>IF(ネクタイ縦横!A34="","",ネクタイ縦横!A34)</f>
        <v/>
      </c>
      <c r="B552" s="68" t="str">
        <f>IF(ネクタイ縦横!B34="","",ネクタイ縦横!B34)</f>
        <v/>
      </c>
      <c r="C552" s="3" t="str">
        <f>IF(ネクタイ縦横!C34="","",ネクタイ縦横!C34)</f>
        <v>◇ E</v>
      </c>
      <c r="D552" s="3" t="str">
        <f>IF(ネクタイ縦横!E34="","",ネクタイ縦横!E34)</f>
        <v>無</v>
      </c>
      <c r="E552" s="3" t="str">
        <f>IF(ネクタイ縦横!X34="","",ネクタイ縦横!X34)</f>
        <v>ベースB</v>
      </c>
      <c r="F552" s="3" t="str">
        <f>IF(ネクタイ縦横!G34="","",ネクタイ縦横!G34)</f>
        <v/>
      </c>
      <c r="G552" s="3" t="str">
        <f>IF(ネクタイ縦横!H34="","",ネクタイ縦横!H34)</f>
        <v/>
      </c>
      <c r="H552" s="3" t="str">
        <f>IF(ネクタイ縦横!I34="","",ネクタイ縦横!I34)</f>
        <v/>
      </c>
      <c r="I552" s="3" t="str">
        <f>IF(ネクタイ縦横!J34="","",ネクタイ縦横!J34)</f>
        <v/>
      </c>
      <c r="J552" s="3" t="str">
        <f>IF(ネクタイ縦横!K34="","",ネクタイ縦横!K34)</f>
        <v/>
      </c>
      <c r="K552" s="3" t="str">
        <f>IF(ネクタイ縦横!L34="","",ネクタイ縦横!L34)</f>
        <v/>
      </c>
      <c r="L552" s="69" t="s">
        <v>80</v>
      </c>
      <c r="M552" s="69" t="s">
        <v>19</v>
      </c>
      <c r="N552" s="69" t="s">
        <v>20</v>
      </c>
      <c r="O552" s="69" t="s">
        <v>21</v>
      </c>
      <c r="P552" s="4" t="s">
        <v>3036</v>
      </c>
      <c r="Q552" s="4" t="s">
        <v>3038</v>
      </c>
      <c r="R552" s="69" t="s">
        <v>22</v>
      </c>
      <c r="S552" s="69" t="s">
        <v>23</v>
      </c>
      <c r="T552" s="69" t="s">
        <v>22</v>
      </c>
      <c r="U552" s="69" t="s">
        <v>24</v>
      </c>
      <c r="V552" s="3" t="str">
        <f>ネクタイ縦横!W34</f>
        <v>全長：約cm　最大幅：約cm</v>
      </c>
      <c r="W552" s="69" t="s">
        <v>26</v>
      </c>
      <c r="X552" s="69" t="s">
        <v>27</v>
      </c>
      <c r="Y552" s="69" t="s">
        <v>28</v>
      </c>
      <c r="Z552" s="69" t="s">
        <v>29</v>
      </c>
      <c r="AA552" s="4"/>
      <c r="AB552" s="4"/>
      <c r="AC552" s="4"/>
      <c r="AD552" s="70"/>
      <c r="AE552" s="70">
        <f>ネクタイ縦横!AB34</f>
        <v>0</v>
      </c>
      <c r="AF552" s="70" t="str">
        <f>ネクタイ縦横!O34</f>
        <v>通常</v>
      </c>
      <c r="AG552" s="70">
        <v>0</v>
      </c>
      <c r="AH552" s="6">
        <f>ネクタイ縦横!Z34</f>
        <v>0</v>
      </c>
      <c r="AI552">
        <v>1</v>
      </c>
      <c r="AJ552">
        <f>ネクタイ縦横!R34</f>
        <v>0</v>
      </c>
    </row>
    <row r="553" spans="1:36" ht="13.5" hidden="1" customHeight="1">
      <c r="A553" s="3" t="str">
        <f>IF(ネクタイ縦横!A35="","",ネクタイ縦横!A35)</f>
        <v/>
      </c>
      <c r="B553" s="68" t="str">
        <f>IF(ネクタイ縦横!B35="","",ネクタイ縦横!B35)</f>
        <v/>
      </c>
      <c r="C553" s="3" t="str">
        <f>IF(ネクタイ縦横!C35="","",ネクタイ縦横!C35)</f>
        <v>◇ E</v>
      </c>
      <c r="D553" s="3" t="str">
        <f>IF(ネクタイ縦横!E35="","",ネクタイ縦横!E35)</f>
        <v>無</v>
      </c>
      <c r="E553" s="3" t="str">
        <f>IF(ネクタイ縦横!X35="","",ネクタイ縦横!X35)</f>
        <v>ベースB</v>
      </c>
      <c r="F553" s="3" t="str">
        <f>IF(ネクタイ縦横!G35="","",ネクタイ縦横!G35)</f>
        <v/>
      </c>
      <c r="G553" s="3" t="str">
        <f>IF(ネクタイ縦横!H35="","",ネクタイ縦横!H35)</f>
        <v/>
      </c>
      <c r="H553" s="3" t="str">
        <f>IF(ネクタイ縦横!I35="","",ネクタイ縦横!I35)</f>
        <v/>
      </c>
      <c r="I553" s="3" t="str">
        <f>IF(ネクタイ縦横!J35="","",ネクタイ縦横!J35)</f>
        <v/>
      </c>
      <c r="J553" s="3" t="str">
        <f>IF(ネクタイ縦横!K35="","",ネクタイ縦横!K35)</f>
        <v/>
      </c>
      <c r="K553" s="3" t="str">
        <f>IF(ネクタイ縦横!L35="","",ネクタイ縦横!L35)</f>
        <v/>
      </c>
      <c r="L553" s="69" t="s">
        <v>80</v>
      </c>
      <c r="M553" s="69" t="s">
        <v>19</v>
      </c>
      <c r="N553" s="69" t="s">
        <v>20</v>
      </c>
      <c r="O553" s="69" t="s">
        <v>21</v>
      </c>
      <c r="P553" s="4" t="s">
        <v>3036</v>
      </c>
      <c r="Q553" s="4" t="s">
        <v>3038</v>
      </c>
      <c r="R553" s="69" t="s">
        <v>22</v>
      </c>
      <c r="S553" s="69" t="s">
        <v>23</v>
      </c>
      <c r="T553" s="69" t="s">
        <v>22</v>
      </c>
      <c r="U553" s="69" t="s">
        <v>24</v>
      </c>
      <c r="V553" s="3" t="str">
        <f>ネクタイ縦横!W35</f>
        <v>全長：約cm　最大幅：約cm</v>
      </c>
      <c r="W553" s="69" t="s">
        <v>26</v>
      </c>
      <c r="X553" s="69" t="s">
        <v>27</v>
      </c>
      <c r="Y553" s="69" t="s">
        <v>28</v>
      </c>
      <c r="Z553" s="69" t="s">
        <v>29</v>
      </c>
      <c r="AA553" s="4"/>
      <c r="AB553" s="4"/>
      <c r="AC553" s="4"/>
      <c r="AD553" s="70"/>
      <c r="AE553" s="70">
        <f>ネクタイ縦横!AB35</f>
        <v>0</v>
      </c>
      <c r="AF553" s="70" t="str">
        <f>ネクタイ縦横!O35</f>
        <v>通常</v>
      </c>
      <c r="AG553" s="70">
        <v>0</v>
      </c>
      <c r="AH553" s="6">
        <f>ネクタイ縦横!Z35</f>
        <v>0</v>
      </c>
      <c r="AI553">
        <v>1</v>
      </c>
      <c r="AJ553">
        <f>ネクタイ縦横!R35</f>
        <v>0</v>
      </c>
    </row>
    <row r="554" spans="1:36" ht="13.5" hidden="1" customHeight="1">
      <c r="A554" s="3" t="str">
        <f>IF(ネクタイ縦横!A36="","",ネクタイ縦横!A36)</f>
        <v/>
      </c>
      <c r="B554" s="68" t="str">
        <f>IF(ネクタイ縦横!B36="","",ネクタイ縦横!B36)</f>
        <v/>
      </c>
      <c r="C554" s="3" t="str">
        <f>IF(ネクタイ縦横!C36="","",ネクタイ縦横!C36)</f>
        <v>◇ E</v>
      </c>
      <c r="D554" s="3" t="str">
        <f>IF(ネクタイ縦横!E36="","",ネクタイ縦横!E36)</f>
        <v>無</v>
      </c>
      <c r="E554" s="3" t="str">
        <f>IF(ネクタイ縦横!X36="","",ネクタイ縦横!X36)</f>
        <v>ベースB</v>
      </c>
      <c r="F554" s="3" t="str">
        <f>IF(ネクタイ縦横!G36="","",ネクタイ縦横!G36)</f>
        <v/>
      </c>
      <c r="G554" s="3" t="str">
        <f>IF(ネクタイ縦横!H36="","",ネクタイ縦横!H36)</f>
        <v/>
      </c>
      <c r="H554" s="3" t="str">
        <f>IF(ネクタイ縦横!I36="","",ネクタイ縦横!I36)</f>
        <v/>
      </c>
      <c r="I554" s="3" t="str">
        <f>IF(ネクタイ縦横!J36="","",ネクタイ縦横!J36)</f>
        <v/>
      </c>
      <c r="J554" s="3" t="str">
        <f>IF(ネクタイ縦横!K36="","",ネクタイ縦横!K36)</f>
        <v/>
      </c>
      <c r="K554" s="3" t="str">
        <f>IF(ネクタイ縦横!L36="","",ネクタイ縦横!L36)</f>
        <v/>
      </c>
      <c r="L554" s="69" t="s">
        <v>80</v>
      </c>
      <c r="M554" s="69" t="s">
        <v>19</v>
      </c>
      <c r="N554" s="69" t="s">
        <v>20</v>
      </c>
      <c r="O554" s="69" t="s">
        <v>21</v>
      </c>
      <c r="P554" s="4" t="s">
        <v>3036</v>
      </c>
      <c r="Q554" s="4" t="s">
        <v>3038</v>
      </c>
      <c r="R554" s="69" t="s">
        <v>22</v>
      </c>
      <c r="S554" s="69" t="s">
        <v>23</v>
      </c>
      <c r="T554" s="69" t="s">
        <v>22</v>
      </c>
      <c r="U554" s="69" t="s">
        <v>24</v>
      </c>
      <c r="V554" s="3" t="str">
        <f>ネクタイ縦横!W36</f>
        <v>全長：約cm　最大幅：約cm</v>
      </c>
      <c r="W554" s="69" t="s">
        <v>26</v>
      </c>
      <c r="X554" s="69" t="s">
        <v>27</v>
      </c>
      <c r="Y554" s="69" t="s">
        <v>28</v>
      </c>
      <c r="Z554" s="69" t="s">
        <v>29</v>
      </c>
      <c r="AA554" s="4"/>
      <c r="AB554" s="4"/>
      <c r="AC554" s="4"/>
      <c r="AD554" s="70"/>
      <c r="AE554" s="70">
        <f>ネクタイ縦横!AB36</f>
        <v>0</v>
      </c>
      <c r="AF554" s="70" t="str">
        <f>ネクタイ縦横!O36</f>
        <v>通常</v>
      </c>
      <c r="AG554" s="70">
        <v>0</v>
      </c>
      <c r="AH554" s="6">
        <f>ネクタイ縦横!Z36</f>
        <v>0</v>
      </c>
      <c r="AI554">
        <v>1</v>
      </c>
      <c r="AJ554">
        <f>ネクタイ縦横!R36</f>
        <v>0</v>
      </c>
    </row>
    <row r="555" spans="1:36" ht="13.5" hidden="1" customHeight="1">
      <c r="A555" s="3" t="str">
        <f>IF(ネクタイ縦横!A37="","",ネクタイ縦横!A37)</f>
        <v/>
      </c>
      <c r="B555" s="68" t="str">
        <f>IF(ネクタイ縦横!B37="","",ネクタイ縦横!B37)</f>
        <v/>
      </c>
      <c r="C555" s="3" t="str">
        <f>IF(ネクタイ縦横!C37="","",ネクタイ縦横!C37)</f>
        <v>◇ E</v>
      </c>
      <c r="D555" s="3" t="str">
        <f>IF(ネクタイ縦横!E37="","",ネクタイ縦横!E37)</f>
        <v>無</v>
      </c>
      <c r="E555" s="3" t="str">
        <f>IF(ネクタイ縦横!X37="","",ネクタイ縦横!X37)</f>
        <v>ベースB</v>
      </c>
      <c r="F555" s="3" t="str">
        <f>IF(ネクタイ縦横!G37="","",ネクタイ縦横!G37)</f>
        <v/>
      </c>
      <c r="G555" s="3" t="str">
        <f>IF(ネクタイ縦横!H37="","",ネクタイ縦横!H37)</f>
        <v/>
      </c>
      <c r="H555" s="3" t="str">
        <f>IF(ネクタイ縦横!I37="","",ネクタイ縦横!I37)</f>
        <v/>
      </c>
      <c r="I555" s="3" t="str">
        <f>IF(ネクタイ縦横!J37="","",ネクタイ縦横!J37)</f>
        <v/>
      </c>
      <c r="J555" s="3" t="str">
        <f>IF(ネクタイ縦横!K37="","",ネクタイ縦横!K37)</f>
        <v/>
      </c>
      <c r="K555" s="3" t="str">
        <f>IF(ネクタイ縦横!L37="","",ネクタイ縦横!L37)</f>
        <v/>
      </c>
      <c r="L555" s="69" t="s">
        <v>80</v>
      </c>
      <c r="M555" s="69" t="s">
        <v>19</v>
      </c>
      <c r="N555" s="69" t="s">
        <v>20</v>
      </c>
      <c r="O555" s="69" t="s">
        <v>21</v>
      </c>
      <c r="P555" s="4" t="s">
        <v>3036</v>
      </c>
      <c r="Q555" s="4" t="s">
        <v>3038</v>
      </c>
      <c r="R555" s="69" t="s">
        <v>22</v>
      </c>
      <c r="S555" s="69" t="s">
        <v>23</v>
      </c>
      <c r="T555" s="69" t="s">
        <v>22</v>
      </c>
      <c r="U555" s="69" t="s">
        <v>24</v>
      </c>
      <c r="V555" s="3" t="str">
        <f>ネクタイ縦横!W37</f>
        <v>全長：約cm　最大幅：約cm</v>
      </c>
      <c r="W555" s="69" t="s">
        <v>26</v>
      </c>
      <c r="X555" s="69" t="s">
        <v>27</v>
      </c>
      <c r="Y555" s="69" t="s">
        <v>28</v>
      </c>
      <c r="Z555" s="69" t="s">
        <v>29</v>
      </c>
      <c r="AA555" s="4"/>
      <c r="AB555" s="4"/>
      <c r="AC555" s="4"/>
      <c r="AD555" s="70"/>
      <c r="AE555" s="70">
        <f>ネクタイ縦横!AB37</f>
        <v>0</v>
      </c>
      <c r="AF555" s="70" t="str">
        <f>ネクタイ縦横!O37</f>
        <v>通常</v>
      </c>
      <c r="AG555" s="70">
        <v>0</v>
      </c>
      <c r="AH555" s="6">
        <f>ネクタイ縦横!Z37</f>
        <v>0</v>
      </c>
      <c r="AI555">
        <v>1</v>
      </c>
      <c r="AJ555">
        <f>ネクタイ縦横!R37</f>
        <v>0</v>
      </c>
    </row>
    <row r="556" spans="1:36" ht="13.5" hidden="1" customHeight="1">
      <c r="A556" s="3" t="str">
        <f>IF(ネクタイ縦横!A38="","",ネクタイ縦横!A38)</f>
        <v/>
      </c>
      <c r="B556" s="68" t="str">
        <f>IF(ネクタイ縦横!B38="","",ネクタイ縦横!B38)</f>
        <v/>
      </c>
      <c r="C556" s="3" t="str">
        <f>IF(ネクタイ縦横!C38="","",ネクタイ縦横!C38)</f>
        <v>◇ E</v>
      </c>
      <c r="D556" s="3" t="str">
        <f>IF(ネクタイ縦横!E38="","",ネクタイ縦横!E38)</f>
        <v>無</v>
      </c>
      <c r="E556" s="3" t="str">
        <f>IF(ネクタイ縦横!X38="","",ネクタイ縦横!X38)</f>
        <v>ベースB</v>
      </c>
      <c r="F556" s="3" t="str">
        <f>IF(ネクタイ縦横!G38="","",ネクタイ縦横!G38)</f>
        <v/>
      </c>
      <c r="G556" s="3" t="str">
        <f>IF(ネクタイ縦横!H38="","",ネクタイ縦横!H38)</f>
        <v/>
      </c>
      <c r="H556" s="3" t="str">
        <f>IF(ネクタイ縦横!I38="","",ネクタイ縦横!I38)</f>
        <v/>
      </c>
      <c r="I556" s="3" t="str">
        <f>IF(ネクタイ縦横!J38="","",ネクタイ縦横!J38)</f>
        <v/>
      </c>
      <c r="J556" s="3" t="str">
        <f>IF(ネクタイ縦横!K38="","",ネクタイ縦横!K38)</f>
        <v/>
      </c>
      <c r="K556" s="3" t="str">
        <f>IF(ネクタイ縦横!L38="","",ネクタイ縦横!L38)</f>
        <v/>
      </c>
      <c r="L556" s="69" t="s">
        <v>80</v>
      </c>
      <c r="M556" s="69" t="s">
        <v>19</v>
      </c>
      <c r="N556" s="69" t="s">
        <v>20</v>
      </c>
      <c r="O556" s="69" t="s">
        <v>21</v>
      </c>
      <c r="P556" s="4" t="s">
        <v>3036</v>
      </c>
      <c r="Q556" s="4" t="s">
        <v>3038</v>
      </c>
      <c r="R556" s="69" t="s">
        <v>22</v>
      </c>
      <c r="S556" s="69" t="s">
        <v>23</v>
      </c>
      <c r="T556" s="69" t="s">
        <v>22</v>
      </c>
      <c r="U556" s="69" t="s">
        <v>24</v>
      </c>
      <c r="V556" s="3" t="str">
        <f>ネクタイ縦横!W38</f>
        <v>全長：約cm　最大幅：約cm</v>
      </c>
      <c r="W556" s="69" t="s">
        <v>26</v>
      </c>
      <c r="X556" s="69" t="s">
        <v>27</v>
      </c>
      <c r="Y556" s="69" t="s">
        <v>28</v>
      </c>
      <c r="Z556" s="69" t="s">
        <v>29</v>
      </c>
      <c r="AA556" s="4"/>
      <c r="AB556" s="4"/>
      <c r="AC556" s="4"/>
      <c r="AD556" s="70"/>
      <c r="AE556" s="70">
        <f>ネクタイ縦横!AB38</f>
        <v>0</v>
      </c>
      <c r="AF556" s="70" t="str">
        <f>ネクタイ縦横!O38</f>
        <v>通常</v>
      </c>
      <c r="AG556" s="70">
        <v>0</v>
      </c>
      <c r="AH556" s="6">
        <f>ネクタイ縦横!Z38</f>
        <v>0</v>
      </c>
      <c r="AI556">
        <v>1</v>
      </c>
      <c r="AJ556">
        <f>ネクタイ縦横!R38</f>
        <v>0</v>
      </c>
    </row>
    <row r="557" spans="1:36" ht="13.5" hidden="1" customHeight="1">
      <c r="A557" s="3" t="str">
        <f>IF(ネクタイ縦横!A39="","",ネクタイ縦横!A39)</f>
        <v/>
      </c>
      <c r="B557" s="68" t="str">
        <f>IF(ネクタイ縦横!B39="","",ネクタイ縦横!B39)</f>
        <v/>
      </c>
      <c r="C557" s="3" t="str">
        <f>IF(ネクタイ縦横!C39="","",ネクタイ縦横!C39)</f>
        <v>◇ E</v>
      </c>
      <c r="D557" s="3" t="str">
        <f>IF(ネクタイ縦横!E39="","",ネクタイ縦横!E39)</f>
        <v>無</v>
      </c>
      <c r="E557" s="3" t="str">
        <f>IF(ネクタイ縦横!X39="","",ネクタイ縦横!X39)</f>
        <v>ベースB</v>
      </c>
      <c r="F557" s="3" t="str">
        <f>IF(ネクタイ縦横!G39="","",ネクタイ縦横!G39)</f>
        <v/>
      </c>
      <c r="G557" s="3" t="str">
        <f>IF(ネクタイ縦横!H39="","",ネクタイ縦横!H39)</f>
        <v/>
      </c>
      <c r="H557" s="3" t="str">
        <f>IF(ネクタイ縦横!I39="","",ネクタイ縦横!I39)</f>
        <v/>
      </c>
      <c r="I557" s="3" t="str">
        <f>IF(ネクタイ縦横!J39="","",ネクタイ縦横!J39)</f>
        <v/>
      </c>
      <c r="J557" s="3" t="str">
        <f>IF(ネクタイ縦横!K39="","",ネクタイ縦横!K39)</f>
        <v/>
      </c>
      <c r="K557" s="3" t="str">
        <f>IF(ネクタイ縦横!L39="","",ネクタイ縦横!L39)</f>
        <v/>
      </c>
      <c r="L557" s="69" t="s">
        <v>80</v>
      </c>
      <c r="M557" s="69" t="s">
        <v>19</v>
      </c>
      <c r="N557" s="69" t="s">
        <v>20</v>
      </c>
      <c r="O557" s="69" t="s">
        <v>21</v>
      </c>
      <c r="P557" s="4" t="s">
        <v>3036</v>
      </c>
      <c r="Q557" s="4" t="s">
        <v>3038</v>
      </c>
      <c r="R557" s="69" t="s">
        <v>22</v>
      </c>
      <c r="S557" s="69" t="s">
        <v>23</v>
      </c>
      <c r="T557" s="69" t="s">
        <v>22</v>
      </c>
      <c r="U557" s="69" t="s">
        <v>24</v>
      </c>
      <c r="V557" s="3" t="str">
        <f>ネクタイ縦横!W39</f>
        <v>全長：約cm　最大幅：約cm</v>
      </c>
      <c r="W557" s="69" t="s">
        <v>26</v>
      </c>
      <c r="X557" s="69" t="s">
        <v>27</v>
      </c>
      <c r="Y557" s="69" t="s">
        <v>28</v>
      </c>
      <c r="Z557" s="69" t="s">
        <v>29</v>
      </c>
      <c r="AA557" s="4"/>
      <c r="AB557" s="4"/>
      <c r="AC557" s="4"/>
      <c r="AD557" s="70"/>
      <c r="AE557" s="70">
        <f>ネクタイ縦横!AB39</f>
        <v>0</v>
      </c>
      <c r="AF557" s="70" t="str">
        <f>ネクタイ縦横!O39</f>
        <v>通常</v>
      </c>
      <c r="AG557" s="70">
        <v>0</v>
      </c>
      <c r="AH557" s="6">
        <f>ネクタイ縦横!Z39</f>
        <v>0</v>
      </c>
      <c r="AI557">
        <v>1</v>
      </c>
      <c r="AJ557">
        <f>ネクタイ縦横!R39</f>
        <v>0</v>
      </c>
    </row>
    <row r="558" spans="1:36" ht="13.5" hidden="1" customHeight="1">
      <c r="A558" s="3" t="str">
        <f>IF(ネクタイ縦横!A40="","",ネクタイ縦横!A40)</f>
        <v/>
      </c>
      <c r="B558" s="68" t="str">
        <f>IF(ネクタイ縦横!B40="","",ネクタイ縦横!B40)</f>
        <v/>
      </c>
      <c r="C558" s="3" t="str">
        <f>IF(ネクタイ縦横!C40="","",ネクタイ縦横!C40)</f>
        <v>◇ E</v>
      </c>
      <c r="D558" s="3" t="str">
        <f>IF(ネクタイ縦横!E40="","",ネクタイ縦横!E40)</f>
        <v>無</v>
      </c>
      <c r="E558" s="3" t="str">
        <f>IF(ネクタイ縦横!X40="","",ネクタイ縦横!X40)</f>
        <v>ベースB</v>
      </c>
      <c r="F558" s="3" t="str">
        <f>IF(ネクタイ縦横!G40="","",ネクタイ縦横!G40)</f>
        <v/>
      </c>
      <c r="G558" s="3" t="str">
        <f>IF(ネクタイ縦横!H40="","",ネクタイ縦横!H40)</f>
        <v/>
      </c>
      <c r="H558" s="3" t="str">
        <f>IF(ネクタイ縦横!I40="","",ネクタイ縦横!I40)</f>
        <v/>
      </c>
      <c r="I558" s="3" t="str">
        <f>IF(ネクタイ縦横!J40="","",ネクタイ縦横!J40)</f>
        <v/>
      </c>
      <c r="J558" s="3" t="str">
        <f>IF(ネクタイ縦横!K40="","",ネクタイ縦横!K40)</f>
        <v/>
      </c>
      <c r="K558" s="3" t="str">
        <f>IF(ネクタイ縦横!L40="","",ネクタイ縦横!L40)</f>
        <v/>
      </c>
      <c r="L558" s="69" t="s">
        <v>80</v>
      </c>
      <c r="M558" s="69" t="s">
        <v>19</v>
      </c>
      <c r="N558" s="69" t="s">
        <v>20</v>
      </c>
      <c r="O558" s="69" t="s">
        <v>21</v>
      </c>
      <c r="P558" s="4" t="s">
        <v>3036</v>
      </c>
      <c r="Q558" s="4" t="s">
        <v>3038</v>
      </c>
      <c r="R558" s="69" t="s">
        <v>22</v>
      </c>
      <c r="S558" s="69" t="s">
        <v>23</v>
      </c>
      <c r="T558" s="69" t="s">
        <v>22</v>
      </c>
      <c r="U558" s="69" t="s">
        <v>24</v>
      </c>
      <c r="V558" s="3" t="str">
        <f>ネクタイ縦横!W40</f>
        <v>全長：約cm　最大幅：約cm</v>
      </c>
      <c r="W558" s="69" t="s">
        <v>26</v>
      </c>
      <c r="X558" s="69" t="s">
        <v>27</v>
      </c>
      <c r="Y558" s="69" t="s">
        <v>28</v>
      </c>
      <c r="Z558" s="69" t="s">
        <v>29</v>
      </c>
      <c r="AA558" s="4"/>
      <c r="AB558" s="4"/>
      <c r="AC558" s="4"/>
      <c r="AD558" s="70"/>
      <c r="AE558" s="70">
        <f>ネクタイ縦横!AB40</f>
        <v>0</v>
      </c>
      <c r="AF558" s="70" t="str">
        <f>ネクタイ縦横!O40</f>
        <v>通常</v>
      </c>
      <c r="AG558" s="70">
        <v>0</v>
      </c>
      <c r="AH558" s="6">
        <f>ネクタイ縦横!Z40</f>
        <v>0</v>
      </c>
      <c r="AI558">
        <v>1</v>
      </c>
      <c r="AJ558">
        <f>ネクタイ縦横!R40</f>
        <v>0</v>
      </c>
    </row>
    <row r="559" spans="1:36" ht="13.5" hidden="1" customHeight="1">
      <c r="A559" s="3" t="str">
        <f>IF(ネクタイ縦横!A41="","",ネクタイ縦横!A41)</f>
        <v/>
      </c>
      <c r="B559" s="68" t="str">
        <f>IF(ネクタイ縦横!B41="","",ネクタイ縦横!B41)</f>
        <v/>
      </c>
      <c r="C559" s="3" t="str">
        <f>IF(ネクタイ縦横!C41="","",ネクタイ縦横!C41)</f>
        <v>◇ E</v>
      </c>
      <c r="D559" s="3" t="str">
        <f>IF(ネクタイ縦横!E41="","",ネクタイ縦横!E41)</f>
        <v>無</v>
      </c>
      <c r="E559" s="3" t="str">
        <f>IF(ネクタイ縦横!X41="","",ネクタイ縦横!X41)</f>
        <v>ベースB</v>
      </c>
      <c r="F559" s="3" t="str">
        <f>IF(ネクタイ縦横!G41="","",ネクタイ縦横!G41)</f>
        <v/>
      </c>
      <c r="G559" s="3" t="str">
        <f>IF(ネクタイ縦横!H41="","",ネクタイ縦横!H41)</f>
        <v/>
      </c>
      <c r="H559" s="3" t="str">
        <f>IF(ネクタイ縦横!I41="","",ネクタイ縦横!I41)</f>
        <v/>
      </c>
      <c r="I559" s="3" t="str">
        <f>IF(ネクタイ縦横!J41="","",ネクタイ縦横!J41)</f>
        <v/>
      </c>
      <c r="J559" s="3" t="str">
        <f>IF(ネクタイ縦横!K41="","",ネクタイ縦横!K41)</f>
        <v/>
      </c>
      <c r="K559" s="3" t="str">
        <f>IF(ネクタイ縦横!L41="","",ネクタイ縦横!L41)</f>
        <v/>
      </c>
      <c r="L559" s="69" t="s">
        <v>80</v>
      </c>
      <c r="M559" s="69" t="s">
        <v>19</v>
      </c>
      <c r="N559" s="69" t="s">
        <v>20</v>
      </c>
      <c r="O559" s="69" t="s">
        <v>21</v>
      </c>
      <c r="P559" s="4" t="s">
        <v>3036</v>
      </c>
      <c r="Q559" s="4" t="s">
        <v>3038</v>
      </c>
      <c r="R559" s="69" t="s">
        <v>22</v>
      </c>
      <c r="S559" s="69" t="s">
        <v>23</v>
      </c>
      <c r="T559" s="69" t="s">
        <v>22</v>
      </c>
      <c r="U559" s="69" t="s">
        <v>24</v>
      </c>
      <c r="V559" s="3" t="str">
        <f>ネクタイ縦横!W41</f>
        <v>全長：約cm　最大幅：約cm</v>
      </c>
      <c r="W559" s="69" t="s">
        <v>26</v>
      </c>
      <c r="X559" s="69" t="s">
        <v>27</v>
      </c>
      <c r="Y559" s="69" t="s">
        <v>28</v>
      </c>
      <c r="Z559" s="69" t="s">
        <v>29</v>
      </c>
      <c r="AA559" s="4"/>
      <c r="AB559" s="4"/>
      <c r="AC559" s="4"/>
      <c r="AD559" s="70"/>
      <c r="AE559" s="70">
        <f>ネクタイ縦横!AB41</f>
        <v>0</v>
      </c>
      <c r="AF559" s="70" t="str">
        <f>ネクタイ縦横!O41</f>
        <v>通常</v>
      </c>
      <c r="AG559" s="70">
        <v>0</v>
      </c>
      <c r="AH559" s="6">
        <f>ネクタイ縦横!Z41</f>
        <v>0</v>
      </c>
      <c r="AI559">
        <v>1</v>
      </c>
      <c r="AJ559">
        <f>ネクタイ縦横!R41</f>
        <v>0</v>
      </c>
    </row>
    <row r="560" spans="1:36" ht="13.5" hidden="1" customHeight="1">
      <c r="A560" s="3" t="str">
        <f>IF(ネクタイ縦横!A42="","",ネクタイ縦横!A42)</f>
        <v/>
      </c>
      <c r="B560" s="68" t="str">
        <f>IF(ネクタイ縦横!B42="","",ネクタイ縦横!B42)</f>
        <v/>
      </c>
      <c r="C560" s="3" t="str">
        <f>IF(ネクタイ縦横!C42="","",ネクタイ縦横!C42)</f>
        <v>◇ E</v>
      </c>
      <c r="D560" s="3" t="str">
        <f>IF(ネクタイ縦横!E42="","",ネクタイ縦横!E42)</f>
        <v>無</v>
      </c>
      <c r="E560" s="3" t="str">
        <f>IF(ネクタイ縦横!X42="","",ネクタイ縦横!X42)</f>
        <v>ベースB</v>
      </c>
      <c r="F560" s="3" t="str">
        <f>IF(ネクタイ縦横!G42="","",ネクタイ縦横!G42)</f>
        <v/>
      </c>
      <c r="G560" s="3" t="str">
        <f>IF(ネクタイ縦横!H42="","",ネクタイ縦横!H42)</f>
        <v/>
      </c>
      <c r="H560" s="3" t="str">
        <f>IF(ネクタイ縦横!I42="","",ネクタイ縦横!I42)</f>
        <v/>
      </c>
      <c r="I560" s="3" t="str">
        <f>IF(ネクタイ縦横!J42="","",ネクタイ縦横!J42)</f>
        <v/>
      </c>
      <c r="J560" s="3" t="str">
        <f>IF(ネクタイ縦横!K42="","",ネクタイ縦横!K42)</f>
        <v/>
      </c>
      <c r="K560" s="3" t="str">
        <f>IF(ネクタイ縦横!L42="","",ネクタイ縦横!L42)</f>
        <v/>
      </c>
      <c r="L560" s="69" t="s">
        <v>80</v>
      </c>
      <c r="M560" s="69" t="s">
        <v>19</v>
      </c>
      <c r="N560" s="69" t="s">
        <v>20</v>
      </c>
      <c r="O560" s="69" t="s">
        <v>21</v>
      </c>
      <c r="P560" s="4" t="s">
        <v>3036</v>
      </c>
      <c r="Q560" s="4" t="s">
        <v>3038</v>
      </c>
      <c r="R560" s="69" t="s">
        <v>22</v>
      </c>
      <c r="S560" s="69" t="s">
        <v>23</v>
      </c>
      <c r="T560" s="69" t="s">
        <v>22</v>
      </c>
      <c r="U560" s="69" t="s">
        <v>24</v>
      </c>
      <c r="V560" s="3" t="str">
        <f>ネクタイ縦横!W42</f>
        <v>全長：約cm　最大幅：約cm</v>
      </c>
      <c r="W560" s="69" t="s">
        <v>26</v>
      </c>
      <c r="X560" s="69" t="s">
        <v>27</v>
      </c>
      <c r="Y560" s="69" t="s">
        <v>28</v>
      </c>
      <c r="Z560" s="69" t="s">
        <v>29</v>
      </c>
      <c r="AA560" s="4"/>
      <c r="AB560" s="4"/>
      <c r="AC560" s="4"/>
      <c r="AD560" s="70"/>
      <c r="AE560" s="70">
        <f>ネクタイ縦横!AB42</f>
        <v>0</v>
      </c>
      <c r="AF560" s="70" t="str">
        <f>ネクタイ縦横!O42</f>
        <v>通常</v>
      </c>
      <c r="AG560" s="70">
        <v>0</v>
      </c>
      <c r="AH560" s="6">
        <f>ネクタイ縦横!Z42</f>
        <v>0</v>
      </c>
      <c r="AI560">
        <v>1</v>
      </c>
      <c r="AJ560">
        <f>ネクタイ縦横!R42</f>
        <v>0</v>
      </c>
    </row>
    <row r="561" spans="1:36" ht="13.5" hidden="1" customHeight="1">
      <c r="A561" s="3" t="str">
        <f>IF(ネクタイ縦横!A43="","",ネクタイ縦横!A43)</f>
        <v/>
      </c>
      <c r="B561" s="68" t="str">
        <f>IF(ネクタイ縦横!B43="","",ネクタイ縦横!B43)</f>
        <v/>
      </c>
      <c r="C561" s="3" t="str">
        <f>IF(ネクタイ縦横!C43="","",ネクタイ縦横!C43)</f>
        <v>◇ E</v>
      </c>
      <c r="D561" s="3" t="str">
        <f>IF(ネクタイ縦横!E43="","",ネクタイ縦横!E43)</f>
        <v>無</v>
      </c>
      <c r="E561" s="3" t="str">
        <f>IF(ネクタイ縦横!X43="","",ネクタイ縦横!X43)</f>
        <v>ベースB</v>
      </c>
      <c r="F561" s="3" t="str">
        <f>IF(ネクタイ縦横!G43="","",ネクタイ縦横!G43)</f>
        <v/>
      </c>
      <c r="G561" s="3" t="str">
        <f>IF(ネクタイ縦横!H43="","",ネクタイ縦横!H43)</f>
        <v/>
      </c>
      <c r="H561" s="3" t="str">
        <f>IF(ネクタイ縦横!I43="","",ネクタイ縦横!I43)</f>
        <v/>
      </c>
      <c r="I561" s="3" t="str">
        <f>IF(ネクタイ縦横!J43="","",ネクタイ縦横!J43)</f>
        <v/>
      </c>
      <c r="J561" s="3" t="str">
        <f>IF(ネクタイ縦横!K43="","",ネクタイ縦横!K43)</f>
        <v/>
      </c>
      <c r="K561" s="3" t="str">
        <f>IF(ネクタイ縦横!L43="","",ネクタイ縦横!L43)</f>
        <v/>
      </c>
      <c r="L561" s="69" t="s">
        <v>80</v>
      </c>
      <c r="M561" s="69" t="s">
        <v>19</v>
      </c>
      <c r="N561" s="69" t="s">
        <v>20</v>
      </c>
      <c r="O561" s="69" t="s">
        <v>21</v>
      </c>
      <c r="P561" s="4" t="s">
        <v>3036</v>
      </c>
      <c r="Q561" s="4" t="s">
        <v>3038</v>
      </c>
      <c r="R561" s="69" t="s">
        <v>22</v>
      </c>
      <c r="S561" s="69" t="s">
        <v>23</v>
      </c>
      <c r="T561" s="69" t="s">
        <v>22</v>
      </c>
      <c r="U561" s="69" t="s">
        <v>24</v>
      </c>
      <c r="V561" s="3" t="str">
        <f>ネクタイ縦横!W43</f>
        <v>全長：約cm　最大幅：約cm</v>
      </c>
      <c r="W561" s="69" t="s">
        <v>26</v>
      </c>
      <c r="X561" s="69" t="s">
        <v>27</v>
      </c>
      <c r="Y561" s="69" t="s">
        <v>28</v>
      </c>
      <c r="Z561" s="69" t="s">
        <v>29</v>
      </c>
      <c r="AA561" s="4"/>
      <c r="AB561" s="4"/>
      <c r="AC561" s="4"/>
      <c r="AD561" s="70"/>
      <c r="AE561" s="70">
        <f>ネクタイ縦横!AB43</f>
        <v>0</v>
      </c>
      <c r="AF561" s="70" t="str">
        <f>ネクタイ縦横!O43</f>
        <v>通常</v>
      </c>
      <c r="AG561" s="70">
        <v>0</v>
      </c>
      <c r="AH561" s="6">
        <f>ネクタイ縦横!Z43</f>
        <v>0</v>
      </c>
      <c r="AI561">
        <v>1</v>
      </c>
      <c r="AJ561">
        <f>ネクタイ縦横!R43</f>
        <v>0</v>
      </c>
    </row>
    <row r="562" spans="1:36" ht="13.5" hidden="1" customHeight="1">
      <c r="A562" s="3" t="str">
        <f>IF(ネクタイ縦横!A44="","",ネクタイ縦横!A44)</f>
        <v/>
      </c>
      <c r="B562" s="68" t="str">
        <f>IF(ネクタイ縦横!B44="","",ネクタイ縦横!B44)</f>
        <v/>
      </c>
      <c r="C562" s="3" t="str">
        <f>IF(ネクタイ縦横!C44="","",ネクタイ縦横!C44)</f>
        <v>◇ E</v>
      </c>
      <c r="D562" s="3" t="str">
        <f>IF(ネクタイ縦横!E44="","",ネクタイ縦横!E44)</f>
        <v>無</v>
      </c>
      <c r="E562" s="3" t="str">
        <f>IF(ネクタイ縦横!X44="","",ネクタイ縦横!X44)</f>
        <v>ベースB</v>
      </c>
      <c r="F562" s="3" t="str">
        <f>IF(ネクタイ縦横!G44="","",ネクタイ縦横!G44)</f>
        <v/>
      </c>
      <c r="G562" s="3" t="str">
        <f>IF(ネクタイ縦横!H44="","",ネクタイ縦横!H44)</f>
        <v/>
      </c>
      <c r="H562" s="3" t="str">
        <f>IF(ネクタイ縦横!I44="","",ネクタイ縦横!I44)</f>
        <v/>
      </c>
      <c r="I562" s="3" t="str">
        <f>IF(ネクタイ縦横!J44="","",ネクタイ縦横!J44)</f>
        <v/>
      </c>
      <c r="J562" s="3" t="str">
        <f>IF(ネクタイ縦横!K44="","",ネクタイ縦横!K44)</f>
        <v/>
      </c>
      <c r="K562" s="3" t="str">
        <f>IF(ネクタイ縦横!L44="","",ネクタイ縦横!L44)</f>
        <v/>
      </c>
      <c r="L562" s="69" t="s">
        <v>80</v>
      </c>
      <c r="M562" s="69" t="s">
        <v>19</v>
      </c>
      <c r="N562" s="69" t="s">
        <v>20</v>
      </c>
      <c r="O562" s="69" t="s">
        <v>21</v>
      </c>
      <c r="P562" s="4" t="s">
        <v>3036</v>
      </c>
      <c r="Q562" s="4" t="s">
        <v>3038</v>
      </c>
      <c r="R562" s="69" t="s">
        <v>22</v>
      </c>
      <c r="S562" s="69" t="s">
        <v>23</v>
      </c>
      <c r="T562" s="69" t="s">
        <v>22</v>
      </c>
      <c r="U562" s="69" t="s">
        <v>24</v>
      </c>
      <c r="V562" s="3" t="str">
        <f>ネクタイ縦横!W44</f>
        <v>全長：約cm　最大幅：約cm</v>
      </c>
      <c r="W562" s="69" t="s">
        <v>26</v>
      </c>
      <c r="X562" s="69" t="s">
        <v>27</v>
      </c>
      <c r="Y562" s="69" t="s">
        <v>28</v>
      </c>
      <c r="Z562" s="69" t="s">
        <v>29</v>
      </c>
      <c r="AA562" s="4"/>
      <c r="AB562" s="4"/>
      <c r="AC562" s="4"/>
      <c r="AD562" s="70"/>
      <c r="AE562" s="70">
        <f>ネクタイ縦横!AB44</f>
        <v>0</v>
      </c>
      <c r="AF562" s="70" t="str">
        <f>ネクタイ縦横!O44</f>
        <v>通常</v>
      </c>
      <c r="AG562" s="70">
        <v>0</v>
      </c>
      <c r="AH562" s="6">
        <f>ネクタイ縦横!Z44</f>
        <v>0</v>
      </c>
      <c r="AI562">
        <v>1</v>
      </c>
      <c r="AJ562">
        <f>ネクタイ縦横!R44</f>
        <v>0</v>
      </c>
    </row>
    <row r="563" spans="1:36" ht="13.5" hidden="1" customHeight="1">
      <c r="A563" s="3" t="str">
        <f>IF(ネクタイ縦横!A45="","",ネクタイ縦横!A45)</f>
        <v/>
      </c>
      <c r="B563" s="68" t="str">
        <f>IF(ネクタイ縦横!B45="","",ネクタイ縦横!B45)</f>
        <v/>
      </c>
      <c r="C563" s="3" t="str">
        <f>IF(ネクタイ縦横!C45="","",ネクタイ縦横!C45)</f>
        <v>◇ E</v>
      </c>
      <c r="D563" s="3" t="str">
        <f>IF(ネクタイ縦横!E45="","",ネクタイ縦横!E45)</f>
        <v>無</v>
      </c>
      <c r="E563" s="3" t="str">
        <f>IF(ネクタイ縦横!X45="","",ネクタイ縦横!X45)</f>
        <v>ベースB</v>
      </c>
      <c r="F563" s="3" t="str">
        <f>IF(ネクタイ縦横!G45="","",ネクタイ縦横!G45)</f>
        <v/>
      </c>
      <c r="G563" s="3" t="str">
        <f>IF(ネクタイ縦横!H45="","",ネクタイ縦横!H45)</f>
        <v/>
      </c>
      <c r="H563" s="3" t="str">
        <f>IF(ネクタイ縦横!I45="","",ネクタイ縦横!I45)</f>
        <v/>
      </c>
      <c r="I563" s="3" t="str">
        <f>IF(ネクタイ縦横!J45="","",ネクタイ縦横!J45)</f>
        <v/>
      </c>
      <c r="J563" s="3" t="str">
        <f>IF(ネクタイ縦横!K45="","",ネクタイ縦横!K45)</f>
        <v/>
      </c>
      <c r="K563" s="3" t="str">
        <f>IF(ネクタイ縦横!L45="","",ネクタイ縦横!L45)</f>
        <v/>
      </c>
      <c r="L563" s="69" t="s">
        <v>80</v>
      </c>
      <c r="M563" s="69" t="s">
        <v>19</v>
      </c>
      <c r="N563" s="69" t="s">
        <v>20</v>
      </c>
      <c r="O563" s="69" t="s">
        <v>21</v>
      </c>
      <c r="P563" s="4" t="s">
        <v>3036</v>
      </c>
      <c r="Q563" s="4" t="s">
        <v>3038</v>
      </c>
      <c r="R563" s="69" t="s">
        <v>22</v>
      </c>
      <c r="S563" s="69" t="s">
        <v>23</v>
      </c>
      <c r="T563" s="69" t="s">
        <v>22</v>
      </c>
      <c r="U563" s="69" t="s">
        <v>24</v>
      </c>
      <c r="V563" s="3" t="str">
        <f>ネクタイ縦横!W45</f>
        <v>全長：約cm　最大幅：約cm</v>
      </c>
      <c r="W563" s="69" t="s">
        <v>26</v>
      </c>
      <c r="X563" s="69" t="s">
        <v>27</v>
      </c>
      <c r="Y563" s="69" t="s">
        <v>28</v>
      </c>
      <c r="Z563" s="69" t="s">
        <v>29</v>
      </c>
      <c r="AA563" s="4"/>
      <c r="AB563" s="4"/>
      <c r="AC563" s="4"/>
      <c r="AD563" s="70"/>
      <c r="AE563" s="70">
        <f>ネクタイ縦横!AB45</f>
        <v>0</v>
      </c>
      <c r="AF563" s="70" t="str">
        <f>ネクタイ縦横!O45</f>
        <v>通常</v>
      </c>
      <c r="AG563" s="70">
        <v>0</v>
      </c>
      <c r="AH563" s="6">
        <f>ネクタイ縦横!Z45</f>
        <v>0</v>
      </c>
      <c r="AI563">
        <v>1</v>
      </c>
      <c r="AJ563">
        <f>ネクタイ縦横!R45</f>
        <v>0</v>
      </c>
    </row>
    <row r="564" spans="1:36" ht="13.5" hidden="1" customHeight="1">
      <c r="A564" s="3" t="str">
        <f>IF(ネクタイ縦横!A46="","",ネクタイ縦横!A46)</f>
        <v/>
      </c>
      <c r="B564" s="68" t="str">
        <f>IF(ネクタイ縦横!B46="","",ネクタイ縦横!B46)</f>
        <v/>
      </c>
      <c r="C564" s="3" t="str">
        <f>IF(ネクタイ縦横!C46="","",ネクタイ縦横!C46)</f>
        <v>◇ E</v>
      </c>
      <c r="D564" s="3" t="str">
        <f>IF(ネクタイ縦横!E46="","",ネクタイ縦横!E46)</f>
        <v>無</v>
      </c>
      <c r="E564" s="3" t="str">
        <f>IF(ネクタイ縦横!X46="","",ネクタイ縦横!X46)</f>
        <v>ベースB</v>
      </c>
      <c r="F564" s="3" t="str">
        <f>IF(ネクタイ縦横!G46="","",ネクタイ縦横!G46)</f>
        <v/>
      </c>
      <c r="G564" s="3" t="str">
        <f>IF(ネクタイ縦横!H46="","",ネクタイ縦横!H46)</f>
        <v/>
      </c>
      <c r="H564" s="3" t="str">
        <f>IF(ネクタイ縦横!I46="","",ネクタイ縦横!I46)</f>
        <v/>
      </c>
      <c r="I564" s="3" t="str">
        <f>IF(ネクタイ縦横!J46="","",ネクタイ縦横!J46)</f>
        <v/>
      </c>
      <c r="J564" s="3" t="str">
        <f>IF(ネクタイ縦横!K46="","",ネクタイ縦横!K46)</f>
        <v/>
      </c>
      <c r="K564" s="3" t="str">
        <f>IF(ネクタイ縦横!L46="","",ネクタイ縦横!L46)</f>
        <v/>
      </c>
      <c r="L564" s="69" t="s">
        <v>80</v>
      </c>
      <c r="M564" s="69" t="s">
        <v>19</v>
      </c>
      <c r="N564" s="69" t="s">
        <v>20</v>
      </c>
      <c r="O564" s="69" t="s">
        <v>21</v>
      </c>
      <c r="P564" s="4" t="s">
        <v>3036</v>
      </c>
      <c r="Q564" s="4" t="s">
        <v>3038</v>
      </c>
      <c r="R564" s="69" t="s">
        <v>22</v>
      </c>
      <c r="S564" s="69" t="s">
        <v>23</v>
      </c>
      <c r="T564" s="69" t="s">
        <v>22</v>
      </c>
      <c r="U564" s="69" t="s">
        <v>24</v>
      </c>
      <c r="V564" s="3" t="str">
        <f>ネクタイ縦横!W46</f>
        <v>全長：約cm　最大幅：約cm</v>
      </c>
      <c r="W564" s="69" t="s">
        <v>26</v>
      </c>
      <c r="X564" s="69" t="s">
        <v>27</v>
      </c>
      <c r="Y564" s="69" t="s">
        <v>28</v>
      </c>
      <c r="Z564" s="69" t="s">
        <v>29</v>
      </c>
      <c r="AA564" s="4"/>
      <c r="AB564" s="4"/>
      <c r="AC564" s="4"/>
      <c r="AD564" s="70"/>
      <c r="AE564" s="70">
        <f>ネクタイ縦横!AB46</f>
        <v>0</v>
      </c>
      <c r="AF564" s="70" t="str">
        <f>ネクタイ縦横!O46</f>
        <v>通常</v>
      </c>
      <c r="AG564" s="70">
        <v>0</v>
      </c>
      <c r="AH564" s="6">
        <f>ネクタイ縦横!Z46</f>
        <v>0</v>
      </c>
      <c r="AI564">
        <v>1</v>
      </c>
      <c r="AJ564">
        <f>ネクタイ縦横!R46</f>
        <v>0</v>
      </c>
    </row>
    <row r="565" spans="1:36" ht="13.5" hidden="1" customHeight="1">
      <c r="A565" s="3" t="str">
        <f>IF(ネクタイ縦横!A47="","",ネクタイ縦横!A47)</f>
        <v/>
      </c>
      <c r="B565" s="68" t="str">
        <f>IF(ネクタイ縦横!B47="","",ネクタイ縦横!B47)</f>
        <v/>
      </c>
      <c r="C565" s="3" t="str">
        <f>IF(ネクタイ縦横!C47="","",ネクタイ縦横!C47)</f>
        <v>◇ E</v>
      </c>
      <c r="D565" s="3" t="str">
        <f>IF(ネクタイ縦横!E47="","",ネクタイ縦横!E47)</f>
        <v>無</v>
      </c>
      <c r="E565" s="3" t="str">
        <f>IF(ネクタイ縦横!X47="","",ネクタイ縦横!X47)</f>
        <v>ベースB</v>
      </c>
      <c r="F565" s="3" t="str">
        <f>IF(ネクタイ縦横!G47="","",ネクタイ縦横!G47)</f>
        <v/>
      </c>
      <c r="G565" s="3" t="str">
        <f>IF(ネクタイ縦横!H47="","",ネクタイ縦横!H47)</f>
        <v/>
      </c>
      <c r="H565" s="3" t="str">
        <f>IF(ネクタイ縦横!I47="","",ネクタイ縦横!I47)</f>
        <v/>
      </c>
      <c r="I565" s="3" t="str">
        <f>IF(ネクタイ縦横!J47="","",ネクタイ縦横!J47)</f>
        <v/>
      </c>
      <c r="J565" s="3" t="str">
        <f>IF(ネクタイ縦横!K47="","",ネクタイ縦横!K47)</f>
        <v/>
      </c>
      <c r="K565" s="3" t="str">
        <f>IF(ネクタイ縦横!L47="","",ネクタイ縦横!L47)</f>
        <v/>
      </c>
      <c r="L565" s="69" t="s">
        <v>80</v>
      </c>
      <c r="M565" s="69" t="s">
        <v>19</v>
      </c>
      <c r="N565" s="69" t="s">
        <v>20</v>
      </c>
      <c r="O565" s="69" t="s">
        <v>21</v>
      </c>
      <c r="P565" s="4" t="s">
        <v>3036</v>
      </c>
      <c r="Q565" s="4" t="s">
        <v>3038</v>
      </c>
      <c r="R565" s="69" t="s">
        <v>22</v>
      </c>
      <c r="S565" s="69" t="s">
        <v>23</v>
      </c>
      <c r="T565" s="69" t="s">
        <v>22</v>
      </c>
      <c r="U565" s="69" t="s">
        <v>24</v>
      </c>
      <c r="V565" s="3" t="str">
        <f>ネクタイ縦横!W47</f>
        <v>全長：約cm　最大幅：約cm</v>
      </c>
      <c r="W565" s="69" t="s">
        <v>26</v>
      </c>
      <c r="X565" s="69" t="s">
        <v>27</v>
      </c>
      <c r="Y565" s="69" t="s">
        <v>28</v>
      </c>
      <c r="Z565" s="69" t="s">
        <v>29</v>
      </c>
      <c r="AA565" s="4"/>
      <c r="AB565" s="4"/>
      <c r="AC565" s="4"/>
      <c r="AD565" s="70"/>
      <c r="AE565" s="70">
        <f>ネクタイ縦横!AB47</f>
        <v>0</v>
      </c>
      <c r="AF565" s="70" t="str">
        <f>ネクタイ縦横!O47</f>
        <v>通常</v>
      </c>
      <c r="AG565" s="70">
        <v>0</v>
      </c>
      <c r="AH565" s="6">
        <f>ネクタイ縦横!Z47</f>
        <v>0</v>
      </c>
      <c r="AI565">
        <v>1</v>
      </c>
      <c r="AJ565">
        <f>ネクタイ縦横!R47</f>
        <v>0</v>
      </c>
    </row>
    <row r="566" spans="1:36" ht="13.5" hidden="1" customHeight="1">
      <c r="A566" s="3" t="str">
        <f>IF(ネクタイ縦横!A48="","",ネクタイ縦横!A48)</f>
        <v/>
      </c>
      <c r="B566" s="68" t="str">
        <f>IF(ネクタイ縦横!B48="","",ネクタイ縦横!B48)</f>
        <v/>
      </c>
      <c r="C566" s="3" t="str">
        <f>IF(ネクタイ縦横!C48="","",ネクタイ縦横!C48)</f>
        <v>◇ E</v>
      </c>
      <c r="D566" s="3" t="str">
        <f>IF(ネクタイ縦横!E48="","",ネクタイ縦横!E48)</f>
        <v>無</v>
      </c>
      <c r="E566" s="3" t="str">
        <f>IF(ネクタイ縦横!X48="","",ネクタイ縦横!X48)</f>
        <v>ベースB</v>
      </c>
      <c r="F566" s="3" t="str">
        <f>IF(ネクタイ縦横!G48="","",ネクタイ縦横!G48)</f>
        <v/>
      </c>
      <c r="G566" s="3" t="str">
        <f>IF(ネクタイ縦横!H48="","",ネクタイ縦横!H48)</f>
        <v/>
      </c>
      <c r="H566" s="3" t="str">
        <f>IF(ネクタイ縦横!I48="","",ネクタイ縦横!I48)</f>
        <v/>
      </c>
      <c r="I566" s="3" t="str">
        <f>IF(ネクタイ縦横!J48="","",ネクタイ縦横!J48)</f>
        <v/>
      </c>
      <c r="J566" s="3" t="str">
        <f>IF(ネクタイ縦横!K48="","",ネクタイ縦横!K48)</f>
        <v/>
      </c>
      <c r="K566" s="3" t="str">
        <f>IF(ネクタイ縦横!L48="","",ネクタイ縦横!L48)</f>
        <v/>
      </c>
      <c r="L566" s="69" t="s">
        <v>80</v>
      </c>
      <c r="M566" s="69" t="s">
        <v>19</v>
      </c>
      <c r="N566" s="69" t="s">
        <v>20</v>
      </c>
      <c r="O566" s="69" t="s">
        <v>21</v>
      </c>
      <c r="P566" s="4" t="s">
        <v>3036</v>
      </c>
      <c r="Q566" s="4" t="s">
        <v>3038</v>
      </c>
      <c r="R566" s="69" t="s">
        <v>22</v>
      </c>
      <c r="S566" s="69" t="s">
        <v>23</v>
      </c>
      <c r="T566" s="69" t="s">
        <v>22</v>
      </c>
      <c r="U566" s="69" t="s">
        <v>24</v>
      </c>
      <c r="V566" s="3" t="str">
        <f>ネクタイ縦横!W48</f>
        <v>全長：約cm　最大幅：約cm</v>
      </c>
      <c r="W566" s="69" t="s">
        <v>26</v>
      </c>
      <c r="X566" s="69" t="s">
        <v>27</v>
      </c>
      <c r="Y566" s="69" t="s">
        <v>28</v>
      </c>
      <c r="Z566" s="69" t="s">
        <v>29</v>
      </c>
      <c r="AA566" s="4"/>
      <c r="AB566" s="4"/>
      <c r="AC566" s="4"/>
      <c r="AD566" s="70"/>
      <c r="AE566" s="70">
        <f>ネクタイ縦横!AB48</f>
        <v>0</v>
      </c>
      <c r="AF566" s="70" t="str">
        <f>ネクタイ縦横!O48</f>
        <v>通常</v>
      </c>
      <c r="AG566" s="70">
        <v>0</v>
      </c>
      <c r="AH566" s="6">
        <f>ネクタイ縦横!Z48</f>
        <v>0</v>
      </c>
      <c r="AI566">
        <v>1</v>
      </c>
      <c r="AJ566">
        <f>ネクタイ縦横!R48</f>
        <v>0</v>
      </c>
    </row>
    <row r="567" spans="1:36" ht="13.5" hidden="1" customHeight="1">
      <c r="A567" s="3" t="str">
        <f>IF(ネクタイ縦横!A49="","",ネクタイ縦横!A49)</f>
        <v/>
      </c>
      <c r="B567" s="68" t="str">
        <f>IF(ネクタイ縦横!B49="","",ネクタイ縦横!B49)</f>
        <v/>
      </c>
      <c r="C567" s="3" t="str">
        <f>IF(ネクタイ縦横!C49="","",ネクタイ縦横!C49)</f>
        <v>◇ E</v>
      </c>
      <c r="D567" s="3" t="str">
        <f>IF(ネクタイ縦横!E49="","",ネクタイ縦横!E49)</f>
        <v>無</v>
      </c>
      <c r="E567" s="3" t="str">
        <f>IF(ネクタイ縦横!X49="","",ネクタイ縦横!X49)</f>
        <v>ベースB</v>
      </c>
      <c r="F567" s="3" t="str">
        <f>IF(ネクタイ縦横!G49="","",ネクタイ縦横!G49)</f>
        <v/>
      </c>
      <c r="G567" s="3" t="str">
        <f>IF(ネクタイ縦横!H49="","",ネクタイ縦横!H49)</f>
        <v/>
      </c>
      <c r="H567" s="3" t="str">
        <f>IF(ネクタイ縦横!I49="","",ネクタイ縦横!I49)</f>
        <v/>
      </c>
      <c r="I567" s="3" t="str">
        <f>IF(ネクタイ縦横!J49="","",ネクタイ縦横!J49)</f>
        <v/>
      </c>
      <c r="J567" s="3" t="str">
        <f>IF(ネクタイ縦横!K49="","",ネクタイ縦横!K49)</f>
        <v/>
      </c>
      <c r="K567" s="3" t="str">
        <f>IF(ネクタイ縦横!L49="","",ネクタイ縦横!L49)</f>
        <v/>
      </c>
      <c r="L567" s="69" t="s">
        <v>80</v>
      </c>
      <c r="M567" s="69" t="s">
        <v>19</v>
      </c>
      <c r="N567" s="69" t="s">
        <v>20</v>
      </c>
      <c r="O567" s="69" t="s">
        <v>21</v>
      </c>
      <c r="P567" s="4" t="s">
        <v>3036</v>
      </c>
      <c r="Q567" s="4" t="s">
        <v>3038</v>
      </c>
      <c r="R567" s="69" t="s">
        <v>22</v>
      </c>
      <c r="S567" s="69" t="s">
        <v>23</v>
      </c>
      <c r="T567" s="69" t="s">
        <v>22</v>
      </c>
      <c r="U567" s="69" t="s">
        <v>24</v>
      </c>
      <c r="V567" s="3" t="str">
        <f>ネクタイ縦横!W49</f>
        <v>全長：約cm　最大幅：約cm</v>
      </c>
      <c r="W567" s="69" t="s">
        <v>26</v>
      </c>
      <c r="X567" s="69" t="s">
        <v>27</v>
      </c>
      <c r="Y567" s="69" t="s">
        <v>28</v>
      </c>
      <c r="Z567" s="69" t="s">
        <v>29</v>
      </c>
      <c r="AA567" s="4"/>
      <c r="AB567" s="4"/>
      <c r="AC567" s="4"/>
      <c r="AD567" s="70"/>
      <c r="AE567" s="70">
        <f>ネクタイ縦横!AB49</f>
        <v>0</v>
      </c>
      <c r="AF567" s="70" t="str">
        <f>ネクタイ縦横!O49</f>
        <v>通常</v>
      </c>
      <c r="AG567" s="70">
        <v>0</v>
      </c>
      <c r="AH567" s="6">
        <f>ネクタイ縦横!Z49</f>
        <v>0</v>
      </c>
      <c r="AI567">
        <v>1</v>
      </c>
      <c r="AJ567">
        <f>ネクタイ縦横!R49</f>
        <v>0</v>
      </c>
    </row>
    <row r="568" spans="1:36" ht="13.5" hidden="1" customHeight="1">
      <c r="A568" s="3" t="str">
        <f>IF(ネクタイ縦横!A50="","",ネクタイ縦横!A50)</f>
        <v/>
      </c>
      <c r="B568" s="68" t="str">
        <f>IF(ネクタイ縦横!B50="","",ネクタイ縦横!B50)</f>
        <v/>
      </c>
      <c r="C568" s="3" t="str">
        <f>IF(ネクタイ縦横!C50="","",ネクタイ縦横!C50)</f>
        <v>◇ E</v>
      </c>
      <c r="D568" s="3" t="str">
        <f>IF(ネクタイ縦横!E50="","",ネクタイ縦横!E50)</f>
        <v>無</v>
      </c>
      <c r="E568" s="3" t="str">
        <f>IF(ネクタイ縦横!X50="","",ネクタイ縦横!X50)</f>
        <v>ベースB</v>
      </c>
      <c r="F568" s="3" t="str">
        <f>IF(ネクタイ縦横!G50="","",ネクタイ縦横!G50)</f>
        <v/>
      </c>
      <c r="G568" s="3" t="str">
        <f>IF(ネクタイ縦横!H50="","",ネクタイ縦横!H50)</f>
        <v/>
      </c>
      <c r="H568" s="3" t="str">
        <f>IF(ネクタイ縦横!I50="","",ネクタイ縦横!I50)</f>
        <v/>
      </c>
      <c r="I568" s="3" t="str">
        <f>IF(ネクタイ縦横!J50="","",ネクタイ縦横!J50)</f>
        <v/>
      </c>
      <c r="J568" s="3" t="str">
        <f>IF(ネクタイ縦横!K50="","",ネクタイ縦横!K50)</f>
        <v/>
      </c>
      <c r="K568" s="3" t="str">
        <f>IF(ネクタイ縦横!L50="","",ネクタイ縦横!L50)</f>
        <v/>
      </c>
      <c r="L568" s="69" t="s">
        <v>80</v>
      </c>
      <c r="M568" s="69" t="s">
        <v>19</v>
      </c>
      <c r="N568" s="69" t="s">
        <v>20</v>
      </c>
      <c r="O568" s="69" t="s">
        <v>21</v>
      </c>
      <c r="P568" s="4" t="s">
        <v>3036</v>
      </c>
      <c r="Q568" s="4" t="s">
        <v>3038</v>
      </c>
      <c r="R568" s="69" t="s">
        <v>22</v>
      </c>
      <c r="S568" s="69" t="s">
        <v>23</v>
      </c>
      <c r="T568" s="69" t="s">
        <v>22</v>
      </c>
      <c r="U568" s="69" t="s">
        <v>24</v>
      </c>
      <c r="V568" s="3" t="str">
        <f>ネクタイ縦横!W50</f>
        <v>全長：約cm　最大幅：約cm</v>
      </c>
      <c r="W568" s="69" t="s">
        <v>26</v>
      </c>
      <c r="X568" s="69" t="s">
        <v>27</v>
      </c>
      <c r="Y568" s="69" t="s">
        <v>28</v>
      </c>
      <c r="Z568" s="69" t="s">
        <v>29</v>
      </c>
      <c r="AA568" s="4"/>
      <c r="AB568" s="4"/>
      <c r="AC568" s="4"/>
      <c r="AD568" s="70"/>
      <c r="AE568" s="70">
        <f>ネクタイ縦横!AB50</f>
        <v>0</v>
      </c>
      <c r="AF568" s="70" t="str">
        <f>ネクタイ縦横!O50</f>
        <v>通常</v>
      </c>
      <c r="AG568" s="70">
        <v>0</v>
      </c>
      <c r="AH568" s="6">
        <f>ネクタイ縦横!Z50</f>
        <v>0</v>
      </c>
      <c r="AI568">
        <v>1</v>
      </c>
      <c r="AJ568">
        <f>ネクタイ縦横!R50</f>
        <v>0</v>
      </c>
    </row>
    <row r="569" spans="1:36" ht="13.5" hidden="1" customHeight="1">
      <c r="A569" s="3" t="str">
        <f>IF(ネクタイ縦横!A51="","",ネクタイ縦横!A51)</f>
        <v/>
      </c>
      <c r="B569" s="68" t="str">
        <f>IF(ネクタイ縦横!B51="","",ネクタイ縦横!B51)</f>
        <v/>
      </c>
      <c r="C569" s="3" t="str">
        <f>IF(ネクタイ縦横!C51="","",ネクタイ縦横!C51)</f>
        <v>◇ E</v>
      </c>
      <c r="D569" s="3" t="str">
        <f>IF(ネクタイ縦横!E51="","",ネクタイ縦横!E51)</f>
        <v>無</v>
      </c>
      <c r="E569" s="3" t="str">
        <f>IF(ネクタイ縦横!X51="","",ネクタイ縦横!X51)</f>
        <v>ベースB</v>
      </c>
      <c r="F569" s="3" t="str">
        <f>IF(ネクタイ縦横!G51="","",ネクタイ縦横!G51)</f>
        <v/>
      </c>
      <c r="G569" s="3" t="str">
        <f>IF(ネクタイ縦横!H51="","",ネクタイ縦横!H51)</f>
        <v/>
      </c>
      <c r="H569" s="3" t="str">
        <f>IF(ネクタイ縦横!I51="","",ネクタイ縦横!I51)</f>
        <v/>
      </c>
      <c r="I569" s="3" t="str">
        <f>IF(ネクタイ縦横!J51="","",ネクタイ縦横!J51)</f>
        <v/>
      </c>
      <c r="J569" s="3" t="str">
        <f>IF(ネクタイ縦横!K51="","",ネクタイ縦横!K51)</f>
        <v/>
      </c>
      <c r="K569" s="3" t="str">
        <f>IF(ネクタイ縦横!L51="","",ネクタイ縦横!L51)</f>
        <v/>
      </c>
      <c r="L569" s="69" t="s">
        <v>80</v>
      </c>
      <c r="M569" s="69" t="s">
        <v>19</v>
      </c>
      <c r="N569" s="69" t="s">
        <v>20</v>
      </c>
      <c r="O569" s="69" t="s">
        <v>21</v>
      </c>
      <c r="P569" s="4" t="s">
        <v>3036</v>
      </c>
      <c r="Q569" s="4" t="s">
        <v>3038</v>
      </c>
      <c r="R569" s="69" t="s">
        <v>22</v>
      </c>
      <c r="S569" s="69" t="s">
        <v>23</v>
      </c>
      <c r="T569" s="69" t="s">
        <v>22</v>
      </c>
      <c r="U569" s="69" t="s">
        <v>24</v>
      </c>
      <c r="V569" s="3" t="str">
        <f>ネクタイ縦横!W51</f>
        <v>全長：約cm　最大幅：約cm</v>
      </c>
      <c r="W569" s="69" t="s">
        <v>26</v>
      </c>
      <c r="X569" s="69" t="s">
        <v>27</v>
      </c>
      <c r="Y569" s="69" t="s">
        <v>28</v>
      </c>
      <c r="Z569" s="69" t="s">
        <v>29</v>
      </c>
      <c r="AA569" s="4"/>
      <c r="AB569" s="4"/>
      <c r="AC569" s="4"/>
      <c r="AD569" s="70"/>
      <c r="AE569" s="70">
        <f>ネクタイ縦横!AB51</f>
        <v>0</v>
      </c>
      <c r="AF569" s="70" t="str">
        <f>ネクタイ縦横!O51</f>
        <v>通常</v>
      </c>
      <c r="AG569" s="70">
        <v>0</v>
      </c>
      <c r="AH569" s="6">
        <f>ネクタイ縦横!Z51</f>
        <v>0</v>
      </c>
      <c r="AI569">
        <v>1</v>
      </c>
      <c r="AJ569">
        <f>ネクタイ縦横!R51</f>
        <v>0</v>
      </c>
    </row>
    <row r="570" spans="1:36" ht="13.5" hidden="1" customHeight="1">
      <c r="A570" s="3" t="str">
        <f>IF(ネクタイ縦横!A52="","",ネクタイ縦横!A52)</f>
        <v/>
      </c>
      <c r="B570" s="68" t="str">
        <f>IF(ネクタイ縦横!B52="","",ネクタイ縦横!B52)</f>
        <v/>
      </c>
      <c r="C570" s="3" t="str">
        <f>IF(ネクタイ縦横!C52="","",ネクタイ縦横!C52)</f>
        <v>◇ E</v>
      </c>
      <c r="D570" s="3" t="str">
        <f>IF(ネクタイ縦横!E52="","",ネクタイ縦横!E52)</f>
        <v>無</v>
      </c>
      <c r="E570" s="3" t="str">
        <f>IF(ネクタイ縦横!X52="","",ネクタイ縦横!X52)</f>
        <v>ベースB</v>
      </c>
      <c r="F570" s="3" t="str">
        <f>IF(ネクタイ縦横!G52="","",ネクタイ縦横!G52)</f>
        <v/>
      </c>
      <c r="G570" s="3" t="str">
        <f>IF(ネクタイ縦横!H52="","",ネクタイ縦横!H52)</f>
        <v/>
      </c>
      <c r="H570" s="3" t="str">
        <f>IF(ネクタイ縦横!I52="","",ネクタイ縦横!I52)</f>
        <v/>
      </c>
      <c r="I570" s="3" t="str">
        <f>IF(ネクタイ縦横!J52="","",ネクタイ縦横!J52)</f>
        <v/>
      </c>
      <c r="J570" s="3" t="str">
        <f>IF(ネクタイ縦横!K52="","",ネクタイ縦横!K52)</f>
        <v/>
      </c>
      <c r="K570" s="3" t="str">
        <f>IF(ネクタイ縦横!L52="","",ネクタイ縦横!L52)</f>
        <v/>
      </c>
      <c r="L570" s="69" t="s">
        <v>80</v>
      </c>
      <c r="M570" s="69" t="s">
        <v>19</v>
      </c>
      <c r="N570" s="69" t="s">
        <v>20</v>
      </c>
      <c r="O570" s="69" t="s">
        <v>21</v>
      </c>
      <c r="P570" s="4" t="s">
        <v>3036</v>
      </c>
      <c r="Q570" s="4" t="s">
        <v>3038</v>
      </c>
      <c r="R570" s="69" t="s">
        <v>22</v>
      </c>
      <c r="S570" s="69" t="s">
        <v>23</v>
      </c>
      <c r="T570" s="69" t="s">
        <v>22</v>
      </c>
      <c r="U570" s="69" t="s">
        <v>24</v>
      </c>
      <c r="V570" s="3" t="str">
        <f>ネクタイ縦横!W52</f>
        <v>全長：約cm　最大幅：約cm</v>
      </c>
      <c r="W570" s="69" t="s">
        <v>26</v>
      </c>
      <c r="X570" s="69" t="s">
        <v>27</v>
      </c>
      <c r="Y570" s="69" t="s">
        <v>28</v>
      </c>
      <c r="Z570" s="69" t="s">
        <v>29</v>
      </c>
      <c r="AA570" s="4"/>
      <c r="AB570" s="4"/>
      <c r="AC570" s="4"/>
      <c r="AD570" s="70"/>
      <c r="AE570" s="70">
        <f>ネクタイ縦横!AB52</f>
        <v>0</v>
      </c>
      <c r="AF570" s="70" t="str">
        <f>ネクタイ縦横!O52</f>
        <v>通常</v>
      </c>
      <c r="AG570" s="70">
        <v>0</v>
      </c>
      <c r="AH570" s="6">
        <f>ネクタイ縦横!Z52</f>
        <v>0</v>
      </c>
      <c r="AI570">
        <v>1</v>
      </c>
      <c r="AJ570">
        <f>ネクタイ縦横!R52</f>
        <v>0</v>
      </c>
    </row>
    <row r="571" spans="1:36" ht="13.5" hidden="1" customHeight="1">
      <c r="A571" s="3" t="str">
        <f>IF(ネクタイ縦横!A53="","",ネクタイ縦横!A53)</f>
        <v/>
      </c>
      <c r="B571" s="68" t="str">
        <f>IF(ネクタイ縦横!B53="","",ネクタイ縦横!B53)</f>
        <v/>
      </c>
      <c r="C571" s="3" t="str">
        <f>IF(ネクタイ縦横!C53="","",ネクタイ縦横!C53)</f>
        <v>◇ E</v>
      </c>
      <c r="D571" s="3" t="str">
        <f>IF(ネクタイ縦横!E53="","",ネクタイ縦横!E53)</f>
        <v>無</v>
      </c>
      <c r="E571" s="3" t="str">
        <f>IF(ネクタイ縦横!X53="","",ネクタイ縦横!X53)</f>
        <v>ベースB</v>
      </c>
      <c r="F571" s="3" t="str">
        <f>IF(ネクタイ縦横!G53="","",ネクタイ縦横!G53)</f>
        <v/>
      </c>
      <c r="G571" s="3" t="str">
        <f>IF(ネクタイ縦横!H53="","",ネクタイ縦横!H53)</f>
        <v/>
      </c>
      <c r="H571" s="3" t="str">
        <f>IF(ネクタイ縦横!I53="","",ネクタイ縦横!I53)</f>
        <v/>
      </c>
      <c r="I571" s="3" t="str">
        <f>IF(ネクタイ縦横!J53="","",ネクタイ縦横!J53)</f>
        <v/>
      </c>
      <c r="J571" s="3" t="str">
        <f>IF(ネクタイ縦横!K53="","",ネクタイ縦横!K53)</f>
        <v/>
      </c>
      <c r="K571" s="3" t="str">
        <f>IF(ネクタイ縦横!L53="","",ネクタイ縦横!L53)</f>
        <v/>
      </c>
      <c r="L571" s="69" t="s">
        <v>80</v>
      </c>
      <c r="M571" s="69" t="s">
        <v>19</v>
      </c>
      <c r="N571" s="69" t="s">
        <v>20</v>
      </c>
      <c r="O571" s="69" t="s">
        <v>21</v>
      </c>
      <c r="P571" s="4" t="s">
        <v>3036</v>
      </c>
      <c r="Q571" s="4" t="s">
        <v>3038</v>
      </c>
      <c r="R571" s="69" t="s">
        <v>22</v>
      </c>
      <c r="S571" s="69" t="s">
        <v>23</v>
      </c>
      <c r="T571" s="69" t="s">
        <v>22</v>
      </c>
      <c r="U571" s="69" t="s">
        <v>24</v>
      </c>
      <c r="V571" s="3" t="str">
        <f>ネクタイ縦横!W53</f>
        <v>全長：約cm　最大幅：約cm</v>
      </c>
      <c r="W571" s="69" t="s">
        <v>26</v>
      </c>
      <c r="X571" s="69" t="s">
        <v>27</v>
      </c>
      <c r="Y571" s="69" t="s">
        <v>28</v>
      </c>
      <c r="Z571" s="69" t="s">
        <v>29</v>
      </c>
      <c r="AA571" s="4"/>
      <c r="AB571" s="4"/>
      <c r="AC571" s="4"/>
      <c r="AD571" s="70"/>
      <c r="AE571" s="70">
        <f>ネクタイ縦横!AB53</f>
        <v>0</v>
      </c>
      <c r="AF571" s="70" t="str">
        <f>ネクタイ縦横!O53</f>
        <v>通常</v>
      </c>
      <c r="AG571" s="70">
        <v>0</v>
      </c>
      <c r="AH571" s="6">
        <f>ネクタイ縦横!Z53</f>
        <v>0</v>
      </c>
      <c r="AI571">
        <v>1</v>
      </c>
      <c r="AJ571">
        <f>ネクタイ縦横!R53</f>
        <v>0</v>
      </c>
    </row>
    <row r="572" spans="1:36" ht="13.5" hidden="1" customHeight="1">
      <c r="A572" s="3" t="str">
        <f>IF(ネクタイ縦横!A54="","",ネクタイ縦横!A54)</f>
        <v/>
      </c>
      <c r="B572" s="68" t="str">
        <f>IF(ネクタイ縦横!B54="","",ネクタイ縦横!B54)</f>
        <v/>
      </c>
      <c r="C572" s="3" t="str">
        <f>IF(ネクタイ縦横!C54="","",ネクタイ縦横!C54)</f>
        <v>◇ E</v>
      </c>
      <c r="D572" s="3" t="str">
        <f>IF(ネクタイ縦横!E54="","",ネクタイ縦横!E54)</f>
        <v>無</v>
      </c>
      <c r="E572" s="3" t="str">
        <f>IF(ネクタイ縦横!X54="","",ネクタイ縦横!X54)</f>
        <v>ベースB</v>
      </c>
      <c r="F572" s="3" t="str">
        <f>IF(ネクタイ縦横!G54="","",ネクタイ縦横!G54)</f>
        <v/>
      </c>
      <c r="G572" s="3" t="str">
        <f>IF(ネクタイ縦横!H54="","",ネクタイ縦横!H54)</f>
        <v/>
      </c>
      <c r="H572" s="3" t="str">
        <f>IF(ネクタイ縦横!I54="","",ネクタイ縦横!I54)</f>
        <v/>
      </c>
      <c r="I572" s="3" t="str">
        <f>IF(ネクタイ縦横!J54="","",ネクタイ縦横!J54)</f>
        <v/>
      </c>
      <c r="J572" s="3" t="str">
        <f>IF(ネクタイ縦横!K54="","",ネクタイ縦横!K54)</f>
        <v/>
      </c>
      <c r="K572" s="3" t="str">
        <f>IF(ネクタイ縦横!L54="","",ネクタイ縦横!L54)</f>
        <v/>
      </c>
      <c r="L572" s="69" t="s">
        <v>80</v>
      </c>
      <c r="M572" s="69" t="s">
        <v>19</v>
      </c>
      <c r="N572" s="69" t="s">
        <v>20</v>
      </c>
      <c r="O572" s="69" t="s">
        <v>21</v>
      </c>
      <c r="P572" s="4" t="s">
        <v>3036</v>
      </c>
      <c r="Q572" s="4" t="s">
        <v>3038</v>
      </c>
      <c r="R572" s="69" t="s">
        <v>22</v>
      </c>
      <c r="S572" s="69" t="s">
        <v>23</v>
      </c>
      <c r="T572" s="69" t="s">
        <v>22</v>
      </c>
      <c r="U572" s="69" t="s">
        <v>24</v>
      </c>
      <c r="V572" s="3" t="str">
        <f>ネクタイ縦横!W54</f>
        <v>全長：約cm　最大幅：約cm</v>
      </c>
      <c r="W572" s="69" t="s">
        <v>26</v>
      </c>
      <c r="X572" s="69" t="s">
        <v>27</v>
      </c>
      <c r="Y572" s="69" t="s">
        <v>28</v>
      </c>
      <c r="Z572" s="69" t="s">
        <v>29</v>
      </c>
      <c r="AA572" s="4"/>
      <c r="AB572" s="4"/>
      <c r="AC572" s="4"/>
      <c r="AD572" s="70"/>
      <c r="AE572" s="70">
        <f>ネクタイ縦横!AB54</f>
        <v>0</v>
      </c>
      <c r="AF572" s="70" t="str">
        <f>ネクタイ縦横!O54</f>
        <v>通常</v>
      </c>
      <c r="AG572" s="70">
        <v>0</v>
      </c>
      <c r="AH572" s="6">
        <f>ネクタイ縦横!Z54</f>
        <v>0</v>
      </c>
      <c r="AI572">
        <v>1</v>
      </c>
      <c r="AJ572">
        <f>ネクタイ縦横!R54</f>
        <v>0</v>
      </c>
    </row>
    <row r="573" spans="1:36" ht="13.5" hidden="1" customHeight="1">
      <c r="A573" s="3" t="str">
        <f>IF(ネクタイ縦横!A55="","",ネクタイ縦横!A55)</f>
        <v/>
      </c>
      <c r="B573" s="68" t="str">
        <f>IF(ネクタイ縦横!B55="","",ネクタイ縦横!B55)</f>
        <v/>
      </c>
      <c r="C573" s="3" t="str">
        <f>IF(ネクタイ縦横!C55="","",ネクタイ縦横!C55)</f>
        <v>◇ E</v>
      </c>
      <c r="D573" s="3" t="str">
        <f>IF(ネクタイ縦横!E55="","",ネクタイ縦横!E55)</f>
        <v>無</v>
      </c>
      <c r="E573" s="3" t="str">
        <f>IF(ネクタイ縦横!X55="","",ネクタイ縦横!X55)</f>
        <v>ベースB</v>
      </c>
      <c r="F573" s="3" t="str">
        <f>IF(ネクタイ縦横!G55="","",ネクタイ縦横!G55)</f>
        <v/>
      </c>
      <c r="G573" s="3" t="str">
        <f>IF(ネクタイ縦横!H55="","",ネクタイ縦横!H55)</f>
        <v/>
      </c>
      <c r="H573" s="3" t="str">
        <f>IF(ネクタイ縦横!I55="","",ネクタイ縦横!I55)</f>
        <v/>
      </c>
      <c r="I573" s="3" t="str">
        <f>IF(ネクタイ縦横!J55="","",ネクタイ縦横!J55)</f>
        <v/>
      </c>
      <c r="J573" s="3" t="str">
        <f>IF(ネクタイ縦横!K55="","",ネクタイ縦横!K55)</f>
        <v/>
      </c>
      <c r="K573" s="3" t="str">
        <f>IF(ネクタイ縦横!L55="","",ネクタイ縦横!L55)</f>
        <v/>
      </c>
      <c r="L573" s="69" t="s">
        <v>80</v>
      </c>
      <c r="M573" s="69" t="s">
        <v>19</v>
      </c>
      <c r="N573" s="69" t="s">
        <v>20</v>
      </c>
      <c r="O573" s="69" t="s">
        <v>21</v>
      </c>
      <c r="P573" s="4" t="s">
        <v>3036</v>
      </c>
      <c r="Q573" s="4" t="s">
        <v>3038</v>
      </c>
      <c r="R573" s="69" t="s">
        <v>22</v>
      </c>
      <c r="S573" s="69" t="s">
        <v>23</v>
      </c>
      <c r="T573" s="69" t="s">
        <v>22</v>
      </c>
      <c r="U573" s="69" t="s">
        <v>24</v>
      </c>
      <c r="V573" s="3" t="str">
        <f>ネクタイ縦横!W55</f>
        <v>全長：約cm　最大幅：約cm</v>
      </c>
      <c r="W573" s="69" t="s">
        <v>26</v>
      </c>
      <c r="X573" s="69" t="s">
        <v>27</v>
      </c>
      <c r="Y573" s="69" t="s">
        <v>28</v>
      </c>
      <c r="Z573" s="69" t="s">
        <v>29</v>
      </c>
      <c r="AA573" s="4"/>
      <c r="AB573" s="4"/>
      <c r="AC573" s="4"/>
      <c r="AD573" s="70"/>
      <c r="AE573" s="70">
        <f>ネクタイ縦横!AB55</f>
        <v>0</v>
      </c>
      <c r="AF573" s="70" t="str">
        <f>ネクタイ縦横!O55</f>
        <v>通常</v>
      </c>
      <c r="AG573" s="70">
        <v>0</v>
      </c>
      <c r="AH573" s="6">
        <f>ネクタイ縦横!Z55</f>
        <v>0</v>
      </c>
      <c r="AI573">
        <v>1</v>
      </c>
      <c r="AJ573">
        <f>ネクタイ縦横!R55</f>
        <v>0</v>
      </c>
    </row>
    <row r="574" spans="1:36" ht="13.5" hidden="1" customHeight="1">
      <c r="A574" s="3" t="str">
        <f>IF(ネクタイ縦横!A56="","",ネクタイ縦横!A56)</f>
        <v/>
      </c>
      <c r="B574" s="68" t="str">
        <f>IF(ネクタイ縦横!B56="","",ネクタイ縦横!B56)</f>
        <v/>
      </c>
      <c r="C574" s="3" t="str">
        <f>IF(ネクタイ縦横!C56="","",ネクタイ縦横!C56)</f>
        <v>◇ E</v>
      </c>
      <c r="D574" s="3" t="str">
        <f>IF(ネクタイ縦横!E56="","",ネクタイ縦横!E56)</f>
        <v>無</v>
      </c>
      <c r="E574" s="3" t="str">
        <f>IF(ネクタイ縦横!X56="","",ネクタイ縦横!X56)</f>
        <v>ベースB</v>
      </c>
      <c r="F574" s="3" t="str">
        <f>IF(ネクタイ縦横!G56="","",ネクタイ縦横!G56)</f>
        <v/>
      </c>
      <c r="G574" s="3" t="str">
        <f>IF(ネクタイ縦横!H56="","",ネクタイ縦横!H56)</f>
        <v/>
      </c>
      <c r="H574" s="3" t="str">
        <f>IF(ネクタイ縦横!I56="","",ネクタイ縦横!I56)</f>
        <v/>
      </c>
      <c r="I574" s="3" t="str">
        <f>IF(ネクタイ縦横!J56="","",ネクタイ縦横!J56)</f>
        <v/>
      </c>
      <c r="J574" s="3" t="str">
        <f>IF(ネクタイ縦横!K56="","",ネクタイ縦横!K56)</f>
        <v/>
      </c>
      <c r="K574" s="3" t="str">
        <f>IF(ネクタイ縦横!L56="","",ネクタイ縦横!L56)</f>
        <v/>
      </c>
      <c r="L574" s="69" t="s">
        <v>80</v>
      </c>
      <c r="M574" s="69" t="s">
        <v>19</v>
      </c>
      <c r="N574" s="69" t="s">
        <v>20</v>
      </c>
      <c r="O574" s="69" t="s">
        <v>21</v>
      </c>
      <c r="P574" s="4" t="s">
        <v>3036</v>
      </c>
      <c r="Q574" s="4" t="s">
        <v>3038</v>
      </c>
      <c r="R574" s="69" t="s">
        <v>22</v>
      </c>
      <c r="S574" s="69" t="s">
        <v>23</v>
      </c>
      <c r="T574" s="69" t="s">
        <v>22</v>
      </c>
      <c r="U574" s="69" t="s">
        <v>24</v>
      </c>
      <c r="V574" s="3" t="str">
        <f>ネクタイ縦横!W56</f>
        <v>全長：約cm　最大幅：約cm</v>
      </c>
      <c r="W574" s="69" t="s">
        <v>26</v>
      </c>
      <c r="X574" s="69" t="s">
        <v>27</v>
      </c>
      <c r="Y574" s="69" t="s">
        <v>28</v>
      </c>
      <c r="Z574" s="69" t="s">
        <v>29</v>
      </c>
      <c r="AA574" s="4"/>
      <c r="AB574" s="4"/>
      <c r="AC574" s="4"/>
      <c r="AD574" s="70"/>
      <c r="AE574" s="70">
        <f>ネクタイ縦横!AB56</f>
        <v>0</v>
      </c>
      <c r="AF574" s="70" t="str">
        <f>ネクタイ縦横!O56</f>
        <v>通常</v>
      </c>
      <c r="AG574" s="70">
        <v>0</v>
      </c>
      <c r="AH574" s="6">
        <f>ネクタイ縦横!Z56</f>
        <v>0</v>
      </c>
      <c r="AI574">
        <v>1</v>
      </c>
      <c r="AJ574">
        <f>ネクタイ縦横!R56</f>
        <v>0</v>
      </c>
    </row>
    <row r="575" spans="1:36" ht="13.5" hidden="1" customHeight="1">
      <c r="A575" s="3" t="str">
        <f>IF(ネクタイ縦横!A57="","",ネクタイ縦横!A57)</f>
        <v/>
      </c>
      <c r="B575" s="68" t="str">
        <f>IF(ネクタイ縦横!B57="","",ネクタイ縦横!B57)</f>
        <v/>
      </c>
      <c r="C575" s="3" t="str">
        <f>IF(ネクタイ縦横!C57="","",ネクタイ縦横!C57)</f>
        <v>◇ E</v>
      </c>
      <c r="D575" s="3" t="str">
        <f>IF(ネクタイ縦横!E57="","",ネクタイ縦横!E57)</f>
        <v>無</v>
      </c>
      <c r="E575" s="3" t="str">
        <f>IF(ネクタイ縦横!X57="","",ネクタイ縦横!X57)</f>
        <v>ベースB</v>
      </c>
      <c r="F575" s="3" t="str">
        <f>IF(ネクタイ縦横!G57="","",ネクタイ縦横!G57)</f>
        <v/>
      </c>
      <c r="G575" s="3" t="str">
        <f>IF(ネクタイ縦横!H57="","",ネクタイ縦横!H57)</f>
        <v/>
      </c>
      <c r="H575" s="3" t="str">
        <f>IF(ネクタイ縦横!I57="","",ネクタイ縦横!I57)</f>
        <v/>
      </c>
      <c r="I575" s="3" t="str">
        <f>IF(ネクタイ縦横!J57="","",ネクタイ縦横!J57)</f>
        <v/>
      </c>
      <c r="J575" s="3" t="str">
        <f>IF(ネクタイ縦横!K57="","",ネクタイ縦横!K57)</f>
        <v/>
      </c>
      <c r="K575" s="3" t="str">
        <f>IF(ネクタイ縦横!L57="","",ネクタイ縦横!L57)</f>
        <v/>
      </c>
      <c r="L575" s="69" t="s">
        <v>80</v>
      </c>
      <c r="M575" s="69" t="s">
        <v>19</v>
      </c>
      <c r="N575" s="69" t="s">
        <v>20</v>
      </c>
      <c r="O575" s="69" t="s">
        <v>21</v>
      </c>
      <c r="P575" s="4" t="s">
        <v>3036</v>
      </c>
      <c r="Q575" s="4" t="s">
        <v>3038</v>
      </c>
      <c r="R575" s="69" t="s">
        <v>22</v>
      </c>
      <c r="S575" s="69" t="s">
        <v>23</v>
      </c>
      <c r="T575" s="69" t="s">
        <v>22</v>
      </c>
      <c r="U575" s="69" t="s">
        <v>24</v>
      </c>
      <c r="V575" s="3" t="str">
        <f>ネクタイ縦横!W57</f>
        <v>全長：約cm　最大幅：約cm</v>
      </c>
      <c r="W575" s="69" t="s">
        <v>26</v>
      </c>
      <c r="X575" s="69" t="s">
        <v>27</v>
      </c>
      <c r="Y575" s="69" t="s">
        <v>28</v>
      </c>
      <c r="Z575" s="69" t="s">
        <v>29</v>
      </c>
      <c r="AA575" s="4"/>
      <c r="AB575" s="4"/>
      <c r="AC575" s="4"/>
      <c r="AD575" s="70"/>
      <c r="AE575" s="70">
        <f>ネクタイ縦横!AB57</f>
        <v>0</v>
      </c>
      <c r="AF575" s="70" t="str">
        <f>ネクタイ縦横!O57</f>
        <v>通常</v>
      </c>
      <c r="AG575" s="70">
        <v>0</v>
      </c>
      <c r="AH575" s="6">
        <f>ネクタイ縦横!Z57</f>
        <v>0</v>
      </c>
      <c r="AI575">
        <v>1</v>
      </c>
      <c r="AJ575">
        <f>ネクタイ縦横!R57</f>
        <v>0</v>
      </c>
    </row>
    <row r="576" spans="1:36" ht="13.5" hidden="1" customHeight="1">
      <c r="A576" s="3" t="str">
        <f>IF(ネクタイ縦横!A58="","",ネクタイ縦横!A58)</f>
        <v/>
      </c>
      <c r="B576" s="68" t="str">
        <f>IF(ネクタイ縦横!B58="","",ネクタイ縦横!B58)</f>
        <v/>
      </c>
      <c r="C576" s="3" t="str">
        <f>IF(ネクタイ縦横!C58="","",ネクタイ縦横!C58)</f>
        <v>◇ E</v>
      </c>
      <c r="D576" s="3" t="str">
        <f>IF(ネクタイ縦横!E58="","",ネクタイ縦横!E58)</f>
        <v>無</v>
      </c>
      <c r="E576" s="3" t="str">
        <f>IF(ネクタイ縦横!X58="","",ネクタイ縦横!X58)</f>
        <v>ベースB</v>
      </c>
      <c r="F576" s="3" t="str">
        <f>IF(ネクタイ縦横!G58="","",ネクタイ縦横!G58)</f>
        <v/>
      </c>
      <c r="G576" s="3" t="str">
        <f>IF(ネクタイ縦横!H58="","",ネクタイ縦横!H58)</f>
        <v/>
      </c>
      <c r="H576" s="3" t="str">
        <f>IF(ネクタイ縦横!I58="","",ネクタイ縦横!I58)</f>
        <v/>
      </c>
      <c r="I576" s="3" t="str">
        <f>IF(ネクタイ縦横!J58="","",ネクタイ縦横!J58)</f>
        <v/>
      </c>
      <c r="J576" s="3" t="str">
        <f>IF(ネクタイ縦横!K58="","",ネクタイ縦横!K58)</f>
        <v/>
      </c>
      <c r="K576" s="3" t="str">
        <f>IF(ネクタイ縦横!L58="","",ネクタイ縦横!L58)</f>
        <v/>
      </c>
      <c r="L576" s="69" t="s">
        <v>80</v>
      </c>
      <c r="M576" s="69" t="s">
        <v>19</v>
      </c>
      <c r="N576" s="69" t="s">
        <v>20</v>
      </c>
      <c r="O576" s="69" t="s">
        <v>21</v>
      </c>
      <c r="P576" s="4" t="s">
        <v>3036</v>
      </c>
      <c r="Q576" s="4" t="s">
        <v>3038</v>
      </c>
      <c r="R576" s="69" t="s">
        <v>22</v>
      </c>
      <c r="S576" s="69" t="s">
        <v>23</v>
      </c>
      <c r="T576" s="69" t="s">
        <v>22</v>
      </c>
      <c r="U576" s="69" t="s">
        <v>24</v>
      </c>
      <c r="V576" s="3" t="str">
        <f>ネクタイ縦横!W58</f>
        <v>全長：約cm　最大幅：約cm</v>
      </c>
      <c r="W576" s="69" t="s">
        <v>26</v>
      </c>
      <c r="X576" s="69" t="s">
        <v>27</v>
      </c>
      <c r="Y576" s="69" t="s">
        <v>28</v>
      </c>
      <c r="Z576" s="69" t="s">
        <v>29</v>
      </c>
      <c r="AA576" s="4"/>
      <c r="AB576" s="4"/>
      <c r="AC576" s="4"/>
      <c r="AD576" s="70"/>
      <c r="AE576" s="70">
        <f>ネクタイ縦横!AB58</f>
        <v>0</v>
      </c>
      <c r="AF576" s="70" t="str">
        <f>ネクタイ縦横!O58</f>
        <v>通常</v>
      </c>
      <c r="AG576" s="70">
        <v>0</v>
      </c>
      <c r="AH576" s="6">
        <f>ネクタイ縦横!Z58</f>
        <v>0</v>
      </c>
      <c r="AI576">
        <v>1</v>
      </c>
      <c r="AJ576">
        <f>ネクタイ縦横!R58</f>
        <v>0</v>
      </c>
    </row>
    <row r="577" spans="1:36" ht="13.5" hidden="1" customHeight="1">
      <c r="A577" s="3" t="str">
        <f>IF(ネクタイ縦横!A59="","",ネクタイ縦横!A59)</f>
        <v/>
      </c>
      <c r="B577" s="68" t="str">
        <f>IF(ネクタイ縦横!B59="","",ネクタイ縦横!B59)</f>
        <v/>
      </c>
      <c r="C577" s="3" t="str">
        <f>IF(ネクタイ縦横!C59="","",ネクタイ縦横!C59)</f>
        <v>◇ E</v>
      </c>
      <c r="D577" s="3" t="str">
        <f>IF(ネクタイ縦横!E59="","",ネクタイ縦横!E59)</f>
        <v>無</v>
      </c>
      <c r="E577" s="3" t="str">
        <f>IF(ネクタイ縦横!X59="","",ネクタイ縦横!X59)</f>
        <v>ベースB</v>
      </c>
      <c r="F577" s="3" t="str">
        <f>IF(ネクタイ縦横!G59="","",ネクタイ縦横!G59)</f>
        <v/>
      </c>
      <c r="G577" s="3" t="str">
        <f>IF(ネクタイ縦横!H59="","",ネクタイ縦横!H59)</f>
        <v/>
      </c>
      <c r="H577" s="3" t="str">
        <f>IF(ネクタイ縦横!I59="","",ネクタイ縦横!I59)</f>
        <v/>
      </c>
      <c r="I577" s="3" t="str">
        <f>IF(ネクタイ縦横!J59="","",ネクタイ縦横!J59)</f>
        <v/>
      </c>
      <c r="J577" s="3" t="str">
        <f>IF(ネクタイ縦横!K59="","",ネクタイ縦横!K59)</f>
        <v/>
      </c>
      <c r="K577" s="3" t="str">
        <f>IF(ネクタイ縦横!L59="","",ネクタイ縦横!L59)</f>
        <v/>
      </c>
      <c r="L577" s="69" t="s">
        <v>80</v>
      </c>
      <c r="M577" s="69" t="s">
        <v>19</v>
      </c>
      <c r="N577" s="69" t="s">
        <v>20</v>
      </c>
      <c r="O577" s="69" t="s">
        <v>21</v>
      </c>
      <c r="P577" s="4" t="s">
        <v>3036</v>
      </c>
      <c r="Q577" s="4" t="s">
        <v>3038</v>
      </c>
      <c r="R577" s="69" t="s">
        <v>22</v>
      </c>
      <c r="S577" s="69" t="s">
        <v>23</v>
      </c>
      <c r="T577" s="69" t="s">
        <v>22</v>
      </c>
      <c r="U577" s="69" t="s">
        <v>24</v>
      </c>
      <c r="V577" s="3" t="str">
        <f>ネクタイ縦横!W59</f>
        <v>全長：約cm　最大幅：約cm</v>
      </c>
      <c r="W577" s="69" t="s">
        <v>26</v>
      </c>
      <c r="X577" s="69" t="s">
        <v>27</v>
      </c>
      <c r="Y577" s="69" t="s">
        <v>28</v>
      </c>
      <c r="Z577" s="69" t="s">
        <v>29</v>
      </c>
      <c r="AA577" s="4"/>
      <c r="AB577" s="4"/>
      <c r="AC577" s="4"/>
      <c r="AD577" s="70"/>
      <c r="AE577" s="70">
        <f>ネクタイ縦横!AB59</f>
        <v>0</v>
      </c>
      <c r="AF577" s="70" t="str">
        <f>ネクタイ縦横!O59</f>
        <v>通常</v>
      </c>
      <c r="AG577" s="70">
        <v>0</v>
      </c>
      <c r="AH577" s="6">
        <f>ネクタイ縦横!Z59</f>
        <v>0</v>
      </c>
      <c r="AI577">
        <v>1</v>
      </c>
      <c r="AJ577">
        <f>ネクタイ縦横!R59</f>
        <v>0</v>
      </c>
    </row>
    <row r="578" spans="1:36" ht="13.5" hidden="1" customHeight="1">
      <c r="A578" s="3" t="str">
        <f>IF(ネクタイ縦横!A60="","",ネクタイ縦横!A60)</f>
        <v/>
      </c>
      <c r="B578" s="68" t="str">
        <f>IF(ネクタイ縦横!B60="","",ネクタイ縦横!B60)</f>
        <v/>
      </c>
      <c r="C578" s="3" t="str">
        <f>IF(ネクタイ縦横!C60="","",ネクタイ縦横!C60)</f>
        <v>◇ E</v>
      </c>
      <c r="D578" s="3" t="str">
        <f>IF(ネクタイ縦横!E60="","",ネクタイ縦横!E60)</f>
        <v>無</v>
      </c>
      <c r="E578" s="3" t="str">
        <f>IF(ネクタイ縦横!X60="","",ネクタイ縦横!X60)</f>
        <v>ベースB</v>
      </c>
      <c r="F578" s="3" t="str">
        <f>IF(ネクタイ縦横!G60="","",ネクタイ縦横!G60)</f>
        <v/>
      </c>
      <c r="G578" s="3" t="str">
        <f>IF(ネクタイ縦横!H60="","",ネクタイ縦横!H60)</f>
        <v/>
      </c>
      <c r="H578" s="3" t="str">
        <f>IF(ネクタイ縦横!I60="","",ネクタイ縦横!I60)</f>
        <v/>
      </c>
      <c r="I578" s="3" t="str">
        <f>IF(ネクタイ縦横!J60="","",ネクタイ縦横!J60)</f>
        <v/>
      </c>
      <c r="J578" s="3" t="str">
        <f>IF(ネクタイ縦横!K60="","",ネクタイ縦横!K60)</f>
        <v/>
      </c>
      <c r="K578" s="3" t="str">
        <f>IF(ネクタイ縦横!L60="","",ネクタイ縦横!L60)</f>
        <v/>
      </c>
      <c r="L578" s="69" t="s">
        <v>80</v>
      </c>
      <c r="M578" s="69" t="s">
        <v>19</v>
      </c>
      <c r="N578" s="69" t="s">
        <v>20</v>
      </c>
      <c r="O578" s="69" t="s">
        <v>21</v>
      </c>
      <c r="P578" s="4" t="s">
        <v>3036</v>
      </c>
      <c r="Q578" s="4" t="s">
        <v>3038</v>
      </c>
      <c r="R578" s="69" t="s">
        <v>22</v>
      </c>
      <c r="S578" s="69" t="s">
        <v>23</v>
      </c>
      <c r="T578" s="69" t="s">
        <v>22</v>
      </c>
      <c r="U578" s="69" t="s">
        <v>24</v>
      </c>
      <c r="V578" s="3" t="str">
        <f>ネクタイ縦横!W60</f>
        <v>全長：約cm　最大幅：約cm</v>
      </c>
      <c r="W578" s="69" t="s">
        <v>26</v>
      </c>
      <c r="X578" s="69" t="s">
        <v>27</v>
      </c>
      <c r="Y578" s="69" t="s">
        <v>28</v>
      </c>
      <c r="Z578" s="69" t="s">
        <v>29</v>
      </c>
      <c r="AA578" s="4"/>
      <c r="AB578" s="4"/>
      <c r="AC578" s="4"/>
      <c r="AD578" s="70"/>
      <c r="AE578" s="70">
        <f>ネクタイ縦横!AB60</f>
        <v>0</v>
      </c>
      <c r="AF578" s="70" t="str">
        <f>ネクタイ縦横!O60</f>
        <v>通常</v>
      </c>
      <c r="AG578" s="70">
        <v>0</v>
      </c>
      <c r="AH578" s="6">
        <f>ネクタイ縦横!Z60</f>
        <v>0</v>
      </c>
      <c r="AI578">
        <v>1</v>
      </c>
      <c r="AJ578">
        <f>ネクタイ縦横!R60</f>
        <v>0</v>
      </c>
    </row>
    <row r="579" spans="1:36" ht="13.5" hidden="1" customHeight="1">
      <c r="A579" s="3" t="str">
        <f>IF(ネクタイ縦横!A61="","",ネクタイ縦横!A61)</f>
        <v/>
      </c>
      <c r="B579" s="68" t="str">
        <f>IF(ネクタイ縦横!B61="","",ネクタイ縦横!B61)</f>
        <v/>
      </c>
      <c r="C579" s="3" t="str">
        <f>IF(ネクタイ縦横!C61="","",ネクタイ縦横!C61)</f>
        <v>◇ E</v>
      </c>
      <c r="D579" s="3" t="str">
        <f>IF(ネクタイ縦横!E61="","",ネクタイ縦横!E61)</f>
        <v>無</v>
      </c>
      <c r="E579" s="3" t="str">
        <f>IF(ネクタイ縦横!X61="","",ネクタイ縦横!X61)</f>
        <v>ベースB</v>
      </c>
      <c r="F579" s="3" t="str">
        <f>IF(ネクタイ縦横!G61="","",ネクタイ縦横!G61)</f>
        <v/>
      </c>
      <c r="G579" s="3" t="str">
        <f>IF(ネクタイ縦横!H61="","",ネクタイ縦横!H61)</f>
        <v/>
      </c>
      <c r="H579" s="3" t="str">
        <f>IF(ネクタイ縦横!I61="","",ネクタイ縦横!I61)</f>
        <v/>
      </c>
      <c r="I579" s="3" t="str">
        <f>IF(ネクタイ縦横!J61="","",ネクタイ縦横!J61)</f>
        <v/>
      </c>
      <c r="J579" s="3" t="str">
        <f>IF(ネクタイ縦横!K61="","",ネクタイ縦横!K61)</f>
        <v/>
      </c>
      <c r="K579" s="3" t="str">
        <f>IF(ネクタイ縦横!L61="","",ネクタイ縦横!L61)</f>
        <v/>
      </c>
      <c r="L579" s="69" t="s">
        <v>80</v>
      </c>
      <c r="M579" s="69" t="s">
        <v>19</v>
      </c>
      <c r="N579" s="69" t="s">
        <v>20</v>
      </c>
      <c r="O579" s="69" t="s">
        <v>21</v>
      </c>
      <c r="P579" s="4" t="s">
        <v>3036</v>
      </c>
      <c r="Q579" s="4" t="s">
        <v>3038</v>
      </c>
      <c r="R579" s="69" t="s">
        <v>22</v>
      </c>
      <c r="S579" s="69" t="s">
        <v>23</v>
      </c>
      <c r="T579" s="69" t="s">
        <v>22</v>
      </c>
      <c r="U579" s="69" t="s">
        <v>24</v>
      </c>
      <c r="V579" s="3" t="str">
        <f>ネクタイ縦横!W61</f>
        <v>全長：約cm　最大幅：約cm</v>
      </c>
      <c r="W579" s="69" t="s">
        <v>26</v>
      </c>
      <c r="X579" s="69" t="s">
        <v>27</v>
      </c>
      <c r="Y579" s="69" t="s">
        <v>28</v>
      </c>
      <c r="Z579" s="69" t="s">
        <v>29</v>
      </c>
      <c r="AA579" s="4"/>
      <c r="AB579" s="4"/>
      <c r="AC579" s="4"/>
      <c r="AD579" s="70"/>
      <c r="AE579" s="70">
        <f>ネクタイ縦横!AB61</f>
        <v>0</v>
      </c>
      <c r="AF579" s="70" t="str">
        <f>ネクタイ縦横!O61</f>
        <v>通常</v>
      </c>
      <c r="AG579" s="70">
        <v>0</v>
      </c>
      <c r="AH579" s="6">
        <f>ネクタイ縦横!Z61</f>
        <v>0</v>
      </c>
      <c r="AI579">
        <v>1</v>
      </c>
      <c r="AJ579">
        <f>ネクタイ縦横!R61</f>
        <v>0</v>
      </c>
    </row>
    <row r="580" spans="1:36" ht="13.5" hidden="1" customHeight="1">
      <c r="A580" s="3" t="str">
        <f>IF(ネクタイ縦横!A62="","",ネクタイ縦横!A62)</f>
        <v/>
      </c>
      <c r="B580" s="68" t="str">
        <f>IF(ネクタイ縦横!B62="","",ネクタイ縦横!B62)</f>
        <v/>
      </c>
      <c r="C580" s="3" t="str">
        <f>IF(ネクタイ縦横!C62="","",ネクタイ縦横!C62)</f>
        <v>◇ E</v>
      </c>
      <c r="D580" s="3" t="str">
        <f>IF(ネクタイ縦横!E62="","",ネクタイ縦横!E62)</f>
        <v>無</v>
      </c>
      <c r="E580" s="3" t="str">
        <f>IF(ネクタイ縦横!X62="","",ネクタイ縦横!X62)</f>
        <v>ベースB</v>
      </c>
      <c r="F580" s="3" t="str">
        <f>IF(ネクタイ縦横!G62="","",ネクタイ縦横!G62)</f>
        <v/>
      </c>
      <c r="G580" s="3" t="str">
        <f>IF(ネクタイ縦横!H62="","",ネクタイ縦横!H62)</f>
        <v/>
      </c>
      <c r="H580" s="3" t="str">
        <f>IF(ネクタイ縦横!I62="","",ネクタイ縦横!I62)</f>
        <v/>
      </c>
      <c r="I580" s="3" t="str">
        <f>IF(ネクタイ縦横!J62="","",ネクタイ縦横!J62)</f>
        <v/>
      </c>
      <c r="J580" s="3" t="str">
        <f>IF(ネクタイ縦横!K62="","",ネクタイ縦横!K62)</f>
        <v/>
      </c>
      <c r="K580" s="3" t="str">
        <f>IF(ネクタイ縦横!L62="","",ネクタイ縦横!L62)</f>
        <v/>
      </c>
      <c r="L580" s="69" t="s">
        <v>80</v>
      </c>
      <c r="M580" s="69" t="s">
        <v>19</v>
      </c>
      <c r="N580" s="69" t="s">
        <v>20</v>
      </c>
      <c r="O580" s="69" t="s">
        <v>21</v>
      </c>
      <c r="P580" s="4" t="s">
        <v>3036</v>
      </c>
      <c r="Q580" s="4" t="s">
        <v>3038</v>
      </c>
      <c r="R580" s="69" t="s">
        <v>22</v>
      </c>
      <c r="S580" s="69" t="s">
        <v>23</v>
      </c>
      <c r="T580" s="69" t="s">
        <v>22</v>
      </c>
      <c r="U580" s="69" t="s">
        <v>24</v>
      </c>
      <c r="V580" s="3" t="str">
        <f>ネクタイ縦横!W62</f>
        <v>全長：約cm　最大幅：約cm</v>
      </c>
      <c r="W580" s="69" t="s">
        <v>26</v>
      </c>
      <c r="X580" s="69" t="s">
        <v>27</v>
      </c>
      <c r="Y580" s="69" t="s">
        <v>28</v>
      </c>
      <c r="Z580" s="69" t="s">
        <v>29</v>
      </c>
      <c r="AA580" s="4"/>
      <c r="AB580" s="4"/>
      <c r="AC580" s="4"/>
      <c r="AD580" s="70"/>
      <c r="AE580" s="70">
        <f>ネクタイ縦横!AB62</f>
        <v>0</v>
      </c>
      <c r="AF580" s="70" t="str">
        <f>ネクタイ縦横!O62</f>
        <v>通常</v>
      </c>
      <c r="AG580" s="70">
        <v>0</v>
      </c>
      <c r="AH580" s="6">
        <f>ネクタイ縦横!Z62</f>
        <v>0</v>
      </c>
      <c r="AI580">
        <v>1</v>
      </c>
      <c r="AJ580">
        <f>ネクタイ縦横!R62</f>
        <v>0</v>
      </c>
    </row>
    <row r="581" spans="1:36" ht="13.5" hidden="1" customHeight="1">
      <c r="A581" s="3" t="str">
        <f>IF(ネクタイ縦横!A63="","",ネクタイ縦横!A63)</f>
        <v/>
      </c>
      <c r="B581" s="68" t="str">
        <f>IF(ネクタイ縦横!B63="","",ネクタイ縦横!B63)</f>
        <v/>
      </c>
      <c r="C581" s="3" t="str">
        <f>IF(ネクタイ縦横!C63="","",ネクタイ縦横!C63)</f>
        <v>◇ E</v>
      </c>
      <c r="D581" s="3" t="str">
        <f>IF(ネクタイ縦横!E63="","",ネクタイ縦横!E63)</f>
        <v>無</v>
      </c>
      <c r="E581" s="3" t="str">
        <f>IF(ネクタイ縦横!X63="","",ネクタイ縦横!X63)</f>
        <v>ベースB</v>
      </c>
      <c r="F581" s="3" t="str">
        <f>IF(ネクタイ縦横!G63="","",ネクタイ縦横!G63)</f>
        <v/>
      </c>
      <c r="G581" s="3" t="str">
        <f>IF(ネクタイ縦横!H63="","",ネクタイ縦横!H63)</f>
        <v/>
      </c>
      <c r="H581" s="3" t="str">
        <f>IF(ネクタイ縦横!I63="","",ネクタイ縦横!I63)</f>
        <v/>
      </c>
      <c r="I581" s="3" t="str">
        <f>IF(ネクタイ縦横!J63="","",ネクタイ縦横!J63)</f>
        <v/>
      </c>
      <c r="J581" s="3" t="str">
        <f>IF(ネクタイ縦横!K63="","",ネクタイ縦横!K63)</f>
        <v/>
      </c>
      <c r="K581" s="3" t="str">
        <f>IF(ネクタイ縦横!L63="","",ネクタイ縦横!L63)</f>
        <v/>
      </c>
      <c r="L581" s="69" t="s">
        <v>80</v>
      </c>
      <c r="M581" s="69" t="s">
        <v>19</v>
      </c>
      <c r="N581" s="69" t="s">
        <v>20</v>
      </c>
      <c r="O581" s="69" t="s">
        <v>21</v>
      </c>
      <c r="P581" s="4" t="s">
        <v>3036</v>
      </c>
      <c r="Q581" s="4" t="s">
        <v>3038</v>
      </c>
      <c r="R581" s="69" t="s">
        <v>22</v>
      </c>
      <c r="S581" s="69" t="s">
        <v>23</v>
      </c>
      <c r="T581" s="69" t="s">
        <v>22</v>
      </c>
      <c r="U581" s="69" t="s">
        <v>24</v>
      </c>
      <c r="V581" s="3" t="str">
        <f>ネクタイ縦横!W63</f>
        <v>全長：約cm　最大幅：約cm</v>
      </c>
      <c r="W581" s="69" t="s">
        <v>26</v>
      </c>
      <c r="X581" s="69" t="s">
        <v>27</v>
      </c>
      <c r="Y581" s="69" t="s">
        <v>28</v>
      </c>
      <c r="Z581" s="69" t="s">
        <v>29</v>
      </c>
      <c r="AA581" s="4"/>
      <c r="AB581" s="4"/>
      <c r="AC581" s="4"/>
      <c r="AD581" s="70"/>
      <c r="AE581" s="70">
        <f>ネクタイ縦横!AB63</f>
        <v>0</v>
      </c>
      <c r="AF581" s="70" t="str">
        <f>ネクタイ縦横!O63</f>
        <v>通常</v>
      </c>
      <c r="AG581" s="70">
        <v>0</v>
      </c>
      <c r="AH581" s="6">
        <f>ネクタイ縦横!Z63</f>
        <v>0</v>
      </c>
      <c r="AI581">
        <v>1</v>
      </c>
      <c r="AJ581">
        <f>ネクタイ縦横!R63</f>
        <v>0</v>
      </c>
    </row>
    <row r="582" spans="1:36" ht="13.5" hidden="1" customHeight="1">
      <c r="A582" s="3" t="str">
        <f>IF(ネクタイ縦横!A64="","",ネクタイ縦横!A64)</f>
        <v/>
      </c>
      <c r="B582" s="68" t="str">
        <f>IF(ネクタイ縦横!B64="","",ネクタイ縦横!B64)</f>
        <v/>
      </c>
      <c r="C582" s="3" t="str">
        <f>IF(ネクタイ縦横!C64="","",ネクタイ縦横!C64)</f>
        <v>◇ E</v>
      </c>
      <c r="D582" s="3" t="str">
        <f>IF(ネクタイ縦横!E64="","",ネクタイ縦横!E64)</f>
        <v>無</v>
      </c>
      <c r="E582" s="3" t="str">
        <f>IF(ネクタイ縦横!X64="","",ネクタイ縦横!X64)</f>
        <v>ベースB</v>
      </c>
      <c r="F582" s="3" t="str">
        <f>IF(ネクタイ縦横!G64="","",ネクタイ縦横!G64)</f>
        <v/>
      </c>
      <c r="G582" s="3" t="str">
        <f>IF(ネクタイ縦横!H64="","",ネクタイ縦横!H64)</f>
        <v/>
      </c>
      <c r="H582" s="3" t="str">
        <f>IF(ネクタイ縦横!I64="","",ネクタイ縦横!I64)</f>
        <v/>
      </c>
      <c r="I582" s="3" t="str">
        <f>IF(ネクタイ縦横!J64="","",ネクタイ縦横!J64)</f>
        <v/>
      </c>
      <c r="J582" s="3" t="str">
        <f>IF(ネクタイ縦横!K64="","",ネクタイ縦横!K64)</f>
        <v/>
      </c>
      <c r="K582" s="3" t="str">
        <f>IF(ネクタイ縦横!L64="","",ネクタイ縦横!L64)</f>
        <v/>
      </c>
      <c r="L582" s="69" t="s">
        <v>80</v>
      </c>
      <c r="M582" s="69" t="s">
        <v>19</v>
      </c>
      <c r="N582" s="69" t="s">
        <v>20</v>
      </c>
      <c r="O582" s="69" t="s">
        <v>21</v>
      </c>
      <c r="P582" s="4" t="s">
        <v>3036</v>
      </c>
      <c r="Q582" s="4" t="s">
        <v>3038</v>
      </c>
      <c r="R582" s="69" t="s">
        <v>22</v>
      </c>
      <c r="S582" s="69" t="s">
        <v>23</v>
      </c>
      <c r="T582" s="69" t="s">
        <v>22</v>
      </c>
      <c r="U582" s="69" t="s">
        <v>24</v>
      </c>
      <c r="V582" s="3" t="str">
        <f>ネクタイ縦横!W64</f>
        <v>全長：約cm　最大幅：約cm</v>
      </c>
      <c r="W582" s="69" t="s">
        <v>26</v>
      </c>
      <c r="X582" s="69" t="s">
        <v>27</v>
      </c>
      <c r="Y582" s="69" t="s">
        <v>28</v>
      </c>
      <c r="Z582" s="69" t="s">
        <v>29</v>
      </c>
      <c r="AA582" s="4"/>
      <c r="AB582" s="4"/>
      <c r="AC582" s="4"/>
      <c r="AD582" s="70"/>
      <c r="AE582" s="70">
        <f>ネクタイ縦横!AB64</f>
        <v>0</v>
      </c>
      <c r="AF582" s="70" t="str">
        <f>ネクタイ縦横!O64</f>
        <v>通常</v>
      </c>
      <c r="AG582" s="70">
        <v>0</v>
      </c>
      <c r="AH582" s="6">
        <f>ネクタイ縦横!Z64</f>
        <v>0</v>
      </c>
      <c r="AI582">
        <v>1</v>
      </c>
      <c r="AJ582">
        <f>ネクタイ縦横!R64</f>
        <v>0</v>
      </c>
    </row>
    <row r="583" spans="1:36" ht="13.5" hidden="1" customHeight="1">
      <c r="A583" s="3" t="str">
        <f>IF(ネクタイ縦横!A65="","",ネクタイ縦横!A65)</f>
        <v/>
      </c>
      <c r="B583" s="68" t="str">
        <f>IF(ネクタイ縦横!B65="","",ネクタイ縦横!B65)</f>
        <v/>
      </c>
      <c r="C583" s="3" t="str">
        <f>IF(ネクタイ縦横!C65="","",ネクタイ縦横!C65)</f>
        <v>◇ E</v>
      </c>
      <c r="D583" s="3" t="str">
        <f>IF(ネクタイ縦横!E65="","",ネクタイ縦横!E65)</f>
        <v>無</v>
      </c>
      <c r="E583" s="3" t="str">
        <f>IF(ネクタイ縦横!X65="","",ネクタイ縦横!X65)</f>
        <v>ベースB</v>
      </c>
      <c r="F583" s="3" t="str">
        <f>IF(ネクタイ縦横!G65="","",ネクタイ縦横!G65)</f>
        <v/>
      </c>
      <c r="G583" s="3" t="str">
        <f>IF(ネクタイ縦横!H65="","",ネクタイ縦横!H65)</f>
        <v/>
      </c>
      <c r="H583" s="3" t="str">
        <f>IF(ネクタイ縦横!I65="","",ネクタイ縦横!I65)</f>
        <v/>
      </c>
      <c r="I583" s="3" t="str">
        <f>IF(ネクタイ縦横!J65="","",ネクタイ縦横!J65)</f>
        <v/>
      </c>
      <c r="J583" s="3" t="str">
        <f>IF(ネクタイ縦横!K65="","",ネクタイ縦横!K65)</f>
        <v/>
      </c>
      <c r="K583" s="3" t="str">
        <f>IF(ネクタイ縦横!L65="","",ネクタイ縦横!L65)</f>
        <v/>
      </c>
      <c r="L583" s="69" t="s">
        <v>80</v>
      </c>
      <c r="M583" s="69" t="s">
        <v>19</v>
      </c>
      <c r="N583" s="69" t="s">
        <v>20</v>
      </c>
      <c r="O583" s="69" t="s">
        <v>21</v>
      </c>
      <c r="P583" s="4" t="s">
        <v>3036</v>
      </c>
      <c r="Q583" s="4" t="s">
        <v>3038</v>
      </c>
      <c r="R583" s="69" t="s">
        <v>22</v>
      </c>
      <c r="S583" s="69" t="s">
        <v>23</v>
      </c>
      <c r="T583" s="69" t="s">
        <v>22</v>
      </c>
      <c r="U583" s="69" t="s">
        <v>24</v>
      </c>
      <c r="V583" s="3" t="str">
        <f>ネクタイ縦横!W65</f>
        <v>全長：約cm　最大幅：約cm</v>
      </c>
      <c r="W583" s="69" t="s">
        <v>26</v>
      </c>
      <c r="X583" s="69" t="s">
        <v>27</v>
      </c>
      <c r="Y583" s="69" t="s">
        <v>28</v>
      </c>
      <c r="Z583" s="69" t="s">
        <v>29</v>
      </c>
      <c r="AA583" s="4"/>
      <c r="AB583" s="4"/>
      <c r="AC583" s="4"/>
      <c r="AD583" s="70"/>
      <c r="AE583" s="70">
        <f>ネクタイ縦横!AB65</f>
        <v>0</v>
      </c>
      <c r="AF583" s="70" t="str">
        <f>ネクタイ縦横!O65</f>
        <v>通常</v>
      </c>
      <c r="AG583" s="70">
        <v>0</v>
      </c>
      <c r="AH583" s="6">
        <f>ネクタイ縦横!Z65</f>
        <v>0</v>
      </c>
      <c r="AI583">
        <v>1</v>
      </c>
      <c r="AJ583">
        <f>ネクタイ縦横!R65</f>
        <v>0</v>
      </c>
    </row>
    <row r="584" spans="1:36" ht="13.5" hidden="1" customHeight="1">
      <c r="A584" s="3" t="str">
        <f>IF(ネクタイ縦横!A66="","",ネクタイ縦横!A66)</f>
        <v/>
      </c>
      <c r="B584" s="68" t="str">
        <f>IF(ネクタイ縦横!B66="","",ネクタイ縦横!B66)</f>
        <v/>
      </c>
      <c r="C584" s="3" t="str">
        <f>IF(ネクタイ縦横!C66="","",ネクタイ縦横!C66)</f>
        <v>◇ E</v>
      </c>
      <c r="D584" s="3" t="str">
        <f>IF(ネクタイ縦横!E66="","",ネクタイ縦横!E66)</f>
        <v>無</v>
      </c>
      <c r="E584" s="3" t="str">
        <f>IF(ネクタイ縦横!X66="","",ネクタイ縦横!X66)</f>
        <v>ベースB</v>
      </c>
      <c r="F584" s="3" t="str">
        <f>IF(ネクタイ縦横!G66="","",ネクタイ縦横!G66)</f>
        <v/>
      </c>
      <c r="G584" s="3" t="str">
        <f>IF(ネクタイ縦横!H66="","",ネクタイ縦横!H66)</f>
        <v/>
      </c>
      <c r="H584" s="3" t="str">
        <f>IF(ネクタイ縦横!I66="","",ネクタイ縦横!I66)</f>
        <v/>
      </c>
      <c r="I584" s="3" t="str">
        <f>IF(ネクタイ縦横!J66="","",ネクタイ縦横!J66)</f>
        <v/>
      </c>
      <c r="J584" s="3" t="str">
        <f>IF(ネクタイ縦横!K66="","",ネクタイ縦横!K66)</f>
        <v/>
      </c>
      <c r="K584" s="3" t="str">
        <f>IF(ネクタイ縦横!L66="","",ネクタイ縦横!L66)</f>
        <v/>
      </c>
      <c r="L584" s="69" t="s">
        <v>80</v>
      </c>
      <c r="M584" s="69" t="s">
        <v>19</v>
      </c>
      <c r="N584" s="69" t="s">
        <v>20</v>
      </c>
      <c r="O584" s="69" t="s">
        <v>21</v>
      </c>
      <c r="P584" s="4" t="s">
        <v>3036</v>
      </c>
      <c r="Q584" s="4" t="s">
        <v>3038</v>
      </c>
      <c r="R584" s="69" t="s">
        <v>22</v>
      </c>
      <c r="S584" s="69" t="s">
        <v>23</v>
      </c>
      <c r="T584" s="69" t="s">
        <v>22</v>
      </c>
      <c r="U584" s="69" t="s">
        <v>24</v>
      </c>
      <c r="V584" s="3" t="str">
        <f>ネクタイ縦横!W66</f>
        <v>全長：約cm　最大幅：約cm</v>
      </c>
      <c r="W584" s="69" t="s">
        <v>26</v>
      </c>
      <c r="X584" s="69" t="s">
        <v>27</v>
      </c>
      <c r="Y584" s="69" t="s">
        <v>28</v>
      </c>
      <c r="Z584" s="69" t="s">
        <v>29</v>
      </c>
      <c r="AA584" s="4"/>
      <c r="AB584" s="4"/>
      <c r="AC584" s="4"/>
      <c r="AD584" s="70"/>
      <c r="AE584" s="70">
        <f>ネクタイ縦横!AB66</f>
        <v>0</v>
      </c>
      <c r="AF584" s="70" t="str">
        <f>ネクタイ縦横!O66</f>
        <v>通常</v>
      </c>
      <c r="AG584" s="70">
        <v>0</v>
      </c>
      <c r="AH584" s="6">
        <f>ネクタイ縦横!Z66</f>
        <v>0</v>
      </c>
      <c r="AI584">
        <v>1</v>
      </c>
      <c r="AJ584">
        <f>ネクタイ縦横!R66</f>
        <v>0</v>
      </c>
    </row>
    <row r="585" spans="1:36" ht="13.5" hidden="1" customHeight="1">
      <c r="A585" s="3" t="str">
        <f>IF(ネクタイ縦横!A67="","",ネクタイ縦横!A67)</f>
        <v/>
      </c>
      <c r="B585" s="68" t="str">
        <f>IF(ネクタイ縦横!B67="","",ネクタイ縦横!B67)</f>
        <v/>
      </c>
      <c r="C585" s="3" t="str">
        <f>IF(ネクタイ縦横!C67="","",ネクタイ縦横!C67)</f>
        <v>◇ E</v>
      </c>
      <c r="D585" s="3" t="str">
        <f>IF(ネクタイ縦横!E67="","",ネクタイ縦横!E67)</f>
        <v>無</v>
      </c>
      <c r="E585" s="3" t="str">
        <f>IF(ネクタイ縦横!X67="","",ネクタイ縦横!X67)</f>
        <v>ベースB</v>
      </c>
      <c r="F585" s="3" t="str">
        <f>IF(ネクタイ縦横!G67="","",ネクタイ縦横!G67)</f>
        <v/>
      </c>
      <c r="G585" s="3" t="str">
        <f>IF(ネクタイ縦横!H67="","",ネクタイ縦横!H67)</f>
        <v/>
      </c>
      <c r="H585" s="3" t="str">
        <f>IF(ネクタイ縦横!I67="","",ネクタイ縦横!I67)</f>
        <v/>
      </c>
      <c r="I585" s="3" t="str">
        <f>IF(ネクタイ縦横!J67="","",ネクタイ縦横!J67)</f>
        <v/>
      </c>
      <c r="J585" s="3" t="str">
        <f>IF(ネクタイ縦横!K67="","",ネクタイ縦横!K67)</f>
        <v/>
      </c>
      <c r="K585" s="3" t="str">
        <f>IF(ネクタイ縦横!L67="","",ネクタイ縦横!L67)</f>
        <v/>
      </c>
      <c r="L585" s="69" t="s">
        <v>80</v>
      </c>
      <c r="M585" s="69" t="s">
        <v>19</v>
      </c>
      <c r="N585" s="69" t="s">
        <v>20</v>
      </c>
      <c r="O585" s="69" t="s">
        <v>21</v>
      </c>
      <c r="P585" s="4" t="s">
        <v>3036</v>
      </c>
      <c r="Q585" s="4" t="s">
        <v>3038</v>
      </c>
      <c r="R585" s="69" t="s">
        <v>22</v>
      </c>
      <c r="S585" s="69" t="s">
        <v>23</v>
      </c>
      <c r="T585" s="69" t="s">
        <v>22</v>
      </c>
      <c r="U585" s="69" t="s">
        <v>24</v>
      </c>
      <c r="V585" s="3" t="str">
        <f>ネクタイ縦横!W67</f>
        <v>全長：約cm　最大幅：約cm</v>
      </c>
      <c r="W585" s="69" t="s">
        <v>26</v>
      </c>
      <c r="X585" s="69" t="s">
        <v>27</v>
      </c>
      <c r="Y585" s="69" t="s">
        <v>28</v>
      </c>
      <c r="Z585" s="69" t="s">
        <v>29</v>
      </c>
      <c r="AA585" s="4"/>
      <c r="AB585" s="4"/>
      <c r="AC585" s="4"/>
      <c r="AD585" s="70"/>
      <c r="AE585" s="70">
        <f>ネクタイ縦横!AB67</f>
        <v>0</v>
      </c>
      <c r="AF585" s="70" t="str">
        <f>ネクタイ縦横!O67</f>
        <v>通常</v>
      </c>
      <c r="AG585" s="70">
        <v>0</v>
      </c>
      <c r="AH585" s="6">
        <f>ネクタイ縦横!Z67</f>
        <v>0</v>
      </c>
      <c r="AI585">
        <v>1</v>
      </c>
      <c r="AJ585">
        <f>ネクタイ縦横!R67</f>
        <v>0</v>
      </c>
    </row>
    <row r="586" spans="1:36" ht="13.5" hidden="1" customHeight="1">
      <c r="A586" s="3" t="str">
        <f>IF(ネクタイ縦横!A68="","",ネクタイ縦横!A68)</f>
        <v/>
      </c>
      <c r="B586" s="68" t="str">
        <f>IF(ネクタイ縦横!B68="","",ネクタイ縦横!B68)</f>
        <v/>
      </c>
      <c r="C586" s="3" t="str">
        <f>IF(ネクタイ縦横!C68="","",ネクタイ縦横!C68)</f>
        <v>◇ E</v>
      </c>
      <c r="D586" s="3" t="str">
        <f>IF(ネクタイ縦横!E68="","",ネクタイ縦横!E68)</f>
        <v>無</v>
      </c>
      <c r="E586" s="3" t="str">
        <f>IF(ネクタイ縦横!X68="","",ネクタイ縦横!X68)</f>
        <v>ベースB</v>
      </c>
      <c r="F586" s="3" t="str">
        <f>IF(ネクタイ縦横!G68="","",ネクタイ縦横!G68)</f>
        <v/>
      </c>
      <c r="G586" s="3" t="str">
        <f>IF(ネクタイ縦横!H68="","",ネクタイ縦横!H68)</f>
        <v/>
      </c>
      <c r="H586" s="3" t="str">
        <f>IF(ネクタイ縦横!I68="","",ネクタイ縦横!I68)</f>
        <v/>
      </c>
      <c r="I586" s="3" t="str">
        <f>IF(ネクタイ縦横!J68="","",ネクタイ縦横!J68)</f>
        <v/>
      </c>
      <c r="J586" s="3" t="str">
        <f>IF(ネクタイ縦横!K68="","",ネクタイ縦横!K68)</f>
        <v/>
      </c>
      <c r="K586" s="3" t="str">
        <f>IF(ネクタイ縦横!L68="","",ネクタイ縦横!L68)</f>
        <v/>
      </c>
      <c r="L586" s="69" t="s">
        <v>80</v>
      </c>
      <c r="M586" s="69" t="s">
        <v>19</v>
      </c>
      <c r="N586" s="69" t="s">
        <v>20</v>
      </c>
      <c r="O586" s="69" t="s">
        <v>21</v>
      </c>
      <c r="P586" s="4" t="s">
        <v>3036</v>
      </c>
      <c r="Q586" s="4" t="s">
        <v>3038</v>
      </c>
      <c r="R586" s="69" t="s">
        <v>22</v>
      </c>
      <c r="S586" s="69" t="s">
        <v>23</v>
      </c>
      <c r="T586" s="69" t="s">
        <v>22</v>
      </c>
      <c r="U586" s="69" t="s">
        <v>24</v>
      </c>
      <c r="V586" s="3" t="str">
        <f>ネクタイ縦横!W68</f>
        <v>全長：約cm　最大幅：約cm</v>
      </c>
      <c r="W586" s="69" t="s">
        <v>26</v>
      </c>
      <c r="X586" s="69" t="s">
        <v>27</v>
      </c>
      <c r="Y586" s="69" t="s">
        <v>28</v>
      </c>
      <c r="Z586" s="69" t="s">
        <v>29</v>
      </c>
      <c r="AA586" s="4"/>
      <c r="AB586" s="4"/>
      <c r="AC586" s="4"/>
      <c r="AD586" s="70"/>
      <c r="AE586" s="70">
        <f>ネクタイ縦横!AB68</f>
        <v>0</v>
      </c>
      <c r="AF586" s="70" t="str">
        <f>ネクタイ縦横!O68</f>
        <v>通常</v>
      </c>
      <c r="AG586" s="70">
        <v>0</v>
      </c>
      <c r="AH586" s="6">
        <f>ネクタイ縦横!Z68</f>
        <v>0</v>
      </c>
      <c r="AI586">
        <v>1</v>
      </c>
      <c r="AJ586">
        <f>ネクタイ縦横!R68</f>
        <v>0</v>
      </c>
    </row>
    <row r="587" spans="1:36" ht="13.5" hidden="1" customHeight="1">
      <c r="A587" s="3" t="str">
        <f>IF(ネクタイ縦横!A69="","",ネクタイ縦横!A69)</f>
        <v/>
      </c>
      <c r="B587" s="68" t="str">
        <f>IF(ネクタイ縦横!B69="","",ネクタイ縦横!B69)</f>
        <v/>
      </c>
      <c r="C587" s="3" t="str">
        <f>IF(ネクタイ縦横!C69="","",ネクタイ縦横!C69)</f>
        <v>◇ E</v>
      </c>
      <c r="D587" s="3" t="str">
        <f>IF(ネクタイ縦横!E69="","",ネクタイ縦横!E69)</f>
        <v>無</v>
      </c>
      <c r="E587" s="3" t="str">
        <f>IF(ネクタイ縦横!X69="","",ネクタイ縦横!X69)</f>
        <v>ベースB</v>
      </c>
      <c r="F587" s="3" t="str">
        <f>IF(ネクタイ縦横!G69="","",ネクタイ縦横!G69)</f>
        <v/>
      </c>
      <c r="G587" s="3" t="str">
        <f>IF(ネクタイ縦横!H69="","",ネクタイ縦横!H69)</f>
        <v/>
      </c>
      <c r="H587" s="3" t="str">
        <f>IF(ネクタイ縦横!I69="","",ネクタイ縦横!I69)</f>
        <v/>
      </c>
      <c r="I587" s="3" t="str">
        <f>IF(ネクタイ縦横!J69="","",ネクタイ縦横!J69)</f>
        <v/>
      </c>
      <c r="J587" s="3" t="str">
        <f>IF(ネクタイ縦横!K69="","",ネクタイ縦横!K69)</f>
        <v/>
      </c>
      <c r="K587" s="3" t="str">
        <f>IF(ネクタイ縦横!L69="","",ネクタイ縦横!L69)</f>
        <v/>
      </c>
      <c r="L587" s="69" t="s">
        <v>80</v>
      </c>
      <c r="M587" s="69" t="s">
        <v>19</v>
      </c>
      <c r="N587" s="69" t="s">
        <v>20</v>
      </c>
      <c r="O587" s="69" t="s">
        <v>21</v>
      </c>
      <c r="P587" s="4" t="s">
        <v>3036</v>
      </c>
      <c r="Q587" s="4" t="s">
        <v>3038</v>
      </c>
      <c r="R587" s="69" t="s">
        <v>22</v>
      </c>
      <c r="S587" s="69" t="s">
        <v>23</v>
      </c>
      <c r="T587" s="69" t="s">
        <v>22</v>
      </c>
      <c r="U587" s="69" t="s">
        <v>24</v>
      </c>
      <c r="V587" s="3" t="str">
        <f>ネクタイ縦横!W69</f>
        <v>全長：約cm　最大幅：約cm</v>
      </c>
      <c r="W587" s="69" t="s">
        <v>26</v>
      </c>
      <c r="X587" s="69" t="s">
        <v>27</v>
      </c>
      <c r="Y587" s="69" t="s">
        <v>28</v>
      </c>
      <c r="Z587" s="69" t="s">
        <v>29</v>
      </c>
      <c r="AA587" s="4"/>
      <c r="AB587" s="4"/>
      <c r="AC587" s="4"/>
      <c r="AD587" s="70"/>
      <c r="AE587" s="70">
        <f>ネクタイ縦横!AB69</f>
        <v>0</v>
      </c>
      <c r="AF587" s="70" t="str">
        <f>ネクタイ縦横!O69</f>
        <v>通常</v>
      </c>
      <c r="AG587" s="70">
        <v>0</v>
      </c>
      <c r="AH587" s="6">
        <f>ネクタイ縦横!Z69</f>
        <v>0</v>
      </c>
      <c r="AI587">
        <v>1</v>
      </c>
      <c r="AJ587">
        <f>ネクタイ縦横!R69</f>
        <v>0</v>
      </c>
    </row>
    <row r="588" spans="1:36" ht="13.5" hidden="1" customHeight="1">
      <c r="A588" s="3" t="str">
        <f>IF(ネクタイ縦横!A70="","",ネクタイ縦横!A70)</f>
        <v/>
      </c>
      <c r="B588" s="68" t="str">
        <f>IF(ネクタイ縦横!B70="","",ネクタイ縦横!B70)</f>
        <v/>
      </c>
      <c r="C588" s="3" t="str">
        <f>IF(ネクタイ縦横!C70="","",ネクタイ縦横!C70)</f>
        <v>◇ E</v>
      </c>
      <c r="D588" s="3" t="str">
        <f>IF(ネクタイ縦横!E70="","",ネクタイ縦横!E70)</f>
        <v>無</v>
      </c>
      <c r="E588" s="3" t="str">
        <f>IF(ネクタイ縦横!X70="","",ネクタイ縦横!X70)</f>
        <v>ベースB</v>
      </c>
      <c r="F588" s="3" t="str">
        <f>IF(ネクタイ縦横!G70="","",ネクタイ縦横!G70)</f>
        <v/>
      </c>
      <c r="G588" s="3" t="str">
        <f>IF(ネクタイ縦横!H70="","",ネクタイ縦横!H70)</f>
        <v/>
      </c>
      <c r="H588" s="3" t="str">
        <f>IF(ネクタイ縦横!I70="","",ネクタイ縦横!I70)</f>
        <v/>
      </c>
      <c r="I588" s="3" t="str">
        <f>IF(ネクタイ縦横!J70="","",ネクタイ縦横!J70)</f>
        <v/>
      </c>
      <c r="J588" s="3" t="str">
        <f>IF(ネクタイ縦横!K70="","",ネクタイ縦横!K70)</f>
        <v/>
      </c>
      <c r="K588" s="3" t="str">
        <f>IF(ネクタイ縦横!L70="","",ネクタイ縦横!L70)</f>
        <v/>
      </c>
      <c r="L588" s="69" t="s">
        <v>80</v>
      </c>
      <c r="M588" s="69" t="s">
        <v>19</v>
      </c>
      <c r="N588" s="69" t="s">
        <v>20</v>
      </c>
      <c r="O588" s="69" t="s">
        <v>21</v>
      </c>
      <c r="P588" s="4" t="s">
        <v>3036</v>
      </c>
      <c r="Q588" s="4" t="s">
        <v>3038</v>
      </c>
      <c r="R588" s="69" t="s">
        <v>22</v>
      </c>
      <c r="S588" s="69" t="s">
        <v>23</v>
      </c>
      <c r="T588" s="69" t="s">
        <v>22</v>
      </c>
      <c r="U588" s="69" t="s">
        <v>24</v>
      </c>
      <c r="V588" s="3" t="str">
        <f>ネクタイ縦横!W70</f>
        <v>全長：約cm　最大幅：約cm</v>
      </c>
      <c r="W588" s="69" t="s">
        <v>26</v>
      </c>
      <c r="X588" s="69" t="s">
        <v>27</v>
      </c>
      <c r="Y588" s="69" t="s">
        <v>28</v>
      </c>
      <c r="Z588" s="69" t="s">
        <v>29</v>
      </c>
      <c r="AA588" s="4"/>
      <c r="AB588" s="4"/>
      <c r="AC588" s="4"/>
      <c r="AD588" s="70"/>
      <c r="AE588" s="70">
        <f>ネクタイ縦横!AB70</f>
        <v>0</v>
      </c>
      <c r="AF588" s="70" t="str">
        <f>ネクタイ縦横!O70</f>
        <v>通常</v>
      </c>
      <c r="AG588" s="70">
        <v>0</v>
      </c>
      <c r="AH588" s="6">
        <f>ネクタイ縦横!Z70</f>
        <v>0</v>
      </c>
      <c r="AI588">
        <v>1</v>
      </c>
      <c r="AJ588">
        <f>ネクタイ縦横!R70</f>
        <v>0</v>
      </c>
    </row>
    <row r="589" spans="1:36" ht="13.5" hidden="1" customHeight="1">
      <c r="A589" s="3" t="str">
        <f>IF(ネクタイ縦横!A71="","",ネクタイ縦横!A71)</f>
        <v/>
      </c>
      <c r="B589" s="68" t="str">
        <f>IF(ネクタイ縦横!B71="","",ネクタイ縦横!B71)</f>
        <v/>
      </c>
      <c r="C589" s="3" t="str">
        <f>IF(ネクタイ縦横!C71="","",ネクタイ縦横!C71)</f>
        <v>◇ E</v>
      </c>
      <c r="D589" s="3" t="str">
        <f>IF(ネクタイ縦横!E71="","",ネクタイ縦横!E71)</f>
        <v>無</v>
      </c>
      <c r="E589" s="3" t="str">
        <f>IF(ネクタイ縦横!X71="","",ネクタイ縦横!X71)</f>
        <v>ベースB</v>
      </c>
      <c r="F589" s="3" t="str">
        <f>IF(ネクタイ縦横!G71="","",ネクタイ縦横!G71)</f>
        <v/>
      </c>
      <c r="G589" s="3" t="str">
        <f>IF(ネクタイ縦横!H71="","",ネクタイ縦横!H71)</f>
        <v/>
      </c>
      <c r="H589" s="3" t="str">
        <f>IF(ネクタイ縦横!I71="","",ネクタイ縦横!I71)</f>
        <v/>
      </c>
      <c r="I589" s="3" t="str">
        <f>IF(ネクタイ縦横!J71="","",ネクタイ縦横!J71)</f>
        <v/>
      </c>
      <c r="J589" s="3" t="str">
        <f>IF(ネクタイ縦横!K71="","",ネクタイ縦横!K71)</f>
        <v/>
      </c>
      <c r="K589" s="3" t="str">
        <f>IF(ネクタイ縦横!L71="","",ネクタイ縦横!L71)</f>
        <v/>
      </c>
      <c r="L589" s="69" t="s">
        <v>80</v>
      </c>
      <c r="M589" s="69" t="s">
        <v>19</v>
      </c>
      <c r="N589" s="69" t="s">
        <v>20</v>
      </c>
      <c r="O589" s="69" t="s">
        <v>21</v>
      </c>
      <c r="P589" s="4" t="s">
        <v>3036</v>
      </c>
      <c r="Q589" s="4" t="s">
        <v>3038</v>
      </c>
      <c r="R589" s="69" t="s">
        <v>22</v>
      </c>
      <c r="S589" s="69" t="s">
        <v>23</v>
      </c>
      <c r="T589" s="69" t="s">
        <v>22</v>
      </c>
      <c r="U589" s="69" t="s">
        <v>24</v>
      </c>
      <c r="V589" s="3" t="str">
        <f>ネクタイ縦横!W71</f>
        <v>全長：約cm　最大幅：約cm</v>
      </c>
      <c r="W589" s="69" t="s">
        <v>26</v>
      </c>
      <c r="X589" s="69" t="s">
        <v>27</v>
      </c>
      <c r="Y589" s="69" t="s">
        <v>28</v>
      </c>
      <c r="Z589" s="69" t="s">
        <v>29</v>
      </c>
      <c r="AA589" s="4"/>
      <c r="AB589" s="4"/>
      <c r="AC589" s="4"/>
      <c r="AD589" s="70"/>
      <c r="AE589" s="70">
        <f>ネクタイ縦横!AB71</f>
        <v>0</v>
      </c>
      <c r="AF589" s="70" t="str">
        <f>ネクタイ縦横!O71</f>
        <v>通常</v>
      </c>
      <c r="AG589" s="70">
        <v>0</v>
      </c>
      <c r="AH589" s="6">
        <f>ネクタイ縦横!Z71</f>
        <v>0</v>
      </c>
      <c r="AI589">
        <v>1</v>
      </c>
      <c r="AJ589">
        <f>ネクタイ縦横!R71</f>
        <v>0</v>
      </c>
    </row>
    <row r="590" spans="1:36" ht="13.5" customHeight="1">
      <c r="A590" s="3">
        <v>2084006691</v>
      </c>
      <c r="B590" s="68">
        <f>IF(帽子!B2="","",帽子!B2)</f>
        <v>1212020007764</v>
      </c>
      <c r="C590" s="6" t="str">
        <f>IF(帽子!C2="","",帽子!C2)</f>
        <v>◇ HUNTISM ハンティズム ナイロン素材 キャップ ネイビー 表記なし レディースメンズ E 1212020007764</v>
      </c>
      <c r="D590" s="3" t="str">
        <f>IF(帽子!E2="","",帽子!E2)</f>
        <v>無</v>
      </c>
      <c r="E590" s="3" t="str">
        <f>IF(帽子!X2="","",帽子!X2)</f>
        <v>ベースB/9</v>
      </c>
      <c r="F590" s="3">
        <f>IF(帽子!F2="","",帽子!F2)</f>
        <v>3</v>
      </c>
      <c r="G590" s="3" t="str">
        <f>IF(帽子!G2="","",帽子!G2)</f>
        <v>目立った傷や汚れなし</v>
      </c>
      <c r="H590" s="3" t="str">
        <f>IF(帽子!H2="","",帽子!H2)</f>
        <v/>
      </c>
      <c r="I590" s="3" t="str">
        <f>IF(帽子!I2="","",帽子!I2)</f>
        <v>画像参照</v>
      </c>
      <c r="J590" s="3" t="str">
        <f>IF(帽子!J2="","",帽子!J2)</f>
        <v>ネイビー</v>
      </c>
      <c r="K590" s="3" t="str">
        <f>IF(帽子!K2="","",帽子!K2)</f>
        <v>表記なし</v>
      </c>
      <c r="L590" s="69" t="s">
        <v>80</v>
      </c>
      <c r="M590" s="69" t="s">
        <v>19</v>
      </c>
      <c r="N590" s="69" t="s">
        <v>20</v>
      </c>
      <c r="O590" s="69" t="s">
        <v>21</v>
      </c>
      <c r="P590" s="4" t="s">
        <v>3036</v>
      </c>
      <c r="Q590" s="4" t="s">
        <v>3038</v>
      </c>
      <c r="R590" s="69" t="s">
        <v>22</v>
      </c>
      <c r="S590" s="69" t="s">
        <v>23</v>
      </c>
      <c r="T590" s="69" t="s">
        <v>22</v>
      </c>
      <c r="U590" s="69" t="s">
        <v>24</v>
      </c>
      <c r="V590" s="69" t="s">
        <v>25</v>
      </c>
      <c r="W590" s="3" t="str">
        <f>IF(帽子!W2="","",帽子!W2)</f>
        <v>内周：約60cm　高さ：約12cm　つば：約6cm</v>
      </c>
      <c r="X590" s="69" t="s">
        <v>27</v>
      </c>
      <c r="Y590" s="69" t="s">
        <v>28</v>
      </c>
      <c r="Z590" s="69" t="s">
        <v>29</v>
      </c>
      <c r="AA590" s="4"/>
      <c r="AB590" s="4"/>
      <c r="AC590" s="4"/>
      <c r="AD590" s="70"/>
      <c r="AE590" s="70">
        <f>帽子!AB2</f>
        <v>1000</v>
      </c>
      <c r="AF590" s="70" t="str">
        <f>帽子!O2</f>
        <v>通常</v>
      </c>
      <c r="AG590" s="70">
        <v>0</v>
      </c>
      <c r="AH590" s="9">
        <f>帽子!Z2</f>
        <v>0</v>
      </c>
      <c r="AI590">
        <v>1</v>
      </c>
      <c r="AJ590" t="str">
        <f>帽子!R2</f>
        <v>HUNTISM ハンティズム</v>
      </c>
    </row>
    <row r="591" spans="1:36" ht="13.5" customHeight="1">
      <c r="A591" s="3">
        <v>2084006685</v>
      </c>
      <c r="B591" s="68">
        <f>IF(帽子!B3="","",帽子!B3)</f>
        <v>1212020007511</v>
      </c>
      <c r="C591" s="6" t="str">
        <f>IF(帽子!C3="","",帽子!C3)</f>
        <v>◇ LACOSTE ラコステ つばスウェード、ワッペンあり キャップ ブラック/ブラウン サイズ58 レディースメンズ E 1212020007511</v>
      </c>
      <c r="D591" s="3" t="str">
        <f>IF(帽子!E3="","",帽子!E3)</f>
        <v>無</v>
      </c>
      <c r="E591" s="3" t="str">
        <f>IF(帽子!X3="","",帽子!X3)</f>
        <v>ベースB/9</v>
      </c>
      <c r="F591" s="3">
        <f>IF(帽子!F3="","",帽子!F3)</f>
        <v>3</v>
      </c>
      <c r="G591" s="3" t="str">
        <f>IF(帽子!G3="","",帽子!G3)</f>
        <v>目立った傷や汚れなし</v>
      </c>
      <c r="H591" s="3" t="str">
        <f>IF(帽子!H3="","",帽子!H3)</f>
        <v/>
      </c>
      <c r="I591" s="3" t="str">
        <f>IF(帽子!I3="","",帽子!I3)</f>
        <v>画像参照</v>
      </c>
      <c r="J591" s="3" t="str">
        <f>IF(帽子!J3="","",帽子!J3)</f>
        <v>ブラック/ブラウン</v>
      </c>
      <c r="K591" s="3" t="str">
        <f>IF(帽子!K3="","",帽子!K3)</f>
        <v>サイズ58</v>
      </c>
      <c r="L591" s="69" t="s">
        <v>80</v>
      </c>
      <c r="M591" s="69" t="s">
        <v>19</v>
      </c>
      <c r="N591" s="69" t="s">
        <v>20</v>
      </c>
      <c r="O591" s="69" t="s">
        <v>21</v>
      </c>
      <c r="P591" s="4" t="s">
        <v>3036</v>
      </c>
      <c r="Q591" s="4" t="s">
        <v>3038</v>
      </c>
      <c r="R591" s="69" t="s">
        <v>22</v>
      </c>
      <c r="S591" s="69" t="s">
        <v>23</v>
      </c>
      <c r="T591" s="69" t="s">
        <v>22</v>
      </c>
      <c r="U591" s="69" t="s">
        <v>24</v>
      </c>
      <c r="V591" s="69" t="s">
        <v>25</v>
      </c>
      <c r="W591" s="3" t="str">
        <f>IF(帽子!W3="","",帽子!W3)</f>
        <v>内周：約59cm　高さ：約17cm　つば：約8cm</v>
      </c>
      <c r="X591" s="69" t="s">
        <v>27</v>
      </c>
      <c r="Y591" s="69" t="s">
        <v>28</v>
      </c>
      <c r="Z591" s="69" t="s">
        <v>29</v>
      </c>
      <c r="AA591" s="4"/>
      <c r="AB591" s="4"/>
      <c r="AC591" s="4"/>
      <c r="AD591" s="70"/>
      <c r="AE591" s="70">
        <f>帽子!AB3</f>
        <v>2000</v>
      </c>
      <c r="AF591" s="70" t="str">
        <f>帽子!O3</f>
        <v>通常</v>
      </c>
      <c r="AG591" s="70">
        <v>0</v>
      </c>
      <c r="AH591" s="9">
        <f>帽子!Z3</f>
        <v>0</v>
      </c>
      <c r="AI591">
        <v>1</v>
      </c>
      <c r="AJ591" t="str">
        <f>帽子!R3</f>
        <v>LACOSTE ラコステ</v>
      </c>
    </row>
    <row r="592" spans="1:36" ht="13.5" customHeight="1">
      <c r="A592" s="3">
        <v>2084006685</v>
      </c>
      <c r="B592" s="68">
        <f>IF(帽子!B4="","",帽子!B4)</f>
        <v>1212020007504</v>
      </c>
      <c r="C592" s="6" t="str">
        <f>IF(帽子!C4="","",帽子!C4)</f>
        <v>◇ GDC つば裏側カモフラージュ柄、左側ワンポイント刺繍あり キャップ ブラック 表記なし レディースメンズ E 1212020007504</v>
      </c>
      <c r="D592" s="3" t="str">
        <f>IF(帽子!E4="","",帽子!E4)</f>
        <v>無&lt;br&gt;内側黄ばみ</v>
      </c>
      <c r="E592" s="3" t="str">
        <f>IF(帽子!X4="","",帽子!X4)</f>
        <v>ベースB/9</v>
      </c>
      <c r="F592" s="3">
        <f>IF(帽子!F4="","",帽子!F4)</f>
        <v>4</v>
      </c>
      <c r="G592" s="3" t="str">
        <f>IF(帽子!G4="","",帽子!G4)</f>
        <v>やや傷や汚れあり</v>
      </c>
      <c r="H592" s="3" t="str">
        <f>IF(帽子!H4="","",帽子!H4)</f>
        <v/>
      </c>
      <c r="I592" s="3" t="str">
        <f>IF(帽子!I4="","",帽子!I4)</f>
        <v>画像参照</v>
      </c>
      <c r="J592" s="3" t="str">
        <f>IF(帽子!J4="","",帽子!J4)</f>
        <v>ブラック</v>
      </c>
      <c r="K592" s="3" t="str">
        <f>IF(帽子!K4="","",帽子!K4)</f>
        <v>表記なし</v>
      </c>
      <c r="L592" s="69" t="s">
        <v>80</v>
      </c>
      <c r="M592" s="69" t="s">
        <v>19</v>
      </c>
      <c r="N592" s="69" t="s">
        <v>20</v>
      </c>
      <c r="O592" s="69" t="s">
        <v>21</v>
      </c>
      <c r="P592" s="4" t="s">
        <v>3036</v>
      </c>
      <c r="Q592" s="4" t="s">
        <v>3038</v>
      </c>
      <c r="R592" s="69" t="s">
        <v>22</v>
      </c>
      <c r="S592" s="69" t="s">
        <v>23</v>
      </c>
      <c r="T592" s="69" t="s">
        <v>22</v>
      </c>
      <c r="U592" s="69" t="s">
        <v>24</v>
      </c>
      <c r="V592" s="69" t="s">
        <v>25</v>
      </c>
      <c r="W592" s="3" t="str">
        <f>IF(帽子!W4="","",帽子!W4)</f>
        <v>内周：約59cm　高さ：約17cm　つば：約7cm</v>
      </c>
      <c r="X592" s="69" t="s">
        <v>27</v>
      </c>
      <c r="Y592" s="69" t="s">
        <v>28</v>
      </c>
      <c r="Z592" s="69" t="s">
        <v>29</v>
      </c>
      <c r="AA592" s="4"/>
      <c r="AB592" s="4"/>
      <c r="AC592" s="4"/>
      <c r="AD592" s="70"/>
      <c r="AE592" s="70">
        <f>帽子!AB4</f>
        <v>2000</v>
      </c>
      <c r="AF592" s="70" t="str">
        <f>帽子!O4</f>
        <v>通常</v>
      </c>
      <c r="AG592" s="70">
        <v>0</v>
      </c>
      <c r="AH592" s="9">
        <f>帽子!Z4</f>
        <v>0</v>
      </c>
      <c r="AI592">
        <v>1</v>
      </c>
      <c r="AJ592" t="str">
        <f>帽子!R4</f>
        <v>GDC</v>
      </c>
    </row>
    <row r="593" spans="1:36" ht="13.5" hidden="1" customHeight="1">
      <c r="A593" s="3" t="str">
        <f>IF(帽子!A5="","",帽子!A5)</f>
        <v/>
      </c>
      <c r="B593" s="68" t="str">
        <f>IF(帽子!B5="","",帽子!B5)</f>
        <v/>
      </c>
      <c r="C593" s="6" t="str">
        <f>IF(帽子!C5="","",帽子!C5)</f>
        <v>◇ サイズ E</v>
      </c>
      <c r="D593" s="3" t="str">
        <f>IF(帽子!E5="","",帽子!E5)</f>
        <v>無</v>
      </c>
      <c r="E593" s="3" t="str">
        <f>IF(帽子!X5="","",帽子!X5)</f>
        <v>ベースB</v>
      </c>
      <c r="F593" s="3" t="str">
        <f>IF(帽子!F5="","",帽子!F5)</f>
        <v/>
      </c>
      <c r="G593" s="3" t="str">
        <f>IF(帽子!G5="","",帽子!G5)</f>
        <v/>
      </c>
      <c r="H593" s="3" t="str">
        <f>IF(帽子!H5="","",帽子!H5)</f>
        <v/>
      </c>
      <c r="I593" s="3" t="str">
        <f>IF(帽子!I5="","",帽子!I5)</f>
        <v>画像参照</v>
      </c>
      <c r="J593" s="3" t="str">
        <f>IF(帽子!J5="","",帽子!J5)</f>
        <v/>
      </c>
      <c r="K593" s="3" t="str">
        <f>IF(帽子!K5="","",帽子!K5)</f>
        <v>サイズ</v>
      </c>
      <c r="L593" s="69" t="s">
        <v>80</v>
      </c>
      <c r="M593" s="69" t="s">
        <v>19</v>
      </c>
      <c r="N593" s="69" t="s">
        <v>20</v>
      </c>
      <c r="O593" s="69" t="s">
        <v>21</v>
      </c>
      <c r="P593" s="4" t="s">
        <v>3036</v>
      </c>
      <c r="Q593" s="4" t="s">
        <v>3038</v>
      </c>
      <c r="R593" s="69" t="s">
        <v>22</v>
      </c>
      <c r="S593" s="69" t="s">
        <v>23</v>
      </c>
      <c r="T593" s="69" t="s">
        <v>22</v>
      </c>
      <c r="U593" s="69" t="s">
        <v>24</v>
      </c>
      <c r="V593" s="69" t="s">
        <v>25</v>
      </c>
      <c r="W593" s="3" t="str">
        <f>IF(帽子!W5="","",帽子!W5)</f>
        <v>内周：約cm　高さ：約cm　つば：約cm</v>
      </c>
      <c r="X593" s="69" t="s">
        <v>27</v>
      </c>
      <c r="Y593" s="69" t="s">
        <v>28</v>
      </c>
      <c r="Z593" s="69" t="s">
        <v>29</v>
      </c>
      <c r="AA593" s="4"/>
      <c r="AB593" s="4"/>
      <c r="AC593" s="4"/>
      <c r="AD593" s="70"/>
      <c r="AE593" s="70">
        <f>帽子!AB5</f>
        <v>0</v>
      </c>
      <c r="AF593" s="70" t="str">
        <f>帽子!O5</f>
        <v>通常</v>
      </c>
      <c r="AG593" s="70">
        <v>0</v>
      </c>
      <c r="AH593" s="9">
        <f>帽子!Z5</f>
        <v>0</v>
      </c>
      <c r="AI593">
        <v>1</v>
      </c>
      <c r="AJ593">
        <f>帽子!R5</f>
        <v>0</v>
      </c>
    </row>
    <row r="594" spans="1:36" ht="13.5" hidden="1" customHeight="1">
      <c r="A594" s="3" t="str">
        <f>IF(帽子!A6="","",帽子!A6)</f>
        <v/>
      </c>
      <c r="B594" s="68" t="str">
        <f>IF(帽子!B6="","",帽子!B6)</f>
        <v/>
      </c>
      <c r="C594" s="6" t="str">
        <f>IF(帽子!C6="","",帽子!C6)</f>
        <v>◇ サイズ E</v>
      </c>
      <c r="D594" s="3" t="str">
        <f>IF(帽子!E6="","",帽子!E6)</f>
        <v>無</v>
      </c>
      <c r="E594" s="3" t="str">
        <f>IF(帽子!X6="","",帽子!X6)</f>
        <v>ベースB</v>
      </c>
      <c r="F594" s="3" t="str">
        <f>IF(帽子!F6="","",帽子!F6)</f>
        <v/>
      </c>
      <c r="G594" s="3" t="str">
        <f>IF(帽子!G6="","",帽子!G6)</f>
        <v/>
      </c>
      <c r="H594" s="3" t="str">
        <f>IF(帽子!H6="","",帽子!H6)</f>
        <v/>
      </c>
      <c r="I594" s="3" t="str">
        <f>IF(帽子!I6="","",帽子!I6)</f>
        <v>画像参照</v>
      </c>
      <c r="J594" s="3" t="str">
        <f>IF(帽子!J6="","",帽子!J6)</f>
        <v/>
      </c>
      <c r="K594" s="3" t="str">
        <f>IF(帽子!K6="","",帽子!K6)</f>
        <v>サイズ</v>
      </c>
      <c r="L594" s="69" t="s">
        <v>80</v>
      </c>
      <c r="M594" s="69" t="s">
        <v>19</v>
      </c>
      <c r="N594" s="69" t="s">
        <v>20</v>
      </c>
      <c r="O594" s="69" t="s">
        <v>21</v>
      </c>
      <c r="P594" s="4" t="s">
        <v>3036</v>
      </c>
      <c r="Q594" s="4" t="s">
        <v>3038</v>
      </c>
      <c r="R594" s="69" t="s">
        <v>22</v>
      </c>
      <c r="S594" s="69" t="s">
        <v>23</v>
      </c>
      <c r="T594" s="69" t="s">
        <v>22</v>
      </c>
      <c r="U594" s="69" t="s">
        <v>24</v>
      </c>
      <c r="V594" s="69" t="s">
        <v>25</v>
      </c>
      <c r="W594" s="3" t="str">
        <f>IF(帽子!W6="","",帽子!W6)</f>
        <v>内周：約cm　高さ：約cm　つば：約cm</v>
      </c>
      <c r="X594" s="69" t="s">
        <v>27</v>
      </c>
      <c r="Y594" s="69" t="s">
        <v>28</v>
      </c>
      <c r="Z594" s="69" t="s">
        <v>29</v>
      </c>
      <c r="AA594" s="4"/>
      <c r="AB594" s="4"/>
      <c r="AC594" s="4"/>
      <c r="AD594" s="70"/>
      <c r="AE594" s="70">
        <f>帽子!AB6</f>
        <v>0</v>
      </c>
      <c r="AF594" s="70" t="str">
        <f>帽子!O6</f>
        <v>通常</v>
      </c>
      <c r="AG594" s="70">
        <v>0</v>
      </c>
      <c r="AH594" s="9">
        <f>帽子!Z6</f>
        <v>0</v>
      </c>
      <c r="AI594">
        <v>1</v>
      </c>
      <c r="AJ594">
        <f>帽子!R6</f>
        <v>0</v>
      </c>
    </row>
    <row r="595" spans="1:36" ht="13.5" hidden="1" customHeight="1">
      <c r="A595" s="3" t="str">
        <f>IF(帽子!A7="","",帽子!A7)</f>
        <v/>
      </c>
      <c r="B595" s="68" t="str">
        <f>IF(帽子!B7="","",帽子!B7)</f>
        <v/>
      </c>
      <c r="C595" s="6" t="str">
        <f>IF(帽子!C7="","",帽子!C7)</f>
        <v>◇ サイズ E</v>
      </c>
      <c r="D595" s="3" t="str">
        <f>IF(帽子!E7="","",帽子!E7)</f>
        <v>無</v>
      </c>
      <c r="E595" s="3" t="str">
        <f>IF(帽子!X7="","",帽子!X7)</f>
        <v>ベースB</v>
      </c>
      <c r="F595" s="3" t="str">
        <f>IF(帽子!F7="","",帽子!F7)</f>
        <v/>
      </c>
      <c r="G595" s="3" t="str">
        <f>IF(帽子!G7="","",帽子!G7)</f>
        <v/>
      </c>
      <c r="H595" s="3" t="str">
        <f>IF(帽子!H7="","",帽子!H7)</f>
        <v/>
      </c>
      <c r="I595" s="3" t="str">
        <f>IF(帽子!I7="","",帽子!I7)</f>
        <v>画像参照</v>
      </c>
      <c r="J595" s="3" t="str">
        <f>IF(帽子!J7="","",帽子!J7)</f>
        <v/>
      </c>
      <c r="K595" s="3" t="str">
        <f>IF(帽子!K7="","",帽子!K7)</f>
        <v>サイズ</v>
      </c>
      <c r="L595" s="69" t="s">
        <v>80</v>
      </c>
      <c r="M595" s="69" t="s">
        <v>19</v>
      </c>
      <c r="N595" s="69" t="s">
        <v>20</v>
      </c>
      <c r="O595" s="69" t="s">
        <v>21</v>
      </c>
      <c r="P595" s="4" t="s">
        <v>3036</v>
      </c>
      <c r="Q595" s="4" t="s">
        <v>3038</v>
      </c>
      <c r="R595" s="69" t="s">
        <v>22</v>
      </c>
      <c r="S595" s="69" t="s">
        <v>23</v>
      </c>
      <c r="T595" s="69" t="s">
        <v>22</v>
      </c>
      <c r="U595" s="69" t="s">
        <v>24</v>
      </c>
      <c r="V595" s="69" t="s">
        <v>25</v>
      </c>
      <c r="W595" s="3" t="str">
        <f>IF(帽子!W7="","",帽子!W7)</f>
        <v>内周：約cm　高さ：約cm　つば：約cm</v>
      </c>
      <c r="X595" s="69" t="s">
        <v>27</v>
      </c>
      <c r="Y595" s="69" t="s">
        <v>28</v>
      </c>
      <c r="Z595" s="69" t="s">
        <v>29</v>
      </c>
      <c r="AA595" s="4"/>
      <c r="AB595" s="4"/>
      <c r="AC595" s="4"/>
      <c r="AD595" s="70"/>
      <c r="AE595" s="70">
        <f>帽子!AB7</f>
        <v>0</v>
      </c>
      <c r="AF595" s="70" t="str">
        <f>帽子!O7</f>
        <v>通常</v>
      </c>
      <c r="AG595" s="70">
        <v>0</v>
      </c>
      <c r="AH595" s="9">
        <f>帽子!Z7</f>
        <v>0</v>
      </c>
      <c r="AI595">
        <v>1</v>
      </c>
      <c r="AJ595">
        <f>帽子!R7</f>
        <v>0</v>
      </c>
    </row>
    <row r="596" spans="1:36" ht="13.5" hidden="1" customHeight="1">
      <c r="A596" s="3" t="str">
        <f>IF(帽子!A8="","",帽子!A8)</f>
        <v/>
      </c>
      <c r="B596" s="68" t="str">
        <f>IF(帽子!B8="","",帽子!B8)</f>
        <v/>
      </c>
      <c r="C596" s="6" t="str">
        <f>IF(帽子!C8="","",帽子!C8)</f>
        <v>◇ サイズ E</v>
      </c>
      <c r="D596" s="3" t="str">
        <f>IF(帽子!E8="","",帽子!E8)</f>
        <v>無</v>
      </c>
      <c r="E596" s="3" t="str">
        <f>IF(帽子!X8="","",帽子!X8)</f>
        <v>ベースB</v>
      </c>
      <c r="F596" s="3" t="str">
        <f>IF(帽子!F8="","",帽子!F8)</f>
        <v/>
      </c>
      <c r="G596" s="3" t="str">
        <f>IF(帽子!G8="","",帽子!G8)</f>
        <v/>
      </c>
      <c r="H596" s="3" t="str">
        <f>IF(帽子!H8="","",帽子!H8)</f>
        <v/>
      </c>
      <c r="I596" s="3" t="str">
        <f>IF(帽子!I8="","",帽子!I8)</f>
        <v>画像参照</v>
      </c>
      <c r="J596" s="3" t="str">
        <f>IF(帽子!J8="","",帽子!J8)</f>
        <v/>
      </c>
      <c r="K596" s="3" t="str">
        <f>IF(帽子!K8="","",帽子!K8)</f>
        <v>サイズ</v>
      </c>
      <c r="L596" s="69" t="s">
        <v>80</v>
      </c>
      <c r="M596" s="69" t="s">
        <v>19</v>
      </c>
      <c r="N596" s="69" t="s">
        <v>20</v>
      </c>
      <c r="O596" s="69" t="s">
        <v>21</v>
      </c>
      <c r="P596" s="4" t="s">
        <v>3036</v>
      </c>
      <c r="Q596" s="4" t="s">
        <v>3038</v>
      </c>
      <c r="R596" s="69" t="s">
        <v>22</v>
      </c>
      <c r="S596" s="69" t="s">
        <v>23</v>
      </c>
      <c r="T596" s="69" t="s">
        <v>22</v>
      </c>
      <c r="U596" s="69" t="s">
        <v>24</v>
      </c>
      <c r="V596" s="69" t="s">
        <v>25</v>
      </c>
      <c r="W596" s="3" t="str">
        <f>IF(帽子!W8="","",帽子!W8)</f>
        <v>内周：約cm　高さ：約cm　つば：約cm</v>
      </c>
      <c r="X596" s="69" t="s">
        <v>27</v>
      </c>
      <c r="Y596" s="69" t="s">
        <v>28</v>
      </c>
      <c r="Z596" s="69" t="s">
        <v>29</v>
      </c>
      <c r="AA596" s="4"/>
      <c r="AB596" s="4"/>
      <c r="AC596" s="4"/>
      <c r="AD596" s="70"/>
      <c r="AE596" s="70">
        <f>帽子!AB8</f>
        <v>0</v>
      </c>
      <c r="AF596" s="70" t="str">
        <f>帽子!O8</f>
        <v>通常</v>
      </c>
      <c r="AG596" s="70">
        <v>0</v>
      </c>
      <c r="AH596" s="9">
        <f>帽子!Z8</f>
        <v>0</v>
      </c>
      <c r="AI596">
        <v>1</v>
      </c>
      <c r="AJ596">
        <f>帽子!R8</f>
        <v>0</v>
      </c>
    </row>
    <row r="597" spans="1:36" ht="13.5" hidden="1" customHeight="1">
      <c r="A597" s="3" t="str">
        <f>IF(帽子!A9="","",帽子!A9)</f>
        <v/>
      </c>
      <c r="B597" s="68" t="str">
        <f>IF(帽子!B9="","",帽子!B9)</f>
        <v/>
      </c>
      <c r="C597" s="6" t="str">
        <f>IF(帽子!C9="","",帽子!C9)</f>
        <v>◇ サイズ E</v>
      </c>
      <c r="D597" s="3" t="str">
        <f>IF(帽子!E9="","",帽子!E9)</f>
        <v>無</v>
      </c>
      <c r="E597" s="3" t="str">
        <f>IF(帽子!X9="","",帽子!X9)</f>
        <v>ベースB</v>
      </c>
      <c r="F597" s="3" t="str">
        <f>IF(帽子!F9="","",帽子!F9)</f>
        <v/>
      </c>
      <c r="G597" s="3" t="str">
        <f>IF(帽子!G9="","",帽子!G9)</f>
        <v/>
      </c>
      <c r="H597" s="3" t="str">
        <f>IF(帽子!H9="","",帽子!H9)</f>
        <v/>
      </c>
      <c r="I597" s="3" t="str">
        <f>IF(帽子!I9="","",帽子!I9)</f>
        <v>画像参照</v>
      </c>
      <c r="J597" s="3" t="str">
        <f>IF(帽子!J9="","",帽子!J9)</f>
        <v/>
      </c>
      <c r="K597" s="3" t="str">
        <f>IF(帽子!K9="","",帽子!K9)</f>
        <v>サイズ</v>
      </c>
      <c r="L597" s="69" t="s">
        <v>80</v>
      </c>
      <c r="M597" s="69" t="s">
        <v>19</v>
      </c>
      <c r="N597" s="69" t="s">
        <v>20</v>
      </c>
      <c r="O597" s="69" t="s">
        <v>21</v>
      </c>
      <c r="P597" s="4" t="s">
        <v>3036</v>
      </c>
      <c r="Q597" s="4" t="s">
        <v>3038</v>
      </c>
      <c r="R597" s="69" t="s">
        <v>22</v>
      </c>
      <c r="S597" s="69" t="s">
        <v>23</v>
      </c>
      <c r="T597" s="69" t="s">
        <v>22</v>
      </c>
      <c r="U597" s="69" t="s">
        <v>24</v>
      </c>
      <c r="V597" s="69" t="s">
        <v>25</v>
      </c>
      <c r="W597" s="3" t="str">
        <f>IF(帽子!W9="","",帽子!W9)</f>
        <v>内周：約cm　高さ：約cm　つば：約cm</v>
      </c>
      <c r="X597" s="69" t="s">
        <v>27</v>
      </c>
      <c r="Y597" s="69" t="s">
        <v>28</v>
      </c>
      <c r="Z597" s="69" t="s">
        <v>29</v>
      </c>
      <c r="AA597" s="4"/>
      <c r="AB597" s="4"/>
      <c r="AC597" s="4"/>
      <c r="AD597" s="70"/>
      <c r="AE597" s="70">
        <f>帽子!AB9</f>
        <v>0</v>
      </c>
      <c r="AF597" s="70" t="str">
        <f>帽子!O9</f>
        <v>通常</v>
      </c>
      <c r="AG597" s="70">
        <v>0</v>
      </c>
      <c r="AH597" s="9">
        <f>帽子!Z9</f>
        <v>0</v>
      </c>
      <c r="AI597">
        <v>1</v>
      </c>
      <c r="AJ597">
        <f>帽子!R9</f>
        <v>0</v>
      </c>
    </row>
    <row r="598" spans="1:36" ht="13.5" hidden="1" customHeight="1">
      <c r="A598" s="3" t="str">
        <f>IF(帽子!A10="","",帽子!A10)</f>
        <v/>
      </c>
      <c r="B598" s="68" t="str">
        <f>IF(帽子!B10="","",帽子!B10)</f>
        <v/>
      </c>
      <c r="C598" s="6" t="str">
        <f>IF(帽子!C10="","",帽子!C10)</f>
        <v>◇ サイズ E</v>
      </c>
      <c r="D598" s="3" t="str">
        <f>IF(帽子!E10="","",帽子!E10)</f>
        <v>無</v>
      </c>
      <c r="E598" s="3" t="str">
        <f>IF(帽子!X10="","",帽子!X10)</f>
        <v>ベースB</v>
      </c>
      <c r="F598" s="3" t="str">
        <f>IF(帽子!F10="","",帽子!F10)</f>
        <v/>
      </c>
      <c r="G598" s="3" t="str">
        <f>IF(帽子!G10="","",帽子!G10)</f>
        <v/>
      </c>
      <c r="H598" s="3" t="str">
        <f>IF(帽子!H10="","",帽子!H10)</f>
        <v/>
      </c>
      <c r="I598" s="3" t="str">
        <f>IF(帽子!I10="","",帽子!I10)</f>
        <v>画像参照</v>
      </c>
      <c r="J598" s="3" t="str">
        <f>IF(帽子!J10="","",帽子!J10)</f>
        <v/>
      </c>
      <c r="K598" s="3" t="str">
        <f>IF(帽子!K10="","",帽子!K10)</f>
        <v>サイズ</v>
      </c>
      <c r="L598" s="69" t="s">
        <v>80</v>
      </c>
      <c r="M598" s="69" t="s">
        <v>19</v>
      </c>
      <c r="N598" s="69" t="s">
        <v>20</v>
      </c>
      <c r="O598" s="69" t="s">
        <v>21</v>
      </c>
      <c r="P598" s="4" t="s">
        <v>3036</v>
      </c>
      <c r="Q598" s="4" t="s">
        <v>3038</v>
      </c>
      <c r="R598" s="69" t="s">
        <v>22</v>
      </c>
      <c r="S598" s="69" t="s">
        <v>23</v>
      </c>
      <c r="T598" s="69" t="s">
        <v>22</v>
      </c>
      <c r="U598" s="69" t="s">
        <v>24</v>
      </c>
      <c r="V598" s="69" t="s">
        <v>25</v>
      </c>
      <c r="W598" s="3" t="str">
        <f>IF(帽子!W10="","",帽子!W10)</f>
        <v>内周：約cm　高さ：約cm　つば：約cm</v>
      </c>
      <c r="X598" s="69" t="s">
        <v>27</v>
      </c>
      <c r="Y598" s="69" t="s">
        <v>28</v>
      </c>
      <c r="Z598" s="69" t="s">
        <v>29</v>
      </c>
      <c r="AA598" s="4"/>
      <c r="AB598" s="4"/>
      <c r="AC598" s="4"/>
      <c r="AD598" s="70"/>
      <c r="AE598" s="70">
        <f>帽子!AB10</f>
        <v>0</v>
      </c>
      <c r="AF598" s="70" t="str">
        <f>帽子!O10</f>
        <v>通常</v>
      </c>
      <c r="AG598" s="70">
        <v>0</v>
      </c>
      <c r="AH598" s="9">
        <f>帽子!Z10</f>
        <v>0</v>
      </c>
      <c r="AI598">
        <v>1</v>
      </c>
      <c r="AJ598">
        <f>帽子!R10</f>
        <v>0</v>
      </c>
    </row>
    <row r="599" spans="1:36" ht="13.5" hidden="1" customHeight="1">
      <c r="A599" s="3" t="str">
        <f>IF(帽子!A11="","",帽子!A11)</f>
        <v/>
      </c>
      <c r="B599" s="68" t="str">
        <f>IF(帽子!B11="","",帽子!B11)</f>
        <v/>
      </c>
      <c r="C599" s="6" t="str">
        <f>IF(帽子!C11="","",帽子!C11)</f>
        <v>◇ サイズ E</v>
      </c>
      <c r="D599" s="3" t="str">
        <f>IF(帽子!E11="","",帽子!E11)</f>
        <v>無</v>
      </c>
      <c r="E599" s="3" t="str">
        <f>IF(帽子!X11="","",帽子!X11)</f>
        <v>ベースB</v>
      </c>
      <c r="F599" s="3" t="str">
        <f>IF(帽子!F11="","",帽子!F11)</f>
        <v/>
      </c>
      <c r="G599" s="3" t="str">
        <f>IF(帽子!G11="","",帽子!G11)</f>
        <v/>
      </c>
      <c r="H599" s="3" t="str">
        <f>IF(帽子!H11="","",帽子!H11)</f>
        <v/>
      </c>
      <c r="I599" s="3" t="str">
        <f>IF(帽子!I11="","",帽子!I11)</f>
        <v>画像参照</v>
      </c>
      <c r="J599" s="3" t="str">
        <f>IF(帽子!J11="","",帽子!J11)</f>
        <v/>
      </c>
      <c r="K599" s="3" t="str">
        <f>IF(帽子!K11="","",帽子!K11)</f>
        <v>サイズ</v>
      </c>
      <c r="L599" s="69" t="s">
        <v>80</v>
      </c>
      <c r="M599" s="69" t="s">
        <v>19</v>
      </c>
      <c r="N599" s="69" t="s">
        <v>20</v>
      </c>
      <c r="O599" s="69" t="s">
        <v>21</v>
      </c>
      <c r="P599" s="4" t="s">
        <v>3036</v>
      </c>
      <c r="Q599" s="4" t="s">
        <v>3038</v>
      </c>
      <c r="R599" s="69" t="s">
        <v>22</v>
      </c>
      <c r="S599" s="69" t="s">
        <v>23</v>
      </c>
      <c r="T599" s="69" t="s">
        <v>22</v>
      </c>
      <c r="U599" s="69" t="s">
        <v>24</v>
      </c>
      <c r="V599" s="69" t="s">
        <v>25</v>
      </c>
      <c r="W599" s="3" t="str">
        <f>IF(帽子!W11="","",帽子!W11)</f>
        <v>内周：約cm　高さ：約cm　つば：約cm</v>
      </c>
      <c r="X599" s="69" t="s">
        <v>27</v>
      </c>
      <c r="Y599" s="69" t="s">
        <v>28</v>
      </c>
      <c r="Z599" s="69" t="s">
        <v>29</v>
      </c>
      <c r="AA599" s="4"/>
      <c r="AB599" s="4"/>
      <c r="AC599" s="4"/>
      <c r="AD599" s="70"/>
      <c r="AE599" s="70">
        <f>帽子!AB11</f>
        <v>0</v>
      </c>
      <c r="AF599" s="70" t="str">
        <f>帽子!O11</f>
        <v>通常</v>
      </c>
      <c r="AG599" s="70">
        <v>0</v>
      </c>
      <c r="AH599" s="9">
        <f>帽子!Z11</f>
        <v>0</v>
      </c>
      <c r="AI599">
        <v>1</v>
      </c>
      <c r="AJ599">
        <f>帽子!R11</f>
        <v>0</v>
      </c>
    </row>
    <row r="600" spans="1:36" ht="13.5" hidden="1" customHeight="1">
      <c r="A600" s="3" t="str">
        <f>IF(帽子!A12="","",帽子!A12)</f>
        <v/>
      </c>
      <c r="B600" s="68" t="str">
        <f>IF(帽子!B12="","",帽子!B12)</f>
        <v/>
      </c>
      <c r="C600" s="6" t="str">
        <f>IF(帽子!C12="","",帽子!C12)</f>
        <v>◇ サイズ E</v>
      </c>
      <c r="D600" s="3" t="str">
        <f>IF(帽子!E12="","",帽子!E12)</f>
        <v>無</v>
      </c>
      <c r="E600" s="3" t="str">
        <f>IF(帽子!X12="","",帽子!X12)</f>
        <v>ベースB</v>
      </c>
      <c r="F600" s="3" t="str">
        <f>IF(帽子!F12="","",帽子!F12)</f>
        <v/>
      </c>
      <c r="G600" s="3" t="str">
        <f>IF(帽子!G12="","",帽子!G12)</f>
        <v/>
      </c>
      <c r="H600" s="3" t="str">
        <f>IF(帽子!H12="","",帽子!H12)</f>
        <v/>
      </c>
      <c r="I600" s="3" t="str">
        <f>IF(帽子!I12="","",帽子!I12)</f>
        <v>画像参照</v>
      </c>
      <c r="J600" s="3" t="str">
        <f>IF(帽子!J12="","",帽子!J12)</f>
        <v/>
      </c>
      <c r="K600" s="3" t="str">
        <f>IF(帽子!K12="","",帽子!K12)</f>
        <v>サイズ</v>
      </c>
      <c r="L600" s="69" t="s">
        <v>80</v>
      </c>
      <c r="M600" s="69" t="s">
        <v>19</v>
      </c>
      <c r="N600" s="69" t="s">
        <v>20</v>
      </c>
      <c r="O600" s="69" t="s">
        <v>21</v>
      </c>
      <c r="P600" s="4" t="s">
        <v>3036</v>
      </c>
      <c r="Q600" s="4" t="s">
        <v>3038</v>
      </c>
      <c r="R600" s="69" t="s">
        <v>22</v>
      </c>
      <c r="S600" s="69" t="s">
        <v>23</v>
      </c>
      <c r="T600" s="69" t="s">
        <v>22</v>
      </c>
      <c r="U600" s="69" t="s">
        <v>24</v>
      </c>
      <c r="V600" s="69" t="s">
        <v>25</v>
      </c>
      <c r="W600" s="3" t="str">
        <f>IF(帽子!W12="","",帽子!W12)</f>
        <v>内周：約cm　高さ：約cm　つば：約cm</v>
      </c>
      <c r="X600" s="69" t="s">
        <v>27</v>
      </c>
      <c r="Y600" s="69" t="s">
        <v>28</v>
      </c>
      <c r="Z600" s="69" t="s">
        <v>29</v>
      </c>
      <c r="AA600" s="4"/>
      <c r="AB600" s="4"/>
      <c r="AC600" s="4"/>
      <c r="AD600" s="70"/>
      <c r="AE600" s="70">
        <f>帽子!AB12</f>
        <v>0</v>
      </c>
      <c r="AF600" s="70" t="str">
        <f>帽子!O12</f>
        <v>通常</v>
      </c>
      <c r="AG600" s="70">
        <v>0</v>
      </c>
      <c r="AH600" s="9">
        <f>帽子!Z12</f>
        <v>0</v>
      </c>
      <c r="AI600">
        <v>1</v>
      </c>
      <c r="AJ600">
        <f>帽子!R12</f>
        <v>0</v>
      </c>
    </row>
    <row r="601" spans="1:36" ht="13.5" hidden="1" customHeight="1">
      <c r="A601" s="3" t="str">
        <f>IF(帽子!A13="","",帽子!A13)</f>
        <v/>
      </c>
      <c r="B601" s="68" t="str">
        <f>IF(帽子!B13="","",帽子!B13)</f>
        <v/>
      </c>
      <c r="C601" s="6" t="str">
        <f>IF(帽子!C13="","",帽子!C13)</f>
        <v>◇ サイズ E</v>
      </c>
      <c r="D601" s="3" t="str">
        <f>IF(帽子!E13="","",帽子!E13)</f>
        <v>無</v>
      </c>
      <c r="E601" s="3" t="str">
        <f>IF(帽子!X13="","",帽子!X13)</f>
        <v>ベースB</v>
      </c>
      <c r="F601" s="3" t="str">
        <f>IF(帽子!F13="","",帽子!F13)</f>
        <v/>
      </c>
      <c r="G601" s="3" t="str">
        <f>IF(帽子!G13="","",帽子!G13)</f>
        <v/>
      </c>
      <c r="H601" s="3" t="str">
        <f>IF(帽子!H13="","",帽子!H13)</f>
        <v/>
      </c>
      <c r="I601" s="3" t="str">
        <f>IF(帽子!I13="","",帽子!I13)</f>
        <v>画像参照</v>
      </c>
      <c r="J601" s="3" t="str">
        <f>IF(帽子!J13="","",帽子!J13)</f>
        <v/>
      </c>
      <c r="K601" s="3" t="str">
        <f>IF(帽子!K13="","",帽子!K13)</f>
        <v>サイズ</v>
      </c>
      <c r="L601" s="69" t="s">
        <v>80</v>
      </c>
      <c r="M601" s="69" t="s">
        <v>19</v>
      </c>
      <c r="N601" s="69" t="s">
        <v>20</v>
      </c>
      <c r="O601" s="69" t="s">
        <v>21</v>
      </c>
      <c r="P601" s="4" t="s">
        <v>3036</v>
      </c>
      <c r="Q601" s="4" t="s">
        <v>3038</v>
      </c>
      <c r="R601" s="69" t="s">
        <v>22</v>
      </c>
      <c r="S601" s="69" t="s">
        <v>23</v>
      </c>
      <c r="T601" s="69" t="s">
        <v>22</v>
      </c>
      <c r="U601" s="69" t="s">
        <v>24</v>
      </c>
      <c r="V601" s="69" t="s">
        <v>25</v>
      </c>
      <c r="W601" s="3" t="str">
        <f>IF(帽子!W13="","",帽子!W13)</f>
        <v>内周：約cm　高さ：約cm　つば：約cm</v>
      </c>
      <c r="X601" s="69" t="s">
        <v>27</v>
      </c>
      <c r="Y601" s="69" t="s">
        <v>28</v>
      </c>
      <c r="Z601" s="69" t="s">
        <v>29</v>
      </c>
      <c r="AA601" s="4"/>
      <c r="AB601" s="4"/>
      <c r="AC601" s="4"/>
      <c r="AD601" s="70"/>
      <c r="AE601" s="70">
        <f>帽子!AB13</f>
        <v>0</v>
      </c>
      <c r="AF601" s="70" t="str">
        <f>帽子!O13</f>
        <v>通常</v>
      </c>
      <c r="AG601" s="70">
        <v>0</v>
      </c>
      <c r="AH601" s="9">
        <f>帽子!Z13</f>
        <v>0</v>
      </c>
      <c r="AI601">
        <v>1</v>
      </c>
      <c r="AJ601">
        <f>帽子!R13</f>
        <v>0</v>
      </c>
    </row>
    <row r="602" spans="1:36" ht="13.5" hidden="1" customHeight="1">
      <c r="A602" s="3" t="str">
        <f>IF(帽子!A14="","",帽子!A14)</f>
        <v/>
      </c>
      <c r="B602" s="68" t="str">
        <f>IF(帽子!B14="","",帽子!B14)</f>
        <v/>
      </c>
      <c r="C602" s="6" t="str">
        <f>IF(帽子!C14="","",帽子!C14)</f>
        <v>◇ サイズ E</v>
      </c>
      <c r="D602" s="3" t="str">
        <f>IF(帽子!E14="","",帽子!E14)</f>
        <v>無</v>
      </c>
      <c r="E602" s="3" t="str">
        <f>IF(帽子!X14="","",帽子!X14)</f>
        <v>ベースB</v>
      </c>
      <c r="F602" s="3" t="str">
        <f>IF(帽子!F14="","",帽子!F14)</f>
        <v/>
      </c>
      <c r="G602" s="3" t="str">
        <f>IF(帽子!G14="","",帽子!G14)</f>
        <v/>
      </c>
      <c r="H602" s="3" t="str">
        <f>IF(帽子!H14="","",帽子!H14)</f>
        <v/>
      </c>
      <c r="I602" s="3" t="str">
        <f>IF(帽子!I14="","",帽子!I14)</f>
        <v>画像参照</v>
      </c>
      <c r="J602" s="3" t="str">
        <f>IF(帽子!J14="","",帽子!J14)</f>
        <v/>
      </c>
      <c r="K602" s="3" t="str">
        <f>IF(帽子!K14="","",帽子!K14)</f>
        <v>サイズ</v>
      </c>
      <c r="L602" s="69" t="s">
        <v>80</v>
      </c>
      <c r="M602" s="69" t="s">
        <v>19</v>
      </c>
      <c r="N602" s="69" t="s">
        <v>20</v>
      </c>
      <c r="O602" s="69" t="s">
        <v>21</v>
      </c>
      <c r="P602" s="4" t="s">
        <v>3036</v>
      </c>
      <c r="Q602" s="4" t="s">
        <v>3038</v>
      </c>
      <c r="R602" s="69" t="s">
        <v>22</v>
      </c>
      <c r="S602" s="69" t="s">
        <v>23</v>
      </c>
      <c r="T602" s="69" t="s">
        <v>22</v>
      </c>
      <c r="U602" s="69" t="s">
        <v>24</v>
      </c>
      <c r="V602" s="69" t="s">
        <v>25</v>
      </c>
      <c r="W602" s="3" t="str">
        <f>IF(帽子!W14="","",帽子!W14)</f>
        <v>内周：約cm　高さ：約cm　つば：約cm</v>
      </c>
      <c r="X602" s="69" t="s">
        <v>27</v>
      </c>
      <c r="Y602" s="69" t="s">
        <v>28</v>
      </c>
      <c r="Z602" s="69" t="s">
        <v>29</v>
      </c>
      <c r="AA602" s="4"/>
      <c r="AB602" s="4"/>
      <c r="AC602" s="4"/>
      <c r="AD602" s="70"/>
      <c r="AE602" s="70">
        <f>帽子!AB14</f>
        <v>0</v>
      </c>
      <c r="AF602" s="70" t="str">
        <f>帽子!O14</f>
        <v>通常</v>
      </c>
      <c r="AG602" s="70">
        <v>0</v>
      </c>
      <c r="AH602" s="9">
        <f>帽子!Z14</f>
        <v>0</v>
      </c>
      <c r="AI602">
        <v>1</v>
      </c>
      <c r="AJ602">
        <f>帽子!R14</f>
        <v>0</v>
      </c>
    </row>
    <row r="603" spans="1:36" ht="13.5" hidden="1" customHeight="1">
      <c r="A603" s="3" t="str">
        <f>IF(帽子!A15="","",帽子!A15)</f>
        <v/>
      </c>
      <c r="B603" s="68" t="str">
        <f>IF(帽子!B15="","",帽子!B15)</f>
        <v/>
      </c>
      <c r="C603" s="6" t="str">
        <f>IF(帽子!C15="","",帽子!C15)</f>
        <v>◇ サイズ E</v>
      </c>
      <c r="D603" s="3" t="str">
        <f>IF(帽子!E15="","",帽子!E15)</f>
        <v>無</v>
      </c>
      <c r="E603" s="3" t="str">
        <f>IF(帽子!X15="","",帽子!X15)</f>
        <v>ベースB</v>
      </c>
      <c r="F603" s="3" t="str">
        <f>IF(帽子!F15="","",帽子!F15)</f>
        <v/>
      </c>
      <c r="G603" s="3" t="str">
        <f>IF(帽子!G15="","",帽子!G15)</f>
        <v/>
      </c>
      <c r="H603" s="3" t="str">
        <f>IF(帽子!H15="","",帽子!H15)</f>
        <v/>
      </c>
      <c r="I603" s="3" t="str">
        <f>IF(帽子!I15="","",帽子!I15)</f>
        <v>画像参照</v>
      </c>
      <c r="J603" s="3" t="str">
        <f>IF(帽子!J15="","",帽子!J15)</f>
        <v/>
      </c>
      <c r="K603" s="3" t="str">
        <f>IF(帽子!K15="","",帽子!K15)</f>
        <v>サイズ</v>
      </c>
      <c r="L603" s="69" t="s">
        <v>80</v>
      </c>
      <c r="M603" s="69" t="s">
        <v>19</v>
      </c>
      <c r="N603" s="69" t="s">
        <v>20</v>
      </c>
      <c r="O603" s="69" t="s">
        <v>21</v>
      </c>
      <c r="P603" s="4" t="s">
        <v>3036</v>
      </c>
      <c r="Q603" s="4" t="s">
        <v>3038</v>
      </c>
      <c r="R603" s="69" t="s">
        <v>22</v>
      </c>
      <c r="S603" s="69" t="s">
        <v>23</v>
      </c>
      <c r="T603" s="69" t="s">
        <v>22</v>
      </c>
      <c r="U603" s="69" t="s">
        <v>24</v>
      </c>
      <c r="V603" s="69" t="s">
        <v>25</v>
      </c>
      <c r="W603" s="3" t="str">
        <f>IF(帽子!W15="","",帽子!W15)</f>
        <v>内周：約cm　高さ：約cm　つば：約cm</v>
      </c>
      <c r="X603" s="69" t="s">
        <v>27</v>
      </c>
      <c r="Y603" s="69" t="s">
        <v>28</v>
      </c>
      <c r="Z603" s="69" t="s">
        <v>29</v>
      </c>
      <c r="AA603" s="4"/>
      <c r="AB603" s="4"/>
      <c r="AC603" s="4"/>
      <c r="AD603" s="70"/>
      <c r="AE603" s="70">
        <f>帽子!AB15</f>
        <v>0</v>
      </c>
      <c r="AF603" s="70" t="str">
        <f>帽子!O15</f>
        <v>通常</v>
      </c>
      <c r="AG603" s="70">
        <v>0</v>
      </c>
      <c r="AH603" s="9">
        <f>帽子!Z15</f>
        <v>0</v>
      </c>
      <c r="AI603">
        <v>1</v>
      </c>
      <c r="AJ603">
        <f>帽子!R15</f>
        <v>0</v>
      </c>
    </row>
    <row r="604" spans="1:36" ht="13.5" hidden="1" customHeight="1">
      <c r="A604" s="3" t="str">
        <f>IF(帽子!A16="","",帽子!A16)</f>
        <v/>
      </c>
      <c r="B604" s="68" t="str">
        <f>IF(帽子!B16="","",帽子!B16)</f>
        <v/>
      </c>
      <c r="C604" s="6" t="str">
        <f>IF(帽子!C16="","",帽子!C16)</f>
        <v>◇ サイズ E</v>
      </c>
      <c r="D604" s="3" t="str">
        <f>IF(帽子!E16="","",帽子!E16)</f>
        <v>無</v>
      </c>
      <c r="E604" s="3" t="str">
        <f>IF(帽子!X16="","",帽子!X16)</f>
        <v>ベースB</v>
      </c>
      <c r="F604" s="3" t="str">
        <f>IF(帽子!F16="","",帽子!F16)</f>
        <v/>
      </c>
      <c r="G604" s="3" t="str">
        <f>IF(帽子!G16="","",帽子!G16)</f>
        <v/>
      </c>
      <c r="H604" s="3" t="str">
        <f>IF(帽子!H16="","",帽子!H16)</f>
        <v/>
      </c>
      <c r="I604" s="3" t="str">
        <f>IF(帽子!I16="","",帽子!I16)</f>
        <v>画像参照</v>
      </c>
      <c r="J604" s="3" t="str">
        <f>IF(帽子!J16="","",帽子!J16)</f>
        <v/>
      </c>
      <c r="K604" s="3" t="str">
        <f>IF(帽子!K16="","",帽子!K16)</f>
        <v>サイズ</v>
      </c>
      <c r="L604" s="69" t="s">
        <v>80</v>
      </c>
      <c r="M604" s="69" t="s">
        <v>19</v>
      </c>
      <c r="N604" s="69" t="s">
        <v>20</v>
      </c>
      <c r="O604" s="69" t="s">
        <v>21</v>
      </c>
      <c r="P604" s="4" t="s">
        <v>3036</v>
      </c>
      <c r="Q604" s="4" t="s">
        <v>3038</v>
      </c>
      <c r="R604" s="69" t="s">
        <v>22</v>
      </c>
      <c r="S604" s="69" t="s">
        <v>23</v>
      </c>
      <c r="T604" s="69" t="s">
        <v>22</v>
      </c>
      <c r="U604" s="69" t="s">
        <v>24</v>
      </c>
      <c r="V604" s="69" t="s">
        <v>25</v>
      </c>
      <c r="W604" s="3" t="str">
        <f>IF(帽子!W16="","",帽子!W16)</f>
        <v>内周：約cm　高さ：約cm　つば：約cm</v>
      </c>
      <c r="X604" s="69" t="s">
        <v>27</v>
      </c>
      <c r="Y604" s="69" t="s">
        <v>28</v>
      </c>
      <c r="Z604" s="69" t="s">
        <v>29</v>
      </c>
      <c r="AA604" s="4"/>
      <c r="AB604" s="4"/>
      <c r="AC604" s="4"/>
      <c r="AD604" s="70"/>
      <c r="AE604" s="70">
        <f>帽子!AB16</f>
        <v>0</v>
      </c>
      <c r="AF604" s="70" t="str">
        <f>帽子!O16</f>
        <v>通常</v>
      </c>
      <c r="AG604" s="70">
        <v>0</v>
      </c>
      <c r="AH604" s="9">
        <f>帽子!Z16</f>
        <v>0</v>
      </c>
      <c r="AI604">
        <v>1</v>
      </c>
      <c r="AJ604">
        <f>帽子!R16</f>
        <v>0</v>
      </c>
    </row>
    <row r="605" spans="1:36" ht="13.5" hidden="1" customHeight="1">
      <c r="A605" s="3" t="str">
        <f>IF(帽子!A17="","",帽子!A17)</f>
        <v/>
      </c>
      <c r="B605" s="68" t="str">
        <f>IF(帽子!B17="","",帽子!B17)</f>
        <v/>
      </c>
      <c r="C605" s="6" t="str">
        <f>IF(帽子!C17="","",帽子!C17)</f>
        <v>◇ サイズ E</v>
      </c>
      <c r="D605" s="3" t="str">
        <f>IF(帽子!E17="","",帽子!E17)</f>
        <v>無</v>
      </c>
      <c r="E605" s="3" t="str">
        <f>IF(帽子!X17="","",帽子!X17)</f>
        <v>ベースB</v>
      </c>
      <c r="F605" s="3" t="str">
        <f>IF(帽子!F17="","",帽子!F17)</f>
        <v/>
      </c>
      <c r="G605" s="3" t="str">
        <f>IF(帽子!G17="","",帽子!G17)</f>
        <v/>
      </c>
      <c r="H605" s="3" t="str">
        <f>IF(帽子!H17="","",帽子!H17)</f>
        <v/>
      </c>
      <c r="I605" s="3" t="str">
        <f>IF(帽子!I17="","",帽子!I17)</f>
        <v>画像参照</v>
      </c>
      <c r="J605" s="3" t="str">
        <f>IF(帽子!J17="","",帽子!J17)</f>
        <v/>
      </c>
      <c r="K605" s="3" t="str">
        <f>IF(帽子!K17="","",帽子!K17)</f>
        <v>サイズ</v>
      </c>
      <c r="L605" s="69" t="s">
        <v>80</v>
      </c>
      <c r="M605" s="69" t="s">
        <v>19</v>
      </c>
      <c r="N605" s="69" t="s">
        <v>20</v>
      </c>
      <c r="O605" s="69" t="s">
        <v>21</v>
      </c>
      <c r="P605" s="4" t="s">
        <v>3036</v>
      </c>
      <c r="Q605" s="4" t="s">
        <v>3038</v>
      </c>
      <c r="R605" s="69" t="s">
        <v>22</v>
      </c>
      <c r="S605" s="69" t="s">
        <v>23</v>
      </c>
      <c r="T605" s="69" t="s">
        <v>22</v>
      </c>
      <c r="U605" s="69" t="s">
        <v>24</v>
      </c>
      <c r="V605" s="69" t="s">
        <v>25</v>
      </c>
      <c r="W605" s="3" t="str">
        <f>IF(帽子!W17="","",帽子!W17)</f>
        <v>内周：約cm　高さ：約cm　つば：約cm</v>
      </c>
      <c r="X605" s="69" t="s">
        <v>27</v>
      </c>
      <c r="Y605" s="69" t="s">
        <v>28</v>
      </c>
      <c r="Z605" s="69" t="s">
        <v>29</v>
      </c>
      <c r="AA605" s="4"/>
      <c r="AB605" s="4"/>
      <c r="AC605" s="4"/>
      <c r="AD605" s="70"/>
      <c r="AE605" s="70">
        <f>帽子!AB17</f>
        <v>0</v>
      </c>
      <c r="AF605" s="70" t="str">
        <f>帽子!O17</f>
        <v>通常</v>
      </c>
      <c r="AG605" s="70">
        <v>0</v>
      </c>
      <c r="AH605" s="9">
        <f>帽子!Z17</f>
        <v>0</v>
      </c>
      <c r="AI605">
        <v>1</v>
      </c>
      <c r="AJ605">
        <f>帽子!R17</f>
        <v>0</v>
      </c>
    </row>
    <row r="606" spans="1:36" ht="13.5" hidden="1" customHeight="1">
      <c r="A606" s="3" t="str">
        <f>IF(帽子!A18="","",帽子!A18)</f>
        <v/>
      </c>
      <c r="B606" s="68" t="str">
        <f>IF(帽子!B18="","",帽子!B18)</f>
        <v/>
      </c>
      <c r="C606" s="6" t="str">
        <f>IF(帽子!C18="","",帽子!C18)</f>
        <v>◇ サイズ E</v>
      </c>
      <c r="D606" s="3" t="str">
        <f>IF(帽子!E18="","",帽子!E18)</f>
        <v>無</v>
      </c>
      <c r="E606" s="3" t="str">
        <f>IF(帽子!X18="","",帽子!X18)</f>
        <v>ベースB</v>
      </c>
      <c r="F606" s="3" t="str">
        <f>IF(帽子!F18="","",帽子!F18)</f>
        <v/>
      </c>
      <c r="G606" s="3" t="str">
        <f>IF(帽子!G18="","",帽子!G18)</f>
        <v/>
      </c>
      <c r="H606" s="3" t="str">
        <f>IF(帽子!H18="","",帽子!H18)</f>
        <v/>
      </c>
      <c r="I606" s="3" t="str">
        <f>IF(帽子!I18="","",帽子!I18)</f>
        <v>画像参照</v>
      </c>
      <c r="J606" s="3" t="str">
        <f>IF(帽子!J18="","",帽子!J18)</f>
        <v/>
      </c>
      <c r="K606" s="3" t="str">
        <f>IF(帽子!K18="","",帽子!K18)</f>
        <v>サイズ</v>
      </c>
      <c r="L606" s="69" t="s">
        <v>80</v>
      </c>
      <c r="M606" s="69" t="s">
        <v>19</v>
      </c>
      <c r="N606" s="69" t="s">
        <v>20</v>
      </c>
      <c r="O606" s="69" t="s">
        <v>21</v>
      </c>
      <c r="P606" s="4" t="s">
        <v>3036</v>
      </c>
      <c r="Q606" s="4" t="s">
        <v>3038</v>
      </c>
      <c r="R606" s="69" t="s">
        <v>22</v>
      </c>
      <c r="S606" s="69" t="s">
        <v>23</v>
      </c>
      <c r="T606" s="69" t="s">
        <v>22</v>
      </c>
      <c r="U606" s="69" t="s">
        <v>24</v>
      </c>
      <c r="V606" s="69" t="s">
        <v>25</v>
      </c>
      <c r="W606" s="3" t="str">
        <f>IF(帽子!W18="","",帽子!W18)</f>
        <v>内周：約cm　高さ：約cm　つば：約cm</v>
      </c>
      <c r="X606" s="69" t="s">
        <v>27</v>
      </c>
      <c r="Y606" s="69" t="s">
        <v>28</v>
      </c>
      <c r="Z606" s="69" t="s">
        <v>29</v>
      </c>
      <c r="AA606" s="4"/>
      <c r="AB606" s="4"/>
      <c r="AC606" s="4"/>
      <c r="AD606" s="70"/>
      <c r="AE606" s="70">
        <f>帽子!AB18</f>
        <v>0</v>
      </c>
      <c r="AF606" s="70" t="str">
        <f>帽子!O18</f>
        <v>通常</v>
      </c>
      <c r="AG606" s="70">
        <v>0</v>
      </c>
      <c r="AH606" s="9">
        <f>帽子!Z18</f>
        <v>0</v>
      </c>
      <c r="AI606">
        <v>1</v>
      </c>
      <c r="AJ606">
        <f>帽子!R18</f>
        <v>0</v>
      </c>
    </row>
    <row r="607" spans="1:36" ht="13.5" hidden="1" customHeight="1">
      <c r="A607" s="3" t="str">
        <f>IF(帽子!A19="","",帽子!A19)</f>
        <v/>
      </c>
      <c r="B607" s="68" t="str">
        <f>IF(帽子!B19="","",帽子!B19)</f>
        <v/>
      </c>
      <c r="C607" s="6" t="str">
        <f>IF(帽子!C19="","",帽子!C19)</f>
        <v>◇ サイズ E</v>
      </c>
      <c r="D607" s="3" t="str">
        <f>IF(帽子!E19="","",帽子!E19)</f>
        <v>無</v>
      </c>
      <c r="E607" s="3" t="str">
        <f>IF(帽子!X19="","",帽子!X19)</f>
        <v>ベースB</v>
      </c>
      <c r="F607" s="3" t="str">
        <f>IF(帽子!F19="","",帽子!F19)</f>
        <v/>
      </c>
      <c r="G607" s="3" t="str">
        <f>IF(帽子!G19="","",帽子!G19)</f>
        <v/>
      </c>
      <c r="H607" s="3" t="str">
        <f>IF(帽子!H19="","",帽子!H19)</f>
        <v/>
      </c>
      <c r="I607" s="3" t="str">
        <f>IF(帽子!I19="","",帽子!I19)</f>
        <v>画像参照</v>
      </c>
      <c r="J607" s="3" t="str">
        <f>IF(帽子!J19="","",帽子!J19)</f>
        <v/>
      </c>
      <c r="K607" s="3" t="str">
        <f>IF(帽子!K19="","",帽子!K19)</f>
        <v>サイズ</v>
      </c>
      <c r="L607" s="69" t="s">
        <v>80</v>
      </c>
      <c r="M607" s="69" t="s">
        <v>19</v>
      </c>
      <c r="N607" s="69" t="s">
        <v>20</v>
      </c>
      <c r="O607" s="69" t="s">
        <v>21</v>
      </c>
      <c r="P607" s="4" t="s">
        <v>3036</v>
      </c>
      <c r="Q607" s="4" t="s">
        <v>3038</v>
      </c>
      <c r="R607" s="69" t="s">
        <v>22</v>
      </c>
      <c r="S607" s="69" t="s">
        <v>23</v>
      </c>
      <c r="T607" s="69" t="s">
        <v>22</v>
      </c>
      <c r="U607" s="69" t="s">
        <v>24</v>
      </c>
      <c r="V607" s="69" t="s">
        <v>25</v>
      </c>
      <c r="W607" s="3" t="str">
        <f>IF(帽子!W19="","",帽子!W19)</f>
        <v>内周：約cm　高さ：約cm　つば：約cm</v>
      </c>
      <c r="X607" s="69" t="s">
        <v>27</v>
      </c>
      <c r="Y607" s="69" t="s">
        <v>28</v>
      </c>
      <c r="Z607" s="69" t="s">
        <v>29</v>
      </c>
      <c r="AA607" s="4"/>
      <c r="AB607" s="4"/>
      <c r="AC607" s="4"/>
      <c r="AD607" s="70"/>
      <c r="AE607" s="70">
        <f>帽子!AB19</f>
        <v>0</v>
      </c>
      <c r="AF607" s="70" t="str">
        <f>帽子!O19</f>
        <v>通常</v>
      </c>
      <c r="AG607" s="70">
        <v>0</v>
      </c>
      <c r="AH607" s="9">
        <f>帽子!Z19</f>
        <v>0</v>
      </c>
      <c r="AI607">
        <v>1</v>
      </c>
      <c r="AJ607">
        <f>帽子!R19</f>
        <v>0</v>
      </c>
    </row>
    <row r="608" spans="1:36" ht="13.5" hidden="1" customHeight="1">
      <c r="A608" s="3" t="str">
        <f>IF(帽子!A20="","",帽子!A20)</f>
        <v/>
      </c>
      <c r="B608" s="68" t="str">
        <f>IF(帽子!B20="","",帽子!B20)</f>
        <v/>
      </c>
      <c r="C608" s="6" t="str">
        <f>IF(帽子!C20="","",帽子!C20)</f>
        <v>◇ サイズ E</v>
      </c>
      <c r="D608" s="3" t="str">
        <f>IF(帽子!E20="","",帽子!E20)</f>
        <v>無</v>
      </c>
      <c r="E608" s="3" t="str">
        <f>IF(帽子!X20="","",帽子!X20)</f>
        <v>ベースB</v>
      </c>
      <c r="F608" s="3" t="str">
        <f>IF(帽子!F20="","",帽子!F20)</f>
        <v/>
      </c>
      <c r="G608" s="3" t="str">
        <f>IF(帽子!G20="","",帽子!G20)</f>
        <v/>
      </c>
      <c r="H608" s="3" t="str">
        <f>IF(帽子!H20="","",帽子!H20)</f>
        <v/>
      </c>
      <c r="I608" s="3" t="str">
        <f>IF(帽子!I20="","",帽子!I20)</f>
        <v>画像参照</v>
      </c>
      <c r="J608" s="3" t="str">
        <f>IF(帽子!J20="","",帽子!J20)</f>
        <v/>
      </c>
      <c r="K608" s="3" t="str">
        <f>IF(帽子!K20="","",帽子!K20)</f>
        <v>サイズ</v>
      </c>
      <c r="L608" s="69" t="s">
        <v>80</v>
      </c>
      <c r="M608" s="69" t="s">
        <v>19</v>
      </c>
      <c r="N608" s="69" t="s">
        <v>20</v>
      </c>
      <c r="O608" s="69" t="s">
        <v>21</v>
      </c>
      <c r="P608" s="4" t="s">
        <v>3036</v>
      </c>
      <c r="Q608" s="4" t="s">
        <v>3038</v>
      </c>
      <c r="R608" s="69" t="s">
        <v>22</v>
      </c>
      <c r="S608" s="69" t="s">
        <v>23</v>
      </c>
      <c r="T608" s="69" t="s">
        <v>22</v>
      </c>
      <c r="U608" s="69" t="s">
        <v>24</v>
      </c>
      <c r="V608" s="69" t="s">
        <v>25</v>
      </c>
      <c r="W608" s="3" t="str">
        <f>IF(帽子!W20="","",帽子!W20)</f>
        <v>内周：約cm　高さ：約cm　つば：約cm</v>
      </c>
      <c r="X608" s="69" t="s">
        <v>27</v>
      </c>
      <c r="Y608" s="69" t="s">
        <v>28</v>
      </c>
      <c r="Z608" s="69" t="s">
        <v>29</v>
      </c>
      <c r="AA608" s="4"/>
      <c r="AB608" s="4"/>
      <c r="AC608" s="4"/>
      <c r="AD608" s="70"/>
      <c r="AE608" s="70">
        <f>帽子!AB20</f>
        <v>0</v>
      </c>
      <c r="AF608" s="70" t="str">
        <f>帽子!O20</f>
        <v>通常</v>
      </c>
      <c r="AG608" s="70">
        <v>0</v>
      </c>
      <c r="AH608" s="9">
        <f>帽子!Z20</f>
        <v>0</v>
      </c>
      <c r="AI608">
        <v>1</v>
      </c>
      <c r="AJ608">
        <f>帽子!R20</f>
        <v>0</v>
      </c>
    </row>
    <row r="609" spans="1:36" ht="13.5" hidden="1" customHeight="1">
      <c r="A609" s="3" t="str">
        <f>IF(帽子!A21="","",帽子!A21)</f>
        <v/>
      </c>
      <c r="B609" s="68" t="str">
        <f>IF(帽子!B21="","",帽子!B21)</f>
        <v/>
      </c>
      <c r="C609" s="6" t="str">
        <f>IF(帽子!C21="","",帽子!C21)</f>
        <v>◇ サイズ E</v>
      </c>
      <c r="D609" s="3" t="str">
        <f>IF(帽子!E21="","",帽子!E21)</f>
        <v>無</v>
      </c>
      <c r="E609" s="3" t="str">
        <f>IF(帽子!X21="","",帽子!X21)</f>
        <v>ベースB</v>
      </c>
      <c r="F609" s="3" t="str">
        <f>IF(帽子!F21="","",帽子!F21)</f>
        <v/>
      </c>
      <c r="G609" s="3" t="str">
        <f>IF(帽子!G21="","",帽子!G21)</f>
        <v/>
      </c>
      <c r="H609" s="3" t="str">
        <f>IF(帽子!H21="","",帽子!H21)</f>
        <v/>
      </c>
      <c r="I609" s="3" t="str">
        <f>IF(帽子!I21="","",帽子!I21)</f>
        <v>画像参照</v>
      </c>
      <c r="J609" s="3" t="str">
        <f>IF(帽子!J21="","",帽子!J21)</f>
        <v/>
      </c>
      <c r="K609" s="3" t="str">
        <f>IF(帽子!K21="","",帽子!K21)</f>
        <v>サイズ</v>
      </c>
      <c r="L609" s="69" t="s">
        <v>80</v>
      </c>
      <c r="M609" s="69" t="s">
        <v>19</v>
      </c>
      <c r="N609" s="69" t="s">
        <v>20</v>
      </c>
      <c r="O609" s="69" t="s">
        <v>21</v>
      </c>
      <c r="P609" s="4" t="s">
        <v>3036</v>
      </c>
      <c r="Q609" s="4" t="s">
        <v>3038</v>
      </c>
      <c r="R609" s="69" t="s">
        <v>22</v>
      </c>
      <c r="S609" s="69" t="s">
        <v>23</v>
      </c>
      <c r="T609" s="69" t="s">
        <v>22</v>
      </c>
      <c r="U609" s="69" t="s">
        <v>24</v>
      </c>
      <c r="V609" s="69" t="s">
        <v>25</v>
      </c>
      <c r="W609" s="3" t="str">
        <f>IF(帽子!W21="","",帽子!W21)</f>
        <v>内周：約cm　高さ：約cm　つば：約cm</v>
      </c>
      <c r="X609" s="69" t="s">
        <v>27</v>
      </c>
      <c r="Y609" s="69" t="s">
        <v>28</v>
      </c>
      <c r="Z609" s="69" t="s">
        <v>29</v>
      </c>
      <c r="AA609" s="4"/>
      <c r="AB609" s="4"/>
      <c r="AC609" s="4"/>
      <c r="AD609" s="70"/>
      <c r="AE609" s="70">
        <f>帽子!AB21</f>
        <v>0</v>
      </c>
      <c r="AF609" s="70" t="str">
        <f>帽子!O21</f>
        <v>通常</v>
      </c>
      <c r="AG609" s="70">
        <v>0</v>
      </c>
      <c r="AH609" s="9">
        <f>帽子!Z21</f>
        <v>0</v>
      </c>
      <c r="AI609">
        <v>1</v>
      </c>
      <c r="AJ609">
        <f>帽子!R21</f>
        <v>0</v>
      </c>
    </row>
    <row r="610" spans="1:36" ht="13.5" hidden="1" customHeight="1">
      <c r="A610" s="3" t="str">
        <f>IF(帽子!A22="","",帽子!A22)</f>
        <v/>
      </c>
      <c r="B610" s="68" t="str">
        <f>IF(帽子!B22="","",帽子!B22)</f>
        <v/>
      </c>
      <c r="C610" s="6" t="str">
        <f>IF(帽子!C22="","",帽子!C22)</f>
        <v>◇ サイズ E</v>
      </c>
      <c r="D610" s="3" t="str">
        <f>IF(帽子!E22="","",帽子!E22)</f>
        <v>無</v>
      </c>
      <c r="E610" s="3" t="str">
        <f>IF(帽子!X22="","",帽子!X22)</f>
        <v>ベースB</v>
      </c>
      <c r="F610" s="3" t="str">
        <f>IF(帽子!F22="","",帽子!F22)</f>
        <v/>
      </c>
      <c r="G610" s="3" t="str">
        <f>IF(帽子!G22="","",帽子!G22)</f>
        <v/>
      </c>
      <c r="H610" s="3" t="str">
        <f>IF(帽子!H22="","",帽子!H22)</f>
        <v/>
      </c>
      <c r="I610" s="3" t="str">
        <f>IF(帽子!I22="","",帽子!I22)</f>
        <v>画像参照</v>
      </c>
      <c r="J610" s="3" t="str">
        <f>IF(帽子!J22="","",帽子!J22)</f>
        <v/>
      </c>
      <c r="K610" s="3" t="str">
        <f>IF(帽子!K22="","",帽子!K22)</f>
        <v>サイズ</v>
      </c>
      <c r="L610" s="69" t="s">
        <v>80</v>
      </c>
      <c r="M610" s="69" t="s">
        <v>19</v>
      </c>
      <c r="N610" s="69" t="s">
        <v>20</v>
      </c>
      <c r="O610" s="69" t="s">
        <v>21</v>
      </c>
      <c r="P610" s="4" t="s">
        <v>3036</v>
      </c>
      <c r="Q610" s="4" t="s">
        <v>3038</v>
      </c>
      <c r="R610" s="69" t="s">
        <v>22</v>
      </c>
      <c r="S610" s="69" t="s">
        <v>23</v>
      </c>
      <c r="T610" s="69" t="s">
        <v>22</v>
      </c>
      <c r="U610" s="69" t="s">
        <v>24</v>
      </c>
      <c r="V610" s="69" t="s">
        <v>25</v>
      </c>
      <c r="W610" s="3" t="str">
        <f>IF(帽子!W22="","",帽子!W22)</f>
        <v>内周：約cm　高さ：約cm　つば：約cm</v>
      </c>
      <c r="X610" s="69" t="s">
        <v>27</v>
      </c>
      <c r="Y610" s="69" t="s">
        <v>28</v>
      </c>
      <c r="Z610" s="69" t="s">
        <v>29</v>
      </c>
      <c r="AA610" s="4"/>
      <c r="AB610" s="4"/>
      <c r="AC610" s="4"/>
      <c r="AD610" s="70"/>
      <c r="AE610" s="70">
        <f>帽子!AB22</f>
        <v>0</v>
      </c>
      <c r="AF610" s="70" t="str">
        <f>帽子!O22</f>
        <v>通常</v>
      </c>
      <c r="AG610" s="70">
        <v>0</v>
      </c>
      <c r="AH610" s="9">
        <f>帽子!Z22</f>
        <v>0</v>
      </c>
      <c r="AI610">
        <v>1</v>
      </c>
      <c r="AJ610">
        <f>帽子!R22</f>
        <v>0</v>
      </c>
    </row>
    <row r="611" spans="1:36" ht="13.5" hidden="1" customHeight="1">
      <c r="A611" s="3" t="str">
        <f>IF(帽子!A23="","",帽子!A23)</f>
        <v/>
      </c>
      <c r="B611" s="68" t="str">
        <f>IF(帽子!B23="","",帽子!B23)</f>
        <v/>
      </c>
      <c r="C611" s="6" t="str">
        <f>IF(帽子!C23="","",帽子!C23)</f>
        <v>◇ サイズ E</v>
      </c>
      <c r="D611" s="3" t="str">
        <f>IF(帽子!E23="","",帽子!E23)</f>
        <v>無</v>
      </c>
      <c r="E611" s="3" t="str">
        <f>IF(帽子!X23="","",帽子!X23)</f>
        <v>ベースB</v>
      </c>
      <c r="F611" s="3" t="str">
        <f>IF(帽子!F23="","",帽子!F23)</f>
        <v/>
      </c>
      <c r="G611" s="3" t="str">
        <f>IF(帽子!G23="","",帽子!G23)</f>
        <v/>
      </c>
      <c r="H611" s="3" t="str">
        <f>IF(帽子!H23="","",帽子!H23)</f>
        <v/>
      </c>
      <c r="I611" s="3" t="str">
        <f>IF(帽子!I23="","",帽子!I23)</f>
        <v>画像参照</v>
      </c>
      <c r="J611" s="3" t="str">
        <f>IF(帽子!J23="","",帽子!J23)</f>
        <v/>
      </c>
      <c r="K611" s="3" t="str">
        <f>IF(帽子!K23="","",帽子!K23)</f>
        <v>サイズ</v>
      </c>
      <c r="L611" s="69" t="s">
        <v>80</v>
      </c>
      <c r="M611" s="69" t="s">
        <v>19</v>
      </c>
      <c r="N611" s="69" t="s">
        <v>20</v>
      </c>
      <c r="O611" s="69" t="s">
        <v>21</v>
      </c>
      <c r="P611" s="4" t="s">
        <v>3036</v>
      </c>
      <c r="Q611" s="4" t="s">
        <v>3038</v>
      </c>
      <c r="R611" s="69" t="s">
        <v>22</v>
      </c>
      <c r="S611" s="69" t="s">
        <v>23</v>
      </c>
      <c r="T611" s="69" t="s">
        <v>22</v>
      </c>
      <c r="U611" s="69" t="s">
        <v>24</v>
      </c>
      <c r="V611" s="69" t="s">
        <v>25</v>
      </c>
      <c r="W611" s="3" t="str">
        <f>IF(帽子!W23="","",帽子!W23)</f>
        <v>内周：約cm　高さ：約cm　つば：約cm</v>
      </c>
      <c r="X611" s="69" t="s">
        <v>27</v>
      </c>
      <c r="Y611" s="69" t="s">
        <v>28</v>
      </c>
      <c r="Z611" s="69" t="s">
        <v>29</v>
      </c>
      <c r="AA611" s="4"/>
      <c r="AB611" s="4"/>
      <c r="AC611" s="4"/>
      <c r="AD611" s="70"/>
      <c r="AE611" s="70">
        <f>帽子!AB23</f>
        <v>0</v>
      </c>
      <c r="AF611" s="70" t="str">
        <f>帽子!O23</f>
        <v>通常</v>
      </c>
      <c r="AG611" s="70">
        <v>0</v>
      </c>
      <c r="AH611" s="9">
        <f>帽子!Z23</f>
        <v>0</v>
      </c>
      <c r="AI611">
        <v>1</v>
      </c>
      <c r="AJ611">
        <f>帽子!R23</f>
        <v>0</v>
      </c>
    </row>
    <row r="612" spans="1:36" ht="13.5" hidden="1" customHeight="1">
      <c r="A612" s="3" t="str">
        <f>IF(帽子!A24="","",帽子!A24)</f>
        <v/>
      </c>
      <c r="B612" s="68" t="str">
        <f>IF(帽子!B24="","",帽子!B24)</f>
        <v/>
      </c>
      <c r="C612" s="6" t="str">
        <f>IF(帽子!C24="","",帽子!C24)</f>
        <v>◇ サイズ E</v>
      </c>
      <c r="D612" s="3" t="str">
        <f>IF(帽子!E24="","",帽子!E24)</f>
        <v>無</v>
      </c>
      <c r="E612" s="3" t="str">
        <f>IF(帽子!X24="","",帽子!X24)</f>
        <v>ベースB</v>
      </c>
      <c r="F612" s="3" t="str">
        <f>IF(帽子!F24="","",帽子!F24)</f>
        <v/>
      </c>
      <c r="G612" s="3" t="str">
        <f>IF(帽子!G24="","",帽子!G24)</f>
        <v/>
      </c>
      <c r="H612" s="3" t="str">
        <f>IF(帽子!H24="","",帽子!H24)</f>
        <v/>
      </c>
      <c r="I612" s="3" t="str">
        <f>IF(帽子!I24="","",帽子!I24)</f>
        <v>画像参照</v>
      </c>
      <c r="J612" s="3" t="str">
        <f>IF(帽子!J24="","",帽子!J24)</f>
        <v/>
      </c>
      <c r="K612" s="3" t="str">
        <f>IF(帽子!K24="","",帽子!K24)</f>
        <v>サイズ</v>
      </c>
      <c r="L612" s="69" t="s">
        <v>80</v>
      </c>
      <c r="M612" s="69" t="s">
        <v>19</v>
      </c>
      <c r="N612" s="69" t="s">
        <v>20</v>
      </c>
      <c r="O612" s="69" t="s">
        <v>21</v>
      </c>
      <c r="P612" s="4" t="s">
        <v>3036</v>
      </c>
      <c r="Q612" s="4" t="s">
        <v>3038</v>
      </c>
      <c r="R612" s="69" t="s">
        <v>22</v>
      </c>
      <c r="S612" s="69" t="s">
        <v>23</v>
      </c>
      <c r="T612" s="69" t="s">
        <v>22</v>
      </c>
      <c r="U612" s="69" t="s">
        <v>24</v>
      </c>
      <c r="V612" s="69" t="s">
        <v>25</v>
      </c>
      <c r="W612" s="3" t="str">
        <f>IF(帽子!W24="","",帽子!W24)</f>
        <v>内周：約cm　高さ：約cm　つば：約cm</v>
      </c>
      <c r="X612" s="69" t="s">
        <v>27</v>
      </c>
      <c r="Y612" s="69" t="s">
        <v>28</v>
      </c>
      <c r="Z612" s="69" t="s">
        <v>29</v>
      </c>
      <c r="AA612" s="4"/>
      <c r="AB612" s="4"/>
      <c r="AC612" s="4"/>
      <c r="AD612" s="70"/>
      <c r="AE612" s="70">
        <f>帽子!AB24</f>
        <v>0</v>
      </c>
      <c r="AF612" s="70" t="str">
        <f>帽子!O24</f>
        <v>通常</v>
      </c>
      <c r="AG612" s="70">
        <v>0</v>
      </c>
      <c r="AH612" s="9">
        <f>帽子!Z24</f>
        <v>0</v>
      </c>
      <c r="AI612">
        <v>1</v>
      </c>
      <c r="AJ612">
        <f>帽子!R24</f>
        <v>0</v>
      </c>
    </row>
    <row r="613" spans="1:36" ht="13.5" hidden="1" customHeight="1">
      <c r="A613" s="3" t="str">
        <f>IF(帽子!A25="","",帽子!A25)</f>
        <v/>
      </c>
      <c r="B613" s="68" t="str">
        <f>IF(帽子!B25="","",帽子!B25)</f>
        <v/>
      </c>
      <c r="C613" s="6" t="str">
        <f>IF(帽子!C25="","",帽子!C25)</f>
        <v>◇ サイズ E</v>
      </c>
      <c r="D613" s="3" t="str">
        <f>IF(帽子!E25="","",帽子!E25)</f>
        <v>無</v>
      </c>
      <c r="E613" s="3" t="str">
        <f>IF(帽子!X25="","",帽子!X25)</f>
        <v>ベースB</v>
      </c>
      <c r="F613" s="3" t="str">
        <f>IF(帽子!F25="","",帽子!F25)</f>
        <v/>
      </c>
      <c r="G613" s="3" t="str">
        <f>IF(帽子!G25="","",帽子!G25)</f>
        <v/>
      </c>
      <c r="H613" s="3" t="str">
        <f>IF(帽子!H25="","",帽子!H25)</f>
        <v/>
      </c>
      <c r="I613" s="3" t="str">
        <f>IF(帽子!I25="","",帽子!I25)</f>
        <v>画像参照</v>
      </c>
      <c r="J613" s="3" t="str">
        <f>IF(帽子!J25="","",帽子!J25)</f>
        <v/>
      </c>
      <c r="K613" s="3" t="str">
        <f>IF(帽子!K25="","",帽子!K25)</f>
        <v>サイズ</v>
      </c>
      <c r="L613" s="69" t="s">
        <v>80</v>
      </c>
      <c r="M613" s="69" t="s">
        <v>19</v>
      </c>
      <c r="N613" s="69" t="s">
        <v>20</v>
      </c>
      <c r="O613" s="69" t="s">
        <v>21</v>
      </c>
      <c r="P613" s="4" t="s">
        <v>3036</v>
      </c>
      <c r="Q613" s="4" t="s">
        <v>3038</v>
      </c>
      <c r="R613" s="69" t="s">
        <v>22</v>
      </c>
      <c r="S613" s="69" t="s">
        <v>23</v>
      </c>
      <c r="T613" s="69" t="s">
        <v>22</v>
      </c>
      <c r="U613" s="69" t="s">
        <v>24</v>
      </c>
      <c r="V613" s="69" t="s">
        <v>25</v>
      </c>
      <c r="W613" s="3" t="str">
        <f>IF(帽子!W25="","",帽子!W25)</f>
        <v>内周：約cm　高さ：約cm　つば：約cm</v>
      </c>
      <c r="X613" s="69" t="s">
        <v>27</v>
      </c>
      <c r="Y613" s="69" t="s">
        <v>28</v>
      </c>
      <c r="Z613" s="69" t="s">
        <v>29</v>
      </c>
      <c r="AA613" s="4"/>
      <c r="AB613" s="4"/>
      <c r="AC613" s="4"/>
      <c r="AD613" s="70"/>
      <c r="AE613" s="70">
        <f>帽子!AB25</f>
        <v>0</v>
      </c>
      <c r="AF613" s="70" t="str">
        <f>帽子!O25</f>
        <v>通常</v>
      </c>
      <c r="AG613" s="70">
        <v>0</v>
      </c>
      <c r="AH613" s="9">
        <f>帽子!Z25</f>
        <v>0</v>
      </c>
      <c r="AI613">
        <v>1</v>
      </c>
      <c r="AJ613">
        <f>帽子!R25</f>
        <v>0</v>
      </c>
    </row>
    <row r="614" spans="1:36" ht="13.5" hidden="1" customHeight="1">
      <c r="A614" s="3" t="str">
        <f>IF(帽子!A26="","",帽子!A26)</f>
        <v/>
      </c>
      <c r="B614" s="68" t="str">
        <f>IF(帽子!B26="","",帽子!B26)</f>
        <v/>
      </c>
      <c r="C614" s="6" t="str">
        <f>IF(帽子!C26="","",帽子!C26)</f>
        <v>◇ サイズ E</v>
      </c>
      <c r="D614" s="3" t="str">
        <f>IF(帽子!E26="","",帽子!E26)</f>
        <v>無</v>
      </c>
      <c r="E614" s="3" t="str">
        <f>IF(帽子!X26="","",帽子!X26)</f>
        <v>ベースB</v>
      </c>
      <c r="F614" s="3" t="str">
        <f>IF(帽子!F26="","",帽子!F26)</f>
        <v/>
      </c>
      <c r="G614" s="3" t="str">
        <f>IF(帽子!G26="","",帽子!G26)</f>
        <v/>
      </c>
      <c r="H614" s="3" t="str">
        <f>IF(帽子!H26="","",帽子!H26)</f>
        <v/>
      </c>
      <c r="I614" s="3" t="str">
        <f>IF(帽子!I26="","",帽子!I26)</f>
        <v>画像参照</v>
      </c>
      <c r="J614" s="3" t="str">
        <f>IF(帽子!J26="","",帽子!J26)</f>
        <v/>
      </c>
      <c r="K614" s="3" t="str">
        <f>IF(帽子!K26="","",帽子!K26)</f>
        <v>サイズ</v>
      </c>
      <c r="L614" s="69" t="s">
        <v>80</v>
      </c>
      <c r="M614" s="69" t="s">
        <v>19</v>
      </c>
      <c r="N614" s="69" t="s">
        <v>20</v>
      </c>
      <c r="O614" s="69" t="s">
        <v>21</v>
      </c>
      <c r="P614" s="4" t="s">
        <v>3036</v>
      </c>
      <c r="Q614" s="4" t="s">
        <v>3038</v>
      </c>
      <c r="R614" s="69" t="s">
        <v>22</v>
      </c>
      <c r="S614" s="69" t="s">
        <v>23</v>
      </c>
      <c r="T614" s="69" t="s">
        <v>22</v>
      </c>
      <c r="U614" s="69" t="s">
        <v>24</v>
      </c>
      <c r="V614" s="69" t="s">
        <v>25</v>
      </c>
      <c r="W614" s="3" t="str">
        <f>IF(帽子!W26="","",帽子!W26)</f>
        <v>内周：約cm　高さ：約cm　つば：約cm</v>
      </c>
      <c r="X614" s="69" t="s">
        <v>27</v>
      </c>
      <c r="Y614" s="69" t="s">
        <v>28</v>
      </c>
      <c r="Z614" s="69" t="s">
        <v>29</v>
      </c>
      <c r="AA614" s="4"/>
      <c r="AB614" s="4"/>
      <c r="AC614" s="4"/>
      <c r="AD614" s="70"/>
      <c r="AE614" s="70">
        <f>帽子!AB26</f>
        <v>0</v>
      </c>
      <c r="AF614" s="70" t="str">
        <f>帽子!O26</f>
        <v>通常</v>
      </c>
      <c r="AG614" s="70">
        <v>0</v>
      </c>
      <c r="AH614" s="9">
        <f>帽子!Z26</f>
        <v>0</v>
      </c>
      <c r="AI614">
        <v>1</v>
      </c>
      <c r="AJ614">
        <f>帽子!R26</f>
        <v>0</v>
      </c>
    </row>
    <row r="615" spans="1:36" ht="13.5" hidden="1" customHeight="1">
      <c r="A615" s="3" t="str">
        <f>IF(帽子!A27="","",帽子!A27)</f>
        <v/>
      </c>
      <c r="B615" s="68" t="str">
        <f>IF(帽子!B27="","",帽子!B27)</f>
        <v/>
      </c>
      <c r="C615" s="6" t="str">
        <f>IF(帽子!C27="","",帽子!C27)</f>
        <v>◇ サイズ E</v>
      </c>
      <c r="D615" s="3" t="str">
        <f>IF(帽子!E27="","",帽子!E27)</f>
        <v>無</v>
      </c>
      <c r="E615" s="3" t="str">
        <f>IF(帽子!X27="","",帽子!X27)</f>
        <v>ベースB</v>
      </c>
      <c r="F615" s="3" t="str">
        <f>IF(帽子!F27="","",帽子!F27)</f>
        <v/>
      </c>
      <c r="G615" s="3" t="str">
        <f>IF(帽子!G27="","",帽子!G27)</f>
        <v/>
      </c>
      <c r="H615" s="3" t="str">
        <f>IF(帽子!H27="","",帽子!H27)</f>
        <v/>
      </c>
      <c r="I615" s="3" t="str">
        <f>IF(帽子!I27="","",帽子!I27)</f>
        <v>画像参照</v>
      </c>
      <c r="J615" s="3" t="str">
        <f>IF(帽子!J27="","",帽子!J27)</f>
        <v/>
      </c>
      <c r="K615" s="3" t="str">
        <f>IF(帽子!K27="","",帽子!K27)</f>
        <v>サイズ</v>
      </c>
      <c r="L615" s="69" t="s">
        <v>80</v>
      </c>
      <c r="M615" s="69" t="s">
        <v>19</v>
      </c>
      <c r="N615" s="69" t="s">
        <v>20</v>
      </c>
      <c r="O615" s="69" t="s">
        <v>21</v>
      </c>
      <c r="P615" s="4" t="s">
        <v>3036</v>
      </c>
      <c r="Q615" s="4" t="s">
        <v>3038</v>
      </c>
      <c r="R615" s="69" t="s">
        <v>22</v>
      </c>
      <c r="S615" s="69" t="s">
        <v>23</v>
      </c>
      <c r="T615" s="69" t="s">
        <v>22</v>
      </c>
      <c r="U615" s="69" t="s">
        <v>24</v>
      </c>
      <c r="V615" s="69" t="s">
        <v>25</v>
      </c>
      <c r="W615" s="3" t="str">
        <f>IF(帽子!W27="","",帽子!W27)</f>
        <v>内周：約cm　高さ：約cm　つば：約cm</v>
      </c>
      <c r="X615" s="69" t="s">
        <v>27</v>
      </c>
      <c r="Y615" s="69" t="s">
        <v>28</v>
      </c>
      <c r="Z615" s="69" t="s">
        <v>29</v>
      </c>
      <c r="AA615" s="4"/>
      <c r="AB615" s="4"/>
      <c r="AC615" s="4"/>
      <c r="AD615" s="70"/>
      <c r="AE615" s="70">
        <f>帽子!AB27</f>
        <v>0</v>
      </c>
      <c r="AF615" s="70" t="str">
        <f>帽子!O27</f>
        <v>通常</v>
      </c>
      <c r="AG615" s="70">
        <v>0</v>
      </c>
      <c r="AH615" s="9">
        <f>帽子!Z27</f>
        <v>0</v>
      </c>
      <c r="AI615">
        <v>1</v>
      </c>
      <c r="AJ615">
        <f>帽子!R27</f>
        <v>0</v>
      </c>
    </row>
    <row r="616" spans="1:36" ht="13.5" hidden="1" customHeight="1">
      <c r="A616" s="3" t="str">
        <f>IF(帽子!A28="","",帽子!A28)</f>
        <v/>
      </c>
      <c r="B616" s="68" t="str">
        <f>IF(帽子!B28="","",帽子!B28)</f>
        <v/>
      </c>
      <c r="C616" s="6" t="str">
        <f>IF(帽子!C28="","",帽子!C28)</f>
        <v>◇ サイズ E</v>
      </c>
      <c r="D616" s="3" t="str">
        <f>IF(帽子!E28="","",帽子!E28)</f>
        <v>無</v>
      </c>
      <c r="E616" s="3" t="str">
        <f>IF(帽子!X28="","",帽子!X28)</f>
        <v>ベースB</v>
      </c>
      <c r="F616" s="3" t="str">
        <f>IF(帽子!F28="","",帽子!F28)</f>
        <v/>
      </c>
      <c r="G616" s="3" t="str">
        <f>IF(帽子!G28="","",帽子!G28)</f>
        <v/>
      </c>
      <c r="H616" s="3" t="str">
        <f>IF(帽子!H28="","",帽子!H28)</f>
        <v/>
      </c>
      <c r="I616" s="3" t="str">
        <f>IF(帽子!I28="","",帽子!I28)</f>
        <v>画像参照</v>
      </c>
      <c r="J616" s="3" t="str">
        <f>IF(帽子!J28="","",帽子!J28)</f>
        <v/>
      </c>
      <c r="K616" s="3" t="str">
        <f>IF(帽子!K28="","",帽子!K28)</f>
        <v>サイズ</v>
      </c>
      <c r="L616" s="69" t="s">
        <v>80</v>
      </c>
      <c r="M616" s="69" t="s">
        <v>19</v>
      </c>
      <c r="N616" s="69" t="s">
        <v>20</v>
      </c>
      <c r="O616" s="69" t="s">
        <v>21</v>
      </c>
      <c r="P616" s="4" t="s">
        <v>3036</v>
      </c>
      <c r="Q616" s="4" t="s">
        <v>3038</v>
      </c>
      <c r="R616" s="69" t="s">
        <v>22</v>
      </c>
      <c r="S616" s="69" t="s">
        <v>23</v>
      </c>
      <c r="T616" s="69" t="s">
        <v>22</v>
      </c>
      <c r="U616" s="69" t="s">
        <v>24</v>
      </c>
      <c r="V616" s="69" t="s">
        <v>25</v>
      </c>
      <c r="W616" s="3" t="str">
        <f>IF(帽子!W28="","",帽子!W28)</f>
        <v>内周：約cm　高さ：約cm　つば：約cm</v>
      </c>
      <c r="X616" s="69" t="s">
        <v>27</v>
      </c>
      <c r="Y616" s="69" t="s">
        <v>28</v>
      </c>
      <c r="Z616" s="69" t="s">
        <v>29</v>
      </c>
      <c r="AA616" s="4"/>
      <c r="AB616" s="4"/>
      <c r="AC616" s="4"/>
      <c r="AD616" s="70"/>
      <c r="AE616" s="70">
        <f>帽子!AB28</f>
        <v>0</v>
      </c>
      <c r="AF616" s="70" t="str">
        <f>帽子!O28</f>
        <v>通常</v>
      </c>
      <c r="AG616" s="70">
        <v>0</v>
      </c>
      <c r="AH616" s="9">
        <f>帽子!Z28</f>
        <v>0</v>
      </c>
      <c r="AI616">
        <v>1</v>
      </c>
      <c r="AJ616">
        <f>帽子!R28</f>
        <v>0</v>
      </c>
    </row>
    <row r="617" spans="1:36" ht="13.5" hidden="1" customHeight="1">
      <c r="A617" s="3" t="str">
        <f>IF(帽子!A29="","",帽子!A29)</f>
        <v/>
      </c>
      <c r="B617" s="68" t="str">
        <f>IF(帽子!B29="","",帽子!B29)</f>
        <v/>
      </c>
      <c r="C617" s="6" t="str">
        <f>IF(帽子!C29="","",帽子!C29)</f>
        <v>◇ サイズ E</v>
      </c>
      <c r="D617" s="3" t="str">
        <f>IF(帽子!E29="","",帽子!E29)</f>
        <v>無</v>
      </c>
      <c r="E617" s="3" t="str">
        <f>IF(帽子!X29="","",帽子!X29)</f>
        <v>ベースB</v>
      </c>
      <c r="F617" s="3" t="str">
        <f>IF(帽子!F29="","",帽子!F29)</f>
        <v/>
      </c>
      <c r="G617" s="3" t="str">
        <f>IF(帽子!G29="","",帽子!G29)</f>
        <v/>
      </c>
      <c r="H617" s="3" t="str">
        <f>IF(帽子!H29="","",帽子!H29)</f>
        <v/>
      </c>
      <c r="I617" s="3" t="str">
        <f>IF(帽子!I29="","",帽子!I29)</f>
        <v>画像参照</v>
      </c>
      <c r="J617" s="3" t="str">
        <f>IF(帽子!J29="","",帽子!J29)</f>
        <v/>
      </c>
      <c r="K617" s="3" t="str">
        <f>IF(帽子!K29="","",帽子!K29)</f>
        <v>サイズ</v>
      </c>
      <c r="L617" s="69" t="s">
        <v>80</v>
      </c>
      <c r="M617" s="69" t="s">
        <v>19</v>
      </c>
      <c r="N617" s="69" t="s">
        <v>20</v>
      </c>
      <c r="O617" s="69" t="s">
        <v>21</v>
      </c>
      <c r="P617" s="4" t="s">
        <v>3036</v>
      </c>
      <c r="Q617" s="4" t="s">
        <v>3038</v>
      </c>
      <c r="R617" s="69" t="s">
        <v>22</v>
      </c>
      <c r="S617" s="69" t="s">
        <v>23</v>
      </c>
      <c r="T617" s="69" t="s">
        <v>22</v>
      </c>
      <c r="U617" s="69" t="s">
        <v>24</v>
      </c>
      <c r="V617" s="69" t="s">
        <v>25</v>
      </c>
      <c r="W617" s="3" t="str">
        <f>IF(帽子!W29="","",帽子!W29)</f>
        <v>内周：約cm　高さ：約cm　つば：約cm</v>
      </c>
      <c r="X617" s="69" t="s">
        <v>27</v>
      </c>
      <c r="Y617" s="69" t="s">
        <v>28</v>
      </c>
      <c r="Z617" s="69" t="s">
        <v>29</v>
      </c>
      <c r="AA617" s="4"/>
      <c r="AB617" s="4"/>
      <c r="AC617" s="4"/>
      <c r="AD617" s="70"/>
      <c r="AE617" s="70">
        <f>帽子!AB29</f>
        <v>0</v>
      </c>
      <c r="AF617" s="70" t="str">
        <f>帽子!O29</f>
        <v>通常</v>
      </c>
      <c r="AG617" s="70">
        <v>0</v>
      </c>
      <c r="AH617" s="9">
        <f>帽子!Z29</f>
        <v>0</v>
      </c>
      <c r="AI617">
        <v>1</v>
      </c>
      <c r="AJ617">
        <f>帽子!R29</f>
        <v>0</v>
      </c>
    </row>
    <row r="618" spans="1:36" ht="13.5" hidden="1" customHeight="1">
      <c r="A618" s="3" t="str">
        <f>IF(帽子!A30="","",帽子!A30)</f>
        <v/>
      </c>
      <c r="B618" s="68" t="str">
        <f>IF(帽子!B30="","",帽子!B30)</f>
        <v/>
      </c>
      <c r="C618" s="6" t="str">
        <f>IF(帽子!C30="","",帽子!C30)</f>
        <v>◇ サイズ E</v>
      </c>
      <c r="D618" s="3" t="str">
        <f>IF(帽子!E30="","",帽子!E30)</f>
        <v>無</v>
      </c>
      <c r="E618" s="3" t="str">
        <f>IF(帽子!X30="","",帽子!X30)</f>
        <v>ベースB</v>
      </c>
      <c r="F618" s="3" t="str">
        <f>IF(帽子!F30="","",帽子!F30)</f>
        <v/>
      </c>
      <c r="G618" s="3" t="str">
        <f>IF(帽子!G30="","",帽子!G30)</f>
        <v/>
      </c>
      <c r="H618" s="3" t="str">
        <f>IF(帽子!H30="","",帽子!H30)</f>
        <v/>
      </c>
      <c r="I618" s="3" t="str">
        <f>IF(帽子!I30="","",帽子!I30)</f>
        <v>画像参照</v>
      </c>
      <c r="J618" s="3" t="str">
        <f>IF(帽子!J30="","",帽子!J30)</f>
        <v/>
      </c>
      <c r="K618" s="3" t="str">
        <f>IF(帽子!K30="","",帽子!K30)</f>
        <v>サイズ</v>
      </c>
      <c r="L618" s="69" t="s">
        <v>80</v>
      </c>
      <c r="M618" s="69" t="s">
        <v>19</v>
      </c>
      <c r="N618" s="69" t="s">
        <v>20</v>
      </c>
      <c r="O618" s="69" t="s">
        <v>21</v>
      </c>
      <c r="P618" s="4" t="s">
        <v>3036</v>
      </c>
      <c r="Q618" s="4" t="s">
        <v>3038</v>
      </c>
      <c r="R618" s="69" t="s">
        <v>22</v>
      </c>
      <c r="S618" s="69" t="s">
        <v>23</v>
      </c>
      <c r="T618" s="69" t="s">
        <v>22</v>
      </c>
      <c r="U618" s="69" t="s">
        <v>24</v>
      </c>
      <c r="V618" s="69" t="s">
        <v>25</v>
      </c>
      <c r="W618" s="3" t="str">
        <f>IF(帽子!W30="","",帽子!W30)</f>
        <v>内周：約cm　高さ：約cm　つば：約cm</v>
      </c>
      <c r="X618" s="69" t="s">
        <v>27</v>
      </c>
      <c r="Y618" s="69" t="s">
        <v>28</v>
      </c>
      <c r="Z618" s="69" t="s">
        <v>29</v>
      </c>
      <c r="AA618" s="4"/>
      <c r="AB618" s="4"/>
      <c r="AC618" s="4"/>
      <c r="AD618" s="70"/>
      <c r="AE618" s="70">
        <f>帽子!AB30</f>
        <v>0</v>
      </c>
      <c r="AF618" s="70" t="str">
        <f>帽子!O30</f>
        <v>通常</v>
      </c>
      <c r="AG618" s="70">
        <v>0</v>
      </c>
      <c r="AH618" s="9">
        <f>帽子!Z30</f>
        <v>0</v>
      </c>
      <c r="AI618">
        <v>1</v>
      </c>
      <c r="AJ618">
        <f>帽子!R30</f>
        <v>0</v>
      </c>
    </row>
    <row r="619" spans="1:36" ht="13.5" hidden="1" customHeight="1">
      <c r="A619" s="3" t="str">
        <f>IF(帽子!A31="","",帽子!A31)</f>
        <v/>
      </c>
      <c r="B619" s="68" t="str">
        <f>IF(帽子!B31="","",帽子!B31)</f>
        <v/>
      </c>
      <c r="C619" s="6" t="str">
        <f>IF(帽子!C31="","",帽子!C31)</f>
        <v>◇ サイズ E</v>
      </c>
      <c r="D619" s="3" t="str">
        <f>IF(帽子!E31="","",帽子!E31)</f>
        <v>無</v>
      </c>
      <c r="E619" s="3" t="str">
        <f>IF(帽子!X31="","",帽子!X31)</f>
        <v>ベースB</v>
      </c>
      <c r="F619" s="3" t="str">
        <f>IF(帽子!F31="","",帽子!F31)</f>
        <v/>
      </c>
      <c r="G619" s="3" t="str">
        <f>IF(帽子!G31="","",帽子!G31)</f>
        <v/>
      </c>
      <c r="H619" s="3" t="str">
        <f>IF(帽子!H31="","",帽子!H31)</f>
        <v/>
      </c>
      <c r="I619" s="3" t="str">
        <f>IF(帽子!I31="","",帽子!I31)</f>
        <v>画像参照</v>
      </c>
      <c r="J619" s="3" t="str">
        <f>IF(帽子!J31="","",帽子!J31)</f>
        <v/>
      </c>
      <c r="K619" s="3" t="str">
        <f>IF(帽子!K31="","",帽子!K31)</f>
        <v>サイズ</v>
      </c>
      <c r="L619" s="69" t="s">
        <v>80</v>
      </c>
      <c r="M619" s="69" t="s">
        <v>19</v>
      </c>
      <c r="N619" s="69" t="s">
        <v>20</v>
      </c>
      <c r="O619" s="69" t="s">
        <v>21</v>
      </c>
      <c r="P619" s="4" t="s">
        <v>3036</v>
      </c>
      <c r="Q619" s="4" t="s">
        <v>3038</v>
      </c>
      <c r="R619" s="69" t="s">
        <v>22</v>
      </c>
      <c r="S619" s="69" t="s">
        <v>23</v>
      </c>
      <c r="T619" s="69" t="s">
        <v>22</v>
      </c>
      <c r="U619" s="69" t="s">
        <v>24</v>
      </c>
      <c r="V619" s="69" t="s">
        <v>25</v>
      </c>
      <c r="W619" s="3" t="str">
        <f>IF(帽子!W31="","",帽子!W31)</f>
        <v>内周：約cm　高さ：約cm　つば：約cm</v>
      </c>
      <c r="X619" s="69" t="s">
        <v>27</v>
      </c>
      <c r="Y619" s="69" t="s">
        <v>28</v>
      </c>
      <c r="Z619" s="69" t="s">
        <v>29</v>
      </c>
      <c r="AA619" s="4"/>
      <c r="AB619" s="4"/>
      <c r="AC619" s="4"/>
      <c r="AD619" s="70"/>
      <c r="AE619" s="70">
        <f>帽子!AB31</f>
        <v>0</v>
      </c>
      <c r="AF619" s="70" t="str">
        <f>帽子!O31</f>
        <v>通常</v>
      </c>
      <c r="AG619" s="70">
        <v>0</v>
      </c>
      <c r="AH619" s="9">
        <f>帽子!Z31</f>
        <v>0</v>
      </c>
      <c r="AI619">
        <v>1</v>
      </c>
      <c r="AJ619">
        <f>帽子!R31</f>
        <v>0</v>
      </c>
    </row>
    <row r="620" spans="1:36" ht="13.5" hidden="1" customHeight="1">
      <c r="A620" s="3" t="str">
        <f>IF(帽子!A32="","",帽子!A32)</f>
        <v/>
      </c>
      <c r="B620" s="68" t="str">
        <f>IF(帽子!B32="","",帽子!B32)</f>
        <v/>
      </c>
      <c r="C620" s="6" t="str">
        <f>IF(帽子!C32="","",帽子!C32)</f>
        <v>◇ サイズ E</v>
      </c>
      <c r="D620" s="3" t="str">
        <f>IF(帽子!E32="","",帽子!E32)</f>
        <v>無</v>
      </c>
      <c r="E620" s="3" t="str">
        <f>IF(帽子!X32="","",帽子!X32)</f>
        <v>ベースB</v>
      </c>
      <c r="F620" s="3" t="str">
        <f>IF(帽子!F32="","",帽子!F32)</f>
        <v/>
      </c>
      <c r="G620" s="3" t="str">
        <f>IF(帽子!G32="","",帽子!G32)</f>
        <v/>
      </c>
      <c r="H620" s="3" t="str">
        <f>IF(帽子!H32="","",帽子!H32)</f>
        <v/>
      </c>
      <c r="I620" s="3" t="str">
        <f>IF(帽子!I32="","",帽子!I32)</f>
        <v>画像参照</v>
      </c>
      <c r="J620" s="3" t="str">
        <f>IF(帽子!J32="","",帽子!J32)</f>
        <v/>
      </c>
      <c r="K620" s="3" t="str">
        <f>IF(帽子!K32="","",帽子!K32)</f>
        <v>サイズ</v>
      </c>
      <c r="L620" s="69" t="s">
        <v>80</v>
      </c>
      <c r="M620" s="69" t="s">
        <v>19</v>
      </c>
      <c r="N620" s="69" t="s">
        <v>20</v>
      </c>
      <c r="O620" s="69" t="s">
        <v>21</v>
      </c>
      <c r="P620" s="4" t="s">
        <v>3036</v>
      </c>
      <c r="Q620" s="4" t="s">
        <v>3038</v>
      </c>
      <c r="R620" s="69" t="s">
        <v>22</v>
      </c>
      <c r="S620" s="69" t="s">
        <v>23</v>
      </c>
      <c r="T620" s="69" t="s">
        <v>22</v>
      </c>
      <c r="U620" s="69" t="s">
        <v>24</v>
      </c>
      <c r="V620" s="69" t="s">
        <v>25</v>
      </c>
      <c r="W620" s="3" t="str">
        <f>IF(帽子!W32="","",帽子!W32)</f>
        <v>内周：約cm　高さ：約cm　つば：約cm</v>
      </c>
      <c r="X620" s="69" t="s">
        <v>27</v>
      </c>
      <c r="Y620" s="69" t="s">
        <v>28</v>
      </c>
      <c r="Z620" s="69" t="s">
        <v>29</v>
      </c>
      <c r="AA620" s="4"/>
      <c r="AB620" s="4"/>
      <c r="AC620" s="4"/>
      <c r="AD620" s="70"/>
      <c r="AE620" s="70">
        <f>帽子!AB32</f>
        <v>0</v>
      </c>
      <c r="AF620" s="70" t="str">
        <f>帽子!O32</f>
        <v>通常</v>
      </c>
      <c r="AG620" s="70">
        <v>0</v>
      </c>
      <c r="AH620" s="9">
        <f>帽子!Z32</f>
        <v>0</v>
      </c>
      <c r="AI620">
        <v>1</v>
      </c>
      <c r="AJ620">
        <f>帽子!R32</f>
        <v>0</v>
      </c>
    </row>
    <row r="621" spans="1:36" ht="13.5" hidden="1" customHeight="1">
      <c r="A621" s="3" t="str">
        <f>IF(帽子!A33="","",帽子!A33)</f>
        <v/>
      </c>
      <c r="B621" s="68" t="str">
        <f>IF(帽子!B33="","",帽子!B33)</f>
        <v/>
      </c>
      <c r="C621" s="6" t="str">
        <f>IF(帽子!C33="","",帽子!C33)</f>
        <v>◇ サイズ E</v>
      </c>
      <c r="D621" s="3" t="str">
        <f>IF(帽子!E33="","",帽子!E33)</f>
        <v>無</v>
      </c>
      <c r="E621" s="3" t="str">
        <f>IF(帽子!X33="","",帽子!X33)</f>
        <v>ベースB</v>
      </c>
      <c r="F621" s="3" t="str">
        <f>IF(帽子!F33="","",帽子!F33)</f>
        <v/>
      </c>
      <c r="G621" s="3" t="str">
        <f>IF(帽子!G33="","",帽子!G33)</f>
        <v/>
      </c>
      <c r="H621" s="3" t="str">
        <f>IF(帽子!H33="","",帽子!H33)</f>
        <v/>
      </c>
      <c r="I621" s="3" t="str">
        <f>IF(帽子!I33="","",帽子!I33)</f>
        <v>画像参照</v>
      </c>
      <c r="J621" s="3" t="str">
        <f>IF(帽子!J33="","",帽子!J33)</f>
        <v/>
      </c>
      <c r="K621" s="3" t="str">
        <f>IF(帽子!K33="","",帽子!K33)</f>
        <v>サイズ</v>
      </c>
      <c r="L621" s="69" t="s">
        <v>80</v>
      </c>
      <c r="M621" s="69" t="s">
        <v>19</v>
      </c>
      <c r="N621" s="69" t="s">
        <v>20</v>
      </c>
      <c r="O621" s="69" t="s">
        <v>21</v>
      </c>
      <c r="P621" s="4" t="s">
        <v>3036</v>
      </c>
      <c r="Q621" s="4" t="s">
        <v>3038</v>
      </c>
      <c r="R621" s="69" t="s">
        <v>22</v>
      </c>
      <c r="S621" s="69" t="s">
        <v>23</v>
      </c>
      <c r="T621" s="69" t="s">
        <v>22</v>
      </c>
      <c r="U621" s="69" t="s">
        <v>24</v>
      </c>
      <c r="V621" s="69" t="s">
        <v>25</v>
      </c>
      <c r="W621" s="3" t="str">
        <f>IF(帽子!W33="","",帽子!W33)</f>
        <v>内周：約cm　高さ：約cm　つば：約cm</v>
      </c>
      <c r="X621" s="69" t="s">
        <v>27</v>
      </c>
      <c r="Y621" s="69" t="s">
        <v>28</v>
      </c>
      <c r="Z621" s="69" t="s">
        <v>29</v>
      </c>
      <c r="AA621" s="4"/>
      <c r="AB621" s="4"/>
      <c r="AC621" s="4"/>
      <c r="AD621" s="70"/>
      <c r="AE621" s="70">
        <f>帽子!AB33</f>
        <v>0</v>
      </c>
      <c r="AF621" s="70" t="str">
        <f>帽子!O33</f>
        <v>通常</v>
      </c>
      <c r="AG621" s="70">
        <v>0</v>
      </c>
      <c r="AH621" s="9">
        <f>帽子!Z33</f>
        <v>0</v>
      </c>
      <c r="AI621">
        <v>1</v>
      </c>
      <c r="AJ621">
        <f>帽子!R33</f>
        <v>0</v>
      </c>
    </row>
    <row r="622" spans="1:36" ht="13.5" hidden="1" customHeight="1">
      <c r="A622" s="3" t="str">
        <f>IF(帽子!A34="","",帽子!A34)</f>
        <v/>
      </c>
      <c r="B622" s="68" t="str">
        <f>IF(帽子!B34="","",帽子!B34)</f>
        <v/>
      </c>
      <c r="C622" s="6" t="str">
        <f>IF(帽子!C34="","",帽子!C34)</f>
        <v>◇ サイズ E</v>
      </c>
      <c r="D622" s="3" t="str">
        <f>IF(帽子!E34="","",帽子!E34)</f>
        <v>無</v>
      </c>
      <c r="E622" s="3" t="str">
        <f>IF(帽子!X34="","",帽子!X34)</f>
        <v>ベースB</v>
      </c>
      <c r="F622" s="3" t="str">
        <f>IF(帽子!F34="","",帽子!F34)</f>
        <v/>
      </c>
      <c r="G622" s="3" t="str">
        <f>IF(帽子!G34="","",帽子!G34)</f>
        <v/>
      </c>
      <c r="H622" s="3" t="str">
        <f>IF(帽子!H34="","",帽子!H34)</f>
        <v/>
      </c>
      <c r="I622" s="3" t="str">
        <f>IF(帽子!I34="","",帽子!I34)</f>
        <v>画像参照</v>
      </c>
      <c r="J622" s="3" t="str">
        <f>IF(帽子!J34="","",帽子!J34)</f>
        <v/>
      </c>
      <c r="K622" s="3" t="str">
        <f>IF(帽子!K34="","",帽子!K34)</f>
        <v>サイズ</v>
      </c>
      <c r="L622" s="69" t="s">
        <v>80</v>
      </c>
      <c r="M622" s="69" t="s">
        <v>19</v>
      </c>
      <c r="N622" s="69" t="s">
        <v>20</v>
      </c>
      <c r="O622" s="69" t="s">
        <v>21</v>
      </c>
      <c r="P622" s="4" t="s">
        <v>3036</v>
      </c>
      <c r="Q622" s="4" t="s">
        <v>3038</v>
      </c>
      <c r="R622" s="69" t="s">
        <v>22</v>
      </c>
      <c r="S622" s="69" t="s">
        <v>23</v>
      </c>
      <c r="T622" s="69" t="s">
        <v>22</v>
      </c>
      <c r="U622" s="69" t="s">
        <v>24</v>
      </c>
      <c r="V622" s="69" t="s">
        <v>25</v>
      </c>
      <c r="W622" s="3" t="str">
        <f>IF(帽子!W34="","",帽子!W34)</f>
        <v>内周：約cm　高さ：約cm　つば：約cm</v>
      </c>
      <c r="X622" s="69" t="s">
        <v>27</v>
      </c>
      <c r="Y622" s="69" t="s">
        <v>28</v>
      </c>
      <c r="Z622" s="69" t="s">
        <v>29</v>
      </c>
      <c r="AA622" s="4"/>
      <c r="AB622" s="4"/>
      <c r="AC622" s="4"/>
      <c r="AD622" s="70"/>
      <c r="AE622" s="70">
        <f>帽子!AB34</f>
        <v>0</v>
      </c>
      <c r="AF622" s="70" t="str">
        <f>帽子!O34</f>
        <v>通常</v>
      </c>
      <c r="AG622" s="70">
        <v>0</v>
      </c>
      <c r="AH622" s="9">
        <f>帽子!Z34</f>
        <v>0</v>
      </c>
      <c r="AI622">
        <v>1</v>
      </c>
      <c r="AJ622">
        <f>帽子!R34</f>
        <v>0</v>
      </c>
    </row>
    <row r="623" spans="1:36" ht="13.5" hidden="1" customHeight="1">
      <c r="A623" s="3" t="str">
        <f>IF(帽子!A35="","",帽子!A35)</f>
        <v/>
      </c>
      <c r="B623" s="68" t="str">
        <f>IF(帽子!B35="","",帽子!B35)</f>
        <v/>
      </c>
      <c r="C623" s="6" t="str">
        <f>IF(帽子!C35="","",帽子!C35)</f>
        <v>◇ サイズ E</v>
      </c>
      <c r="D623" s="3" t="str">
        <f>IF(帽子!E35="","",帽子!E35)</f>
        <v>無</v>
      </c>
      <c r="E623" s="3" t="str">
        <f>IF(帽子!X35="","",帽子!X35)</f>
        <v>ベースB</v>
      </c>
      <c r="F623" s="3" t="str">
        <f>IF(帽子!F35="","",帽子!F35)</f>
        <v/>
      </c>
      <c r="G623" s="3" t="str">
        <f>IF(帽子!G35="","",帽子!G35)</f>
        <v/>
      </c>
      <c r="H623" s="3" t="str">
        <f>IF(帽子!H35="","",帽子!H35)</f>
        <v/>
      </c>
      <c r="I623" s="3" t="str">
        <f>IF(帽子!I35="","",帽子!I35)</f>
        <v>画像参照</v>
      </c>
      <c r="J623" s="3" t="str">
        <f>IF(帽子!J35="","",帽子!J35)</f>
        <v/>
      </c>
      <c r="K623" s="3" t="str">
        <f>IF(帽子!K35="","",帽子!K35)</f>
        <v>サイズ</v>
      </c>
      <c r="L623" s="69" t="s">
        <v>80</v>
      </c>
      <c r="M623" s="69" t="s">
        <v>19</v>
      </c>
      <c r="N623" s="69" t="s">
        <v>20</v>
      </c>
      <c r="O623" s="69" t="s">
        <v>21</v>
      </c>
      <c r="P623" s="4" t="s">
        <v>3036</v>
      </c>
      <c r="Q623" s="4" t="s">
        <v>3038</v>
      </c>
      <c r="R623" s="69" t="s">
        <v>22</v>
      </c>
      <c r="S623" s="69" t="s">
        <v>23</v>
      </c>
      <c r="T623" s="69" t="s">
        <v>22</v>
      </c>
      <c r="U623" s="69" t="s">
        <v>24</v>
      </c>
      <c r="V623" s="69" t="s">
        <v>25</v>
      </c>
      <c r="W623" s="3" t="str">
        <f>IF(帽子!W35="","",帽子!W35)</f>
        <v>内周：約cm　高さ：約cm　つば：約cm</v>
      </c>
      <c r="X623" s="69" t="s">
        <v>27</v>
      </c>
      <c r="Y623" s="69" t="s">
        <v>28</v>
      </c>
      <c r="Z623" s="69" t="s">
        <v>29</v>
      </c>
      <c r="AA623" s="4"/>
      <c r="AB623" s="4"/>
      <c r="AC623" s="4"/>
      <c r="AD623" s="70"/>
      <c r="AE623" s="70">
        <f>帽子!AB35</f>
        <v>0</v>
      </c>
      <c r="AF623" s="70" t="str">
        <f>帽子!O35</f>
        <v>通常</v>
      </c>
      <c r="AG623" s="70">
        <v>0</v>
      </c>
      <c r="AH623" s="9">
        <f>帽子!Z35</f>
        <v>0</v>
      </c>
      <c r="AI623">
        <v>1</v>
      </c>
      <c r="AJ623">
        <f>帽子!R35</f>
        <v>0</v>
      </c>
    </row>
    <row r="624" spans="1:36" ht="13.5" hidden="1" customHeight="1">
      <c r="A624" s="3" t="str">
        <f>IF(帽子!A36="","",帽子!A36)</f>
        <v/>
      </c>
      <c r="B624" s="68" t="str">
        <f>IF(帽子!B36="","",帽子!B36)</f>
        <v/>
      </c>
      <c r="C624" s="6" t="str">
        <f>IF(帽子!C36="","",帽子!C36)</f>
        <v>◇ サイズ E</v>
      </c>
      <c r="D624" s="3" t="str">
        <f>IF(帽子!E36="","",帽子!E36)</f>
        <v>無</v>
      </c>
      <c r="E624" s="3" t="str">
        <f>IF(帽子!X36="","",帽子!X36)</f>
        <v>ベースB</v>
      </c>
      <c r="F624" s="3" t="str">
        <f>IF(帽子!F36="","",帽子!F36)</f>
        <v/>
      </c>
      <c r="G624" s="3" t="str">
        <f>IF(帽子!G36="","",帽子!G36)</f>
        <v/>
      </c>
      <c r="H624" s="3" t="str">
        <f>IF(帽子!H36="","",帽子!H36)</f>
        <v/>
      </c>
      <c r="I624" s="3" t="str">
        <f>IF(帽子!I36="","",帽子!I36)</f>
        <v>画像参照</v>
      </c>
      <c r="J624" s="3" t="str">
        <f>IF(帽子!J36="","",帽子!J36)</f>
        <v/>
      </c>
      <c r="K624" s="3" t="str">
        <f>IF(帽子!K36="","",帽子!K36)</f>
        <v>サイズ</v>
      </c>
      <c r="L624" s="69" t="s">
        <v>80</v>
      </c>
      <c r="M624" s="69" t="s">
        <v>19</v>
      </c>
      <c r="N624" s="69" t="s">
        <v>20</v>
      </c>
      <c r="O624" s="69" t="s">
        <v>21</v>
      </c>
      <c r="P624" s="4" t="s">
        <v>3036</v>
      </c>
      <c r="Q624" s="4" t="s">
        <v>3038</v>
      </c>
      <c r="R624" s="69" t="s">
        <v>22</v>
      </c>
      <c r="S624" s="69" t="s">
        <v>23</v>
      </c>
      <c r="T624" s="69" t="s">
        <v>22</v>
      </c>
      <c r="U624" s="69" t="s">
        <v>24</v>
      </c>
      <c r="V624" s="69" t="s">
        <v>25</v>
      </c>
      <c r="W624" s="3" t="str">
        <f>IF(帽子!W36="","",帽子!W36)</f>
        <v>内周：約cm　高さ：約cm　つば：約cm</v>
      </c>
      <c r="X624" s="69" t="s">
        <v>27</v>
      </c>
      <c r="Y624" s="69" t="s">
        <v>28</v>
      </c>
      <c r="Z624" s="69" t="s">
        <v>29</v>
      </c>
      <c r="AA624" s="4"/>
      <c r="AB624" s="4"/>
      <c r="AC624" s="4"/>
      <c r="AD624" s="70"/>
      <c r="AE624" s="70">
        <f>帽子!AB36</f>
        <v>0</v>
      </c>
      <c r="AF624" s="70" t="str">
        <f>帽子!O36</f>
        <v>通常</v>
      </c>
      <c r="AG624" s="70">
        <v>0</v>
      </c>
      <c r="AH624" s="9">
        <f>帽子!Z36</f>
        <v>0</v>
      </c>
      <c r="AI624">
        <v>1</v>
      </c>
      <c r="AJ624">
        <f>帽子!R36</f>
        <v>0</v>
      </c>
    </row>
    <row r="625" spans="1:36" ht="13.5" hidden="1" customHeight="1">
      <c r="A625" s="3" t="str">
        <f>IF(帽子!A37="","",帽子!A37)</f>
        <v/>
      </c>
      <c r="B625" s="68" t="str">
        <f>IF(帽子!B37="","",帽子!B37)</f>
        <v/>
      </c>
      <c r="C625" s="6" t="str">
        <f>IF(帽子!C37="","",帽子!C37)</f>
        <v>◇ サイズ E</v>
      </c>
      <c r="D625" s="3" t="str">
        <f>IF(帽子!E37="","",帽子!E37)</f>
        <v>無</v>
      </c>
      <c r="E625" s="3" t="str">
        <f>IF(帽子!X37="","",帽子!X37)</f>
        <v>ベースB</v>
      </c>
      <c r="F625" s="3" t="str">
        <f>IF(帽子!F37="","",帽子!F37)</f>
        <v/>
      </c>
      <c r="G625" s="3" t="str">
        <f>IF(帽子!G37="","",帽子!G37)</f>
        <v/>
      </c>
      <c r="H625" s="3" t="str">
        <f>IF(帽子!H37="","",帽子!H37)</f>
        <v/>
      </c>
      <c r="I625" s="3" t="str">
        <f>IF(帽子!I37="","",帽子!I37)</f>
        <v>画像参照</v>
      </c>
      <c r="J625" s="3" t="str">
        <f>IF(帽子!J37="","",帽子!J37)</f>
        <v/>
      </c>
      <c r="K625" s="3" t="str">
        <f>IF(帽子!K37="","",帽子!K37)</f>
        <v>サイズ</v>
      </c>
      <c r="L625" s="69" t="s">
        <v>80</v>
      </c>
      <c r="M625" s="69" t="s">
        <v>19</v>
      </c>
      <c r="N625" s="69" t="s">
        <v>20</v>
      </c>
      <c r="O625" s="69" t="s">
        <v>21</v>
      </c>
      <c r="P625" s="4" t="s">
        <v>3036</v>
      </c>
      <c r="Q625" s="4" t="s">
        <v>3038</v>
      </c>
      <c r="R625" s="69" t="s">
        <v>22</v>
      </c>
      <c r="S625" s="69" t="s">
        <v>23</v>
      </c>
      <c r="T625" s="69" t="s">
        <v>22</v>
      </c>
      <c r="U625" s="69" t="s">
        <v>24</v>
      </c>
      <c r="V625" s="69" t="s">
        <v>25</v>
      </c>
      <c r="W625" s="3" t="str">
        <f>IF(帽子!W37="","",帽子!W37)</f>
        <v>内周：約cm　高さ：約cm　つば：約cm</v>
      </c>
      <c r="X625" s="69" t="s">
        <v>27</v>
      </c>
      <c r="Y625" s="69" t="s">
        <v>28</v>
      </c>
      <c r="Z625" s="69" t="s">
        <v>29</v>
      </c>
      <c r="AA625" s="4"/>
      <c r="AB625" s="4"/>
      <c r="AC625" s="4"/>
      <c r="AD625" s="70"/>
      <c r="AE625" s="70">
        <f>帽子!AB37</f>
        <v>0</v>
      </c>
      <c r="AF625" s="70" t="str">
        <f>帽子!O37</f>
        <v>通常</v>
      </c>
      <c r="AG625" s="70">
        <v>0</v>
      </c>
      <c r="AH625" s="9">
        <f>帽子!Z37</f>
        <v>0</v>
      </c>
      <c r="AI625">
        <v>1</v>
      </c>
      <c r="AJ625">
        <f>帽子!R37</f>
        <v>0</v>
      </c>
    </row>
    <row r="626" spans="1:36" ht="13.5" hidden="1" customHeight="1">
      <c r="A626" s="3" t="str">
        <f>IF(帽子!A38="","",帽子!A38)</f>
        <v/>
      </c>
      <c r="B626" s="68" t="str">
        <f>IF(帽子!B38="","",帽子!B38)</f>
        <v/>
      </c>
      <c r="C626" s="6" t="str">
        <f>IF(帽子!C38="","",帽子!C38)</f>
        <v>◇ サイズ E</v>
      </c>
      <c r="D626" s="3" t="str">
        <f>IF(帽子!E38="","",帽子!E38)</f>
        <v>無</v>
      </c>
      <c r="E626" s="3" t="str">
        <f>IF(帽子!X38="","",帽子!X38)</f>
        <v>ベースB</v>
      </c>
      <c r="F626" s="3" t="str">
        <f>IF(帽子!F38="","",帽子!F38)</f>
        <v/>
      </c>
      <c r="G626" s="3" t="str">
        <f>IF(帽子!G38="","",帽子!G38)</f>
        <v/>
      </c>
      <c r="H626" s="3" t="str">
        <f>IF(帽子!H38="","",帽子!H38)</f>
        <v/>
      </c>
      <c r="I626" s="3" t="str">
        <f>IF(帽子!I38="","",帽子!I38)</f>
        <v>画像参照</v>
      </c>
      <c r="J626" s="3" t="str">
        <f>IF(帽子!J38="","",帽子!J38)</f>
        <v/>
      </c>
      <c r="K626" s="3" t="str">
        <f>IF(帽子!K38="","",帽子!K38)</f>
        <v>サイズ</v>
      </c>
      <c r="L626" s="69" t="s">
        <v>80</v>
      </c>
      <c r="M626" s="69" t="s">
        <v>19</v>
      </c>
      <c r="N626" s="69" t="s">
        <v>20</v>
      </c>
      <c r="O626" s="69" t="s">
        <v>21</v>
      </c>
      <c r="P626" s="4" t="s">
        <v>3036</v>
      </c>
      <c r="Q626" s="4" t="s">
        <v>3038</v>
      </c>
      <c r="R626" s="69" t="s">
        <v>22</v>
      </c>
      <c r="S626" s="69" t="s">
        <v>23</v>
      </c>
      <c r="T626" s="69" t="s">
        <v>22</v>
      </c>
      <c r="U626" s="69" t="s">
        <v>24</v>
      </c>
      <c r="V626" s="69" t="s">
        <v>25</v>
      </c>
      <c r="W626" s="3" t="str">
        <f>IF(帽子!W38="","",帽子!W38)</f>
        <v>内周：約cm　高さ：約cm　つば：約cm</v>
      </c>
      <c r="X626" s="69" t="s">
        <v>27</v>
      </c>
      <c r="Y626" s="69" t="s">
        <v>28</v>
      </c>
      <c r="Z626" s="69" t="s">
        <v>29</v>
      </c>
      <c r="AA626" s="4"/>
      <c r="AB626" s="4"/>
      <c r="AC626" s="4"/>
      <c r="AD626" s="70"/>
      <c r="AE626" s="70">
        <f>帽子!AB38</f>
        <v>0</v>
      </c>
      <c r="AF626" s="70" t="str">
        <f>帽子!O38</f>
        <v>通常</v>
      </c>
      <c r="AG626" s="70">
        <v>0</v>
      </c>
      <c r="AH626" s="9">
        <f>帽子!Z38</f>
        <v>0</v>
      </c>
      <c r="AI626">
        <v>1</v>
      </c>
      <c r="AJ626">
        <f>帽子!R38</f>
        <v>0</v>
      </c>
    </row>
    <row r="627" spans="1:36" ht="13.5" hidden="1" customHeight="1">
      <c r="A627" s="3" t="str">
        <f>IF(帽子!A39="","",帽子!A39)</f>
        <v/>
      </c>
      <c r="B627" s="68" t="str">
        <f>IF(帽子!B39="","",帽子!B39)</f>
        <v/>
      </c>
      <c r="C627" s="6" t="str">
        <f>IF(帽子!C39="","",帽子!C39)</f>
        <v>◇ サイズ E</v>
      </c>
      <c r="D627" s="3" t="str">
        <f>IF(帽子!E39="","",帽子!E39)</f>
        <v>無</v>
      </c>
      <c r="E627" s="3" t="str">
        <f>IF(帽子!X39="","",帽子!X39)</f>
        <v>ベースB</v>
      </c>
      <c r="F627" s="3" t="str">
        <f>IF(帽子!F39="","",帽子!F39)</f>
        <v/>
      </c>
      <c r="G627" s="3" t="str">
        <f>IF(帽子!G39="","",帽子!G39)</f>
        <v/>
      </c>
      <c r="H627" s="3" t="str">
        <f>IF(帽子!H39="","",帽子!H39)</f>
        <v/>
      </c>
      <c r="I627" s="3" t="str">
        <f>IF(帽子!I39="","",帽子!I39)</f>
        <v>画像参照</v>
      </c>
      <c r="J627" s="3" t="str">
        <f>IF(帽子!J39="","",帽子!J39)</f>
        <v/>
      </c>
      <c r="K627" s="3" t="str">
        <f>IF(帽子!K39="","",帽子!K39)</f>
        <v>サイズ</v>
      </c>
      <c r="L627" s="69" t="s">
        <v>80</v>
      </c>
      <c r="M627" s="69" t="s">
        <v>19</v>
      </c>
      <c r="N627" s="69" t="s">
        <v>20</v>
      </c>
      <c r="O627" s="69" t="s">
        <v>21</v>
      </c>
      <c r="P627" s="4" t="s">
        <v>3036</v>
      </c>
      <c r="Q627" s="4" t="s">
        <v>3038</v>
      </c>
      <c r="R627" s="69" t="s">
        <v>22</v>
      </c>
      <c r="S627" s="69" t="s">
        <v>23</v>
      </c>
      <c r="T627" s="69" t="s">
        <v>22</v>
      </c>
      <c r="U627" s="69" t="s">
        <v>24</v>
      </c>
      <c r="V627" s="69" t="s">
        <v>25</v>
      </c>
      <c r="W627" s="3" t="str">
        <f>IF(帽子!W39="","",帽子!W39)</f>
        <v>内周：約cm　高さ：約cm　つば：約cm</v>
      </c>
      <c r="X627" s="69" t="s">
        <v>27</v>
      </c>
      <c r="Y627" s="69" t="s">
        <v>28</v>
      </c>
      <c r="Z627" s="69" t="s">
        <v>29</v>
      </c>
      <c r="AA627" s="4"/>
      <c r="AB627" s="4"/>
      <c r="AC627" s="4"/>
      <c r="AD627" s="70"/>
      <c r="AE627" s="70">
        <f>帽子!AB39</f>
        <v>0</v>
      </c>
      <c r="AF627" s="70" t="str">
        <f>帽子!O39</f>
        <v>通常</v>
      </c>
      <c r="AG627" s="70">
        <v>0</v>
      </c>
      <c r="AH627" s="9">
        <f>帽子!Z39</f>
        <v>0</v>
      </c>
      <c r="AI627">
        <v>1</v>
      </c>
      <c r="AJ627">
        <f>帽子!R39</f>
        <v>0</v>
      </c>
    </row>
    <row r="628" spans="1:36" ht="13.5" hidden="1" customHeight="1">
      <c r="A628" s="3" t="str">
        <f>IF(帽子!A40="","",帽子!A40)</f>
        <v/>
      </c>
      <c r="B628" s="68" t="str">
        <f>IF(帽子!B40="","",帽子!B40)</f>
        <v/>
      </c>
      <c r="C628" s="6" t="str">
        <f>IF(帽子!C40="","",帽子!C40)</f>
        <v>◇ サイズ E</v>
      </c>
      <c r="D628" s="3" t="str">
        <f>IF(帽子!E40="","",帽子!E40)</f>
        <v>無</v>
      </c>
      <c r="E628" s="3" t="str">
        <f>IF(帽子!X40="","",帽子!X40)</f>
        <v>ベースB</v>
      </c>
      <c r="F628" s="3" t="str">
        <f>IF(帽子!F40="","",帽子!F40)</f>
        <v/>
      </c>
      <c r="G628" s="3" t="str">
        <f>IF(帽子!G40="","",帽子!G40)</f>
        <v/>
      </c>
      <c r="H628" s="3" t="str">
        <f>IF(帽子!H40="","",帽子!H40)</f>
        <v/>
      </c>
      <c r="I628" s="3" t="str">
        <f>IF(帽子!I40="","",帽子!I40)</f>
        <v>画像参照</v>
      </c>
      <c r="J628" s="3" t="str">
        <f>IF(帽子!J40="","",帽子!J40)</f>
        <v/>
      </c>
      <c r="K628" s="3" t="str">
        <f>IF(帽子!K40="","",帽子!K40)</f>
        <v>サイズ</v>
      </c>
      <c r="L628" s="69" t="s">
        <v>80</v>
      </c>
      <c r="M628" s="69" t="s">
        <v>19</v>
      </c>
      <c r="N628" s="69" t="s">
        <v>20</v>
      </c>
      <c r="O628" s="69" t="s">
        <v>21</v>
      </c>
      <c r="P628" s="4" t="s">
        <v>3036</v>
      </c>
      <c r="Q628" s="4" t="s">
        <v>3038</v>
      </c>
      <c r="R628" s="69" t="s">
        <v>22</v>
      </c>
      <c r="S628" s="69" t="s">
        <v>23</v>
      </c>
      <c r="T628" s="69" t="s">
        <v>22</v>
      </c>
      <c r="U628" s="69" t="s">
        <v>24</v>
      </c>
      <c r="V628" s="69" t="s">
        <v>25</v>
      </c>
      <c r="W628" s="3" t="str">
        <f>IF(帽子!W40="","",帽子!W40)</f>
        <v>内周：約cm　高さ：約cm　つば：約cm</v>
      </c>
      <c r="X628" s="69" t="s">
        <v>27</v>
      </c>
      <c r="Y628" s="69" t="s">
        <v>28</v>
      </c>
      <c r="Z628" s="69" t="s">
        <v>29</v>
      </c>
      <c r="AA628" s="4"/>
      <c r="AB628" s="4"/>
      <c r="AC628" s="4"/>
      <c r="AD628" s="70"/>
      <c r="AE628" s="70">
        <f>帽子!AB40</f>
        <v>0</v>
      </c>
      <c r="AF628" s="70" t="str">
        <f>帽子!O40</f>
        <v>通常</v>
      </c>
      <c r="AG628" s="70">
        <v>0</v>
      </c>
      <c r="AH628" s="9">
        <f>帽子!Z40</f>
        <v>0</v>
      </c>
      <c r="AI628">
        <v>1</v>
      </c>
      <c r="AJ628">
        <f>帽子!R40</f>
        <v>0</v>
      </c>
    </row>
    <row r="629" spans="1:36" ht="13.5" hidden="1" customHeight="1">
      <c r="A629" s="3" t="str">
        <f>IF(帽子!A41="","",帽子!A41)</f>
        <v/>
      </c>
      <c r="B629" s="68" t="str">
        <f>IF(帽子!B41="","",帽子!B41)</f>
        <v/>
      </c>
      <c r="C629" s="6" t="str">
        <f>IF(帽子!C41="","",帽子!C41)</f>
        <v>◇ サイズ E</v>
      </c>
      <c r="D629" s="3" t="str">
        <f>IF(帽子!E41="","",帽子!E41)</f>
        <v>無</v>
      </c>
      <c r="E629" s="3" t="str">
        <f>IF(帽子!X41="","",帽子!X41)</f>
        <v>ベースB</v>
      </c>
      <c r="F629" s="3" t="str">
        <f>IF(帽子!F41="","",帽子!F41)</f>
        <v/>
      </c>
      <c r="G629" s="3" t="str">
        <f>IF(帽子!G41="","",帽子!G41)</f>
        <v/>
      </c>
      <c r="H629" s="3" t="str">
        <f>IF(帽子!H41="","",帽子!H41)</f>
        <v/>
      </c>
      <c r="I629" s="3" t="str">
        <f>IF(帽子!I41="","",帽子!I41)</f>
        <v>画像参照</v>
      </c>
      <c r="J629" s="3" t="str">
        <f>IF(帽子!J41="","",帽子!J41)</f>
        <v/>
      </c>
      <c r="K629" s="3" t="str">
        <f>IF(帽子!K41="","",帽子!K41)</f>
        <v>サイズ</v>
      </c>
      <c r="L629" s="69" t="s">
        <v>80</v>
      </c>
      <c r="M629" s="69" t="s">
        <v>19</v>
      </c>
      <c r="N629" s="69" t="s">
        <v>20</v>
      </c>
      <c r="O629" s="69" t="s">
        <v>21</v>
      </c>
      <c r="P629" s="4" t="s">
        <v>3036</v>
      </c>
      <c r="Q629" s="4" t="s">
        <v>3038</v>
      </c>
      <c r="R629" s="69" t="s">
        <v>22</v>
      </c>
      <c r="S629" s="69" t="s">
        <v>23</v>
      </c>
      <c r="T629" s="69" t="s">
        <v>22</v>
      </c>
      <c r="U629" s="69" t="s">
        <v>24</v>
      </c>
      <c r="V629" s="69" t="s">
        <v>25</v>
      </c>
      <c r="W629" s="3" t="str">
        <f>IF(帽子!W41="","",帽子!W41)</f>
        <v>内周：約cm　高さ：約cm　つば：約cm</v>
      </c>
      <c r="X629" s="69" t="s">
        <v>27</v>
      </c>
      <c r="Y629" s="69" t="s">
        <v>28</v>
      </c>
      <c r="Z629" s="69" t="s">
        <v>29</v>
      </c>
      <c r="AA629" s="4"/>
      <c r="AB629" s="4"/>
      <c r="AC629" s="4"/>
      <c r="AD629" s="70"/>
      <c r="AE629" s="70">
        <f>帽子!AB41</f>
        <v>0</v>
      </c>
      <c r="AF629" s="70" t="str">
        <f>帽子!O41</f>
        <v>通常</v>
      </c>
      <c r="AG629" s="70">
        <v>0</v>
      </c>
      <c r="AH629" s="9">
        <f>帽子!Z41</f>
        <v>0</v>
      </c>
      <c r="AI629">
        <v>1</v>
      </c>
      <c r="AJ629">
        <f>帽子!R41</f>
        <v>0</v>
      </c>
    </row>
    <row r="630" spans="1:36" ht="13.5" customHeight="1">
      <c r="A630" s="3">
        <v>2084051001</v>
      </c>
      <c r="B630" s="68">
        <f>IF(バッグ!B2="","",バッグ!B2)</f>
        <v>1212020007917</v>
      </c>
      <c r="C630" s="3" t="str">
        <f>IF(バッグ!C2="","",バッグ!C2)</f>
        <v>◇ ROVERETO ロベレート ダブルファスナー ショルダーバック ピンクベージュ レディース E 1212020007917</v>
      </c>
      <c r="D630" s="3" t="str">
        <f>IF(バッグ!E2="","",バッグ!E2)</f>
        <v>無</v>
      </c>
      <c r="E630" s="3" t="str">
        <f>IF(バッグ!AF2="","",バッグ!AF2)</f>
        <v>ベースB/9</v>
      </c>
      <c r="F630" s="3">
        <f>IF(バッグ!G2="","",バッグ!G2)</f>
        <v>3</v>
      </c>
      <c r="G630" s="3" t="str">
        <f>IF(バッグ!H2="","",バッグ!H2)</f>
        <v>目立った傷や汚れなし</v>
      </c>
      <c r="H630" s="3" t="str">
        <f>IF(バッグ!I2="","",バッグ!I2)</f>
        <v>≪メイン≫：中２　≪内ポケット≫：小１　≪外ポケット≫：-</v>
      </c>
      <c r="I630" s="3" t="str">
        <f>IF(バッグ!M2="","",バッグ!M2)</f>
        <v>レザー系</v>
      </c>
      <c r="J630" s="3" t="str">
        <f>IF(バッグ!N2="","",バッグ!N2)</f>
        <v>ピンクベージュ</v>
      </c>
      <c r="K630" s="3" t="str">
        <f>IF(バッグ!O2="","",バッグ!O2)</f>
        <v/>
      </c>
      <c r="L630" s="69" t="s">
        <v>80</v>
      </c>
      <c r="M630" s="69" t="s">
        <v>19</v>
      </c>
      <c r="N630" s="69" t="s">
        <v>20</v>
      </c>
      <c r="O630" s="69" t="s">
        <v>21</v>
      </c>
      <c r="P630" s="4" t="s">
        <v>3036</v>
      </c>
      <c r="Q630" s="4" t="s">
        <v>3038</v>
      </c>
      <c r="R630" s="69" t="s">
        <v>22</v>
      </c>
      <c r="S630" s="69" t="s">
        <v>23</v>
      </c>
      <c r="T630" s="69" t="s">
        <v>22</v>
      </c>
      <c r="U630" s="69" t="s">
        <v>24</v>
      </c>
      <c r="V630" s="69" t="s">
        <v>25</v>
      </c>
      <c r="W630" s="69" t="s">
        <v>26</v>
      </c>
      <c r="X630" s="3" t="str">
        <f>バッグ!AE2</f>
        <v>縦幅：約15cm　横幅：約19cm　マチ幅：約8cm　持ち手：-cm  ショルダーベルト：約111cm調節可能</v>
      </c>
      <c r="Y630" s="69" t="s">
        <v>28</v>
      </c>
      <c r="Z630" s="69" t="s">
        <v>29</v>
      </c>
      <c r="AA630" s="4"/>
      <c r="AB630" s="4"/>
      <c r="AC630" s="4"/>
      <c r="AD630" s="70"/>
      <c r="AE630" s="70">
        <f>バッグ!AJ2</f>
        <v>1000</v>
      </c>
      <c r="AF630" s="70" t="str">
        <f>バッグ!W2</f>
        <v>通常</v>
      </c>
      <c r="AG630" s="70">
        <v>0</v>
      </c>
      <c r="AH630" s="9">
        <f>バッグ!AH2</f>
        <v>0</v>
      </c>
      <c r="AI630">
        <v>1</v>
      </c>
      <c r="AJ630" t="str">
        <f>バッグ!Z2</f>
        <v>ROVERETO ロベレート</v>
      </c>
    </row>
    <row r="631" spans="1:36" ht="13.5" customHeight="1">
      <c r="A631" s="3">
        <v>2084051001</v>
      </c>
      <c r="B631" s="68">
        <f>IF(バッグ!B3="","",バッグ!B3)</f>
        <v>1212020007603</v>
      </c>
      <c r="C631" s="3" t="str">
        <f>IF(バッグ!C3="","",バッグ!C3)</f>
        <v>◇ ROPE PICNIC ロペピクニック 2way ショルダーバック ブラウン レディース E 1212020007603</v>
      </c>
      <c r="D631" s="3" t="str">
        <f>IF(バッグ!E3="","",バッグ!E3)</f>
        <v>無</v>
      </c>
      <c r="E631" s="3" t="str">
        <f>IF(バッグ!AF3="","",バッグ!AF3)</f>
        <v>ベースB/9</v>
      </c>
      <c r="F631" s="3">
        <f>IF(バッグ!G3="","",バッグ!G3)</f>
        <v>3</v>
      </c>
      <c r="G631" s="3" t="str">
        <f>IF(バッグ!H3="","",バッグ!H3)</f>
        <v>目立った傷や汚れなし</v>
      </c>
      <c r="H631" s="3" t="str">
        <f>IF(バッグ!I3="","",バッグ!I3)</f>
        <v>≪メイン≫：大１　≪内ポケット≫：小１　≪外ポケット≫：-</v>
      </c>
      <c r="I631" s="3" t="str">
        <f>IF(バッグ!M3="","",バッグ!M3)</f>
        <v>レザー系</v>
      </c>
      <c r="J631" s="3" t="str">
        <f>IF(バッグ!N3="","",バッグ!N3)</f>
        <v>ブラウン</v>
      </c>
      <c r="K631" s="3" t="str">
        <f>IF(バッグ!O3="","",バッグ!O3)</f>
        <v/>
      </c>
      <c r="L631" s="69" t="s">
        <v>80</v>
      </c>
      <c r="M631" s="69" t="s">
        <v>19</v>
      </c>
      <c r="N631" s="69" t="s">
        <v>20</v>
      </c>
      <c r="O631" s="69" t="s">
        <v>21</v>
      </c>
      <c r="P631" s="4" t="s">
        <v>3036</v>
      </c>
      <c r="Q631" s="4" t="s">
        <v>3038</v>
      </c>
      <c r="R631" s="69" t="s">
        <v>22</v>
      </c>
      <c r="S631" s="69" t="s">
        <v>23</v>
      </c>
      <c r="T631" s="69" t="s">
        <v>22</v>
      </c>
      <c r="U631" s="69" t="s">
        <v>24</v>
      </c>
      <c r="V631" s="69" t="s">
        <v>25</v>
      </c>
      <c r="W631" s="69" t="s">
        <v>26</v>
      </c>
      <c r="X631" s="3" t="str">
        <f>バッグ!AE3</f>
        <v>縦幅：約16cm　横幅：約20cm　マチ幅：約8cm　持ち手：約35cm調節可能  ショルダーベルト：約72cm調節可能</v>
      </c>
      <c r="Y631" s="69" t="s">
        <v>28</v>
      </c>
      <c r="Z631" s="69" t="s">
        <v>29</v>
      </c>
      <c r="AA631" s="4"/>
      <c r="AB631" s="4"/>
      <c r="AC631" s="4"/>
      <c r="AD631" s="70"/>
      <c r="AE631" s="70">
        <f>バッグ!AJ3</f>
        <v>1000</v>
      </c>
      <c r="AF631" s="70" t="str">
        <f>バッグ!W3</f>
        <v>通常</v>
      </c>
      <c r="AG631" s="70">
        <v>0</v>
      </c>
      <c r="AH631" s="9">
        <f>バッグ!AH3</f>
        <v>0</v>
      </c>
      <c r="AI631">
        <v>1</v>
      </c>
      <c r="AJ631" t="str">
        <f>バッグ!Z3</f>
        <v>ROPE PICNIC ロペピクニック</v>
      </c>
    </row>
    <row r="632" spans="1:36" ht="13.5" customHeight="1">
      <c r="A632" s="3">
        <v>2084051001</v>
      </c>
      <c r="B632" s="68">
        <f>IF(バッグ!B4="","",バッグ!B4)</f>
        <v>1212020007566</v>
      </c>
      <c r="C632" s="3" t="str">
        <f>IF(バッグ!C4="","",バッグ!C4)</f>
        <v>◇ ROPE PICNIC ロペピクニック 2way ショルダーバック ホワイト レディース E 1212020007566</v>
      </c>
      <c r="D632" s="3" t="str">
        <f>IF(バッグ!E4="","",バッグ!E4)</f>
        <v>ショルダーあり</v>
      </c>
      <c r="E632" s="3" t="str">
        <f>IF(バッグ!AF4="","",バッグ!AF4)</f>
        <v>ベースB/9</v>
      </c>
      <c r="F632" s="3">
        <f>IF(バッグ!G4="","",バッグ!G4)</f>
        <v>3</v>
      </c>
      <c r="G632" s="3" t="str">
        <f>IF(バッグ!H4="","",バッグ!H4)</f>
        <v>目立った傷や汚れなし</v>
      </c>
      <c r="H632" s="3" t="str">
        <f>IF(バッグ!I4="","",バッグ!I4)</f>
        <v>≪メイン≫：大１　≪内ポケット≫：小１　≪外ポケット≫：-</v>
      </c>
      <c r="I632" s="3" t="str">
        <f>IF(バッグ!M4="","",バッグ!M4)</f>
        <v>レザー系</v>
      </c>
      <c r="J632" s="3" t="str">
        <f>IF(バッグ!N4="","",バッグ!N4)</f>
        <v>ホワイト</v>
      </c>
      <c r="K632" s="3" t="str">
        <f>IF(バッグ!O4="","",バッグ!O4)</f>
        <v/>
      </c>
      <c r="L632" s="69" t="s">
        <v>80</v>
      </c>
      <c r="M632" s="69" t="s">
        <v>19</v>
      </c>
      <c r="N632" s="69" t="s">
        <v>20</v>
      </c>
      <c r="O632" s="69" t="s">
        <v>21</v>
      </c>
      <c r="P632" s="4" t="s">
        <v>3036</v>
      </c>
      <c r="Q632" s="4" t="s">
        <v>3038</v>
      </c>
      <c r="R632" s="69" t="s">
        <v>22</v>
      </c>
      <c r="S632" s="69" t="s">
        <v>23</v>
      </c>
      <c r="T632" s="69" t="s">
        <v>22</v>
      </c>
      <c r="U632" s="69" t="s">
        <v>24</v>
      </c>
      <c r="V632" s="69" t="s">
        <v>25</v>
      </c>
      <c r="W632" s="69" t="s">
        <v>26</v>
      </c>
      <c r="X632" s="3" t="str">
        <f>バッグ!AE4</f>
        <v>縦幅：約12cm　横幅：約21cm　マチ幅：約11cm　持ち手：約19cm調節不可  ショルダーベルト：約121cm調節不可</v>
      </c>
      <c r="Y632" s="69" t="s">
        <v>28</v>
      </c>
      <c r="Z632" s="69" t="s">
        <v>29</v>
      </c>
      <c r="AA632" s="4"/>
      <c r="AB632" s="4"/>
      <c r="AC632" s="4"/>
      <c r="AD632" s="70"/>
      <c r="AE632" s="70">
        <f>バッグ!AJ4</f>
        <v>1000</v>
      </c>
      <c r="AF632" s="70" t="str">
        <f>バッグ!W4</f>
        <v>通常</v>
      </c>
      <c r="AG632" s="70">
        <v>0</v>
      </c>
      <c r="AH632" s="9">
        <f>バッグ!AH4</f>
        <v>0</v>
      </c>
      <c r="AI632">
        <v>1</v>
      </c>
      <c r="AJ632" t="str">
        <f>バッグ!Z4</f>
        <v>ROPE PICNIC ロペピクニック</v>
      </c>
    </row>
    <row r="633" spans="1:36" ht="13.5" customHeight="1">
      <c r="A633" s="3">
        <v>2084050990</v>
      </c>
      <c r="B633" s="68">
        <f>IF(バッグ!B5="","",バッグ!B5)</f>
        <v>1212020007481</v>
      </c>
      <c r="C633" s="3" t="str">
        <f>IF(バッグ!C5="","",バッグ!C5)</f>
        <v>◇ PAMM パム カモフラージュ柄 トートバック マルチ レディースメンズ E 1212020007481</v>
      </c>
      <c r="D633" s="3" t="str">
        <f>IF(バッグ!E5="","",バッグ!E5)</f>
        <v>無&lt;br&gt;穴あり</v>
      </c>
      <c r="E633" s="3" t="str">
        <f>IF(バッグ!AF5="","",バッグ!AF5)</f>
        <v>ベースB/9</v>
      </c>
      <c r="F633" s="3">
        <f>IF(バッグ!G5="","",バッグ!G5)</f>
        <v>4</v>
      </c>
      <c r="G633" s="3" t="str">
        <f>IF(バッグ!H5="","",バッグ!H5)</f>
        <v>やや傷や汚れあり</v>
      </c>
      <c r="H633" s="3" t="str">
        <f>IF(バッグ!I5="","",バッグ!I5)</f>
        <v>≪メイン≫：大１　≪内ポケット≫：小１　≪外ポケット≫：-</v>
      </c>
      <c r="I633" s="3" t="str">
        <f>IF(バッグ!M5="","",バッグ!M5)</f>
        <v>布系</v>
      </c>
      <c r="J633" s="3" t="str">
        <f>IF(バッグ!N5="","",バッグ!N5)</f>
        <v>マルチ</v>
      </c>
      <c r="K633" s="3" t="str">
        <f>IF(バッグ!O5="","",バッグ!O5)</f>
        <v/>
      </c>
      <c r="L633" s="69" t="s">
        <v>80</v>
      </c>
      <c r="M633" s="69" t="s">
        <v>19</v>
      </c>
      <c r="N633" s="69" t="s">
        <v>20</v>
      </c>
      <c r="O633" s="69" t="s">
        <v>21</v>
      </c>
      <c r="P633" s="4" t="s">
        <v>3036</v>
      </c>
      <c r="Q633" s="4" t="s">
        <v>3038</v>
      </c>
      <c r="R633" s="69" t="s">
        <v>22</v>
      </c>
      <c r="S633" s="69" t="s">
        <v>23</v>
      </c>
      <c r="T633" s="69" t="s">
        <v>22</v>
      </c>
      <c r="U633" s="69" t="s">
        <v>24</v>
      </c>
      <c r="V633" s="69" t="s">
        <v>25</v>
      </c>
      <c r="W633" s="69" t="s">
        <v>26</v>
      </c>
      <c r="X633" s="3" t="str">
        <f>バッグ!AE5</f>
        <v>縦幅：約39cm　横幅：約41cm　マチ幅：-cm　持ち手：約60cm調節不可  ショルダーベルト：-cm調節不可</v>
      </c>
      <c r="Y633" s="69" t="s">
        <v>28</v>
      </c>
      <c r="Z633" s="69" t="s">
        <v>29</v>
      </c>
      <c r="AA633" s="4"/>
      <c r="AB633" s="4"/>
      <c r="AC633" s="4"/>
      <c r="AD633" s="70"/>
      <c r="AE633" s="70">
        <f>バッグ!AJ5</f>
        <v>2000</v>
      </c>
      <c r="AF633" s="70" t="str">
        <f>バッグ!W5</f>
        <v>通常</v>
      </c>
      <c r="AG633" s="70">
        <v>0</v>
      </c>
      <c r="AH633" s="9">
        <f>バッグ!AH5</f>
        <v>0</v>
      </c>
      <c r="AI633">
        <v>1</v>
      </c>
      <c r="AJ633" t="str">
        <f>バッグ!Z5</f>
        <v>PAMM パム</v>
      </c>
    </row>
    <row r="634" spans="1:36" ht="13.5" hidden="1" customHeight="1">
      <c r="A634" s="3" t="str">
        <f>IF(バッグ!A6="","",バッグ!A6)</f>
        <v/>
      </c>
      <c r="B634" s="68" t="str">
        <f>IF(バッグ!B6="","",バッグ!B6)</f>
        <v/>
      </c>
      <c r="C634" s="3" t="str">
        <f>IF(バッグ!C6="","",バッグ!C6)</f>
        <v>◇ E</v>
      </c>
      <c r="D634" s="3" t="str">
        <f>IF(バッグ!E6="","",バッグ!E6)</f>
        <v>無</v>
      </c>
      <c r="E634" s="3" t="str">
        <f>IF(バッグ!AF6="","",バッグ!AF6)</f>
        <v>ベースB</v>
      </c>
      <c r="F634" s="3" t="str">
        <f>IF(バッグ!G6="","",バッグ!G6)</f>
        <v/>
      </c>
      <c r="G634" s="3" t="str">
        <f>IF(バッグ!H6="","",バッグ!H6)</f>
        <v/>
      </c>
      <c r="H634" s="3" t="str">
        <f>IF(バッグ!I6="","",バッグ!I6)</f>
        <v>≪メイン≫：　≪内ポケット≫：　≪外ポケット≫：</v>
      </c>
      <c r="I634" s="3" t="str">
        <f>IF(バッグ!M6="","",バッグ!M6)</f>
        <v/>
      </c>
      <c r="J634" s="3" t="str">
        <f>IF(バッグ!N6="","",バッグ!N6)</f>
        <v/>
      </c>
      <c r="K634" s="3" t="str">
        <f>IF(バッグ!O6="","",バッグ!O6)</f>
        <v/>
      </c>
      <c r="L634" s="69" t="s">
        <v>80</v>
      </c>
      <c r="M634" s="69" t="s">
        <v>19</v>
      </c>
      <c r="N634" s="69" t="s">
        <v>20</v>
      </c>
      <c r="O634" s="69" t="s">
        <v>21</v>
      </c>
      <c r="P634" s="4" t="s">
        <v>3036</v>
      </c>
      <c r="Q634" s="4" t="s">
        <v>3038</v>
      </c>
      <c r="R634" s="69" t="s">
        <v>22</v>
      </c>
      <c r="S634" s="69" t="s">
        <v>23</v>
      </c>
      <c r="T634" s="69" t="s">
        <v>22</v>
      </c>
      <c r="U634" s="69" t="s">
        <v>24</v>
      </c>
      <c r="V634" s="69" t="s">
        <v>25</v>
      </c>
      <c r="W634" s="69" t="s">
        <v>26</v>
      </c>
      <c r="X634" s="3" t="str">
        <f>バッグ!AE6</f>
        <v>縦幅：約cm　横幅：約cm　マチ幅：約cm　持ち手：約cm  ショルダーベルト：約cm</v>
      </c>
      <c r="Y634" s="69" t="s">
        <v>28</v>
      </c>
      <c r="Z634" s="69" t="s">
        <v>29</v>
      </c>
      <c r="AA634" s="4"/>
      <c r="AB634" s="4"/>
      <c r="AC634" s="4"/>
      <c r="AD634" s="70"/>
      <c r="AE634" s="70">
        <f>バッグ!AJ6</f>
        <v>0</v>
      </c>
      <c r="AF634" s="70" t="str">
        <f>バッグ!W6</f>
        <v>通常</v>
      </c>
      <c r="AG634" s="70">
        <v>0</v>
      </c>
      <c r="AH634" s="9">
        <f>バッグ!AH6</f>
        <v>0</v>
      </c>
      <c r="AI634">
        <v>1</v>
      </c>
      <c r="AJ634">
        <f>バッグ!Z6</f>
        <v>0</v>
      </c>
    </row>
    <row r="635" spans="1:36" ht="13.5" hidden="1" customHeight="1">
      <c r="A635" s="3" t="str">
        <f>IF(バッグ!A7="","",バッグ!A7)</f>
        <v/>
      </c>
      <c r="B635" s="68" t="str">
        <f>IF(バッグ!B7="","",バッグ!B7)</f>
        <v/>
      </c>
      <c r="C635" s="3" t="str">
        <f>IF(バッグ!C7="","",バッグ!C7)</f>
        <v>◇ E</v>
      </c>
      <c r="D635" s="3" t="str">
        <f>IF(バッグ!E7="","",バッグ!E7)</f>
        <v>無</v>
      </c>
      <c r="E635" s="3" t="str">
        <f>IF(バッグ!AF7="","",バッグ!AF7)</f>
        <v>ベースB</v>
      </c>
      <c r="F635" s="3" t="str">
        <f>IF(バッグ!G7="","",バッグ!G7)</f>
        <v/>
      </c>
      <c r="G635" s="3" t="str">
        <f>IF(バッグ!H7="","",バッグ!H7)</f>
        <v/>
      </c>
      <c r="H635" s="3" t="str">
        <f>IF(バッグ!I7="","",バッグ!I7)</f>
        <v>≪メイン≫：　≪内ポケット≫：　≪外ポケット≫：</v>
      </c>
      <c r="I635" s="3" t="str">
        <f>IF(バッグ!M7="","",バッグ!M7)</f>
        <v/>
      </c>
      <c r="J635" s="3" t="str">
        <f>IF(バッグ!N7="","",バッグ!N7)</f>
        <v/>
      </c>
      <c r="K635" s="3" t="str">
        <f>IF(バッグ!O7="","",バッグ!O7)</f>
        <v/>
      </c>
      <c r="L635" s="69" t="s">
        <v>80</v>
      </c>
      <c r="M635" s="69" t="s">
        <v>19</v>
      </c>
      <c r="N635" s="69" t="s">
        <v>20</v>
      </c>
      <c r="O635" s="69" t="s">
        <v>21</v>
      </c>
      <c r="P635" s="4" t="s">
        <v>3036</v>
      </c>
      <c r="Q635" s="4" t="s">
        <v>3038</v>
      </c>
      <c r="R635" s="69" t="s">
        <v>22</v>
      </c>
      <c r="S635" s="69" t="s">
        <v>23</v>
      </c>
      <c r="T635" s="69" t="s">
        <v>22</v>
      </c>
      <c r="U635" s="69" t="s">
        <v>24</v>
      </c>
      <c r="V635" s="69" t="s">
        <v>25</v>
      </c>
      <c r="W635" s="69" t="s">
        <v>26</v>
      </c>
      <c r="X635" s="3" t="str">
        <f>バッグ!AE7</f>
        <v>縦幅：約cm　横幅：約cm　マチ幅：約cm　持ち手：約cm  ショルダーベルト：約cm</v>
      </c>
      <c r="Y635" s="69" t="s">
        <v>28</v>
      </c>
      <c r="Z635" s="69" t="s">
        <v>29</v>
      </c>
      <c r="AA635" s="4"/>
      <c r="AB635" s="4"/>
      <c r="AC635" s="4"/>
      <c r="AD635" s="70"/>
      <c r="AE635" s="70">
        <f>バッグ!AJ7</f>
        <v>0</v>
      </c>
      <c r="AF635" s="70" t="str">
        <f>バッグ!W7</f>
        <v>通常</v>
      </c>
      <c r="AG635" s="70">
        <v>0</v>
      </c>
      <c r="AH635" s="9">
        <f>バッグ!AH7</f>
        <v>0</v>
      </c>
      <c r="AI635">
        <v>1</v>
      </c>
      <c r="AJ635">
        <f>バッグ!Z7</f>
        <v>0</v>
      </c>
    </row>
    <row r="636" spans="1:36" ht="13.5" hidden="1" customHeight="1">
      <c r="A636" s="3" t="str">
        <f>IF(バッグ!A8="","",バッグ!A8)</f>
        <v/>
      </c>
      <c r="B636" s="68" t="str">
        <f>IF(バッグ!B8="","",バッグ!B8)</f>
        <v/>
      </c>
      <c r="C636" s="3" t="str">
        <f>IF(バッグ!C8="","",バッグ!C8)</f>
        <v>◇ E</v>
      </c>
      <c r="D636" s="3" t="str">
        <f>IF(バッグ!E8="","",バッグ!E8)</f>
        <v>無</v>
      </c>
      <c r="E636" s="3" t="str">
        <f>IF(バッグ!AF8="","",バッグ!AF8)</f>
        <v>ベースB</v>
      </c>
      <c r="F636" s="3" t="str">
        <f>IF(バッグ!G8="","",バッグ!G8)</f>
        <v/>
      </c>
      <c r="G636" s="3" t="str">
        <f>IF(バッグ!H8="","",バッグ!H8)</f>
        <v/>
      </c>
      <c r="H636" s="3" t="str">
        <f>IF(バッグ!I8="","",バッグ!I8)</f>
        <v>≪メイン≫：　≪内ポケット≫：　≪外ポケット≫：</v>
      </c>
      <c r="I636" s="3" t="str">
        <f>IF(バッグ!M8="","",バッグ!M8)</f>
        <v/>
      </c>
      <c r="J636" s="3" t="str">
        <f>IF(バッグ!N8="","",バッグ!N8)</f>
        <v/>
      </c>
      <c r="K636" s="3" t="str">
        <f>IF(バッグ!O8="","",バッグ!O8)</f>
        <v/>
      </c>
      <c r="L636" s="69" t="s">
        <v>80</v>
      </c>
      <c r="M636" s="69" t="s">
        <v>19</v>
      </c>
      <c r="N636" s="69" t="s">
        <v>20</v>
      </c>
      <c r="O636" s="69" t="s">
        <v>21</v>
      </c>
      <c r="P636" s="4" t="s">
        <v>3036</v>
      </c>
      <c r="Q636" s="4" t="s">
        <v>3038</v>
      </c>
      <c r="R636" s="69" t="s">
        <v>22</v>
      </c>
      <c r="S636" s="69" t="s">
        <v>23</v>
      </c>
      <c r="T636" s="69" t="s">
        <v>22</v>
      </c>
      <c r="U636" s="69" t="s">
        <v>24</v>
      </c>
      <c r="V636" s="69" t="s">
        <v>25</v>
      </c>
      <c r="W636" s="69" t="s">
        <v>26</v>
      </c>
      <c r="X636" s="3" t="str">
        <f>バッグ!AE8</f>
        <v>縦幅：約cm　横幅：約cm　マチ幅：約cm　持ち手：約cm  ショルダーベルト：約cm</v>
      </c>
      <c r="Y636" s="69" t="s">
        <v>28</v>
      </c>
      <c r="Z636" s="69" t="s">
        <v>29</v>
      </c>
      <c r="AA636" s="4"/>
      <c r="AB636" s="4"/>
      <c r="AC636" s="4"/>
      <c r="AD636" s="70"/>
      <c r="AE636" s="70">
        <f>バッグ!AJ8</f>
        <v>0</v>
      </c>
      <c r="AF636" s="70" t="str">
        <f>バッグ!W8</f>
        <v>通常</v>
      </c>
      <c r="AG636" s="70">
        <v>0</v>
      </c>
      <c r="AH636" s="9">
        <f>バッグ!AH8</f>
        <v>0</v>
      </c>
      <c r="AI636">
        <v>1</v>
      </c>
      <c r="AJ636">
        <f>バッグ!Z8</f>
        <v>0</v>
      </c>
    </row>
    <row r="637" spans="1:36" ht="13.5" hidden="1" customHeight="1">
      <c r="A637" s="3" t="str">
        <f>IF(バッグ!A9="","",バッグ!A9)</f>
        <v/>
      </c>
      <c r="B637" s="68" t="str">
        <f>IF(バッグ!B9="","",バッグ!B9)</f>
        <v/>
      </c>
      <c r="C637" s="3" t="str">
        <f>IF(バッグ!C9="","",バッグ!C9)</f>
        <v>◇ E</v>
      </c>
      <c r="D637" s="3" t="str">
        <f>IF(バッグ!E9="","",バッグ!E9)</f>
        <v>無</v>
      </c>
      <c r="E637" s="3" t="str">
        <f>IF(バッグ!AF9="","",バッグ!AF9)</f>
        <v>ベースB</v>
      </c>
      <c r="F637" s="3" t="str">
        <f>IF(バッグ!G9="","",バッグ!G9)</f>
        <v/>
      </c>
      <c r="G637" s="3" t="str">
        <f>IF(バッグ!H9="","",バッグ!H9)</f>
        <v/>
      </c>
      <c r="H637" s="3" t="str">
        <f>IF(バッグ!I9="","",バッグ!I9)</f>
        <v>≪メイン≫：　≪内ポケット≫：　≪外ポケット≫：</v>
      </c>
      <c r="I637" s="3" t="str">
        <f>IF(バッグ!M9="","",バッグ!M9)</f>
        <v/>
      </c>
      <c r="J637" s="3" t="str">
        <f>IF(バッグ!N9="","",バッグ!N9)</f>
        <v/>
      </c>
      <c r="K637" s="3" t="str">
        <f>IF(バッグ!O9="","",バッグ!O9)</f>
        <v/>
      </c>
      <c r="L637" s="69" t="s">
        <v>80</v>
      </c>
      <c r="M637" s="69" t="s">
        <v>19</v>
      </c>
      <c r="N637" s="69" t="s">
        <v>20</v>
      </c>
      <c r="O637" s="69" t="s">
        <v>21</v>
      </c>
      <c r="P637" s="4" t="s">
        <v>3036</v>
      </c>
      <c r="Q637" s="4" t="s">
        <v>3038</v>
      </c>
      <c r="R637" s="69" t="s">
        <v>22</v>
      </c>
      <c r="S637" s="69" t="s">
        <v>23</v>
      </c>
      <c r="T637" s="69" t="s">
        <v>22</v>
      </c>
      <c r="U637" s="69" t="s">
        <v>24</v>
      </c>
      <c r="V637" s="69" t="s">
        <v>25</v>
      </c>
      <c r="W637" s="69" t="s">
        <v>26</v>
      </c>
      <c r="X637" s="3" t="str">
        <f>バッグ!AE9</f>
        <v>縦幅：約cm　横幅：約cm　マチ幅：約cm　持ち手：約cm  ショルダーベルト：約cm</v>
      </c>
      <c r="Y637" s="69" t="s">
        <v>28</v>
      </c>
      <c r="Z637" s="69" t="s">
        <v>29</v>
      </c>
      <c r="AA637" s="4"/>
      <c r="AB637" s="4"/>
      <c r="AC637" s="4"/>
      <c r="AD637" s="70"/>
      <c r="AE637" s="70">
        <f>バッグ!AJ9</f>
        <v>0</v>
      </c>
      <c r="AF637" s="70" t="str">
        <f>バッグ!W9</f>
        <v>通常</v>
      </c>
      <c r="AG637" s="70">
        <v>0</v>
      </c>
      <c r="AH637" s="9">
        <f>バッグ!AH9</f>
        <v>0</v>
      </c>
      <c r="AI637">
        <v>1</v>
      </c>
      <c r="AJ637">
        <f>バッグ!Z9</f>
        <v>0</v>
      </c>
    </row>
    <row r="638" spans="1:36" ht="13.5" hidden="1" customHeight="1">
      <c r="A638" s="3" t="str">
        <f>IF(バッグ!A10="","",バッグ!A10)</f>
        <v/>
      </c>
      <c r="B638" s="68" t="str">
        <f>IF(バッグ!B10="","",バッグ!B10)</f>
        <v/>
      </c>
      <c r="C638" s="3" t="str">
        <f>IF(バッグ!C10="","",バッグ!C10)</f>
        <v>◇ E</v>
      </c>
      <c r="D638" s="3" t="str">
        <f>IF(バッグ!E10="","",バッグ!E10)</f>
        <v>無</v>
      </c>
      <c r="E638" s="3" t="str">
        <f>IF(バッグ!AF10="","",バッグ!AF10)</f>
        <v>ベースB</v>
      </c>
      <c r="F638" s="3" t="str">
        <f>IF(バッグ!G10="","",バッグ!G10)</f>
        <v/>
      </c>
      <c r="G638" s="3" t="str">
        <f>IF(バッグ!H10="","",バッグ!H10)</f>
        <v/>
      </c>
      <c r="H638" s="3" t="str">
        <f>IF(バッグ!I10="","",バッグ!I10)</f>
        <v>≪メイン≫：　≪内ポケット≫：　≪外ポケット≫：</v>
      </c>
      <c r="I638" s="3" t="str">
        <f>IF(バッグ!M10="","",バッグ!M10)</f>
        <v/>
      </c>
      <c r="J638" s="3" t="str">
        <f>IF(バッグ!N10="","",バッグ!N10)</f>
        <v/>
      </c>
      <c r="K638" s="3" t="str">
        <f>IF(バッグ!O10="","",バッグ!O10)</f>
        <v/>
      </c>
      <c r="L638" s="69" t="s">
        <v>80</v>
      </c>
      <c r="M638" s="69" t="s">
        <v>19</v>
      </c>
      <c r="N638" s="69" t="s">
        <v>20</v>
      </c>
      <c r="O638" s="69" t="s">
        <v>21</v>
      </c>
      <c r="P638" s="4" t="s">
        <v>3036</v>
      </c>
      <c r="Q638" s="4" t="s">
        <v>3038</v>
      </c>
      <c r="R638" s="69" t="s">
        <v>22</v>
      </c>
      <c r="S638" s="69" t="s">
        <v>23</v>
      </c>
      <c r="T638" s="69" t="s">
        <v>22</v>
      </c>
      <c r="U638" s="69" t="s">
        <v>24</v>
      </c>
      <c r="V638" s="69" t="s">
        <v>25</v>
      </c>
      <c r="W638" s="69" t="s">
        <v>26</v>
      </c>
      <c r="X638" s="3" t="str">
        <f>バッグ!AE10</f>
        <v>縦幅：約cm　横幅：約cm　マチ幅：約cm　持ち手：約cm  ショルダーベルト：約cm</v>
      </c>
      <c r="Y638" s="69" t="s">
        <v>28</v>
      </c>
      <c r="Z638" s="69" t="s">
        <v>29</v>
      </c>
      <c r="AA638" s="4"/>
      <c r="AB638" s="4"/>
      <c r="AC638" s="4"/>
      <c r="AD638" s="70"/>
      <c r="AE638" s="70">
        <f>バッグ!AJ10</f>
        <v>0</v>
      </c>
      <c r="AF638" s="70" t="str">
        <f>バッグ!W10</f>
        <v>通常</v>
      </c>
      <c r="AG638" s="70">
        <v>0</v>
      </c>
      <c r="AH638" s="9">
        <f>バッグ!AH10</f>
        <v>0</v>
      </c>
      <c r="AI638">
        <v>1</v>
      </c>
      <c r="AJ638">
        <f>バッグ!Z10</f>
        <v>0</v>
      </c>
    </row>
    <row r="639" spans="1:36" ht="13.5" hidden="1" customHeight="1">
      <c r="A639" s="3" t="str">
        <f>IF(バッグ!A11="","",バッグ!A11)</f>
        <v/>
      </c>
      <c r="B639" s="68" t="str">
        <f>IF(バッグ!B11="","",バッグ!B11)</f>
        <v/>
      </c>
      <c r="C639" s="3" t="str">
        <f>IF(バッグ!C11="","",バッグ!C11)</f>
        <v>◇ E</v>
      </c>
      <c r="D639" s="3" t="str">
        <f>IF(バッグ!E11="","",バッグ!E11)</f>
        <v>無</v>
      </c>
      <c r="E639" s="3" t="str">
        <f>IF(バッグ!AF11="","",バッグ!AF11)</f>
        <v>ベースB</v>
      </c>
      <c r="F639" s="3" t="str">
        <f>IF(バッグ!G11="","",バッグ!G11)</f>
        <v/>
      </c>
      <c r="G639" s="3" t="str">
        <f>IF(バッグ!H11="","",バッグ!H11)</f>
        <v/>
      </c>
      <c r="H639" s="3" t="str">
        <f>IF(バッグ!I11="","",バッグ!I11)</f>
        <v>≪メイン≫：　≪内ポケット≫：　≪外ポケット≫：</v>
      </c>
      <c r="I639" s="3" t="str">
        <f>IF(バッグ!M11="","",バッグ!M11)</f>
        <v/>
      </c>
      <c r="J639" s="3" t="str">
        <f>IF(バッグ!N11="","",バッグ!N11)</f>
        <v/>
      </c>
      <c r="K639" s="3" t="str">
        <f>IF(バッグ!O11="","",バッグ!O11)</f>
        <v/>
      </c>
      <c r="L639" s="69" t="s">
        <v>80</v>
      </c>
      <c r="M639" s="69" t="s">
        <v>19</v>
      </c>
      <c r="N639" s="69" t="s">
        <v>20</v>
      </c>
      <c r="O639" s="69" t="s">
        <v>21</v>
      </c>
      <c r="P639" s="4" t="s">
        <v>3036</v>
      </c>
      <c r="Q639" s="4" t="s">
        <v>3038</v>
      </c>
      <c r="R639" s="69" t="s">
        <v>22</v>
      </c>
      <c r="S639" s="69" t="s">
        <v>23</v>
      </c>
      <c r="T639" s="69" t="s">
        <v>22</v>
      </c>
      <c r="U639" s="69" t="s">
        <v>24</v>
      </c>
      <c r="V639" s="69" t="s">
        <v>25</v>
      </c>
      <c r="W639" s="69" t="s">
        <v>26</v>
      </c>
      <c r="X639" s="3" t="str">
        <f>バッグ!AE11</f>
        <v>縦幅：約cm　横幅：約cm　マチ幅：約cm　持ち手：約cm  ショルダーベルト：約cm</v>
      </c>
      <c r="Y639" s="69" t="s">
        <v>28</v>
      </c>
      <c r="Z639" s="69" t="s">
        <v>29</v>
      </c>
      <c r="AA639" s="4"/>
      <c r="AB639" s="4"/>
      <c r="AC639" s="4"/>
      <c r="AD639" s="70"/>
      <c r="AE639" s="70">
        <f>バッグ!AJ11</f>
        <v>0</v>
      </c>
      <c r="AF639" s="70" t="str">
        <f>バッグ!W11</f>
        <v>通常</v>
      </c>
      <c r="AG639" s="70">
        <v>0</v>
      </c>
      <c r="AH639" s="9">
        <f>バッグ!AH11</f>
        <v>0</v>
      </c>
      <c r="AI639">
        <v>1</v>
      </c>
      <c r="AJ639">
        <f>バッグ!Z11</f>
        <v>0</v>
      </c>
    </row>
    <row r="640" spans="1:36" ht="13.5" hidden="1" customHeight="1">
      <c r="A640" s="3" t="str">
        <f>IF(バッグ!A12="","",バッグ!A12)</f>
        <v/>
      </c>
      <c r="B640" s="68" t="str">
        <f>IF(バッグ!B12="","",バッグ!B12)</f>
        <v/>
      </c>
      <c r="C640" s="3" t="str">
        <f>IF(バッグ!C12="","",バッグ!C12)</f>
        <v>◇ E</v>
      </c>
      <c r="D640" s="3" t="str">
        <f>IF(バッグ!E12="","",バッグ!E12)</f>
        <v>無</v>
      </c>
      <c r="E640" s="3" t="str">
        <f>IF(バッグ!AF12="","",バッグ!AF12)</f>
        <v>ベースB</v>
      </c>
      <c r="F640" s="3" t="str">
        <f>IF(バッグ!G12="","",バッグ!G12)</f>
        <v/>
      </c>
      <c r="G640" s="3" t="str">
        <f>IF(バッグ!H12="","",バッグ!H12)</f>
        <v/>
      </c>
      <c r="H640" s="3" t="str">
        <f>IF(バッグ!I12="","",バッグ!I12)</f>
        <v>≪メイン≫：　≪内ポケット≫：　≪外ポケット≫：</v>
      </c>
      <c r="I640" s="3" t="str">
        <f>IF(バッグ!M12="","",バッグ!M12)</f>
        <v/>
      </c>
      <c r="J640" s="3" t="str">
        <f>IF(バッグ!N12="","",バッグ!N12)</f>
        <v/>
      </c>
      <c r="K640" s="3" t="str">
        <f>IF(バッグ!O12="","",バッグ!O12)</f>
        <v/>
      </c>
      <c r="L640" s="69" t="s">
        <v>80</v>
      </c>
      <c r="M640" s="69" t="s">
        <v>19</v>
      </c>
      <c r="N640" s="69" t="s">
        <v>20</v>
      </c>
      <c r="O640" s="69" t="s">
        <v>21</v>
      </c>
      <c r="P640" s="4" t="s">
        <v>3036</v>
      </c>
      <c r="Q640" s="4" t="s">
        <v>3038</v>
      </c>
      <c r="R640" s="69" t="s">
        <v>22</v>
      </c>
      <c r="S640" s="69" t="s">
        <v>23</v>
      </c>
      <c r="T640" s="69" t="s">
        <v>22</v>
      </c>
      <c r="U640" s="69" t="s">
        <v>24</v>
      </c>
      <c r="V640" s="69" t="s">
        <v>25</v>
      </c>
      <c r="W640" s="69" t="s">
        <v>26</v>
      </c>
      <c r="X640" s="3" t="str">
        <f>バッグ!AE12</f>
        <v>縦幅：約cm　横幅：約cm　マチ幅：約cm　持ち手：約cm  ショルダーベルト：約cm</v>
      </c>
      <c r="Y640" s="69" t="s">
        <v>28</v>
      </c>
      <c r="Z640" s="69" t="s">
        <v>29</v>
      </c>
      <c r="AA640" s="4"/>
      <c r="AB640" s="4"/>
      <c r="AC640" s="4"/>
      <c r="AD640" s="70"/>
      <c r="AE640" s="70">
        <f>バッグ!AJ12</f>
        <v>0</v>
      </c>
      <c r="AF640" s="70" t="str">
        <f>バッグ!W12</f>
        <v>通常</v>
      </c>
      <c r="AG640" s="70">
        <v>0</v>
      </c>
      <c r="AH640" s="9">
        <f>バッグ!AH12</f>
        <v>0</v>
      </c>
      <c r="AI640">
        <v>1</v>
      </c>
      <c r="AJ640">
        <f>バッグ!Z12</f>
        <v>0</v>
      </c>
    </row>
    <row r="641" spans="1:36" ht="13.5" hidden="1" customHeight="1">
      <c r="A641" s="3" t="str">
        <f>IF(バッグ!A13="","",バッグ!A13)</f>
        <v/>
      </c>
      <c r="B641" s="68" t="str">
        <f>IF(バッグ!B13="","",バッグ!B13)</f>
        <v/>
      </c>
      <c r="C641" s="3" t="str">
        <f>IF(バッグ!C13="","",バッグ!C13)</f>
        <v>◇ E</v>
      </c>
      <c r="D641" s="3" t="str">
        <f>IF(バッグ!E13="","",バッグ!E13)</f>
        <v>無</v>
      </c>
      <c r="E641" s="3" t="str">
        <f>IF(バッグ!AF13="","",バッグ!AF13)</f>
        <v>ベースB</v>
      </c>
      <c r="F641" s="3" t="str">
        <f>IF(バッグ!G13="","",バッグ!G13)</f>
        <v/>
      </c>
      <c r="G641" s="3" t="str">
        <f>IF(バッグ!H13="","",バッグ!H13)</f>
        <v/>
      </c>
      <c r="H641" s="3" t="str">
        <f>IF(バッグ!I13="","",バッグ!I13)</f>
        <v>≪メイン≫：　≪内ポケット≫：　≪外ポケット≫：</v>
      </c>
      <c r="I641" s="3" t="str">
        <f>IF(バッグ!M13="","",バッグ!M13)</f>
        <v/>
      </c>
      <c r="J641" s="3" t="str">
        <f>IF(バッグ!N13="","",バッグ!N13)</f>
        <v/>
      </c>
      <c r="K641" s="3" t="str">
        <f>IF(バッグ!O13="","",バッグ!O13)</f>
        <v/>
      </c>
      <c r="L641" s="69" t="s">
        <v>80</v>
      </c>
      <c r="M641" s="69" t="s">
        <v>19</v>
      </c>
      <c r="N641" s="69" t="s">
        <v>20</v>
      </c>
      <c r="O641" s="69" t="s">
        <v>21</v>
      </c>
      <c r="P641" s="4" t="s">
        <v>3036</v>
      </c>
      <c r="Q641" s="4" t="s">
        <v>3038</v>
      </c>
      <c r="R641" s="69" t="s">
        <v>22</v>
      </c>
      <c r="S641" s="69" t="s">
        <v>23</v>
      </c>
      <c r="T641" s="69" t="s">
        <v>22</v>
      </c>
      <c r="U641" s="69" t="s">
        <v>24</v>
      </c>
      <c r="V641" s="69" t="s">
        <v>25</v>
      </c>
      <c r="W641" s="69" t="s">
        <v>26</v>
      </c>
      <c r="X641" s="3" t="str">
        <f>バッグ!AE13</f>
        <v>縦幅：約cm　横幅：約cm　マチ幅：約cm　持ち手：約cm  ショルダーベルト：約cm</v>
      </c>
      <c r="Y641" s="69" t="s">
        <v>28</v>
      </c>
      <c r="Z641" s="69" t="s">
        <v>29</v>
      </c>
      <c r="AA641" s="4"/>
      <c r="AB641" s="4"/>
      <c r="AC641" s="4"/>
      <c r="AD641" s="70"/>
      <c r="AE641" s="70">
        <f>バッグ!AJ13</f>
        <v>0</v>
      </c>
      <c r="AF641" s="70" t="str">
        <f>バッグ!W13</f>
        <v>通常</v>
      </c>
      <c r="AG641" s="70">
        <v>0</v>
      </c>
      <c r="AH641" s="9">
        <f>バッグ!AH13</f>
        <v>0</v>
      </c>
      <c r="AI641">
        <v>1</v>
      </c>
      <c r="AJ641">
        <f>バッグ!Z13</f>
        <v>0</v>
      </c>
    </row>
    <row r="642" spans="1:36" ht="13.5" hidden="1" customHeight="1">
      <c r="A642" s="3" t="str">
        <f>IF(バッグ!A14="","",バッグ!A14)</f>
        <v/>
      </c>
      <c r="B642" s="68" t="str">
        <f>IF(バッグ!B14="","",バッグ!B14)</f>
        <v/>
      </c>
      <c r="C642" s="3" t="str">
        <f>IF(バッグ!C14="","",バッグ!C14)</f>
        <v>◇ E</v>
      </c>
      <c r="D642" s="3" t="str">
        <f>IF(バッグ!E14="","",バッグ!E14)</f>
        <v>無</v>
      </c>
      <c r="E642" s="3" t="str">
        <f>IF(バッグ!AF14="","",バッグ!AF14)</f>
        <v>ベースB</v>
      </c>
      <c r="F642" s="3" t="str">
        <f>IF(バッグ!G14="","",バッグ!G14)</f>
        <v/>
      </c>
      <c r="G642" s="3" t="str">
        <f>IF(バッグ!H14="","",バッグ!H14)</f>
        <v/>
      </c>
      <c r="H642" s="3" t="str">
        <f>IF(バッグ!I14="","",バッグ!I14)</f>
        <v>≪メイン≫：　≪内ポケット≫：　≪外ポケット≫：</v>
      </c>
      <c r="I642" s="3" t="str">
        <f>IF(バッグ!M14="","",バッグ!M14)</f>
        <v/>
      </c>
      <c r="J642" s="3" t="str">
        <f>IF(バッグ!N14="","",バッグ!N14)</f>
        <v/>
      </c>
      <c r="K642" s="3" t="str">
        <f>IF(バッグ!O14="","",バッグ!O14)</f>
        <v/>
      </c>
      <c r="L642" s="69" t="s">
        <v>80</v>
      </c>
      <c r="M642" s="69" t="s">
        <v>19</v>
      </c>
      <c r="N642" s="69" t="s">
        <v>20</v>
      </c>
      <c r="O642" s="69" t="s">
        <v>21</v>
      </c>
      <c r="P642" s="4" t="s">
        <v>3036</v>
      </c>
      <c r="Q642" s="4" t="s">
        <v>3038</v>
      </c>
      <c r="R642" s="69" t="s">
        <v>22</v>
      </c>
      <c r="S642" s="69" t="s">
        <v>23</v>
      </c>
      <c r="T642" s="69" t="s">
        <v>22</v>
      </c>
      <c r="U642" s="69" t="s">
        <v>24</v>
      </c>
      <c r="V642" s="69" t="s">
        <v>25</v>
      </c>
      <c r="W642" s="69" t="s">
        <v>26</v>
      </c>
      <c r="X642" s="3" t="str">
        <f>バッグ!AE14</f>
        <v>縦幅：約cm　横幅：約cm　マチ幅：約cm　持ち手：約cm  ショルダーベルト：約cm</v>
      </c>
      <c r="Y642" s="69" t="s">
        <v>28</v>
      </c>
      <c r="Z642" s="69" t="s">
        <v>29</v>
      </c>
      <c r="AA642" s="4"/>
      <c r="AB642" s="4"/>
      <c r="AC642" s="4"/>
      <c r="AD642" s="70"/>
      <c r="AE642" s="70">
        <f>バッグ!AJ14</f>
        <v>0</v>
      </c>
      <c r="AF642" s="70" t="str">
        <f>バッグ!W14</f>
        <v>通常</v>
      </c>
      <c r="AG642" s="70">
        <v>0</v>
      </c>
      <c r="AH642" s="9">
        <f>バッグ!AH14</f>
        <v>0</v>
      </c>
      <c r="AI642">
        <v>1</v>
      </c>
      <c r="AJ642">
        <f>バッグ!Z14</f>
        <v>0</v>
      </c>
    </row>
    <row r="643" spans="1:36" ht="13.5" hidden="1" customHeight="1">
      <c r="A643" s="3" t="str">
        <f>IF(バッグ!A15="","",バッグ!A15)</f>
        <v/>
      </c>
      <c r="B643" s="68" t="str">
        <f>IF(バッグ!B15="","",バッグ!B15)</f>
        <v/>
      </c>
      <c r="C643" s="3" t="str">
        <f>IF(バッグ!C15="","",バッグ!C15)</f>
        <v>◇ E</v>
      </c>
      <c r="D643" s="3" t="str">
        <f>IF(バッグ!E15="","",バッグ!E15)</f>
        <v>無</v>
      </c>
      <c r="E643" s="3" t="str">
        <f>IF(バッグ!AF15="","",バッグ!AF15)</f>
        <v>ベースB</v>
      </c>
      <c r="F643" s="3" t="str">
        <f>IF(バッグ!G15="","",バッグ!G15)</f>
        <v/>
      </c>
      <c r="G643" s="3" t="str">
        <f>IF(バッグ!H15="","",バッグ!H15)</f>
        <v/>
      </c>
      <c r="H643" s="3" t="str">
        <f>IF(バッグ!I15="","",バッグ!I15)</f>
        <v>≪メイン≫：　≪内ポケット≫：　≪外ポケット≫：</v>
      </c>
      <c r="I643" s="3" t="str">
        <f>IF(バッグ!M15="","",バッグ!M15)</f>
        <v/>
      </c>
      <c r="J643" s="3" t="str">
        <f>IF(バッグ!N15="","",バッグ!N15)</f>
        <v/>
      </c>
      <c r="K643" s="3" t="str">
        <f>IF(バッグ!O15="","",バッグ!O15)</f>
        <v/>
      </c>
      <c r="L643" s="69" t="s">
        <v>80</v>
      </c>
      <c r="M643" s="69" t="s">
        <v>19</v>
      </c>
      <c r="N643" s="69" t="s">
        <v>20</v>
      </c>
      <c r="O643" s="69" t="s">
        <v>21</v>
      </c>
      <c r="P643" s="4" t="s">
        <v>3036</v>
      </c>
      <c r="Q643" s="4" t="s">
        <v>3038</v>
      </c>
      <c r="R643" s="69" t="s">
        <v>22</v>
      </c>
      <c r="S643" s="69" t="s">
        <v>23</v>
      </c>
      <c r="T643" s="69" t="s">
        <v>22</v>
      </c>
      <c r="U643" s="69" t="s">
        <v>24</v>
      </c>
      <c r="V643" s="69" t="s">
        <v>25</v>
      </c>
      <c r="W643" s="69" t="s">
        <v>26</v>
      </c>
      <c r="X643" s="3" t="str">
        <f>バッグ!AE15</f>
        <v>縦幅：約cm　横幅：約cm　マチ幅：約cm　持ち手：約cm  ショルダーベルト：約cm</v>
      </c>
      <c r="Y643" s="69" t="s">
        <v>28</v>
      </c>
      <c r="Z643" s="69" t="s">
        <v>29</v>
      </c>
      <c r="AA643" s="4"/>
      <c r="AB643" s="4"/>
      <c r="AC643" s="4"/>
      <c r="AD643" s="70"/>
      <c r="AE643" s="70">
        <f>バッグ!AJ15</f>
        <v>0</v>
      </c>
      <c r="AF643" s="70" t="str">
        <f>バッグ!W15</f>
        <v>通常</v>
      </c>
      <c r="AG643" s="70">
        <v>0</v>
      </c>
      <c r="AH643" s="9">
        <f>バッグ!AH15</f>
        <v>0</v>
      </c>
      <c r="AI643">
        <v>1</v>
      </c>
      <c r="AJ643">
        <f>バッグ!Z15</f>
        <v>0</v>
      </c>
    </row>
    <row r="644" spans="1:36" ht="13.5" hidden="1" customHeight="1">
      <c r="A644" s="3" t="str">
        <f>IF(バッグ!A16="","",バッグ!A16)</f>
        <v/>
      </c>
      <c r="B644" s="68" t="str">
        <f>IF(バッグ!B16="","",バッグ!B16)</f>
        <v/>
      </c>
      <c r="C644" s="3" t="str">
        <f>IF(バッグ!C16="","",バッグ!C16)</f>
        <v>◇ E</v>
      </c>
      <c r="D644" s="3" t="str">
        <f>IF(バッグ!E16="","",バッグ!E16)</f>
        <v>無</v>
      </c>
      <c r="E644" s="3" t="str">
        <f>IF(バッグ!AF16="","",バッグ!AF16)</f>
        <v>ベースB</v>
      </c>
      <c r="F644" s="3" t="str">
        <f>IF(バッグ!G16="","",バッグ!G16)</f>
        <v/>
      </c>
      <c r="G644" s="3" t="str">
        <f>IF(バッグ!H16="","",バッグ!H16)</f>
        <v/>
      </c>
      <c r="H644" s="3" t="str">
        <f>IF(バッグ!I16="","",バッグ!I16)</f>
        <v>≪メイン≫：　≪内ポケット≫：　≪外ポケット≫：</v>
      </c>
      <c r="I644" s="3" t="str">
        <f>IF(バッグ!M16="","",バッグ!M16)</f>
        <v/>
      </c>
      <c r="J644" s="3" t="str">
        <f>IF(バッグ!N16="","",バッグ!N16)</f>
        <v/>
      </c>
      <c r="K644" s="3" t="str">
        <f>IF(バッグ!O16="","",バッグ!O16)</f>
        <v/>
      </c>
      <c r="L644" s="69" t="s">
        <v>80</v>
      </c>
      <c r="M644" s="69" t="s">
        <v>19</v>
      </c>
      <c r="N644" s="69" t="s">
        <v>20</v>
      </c>
      <c r="O644" s="69" t="s">
        <v>21</v>
      </c>
      <c r="P644" s="4" t="s">
        <v>3036</v>
      </c>
      <c r="Q644" s="4" t="s">
        <v>3038</v>
      </c>
      <c r="R644" s="69" t="s">
        <v>22</v>
      </c>
      <c r="S644" s="69" t="s">
        <v>23</v>
      </c>
      <c r="T644" s="69" t="s">
        <v>22</v>
      </c>
      <c r="U644" s="69" t="s">
        <v>24</v>
      </c>
      <c r="V644" s="69" t="s">
        <v>25</v>
      </c>
      <c r="W644" s="69" t="s">
        <v>26</v>
      </c>
      <c r="X644" s="3" t="str">
        <f>バッグ!AE16</f>
        <v>縦幅：約cm　横幅：約cm　マチ幅：約cm　持ち手：約cm  ショルダーベルト：約cm</v>
      </c>
      <c r="Y644" s="69" t="s">
        <v>28</v>
      </c>
      <c r="Z644" s="69" t="s">
        <v>29</v>
      </c>
      <c r="AA644" s="4"/>
      <c r="AB644" s="4"/>
      <c r="AC644" s="4"/>
      <c r="AD644" s="70"/>
      <c r="AE644" s="70">
        <f>バッグ!AJ16</f>
        <v>0</v>
      </c>
      <c r="AF644" s="70" t="str">
        <f>バッグ!W16</f>
        <v>通常</v>
      </c>
      <c r="AG644" s="70">
        <v>0</v>
      </c>
      <c r="AH644" s="9">
        <f>バッグ!AH16</f>
        <v>0</v>
      </c>
      <c r="AI644">
        <v>1</v>
      </c>
      <c r="AJ644">
        <f>バッグ!Z16</f>
        <v>0</v>
      </c>
    </row>
    <row r="645" spans="1:36" ht="13.5" hidden="1" customHeight="1">
      <c r="A645" s="3" t="str">
        <f>IF(バッグ!A17="","",バッグ!A17)</f>
        <v/>
      </c>
      <c r="B645" s="68" t="str">
        <f>IF(バッグ!B17="","",バッグ!B17)</f>
        <v/>
      </c>
      <c r="C645" s="3" t="str">
        <f>IF(バッグ!C17="","",バッグ!C17)</f>
        <v>◇ E</v>
      </c>
      <c r="D645" s="3" t="str">
        <f>IF(バッグ!E17="","",バッグ!E17)</f>
        <v>無</v>
      </c>
      <c r="E645" s="3" t="str">
        <f>IF(バッグ!AF17="","",バッグ!AF17)</f>
        <v>ベースB</v>
      </c>
      <c r="F645" s="3" t="str">
        <f>IF(バッグ!G17="","",バッグ!G17)</f>
        <v/>
      </c>
      <c r="G645" s="3" t="str">
        <f>IF(バッグ!H17="","",バッグ!H17)</f>
        <v/>
      </c>
      <c r="H645" s="3" t="str">
        <f>IF(バッグ!I17="","",バッグ!I17)</f>
        <v>≪メイン≫：　≪内ポケット≫：　≪外ポケット≫：</v>
      </c>
      <c r="I645" s="3" t="str">
        <f>IF(バッグ!M17="","",バッグ!M17)</f>
        <v/>
      </c>
      <c r="J645" s="3" t="str">
        <f>IF(バッグ!N17="","",バッグ!N17)</f>
        <v/>
      </c>
      <c r="K645" s="3" t="str">
        <f>IF(バッグ!O17="","",バッグ!O17)</f>
        <v/>
      </c>
      <c r="L645" s="69" t="s">
        <v>80</v>
      </c>
      <c r="M645" s="69" t="s">
        <v>19</v>
      </c>
      <c r="N645" s="69" t="s">
        <v>20</v>
      </c>
      <c r="O645" s="69" t="s">
        <v>21</v>
      </c>
      <c r="P645" s="4" t="s">
        <v>3036</v>
      </c>
      <c r="Q645" s="4" t="s">
        <v>3038</v>
      </c>
      <c r="R645" s="69" t="s">
        <v>22</v>
      </c>
      <c r="S645" s="69" t="s">
        <v>23</v>
      </c>
      <c r="T645" s="69" t="s">
        <v>22</v>
      </c>
      <c r="U645" s="69" t="s">
        <v>24</v>
      </c>
      <c r="V645" s="69" t="s">
        <v>25</v>
      </c>
      <c r="W645" s="69" t="s">
        <v>26</v>
      </c>
      <c r="X645" s="3" t="str">
        <f>バッグ!AE17</f>
        <v>縦幅：約cm　横幅：約cm　マチ幅：約cm　持ち手：約cm  ショルダーベルト：約cm</v>
      </c>
      <c r="Y645" s="69" t="s">
        <v>28</v>
      </c>
      <c r="Z645" s="69" t="s">
        <v>29</v>
      </c>
      <c r="AA645" s="4"/>
      <c r="AB645" s="4"/>
      <c r="AC645" s="4"/>
      <c r="AD645" s="70"/>
      <c r="AE645" s="70">
        <f>バッグ!AJ17</f>
        <v>0</v>
      </c>
      <c r="AF645" s="70" t="str">
        <f>バッグ!W17</f>
        <v>通常</v>
      </c>
      <c r="AG645" s="70">
        <v>0</v>
      </c>
      <c r="AH645" s="9">
        <f>バッグ!AH17</f>
        <v>0</v>
      </c>
      <c r="AI645">
        <v>1</v>
      </c>
      <c r="AJ645">
        <f>バッグ!Z17</f>
        <v>0</v>
      </c>
    </row>
    <row r="646" spans="1:36" ht="13.5" hidden="1" customHeight="1">
      <c r="A646" s="3" t="str">
        <f>IF(バッグ!A18="","",バッグ!A18)</f>
        <v/>
      </c>
      <c r="B646" s="68" t="str">
        <f>IF(バッグ!B18="","",バッグ!B18)</f>
        <v/>
      </c>
      <c r="C646" s="3" t="str">
        <f>IF(バッグ!C18="","",バッグ!C18)</f>
        <v>◇ E</v>
      </c>
      <c r="D646" s="3" t="str">
        <f>IF(バッグ!E18="","",バッグ!E18)</f>
        <v>無</v>
      </c>
      <c r="E646" s="3" t="str">
        <f>IF(バッグ!AF18="","",バッグ!AF18)</f>
        <v>ベースB</v>
      </c>
      <c r="F646" s="3" t="str">
        <f>IF(バッグ!G18="","",バッグ!G18)</f>
        <v/>
      </c>
      <c r="G646" s="3" t="str">
        <f>IF(バッグ!H18="","",バッグ!H18)</f>
        <v/>
      </c>
      <c r="H646" s="3" t="str">
        <f>IF(バッグ!I18="","",バッグ!I18)</f>
        <v>≪メイン≫：　≪内ポケット≫：　≪外ポケット≫：</v>
      </c>
      <c r="I646" s="3" t="str">
        <f>IF(バッグ!M18="","",バッグ!M18)</f>
        <v/>
      </c>
      <c r="J646" s="3" t="str">
        <f>IF(バッグ!N18="","",バッグ!N18)</f>
        <v/>
      </c>
      <c r="K646" s="3" t="str">
        <f>IF(バッグ!O18="","",バッグ!O18)</f>
        <v/>
      </c>
      <c r="L646" s="69" t="s">
        <v>80</v>
      </c>
      <c r="M646" s="69" t="s">
        <v>19</v>
      </c>
      <c r="N646" s="69" t="s">
        <v>20</v>
      </c>
      <c r="O646" s="69" t="s">
        <v>21</v>
      </c>
      <c r="P646" s="4" t="s">
        <v>3036</v>
      </c>
      <c r="Q646" s="4" t="s">
        <v>3038</v>
      </c>
      <c r="R646" s="69" t="s">
        <v>22</v>
      </c>
      <c r="S646" s="69" t="s">
        <v>23</v>
      </c>
      <c r="T646" s="69" t="s">
        <v>22</v>
      </c>
      <c r="U646" s="69" t="s">
        <v>24</v>
      </c>
      <c r="V646" s="69" t="s">
        <v>25</v>
      </c>
      <c r="W646" s="69" t="s">
        <v>26</v>
      </c>
      <c r="X646" s="3" t="str">
        <f>バッグ!AE18</f>
        <v>縦幅：約cm　横幅：約cm　マチ幅：約cm　持ち手：約cm  ショルダーベルト：約cm</v>
      </c>
      <c r="Y646" s="69" t="s">
        <v>28</v>
      </c>
      <c r="Z646" s="69" t="s">
        <v>29</v>
      </c>
      <c r="AA646" s="4"/>
      <c r="AB646" s="4"/>
      <c r="AC646" s="4"/>
      <c r="AD646" s="70"/>
      <c r="AE646" s="70">
        <f>バッグ!AJ18</f>
        <v>0</v>
      </c>
      <c r="AF646" s="70" t="str">
        <f>バッグ!W18</f>
        <v>通常</v>
      </c>
      <c r="AG646" s="70">
        <v>0</v>
      </c>
      <c r="AH646" s="9">
        <f>バッグ!AH18</f>
        <v>0</v>
      </c>
      <c r="AI646">
        <v>1</v>
      </c>
      <c r="AJ646">
        <f>バッグ!Z18</f>
        <v>0</v>
      </c>
    </row>
    <row r="647" spans="1:36" ht="13.5" hidden="1" customHeight="1">
      <c r="A647" s="3" t="str">
        <f>IF(バッグ!A19="","",バッグ!A19)</f>
        <v/>
      </c>
      <c r="B647" s="68" t="str">
        <f>IF(バッグ!B19="","",バッグ!B19)</f>
        <v/>
      </c>
      <c r="C647" s="3" t="str">
        <f>IF(バッグ!C19="","",バッグ!C19)</f>
        <v>◇ E</v>
      </c>
      <c r="D647" s="3" t="str">
        <f>IF(バッグ!E19="","",バッグ!E19)</f>
        <v>無</v>
      </c>
      <c r="E647" s="3" t="str">
        <f>IF(バッグ!AF19="","",バッグ!AF19)</f>
        <v>ベースB</v>
      </c>
      <c r="F647" s="3" t="str">
        <f>IF(バッグ!G19="","",バッグ!G19)</f>
        <v/>
      </c>
      <c r="G647" s="3" t="str">
        <f>IF(バッグ!H19="","",バッグ!H19)</f>
        <v/>
      </c>
      <c r="H647" s="3" t="str">
        <f>IF(バッグ!I19="","",バッグ!I19)</f>
        <v>≪メイン≫：　≪内ポケット≫：　≪外ポケット≫：</v>
      </c>
      <c r="I647" s="3" t="str">
        <f>IF(バッグ!M19="","",バッグ!M19)</f>
        <v/>
      </c>
      <c r="J647" s="3" t="str">
        <f>IF(バッグ!N19="","",バッグ!N19)</f>
        <v/>
      </c>
      <c r="K647" s="3" t="str">
        <f>IF(バッグ!O19="","",バッグ!O19)</f>
        <v/>
      </c>
      <c r="L647" s="69" t="s">
        <v>80</v>
      </c>
      <c r="M647" s="69" t="s">
        <v>19</v>
      </c>
      <c r="N647" s="69" t="s">
        <v>20</v>
      </c>
      <c r="O647" s="69" t="s">
        <v>21</v>
      </c>
      <c r="P647" s="4" t="s">
        <v>3036</v>
      </c>
      <c r="Q647" s="4" t="s">
        <v>3038</v>
      </c>
      <c r="R647" s="69" t="s">
        <v>22</v>
      </c>
      <c r="S647" s="69" t="s">
        <v>23</v>
      </c>
      <c r="T647" s="69" t="s">
        <v>22</v>
      </c>
      <c r="U647" s="69" t="s">
        <v>24</v>
      </c>
      <c r="V647" s="69" t="s">
        <v>25</v>
      </c>
      <c r="W647" s="69" t="s">
        <v>26</v>
      </c>
      <c r="X647" s="3" t="str">
        <f>バッグ!AE19</f>
        <v>縦幅：約cm　横幅：約cm　マチ幅：約cm　持ち手：約cm  ショルダーベルト：約cm</v>
      </c>
      <c r="Y647" s="69" t="s">
        <v>28</v>
      </c>
      <c r="Z647" s="69" t="s">
        <v>29</v>
      </c>
      <c r="AA647" s="4"/>
      <c r="AB647" s="4"/>
      <c r="AC647" s="4"/>
      <c r="AD647" s="70"/>
      <c r="AE647" s="70">
        <f>バッグ!AJ19</f>
        <v>0</v>
      </c>
      <c r="AF647" s="70" t="str">
        <f>バッグ!W19</f>
        <v>通常</v>
      </c>
      <c r="AG647" s="70">
        <v>0</v>
      </c>
      <c r="AH647" s="9">
        <f>バッグ!AH19</f>
        <v>0</v>
      </c>
      <c r="AI647">
        <v>1</v>
      </c>
      <c r="AJ647">
        <f>バッグ!Z19</f>
        <v>0</v>
      </c>
    </row>
    <row r="648" spans="1:36" ht="13.5" hidden="1" customHeight="1">
      <c r="A648" s="3" t="str">
        <f>IF(バッグ!A20="","",バッグ!A20)</f>
        <v/>
      </c>
      <c r="B648" s="68" t="str">
        <f>IF(バッグ!B20="","",バッグ!B20)</f>
        <v/>
      </c>
      <c r="C648" s="3" t="str">
        <f>IF(バッグ!C20="","",バッグ!C20)</f>
        <v>◇ E</v>
      </c>
      <c r="D648" s="3" t="str">
        <f>IF(バッグ!E20="","",バッグ!E20)</f>
        <v>無</v>
      </c>
      <c r="E648" s="3" t="str">
        <f>IF(バッグ!AF20="","",バッグ!AF20)</f>
        <v>ベースB</v>
      </c>
      <c r="F648" s="3" t="str">
        <f>IF(バッグ!G20="","",バッグ!G20)</f>
        <v/>
      </c>
      <c r="G648" s="3" t="str">
        <f>IF(バッグ!H20="","",バッグ!H20)</f>
        <v/>
      </c>
      <c r="H648" s="3" t="str">
        <f>IF(バッグ!I20="","",バッグ!I20)</f>
        <v>≪メイン≫：　≪内ポケット≫：　≪外ポケット≫：</v>
      </c>
      <c r="I648" s="3" t="str">
        <f>IF(バッグ!M20="","",バッグ!M20)</f>
        <v/>
      </c>
      <c r="J648" s="3" t="str">
        <f>IF(バッグ!N20="","",バッグ!N20)</f>
        <v/>
      </c>
      <c r="K648" s="3" t="str">
        <f>IF(バッグ!O20="","",バッグ!O20)</f>
        <v/>
      </c>
      <c r="L648" s="69" t="s">
        <v>80</v>
      </c>
      <c r="M648" s="69" t="s">
        <v>19</v>
      </c>
      <c r="N648" s="69" t="s">
        <v>20</v>
      </c>
      <c r="O648" s="69" t="s">
        <v>21</v>
      </c>
      <c r="P648" s="4" t="s">
        <v>3036</v>
      </c>
      <c r="Q648" s="4" t="s">
        <v>3038</v>
      </c>
      <c r="R648" s="69" t="s">
        <v>22</v>
      </c>
      <c r="S648" s="69" t="s">
        <v>23</v>
      </c>
      <c r="T648" s="69" t="s">
        <v>22</v>
      </c>
      <c r="U648" s="69" t="s">
        <v>24</v>
      </c>
      <c r="V648" s="69" t="s">
        <v>25</v>
      </c>
      <c r="W648" s="69" t="s">
        <v>26</v>
      </c>
      <c r="X648" s="3" t="str">
        <f>バッグ!AE20</f>
        <v>縦幅：約cm　横幅：約cm　マチ幅：約cm　持ち手：約cm  ショルダーベルト：約cm</v>
      </c>
      <c r="Y648" s="69" t="s">
        <v>28</v>
      </c>
      <c r="Z648" s="69" t="s">
        <v>29</v>
      </c>
      <c r="AA648" s="4"/>
      <c r="AB648" s="4"/>
      <c r="AC648" s="4"/>
      <c r="AD648" s="70"/>
      <c r="AE648" s="70">
        <f>バッグ!AJ20</f>
        <v>0</v>
      </c>
      <c r="AF648" s="70" t="str">
        <f>バッグ!W20</f>
        <v>通常</v>
      </c>
      <c r="AG648" s="70">
        <v>0</v>
      </c>
      <c r="AH648" s="9">
        <f>バッグ!AH20</f>
        <v>0</v>
      </c>
      <c r="AI648">
        <v>1</v>
      </c>
      <c r="AJ648">
        <f>バッグ!Z20</f>
        <v>0</v>
      </c>
    </row>
    <row r="649" spans="1:36" ht="13.5" hidden="1" customHeight="1">
      <c r="A649" s="3" t="str">
        <f>IF(バッグ!A21="","",バッグ!A21)</f>
        <v/>
      </c>
      <c r="B649" s="68" t="str">
        <f>IF(バッグ!B21="","",バッグ!B21)</f>
        <v/>
      </c>
      <c r="C649" s="3" t="str">
        <f>IF(バッグ!C21="","",バッグ!C21)</f>
        <v>◇ E</v>
      </c>
      <c r="D649" s="3" t="str">
        <f>IF(バッグ!E21="","",バッグ!E21)</f>
        <v>無</v>
      </c>
      <c r="E649" s="3" t="str">
        <f>IF(バッグ!AF21="","",バッグ!AF21)</f>
        <v>ベースB</v>
      </c>
      <c r="F649" s="3" t="str">
        <f>IF(バッグ!G21="","",バッグ!G21)</f>
        <v/>
      </c>
      <c r="G649" s="3" t="str">
        <f>IF(バッグ!H21="","",バッグ!H21)</f>
        <v/>
      </c>
      <c r="H649" s="3" t="str">
        <f>IF(バッグ!I21="","",バッグ!I21)</f>
        <v>≪メイン≫：　≪内ポケット≫：　≪外ポケット≫：</v>
      </c>
      <c r="I649" s="3" t="str">
        <f>IF(バッグ!M21="","",バッグ!M21)</f>
        <v/>
      </c>
      <c r="J649" s="3" t="str">
        <f>IF(バッグ!N21="","",バッグ!N21)</f>
        <v/>
      </c>
      <c r="K649" s="3" t="str">
        <f>IF(バッグ!O21="","",バッグ!O21)</f>
        <v/>
      </c>
      <c r="L649" s="69" t="s">
        <v>80</v>
      </c>
      <c r="M649" s="69" t="s">
        <v>19</v>
      </c>
      <c r="N649" s="69" t="s">
        <v>20</v>
      </c>
      <c r="O649" s="69" t="s">
        <v>21</v>
      </c>
      <c r="P649" s="4" t="s">
        <v>3036</v>
      </c>
      <c r="Q649" s="4" t="s">
        <v>3038</v>
      </c>
      <c r="R649" s="69" t="s">
        <v>22</v>
      </c>
      <c r="S649" s="69" t="s">
        <v>23</v>
      </c>
      <c r="T649" s="69" t="s">
        <v>22</v>
      </c>
      <c r="U649" s="69" t="s">
        <v>24</v>
      </c>
      <c r="V649" s="69" t="s">
        <v>25</v>
      </c>
      <c r="W649" s="69" t="s">
        <v>26</v>
      </c>
      <c r="X649" s="3" t="str">
        <f>バッグ!AE21</f>
        <v>縦幅：約cm　横幅：約cm　マチ幅：約cm　持ち手：約cm  ショルダーベルト：約cm</v>
      </c>
      <c r="Y649" s="69" t="s">
        <v>28</v>
      </c>
      <c r="Z649" s="69" t="s">
        <v>29</v>
      </c>
      <c r="AA649" s="4"/>
      <c r="AB649" s="4"/>
      <c r="AC649" s="4"/>
      <c r="AD649" s="70"/>
      <c r="AE649" s="70">
        <f>バッグ!AJ21</f>
        <v>0</v>
      </c>
      <c r="AF649" s="70" t="str">
        <f>バッグ!W21</f>
        <v>通常</v>
      </c>
      <c r="AG649" s="70">
        <v>0</v>
      </c>
      <c r="AH649" s="9">
        <f>バッグ!AH21</f>
        <v>0</v>
      </c>
      <c r="AI649">
        <v>1</v>
      </c>
      <c r="AJ649">
        <f>バッグ!Z21</f>
        <v>0</v>
      </c>
    </row>
    <row r="650" spans="1:36" ht="13.5" hidden="1" customHeight="1">
      <c r="A650" s="3" t="str">
        <f>IF(バッグ!A22="","",バッグ!A22)</f>
        <v/>
      </c>
      <c r="B650" s="68" t="str">
        <f>IF(バッグ!B22="","",バッグ!B22)</f>
        <v/>
      </c>
      <c r="C650" s="3" t="str">
        <f>IF(バッグ!C22="","",バッグ!C22)</f>
        <v>◇ E</v>
      </c>
      <c r="D650" s="3" t="str">
        <f>IF(バッグ!E22="","",バッグ!E22)</f>
        <v>無</v>
      </c>
      <c r="E650" s="3" t="str">
        <f>IF(バッグ!AF22="","",バッグ!AF22)</f>
        <v>ベースB</v>
      </c>
      <c r="F650" s="3" t="str">
        <f>IF(バッグ!G22="","",バッグ!G22)</f>
        <v/>
      </c>
      <c r="G650" s="3" t="str">
        <f>IF(バッグ!H22="","",バッグ!H22)</f>
        <v/>
      </c>
      <c r="H650" s="3" t="str">
        <f>IF(バッグ!I22="","",バッグ!I22)</f>
        <v>≪メイン≫：　≪内ポケット≫：　≪外ポケット≫：</v>
      </c>
      <c r="I650" s="3" t="str">
        <f>IF(バッグ!M22="","",バッグ!M22)</f>
        <v/>
      </c>
      <c r="J650" s="3" t="str">
        <f>IF(バッグ!N22="","",バッグ!N22)</f>
        <v/>
      </c>
      <c r="K650" s="3" t="str">
        <f>IF(バッグ!O22="","",バッグ!O22)</f>
        <v/>
      </c>
      <c r="L650" s="69" t="s">
        <v>80</v>
      </c>
      <c r="M650" s="69" t="s">
        <v>19</v>
      </c>
      <c r="N650" s="69" t="s">
        <v>20</v>
      </c>
      <c r="O650" s="69" t="s">
        <v>21</v>
      </c>
      <c r="P650" s="4" t="s">
        <v>3036</v>
      </c>
      <c r="Q650" s="4" t="s">
        <v>3038</v>
      </c>
      <c r="R650" s="69" t="s">
        <v>22</v>
      </c>
      <c r="S650" s="69" t="s">
        <v>23</v>
      </c>
      <c r="T650" s="69" t="s">
        <v>22</v>
      </c>
      <c r="U650" s="69" t="s">
        <v>24</v>
      </c>
      <c r="V650" s="69" t="s">
        <v>25</v>
      </c>
      <c r="W650" s="69" t="s">
        <v>26</v>
      </c>
      <c r="X650" s="3" t="str">
        <f>バッグ!AE22</f>
        <v>縦幅：約cm　横幅：約cm　マチ幅：約cm　持ち手：約cm  ショルダーベルト：約cm</v>
      </c>
      <c r="Y650" s="69" t="s">
        <v>28</v>
      </c>
      <c r="Z650" s="69" t="s">
        <v>29</v>
      </c>
      <c r="AA650" s="4"/>
      <c r="AB650" s="4"/>
      <c r="AC650" s="4"/>
      <c r="AD650" s="70"/>
      <c r="AE650" s="70">
        <f>バッグ!AJ22</f>
        <v>0</v>
      </c>
      <c r="AF650" s="70" t="str">
        <f>バッグ!W22</f>
        <v>通常</v>
      </c>
      <c r="AG650" s="70">
        <v>0</v>
      </c>
      <c r="AH650" s="9">
        <f>バッグ!AH22</f>
        <v>0</v>
      </c>
      <c r="AI650">
        <v>1</v>
      </c>
      <c r="AJ650">
        <f>バッグ!Z22</f>
        <v>0</v>
      </c>
    </row>
    <row r="651" spans="1:36" ht="13.5" hidden="1" customHeight="1">
      <c r="A651" s="3" t="str">
        <f>IF(バッグ!A23="","",バッグ!A23)</f>
        <v/>
      </c>
      <c r="B651" s="68" t="str">
        <f>IF(バッグ!B23="","",バッグ!B23)</f>
        <v/>
      </c>
      <c r="C651" s="3" t="str">
        <f>IF(バッグ!C23="","",バッグ!C23)</f>
        <v>◇ E</v>
      </c>
      <c r="D651" s="3" t="str">
        <f>IF(バッグ!E23="","",バッグ!E23)</f>
        <v>無</v>
      </c>
      <c r="E651" s="3" t="str">
        <f>IF(バッグ!AF23="","",バッグ!AF23)</f>
        <v>ベースB</v>
      </c>
      <c r="F651" s="3" t="str">
        <f>IF(バッグ!G23="","",バッグ!G23)</f>
        <v/>
      </c>
      <c r="G651" s="3" t="str">
        <f>IF(バッグ!H23="","",バッグ!H23)</f>
        <v/>
      </c>
      <c r="H651" s="3" t="str">
        <f>IF(バッグ!I23="","",バッグ!I23)</f>
        <v>≪メイン≫：　≪内ポケット≫：　≪外ポケット≫：</v>
      </c>
      <c r="I651" s="3" t="str">
        <f>IF(バッグ!M23="","",バッグ!M23)</f>
        <v/>
      </c>
      <c r="J651" s="3" t="str">
        <f>IF(バッグ!N23="","",バッグ!N23)</f>
        <v/>
      </c>
      <c r="K651" s="3" t="str">
        <f>IF(バッグ!O23="","",バッグ!O23)</f>
        <v/>
      </c>
      <c r="L651" s="69" t="s">
        <v>80</v>
      </c>
      <c r="M651" s="69" t="s">
        <v>19</v>
      </c>
      <c r="N651" s="69" t="s">
        <v>20</v>
      </c>
      <c r="O651" s="69" t="s">
        <v>21</v>
      </c>
      <c r="P651" s="4" t="s">
        <v>3036</v>
      </c>
      <c r="Q651" s="4" t="s">
        <v>3038</v>
      </c>
      <c r="R651" s="69" t="s">
        <v>22</v>
      </c>
      <c r="S651" s="69" t="s">
        <v>23</v>
      </c>
      <c r="T651" s="69" t="s">
        <v>22</v>
      </c>
      <c r="U651" s="69" t="s">
        <v>24</v>
      </c>
      <c r="V651" s="69" t="s">
        <v>25</v>
      </c>
      <c r="W651" s="69" t="s">
        <v>26</v>
      </c>
      <c r="X651" s="3" t="str">
        <f>バッグ!AE23</f>
        <v>縦幅：約cm　横幅：約cm　マチ幅：約cm　持ち手：約cm  ショルダーベルト：約cm</v>
      </c>
      <c r="Y651" s="69" t="s">
        <v>28</v>
      </c>
      <c r="Z651" s="69" t="s">
        <v>29</v>
      </c>
      <c r="AA651" s="4"/>
      <c r="AB651" s="4"/>
      <c r="AC651" s="4"/>
      <c r="AD651" s="70"/>
      <c r="AE651" s="70">
        <f>バッグ!AJ23</f>
        <v>0</v>
      </c>
      <c r="AF651" s="70" t="str">
        <f>バッグ!W23</f>
        <v>通常</v>
      </c>
      <c r="AG651" s="70">
        <v>0</v>
      </c>
      <c r="AH651" s="9">
        <f>バッグ!AH23</f>
        <v>0</v>
      </c>
      <c r="AI651">
        <v>1</v>
      </c>
      <c r="AJ651">
        <f>バッグ!Z23</f>
        <v>0</v>
      </c>
    </row>
    <row r="652" spans="1:36" ht="13.5" hidden="1" customHeight="1">
      <c r="A652" s="3" t="str">
        <f>IF(バッグ!A24="","",バッグ!A24)</f>
        <v/>
      </c>
      <c r="B652" s="68" t="str">
        <f>IF(バッグ!B24="","",バッグ!B24)</f>
        <v/>
      </c>
      <c r="C652" s="3" t="str">
        <f>IF(バッグ!C24="","",バッグ!C24)</f>
        <v>◇ E</v>
      </c>
      <c r="D652" s="3" t="str">
        <f>IF(バッグ!E24="","",バッグ!E24)</f>
        <v>無</v>
      </c>
      <c r="E652" s="3" t="str">
        <f>IF(バッグ!AF24="","",バッグ!AF24)</f>
        <v>ベースB</v>
      </c>
      <c r="F652" s="3" t="str">
        <f>IF(バッグ!G24="","",バッグ!G24)</f>
        <v/>
      </c>
      <c r="G652" s="3" t="str">
        <f>IF(バッグ!H24="","",バッグ!H24)</f>
        <v/>
      </c>
      <c r="H652" s="3" t="str">
        <f>IF(バッグ!I24="","",バッグ!I24)</f>
        <v>≪メイン≫：　≪内ポケット≫：　≪外ポケット≫：</v>
      </c>
      <c r="I652" s="3" t="str">
        <f>IF(バッグ!M24="","",バッグ!M24)</f>
        <v/>
      </c>
      <c r="J652" s="3" t="str">
        <f>IF(バッグ!N24="","",バッグ!N24)</f>
        <v/>
      </c>
      <c r="K652" s="3" t="str">
        <f>IF(バッグ!O24="","",バッグ!O24)</f>
        <v/>
      </c>
      <c r="L652" s="69" t="s">
        <v>80</v>
      </c>
      <c r="M652" s="69" t="s">
        <v>19</v>
      </c>
      <c r="N652" s="69" t="s">
        <v>20</v>
      </c>
      <c r="O652" s="69" t="s">
        <v>21</v>
      </c>
      <c r="P652" s="4" t="s">
        <v>3036</v>
      </c>
      <c r="Q652" s="4" t="s">
        <v>3038</v>
      </c>
      <c r="R652" s="69" t="s">
        <v>22</v>
      </c>
      <c r="S652" s="69" t="s">
        <v>23</v>
      </c>
      <c r="T652" s="69" t="s">
        <v>22</v>
      </c>
      <c r="U652" s="69" t="s">
        <v>24</v>
      </c>
      <c r="V652" s="69" t="s">
        <v>25</v>
      </c>
      <c r="W652" s="69" t="s">
        <v>26</v>
      </c>
      <c r="X652" s="3" t="str">
        <f>バッグ!AE24</f>
        <v>縦幅：約cm　横幅：約cm　マチ幅：約cm　持ち手：約cm  ショルダーベルト：約cm</v>
      </c>
      <c r="Y652" s="69" t="s">
        <v>28</v>
      </c>
      <c r="Z652" s="69" t="s">
        <v>29</v>
      </c>
      <c r="AA652" s="4"/>
      <c r="AB652" s="4"/>
      <c r="AC652" s="4"/>
      <c r="AD652" s="70"/>
      <c r="AE652" s="70">
        <f>バッグ!AJ24</f>
        <v>0</v>
      </c>
      <c r="AF652" s="70" t="str">
        <f>バッグ!W24</f>
        <v>通常</v>
      </c>
      <c r="AG652" s="70">
        <v>0</v>
      </c>
      <c r="AH652" s="9">
        <f>バッグ!AH24</f>
        <v>0</v>
      </c>
      <c r="AI652">
        <v>1</v>
      </c>
      <c r="AJ652">
        <f>バッグ!Z24</f>
        <v>0</v>
      </c>
    </row>
    <row r="653" spans="1:36" ht="13.5" hidden="1" customHeight="1">
      <c r="A653" s="3" t="str">
        <f>IF(バッグ!A25="","",バッグ!A25)</f>
        <v/>
      </c>
      <c r="B653" s="68" t="str">
        <f>IF(バッグ!B25="","",バッグ!B25)</f>
        <v/>
      </c>
      <c r="C653" s="3" t="str">
        <f>IF(バッグ!C25="","",バッグ!C25)</f>
        <v>◇ E</v>
      </c>
      <c r="D653" s="3" t="str">
        <f>IF(バッグ!E25="","",バッグ!E25)</f>
        <v>無</v>
      </c>
      <c r="E653" s="3" t="str">
        <f>IF(バッグ!AF25="","",バッグ!AF25)</f>
        <v>ベースB</v>
      </c>
      <c r="F653" s="3" t="str">
        <f>IF(バッグ!G25="","",バッグ!G25)</f>
        <v/>
      </c>
      <c r="G653" s="3" t="str">
        <f>IF(バッグ!H25="","",バッグ!H25)</f>
        <v/>
      </c>
      <c r="H653" s="3" t="str">
        <f>IF(バッグ!I25="","",バッグ!I25)</f>
        <v>≪メイン≫：　≪内ポケット≫：　≪外ポケット≫：</v>
      </c>
      <c r="I653" s="3" t="str">
        <f>IF(バッグ!M25="","",バッグ!M25)</f>
        <v/>
      </c>
      <c r="J653" s="3" t="str">
        <f>IF(バッグ!N25="","",バッグ!N25)</f>
        <v/>
      </c>
      <c r="K653" s="3" t="str">
        <f>IF(バッグ!O25="","",バッグ!O25)</f>
        <v/>
      </c>
      <c r="L653" s="69" t="s">
        <v>80</v>
      </c>
      <c r="M653" s="69" t="s">
        <v>19</v>
      </c>
      <c r="N653" s="69" t="s">
        <v>20</v>
      </c>
      <c r="O653" s="69" t="s">
        <v>21</v>
      </c>
      <c r="P653" s="4" t="s">
        <v>3036</v>
      </c>
      <c r="Q653" s="4" t="s">
        <v>3038</v>
      </c>
      <c r="R653" s="69" t="s">
        <v>22</v>
      </c>
      <c r="S653" s="69" t="s">
        <v>23</v>
      </c>
      <c r="T653" s="69" t="s">
        <v>22</v>
      </c>
      <c r="U653" s="69" t="s">
        <v>24</v>
      </c>
      <c r="V653" s="69" t="s">
        <v>25</v>
      </c>
      <c r="W653" s="69" t="s">
        <v>26</v>
      </c>
      <c r="X653" s="3" t="str">
        <f>バッグ!AE25</f>
        <v>縦幅：約cm　横幅：約cm　マチ幅：約cm　持ち手：約cm  ショルダーベルト：約cm</v>
      </c>
      <c r="Y653" s="69" t="s">
        <v>28</v>
      </c>
      <c r="Z653" s="69" t="s">
        <v>29</v>
      </c>
      <c r="AA653" s="4"/>
      <c r="AB653" s="4"/>
      <c r="AC653" s="4"/>
      <c r="AD653" s="70"/>
      <c r="AE653" s="70">
        <f>バッグ!AJ25</f>
        <v>0</v>
      </c>
      <c r="AF653" s="70" t="str">
        <f>バッグ!W25</f>
        <v>通常</v>
      </c>
      <c r="AG653" s="70">
        <v>0</v>
      </c>
      <c r="AH653" s="9">
        <f>バッグ!AH25</f>
        <v>0</v>
      </c>
      <c r="AI653">
        <v>1</v>
      </c>
      <c r="AJ653">
        <f>バッグ!Z25</f>
        <v>0</v>
      </c>
    </row>
    <row r="654" spans="1:36" ht="13.5" hidden="1" customHeight="1">
      <c r="A654" s="3" t="str">
        <f>IF(バッグ!A26="","",バッグ!A26)</f>
        <v/>
      </c>
      <c r="B654" s="68" t="str">
        <f>IF(バッグ!B26="","",バッグ!B26)</f>
        <v/>
      </c>
      <c r="C654" s="3" t="str">
        <f>IF(バッグ!C26="","",バッグ!C26)</f>
        <v>◇ E</v>
      </c>
      <c r="D654" s="3" t="str">
        <f>IF(バッグ!E26="","",バッグ!E26)</f>
        <v>無</v>
      </c>
      <c r="E654" s="3" t="str">
        <f>IF(バッグ!AF26="","",バッグ!AF26)</f>
        <v>ベースB</v>
      </c>
      <c r="F654" s="3" t="str">
        <f>IF(バッグ!G26="","",バッグ!G26)</f>
        <v/>
      </c>
      <c r="G654" s="3" t="str">
        <f>IF(バッグ!H26="","",バッグ!H26)</f>
        <v/>
      </c>
      <c r="H654" s="3" t="str">
        <f>IF(バッグ!I26="","",バッグ!I26)</f>
        <v>≪メイン≫：　≪内ポケット≫：　≪外ポケット≫：</v>
      </c>
      <c r="I654" s="3" t="str">
        <f>IF(バッグ!M26="","",バッグ!M26)</f>
        <v/>
      </c>
      <c r="J654" s="3" t="str">
        <f>IF(バッグ!N26="","",バッグ!N26)</f>
        <v/>
      </c>
      <c r="K654" s="3" t="str">
        <f>IF(バッグ!O26="","",バッグ!O26)</f>
        <v/>
      </c>
      <c r="L654" s="69" t="s">
        <v>80</v>
      </c>
      <c r="M654" s="69" t="s">
        <v>19</v>
      </c>
      <c r="N654" s="69" t="s">
        <v>20</v>
      </c>
      <c r="O654" s="69" t="s">
        <v>21</v>
      </c>
      <c r="P654" s="4" t="s">
        <v>3036</v>
      </c>
      <c r="Q654" s="4" t="s">
        <v>3038</v>
      </c>
      <c r="R654" s="69" t="s">
        <v>22</v>
      </c>
      <c r="S654" s="69" t="s">
        <v>23</v>
      </c>
      <c r="T654" s="69" t="s">
        <v>22</v>
      </c>
      <c r="U654" s="69" t="s">
        <v>24</v>
      </c>
      <c r="V654" s="69" t="s">
        <v>25</v>
      </c>
      <c r="W654" s="69" t="s">
        <v>26</v>
      </c>
      <c r="X654" s="3" t="str">
        <f>バッグ!AE26</f>
        <v>縦幅：約cm　横幅：約cm　マチ幅：約cm　持ち手：約cm  ショルダーベルト：約cm</v>
      </c>
      <c r="Y654" s="69" t="s">
        <v>28</v>
      </c>
      <c r="Z654" s="69" t="s">
        <v>29</v>
      </c>
      <c r="AA654" s="4"/>
      <c r="AB654" s="4"/>
      <c r="AC654" s="4"/>
      <c r="AD654" s="70"/>
      <c r="AE654" s="70">
        <f>バッグ!AJ26</f>
        <v>0</v>
      </c>
      <c r="AF654" s="70" t="str">
        <f>バッグ!W26</f>
        <v>通常</v>
      </c>
      <c r="AG654" s="70">
        <v>0</v>
      </c>
      <c r="AH654" s="9">
        <f>バッグ!AH26</f>
        <v>0</v>
      </c>
      <c r="AI654">
        <v>1</v>
      </c>
      <c r="AJ654">
        <f>バッグ!Z26</f>
        <v>0</v>
      </c>
    </row>
    <row r="655" spans="1:36" ht="13.5" hidden="1" customHeight="1">
      <c r="A655" s="3" t="str">
        <f>IF(バッグ!A27="","",バッグ!A27)</f>
        <v/>
      </c>
      <c r="B655" s="68" t="str">
        <f>IF(バッグ!B27="","",バッグ!B27)</f>
        <v/>
      </c>
      <c r="C655" s="3" t="str">
        <f>IF(バッグ!C27="","",バッグ!C27)</f>
        <v>◇ E</v>
      </c>
      <c r="D655" s="3" t="str">
        <f>IF(バッグ!E27="","",バッグ!E27)</f>
        <v>無</v>
      </c>
      <c r="E655" s="3" t="str">
        <f>IF(バッグ!AF27="","",バッグ!AF27)</f>
        <v>ベースB</v>
      </c>
      <c r="F655" s="3" t="str">
        <f>IF(バッグ!G27="","",バッグ!G27)</f>
        <v/>
      </c>
      <c r="G655" s="3" t="str">
        <f>IF(バッグ!H27="","",バッグ!H27)</f>
        <v/>
      </c>
      <c r="H655" s="3" t="str">
        <f>IF(バッグ!I27="","",バッグ!I27)</f>
        <v>≪メイン≫：　≪内ポケット≫：　≪外ポケット≫：</v>
      </c>
      <c r="I655" s="3" t="str">
        <f>IF(バッグ!M27="","",バッグ!M27)</f>
        <v/>
      </c>
      <c r="J655" s="3" t="str">
        <f>IF(バッグ!N27="","",バッグ!N27)</f>
        <v/>
      </c>
      <c r="K655" s="3" t="str">
        <f>IF(バッグ!O27="","",バッグ!O27)</f>
        <v/>
      </c>
      <c r="L655" s="69" t="s">
        <v>80</v>
      </c>
      <c r="M655" s="69" t="s">
        <v>19</v>
      </c>
      <c r="N655" s="69" t="s">
        <v>20</v>
      </c>
      <c r="O655" s="69" t="s">
        <v>21</v>
      </c>
      <c r="P655" s="4" t="s">
        <v>3036</v>
      </c>
      <c r="Q655" s="4" t="s">
        <v>3038</v>
      </c>
      <c r="R655" s="69" t="s">
        <v>22</v>
      </c>
      <c r="S655" s="69" t="s">
        <v>23</v>
      </c>
      <c r="T655" s="69" t="s">
        <v>22</v>
      </c>
      <c r="U655" s="69" t="s">
        <v>24</v>
      </c>
      <c r="V655" s="69" t="s">
        <v>25</v>
      </c>
      <c r="W655" s="69" t="s">
        <v>26</v>
      </c>
      <c r="X655" s="3" t="str">
        <f>バッグ!AE27</f>
        <v>縦幅：約cm　横幅：約cm　マチ幅：約cm　持ち手：約cm  ショルダーベルト：約cm</v>
      </c>
      <c r="Y655" s="69" t="s">
        <v>28</v>
      </c>
      <c r="Z655" s="69" t="s">
        <v>29</v>
      </c>
      <c r="AA655" s="4"/>
      <c r="AB655" s="4"/>
      <c r="AC655" s="4"/>
      <c r="AD655" s="70"/>
      <c r="AE655" s="70">
        <f>バッグ!AJ27</f>
        <v>0</v>
      </c>
      <c r="AF655" s="70" t="str">
        <f>バッグ!W27</f>
        <v>通常</v>
      </c>
      <c r="AG655" s="70">
        <v>0</v>
      </c>
      <c r="AH655" s="9">
        <f>バッグ!AH27</f>
        <v>0</v>
      </c>
      <c r="AI655">
        <v>1</v>
      </c>
      <c r="AJ655">
        <f>バッグ!Z27</f>
        <v>0</v>
      </c>
    </row>
    <row r="656" spans="1:36" ht="13.5" hidden="1" customHeight="1">
      <c r="A656" s="3" t="str">
        <f>IF(バッグ!A28="","",バッグ!A28)</f>
        <v/>
      </c>
      <c r="B656" s="68" t="str">
        <f>IF(バッグ!B28="","",バッグ!B28)</f>
        <v/>
      </c>
      <c r="C656" s="3" t="str">
        <f>IF(バッグ!C28="","",バッグ!C28)</f>
        <v>◇ E</v>
      </c>
      <c r="D656" s="3" t="str">
        <f>IF(バッグ!E28="","",バッグ!E28)</f>
        <v>無</v>
      </c>
      <c r="E656" s="3" t="str">
        <f>IF(バッグ!AF28="","",バッグ!AF28)</f>
        <v>ベースB</v>
      </c>
      <c r="F656" s="3" t="str">
        <f>IF(バッグ!G28="","",バッグ!G28)</f>
        <v/>
      </c>
      <c r="G656" s="3" t="str">
        <f>IF(バッグ!H28="","",バッグ!H28)</f>
        <v/>
      </c>
      <c r="H656" s="3" t="str">
        <f>IF(バッグ!I28="","",バッグ!I28)</f>
        <v>≪メイン≫：　≪内ポケット≫：　≪外ポケット≫：</v>
      </c>
      <c r="I656" s="3" t="str">
        <f>IF(バッグ!M28="","",バッグ!M28)</f>
        <v/>
      </c>
      <c r="J656" s="3" t="str">
        <f>IF(バッグ!N28="","",バッグ!N28)</f>
        <v/>
      </c>
      <c r="K656" s="3" t="str">
        <f>IF(バッグ!O28="","",バッグ!O28)</f>
        <v/>
      </c>
      <c r="L656" s="69" t="s">
        <v>80</v>
      </c>
      <c r="M656" s="69" t="s">
        <v>19</v>
      </c>
      <c r="N656" s="69" t="s">
        <v>20</v>
      </c>
      <c r="O656" s="69" t="s">
        <v>21</v>
      </c>
      <c r="P656" s="4" t="s">
        <v>3036</v>
      </c>
      <c r="Q656" s="4" t="s">
        <v>3038</v>
      </c>
      <c r="R656" s="69" t="s">
        <v>22</v>
      </c>
      <c r="S656" s="69" t="s">
        <v>23</v>
      </c>
      <c r="T656" s="69" t="s">
        <v>22</v>
      </c>
      <c r="U656" s="69" t="s">
        <v>24</v>
      </c>
      <c r="V656" s="69" t="s">
        <v>25</v>
      </c>
      <c r="W656" s="69" t="s">
        <v>26</v>
      </c>
      <c r="X656" s="3" t="str">
        <f>バッグ!AE28</f>
        <v>縦幅：約cm　横幅：約cm　マチ幅：約cm　持ち手：約cm  ショルダーベルト：約cm</v>
      </c>
      <c r="Y656" s="69" t="s">
        <v>28</v>
      </c>
      <c r="Z656" s="69" t="s">
        <v>29</v>
      </c>
      <c r="AA656" s="4"/>
      <c r="AB656" s="4"/>
      <c r="AC656" s="4"/>
      <c r="AD656" s="70"/>
      <c r="AE656" s="70">
        <f>バッグ!AJ28</f>
        <v>0</v>
      </c>
      <c r="AF656" s="70" t="str">
        <f>バッグ!W28</f>
        <v>通常</v>
      </c>
      <c r="AG656" s="70">
        <v>0</v>
      </c>
      <c r="AH656" s="9">
        <f>バッグ!AH28</f>
        <v>0</v>
      </c>
      <c r="AI656">
        <v>1</v>
      </c>
      <c r="AJ656">
        <f>バッグ!Z28</f>
        <v>0</v>
      </c>
    </row>
    <row r="657" spans="1:36" ht="13.5" hidden="1" customHeight="1">
      <c r="A657" s="3" t="str">
        <f>IF(バッグ!A29="","",バッグ!A29)</f>
        <v/>
      </c>
      <c r="B657" s="68" t="str">
        <f>IF(バッグ!B29="","",バッグ!B29)</f>
        <v/>
      </c>
      <c r="C657" s="3" t="str">
        <f>IF(バッグ!C29="","",バッグ!C29)</f>
        <v>◇ E</v>
      </c>
      <c r="D657" s="3" t="str">
        <f>IF(バッグ!E29="","",バッグ!E29)</f>
        <v>無</v>
      </c>
      <c r="E657" s="3" t="str">
        <f>IF(バッグ!AF29="","",バッグ!AF29)</f>
        <v>ベースB</v>
      </c>
      <c r="F657" s="3" t="str">
        <f>IF(バッグ!G29="","",バッグ!G29)</f>
        <v/>
      </c>
      <c r="G657" s="3" t="str">
        <f>IF(バッグ!H29="","",バッグ!H29)</f>
        <v/>
      </c>
      <c r="H657" s="3" t="str">
        <f>IF(バッグ!I29="","",バッグ!I29)</f>
        <v>≪メイン≫：　≪内ポケット≫：　≪外ポケット≫：</v>
      </c>
      <c r="I657" s="3" t="str">
        <f>IF(バッグ!M29="","",バッグ!M29)</f>
        <v/>
      </c>
      <c r="J657" s="3" t="str">
        <f>IF(バッグ!N29="","",バッグ!N29)</f>
        <v/>
      </c>
      <c r="K657" s="3" t="str">
        <f>IF(バッグ!O29="","",バッグ!O29)</f>
        <v/>
      </c>
      <c r="L657" s="69" t="s">
        <v>80</v>
      </c>
      <c r="M657" s="69" t="s">
        <v>19</v>
      </c>
      <c r="N657" s="69" t="s">
        <v>20</v>
      </c>
      <c r="O657" s="69" t="s">
        <v>21</v>
      </c>
      <c r="P657" s="4" t="s">
        <v>3036</v>
      </c>
      <c r="Q657" s="4" t="s">
        <v>3038</v>
      </c>
      <c r="R657" s="69" t="s">
        <v>22</v>
      </c>
      <c r="S657" s="69" t="s">
        <v>23</v>
      </c>
      <c r="T657" s="69" t="s">
        <v>22</v>
      </c>
      <c r="U657" s="69" t="s">
        <v>24</v>
      </c>
      <c r="V657" s="69" t="s">
        <v>25</v>
      </c>
      <c r="W657" s="69" t="s">
        <v>26</v>
      </c>
      <c r="X657" s="3" t="str">
        <f>バッグ!AE29</f>
        <v>縦幅：約cm　横幅：約cm　マチ幅：約cm　持ち手：約cm  ショルダーベルト：約cm</v>
      </c>
      <c r="Y657" s="69" t="s">
        <v>28</v>
      </c>
      <c r="Z657" s="69" t="s">
        <v>29</v>
      </c>
      <c r="AA657" s="4"/>
      <c r="AB657" s="4"/>
      <c r="AC657" s="4"/>
      <c r="AD657" s="70"/>
      <c r="AE657" s="70">
        <f>バッグ!AJ29</f>
        <v>0</v>
      </c>
      <c r="AF657" s="70" t="str">
        <f>バッグ!W29</f>
        <v>通常</v>
      </c>
      <c r="AG657" s="70">
        <v>0</v>
      </c>
      <c r="AH657" s="9">
        <f>バッグ!AH29</f>
        <v>0</v>
      </c>
      <c r="AI657">
        <v>1</v>
      </c>
      <c r="AJ657">
        <f>バッグ!Z29</f>
        <v>0</v>
      </c>
    </row>
    <row r="658" spans="1:36" ht="13.5" hidden="1" customHeight="1">
      <c r="A658" s="3" t="str">
        <f>IF(バッグ!A30="","",バッグ!A30)</f>
        <v/>
      </c>
      <c r="B658" s="68" t="str">
        <f>IF(バッグ!B30="","",バッグ!B30)</f>
        <v/>
      </c>
      <c r="C658" s="3" t="str">
        <f>IF(バッグ!C30="","",バッグ!C30)</f>
        <v>◇ E</v>
      </c>
      <c r="D658" s="3" t="str">
        <f>IF(バッグ!E30="","",バッグ!E30)</f>
        <v>無</v>
      </c>
      <c r="E658" s="3" t="str">
        <f>IF(バッグ!AF30="","",バッグ!AF30)</f>
        <v>ベースB</v>
      </c>
      <c r="F658" s="3" t="str">
        <f>IF(バッグ!G30="","",バッグ!G30)</f>
        <v/>
      </c>
      <c r="G658" s="3" t="str">
        <f>IF(バッグ!H30="","",バッグ!H30)</f>
        <v/>
      </c>
      <c r="H658" s="3" t="str">
        <f>IF(バッグ!I30="","",バッグ!I30)</f>
        <v>≪メイン≫：　≪内ポケット≫：　≪外ポケット≫：</v>
      </c>
      <c r="I658" s="3" t="str">
        <f>IF(バッグ!M30="","",バッグ!M30)</f>
        <v/>
      </c>
      <c r="J658" s="3" t="str">
        <f>IF(バッグ!N30="","",バッグ!N30)</f>
        <v/>
      </c>
      <c r="K658" s="3" t="str">
        <f>IF(バッグ!O30="","",バッグ!O30)</f>
        <v/>
      </c>
      <c r="L658" s="69" t="s">
        <v>80</v>
      </c>
      <c r="M658" s="69" t="s">
        <v>19</v>
      </c>
      <c r="N658" s="69" t="s">
        <v>20</v>
      </c>
      <c r="O658" s="69" t="s">
        <v>21</v>
      </c>
      <c r="P658" s="4" t="s">
        <v>3036</v>
      </c>
      <c r="Q658" s="4" t="s">
        <v>3038</v>
      </c>
      <c r="R658" s="69" t="s">
        <v>22</v>
      </c>
      <c r="S658" s="69" t="s">
        <v>23</v>
      </c>
      <c r="T658" s="69" t="s">
        <v>22</v>
      </c>
      <c r="U658" s="69" t="s">
        <v>24</v>
      </c>
      <c r="V658" s="69" t="s">
        <v>25</v>
      </c>
      <c r="W658" s="69" t="s">
        <v>26</v>
      </c>
      <c r="X658" s="3" t="str">
        <f>バッグ!AE30</f>
        <v>縦幅：約cm　横幅：約cm　マチ幅：約cm　持ち手：約cm  ショルダーベルト：約cm</v>
      </c>
      <c r="Y658" s="69" t="s">
        <v>28</v>
      </c>
      <c r="Z658" s="69" t="s">
        <v>29</v>
      </c>
      <c r="AA658" s="4"/>
      <c r="AB658" s="4"/>
      <c r="AC658" s="4"/>
      <c r="AD658" s="70"/>
      <c r="AE658" s="70">
        <f>バッグ!AJ30</f>
        <v>0</v>
      </c>
      <c r="AF658" s="70" t="str">
        <f>バッグ!W30</f>
        <v>通常</v>
      </c>
      <c r="AG658" s="70">
        <v>0</v>
      </c>
      <c r="AH658" s="9">
        <f>バッグ!AH30</f>
        <v>0</v>
      </c>
      <c r="AI658">
        <v>1</v>
      </c>
      <c r="AJ658">
        <f>バッグ!Z30</f>
        <v>0</v>
      </c>
    </row>
    <row r="659" spans="1:36" ht="13.5" hidden="1" customHeight="1">
      <c r="A659" s="3" t="str">
        <f>IF(バッグ!A31="","",バッグ!A31)</f>
        <v/>
      </c>
      <c r="B659" s="68" t="str">
        <f>IF(バッグ!B31="","",バッグ!B31)</f>
        <v/>
      </c>
      <c r="C659" s="3" t="str">
        <f>IF(バッグ!C31="","",バッグ!C31)</f>
        <v>◇ E</v>
      </c>
      <c r="D659" s="3" t="str">
        <f>IF(バッグ!E31="","",バッグ!E31)</f>
        <v>無</v>
      </c>
      <c r="E659" s="3" t="str">
        <f>IF(バッグ!AF31="","",バッグ!AF31)</f>
        <v>ベースB</v>
      </c>
      <c r="F659" s="3" t="str">
        <f>IF(バッグ!G31="","",バッグ!G31)</f>
        <v/>
      </c>
      <c r="G659" s="3" t="str">
        <f>IF(バッグ!H31="","",バッグ!H31)</f>
        <v/>
      </c>
      <c r="H659" s="3" t="str">
        <f>IF(バッグ!I31="","",バッグ!I31)</f>
        <v>≪メイン≫：　≪内ポケット≫：　≪外ポケット≫：</v>
      </c>
      <c r="I659" s="3" t="str">
        <f>IF(バッグ!M31="","",バッグ!M31)</f>
        <v/>
      </c>
      <c r="J659" s="3" t="str">
        <f>IF(バッグ!N31="","",バッグ!N31)</f>
        <v/>
      </c>
      <c r="K659" s="3" t="str">
        <f>IF(バッグ!O31="","",バッグ!O31)</f>
        <v/>
      </c>
      <c r="L659" s="69" t="s">
        <v>80</v>
      </c>
      <c r="M659" s="69" t="s">
        <v>19</v>
      </c>
      <c r="N659" s="69" t="s">
        <v>20</v>
      </c>
      <c r="O659" s="69" t="s">
        <v>21</v>
      </c>
      <c r="P659" s="4" t="s">
        <v>3036</v>
      </c>
      <c r="Q659" s="4" t="s">
        <v>3038</v>
      </c>
      <c r="R659" s="69" t="s">
        <v>22</v>
      </c>
      <c r="S659" s="69" t="s">
        <v>23</v>
      </c>
      <c r="T659" s="69" t="s">
        <v>22</v>
      </c>
      <c r="U659" s="69" t="s">
        <v>24</v>
      </c>
      <c r="V659" s="69" t="s">
        <v>25</v>
      </c>
      <c r="W659" s="69" t="s">
        <v>26</v>
      </c>
      <c r="X659" s="3" t="str">
        <f>バッグ!AE31</f>
        <v>縦幅：約cm　横幅：約cm　マチ幅：約cm　持ち手：約cm  ショルダーベルト：約cm</v>
      </c>
      <c r="Y659" s="69" t="s">
        <v>28</v>
      </c>
      <c r="Z659" s="69" t="s">
        <v>29</v>
      </c>
      <c r="AA659" s="4"/>
      <c r="AB659" s="4"/>
      <c r="AC659" s="4"/>
      <c r="AD659" s="70"/>
      <c r="AE659" s="70">
        <f>バッグ!AJ31</f>
        <v>0</v>
      </c>
      <c r="AF659" s="70" t="str">
        <f>バッグ!W31</f>
        <v>通常</v>
      </c>
      <c r="AG659" s="70">
        <v>0</v>
      </c>
      <c r="AH659" s="9">
        <f>バッグ!AH31</f>
        <v>0</v>
      </c>
      <c r="AI659">
        <v>1</v>
      </c>
      <c r="AJ659">
        <f>バッグ!Z31</f>
        <v>0</v>
      </c>
    </row>
    <row r="660" spans="1:36" ht="13.5" hidden="1" customHeight="1">
      <c r="A660" s="3" t="str">
        <f>IF(バッグ!A32="","",バッグ!A32)</f>
        <v/>
      </c>
      <c r="B660" s="68" t="str">
        <f>IF(バッグ!B32="","",バッグ!B32)</f>
        <v/>
      </c>
      <c r="C660" s="3" t="str">
        <f>IF(バッグ!C32="","",バッグ!C32)</f>
        <v>◇ E</v>
      </c>
      <c r="D660" s="3" t="str">
        <f>IF(バッグ!E32="","",バッグ!E32)</f>
        <v>無</v>
      </c>
      <c r="E660" s="3" t="str">
        <f>IF(バッグ!AF32="","",バッグ!AF32)</f>
        <v>ベースB</v>
      </c>
      <c r="F660" s="3" t="str">
        <f>IF(バッグ!G32="","",バッグ!G32)</f>
        <v/>
      </c>
      <c r="G660" s="3" t="str">
        <f>IF(バッグ!H32="","",バッグ!H32)</f>
        <v/>
      </c>
      <c r="H660" s="3" t="str">
        <f>IF(バッグ!I32="","",バッグ!I32)</f>
        <v>≪メイン≫：　≪内ポケット≫：　≪外ポケット≫：</v>
      </c>
      <c r="I660" s="3" t="str">
        <f>IF(バッグ!M32="","",バッグ!M32)</f>
        <v/>
      </c>
      <c r="J660" s="3" t="str">
        <f>IF(バッグ!N32="","",バッグ!N32)</f>
        <v/>
      </c>
      <c r="K660" s="3" t="str">
        <f>IF(バッグ!O32="","",バッグ!O32)</f>
        <v/>
      </c>
      <c r="L660" s="69" t="s">
        <v>80</v>
      </c>
      <c r="M660" s="69" t="s">
        <v>19</v>
      </c>
      <c r="N660" s="69" t="s">
        <v>20</v>
      </c>
      <c r="O660" s="69" t="s">
        <v>21</v>
      </c>
      <c r="P660" s="4" t="s">
        <v>3036</v>
      </c>
      <c r="Q660" s="4" t="s">
        <v>3038</v>
      </c>
      <c r="R660" s="69" t="s">
        <v>22</v>
      </c>
      <c r="S660" s="69" t="s">
        <v>23</v>
      </c>
      <c r="T660" s="69" t="s">
        <v>22</v>
      </c>
      <c r="U660" s="69" t="s">
        <v>24</v>
      </c>
      <c r="V660" s="69" t="s">
        <v>25</v>
      </c>
      <c r="W660" s="69" t="s">
        <v>26</v>
      </c>
      <c r="X660" s="3" t="str">
        <f>バッグ!AE32</f>
        <v>縦幅：約cm　横幅：約cm　マチ幅：約cm　持ち手：約cm  ショルダーベルト：約cm</v>
      </c>
      <c r="Y660" s="69" t="s">
        <v>28</v>
      </c>
      <c r="Z660" s="69" t="s">
        <v>29</v>
      </c>
      <c r="AA660" s="4"/>
      <c r="AB660" s="4"/>
      <c r="AC660" s="4"/>
      <c r="AD660" s="70"/>
      <c r="AE660" s="70">
        <f>バッグ!AJ32</f>
        <v>0</v>
      </c>
      <c r="AF660" s="70" t="str">
        <f>バッグ!W32</f>
        <v>通常</v>
      </c>
      <c r="AG660" s="70">
        <v>0</v>
      </c>
      <c r="AH660" s="9">
        <f>バッグ!AH32</f>
        <v>0</v>
      </c>
      <c r="AI660">
        <v>1</v>
      </c>
      <c r="AJ660">
        <f>バッグ!Z32</f>
        <v>0</v>
      </c>
    </row>
    <row r="661" spans="1:36" ht="13.5" hidden="1" customHeight="1">
      <c r="A661" s="3" t="str">
        <f>IF(バッグ!A33="","",バッグ!A33)</f>
        <v/>
      </c>
      <c r="B661" s="68" t="str">
        <f>IF(バッグ!B33="","",バッグ!B33)</f>
        <v/>
      </c>
      <c r="C661" s="3" t="str">
        <f>IF(バッグ!C33="","",バッグ!C33)</f>
        <v>◇ E</v>
      </c>
      <c r="D661" s="3" t="str">
        <f>IF(バッグ!E33="","",バッグ!E33)</f>
        <v>無</v>
      </c>
      <c r="E661" s="3" t="str">
        <f>IF(バッグ!AF33="","",バッグ!AF33)</f>
        <v>ベースB</v>
      </c>
      <c r="F661" s="3" t="str">
        <f>IF(バッグ!G33="","",バッグ!G33)</f>
        <v/>
      </c>
      <c r="G661" s="3" t="str">
        <f>IF(バッグ!H33="","",バッグ!H33)</f>
        <v/>
      </c>
      <c r="H661" s="3" t="str">
        <f>IF(バッグ!I33="","",バッグ!I33)</f>
        <v>≪メイン≫：　≪内ポケット≫：　≪外ポケット≫：</v>
      </c>
      <c r="I661" s="3" t="str">
        <f>IF(バッグ!M33="","",バッグ!M33)</f>
        <v/>
      </c>
      <c r="J661" s="3" t="str">
        <f>IF(バッグ!N33="","",バッグ!N33)</f>
        <v/>
      </c>
      <c r="K661" s="3" t="str">
        <f>IF(バッグ!O33="","",バッグ!O33)</f>
        <v/>
      </c>
      <c r="L661" s="69" t="s">
        <v>80</v>
      </c>
      <c r="M661" s="69" t="s">
        <v>19</v>
      </c>
      <c r="N661" s="69" t="s">
        <v>20</v>
      </c>
      <c r="O661" s="69" t="s">
        <v>21</v>
      </c>
      <c r="P661" s="4" t="s">
        <v>3036</v>
      </c>
      <c r="Q661" s="4" t="s">
        <v>3038</v>
      </c>
      <c r="R661" s="69" t="s">
        <v>22</v>
      </c>
      <c r="S661" s="69" t="s">
        <v>23</v>
      </c>
      <c r="T661" s="69" t="s">
        <v>22</v>
      </c>
      <c r="U661" s="69" t="s">
        <v>24</v>
      </c>
      <c r="V661" s="69" t="s">
        <v>25</v>
      </c>
      <c r="W661" s="69" t="s">
        <v>26</v>
      </c>
      <c r="X661" s="3" t="str">
        <f>バッグ!AE33</f>
        <v>縦幅：約cm　横幅：約cm　マチ幅：約cm　持ち手：約cm  ショルダーベルト：約cm</v>
      </c>
      <c r="Y661" s="69" t="s">
        <v>28</v>
      </c>
      <c r="Z661" s="69" t="s">
        <v>29</v>
      </c>
      <c r="AA661" s="4"/>
      <c r="AB661" s="4"/>
      <c r="AC661" s="4"/>
      <c r="AD661" s="70"/>
      <c r="AE661" s="70">
        <f>バッグ!AJ33</f>
        <v>0</v>
      </c>
      <c r="AF661" s="70" t="str">
        <f>バッグ!W33</f>
        <v>通常</v>
      </c>
      <c r="AG661" s="70">
        <v>0</v>
      </c>
      <c r="AH661" s="9">
        <f>バッグ!AH33</f>
        <v>0</v>
      </c>
      <c r="AI661">
        <v>1</v>
      </c>
      <c r="AJ661">
        <f>バッグ!Z33</f>
        <v>0</v>
      </c>
    </row>
    <row r="662" spans="1:36" ht="13.5" hidden="1" customHeight="1">
      <c r="A662" s="3" t="str">
        <f>IF(バッグ!A34="","",バッグ!A34)</f>
        <v/>
      </c>
      <c r="B662" s="68" t="str">
        <f>IF(バッグ!B34="","",バッグ!B34)</f>
        <v/>
      </c>
      <c r="C662" s="3" t="str">
        <f>IF(バッグ!C34="","",バッグ!C34)</f>
        <v>◇ E</v>
      </c>
      <c r="D662" s="3" t="str">
        <f>IF(バッグ!E34="","",バッグ!E34)</f>
        <v>無</v>
      </c>
      <c r="E662" s="3" t="str">
        <f>IF(バッグ!AF34="","",バッグ!AF34)</f>
        <v>ベースB</v>
      </c>
      <c r="F662" s="3" t="str">
        <f>IF(バッグ!G34="","",バッグ!G34)</f>
        <v/>
      </c>
      <c r="G662" s="3" t="str">
        <f>IF(バッグ!H34="","",バッグ!H34)</f>
        <v/>
      </c>
      <c r="H662" s="3" t="str">
        <f>IF(バッグ!I34="","",バッグ!I34)</f>
        <v>≪メイン≫：　≪内ポケット≫：　≪外ポケット≫：</v>
      </c>
      <c r="I662" s="3" t="str">
        <f>IF(バッグ!M34="","",バッグ!M34)</f>
        <v/>
      </c>
      <c r="J662" s="3" t="str">
        <f>IF(バッグ!N34="","",バッグ!N34)</f>
        <v/>
      </c>
      <c r="K662" s="3" t="str">
        <f>IF(バッグ!O34="","",バッグ!O34)</f>
        <v/>
      </c>
      <c r="L662" s="69" t="s">
        <v>80</v>
      </c>
      <c r="M662" s="69" t="s">
        <v>19</v>
      </c>
      <c r="N662" s="69" t="s">
        <v>20</v>
      </c>
      <c r="O662" s="69" t="s">
        <v>21</v>
      </c>
      <c r="P662" s="4" t="s">
        <v>3036</v>
      </c>
      <c r="Q662" s="4" t="s">
        <v>3038</v>
      </c>
      <c r="R662" s="69" t="s">
        <v>22</v>
      </c>
      <c r="S662" s="69" t="s">
        <v>23</v>
      </c>
      <c r="T662" s="69" t="s">
        <v>22</v>
      </c>
      <c r="U662" s="69" t="s">
        <v>24</v>
      </c>
      <c r="V662" s="69" t="s">
        <v>25</v>
      </c>
      <c r="W662" s="69" t="s">
        <v>26</v>
      </c>
      <c r="X662" s="3" t="str">
        <f>バッグ!AE34</f>
        <v>縦幅：約cm　横幅：約cm　マチ幅：約cm　持ち手：約cm  ショルダーベルト：約cm</v>
      </c>
      <c r="Y662" s="69" t="s">
        <v>28</v>
      </c>
      <c r="Z662" s="69" t="s">
        <v>29</v>
      </c>
      <c r="AA662" s="4"/>
      <c r="AB662" s="4"/>
      <c r="AC662" s="4"/>
      <c r="AD662" s="70"/>
      <c r="AE662" s="70">
        <f>バッグ!AJ34</f>
        <v>0</v>
      </c>
      <c r="AF662" s="70" t="str">
        <f>バッグ!W34</f>
        <v>通常</v>
      </c>
      <c r="AG662" s="70">
        <v>0</v>
      </c>
      <c r="AH662" s="9">
        <f>バッグ!AH34</f>
        <v>0</v>
      </c>
      <c r="AI662">
        <v>1</v>
      </c>
      <c r="AJ662">
        <f>バッグ!Z34</f>
        <v>0</v>
      </c>
    </row>
    <row r="663" spans="1:36" ht="13.5" hidden="1" customHeight="1">
      <c r="A663" s="3" t="str">
        <f>IF(バッグ!A35="","",バッグ!A35)</f>
        <v/>
      </c>
      <c r="B663" s="68" t="str">
        <f>IF(バッグ!B35="","",バッグ!B35)</f>
        <v/>
      </c>
      <c r="C663" s="3" t="str">
        <f>IF(バッグ!C35="","",バッグ!C35)</f>
        <v>◇ E</v>
      </c>
      <c r="D663" s="3" t="str">
        <f>IF(バッグ!E35="","",バッグ!E35)</f>
        <v>無</v>
      </c>
      <c r="E663" s="3" t="str">
        <f>IF(バッグ!AF35="","",バッグ!AF35)</f>
        <v>ベースB</v>
      </c>
      <c r="F663" s="3" t="str">
        <f>IF(バッグ!G35="","",バッグ!G35)</f>
        <v/>
      </c>
      <c r="G663" s="3" t="str">
        <f>IF(バッグ!H35="","",バッグ!H35)</f>
        <v/>
      </c>
      <c r="H663" s="3" t="str">
        <f>IF(バッグ!I35="","",バッグ!I35)</f>
        <v>≪メイン≫：　≪内ポケット≫：　≪外ポケット≫：</v>
      </c>
      <c r="I663" s="3" t="str">
        <f>IF(バッグ!M35="","",バッグ!M35)</f>
        <v/>
      </c>
      <c r="J663" s="3" t="str">
        <f>IF(バッグ!N35="","",バッグ!N35)</f>
        <v/>
      </c>
      <c r="K663" s="3" t="str">
        <f>IF(バッグ!O35="","",バッグ!O35)</f>
        <v/>
      </c>
      <c r="L663" s="69" t="s">
        <v>80</v>
      </c>
      <c r="M663" s="69" t="s">
        <v>19</v>
      </c>
      <c r="N663" s="69" t="s">
        <v>20</v>
      </c>
      <c r="O663" s="69" t="s">
        <v>21</v>
      </c>
      <c r="P663" s="4" t="s">
        <v>3036</v>
      </c>
      <c r="Q663" s="4" t="s">
        <v>3038</v>
      </c>
      <c r="R663" s="69" t="s">
        <v>22</v>
      </c>
      <c r="S663" s="69" t="s">
        <v>23</v>
      </c>
      <c r="T663" s="69" t="s">
        <v>22</v>
      </c>
      <c r="U663" s="69" t="s">
        <v>24</v>
      </c>
      <c r="V663" s="69" t="s">
        <v>25</v>
      </c>
      <c r="W663" s="69" t="s">
        <v>26</v>
      </c>
      <c r="X663" s="3" t="str">
        <f>バッグ!AE35</f>
        <v>縦幅：約cm　横幅：約cm　マチ幅：約cm　持ち手：約cm  ショルダーベルト：約cm</v>
      </c>
      <c r="Y663" s="69" t="s">
        <v>28</v>
      </c>
      <c r="Z663" s="69" t="s">
        <v>29</v>
      </c>
      <c r="AA663" s="4"/>
      <c r="AB663" s="4"/>
      <c r="AC663" s="4"/>
      <c r="AD663" s="70"/>
      <c r="AE663" s="70">
        <f>バッグ!AJ35</f>
        <v>0</v>
      </c>
      <c r="AF663" s="70" t="str">
        <f>バッグ!W35</f>
        <v>通常</v>
      </c>
      <c r="AG663" s="70">
        <v>0</v>
      </c>
      <c r="AH663" s="9">
        <f>バッグ!AH35</f>
        <v>0</v>
      </c>
      <c r="AI663">
        <v>1</v>
      </c>
      <c r="AJ663">
        <f>バッグ!Z35</f>
        <v>0</v>
      </c>
    </row>
    <row r="664" spans="1:36" ht="13.5" hidden="1" customHeight="1">
      <c r="A664" s="3" t="str">
        <f>IF(バッグ!A36="","",バッグ!A36)</f>
        <v/>
      </c>
      <c r="B664" s="68" t="str">
        <f>IF(バッグ!B36="","",バッグ!B36)</f>
        <v/>
      </c>
      <c r="C664" s="3" t="str">
        <f>IF(バッグ!C36="","",バッグ!C36)</f>
        <v>◇ E</v>
      </c>
      <c r="D664" s="3" t="str">
        <f>IF(バッグ!E36="","",バッグ!E36)</f>
        <v>無</v>
      </c>
      <c r="E664" s="3" t="str">
        <f>IF(バッグ!AF36="","",バッグ!AF36)</f>
        <v>ベースB</v>
      </c>
      <c r="F664" s="3" t="str">
        <f>IF(バッグ!G36="","",バッグ!G36)</f>
        <v/>
      </c>
      <c r="G664" s="3" t="str">
        <f>IF(バッグ!H36="","",バッグ!H36)</f>
        <v/>
      </c>
      <c r="H664" s="3" t="str">
        <f>IF(バッグ!I36="","",バッグ!I36)</f>
        <v>≪メイン≫：　≪内ポケット≫：　≪外ポケット≫：</v>
      </c>
      <c r="I664" s="3" t="str">
        <f>IF(バッグ!M36="","",バッグ!M36)</f>
        <v/>
      </c>
      <c r="J664" s="3" t="str">
        <f>IF(バッグ!N36="","",バッグ!N36)</f>
        <v/>
      </c>
      <c r="K664" s="3" t="str">
        <f>IF(バッグ!O36="","",バッグ!O36)</f>
        <v/>
      </c>
      <c r="L664" s="69" t="s">
        <v>80</v>
      </c>
      <c r="M664" s="69" t="s">
        <v>19</v>
      </c>
      <c r="N664" s="69" t="s">
        <v>20</v>
      </c>
      <c r="O664" s="69" t="s">
        <v>21</v>
      </c>
      <c r="P664" s="4" t="s">
        <v>3036</v>
      </c>
      <c r="Q664" s="4" t="s">
        <v>3038</v>
      </c>
      <c r="R664" s="69" t="s">
        <v>22</v>
      </c>
      <c r="S664" s="69" t="s">
        <v>23</v>
      </c>
      <c r="T664" s="69" t="s">
        <v>22</v>
      </c>
      <c r="U664" s="69" t="s">
        <v>24</v>
      </c>
      <c r="V664" s="69" t="s">
        <v>25</v>
      </c>
      <c r="W664" s="69" t="s">
        <v>26</v>
      </c>
      <c r="X664" s="3" t="str">
        <f>バッグ!AE36</f>
        <v>縦幅：約cm　横幅：約cm　マチ幅：約cm　持ち手：約cm  ショルダーベルト：約cm</v>
      </c>
      <c r="Y664" s="69" t="s">
        <v>28</v>
      </c>
      <c r="Z664" s="69" t="s">
        <v>29</v>
      </c>
      <c r="AA664" s="4"/>
      <c r="AB664" s="4"/>
      <c r="AC664" s="4"/>
      <c r="AD664" s="70"/>
      <c r="AE664" s="70">
        <f>バッグ!AJ36</f>
        <v>0</v>
      </c>
      <c r="AF664" s="70" t="str">
        <f>バッグ!W36</f>
        <v>通常</v>
      </c>
      <c r="AG664" s="70">
        <v>0</v>
      </c>
      <c r="AH664" s="9">
        <f>バッグ!AH36</f>
        <v>0</v>
      </c>
      <c r="AI664">
        <v>1</v>
      </c>
      <c r="AJ664">
        <f>バッグ!Z36</f>
        <v>0</v>
      </c>
    </row>
    <row r="665" spans="1:36" ht="13.5" hidden="1" customHeight="1">
      <c r="A665" s="3" t="str">
        <f>IF(バッグ!A37="","",バッグ!A37)</f>
        <v/>
      </c>
      <c r="B665" s="68" t="str">
        <f>IF(バッグ!B37="","",バッグ!B37)</f>
        <v/>
      </c>
      <c r="C665" s="3" t="str">
        <f>IF(バッグ!C37="","",バッグ!C37)</f>
        <v>◇ E</v>
      </c>
      <c r="D665" s="3" t="str">
        <f>IF(バッグ!E37="","",バッグ!E37)</f>
        <v>無</v>
      </c>
      <c r="E665" s="3" t="str">
        <f>IF(バッグ!AF37="","",バッグ!AF37)</f>
        <v>ベースB</v>
      </c>
      <c r="F665" s="3" t="str">
        <f>IF(バッグ!G37="","",バッグ!G37)</f>
        <v/>
      </c>
      <c r="G665" s="3" t="str">
        <f>IF(バッグ!H37="","",バッグ!H37)</f>
        <v/>
      </c>
      <c r="H665" s="3" t="str">
        <f>IF(バッグ!I37="","",バッグ!I37)</f>
        <v>≪メイン≫：　≪内ポケット≫：　≪外ポケット≫：</v>
      </c>
      <c r="I665" s="3" t="str">
        <f>IF(バッグ!M37="","",バッグ!M37)</f>
        <v/>
      </c>
      <c r="J665" s="3" t="str">
        <f>IF(バッグ!N37="","",バッグ!N37)</f>
        <v/>
      </c>
      <c r="K665" s="3" t="str">
        <f>IF(バッグ!O37="","",バッグ!O37)</f>
        <v/>
      </c>
      <c r="L665" s="69" t="s">
        <v>80</v>
      </c>
      <c r="M665" s="69" t="s">
        <v>19</v>
      </c>
      <c r="N665" s="69" t="s">
        <v>20</v>
      </c>
      <c r="O665" s="69" t="s">
        <v>21</v>
      </c>
      <c r="P665" s="4" t="s">
        <v>3036</v>
      </c>
      <c r="Q665" s="4" t="s">
        <v>3038</v>
      </c>
      <c r="R665" s="69" t="s">
        <v>22</v>
      </c>
      <c r="S665" s="69" t="s">
        <v>23</v>
      </c>
      <c r="T665" s="69" t="s">
        <v>22</v>
      </c>
      <c r="U665" s="69" t="s">
        <v>24</v>
      </c>
      <c r="V665" s="69" t="s">
        <v>25</v>
      </c>
      <c r="W665" s="69" t="s">
        <v>26</v>
      </c>
      <c r="X665" s="3" t="str">
        <f>バッグ!AE37</f>
        <v>縦幅：約cm　横幅：約cm　マチ幅：約cm　持ち手：約cm  ショルダーベルト：約cm</v>
      </c>
      <c r="Y665" s="69" t="s">
        <v>28</v>
      </c>
      <c r="Z665" s="69" t="s">
        <v>29</v>
      </c>
      <c r="AA665" s="4"/>
      <c r="AB665" s="4"/>
      <c r="AC665" s="4"/>
      <c r="AD665" s="70"/>
      <c r="AE665" s="70">
        <f>バッグ!AJ37</f>
        <v>0</v>
      </c>
      <c r="AF665" s="70" t="str">
        <f>バッグ!W37</f>
        <v>通常</v>
      </c>
      <c r="AG665" s="70">
        <v>0</v>
      </c>
      <c r="AH665" s="9">
        <f>バッグ!AH37</f>
        <v>0</v>
      </c>
      <c r="AI665">
        <v>1</v>
      </c>
      <c r="AJ665">
        <f>バッグ!Z37</f>
        <v>0</v>
      </c>
    </row>
    <row r="666" spans="1:36" ht="13.5" hidden="1" customHeight="1">
      <c r="A666" s="3" t="str">
        <f>IF(バッグ!A38="","",バッグ!A38)</f>
        <v/>
      </c>
      <c r="B666" s="68" t="str">
        <f>IF(バッグ!B38="","",バッグ!B38)</f>
        <v/>
      </c>
      <c r="C666" s="3" t="str">
        <f>IF(バッグ!C38="","",バッグ!C38)</f>
        <v>◇ E</v>
      </c>
      <c r="D666" s="3" t="str">
        <f>IF(バッグ!E38="","",バッグ!E38)</f>
        <v>無</v>
      </c>
      <c r="E666" s="3" t="str">
        <f>IF(バッグ!AF38="","",バッグ!AF38)</f>
        <v>ベースB</v>
      </c>
      <c r="F666" s="3" t="str">
        <f>IF(バッグ!G38="","",バッグ!G38)</f>
        <v/>
      </c>
      <c r="G666" s="3" t="str">
        <f>IF(バッグ!H38="","",バッグ!H38)</f>
        <v/>
      </c>
      <c r="H666" s="3" t="str">
        <f>IF(バッグ!I38="","",バッグ!I38)</f>
        <v>≪メイン≫：　≪内ポケット≫：　≪外ポケット≫：</v>
      </c>
      <c r="I666" s="3" t="str">
        <f>IF(バッグ!M38="","",バッグ!M38)</f>
        <v/>
      </c>
      <c r="J666" s="3" t="str">
        <f>IF(バッグ!N38="","",バッグ!N38)</f>
        <v/>
      </c>
      <c r="K666" s="3" t="str">
        <f>IF(バッグ!O38="","",バッグ!O38)</f>
        <v/>
      </c>
      <c r="L666" s="69" t="s">
        <v>80</v>
      </c>
      <c r="M666" s="69" t="s">
        <v>19</v>
      </c>
      <c r="N666" s="69" t="s">
        <v>20</v>
      </c>
      <c r="O666" s="69" t="s">
        <v>21</v>
      </c>
      <c r="P666" s="4" t="s">
        <v>3036</v>
      </c>
      <c r="Q666" s="4" t="s">
        <v>3038</v>
      </c>
      <c r="R666" s="69" t="s">
        <v>22</v>
      </c>
      <c r="S666" s="69" t="s">
        <v>23</v>
      </c>
      <c r="T666" s="69" t="s">
        <v>22</v>
      </c>
      <c r="U666" s="69" t="s">
        <v>24</v>
      </c>
      <c r="V666" s="69" t="s">
        <v>25</v>
      </c>
      <c r="W666" s="69" t="s">
        <v>26</v>
      </c>
      <c r="X666" s="3" t="str">
        <f>バッグ!AE38</f>
        <v>縦幅：約cm　横幅：約cm　マチ幅：約cm　持ち手：約cm  ショルダーベルト：約cm</v>
      </c>
      <c r="Y666" s="69" t="s">
        <v>28</v>
      </c>
      <c r="Z666" s="69" t="s">
        <v>29</v>
      </c>
      <c r="AA666" s="4"/>
      <c r="AB666" s="4"/>
      <c r="AC666" s="4"/>
      <c r="AD666" s="70"/>
      <c r="AE666" s="70">
        <f>バッグ!AJ38</f>
        <v>0</v>
      </c>
      <c r="AF666" s="70" t="str">
        <f>バッグ!W38</f>
        <v>通常</v>
      </c>
      <c r="AG666" s="70">
        <v>0</v>
      </c>
      <c r="AH666" s="9">
        <f>バッグ!AH38</f>
        <v>0</v>
      </c>
      <c r="AI666">
        <v>1</v>
      </c>
      <c r="AJ666">
        <f>バッグ!Z38</f>
        <v>0</v>
      </c>
    </row>
    <row r="667" spans="1:36" ht="13.5" hidden="1" customHeight="1">
      <c r="A667" s="3" t="str">
        <f>IF(バッグ!A39="","",バッグ!A39)</f>
        <v/>
      </c>
      <c r="B667" s="68" t="str">
        <f>IF(バッグ!B39="","",バッグ!B39)</f>
        <v/>
      </c>
      <c r="C667" s="3" t="str">
        <f>IF(バッグ!C39="","",バッグ!C39)</f>
        <v>◇ E</v>
      </c>
      <c r="D667" s="3" t="str">
        <f>IF(バッグ!E39="","",バッグ!E39)</f>
        <v>無</v>
      </c>
      <c r="E667" s="3" t="str">
        <f>IF(バッグ!AF39="","",バッグ!AF39)</f>
        <v>ベースB</v>
      </c>
      <c r="F667" s="3" t="str">
        <f>IF(バッグ!G39="","",バッグ!G39)</f>
        <v/>
      </c>
      <c r="G667" s="3" t="str">
        <f>IF(バッグ!H39="","",バッグ!H39)</f>
        <v/>
      </c>
      <c r="H667" s="3" t="str">
        <f>IF(バッグ!I39="","",バッグ!I39)</f>
        <v>≪メイン≫：　≪内ポケット≫：　≪外ポケット≫：</v>
      </c>
      <c r="I667" s="3" t="str">
        <f>IF(バッグ!M39="","",バッグ!M39)</f>
        <v/>
      </c>
      <c r="J667" s="3" t="str">
        <f>IF(バッグ!N39="","",バッグ!N39)</f>
        <v/>
      </c>
      <c r="K667" s="3" t="str">
        <f>IF(バッグ!O39="","",バッグ!O39)</f>
        <v/>
      </c>
      <c r="L667" s="69" t="s">
        <v>80</v>
      </c>
      <c r="M667" s="69" t="s">
        <v>19</v>
      </c>
      <c r="N667" s="69" t="s">
        <v>20</v>
      </c>
      <c r="O667" s="69" t="s">
        <v>21</v>
      </c>
      <c r="P667" s="4" t="s">
        <v>3036</v>
      </c>
      <c r="Q667" s="4" t="s">
        <v>3038</v>
      </c>
      <c r="R667" s="69" t="s">
        <v>22</v>
      </c>
      <c r="S667" s="69" t="s">
        <v>23</v>
      </c>
      <c r="T667" s="69" t="s">
        <v>22</v>
      </c>
      <c r="U667" s="69" t="s">
        <v>24</v>
      </c>
      <c r="V667" s="69" t="s">
        <v>25</v>
      </c>
      <c r="W667" s="69" t="s">
        <v>26</v>
      </c>
      <c r="X667" s="3" t="str">
        <f>バッグ!AE39</f>
        <v>縦幅：約cm　横幅：約cm　マチ幅：約cm　持ち手：約cm  ショルダーベルト：約cm</v>
      </c>
      <c r="Y667" s="69" t="s">
        <v>28</v>
      </c>
      <c r="Z667" s="69" t="s">
        <v>29</v>
      </c>
      <c r="AA667" s="4"/>
      <c r="AB667" s="4"/>
      <c r="AC667" s="4"/>
      <c r="AD667" s="70"/>
      <c r="AE667" s="70">
        <f>バッグ!AJ39</f>
        <v>0</v>
      </c>
      <c r="AF667" s="70" t="str">
        <f>バッグ!W39</f>
        <v>通常</v>
      </c>
      <c r="AG667" s="70">
        <v>0</v>
      </c>
      <c r="AH667" s="9">
        <f>バッグ!AH39</f>
        <v>0</v>
      </c>
      <c r="AI667">
        <v>1</v>
      </c>
      <c r="AJ667">
        <f>バッグ!Z39</f>
        <v>0</v>
      </c>
    </row>
    <row r="668" spans="1:36" ht="13.5" hidden="1" customHeight="1">
      <c r="A668" s="3" t="str">
        <f>IF(バッグ!A40="","",バッグ!A40)</f>
        <v/>
      </c>
      <c r="B668" s="68" t="str">
        <f>IF(バッグ!B40="","",バッグ!B40)</f>
        <v/>
      </c>
      <c r="C668" s="3" t="str">
        <f>IF(バッグ!C40="","",バッグ!C40)</f>
        <v>◇ E</v>
      </c>
      <c r="D668" s="3" t="str">
        <f>IF(バッグ!E40="","",バッグ!E40)</f>
        <v>無</v>
      </c>
      <c r="E668" s="3" t="str">
        <f>IF(バッグ!AF40="","",バッグ!AF40)</f>
        <v>ベースB</v>
      </c>
      <c r="F668" s="3" t="str">
        <f>IF(バッグ!G40="","",バッグ!G40)</f>
        <v/>
      </c>
      <c r="G668" s="3" t="str">
        <f>IF(バッグ!H40="","",バッグ!H40)</f>
        <v/>
      </c>
      <c r="H668" s="3" t="str">
        <f>IF(バッグ!I40="","",バッグ!I40)</f>
        <v>≪メイン≫：　≪内ポケット≫：　≪外ポケット≫：</v>
      </c>
      <c r="I668" s="3" t="str">
        <f>IF(バッグ!M40="","",バッグ!M40)</f>
        <v/>
      </c>
      <c r="J668" s="3" t="str">
        <f>IF(バッグ!N40="","",バッグ!N40)</f>
        <v/>
      </c>
      <c r="K668" s="3" t="str">
        <f>IF(バッグ!O40="","",バッグ!O40)</f>
        <v/>
      </c>
      <c r="L668" s="69" t="s">
        <v>80</v>
      </c>
      <c r="M668" s="69" t="s">
        <v>19</v>
      </c>
      <c r="N668" s="69" t="s">
        <v>20</v>
      </c>
      <c r="O668" s="69" t="s">
        <v>21</v>
      </c>
      <c r="P668" s="4" t="s">
        <v>3036</v>
      </c>
      <c r="Q668" s="4" t="s">
        <v>3038</v>
      </c>
      <c r="R668" s="69" t="s">
        <v>22</v>
      </c>
      <c r="S668" s="69" t="s">
        <v>23</v>
      </c>
      <c r="T668" s="69" t="s">
        <v>22</v>
      </c>
      <c r="U668" s="69" t="s">
        <v>24</v>
      </c>
      <c r="V668" s="69" t="s">
        <v>25</v>
      </c>
      <c r="W668" s="69" t="s">
        <v>26</v>
      </c>
      <c r="X668" s="3" t="str">
        <f>バッグ!AE40</f>
        <v>縦幅：約cm　横幅：約cm　マチ幅：約cm　持ち手：約cm  ショルダーベルト：約cm</v>
      </c>
      <c r="Y668" s="69" t="s">
        <v>28</v>
      </c>
      <c r="Z668" s="69" t="s">
        <v>29</v>
      </c>
      <c r="AA668" s="4"/>
      <c r="AB668" s="4"/>
      <c r="AC668" s="4"/>
      <c r="AD668" s="70"/>
      <c r="AE668" s="70">
        <f>バッグ!AJ40</f>
        <v>0</v>
      </c>
      <c r="AF668" s="70" t="str">
        <f>バッグ!W40</f>
        <v>通常</v>
      </c>
      <c r="AG668" s="70">
        <v>0</v>
      </c>
      <c r="AH668" s="9">
        <f>バッグ!AH40</f>
        <v>0</v>
      </c>
      <c r="AI668">
        <v>1</v>
      </c>
      <c r="AJ668">
        <f>バッグ!Z40</f>
        <v>0</v>
      </c>
    </row>
    <row r="669" spans="1:36" ht="13.5" hidden="1" customHeight="1">
      <c r="A669" s="3" t="str">
        <f>IF(バッグ!A41="","",バッグ!A41)</f>
        <v/>
      </c>
      <c r="B669" s="68" t="str">
        <f>IF(バッグ!B41="","",バッグ!B41)</f>
        <v/>
      </c>
      <c r="C669" s="3" t="str">
        <f>IF(バッグ!C41="","",バッグ!C41)</f>
        <v>◇ E</v>
      </c>
      <c r="D669" s="3" t="str">
        <f>IF(バッグ!E41="","",バッグ!E41)</f>
        <v>無</v>
      </c>
      <c r="E669" s="3" t="str">
        <f>IF(バッグ!AF41="","",バッグ!AF41)</f>
        <v>ベースB</v>
      </c>
      <c r="F669" s="3" t="str">
        <f>IF(バッグ!G41="","",バッグ!G41)</f>
        <v/>
      </c>
      <c r="G669" s="3" t="str">
        <f>IF(バッグ!H41="","",バッグ!H41)</f>
        <v/>
      </c>
      <c r="H669" s="3" t="str">
        <f>IF(バッグ!I41="","",バッグ!I41)</f>
        <v>≪メイン≫：　≪内ポケット≫：　≪外ポケット≫：</v>
      </c>
      <c r="I669" s="3" t="str">
        <f>IF(バッグ!M41="","",バッグ!M41)</f>
        <v/>
      </c>
      <c r="J669" s="3" t="str">
        <f>IF(バッグ!N41="","",バッグ!N41)</f>
        <v/>
      </c>
      <c r="K669" s="3" t="str">
        <f>IF(バッグ!O41="","",バッグ!O41)</f>
        <v/>
      </c>
      <c r="L669" s="69" t="s">
        <v>80</v>
      </c>
      <c r="M669" s="69" t="s">
        <v>19</v>
      </c>
      <c r="N669" s="69" t="s">
        <v>20</v>
      </c>
      <c r="O669" s="69" t="s">
        <v>21</v>
      </c>
      <c r="P669" s="4" t="s">
        <v>3036</v>
      </c>
      <c r="Q669" s="4" t="s">
        <v>3038</v>
      </c>
      <c r="R669" s="69" t="s">
        <v>22</v>
      </c>
      <c r="S669" s="69" t="s">
        <v>23</v>
      </c>
      <c r="T669" s="69" t="s">
        <v>22</v>
      </c>
      <c r="U669" s="69" t="s">
        <v>24</v>
      </c>
      <c r="V669" s="69" t="s">
        <v>25</v>
      </c>
      <c r="W669" s="69" t="s">
        <v>26</v>
      </c>
      <c r="X669" s="3" t="str">
        <f>バッグ!AE41</f>
        <v>縦幅：約cm　横幅：約cm　マチ幅：約cm　持ち手：約cm  ショルダーベルト：約cm</v>
      </c>
      <c r="Y669" s="69" t="s">
        <v>28</v>
      </c>
      <c r="Z669" s="69" t="s">
        <v>29</v>
      </c>
      <c r="AA669" s="4"/>
      <c r="AB669" s="4"/>
      <c r="AC669" s="4"/>
      <c r="AD669" s="70"/>
      <c r="AE669" s="70">
        <f>バッグ!AJ41</f>
        <v>0</v>
      </c>
      <c r="AF669" s="70" t="str">
        <f>バッグ!W41</f>
        <v>通常</v>
      </c>
      <c r="AG669" s="70">
        <v>0</v>
      </c>
      <c r="AH669" s="9">
        <f>バッグ!AH41</f>
        <v>0</v>
      </c>
      <c r="AI669">
        <v>1</v>
      </c>
      <c r="AJ669">
        <f>バッグ!Z41</f>
        <v>0</v>
      </c>
    </row>
    <row r="670" spans="1:36" ht="13.5" hidden="1" customHeight="1">
      <c r="A670" s="3" t="str">
        <f>IF(バッグ!A42="","",バッグ!A42)</f>
        <v/>
      </c>
      <c r="B670" s="68" t="str">
        <f>IF(バッグ!B42="","",バッグ!B42)</f>
        <v/>
      </c>
      <c r="C670" s="3" t="str">
        <f>IF(バッグ!C42="","",バッグ!C42)</f>
        <v>◇ E</v>
      </c>
      <c r="D670" s="3" t="str">
        <f>IF(バッグ!E42="","",バッグ!E42)</f>
        <v>無</v>
      </c>
      <c r="E670" s="3" t="str">
        <f>IF(バッグ!AF42="","",バッグ!AF42)</f>
        <v>ベースB</v>
      </c>
      <c r="F670" s="3" t="str">
        <f>IF(バッグ!G42="","",バッグ!G42)</f>
        <v/>
      </c>
      <c r="G670" s="3" t="str">
        <f>IF(バッグ!H42="","",バッグ!H42)</f>
        <v/>
      </c>
      <c r="H670" s="3" t="str">
        <f>IF(バッグ!I42="","",バッグ!I42)</f>
        <v>≪メイン≫：　≪内ポケット≫：　≪外ポケット≫：</v>
      </c>
      <c r="I670" s="3" t="str">
        <f>IF(バッグ!M42="","",バッグ!M42)</f>
        <v/>
      </c>
      <c r="J670" s="3" t="str">
        <f>IF(バッグ!N42="","",バッグ!N42)</f>
        <v/>
      </c>
      <c r="K670" s="3" t="str">
        <f>IF(バッグ!O42="","",バッグ!O42)</f>
        <v/>
      </c>
      <c r="L670" s="69" t="s">
        <v>80</v>
      </c>
      <c r="M670" s="69" t="s">
        <v>19</v>
      </c>
      <c r="N670" s="69" t="s">
        <v>20</v>
      </c>
      <c r="O670" s="69" t="s">
        <v>21</v>
      </c>
      <c r="P670" s="4" t="s">
        <v>3036</v>
      </c>
      <c r="Q670" s="4" t="s">
        <v>3038</v>
      </c>
      <c r="R670" s="69" t="s">
        <v>22</v>
      </c>
      <c r="S670" s="69" t="s">
        <v>23</v>
      </c>
      <c r="T670" s="69" t="s">
        <v>22</v>
      </c>
      <c r="U670" s="69" t="s">
        <v>24</v>
      </c>
      <c r="V670" s="69" t="s">
        <v>25</v>
      </c>
      <c r="W670" s="69" t="s">
        <v>26</v>
      </c>
      <c r="X670" s="3" t="str">
        <f>バッグ!AE42</f>
        <v>縦幅：約cm　横幅：約cm　マチ幅：約cm　持ち手：約cm  ショルダーベルト：約cm</v>
      </c>
      <c r="Y670" s="69" t="s">
        <v>28</v>
      </c>
      <c r="Z670" s="69" t="s">
        <v>29</v>
      </c>
      <c r="AA670" s="4"/>
      <c r="AB670" s="4"/>
      <c r="AC670" s="4"/>
      <c r="AD670" s="70"/>
      <c r="AE670" s="70">
        <f>バッグ!AJ42</f>
        <v>0</v>
      </c>
      <c r="AF670" s="70" t="str">
        <f>バッグ!W42</f>
        <v>通常</v>
      </c>
      <c r="AG670" s="70">
        <v>0</v>
      </c>
      <c r="AH670" s="9">
        <f>バッグ!AH42</f>
        <v>0</v>
      </c>
      <c r="AI670">
        <v>1</v>
      </c>
      <c r="AJ670">
        <f>バッグ!Z42</f>
        <v>0</v>
      </c>
    </row>
    <row r="671" spans="1:36" ht="13.5" hidden="1" customHeight="1">
      <c r="A671" s="3" t="str">
        <f>IF(バッグ!A43="","",バッグ!A43)</f>
        <v/>
      </c>
      <c r="B671" s="68" t="str">
        <f>IF(バッグ!B43="","",バッグ!B43)</f>
        <v/>
      </c>
      <c r="C671" s="3" t="str">
        <f>IF(バッグ!C43="","",バッグ!C43)</f>
        <v>◇ E</v>
      </c>
      <c r="D671" s="3" t="str">
        <f>IF(バッグ!E43="","",バッグ!E43)</f>
        <v>無</v>
      </c>
      <c r="E671" s="3" t="str">
        <f>IF(バッグ!AF43="","",バッグ!AF43)</f>
        <v>ベースB</v>
      </c>
      <c r="F671" s="3" t="str">
        <f>IF(バッグ!G43="","",バッグ!G43)</f>
        <v/>
      </c>
      <c r="G671" s="3" t="str">
        <f>IF(バッグ!H43="","",バッグ!H43)</f>
        <v/>
      </c>
      <c r="H671" s="3" t="str">
        <f>IF(バッグ!I43="","",バッグ!I43)</f>
        <v>≪メイン≫：　≪内ポケット≫：　≪外ポケット≫：</v>
      </c>
      <c r="I671" s="3" t="str">
        <f>IF(バッグ!M43="","",バッグ!M43)</f>
        <v/>
      </c>
      <c r="J671" s="3" t="str">
        <f>IF(バッグ!N43="","",バッグ!N43)</f>
        <v/>
      </c>
      <c r="K671" s="3" t="str">
        <f>IF(バッグ!O43="","",バッグ!O43)</f>
        <v/>
      </c>
      <c r="L671" s="69" t="s">
        <v>80</v>
      </c>
      <c r="M671" s="69" t="s">
        <v>19</v>
      </c>
      <c r="N671" s="69" t="s">
        <v>20</v>
      </c>
      <c r="O671" s="69" t="s">
        <v>21</v>
      </c>
      <c r="P671" s="4" t="s">
        <v>3036</v>
      </c>
      <c r="Q671" s="4" t="s">
        <v>3038</v>
      </c>
      <c r="R671" s="69" t="s">
        <v>22</v>
      </c>
      <c r="S671" s="69" t="s">
        <v>23</v>
      </c>
      <c r="T671" s="69" t="s">
        <v>22</v>
      </c>
      <c r="U671" s="69" t="s">
        <v>24</v>
      </c>
      <c r="V671" s="69" t="s">
        <v>25</v>
      </c>
      <c r="W671" s="69" t="s">
        <v>26</v>
      </c>
      <c r="X671" s="3" t="str">
        <f>バッグ!AE43</f>
        <v>縦幅：約cm　横幅：約cm　マチ幅：約cm　持ち手：約cm  ショルダーベルト：約cm</v>
      </c>
      <c r="Y671" s="69" t="s">
        <v>28</v>
      </c>
      <c r="Z671" s="69" t="s">
        <v>29</v>
      </c>
      <c r="AA671" s="4"/>
      <c r="AB671" s="4"/>
      <c r="AC671" s="4"/>
      <c r="AD671" s="70"/>
      <c r="AE671" s="70">
        <f>バッグ!AJ43</f>
        <v>0</v>
      </c>
      <c r="AF671" s="70" t="str">
        <f>バッグ!W43</f>
        <v>通常</v>
      </c>
      <c r="AG671" s="70">
        <v>0</v>
      </c>
      <c r="AH671" s="9">
        <f>バッグ!AH43</f>
        <v>0</v>
      </c>
      <c r="AI671">
        <v>1</v>
      </c>
      <c r="AJ671">
        <f>バッグ!Z43</f>
        <v>0</v>
      </c>
    </row>
    <row r="672" spans="1:36" ht="13.5" hidden="1" customHeight="1">
      <c r="A672" s="3" t="str">
        <f>IF(バッグ!A44="","",バッグ!A44)</f>
        <v/>
      </c>
      <c r="B672" s="68" t="str">
        <f>IF(バッグ!B44="","",バッグ!B44)</f>
        <v/>
      </c>
      <c r="C672" s="3" t="str">
        <f>IF(バッグ!C44="","",バッグ!C44)</f>
        <v>◇ E</v>
      </c>
      <c r="D672" s="3" t="str">
        <f>IF(バッグ!E44="","",バッグ!E44)</f>
        <v>無</v>
      </c>
      <c r="E672" s="3" t="str">
        <f>IF(バッグ!AF44="","",バッグ!AF44)</f>
        <v>ベースB</v>
      </c>
      <c r="F672" s="3" t="str">
        <f>IF(バッグ!G44="","",バッグ!G44)</f>
        <v/>
      </c>
      <c r="G672" s="3" t="str">
        <f>IF(バッグ!H44="","",バッグ!H44)</f>
        <v/>
      </c>
      <c r="H672" s="3" t="str">
        <f>IF(バッグ!I44="","",バッグ!I44)</f>
        <v>≪メイン≫：　≪内ポケット≫：　≪外ポケット≫：</v>
      </c>
      <c r="I672" s="3" t="str">
        <f>IF(バッグ!M44="","",バッグ!M44)</f>
        <v/>
      </c>
      <c r="J672" s="3" t="str">
        <f>IF(バッグ!N44="","",バッグ!N44)</f>
        <v/>
      </c>
      <c r="K672" s="3" t="str">
        <f>IF(バッグ!O44="","",バッグ!O44)</f>
        <v/>
      </c>
      <c r="L672" s="69" t="s">
        <v>80</v>
      </c>
      <c r="M672" s="69" t="s">
        <v>19</v>
      </c>
      <c r="N672" s="69" t="s">
        <v>20</v>
      </c>
      <c r="O672" s="69" t="s">
        <v>21</v>
      </c>
      <c r="P672" s="4" t="s">
        <v>3036</v>
      </c>
      <c r="Q672" s="4" t="s">
        <v>3038</v>
      </c>
      <c r="R672" s="69" t="s">
        <v>22</v>
      </c>
      <c r="S672" s="69" t="s">
        <v>23</v>
      </c>
      <c r="T672" s="69" t="s">
        <v>22</v>
      </c>
      <c r="U672" s="69" t="s">
        <v>24</v>
      </c>
      <c r="V672" s="69" t="s">
        <v>25</v>
      </c>
      <c r="W672" s="69" t="s">
        <v>26</v>
      </c>
      <c r="X672" s="3" t="str">
        <f>バッグ!AE44</f>
        <v>縦幅：約cm　横幅：約cm　マチ幅：約cm　持ち手：約cm  ショルダーベルト：約cm</v>
      </c>
      <c r="Y672" s="69" t="s">
        <v>28</v>
      </c>
      <c r="Z672" s="69" t="s">
        <v>29</v>
      </c>
      <c r="AA672" s="4"/>
      <c r="AB672" s="4"/>
      <c r="AC672" s="4"/>
      <c r="AD672" s="70"/>
      <c r="AE672" s="70">
        <f>バッグ!AJ44</f>
        <v>0</v>
      </c>
      <c r="AF672" s="70" t="str">
        <f>バッグ!W44</f>
        <v>通常</v>
      </c>
      <c r="AG672" s="70">
        <v>0</v>
      </c>
      <c r="AH672" s="9">
        <f>バッグ!AH44</f>
        <v>0</v>
      </c>
      <c r="AI672">
        <v>1</v>
      </c>
      <c r="AJ672">
        <f>バッグ!Z44</f>
        <v>0</v>
      </c>
    </row>
    <row r="673" spans="1:36" ht="13.5" hidden="1" customHeight="1">
      <c r="A673" s="3" t="str">
        <f>IF(バッグ!A45="","",バッグ!A45)</f>
        <v/>
      </c>
      <c r="B673" s="68" t="str">
        <f>IF(バッグ!B45="","",バッグ!B45)</f>
        <v/>
      </c>
      <c r="C673" s="3" t="str">
        <f>IF(バッグ!C45="","",バッグ!C45)</f>
        <v>◇ E</v>
      </c>
      <c r="D673" s="3" t="str">
        <f>IF(バッグ!E45="","",バッグ!E45)</f>
        <v>無</v>
      </c>
      <c r="E673" s="3" t="str">
        <f>IF(バッグ!AF45="","",バッグ!AF45)</f>
        <v>ベースB</v>
      </c>
      <c r="F673" s="3" t="str">
        <f>IF(バッグ!G45="","",バッグ!G45)</f>
        <v/>
      </c>
      <c r="G673" s="3" t="str">
        <f>IF(バッグ!H45="","",バッグ!H45)</f>
        <v/>
      </c>
      <c r="H673" s="3" t="str">
        <f>IF(バッグ!I45="","",バッグ!I45)</f>
        <v>≪メイン≫：　≪内ポケット≫：　≪外ポケット≫：</v>
      </c>
      <c r="I673" s="3" t="str">
        <f>IF(バッグ!M45="","",バッグ!M45)</f>
        <v/>
      </c>
      <c r="J673" s="3" t="str">
        <f>IF(バッグ!N45="","",バッグ!N45)</f>
        <v/>
      </c>
      <c r="K673" s="3" t="str">
        <f>IF(バッグ!O45="","",バッグ!O45)</f>
        <v/>
      </c>
      <c r="L673" s="69" t="s">
        <v>80</v>
      </c>
      <c r="M673" s="69" t="s">
        <v>19</v>
      </c>
      <c r="N673" s="69" t="s">
        <v>20</v>
      </c>
      <c r="O673" s="69" t="s">
        <v>21</v>
      </c>
      <c r="P673" s="4" t="s">
        <v>3036</v>
      </c>
      <c r="Q673" s="4" t="s">
        <v>3038</v>
      </c>
      <c r="R673" s="69" t="s">
        <v>22</v>
      </c>
      <c r="S673" s="69" t="s">
        <v>23</v>
      </c>
      <c r="T673" s="69" t="s">
        <v>22</v>
      </c>
      <c r="U673" s="69" t="s">
        <v>24</v>
      </c>
      <c r="V673" s="69" t="s">
        <v>25</v>
      </c>
      <c r="W673" s="69" t="s">
        <v>26</v>
      </c>
      <c r="X673" s="3" t="str">
        <f>バッグ!AE45</f>
        <v>縦幅：約cm　横幅：約cm　マチ幅：約cm　持ち手：約cm  ショルダーベルト：約cm</v>
      </c>
      <c r="Y673" s="69" t="s">
        <v>28</v>
      </c>
      <c r="Z673" s="69" t="s">
        <v>29</v>
      </c>
      <c r="AA673" s="4"/>
      <c r="AB673" s="4"/>
      <c r="AC673" s="4"/>
      <c r="AD673" s="70"/>
      <c r="AE673" s="70">
        <f>バッグ!AJ45</f>
        <v>0</v>
      </c>
      <c r="AF673" s="70" t="str">
        <f>バッグ!W45</f>
        <v>通常</v>
      </c>
      <c r="AG673" s="70">
        <v>0</v>
      </c>
      <c r="AH673" s="9">
        <f>バッグ!AH45</f>
        <v>0</v>
      </c>
      <c r="AI673">
        <v>1</v>
      </c>
      <c r="AJ673">
        <f>バッグ!Z45</f>
        <v>0</v>
      </c>
    </row>
    <row r="674" spans="1:36" ht="13.5" hidden="1" customHeight="1">
      <c r="A674" s="3" t="str">
        <f>IF(バッグ!A46="","",バッグ!A46)</f>
        <v/>
      </c>
      <c r="B674" s="68" t="str">
        <f>IF(バッグ!B46="","",バッグ!B46)</f>
        <v/>
      </c>
      <c r="C674" s="3" t="str">
        <f>IF(バッグ!C46="","",バッグ!C46)</f>
        <v>◇ E</v>
      </c>
      <c r="D674" s="3" t="str">
        <f>IF(バッグ!E46="","",バッグ!E46)</f>
        <v>無</v>
      </c>
      <c r="E674" s="3" t="str">
        <f>IF(バッグ!AF46="","",バッグ!AF46)</f>
        <v>ベースB</v>
      </c>
      <c r="F674" s="3" t="str">
        <f>IF(バッグ!G46="","",バッグ!G46)</f>
        <v/>
      </c>
      <c r="G674" s="3" t="str">
        <f>IF(バッグ!H46="","",バッグ!H46)</f>
        <v/>
      </c>
      <c r="H674" s="3" t="str">
        <f>IF(バッグ!I46="","",バッグ!I46)</f>
        <v>≪メイン≫：　≪内ポケット≫：　≪外ポケット≫：</v>
      </c>
      <c r="I674" s="3" t="str">
        <f>IF(バッグ!M46="","",バッグ!M46)</f>
        <v/>
      </c>
      <c r="J674" s="3" t="str">
        <f>IF(バッグ!N46="","",バッグ!N46)</f>
        <v/>
      </c>
      <c r="K674" s="3" t="str">
        <f>IF(バッグ!O46="","",バッグ!O46)</f>
        <v/>
      </c>
      <c r="L674" s="69" t="s">
        <v>80</v>
      </c>
      <c r="M674" s="69" t="s">
        <v>19</v>
      </c>
      <c r="N674" s="69" t="s">
        <v>20</v>
      </c>
      <c r="O674" s="69" t="s">
        <v>21</v>
      </c>
      <c r="P674" s="4" t="s">
        <v>3036</v>
      </c>
      <c r="Q674" s="4" t="s">
        <v>3038</v>
      </c>
      <c r="R674" s="69" t="s">
        <v>22</v>
      </c>
      <c r="S674" s="69" t="s">
        <v>23</v>
      </c>
      <c r="T674" s="69" t="s">
        <v>22</v>
      </c>
      <c r="U674" s="69" t="s">
        <v>24</v>
      </c>
      <c r="V674" s="69" t="s">
        <v>25</v>
      </c>
      <c r="W674" s="69" t="s">
        <v>26</v>
      </c>
      <c r="X674" s="3" t="str">
        <f>バッグ!AE46</f>
        <v>縦幅：約cm　横幅：約cm　マチ幅：約cm　持ち手：約cm  ショルダーベルト：約cm</v>
      </c>
      <c r="Y674" s="69" t="s">
        <v>28</v>
      </c>
      <c r="Z674" s="69" t="s">
        <v>29</v>
      </c>
      <c r="AA674" s="4"/>
      <c r="AB674" s="4"/>
      <c r="AC674" s="4"/>
      <c r="AD674" s="70"/>
      <c r="AE674" s="70">
        <f>バッグ!AJ46</f>
        <v>0</v>
      </c>
      <c r="AF674" s="70" t="str">
        <f>バッグ!W46</f>
        <v>通常</v>
      </c>
      <c r="AG674" s="70">
        <v>0</v>
      </c>
      <c r="AH674" s="9">
        <f>バッグ!AH46</f>
        <v>0</v>
      </c>
      <c r="AI674">
        <v>1</v>
      </c>
      <c r="AJ674">
        <f>バッグ!Z46</f>
        <v>0</v>
      </c>
    </row>
    <row r="675" spans="1:36" ht="13.5" hidden="1" customHeight="1">
      <c r="A675" s="3" t="str">
        <f>IF(バッグ!A47="","",バッグ!A47)</f>
        <v/>
      </c>
      <c r="B675" s="68" t="str">
        <f>IF(バッグ!B47="","",バッグ!B47)</f>
        <v/>
      </c>
      <c r="C675" s="3" t="str">
        <f>IF(バッグ!C47="","",バッグ!C47)</f>
        <v>◇ E</v>
      </c>
      <c r="D675" s="3" t="str">
        <f>IF(バッグ!E47="","",バッグ!E47)</f>
        <v>無</v>
      </c>
      <c r="E675" s="3" t="str">
        <f>IF(バッグ!AF47="","",バッグ!AF47)</f>
        <v>ベースB</v>
      </c>
      <c r="F675" s="3" t="str">
        <f>IF(バッグ!G47="","",バッグ!G47)</f>
        <v/>
      </c>
      <c r="G675" s="3" t="str">
        <f>IF(バッグ!H47="","",バッグ!H47)</f>
        <v/>
      </c>
      <c r="H675" s="3" t="str">
        <f>IF(バッグ!I47="","",バッグ!I47)</f>
        <v>≪メイン≫：　≪内ポケット≫：　≪外ポケット≫：</v>
      </c>
      <c r="I675" s="3" t="str">
        <f>IF(バッグ!M47="","",バッグ!M47)</f>
        <v/>
      </c>
      <c r="J675" s="3" t="str">
        <f>IF(バッグ!N47="","",バッグ!N47)</f>
        <v/>
      </c>
      <c r="K675" s="3" t="str">
        <f>IF(バッグ!O47="","",バッグ!O47)</f>
        <v/>
      </c>
      <c r="L675" s="69" t="s">
        <v>80</v>
      </c>
      <c r="M675" s="69" t="s">
        <v>19</v>
      </c>
      <c r="N675" s="69" t="s">
        <v>20</v>
      </c>
      <c r="O675" s="69" t="s">
        <v>21</v>
      </c>
      <c r="P675" s="4" t="s">
        <v>3036</v>
      </c>
      <c r="Q675" s="4" t="s">
        <v>3038</v>
      </c>
      <c r="R675" s="69" t="s">
        <v>22</v>
      </c>
      <c r="S675" s="69" t="s">
        <v>23</v>
      </c>
      <c r="T675" s="69" t="s">
        <v>22</v>
      </c>
      <c r="U675" s="69" t="s">
        <v>24</v>
      </c>
      <c r="V675" s="69" t="s">
        <v>25</v>
      </c>
      <c r="W675" s="69" t="s">
        <v>26</v>
      </c>
      <c r="X675" s="3" t="str">
        <f>バッグ!AE47</f>
        <v>縦幅：約cm　横幅：約cm　マチ幅：約cm　持ち手：約cm  ショルダーベルト：約cm</v>
      </c>
      <c r="Y675" s="69" t="s">
        <v>28</v>
      </c>
      <c r="Z675" s="69" t="s">
        <v>29</v>
      </c>
      <c r="AA675" s="4"/>
      <c r="AB675" s="4"/>
      <c r="AC675" s="4"/>
      <c r="AD675" s="70"/>
      <c r="AE675" s="70">
        <f>バッグ!AJ47</f>
        <v>0</v>
      </c>
      <c r="AF675" s="70" t="str">
        <f>バッグ!W47</f>
        <v>通常</v>
      </c>
      <c r="AG675" s="70">
        <v>0</v>
      </c>
      <c r="AH675" s="9">
        <f>バッグ!AH47</f>
        <v>0</v>
      </c>
      <c r="AI675">
        <v>1</v>
      </c>
      <c r="AJ675">
        <f>バッグ!Z47</f>
        <v>0</v>
      </c>
    </row>
    <row r="676" spans="1:36" ht="13.5" hidden="1" customHeight="1">
      <c r="A676" s="3" t="str">
        <f>IF(バッグ!A48="","",バッグ!A48)</f>
        <v/>
      </c>
      <c r="B676" s="68" t="str">
        <f>IF(バッグ!B48="","",バッグ!B48)</f>
        <v/>
      </c>
      <c r="C676" s="3" t="str">
        <f>IF(バッグ!C48="","",バッグ!C48)</f>
        <v>◇ E</v>
      </c>
      <c r="D676" s="3" t="str">
        <f>IF(バッグ!E48="","",バッグ!E48)</f>
        <v>無</v>
      </c>
      <c r="E676" s="3" t="str">
        <f>IF(バッグ!AF48="","",バッグ!AF48)</f>
        <v>ベースB</v>
      </c>
      <c r="F676" s="3" t="str">
        <f>IF(バッグ!G48="","",バッグ!G48)</f>
        <v/>
      </c>
      <c r="G676" s="3" t="str">
        <f>IF(バッグ!H48="","",バッグ!H48)</f>
        <v/>
      </c>
      <c r="H676" s="3" t="str">
        <f>IF(バッグ!I48="","",バッグ!I48)</f>
        <v>≪メイン≫：　≪内ポケット≫：　≪外ポケット≫：</v>
      </c>
      <c r="I676" s="3" t="str">
        <f>IF(バッグ!M48="","",バッグ!M48)</f>
        <v/>
      </c>
      <c r="J676" s="3" t="str">
        <f>IF(バッグ!N48="","",バッグ!N48)</f>
        <v/>
      </c>
      <c r="K676" s="3" t="str">
        <f>IF(バッグ!O48="","",バッグ!O48)</f>
        <v/>
      </c>
      <c r="L676" s="69" t="s">
        <v>80</v>
      </c>
      <c r="M676" s="69" t="s">
        <v>19</v>
      </c>
      <c r="N676" s="69" t="s">
        <v>20</v>
      </c>
      <c r="O676" s="69" t="s">
        <v>21</v>
      </c>
      <c r="P676" s="4" t="s">
        <v>3036</v>
      </c>
      <c r="Q676" s="4" t="s">
        <v>3038</v>
      </c>
      <c r="R676" s="69" t="s">
        <v>22</v>
      </c>
      <c r="S676" s="69" t="s">
        <v>23</v>
      </c>
      <c r="T676" s="69" t="s">
        <v>22</v>
      </c>
      <c r="U676" s="69" t="s">
        <v>24</v>
      </c>
      <c r="V676" s="69" t="s">
        <v>25</v>
      </c>
      <c r="W676" s="69" t="s">
        <v>26</v>
      </c>
      <c r="X676" s="3" t="str">
        <f>バッグ!AE48</f>
        <v>縦幅：約cm　横幅：約cm　マチ幅：約cm　持ち手：約cm  ショルダーベルト：約cm</v>
      </c>
      <c r="Y676" s="69" t="s">
        <v>28</v>
      </c>
      <c r="Z676" s="69" t="s">
        <v>29</v>
      </c>
      <c r="AA676" s="4"/>
      <c r="AB676" s="4"/>
      <c r="AC676" s="4"/>
      <c r="AD676" s="70"/>
      <c r="AE676" s="70">
        <f>バッグ!AJ48</f>
        <v>0</v>
      </c>
      <c r="AF676" s="70" t="str">
        <f>バッグ!W48</f>
        <v>通常</v>
      </c>
      <c r="AG676" s="70">
        <v>0</v>
      </c>
      <c r="AH676" s="9">
        <f>バッグ!AH48</f>
        <v>0</v>
      </c>
      <c r="AI676">
        <v>1</v>
      </c>
      <c r="AJ676">
        <f>バッグ!Z48</f>
        <v>0</v>
      </c>
    </row>
    <row r="677" spans="1:36" ht="13.5" hidden="1" customHeight="1">
      <c r="A677" s="3" t="str">
        <f>IF(バッグ!A49="","",バッグ!A49)</f>
        <v/>
      </c>
      <c r="B677" s="68" t="str">
        <f>IF(バッグ!B49="","",バッグ!B49)</f>
        <v/>
      </c>
      <c r="C677" s="3" t="str">
        <f>IF(バッグ!C49="","",バッグ!C49)</f>
        <v>◇ E</v>
      </c>
      <c r="D677" s="3" t="str">
        <f>IF(バッグ!E49="","",バッグ!E49)</f>
        <v>無</v>
      </c>
      <c r="E677" s="3" t="str">
        <f>IF(バッグ!AF49="","",バッグ!AF49)</f>
        <v>ベースB</v>
      </c>
      <c r="F677" s="3" t="str">
        <f>IF(バッグ!G49="","",バッグ!G49)</f>
        <v/>
      </c>
      <c r="G677" s="3" t="str">
        <f>IF(バッグ!H49="","",バッグ!H49)</f>
        <v/>
      </c>
      <c r="H677" s="3" t="str">
        <f>IF(バッグ!I49="","",バッグ!I49)</f>
        <v>≪メイン≫：　≪内ポケット≫：　≪外ポケット≫：</v>
      </c>
      <c r="I677" s="3" t="str">
        <f>IF(バッグ!M49="","",バッグ!M49)</f>
        <v/>
      </c>
      <c r="J677" s="3" t="str">
        <f>IF(バッグ!N49="","",バッグ!N49)</f>
        <v/>
      </c>
      <c r="K677" s="3" t="str">
        <f>IF(バッグ!O49="","",バッグ!O49)</f>
        <v/>
      </c>
      <c r="L677" s="69" t="s">
        <v>80</v>
      </c>
      <c r="M677" s="69" t="s">
        <v>19</v>
      </c>
      <c r="N677" s="69" t="s">
        <v>20</v>
      </c>
      <c r="O677" s="69" t="s">
        <v>21</v>
      </c>
      <c r="P677" s="4" t="s">
        <v>3036</v>
      </c>
      <c r="Q677" s="4" t="s">
        <v>3038</v>
      </c>
      <c r="R677" s="69" t="s">
        <v>22</v>
      </c>
      <c r="S677" s="69" t="s">
        <v>23</v>
      </c>
      <c r="T677" s="69" t="s">
        <v>22</v>
      </c>
      <c r="U677" s="69" t="s">
        <v>24</v>
      </c>
      <c r="V677" s="69" t="s">
        <v>25</v>
      </c>
      <c r="W677" s="69" t="s">
        <v>26</v>
      </c>
      <c r="X677" s="3" t="str">
        <f>バッグ!AE49</f>
        <v>縦幅：約cm　横幅：約cm　マチ幅：約cm　持ち手：約cm  ショルダーベルト：約cm</v>
      </c>
      <c r="Y677" s="69" t="s">
        <v>28</v>
      </c>
      <c r="Z677" s="69" t="s">
        <v>29</v>
      </c>
      <c r="AA677" s="4"/>
      <c r="AB677" s="4"/>
      <c r="AC677" s="4"/>
      <c r="AD677" s="70"/>
      <c r="AE677" s="70">
        <f>バッグ!AJ49</f>
        <v>0</v>
      </c>
      <c r="AF677" s="70" t="str">
        <f>バッグ!W49</f>
        <v>通常</v>
      </c>
      <c r="AG677" s="70">
        <v>0</v>
      </c>
      <c r="AH677" s="9">
        <f>バッグ!AH49</f>
        <v>0</v>
      </c>
      <c r="AI677">
        <v>1</v>
      </c>
      <c r="AJ677">
        <f>バッグ!Z49</f>
        <v>0</v>
      </c>
    </row>
    <row r="678" spans="1:36" ht="13.5" hidden="1" customHeight="1">
      <c r="A678" s="3" t="str">
        <f>IF(バッグ!A50="","",バッグ!A50)</f>
        <v/>
      </c>
      <c r="B678" s="68" t="str">
        <f>IF(バッグ!B50="","",バッグ!B50)</f>
        <v/>
      </c>
      <c r="C678" s="3" t="str">
        <f>IF(バッグ!C50="","",バッグ!C50)</f>
        <v>◇ E</v>
      </c>
      <c r="D678" s="3" t="str">
        <f>IF(バッグ!E50="","",バッグ!E50)</f>
        <v>無</v>
      </c>
      <c r="E678" s="3" t="str">
        <f>IF(バッグ!AF50="","",バッグ!AF50)</f>
        <v>ベースB</v>
      </c>
      <c r="F678" s="3" t="str">
        <f>IF(バッグ!G50="","",バッグ!G50)</f>
        <v/>
      </c>
      <c r="G678" s="3" t="str">
        <f>IF(バッグ!H50="","",バッグ!H50)</f>
        <v/>
      </c>
      <c r="H678" s="3" t="str">
        <f>IF(バッグ!I50="","",バッグ!I50)</f>
        <v>≪メイン≫：　≪内ポケット≫：　≪外ポケット≫：</v>
      </c>
      <c r="I678" s="3" t="str">
        <f>IF(バッグ!M50="","",バッグ!M50)</f>
        <v/>
      </c>
      <c r="J678" s="3" t="str">
        <f>IF(バッグ!N50="","",バッグ!N50)</f>
        <v/>
      </c>
      <c r="K678" s="3" t="str">
        <f>IF(バッグ!O50="","",バッグ!O50)</f>
        <v/>
      </c>
      <c r="L678" s="69" t="s">
        <v>80</v>
      </c>
      <c r="M678" s="69" t="s">
        <v>19</v>
      </c>
      <c r="N678" s="69" t="s">
        <v>20</v>
      </c>
      <c r="O678" s="69" t="s">
        <v>21</v>
      </c>
      <c r="P678" s="4" t="s">
        <v>3036</v>
      </c>
      <c r="Q678" s="4" t="s">
        <v>3038</v>
      </c>
      <c r="R678" s="69" t="s">
        <v>22</v>
      </c>
      <c r="S678" s="69" t="s">
        <v>23</v>
      </c>
      <c r="T678" s="69" t="s">
        <v>22</v>
      </c>
      <c r="U678" s="69" t="s">
        <v>24</v>
      </c>
      <c r="V678" s="69" t="s">
        <v>25</v>
      </c>
      <c r="W678" s="69" t="s">
        <v>26</v>
      </c>
      <c r="X678" s="3" t="str">
        <f>バッグ!AE50</f>
        <v>縦幅：約cm　横幅：約cm　マチ幅：約cm　持ち手：約cm  ショルダーベルト：約cm</v>
      </c>
      <c r="Y678" s="69" t="s">
        <v>28</v>
      </c>
      <c r="Z678" s="69" t="s">
        <v>29</v>
      </c>
      <c r="AA678" s="4"/>
      <c r="AB678" s="4"/>
      <c r="AC678" s="4"/>
      <c r="AD678" s="70"/>
      <c r="AE678" s="70">
        <f>バッグ!AJ50</f>
        <v>0</v>
      </c>
      <c r="AF678" s="70" t="str">
        <f>バッグ!W50</f>
        <v>通常</v>
      </c>
      <c r="AG678" s="70">
        <v>0</v>
      </c>
      <c r="AH678" s="9">
        <f>バッグ!AH50</f>
        <v>0</v>
      </c>
      <c r="AI678">
        <v>1</v>
      </c>
      <c r="AJ678">
        <f>バッグ!Z50</f>
        <v>0</v>
      </c>
    </row>
    <row r="679" spans="1:36" ht="13.5" hidden="1" customHeight="1">
      <c r="A679" s="3" t="str">
        <f>IF(バッグ!A51="","",バッグ!A51)</f>
        <v/>
      </c>
      <c r="B679" s="68" t="str">
        <f>IF(バッグ!B51="","",バッグ!B51)</f>
        <v/>
      </c>
      <c r="C679" s="3" t="str">
        <f>IF(バッグ!C51="","",バッグ!C51)</f>
        <v>◇ E</v>
      </c>
      <c r="D679" s="3" t="str">
        <f>IF(バッグ!E51="","",バッグ!E51)</f>
        <v>無</v>
      </c>
      <c r="E679" s="3" t="str">
        <f>IF(バッグ!AF51="","",バッグ!AF51)</f>
        <v>ベースB</v>
      </c>
      <c r="F679" s="3" t="str">
        <f>IF(バッグ!G51="","",バッグ!G51)</f>
        <v/>
      </c>
      <c r="G679" s="3" t="str">
        <f>IF(バッグ!H51="","",バッグ!H51)</f>
        <v/>
      </c>
      <c r="H679" s="3" t="str">
        <f>IF(バッグ!I51="","",バッグ!I51)</f>
        <v>≪メイン≫：　≪内ポケット≫：　≪外ポケット≫：</v>
      </c>
      <c r="I679" s="3" t="str">
        <f>IF(バッグ!M51="","",バッグ!M51)</f>
        <v/>
      </c>
      <c r="J679" s="3" t="str">
        <f>IF(バッグ!N51="","",バッグ!N51)</f>
        <v/>
      </c>
      <c r="K679" s="3" t="str">
        <f>IF(バッグ!O51="","",バッグ!O51)</f>
        <v/>
      </c>
      <c r="L679" s="69" t="s">
        <v>80</v>
      </c>
      <c r="M679" s="69" t="s">
        <v>19</v>
      </c>
      <c r="N679" s="69" t="s">
        <v>20</v>
      </c>
      <c r="O679" s="69" t="s">
        <v>21</v>
      </c>
      <c r="P679" s="4" t="s">
        <v>3036</v>
      </c>
      <c r="Q679" s="4" t="s">
        <v>3038</v>
      </c>
      <c r="R679" s="69" t="s">
        <v>22</v>
      </c>
      <c r="S679" s="69" t="s">
        <v>23</v>
      </c>
      <c r="T679" s="69" t="s">
        <v>22</v>
      </c>
      <c r="U679" s="69" t="s">
        <v>24</v>
      </c>
      <c r="V679" s="69" t="s">
        <v>25</v>
      </c>
      <c r="W679" s="69" t="s">
        <v>26</v>
      </c>
      <c r="X679" s="3" t="str">
        <f>バッグ!AE51</f>
        <v>縦幅：約cm　横幅：約cm　マチ幅：約cm　持ち手：約cm  ショルダーベルト：約cm</v>
      </c>
      <c r="Y679" s="69" t="s">
        <v>28</v>
      </c>
      <c r="Z679" s="69" t="s">
        <v>29</v>
      </c>
      <c r="AA679" s="4"/>
      <c r="AB679" s="4"/>
      <c r="AC679" s="4"/>
      <c r="AD679" s="70"/>
      <c r="AE679" s="70">
        <f>バッグ!AJ51</f>
        <v>0</v>
      </c>
      <c r="AF679" s="70" t="str">
        <f>バッグ!W51</f>
        <v>通常</v>
      </c>
      <c r="AG679" s="70">
        <v>0</v>
      </c>
      <c r="AH679" s="9">
        <f>バッグ!AH51</f>
        <v>0</v>
      </c>
      <c r="AI679">
        <v>1</v>
      </c>
      <c r="AJ679">
        <f>バッグ!Z51</f>
        <v>0</v>
      </c>
    </row>
    <row r="680" spans="1:36" ht="13.5" hidden="1" customHeight="1">
      <c r="A680" s="3" t="str">
        <f>IF(バッグ!A52="","",バッグ!A52)</f>
        <v/>
      </c>
      <c r="B680" s="68" t="str">
        <f>IF(バッグ!B52="","",バッグ!B52)</f>
        <v/>
      </c>
      <c r="C680" s="3" t="str">
        <f>IF(バッグ!C52="","",バッグ!C52)</f>
        <v>◇ E</v>
      </c>
      <c r="D680" s="3" t="str">
        <f>IF(バッグ!E52="","",バッグ!E52)</f>
        <v>無</v>
      </c>
      <c r="E680" s="3" t="str">
        <f>IF(バッグ!AF52="","",バッグ!AF52)</f>
        <v>ベースB</v>
      </c>
      <c r="F680" s="3" t="str">
        <f>IF(バッグ!G52="","",バッグ!G52)</f>
        <v/>
      </c>
      <c r="G680" s="3" t="str">
        <f>IF(バッグ!H52="","",バッグ!H52)</f>
        <v/>
      </c>
      <c r="H680" s="3" t="str">
        <f>IF(バッグ!I52="","",バッグ!I52)</f>
        <v>≪メイン≫：　≪内ポケット≫：　≪外ポケット≫：</v>
      </c>
      <c r="I680" s="3" t="str">
        <f>IF(バッグ!M52="","",バッグ!M52)</f>
        <v/>
      </c>
      <c r="J680" s="3" t="str">
        <f>IF(バッグ!N52="","",バッグ!N52)</f>
        <v/>
      </c>
      <c r="K680" s="3" t="str">
        <f>IF(バッグ!O52="","",バッグ!O52)</f>
        <v/>
      </c>
      <c r="L680" s="69" t="s">
        <v>80</v>
      </c>
      <c r="M680" s="69" t="s">
        <v>19</v>
      </c>
      <c r="N680" s="69" t="s">
        <v>20</v>
      </c>
      <c r="O680" s="69" t="s">
        <v>21</v>
      </c>
      <c r="P680" s="4" t="s">
        <v>3036</v>
      </c>
      <c r="Q680" s="4" t="s">
        <v>3038</v>
      </c>
      <c r="R680" s="69" t="s">
        <v>22</v>
      </c>
      <c r="S680" s="69" t="s">
        <v>23</v>
      </c>
      <c r="T680" s="69" t="s">
        <v>22</v>
      </c>
      <c r="U680" s="69" t="s">
        <v>24</v>
      </c>
      <c r="V680" s="69" t="s">
        <v>25</v>
      </c>
      <c r="W680" s="69" t="s">
        <v>26</v>
      </c>
      <c r="X680" s="3" t="str">
        <f>バッグ!AE52</f>
        <v>縦幅：約cm　横幅：約cm　マチ幅：約cm　持ち手：約cm  ショルダーベルト：約cm</v>
      </c>
      <c r="Y680" s="69" t="s">
        <v>28</v>
      </c>
      <c r="Z680" s="69" t="s">
        <v>29</v>
      </c>
      <c r="AA680" s="4"/>
      <c r="AB680" s="4"/>
      <c r="AC680" s="4"/>
      <c r="AD680" s="70"/>
      <c r="AE680" s="70">
        <f>バッグ!AJ52</f>
        <v>0</v>
      </c>
      <c r="AF680" s="70" t="str">
        <f>バッグ!W52</f>
        <v>通常</v>
      </c>
      <c r="AG680" s="70">
        <v>0</v>
      </c>
      <c r="AH680" s="9">
        <f>バッグ!AH52</f>
        <v>0</v>
      </c>
      <c r="AI680">
        <v>1</v>
      </c>
      <c r="AJ680">
        <f>バッグ!Z52</f>
        <v>0</v>
      </c>
    </row>
    <row r="681" spans="1:36" ht="13.5" hidden="1" customHeight="1">
      <c r="A681" s="3" t="str">
        <f>IF(バッグ!A53="","",バッグ!A53)</f>
        <v/>
      </c>
      <c r="B681" s="68" t="str">
        <f>IF(バッグ!B53="","",バッグ!B53)</f>
        <v/>
      </c>
      <c r="C681" s="3" t="str">
        <f>IF(バッグ!C53="","",バッグ!C53)</f>
        <v>◇ E</v>
      </c>
      <c r="D681" s="3" t="str">
        <f>IF(バッグ!E53="","",バッグ!E53)</f>
        <v>無</v>
      </c>
      <c r="E681" s="3" t="str">
        <f>IF(バッグ!AF53="","",バッグ!AF53)</f>
        <v>ベースB</v>
      </c>
      <c r="F681" s="3" t="str">
        <f>IF(バッグ!G53="","",バッグ!G53)</f>
        <v/>
      </c>
      <c r="G681" s="3" t="str">
        <f>IF(バッグ!H53="","",バッグ!H53)</f>
        <v/>
      </c>
      <c r="H681" s="3" t="str">
        <f>IF(バッグ!I53="","",バッグ!I53)</f>
        <v>≪メイン≫：　≪内ポケット≫：　≪外ポケット≫：</v>
      </c>
      <c r="I681" s="3" t="str">
        <f>IF(バッグ!M53="","",バッグ!M53)</f>
        <v/>
      </c>
      <c r="J681" s="3" t="str">
        <f>IF(バッグ!N53="","",バッグ!N53)</f>
        <v/>
      </c>
      <c r="K681" s="3" t="str">
        <f>IF(バッグ!O53="","",バッグ!O53)</f>
        <v/>
      </c>
      <c r="L681" s="69" t="s">
        <v>80</v>
      </c>
      <c r="M681" s="69" t="s">
        <v>19</v>
      </c>
      <c r="N681" s="69" t="s">
        <v>20</v>
      </c>
      <c r="O681" s="69" t="s">
        <v>21</v>
      </c>
      <c r="P681" s="4" t="s">
        <v>3036</v>
      </c>
      <c r="Q681" s="4" t="s">
        <v>3038</v>
      </c>
      <c r="R681" s="69" t="s">
        <v>22</v>
      </c>
      <c r="S681" s="69" t="s">
        <v>23</v>
      </c>
      <c r="T681" s="69" t="s">
        <v>22</v>
      </c>
      <c r="U681" s="69" t="s">
        <v>24</v>
      </c>
      <c r="V681" s="69" t="s">
        <v>25</v>
      </c>
      <c r="W681" s="69" t="s">
        <v>26</v>
      </c>
      <c r="X681" s="3" t="str">
        <f>バッグ!AE53</f>
        <v>縦幅：約cm　横幅：約cm　マチ幅：約cm　持ち手：約cm  ショルダーベルト：約cm</v>
      </c>
      <c r="Y681" s="69" t="s">
        <v>28</v>
      </c>
      <c r="Z681" s="69" t="s">
        <v>29</v>
      </c>
      <c r="AA681" s="4"/>
      <c r="AB681" s="4"/>
      <c r="AC681" s="4"/>
      <c r="AD681" s="70"/>
      <c r="AE681" s="70">
        <f>バッグ!AJ53</f>
        <v>0</v>
      </c>
      <c r="AF681" s="70" t="str">
        <f>バッグ!W53</f>
        <v>通常</v>
      </c>
      <c r="AG681" s="70">
        <v>0</v>
      </c>
      <c r="AH681" s="9">
        <f>バッグ!AH53</f>
        <v>0</v>
      </c>
      <c r="AI681">
        <v>1</v>
      </c>
      <c r="AJ681">
        <f>バッグ!Z53</f>
        <v>0</v>
      </c>
    </row>
    <row r="682" spans="1:36" ht="13.5" hidden="1" customHeight="1">
      <c r="A682" s="3" t="str">
        <f>IF(バッグ!A54="","",バッグ!A54)</f>
        <v/>
      </c>
      <c r="B682" s="68" t="str">
        <f>IF(バッグ!B54="","",バッグ!B54)</f>
        <v/>
      </c>
      <c r="C682" s="3" t="str">
        <f>IF(バッグ!C54="","",バッグ!C54)</f>
        <v>◇ E</v>
      </c>
      <c r="D682" s="3" t="str">
        <f>IF(バッグ!E54="","",バッグ!E54)</f>
        <v>無</v>
      </c>
      <c r="E682" s="3" t="str">
        <f>IF(バッグ!AF54="","",バッグ!AF54)</f>
        <v>ベースB</v>
      </c>
      <c r="F682" s="3" t="str">
        <f>IF(バッグ!G54="","",バッグ!G54)</f>
        <v/>
      </c>
      <c r="G682" s="3" t="str">
        <f>IF(バッグ!H54="","",バッグ!H54)</f>
        <v/>
      </c>
      <c r="H682" s="3" t="str">
        <f>IF(バッグ!I54="","",バッグ!I54)</f>
        <v>≪メイン≫：　≪内ポケット≫：　≪外ポケット≫：</v>
      </c>
      <c r="I682" s="3" t="str">
        <f>IF(バッグ!M54="","",バッグ!M54)</f>
        <v/>
      </c>
      <c r="J682" s="3" t="str">
        <f>IF(バッグ!N54="","",バッグ!N54)</f>
        <v/>
      </c>
      <c r="K682" s="3" t="str">
        <f>IF(バッグ!O54="","",バッグ!O54)</f>
        <v/>
      </c>
      <c r="L682" s="69" t="s">
        <v>80</v>
      </c>
      <c r="M682" s="69" t="s">
        <v>19</v>
      </c>
      <c r="N682" s="69" t="s">
        <v>20</v>
      </c>
      <c r="O682" s="69" t="s">
        <v>21</v>
      </c>
      <c r="P682" s="4" t="s">
        <v>3036</v>
      </c>
      <c r="Q682" s="4" t="s">
        <v>3038</v>
      </c>
      <c r="R682" s="69" t="s">
        <v>22</v>
      </c>
      <c r="S682" s="69" t="s">
        <v>23</v>
      </c>
      <c r="T682" s="69" t="s">
        <v>22</v>
      </c>
      <c r="U682" s="69" t="s">
        <v>24</v>
      </c>
      <c r="V682" s="69" t="s">
        <v>25</v>
      </c>
      <c r="W682" s="69" t="s">
        <v>26</v>
      </c>
      <c r="X682" s="3" t="str">
        <f>バッグ!AE54</f>
        <v>縦幅：約cm　横幅：約cm　マチ幅：約cm　持ち手：約cm  ショルダーベルト：約cm</v>
      </c>
      <c r="Y682" s="69" t="s">
        <v>28</v>
      </c>
      <c r="Z682" s="69" t="s">
        <v>29</v>
      </c>
      <c r="AA682" s="4"/>
      <c r="AB682" s="4"/>
      <c r="AC682" s="4"/>
      <c r="AD682" s="70"/>
      <c r="AE682" s="70">
        <f>バッグ!AJ54</f>
        <v>0</v>
      </c>
      <c r="AF682" s="70" t="str">
        <f>バッグ!W54</f>
        <v>通常</v>
      </c>
      <c r="AG682" s="70">
        <v>0</v>
      </c>
      <c r="AH682" s="9">
        <f>バッグ!AH54</f>
        <v>0</v>
      </c>
      <c r="AI682">
        <v>1</v>
      </c>
      <c r="AJ682">
        <f>バッグ!Z54</f>
        <v>0</v>
      </c>
    </row>
    <row r="683" spans="1:36" ht="13.5" hidden="1" customHeight="1">
      <c r="A683" s="3" t="str">
        <f>IF(バッグ!A55="","",バッグ!A55)</f>
        <v/>
      </c>
      <c r="B683" s="68" t="str">
        <f>IF(バッグ!B55="","",バッグ!B55)</f>
        <v/>
      </c>
      <c r="C683" s="3" t="str">
        <f>IF(バッグ!C55="","",バッグ!C55)</f>
        <v>◇ E</v>
      </c>
      <c r="D683" s="3" t="str">
        <f>IF(バッグ!E55="","",バッグ!E55)</f>
        <v>無</v>
      </c>
      <c r="E683" s="3" t="str">
        <f>IF(バッグ!AF55="","",バッグ!AF55)</f>
        <v>ベースB</v>
      </c>
      <c r="F683" s="3" t="str">
        <f>IF(バッグ!G55="","",バッグ!G55)</f>
        <v/>
      </c>
      <c r="G683" s="3" t="str">
        <f>IF(バッグ!H55="","",バッグ!H55)</f>
        <v/>
      </c>
      <c r="H683" s="3" t="str">
        <f>IF(バッグ!I55="","",バッグ!I55)</f>
        <v>≪メイン≫：　≪内ポケット≫：　≪外ポケット≫：</v>
      </c>
      <c r="I683" s="3" t="str">
        <f>IF(バッグ!M55="","",バッグ!M55)</f>
        <v/>
      </c>
      <c r="J683" s="3" t="str">
        <f>IF(バッグ!N55="","",バッグ!N55)</f>
        <v/>
      </c>
      <c r="K683" s="3" t="str">
        <f>IF(バッグ!O55="","",バッグ!O55)</f>
        <v/>
      </c>
      <c r="L683" s="69" t="s">
        <v>80</v>
      </c>
      <c r="M683" s="69" t="s">
        <v>19</v>
      </c>
      <c r="N683" s="69" t="s">
        <v>20</v>
      </c>
      <c r="O683" s="69" t="s">
        <v>21</v>
      </c>
      <c r="P683" s="4" t="s">
        <v>3036</v>
      </c>
      <c r="Q683" s="4" t="s">
        <v>3038</v>
      </c>
      <c r="R683" s="69" t="s">
        <v>22</v>
      </c>
      <c r="S683" s="69" t="s">
        <v>23</v>
      </c>
      <c r="T683" s="69" t="s">
        <v>22</v>
      </c>
      <c r="U683" s="69" t="s">
        <v>24</v>
      </c>
      <c r="V683" s="69" t="s">
        <v>25</v>
      </c>
      <c r="W683" s="69" t="s">
        <v>26</v>
      </c>
      <c r="X683" s="3" t="str">
        <f>バッグ!AE55</f>
        <v>縦幅：約cm　横幅：約cm　マチ幅：約cm　持ち手：約cm  ショルダーベルト：約cm</v>
      </c>
      <c r="Y683" s="69" t="s">
        <v>28</v>
      </c>
      <c r="Z683" s="69" t="s">
        <v>29</v>
      </c>
      <c r="AA683" s="4"/>
      <c r="AB683" s="4"/>
      <c r="AC683" s="4"/>
      <c r="AD683" s="70"/>
      <c r="AE683" s="70">
        <f>バッグ!AJ55</f>
        <v>0</v>
      </c>
      <c r="AF683" s="70" t="str">
        <f>バッグ!W55</f>
        <v>通常</v>
      </c>
      <c r="AG683" s="70">
        <v>0</v>
      </c>
      <c r="AH683" s="9">
        <f>バッグ!AH55</f>
        <v>0</v>
      </c>
      <c r="AI683">
        <v>1</v>
      </c>
      <c r="AJ683">
        <f>バッグ!Z55</f>
        <v>0</v>
      </c>
    </row>
    <row r="684" spans="1:36" ht="13.5" hidden="1" customHeight="1">
      <c r="A684" s="3" t="str">
        <f>IF(バッグ!A56="","",バッグ!A56)</f>
        <v/>
      </c>
      <c r="B684" s="68" t="str">
        <f>IF(バッグ!B56="","",バッグ!B56)</f>
        <v/>
      </c>
      <c r="C684" s="3" t="str">
        <f>IF(バッグ!C56="","",バッグ!C56)</f>
        <v>◇ E</v>
      </c>
      <c r="D684" s="3" t="str">
        <f>IF(バッグ!E56="","",バッグ!E56)</f>
        <v>無</v>
      </c>
      <c r="E684" s="3" t="str">
        <f>IF(バッグ!AF56="","",バッグ!AF56)</f>
        <v>ベースB</v>
      </c>
      <c r="F684" s="3" t="str">
        <f>IF(バッグ!G56="","",バッグ!G56)</f>
        <v/>
      </c>
      <c r="G684" s="3" t="str">
        <f>IF(バッグ!H56="","",バッグ!H56)</f>
        <v/>
      </c>
      <c r="H684" s="3" t="str">
        <f>IF(バッグ!I56="","",バッグ!I56)</f>
        <v>≪メイン≫：　≪内ポケット≫：　≪外ポケット≫：</v>
      </c>
      <c r="I684" s="3" t="str">
        <f>IF(バッグ!M56="","",バッグ!M56)</f>
        <v/>
      </c>
      <c r="J684" s="3" t="str">
        <f>IF(バッグ!N56="","",バッグ!N56)</f>
        <v/>
      </c>
      <c r="K684" s="3" t="str">
        <f>IF(バッグ!O56="","",バッグ!O56)</f>
        <v/>
      </c>
      <c r="L684" s="69" t="s">
        <v>80</v>
      </c>
      <c r="M684" s="69" t="s">
        <v>19</v>
      </c>
      <c r="N684" s="69" t="s">
        <v>20</v>
      </c>
      <c r="O684" s="69" t="s">
        <v>21</v>
      </c>
      <c r="P684" s="4" t="s">
        <v>3036</v>
      </c>
      <c r="Q684" s="4" t="s">
        <v>3038</v>
      </c>
      <c r="R684" s="69" t="s">
        <v>22</v>
      </c>
      <c r="S684" s="69" t="s">
        <v>23</v>
      </c>
      <c r="T684" s="69" t="s">
        <v>22</v>
      </c>
      <c r="U684" s="69" t="s">
        <v>24</v>
      </c>
      <c r="V684" s="69" t="s">
        <v>25</v>
      </c>
      <c r="W684" s="69" t="s">
        <v>26</v>
      </c>
      <c r="X684" s="3" t="str">
        <f>バッグ!AE56</f>
        <v>縦幅：約cm　横幅：約cm　マチ幅：約cm　持ち手：約cm  ショルダーベルト：約cm</v>
      </c>
      <c r="Y684" s="69" t="s">
        <v>28</v>
      </c>
      <c r="Z684" s="69" t="s">
        <v>29</v>
      </c>
      <c r="AA684" s="4"/>
      <c r="AB684" s="4"/>
      <c r="AC684" s="4"/>
      <c r="AD684" s="70"/>
      <c r="AE684" s="70">
        <f>バッグ!AJ56</f>
        <v>0</v>
      </c>
      <c r="AF684" s="70" t="str">
        <f>バッグ!W56</f>
        <v>通常</v>
      </c>
      <c r="AG684" s="70">
        <v>0</v>
      </c>
      <c r="AH684" s="9">
        <f>バッグ!AH56</f>
        <v>0</v>
      </c>
      <c r="AI684">
        <v>1</v>
      </c>
      <c r="AJ684">
        <f>バッグ!Z56</f>
        <v>0</v>
      </c>
    </row>
    <row r="685" spans="1:36" ht="13.5" hidden="1" customHeight="1">
      <c r="A685" s="3" t="str">
        <f>IF(バッグ!A57="","",バッグ!A57)</f>
        <v/>
      </c>
      <c r="B685" s="68" t="str">
        <f>IF(バッグ!B57="","",バッグ!B57)</f>
        <v/>
      </c>
      <c r="C685" s="3" t="str">
        <f>IF(バッグ!C57="","",バッグ!C57)</f>
        <v>◇ E</v>
      </c>
      <c r="D685" s="3" t="str">
        <f>IF(バッグ!E57="","",バッグ!E57)</f>
        <v>無</v>
      </c>
      <c r="E685" s="3" t="str">
        <f>IF(バッグ!AF57="","",バッグ!AF57)</f>
        <v>ベースB</v>
      </c>
      <c r="F685" s="3" t="str">
        <f>IF(バッグ!G57="","",バッグ!G57)</f>
        <v/>
      </c>
      <c r="G685" s="3" t="str">
        <f>IF(バッグ!H57="","",バッグ!H57)</f>
        <v/>
      </c>
      <c r="H685" s="3" t="str">
        <f>IF(バッグ!I57="","",バッグ!I57)</f>
        <v>≪メイン≫：　≪内ポケット≫：　≪外ポケット≫：</v>
      </c>
      <c r="I685" s="3" t="str">
        <f>IF(バッグ!M57="","",バッグ!M57)</f>
        <v/>
      </c>
      <c r="J685" s="3" t="str">
        <f>IF(バッグ!N57="","",バッグ!N57)</f>
        <v/>
      </c>
      <c r="K685" s="3" t="str">
        <f>IF(バッグ!O57="","",バッグ!O57)</f>
        <v/>
      </c>
      <c r="L685" s="69" t="s">
        <v>80</v>
      </c>
      <c r="M685" s="69" t="s">
        <v>19</v>
      </c>
      <c r="N685" s="69" t="s">
        <v>20</v>
      </c>
      <c r="O685" s="69" t="s">
        <v>21</v>
      </c>
      <c r="P685" s="4" t="s">
        <v>3036</v>
      </c>
      <c r="Q685" s="4" t="s">
        <v>3038</v>
      </c>
      <c r="R685" s="69" t="s">
        <v>22</v>
      </c>
      <c r="S685" s="69" t="s">
        <v>23</v>
      </c>
      <c r="T685" s="69" t="s">
        <v>22</v>
      </c>
      <c r="U685" s="69" t="s">
        <v>24</v>
      </c>
      <c r="V685" s="69" t="s">
        <v>25</v>
      </c>
      <c r="W685" s="69" t="s">
        <v>26</v>
      </c>
      <c r="X685" s="3" t="str">
        <f>バッグ!AE57</f>
        <v>縦幅：約cm　横幅：約cm　マチ幅：約cm　持ち手：約cm  ショルダーベルト：約cm</v>
      </c>
      <c r="Y685" s="69" t="s">
        <v>28</v>
      </c>
      <c r="Z685" s="69" t="s">
        <v>29</v>
      </c>
      <c r="AA685" s="4"/>
      <c r="AB685" s="4"/>
      <c r="AC685" s="4"/>
      <c r="AD685" s="70"/>
      <c r="AE685" s="70">
        <f>バッグ!AJ57</f>
        <v>0</v>
      </c>
      <c r="AF685" s="70" t="str">
        <f>バッグ!W57</f>
        <v>通常</v>
      </c>
      <c r="AG685" s="70">
        <v>0</v>
      </c>
      <c r="AH685" s="9">
        <f>バッグ!AH57</f>
        <v>0</v>
      </c>
      <c r="AI685">
        <v>1</v>
      </c>
      <c r="AJ685">
        <f>バッグ!Z57</f>
        <v>0</v>
      </c>
    </row>
    <row r="686" spans="1:36" ht="13.5" hidden="1" customHeight="1">
      <c r="A686" s="3" t="str">
        <f>IF(バッグ!A58="","",バッグ!A58)</f>
        <v/>
      </c>
      <c r="B686" s="68" t="str">
        <f>IF(バッグ!B58="","",バッグ!B58)</f>
        <v/>
      </c>
      <c r="C686" s="3" t="str">
        <f>IF(バッグ!C58="","",バッグ!C58)</f>
        <v>◇ E</v>
      </c>
      <c r="D686" s="3" t="str">
        <f>IF(バッグ!E58="","",バッグ!E58)</f>
        <v>無</v>
      </c>
      <c r="E686" s="3" t="str">
        <f>IF(バッグ!AF58="","",バッグ!AF58)</f>
        <v>ベースB</v>
      </c>
      <c r="F686" s="3" t="str">
        <f>IF(バッグ!G58="","",バッグ!G58)</f>
        <v/>
      </c>
      <c r="G686" s="3" t="str">
        <f>IF(バッグ!H58="","",バッグ!H58)</f>
        <v/>
      </c>
      <c r="H686" s="3" t="str">
        <f>IF(バッグ!I58="","",バッグ!I58)</f>
        <v>≪メイン≫：　≪内ポケット≫：　≪外ポケット≫：</v>
      </c>
      <c r="I686" s="3" t="str">
        <f>IF(バッグ!M58="","",バッグ!M58)</f>
        <v/>
      </c>
      <c r="J686" s="3" t="str">
        <f>IF(バッグ!N58="","",バッグ!N58)</f>
        <v/>
      </c>
      <c r="K686" s="3" t="str">
        <f>IF(バッグ!O58="","",バッグ!O58)</f>
        <v/>
      </c>
      <c r="L686" s="69" t="s">
        <v>80</v>
      </c>
      <c r="M686" s="69" t="s">
        <v>19</v>
      </c>
      <c r="N686" s="69" t="s">
        <v>20</v>
      </c>
      <c r="O686" s="69" t="s">
        <v>21</v>
      </c>
      <c r="P686" s="4" t="s">
        <v>3036</v>
      </c>
      <c r="Q686" s="4" t="s">
        <v>3038</v>
      </c>
      <c r="R686" s="69" t="s">
        <v>22</v>
      </c>
      <c r="S686" s="69" t="s">
        <v>23</v>
      </c>
      <c r="T686" s="69" t="s">
        <v>22</v>
      </c>
      <c r="U686" s="69" t="s">
        <v>24</v>
      </c>
      <c r="V686" s="69" t="s">
        <v>25</v>
      </c>
      <c r="W686" s="69" t="s">
        <v>26</v>
      </c>
      <c r="X686" s="3" t="str">
        <f>バッグ!AE58</f>
        <v>縦幅：約cm　横幅：約cm　マチ幅：約cm　持ち手：約cm  ショルダーベルト：約cm</v>
      </c>
      <c r="Y686" s="69" t="s">
        <v>28</v>
      </c>
      <c r="Z686" s="69" t="s">
        <v>29</v>
      </c>
      <c r="AA686" s="4"/>
      <c r="AB686" s="4"/>
      <c r="AC686" s="4"/>
      <c r="AD686" s="70"/>
      <c r="AE686" s="70">
        <f>バッグ!AJ58</f>
        <v>0</v>
      </c>
      <c r="AF686" s="70" t="str">
        <f>バッグ!W58</f>
        <v>通常</v>
      </c>
      <c r="AG686" s="70">
        <v>0</v>
      </c>
      <c r="AH686" s="9">
        <f>バッグ!AH58</f>
        <v>0</v>
      </c>
      <c r="AI686">
        <v>1</v>
      </c>
      <c r="AJ686">
        <f>バッグ!Z58</f>
        <v>0</v>
      </c>
    </row>
    <row r="687" spans="1:36" ht="13.5" hidden="1" customHeight="1">
      <c r="A687" s="3" t="str">
        <f>IF(バッグ!A59="","",バッグ!A59)</f>
        <v/>
      </c>
      <c r="B687" s="68" t="str">
        <f>IF(バッグ!B59="","",バッグ!B59)</f>
        <v/>
      </c>
      <c r="C687" s="3" t="str">
        <f>IF(バッグ!C59="","",バッグ!C59)</f>
        <v>◇ E</v>
      </c>
      <c r="D687" s="3" t="str">
        <f>IF(バッグ!E59="","",バッグ!E59)</f>
        <v>無</v>
      </c>
      <c r="E687" s="3" t="str">
        <f>IF(バッグ!AF59="","",バッグ!AF59)</f>
        <v>ベースB</v>
      </c>
      <c r="F687" s="3" t="str">
        <f>IF(バッグ!G59="","",バッグ!G59)</f>
        <v/>
      </c>
      <c r="G687" s="3" t="str">
        <f>IF(バッグ!H59="","",バッグ!H59)</f>
        <v/>
      </c>
      <c r="H687" s="3" t="str">
        <f>IF(バッグ!I59="","",バッグ!I59)</f>
        <v>≪メイン≫：　≪内ポケット≫：　≪外ポケット≫：</v>
      </c>
      <c r="I687" s="3" t="str">
        <f>IF(バッグ!M59="","",バッグ!M59)</f>
        <v/>
      </c>
      <c r="J687" s="3" t="str">
        <f>IF(バッグ!N59="","",バッグ!N59)</f>
        <v/>
      </c>
      <c r="K687" s="3" t="str">
        <f>IF(バッグ!O59="","",バッグ!O59)</f>
        <v/>
      </c>
      <c r="L687" s="69" t="s">
        <v>80</v>
      </c>
      <c r="M687" s="69" t="s">
        <v>19</v>
      </c>
      <c r="N687" s="69" t="s">
        <v>20</v>
      </c>
      <c r="O687" s="69" t="s">
        <v>21</v>
      </c>
      <c r="P687" s="4" t="s">
        <v>3036</v>
      </c>
      <c r="Q687" s="4" t="s">
        <v>3038</v>
      </c>
      <c r="R687" s="69" t="s">
        <v>22</v>
      </c>
      <c r="S687" s="69" t="s">
        <v>23</v>
      </c>
      <c r="T687" s="69" t="s">
        <v>22</v>
      </c>
      <c r="U687" s="69" t="s">
        <v>24</v>
      </c>
      <c r="V687" s="69" t="s">
        <v>25</v>
      </c>
      <c r="W687" s="69" t="s">
        <v>26</v>
      </c>
      <c r="X687" s="3" t="str">
        <f>バッグ!AE59</f>
        <v>縦幅：約cm　横幅：約cm　マチ幅：約cm　持ち手：約cm  ショルダーベルト：約cm</v>
      </c>
      <c r="Y687" s="69" t="s">
        <v>28</v>
      </c>
      <c r="Z687" s="69" t="s">
        <v>29</v>
      </c>
      <c r="AA687" s="4"/>
      <c r="AB687" s="4"/>
      <c r="AC687" s="4"/>
      <c r="AD687" s="70"/>
      <c r="AE687" s="70">
        <f>バッグ!AJ59</f>
        <v>0</v>
      </c>
      <c r="AF687" s="70" t="str">
        <f>バッグ!W59</f>
        <v>通常</v>
      </c>
      <c r="AG687" s="70">
        <v>0</v>
      </c>
      <c r="AH687" s="9">
        <f>バッグ!AH59</f>
        <v>0</v>
      </c>
      <c r="AI687">
        <v>1</v>
      </c>
      <c r="AJ687">
        <f>バッグ!Z59</f>
        <v>0</v>
      </c>
    </row>
    <row r="688" spans="1:36" ht="13.5" hidden="1" customHeight="1">
      <c r="A688" s="3" t="str">
        <f>IF(バッグ!A60="","",バッグ!A60)</f>
        <v/>
      </c>
      <c r="B688" s="68" t="str">
        <f>IF(バッグ!B60="","",バッグ!B60)</f>
        <v/>
      </c>
      <c r="C688" s="3" t="str">
        <f>IF(バッグ!C60="","",バッグ!C60)</f>
        <v>◇ E</v>
      </c>
      <c r="D688" s="3" t="str">
        <f>IF(バッグ!E60="","",バッグ!E60)</f>
        <v>無</v>
      </c>
      <c r="E688" s="3" t="str">
        <f>IF(バッグ!AF60="","",バッグ!AF60)</f>
        <v>ベースB</v>
      </c>
      <c r="F688" s="3" t="str">
        <f>IF(バッグ!G60="","",バッグ!G60)</f>
        <v/>
      </c>
      <c r="G688" s="3" t="str">
        <f>IF(バッグ!H60="","",バッグ!H60)</f>
        <v/>
      </c>
      <c r="H688" s="3" t="str">
        <f>IF(バッグ!I60="","",バッグ!I60)</f>
        <v>≪メイン≫：　≪内ポケット≫：　≪外ポケット≫：</v>
      </c>
      <c r="I688" s="3" t="str">
        <f>IF(バッグ!M60="","",バッグ!M60)</f>
        <v/>
      </c>
      <c r="J688" s="3" t="str">
        <f>IF(バッグ!N60="","",バッグ!N60)</f>
        <v/>
      </c>
      <c r="K688" s="3" t="str">
        <f>IF(バッグ!O60="","",バッグ!O60)</f>
        <v/>
      </c>
      <c r="L688" s="69" t="s">
        <v>80</v>
      </c>
      <c r="M688" s="69" t="s">
        <v>19</v>
      </c>
      <c r="N688" s="69" t="s">
        <v>20</v>
      </c>
      <c r="O688" s="69" t="s">
        <v>21</v>
      </c>
      <c r="P688" s="4" t="s">
        <v>3036</v>
      </c>
      <c r="Q688" s="4" t="s">
        <v>3038</v>
      </c>
      <c r="R688" s="69" t="s">
        <v>22</v>
      </c>
      <c r="S688" s="69" t="s">
        <v>23</v>
      </c>
      <c r="T688" s="69" t="s">
        <v>22</v>
      </c>
      <c r="U688" s="69" t="s">
        <v>24</v>
      </c>
      <c r="V688" s="69" t="s">
        <v>25</v>
      </c>
      <c r="W688" s="69" t="s">
        <v>26</v>
      </c>
      <c r="X688" s="3" t="str">
        <f>バッグ!AE60</f>
        <v>縦幅：約cm　横幅：約cm　マチ幅：約cm　持ち手：約cm  ショルダーベルト：約cm</v>
      </c>
      <c r="Y688" s="69" t="s">
        <v>28</v>
      </c>
      <c r="Z688" s="69" t="s">
        <v>29</v>
      </c>
      <c r="AA688" s="4"/>
      <c r="AB688" s="4"/>
      <c r="AC688" s="4"/>
      <c r="AD688" s="70"/>
      <c r="AE688" s="70">
        <f>バッグ!AJ60</f>
        <v>0</v>
      </c>
      <c r="AF688" s="70" t="str">
        <f>バッグ!W60</f>
        <v>通常</v>
      </c>
      <c r="AG688" s="70">
        <v>0</v>
      </c>
      <c r="AH688" s="9">
        <f>バッグ!AH60</f>
        <v>0</v>
      </c>
      <c r="AI688">
        <v>1</v>
      </c>
      <c r="AJ688">
        <f>バッグ!Z60</f>
        <v>0</v>
      </c>
    </row>
    <row r="689" spans="1:36" ht="13.5" hidden="1" customHeight="1">
      <c r="A689" s="3" t="str">
        <f>IF(バッグ!A61="","",バッグ!A61)</f>
        <v/>
      </c>
      <c r="B689" s="68" t="str">
        <f>IF(バッグ!B61="","",バッグ!B61)</f>
        <v/>
      </c>
      <c r="C689" s="3" t="str">
        <f>IF(バッグ!C61="","",バッグ!C61)</f>
        <v>◇ E</v>
      </c>
      <c r="D689" s="3" t="str">
        <f>IF(バッグ!E61="","",バッグ!E61)</f>
        <v>無</v>
      </c>
      <c r="E689" s="3" t="str">
        <f>IF(バッグ!AF61="","",バッグ!AF61)</f>
        <v>ベースB</v>
      </c>
      <c r="F689" s="3" t="str">
        <f>IF(バッグ!G61="","",バッグ!G61)</f>
        <v/>
      </c>
      <c r="G689" s="3" t="str">
        <f>IF(バッグ!H61="","",バッグ!H61)</f>
        <v/>
      </c>
      <c r="H689" s="3" t="str">
        <f>IF(バッグ!I61="","",バッグ!I61)</f>
        <v>≪メイン≫：　≪内ポケット≫：　≪外ポケット≫：</v>
      </c>
      <c r="I689" s="3" t="str">
        <f>IF(バッグ!M61="","",バッグ!M61)</f>
        <v/>
      </c>
      <c r="J689" s="3" t="str">
        <f>IF(バッグ!N61="","",バッグ!N61)</f>
        <v/>
      </c>
      <c r="K689" s="3" t="str">
        <f>IF(バッグ!O61="","",バッグ!O61)</f>
        <v/>
      </c>
      <c r="L689" s="69" t="s">
        <v>80</v>
      </c>
      <c r="M689" s="69" t="s">
        <v>19</v>
      </c>
      <c r="N689" s="69" t="s">
        <v>20</v>
      </c>
      <c r="O689" s="69" t="s">
        <v>21</v>
      </c>
      <c r="P689" s="4" t="s">
        <v>3036</v>
      </c>
      <c r="Q689" s="4" t="s">
        <v>3038</v>
      </c>
      <c r="R689" s="69" t="s">
        <v>22</v>
      </c>
      <c r="S689" s="69" t="s">
        <v>23</v>
      </c>
      <c r="T689" s="69" t="s">
        <v>22</v>
      </c>
      <c r="U689" s="69" t="s">
        <v>24</v>
      </c>
      <c r="V689" s="69" t="s">
        <v>25</v>
      </c>
      <c r="W689" s="69" t="s">
        <v>26</v>
      </c>
      <c r="X689" s="3" t="str">
        <f>バッグ!AE61</f>
        <v>縦幅：約cm　横幅：約cm　マチ幅：約cm　持ち手：約cm  ショルダーベルト：約cm</v>
      </c>
      <c r="Y689" s="69" t="s">
        <v>28</v>
      </c>
      <c r="Z689" s="69" t="s">
        <v>29</v>
      </c>
      <c r="AA689" s="4"/>
      <c r="AB689" s="4"/>
      <c r="AC689" s="4"/>
      <c r="AD689" s="70"/>
      <c r="AE689" s="70">
        <f>バッグ!AJ61</f>
        <v>0</v>
      </c>
      <c r="AF689" s="70" t="str">
        <f>バッグ!W61</f>
        <v>通常</v>
      </c>
      <c r="AG689" s="70">
        <v>0</v>
      </c>
      <c r="AH689" s="9">
        <f>バッグ!AH61</f>
        <v>0</v>
      </c>
      <c r="AI689">
        <v>1</v>
      </c>
      <c r="AJ689">
        <f>バッグ!Z61</f>
        <v>0</v>
      </c>
    </row>
    <row r="690" spans="1:36" ht="13.5" hidden="1" customHeight="1">
      <c r="A690" s="3" t="str">
        <f>IF(バッグ!A62="","",バッグ!A62)</f>
        <v/>
      </c>
      <c r="B690" s="68" t="str">
        <f>IF(バッグ!B62="","",バッグ!B62)</f>
        <v/>
      </c>
      <c r="C690" s="3" t="str">
        <f>IF(バッグ!C62="","",バッグ!C62)</f>
        <v>◇ E</v>
      </c>
      <c r="D690" s="3" t="str">
        <f>IF(バッグ!E62="","",バッグ!E62)</f>
        <v>無</v>
      </c>
      <c r="E690" s="3" t="str">
        <f>IF(バッグ!AF62="","",バッグ!AF62)</f>
        <v>ベースB</v>
      </c>
      <c r="F690" s="3" t="str">
        <f>IF(バッグ!G62="","",バッグ!G62)</f>
        <v/>
      </c>
      <c r="G690" s="3" t="str">
        <f>IF(バッグ!H62="","",バッグ!H62)</f>
        <v/>
      </c>
      <c r="H690" s="3" t="str">
        <f>IF(バッグ!I62="","",バッグ!I62)</f>
        <v>≪メイン≫：　≪内ポケット≫：　≪外ポケット≫：</v>
      </c>
      <c r="I690" s="3" t="str">
        <f>IF(バッグ!M62="","",バッグ!M62)</f>
        <v/>
      </c>
      <c r="J690" s="3" t="str">
        <f>IF(バッグ!N62="","",バッグ!N62)</f>
        <v/>
      </c>
      <c r="K690" s="3" t="str">
        <f>IF(バッグ!O62="","",バッグ!O62)</f>
        <v/>
      </c>
      <c r="L690" s="69" t="s">
        <v>80</v>
      </c>
      <c r="M690" s="69" t="s">
        <v>19</v>
      </c>
      <c r="N690" s="69" t="s">
        <v>20</v>
      </c>
      <c r="O690" s="69" t="s">
        <v>21</v>
      </c>
      <c r="P690" s="4" t="s">
        <v>3036</v>
      </c>
      <c r="Q690" s="4" t="s">
        <v>3038</v>
      </c>
      <c r="R690" s="69" t="s">
        <v>22</v>
      </c>
      <c r="S690" s="69" t="s">
        <v>23</v>
      </c>
      <c r="T690" s="69" t="s">
        <v>22</v>
      </c>
      <c r="U690" s="69" t="s">
        <v>24</v>
      </c>
      <c r="V690" s="69" t="s">
        <v>25</v>
      </c>
      <c r="W690" s="69" t="s">
        <v>26</v>
      </c>
      <c r="X690" s="3" t="str">
        <f>バッグ!AE62</f>
        <v>縦幅：約cm　横幅：約cm　マチ幅：約cm　持ち手：約cm  ショルダーベルト：約cm</v>
      </c>
      <c r="Y690" s="69" t="s">
        <v>28</v>
      </c>
      <c r="Z690" s="69" t="s">
        <v>29</v>
      </c>
      <c r="AA690" s="4"/>
      <c r="AB690" s="4"/>
      <c r="AC690" s="4"/>
      <c r="AD690" s="70"/>
      <c r="AE690" s="70">
        <f>バッグ!AJ62</f>
        <v>0</v>
      </c>
      <c r="AF690" s="70" t="str">
        <f>バッグ!W62</f>
        <v>通常</v>
      </c>
      <c r="AG690" s="70">
        <v>0</v>
      </c>
      <c r="AH690" s="9">
        <f>バッグ!AH62</f>
        <v>0</v>
      </c>
      <c r="AI690">
        <v>1</v>
      </c>
      <c r="AJ690">
        <f>バッグ!Z62</f>
        <v>0</v>
      </c>
    </row>
    <row r="691" spans="1:36" ht="13.5" hidden="1" customHeight="1">
      <c r="A691" s="3" t="str">
        <f>IF(バッグ!A63="","",バッグ!A63)</f>
        <v/>
      </c>
      <c r="B691" s="68" t="str">
        <f>IF(バッグ!B63="","",バッグ!B63)</f>
        <v/>
      </c>
      <c r="C691" s="3" t="str">
        <f>IF(バッグ!C63="","",バッグ!C63)</f>
        <v>◇ E</v>
      </c>
      <c r="D691" s="3" t="str">
        <f>IF(バッグ!E63="","",バッグ!E63)</f>
        <v>無</v>
      </c>
      <c r="E691" s="3" t="str">
        <f>IF(バッグ!AF63="","",バッグ!AF63)</f>
        <v>ベースB</v>
      </c>
      <c r="F691" s="3" t="str">
        <f>IF(バッグ!G63="","",バッグ!G63)</f>
        <v/>
      </c>
      <c r="G691" s="3" t="str">
        <f>IF(バッグ!H63="","",バッグ!H63)</f>
        <v/>
      </c>
      <c r="H691" s="3" t="str">
        <f>IF(バッグ!I63="","",バッグ!I63)</f>
        <v>≪メイン≫：　≪内ポケット≫：　≪外ポケット≫：</v>
      </c>
      <c r="I691" s="3" t="str">
        <f>IF(バッグ!M63="","",バッグ!M63)</f>
        <v/>
      </c>
      <c r="J691" s="3" t="str">
        <f>IF(バッグ!N63="","",バッグ!N63)</f>
        <v/>
      </c>
      <c r="K691" s="3" t="str">
        <f>IF(バッグ!O63="","",バッグ!O63)</f>
        <v/>
      </c>
      <c r="L691" s="69" t="s">
        <v>80</v>
      </c>
      <c r="M691" s="69" t="s">
        <v>19</v>
      </c>
      <c r="N691" s="69" t="s">
        <v>20</v>
      </c>
      <c r="O691" s="69" t="s">
        <v>21</v>
      </c>
      <c r="P691" s="4" t="s">
        <v>3036</v>
      </c>
      <c r="Q691" s="4" t="s">
        <v>3038</v>
      </c>
      <c r="R691" s="69" t="s">
        <v>22</v>
      </c>
      <c r="S691" s="69" t="s">
        <v>23</v>
      </c>
      <c r="T691" s="69" t="s">
        <v>22</v>
      </c>
      <c r="U691" s="69" t="s">
        <v>24</v>
      </c>
      <c r="V691" s="69" t="s">
        <v>25</v>
      </c>
      <c r="W691" s="69" t="s">
        <v>26</v>
      </c>
      <c r="X691" s="3" t="str">
        <f>バッグ!AE63</f>
        <v>縦幅：約cm　横幅：約cm　マチ幅：約cm　持ち手：約cm  ショルダーベルト：約cm</v>
      </c>
      <c r="Y691" s="69" t="s">
        <v>28</v>
      </c>
      <c r="Z691" s="69" t="s">
        <v>29</v>
      </c>
      <c r="AA691" s="4"/>
      <c r="AB691" s="4"/>
      <c r="AC691" s="4"/>
      <c r="AD691" s="70"/>
      <c r="AE691" s="70">
        <f>バッグ!AJ63</f>
        <v>0</v>
      </c>
      <c r="AF691" s="70" t="str">
        <f>バッグ!W63</f>
        <v>通常</v>
      </c>
      <c r="AG691" s="70">
        <v>0</v>
      </c>
      <c r="AH691" s="9">
        <f>バッグ!AH63</f>
        <v>0</v>
      </c>
      <c r="AI691">
        <v>1</v>
      </c>
      <c r="AJ691">
        <f>バッグ!Z63</f>
        <v>0</v>
      </c>
    </row>
    <row r="692" spans="1:36" ht="13.5" hidden="1" customHeight="1">
      <c r="A692" s="3" t="str">
        <f>IF(バッグ!A64="","",バッグ!A64)</f>
        <v/>
      </c>
      <c r="B692" s="68" t="str">
        <f>IF(バッグ!B64="","",バッグ!B64)</f>
        <v/>
      </c>
      <c r="C692" s="3" t="str">
        <f>IF(バッグ!C64="","",バッグ!C64)</f>
        <v>◇ E</v>
      </c>
      <c r="D692" s="3" t="str">
        <f>IF(バッグ!E64="","",バッグ!E64)</f>
        <v>無</v>
      </c>
      <c r="E692" s="3" t="str">
        <f>IF(バッグ!AF64="","",バッグ!AF64)</f>
        <v>ベースB</v>
      </c>
      <c r="F692" s="3" t="str">
        <f>IF(バッグ!G64="","",バッグ!G64)</f>
        <v/>
      </c>
      <c r="G692" s="3" t="str">
        <f>IF(バッグ!H64="","",バッグ!H64)</f>
        <v/>
      </c>
      <c r="H692" s="3" t="str">
        <f>IF(バッグ!I64="","",バッグ!I64)</f>
        <v>≪メイン≫：　≪内ポケット≫：　≪外ポケット≫：</v>
      </c>
      <c r="I692" s="3" t="str">
        <f>IF(バッグ!M64="","",バッグ!M64)</f>
        <v/>
      </c>
      <c r="J692" s="3" t="str">
        <f>IF(バッグ!N64="","",バッグ!N64)</f>
        <v/>
      </c>
      <c r="K692" s="3" t="str">
        <f>IF(バッグ!O64="","",バッグ!O64)</f>
        <v/>
      </c>
      <c r="L692" s="69" t="s">
        <v>80</v>
      </c>
      <c r="M692" s="69" t="s">
        <v>19</v>
      </c>
      <c r="N692" s="69" t="s">
        <v>20</v>
      </c>
      <c r="O692" s="69" t="s">
        <v>21</v>
      </c>
      <c r="P692" s="4" t="s">
        <v>3036</v>
      </c>
      <c r="Q692" s="4" t="s">
        <v>3038</v>
      </c>
      <c r="R692" s="69" t="s">
        <v>22</v>
      </c>
      <c r="S692" s="69" t="s">
        <v>23</v>
      </c>
      <c r="T692" s="69" t="s">
        <v>22</v>
      </c>
      <c r="U692" s="69" t="s">
        <v>24</v>
      </c>
      <c r="V692" s="69" t="s">
        <v>25</v>
      </c>
      <c r="W692" s="69" t="s">
        <v>26</v>
      </c>
      <c r="X692" s="3" t="str">
        <f>バッグ!AE64</f>
        <v>縦幅：約cm　横幅：約cm　マチ幅：約cm　持ち手：約cm  ショルダーベルト：約cm</v>
      </c>
      <c r="Y692" s="69" t="s">
        <v>28</v>
      </c>
      <c r="Z692" s="69" t="s">
        <v>29</v>
      </c>
      <c r="AA692" s="4"/>
      <c r="AB692" s="4"/>
      <c r="AC692" s="4"/>
      <c r="AD692" s="70"/>
      <c r="AE692" s="70">
        <f>バッグ!AJ64</f>
        <v>0</v>
      </c>
      <c r="AF692" s="70" t="str">
        <f>バッグ!W64</f>
        <v>通常</v>
      </c>
      <c r="AG692" s="70">
        <v>0</v>
      </c>
      <c r="AH692" s="9">
        <f>バッグ!AH64</f>
        <v>0</v>
      </c>
      <c r="AI692">
        <v>1</v>
      </c>
      <c r="AJ692">
        <f>バッグ!Z64</f>
        <v>0</v>
      </c>
    </row>
    <row r="693" spans="1:36" ht="13.5" hidden="1" customHeight="1">
      <c r="A693" s="3" t="str">
        <f>IF(バッグ!A65="","",バッグ!A65)</f>
        <v/>
      </c>
      <c r="B693" s="68" t="str">
        <f>IF(バッグ!B65="","",バッグ!B65)</f>
        <v/>
      </c>
      <c r="C693" s="3" t="str">
        <f>IF(バッグ!C65="","",バッグ!C65)</f>
        <v>◇ E</v>
      </c>
      <c r="D693" s="3" t="str">
        <f>IF(バッグ!E65="","",バッグ!E65)</f>
        <v>無</v>
      </c>
      <c r="E693" s="3" t="str">
        <f>IF(バッグ!AF65="","",バッグ!AF65)</f>
        <v>ベースB</v>
      </c>
      <c r="F693" s="3" t="str">
        <f>IF(バッグ!G65="","",バッグ!G65)</f>
        <v/>
      </c>
      <c r="G693" s="3" t="str">
        <f>IF(バッグ!H65="","",バッグ!H65)</f>
        <v/>
      </c>
      <c r="H693" s="3" t="str">
        <f>IF(バッグ!I65="","",バッグ!I65)</f>
        <v>≪メイン≫：　≪内ポケット≫：　≪外ポケット≫：</v>
      </c>
      <c r="I693" s="3" t="str">
        <f>IF(バッグ!M65="","",バッグ!M65)</f>
        <v/>
      </c>
      <c r="J693" s="3" t="str">
        <f>IF(バッグ!N65="","",バッグ!N65)</f>
        <v/>
      </c>
      <c r="K693" s="3" t="str">
        <f>IF(バッグ!O65="","",バッグ!O65)</f>
        <v/>
      </c>
      <c r="L693" s="69" t="s">
        <v>80</v>
      </c>
      <c r="M693" s="69" t="s">
        <v>19</v>
      </c>
      <c r="N693" s="69" t="s">
        <v>20</v>
      </c>
      <c r="O693" s="69" t="s">
        <v>21</v>
      </c>
      <c r="P693" s="4" t="s">
        <v>3036</v>
      </c>
      <c r="Q693" s="4" t="s">
        <v>3038</v>
      </c>
      <c r="R693" s="69" t="s">
        <v>22</v>
      </c>
      <c r="S693" s="69" t="s">
        <v>23</v>
      </c>
      <c r="T693" s="69" t="s">
        <v>22</v>
      </c>
      <c r="U693" s="69" t="s">
        <v>24</v>
      </c>
      <c r="V693" s="69" t="s">
        <v>25</v>
      </c>
      <c r="W693" s="69" t="s">
        <v>26</v>
      </c>
      <c r="X693" s="3" t="str">
        <f>バッグ!AE65</f>
        <v>縦幅：約cm　横幅：約cm　マチ幅：約cm　持ち手：約cm  ショルダーベルト：約cm</v>
      </c>
      <c r="Y693" s="69" t="s">
        <v>28</v>
      </c>
      <c r="Z693" s="69" t="s">
        <v>29</v>
      </c>
      <c r="AA693" s="4"/>
      <c r="AB693" s="4"/>
      <c r="AC693" s="4"/>
      <c r="AD693" s="70"/>
      <c r="AE693" s="70">
        <f>バッグ!AJ65</f>
        <v>0</v>
      </c>
      <c r="AF693" s="70" t="str">
        <f>バッグ!W65</f>
        <v>通常</v>
      </c>
      <c r="AG693" s="70">
        <v>0</v>
      </c>
      <c r="AH693" s="9">
        <f>バッグ!AH65</f>
        <v>0</v>
      </c>
      <c r="AI693">
        <v>1</v>
      </c>
      <c r="AJ693">
        <f>バッグ!Z65</f>
        <v>0</v>
      </c>
    </row>
    <row r="694" spans="1:36" ht="13.5" hidden="1" customHeight="1">
      <c r="A694" s="3" t="str">
        <f>IF(バッグ!A66="","",バッグ!A66)</f>
        <v/>
      </c>
      <c r="B694" s="68" t="str">
        <f>IF(バッグ!B66="","",バッグ!B66)</f>
        <v/>
      </c>
      <c r="C694" s="3" t="str">
        <f>IF(バッグ!C66="","",バッグ!C66)</f>
        <v>◇ E</v>
      </c>
      <c r="D694" s="3" t="str">
        <f>IF(バッグ!E66="","",バッグ!E66)</f>
        <v>無</v>
      </c>
      <c r="E694" s="3" t="str">
        <f>IF(バッグ!AF66="","",バッグ!AF66)</f>
        <v>ベースB</v>
      </c>
      <c r="F694" s="3" t="str">
        <f>IF(バッグ!G66="","",バッグ!G66)</f>
        <v/>
      </c>
      <c r="G694" s="3" t="str">
        <f>IF(バッグ!H66="","",バッグ!H66)</f>
        <v/>
      </c>
      <c r="H694" s="3" t="str">
        <f>IF(バッグ!I66="","",バッグ!I66)</f>
        <v>≪メイン≫：　≪内ポケット≫：　≪外ポケット≫：</v>
      </c>
      <c r="I694" s="3" t="str">
        <f>IF(バッグ!M66="","",バッグ!M66)</f>
        <v/>
      </c>
      <c r="J694" s="3" t="str">
        <f>IF(バッグ!N66="","",バッグ!N66)</f>
        <v/>
      </c>
      <c r="K694" s="3" t="str">
        <f>IF(バッグ!O66="","",バッグ!O66)</f>
        <v/>
      </c>
      <c r="L694" s="69" t="s">
        <v>80</v>
      </c>
      <c r="M694" s="69" t="s">
        <v>19</v>
      </c>
      <c r="N694" s="69" t="s">
        <v>20</v>
      </c>
      <c r="O694" s="69" t="s">
        <v>21</v>
      </c>
      <c r="P694" s="4" t="s">
        <v>3036</v>
      </c>
      <c r="Q694" s="4" t="s">
        <v>3038</v>
      </c>
      <c r="R694" s="69" t="s">
        <v>22</v>
      </c>
      <c r="S694" s="69" t="s">
        <v>23</v>
      </c>
      <c r="T694" s="69" t="s">
        <v>22</v>
      </c>
      <c r="U694" s="69" t="s">
        <v>24</v>
      </c>
      <c r="V694" s="69" t="s">
        <v>25</v>
      </c>
      <c r="W694" s="69" t="s">
        <v>26</v>
      </c>
      <c r="X694" s="3" t="str">
        <f>バッグ!AE66</f>
        <v>縦幅：約cm　横幅：約cm　マチ幅：約cm　持ち手：約cm  ショルダーベルト：約cm</v>
      </c>
      <c r="Y694" s="69" t="s">
        <v>28</v>
      </c>
      <c r="Z694" s="69" t="s">
        <v>29</v>
      </c>
      <c r="AA694" s="4"/>
      <c r="AB694" s="4"/>
      <c r="AC694" s="4"/>
      <c r="AD694" s="70"/>
      <c r="AE694" s="70">
        <f>バッグ!AJ66</f>
        <v>0</v>
      </c>
      <c r="AF694" s="70" t="str">
        <f>バッグ!W66</f>
        <v>通常</v>
      </c>
      <c r="AG694" s="70">
        <v>0</v>
      </c>
      <c r="AH694" s="9">
        <f>バッグ!AH66</f>
        <v>0</v>
      </c>
      <c r="AI694">
        <v>1</v>
      </c>
      <c r="AJ694">
        <f>バッグ!Z66</f>
        <v>0</v>
      </c>
    </row>
    <row r="695" spans="1:36" ht="13.5" hidden="1" customHeight="1">
      <c r="A695" s="3" t="str">
        <f>IF(バッグ!A67="","",バッグ!A67)</f>
        <v/>
      </c>
      <c r="B695" s="68" t="str">
        <f>IF(バッグ!B67="","",バッグ!B67)</f>
        <v/>
      </c>
      <c r="C695" s="3" t="str">
        <f>IF(バッグ!C67="","",バッグ!C67)</f>
        <v>◇ E</v>
      </c>
      <c r="D695" s="3" t="str">
        <f>IF(バッグ!E67="","",バッグ!E67)</f>
        <v>無</v>
      </c>
      <c r="E695" s="3" t="str">
        <f>IF(バッグ!AF67="","",バッグ!AF67)</f>
        <v>ベースB</v>
      </c>
      <c r="F695" s="3" t="str">
        <f>IF(バッグ!G67="","",バッグ!G67)</f>
        <v/>
      </c>
      <c r="G695" s="3" t="str">
        <f>IF(バッグ!H67="","",バッグ!H67)</f>
        <v/>
      </c>
      <c r="H695" s="3" t="str">
        <f>IF(バッグ!I67="","",バッグ!I67)</f>
        <v>≪メイン≫：　≪内ポケット≫：　≪外ポケット≫：</v>
      </c>
      <c r="I695" s="3" t="str">
        <f>IF(バッグ!M67="","",バッグ!M67)</f>
        <v/>
      </c>
      <c r="J695" s="3" t="str">
        <f>IF(バッグ!N67="","",バッグ!N67)</f>
        <v/>
      </c>
      <c r="K695" s="3" t="str">
        <f>IF(バッグ!O67="","",バッグ!O67)</f>
        <v/>
      </c>
      <c r="L695" s="69" t="s">
        <v>80</v>
      </c>
      <c r="M695" s="69" t="s">
        <v>19</v>
      </c>
      <c r="N695" s="69" t="s">
        <v>20</v>
      </c>
      <c r="O695" s="69" t="s">
        <v>21</v>
      </c>
      <c r="P695" s="4" t="s">
        <v>3036</v>
      </c>
      <c r="Q695" s="4" t="s">
        <v>3038</v>
      </c>
      <c r="R695" s="69" t="s">
        <v>22</v>
      </c>
      <c r="S695" s="69" t="s">
        <v>23</v>
      </c>
      <c r="T695" s="69" t="s">
        <v>22</v>
      </c>
      <c r="U695" s="69" t="s">
        <v>24</v>
      </c>
      <c r="V695" s="69" t="s">
        <v>25</v>
      </c>
      <c r="W695" s="69" t="s">
        <v>26</v>
      </c>
      <c r="X695" s="3" t="str">
        <f>バッグ!AE67</f>
        <v>縦幅：約cm　横幅：約cm　マチ幅：約cm　持ち手：約cm  ショルダーベルト：約cm</v>
      </c>
      <c r="Y695" s="69" t="s">
        <v>28</v>
      </c>
      <c r="Z695" s="69" t="s">
        <v>29</v>
      </c>
      <c r="AA695" s="4"/>
      <c r="AB695" s="4"/>
      <c r="AC695" s="4"/>
      <c r="AD695" s="70"/>
      <c r="AE695" s="70">
        <f>バッグ!AJ67</f>
        <v>0</v>
      </c>
      <c r="AF695" s="70" t="str">
        <f>バッグ!W67</f>
        <v>通常</v>
      </c>
      <c r="AG695" s="70">
        <v>0</v>
      </c>
      <c r="AH695" s="9">
        <f>バッグ!AH67</f>
        <v>0</v>
      </c>
      <c r="AI695">
        <v>1</v>
      </c>
      <c r="AJ695">
        <f>バッグ!Z67</f>
        <v>0</v>
      </c>
    </row>
    <row r="696" spans="1:36" ht="13.5" hidden="1" customHeight="1">
      <c r="A696" s="3" t="str">
        <f>IF(バッグ!A68="","",バッグ!A68)</f>
        <v/>
      </c>
      <c r="B696" s="68" t="str">
        <f>IF(バッグ!B68="","",バッグ!B68)</f>
        <v/>
      </c>
      <c r="C696" s="3" t="str">
        <f>IF(バッグ!C68="","",バッグ!C68)</f>
        <v>◇ E</v>
      </c>
      <c r="D696" s="3" t="str">
        <f>IF(バッグ!E68="","",バッグ!E68)</f>
        <v>無</v>
      </c>
      <c r="E696" s="3" t="str">
        <f>IF(バッグ!AF68="","",バッグ!AF68)</f>
        <v>ベースB</v>
      </c>
      <c r="F696" s="3" t="str">
        <f>IF(バッグ!G68="","",バッグ!G68)</f>
        <v/>
      </c>
      <c r="G696" s="3" t="str">
        <f>IF(バッグ!H68="","",バッグ!H68)</f>
        <v/>
      </c>
      <c r="H696" s="3" t="str">
        <f>IF(バッグ!I68="","",バッグ!I68)</f>
        <v>≪メイン≫：　≪内ポケット≫：　≪外ポケット≫：</v>
      </c>
      <c r="I696" s="3" t="str">
        <f>IF(バッグ!M68="","",バッグ!M68)</f>
        <v/>
      </c>
      <c r="J696" s="3" t="str">
        <f>IF(バッグ!N68="","",バッグ!N68)</f>
        <v/>
      </c>
      <c r="K696" s="3" t="str">
        <f>IF(バッグ!O68="","",バッグ!O68)</f>
        <v/>
      </c>
      <c r="L696" s="69" t="s">
        <v>80</v>
      </c>
      <c r="M696" s="69" t="s">
        <v>19</v>
      </c>
      <c r="N696" s="69" t="s">
        <v>20</v>
      </c>
      <c r="O696" s="69" t="s">
        <v>21</v>
      </c>
      <c r="P696" s="4" t="s">
        <v>3036</v>
      </c>
      <c r="Q696" s="4" t="s">
        <v>3038</v>
      </c>
      <c r="R696" s="69" t="s">
        <v>22</v>
      </c>
      <c r="S696" s="69" t="s">
        <v>23</v>
      </c>
      <c r="T696" s="69" t="s">
        <v>22</v>
      </c>
      <c r="U696" s="69" t="s">
        <v>24</v>
      </c>
      <c r="V696" s="69" t="s">
        <v>25</v>
      </c>
      <c r="W696" s="69" t="s">
        <v>26</v>
      </c>
      <c r="X696" s="3" t="str">
        <f>バッグ!AE68</f>
        <v>縦幅：約cm　横幅：約cm　マチ幅：約cm　持ち手：約cm  ショルダーベルト：約cm</v>
      </c>
      <c r="Y696" s="69" t="s">
        <v>102</v>
      </c>
      <c r="Z696" s="69" t="s">
        <v>29</v>
      </c>
      <c r="AA696" s="4"/>
      <c r="AB696" s="4"/>
      <c r="AC696" s="4"/>
      <c r="AD696" s="70"/>
      <c r="AE696" s="70">
        <f>バッグ!AJ68</f>
        <v>0</v>
      </c>
      <c r="AF696" s="70" t="str">
        <f>バッグ!W68</f>
        <v>通常</v>
      </c>
      <c r="AG696" s="70">
        <v>0</v>
      </c>
      <c r="AH696" s="9">
        <f>バッグ!AH68</f>
        <v>0</v>
      </c>
      <c r="AI696">
        <v>1</v>
      </c>
      <c r="AJ696">
        <f>バッグ!Z68</f>
        <v>0</v>
      </c>
    </row>
    <row r="697" spans="1:36" ht="13.5" hidden="1" customHeight="1">
      <c r="A697" s="3" t="str">
        <f>IF(バッグ!A69="","",バッグ!A69)</f>
        <v/>
      </c>
      <c r="B697" s="68" t="str">
        <f>IF(バッグ!B69="","",バッグ!B69)</f>
        <v/>
      </c>
      <c r="C697" s="3" t="str">
        <f>IF(バッグ!C69="","",バッグ!C69)</f>
        <v>◇ E</v>
      </c>
      <c r="D697" s="3" t="str">
        <f>IF(バッグ!E69="","",バッグ!E69)</f>
        <v>無</v>
      </c>
      <c r="E697" s="3" t="str">
        <f>IF(バッグ!AF69="","",バッグ!AF69)</f>
        <v>ベースB</v>
      </c>
      <c r="F697" s="3" t="str">
        <f>IF(バッグ!G69="","",バッグ!G69)</f>
        <v/>
      </c>
      <c r="G697" s="3" t="str">
        <f>IF(バッグ!H69="","",バッグ!H69)</f>
        <v/>
      </c>
      <c r="H697" s="3" t="str">
        <f>IF(バッグ!I69="","",バッグ!I69)</f>
        <v>≪メイン≫：　≪内ポケット≫：　≪外ポケット≫：</v>
      </c>
      <c r="I697" s="3" t="str">
        <f>IF(バッグ!M69="","",バッグ!M69)</f>
        <v/>
      </c>
      <c r="J697" s="3" t="str">
        <f>IF(バッグ!N69="","",バッグ!N69)</f>
        <v/>
      </c>
      <c r="K697" s="3" t="str">
        <f>IF(バッグ!O69="","",バッグ!O69)</f>
        <v/>
      </c>
      <c r="L697" s="69" t="s">
        <v>80</v>
      </c>
      <c r="M697" s="69" t="s">
        <v>19</v>
      </c>
      <c r="N697" s="69" t="s">
        <v>20</v>
      </c>
      <c r="O697" s="69" t="s">
        <v>21</v>
      </c>
      <c r="P697" s="4" t="s">
        <v>3036</v>
      </c>
      <c r="Q697" s="4" t="s">
        <v>3038</v>
      </c>
      <c r="R697" s="69" t="s">
        <v>22</v>
      </c>
      <c r="S697" s="69" t="s">
        <v>23</v>
      </c>
      <c r="T697" s="69" t="s">
        <v>22</v>
      </c>
      <c r="U697" s="69" t="s">
        <v>24</v>
      </c>
      <c r="V697" s="69" t="s">
        <v>25</v>
      </c>
      <c r="W697" s="69" t="s">
        <v>26</v>
      </c>
      <c r="X697" s="3" t="str">
        <f>バッグ!AE69</f>
        <v>縦幅：約cm　横幅：約cm　マチ幅：約cm　持ち手：約cm  ショルダーベルト：約cm</v>
      </c>
      <c r="Y697" s="69" t="s">
        <v>28</v>
      </c>
      <c r="Z697" s="69" t="s">
        <v>29</v>
      </c>
      <c r="AA697" s="4"/>
      <c r="AB697" s="4"/>
      <c r="AC697" s="4"/>
      <c r="AD697" s="70"/>
      <c r="AE697" s="70">
        <f>バッグ!AJ69</f>
        <v>0</v>
      </c>
      <c r="AF697" s="70" t="str">
        <f>バッグ!W69</f>
        <v>通常</v>
      </c>
      <c r="AG697" s="70">
        <v>0</v>
      </c>
      <c r="AH697" s="9">
        <f>バッグ!AH69</f>
        <v>0</v>
      </c>
      <c r="AI697">
        <v>1</v>
      </c>
      <c r="AJ697">
        <f>バッグ!Z69</f>
        <v>0</v>
      </c>
    </row>
    <row r="698" spans="1:36" ht="13.5" hidden="1" customHeight="1">
      <c r="A698" s="3" t="str">
        <f>IF(バッグ!A70="","",バッグ!A70)</f>
        <v/>
      </c>
      <c r="B698" s="68" t="str">
        <f>IF(バッグ!B70="","",バッグ!B70)</f>
        <v/>
      </c>
      <c r="C698" s="3" t="str">
        <f>IF(バッグ!C70="","",バッグ!C70)</f>
        <v>◇ E</v>
      </c>
      <c r="D698" s="3" t="str">
        <f>IF(バッグ!E70="","",バッグ!E70)</f>
        <v>無</v>
      </c>
      <c r="E698" s="3" t="str">
        <f>IF(バッグ!AF70="","",バッグ!AF70)</f>
        <v>ベースB</v>
      </c>
      <c r="F698" s="3" t="str">
        <f>IF(バッグ!G70="","",バッグ!G70)</f>
        <v/>
      </c>
      <c r="G698" s="3" t="str">
        <f>IF(バッグ!H70="","",バッグ!H70)</f>
        <v/>
      </c>
      <c r="H698" s="3" t="str">
        <f>IF(バッグ!I70="","",バッグ!I70)</f>
        <v>≪メイン≫：　≪内ポケット≫：　≪外ポケット≫：</v>
      </c>
      <c r="I698" s="3" t="str">
        <f>IF(バッグ!M70="","",バッグ!M70)</f>
        <v/>
      </c>
      <c r="J698" s="3" t="str">
        <f>IF(バッグ!N70="","",バッグ!N70)</f>
        <v/>
      </c>
      <c r="K698" s="3" t="str">
        <f>IF(バッグ!O70="","",バッグ!O70)</f>
        <v/>
      </c>
      <c r="L698" s="69" t="s">
        <v>80</v>
      </c>
      <c r="M698" s="69" t="s">
        <v>19</v>
      </c>
      <c r="N698" s="69" t="s">
        <v>20</v>
      </c>
      <c r="O698" s="69" t="s">
        <v>21</v>
      </c>
      <c r="P698" s="4" t="s">
        <v>3036</v>
      </c>
      <c r="Q698" s="4" t="s">
        <v>3038</v>
      </c>
      <c r="R698" s="69" t="s">
        <v>22</v>
      </c>
      <c r="S698" s="69" t="s">
        <v>23</v>
      </c>
      <c r="T698" s="69" t="s">
        <v>22</v>
      </c>
      <c r="U698" s="69" t="s">
        <v>24</v>
      </c>
      <c r="V698" s="69" t="s">
        <v>25</v>
      </c>
      <c r="W698" s="69" t="s">
        <v>26</v>
      </c>
      <c r="X698" s="3" t="str">
        <f>バッグ!AE70</f>
        <v>縦幅：約cm　横幅：約cm　マチ幅：約cm　持ち手：約cm  ショルダーベルト：約cm</v>
      </c>
      <c r="Y698" s="69" t="s">
        <v>28</v>
      </c>
      <c r="Z698" s="69" t="s">
        <v>29</v>
      </c>
      <c r="AA698" s="4"/>
      <c r="AB698" s="4"/>
      <c r="AC698" s="4"/>
      <c r="AD698" s="70"/>
      <c r="AE698" s="70">
        <f>バッグ!AJ70</f>
        <v>0</v>
      </c>
      <c r="AF698" s="70" t="str">
        <f>バッグ!W70</f>
        <v>通常</v>
      </c>
      <c r="AG698" s="70">
        <v>0</v>
      </c>
      <c r="AH698" s="9">
        <f>バッグ!AH70</f>
        <v>0</v>
      </c>
      <c r="AI698">
        <v>1</v>
      </c>
      <c r="AJ698">
        <f>バッグ!Z70</f>
        <v>0</v>
      </c>
    </row>
    <row r="699" spans="1:36" ht="13.5" hidden="1" customHeight="1">
      <c r="A699" s="3" t="str">
        <f>IF(バッグ!A71="","",バッグ!A71)</f>
        <v/>
      </c>
      <c r="B699" s="68" t="str">
        <f>IF(バッグ!B71="","",バッグ!B71)</f>
        <v/>
      </c>
      <c r="C699" s="3" t="str">
        <f>IF(バッグ!C71="","",バッグ!C71)</f>
        <v>◇ E</v>
      </c>
      <c r="D699" s="3" t="str">
        <f>IF(バッグ!E71="","",バッグ!E71)</f>
        <v>無</v>
      </c>
      <c r="E699" s="3" t="str">
        <f>IF(バッグ!AF71="","",バッグ!AF71)</f>
        <v>ベースB</v>
      </c>
      <c r="F699" s="3" t="str">
        <f>IF(バッグ!G71="","",バッグ!G71)</f>
        <v/>
      </c>
      <c r="G699" s="3" t="str">
        <f>IF(バッグ!H71="","",バッグ!H71)</f>
        <v/>
      </c>
      <c r="H699" s="3" t="str">
        <f>IF(バッグ!I71="","",バッグ!I71)</f>
        <v>≪メイン≫：　≪内ポケット≫：　≪外ポケット≫：</v>
      </c>
      <c r="I699" s="3" t="str">
        <f>IF(バッグ!M71="","",バッグ!M71)</f>
        <v/>
      </c>
      <c r="J699" s="3" t="str">
        <f>IF(バッグ!N71="","",バッグ!N71)</f>
        <v/>
      </c>
      <c r="K699" s="3" t="str">
        <f>IF(バッグ!O71="","",バッグ!O71)</f>
        <v/>
      </c>
      <c r="L699" s="69" t="s">
        <v>80</v>
      </c>
      <c r="M699" s="69" t="s">
        <v>19</v>
      </c>
      <c r="N699" s="69" t="s">
        <v>20</v>
      </c>
      <c r="O699" s="69" t="s">
        <v>21</v>
      </c>
      <c r="P699" s="4" t="s">
        <v>3036</v>
      </c>
      <c r="Q699" s="4" t="s">
        <v>3038</v>
      </c>
      <c r="R699" s="69" t="s">
        <v>22</v>
      </c>
      <c r="S699" s="69" t="s">
        <v>23</v>
      </c>
      <c r="T699" s="69" t="s">
        <v>22</v>
      </c>
      <c r="U699" s="69" t="s">
        <v>24</v>
      </c>
      <c r="V699" s="69" t="s">
        <v>25</v>
      </c>
      <c r="W699" s="69" t="s">
        <v>26</v>
      </c>
      <c r="X699" s="3" t="str">
        <f>バッグ!AE71</f>
        <v>縦幅：約cm　横幅：約cm　マチ幅：約cm　持ち手：約cm  ショルダーベルト：約cm</v>
      </c>
      <c r="Y699" s="69" t="s">
        <v>28</v>
      </c>
      <c r="Z699" s="69" t="s">
        <v>29</v>
      </c>
      <c r="AA699" s="4"/>
      <c r="AB699" s="4"/>
      <c r="AC699" s="4"/>
      <c r="AD699" s="70"/>
      <c r="AE699" s="70">
        <f>バッグ!AJ71</f>
        <v>0</v>
      </c>
      <c r="AF699" s="70" t="str">
        <f>バッグ!W71</f>
        <v>通常</v>
      </c>
      <c r="AG699" s="70">
        <v>0</v>
      </c>
      <c r="AH699" s="9">
        <f>バッグ!AH71</f>
        <v>0</v>
      </c>
      <c r="AI699">
        <v>1</v>
      </c>
      <c r="AJ699">
        <f>バッグ!Z71</f>
        <v>0</v>
      </c>
    </row>
    <row r="700" spans="1:36" ht="13.5" hidden="1" customHeight="1">
      <c r="A700" s="3" t="str">
        <f>IF(バッグ!A72="","",バッグ!A72)</f>
        <v/>
      </c>
      <c r="B700" s="68" t="str">
        <f>IF(バッグ!B72="","",バッグ!B72)</f>
        <v/>
      </c>
      <c r="C700" s="3" t="str">
        <f>IF(バッグ!C72="","",バッグ!C72)</f>
        <v>◇ E</v>
      </c>
      <c r="D700" s="3" t="str">
        <f>IF(バッグ!E72="","",バッグ!E72)</f>
        <v>無</v>
      </c>
      <c r="E700" s="3" t="str">
        <f>IF(バッグ!AF72="","",バッグ!AF72)</f>
        <v>ベースB</v>
      </c>
      <c r="F700" s="3" t="str">
        <f>IF(バッグ!G72="","",バッグ!G72)</f>
        <v/>
      </c>
      <c r="G700" s="3" t="str">
        <f>IF(バッグ!H72="","",バッグ!H72)</f>
        <v/>
      </c>
      <c r="H700" s="3" t="str">
        <f>IF(バッグ!I72="","",バッグ!I72)</f>
        <v>≪メイン≫：　≪内ポケット≫：　≪外ポケット≫：</v>
      </c>
      <c r="I700" s="3" t="str">
        <f>IF(バッグ!M72="","",バッグ!M72)</f>
        <v/>
      </c>
      <c r="J700" s="3" t="str">
        <f>IF(バッグ!N72="","",バッグ!N72)</f>
        <v/>
      </c>
      <c r="K700" s="3" t="str">
        <f>IF(バッグ!O72="","",バッグ!O72)</f>
        <v/>
      </c>
      <c r="L700" s="69" t="s">
        <v>80</v>
      </c>
      <c r="M700" s="69" t="s">
        <v>19</v>
      </c>
      <c r="N700" s="69" t="s">
        <v>20</v>
      </c>
      <c r="O700" s="69" t="s">
        <v>21</v>
      </c>
      <c r="P700" s="4" t="s">
        <v>3036</v>
      </c>
      <c r="Q700" s="4" t="s">
        <v>3038</v>
      </c>
      <c r="R700" s="69" t="s">
        <v>22</v>
      </c>
      <c r="S700" s="69" t="s">
        <v>23</v>
      </c>
      <c r="T700" s="69" t="s">
        <v>22</v>
      </c>
      <c r="U700" s="69" t="s">
        <v>24</v>
      </c>
      <c r="V700" s="69" t="s">
        <v>25</v>
      </c>
      <c r="W700" s="69" t="s">
        <v>26</v>
      </c>
      <c r="X700" s="3" t="str">
        <f>バッグ!AE72</f>
        <v>縦幅：約cm　横幅：約cm　マチ幅：約cm　持ち手：約cm  ショルダーベルト：約cm</v>
      </c>
      <c r="Y700" s="69" t="s">
        <v>28</v>
      </c>
      <c r="Z700" s="69" t="s">
        <v>29</v>
      </c>
      <c r="AA700" s="4"/>
      <c r="AB700" s="4"/>
      <c r="AC700" s="4"/>
      <c r="AD700" s="70"/>
      <c r="AE700" s="70">
        <f>バッグ!AJ72</f>
        <v>0</v>
      </c>
      <c r="AF700" s="70" t="str">
        <f>バッグ!W72</f>
        <v>通常</v>
      </c>
      <c r="AG700" s="70">
        <v>0</v>
      </c>
      <c r="AH700" s="9">
        <f>バッグ!AH72</f>
        <v>0</v>
      </c>
      <c r="AI700">
        <v>1</v>
      </c>
      <c r="AJ700">
        <f>バッグ!Z72</f>
        <v>0</v>
      </c>
    </row>
    <row r="701" spans="1:36" ht="13.5" hidden="1" customHeight="1">
      <c r="A701" s="3" t="str">
        <f>IF(バッグ!A73="","",バッグ!A73)</f>
        <v/>
      </c>
      <c r="B701" s="68" t="str">
        <f>IF(バッグ!B73="","",バッグ!B73)</f>
        <v/>
      </c>
      <c r="C701" s="3" t="str">
        <f>IF(バッグ!C73="","",バッグ!C73)</f>
        <v>◇ E</v>
      </c>
      <c r="D701" s="3" t="str">
        <f>IF(バッグ!E73="","",バッグ!E73)</f>
        <v>無</v>
      </c>
      <c r="E701" s="3" t="str">
        <f>IF(バッグ!AF73="","",バッグ!AF73)</f>
        <v>ベースB</v>
      </c>
      <c r="F701" s="3" t="str">
        <f>IF(バッグ!G73="","",バッグ!G73)</f>
        <v/>
      </c>
      <c r="G701" s="3" t="str">
        <f>IF(バッグ!H73="","",バッグ!H73)</f>
        <v/>
      </c>
      <c r="H701" s="3" t="str">
        <f>IF(バッグ!I73="","",バッグ!I73)</f>
        <v>≪メイン≫：　≪内ポケット≫：　≪外ポケット≫：</v>
      </c>
      <c r="I701" s="3" t="str">
        <f>IF(バッグ!M73="","",バッグ!M73)</f>
        <v/>
      </c>
      <c r="J701" s="3" t="str">
        <f>IF(バッグ!N73="","",バッグ!N73)</f>
        <v/>
      </c>
      <c r="K701" s="3" t="str">
        <f>IF(バッグ!O73="","",バッグ!O73)</f>
        <v/>
      </c>
      <c r="L701" s="69" t="s">
        <v>80</v>
      </c>
      <c r="M701" s="69" t="s">
        <v>19</v>
      </c>
      <c r="N701" s="69" t="s">
        <v>20</v>
      </c>
      <c r="O701" s="69" t="s">
        <v>21</v>
      </c>
      <c r="P701" s="4" t="s">
        <v>3036</v>
      </c>
      <c r="Q701" s="4" t="s">
        <v>3038</v>
      </c>
      <c r="R701" s="69" t="s">
        <v>22</v>
      </c>
      <c r="S701" s="69" t="s">
        <v>23</v>
      </c>
      <c r="T701" s="69" t="s">
        <v>22</v>
      </c>
      <c r="U701" s="69" t="s">
        <v>24</v>
      </c>
      <c r="V701" s="69" t="s">
        <v>25</v>
      </c>
      <c r="W701" s="69" t="s">
        <v>26</v>
      </c>
      <c r="X701" s="3" t="str">
        <f>バッグ!AE73</f>
        <v>縦幅：約cm　横幅：約cm　マチ幅：約cm　持ち手：約cm  ショルダーベルト：約cm</v>
      </c>
      <c r="Y701" s="69" t="s">
        <v>28</v>
      </c>
      <c r="Z701" s="69" t="s">
        <v>29</v>
      </c>
      <c r="AA701" s="4"/>
      <c r="AB701" s="4"/>
      <c r="AC701" s="4"/>
      <c r="AD701" s="70"/>
      <c r="AE701" s="70">
        <f>バッグ!AJ73</f>
        <v>0</v>
      </c>
      <c r="AF701" s="70" t="str">
        <f>バッグ!W73</f>
        <v>通常</v>
      </c>
      <c r="AG701" s="70">
        <v>0</v>
      </c>
      <c r="AH701" s="9">
        <f>バッグ!AH73</f>
        <v>0</v>
      </c>
      <c r="AI701">
        <v>1</v>
      </c>
      <c r="AJ701">
        <f>バッグ!Z73</f>
        <v>0</v>
      </c>
    </row>
    <row r="702" spans="1:36" ht="13.5" hidden="1" customHeight="1">
      <c r="A702" s="3" t="str">
        <f>IF(バッグ!A74="","",バッグ!A74)</f>
        <v/>
      </c>
      <c r="B702" s="68" t="str">
        <f>IF(バッグ!B74="","",バッグ!B74)</f>
        <v/>
      </c>
      <c r="C702" s="3" t="str">
        <f>IF(バッグ!C74="","",バッグ!C74)</f>
        <v>◇ E</v>
      </c>
      <c r="D702" s="3" t="str">
        <f>IF(バッグ!E74="","",バッグ!E74)</f>
        <v>無</v>
      </c>
      <c r="E702" s="3" t="str">
        <f>IF(バッグ!AF74="","",バッグ!AF74)</f>
        <v>ベースB</v>
      </c>
      <c r="F702" s="3" t="str">
        <f>IF(バッグ!G74="","",バッグ!G74)</f>
        <v/>
      </c>
      <c r="G702" s="3" t="str">
        <f>IF(バッグ!H74="","",バッグ!H74)</f>
        <v/>
      </c>
      <c r="H702" s="3" t="str">
        <f>IF(バッグ!I74="","",バッグ!I74)</f>
        <v>≪メイン≫：　≪内ポケット≫：　≪外ポケット≫：</v>
      </c>
      <c r="I702" s="3" t="str">
        <f>IF(バッグ!M74="","",バッグ!M74)</f>
        <v/>
      </c>
      <c r="J702" s="3" t="str">
        <f>IF(バッグ!N74="","",バッグ!N74)</f>
        <v/>
      </c>
      <c r="K702" s="3" t="str">
        <f>IF(バッグ!O74="","",バッグ!O74)</f>
        <v/>
      </c>
      <c r="L702" s="69" t="s">
        <v>80</v>
      </c>
      <c r="M702" s="69" t="s">
        <v>19</v>
      </c>
      <c r="N702" s="69" t="s">
        <v>20</v>
      </c>
      <c r="O702" s="69" t="s">
        <v>21</v>
      </c>
      <c r="P702" s="4" t="s">
        <v>3036</v>
      </c>
      <c r="Q702" s="4" t="s">
        <v>3038</v>
      </c>
      <c r="R702" s="69" t="s">
        <v>22</v>
      </c>
      <c r="S702" s="69" t="s">
        <v>23</v>
      </c>
      <c r="T702" s="69" t="s">
        <v>22</v>
      </c>
      <c r="U702" s="69" t="s">
        <v>24</v>
      </c>
      <c r="V702" s="69" t="s">
        <v>25</v>
      </c>
      <c r="W702" s="69" t="s">
        <v>26</v>
      </c>
      <c r="X702" s="3" t="str">
        <f>バッグ!AE74</f>
        <v>縦幅：約cm　横幅：約cm　マチ幅：約cm　持ち手：約cm  ショルダーベルト：約cm</v>
      </c>
      <c r="Y702" s="69" t="s">
        <v>28</v>
      </c>
      <c r="Z702" s="69" t="s">
        <v>29</v>
      </c>
      <c r="AA702" s="4"/>
      <c r="AB702" s="4"/>
      <c r="AC702" s="4"/>
      <c r="AD702" s="70"/>
      <c r="AE702" s="70">
        <f>バッグ!AJ74</f>
        <v>0</v>
      </c>
      <c r="AF702" s="70" t="str">
        <f>バッグ!W74</f>
        <v>通常</v>
      </c>
      <c r="AG702" s="70">
        <v>0</v>
      </c>
      <c r="AH702" s="9">
        <f>バッグ!AH74</f>
        <v>0</v>
      </c>
      <c r="AI702">
        <v>1</v>
      </c>
      <c r="AJ702">
        <f>バッグ!Z74</f>
        <v>0</v>
      </c>
    </row>
    <row r="703" spans="1:36" ht="13.5" hidden="1" customHeight="1">
      <c r="A703" s="3" t="str">
        <f>IF(バッグ!A75="","",バッグ!A75)</f>
        <v/>
      </c>
      <c r="B703" s="68" t="str">
        <f>IF(バッグ!B75="","",バッグ!B75)</f>
        <v/>
      </c>
      <c r="C703" s="3" t="str">
        <f>IF(バッグ!C75="","",バッグ!C75)</f>
        <v>◇ E</v>
      </c>
      <c r="D703" s="3" t="str">
        <f>IF(バッグ!E75="","",バッグ!E75)</f>
        <v>無</v>
      </c>
      <c r="E703" s="3" t="str">
        <f>IF(バッグ!AF75="","",バッグ!AF75)</f>
        <v>ベースB</v>
      </c>
      <c r="F703" s="3" t="str">
        <f>IF(バッグ!G75="","",バッグ!G75)</f>
        <v/>
      </c>
      <c r="G703" s="3" t="str">
        <f>IF(バッグ!H75="","",バッグ!H75)</f>
        <v/>
      </c>
      <c r="H703" s="3" t="str">
        <f>IF(バッグ!I75="","",バッグ!I75)</f>
        <v>≪メイン≫：　≪内ポケット≫：　≪外ポケット≫：</v>
      </c>
      <c r="I703" s="3" t="str">
        <f>IF(バッグ!M75="","",バッグ!M75)</f>
        <v/>
      </c>
      <c r="J703" s="3" t="str">
        <f>IF(バッグ!N75="","",バッグ!N75)</f>
        <v/>
      </c>
      <c r="K703" s="3" t="str">
        <f>IF(バッグ!O75="","",バッグ!O75)</f>
        <v/>
      </c>
      <c r="L703" s="69" t="s">
        <v>80</v>
      </c>
      <c r="M703" s="69" t="s">
        <v>19</v>
      </c>
      <c r="N703" s="69" t="s">
        <v>20</v>
      </c>
      <c r="O703" s="69" t="s">
        <v>21</v>
      </c>
      <c r="P703" s="4" t="s">
        <v>3036</v>
      </c>
      <c r="Q703" s="4" t="s">
        <v>3038</v>
      </c>
      <c r="R703" s="69" t="s">
        <v>22</v>
      </c>
      <c r="S703" s="69" t="s">
        <v>23</v>
      </c>
      <c r="T703" s="69" t="s">
        <v>22</v>
      </c>
      <c r="U703" s="69" t="s">
        <v>24</v>
      </c>
      <c r="V703" s="69" t="s">
        <v>25</v>
      </c>
      <c r="W703" s="69" t="s">
        <v>26</v>
      </c>
      <c r="X703" s="3" t="str">
        <f>バッグ!AE75</f>
        <v>縦幅：約cm　横幅：約cm　マチ幅：約cm　持ち手：約cm  ショルダーベルト：約cm</v>
      </c>
      <c r="Y703" s="69" t="s">
        <v>28</v>
      </c>
      <c r="Z703" s="69" t="s">
        <v>29</v>
      </c>
      <c r="AA703" s="4"/>
      <c r="AB703" s="4"/>
      <c r="AC703" s="4"/>
      <c r="AD703" s="70"/>
      <c r="AE703" s="70">
        <f>バッグ!AJ75</f>
        <v>0</v>
      </c>
      <c r="AF703" s="70" t="str">
        <f>バッグ!W75</f>
        <v>通常</v>
      </c>
      <c r="AG703" s="70">
        <v>0</v>
      </c>
      <c r="AH703" s="9">
        <f>バッグ!AH75</f>
        <v>0</v>
      </c>
      <c r="AI703">
        <v>1</v>
      </c>
      <c r="AJ703">
        <f>バッグ!Z75</f>
        <v>0</v>
      </c>
    </row>
    <row r="704" spans="1:36" ht="13.5" hidden="1" customHeight="1">
      <c r="A704" s="3" t="str">
        <f>IF(バッグ!A76="","",バッグ!A76)</f>
        <v/>
      </c>
      <c r="B704" s="68" t="str">
        <f>IF(バッグ!B76="","",バッグ!B76)</f>
        <v/>
      </c>
      <c r="C704" s="3" t="str">
        <f>IF(バッグ!C76="","",バッグ!C76)</f>
        <v>◇ E</v>
      </c>
      <c r="D704" s="3" t="str">
        <f>IF(バッグ!E76="","",バッグ!E76)</f>
        <v>無</v>
      </c>
      <c r="E704" s="3" t="str">
        <f>IF(バッグ!AF76="","",バッグ!AF76)</f>
        <v>ベースB</v>
      </c>
      <c r="F704" s="3" t="str">
        <f>IF(バッグ!G76="","",バッグ!G76)</f>
        <v/>
      </c>
      <c r="G704" s="3" t="str">
        <f>IF(バッグ!H76="","",バッグ!H76)</f>
        <v/>
      </c>
      <c r="H704" s="3" t="str">
        <f>IF(バッグ!I76="","",バッグ!I76)</f>
        <v>≪メイン≫：　≪内ポケット≫：　≪外ポケット≫：</v>
      </c>
      <c r="I704" s="3" t="str">
        <f>IF(バッグ!M76="","",バッグ!M76)</f>
        <v/>
      </c>
      <c r="J704" s="3" t="str">
        <f>IF(バッグ!N76="","",バッグ!N76)</f>
        <v/>
      </c>
      <c r="K704" s="3" t="str">
        <f>IF(バッグ!O76="","",バッグ!O76)</f>
        <v/>
      </c>
      <c r="L704" s="69" t="s">
        <v>80</v>
      </c>
      <c r="M704" s="69" t="s">
        <v>19</v>
      </c>
      <c r="N704" s="69" t="s">
        <v>20</v>
      </c>
      <c r="O704" s="69" t="s">
        <v>21</v>
      </c>
      <c r="P704" s="4" t="s">
        <v>3036</v>
      </c>
      <c r="Q704" s="4" t="s">
        <v>3038</v>
      </c>
      <c r="R704" s="69" t="s">
        <v>22</v>
      </c>
      <c r="S704" s="69" t="s">
        <v>23</v>
      </c>
      <c r="T704" s="69" t="s">
        <v>22</v>
      </c>
      <c r="U704" s="69" t="s">
        <v>24</v>
      </c>
      <c r="V704" s="69" t="s">
        <v>25</v>
      </c>
      <c r="W704" s="69" t="s">
        <v>26</v>
      </c>
      <c r="X704" s="3" t="str">
        <f>バッグ!AE76</f>
        <v>縦幅：約cm　横幅：約cm　マチ幅：約cm　持ち手：約cm  ショルダーベルト：約cm</v>
      </c>
      <c r="Y704" s="69" t="s">
        <v>28</v>
      </c>
      <c r="Z704" s="69" t="s">
        <v>29</v>
      </c>
      <c r="AA704" s="4"/>
      <c r="AB704" s="4"/>
      <c r="AC704" s="4"/>
      <c r="AD704" s="70"/>
      <c r="AE704" s="70">
        <f>バッグ!AJ76</f>
        <v>0</v>
      </c>
      <c r="AF704" s="70" t="str">
        <f>バッグ!W76</f>
        <v>通常</v>
      </c>
      <c r="AG704" s="70">
        <v>0</v>
      </c>
      <c r="AH704" s="9">
        <f>バッグ!AH76</f>
        <v>0</v>
      </c>
      <c r="AI704">
        <v>1</v>
      </c>
      <c r="AJ704">
        <f>バッグ!Z76</f>
        <v>0</v>
      </c>
    </row>
    <row r="705" spans="1:36" ht="13.5" hidden="1" customHeight="1">
      <c r="A705" s="3" t="str">
        <f>IF(バッグ!A77="","",バッグ!A77)</f>
        <v/>
      </c>
      <c r="B705" s="68" t="str">
        <f>IF(バッグ!B77="","",バッグ!B77)</f>
        <v/>
      </c>
      <c r="C705" s="3" t="str">
        <f>IF(バッグ!C77="","",バッグ!C77)</f>
        <v>◇ E</v>
      </c>
      <c r="D705" s="3" t="str">
        <f>IF(バッグ!E77="","",バッグ!E77)</f>
        <v>無</v>
      </c>
      <c r="E705" s="3" t="str">
        <f>IF(バッグ!AF77="","",バッグ!AF77)</f>
        <v>ベースB</v>
      </c>
      <c r="F705" s="3" t="str">
        <f>IF(バッグ!G77="","",バッグ!G77)</f>
        <v/>
      </c>
      <c r="G705" s="3" t="str">
        <f>IF(バッグ!H77="","",バッグ!H77)</f>
        <v/>
      </c>
      <c r="H705" s="3" t="str">
        <f>IF(バッグ!I77="","",バッグ!I77)</f>
        <v>≪メイン≫：　≪内ポケット≫：　≪外ポケット≫：</v>
      </c>
      <c r="I705" s="3" t="str">
        <f>IF(バッグ!M77="","",バッグ!M77)</f>
        <v/>
      </c>
      <c r="J705" s="3" t="str">
        <f>IF(バッグ!N77="","",バッグ!N77)</f>
        <v/>
      </c>
      <c r="K705" s="3" t="str">
        <f>IF(バッグ!O77="","",バッグ!O77)</f>
        <v/>
      </c>
      <c r="L705" s="69" t="s">
        <v>80</v>
      </c>
      <c r="M705" s="69" t="s">
        <v>19</v>
      </c>
      <c r="N705" s="69" t="s">
        <v>20</v>
      </c>
      <c r="O705" s="69" t="s">
        <v>21</v>
      </c>
      <c r="P705" s="4" t="s">
        <v>3036</v>
      </c>
      <c r="Q705" s="4" t="s">
        <v>3038</v>
      </c>
      <c r="R705" s="69" t="s">
        <v>22</v>
      </c>
      <c r="S705" s="69" t="s">
        <v>23</v>
      </c>
      <c r="T705" s="69" t="s">
        <v>22</v>
      </c>
      <c r="U705" s="69" t="s">
        <v>24</v>
      </c>
      <c r="V705" s="69" t="s">
        <v>25</v>
      </c>
      <c r="W705" s="69" t="s">
        <v>26</v>
      </c>
      <c r="X705" s="3" t="str">
        <f>バッグ!AE77</f>
        <v>縦幅：約cm　横幅：約cm　マチ幅：約cm　持ち手：約cm  ショルダーベルト：約cm</v>
      </c>
      <c r="Y705" s="69" t="s">
        <v>28</v>
      </c>
      <c r="Z705" s="69" t="s">
        <v>29</v>
      </c>
      <c r="AA705" s="4"/>
      <c r="AB705" s="4"/>
      <c r="AC705" s="4"/>
      <c r="AD705" s="70"/>
      <c r="AE705" s="70">
        <f>バッグ!AJ77</f>
        <v>0</v>
      </c>
      <c r="AF705" s="70" t="str">
        <f>バッグ!W77</f>
        <v>通常</v>
      </c>
      <c r="AG705" s="70">
        <v>0</v>
      </c>
      <c r="AH705" s="9">
        <f>バッグ!AH77</f>
        <v>0</v>
      </c>
      <c r="AI705">
        <v>1</v>
      </c>
      <c r="AJ705">
        <f>バッグ!Z77</f>
        <v>0</v>
      </c>
    </row>
    <row r="706" spans="1:36" ht="13.5" hidden="1" customHeight="1">
      <c r="A706" s="3" t="str">
        <f>IF(バッグ!A78="","",バッグ!A78)</f>
        <v/>
      </c>
      <c r="B706" s="68" t="str">
        <f>IF(バッグ!B78="","",バッグ!B78)</f>
        <v/>
      </c>
      <c r="C706" s="3" t="str">
        <f>IF(バッグ!C78="","",バッグ!C78)</f>
        <v>◇ E</v>
      </c>
      <c r="D706" s="3" t="str">
        <f>IF(バッグ!E78="","",バッグ!E78)</f>
        <v>無</v>
      </c>
      <c r="E706" s="3" t="str">
        <f>IF(バッグ!AF78="","",バッグ!AF78)</f>
        <v>ベースB</v>
      </c>
      <c r="F706" s="3" t="str">
        <f>IF(バッグ!G78="","",バッグ!G78)</f>
        <v/>
      </c>
      <c r="G706" s="3" t="str">
        <f>IF(バッグ!H78="","",バッグ!H78)</f>
        <v/>
      </c>
      <c r="H706" s="3" t="str">
        <f>IF(バッグ!I78="","",バッグ!I78)</f>
        <v>≪メイン≫：　≪内ポケット≫：　≪外ポケット≫：</v>
      </c>
      <c r="I706" s="3" t="str">
        <f>IF(バッグ!M78="","",バッグ!M78)</f>
        <v/>
      </c>
      <c r="J706" s="3" t="str">
        <f>IF(バッグ!N78="","",バッグ!N78)</f>
        <v/>
      </c>
      <c r="K706" s="3" t="str">
        <f>IF(バッグ!O78="","",バッグ!O78)</f>
        <v/>
      </c>
      <c r="L706" s="69" t="s">
        <v>80</v>
      </c>
      <c r="M706" s="69" t="s">
        <v>19</v>
      </c>
      <c r="N706" s="69" t="s">
        <v>20</v>
      </c>
      <c r="O706" s="69" t="s">
        <v>21</v>
      </c>
      <c r="P706" s="4" t="s">
        <v>3036</v>
      </c>
      <c r="Q706" s="4" t="s">
        <v>3038</v>
      </c>
      <c r="R706" s="69" t="s">
        <v>22</v>
      </c>
      <c r="S706" s="69" t="s">
        <v>23</v>
      </c>
      <c r="T706" s="69" t="s">
        <v>22</v>
      </c>
      <c r="U706" s="69" t="s">
        <v>24</v>
      </c>
      <c r="V706" s="69" t="s">
        <v>25</v>
      </c>
      <c r="W706" s="69" t="s">
        <v>26</v>
      </c>
      <c r="X706" s="3" t="str">
        <f>バッグ!AE78</f>
        <v>縦幅：約cm　横幅：約cm　マチ幅：約cm　持ち手：約cm  ショルダーベルト：約cm</v>
      </c>
      <c r="Y706" s="69" t="s">
        <v>28</v>
      </c>
      <c r="Z706" s="69" t="s">
        <v>29</v>
      </c>
      <c r="AA706" s="4"/>
      <c r="AB706" s="4"/>
      <c r="AC706" s="4"/>
      <c r="AD706" s="70"/>
      <c r="AE706" s="70">
        <f>バッグ!AJ78</f>
        <v>0</v>
      </c>
      <c r="AF706" s="70" t="str">
        <f>バッグ!W78</f>
        <v>通常</v>
      </c>
      <c r="AG706" s="70">
        <v>0</v>
      </c>
      <c r="AH706" s="9">
        <f>バッグ!AH78</f>
        <v>0</v>
      </c>
      <c r="AI706">
        <v>1</v>
      </c>
      <c r="AJ706">
        <f>バッグ!Z78</f>
        <v>0</v>
      </c>
    </row>
    <row r="707" spans="1:36" ht="13.5" hidden="1" customHeight="1">
      <c r="A707" s="3" t="str">
        <f>IF(バッグ!A79="","",バッグ!A79)</f>
        <v/>
      </c>
      <c r="B707" s="68" t="str">
        <f>IF(バッグ!B79="","",バッグ!B79)</f>
        <v/>
      </c>
      <c r="C707" s="3" t="str">
        <f>IF(バッグ!C79="","",バッグ!C79)</f>
        <v>◇ E</v>
      </c>
      <c r="D707" s="3" t="str">
        <f>IF(バッグ!E79="","",バッグ!E79)</f>
        <v>無</v>
      </c>
      <c r="E707" s="3" t="str">
        <f>IF(バッグ!AF79="","",バッグ!AF79)</f>
        <v>ベースB</v>
      </c>
      <c r="F707" s="3" t="str">
        <f>IF(バッグ!G79="","",バッグ!G79)</f>
        <v/>
      </c>
      <c r="G707" s="3" t="str">
        <f>IF(バッグ!H79="","",バッグ!H79)</f>
        <v/>
      </c>
      <c r="H707" s="3" t="str">
        <f>IF(バッグ!I79="","",バッグ!I79)</f>
        <v>≪メイン≫：　≪内ポケット≫：　≪外ポケット≫：</v>
      </c>
      <c r="I707" s="3" t="str">
        <f>IF(バッグ!M79="","",バッグ!M79)</f>
        <v/>
      </c>
      <c r="J707" s="3" t="str">
        <f>IF(バッグ!N79="","",バッグ!N79)</f>
        <v/>
      </c>
      <c r="K707" s="3" t="str">
        <f>IF(バッグ!O79="","",バッグ!O79)</f>
        <v/>
      </c>
      <c r="L707" s="69" t="s">
        <v>80</v>
      </c>
      <c r="M707" s="69" t="s">
        <v>19</v>
      </c>
      <c r="N707" s="69" t="s">
        <v>20</v>
      </c>
      <c r="O707" s="69" t="s">
        <v>21</v>
      </c>
      <c r="P707" s="4" t="s">
        <v>3036</v>
      </c>
      <c r="Q707" s="4" t="s">
        <v>3038</v>
      </c>
      <c r="R707" s="69" t="s">
        <v>22</v>
      </c>
      <c r="S707" s="69" t="s">
        <v>23</v>
      </c>
      <c r="T707" s="69" t="s">
        <v>22</v>
      </c>
      <c r="U707" s="69" t="s">
        <v>24</v>
      </c>
      <c r="V707" s="69" t="s">
        <v>25</v>
      </c>
      <c r="W707" s="69" t="s">
        <v>26</v>
      </c>
      <c r="X707" s="3" t="str">
        <f>バッグ!AE79</f>
        <v>縦幅：約cm　横幅：約cm　マチ幅：約cm　持ち手：約cm  ショルダーベルト：約cm</v>
      </c>
      <c r="Y707" s="69" t="s">
        <v>28</v>
      </c>
      <c r="Z707" s="69" t="s">
        <v>29</v>
      </c>
      <c r="AA707" s="4"/>
      <c r="AB707" s="4"/>
      <c r="AC707" s="4"/>
      <c r="AD707" s="70"/>
      <c r="AE707" s="70">
        <f>バッグ!AJ79</f>
        <v>0</v>
      </c>
      <c r="AF707" s="70" t="str">
        <f>バッグ!W79</f>
        <v>通常</v>
      </c>
      <c r="AG707" s="70">
        <v>0</v>
      </c>
      <c r="AH707" s="9">
        <f>バッグ!AH79</f>
        <v>0</v>
      </c>
      <c r="AI707">
        <v>1</v>
      </c>
      <c r="AJ707">
        <f>バッグ!Z79</f>
        <v>0</v>
      </c>
    </row>
    <row r="708" spans="1:36" ht="13.5" hidden="1" customHeight="1">
      <c r="A708" s="3" t="str">
        <f>IF(バッグ!A80="","",バッグ!A80)</f>
        <v/>
      </c>
      <c r="B708" s="68" t="str">
        <f>IF(バッグ!B80="","",バッグ!B80)</f>
        <v/>
      </c>
      <c r="C708" s="3" t="str">
        <f>IF(バッグ!C80="","",バッグ!C80)</f>
        <v>◇ E</v>
      </c>
      <c r="D708" s="3" t="str">
        <f>IF(バッグ!E80="","",バッグ!E80)</f>
        <v>無</v>
      </c>
      <c r="E708" s="3" t="str">
        <f>IF(バッグ!AF80="","",バッグ!AF80)</f>
        <v>ベースB</v>
      </c>
      <c r="F708" s="3" t="str">
        <f>IF(バッグ!G80="","",バッグ!G80)</f>
        <v/>
      </c>
      <c r="G708" s="3" t="str">
        <f>IF(バッグ!H80="","",バッグ!H80)</f>
        <v/>
      </c>
      <c r="H708" s="3" t="str">
        <f>IF(バッグ!I80="","",バッグ!I80)</f>
        <v>≪メイン≫：　≪内ポケット≫：　≪外ポケット≫：</v>
      </c>
      <c r="I708" s="3" t="str">
        <f>IF(バッグ!M80="","",バッグ!M80)</f>
        <v/>
      </c>
      <c r="J708" s="3" t="str">
        <f>IF(バッグ!N80="","",バッグ!N80)</f>
        <v/>
      </c>
      <c r="K708" s="3" t="str">
        <f>IF(バッグ!O80="","",バッグ!O80)</f>
        <v/>
      </c>
      <c r="L708" s="69" t="s">
        <v>80</v>
      </c>
      <c r="M708" s="69" t="s">
        <v>19</v>
      </c>
      <c r="N708" s="69" t="s">
        <v>20</v>
      </c>
      <c r="O708" s="69" t="s">
        <v>21</v>
      </c>
      <c r="P708" s="4" t="s">
        <v>3036</v>
      </c>
      <c r="Q708" s="4" t="s">
        <v>3038</v>
      </c>
      <c r="R708" s="69" t="s">
        <v>22</v>
      </c>
      <c r="S708" s="69" t="s">
        <v>23</v>
      </c>
      <c r="T708" s="69" t="s">
        <v>22</v>
      </c>
      <c r="U708" s="69" t="s">
        <v>24</v>
      </c>
      <c r="V708" s="69" t="s">
        <v>25</v>
      </c>
      <c r="W708" s="69" t="s">
        <v>26</v>
      </c>
      <c r="X708" s="3" t="str">
        <f>バッグ!AE80</f>
        <v>縦幅：約cm　横幅：約cm　マチ幅：約cm　持ち手：約cm  ショルダーベルト：約cm</v>
      </c>
      <c r="Y708" s="69" t="s">
        <v>28</v>
      </c>
      <c r="Z708" s="69" t="s">
        <v>29</v>
      </c>
      <c r="AA708" s="4"/>
      <c r="AB708" s="4"/>
      <c r="AC708" s="4"/>
      <c r="AD708" s="70"/>
      <c r="AE708" s="70">
        <f>バッグ!AJ80</f>
        <v>0</v>
      </c>
      <c r="AF708" s="70" t="str">
        <f>バッグ!W80</f>
        <v>通常</v>
      </c>
      <c r="AG708" s="70">
        <v>0</v>
      </c>
      <c r="AH708" s="9">
        <f>バッグ!AH80</f>
        <v>0</v>
      </c>
      <c r="AI708">
        <v>1</v>
      </c>
      <c r="AJ708">
        <f>バッグ!Z80</f>
        <v>0</v>
      </c>
    </row>
    <row r="709" spans="1:36" ht="13.5" hidden="1" customHeight="1">
      <c r="A709" s="3" t="str">
        <f>IF(バッグ!A81="","",バッグ!A81)</f>
        <v/>
      </c>
      <c r="B709" s="68" t="str">
        <f>IF(バッグ!B81="","",バッグ!B81)</f>
        <v/>
      </c>
      <c r="C709" s="3" t="str">
        <f>IF(バッグ!C81="","",バッグ!C81)</f>
        <v>◇ E</v>
      </c>
      <c r="D709" s="3" t="str">
        <f>IF(バッグ!E81="","",バッグ!E81)</f>
        <v>無</v>
      </c>
      <c r="E709" s="3" t="str">
        <f>IF(バッグ!AF81="","",バッグ!AF81)</f>
        <v>ベースB</v>
      </c>
      <c r="F709" s="3" t="str">
        <f>IF(バッグ!G81="","",バッグ!G81)</f>
        <v/>
      </c>
      <c r="G709" s="3" t="str">
        <f>IF(バッグ!H81="","",バッグ!H81)</f>
        <v/>
      </c>
      <c r="H709" s="3" t="str">
        <f>IF(バッグ!I81="","",バッグ!I81)</f>
        <v>≪メイン≫：　≪内ポケット≫：　≪外ポケット≫：</v>
      </c>
      <c r="I709" s="3" t="str">
        <f>IF(バッグ!M81="","",バッグ!M81)</f>
        <v/>
      </c>
      <c r="J709" s="3" t="str">
        <f>IF(バッグ!N81="","",バッグ!N81)</f>
        <v/>
      </c>
      <c r="K709" s="3" t="str">
        <f>IF(バッグ!O81="","",バッグ!O81)</f>
        <v/>
      </c>
      <c r="L709" s="69" t="s">
        <v>80</v>
      </c>
      <c r="M709" s="69" t="s">
        <v>19</v>
      </c>
      <c r="N709" s="69" t="s">
        <v>20</v>
      </c>
      <c r="O709" s="69" t="s">
        <v>21</v>
      </c>
      <c r="P709" s="4" t="s">
        <v>3036</v>
      </c>
      <c r="Q709" s="4" t="s">
        <v>3038</v>
      </c>
      <c r="R709" s="69" t="s">
        <v>22</v>
      </c>
      <c r="S709" s="69" t="s">
        <v>23</v>
      </c>
      <c r="T709" s="69" t="s">
        <v>22</v>
      </c>
      <c r="U709" s="69" t="s">
        <v>24</v>
      </c>
      <c r="V709" s="69" t="s">
        <v>25</v>
      </c>
      <c r="W709" s="69" t="s">
        <v>26</v>
      </c>
      <c r="X709" s="3" t="str">
        <f>バッグ!AE81</f>
        <v>縦幅：約cm　横幅：約cm　マチ幅：約cm　持ち手：約cm  ショルダーベルト：約cm</v>
      </c>
      <c r="Y709" s="69" t="s">
        <v>28</v>
      </c>
      <c r="Z709" s="69" t="s">
        <v>29</v>
      </c>
      <c r="AA709" s="4"/>
      <c r="AB709" s="4"/>
      <c r="AC709" s="4"/>
      <c r="AD709" s="70"/>
      <c r="AE709" s="70">
        <f>バッグ!AJ81</f>
        <v>0</v>
      </c>
      <c r="AF709" s="70" t="str">
        <f>バッグ!W81</f>
        <v>通常</v>
      </c>
      <c r="AG709" s="70">
        <v>0</v>
      </c>
      <c r="AH709" s="9">
        <f>バッグ!AH81</f>
        <v>0</v>
      </c>
      <c r="AI709">
        <v>1</v>
      </c>
      <c r="AJ709">
        <f>バッグ!Z81</f>
        <v>0</v>
      </c>
    </row>
    <row r="710" spans="1:36" ht="13.5" hidden="1" customHeight="1">
      <c r="A710" s="3" t="str">
        <f>IF(バッグ!A82="","",バッグ!A82)</f>
        <v/>
      </c>
      <c r="B710" s="68" t="str">
        <f>IF(バッグ!B82="","",バッグ!B82)</f>
        <v/>
      </c>
      <c r="C710" s="3" t="str">
        <f>IF(バッグ!C82="","",バッグ!C82)</f>
        <v>◇ E</v>
      </c>
      <c r="D710" s="3" t="str">
        <f>IF(バッグ!E82="","",バッグ!E82)</f>
        <v>無</v>
      </c>
      <c r="E710" s="3" t="str">
        <f>IF(バッグ!AF82="","",バッグ!AF82)</f>
        <v>ベースB</v>
      </c>
      <c r="F710" s="3" t="str">
        <f>IF(バッグ!G82="","",バッグ!G82)</f>
        <v/>
      </c>
      <c r="G710" s="3" t="str">
        <f>IF(バッグ!H82="","",バッグ!H82)</f>
        <v/>
      </c>
      <c r="H710" s="3" t="str">
        <f>IF(バッグ!I82="","",バッグ!I82)</f>
        <v>≪メイン≫：　≪内ポケット≫：　≪外ポケット≫：</v>
      </c>
      <c r="I710" s="3" t="str">
        <f>IF(バッグ!M82="","",バッグ!M82)</f>
        <v/>
      </c>
      <c r="J710" s="3" t="str">
        <f>IF(バッグ!N82="","",バッグ!N82)</f>
        <v/>
      </c>
      <c r="K710" s="3" t="str">
        <f>IF(バッグ!O82="","",バッグ!O82)</f>
        <v/>
      </c>
      <c r="L710" s="69" t="s">
        <v>80</v>
      </c>
      <c r="M710" s="69" t="s">
        <v>19</v>
      </c>
      <c r="N710" s="69" t="s">
        <v>20</v>
      </c>
      <c r="O710" s="69" t="s">
        <v>21</v>
      </c>
      <c r="P710" s="4" t="s">
        <v>3036</v>
      </c>
      <c r="Q710" s="4" t="s">
        <v>3038</v>
      </c>
      <c r="R710" s="69" t="s">
        <v>22</v>
      </c>
      <c r="S710" s="69" t="s">
        <v>23</v>
      </c>
      <c r="T710" s="69" t="s">
        <v>22</v>
      </c>
      <c r="U710" s="69" t="s">
        <v>24</v>
      </c>
      <c r="V710" s="69" t="s">
        <v>25</v>
      </c>
      <c r="W710" s="69" t="s">
        <v>26</v>
      </c>
      <c r="X710" s="3" t="str">
        <f>バッグ!AE82</f>
        <v>縦幅：約cm　横幅：約cm　マチ幅：約cm　持ち手：約cm  ショルダーベルト：約cm</v>
      </c>
      <c r="Y710" s="69" t="s">
        <v>28</v>
      </c>
      <c r="Z710" s="69" t="s">
        <v>29</v>
      </c>
      <c r="AA710" s="4"/>
      <c r="AB710" s="4"/>
      <c r="AC710" s="4"/>
      <c r="AD710" s="70"/>
      <c r="AE710" s="70">
        <f>バッグ!AJ82</f>
        <v>0</v>
      </c>
      <c r="AF710" s="70" t="str">
        <f>バッグ!W82</f>
        <v>通常</v>
      </c>
      <c r="AG710" s="70">
        <v>0</v>
      </c>
      <c r="AH710" s="9">
        <f>バッグ!AH82</f>
        <v>0</v>
      </c>
      <c r="AI710">
        <v>1</v>
      </c>
      <c r="AJ710">
        <f>バッグ!Z82</f>
        <v>0</v>
      </c>
    </row>
    <row r="711" spans="1:36" ht="13.5" hidden="1" customHeight="1">
      <c r="A711" s="3" t="str">
        <f>IF(バッグ!A83="","",バッグ!A83)</f>
        <v/>
      </c>
      <c r="B711" s="68" t="str">
        <f>IF(バッグ!B83="","",バッグ!B83)</f>
        <v/>
      </c>
      <c r="C711" s="3" t="str">
        <f>IF(バッグ!C83="","",バッグ!C83)</f>
        <v>◇ E</v>
      </c>
      <c r="D711" s="3" t="str">
        <f>IF(バッグ!E83="","",バッグ!E83)</f>
        <v>無</v>
      </c>
      <c r="E711" s="3" t="str">
        <f>IF(バッグ!AF83="","",バッグ!AF83)</f>
        <v>ベースB</v>
      </c>
      <c r="F711" s="3" t="str">
        <f>IF(バッグ!G83="","",バッグ!G83)</f>
        <v/>
      </c>
      <c r="G711" s="3" t="str">
        <f>IF(バッグ!H83="","",バッグ!H83)</f>
        <v/>
      </c>
      <c r="H711" s="3" t="str">
        <f>IF(バッグ!I83="","",バッグ!I83)</f>
        <v>≪メイン≫：　≪内ポケット≫：　≪外ポケット≫：</v>
      </c>
      <c r="I711" s="3" t="str">
        <f>IF(バッグ!M83="","",バッグ!M83)</f>
        <v/>
      </c>
      <c r="J711" s="3" t="str">
        <f>IF(バッグ!N83="","",バッグ!N83)</f>
        <v/>
      </c>
      <c r="K711" s="3" t="str">
        <f>IF(バッグ!O83="","",バッグ!O83)</f>
        <v/>
      </c>
      <c r="L711" s="69" t="s">
        <v>80</v>
      </c>
      <c r="M711" s="69" t="s">
        <v>19</v>
      </c>
      <c r="N711" s="69" t="s">
        <v>20</v>
      </c>
      <c r="O711" s="69" t="s">
        <v>21</v>
      </c>
      <c r="P711" s="4" t="s">
        <v>3036</v>
      </c>
      <c r="Q711" s="4" t="s">
        <v>3038</v>
      </c>
      <c r="R711" s="69" t="s">
        <v>22</v>
      </c>
      <c r="S711" s="69" t="s">
        <v>23</v>
      </c>
      <c r="T711" s="69" t="s">
        <v>22</v>
      </c>
      <c r="U711" s="69" t="s">
        <v>24</v>
      </c>
      <c r="V711" s="69" t="s">
        <v>25</v>
      </c>
      <c r="W711" s="69" t="s">
        <v>26</v>
      </c>
      <c r="X711" s="3" t="str">
        <f>バッグ!AE83</f>
        <v>縦幅：約cm　横幅：約cm　マチ幅：約cm　持ち手：約cm  ショルダーベルト：約cm</v>
      </c>
      <c r="Y711" s="69" t="s">
        <v>28</v>
      </c>
      <c r="Z711" s="69" t="s">
        <v>29</v>
      </c>
      <c r="AA711" s="4"/>
      <c r="AB711" s="4"/>
      <c r="AC711" s="4"/>
      <c r="AD711" s="70"/>
      <c r="AE711" s="70">
        <f>バッグ!AJ83</f>
        <v>0</v>
      </c>
      <c r="AF711" s="70" t="str">
        <f>バッグ!W83</f>
        <v>通常</v>
      </c>
      <c r="AG711" s="70">
        <v>0</v>
      </c>
      <c r="AH711" s="9">
        <f>バッグ!AH83</f>
        <v>0</v>
      </c>
      <c r="AI711">
        <v>1</v>
      </c>
      <c r="AJ711">
        <f>バッグ!Z83</f>
        <v>0</v>
      </c>
    </row>
    <row r="712" spans="1:36" ht="13.5" hidden="1" customHeight="1">
      <c r="A712" s="3" t="str">
        <f>IF(バッグ!A84="","",バッグ!A84)</f>
        <v/>
      </c>
      <c r="B712" s="68" t="str">
        <f>IF(バッグ!B84="","",バッグ!B84)</f>
        <v/>
      </c>
      <c r="C712" s="3" t="str">
        <f>IF(バッグ!C84="","",バッグ!C84)</f>
        <v>◇ E</v>
      </c>
      <c r="D712" s="3" t="str">
        <f>IF(バッグ!E84="","",バッグ!E84)</f>
        <v>無</v>
      </c>
      <c r="E712" s="3" t="str">
        <f>IF(バッグ!AF84="","",バッグ!AF84)</f>
        <v>ベースB</v>
      </c>
      <c r="F712" s="3" t="str">
        <f>IF(バッグ!G84="","",バッグ!G84)</f>
        <v/>
      </c>
      <c r="G712" s="3" t="str">
        <f>IF(バッグ!H84="","",バッグ!H84)</f>
        <v/>
      </c>
      <c r="H712" s="3" t="str">
        <f>IF(バッグ!I84="","",バッグ!I84)</f>
        <v>≪メイン≫：　≪内ポケット≫：　≪外ポケット≫：</v>
      </c>
      <c r="I712" s="3" t="str">
        <f>IF(バッグ!M84="","",バッグ!M84)</f>
        <v/>
      </c>
      <c r="J712" s="3" t="str">
        <f>IF(バッグ!N84="","",バッグ!N84)</f>
        <v/>
      </c>
      <c r="K712" s="3" t="str">
        <f>IF(バッグ!O84="","",バッグ!O84)</f>
        <v/>
      </c>
      <c r="L712" s="69" t="s">
        <v>80</v>
      </c>
      <c r="M712" s="69" t="s">
        <v>19</v>
      </c>
      <c r="N712" s="69" t="s">
        <v>20</v>
      </c>
      <c r="O712" s="69" t="s">
        <v>21</v>
      </c>
      <c r="P712" s="4" t="s">
        <v>3036</v>
      </c>
      <c r="Q712" s="4" t="s">
        <v>3038</v>
      </c>
      <c r="R712" s="69" t="s">
        <v>22</v>
      </c>
      <c r="S712" s="69" t="s">
        <v>23</v>
      </c>
      <c r="T712" s="69" t="s">
        <v>22</v>
      </c>
      <c r="U712" s="69" t="s">
        <v>24</v>
      </c>
      <c r="V712" s="69" t="s">
        <v>25</v>
      </c>
      <c r="W712" s="69" t="s">
        <v>26</v>
      </c>
      <c r="X712" s="3" t="str">
        <f>バッグ!AE84</f>
        <v>縦幅：約cm　横幅：約cm　マチ幅：約cm　持ち手：約cm  ショルダーベルト：約cm</v>
      </c>
      <c r="Y712" s="69" t="s">
        <v>28</v>
      </c>
      <c r="Z712" s="69" t="s">
        <v>29</v>
      </c>
      <c r="AA712" s="4"/>
      <c r="AB712" s="4"/>
      <c r="AC712" s="4"/>
      <c r="AD712" s="70"/>
      <c r="AE712" s="70">
        <f>バッグ!AJ84</f>
        <v>0</v>
      </c>
      <c r="AF712" s="70" t="str">
        <f>バッグ!W84</f>
        <v>通常</v>
      </c>
      <c r="AG712" s="70">
        <v>0</v>
      </c>
      <c r="AH712" s="9">
        <f>バッグ!AH84</f>
        <v>0</v>
      </c>
      <c r="AI712">
        <v>1</v>
      </c>
      <c r="AJ712">
        <f>バッグ!Z84</f>
        <v>0</v>
      </c>
    </row>
    <row r="713" spans="1:36" ht="13.5" hidden="1" customHeight="1">
      <c r="A713" s="3" t="str">
        <f>IF(ネックレス!A2="","",ネックレス!A2)</f>
        <v/>
      </c>
      <c r="B713" s="68" t="str">
        <f>IF(ネックレス!B2="","",ネックレス!B2)</f>
        <v/>
      </c>
      <c r="C713" s="3" t="str">
        <f>IF(ネックレス!C2="","",ネックレス!C2)</f>
        <v>◇ E</v>
      </c>
      <c r="D713" s="3" t="str">
        <f>IF(ネックレス!E2="","",ネックレス!E2)</f>
        <v>無</v>
      </c>
      <c r="E713" s="3" t="str">
        <f>IF(ネックレス!Z2="","",ネックレス!Z2)</f>
        <v>ベースB</v>
      </c>
      <c r="F713" s="3" t="str">
        <f>IF(ネックレス!G2="","",ネックレス!G2)</f>
        <v/>
      </c>
      <c r="G713" s="3" t="str">
        <f>IF(ネックレス!H2="","",ネックレス!H2)</f>
        <v/>
      </c>
      <c r="H713" s="3" t="str">
        <f>IF(ネックレス!I2="","",ネックレス!I2)</f>
        <v/>
      </c>
      <c r="I713" s="3" t="str">
        <f>IF(ネックレス!J2="","",ネックレス!J2)</f>
        <v/>
      </c>
      <c r="J713" s="3" t="str">
        <f>IF(ネックレス!K2="","",ネックレス!K2)</f>
        <v/>
      </c>
      <c r="K713" s="3" t="str">
        <f>IF(ネックレス!L2="","",ネックレス!L2)</f>
        <v>サイズ</v>
      </c>
      <c r="L713" s="69" t="s">
        <v>80</v>
      </c>
      <c r="M713" s="69" t="s">
        <v>19</v>
      </c>
      <c r="N713" s="69" t="s">
        <v>20</v>
      </c>
      <c r="O713" s="69" t="s">
        <v>21</v>
      </c>
      <c r="P713" s="4" t="s">
        <v>3036</v>
      </c>
      <c r="Q713" s="4" t="s">
        <v>3038</v>
      </c>
      <c r="R713" s="69" t="s">
        <v>22</v>
      </c>
      <c r="S713" s="69" t="s">
        <v>23</v>
      </c>
      <c r="T713" s="69" t="s">
        <v>22</v>
      </c>
      <c r="U713" s="69" t="s">
        <v>24</v>
      </c>
      <c r="V713" s="69" t="s">
        <v>25</v>
      </c>
      <c r="W713" s="69" t="s">
        <v>26</v>
      </c>
      <c r="X713" s="69" t="s">
        <v>27</v>
      </c>
      <c r="Y713" s="3" t="str">
        <f>ネックレス!Y2</f>
        <v>円周：約cm　幅：約cm　トップ縦幅：約cm　トップ横幅：約cm</v>
      </c>
      <c r="Z713" s="69" t="s">
        <v>29</v>
      </c>
      <c r="AA713" s="4"/>
      <c r="AB713" s="4"/>
      <c r="AC713" s="4"/>
      <c r="AD713" s="70"/>
      <c r="AE713" s="70">
        <f>ネックレス!AD2</f>
        <v>0</v>
      </c>
      <c r="AF713" s="70" t="str">
        <f>ネックレス!Q2</f>
        <v>通常</v>
      </c>
      <c r="AG713" s="70">
        <v>0</v>
      </c>
      <c r="AH713" s="9">
        <f>ネックレス!AB2</f>
        <v>0</v>
      </c>
      <c r="AI713">
        <v>1</v>
      </c>
      <c r="AJ713">
        <f>ネックレス!T2</f>
        <v>0</v>
      </c>
    </row>
    <row r="714" spans="1:36" ht="13.5" hidden="1" customHeight="1">
      <c r="A714" s="3" t="str">
        <f>IF(ネックレス!A3="","",ネックレス!A3)</f>
        <v/>
      </c>
      <c r="B714" s="68" t="str">
        <f>IF(ネックレス!B3="","",ネックレス!B3)</f>
        <v/>
      </c>
      <c r="C714" s="3" t="str">
        <f>IF(ネックレス!C3="","",ネックレス!C3)</f>
        <v>◇ E</v>
      </c>
      <c r="D714" s="3" t="str">
        <f>IF(ネックレス!E3="","",ネックレス!E3)</f>
        <v>無</v>
      </c>
      <c r="E714" s="3" t="str">
        <f>IF(ネックレス!Z3="","",ネックレス!Z3)</f>
        <v>ベースB</v>
      </c>
      <c r="F714" s="3" t="str">
        <f>IF(ネックレス!G3="","",ネックレス!G3)</f>
        <v/>
      </c>
      <c r="G714" s="3" t="str">
        <f>IF(ネックレス!H3="","",ネックレス!H3)</f>
        <v/>
      </c>
      <c r="H714" s="3" t="str">
        <f>IF(ネックレス!I3="","",ネックレス!I3)</f>
        <v/>
      </c>
      <c r="I714" s="3" t="str">
        <f>IF(ネックレス!J3="","",ネックレス!J3)</f>
        <v/>
      </c>
      <c r="J714" s="3" t="str">
        <f>IF(ネックレス!K3="","",ネックレス!K3)</f>
        <v/>
      </c>
      <c r="K714" s="3" t="str">
        <f>IF(ネックレス!L3="","",ネックレス!L3)</f>
        <v>サイズ</v>
      </c>
      <c r="L714" s="69" t="s">
        <v>80</v>
      </c>
      <c r="M714" s="69" t="s">
        <v>19</v>
      </c>
      <c r="N714" s="69" t="s">
        <v>20</v>
      </c>
      <c r="O714" s="69" t="s">
        <v>21</v>
      </c>
      <c r="P714" s="4" t="s">
        <v>3036</v>
      </c>
      <c r="Q714" s="4" t="s">
        <v>3038</v>
      </c>
      <c r="R714" s="69" t="s">
        <v>22</v>
      </c>
      <c r="S714" s="69" t="s">
        <v>23</v>
      </c>
      <c r="T714" s="69" t="s">
        <v>22</v>
      </c>
      <c r="U714" s="69" t="s">
        <v>24</v>
      </c>
      <c r="V714" s="69" t="s">
        <v>25</v>
      </c>
      <c r="W714" s="69" t="s">
        <v>26</v>
      </c>
      <c r="X714" s="69" t="s">
        <v>27</v>
      </c>
      <c r="Y714" s="3" t="str">
        <f>ネックレス!Y3</f>
        <v>円周：約cm　幅：約cm　トップ縦幅：約cm　トップ横幅：約cm</v>
      </c>
      <c r="Z714" s="69" t="s">
        <v>29</v>
      </c>
      <c r="AA714" s="4"/>
      <c r="AB714" s="4"/>
      <c r="AC714" s="4"/>
      <c r="AD714" s="70"/>
      <c r="AE714" s="70">
        <f>ネックレス!AD3</f>
        <v>0</v>
      </c>
      <c r="AF714" s="70" t="str">
        <f>ネックレス!Q3</f>
        <v>通常</v>
      </c>
      <c r="AG714" s="70">
        <v>0</v>
      </c>
      <c r="AH714" s="9">
        <f>ネックレス!AB3</f>
        <v>0</v>
      </c>
      <c r="AI714">
        <v>1</v>
      </c>
      <c r="AJ714">
        <f>ネックレス!T3</f>
        <v>0</v>
      </c>
    </row>
    <row r="715" spans="1:36" ht="13.5" hidden="1" customHeight="1">
      <c r="A715" s="3" t="str">
        <f>IF(ネックレス!A4="","",ネックレス!A4)</f>
        <v/>
      </c>
      <c r="B715" s="68" t="str">
        <f>IF(ネックレス!B4="","",ネックレス!B4)</f>
        <v/>
      </c>
      <c r="C715" s="3" t="str">
        <f>IF(ネックレス!C4="","",ネックレス!C4)</f>
        <v>◇ E</v>
      </c>
      <c r="D715" s="3" t="str">
        <f>IF(ネックレス!E4="","",ネックレス!E4)</f>
        <v>無</v>
      </c>
      <c r="E715" s="3" t="str">
        <f>IF(ネックレス!Z4="","",ネックレス!Z4)</f>
        <v>ベースB</v>
      </c>
      <c r="F715" s="3" t="str">
        <f>IF(ネックレス!G4="","",ネックレス!G4)</f>
        <v/>
      </c>
      <c r="G715" s="3" t="str">
        <f>IF(ネックレス!H4="","",ネックレス!H4)</f>
        <v/>
      </c>
      <c r="H715" s="3" t="str">
        <f>IF(ネックレス!I4="","",ネックレス!I4)</f>
        <v/>
      </c>
      <c r="I715" s="3" t="str">
        <f>IF(ネックレス!J4="","",ネックレス!J4)</f>
        <v/>
      </c>
      <c r="J715" s="3" t="str">
        <f>IF(ネックレス!K4="","",ネックレス!K4)</f>
        <v/>
      </c>
      <c r="K715" s="3" t="str">
        <f>IF(ネックレス!L4="","",ネックレス!L4)</f>
        <v>サイズ</v>
      </c>
      <c r="L715" s="69" t="s">
        <v>80</v>
      </c>
      <c r="M715" s="69" t="s">
        <v>19</v>
      </c>
      <c r="N715" s="69" t="s">
        <v>20</v>
      </c>
      <c r="O715" s="69" t="s">
        <v>21</v>
      </c>
      <c r="P715" s="4" t="s">
        <v>3036</v>
      </c>
      <c r="Q715" s="4" t="s">
        <v>3038</v>
      </c>
      <c r="R715" s="69" t="s">
        <v>22</v>
      </c>
      <c r="S715" s="69" t="s">
        <v>23</v>
      </c>
      <c r="T715" s="69" t="s">
        <v>22</v>
      </c>
      <c r="U715" s="69" t="s">
        <v>24</v>
      </c>
      <c r="V715" s="69" t="s">
        <v>25</v>
      </c>
      <c r="W715" s="69" t="s">
        <v>26</v>
      </c>
      <c r="X715" s="69" t="s">
        <v>27</v>
      </c>
      <c r="Y715" s="3" t="str">
        <f>ネックレス!Y4</f>
        <v>円周：約cm　幅：約cm　トップ縦幅：約cm　トップ横幅：約cm</v>
      </c>
      <c r="Z715" s="69" t="s">
        <v>29</v>
      </c>
      <c r="AA715" s="4"/>
      <c r="AB715" s="4"/>
      <c r="AC715" s="4"/>
      <c r="AD715" s="70"/>
      <c r="AE715" s="70">
        <f>ネックレス!AD4</f>
        <v>0</v>
      </c>
      <c r="AF715" s="70" t="str">
        <f>ネックレス!Q4</f>
        <v>通常</v>
      </c>
      <c r="AG715" s="70">
        <v>0</v>
      </c>
      <c r="AH715" s="9">
        <f>ネックレス!AB4</f>
        <v>0</v>
      </c>
      <c r="AI715">
        <v>1</v>
      </c>
      <c r="AJ715">
        <f>ネックレス!T4</f>
        <v>0</v>
      </c>
    </row>
    <row r="716" spans="1:36" ht="13.5" hidden="1" customHeight="1">
      <c r="A716" s="3" t="str">
        <f>IF(ネックレス!A5="","",ネックレス!A5)</f>
        <v/>
      </c>
      <c r="B716" s="68" t="str">
        <f>IF(ネックレス!B5="","",ネックレス!B5)</f>
        <v/>
      </c>
      <c r="C716" s="3" t="str">
        <f>IF(ネックレス!C5="","",ネックレス!C5)</f>
        <v>◇ E</v>
      </c>
      <c r="D716" s="3" t="str">
        <f>IF(ネックレス!E5="","",ネックレス!E5)</f>
        <v>無</v>
      </c>
      <c r="E716" s="3" t="str">
        <f>IF(ネックレス!Z5="","",ネックレス!Z5)</f>
        <v>ベースB</v>
      </c>
      <c r="F716" s="3" t="str">
        <f>IF(ネックレス!G5="","",ネックレス!G5)</f>
        <v/>
      </c>
      <c r="G716" s="3" t="str">
        <f>IF(ネックレス!H5="","",ネックレス!H5)</f>
        <v/>
      </c>
      <c r="H716" s="3" t="str">
        <f>IF(ネックレス!I5="","",ネックレス!I5)</f>
        <v/>
      </c>
      <c r="I716" s="3" t="str">
        <f>IF(ネックレス!J5="","",ネックレス!J5)</f>
        <v/>
      </c>
      <c r="J716" s="3" t="str">
        <f>IF(ネックレス!K5="","",ネックレス!K5)</f>
        <v/>
      </c>
      <c r="K716" s="3" t="str">
        <f>IF(ネックレス!L5="","",ネックレス!L5)</f>
        <v>サイズ</v>
      </c>
      <c r="L716" s="69" t="s">
        <v>80</v>
      </c>
      <c r="M716" s="69" t="s">
        <v>19</v>
      </c>
      <c r="N716" s="69" t="s">
        <v>20</v>
      </c>
      <c r="O716" s="69" t="s">
        <v>21</v>
      </c>
      <c r="P716" s="4" t="s">
        <v>3036</v>
      </c>
      <c r="Q716" s="4" t="s">
        <v>3038</v>
      </c>
      <c r="R716" s="69" t="s">
        <v>22</v>
      </c>
      <c r="S716" s="69" t="s">
        <v>23</v>
      </c>
      <c r="T716" s="69" t="s">
        <v>22</v>
      </c>
      <c r="U716" s="69" t="s">
        <v>24</v>
      </c>
      <c r="V716" s="69" t="s">
        <v>25</v>
      </c>
      <c r="W716" s="69" t="s">
        <v>26</v>
      </c>
      <c r="X716" s="69" t="s">
        <v>27</v>
      </c>
      <c r="Y716" s="3" t="str">
        <f>ネックレス!Y5</f>
        <v>円周：約cm　幅：約cm　トップ縦幅：約cm　トップ横幅：約cm</v>
      </c>
      <c r="Z716" s="69" t="s">
        <v>29</v>
      </c>
      <c r="AA716" s="4"/>
      <c r="AB716" s="4"/>
      <c r="AC716" s="4"/>
      <c r="AD716" s="70"/>
      <c r="AE716" s="70">
        <f>ネックレス!AD5</f>
        <v>0</v>
      </c>
      <c r="AF716" s="70" t="str">
        <f>ネックレス!Q5</f>
        <v>通常</v>
      </c>
      <c r="AG716" s="70">
        <v>0</v>
      </c>
      <c r="AH716" s="9">
        <f>ネックレス!AB5</f>
        <v>0</v>
      </c>
      <c r="AI716">
        <v>1</v>
      </c>
      <c r="AJ716">
        <f>ネックレス!T5</f>
        <v>0</v>
      </c>
    </row>
    <row r="717" spans="1:36" ht="13.5" hidden="1" customHeight="1">
      <c r="A717" s="3" t="str">
        <f>IF(ネックレス!A6="","",ネックレス!A6)</f>
        <v/>
      </c>
      <c r="B717" s="68" t="str">
        <f>IF(ネックレス!B6="","",ネックレス!B6)</f>
        <v/>
      </c>
      <c r="C717" s="3" t="str">
        <f>IF(ネックレス!C6="","",ネックレス!C6)</f>
        <v>◇ E</v>
      </c>
      <c r="D717" s="3" t="str">
        <f>IF(ネックレス!E6="","",ネックレス!E6)</f>
        <v>無</v>
      </c>
      <c r="E717" s="3" t="str">
        <f>IF(ネックレス!Z6="","",ネックレス!Z6)</f>
        <v>ベースB</v>
      </c>
      <c r="F717" s="3" t="str">
        <f>IF(ネックレス!G6="","",ネックレス!G6)</f>
        <v/>
      </c>
      <c r="G717" s="3" t="str">
        <f>IF(ネックレス!H6="","",ネックレス!H6)</f>
        <v/>
      </c>
      <c r="H717" s="3" t="str">
        <f>IF(ネックレス!I6="","",ネックレス!I6)</f>
        <v/>
      </c>
      <c r="I717" s="3" t="str">
        <f>IF(ネックレス!J6="","",ネックレス!J6)</f>
        <v/>
      </c>
      <c r="J717" s="3" t="str">
        <f>IF(ネックレス!K6="","",ネックレス!K6)</f>
        <v/>
      </c>
      <c r="K717" s="3" t="str">
        <f>IF(ネックレス!L6="","",ネックレス!L6)</f>
        <v>サイズ</v>
      </c>
      <c r="L717" s="69" t="s">
        <v>80</v>
      </c>
      <c r="M717" s="69" t="s">
        <v>19</v>
      </c>
      <c r="N717" s="69" t="s">
        <v>20</v>
      </c>
      <c r="O717" s="69" t="s">
        <v>21</v>
      </c>
      <c r="P717" s="4" t="s">
        <v>3036</v>
      </c>
      <c r="Q717" s="4" t="s">
        <v>3038</v>
      </c>
      <c r="R717" s="69" t="s">
        <v>22</v>
      </c>
      <c r="S717" s="69" t="s">
        <v>23</v>
      </c>
      <c r="T717" s="69" t="s">
        <v>22</v>
      </c>
      <c r="U717" s="69" t="s">
        <v>24</v>
      </c>
      <c r="V717" s="69" t="s">
        <v>25</v>
      </c>
      <c r="W717" s="69" t="s">
        <v>26</v>
      </c>
      <c r="X717" s="69" t="s">
        <v>27</v>
      </c>
      <c r="Y717" s="3" t="str">
        <f>ネックレス!Y6</f>
        <v>円周：約cm　幅：約cm　トップ縦幅：約cm　トップ横幅：約cm</v>
      </c>
      <c r="Z717" s="69" t="s">
        <v>29</v>
      </c>
      <c r="AA717" s="4"/>
      <c r="AB717" s="4"/>
      <c r="AC717" s="4"/>
      <c r="AD717" s="70"/>
      <c r="AE717" s="70">
        <f>ネックレス!AD6</f>
        <v>0</v>
      </c>
      <c r="AF717" s="70" t="str">
        <f>ネックレス!Q6</f>
        <v>通常</v>
      </c>
      <c r="AG717" s="70">
        <v>0</v>
      </c>
      <c r="AH717" s="9">
        <f>ネックレス!AB6</f>
        <v>0</v>
      </c>
      <c r="AI717">
        <v>1</v>
      </c>
      <c r="AJ717">
        <f>ネックレス!T6</f>
        <v>0</v>
      </c>
    </row>
    <row r="718" spans="1:36" ht="13.5" hidden="1" customHeight="1">
      <c r="A718" s="3" t="str">
        <f>IF(ネックレス!A7="","",ネックレス!A7)</f>
        <v/>
      </c>
      <c r="B718" s="68" t="str">
        <f>IF(ネックレス!B7="","",ネックレス!B7)</f>
        <v/>
      </c>
      <c r="C718" s="3" t="str">
        <f>IF(ネックレス!C7="","",ネックレス!C7)</f>
        <v>◇ E</v>
      </c>
      <c r="D718" s="3" t="str">
        <f>IF(ネックレス!E7="","",ネックレス!E7)</f>
        <v>無</v>
      </c>
      <c r="E718" s="3" t="str">
        <f>IF(ネックレス!Z7="","",ネックレス!Z7)</f>
        <v>ベースB</v>
      </c>
      <c r="F718" s="3" t="str">
        <f>IF(ネックレス!G7="","",ネックレス!G7)</f>
        <v/>
      </c>
      <c r="G718" s="3" t="str">
        <f>IF(ネックレス!H7="","",ネックレス!H7)</f>
        <v/>
      </c>
      <c r="H718" s="3" t="str">
        <f>IF(ネックレス!I7="","",ネックレス!I7)</f>
        <v/>
      </c>
      <c r="I718" s="3" t="str">
        <f>IF(ネックレス!J7="","",ネックレス!J7)</f>
        <v/>
      </c>
      <c r="J718" s="3" t="str">
        <f>IF(ネックレス!K7="","",ネックレス!K7)</f>
        <v/>
      </c>
      <c r="K718" s="3" t="str">
        <f>IF(ネックレス!L7="","",ネックレス!L7)</f>
        <v>サイズ</v>
      </c>
      <c r="L718" s="69" t="s">
        <v>80</v>
      </c>
      <c r="M718" s="69" t="s">
        <v>19</v>
      </c>
      <c r="N718" s="69" t="s">
        <v>20</v>
      </c>
      <c r="O718" s="69" t="s">
        <v>21</v>
      </c>
      <c r="P718" s="4" t="s">
        <v>3036</v>
      </c>
      <c r="Q718" s="4" t="s">
        <v>3038</v>
      </c>
      <c r="R718" s="69" t="s">
        <v>22</v>
      </c>
      <c r="S718" s="69" t="s">
        <v>23</v>
      </c>
      <c r="T718" s="69" t="s">
        <v>22</v>
      </c>
      <c r="U718" s="69" t="s">
        <v>24</v>
      </c>
      <c r="V718" s="69" t="s">
        <v>25</v>
      </c>
      <c r="W718" s="69" t="s">
        <v>26</v>
      </c>
      <c r="X718" s="69" t="s">
        <v>27</v>
      </c>
      <c r="Y718" s="3" t="str">
        <f>ネックレス!Y7</f>
        <v>円周：約cm　幅：約cm　トップ縦幅：約cm　トップ横幅：約cm</v>
      </c>
      <c r="Z718" s="69" t="s">
        <v>29</v>
      </c>
      <c r="AA718" s="4"/>
      <c r="AB718" s="4"/>
      <c r="AC718" s="4"/>
      <c r="AD718" s="70"/>
      <c r="AE718" s="70">
        <f>ネックレス!AD7</f>
        <v>0</v>
      </c>
      <c r="AF718" s="70" t="str">
        <f>ネックレス!Q7</f>
        <v>通常</v>
      </c>
      <c r="AG718" s="70">
        <v>0</v>
      </c>
      <c r="AH718" s="9">
        <f>ネックレス!AB7</f>
        <v>0</v>
      </c>
      <c r="AI718">
        <v>1</v>
      </c>
      <c r="AJ718">
        <f>ネックレス!T7</f>
        <v>0</v>
      </c>
    </row>
    <row r="719" spans="1:36" ht="13.5" hidden="1" customHeight="1">
      <c r="A719" s="3" t="str">
        <f>IF(ネックレス!A8="","",ネックレス!A8)</f>
        <v/>
      </c>
      <c r="B719" s="68" t="str">
        <f>IF(ネックレス!B8="","",ネックレス!B8)</f>
        <v/>
      </c>
      <c r="C719" s="3" t="str">
        <f>IF(ネックレス!C8="","",ネックレス!C8)</f>
        <v>◇ E</v>
      </c>
      <c r="D719" s="3" t="str">
        <f>IF(ネックレス!E8="","",ネックレス!E8)</f>
        <v>無</v>
      </c>
      <c r="E719" s="3" t="str">
        <f>IF(ネックレス!Z8="","",ネックレス!Z8)</f>
        <v>ベースB</v>
      </c>
      <c r="F719" s="3" t="str">
        <f>IF(ネックレス!G8="","",ネックレス!G8)</f>
        <v/>
      </c>
      <c r="G719" s="3" t="str">
        <f>IF(ネックレス!H8="","",ネックレス!H8)</f>
        <v/>
      </c>
      <c r="H719" s="3" t="str">
        <f>IF(ネックレス!I8="","",ネックレス!I8)</f>
        <v/>
      </c>
      <c r="I719" s="3" t="str">
        <f>IF(ネックレス!J8="","",ネックレス!J8)</f>
        <v/>
      </c>
      <c r="J719" s="3" t="str">
        <f>IF(ネックレス!K8="","",ネックレス!K8)</f>
        <v/>
      </c>
      <c r="K719" s="3" t="str">
        <f>IF(ネックレス!L8="","",ネックレス!L8)</f>
        <v>サイズ</v>
      </c>
      <c r="L719" s="69" t="s">
        <v>80</v>
      </c>
      <c r="M719" s="69" t="s">
        <v>19</v>
      </c>
      <c r="N719" s="69" t="s">
        <v>20</v>
      </c>
      <c r="O719" s="69" t="s">
        <v>21</v>
      </c>
      <c r="P719" s="4" t="s">
        <v>3036</v>
      </c>
      <c r="Q719" s="4" t="s">
        <v>3038</v>
      </c>
      <c r="R719" s="69" t="s">
        <v>22</v>
      </c>
      <c r="S719" s="69" t="s">
        <v>23</v>
      </c>
      <c r="T719" s="69" t="s">
        <v>22</v>
      </c>
      <c r="U719" s="69" t="s">
        <v>24</v>
      </c>
      <c r="V719" s="69" t="s">
        <v>25</v>
      </c>
      <c r="W719" s="69" t="s">
        <v>26</v>
      </c>
      <c r="X719" s="69" t="s">
        <v>27</v>
      </c>
      <c r="Y719" s="3" t="str">
        <f>ネックレス!Y8</f>
        <v>円周：約cm　幅：約cm　トップ縦幅：約cm　トップ横幅：約cm</v>
      </c>
      <c r="Z719" s="69" t="s">
        <v>29</v>
      </c>
      <c r="AA719" s="4"/>
      <c r="AB719" s="4"/>
      <c r="AC719" s="4"/>
      <c r="AD719" s="70"/>
      <c r="AE719" s="70">
        <f>ネックレス!AD8</f>
        <v>0</v>
      </c>
      <c r="AF719" s="70" t="str">
        <f>ネックレス!Q8</f>
        <v>通常</v>
      </c>
      <c r="AG719" s="70">
        <v>0</v>
      </c>
      <c r="AH719" s="9">
        <f>ネックレス!AB8</f>
        <v>0</v>
      </c>
      <c r="AI719">
        <v>1</v>
      </c>
      <c r="AJ719">
        <f>ネックレス!T8</f>
        <v>0</v>
      </c>
    </row>
    <row r="720" spans="1:36" ht="13.5" hidden="1" customHeight="1">
      <c r="A720" s="3" t="str">
        <f>IF(ネックレス!A9="","",ネックレス!A9)</f>
        <v/>
      </c>
      <c r="B720" s="68" t="str">
        <f>IF(ネックレス!B9="","",ネックレス!B9)</f>
        <v/>
      </c>
      <c r="C720" s="3" t="str">
        <f>IF(ネックレス!C9="","",ネックレス!C9)</f>
        <v>◇ E</v>
      </c>
      <c r="D720" s="3" t="str">
        <f>IF(ネックレス!E9="","",ネックレス!E9)</f>
        <v>無</v>
      </c>
      <c r="E720" s="3" t="str">
        <f>IF(ネックレス!Z9="","",ネックレス!Z9)</f>
        <v>ベースB</v>
      </c>
      <c r="F720" s="3" t="str">
        <f>IF(ネックレス!G9="","",ネックレス!G9)</f>
        <v/>
      </c>
      <c r="G720" s="3" t="str">
        <f>IF(ネックレス!H9="","",ネックレス!H9)</f>
        <v/>
      </c>
      <c r="H720" s="3" t="str">
        <f>IF(ネックレス!I9="","",ネックレス!I9)</f>
        <v/>
      </c>
      <c r="I720" s="3" t="str">
        <f>IF(ネックレス!J9="","",ネックレス!J9)</f>
        <v/>
      </c>
      <c r="J720" s="3" t="str">
        <f>IF(ネックレス!K9="","",ネックレス!K9)</f>
        <v/>
      </c>
      <c r="K720" s="3" t="str">
        <f>IF(ネックレス!L9="","",ネックレス!L9)</f>
        <v>サイズ</v>
      </c>
      <c r="L720" s="69" t="s">
        <v>80</v>
      </c>
      <c r="M720" s="69" t="s">
        <v>19</v>
      </c>
      <c r="N720" s="69" t="s">
        <v>20</v>
      </c>
      <c r="O720" s="69" t="s">
        <v>21</v>
      </c>
      <c r="P720" s="4" t="s">
        <v>3036</v>
      </c>
      <c r="Q720" s="4" t="s">
        <v>3038</v>
      </c>
      <c r="R720" s="69" t="s">
        <v>22</v>
      </c>
      <c r="S720" s="69" t="s">
        <v>23</v>
      </c>
      <c r="T720" s="69" t="s">
        <v>22</v>
      </c>
      <c r="U720" s="69" t="s">
        <v>24</v>
      </c>
      <c r="V720" s="69" t="s">
        <v>25</v>
      </c>
      <c r="W720" s="69" t="s">
        <v>26</v>
      </c>
      <c r="X720" s="69" t="s">
        <v>27</v>
      </c>
      <c r="Y720" s="3" t="str">
        <f>ネックレス!Y9</f>
        <v>円周：約cm　幅：約cm　トップ縦幅：約cm　トップ横幅：約cm</v>
      </c>
      <c r="Z720" s="69" t="s">
        <v>29</v>
      </c>
      <c r="AA720" s="4"/>
      <c r="AB720" s="4"/>
      <c r="AC720" s="4"/>
      <c r="AD720" s="70"/>
      <c r="AE720" s="70">
        <f>ネックレス!AD9</f>
        <v>0</v>
      </c>
      <c r="AF720" s="70" t="str">
        <f>ネックレス!Q9</f>
        <v>通常</v>
      </c>
      <c r="AG720" s="70">
        <v>0</v>
      </c>
      <c r="AH720" s="9">
        <f>ネックレス!AB9</f>
        <v>0</v>
      </c>
      <c r="AI720">
        <v>1</v>
      </c>
      <c r="AJ720">
        <f>ネックレス!T9</f>
        <v>0</v>
      </c>
    </row>
    <row r="721" spans="1:36" ht="13.5" hidden="1" customHeight="1">
      <c r="A721" s="3" t="str">
        <f>IF(ネックレス!A10="","",ネックレス!A10)</f>
        <v/>
      </c>
      <c r="B721" s="68" t="str">
        <f>IF(ネックレス!B10="","",ネックレス!B10)</f>
        <v/>
      </c>
      <c r="C721" s="3" t="str">
        <f>IF(ネックレス!C10="","",ネックレス!C10)</f>
        <v>◇ E</v>
      </c>
      <c r="D721" s="3" t="str">
        <f>IF(ネックレス!E10="","",ネックレス!E10)</f>
        <v>無</v>
      </c>
      <c r="E721" s="3" t="str">
        <f>IF(ネックレス!Z10="","",ネックレス!Z10)</f>
        <v>ベースB</v>
      </c>
      <c r="F721" s="3" t="str">
        <f>IF(ネックレス!G10="","",ネックレス!G10)</f>
        <v/>
      </c>
      <c r="G721" s="3" t="str">
        <f>IF(ネックレス!H10="","",ネックレス!H10)</f>
        <v/>
      </c>
      <c r="H721" s="3" t="str">
        <f>IF(ネックレス!I10="","",ネックレス!I10)</f>
        <v/>
      </c>
      <c r="I721" s="3" t="str">
        <f>IF(ネックレス!J10="","",ネックレス!J10)</f>
        <v/>
      </c>
      <c r="J721" s="3" t="str">
        <f>IF(ネックレス!K10="","",ネックレス!K10)</f>
        <v/>
      </c>
      <c r="K721" s="3" t="str">
        <f>IF(ネックレス!L10="","",ネックレス!L10)</f>
        <v>サイズ</v>
      </c>
      <c r="L721" s="69" t="s">
        <v>80</v>
      </c>
      <c r="M721" s="69" t="s">
        <v>19</v>
      </c>
      <c r="N721" s="69" t="s">
        <v>20</v>
      </c>
      <c r="O721" s="69" t="s">
        <v>21</v>
      </c>
      <c r="P721" s="4" t="s">
        <v>3036</v>
      </c>
      <c r="Q721" s="4" t="s">
        <v>3038</v>
      </c>
      <c r="R721" s="69" t="s">
        <v>22</v>
      </c>
      <c r="S721" s="69" t="s">
        <v>23</v>
      </c>
      <c r="T721" s="69" t="s">
        <v>22</v>
      </c>
      <c r="U721" s="69" t="s">
        <v>24</v>
      </c>
      <c r="V721" s="69" t="s">
        <v>25</v>
      </c>
      <c r="W721" s="69" t="s">
        <v>26</v>
      </c>
      <c r="X721" s="69" t="s">
        <v>27</v>
      </c>
      <c r="Y721" s="3" t="str">
        <f>ネックレス!Y10</f>
        <v>円周：約cm　幅：約cm　トップ縦幅：約cm　トップ横幅：約cm</v>
      </c>
      <c r="Z721" s="69" t="s">
        <v>29</v>
      </c>
      <c r="AA721" s="4"/>
      <c r="AB721" s="4"/>
      <c r="AC721" s="4"/>
      <c r="AD721" s="70"/>
      <c r="AE721" s="70">
        <f>ネックレス!AD10</f>
        <v>0</v>
      </c>
      <c r="AF721" s="70" t="str">
        <f>ネックレス!Q10</f>
        <v>通常</v>
      </c>
      <c r="AG721" s="70">
        <v>0</v>
      </c>
      <c r="AH721" s="9">
        <f>ネックレス!AB10</f>
        <v>0</v>
      </c>
      <c r="AI721">
        <v>1</v>
      </c>
      <c r="AJ721">
        <f>ネックレス!T10</f>
        <v>0</v>
      </c>
    </row>
    <row r="722" spans="1:36" ht="13.5" hidden="1" customHeight="1">
      <c r="A722" s="3" t="str">
        <f>IF(ネックレス!A11="","",ネックレス!A11)</f>
        <v/>
      </c>
      <c r="B722" s="68" t="str">
        <f>IF(ネックレス!B11="","",ネックレス!B11)</f>
        <v/>
      </c>
      <c r="C722" s="3" t="str">
        <f>IF(ネックレス!C11="","",ネックレス!C11)</f>
        <v>◇ E</v>
      </c>
      <c r="D722" s="3" t="str">
        <f>IF(ネックレス!E11="","",ネックレス!E11)</f>
        <v>無</v>
      </c>
      <c r="E722" s="3" t="str">
        <f>IF(ネックレス!Z11="","",ネックレス!Z11)</f>
        <v>ベースB</v>
      </c>
      <c r="F722" s="3" t="str">
        <f>IF(ネックレス!G11="","",ネックレス!G11)</f>
        <v/>
      </c>
      <c r="G722" s="3" t="str">
        <f>IF(ネックレス!H11="","",ネックレス!H11)</f>
        <v/>
      </c>
      <c r="H722" s="3" t="str">
        <f>IF(ネックレス!I11="","",ネックレス!I11)</f>
        <v/>
      </c>
      <c r="I722" s="3" t="str">
        <f>IF(ネックレス!J11="","",ネックレス!J11)</f>
        <v/>
      </c>
      <c r="J722" s="3" t="str">
        <f>IF(ネックレス!K11="","",ネックレス!K11)</f>
        <v/>
      </c>
      <c r="K722" s="3" t="str">
        <f>IF(ネックレス!L11="","",ネックレス!L11)</f>
        <v>サイズ</v>
      </c>
      <c r="L722" s="69" t="s">
        <v>80</v>
      </c>
      <c r="M722" s="69" t="s">
        <v>19</v>
      </c>
      <c r="N722" s="69" t="s">
        <v>20</v>
      </c>
      <c r="O722" s="69" t="s">
        <v>21</v>
      </c>
      <c r="P722" s="4" t="s">
        <v>3036</v>
      </c>
      <c r="Q722" s="4" t="s">
        <v>3038</v>
      </c>
      <c r="R722" s="69" t="s">
        <v>22</v>
      </c>
      <c r="S722" s="69" t="s">
        <v>23</v>
      </c>
      <c r="T722" s="69" t="s">
        <v>22</v>
      </c>
      <c r="U722" s="69" t="s">
        <v>24</v>
      </c>
      <c r="V722" s="69" t="s">
        <v>25</v>
      </c>
      <c r="W722" s="69" t="s">
        <v>26</v>
      </c>
      <c r="X722" s="69" t="s">
        <v>27</v>
      </c>
      <c r="Y722" s="3" t="str">
        <f>ネックレス!Y11</f>
        <v>円周：約cm　幅：約cm　トップ縦幅：約cm　トップ横幅：約cm</v>
      </c>
      <c r="Z722" s="69" t="s">
        <v>29</v>
      </c>
      <c r="AA722" s="4"/>
      <c r="AB722" s="4"/>
      <c r="AC722" s="4"/>
      <c r="AD722" s="70"/>
      <c r="AE722" s="70">
        <f>ネックレス!AD11</f>
        <v>0</v>
      </c>
      <c r="AF722" s="70" t="str">
        <f>ネックレス!Q11</f>
        <v>通常</v>
      </c>
      <c r="AG722" s="70">
        <v>0</v>
      </c>
      <c r="AH722" s="9">
        <f>ネックレス!AB11</f>
        <v>0</v>
      </c>
      <c r="AI722">
        <v>1</v>
      </c>
      <c r="AJ722">
        <f>ネックレス!T11</f>
        <v>0</v>
      </c>
    </row>
    <row r="723" spans="1:36" ht="13.5" hidden="1" customHeight="1">
      <c r="A723" s="3" t="str">
        <f>IF(ネックレス!A12="","",ネックレス!A12)</f>
        <v/>
      </c>
      <c r="B723" s="68" t="str">
        <f>IF(ネックレス!B12="","",ネックレス!B12)</f>
        <v/>
      </c>
      <c r="C723" s="3" t="str">
        <f>IF(ネックレス!C12="","",ネックレス!C12)</f>
        <v>◇ E</v>
      </c>
      <c r="D723" s="3" t="str">
        <f>IF(ネックレス!E12="","",ネックレス!E12)</f>
        <v>無</v>
      </c>
      <c r="E723" s="3" t="str">
        <f>IF(ネックレス!Z12="","",ネックレス!Z12)</f>
        <v>ベースB</v>
      </c>
      <c r="F723" s="3" t="str">
        <f>IF(ネックレス!G12="","",ネックレス!G12)</f>
        <v/>
      </c>
      <c r="G723" s="3" t="str">
        <f>IF(ネックレス!H12="","",ネックレス!H12)</f>
        <v/>
      </c>
      <c r="H723" s="3" t="str">
        <f>IF(ネックレス!I12="","",ネックレス!I12)</f>
        <v/>
      </c>
      <c r="I723" s="3" t="str">
        <f>IF(ネックレス!J12="","",ネックレス!J12)</f>
        <v/>
      </c>
      <c r="J723" s="3" t="str">
        <f>IF(ネックレス!K12="","",ネックレス!K12)</f>
        <v/>
      </c>
      <c r="K723" s="3" t="str">
        <f>IF(ネックレス!L12="","",ネックレス!L12)</f>
        <v>サイズ</v>
      </c>
      <c r="L723" s="69" t="s">
        <v>80</v>
      </c>
      <c r="M723" s="69" t="s">
        <v>19</v>
      </c>
      <c r="N723" s="69" t="s">
        <v>20</v>
      </c>
      <c r="O723" s="69" t="s">
        <v>21</v>
      </c>
      <c r="P723" s="4" t="s">
        <v>3036</v>
      </c>
      <c r="Q723" s="4" t="s">
        <v>3038</v>
      </c>
      <c r="R723" s="69" t="s">
        <v>22</v>
      </c>
      <c r="S723" s="69" t="s">
        <v>23</v>
      </c>
      <c r="T723" s="69" t="s">
        <v>22</v>
      </c>
      <c r="U723" s="69" t="s">
        <v>24</v>
      </c>
      <c r="V723" s="69" t="s">
        <v>25</v>
      </c>
      <c r="W723" s="69" t="s">
        <v>26</v>
      </c>
      <c r="X723" s="69" t="s">
        <v>27</v>
      </c>
      <c r="Y723" s="3" t="str">
        <f>ネックレス!Y12</f>
        <v>円周：約cm　幅：約cm　トップ縦幅：約cm　トップ横幅：約cm</v>
      </c>
      <c r="Z723" s="69" t="s">
        <v>29</v>
      </c>
      <c r="AA723" s="4"/>
      <c r="AB723" s="4"/>
      <c r="AC723" s="4"/>
      <c r="AD723" s="70"/>
      <c r="AE723" s="70">
        <f>ネックレス!AD12</f>
        <v>0</v>
      </c>
      <c r="AF723" s="70" t="str">
        <f>ネックレス!Q12</f>
        <v>通常</v>
      </c>
      <c r="AG723" s="70">
        <v>0</v>
      </c>
      <c r="AH723" s="9">
        <f>ネックレス!AB12</f>
        <v>0</v>
      </c>
      <c r="AI723">
        <v>1</v>
      </c>
      <c r="AJ723">
        <f>ネックレス!T12</f>
        <v>0</v>
      </c>
    </row>
    <row r="724" spans="1:36" ht="13.5" hidden="1" customHeight="1">
      <c r="A724" s="3" t="str">
        <f>IF(ネックレス!A13="","",ネックレス!A13)</f>
        <v/>
      </c>
      <c r="B724" s="68" t="str">
        <f>IF(ネックレス!B13="","",ネックレス!B13)</f>
        <v/>
      </c>
      <c r="C724" s="3" t="str">
        <f>IF(ネックレス!C13="","",ネックレス!C13)</f>
        <v>◇ E</v>
      </c>
      <c r="D724" s="3" t="str">
        <f>IF(ネックレス!E13="","",ネックレス!E13)</f>
        <v>無</v>
      </c>
      <c r="E724" s="3" t="str">
        <f>IF(ネックレス!Z13="","",ネックレス!Z13)</f>
        <v>ベースB</v>
      </c>
      <c r="F724" s="3" t="str">
        <f>IF(ネックレス!G13="","",ネックレス!G13)</f>
        <v/>
      </c>
      <c r="G724" s="3" t="str">
        <f>IF(ネックレス!H13="","",ネックレス!H13)</f>
        <v/>
      </c>
      <c r="H724" s="3" t="str">
        <f>IF(ネックレス!I13="","",ネックレス!I13)</f>
        <v/>
      </c>
      <c r="I724" s="3" t="str">
        <f>IF(ネックレス!J13="","",ネックレス!J13)</f>
        <v/>
      </c>
      <c r="J724" s="3" t="str">
        <f>IF(ネックレス!K13="","",ネックレス!K13)</f>
        <v/>
      </c>
      <c r="K724" s="3" t="str">
        <f>IF(ネックレス!L13="","",ネックレス!L13)</f>
        <v>サイズ</v>
      </c>
      <c r="L724" s="69" t="s">
        <v>80</v>
      </c>
      <c r="M724" s="69" t="s">
        <v>19</v>
      </c>
      <c r="N724" s="69" t="s">
        <v>20</v>
      </c>
      <c r="O724" s="69" t="s">
        <v>21</v>
      </c>
      <c r="P724" s="4" t="s">
        <v>3036</v>
      </c>
      <c r="Q724" s="4" t="s">
        <v>3038</v>
      </c>
      <c r="R724" s="69" t="s">
        <v>22</v>
      </c>
      <c r="S724" s="69" t="s">
        <v>23</v>
      </c>
      <c r="T724" s="69" t="s">
        <v>22</v>
      </c>
      <c r="U724" s="69" t="s">
        <v>24</v>
      </c>
      <c r="V724" s="69" t="s">
        <v>25</v>
      </c>
      <c r="W724" s="69" t="s">
        <v>26</v>
      </c>
      <c r="X724" s="69" t="s">
        <v>27</v>
      </c>
      <c r="Y724" s="3" t="str">
        <f>ネックレス!Y13</f>
        <v>円周：約cm　幅：約cm　トップ縦幅：約cm　トップ横幅：約cm</v>
      </c>
      <c r="Z724" s="69" t="s">
        <v>29</v>
      </c>
      <c r="AA724" s="4"/>
      <c r="AB724" s="4"/>
      <c r="AC724" s="4"/>
      <c r="AD724" s="70"/>
      <c r="AE724" s="70">
        <f>ネックレス!AD13</f>
        <v>0</v>
      </c>
      <c r="AF724" s="70" t="str">
        <f>ネックレス!Q13</f>
        <v>通常</v>
      </c>
      <c r="AG724" s="70">
        <v>0</v>
      </c>
      <c r="AH724" s="9">
        <f>ネックレス!AB13</f>
        <v>0</v>
      </c>
      <c r="AI724">
        <v>1</v>
      </c>
      <c r="AJ724">
        <f>ネックレス!T13</f>
        <v>0</v>
      </c>
    </row>
    <row r="725" spans="1:36" ht="13.5" hidden="1" customHeight="1">
      <c r="A725" s="3" t="str">
        <f>IF(ネックレス!A14="","",ネックレス!A14)</f>
        <v/>
      </c>
      <c r="B725" s="68" t="str">
        <f>IF(ネックレス!B14="","",ネックレス!B14)</f>
        <v/>
      </c>
      <c r="C725" s="3" t="str">
        <f>IF(ネックレス!C14="","",ネックレス!C14)</f>
        <v>◇ E</v>
      </c>
      <c r="D725" s="3" t="str">
        <f>IF(ネックレス!E14="","",ネックレス!E14)</f>
        <v>無</v>
      </c>
      <c r="E725" s="3" t="str">
        <f>IF(ネックレス!Z14="","",ネックレス!Z14)</f>
        <v>ベースB</v>
      </c>
      <c r="F725" s="3" t="str">
        <f>IF(ネックレス!G14="","",ネックレス!G14)</f>
        <v/>
      </c>
      <c r="G725" s="3" t="str">
        <f>IF(ネックレス!H14="","",ネックレス!H14)</f>
        <v/>
      </c>
      <c r="H725" s="3" t="str">
        <f>IF(ネックレス!I14="","",ネックレス!I14)</f>
        <v/>
      </c>
      <c r="I725" s="3" t="str">
        <f>IF(ネックレス!J14="","",ネックレス!J14)</f>
        <v/>
      </c>
      <c r="J725" s="3" t="str">
        <f>IF(ネックレス!K14="","",ネックレス!K14)</f>
        <v/>
      </c>
      <c r="K725" s="3" t="str">
        <f>IF(ネックレス!L14="","",ネックレス!L14)</f>
        <v>サイズ</v>
      </c>
      <c r="L725" s="69" t="s">
        <v>80</v>
      </c>
      <c r="M725" s="69" t="s">
        <v>19</v>
      </c>
      <c r="N725" s="69" t="s">
        <v>20</v>
      </c>
      <c r="O725" s="69" t="s">
        <v>21</v>
      </c>
      <c r="P725" s="4" t="s">
        <v>3036</v>
      </c>
      <c r="Q725" s="4" t="s">
        <v>3038</v>
      </c>
      <c r="R725" s="69" t="s">
        <v>22</v>
      </c>
      <c r="S725" s="69" t="s">
        <v>23</v>
      </c>
      <c r="T725" s="69" t="s">
        <v>22</v>
      </c>
      <c r="U725" s="69" t="s">
        <v>24</v>
      </c>
      <c r="V725" s="69" t="s">
        <v>25</v>
      </c>
      <c r="W725" s="69" t="s">
        <v>26</v>
      </c>
      <c r="X725" s="69" t="s">
        <v>27</v>
      </c>
      <c r="Y725" s="3" t="str">
        <f>ネックレス!Y14</f>
        <v>円周：約cm　幅：約cm　トップ縦幅：約cm　トップ横幅：約cm</v>
      </c>
      <c r="Z725" s="69" t="s">
        <v>29</v>
      </c>
      <c r="AA725" s="4"/>
      <c r="AB725" s="4"/>
      <c r="AC725" s="4"/>
      <c r="AD725" s="70"/>
      <c r="AE725" s="70">
        <f>ネックレス!AD14</f>
        <v>0</v>
      </c>
      <c r="AF725" s="70" t="str">
        <f>ネックレス!Q14</f>
        <v>通常</v>
      </c>
      <c r="AG725" s="70">
        <v>0</v>
      </c>
      <c r="AH725" s="9">
        <f>ネックレス!AB14</f>
        <v>0</v>
      </c>
      <c r="AI725">
        <v>1</v>
      </c>
      <c r="AJ725">
        <f>ネックレス!T14</f>
        <v>0</v>
      </c>
    </row>
    <row r="726" spans="1:36" ht="13.5" hidden="1" customHeight="1">
      <c r="A726" s="3" t="str">
        <f>IF(ネックレス!A15="","",ネックレス!A15)</f>
        <v/>
      </c>
      <c r="B726" s="68" t="str">
        <f>IF(ネックレス!B15="","",ネックレス!B15)</f>
        <v/>
      </c>
      <c r="C726" s="3" t="str">
        <f>IF(ネックレス!C15="","",ネックレス!C15)</f>
        <v>◇ E</v>
      </c>
      <c r="D726" s="3" t="str">
        <f>IF(ネックレス!E15="","",ネックレス!E15)</f>
        <v>無</v>
      </c>
      <c r="E726" s="3" t="str">
        <f>IF(ネックレス!Z15="","",ネックレス!Z15)</f>
        <v>ベースB</v>
      </c>
      <c r="F726" s="3" t="str">
        <f>IF(ネックレス!G15="","",ネックレス!G15)</f>
        <v/>
      </c>
      <c r="G726" s="3" t="str">
        <f>IF(ネックレス!H15="","",ネックレス!H15)</f>
        <v/>
      </c>
      <c r="H726" s="3" t="str">
        <f>IF(ネックレス!I15="","",ネックレス!I15)</f>
        <v/>
      </c>
      <c r="I726" s="3" t="str">
        <f>IF(ネックレス!J15="","",ネックレス!J15)</f>
        <v/>
      </c>
      <c r="J726" s="3" t="str">
        <f>IF(ネックレス!K15="","",ネックレス!K15)</f>
        <v/>
      </c>
      <c r="K726" s="3" t="str">
        <f>IF(ネックレス!L15="","",ネックレス!L15)</f>
        <v>サイズ</v>
      </c>
      <c r="L726" s="69" t="s">
        <v>80</v>
      </c>
      <c r="M726" s="69" t="s">
        <v>19</v>
      </c>
      <c r="N726" s="69" t="s">
        <v>20</v>
      </c>
      <c r="O726" s="69" t="s">
        <v>21</v>
      </c>
      <c r="P726" s="4" t="s">
        <v>3036</v>
      </c>
      <c r="Q726" s="4" t="s">
        <v>3038</v>
      </c>
      <c r="R726" s="69" t="s">
        <v>22</v>
      </c>
      <c r="S726" s="69" t="s">
        <v>23</v>
      </c>
      <c r="T726" s="69" t="s">
        <v>22</v>
      </c>
      <c r="U726" s="69" t="s">
        <v>24</v>
      </c>
      <c r="V726" s="69" t="s">
        <v>25</v>
      </c>
      <c r="W726" s="69" t="s">
        <v>26</v>
      </c>
      <c r="X726" s="69" t="s">
        <v>27</v>
      </c>
      <c r="Y726" s="3" t="str">
        <f>ネックレス!Y15</f>
        <v>円周：約cm　幅：約cm　トップ縦幅：約cm　トップ横幅：約cm</v>
      </c>
      <c r="Z726" s="69" t="s">
        <v>29</v>
      </c>
      <c r="AA726" s="4"/>
      <c r="AB726" s="4"/>
      <c r="AC726" s="4"/>
      <c r="AD726" s="70"/>
      <c r="AE726" s="70">
        <f>ネックレス!AD15</f>
        <v>0</v>
      </c>
      <c r="AF726" s="70" t="str">
        <f>ネックレス!Q15</f>
        <v>通常</v>
      </c>
      <c r="AG726" s="70">
        <v>0</v>
      </c>
      <c r="AH726" s="9">
        <f>ネックレス!AB15</f>
        <v>0</v>
      </c>
      <c r="AI726">
        <v>1</v>
      </c>
      <c r="AJ726">
        <f>ネックレス!T15</f>
        <v>0</v>
      </c>
    </row>
    <row r="727" spans="1:36" ht="13.5" hidden="1" customHeight="1">
      <c r="A727" s="3" t="str">
        <f>IF(ネックレス!A16="","",ネックレス!A16)</f>
        <v/>
      </c>
      <c r="B727" s="68" t="str">
        <f>IF(ネックレス!B16="","",ネックレス!B16)</f>
        <v/>
      </c>
      <c r="C727" s="3" t="str">
        <f>IF(ネックレス!C16="","",ネックレス!C16)</f>
        <v>◇ E</v>
      </c>
      <c r="D727" s="3" t="str">
        <f>IF(ネックレス!E16="","",ネックレス!E16)</f>
        <v>無</v>
      </c>
      <c r="E727" s="3" t="str">
        <f>IF(ネックレス!Z16="","",ネックレス!Z16)</f>
        <v>ベースB</v>
      </c>
      <c r="F727" s="3" t="str">
        <f>IF(ネックレス!G16="","",ネックレス!G16)</f>
        <v/>
      </c>
      <c r="G727" s="3" t="str">
        <f>IF(ネックレス!H16="","",ネックレス!H16)</f>
        <v/>
      </c>
      <c r="H727" s="3" t="str">
        <f>IF(ネックレス!I16="","",ネックレス!I16)</f>
        <v/>
      </c>
      <c r="I727" s="3" t="str">
        <f>IF(ネックレス!J16="","",ネックレス!J16)</f>
        <v/>
      </c>
      <c r="J727" s="3" t="str">
        <f>IF(ネックレス!K16="","",ネックレス!K16)</f>
        <v/>
      </c>
      <c r="K727" s="3" t="str">
        <f>IF(ネックレス!L16="","",ネックレス!L16)</f>
        <v>サイズ</v>
      </c>
      <c r="L727" s="69" t="s">
        <v>80</v>
      </c>
      <c r="M727" s="69" t="s">
        <v>19</v>
      </c>
      <c r="N727" s="69" t="s">
        <v>20</v>
      </c>
      <c r="O727" s="69" t="s">
        <v>21</v>
      </c>
      <c r="P727" s="4" t="s">
        <v>3036</v>
      </c>
      <c r="Q727" s="4" t="s">
        <v>3038</v>
      </c>
      <c r="R727" s="69" t="s">
        <v>22</v>
      </c>
      <c r="S727" s="69" t="s">
        <v>23</v>
      </c>
      <c r="T727" s="69" t="s">
        <v>22</v>
      </c>
      <c r="U727" s="69" t="s">
        <v>24</v>
      </c>
      <c r="V727" s="69" t="s">
        <v>25</v>
      </c>
      <c r="W727" s="69" t="s">
        <v>26</v>
      </c>
      <c r="X727" s="69" t="s">
        <v>27</v>
      </c>
      <c r="Y727" s="3" t="str">
        <f>ネックレス!Y16</f>
        <v>円周：約cm　幅：約cm　トップ縦幅：約cm　トップ横幅：約cm</v>
      </c>
      <c r="Z727" s="69" t="s">
        <v>29</v>
      </c>
      <c r="AA727" s="4"/>
      <c r="AB727" s="4"/>
      <c r="AC727" s="4"/>
      <c r="AD727" s="70"/>
      <c r="AE727" s="70">
        <f>ネックレス!AD16</f>
        <v>0</v>
      </c>
      <c r="AF727" s="70" t="str">
        <f>ネックレス!Q16</f>
        <v>通常</v>
      </c>
      <c r="AG727" s="70">
        <v>0</v>
      </c>
      <c r="AH727" s="9">
        <f>ネックレス!AB16</f>
        <v>0</v>
      </c>
      <c r="AI727">
        <v>1</v>
      </c>
      <c r="AJ727">
        <f>ネックレス!T16</f>
        <v>0</v>
      </c>
    </row>
    <row r="728" spans="1:36" ht="13.5" hidden="1" customHeight="1">
      <c r="A728" s="3" t="str">
        <f>IF(ネックレス!A17="","",ネックレス!A17)</f>
        <v/>
      </c>
      <c r="B728" s="68" t="str">
        <f>IF(ネックレス!B17="","",ネックレス!B17)</f>
        <v/>
      </c>
      <c r="C728" s="3" t="str">
        <f>IF(ネックレス!C17="","",ネックレス!C17)</f>
        <v>◇ E</v>
      </c>
      <c r="D728" s="3" t="str">
        <f>IF(ネックレス!E17="","",ネックレス!E17)</f>
        <v>無</v>
      </c>
      <c r="E728" s="3" t="str">
        <f>IF(ネックレス!Z17="","",ネックレス!Z17)</f>
        <v>ベースB</v>
      </c>
      <c r="F728" s="3" t="str">
        <f>IF(ネックレス!G17="","",ネックレス!G17)</f>
        <v/>
      </c>
      <c r="G728" s="3" t="str">
        <f>IF(ネックレス!H17="","",ネックレス!H17)</f>
        <v/>
      </c>
      <c r="H728" s="3" t="str">
        <f>IF(ネックレス!I17="","",ネックレス!I17)</f>
        <v/>
      </c>
      <c r="I728" s="3" t="str">
        <f>IF(ネックレス!J17="","",ネックレス!J17)</f>
        <v/>
      </c>
      <c r="J728" s="3" t="str">
        <f>IF(ネックレス!K17="","",ネックレス!K17)</f>
        <v/>
      </c>
      <c r="K728" s="3" t="str">
        <f>IF(ネックレス!L17="","",ネックレス!L17)</f>
        <v>サイズ</v>
      </c>
      <c r="L728" s="69" t="s">
        <v>80</v>
      </c>
      <c r="M728" s="69" t="s">
        <v>19</v>
      </c>
      <c r="N728" s="69" t="s">
        <v>20</v>
      </c>
      <c r="O728" s="69" t="s">
        <v>21</v>
      </c>
      <c r="P728" s="4" t="s">
        <v>3036</v>
      </c>
      <c r="Q728" s="4" t="s">
        <v>3038</v>
      </c>
      <c r="R728" s="69" t="s">
        <v>22</v>
      </c>
      <c r="S728" s="69" t="s">
        <v>23</v>
      </c>
      <c r="T728" s="69" t="s">
        <v>22</v>
      </c>
      <c r="U728" s="69" t="s">
        <v>24</v>
      </c>
      <c r="V728" s="69" t="s">
        <v>25</v>
      </c>
      <c r="W728" s="69" t="s">
        <v>26</v>
      </c>
      <c r="X728" s="69" t="s">
        <v>27</v>
      </c>
      <c r="Y728" s="3" t="str">
        <f>ネックレス!Y17</f>
        <v>円周：約cm　幅：約cm　トップ縦幅：約cm　トップ横幅：約cm</v>
      </c>
      <c r="Z728" s="69" t="s">
        <v>29</v>
      </c>
      <c r="AA728" s="4"/>
      <c r="AB728" s="4"/>
      <c r="AC728" s="4"/>
      <c r="AD728" s="70"/>
      <c r="AE728" s="70">
        <f>ネックレス!AD17</f>
        <v>0</v>
      </c>
      <c r="AF728" s="70" t="str">
        <f>ネックレス!Q17</f>
        <v>通常</v>
      </c>
      <c r="AG728" s="70">
        <v>0</v>
      </c>
      <c r="AH728" s="9">
        <f>ネックレス!AB17</f>
        <v>0</v>
      </c>
      <c r="AI728">
        <v>1</v>
      </c>
      <c r="AJ728">
        <f>ネックレス!T17</f>
        <v>0</v>
      </c>
    </row>
    <row r="729" spans="1:36" ht="13.5" hidden="1" customHeight="1">
      <c r="A729" s="3" t="str">
        <f>IF(ネックレス!A18="","",ネックレス!A18)</f>
        <v/>
      </c>
      <c r="B729" s="68" t="str">
        <f>IF(ネックレス!B18="","",ネックレス!B18)</f>
        <v/>
      </c>
      <c r="C729" s="3" t="str">
        <f>IF(ネックレス!C18="","",ネックレス!C18)</f>
        <v>◇ E</v>
      </c>
      <c r="D729" s="3" t="str">
        <f>IF(ネックレス!E18="","",ネックレス!E18)</f>
        <v>無</v>
      </c>
      <c r="E729" s="3" t="str">
        <f>IF(ネックレス!Z18="","",ネックレス!Z18)</f>
        <v>ベースB</v>
      </c>
      <c r="F729" s="3" t="str">
        <f>IF(ネックレス!G18="","",ネックレス!G18)</f>
        <v/>
      </c>
      <c r="G729" s="3" t="str">
        <f>IF(ネックレス!H18="","",ネックレス!H18)</f>
        <v/>
      </c>
      <c r="H729" s="3" t="str">
        <f>IF(ネックレス!I18="","",ネックレス!I18)</f>
        <v/>
      </c>
      <c r="I729" s="3" t="str">
        <f>IF(ネックレス!J18="","",ネックレス!J18)</f>
        <v/>
      </c>
      <c r="J729" s="3" t="str">
        <f>IF(ネックレス!K18="","",ネックレス!K18)</f>
        <v/>
      </c>
      <c r="K729" s="3" t="str">
        <f>IF(ネックレス!L18="","",ネックレス!L18)</f>
        <v>サイズ</v>
      </c>
      <c r="L729" s="69" t="s">
        <v>80</v>
      </c>
      <c r="M729" s="69" t="s">
        <v>19</v>
      </c>
      <c r="N729" s="69" t="s">
        <v>20</v>
      </c>
      <c r="O729" s="69" t="s">
        <v>21</v>
      </c>
      <c r="P729" s="4" t="s">
        <v>3036</v>
      </c>
      <c r="Q729" s="4" t="s">
        <v>3038</v>
      </c>
      <c r="R729" s="69" t="s">
        <v>22</v>
      </c>
      <c r="S729" s="69" t="s">
        <v>23</v>
      </c>
      <c r="T729" s="69" t="s">
        <v>22</v>
      </c>
      <c r="U729" s="69" t="s">
        <v>24</v>
      </c>
      <c r="V729" s="69" t="s">
        <v>25</v>
      </c>
      <c r="W729" s="69" t="s">
        <v>26</v>
      </c>
      <c r="X729" s="69" t="s">
        <v>27</v>
      </c>
      <c r="Y729" s="3" t="str">
        <f>ネックレス!Y18</f>
        <v>円周：約cm　幅：約cm　トップ縦幅：約cm　トップ横幅：約cm</v>
      </c>
      <c r="Z729" s="69" t="s">
        <v>29</v>
      </c>
      <c r="AA729" s="4"/>
      <c r="AB729" s="4"/>
      <c r="AC729" s="4"/>
      <c r="AD729" s="70"/>
      <c r="AE729" s="70">
        <f>ネックレス!AD18</f>
        <v>0</v>
      </c>
      <c r="AF729" s="70" t="str">
        <f>ネックレス!Q18</f>
        <v>通常</v>
      </c>
      <c r="AG729" s="70">
        <v>0</v>
      </c>
      <c r="AH729" s="9">
        <f>ネックレス!AB18</f>
        <v>0</v>
      </c>
      <c r="AI729">
        <v>1</v>
      </c>
      <c r="AJ729">
        <f>ネックレス!T18</f>
        <v>0</v>
      </c>
    </row>
    <row r="730" spans="1:36" ht="13.5" hidden="1" customHeight="1">
      <c r="A730" s="3" t="str">
        <f>IF(ネックレス!A19="","",ネックレス!A19)</f>
        <v/>
      </c>
      <c r="B730" s="68" t="str">
        <f>IF(ネックレス!B19="","",ネックレス!B19)</f>
        <v/>
      </c>
      <c r="C730" s="3" t="str">
        <f>IF(ネックレス!C19="","",ネックレス!C19)</f>
        <v>◇ E</v>
      </c>
      <c r="D730" s="3" t="str">
        <f>IF(ネックレス!E19="","",ネックレス!E19)</f>
        <v>無</v>
      </c>
      <c r="E730" s="3" t="str">
        <f>IF(ネックレス!Z19="","",ネックレス!Z19)</f>
        <v>ベースB</v>
      </c>
      <c r="F730" s="3" t="str">
        <f>IF(ネックレス!G19="","",ネックレス!G19)</f>
        <v/>
      </c>
      <c r="G730" s="3" t="str">
        <f>IF(ネックレス!H19="","",ネックレス!H19)</f>
        <v/>
      </c>
      <c r="H730" s="3" t="str">
        <f>IF(ネックレス!I19="","",ネックレス!I19)</f>
        <v/>
      </c>
      <c r="I730" s="3" t="str">
        <f>IF(ネックレス!J19="","",ネックレス!J19)</f>
        <v/>
      </c>
      <c r="J730" s="3" t="str">
        <f>IF(ネックレス!K19="","",ネックレス!K19)</f>
        <v/>
      </c>
      <c r="K730" s="3" t="str">
        <f>IF(ネックレス!L19="","",ネックレス!L19)</f>
        <v>サイズ</v>
      </c>
      <c r="L730" s="69" t="s">
        <v>80</v>
      </c>
      <c r="M730" s="69" t="s">
        <v>19</v>
      </c>
      <c r="N730" s="69" t="s">
        <v>20</v>
      </c>
      <c r="O730" s="69" t="s">
        <v>21</v>
      </c>
      <c r="P730" s="4" t="s">
        <v>3036</v>
      </c>
      <c r="Q730" s="4" t="s">
        <v>3038</v>
      </c>
      <c r="R730" s="69" t="s">
        <v>22</v>
      </c>
      <c r="S730" s="69" t="s">
        <v>23</v>
      </c>
      <c r="T730" s="69" t="s">
        <v>22</v>
      </c>
      <c r="U730" s="69" t="s">
        <v>24</v>
      </c>
      <c r="V730" s="69" t="s">
        <v>25</v>
      </c>
      <c r="W730" s="69" t="s">
        <v>26</v>
      </c>
      <c r="X730" s="69" t="s">
        <v>27</v>
      </c>
      <c r="Y730" s="3" t="str">
        <f>ネックレス!Y19</f>
        <v>円周：約cm　幅：約cm　トップ縦幅：約cm　トップ横幅：約cm</v>
      </c>
      <c r="Z730" s="69" t="s">
        <v>29</v>
      </c>
      <c r="AA730" s="4"/>
      <c r="AB730" s="4"/>
      <c r="AC730" s="4"/>
      <c r="AD730" s="70"/>
      <c r="AE730" s="70">
        <f>ネックレス!AD19</f>
        <v>0</v>
      </c>
      <c r="AF730" s="70" t="str">
        <f>ネックレス!Q19</f>
        <v>通常</v>
      </c>
      <c r="AG730" s="70">
        <v>0</v>
      </c>
      <c r="AH730" s="9">
        <f>ネックレス!AB19</f>
        <v>0</v>
      </c>
      <c r="AI730">
        <v>1</v>
      </c>
      <c r="AJ730">
        <f>ネックレス!T19</f>
        <v>0</v>
      </c>
    </row>
    <row r="731" spans="1:36" ht="13.5" hidden="1" customHeight="1">
      <c r="A731" s="3" t="str">
        <f>IF(ネックレス!A20="","",ネックレス!A20)</f>
        <v/>
      </c>
      <c r="B731" s="68" t="str">
        <f>IF(ネックレス!B20="","",ネックレス!B20)</f>
        <v/>
      </c>
      <c r="C731" s="3" t="str">
        <f>IF(ネックレス!C20="","",ネックレス!C20)</f>
        <v>◇ E</v>
      </c>
      <c r="D731" s="3" t="str">
        <f>IF(ネックレス!E20="","",ネックレス!E20)</f>
        <v>無</v>
      </c>
      <c r="E731" s="3" t="str">
        <f>IF(ネックレス!Z20="","",ネックレス!Z20)</f>
        <v>ベースB</v>
      </c>
      <c r="F731" s="3" t="str">
        <f>IF(ネックレス!G20="","",ネックレス!G20)</f>
        <v/>
      </c>
      <c r="G731" s="3" t="str">
        <f>IF(ネックレス!H20="","",ネックレス!H20)</f>
        <v/>
      </c>
      <c r="H731" s="3" t="str">
        <f>IF(ネックレス!I20="","",ネックレス!I20)</f>
        <v/>
      </c>
      <c r="I731" s="3" t="str">
        <f>IF(ネックレス!J20="","",ネックレス!J20)</f>
        <v/>
      </c>
      <c r="J731" s="3" t="str">
        <f>IF(ネックレス!K20="","",ネックレス!K20)</f>
        <v/>
      </c>
      <c r="K731" s="3" t="str">
        <f>IF(ネックレス!L20="","",ネックレス!L20)</f>
        <v>サイズ</v>
      </c>
      <c r="L731" s="69" t="s">
        <v>80</v>
      </c>
      <c r="M731" s="69" t="s">
        <v>19</v>
      </c>
      <c r="N731" s="69" t="s">
        <v>20</v>
      </c>
      <c r="O731" s="69" t="s">
        <v>21</v>
      </c>
      <c r="P731" s="4" t="s">
        <v>3036</v>
      </c>
      <c r="Q731" s="4" t="s">
        <v>3038</v>
      </c>
      <c r="R731" s="69" t="s">
        <v>22</v>
      </c>
      <c r="S731" s="69" t="s">
        <v>23</v>
      </c>
      <c r="T731" s="69" t="s">
        <v>22</v>
      </c>
      <c r="U731" s="69" t="s">
        <v>24</v>
      </c>
      <c r="V731" s="69" t="s">
        <v>25</v>
      </c>
      <c r="W731" s="69" t="s">
        <v>26</v>
      </c>
      <c r="X731" s="69" t="s">
        <v>27</v>
      </c>
      <c r="Y731" s="3" t="str">
        <f>ネックレス!Y20</f>
        <v>円周：約cm　幅：約cm　トップ縦幅：約cm　トップ横幅：約cm</v>
      </c>
      <c r="Z731" s="69" t="s">
        <v>29</v>
      </c>
      <c r="AA731" s="4"/>
      <c r="AB731" s="4"/>
      <c r="AC731" s="4"/>
      <c r="AD731" s="70"/>
      <c r="AE731" s="70">
        <f>ネックレス!AD20</f>
        <v>0</v>
      </c>
      <c r="AF731" s="70" t="str">
        <f>ネックレス!Q20</f>
        <v>通常</v>
      </c>
      <c r="AG731" s="70">
        <v>0</v>
      </c>
      <c r="AH731" s="9">
        <f>ネックレス!AB20</f>
        <v>0</v>
      </c>
      <c r="AI731">
        <v>1</v>
      </c>
      <c r="AJ731">
        <f>ネックレス!T20</f>
        <v>0</v>
      </c>
    </row>
    <row r="732" spans="1:36" ht="13.5" hidden="1" customHeight="1">
      <c r="A732" s="3" t="str">
        <f>IF(ネックレス!A21="","",ネックレス!A21)</f>
        <v/>
      </c>
      <c r="B732" s="68" t="str">
        <f>IF(ネックレス!B21="","",ネックレス!B21)</f>
        <v/>
      </c>
      <c r="C732" s="3" t="str">
        <f>IF(ネックレス!C21="","",ネックレス!C21)</f>
        <v>◇ E</v>
      </c>
      <c r="D732" s="3" t="str">
        <f>IF(ネックレス!E21="","",ネックレス!E21)</f>
        <v>無</v>
      </c>
      <c r="E732" s="3" t="str">
        <f>IF(ネックレス!Z21="","",ネックレス!Z21)</f>
        <v>ベースB</v>
      </c>
      <c r="F732" s="3" t="str">
        <f>IF(ネックレス!G21="","",ネックレス!G21)</f>
        <v/>
      </c>
      <c r="G732" s="3" t="str">
        <f>IF(ネックレス!H21="","",ネックレス!H21)</f>
        <v/>
      </c>
      <c r="H732" s="3" t="str">
        <f>IF(ネックレス!I21="","",ネックレス!I21)</f>
        <v/>
      </c>
      <c r="I732" s="3" t="str">
        <f>IF(ネックレス!J21="","",ネックレス!J21)</f>
        <v/>
      </c>
      <c r="J732" s="3" t="str">
        <f>IF(ネックレス!K21="","",ネックレス!K21)</f>
        <v/>
      </c>
      <c r="K732" s="3" t="str">
        <f>IF(ネックレス!L21="","",ネックレス!L21)</f>
        <v>サイズ</v>
      </c>
      <c r="L732" s="69" t="s">
        <v>80</v>
      </c>
      <c r="M732" s="69" t="s">
        <v>19</v>
      </c>
      <c r="N732" s="69" t="s">
        <v>20</v>
      </c>
      <c r="O732" s="69" t="s">
        <v>21</v>
      </c>
      <c r="P732" s="4" t="s">
        <v>3036</v>
      </c>
      <c r="Q732" s="4" t="s">
        <v>3038</v>
      </c>
      <c r="R732" s="69" t="s">
        <v>22</v>
      </c>
      <c r="S732" s="69" t="s">
        <v>23</v>
      </c>
      <c r="T732" s="69" t="s">
        <v>22</v>
      </c>
      <c r="U732" s="69" t="s">
        <v>24</v>
      </c>
      <c r="V732" s="69" t="s">
        <v>25</v>
      </c>
      <c r="W732" s="69" t="s">
        <v>26</v>
      </c>
      <c r="X732" s="69" t="s">
        <v>27</v>
      </c>
      <c r="Y732" s="3" t="str">
        <f>ネックレス!Y21</f>
        <v>円周：約cm　幅：約cm　トップ縦幅：約cm　トップ横幅：約cm</v>
      </c>
      <c r="Z732" s="69" t="s">
        <v>29</v>
      </c>
      <c r="AA732" s="4"/>
      <c r="AB732" s="4"/>
      <c r="AC732" s="4"/>
      <c r="AD732" s="70"/>
      <c r="AE732" s="70">
        <f>ネックレス!AD21</f>
        <v>0</v>
      </c>
      <c r="AF732" s="70" t="str">
        <f>ネックレス!Q21</f>
        <v>通常</v>
      </c>
      <c r="AG732" s="70">
        <v>0</v>
      </c>
      <c r="AH732" s="9">
        <f>ネックレス!AB21</f>
        <v>0</v>
      </c>
      <c r="AI732">
        <v>1</v>
      </c>
      <c r="AJ732">
        <f>ネックレス!T21</f>
        <v>0</v>
      </c>
    </row>
    <row r="733" spans="1:36" ht="13.5" hidden="1" customHeight="1">
      <c r="A733" s="3" t="str">
        <f>IF(ネックレス!A22="","",ネックレス!A22)</f>
        <v/>
      </c>
      <c r="B733" s="68" t="str">
        <f>IF(ネックレス!B22="","",ネックレス!B22)</f>
        <v/>
      </c>
      <c r="C733" s="3" t="str">
        <f>IF(ネックレス!C22="","",ネックレス!C22)</f>
        <v>◇ E</v>
      </c>
      <c r="D733" s="3" t="str">
        <f>IF(ネックレス!E22="","",ネックレス!E22)</f>
        <v>無</v>
      </c>
      <c r="E733" s="3" t="str">
        <f>IF(ネックレス!Z22="","",ネックレス!Z22)</f>
        <v>ベースB</v>
      </c>
      <c r="F733" s="3" t="str">
        <f>IF(ネックレス!G22="","",ネックレス!G22)</f>
        <v/>
      </c>
      <c r="G733" s="3" t="str">
        <f>IF(ネックレス!H22="","",ネックレス!H22)</f>
        <v/>
      </c>
      <c r="H733" s="3" t="str">
        <f>IF(ネックレス!I22="","",ネックレス!I22)</f>
        <v/>
      </c>
      <c r="I733" s="3" t="str">
        <f>IF(ネックレス!J22="","",ネックレス!J22)</f>
        <v/>
      </c>
      <c r="J733" s="3" t="str">
        <f>IF(ネックレス!K22="","",ネックレス!K22)</f>
        <v/>
      </c>
      <c r="K733" s="3" t="str">
        <f>IF(ネックレス!L22="","",ネックレス!L22)</f>
        <v>サイズ</v>
      </c>
      <c r="L733" s="69" t="s">
        <v>80</v>
      </c>
      <c r="M733" s="69" t="s">
        <v>19</v>
      </c>
      <c r="N733" s="69" t="s">
        <v>20</v>
      </c>
      <c r="O733" s="69" t="s">
        <v>21</v>
      </c>
      <c r="P733" s="4" t="s">
        <v>3036</v>
      </c>
      <c r="Q733" s="4" t="s">
        <v>3038</v>
      </c>
      <c r="R733" s="69" t="s">
        <v>22</v>
      </c>
      <c r="S733" s="69" t="s">
        <v>23</v>
      </c>
      <c r="T733" s="69" t="s">
        <v>22</v>
      </c>
      <c r="U733" s="69" t="s">
        <v>24</v>
      </c>
      <c r="V733" s="69" t="s">
        <v>25</v>
      </c>
      <c r="W733" s="69" t="s">
        <v>26</v>
      </c>
      <c r="X733" s="69" t="s">
        <v>27</v>
      </c>
      <c r="Y733" s="3" t="str">
        <f>ネックレス!Y22</f>
        <v>円周：約cm　幅：約cm　トップ縦幅：約cm　トップ横幅：約cm</v>
      </c>
      <c r="Z733" s="69" t="s">
        <v>29</v>
      </c>
      <c r="AA733" s="4"/>
      <c r="AB733" s="4"/>
      <c r="AC733" s="4"/>
      <c r="AD733" s="70"/>
      <c r="AE733" s="70">
        <f>ネックレス!AD22</f>
        <v>0</v>
      </c>
      <c r="AF733" s="70" t="str">
        <f>ネックレス!Q22</f>
        <v>通常</v>
      </c>
      <c r="AG733" s="70">
        <v>0</v>
      </c>
      <c r="AH733" s="9">
        <f>ネックレス!AB22</f>
        <v>0</v>
      </c>
      <c r="AI733">
        <v>1</v>
      </c>
      <c r="AJ733">
        <f>ネックレス!T22</f>
        <v>0</v>
      </c>
    </row>
    <row r="734" spans="1:36" ht="13.5" hidden="1" customHeight="1">
      <c r="A734" s="3" t="str">
        <f>IF(ネックレス!A23="","",ネックレス!A23)</f>
        <v/>
      </c>
      <c r="B734" s="68" t="str">
        <f>IF(ネックレス!B23="","",ネックレス!B23)</f>
        <v/>
      </c>
      <c r="C734" s="3" t="str">
        <f>IF(ネックレス!C23="","",ネックレス!C23)</f>
        <v>◇ E</v>
      </c>
      <c r="D734" s="3" t="str">
        <f>IF(ネックレス!E23="","",ネックレス!E23)</f>
        <v>無</v>
      </c>
      <c r="E734" s="3" t="str">
        <f>IF(ネックレス!Z23="","",ネックレス!Z23)</f>
        <v>ベースB</v>
      </c>
      <c r="F734" s="3" t="str">
        <f>IF(ネックレス!G23="","",ネックレス!G23)</f>
        <v/>
      </c>
      <c r="G734" s="3" t="str">
        <f>IF(ネックレス!H23="","",ネックレス!H23)</f>
        <v/>
      </c>
      <c r="H734" s="3" t="str">
        <f>IF(ネックレス!I23="","",ネックレス!I23)</f>
        <v/>
      </c>
      <c r="I734" s="3" t="str">
        <f>IF(ネックレス!J23="","",ネックレス!J23)</f>
        <v/>
      </c>
      <c r="J734" s="3" t="str">
        <f>IF(ネックレス!K23="","",ネックレス!K23)</f>
        <v/>
      </c>
      <c r="K734" s="3" t="str">
        <f>IF(ネックレス!L23="","",ネックレス!L23)</f>
        <v>サイズ</v>
      </c>
      <c r="L734" s="69" t="s">
        <v>80</v>
      </c>
      <c r="M734" s="69" t="s">
        <v>19</v>
      </c>
      <c r="N734" s="69" t="s">
        <v>20</v>
      </c>
      <c r="O734" s="69" t="s">
        <v>21</v>
      </c>
      <c r="P734" s="4" t="s">
        <v>3036</v>
      </c>
      <c r="Q734" s="4" t="s">
        <v>3038</v>
      </c>
      <c r="R734" s="69" t="s">
        <v>22</v>
      </c>
      <c r="S734" s="69" t="s">
        <v>23</v>
      </c>
      <c r="T734" s="69" t="s">
        <v>22</v>
      </c>
      <c r="U734" s="69" t="s">
        <v>24</v>
      </c>
      <c r="V734" s="69" t="s">
        <v>25</v>
      </c>
      <c r="W734" s="69" t="s">
        <v>26</v>
      </c>
      <c r="X734" s="69" t="s">
        <v>27</v>
      </c>
      <c r="Y734" s="3" t="str">
        <f>ネックレス!Y23</f>
        <v>円周：約cm　幅：約cm　トップ縦幅：約cm　トップ横幅：約cm</v>
      </c>
      <c r="Z734" s="69" t="s">
        <v>29</v>
      </c>
      <c r="AA734" s="4"/>
      <c r="AB734" s="4"/>
      <c r="AC734" s="4"/>
      <c r="AD734" s="70"/>
      <c r="AE734" s="70">
        <f>ネックレス!AD23</f>
        <v>0</v>
      </c>
      <c r="AF734" s="70" t="str">
        <f>ネックレス!Q23</f>
        <v>通常</v>
      </c>
      <c r="AG734" s="70">
        <v>0</v>
      </c>
      <c r="AH734" s="9">
        <f>ネックレス!AB23</f>
        <v>0</v>
      </c>
      <c r="AI734">
        <v>1</v>
      </c>
      <c r="AJ734">
        <f>ネックレス!T23</f>
        <v>0</v>
      </c>
    </row>
    <row r="735" spans="1:36" ht="13.5" hidden="1" customHeight="1">
      <c r="A735" s="3" t="str">
        <f>IF(ネックレス!A24="","",ネックレス!A24)</f>
        <v/>
      </c>
      <c r="B735" s="68" t="str">
        <f>IF(ネックレス!B24="","",ネックレス!B24)</f>
        <v/>
      </c>
      <c r="C735" s="3" t="str">
        <f>IF(ネックレス!C24="","",ネックレス!C24)</f>
        <v>◇ E</v>
      </c>
      <c r="D735" s="3" t="str">
        <f>IF(ネックレス!E24="","",ネックレス!E24)</f>
        <v>無</v>
      </c>
      <c r="E735" s="3" t="str">
        <f>IF(ネックレス!Z24="","",ネックレス!Z24)</f>
        <v>ベースB</v>
      </c>
      <c r="F735" s="3" t="str">
        <f>IF(ネックレス!G24="","",ネックレス!G24)</f>
        <v/>
      </c>
      <c r="G735" s="3" t="str">
        <f>IF(ネックレス!H24="","",ネックレス!H24)</f>
        <v/>
      </c>
      <c r="H735" s="3" t="str">
        <f>IF(ネックレス!I24="","",ネックレス!I24)</f>
        <v/>
      </c>
      <c r="I735" s="3" t="str">
        <f>IF(ネックレス!J24="","",ネックレス!J24)</f>
        <v/>
      </c>
      <c r="J735" s="3" t="str">
        <f>IF(ネックレス!K24="","",ネックレス!K24)</f>
        <v/>
      </c>
      <c r="K735" s="3" t="str">
        <f>IF(ネックレス!L24="","",ネックレス!L24)</f>
        <v>サイズ</v>
      </c>
      <c r="L735" s="69" t="s">
        <v>80</v>
      </c>
      <c r="M735" s="69" t="s">
        <v>19</v>
      </c>
      <c r="N735" s="69" t="s">
        <v>20</v>
      </c>
      <c r="O735" s="69" t="s">
        <v>21</v>
      </c>
      <c r="P735" s="4" t="s">
        <v>3036</v>
      </c>
      <c r="Q735" s="4" t="s">
        <v>3038</v>
      </c>
      <c r="R735" s="69" t="s">
        <v>22</v>
      </c>
      <c r="S735" s="69" t="s">
        <v>23</v>
      </c>
      <c r="T735" s="69" t="s">
        <v>22</v>
      </c>
      <c r="U735" s="69" t="s">
        <v>24</v>
      </c>
      <c r="V735" s="69" t="s">
        <v>25</v>
      </c>
      <c r="W735" s="69" t="s">
        <v>26</v>
      </c>
      <c r="X735" s="69" t="s">
        <v>27</v>
      </c>
      <c r="Y735" s="3" t="str">
        <f>ネックレス!Y24</f>
        <v>円周：約cm　幅：約cm　トップ縦幅：約cm　トップ横幅：約cm</v>
      </c>
      <c r="Z735" s="69" t="s">
        <v>29</v>
      </c>
      <c r="AA735" s="4"/>
      <c r="AB735" s="4"/>
      <c r="AC735" s="4"/>
      <c r="AD735" s="70"/>
      <c r="AE735" s="70">
        <f>ネックレス!AD24</f>
        <v>0</v>
      </c>
      <c r="AF735" s="70" t="str">
        <f>ネックレス!Q24</f>
        <v>通常</v>
      </c>
      <c r="AG735" s="70">
        <v>0</v>
      </c>
      <c r="AH735" s="9">
        <f>ネックレス!AB24</f>
        <v>0</v>
      </c>
      <c r="AI735">
        <v>1</v>
      </c>
      <c r="AJ735">
        <f>ネックレス!T24</f>
        <v>0</v>
      </c>
    </row>
    <row r="736" spans="1:36" ht="13.5" hidden="1" customHeight="1">
      <c r="A736" s="3" t="str">
        <f>IF(ネックレス!A25="","",ネックレス!A25)</f>
        <v/>
      </c>
      <c r="B736" s="68" t="str">
        <f>IF(ネックレス!B25="","",ネックレス!B25)</f>
        <v/>
      </c>
      <c r="C736" s="3" t="str">
        <f>IF(ネックレス!C25="","",ネックレス!C25)</f>
        <v>◇ E</v>
      </c>
      <c r="D736" s="3" t="str">
        <f>IF(ネックレス!E25="","",ネックレス!E25)</f>
        <v>無</v>
      </c>
      <c r="E736" s="3" t="str">
        <f>IF(ネックレス!Z25="","",ネックレス!Z25)</f>
        <v>ベースB</v>
      </c>
      <c r="F736" s="3" t="str">
        <f>IF(ネックレス!G25="","",ネックレス!G25)</f>
        <v/>
      </c>
      <c r="G736" s="3" t="str">
        <f>IF(ネックレス!H25="","",ネックレス!H25)</f>
        <v/>
      </c>
      <c r="H736" s="3" t="str">
        <f>IF(ネックレス!I25="","",ネックレス!I25)</f>
        <v/>
      </c>
      <c r="I736" s="3" t="str">
        <f>IF(ネックレス!J25="","",ネックレス!J25)</f>
        <v/>
      </c>
      <c r="J736" s="3" t="str">
        <f>IF(ネックレス!K25="","",ネックレス!K25)</f>
        <v/>
      </c>
      <c r="K736" s="3" t="str">
        <f>IF(ネックレス!L25="","",ネックレス!L25)</f>
        <v>サイズ</v>
      </c>
      <c r="L736" s="69" t="s">
        <v>80</v>
      </c>
      <c r="M736" s="69" t="s">
        <v>19</v>
      </c>
      <c r="N736" s="69" t="s">
        <v>20</v>
      </c>
      <c r="O736" s="69" t="s">
        <v>21</v>
      </c>
      <c r="P736" s="4" t="s">
        <v>3036</v>
      </c>
      <c r="Q736" s="4" t="s">
        <v>3038</v>
      </c>
      <c r="R736" s="69" t="s">
        <v>22</v>
      </c>
      <c r="S736" s="69" t="s">
        <v>23</v>
      </c>
      <c r="T736" s="69" t="s">
        <v>22</v>
      </c>
      <c r="U736" s="69" t="s">
        <v>24</v>
      </c>
      <c r="V736" s="69" t="s">
        <v>25</v>
      </c>
      <c r="W736" s="69" t="s">
        <v>26</v>
      </c>
      <c r="X736" s="69" t="s">
        <v>27</v>
      </c>
      <c r="Y736" s="3" t="str">
        <f>ネックレス!Y25</f>
        <v>円周：約cm　幅：約cm　トップ縦幅：約cm　トップ横幅：約cm</v>
      </c>
      <c r="Z736" s="69" t="s">
        <v>29</v>
      </c>
      <c r="AA736" s="4"/>
      <c r="AB736" s="4"/>
      <c r="AC736" s="4"/>
      <c r="AD736" s="70"/>
      <c r="AE736" s="70">
        <f>ネックレス!AD25</f>
        <v>0</v>
      </c>
      <c r="AF736" s="70" t="str">
        <f>ネックレス!Q25</f>
        <v>通常</v>
      </c>
      <c r="AG736" s="70">
        <v>0</v>
      </c>
      <c r="AH736" s="9">
        <f>ネックレス!AB25</f>
        <v>0</v>
      </c>
      <c r="AI736">
        <v>1</v>
      </c>
      <c r="AJ736">
        <f>ネックレス!T25</f>
        <v>0</v>
      </c>
    </row>
    <row r="737" spans="1:36" ht="13.5" hidden="1" customHeight="1">
      <c r="A737" s="3" t="str">
        <f>IF(サングラス!A2="","",サングラス!A2)</f>
        <v/>
      </c>
      <c r="B737" s="68" t="str">
        <f>IF(サングラス!B2="","",サングラス!B2)</f>
        <v/>
      </c>
      <c r="C737" s="3" t="str">
        <f>IF(サングラス!C2="","",サングラス!C2)</f>
        <v>◇ サイズ E</v>
      </c>
      <c r="D737" s="3" t="str">
        <f>IF(サングラス!E2="","",サングラス!E2)</f>
        <v>無</v>
      </c>
      <c r="E737" s="3" t="str">
        <f>IF(サングラス!X2="","",サングラス!X2)</f>
        <v>ベースB</v>
      </c>
      <c r="F737" s="3" t="str">
        <f>IF(サングラス!G2="","",サングラス!G2)</f>
        <v/>
      </c>
      <c r="G737" s="3" t="str">
        <f>IF(サングラス!H2="","",サングラス!H2)</f>
        <v/>
      </c>
      <c r="H737" s="3" t="str">
        <f>IF(サングラス!I2="","",サングラス!I2)</f>
        <v/>
      </c>
      <c r="I737" s="3" t="str">
        <f>IF(サングラス!J2="","",サングラス!J2)</f>
        <v/>
      </c>
      <c r="J737" s="3" t="str">
        <f>IF(サングラス!K2="","",サングラス!K2)</f>
        <v/>
      </c>
      <c r="K737" s="3" t="str">
        <f>IF(サングラス!L2="","",サングラス!L2)</f>
        <v>サイズ</v>
      </c>
      <c r="L737" s="69" t="s">
        <v>80</v>
      </c>
      <c r="M737" s="69" t="s">
        <v>19</v>
      </c>
      <c r="N737" s="69" t="s">
        <v>20</v>
      </c>
      <c r="O737" s="69" t="s">
        <v>21</v>
      </c>
      <c r="P737" s="4" t="s">
        <v>3036</v>
      </c>
      <c r="Q737" s="4" t="s">
        <v>3038</v>
      </c>
      <c r="R737" s="69" t="s">
        <v>22</v>
      </c>
      <c r="S737" s="69" t="s">
        <v>23</v>
      </c>
      <c r="T737" s="69" t="s">
        <v>22</v>
      </c>
      <c r="U737" s="69" t="s">
        <v>24</v>
      </c>
      <c r="V737" s="69" t="s">
        <v>25</v>
      </c>
      <c r="W737" s="69" t="s">
        <v>26</v>
      </c>
      <c r="X737" s="69" t="s">
        <v>27</v>
      </c>
      <c r="Y737" s="69" t="s">
        <v>28</v>
      </c>
      <c r="Z737" s="3" t="str">
        <f>サングラス!W2</f>
        <v>レンズ幅縦横：約x約ｃｍ　フレーム幅：約cm</v>
      </c>
      <c r="AA737" s="4"/>
      <c r="AB737" s="4"/>
      <c r="AC737" s="4"/>
      <c r="AD737" s="70"/>
      <c r="AE737" s="70">
        <f>サングラス!AB2</f>
        <v>0</v>
      </c>
      <c r="AF737" s="72" t="str">
        <f>サングラス!P2</f>
        <v>通常</v>
      </c>
      <c r="AG737" s="70">
        <v>0</v>
      </c>
      <c r="AH737" s="9">
        <f>サングラス!Z2</f>
        <v>0</v>
      </c>
      <c r="AI737">
        <v>1</v>
      </c>
      <c r="AJ737">
        <f>サングラス!S2</f>
        <v>0</v>
      </c>
    </row>
    <row r="738" spans="1:36" ht="13.5" hidden="1" customHeight="1">
      <c r="A738" s="3" t="str">
        <f>IF(サングラス!A3="","",サングラス!A3)</f>
        <v/>
      </c>
      <c r="B738" s="68" t="str">
        <f>IF(サングラス!B3="","",サングラス!B3)</f>
        <v/>
      </c>
      <c r="C738" s="3" t="str">
        <f>IF(サングラス!C3="","",サングラス!C3)</f>
        <v>◇ サイズ E</v>
      </c>
      <c r="D738" s="3" t="str">
        <f>IF(サングラス!E3="","",サングラス!E3)</f>
        <v>無</v>
      </c>
      <c r="E738" s="3" t="str">
        <f>IF(サングラス!X3="","",サングラス!X3)</f>
        <v>ベースB</v>
      </c>
      <c r="F738" s="3" t="str">
        <f>IF(サングラス!G3="","",サングラス!G3)</f>
        <v/>
      </c>
      <c r="G738" s="3" t="str">
        <f>IF(サングラス!H3="","",サングラス!H3)</f>
        <v/>
      </c>
      <c r="H738" s="3" t="str">
        <f>IF(サングラス!I3="","",サングラス!I3)</f>
        <v/>
      </c>
      <c r="I738" s="3" t="str">
        <f>IF(サングラス!J3="","",サングラス!J3)</f>
        <v/>
      </c>
      <c r="J738" s="3" t="str">
        <f>IF(サングラス!K3="","",サングラス!K3)</f>
        <v/>
      </c>
      <c r="K738" s="3" t="str">
        <f>IF(サングラス!L3="","",サングラス!L3)</f>
        <v>サイズ</v>
      </c>
      <c r="L738" s="69" t="s">
        <v>80</v>
      </c>
      <c r="M738" s="69" t="s">
        <v>19</v>
      </c>
      <c r="N738" s="69" t="s">
        <v>20</v>
      </c>
      <c r="O738" s="69" t="s">
        <v>21</v>
      </c>
      <c r="P738" s="4" t="s">
        <v>3036</v>
      </c>
      <c r="Q738" s="4" t="s">
        <v>3038</v>
      </c>
      <c r="R738" s="69" t="s">
        <v>22</v>
      </c>
      <c r="S738" s="69" t="s">
        <v>23</v>
      </c>
      <c r="T738" s="69" t="s">
        <v>22</v>
      </c>
      <c r="U738" s="69" t="s">
        <v>24</v>
      </c>
      <c r="V738" s="69" t="s">
        <v>25</v>
      </c>
      <c r="W738" s="69" t="s">
        <v>26</v>
      </c>
      <c r="X738" s="69" t="s">
        <v>27</v>
      </c>
      <c r="Y738" s="69" t="s">
        <v>28</v>
      </c>
      <c r="Z738" s="3" t="str">
        <f>サングラス!W3</f>
        <v>レンズ幅縦横：約x約ｃｍ　フレーム幅：約cm</v>
      </c>
      <c r="AA738" s="4"/>
      <c r="AB738" s="4"/>
      <c r="AC738" s="4"/>
      <c r="AD738" s="70"/>
      <c r="AE738" s="70">
        <f>サングラス!AB3</f>
        <v>0</v>
      </c>
      <c r="AF738" s="72" t="str">
        <f>サングラス!P3</f>
        <v>通常</v>
      </c>
      <c r="AG738" s="70">
        <v>0</v>
      </c>
      <c r="AH738" s="9">
        <f>サングラス!Z3</f>
        <v>0</v>
      </c>
      <c r="AI738">
        <v>1</v>
      </c>
      <c r="AJ738">
        <f>サングラス!S3</f>
        <v>0</v>
      </c>
    </row>
    <row r="739" spans="1:36" ht="13.5" hidden="1" customHeight="1">
      <c r="A739" s="3" t="str">
        <f>IF(サングラス!A4="","",サングラス!A4)</f>
        <v/>
      </c>
      <c r="B739" s="68" t="str">
        <f>IF(サングラス!B4="","",サングラス!B4)</f>
        <v/>
      </c>
      <c r="C739" s="3" t="str">
        <f>IF(サングラス!C4="","",サングラス!C4)</f>
        <v>◇ サイズ E</v>
      </c>
      <c r="D739" s="3" t="str">
        <f>IF(サングラス!E4="","",サングラス!E4)</f>
        <v>無</v>
      </c>
      <c r="E739" s="3" t="str">
        <f>IF(サングラス!X4="","",サングラス!X4)</f>
        <v>ベースB</v>
      </c>
      <c r="F739" s="3" t="str">
        <f>IF(サングラス!G4="","",サングラス!G4)</f>
        <v/>
      </c>
      <c r="G739" s="3" t="str">
        <f>IF(サングラス!H4="","",サングラス!H4)</f>
        <v/>
      </c>
      <c r="H739" s="3" t="str">
        <f>IF(サングラス!I4="","",サングラス!I4)</f>
        <v/>
      </c>
      <c r="I739" s="3" t="str">
        <f>IF(サングラス!J4="","",サングラス!J4)</f>
        <v/>
      </c>
      <c r="J739" s="3" t="str">
        <f>IF(サングラス!K4="","",サングラス!K4)</f>
        <v/>
      </c>
      <c r="K739" s="3" t="str">
        <f>IF(サングラス!L4="","",サングラス!L4)</f>
        <v>サイズ</v>
      </c>
      <c r="L739" s="69" t="s">
        <v>80</v>
      </c>
      <c r="M739" s="69" t="s">
        <v>19</v>
      </c>
      <c r="N739" s="69" t="s">
        <v>20</v>
      </c>
      <c r="O739" s="69" t="s">
        <v>21</v>
      </c>
      <c r="P739" s="4" t="s">
        <v>3036</v>
      </c>
      <c r="Q739" s="4" t="s">
        <v>3038</v>
      </c>
      <c r="R739" s="69" t="s">
        <v>22</v>
      </c>
      <c r="S739" s="69" t="s">
        <v>23</v>
      </c>
      <c r="T739" s="69" t="s">
        <v>22</v>
      </c>
      <c r="U739" s="69" t="s">
        <v>24</v>
      </c>
      <c r="V739" s="69" t="s">
        <v>25</v>
      </c>
      <c r="W739" s="69" t="s">
        <v>26</v>
      </c>
      <c r="X739" s="69" t="s">
        <v>27</v>
      </c>
      <c r="Y739" s="69" t="s">
        <v>28</v>
      </c>
      <c r="Z739" s="3" t="str">
        <f>サングラス!W4</f>
        <v>レンズ幅縦横：約x約ｃｍ　フレーム幅：約cm</v>
      </c>
      <c r="AA739" s="4"/>
      <c r="AB739" s="4"/>
      <c r="AC739" s="4"/>
      <c r="AD739" s="70"/>
      <c r="AE739" s="70">
        <f>サングラス!AB4</f>
        <v>0</v>
      </c>
      <c r="AF739" s="72" t="str">
        <f>サングラス!P4</f>
        <v>通常</v>
      </c>
      <c r="AG739" s="70">
        <v>0</v>
      </c>
      <c r="AH739" s="9">
        <f>サングラス!Z4</f>
        <v>0</v>
      </c>
      <c r="AI739">
        <v>1</v>
      </c>
      <c r="AJ739">
        <f>サングラス!S4</f>
        <v>0</v>
      </c>
    </row>
    <row r="740" spans="1:36" ht="13.5" hidden="1" customHeight="1">
      <c r="A740" s="3" t="str">
        <f>IF(サングラス!A5="","",サングラス!A5)</f>
        <v/>
      </c>
      <c r="B740" s="68" t="str">
        <f>IF(サングラス!B5="","",サングラス!B5)</f>
        <v/>
      </c>
      <c r="C740" s="3" t="str">
        <f>IF(サングラス!C5="","",サングラス!C5)</f>
        <v>◇ サイズ E</v>
      </c>
      <c r="D740" s="3" t="str">
        <f>IF(サングラス!E5="","",サングラス!E5)</f>
        <v>無</v>
      </c>
      <c r="E740" s="3" t="str">
        <f>IF(サングラス!X5="","",サングラス!X5)</f>
        <v>ベースB</v>
      </c>
      <c r="F740" s="3" t="str">
        <f>IF(サングラス!G5="","",サングラス!G5)</f>
        <v/>
      </c>
      <c r="G740" s="3" t="str">
        <f>IF(サングラス!H5="","",サングラス!H5)</f>
        <v/>
      </c>
      <c r="H740" s="3" t="str">
        <f>IF(サングラス!I5="","",サングラス!I5)</f>
        <v/>
      </c>
      <c r="I740" s="3" t="str">
        <f>IF(サングラス!J5="","",サングラス!J5)</f>
        <v/>
      </c>
      <c r="J740" s="3" t="str">
        <f>IF(サングラス!K5="","",サングラス!K5)</f>
        <v/>
      </c>
      <c r="K740" s="3" t="str">
        <f>IF(サングラス!L5="","",サングラス!L5)</f>
        <v>サイズ</v>
      </c>
      <c r="L740" s="69" t="s">
        <v>80</v>
      </c>
      <c r="M740" s="69" t="s">
        <v>19</v>
      </c>
      <c r="N740" s="69" t="s">
        <v>20</v>
      </c>
      <c r="O740" s="69" t="s">
        <v>21</v>
      </c>
      <c r="P740" s="4" t="s">
        <v>3036</v>
      </c>
      <c r="Q740" s="4" t="s">
        <v>3038</v>
      </c>
      <c r="R740" s="69" t="s">
        <v>22</v>
      </c>
      <c r="S740" s="69" t="s">
        <v>23</v>
      </c>
      <c r="T740" s="69" t="s">
        <v>22</v>
      </c>
      <c r="U740" s="69" t="s">
        <v>24</v>
      </c>
      <c r="V740" s="69" t="s">
        <v>25</v>
      </c>
      <c r="W740" s="69" t="s">
        <v>26</v>
      </c>
      <c r="X740" s="69" t="s">
        <v>27</v>
      </c>
      <c r="Y740" s="69" t="s">
        <v>28</v>
      </c>
      <c r="Z740" s="3" t="str">
        <f>サングラス!W5</f>
        <v>レンズ幅縦横：約x約ｃｍ　フレーム幅：約cm</v>
      </c>
      <c r="AA740" s="4"/>
      <c r="AB740" s="4"/>
      <c r="AC740" s="4"/>
      <c r="AD740" s="70"/>
      <c r="AE740" s="70">
        <f>サングラス!AB5</f>
        <v>0</v>
      </c>
      <c r="AF740" s="72" t="str">
        <f>サングラス!P5</f>
        <v>通常</v>
      </c>
      <c r="AG740" s="70">
        <v>0</v>
      </c>
      <c r="AH740" s="9">
        <f>サングラス!Z5</f>
        <v>0</v>
      </c>
      <c r="AI740">
        <v>1</v>
      </c>
      <c r="AJ740">
        <f>サングラス!S5</f>
        <v>0</v>
      </c>
    </row>
    <row r="741" spans="1:36" ht="13.5" hidden="1" customHeight="1">
      <c r="A741" s="3" t="str">
        <f>IF(サングラス!A6="","",サングラス!A6)</f>
        <v/>
      </c>
      <c r="B741" s="68" t="str">
        <f>IF(サングラス!B6="","",サングラス!B6)</f>
        <v/>
      </c>
      <c r="C741" s="3" t="str">
        <f>IF(サングラス!C6="","",サングラス!C6)</f>
        <v>◇ サイズ E</v>
      </c>
      <c r="D741" s="3" t="str">
        <f>IF(サングラス!E6="","",サングラス!E6)</f>
        <v>無</v>
      </c>
      <c r="E741" s="3" t="str">
        <f>IF(サングラス!X6="","",サングラス!X6)</f>
        <v>ベースB</v>
      </c>
      <c r="F741" s="3" t="str">
        <f>IF(サングラス!G6="","",サングラス!G6)</f>
        <v/>
      </c>
      <c r="G741" s="3" t="str">
        <f>IF(サングラス!H6="","",サングラス!H6)</f>
        <v/>
      </c>
      <c r="H741" s="3" t="str">
        <f>IF(サングラス!I6="","",サングラス!I6)</f>
        <v/>
      </c>
      <c r="I741" s="3" t="str">
        <f>IF(サングラス!J6="","",サングラス!J6)</f>
        <v/>
      </c>
      <c r="J741" s="3" t="str">
        <f>IF(サングラス!K6="","",サングラス!K6)</f>
        <v/>
      </c>
      <c r="K741" s="3" t="str">
        <f>IF(サングラス!L6="","",サングラス!L6)</f>
        <v>サイズ</v>
      </c>
      <c r="L741" s="69" t="s">
        <v>80</v>
      </c>
      <c r="M741" s="69" t="s">
        <v>19</v>
      </c>
      <c r="N741" s="69" t="s">
        <v>20</v>
      </c>
      <c r="O741" s="69" t="s">
        <v>21</v>
      </c>
      <c r="P741" s="4" t="s">
        <v>3036</v>
      </c>
      <c r="Q741" s="4" t="s">
        <v>3038</v>
      </c>
      <c r="R741" s="69" t="s">
        <v>22</v>
      </c>
      <c r="S741" s="69" t="s">
        <v>23</v>
      </c>
      <c r="T741" s="69" t="s">
        <v>22</v>
      </c>
      <c r="U741" s="69" t="s">
        <v>24</v>
      </c>
      <c r="V741" s="69" t="s">
        <v>25</v>
      </c>
      <c r="W741" s="69" t="s">
        <v>26</v>
      </c>
      <c r="X741" s="69" t="s">
        <v>27</v>
      </c>
      <c r="Y741" s="69" t="s">
        <v>28</v>
      </c>
      <c r="Z741" s="3" t="str">
        <f>サングラス!W6</f>
        <v>レンズ幅縦横：約x約ｃｍ　フレーム幅：約cm</v>
      </c>
      <c r="AA741" s="4"/>
      <c r="AB741" s="4"/>
      <c r="AC741" s="4"/>
      <c r="AD741" s="70"/>
      <c r="AE741" s="70">
        <f>サングラス!AB6</f>
        <v>0</v>
      </c>
      <c r="AF741" s="72" t="str">
        <f>サングラス!P6</f>
        <v>通常</v>
      </c>
      <c r="AG741" s="70">
        <v>0</v>
      </c>
      <c r="AH741" s="9">
        <f>サングラス!Z6</f>
        <v>0</v>
      </c>
      <c r="AI741">
        <v>1</v>
      </c>
      <c r="AJ741">
        <f>サングラス!S6</f>
        <v>0</v>
      </c>
    </row>
    <row r="742" spans="1:36" ht="13.5" hidden="1" customHeight="1">
      <c r="A742" s="3" t="str">
        <f>IF(サングラス!A7="","",サングラス!A7)</f>
        <v/>
      </c>
      <c r="B742" s="68" t="str">
        <f>IF(サングラス!B7="","",サングラス!B7)</f>
        <v/>
      </c>
      <c r="C742" s="3" t="str">
        <f>IF(サングラス!C7="","",サングラス!C7)</f>
        <v>◇ サイズ E</v>
      </c>
      <c r="D742" s="3" t="str">
        <f>IF(サングラス!E7="","",サングラス!E7)</f>
        <v>無</v>
      </c>
      <c r="E742" s="3" t="str">
        <f>IF(サングラス!X7="","",サングラス!X7)</f>
        <v>ベースB</v>
      </c>
      <c r="F742" s="3" t="str">
        <f>IF(サングラス!G7="","",サングラス!G7)</f>
        <v/>
      </c>
      <c r="G742" s="3" t="str">
        <f>IF(サングラス!H7="","",サングラス!H7)</f>
        <v/>
      </c>
      <c r="H742" s="3" t="str">
        <f>IF(サングラス!I7="","",サングラス!I7)</f>
        <v/>
      </c>
      <c r="I742" s="3" t="str">
        <f>IF(サングラス!J7="","",サングラス!J7)</f>
        <v/>
      </c>
      <c r="J742" s="3" t="str">
        <f>IF(サングラス!K7="","",サングラス!K7)</f>
        <v/>
      </c>
      <c r="K742" s="3" t="str">
        <f>IF(サングラス!L7="","",サングラス!L7)</f>
        <v>サイズ</v>
      </c>
      <c r="L742" s="69" t="s">
        <v>80</v>
      </c>
      <c r="M742" s="69" t="s">
        <v>19</v>
      </c>
      <c r="N742" s="69" t="s">
        <v>20</v>
      </c>
      <c r="O742" s="69" t="s">
        <v>21</v>
      </c>
      <c r="P742" s="4" t="s">
        <v>3036</v>
      </c>
      <c r="Q742" s="4" t="s">
        <v>3038</v>
      </c>
      <c r="R742" s="69" t="s">
        <v>22</v>
      </c>
      <c r="S742" s="69" t="s">
        <v>23</v>
      </c>
      <c r="T742" s="69" t="s">
        <v>22</v>
      </c>
      <c r="U742" s="69" t="s">
        <v>24</v>
      </c>
      <c r="V742" s="69" t="s">
        <v>25</v>
      </c>
      <c r="W742" s="69" t="s">
        <v>26</v>
      </c>
      <c r="X742" s="69" t="s">
        <v>27</v>
      </c>
      <c r="Y742" s="69" t="s">
        <v>28</v>
      </c>
      <c r="Z742" s="3" t="str">
        <f>サングラス!W7</f>
        <v>レンズ幅縦横：約x約ｃｍ　フレーム幅：約cm</v>
      </c>
      <c r="AA742" s="4"/>
      <c r="AB742" s="4"/>
      <c r="AC742" s="4"/>
      <c r="AD742" s="70"/>
      <c r="AE742" s="70">
        <f>サングラス!AB7</f>
        <v>0</v>
      </c>
      <c r="AF742" s="72" t="str">
        <f>サングラス!P7</f>
        <v>通常</v>
      </c>
      <c r="AG742" s="70">
        <v>0</v>
      </c>
      <c r="AH742" s="9">
        <f>サングラス!Z7</f>
        <v>0</v>
      </c>
      <c r="AI742">
        <v>1</v>
      </c>
      <c r="AJ742">
        <f>サングラス!S7</f>
        <v>0</v>
      </c>
    </row>
    <row r="743" spans="1:36" ht="13.5" hidden="1" customHeight="1">
      <c r="A743" s="3" t="str">
        <f>IF(サングラス!A8="","",サングラス!A8)</f>
        <v/>
      </c>
      <c r="B743" s="68" t="str">
        <f>IF(サングラス!B8="","",サングラス!B8)</f>
        <v/>
      </c>
      <c r="C743" s="3" t="str">
        <f>IF(サングラス!C8="","",サングラス!C8)</f>
        <v>◇ サイズ E</v>
      </c>
      <c r="D743" s="3" t="str">
        <f>IF(サングラス!E8="","",サングラス!E8)</f>
        <v>無</v>
      </c>
      <c r="E743" s="3" t="str">
        <f>IF(サングラス!X8="","",サングラス!X8)</f>
        <v>ベースB</v>
      </c>
      <c r="F743" s="3" t="str">
        <f>IF(サングラス!G8="","",サングラス!G8)</f>
        <v/>
      </c>
      <c r="G743" s="3" t="str">
        <f>IF(サングラス!H8="","",サングラス!H8)</f>
        <v/>
      </c>
      <c r="H743" s="3" t="str">
        <f>IF(サングラス!I8="","",サングラス!I8)</f>
        <v/>
      </c>
      <c r="I743" s="3" t="str">
        <f>IF(サングラス!J8="","",サングラス!J8)</f>
        <v/>
      </c>
      <c r="J743" s="3" t="str">
        <f>IF(サングラス!K8="","",サングラス!K8)</f>
        <v/>
      </c>
      <c r="K743" s="3" t="str">
        <f>IF(サングラス!L8="","",サングラス!L8)</f>
        <v>サイズ</v>
      </c>
      <c r="L743" s="69" t="s">
        <v>80</v>
      </c>
      <c r="M743" s="69" t="s">
        <v>19</v>
      </c>
      <c r="N743" s="69" t="s">
        <v>20</v>
      </c>
      <c r="O743" s="69" t="s">
        <v>21</v>
      </c>
      <c r="P743" s="4" t="s">
        <v>3036</v>
      </c>
      <c r="Q743" s="4" t="s">
        <v>3038</v>
      </c>
      <c r="R743" s="69" t="s">
        <v>22</v>
      </c>
      <c r="S743" s="69" t="s">
        <v>23</v>
      </c>
      <c r="T743" s="69" t="s">
        <v>22</v>
      </c>
      <c r="U743" s="69" t="s">
        <v>24</v>
      </c>
      <c r="V743" s="69" t="s">
        <v>25</v>
      </c>
      <c r="W743" s="69" t="s">
        <v>26</v>
      </c>
      <c r="X743" s="69" t="s">
        <v>27</v>
      </c>
      <c r="Y743" s="69" t="s">
        <v>28</v>
      </c>
      <c r="Z743" s="3" t="str">
        <f>サングラス!W8</f>
        <v>レンズ幅縦横：約x約ｃｍ　フレーム幅：約cm</v>
      </c>
      <c r="AA743" s="4"/>
      <c r="AB743" s="4"/>
      <c r="AC743" s="4"/>
      <c r="AD743" s="70"/>
      <c r="AE743" s="70">
        <f>サングラス!AB8</f>
        <v>0</v>
      </c>
      <c r="AF743" s="72" t="str">
        <f>サングラス!P8</f>
        <v>通常</v>
      </c>
      <c r="AG743" s="70">
        <v>0</v>
      </c>
      <c r="AH743" s="9">
        <f>サングラス!Z8</f>
        <v>0</v>
      </c>
      <c r="AI743">
        <v>1</v>
      </c>
      <c r="AJ743">
        <f>サングラス!S8</f>
        <v>0</v>
      </c>
    </row>
    <row r="744" spans="1:36" ht="13.5" hidden="1" customHeight="1">
      <c r="A744" s="3" t="str">
        <f>IF(サングラス!A9="","",サングラス!A9)</f>
        <v/>
      </c>
      <c r="B744" s="68" t="str">
        <f>IF(サングラス!B9="","",サングラス!B9)</f>
        <v/>
      </c>
      <c r="C744" s="3" t="str">
        <f>IF(サングラス!C9="","",サングラス!C9)</f>
        <v>◇ サイズ E</v>
      </c>
      <c r="D744" s="3" t="str">
        <f>IF(サングラス!E9="","",サングラス!E9)</f>
        <v>無</v>
      </c>
      <c r="E744" s="3" t="str">
        <f>IF(サングラス!X9="","",サングラス!X9)</f>
        <v>ベースB</v>
      </c>
      <c r="F744" s="3" t="str">
        <f>IF(サングラス!G9="","",サングラス!G9)</f>
        <v/>
      </c>
      <c r="G744" s="3" t="str">
        <f>IF(サングラス!H9="","",サングラス!H9)</f>
        <v/>
      </c>
      <c r="H744" s="3" t="str">
        <f>IF(サングラス!I9="","",サングラス!I9)</f>
        <v/>
      </c>
      <c r="I744" s="3" t="str">
        <f>IF(サングラス!J9="","",サングラス!J9)</f>
        <v/>
      </c>
      <c r="J744" s="3" t="str">
        <f>IF(サングラス!K9="","",サングラス!K9)</f>
        <v/>
      </c>
      <c r="K744" s="3" t="str">
        <f>IF(サングラス!L9="","",サングラス!L9)</f>
        <v>サイズ</v>
      </c>
      <c r="L744" s="69" t="s">
        <v>80</v>
      </c>
      <c r="M744" s="69" t="s">
        <v>19</v>
      </c>
      <c r="N744" s="69" t="s">
        <v>20</v>
      </c>
      <c r="O744" s="69" t="s">
        <v>21</v>
      </c>
      <c r="P744" s="4" t="s">
        <v>3036</v>
      </c>
      <c r="Q744" s="4" t="s">
        <v>3038</v>
      </c>
      <c r="R744" s="69" t="s">
        <v>22</v>
      </c>
      <c r="S744" s="69" t="s">
        <v>23</v>
      </c>
      <c r="T744" s="69" t="s">
        <v>22</v>
      </c>
      <c r="U744" s="69" t="s">
        <v>24</v>
      </c>
      <c r="V744" s="69" t="s">
        <v>25</v>
      </c>
      <c r="W744" s="69" t="s">
        <v>26</v>
      </c>
      <c r="X744" s="69" t="s">
        <v>27</v>
      </c>
      <c r="Y744" s="69" t="s">
        <v>28</v>
      </c>
      <c r="Z744" s="3" t="str">
        <f>サングラス!W9</f>
        <v>レンズ幅縦横：約x約ｃｍ　フレーム幅：約cm</v>
      </c>
      <c r="AA744" s="4"/>
      <c r="AB744" s="4"/>
      <c r="AC744" s="4"/>
      <c r="AD744" s="70"/>
      <c r="AE744" s="70">
        <f>サングラス!AB9</f>
        <v>0</v>
      </c>
      <c r="AF744" s="72" t="str">
        <f>サングラス!P9</f>
        <v>通常</v>
      </c>
      <c r="AG744" s="70">
        <v>0</v>
      </c>
      <c r="AH744" s="9">
        <f>サングラス!Z9</f>
        <v>0</v>
      </c>
      <c r="AI744">
        <v>1</v>
      </c>
      <c r="AJ744">
        <f>サングラス!S9</f>
        <v>0</v>
      </c>
    </row>
    <row r="745" spans="1:36" ht="13.5" hidden="1" customHeight="1">
      <c r="A745" s="3" t="str">
        <f>IF(サングラス!A10="","",サングラス!A10)</f>
        <v/>
      </c>
      <c r="B745" s="68" t="str">
        <f>IF(サングラス!B10="","",サングラス!B10)</f>
        <v/>
      </c>
      <c r="C745" s="3" t="str">
        <f>IF(サングラス!C10="","",サングラス!C10)</f>
        <v>◇ サイズ E</v>
      </c>
      <c r="D745" s="3" t="str">
        <f>IF(サングラス!E10="","",サングラス!E10)</f>
        <v>無</v>
      </c>
      <c r="E745" s="3" t="str">
        <f>IF(サングラス!X10="","",サングラス!X10)</f>
        <v>ベースB</v>
      </c>
      <c r="F745" s="3" t="str">
        <f>IF(サングラス!G10="","",サングラス!G10)</f>
        <v/>
      </c>
      <c r="G745" s="3" t="str">
        <f>IF(サングラス!H10="","",サングラス!H10)</f>
        <v/>
      </c>
      <c r="H745" s="3" t="str">
        <f>IF(サングラス!I10="","",サングラス!I10)</f>
        <v/>
      </c>
      <c r="I745" s="3" t="str">
        <f>IF(サングラス!J10="","",サングラス!J10)</f>
        <v/>
      </c>
      <c r="J745" s="3" t="str">
        <f>IF(サングラス!K10="","",サングラス!K10)</f>
        <v/>
      </c>
      <c r="K745" s="3" t="str">
        <f>IF(サングラス!L10="","",サングラス!L10)</f>
        <v>サイズ</v>
      </c>
      <c r="L745" s="69" t="s">
        <v>80</v>
      </c>
      <c r="M745" s="69" t="s">
        <v>19</v>
      </c>
      <c r="N745" s="69" t="s">
        <v>20</v>
      </c>
      <c r="O745" s="69" t="s">
        <v>21</v>
      </c>
      <c r="P745" s="4" t="s">
        <v>3036</v>
      </c>
      <c r="Q745" s="4" t="s">
        <v>3038</v>
      </c>
      <c r="R745" s="69" t="s">
        <v>22</v>
      </c>
      <c r="S745" s="69" t="s">
        <v>23</v>
      </c>
      <c r="T745" s="69" t="s">
        <v>22</v>
      </c>
      <c r="U745" s="69" t="s">
        <v>24</v>
      </c>
      <c r="V745" s="69" t="s">
        <v>25</v>
      </c>
      <c r="W745" s="69" t="s">
        <v>26</v>
      </c>
      <c r="X745" s="69" t="s">
        <v>27</v>
      </c>
      <c r="Y745" s="69" t="s">
        <v>28</v>
      </c>
      <c r="Z745" s="3" t="str">
        <f>サングラス!W10</f>
        <v>レンズ幅縦横：約x約ｃｍ　フレーム幅：約cm</v>
      </c>
      <c r="AA745" s="4"/>
      <c r="AB745" s="4"/>
      <c r="AC745" s="4"/>
      <c r="AD745" s="70"/>
      <c r="AE745" s="70">
        <f>サングラス!AB10</f>
        <v>0</v>
      </c>
      <c r="AF745" s="72" t="str">
        <f>サングラス!P10</f>
        <v>通常</v>
      </c>
      <c r="AG745" s="70">
        <v>0</v>
      </c>
      <c r="AH745" s="9">
        <f>サングラス!Z10</f>
        <v>0</v>
      </c>
      <c r="AI745">
        <v>1</v>
      </c>
      <c r="AJ745">
        <f>サングラス!S10</f>
        <v>0</v>
      </c>
    </row>
    <row r="746" spans="1:36" hidden="1">
      <c r="A746" s="3" t="str">
        <f>IF(サングラス!A11="","",サングラス!A11)</f>
        <v/>
      </c>
      <c r="B746" s="68" t="str">
        <f>IF(サングラス!B11="","",サングラス!B11)</f>
        <v/>
      </c>
      <c r="C746" s="3" t="str">
        <f>IF(サングラス!C11="","",サングラス!C11)</f>
        <v>◇ サイズ E</v>
      </c>
      <c r="D746" s="3" t="str">
        <f>IF(サングラス!E11="","",サングラス!E11)</f>
        <v>無</v>
      </c>
      <c r="E746" s="3" t="str">
        <f>IF(サングラス!X11="","",サングラス!X11)</f>
        <v>ベースB</v>
      </c>
      <c r="F746" s="3" t="str">
        <f>IF(サングラス!G11="","",サングラス!G11)</f>
        <v/>
      </c>
      <c r="G746" s="3" t="str">
        <f>IF(サングラス!H11="","",サングラス!H11)</f>
        <v/>
      </c>
      <c r="H746" s="3" t="str">
        <f>IF(サングラス!I11="","",サングラス!I11)</f>
        <v/>
      </c>
      <c r="I746" s="3" t="str">
        <f>IF(サングラス!J11="","",サングラス!J11)</f>
        <v/>
      </c>
      <c r="J746" s="3" t="str">
        <f>IF(サングラス!K11="","",サングラス!K11)</f>
        <v/>
      </c>
      <c r="K746" s="3" t="str">
        <f>IF(サングラス!L11="","",サングラス!L11)</f>
        <v>サイズ</v>
      </c>
      <c r="L746" s="69" t="s">
        <v>80</v>
      </c>
      <c r="M746" s="69" t="s">
        <v>19</v>
      </c>
      <c r="N746" s="69" t="s">
        <v>20</v>
      </c>
      <c r="O746" s="69" t="s">
        <v>21</v>
      </c>
      <c r="P746" s="4" t="s">
        <v>3036</v>
      </c>
      <c r="Q746" s="4" t="s">
        <v>3038</v>
      </c>
      <c r="R746" s="69" t="s">
        <v>22</v>
      </c>
      <c r="S746" s="69" t="s">
        <v>23</v>
      </c>
      <c r="T746" s="69" t="s">
        <v>22</v>
      </c>
      <c r="U746" s="69" t="s">
        <v>24</v>
      </c>
      <c r="V746" s="69" t="s">
        <v>25</v>
      </c>
      <c r="W746" s="69" t="s">
        <v>26</v>
      </c>
      <c r="X746" s="69" t="s">
        <v>27</v>
      </c>
      <c r="Y746" s="69" t="s">
        <v>28</v>
      </c>
      <c r="Z746" s="3" t="str">
        <f>サングラス!W11</f>
        <v>レンズ幅縦横：約x約ｃｍ　フレーム幅：約cm</v>
      </c>
      <c r="AA746" s="4"/>
      <c r="AB746" s="4"/>
      <c r="AC746" s="4"/>
      <c r="AD746" s="70"/>
      <c r="AE746" s="70">
        <f>サングラス!AB11</f>
        <v>0</v>
      </c>
      <c r="AF746" s="72" t="str">
        <f>サングラス!P11</f>
        <v>通常</v>
      </c>
      <c r="AG746" s="70">
        <v>0</v>
      </c>
      <c r="AH746" s="9">
        <f>サングラス!Z11</f>
        <v>0</v>
      </c>
      <c r="AI746">
        <v>1</v>
      </c>
      <c r="AJ746">
        <f>サングラス!S11</f>
        <v>0</v>
      </c>
    </row>
    <row r="747" spans="1:36" hidden="1">
      <c r="A747" s="3" t="str">
        <f>IF(サングラス!A12="","",サングラス!A12)</f>
        <v/>
      </c>
      <c r="B747" s="68" t="str">
        <f>IF(サングラス!B12="","",サングラス!B12)</f>
        <v/>
      </c>
      <c r="C747" s="3" t="str">
        <f>IF(サングラス!C12="","",サングラス!C12)</f>
        <v>◇ サイズ E</v>
      </c>
      <c r="D747" s="3" t="str">
        <f>IF(サングラス!E12="","",サングラス!E12)</f>
        <v>無</v>
      </c>
      <c r="E747" s="3" t="str">
        <f>IF(サングラス!X12="","",サングラス!X12)</f>
        <v>ベースB</v>
      </c>
      <c r="F747" s="3" t="str">
        <f>IF(サングラス!G12="","",サングラス!G12)</f>
        <v/>
      </c>
      <c r="G747" s="3" t="str">
        <f>IF(サングラス!H12="","",サングラス!H12)</f>
        <v/>
      </c>
      <c r="H747" s="3" t="str">
        <f>IF(サングラス!I12="","",サングラス!I12)</f>
        <v/>
      </c>
      <c r="I747" s="3" t="str">
        <f>IF(サングラス!J12="","",サングラス!J12)</f>
        <v/>
      </c>
      <c r="J747" s="3" t="str">
        <f>IF(サングラス!K12="","",サングラス!K12)</f>
        <v/>
      </c>
      <c r="K747" s="3" t="str">
        <f>IF(サングラス!L12="","",サングラス!L12)</f>
        <v>サイズ</v>
      </c>
      <c r="L747" s="69" t="s">
        <v>80</v>
      </c>
      <c r="M747" s="69" t="s">
        <v>19</v>
      </c>
      <c r="N747" s="69" t="s">
        <v>20</v>
      </c>
      <c r="O747" s="69" t="s">
        <v>21</v>
      </c>
      <c r="P747" s="4" t="s">
        <v>3036</v>
      </c>
      <c r="Q747" s="4" t="s">
        <v>3038</v>
      </c>
      <c r="R747" s="69" t="s">
        <v>22</v>
      </c>
      <c r="S747" s="69" t="s">
        <v>23</v>
      </c>
      <c r="T747" s="69" t="s">
        <v>22</v>
      </c>
      <c r="U747" s="69" t="s">
        <v>24</v>
      </c>
      <c r="V747" s="69" t="s">
        <v>25</v>
      </c>
      <c r="W747" s="69" t="s">
        <v>26</v>
      </c>
      <c r="X747" s="69" t="s">
        <v>27</v>
      </c>
      <c r="Y747" s="69" t="s">
        <v>28</v>
      </c>
      <c r="Z747" s="3" t="str">
        <f>サングラス!W12</f>
        <v>レンズ幅縦横：約x約ｃｍ　フレーム幅：約cm</v>
      </c>
      <c r="AA747" s="4"/>
      <c r="AB747" s="4"/>
      <c r="AC747" s="4"/>
      <c r="AD747" s="70"/>
      <c r="AE747" s="70">
        <f>サングラス!AB12</f>
        <v>0</v>
      </c>
      <c r="AF747" s="72" t="str">
        <f>サングラス!P12</f>
        <v>通常</v>
      </c>
      <c r="AG747" s="70">
        <v>0</v>
      </c>
      <c r="AH747" s="9">
        <f>サングラス!Z12</f>
        <v>0</v>
      </c>
      <c r="AI747">
        <v>1</v>
      </c>
      <c r="AJ747">
        <f>サングラス!S12</f>
        <v>0</v>
      </c>
    </row>
    <row r="748" spans="1:36" hidden="1">
      <c r="A748" s="3" t="str">
        <f>IF(サングラス!A13="","",サングラス!A13)</f>
        <v/>
      </c>
      <c r="B748" s="68" t="str">
        <f>IF(サングラス!B13="","",サングラス!B13)</f>
        <v/>
      </c>
      <c r="C748" s="3" t="str">
        <f>IF(サングラス!C13="","",サングラス!C13)</f>
        <v>◇ サイズ E</v>
      </c>
      <c r="D748" s="3" t="str">
        <f>IF(サングラス!E13="","",サングラス!E13)</f>
        <v>無</v>
      </c>
      <c r="E748" s="3" t="str">
        <f>IF(サングラス!X13="","",サングラス!X13)</f>
        <v>ベースB</v>
      </c>
      <c r="F748" s="3" t="str">
        <f>IF(サングラス!G13="","",サングラス!G13)</f>
        <v/>
      </c>
      <c r="G748" s="3" t="str">
        <f>IF(サングラス!H13="","",サングラス!H13)</f>
        <v/>
      </c>
      <c r="H748" s="3" t="str">
        <f>IF(サングラス!I13="","",サングラス!I13)</f>
        <v/>
      </c>
      <c r="I748" s="3" t="str">
        <f>IF(サングラス!J13="","",サングラス!J13)</f>
        <v/>
      </c>
      <c r="J748" s="3" t="str">
        <f>IF(サングラス!K13="","",サングラス!K13)</f>
        <v/>
      </c>
      <c r="K748" s="3" t="str">
        <f>IF(サングラス!L13="","",サングラス!L13)</f>
        <v>サイズ</v>
      </c>
      <c r="L748" s="69" t="s">
        <v>80</v>
      </c>
      <c r="M748" s="69" t="s">
        <v>19</v>
      </c>
      <c r="N748" s="69" t="s">
        <v>20</v>
      </c>
      <c r="O748" s="69" t="s">
        <v>21</v>
      </c>
      <c r="P748" s="4" t="s">
        <v>3036</v>
      </c>
      <c r="Q748" s="4" t="s">
        <v>3038</v>
      </c>
      <c r="R748" s="69" t="s">
        <v>22</v>
      </c>
      <c r="S748" s="69" t="s">
        <v>23</v>
      </c>
      <c r="T748" s="69" t="s">
        <v>22</v>
      </c>
      <c r="U748" s="69" t="s">
        <v>24</v>
      </c>
      <c r="V748" s="69" t="s">
        <v>25</v>
      </c>
      <c r="W748" s="69" t="s">
        <v>26</v>
      </c>
      <c r="X748" s="69" t="s">
        <v>27</v>
      </c>
      <c r="Y748" s="69" t="s">
        <v>28</v>
      </c>
      <c r="Z748" s="3" t="str">
        <f>サングラス!W13</f>
        <v>レンズ幅縦横：約x約ｃｍ　フレーム幅：約cm</v>
      </c>
      <c r="AA748" s="4"/>
      <c r="AB748" s="4"/>
      <c r="AC748" s="4"/>
      <c r="AD748" s="70"/>
      <c r="AE748" s="70">
        <f>サングラス!AB13</f>
        <v>0</v>
      </c>
      <c r="AF748" s="72" t="str">
        <f>サングラス!P13</f>
        <v>通常</v>
      </c>
      <c r="AG748" s="70">
        <v>0</v>
      </c>
      <c r="AH748" s="9">
        <f>サングラス!Z13</f>
        <v>0</v>
      </c>
      <c r="AI748">
        <v>1</v>
      </c>
      <c r="AJ748">
        <f>サングラス!S13</f>
        <v>0</v>
      </c>
    </row>
    <row r="749" spans="1:36" hidden="1">
      <c r="A749" s="3" t="str">
        <f>IF(サングラス!A14="","",サングラス!A14)</f>
        <v/>
      </c>
      <c r="B749" s="68" t="str">
        <f>IF(サングラス!B14="","",サングラス!B14)</f>
        <v/>
      </c>
      <c r="C749" s="3" t="str">
        <f>IF(サングラス!C14="","",サングラス!C14)</f>
        <v>◇ サイズ E</v>
      </c>
      <c r="D749" s="3" t="str">
        <f>IF(サングラス!E14="","",サングラス!E14)</f>
        <v>無</v>
      </c>
      <c r="E749" s="3" t="str">
        <f>IF(サングラス!X14="","",サングラス!X14)</f>
        <v>ベースB</v>
      </c>
      <c r="F749" s="3" t="str">
        <f>IF(サングラス!G14="","",サングラス!G14)</f>
        <v/>
      </c>
      <c r="G749" s="3" t="str">
        <f>IF(サングラス!H14="","",サングラス!H14)</f>
        <v/>
      </c>
      <c r="H749" s="3" t="str">
        <f>IF(サングラス!I14="","",サングラス!I14)</f>
        <v/>
      </c>
      <c r="I749" s="3" t="str">
        <f>IF(サングラス!J14="","",サングラス!J14)</f>
        <v/>
      </c>
      <c r="J749" s="3" t="str">
        <f>IF(サングラス!K14="","",サングラス!K14)</f>
        <v/>
      </c>
      <c r="K749" s="3" t="str">
        <f>IF(サングラス!L14="","",サングラス!L14)</f>
        <v>サイズ</v>
      </c>
      <c r="L749" s="69" t="s">
        <v>80</v>
      </c>
      <c r="M749" s="69" t="s">
        <v>19</v>
      </c>
      <c r="N749" s="69" t="s">
        <v>20</v>
      </c>
      <c r="O749" s="69" t="s">
        <v>21</v>
      </c>
      <c r="P749" s="4" t="s">
        <v>3036</v>
      </c>
      <c r="Q749" s="4" t="s">
        <v>3038</v>
      </c>
      <c r="R749" s="69" t="s">
        <v>22</v>
      </c>
      <c r="S749" s="69" t="s">
        <v>23</v>
      </c>
      <c r="T749" s="69" t="s">
        <v>22</v>
      </c>
      <c r="U749" s="69" t="s">
        <v>24</v>
      </c>
      <c r="V749" s="69" t="s">
        <v>25</v>
      </c>
      <c r="W749" s="69" t="s">
        <v>26</v>
      </c>
      <c r="X749" s="69" t="s">
        <v>27</v>
      </c>
      <c r="Y749" s="69" t="s">
        <v>28</v>
      </c>
      <c r="Z749" s="3" t="str">
        <f>サングラス!W14</f>
        <v>レンズ幅縦横：約x約ｃｍ　フレーム幅：約cm</v>
      </c>
      <c r="AA749" s="4"/>
      <c r="AB749" s="4"/>
      <c r="AC749" s="4"/>
      <c r="AD749" s="70"/>
      <c r="AE749" s="70">
        <f>サングラス!AB14</f>
        <v>0</v>
      </c>
      <c r="AF749" s="72" t="str">
        <f>サングラス!P14</f>
        <v>通常</v>
      </c>
      <c r="AG749" s="70">
        <v>0</v>
      </c>
      <c r="AH749" s="9">
        <f>サングラス!Z14</f>
        <v>0</v>
      </c>
      <c r="AI749">
        <v>1</v>
      </c>
      <c r="AJ749">
        <f>サングラス!S14</f>
        <v>0</v>
      </c>
    </row>
    <row r="750" spans="1:36" hidden="1">
      <c r="A750" s="3" t="str">
        <f>IF(サングラス!A15="","",サングラス!A15)</f>
        <v/>
      </c>
      <c r="B750" s="68" t="str">
        <f>IF(サングラス!B15="","",サングラス!B15)</f>
        <v/>
      </c>
      <c r="C750" s="3" t="str">
        <f>IF(サングラス!C15="","",サングラス!C15)</f>
        <v>◇ サイズ E</v>
      </c>
      <c r="D750" s="3" t="str">
        <f>IF(サングラス!E15="","",サングラス!E15)</f>
        <v>無</v>
      </c>
      <c r="E750" s="3" t="str">
        <f>IF(サングラス!X15="","",サングラス!X15)</f>
        <v>ベースB</v>
      </c>
      <c r="F750" s="3" t="str">
        <f>IF(サングラス!G15="","",サングラス!G15)</f>
        <v/>
      </c>
      <c r="G750" s="3" t="str">
        <f>IF(サングラス!H15="","",サングラス!H15)</f>
        <v/>
      </c>
      <c r="H750" s="3" t="str">
        <f>IF(サングラス!I15="","",サングラス!I15)</f>
        <v/>
      </c>
      <c r="I750" s="3" t="str">
        <f>IF(サングラス!J15="","",サングラス!J15)</f>
        <v/>
      </c>
      <c r="J750" s="3" t="str">
        <f>IF(サングラス!K15="","",サングラス!K15)</f>
        <v/>
      </c>
      <c r="K750" s="3" t="str">
        <f>IF(サングラス!L15="","",サングラス!L15)</f>
        <v>サイズ</v>
      </c>
      <c r="L750" s="69" t="s">
        <v>80</v>
      </c>
      <c r="M750" s="69" t="s">
        <v>19</v>
      </c>
      <c r="N750" s="69" t="s">
        <v>20</v>
      </c>
      <c r="O750" s="69" t="s">
        <v>21</v>
      </c>
      <c r="P750" s="4" t="s">
        <v>3036</v>
      </c>
      <c r="Q750" s="4" t="s">
        <v>3038</v>
      </c>
      <c r="R750" s="69" t="s">
        <v>22</v>
      </c>
      <c r="S750" s="69" t="s">
        <v>23</v>
      </c>
      <c r="T750" s="69" t="s">
        <v>22</v>
      </c>
      <c r="U750" s="69" t="s">
        <v>24</v>
      </c>
      <c r="V750" s="69" t="s">
        <v>25</v>
      </c>
      <c r="W750" s="69" t="s">
        <v>26</v>
      </c>
      <c r="X750" s="69" t="s">
        <v>27</v>
      </c>
      <c r="Y750" s="69" t="s">
        <v>28</v>
      </c>
      <c r="Z750" s="3" t="str">
        <f>サングラス!W15</f>
        <v>レンズ幅縦横：約x約ｃｍ　フレーム幅：約cm</v>
      </c>
      <c r="AA750" s="4"/>
      <c r="AB750" s="4"/>
      <c r="AC750" s="4"/>
      <c r="AD750" s="70"/>
      <c r="AE750" s="70">
        <f>サングラス!AB15</f>
        <v>0</v>
      </c>
      <c r="AF750" s="72" t="str">
        <f>サングラス!P15</f>
        <v>通常</v>
      </c>
      <c r="AG750" s="70">
        <v>0</v>
      </c>
      <c r="AH750" s="9">
        <f>サングラス!Z15</f>
        <v>0</v>
      </c>
      <c r="AI750">
        <v>1</v>
      </c>
      <c r="AJ750">
        <f>サングラス!S15</f>
        <v>0</v>
      </c>
    </row>
    <row r="751" spans="1:36" hidden="1">
      <c r="A751" s="3" t="str">
        <f>IF(サングラス!A16="","",サングラス!A16)</f>
        <v/>
      </c>
      <c r="B751" s="68" t="str">
        <f>IF(サングラス!B16="","",サングラス!B16)</f>
        <v/>
      </c>
      <c r="C751" s="3" t="str">
        <f>IF(サングラス!C16="","",サングラス!C16)</f>
        <v>◇ サイズ E</v>
      </c>
      <c r="D751" s="3" t="str">
        <f>IF(サングラス!E16="","",サングラス!E16)</f>
        <v>無</v>
      </c>
      <c r="E751" s="3" t="str">
        <f>IF(サングラス!X16="","",サングラス!X16)</f>
        <v>ベースB</v>
      </c>
      <c r="F751" s="3" t="str">
        <f>IF(サングラス!G16="","",サングラス!G16)</f>
        <v/>
      </c>
      <c r="G751" s="3" t="str">
        <f>IF(サングラス!H16="","",サングラス!H16)</f>
        <v/>
      </c>
      <c r="H751" s="3" t="str">
        <f>IF(サングラス!I16="","",サングラス!I16)</f>
        <v/>
      </c>
      <c r="I751" s="3" t="str">
        <f>IF(サングラス!J16="","",サングラス!J16)</f>
        <v/>
      </c>
      <c r="J751" s="3" t="str">
        <f>IF(サングラス!K16="","",サングラス!K16)</f>
        <v/>
      </c>
      <c r="K751" s="3" t="str">
        <f>IF(サングラス!L16="","",サングラス!L16)</f>
        <v>サイズ</v>
      </c>
      <c r="L751" s="69" t="s">
        <v>80</v>
      </c>
      <c r="M751" s="69" t="s">
        <v>19</v>
      </c>
      <c r="N751" s="69" t="s">
        <v>20</v>
      </c>
      <c r="O751" s="69" t="s">
        <v>21</v>
      </c>
      <c r="P751" s="4" t="s">
        <v>3036</v>
      </c>
      <c r="Q751" s="4" t="s">
        <v>3038</v>
      </c>
      <c r="R751" s="69" t="s">
        <v>22</v>
      </c>
      <c r="S751" s="69" t="s">
        <v>23</v>
      </c>
      <c r="T751" s="69" t="s">
        <v>22</v>
      </c>
      <c r="U751" s="69" t="s">
        <v>24</v>
      </c>
      <c r="V751" s="69" t="s">
        <v>25</v>
      </c>
      <c r="W751" s="69" t="s">
        <v>26</v>
      </c>
      <c r="X751" s="69" t="s">
        <v>27</v>
      </c>
      <c r="Y751" s="69" t="s">
        <v>28</v>
      </c>
      <c r="Z751" s="3" t="str">
        <f>サングラス!W16</f>
        <v>レンズ幅縦横：約x約ｃｍ　フレーム幅：約cm</v>
      </c>
      <c r="AA751" s="4"/>
      <c r="AB751" s="4"/>
      <c r="AC751" s="4"/>
      <c r="AD751" s="70"/>
      <c r="AE751" s="70">
        <f>サングラス!AB16</f>
        <v>0</v>
      </c>
      <c r="AF751" s="72" t="str">
        <f>サングラス!P16</f>
        <v>通常</v>
      </c>
      <c r="AG751" s="70">
        <v>0</v>
      </c>
      <c r="AH751" s="9">
        <f>サングラス!Z16</f>
        <v>0</v>
      </c>
      <c r="AI751">
        <v>1</v>
      </c>
      <c r="AJ751">
        <f>サングラス!S16</f>
        <v>0</v>
      </c>
    </row>
    <row r="752" spans="1:36" hidden="1">
      <c r="A752" s="3" t="str">
        <f>IF(サングラス!A17="","",サングラス!A17)</f>
        <v/>
      </c>
      <c r="B752" s="68" t="str">
        <f>IF(サングラス!B17="","",サングラス!B17)</f>
        <v/>
      </c>
      <c r="C752" s="3" t="str">
        <f>IF(サングラス!C17="","",サングラス!C17)</f>
        <v>◇ サイズ E</v>
      </c>
      <c r="D752" s="3" t="str">
        <f>IF(サングラス!E17="","",サングラス!E17)</f>
        <v>無</v>
      </c>
      <c r="E752" s="3" t="str">
        <f>IF(サングラス!X17="","",サングラス!X17)</f>
        <v>ベースB</v>
      </c>
      <c r="F752" s="3" t="str">
        <f>IF(サングラス!G17="","",サングラス!G17)</f>
        <v/>
      </c>
      <c r="G752" s="3" t="str">
        <f>IF(サングラス!H17="","",サングラス!H17)</f>
        <v/>
      </c>
      <c r="H752" s="3" t="str">
        <f>IF(サングラス!I17="","",サングラス!I17)</f>
        <v/>
      </c>
      <c r="I752" s="3" t="str">
        <f>IF(サングラス!J17="","",サングラス!J17)</f>
        <v/>
      </c>
      <c r="J752" s="3" t="str">
        <f>IF(サングラス!K17="","",サングラス!K17)</f>
        <v/>
      </c>
      <c r="K752" s="3" t="str">
        <f>IF(サングラス!L17="","",サングラス!L17)</f>
        <v>サイズ</v>
      </c>
      <c r="L752" s="69" t="s">
        <v>80</v>
      </c>
      <c r="M752" s="69" t="s">
        <v>19</v>
      </c>
      <c r="N752" s="69" t="s">
        <v>20</v>
      </c>
      <c r="O752" s="69" t="s">
        <v>21</v>
      </c>
      <c r="P752" s="4" t="s">
        <v>3036</v>
      </c>
      <c r="Q752" s="4" t="s">
        <v>3038</v>
      </c>
      <c r="R752" s="69" t="s">
        <v>22</v>
      </c>
      <c r="S752" s="69" t="s">
        <v>23</v>
      </c>
      <c r="T752" s="69" t="s">
        <v>22</v>
      </c>
      <c r="U752" s="69" t="s">
        <v>24</v>
      </c>
      <c r="V752" s="69" t="s">
        <v>25</v>
      </c>
      <c r="W752" s="69" t="s">
        <v>26</v>
      </c>
      <c r="X752" s="69" t="s">
        <v>27</v>
      </c>
      <c r="Y752" s="69" t="s">
        <v>28</v>
      </c>
      <c r="Z752" s="3" t="str">
        <f>サングラス!W17</f>
        <v>レンズ幅縦横：約x約ｃｍ　フレーム幅：約cm</v>
      </c>
      <c r="AA752" s="4"/>
      <c r="AB752" s="4"/>
      <c r="AC752" s="4"/>
      <c r="AD752" s="70"/>
      <c r="AE752" s="70">
        <f>サングラス!AB17</f>
        <v>0</v>
      </c>
      <c r="AF752" s="72" t="str">
        <f>サングラス!P17</f>
        <v>通常</v>
      </c>
      <c r="AG752" s="70">
        <v>0</v>
      </c>
      <c r="AH752" s="9">
        <f>サングラス!Z17</f>
        <v>0</v>
      </c>
      <c r="AI752">
        <v>1</v>
      </c>
      <c r="AJ752">
        <f>サングラス!S17</f>
        <v>0</v>
      </c>
    </row>
    <row r="753" spans="1:36" hidden="1">
      <c r="A753" s="3" t="str">
        <f>IF(サングラス!A18="","",サングラス!A18)</f>
        <v/>
      </c>
      <c r="B753" s="68" t="str">
        <f>IF(サングラス!B18="","",サングラス!B18)</f>
        <v/>
      </c>
      <c r="C753" s="3" t="str">
        <f>IF(サングラス!C18="","",サングラス!C18)</f>
        <v>◇ サイズ E</v>
      </c>
      <c r="D753" s="3" t="str">
        <f>IF(サングラス!E18="","",サングラス!E18)</f>
        <v>無</v>
      </c>
      <c r="E753" s="3" t="str">
        <f>IF(サングラス!X18="","",サングラス!X18)</f>
        <v>ベースB</v>
      </c>
      <c r="F753" s="3" t="str">
        <f>IF(サングラス!G18="","",サングラス!G18)</f>
        <v/>
      </c>
      <c r="G753" s="3" t="str">
        <f>IF(サングラス!H18="","",サングラス!H18)</f>
        <v/>
      </c>
      <c r="H753" s="3" t="str">
        <f>IF(サングラス!I18="","",サングラス!I18)</f>
        <v/>
      </c>
      <c r="I753" s="3" t="str">
        <f>IF(サングラス!J18="","",サングラス!J18)</f>
        <v/>
      </c>
      <c r="J753" s="3" t="str">
        <f>IF(サングラス!K18="","",サングラス!K18)</f>
        <v/>
      </c>
      <c r="K753" s="3" t="str">
        <f>IF(サングラス!L18="","",サングラス!L18)</f>
        <v>サイズ</v>
      </c>
      <c r="L753" s="69" t="s">
        <v>80</v>
      </c>
      <c r="M753" s="69" t="s">
        <v>19</v>
      </c>
      <c r="N753" s="69" t="s">
        <v>20</v>
      </c>
      <c r="O753" s="69" t="s">
        <v>21</v>
      </c>
      <c r="P753" s="4" t="s">
        <v>3036</v>
      </c>
      <c r="Q753" s="4" t="s">
        <v>3038</v>
      </c>
      <c r="R753" s="69" t="s">
        <v>22</v>
      </c>
      <c r="S753" s="69" t="s">
        <v>23</v>
      </c>
      <c r="T753" s="69" t="s">
        <v>22</v>
      </c>
      <c r="U753" s="69" t="s">
        <v>24</v>
      </c>
      <c r="V753" s="69" t="s">
        <v>25</v>
      </c>
      <c r="W753" s="69" t="s">
        <v>26</v>
      </c>
      <c r="X753" s="69" t="s">
        <v>27</v>
      </c>
      <c r="Y753" s="69" t="s">
        <v>28</v>
      </c>
      <c r="Z753" s="3" t="str">
        <f>サングラス!W18</f>
        <v>レンズ幅縦横：約x約ｃｍ　フレーム幅：約cm</v>
      </c>
      <c r="AA753" s="4"/>
      <c r="AB753" s="4"/>
      <c r="AC753" s="4"/>
      <c r="AD753" s="70"/>
      <c r="AE753" s="70">
        <f>サングラス!AB18</f>
        <v>0</v>
      </c>
      <c r="AF753" s="72" t="str">
        <f>サングラス!P18</f>
        <v>通常</v>
      </c>
      <c r="AG753" s="70">
        <v>0</v>
      </c>
      <c r="AH753" s="9">
        <f>サングラス!Z18</f>
        <v>0</v>
      </c>
      <c r="AI753">
        <v>1</v>
      </c>
      <c r="AJ753">
        <f>サングラス!S18</f>
        <v>0</v>
      </c>
    </row>
    <row r="754" spans="1:36" hidden="1">
      <c r="A754" s="3" t="str">
        <f>IF(サングラス!A19="","",サングラス!A19)</f>
        <v/>
      </c>
      <c r="B754" s="68" t="str">
        <f>IF(サングラス!B19="","",サングラス!B19)</f>
        <v/>
      </c>
      <c r="C754" s="3" t="str">
        <f>IF(サングラス!C19="","",サングラス!C19)</f>
        <v>◇ サイズ E</v>
      </c>
      <c r="D754" s="3" t="str">
        <f>IF(サングラス!E19="","",サングラス!E19)</f>
        <v>無</v>
      </c>
      <c r="E754" s="3" t="str">
        <f>IF(サングラス!X19="","",サングラス!X19)</f>
        <v>ベースB</v>
      </c>
      <c r="F754" s="3" t="str">
        <f>IF(サングラス!G19="","",サングラス!G19)</f>
        <v/>
      </c>
      <c r="G754" s="3" t="str">
        <f>IF(サングラス!H19="","",サングラス!H19)</f>
        <v/>
      </c>
      <c r="H754" s="3" t="str">
        <f>IF(サングラス!I19="","",サングラス!I19)</f>
        <v/>
      </c>
      <c r="I754" s="3" t="str">
        <f>IF(サングラス!J19="","",サングラス!J19)</f>
        <v/>
      </c>
      <c r="J754" s="3" t="str">
        <f>IF(サングラス!K19="","",サングラス!K19)</f>
        <v/>
      </c>
      <c r="K754" s="3" t="str">
        <f>IF(サングラス!L19="","",サングラス!L19)</f>
        <v>サイズ</v>
      </c>
      <c r="L754" s="69" t="s">
        <v>80</v>
      </c>
      <c r="M754" s="69" t="s">
        <v>19</v>
      </c>
      <c r="N754" s="69" t="s">
        <v>20</v>
      </c>
      <c r="O754" s="69" t="s">
        <v>21</v>
      </c>
      <c r="P754" s="4" t="s">
        <v>3036</v>
      </c>
      <c r="Q754" s="4" t="s">
        <v>3038</v>
      </c>
      <c r="R754" s="69" t="s">
        <v>22</v>
      </c>
      <c r="S754" s="69" t="s">
        <v>23</v>
      </c>
      <c r="T754" s="69" t="s">
        <v>22</v>
      </c>
      <c r="U754" s="69" t="s">
        <v>24</v>
      </c>
      <c r="V754" s="69" t="s">
        <v>25</v>
      </c>
      <c r="W754" s="69" t="s">
        <v>26</v>
      </c>
      <c r="X754" s="69" t="s">
        <v>27</v>
      </c>
      <c r="Y754" s="69" t="s">
        <v>28</v>
      </c>
      <c r="Z754" s="3" t="str">
        <f>サングラス!W19</f>
        <v>レンズ幅縦横：約x約ｃｍ　フレーム幅：約cm</v>
      </c>
      <c r="AA754" s="4"/>
      <c r="AB754" s="4"/>
      <c r="AC754" s="4"/>
      <c r="AD754" s="70"/>
      <c r="AE754" s="70">
        <f>サングラス!AB19</f>
        <v>0</v>
      </c>
      <c r="AF754" s="72" t="str">
        <f>サングラス!P19</f>
        <v>通常</v>
      </c>
      <c r="AG754" s="70">
        <v>0</v>
      </c>
      <c r="AH754" s="9">
        <f>サングラス!Z19</f>
        <v>0</v>
      </c>
      <c r="AI754">
        <v>1</v>
      </c>
      <c r="AJ754">
        <f>サングラス!S19</f>
        <v>0</v>
      </c>
    </row>
    <row r="755" spans="1:36" hidden="1">
      <c r="A755" s="3" t="str">
        <f>IF(サングラス!A20="","",サングラス!A20)</f>
        <v/>
      </c>
      <c r="B755" s="68" t="str">
        <f>IF(サングラス!B20="","",サングラス!B20)</f>
        <v/>
      </c>
      <c r="C755" s="3" t="str">
        <f>IF(サングラス!C20="","",サングラス!C20)</f>
        <v>◇ サイズ E</v>
      </c>
      <c r="D755" s="3" t="str">
        <f>IF(サングラス!E20="","",サングラス!E20)</f>
        <v>無</v>
      </c>
      <c r="E755" s="3" t="str">
        <f>IF(サングラス!X20="","",サングラス!X20)</f>
        <v>ベースB</v>
      </c>
      <c r="F755" s="3" t="str">
        <f>IF(サングラス!G20="","",サングラス!G20)</f>
        <v/>
      </c>
      <c r="G755" s="3" t="str">
        <f>IF(サングラス!H20="","",サングラス!H20)</f>
        <v/>
      </c>
      <c r="H755" s="3" t="str">
        <f>IF(サングラス!I20="","",サングラス!I20)</f>
        <v/>
      </c>
      <c r="I755" s="3" t="str">
        <f>IF(サングラス!J20="","",サングラス!J20)</f>
        <v/>
      </c>
      <c r="J755" s="3" t="str">
        <f>IF(サングラス!K20="","",サングラス!K20)</f>
        <v/>
      </c>
      <c r="K755" s="3" t="str">
        <f>IF(サングラス!L20="","",サングラス!L20)</f>
        <v>サイズ</v>
      </c>
      <c r="L755" s="69" t="s">
        <v>80</v>
      </c>
      <c r="M755" s="69" t="s">
        <v>19</v>
      </c>
      <c r="N755" s="69" t="s">
        <v>20</v>
      </c>
      <c r="O755" s="69" t="s">
        <v>21</v>
      </c>
      <c r="P755" s="4" t="s">
        <v>3036</v>
      </c>
      <c r="Q755" s="4" t="s">
        <v>3038</v>
      </c>
      <c r="R755" s="69" t="s">
        <v>22</v>
      </c>
      <c r="S755" s="69" t="s">
        <v>23</v>
      </c>
      <c r="T755" s="69" t="s">
        <v>22</v>
      </c>
      <c r="U755" s="69" t="s">
        <v>24</v>
      </c>
      <c r="V755" s="69" t="s">
        <v>25</v>
      </c>
      <c r="W755" s="69" t="s">
        <v>26</v>
      </c>
      <c r="X755" s="69" t="s">
        <v>27</v>
      </c>
      <c r="Y755" s="69" t="s">
        <v>28</v>
      </c>
      <c r="Z755" s="3" t="str">
        <f>サングラス!W20</f>
        <v>レンズ幅縦横：約x約ｃｍ　フレーム幅：約cm</v>
      </c>
      <c r="AA755" s="4"/>
      <c r="AB755" s="4"/>
      <c r="AC755" s="4"/>
      <c r="AD755" s="70"/>
      <c r="AE755" s="70">
        <f>サングラス!AB20</f>
        <v>0</v>
      </c>
      <c r="AF755" s="72" t="str">
        <f>サングラス!P20</f>
        <v>通常</v>
      </c>
      <c r="AG755" s="70">
        <v>0</v>
      </c>
      <c r="AH755" s="9">
        <f>サングラス!Z20</f>
        <v>0</v>
      </c>
      <c r="AI755">
        <v>1</v>
      </c>
      <c r="AJ755">
        <f>サングラス!S20</f>
        <v>0</v>
      </c>
    </row>
    <row r="756" spans="1:36" hidden="1">
      <c r="A756" s="3" t="str">
        <f>IF(サングラス!A21="","",サングラス!A21)</f>
        <v/>
      </c>
      <c r="B756" s="68" t="str">
        <f>IF(サングラス!B21="","",サングラス!B21)</f>
        <v/>
      </c>
      <c r="C756" s="3" t="str">
        <f>IF(サングラス!C21="","",サングラス!C21)</f>
        <v>◇ サイズ E</v>
      </c>
      <c r="D756" s="3" t="str">
        <f>IF(サングラス!E21="","",サングラス!E21)</f>
        <v>無</v>
      </c>
      <c r="E756" s="3" t="str">
        <f>IF(サングラス!X21="","",サングラス!X21)</f>
        <v>ベースB</v>
      </c>
      <c r="F756" s="3" t="str">
        <f>IF(サングラス!G21="","",サングラス!G21)</f>
        <v/>
      </c>
      <c r="G756" s="3" t="str">
        <f>IF(サングラス!H21="","",サングラス!H21)</f>
        <v/>
      </c>
      <c r="H756" s="3" t="str">
        <f>IF(サングラス!I21="","",サングラス!I21)</f>
        <v/>
      </c>
      <c r="I756" s="3" t="str">
        <f>IF(サングラス!J21="","",サングラス!J21)</f>
        <v/>
      </c>
      <c r="J756" s="3" t="str">
        <f>IF(サングラス!K21="","",サングラス!K21)</f>
        <v/>
      </c>
      <c r="K756" s="3" t="str">
        <f>IF(サングラス!L21="","",サングラス!L21)</f>
        <v>サイズ</v>
      </c>
      <c r="L756" s="69" t="s">
        <v>80</v>
      </c>
      <c r="M756" s="69" t="s">
        <v>19</v>
      </c>
      <c r="N756" s="69" t="s">
        <v>20</v>
      </c>
      <c r="O756" s="69" t="s">
        <v>21</v>
      </c>
      <c r="P756" s="4" t="s">
        <v>3036</v>
      </c>
      <c r="Q756" s="4" t="s">
        <v>3038</v>
      </c>
      <c r="R756" s="69" t="s">
        <v>22</v>
      </c>
      <c r="S756" s="69" t="s">
        <v>23</v>
      </c>
      <c r="T756" s="69" t="s">
        <v>22</v>
      </c>
      <c r="U756" s="69" t="s">
        <v>24</v>
      </c>
      <c r="V756" s="69" t="s">
        <v>25</v>
      </c>
      <c r="W756" s="69" t="s">
        <v>26</v>
      </c>
      <c r="X756" s="69" t="s">
        <v>27</v>
      </c>
      <c r="Y756" s="69" t="s">
        <v>28</v>
      </c>
      <c r="Z756" s="3" t="str">
        <f>サングラス!W21</f>
        <v>レンズ幅縦横：約x約ｃｍ　フレーム幅：約cm</v>
      </c>
      <c r="AA756" s="4"/>
      <c r="AB756" s="4"/>
      <c r="AC756" s="4"/>
      <c r="AD756" s="70"/>
      <c r="AE756" s="70">
        <f>サングラス!AB21</f>
        <v>0</v>
      </c>
      <c r="AF756" s="72" t="str">
        <f>サングラス!P21</f>
        <v>通常</v>
      </c>
      <c r="AG756" s="70">
        <v>0</v>
      </c>
      <c r="AH756" s="9">
        <f>サングラス!Z21</f>
        <v>0</v>
      </c>
      <c r="AI756">
        <v>1</v>
      </c>
      <c r="AJ756">
        <f>サングラス!S21</f>
        <v>0</v>
      </c>
    </row>
    <row r="757" spans="1:36" hidden="1">
      <c r="A757" s="3" t="str">
        <f>IF(サングラス!A22="","",サングラス!A22)</f>
        <v/>
      </c>
      <c r="B757" s="68" t="str">
        <f>IF(サングラス!B22="","",サングラス!B22)</f>
        <v/>
      </c>
      <c r="C757" s="3" t="str">
        <f>IF(サングラス!C22="","",サングラス!C22)</f>
        <v>◇ サイズ E</v>
      </c>
      <c r="D757" s="3" t="str">
        <f>IF(サングラス!E22="","",サングラス!E22)</f>
        <v>無</v>
      </c>
      <c r="E757" s="3" t="str">
        <f>IF(サングラス!X22="","",サングラス!X22)</f>
        <v>ベースB</v>
      </c>
      <c r="F757" s="3" t="str">
        <f>IF(サングラス!G22="","",サングラス!G22)</f>
        <v/>
      </c>
      <c r="G757" s="3" t="str">
        <f>IF(サングラス!H22="","",サングラス!H22)</f>
        <v/>
      </c>
      <c r="H757" s="3" t="str">
        <f>IF(サングラス!I22="","",サングラス!I22)</f>
        <v/>
      </c>
      <c r="I757" s="3" t="str">
        <f>IF(サングラス!J22="","",サングラス!J22)</f>
        <v/>
      </c>
      <c r="J757" s="3" t="str">
        <f>IF(サングラス!K22="","",サングラス!K22)</f>
        <v/>
      </c>
      <c r="K757" s="3" t="str">
        <f>IF(サングラス!L22="","",サングラス!L22)</f>
        <v>サイズ</v>
      </c>
      <c r="L757" s="69" t="s">
        <v>80</v>
      </c>
      <c r="M757" s="69" t="s">
        <v>19</v>
      </c>
      <c r="N757" s="69" t="s">
        <v>20</v>
      </c>
      <c r="O757" s="69" t="s">
        <v>21</v>
      </c>
      <c r="P757" s="4" t="s">
        <v>3036</v>
      </c>
      <c r="Q757" s="4" t="s">
        <v>3038</v>
      </c>
      <c r="R757" s="69" t="s">
        <v>22</v>
      </c>
      <c r="S757" s="69" t="s">
        <v>23</v>
      </c>
      <c r="T757" s="69" t="s">
        <v>22</v>
      </c>
      <c r="U757" s="69" t="s">
        <v>24</v>
      </c>
      <c r="V757" s="69" t="s">
        <v>25</v>
      </c>
      <c r="W757" s="69" t="s">
        <v>26</v>
      </c>
      <c r="X757" s="69" t="s">
        <v>27</v>
      </c>
      <c r="Y757" s="69" t="s">
        <v>28</v>
      </c>
      <c r="Z757" s="3" t="str">
        <f>サングラス!W22</f>
        <v>レンズ幅縦横：約x約ｃｍ　フレーム幅：約cm</v>
      </c>
      <c r="AA757" s="4"/>
      <c r="AB757" s="4"/>
      <c r="AC757" s="4"/>
      <c r="AD757" s="70"/>
      <c r="AE757" s="70">
        <f>サングラス!AB22</f>
        <v>0</v>
      </c>
      <c r="AF757" s="72" t="str">
        <f>サングラス!P22</f>
        <v>通常</v>
      </c>
      <c r="AG757" s="70">
        <v>0</v>
      </c>
      <c r="AH757" s="9">
        <f>サングラス!Z22</f>
        <v>0</v>
      </c>
      <c r="AI757">
        <v>1</v>
      </c>
      <c r="AJ757">
        <f>サングラス!S22</f>
        <v>0</v>
      </c>
    </row>
    <row r="758" spans="1:36" hidden="1">
      <c r="A758" s="3" t="str">
        <f>IF(サングラス!A23="","",サングラス!A23)</f>
        <v/>
      </c>
      <c r="B758" s="68" t="str">
        <f>IF(サングラス!B23="","",サングラス!B23)</f>
        <v/>
      </c>
      <c r="C758" s="3" t="str">
        <f>IF(サングラス!C23="","",サングラス!C23)</f>
        <v>◇ サイズ E</v>
      </c>
      <c r="D758" s="3" t="str">
        <f>IF(サングラス!E23="","",サングラス!E23)</f>
        <v>無</v>
      </c>
      <c r="E758" s="3" t="str">
        <f>IF(サングラス!X23="","",サングラス!X23)</f>
        <v>ベースB</v>
      </c>
      <c r="F758" s="3" t="str">
        <f>IF(サングラス!G23="","",サングラス!G23)</f>
        <v/>
      </c>
      <c r="G758" s="3" t="str">
        <f>IF(サングラス!H23="","",サングラス!H23)</f>
        <v/>
      </c>
      <c r="H758" s="3" t="str">
        <f>IF(サングラス!I23="","",サングラス!I23)</f>
        <v/>
      </c>
      <c r="I758" s="3" t="str">
        <f>IF(サングラス!J23="","",サングラス!J23)</f>
        <v/>
      </c>
      <c r="J758" s="3" t="str">
        <f>IF(サングラス!K23="","",サングラス!K23)</f>
        <v/>
      </c>
      <c r="K758" s="3" t="str">
        <f>IF(サングラス!L23="","",サングラス!L23)</f>
        <v>サイズ</v>
      </c>
      <c r="L758" s="69" t="s">
        <v>80</v>
      </c>
      <c r="M758" s="69" t="s">
        <v>19</v>
      </c>
      <c r="N758" s="69" t="s">
        <v>20</v>
      </c>
      <c r="O758" s="69" t="s">
        <v>21</v>
      </c>
      <c r="P758" s="4" t="s">
        <v>3036</v>
      </c>
      <c r="Q758" s="4" t="s">
        <v>3038</v>
      </c>
      <c r="R758" s="69" t="s">
        <v>22</v>
      </c>
      <c r="S758" s="69" t="s">
        <v>23</v>
      </c>
      <c r="T758" s="69" t="s">
        <v>22</v>
      </c>
      <c r="U758" s="69" t="s">
        <v>24</v>
      </c>
      <c r="V758" s="69" t="s">
        <v>25</v>
      </c>
      <c r="W758" s="69" t="s">
        <v>26</v>
      </c>
      <c r="X758" s="69" t="s">
        <v>27</v>
      </c>
      <c r="Y758" s="69" t="s">
        <v>28</v>
      </c>
      <c r="Z758" s="3" t="str">
        <f>サングラス!W23</f>
        <v>レンズ幅縦横：約x約ｃｍ　フレーム幅：約cm</v>
      </c>
      <c r="AA758" s="4"/>
      <c r="AB758" s="4"/>
      <c r="AC758" s="4"/>
      <c r="AD758" s="70"/>
      <c r="AE758" s="70">
        <f>サングラス!AB23</f>
        <v>0</v>
      </c>
      <c r="AF758" s="72" t="str">
        <f>サングラス!P23</f>
        <v>通常</v>
      </c>
      <c r="AG758" s="70">
        <v>0</v>
      </c>
      <c r="AH758" s="9">
        <f>サングラス!Z23</f>
        <v>0</v>
      </c>
      <c r="AI758">
        <v>1</v>
      </c>
      <c r="AJ758">
        <f>サングラス!S23</f>
        <v>0</v>
      </c>
    </row>
    <row r="759" spans="1:36" hidden="1">
      <c r="A759" s="3" t="str">
        <f>IF(サングラス!A24="","",サングラス!A24)</f>
        <v/>
      </c>
      <c r="B759" s="68" t="str">
        <f>IF(サングラス!B24="","",サングラス!B24)</f>
        <v/>
      </c>
      <c r="C759" s="3" t="str">
        <f>IF(サングラス!C24="","",サングラス!C24)</f>
        <v>◇ サイズ E</v>
      </c>
      <c r="D759" s="3" t="str">
        <f>IF(サングラス!E24="","",サングラス!E24)</f>
        <v>無</v>
      </c>
      <c r="E759" s="3" t="str">
        <f>IF(サングラス!X24="","",サングラス!X24)</f>
        <v>ベースB</v>
      </c>
      <c r="F759" s="3" t="str">
        <f>IF(サングラス!G24="","",サングラス!G24)</f>
        <v/>
      </c>
      <c r="G759" s="3" t="str">
        <f>IF(サングラス!H24="","",サングラス!H24)</f>
        <v/>
      </c>
      <c r="H759" s="3" t="str">
        <f>IF(サングラス!I24="","",サングラス!I24)</f>
        <v/>
      </c>
      <c r="I759" s="3" t="str">
        <f>IF(サングラス!J24="","",サングラス!J24)</f>
        <v/>
      </c>
      <c r="J759" s="3" t="str">
        <f>IF(サングラス!K24="","",サングラス!K24)</f>
        <v/>
      </c>
      <c r="K759" s="3" t="str">
        <f>IF(サングラス!L24="","",サングラス!L24)</f>
        <v>サイズ</v>
      </c>
      <c r="L759" s="69" t="s">
        <v>80</v>
      </c>
      <c r="M759" s="69" t="s">
        <v>19</v>
      </c>
      <c r="N759" s="69" t="s">
        <v>20</v>
      </c>
      <c r="O759" s="69" t="s">
        <v>21</v>
      </c>
      <c r="P759" s="4" t="s">
        <v>3036</v>
      </c>
      <c r="Q759" s="4" t="s">
        <v>3038</v>
      </c>
      <c r="R759" s="69" t="s">
        <v>22</v>
      </c>
      <c r="S759" s="69" t="s">
        <v>23</v>
      </c>
      <c r="T759" s="69" t="s">
        <v>22</v>
      </c>
      <c r="U759" s="69" t="s">
        <v>24</v>
      </c>
      <c r="V759" s="69" t="s">
        <v>25</v>
      </c>
      <c r="W759" s="69" t="s">
        <v>26</v>
      </c>
      <c r="X759" s="69" t="s">
        <v>27</v>
      </c>
      <c r="Y759" s="69" t="s">
        <v>28</v>
      </c>
      <c r="Z759" s="3" t="str">
        <f>サングラス!W24</f>
        <v>レンズ幅縦横：約x約ｃｍ　フレーム幅：約cm</v>
      </c>
      <c r="AA759" s="4"/>
      <c r="AB759" s="4"/>
      <c r="AC759" s="4"/>
      <c r="AD759" s="70"/>
      <c r="AE759" s="70">
        <f>サングラス!AB24</f>
        <v>0</v>
      </c>
      <c r="AF759" s="72" t="str">
        <f>サングラス!P24</f>
        <v>通常</v>
      </c>
      <c r="AG759" s="70">
        <v>0</v>
      </c>
      <c r="AH759" s="9">
        <f>サングラス!Z24</f>
        <v>0</v>
      </c>
      <c r="AI759">
        <v>1</v>
      </c>
      <c r="AJ759">
        <f>サングラス!S24</f>
        <v>0</v>
      </c>
    </row>
    <row r="760" spans="1:36" hidden="1">
      <c r="A760" s="3" t="str">
        <f>IF(サングラス!A25="","",サングラス!A25)</f>
        <v/>
      </c>
      <c r="B760" s="68" t="str">
        <f>IF(サングラス!B25="","",サングラス!B25)</f>
        <v/>
      </c>
      <c r="C760" s="3" t="str">
        <f>IF(サングラス!C25="","",サングラス!C25)</f>
        <v>◇ サイズ E</v>
      </c>
      <c r="D760" s="3" t="str">
        <f>IF(サングラス!E25="","",サングラス!E25)</f>
        <v>無</v>
      </c>
      <c r="E760" s="3" t="str">
        <f>IF(サングラス!X25="","",サングラス!X25)</f>
        <v>ベースB</v>
      </c>
      <c r="F760" s="3" t="str">
        <f>IF(サングラス!G25="","",サングラス!G25)</f>
        <v/>
      </c>
      <c r="G760" s="3" t="str">
        <f>IF(サングラス!H25="","",サングラス!H25)</f>
        <v/>
      </c>
      <c r="H760" s="3" t="str">
        <f>IF(サングラス!I25="","",サングラス!I25)</f>
        <v/>
      </c>
      <c r="I760" s="3" t="str">
        <f>IF(サングラス!J25="","",サングラス!J25)</f>
        <v/>
      </c>
      <c r="J760" s="3" t="str">
        <f>IF(サングラス!K25="","",サングラス!K25)</f>
        <v/>
      </c>
      <c r="K760" s="3" t="str">
        <f>IF(サングラス!L25="","",サングラス!L25)</f>
        <v>サイズ</v>
      </c>
      <c r="L760" s="69" t="s">
        <v>80</v>
      </c>
      <c r="M760" s="69" t="s">
        <v>19</v>
      </c>
      <c r="N760" s="69" t="s">
        <v>20</v>
      </c>
      <c r="O760" s="69" t="s">
        <v>21</v>
      </c>
      <c r="P760" s="4" t="s">
        <v>3036</v>
      </c>
      <c r="Q760" s="4" t="s">
        <v>3038</v>
      </c>
      <c r="R760" s="69" t="s">
        <v>22</v>
      </c>
      <c r="S760" s="69" t="s">
        <v>23</v>
      </c>
      <c r="T760" s="69" t="s">
        <v>22</v>
      </c>
      <c r="U760" s="69" t="s">
        <v>24</v>
      </c>
      <c r="V760" s="69" t="s">
        <v>25</v>
      </c>
      <c r="W760" s="69" t="s">
        <v>26</v>
      </c>
      <c r="X760" s="69" t="s">
        <v>27</v>
      </c>
      <c r="Y760" s="69" t="s">
        <v>28</v>
      </c>
      <c r="Z760" s="3" t="str">
        <f>サングラス!W25</f>
        <v>レンズ幅縦横：約x約ｃｍ　フレーム幅：約cm</v>
      </c>
      <c r="AA760" s="4"/>
      <c r="AB760" s="4"/>
      <c r="AC760" s="4"/>
      <c r="AD760" s="70"/>
      <c r="AE760" s="70">
        <f>サングラス!AB25</f>
        <v>0</v>
      </c>
      <c r="AF760" s="72" t="str">
        <f>サングラス!P25</f>
        <v>通常</v>
      </c>
      <c r="AG760" s="70">
        <v>0</v>
      </c>
      <c r="AH760" s="9">
        <f>サングラス!Z25</f>
        <v>0</v>
      </c>
      <c r="AI760">
        <v>1</v>
      </c>
      <c r="AJ760">
        <f>サングラス!S25</f>
        <v>0</v>
      </c>
    </row>
    <row r="761" spans="1:36" hidden="1">
      <c r="A761" s="3" t="str">
        <f>IF(サングラス!A26="","",サングラス!A26)</f>
        <v/>
      </c>
      <c r="B761" s="68" t="str">
        <f>IF(サングラス!B26="","",サングラス!B26)</f>
        <v/>
      </c>
      <c r="C761" s="3" t="str">
        <f>IF(サングラス!C26="","",サングラス!C26)</f>
        <v>◇ サイズ E</v>
      </c>
      <c r="D761" s="3" t="str">
        <f>IF(サングラス!E26="","",サングラス!E26)</f>
        <v>無</v>
      </c>
      <c r="E761" s="3" t="str">
        <f>IF(サングラス!X26="","",サングラス!X26)</f>
        <v>ベースB</v>
      </c>
      <c r="F761" s="3" t="str">
        <f>IF(サングラス!G26="","",サングラス!G26)</f>
        <v/>
      </c>
      <c r="G761" s="3" t="str">
        <f>IF(サングラス!H26="","",サングラス!H26)</f>
        <v/>
      </c>
      <c r="H761" s="3" t="str">
        <f>IF(サングラス!I26="","",サングラス!I26)</f>
        <v/>
      </c>
      <c r="I761" s="3" t="str">
        <f>IF(サングラス!J26="","",サングラス!J26)</f>
        <v/>
      </c>
      <c r="J761" s="3" t="str">
        <f>IF(サングラス!K26="","",サングラス!K26)</f>
        <v/>
      </c>
      <c r="K761" s="3" t="str">
        <f>IF(サングラス!L26="","",サングラス!L26)</f>
        <v>サイズ</v>
      </c>
      <c r="L761" s="69" t="s">
        <v>80</v>
      </c>
      <c r="M761" s="69" t="s">
        <v>19</v>
      </c>
      <c r="N761" s="69" t="s">
        <v>20</v>
      </c>
      <c r="O761" s="69" t="s">
        <v>21</v>
      </c>
      <c r="P761" s="4" t="s">
        <v>3036</v>
      </c>
      <c r="Q761" s="4" t="s">
        <v>3038</v>
      </c>
      <c r="R761" s="69" t="s">
        <v>22</v>
      </c>
      <c r="S761" s="69" t="s">
        <v>23</v>
      </c>
      <c r="T761" s="69" t="s">
        <v>22</v>
      </c>
      <c r="U761" s="69" t="s">
        <v>24</v>
      </c>
      <c r="V761" s="69" t="s">
        <v>25</v>
      </c>
      <c r="W761" s="69" t="s">
        <v>26</v>
      </c>
      <c r="X761" s="69" t="s">
        <v>27</v>
      </c>
      <c r="Y761" s="69" t="s">
        <v>28</v>
      </c>
      <c r="Z761" s="3" t="str">
        <f>サングラス!W26</f>
        <v>レンズ幅縦横：約x約ｃｍ　フレーム幅：約cm</v>
      </c>
      <c r="AA761" s="4"/>
      <c r="AB761" s="4"/>
      <c r="AC761" s="4"/>
      <c r="AD761" s="70"/>
      <c r="AE761" s="70">
        <f>サングラス!AB26</f>
        <v>0</v>
      </c>
      <c r="AF761" s="72" t="str">
        <f>サングラス!P26</f>
        <v>通常</v>
      </c>
      <c r="AG761" s="70">
        <v>0</v>
      </c>
      <c r="AH761" s="9">
        <f>サングラス!Z26</f>
        <v>0</v>
      </c>
      <c r="AI761">
        <v>1</v>
      </c>
      <c r="AJ761">
        <f>サングラス!S26</f>
        <v>0</v>
      </c>
    </row>
    <row r="762" spans="1:36" hidden="1">
      <c r="A762" s="3" t="str">
        <f>IF(アンサンブル!A2="","",アンサンブル!A2)</f>
        <v/>
      </c>
      <c r="B762" s="68" t="str">
        <f>IF(アンサンブル!B2="","",アンサンブル!B2)</f>
        <v/>
      </c>
      <c r="C762" s="68" t="str">
        <f>IF(アンサンブル!C2="","",アンサンブル!C2)</f>
        <v>◇ サイズ E</v>
      </c>
      <c r="D762" s="68" t="str">
        <f>IF(アンサンブル!E2="","",アンサンブル!E2)</f>
        <v>無</v>
      </c>
      <c r="E762" s="68" t="str">
        <f>IF(アンサンブル!AG2="","",アンサンブル!AG2)</f>
        <v>ベースW</v>
      </c>
      <c r="F762" s="68" t="str">
        <f>IF(アンサンブル!G2="","",アンサンブル!G2)</f>
        <v/>
      </c>
      <c r="G762" s="68" t="str">
        <f>IF(アンサンブル!H2="","",アンサンブル!H2)</f>
        <v/>
      </c>
      <c r="H762" s="68" t="str">
        <f>IF(アンサンブル!I2="","",アンサンブル!I2)</f>
        <v/>
      </c>
      <c r="I762" s="68" t="str">
        <f>IF(アンサンブル!J2="","",アンサンブル!J2)</f>
        <v>画像参照</v>
      </c>
      <c r="J762" s="68" t="str">
        <f>IF(アンサンブル!K2="","",アンサンブル!K2)</f>
        <v/>
      </c>
      <c r="K762" s="68" t="str">
        <f>IF(アンサンブル!L2="","",アンサンブル!L2)</f>
        <v>サイズ</v>
      </c>
      <c r="L762" s="69" t="s">
        <v>80</v>
      </c>
      <c r="M762" s="69" t="s">
        <v>19</v>
      </c>
      <c r="N762" s="69" t="s">
        <v>20</v>
      </c>
      <c r="O762" s="69" t="s">
        <v>21</v>
      </c>
      <c r="P762" t="str">
        <f>アンサンブル!AF2</f>
        <v>【アウター】着丈：約cm　肩幅：約cm　身幅：約cm　ウエスト：約cm 袖丈：約cm&lt;br&gt;【インナー】着丈：約cm 肩幅：約cm 身幅：約cm 袖丈：約cm</v>
      </c>
      <c r="Q762" s="4" t="s">
        <v>3038</v>
      </c>
      <c r="R762" s="69" t="s">
        <v>22</v>
      </c>
      <c r="S762" s="69" t="s">
        <v>23</v>
      </c>
      <c r="T762" s="69" t="s">
        <v>22</v>
      </c>
      <c r="U762" s="69" t="s">
        <v>24</v>
      </c>
      <c r="V762" s="69" t="s">
        <v>25</v>
      </c>
      <c r="W762" s="69" t="s">
        <v>26</v>
      </c>
      <c r="X762" s="69" t="s">
        <v>27</v>
      </c>
      <c r="Y762" s="69" t="s">
        <v>28</v>
      </c>
      <c r="Z762" s="69" t="s">
        <v>29</v>
      </c>
      <c r="AA762" s="4"/>
      <c r="AB762" s="4"/>
      <c r="AC762" s="4"/>
      <c r="AD762" s="70"/>
      <c r="AE762" s="70">
        <f>アンサンブル!AK2</f>
        <v>0</v>
      </c>
      <c r="AF762" s="70" t="str">
        <f>アンサンブル!V2</f>
        <v>通常</v>
      </c>
      <c r="AG762" s="70">
        <v>0</v>
      </c>
      <c r="AH762" s="6">
        <f>アンサンブル!AI2</f>
        <v>0</v>
      </c>
      <c r="AI762">
        <v>1</v>
      </c>
      <c r="AJ762">
        <f>アンサンブル!Y2</f>
        <v>0</v>
      </c>
    </row>
    <row r="763" spans="1:36" hidden="1">
      <c r="A763" s="3" t="str">
        <f>IF(アンサンブル!A3="","",アンサンブル!A3)</f>
        <v/>
      </c>
      <c r="B763" s="68" t="str">
        <f>IF(アンサンブル!B3="","",アンサンブル!B3)</f>
        <v/>
      </c>
      <c r="C763" s="68" t="str">
        <f>IF(アンサンブル!C3="","",アンサンブル!C3)</f>
        <v>◇ サイズ E</v>
      </c>
      <c r="D763" s="68" t="str">
        <f>IF(アンサンブル!E3="","",アンサンブル!E3)</f>
        <v>無</v>
      </c>
      <c r="E763" s="68" t="str">
        <f>IF(アンサンブル!AG3="","",アンサンブル!AG3)</f>
        <v>ベースW</v>
      </c>
      <c r="F763" s="68" t="str">
        <f>IF(アンサンブル!G3="","",アンサンブル!G3)</f>
        <v/>
      </c>
      <c r="G763" s="68" t="str">
        <f>IF(アンサンブル!H3="","",アンサンブル!H3)</f>
        <v/>
      </c>
      <c r="H763" s="68" t="str">
        <f>IF(アンサンブル!I3="","",アンサンブル!I3)</f>
        <v/>
      </c>
      <c r="I763" s="68" t="str">
        <f>IF(アンサンブル!J3="","",アンサンブル!J3)</f>
        <v>画像参照</v>
      </c>
      <c r="J763" s="68" t="str">
        <f>IF(アンサンブル!K3="","",アンサンブル!K3)</f>
        <v/>
      </c>
      <c r="K763" s="68" t="str">
        <f>IF(アンサンブル!L3="","",アンサンブル!L3)</f>
        <v>サイズ</v>
      </c>
      <c r="L763" s="69" t="s">
        <v>80</v>
      </c>
      <c r="M763" s="69" t="s">
        <v>19</v>
      </c>
      <c r="N763" s="69" t="s">
        <v>20</v>
      </c>
      <c r="O763" s="69" t="s">
        <v>21</v>
      </c>
      <c r="P763" t="str">
        <f>アンサンブル!AF3</f>
        <v>【アウター】着丈：約cm　肩幅：約cm　身幅：約cm　ウエスト：約cm 袖丈：約cm&lt;br&gt;【インナー】着丈：約cm 肩幅：約cm 身幅：約cm 袖丈：約cm</v>
      </c>
      <c r="Q763" s="4" t="s">
        <v>3038</v>
      </c>
      <c r="R763" s="69" t="s">
        <v>22</v>
      </c>
      <c r="S763" s="69" t="s">
        <v>23</v>
      </c>
      <c r="T763" s="69" t="s">
        <v>22</v>
      </c>
      <c r="U763" s="69" t="s">
        <v>24</v>
      </c>
      <c r="V763" s="69" t="s">
        <v>25</v>
      </c>
      <c r="W763" s="69" t="s">
        <v>26</v>
      </c>
      <c r="X763" s="69" t="s">
        <v>27</v>
      </c>
      <c r="Y763" s="69" t="s">
        <v>28</v>
      </c>
      <c r="Z763" s="69" t="s">
        <v>29</v>
      </c>
      <c r="AA763" s="4"/>
      <c r="AB763" s="4"/>
      <c r="AC763" s="4"/>
      <c r="AD763" s="70"/>
      <c r="AE763" s="70">
        <f>アンサンブル!AK3</f>
        <v>0</v>
      </c>
      <c r="AF763" s="70" t="str">
        <f>アンサンブル!V3</f>
        <v>通常</v>
      </c>
      <c r="AG763" s="70">
        <v>0</v>
      </c>
      <c r="AH763" s="6">
        <f>アンサンブル!AI3</f>
        <v>0</v>
      </c>
      <c r="AI763">
        <v>1</v>
      </c>
      <c r="AJ763">
        <f>アンサンブル!Y3</f>
        <v>0</v>
      </c>
    </row>
    <row r="764" spans="1:36" hidden="1">
      <c r="A764" s="3" t="str">
        <f>IF(アンサンブル!A4="","",アンサンブル!A4)</f>
        <v/>
      </c>
      <c r="B764" s="68" t="str">
        <f>IF(アンサンブル!B4="","",アンサンブル!B4)</f>
        <v/>
      </c>
      <c r="C764" s="68" t="str">
        <f>IF(アンサンブル!C4="","",アンサンブル!C4)</f>
        <v>◇ サイズ E</v>
      </c>
      <c r="D764" s="68" t="str">
        <f>IF(アンサンブル!E4="","",アンサンブル!E4)</f>
        <v>無</v>
      </c>
      <c r="E764" s="68" t="str">
        <f>IF(アンサンブル!AG4="","",アンサンブル!AG4)</f>
        <v>ベースW</v>
      </c>
      <c r="F764" s="68" t="str">
        <f>IF(アンサンブル!G4="","",アンサンブル!G4)</f>
        <v/>
      </c>
      <c r="G764" s="68" t="str">
        <f>IF(アンサンブル!H4="","",アンサンブル!H4)</f>
        <v/>
      </c>
      <c r="H764" s="68" t="str">
        <f>IF(アンサンブル!I4="","",アンサンブル!I4)</f>
        <v/>
      </c>
      <c r="I764" s="68" t="str">
        <f>IF(アンサンブル!J4="","",アンサンブル!J4)</f>
        <v>画像参照</v>
      </c>
      <c r="J764" s="68" t="str">
        <f>IF(アンサンブル!K4="","",アンサンブル!K4)</f>
        <v/>
      </c>
      <c r="K764" s="68" t="str">
        <f>IF(アンサンブル!L4="","",アンサンブル!L4)</f>
        <v>サイズ</v>
      </c>
      <c r="L764" s="69" t="s">
        <v>80</v>
      </c>
      <c r="M764" s="69" t="s">
        <v>19</v>
      </c>
      <c r="N764" s="69" t="s">
        <v>20</v>
      </c>
      <c r="O764" s="69" t="s">
        <v>21</v>
      </c>
      <c r="P764" t="str">
        <f>アンサンブル!AF4</f>
        <v>【アウター】着丈：約cm　肩幅：約cm　身幅：約cm　ウエスト：約cm 袖丈：約cm&lt;br&gt;【インナー】着丈：約cm 肩幅：約cm 身幅：約cm 袖丈：約cm</v>
      </c>
      <c r="Q764" s="4" t="s">
        <v>3038</v>
      </c>
      <c r="R764" s="69" t="s">
        <v>22</v>
      </c>
      <c r="S764" s="69" t="s">
        <v>23</v>
      </c>
      <c r="T764" s="69" t="s">
        <v>22</v>
      </c>
      <c r="U764" s="69" t="s">
        <v>24</v>
      </c>
      <c r="V764" s="69" t="s">
        <v>25</v>
      </c>
      <c r="W764" s="69" t="s">
        <v>26</v>
      </c>
      <c r="X764" s="69" t="s">
        <v>27</v>
      </c>
      <c r="Y764" s="69" t="s">
        <v>28</v>
      </c>
      <c r="Z764" s="69" t="s">
        <v>29</v>
      </c>
      <c r="AA764" s="4"/>
      <c r="AB764" s="4"/>
      <c r="AC764" s="4"/>
      <c r="AD764" s="70"/>
      <c r="AE764" s="70">
        <f>アンサンブル!AK4</f>
        <v>0</v>
      </c>
      <c r="AF764" s="70" t="str">
        <f>アンサンブル!V4</f>
        <v>通常</v>
      </c>
      <c r="AG764" s="70">
        <v>0</v>
      </c>
      <c r="AH764" s="6">
        <f>アンサンブル!AI4</f>
        <v>0</v>
      </c>
      <c r="AI764">
        <v>1</v>
      </c>
      <c r="AJ764">
        <f>アンサンブル!Y4</f>
        <v>0</v>
      </c>
    </row>
    <row r="765" spans="1:36" hidden="1">
      <c r="A765" s="3" t="str">
        <f>IF(アンサンブル!A5="","",アンサンブル!A5)</f>
        <v/>
      </c>
      <c r="B765" s="68" t="str">
        <f>IF(アンサンブル!B5="","",アンサンブル!B5)</f>
        <v/>
      </c>
      <c r="C765" s="68" t="str">
        <f>IF(アンサンブル!C5="","",アンサンブル!C5)</f>
        <v>◇ サイズ E</v>
      </c>
      <c r="D765" s="68" t="str">
        <f>IF(アンサンブル!E5="","",アンサンブル!E5)</f>
        <v>無</v>
      </c>
      <c r="E765" s="68" t="str">
        <f>IF(アンサンブル!AG5="","",アンサンブル!AG5)</f>
        <v>ベースW</v>
      </c>
      <c r="F765" s="68" t="str">
        <f>IF(アンサンブル!G5="","",アンサンブル!G5)</f>
        <v/>
      </c>
      <c r="G765" s="68" t="str">
        <f>IF(アンサンブル!H5="","",アンサンブル!H5)</f>
        <v/>
      </c>
      <c r="H765" s="68" t="str">
        <f>IF(アンサンブル!I5="","",アンサンブル!I5)</f>
        <v/>
      </c>
      <c r="I765" s="68" t="str">
        <f>IF(アンサンブル!J5="","",アンサンブル!J5)</f>
        <v>画像参照</v>
      </c>
      <c r="J765" s="68" t="str">
        <f>IF(アンサンブル!K5="","",アンサンブル!K5)</f>
        <v/>
      </c>
      <c r="K765" s="68" t="str">
        <f>IF(アンサンブル!L5="","",アンサンブル!L5)</f>
        <v>サイズ</v>
      </c>
      <c r="L765" s="69" t="s">
        <v>80</v>
      </c>
      <c r="M765" s="69" t="s">
        <v>19</v>
      </c>
      <c r="N765" s="69" t="s">
        <v>20</v>
      </c>
      <c r="O765" s="69" t="s">
        <v>21</v>
      </c>
      <c r="P765" t="str">
        <f>アンサンブル!AF5</f>
        <v>【アウター】着丈：約cm　肩幅：約cm　身幅：約cm　ウエスト：約cm 袖丈：約cm&lt;br&gt;【インナー】着丈：約cm 肩幅：約cm 身幅：約cm 袖丈：約cm</v>
      </c>
      <c r="Q765" s="4" t="s">
        <v>3038</v>
      </c>
      <c r="R765" s="69" t="s">
        <v>22</v>
      </c>
      <c r="S765" s="69" t="s">
        <v>23</v>
      </c>
      <c r="T765" s="69" t="s">
        <v>22</v>
      </c>
      <c r="U765" s="69" t="s">
        <v>24</v>
      </c>
      <c r="V765" s="69" t="s">
        <v>25</v>
      </c>
      <c r="W765" s="69" t="s">
        <v>26</v>
      </c>
      <c r="X765" s="69" t="s">
        <v>27</v>
      </c>
      <c r="Y765" s="69" t="s">
        <v>28</v>
      </c>
      <c r="Z765" s="69" t="s">
        <v>29</v>
      </c>
      <c r="AA765" s="4"/>
      <c r="AB765" s="4"/>
      <c r="AC765" s="4"/>
      <c r="AD765" s="70"/>
      <c r="AE765" s="70">
        <f>アンサンブル!AK5</f>
        <v>0</v>
      </c>
      <c r="AF765" s="70" t="str">
        <f>アンサンブル!V5</f>
        <v>通常</v>
      </c>
      <c r="AG765" s="70">
        <v>0</v>
      </c>
      <c r="AH765" s="6">
        <f>アンサンブル!AI5</f>
        <v>0</v>
      </c>
      <c r="AI765">
        <v>1</v>
      </c>
      <c r="AJ765">
        <f>アンサンブル!Y5</f>
        <v>0</v>
      </c>
    </row>
    <row r="766" spans="1:36" hidden="1">
      <c r="A766" s="3" t="str">
        <f>IF(アンサンブル!A6="","",アンサンブル!A6)</f>
        <v/>
      </c>
      <c r="B766" s="68" t="str">
        <f>IF(アンサンブル!B6="","",アンサンブル!B6)</f>
        <v/>
      </c>
      <c r="C766" s="68" t="str">
        <f>IF(アンサンブル!C6="","",アンサンブル!C6)</f>
        <v>◇ サイズ E</v>
      </c>
      <c r="D766" s="68" t="str">
        <f>IF(アンサンブル!E6="","",アンサンブル!E6)</f>
        <v>無</v>
      </c>
      <c r="E766" s="68" t="str">
        <f>IF(アンサンブル!AG6="","",アンサンブル!AG6)</f>
        <v>ベースW</v>
      </c>
      <c r="F766" s="68" t="str">
        <f>IF(アンサンブル!G6="","",アンサンブル!G6)</f>
        <v/>
      </c>
      <c r="G766" s="68" t="str">
        <f>IF(アンサンブル!H6="","",アンサンブル!H6)</f>
        <v/>
      </c>
      <c r="H766" s="68" t="str">
        <f>IF(アンサンブル!I6="","",アンサンブル!I6)</f>
        <v/>
      </c>
      <c r="I766" s="68" t="str">
        <f>IF(アンサンブル!J6="","",アンサンブル!J6)</f>
        <v>画像参照</v>
      </c>
      <c r="J766" s="68" t="str">
        <f>IF(アンサンブル!K6="","",アンサンブル!K6)</f>
        <v/>
      </c>
      <c r="K766" s="68" t="str">
        <f>IF(アンサンブル!L6="","",アンサンブル!L6)</f>
        <v>サイズ</v>
      </c>
      <c r="L766" s="69" t="s">
        <v>80</v>
      </c>
      <c r="M766" s="69" t="s">
        <v>19</v>
      </c>
      <c r="N766" s="69" t="s">
        <v>20</v>
      </c>
      <c r="O766" s="69" t="s">
        <v>21</v>
      </c>
      <c r="P766" t="str">
        <f>アンサンブル!AF6</f>
        <v>【アウター】着丈：約cm　肩幅：約cm　身幅：約cm　ウエスト：約cm 袖丈：約cm&lt;br&gt;【インナー】着丈：約cm 肩幅：約cm 身幅：約cm 袖丈：約cm</v>
      </c>
      <c r="Q766" s="4" t="s">
        <v>3038</v>
      </c>
      <c r="R766" s="69" t="s">
        <v>22</v>
      </c>
      <c r="S766" s="69" t="s">
        <v>23</v>
      </c>
      <c r="T766" s="69" t="s">
        <v>22</v>
      </c>
      <c r="U766" s="69" t="s">
        <v>24</v>
      </c>
      <c r="V766" s="69" t="s">
        <v>25</v>
      </c>
      <c r="W766" s="69" t="s">
        <v>26</v>
      </c>
      <c r="X766" s="69" t="s">
        <v>27</v>
      </c>
      <c r="Y766" s="69" t="s">
        <v>28</v>
      </c>
      <c r="Z766" s="69" t="s">
        <v>29</v>
      </c>
      <c r="AA766" s="4"/>
      <c r="AB766" s="4"/>
      <c r="AC766" s="4"/>
      <c r="AD766" s="70"/>
      <c r="AE766" s="70">
        <f>アンサンブル!AK6</f>
        <v>0</v>
      </c>
      <c r="AF766" s="70" t="str">
        <f>アンサンブル!V6</f>
        <v>通常</v>
      </c>
      <c r="AG766" s="70">
        <v>0</v>
      </c>
      <c r="AH766" s="6">
        <f>アンサンブル!AI6</f>
        <v>0</v>
      </c>
      <c r="AI766">
        <v>1</v>
      </c>
      <c r="AJ766">
        <f>アンサンブル!Y6</f>
        <v>0</v>
      </c>
    </row>
    <row r="767" spans="1:36" hidden="1">
      <c r="A767" s="3" t="str">
        <f>IF(アンサンブル!A7="","",アンサンブル!A7)</f>
        <v/>
      </c>
      <c r="B767" s="68" t="str">
        <f>IF(アンサンブル!B7="","",アンサンブル!B7)</f>
        <v/>
      </c>
      <c r="C767" s="68" t="str">
        <f>IF(アンサンブル!C7="","",アンサンブル!C7)</f>
        <v>◇ サイズ E</v>
      </c>
      <c r="D767" s="68" t="str">
        <f>IF(アンサンブル!E7="","",アンサンブル!E7)</f>
        <v>無</v>
      </c>
      <c r="E767" s="68" t="str">
        <f>IF(アンサンブル!AG7="","",アンサンブル!AG7)</f>
        <v>ベースW</v>
      </c>
      <c r="F767" s="68" t="str">
        <f>IF(アンサンブル!G7="","",アンサンブル!G7)</f>
        <v/>
      </c>
      <c r="G767" s="68" t="str">
        <f>IF(アンサンブル!H7="","",アンサンブル!H7)</f>
        <v/>
      </c>
      <c r="H767" s="68" t="str">
        <f>IF(アンサンブル!I7="","",アンサンブル!I7)</f>
        <v/>
      </c>
      <c r="I767" s="68" t="str">
        <f>IF(アンサンブル!J7="","",アンサンブル!J7)</f>
        <v>画像参照</v>
      </c>
      <c r="J767" s="68" t="str">
        <f>IF(アンサンブル!K7="","",アンサンブル!K7)</f>
        <v/>
      </c>
      <c r="K767" s="68" t="str">
        <f>IF(アンサンブル!L7="","",アンサンブル!L7)</f>
        <v>サイズ</v>
      </c>
      <c r="L767" s="69" t="s">
        <v>80</v>
      </c>
      <c r="M767" s="69" t="s">
        <v>19</v>
      </c>
      <c r="N767" s="69" t="s">
        <v>20</v>
      </c>
      <c r="O767" s="69" t="s">
        <v>21</v>
      </c>
      <c r="P767" t="str">
        <f>アンサンブル!AF7</f>
        <v>【アウター】着丈：約cm　肩幅：約cm　身幅：約cm　ウエスト：約cm 袖丈：約cm&lt;br&gt;【インナー】着丈：約cm 肩幅：約cm 身幅：約cm 袖丈：約cm</v>
      </c>
      <c r="Q767" s="4" t="s">
        <v>3038</v>
      </c>
      <c r="R767" s="69" t="s">
        <v>22</v>
      </c>
      <c r="S767" s="69" t="s">
        <v>23</v>
      </c>
      <c r="T767" s="69" t="s">
        <v>22</v>
      </c>
      <c r="U767" s="69" t="s">
        <v>24</v>
      </c>
      <c r="V767" s="69" t="s">
        <v>25</v>
      </c>
      <c r="W767" s="69" t="s">
        <v>26</v>
      </c>
      <c r="X767" s="69" t="s">
        <v>27</v>
      </c>
      <c r="Y767" s="69" t="s">
        <v>28</v>
      </c>
      <c r="Z767" s="69" t="s">
        <v>29</v>
      </c>
      <c r="AA767" s="4"/>
      <c r="AB767" s="4"/>
      <c r="AC767" s="4"/>
      <c r="AD767" s="70"/>
      <c r="AE767" s="70">
        <f>アンサンブル!AK7</f>
        <v>0</v>
      </c>
      <c r="AF767" s="70" t="str">
        <f>アンサンブル!V7</f>
        <v>通常</v>
      </c>
      <c r="AG767" s="70">
        <v>0</v>
      </c>
      <c r="AH767" s="6">
        <f>アンサンブル!AI7</f>
        <v>0</v>
      </c>
      <c r="AI767">
        <v>1</v>
      </c>
      <c r="AJ767">
        <f>アンサンブル!Y7</f>
        <v>0</v>
      </c>
    </row>
    <row r="768" spans="1:36" hidden="1">
      <c r="A768" s="3" t="str">
        <f>IF(アンサンブル!A8="","",アンサンブル!A8)</f>
        <v/>
      </c>
      <c r="B768" s="68" t="str">
        <f>IF(アンサンブル!B8="","",アンサンブル!B8)</f>
        <v/>
      </c>
      <c r="C768" s="68" t="str">
        <f>IF(アンサンブル!C8="","",アンサンブル!C8)</f>
        <v>◇ サイズ E</v>
      </c>
      <c r="D768" s="68" t="str">
        <f>IF(アンサンブル!E8="","",アンサンブル!E8)</f>
        <v>無</v>
      </c>
      <c r="E768" s="68" t="str">
        <f>IF(アンサンブル!AG8="","",アンサンブル!AG8)</f>
        <v>ベースW</v>
      </c>
      <c r="F768" s="68" t="str">
        <f>IF(アンサンブル!G8="","",アンサンブル!G8)</f>
        <v/>
      </c>
      <c r="G768" s="68" t="str">
        <f>IF(アンサンブル!H8="","",アンサンブル!H8)</f>
        <v/>
      </c>
      <c r="H768" s="68" t="str">
        <f>IF(アンサンブル!I8="","",アンサンブル!I8)</f>
        <v/>
      </c>
      <c r="I768" s="68" t="str">
        <f>IF(アンサンブル!J8="","",アンサンブル!J8)</f>
        <v>画像参照</v>
      </c>
      <c r="J768" s="68" t="str">
        <f>IF(アンサンブル!K8="","",アンサンブル!K8)</f>
        <v/>
      </c>
      <c r="K768" s="68" t="str">
        <f>IF(アンサンブル!L8="","",アンサンブル!L8)</f>
        <v>サイズ</v>
      </c>
      <c r="L768" s="69" t="s">
        <v>80</v>
      </c>
      <c r="M768" s="69" t="s">
        <v>19</v>
      </c>
      <c r="N768" s="69" t="s">
        <v>20</v>
      </c>
      <c r="O768" s="69" t="s">
        <v>21</v>
      </c>
      <c r="P768" t="str">
        <f>アンサンブル!AF8</f>
        <v>【アウター】着丈：約cm　肩幅：約cm　身幅：約cm　ウエスト：約cm 袖丈：約cm&lt;br&gt;【インナー】着丈：約cm 肩幅：約cm 身幅：約cm 袖丈：約cm</v>
      </c>
      <c r="Q768" s="4" t="s">
        <v>3038</v>
      </c>
      <c r="R768" s="69" t="s">
        <v>22</v>
      </c>
      <c r="S768" s="69" t="s">
        <v>23</v>
      </c>
      <c r="T768" s="69" t="s">
        <v>22</v>
      </c>
      <c r="U768" s="69" t="s">
        <v>24</v>
      </c>
      <c r="V768" s="69" t="s">
        <v>25</v>
      </c>
      <c r="W768" s="69" t="s">
        <v>26</v>
      </c>
      <c r="X768" s="69" t="s">
        <v>27</v>
      </c>
      <c r="Y768" s="69" t="s">
        <v>28</v>
      </c>
      <c r="Z768" s="69" t="s">
        <v>29</v>
      </c>
      <c r="AA768" s="4"/>
      <c r="AB768" s="4"/>
      <c r="AC768" s="4"/>
      <c r="AD768" s="70"/>
      <c r="AE768" s="70">
        <f>アンサンブル!AK8</f>
        <v>0</v>
      </c>
      <c r="AF768" s="70" t="str">
        <f>アンサンブル!V8</f>
        <v>通常</v>
      </c>
      <c r="AG768" s="70">
        <v>0</v>
      </c>
      <c r="AH768" s="6">
        <f>アンサンブル!AI8</f>
        <v>0</v>
      </c>
      <c r="AI768">
        <v>1</v>
      </c>
      <c r="AJ768">
        <f>アンサンブル!Y8</f>
        <v>0</v>
      </c>
    </row>
    <row r="769" spans="1:36" hidden="1">
      <c r="A769" s="3" t="str">
        <f>IF(アンサンブル!A9="","",アンサンブル!A9)</f>
        <v/>
      </c>
      <c r="B769" s="68" t="str">
        <f>IF(アンサンブル!B9="","",アンサンブル!B9)</f>
        <v/>
      </c>
      <c r="C769" s="68" t="str">
        <f>IF(アンサンブル!C9="","",アンサンブル!C9)</f>
        <v>◇ サイズ E</v>
      </c>
      <c r="D769" s="68" t="str">
        <f>IF(アンサンブル!E9="","",アンサンブル!E9)</f>
        <v>無</v>
      </c>
      <c r="E769" s="68" t="str">
        <f>IF(アンサンブル!AG9="","",アンサンブル!AG9)</f>
        <v>ベースW</v>
      </c>
      <c r="F769" s="68" t="str">
        <f>IF(アンサンブル!G9="","",アンサンブル!G9)</f>
        <v/>
      </c>
      <c r="G769" s="68" t="str">
        <f>IF(アンサンブル!H9="","",アンサンブル!H9)</f>
        <v/>
      </c>
      <c r="H769" s="68" t="str">
        <f>IF(アンサンブル!I9="","",アンサンブル!I9)</f>
        <v/>
      </c>
      <c r="I769" s="68" t="str">
        <f>IF(アンサンブル!J9="","",アンサンブル!J9)</f>
        <v>画像参照</v>
      </c>
      <c r="J769" s="68" t="str">
        <f>IF(アンサンブル!K9="","",アンサンブル!K9)</f>
        <v/>
      </c>
      <c r="K769" s="68" t="str">
        <f>IF(アンサンブル!L9="","",アンサンブル!L9)</f>
        <v>サイズ</v>
      </c>
      <c r="L769" s="69" t="s">
        <v>80</v>
      </c>
      <c r="M769" s="69" t="s">
        <v>19</v>
      </c>
      <c r="N769" s="69" t="s">
        <v>20</v>
      </c>
      <c r="O769" s="69" t="s">
        <v>21</v>
      </c>
      <c r="P769" t="str">
        <f>アンサンブル!AF9</f>
        <v>【アウター】着丈：約cm　肩幅：約cm　身幅：約cm　ウエスト：約cm 袖丈：約cm&lt;br&gt;【インナー】着丈：約cm 肩幅：約cm 身幅：約cm 袖丈：約cm</v>
      </c>
      <c r="Q769" s="4" t="s">
        <v>3038</v>
      </c>
      <c r="R769" s="69" t="s">
        <v>22</v>
      </c>
      <c r="S769" s="69" t="s">
        <v>23</v>
      </c>
      <c r="T769" s="69" t="s">
        <v>22</v>
      </c>
      <c r="U769" s="69" t="s">
        <v>24</v>
      </c>
      <c r="V769" s="69" t="s">
        <v>25</v>
      </c>
      <c r="W769" s="69" t="s">
        <v>26</v>
      </c>
      <c r="X769" s="69" t="s">
        <v>27</v>
      </c>
      <c r="Y769" s="69" t="s">
        <v>28</v>
      </c>
      <c r="Z769" s="69" t="s">
        <v>29</v>
      </c>
      <c r="AA769" s="4"/>
      <c r="AB769" s="4"/>
      <c r="AC769" s="4"/>
      <c r="AD769" s="70"/>
      <c r="AE769" s="70">
        <f>アンサンブル!AK9</f>
        <v>0</v>
      </c>
      <c r="AF769" s="70" t="str">
        <f>アンサンブル!V9</f>
        <v>通常</v>
      </c>
      <c r="AG769" s="70">
        <v>0</v>
      </c>
      <c r="AH769" s="6">
        <f>アンサンブル!AI9</f>
        <v>0</v>
      </c>
      <c r="AI769">
        <v>1</v>
      </c>
      <c r="AJ769">
        <f>アンサンブル!Y9</f>
        <v>0</v>
      </c>
    </row>
    <row r="770" spans="1:36" hidden="1">
      <c r="A770" s="3" t="str">
        <f>IF(アンサンブル!A10="","",アンサンブル!A10)</f>
        <v/>
      </c>
      <c r="B770" s="68" t="str">
        <f>IF(アンサンブル!B10="","",アンサンブル!B10)</f>
        <v/>
      </c>
      <c r="C770" s="68" t="str">
        <f>IF(アンサンブル!C10="","",アンサンブル!C10)</f>
        <v>◇ サイズ E</v>
      </c>
      <c r="D770" s="68" t="str">
        <f>IF(アンサンブル!E10="","",アンサンブル!E10)</f>
        <v>無</v>
      </c>
      <c r="E770" s="68" t="str">
        <f>IF(アンサンブル!AG10="","",アンサンブル!AG10)</f>
        <v>ベースW</v>
      </c>
      <c r="F770" s="68" t="str">
        <f>IF(アンサンブル!G10="","",アンサンブル!G10)</f>
        <v/>
      </c>
      <c r="G770" s="68" t="str">
        <f>IF(アンサンブル!H10="","",アンサンブル!H10)</f>
        <v/>
      </c>
      <c r="H770" s="68" t="str">
        <f>IF(アンサンブル!I10="","",アンサンブル!I10)</f>
        <v/>
      </c>
      <c r="I770" s="68" t="str">
        <f>IF(アンサンブル!J10="","",アンサンブル!J10)</f>
        <v>画像参照</v>
      </c>
      <c r="J770" s="68" t="str">
        <f>IF(アンサンブル!K10="","",アンサンブル!K10)</f>
        <v/>
      </c>
      <c r="K770" s="68" t="str">
        <f>IF(アンサンブル!L10="","",アンサンブル!L10)</f>
        <v>サイズ</v>
      </c>
      <c r="L770" s="69" t="s">
        <v>80</v>
      </c>
      <c r="M770" s="69" t="s">
        <v>19</v>
      </c>
      <c r="N770" s="69" t="s">
        <v>20</v>
      </c>
      <c r="O770" s="69" t="s">
        <v>21</v>
      </c>
      <c r="P770" t="str">
        <f>アンサンブル!AF10</f>
        <v>【アウター】着丈：約cm　肩幅：約cm　身幅：約cm　ウエスト：約cm 袖丈：約cm&lt;br&gt;【インナー】着丈：約cm 肩幅：約cm 身幅：約cm 袖丈：約cm</v>
      </c>
      <c r="Q770" s="4" t="s">
        <v>3038</v>
      </c>
      <c r="R770" s="69" t="s">
        <v>22</v>
      </c>
      <c r="S770" s="69" t="s">
        <v>23</v>
      </c>
      <c r="T770" s="69" t="s">
        <v>22</v>
      </c>
      <c r="U770" s="69" t="s">
        <v>24</v>
      </c>
      <c r="V770" s="69" t="s">
        <v>25</v>
      </c>
      <c r="W770" s="69" t="s">
        <v>26</v>
      </c>
      <c r="X770" s="69" t="s">
        <v>27</v>
      </c>
      <c r="Y770" s="69" t="s">
        <v>28</v>
      </c>
      <c r="Z770" s="69" t="s">
        <v>29</v>
      </c>
      <c r="AA770" s="4"/>
      <c r="AB770" s="4"/>
      <c r="AC770" s="4"/>
      <c r="AD770" s="70"/>
      <c r="AE770" s="70">
        <f>アンサンブル!AK10</f>
        <v>0</v>
      </c>
      <c r="AF770" s="70" t="str">
        <f>アンサンブル!V10</f>
        <v>通常</v>
      </c>
      <c r="AG770" s="70">
        <v>0</v>
      </c>
      <c r="AH770" s="6">
        <f>アンサンブル!AI10</f>
        <v>0</v>
      </c>
      <c r="AI770">
        <v>1</v>
      </c>
      <c r="AJ770">
        <f>アンサンブル!Y10</f>
        <v>0</v>
      </c>
    </row>
    <row r="771" spans="1:36" ht="13.5" customHeight="1">
      <c r="A771" s="3">
        <v>2084064242</v>
      </c>
      <c r="B771" s="68">
        <f>IF(複数商品!B2="","",複数商品!B2)</f>
        <v>1212020007979</v>
      </c>
      <c r="C771" s="68" t="str">
        <f>IF(複数商品!C2="","",複数商品!C2)</f>
        <v>◇ 《 who's who Chico フーズフーチコ シアー素材。フリル ブラウス レディース 》 E 1212020007979</v>
      </c>
      <c r="D771" s="3" t="str">
        <f>複数商品!E2</f>
        <v>無</v>
      </c>
      <c r="E771" s="68" t="str">
        <f>IF(複数商品!AM2="","",複数商品!AM2)</f>
        <v>ベースM/9</v>
      </c>
      <c r="F771" s="68">
        <f>IF(複数商品!G2="","",複数商品!G2)</f>
        <v>3</v>
      </c>
      <c r="G771" s="68" t="str">
        <f>IF(複数商品!H2="","",複数商品!H2)</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71" s="68" t="str">
        <f>IF(複数商品!I2="","",複数商品!I2)</f>
        <v/>
      </c>
      <c r="I771" s="68" t="str">
        <f>IF(複数商品!J2="","",複数商品!J2)</f>
        <v>まとめ売り商品の為、各季節、異なる素材の商品が混合しております。予めご注意願います。</v>
      </c>
      <c r="J771" s="68" t="str">
        <f>IF(複数商品!K2="","",複数商品!K2)</f>
        <v>まとめ売り商品の為、複数の色の商品が混合しております。予め注意願います。</v>
      </c>
      <c r="K771" s="68" t="str">
        <f>IF(複数商品!L2="","",複数商品!L2)</f>
        <v>まとめ売り商品の為、複数のサイズが混合しております。カテゴリのサイズは確実なものではありません。予めご注意願います。</v>
      </c>
      <c r="L771" s="69" t="s">
        <v>80</v>
      </c>
      <c r="M771" s="69" t="s">
        <v>19</v>
      </c>
      <c r="N771" s="69" t="s">
        <v>20</v>
      </c>
      <c r="O771" s="69" t="s">
        <v>21</v>
      </c>
      <c r="P771" s="4" t="s">
        <v>3036</v>
      </c>
      <c r="Q771" s="4" t="s">
        <v>3038</v>
      </c>
      <c r="R771" s="69" t="s">
        <v>22</v>
      </c>
      <c r="S771" s="69" t="s">
        <v>23</v>
      </c>
      <c r="T771" s="69" t="s">
        <v>22</v>
      </c>
      <c r="U771" s="69" t="s">
        <v>24</v>
      </c>
      <c r="V771" s="69" t="s">
        <v>25</v>
      </c>
      <c r="W771" s="69" t="s">
        <v>26</v>
      </c>
      <c r="X771" s="69" t="s">
        <v>27</v>
      </c>
      <c r="Y771" s="3" t="str">
        <f>複数商品!AK2</f>
        <v>【商品①】全長：cm　最大幅：cm ×&lt;BR&gt;【商品②】全長：cm　最大幅：cm ×&lt;BR&gt;【商品③】全長：cm　最大幅：cm ×&lt;BR&gt;【商品④】全長：cm　最大幅：cm ×&lt;BR&gt;</v>
      </c>
      <c r="Z771" s="69" t="s">
        <v>29</v>
      </c>
      <c r="AA771" s="4"/>
      <c r="AB771" s="4"/>
      <c r="AC771" s="4"/>
      <c r="AD771" s="70"/>
      <c r="AE771" s="70">
        <f>複数商品!AQ2</f>
        <v>1000</v>
      </c>
      <c r="AF771" s="70" t="str">
        <f>複数商品!AD2</f>
        <v>通常</v>
      </c>
      <c r="AG771" s="70">
        <v>0</v>
      </c>
      <c r="AH771" s="9">
        <f>複数商品!AO2</f>
        <v>0</v>
      </c>
      <c r="AI771">
        <v>1</v>
      </c>
      <c r="AJ771" t="str">
        <f>複数商品!AG2</f>
        <v>who's who Chico フーズフーチコ</v>
      </c>
    </row>
    <row r="772" spans="1:36" ht="13.5" customHeight="1">
      <c r="A772" s="3">
        <v>2084051318</v>
      </c>
      <c r="B772" s="68">
        <f>IF(複数商品!B3="","",複数商品!B3)</f>
        <v>1212020007887</v>
      </c>
      <c r="C772" s="68" t="str">
        <f>IF(複数商品!C3="","",複数商品!C3)</f>
        <v>◇ 《 apres jour アプレジュール フロント刺繍、プリント Tシャツ レディース 》 E 1212020007887</v>
      </c>
      <c r="D772" s="3" t="str">
        <f>複数商品!E3</f>
        <v>無</v>
      </c>
      <c r="E772" s="68" t="str">
        <f>IF(複数商品!AM3="","",複数商品!AM3)</f>
        <v>ベースM/9</v>
      </c>
      <c r="F772" s="68">
        <f>IF(複数商品!G3="","",複数商品!G3)</f>
        <v>3</v>
      </c>
      <c r="G772" s="68" t="str">
        <f>IF(複数商品!H3="","",複数商品!H3)</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72" s="68" t="str">
        <f>IF(複数商品!I3="","",複数商品!I3)</f>
        <v/>
      </c>
      <c r="I772" s="68" t="str">
        <f>IF(複数商品!J3="","",複数商品!J3)</f>
        <v>まとめ売り商品の為、各季節、異なる素材の商品が混合しております。予めご注意願います。</v>
      </c>
      <c r="J772" s="68" t="str">
        <f>IF(複数商品!K3="","",複数商品!K3)</f>
        <v>まとめ売り商品の為、複数の色の商品が混合しております。予め注意願います。</v>
      </c>
      <c r="K772" s="68" t="str">
        <f>IF(複数商品!L3="","",複数商品!L3)</f>
        <v>まとめ売り商品の為、複数のサイズが混合しております。カテゴリのサイズは確実なものではありません。予めご注意願います。</v>
      </c>
      <c r="L772" s="69" t="s">
        <v>80</v>
      </c>
      <c r="M772" s="69" t="s">
        <v>19</v>
      </c>
      <c r="N772" s="69" t="s">
        <v>20</v>
      </c>
      <c r="O772" s="69" t="s">
        <v>21</v>
      </c>
      <c r="P772" s="4" t="s">
        <v>3036</v>
      </c>
      <c r="Q772" s="4" t="s">
        <v>3038</v>
      </c>
      <c r="R772" s="69" t="s">
        <v>22</v>
      </c>
      <c r="S772" s="69" t="s">
        <v>23</v>
      </c>
      <c r="T772" s="69" t="s">
        <v>22</v>
      </c>
      <c r="U772" s="69" t="s">
        <v>24</v>
      </c>
      <c r="V772" s="69" t="s">
        <v>25</v>
      </c>
      <c r="W772" s="69" t="s">
        <v>26</v>
      </c>
      <c r="X772" s="69" t="s">
        <v>27</v>
      </c>
      <c r="Y772" s="3" t="str">
        <f>複数商品!AK3</f>
        <v>【商品①】全長：cm　最大幅：cm ×&lt;BR&gt;【商品②】全長：cm　最大幅：cm ×&lt;BR&gt;【商品③】全長：cm　最大幅：cm ×&lt;BR&gt;【商品④】全長：cm　最大幅：cm ×&lt;BR&gt;</v>
      </c>
      <c r="Z772" s="69" t="s">
        <v>29</v>
      </c>
      <c r="AA772" s="4"/>
      <c r="AB772" s="4"/>
      <c r="AC772" s="4"/>
      <c r="AD772" s="70"/>
      <c r="AE772" s="70">
        <f>複数商品!AQ3</f>
        <v>1000</v>
      </c>
      <c r="AF772" s="70" t="str">
        <f>複数商品!AD3</f>
        <v>通常</v>
      </c>
      <c r="AG772" s="70">
        <v>0</v>
      </c>
      <c r="AH772" s="9">
        <f>複数商品!AO3</f>
        <v>0</v>
      </c>
      <c r="AI772">
        <v>1</v>
      </c>
      <c r="AJ772" t="str">
        <f>複数商品!AG3</f>
        <v>apres jour アプレジュール</v>
      </c>
    </row>
    <row r="773" spans="1:36" ht="13.5" customHeight="1">
      <c r="A773" s="3">
        <v>2084224590</v>
      </c>
      <c r="B773" s="68">
        <f>IF(複数商品!B4="","",複数商品!B4)</f>
        <v>1212020007870</v>
      </c>
      <c r="C773" s="68" t="str">
        <f>IF(複数商品!C4="","",複数商品!C4)</f>
        <v>◇ 《 SOYOUS ソユーズ タータンチェック パンツ レディース 》 E 1212020007870</v>
      </c>
      <c r="D773" s="3" t="str">
        <f>複数商品!E4</f>
        <v>無</v>
      </c>
      <c r="E773" s="68" t="str">
        <f>IF(複数商品!AM4="","",複数商品!AM4)</f>
        <v>ベースM/9</v>
      </c>
      <c r="F773" s="68">
        <f>IF(複数商品!G4="","",複数商品!G4)</f>
        <v>3</v>
      </c>
      <c r="G773" s="68" t="str">
        <f>IF(複数商品!H4="","",複数商品!H4)</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73" s="68" t="str">
        <f>IF(複数商品!I4="","",複数商品!I4)</f>
        <v/>
      </c>
      <c r="I773" s="68" t="str">
        <f>IF(複数商品!J4="","",複数商品!J4)</f>
        <v>まとめ売り商品の為、各季節、異なる素材の商品が混合しております。予めご注意願います。</v>
      </c>
      <c r="J773" s="68" t="str">
        <f>IF(複数商品!K4="","",複数商品!K4)</f>
        <v>まとめ売り商品の為、複数の色の商品が混合しております。予め注意願います。</v>
      </c>
      <c r="K773" s="68" t="str">
        <f>IF(複数商品!L4="","",複数商品!L4)</f>
        <v>まとめ売り商品の為、複数のサイズが混合しております。カテゴリのサイズは確実なものではありません。予めご注意願います。</v>
      </c>
      <c r="L773" s="69" t="s">
        <v>80</v>
      </c>
      <c r="M773" s="69" t="s">
        <v>19</v>
      </c>
      <c r="N773" s="69" t="s">
        <v>20</v>
      </c>
      <c r="O773" s="69" t="s">
        <v>21</v>
      </c>
      <c r="P773" s="4" t="s">
        <v>3036</v>
      </c>
      <c r="Q773" s="4" t="s">
        <v>3038</v>
      </c>
      <c r="R773" s="69" t="s">
        <v>22</v>
      </c>
      <c r="S773" s="69" t="s">
        <v>23</v>
      </c>
      <c r="T773" s="69" t="s">
        <v>22</v>
      </c>
      <c r="U773" s="69" t="s">
        <v>24</v>
      </c>
      <c r="V773" s="69" t="s">
        <v>25</v>
      </c>
      <c r="W773" s="69" t="s">
        <v>26</v>
      </c>
      <c r="X773" s="69" t="s">
        <v>27</v>
      </c>
      <c r="Y773" s="3" t="str">
        <f>複数商品!AK4</f>
        <v>【商品①】全長：cm　最大幅：cm ×&lt;BR&gt;【商品②】全長：cm　最大幅：cm ×&lt;BR&gt;【商品③】全長：cm　最大幅：cm ×&lt;BR&gt;【商品④】全長：cm　最大幅：cm ×&lt;BR&gt;</v>
      </c>
      <c r="Z773" s="69" t="s">
        <v>29</v>
      </c>
      <c r="AA773" s="4"/>
      <c r="AB773" s="4"/>
      <c r="AC773" s="4"/>
      <c r="AD773" s="70"/>
      <c r="AE773" s="70">
        <f>複数商品!AQ4</f>
        <v>1000</v>
      </c>
      <c r="AF773" s="70" t="str">
        <f>複数商品!AD4</f>
        <v>通常</v>
      </c>
      <c r="AG773" s="70">
        <v>0</v>
      </c>
      <c r="AH773" s="9">
        <f>複数商品!AO4</f>
        <v>0</v>
      </c>
      <c r="AI773">
        <v>1</v>
      </c>
      <c r="AJ773" t="str">
        <f>複数商品!AG4</f>
        <v>SOYOUS ソユーズ</v>
      </c>
    </row>
    <row r="774" spans="1:36" ht="13.5" customHeight="1">
      <c r="A774" s="3">
        <v>2084006429</v>
      </c>
      <c r="B774" s="68">
        <f>IF(複数商品!B5="","",複数商品!B5)</f>
        <v>1212020007863</v>
      </c>
      <c r="C774" s="68" t="str">
        <f>IF(複数商品!C5="","",複数商品!C5)</f>
        <v>◇ 《 mezzo piano メゾピアノピアノ 総柄、ワッペンあり サンバイザー、キャスケット キッズ 》 E 1212020007863</v>
      </c>
      <c r="D774" s="3" t="str">
        <f>複数商品!E5</f>
        <v>無</v>
      </c>
      <c r="E774" s="68" t="str">
        <f>IF(複数商品!AM5="","",複数商品!AM5)</f>
        <v>ベースM/9</v>
      </c>
      <c r="F774" s="68">
        <f>IF(複数商品!G5="","",複数商品!G5)</f>
        <v>3</v>
      </c>
      <c r="G774" s="68" t="str">
        <f>IF(複数商品!H5="","",複数商品!H5)</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74" s="68" t="str">
        <f>IF(複数商品!I5="","",複数商品!I5)</f>
        <v/>
      </c>
      <c r="I774" s="68" t="str">
        <f>IF(複数商品!J5="","",複数商品!J5)</f>
        <v>まとめ売り商品の為、各季節、異なる素材の商品が混合しております。予めご注意願います。</v>
      </c>
      <c r="J774" s="68" t="str">
        <f>IF(複数商品!K5="","",複数商品!K5)</f>
        <v>まとめ売り商品の為、複数の色の商品が混合しております。予め注意願います。</v>
      </c>
      <c r="K774" s="68" t="str">
        <f>IF(複数商品!L5="","",複数商品!L5)</f>
        <v>まとめ売り商品の為、複数のサイズが混合しております。カテゴリのサイズは確実なものではありません。予めご注意願います。</v>
      </c>
      <c r="L774" s="69" t="s">
        <v>80</v>
      </c>
      <c r="M774" s="69" t="s">
        <v>19</v>
      </c>
      <c r="N774" s="69" t="s">
        <v>20</v>
      </c>
      <c r="O774" s="69" t="s">
        <v>21</v>
      </c>
      <c r="P774" s="4" t="s">
        <v>3036</v>
      </c>
      <c r="Q774" s="4" t="s">
        <v>3038</v>
      </c>
      <c r="R774" s="69" t="s">
        <v>22</v>
      </c>
      <c r="S774" s="69" t="s">
        <v>23</v>
      </c>
      <c r="T774" s="69" t="s">
        <v>22</v>
      </c>
      <c r="U774" s="69" t="s">
        <v>24</v>
      </c>
      <c r="V774" s="69" t="s">
        <v>25</v>
      </c>
      <c r="W774" s="69" t="s">
        <v>26</v>
      </c>
      <c r="X774" s="69" t="s">
        <v>27</v>
      </c>
      <c r="Y774" s="3" t="str">
        <f>複数商品!AK5</f>
        <v>【商品①】全長：cm　最大幅：cm ×&lt;BR&gt;【商品②】全長：cm　最大幅：cm ×&lt;BR&gt;【商品③】全長：cm　最大幅：cm ×&lt;BR&gt;【商品④】全長：cm　最大幅：cm ×&lt;BR&gt;</v>
      </c>
      <c r="Z774" s="69" t="s">
        <v>29</v>
      </c>
      <c r="AA774" s="4"/>
      <c r="AB774" s="4"/>
      <c r="AC774" s="4"/>
      <c r="AD774" s="70"/>
      <c r="AE774" s="70">
        <f>複数商品!AQ5</f>
        <v>1000</v>
      </c>
      <c r="AF774" s="70" t="str">
        <f>複数商品!AD5</f>
        <v>通常</v>
      </c>
      <c r="AG774" s="70">
        <v>0</v>
      </c>
      <c r="AH774" s="9">
        <f>複数商品!AO5</f>
        <v>0</v>
      </c>
      <c r="AI774">
        <v>1</v>
      </c>
      <c r="AJ774" t="str">
        <f>複数商品!AG5</f>
        <v>mezzo piano メゾピアノピアノ</v>
      </c>
    </row>
    <row r="775" spans="1:36" ht="13.5" customHeight="1">
      <c r="A775" s="3">
        <v>2084047537</v>
      </c>
      <c r="B775" s="68">
        <f>IF(複数商品!B6="","",複数商品!B6)</f>
        <v>1212020007757</v>
      </c>
      <c r="C775" s="68" t="str">
        <f>IF(複数商品!C6="","",複数商品!C6)</f>
        <v>◇ 《 Heather ヘザー デニム。ストレッチ素材 オーバーオール レディース 》 E 1212020007757</v>
      </c>
      <c r="D775" s="3" t="str">
        <f>複数商品!E6</f>
        <v>無</v>
      </c>
      <c r="E775" s="68" t="str">
        <f>IF(複数商品!AM6="","",複数商品!AM6)</f>
        <v>ベースM/9</v>
      </c>
      <c r="F775" s="68">
        <f>IF(複数商品!G6="","",複数商品!G6)</f>
        <v>3</v>
      </c>
      <c r="G775" s="68" t="str">
        <f>IF(複数商品!H6="","",複数商品!H6)</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75" s="68" t="str">
        <f>IF(複数商品!I6="","",複数商品!I6)</f>
        <v/>
      </c>
      <c r="I775" s="68" t="str">
        <f>IF(複数商品!J6="","",複数商品!J6)</f>
        <v>まとめ売り商品の為、各季節、異なる素材の商品が混合しております。予めご注意願います。</v>
      </c>
      <c r="J775" s="68" t="str">
        <f>IF(複数商品!K6="","",複数商品!K6)</f>
        <v>まとめ売り商品の為、複数の色の商品が混合しております。予め注意願います。</v>
      </c>
      <c r="K775" s="68" t="str">
        <f>IF(複数商品!L6="","",複数商品!L6)</f>
        <v>まとめ売り商品の為、複数のサイズが混合しております。カテゴリのサイズは確実なものではありません。予めご注意願います。</v>
      </c>
      <c r="L775" s="69" t="s">
        <v>80</v>
      </c>
      <c r="M775" s="69" t="s">
        <v>19</v>
      </c>
      <c r="N775" s="69" t="s">
        <v>20</v>
      </c>
      <c r="O775" s="69" t="s">
        <v>21</v>
      </c>
      <c r="P775" s="4" t="s">
        <v>3036</v>
      </c>
      <c r="Q775" s="4" t="s">
        <v>3038</v>
      </c>
      <c r="R775" s="69" t="s">
        <v>22</v>
      </c>
      <c r="S775" s="69" t="s">
        <v>23</v>
      </c>
      <c r="T775" s="69" t="s">
        <v>22</v>
      </c>
      <c r="U775" s="69" t="s">
        <v>24</v>
      </c>
      <c r="V775" s="69" t="s">
        <v>25</v>
      </c>
      <c r="W775" s="69" t="s">
        <v>26</v>
      </c>
      <c r="X775" s="69" t="s">
        <v>27</v>
      </c>
      <c r="Y775" s="3" t="str">
        <f>複数商品!AK6</f>
        <v>【商品①】全長：cm　最大幅：cm ×&lt;BR&gt;【商品②】全長：cm　最大幅：cm ×&lt;BR&gt;【商品③】全長：cm　最大幅：cm ×&lt;BR&gt;【商品④】全長：cm　最大幅：cm ×&lt;BR&gt;</v>
      </c>
      <c r="Z775" s="69" t="s">
        <v>29</v>
      </c>
      <c r="AA775" s="4"/>
      <c r="AB775" s="4"/>
      <c r="AC775" s="4"/>
      <c r="AD775" s="70"/>
      <c r="AE775" s="70">
        <f>複数商品!AQ6</f>
        <v>1000</v>
      </c>
      <c r="AF775" s="70" t="str">
        <f>複数商品!AD6</f>
        <v>通常</v>
      </c>
      <c r="AG775" s="70">
        <v>0</v>
      </c>
      <c r="AH775" s="9">
        <f>複数商品!AO6</f>
        <v>0</v>
      </c>
      <c r="AI775">
        <v>1</v>
      </c>
      <c r="AJ775" t="str">
        <f>複数商品!AG6</f>
        <v>Heather ヘザー</v>
      </c>
    </row>
    <row r="776" spans="1:36" ht="13.5" customHeight="1">
      <c r="A776" s="3">
        <v>2084064247</v>
      </c>
      <c r="B776" s="68">
        <f>IF(複数商品!B7="","",複数商品!B7)</f>
        <v>1212020007634</v>
      </c>
      <c r="C776" s="68" t="str">
        <f>IF(複数商品!C7="","",複数商品!C7)</f>
        <v>◇ 《 furryrate ファーリーレート クルーネック、裾リブ ニット レディース 》 E 1212020007634</v>
      </c>
      <c r="D776" s="3" t="str">
        <f>複数商品!E7</f>
        <v>無</v>
      </c>
      <c r="E776" s="68" t="str">
        <f>IF(複数商品!AM7="","",複数商品!AM7)</f>
        <v>ベースM/9</v>
      </c>
      <c r="F776" s="68">
        <f>IF(複数商品!G7="","",複数商品!G7)</f>
        <v>3</v>
      </c>
      <c r="G776" s="68" t="str">
        <f>IF(複数商品!H7="","",複数商品!H7)</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76" s="68" t="str">
        <f>IF(複数商品!I7="","",複数商品!I7)</f>
        <v/>
      </c>
      <c r="I776" s="68" t="str">
        <f>IF(複数商品!J7="","",複数商品!J7)</f>
        <v>まとめ売り商品の為、各季節、異なる素材の商品が混合しております。予めご注意願います。</v>
      </c>
      <c r="J776" s="68" t="str">
        <f>IF(複数商品!K7="","",複数商品!K7)</f>
        <v>まとめ売り商品の為、複数の色の商品が混合しております。予め注意願います。</v>
      </c>
      <c r="K776" s="68" t="str">
        <f>IF(複数商品!L7="","",複数商品!L7)</f>
        <v>まとめ売り商品の為、複数のサイズが混合しております。カテゴリのサイズは確実なものではありません。予めご注意願います。</v>
      </c>
      <c r="L776" s="69" t="s">
        <v>80</v>
      </c>
      <c r="M776" s="69" t="s">
        <v>19</v>
      </c>
      <c r="N776" s="69" t="s">
        <v>20</v>
      </c>
      <c r="O776" s="69" t="s">
        <v>21</v>
      </c>
      <c r="P776" s="4" t="s">
        <v>3036</v>
      </c>
      <c r="Q776" s="4" t="s">
        <v>3038</v>
      </c>
      <c r="R776" s="69" t="s">
        <v>22</v>
      </c>
      <c r="S776" s="69" t="s">
        <v>23</v>
      </c>
      <c r="T776" s="69" t="s">
        <v>22</v>
      </c>
      <c r="U776" s="69" t="s">
        <v>24</v>
      </c>
      <c r="V776" s="69" t="s">
        <v>25</v>
      </c>
      <c r="W776" s="69" t="s">
        <v>26</v>
      </c>
      <c r="X776" s="69" t="s">
        <v>27</v>
      </c>
      <c r="Y776" s="3" t="str">
        <f>複数商品!AK7</f>
        <v>【商品①】全長：cm　最大幅：cm ×&lt;BR&gt;【商品②】全長：cm　最大幅：cm ×&lt;BR&gt;【商品③】全長：cm　最大幅：cm ×&lt;BR&gt;【商品④】全長：cm　最大幅：cm ×&lt;BR&gt;</v>
      </c>
      <c r="Z776" s="69" t="s">
        <v>29</v>
      </c>
      <c r="AA776" s="4"/>
      <c r="AB776" s="4"/>
      <c r="AC776" s="4"/>
      <c r="AD776" s="70"/>
      <c r="AE776" s="70">
        <f>複数商品!AQ7</f>
        <v>1000</v>
      </c>
      <c r="AF776" s="70" t="str">
        <f>複数商品!AD7</f>
        <v>通常</v>
      </c>
      <c r="AG776" s="70">
        <v>0</v>
      </c>
      <c r="AH776" s="9">
        <f>複数商品!AO7</f>
        <v>0</v>
      </c>
      <c r="AI776">
        <v>1</v>
      </c>
      <c r="AJ776" t="str">
        <f>複数商品!AG7</f>
        <v>furryrate ファーリーレート</v>
      </c>
    </row>
    <row r="777" spans="1:36" ht="13.5" customHeight="1">
      <c r="A777" s="3">
        <v>2084064247</v>
      </c>
      <c r="B777" s="68">
        <f>IF(複数商品!B8="","",複数商品!B8)</f>
        <v>1212020007580</v>
      </c>
      <c r="C777" s="68" t="str">
        <f>IF(複数商品!C8="","",複数商品!C8)</f>
        <v>◇ 《 RAY CASSIN レイカズン ボーダー リブニット レディース 》 E 1212020007580</v>
      </c>
      <c r="D777" s="3" t="str">
        <f>複数商品!E8</f>
        <v>無</v>
      </c>
      <c r="E777" s="68" t="str">
        <f>IF(複数商品!AM8="","",複数商品!AM8)</f>
        <v>ベースM/9</v>
      </c>
      <c r="F777" s="68">
        <f>IF(複数商品!G8="","",複数商品!G8)</f>
        <v>3</v>
      </c>
      <c r="G777" s="68" t="str">
        <f>IF(複数商品!H8="","",複数商品!H8)</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77" s="68" t="str">
        <f>IF(複数商品!I8="","",複数商品!I8)</f>
        <v/>
      </c>
      <c r="I777" s="68" t="str">
        <f>IF(複数商品!J8="","",複数商品!J8)</f>
        <v>まとめ売り商品の為、各季節、異なる素材の商品が混合しております。予めご注意願います。</v>
      </c>
      <c r="J777" s="68" t="str">
        <f>IF(複数商品!K8="","",複数商品!K8)</f>
        <v>まとめ売り商品の為、複数の色の商品が混合しております。予め注意願います。</v>
      </c>
      <c r="K777" s="68" t="str">
        <f>IF(複数商品!L8="","",複数商品!L8)</f>
        <v>まとめ売り商品の為、複数のサイズが混合しております。カテゴリのサイズは確実なものではありません。予めご注意願います。</v>
      </c>
      <c r="L777" s="69" t="s">
        <v>80</v>
      </c>
      <c r="M777" s="69" t="s">
        <v>19</v>
      </c>
      <c r="N777" s="69" t="s">
        <v>20</v>
      </c>
      <c r="O777" s="69" t="s">
        <v>21</v>
      </c>
      <c r="P777" s="4" t="s">
        <v>3036</v>
      </c>
      <c r="Q777" s="4" t="s">
        <v>3038</v>
      </c>
      <c r="R777" s="69" t="s">
        <v>22</v>
      </c>
      <c r="S777" s="69" t="s">
        <v>23</v>
      </c>
      <c r="T777" s="69" t="s">
        <v>22</v>
      </c>
      <c r="U777" s="69" t="s">
        <v>24</v>
      </c>
      <c r="V777" s="69" t="s">
        <v>25</v>
      </c>
      <c r="W777" s="69" t="s">
        <v>26</v>
      </c>
      <c r="X777" s="69" t="s">
        <v>27</v>
      </c>
      <c r="Y777" s="3" t="str">
        <f>複数商品!AK8</f>
        <v>【商品①】全長：cm　最大幅：cm ×&lt;BR&gt;【商品②】全長：cm　最大幅：cm ×&lt;BR&gt;【商品③】全長：cm　最大幅：cm ×&lt;BR&gt;【商品④】全長：cm　最大幅：cm ×&lt;BR&gt;</v>
      </c>
      <c r="Z777" s="69" t="s">
        <v>29</v>
      </c>
      <c r="AA777" s="4"/>
      <c r="AB777" s="4"/>
      <c r="AC777" s="4"/>
      <c r="AD777" s="70"/>
      <c r="AE777" s="70">
        <f>複数商品!AQ8</f>
        <v>1000</v>
      </c>
      <c r="AF777" s="70" t="str">
        <f>複数商品!AD8</f>
        <v>通常</v>
      </c>
      <c r="AG777" s="70">
        <v>0</v>
      </c>
      <c r="AH777" s="9">
        <f>複数商品!AO8</f>
        <v>0</v>
      </c>
      <c r="AI777">
        <v>1</v>
      </c>
      <c r="AJ777" t="str">
        <f>複数商品!AG8</f>
        <v>RAY CASSIN レイカズン</v>
      </c>
    </row>
    <row r="778" spans="1:36" ht="13.5" hidden="1" customHeight="1">
      <c r="A778" s="3" t="str">
        <f>IF(複数商品!A9="","",複数商品!A9)</f>
        <v/>
      </c>
      <c r="B778" s="68" t="str">
        <f>IF(複数商品!B9="","",複数商品!B9)</f>
        <v/>
      </c>
      <c r="C778" s="68" t="str">
        <f>IF(複数商品!C9="","",複数商品!C9)</f>
        <v>◇ 《 》 E</v>
      </c>
      <c r="D778" s="3" t="str">
        <f>複数商品!E9</f>
        <v>無</v>
      </c>
      <c r="E778" s="68" t="str">
        <f>IF(複数商品!AM9="","",複数商品!AM9)</f>
        <v>ベースM</v>
      </c>
      <c r="F778" s="68">
        <f>IF(複数商品!G9="","",複数商品!G9)</f>
        <v>3</v>
      </c>
      <c r="G778" s="68" t="str">
        <f>IF(複数商品!H9="","",複数商品!H9)</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78" s="68" t="str">
        <f>IF(複数商品!I9="","",複数商品!I9)</f>
        <v/>
      </c>
      <c r="I778" s="68" t="str">
        <f>IF(複数商品!J9="","",複数商品!J9)</f>
        <v>まとめ売り商品の為、各季節、異なる素材の商品が混合しております。予めご注意願います。</v>
      </c>
      <c r="J778" s="68" t="str">
        <f>IF(複数商品!K9="","",複数商品!K9)</f>
        <v>まとめ売り商品の為、複数の色の商品が混合しております。予め注意願います。</v>
      </c>
      <c r="K778" s="68" t="str">
        <f>IF(複数商品!L9="","",複数商品!L9)</f>
        <v>まとめ売り商品の為、複数のサイズが混合しております。カテゴリのサイズは確実なものではありません。予めご注意願います。</v>
      </c>
      <c r="L778" s="69" t="s">
        <v>80</v>
      </c>
      <c r="M778" s="69" t="s">
        <v>19</v>
      </c>
      <c r="N778" s="69" t="s">
        <v>20</v>
      </c>
      <c r="O778" s="69" t="s">
        <v>21</v>
      </c>
      <c r="P778" s="4" t="s">
        <v>3036</v>
      </c>
      <c r="Q778" s="4" t="s">
        <v>3038</v>
      </c>
      <c r="R778" s="69" t="s">
        <v>22</v>
      </c>
      <c r="S778" s="69" t="s">
        <v>23</v>
      </c>
      <c r="T778" s="69" t="s">
        <v>22</v>
      </c>
      <c r="U778" s="69" t="s">
        <v>24</v>
      </c>
      <c r="V778" s="69" t="s">
        <v>25</v>
      </c>
      <c r="W778" s="69" t="s">
        <v>26</v>
      </c>
      <c r="X778" s="69" t="s">
        <v>27</v>
      </c>
      <c r="Y778" s="3" t="str">
        <f>複数商品!AK9</f>
        <v>【商品①】全長：cm　最大幅：cm ×&lt;BR&gt;【商品②】全長：cm　最大幅：cm ×&lt;BR&gt;【商品③】全長：cm　最大幅：cm ×&lt;BR&gt;【商品④】全長：cm　最大幅：cm ×&lt;BR&gt;</v>
      </c>
      <c r="Z778" s="69" t="s">
        <v>29</v>
      </c>
      <c r="AA778" s="4"/>
      <c r="AB778" s="4"/>
      <c r="AC778" s="4"/>
      <c r="AD778" s="70"/>
      <c r="AE778" s="70">
        <f>複数商品!AQ9</f>
        <v>0</v>
      </c>
      <c r="AF778" s="70" t="str">
        <f>複数商品!AD9</f>
        <v>通常</v>
      </c>
      <c r="AG778" s="70">
        <v>0</v>
      </c>
      <c r="AH778" s="9">
        <f>複数商品!AO9</f>
        <v>0</v>
      </c>
      <c r="AI778">
        <v>1</v>
      </c>
      <c r="AJ778">
        <f>複数商品!AG9</f>
        <v>0</v>
      </c>
    </row>
    <row r="779" spans="1:36" ht="13.5" hidden="1" customHeight="1">
      <c r="A779" s="3" t="str">
        <f>IF(複数商品!A10="","",複数商品!A10)</f>
        <v/>
      </c>
      <c r="B779" s="68" t="str">
        <f>IF(複数商品!B10="","",複数商品!B10)</f>
        <v/>
      </c>
      <c r="C779" s="68" t="str">
        <f>IF(複数商品!C10="","",複数商品!C10)</f>
        <v>◇ 《 》 E</v>
      </c>
      <c r="D779" s="3" t="str">
        <f>複数商品!E10</f>
        <v>無</v>
      </c>
      <c r="E779" s="68" t="str">
        <f>IF(複数商品!AM10="","",複数商品!AM10)</f>
        <v>ベースM</v>
      </c>
      <c r="F779" s="68">
        <f>IF(複数商品!G10="","",複数商品!G10)</f>
        <v>3</v>
      </c>
      <c r="G779" s="68" t="str">
        <f>IF(複数商品!H10="","",複数商品!H10)</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79" s="68" t="str">
        <f>IF(複数商品!I10="","",複数商品!I10)</f>
        <v/>
      </c>
      <c r="I779" s="68" t="str">
        <f>IF(複数商品!J10="","",複数商品!J10)</f>
        <v>まとめ売り商品の為、各季節、異なる素材の商品が混合しております。予めご注意願います。</v>
      </c>
      <c r="J779" s="68" t="str">
        <f>IF(複数商品!K10="","",複数商品!K10)</f>
        <v>まとめ売り商品の為、複数の色の商品が混合しております。予め注意願います。</v>
      </c>
      <c r="K779" s="68" t="str">
        <f>IF(複数商品!L10="","",複数商品!L10)</f>
        <v>まとめ売り商品の為、複数のサイズが混合しております。カテゴリのサイズは確実なものではありません。予めご注意願います。</v>
      </c>
      <c r="L779" s="69" t="s">
        <v>80</v>
      </c>
      <c r="M779" s="69" t="s">
        <v>19</v>
      </c>
      <c r="N779" s="69" t="s">
        <v>20</v>
      </c>
      <c r="O779" s="69" t="s">
        <v>21</v>
      </c>
      <c r="P779" s="4" t="s">
        <v>3036</v>
      </c>
      <c r="Q779" s="4" t="s">
        <v>3038</v>
      </c>
      <c r="R779" s="69" t="s">
        <v>22</v>
      </c>
      <c r="S779" s="69" t="s">
        <v>23</v>
      </c>
      <c r="T779" s="69" t="s">
        <v>22</v>
      </c>
      <c r="U779" s="69" t="s">
        <v>24</v>
      </c>
      <c r="V779" s="69" t="s">
        <v>25</v>
      </c>
      <c r="W779" s="69" t="s">
        <v>26</v>
      </c>
      <c r="X779" s="69" t="s">
        <v>27</v>
      </c>
      <c r="Y779" s="3" t="str">
        <f>複数商品!AK10</f>
        <v>【商品①】全長：cm　最大幅：cm ×&lt;BR&gt;【商品②】全長：cm　最大幅：cm ×&lt;BR&gt;【商品③】全長：cm　最大幅：cm ×&lt;BR&gt;【商品④】全長：cm　最大幅：cm ×&lt;BR&gt;</v>
      </c>
      <c r="Z779" s="69" t="s">
        <v>29</v>
      </c>
      <c r="AA779" s="4"/>
      <c r="AB779" s="4"/>
      <c r="AC779" s="4"/>
      <c r="AD779" s="70"/>
      <c r="AE779" s="70">
        <f>複数商品!AQ10</f>
        <v>0</v>
      </c>
      <c r="AF779" s="70" t="str">
        <f>複数商品!AD10</f>
        <v>通常</v>
      </c>
      <c r="AG779" s="70">
        <v>0</v>
      </c>
      <c r="AH779" s="9">
        <f>複数商品!AO10</f>
        <v>0</v>
      </c>
      <c r="AI779">
        <v>1</v>
      </c>
      <c r="AJ779">
        <f>複数商品!AG10</f>
        <v>0</v>
      </c>
    </row>
    <row r="780" spans="1:36" hidden="1">
      <c r="A780" s="3" t="str">
        <f>IF(複数商品!A11="","",複数商品!A11)</f>
        <v/>
      </c>
      <c r="B780" s="68" t="str">
        <f>IF(複数商品!B11="","",複数商品!B11)</f>
        <v/>
      </c>
      <c r="C780" s="68" t="str">
        <f>IF(複数商品!C11="","",複数商品!C11)</f>
        <v>◇ 《 》 E</v>
      </c>
      <c r="D780" s="3" t="str">
        <f>複数商品!E11</f>
        <v>無</v>
      </c>
      <c r="E780" s="68" t="str">
        <f>IF(複数商品!AM11="","",複数商品!AM11)</f>
        <v>ベースM</v>
      </c>
      <c r="F780" s="68">
        <f>IF(複数商品!G11="","",複数商品!G11)</f>
        <v>3</v>
      </c>
      <c r="G780" s="68" t="str">
        <f>IF(複数商品!H11="","",複数商品!H11)</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80" s="68" t="str">
        <f>IF(複数商品!I11="","",複数商品!I11)</f>
        <v/>
      </c>
      <c r="I780" s="68" t="str">
        <f>IF(複数商品!J11="","",複数商品!J11)</f>
        <v>まとめ売り商品の為、各季節、異なる素材の商品が混合しております。予めご注意願います。</v>
      </c>
      <c r="J780" s="68" t="str">
        <f>IF(複数商品!K11="","",複数商品!K11)</f>
        <v>まとめ売り商品の為、複数の色の商品が混合しております。予め注意願います。</v>
      </c>
      <c r="K780" s="68" t="str">
        <f>IF(複数商品!L11="","",複数商品!L11)</f>
        <v>まとめ売り商品の為、複数のサイズが混合しております。カテゴリのサイズは確実なものではありません。予めご注意願います。</v>
      </c>
      <c r="L780" s="69" t="s">
        <v>80</v>
      </c>
      <c r="M780" s="69" t="s">
        <v>19</v>
      </c>
      <c r="N780" s="69" t="s">
        <v>20</v>
      </c>
      <c r="O780" s="69" t="s">
        <v>21</v>
      </c>
      <c r="P780" s="4" t="s">
        <v>3036</v>
      </c>
      <c r="Q780" s="4" t="s">
        <v>3038</v>
      </c>
      <c r="R780" s="69" t="s">
        <v>22</v>
      </c>
      <c r="S780" s="69" t="s">
        <v>23</v>
      </c>
      <c r="T780" s="69" t="s">
        <v>22</v>
      </c>
      <c r="U780" s="69" t="s">
        <v>24</v>
      </c>
      <c r="V780" s="69" t="s">
        <v>25</v>
      </c>
      <c r="W780" s="69" t="s">
        <v>26</v>
      </c>
      <c r="X780" s="69" t="s">
        <v>27</v>
      </c>
      <c r="Y780" s="3" t="str">
        <f>複数商品!AK11</f>
        <v>【商品①】全長：cm　最大幅：cm ×&lt;BR&gt;【商品②】全長：cm　最大幅：cm ×&lt;BR&gt;【商品③】全長：cm　最大幅：cm ×&lt;BR&gt;【商品④】全長：cm　最大幅：cm ×&lt;BR&gt;</v>
      </c>
      <c r="Z780" s="69" t="s">
        <v>29</v>
      </c>
      <c r="AA780" s="4"/>
      <c r="AB780" s="4"/>
      <c r="AC780" s="4"/>
      <c r="AD780" s="70"/>
      <c r="AE780" s="70">
        <f>複数商品!AQ11</f>
        <v>0</v>
      </c>
      <c r="AF780" s="70" t="str">
        <f>複数商品!AD11</f>
        <v>通常</v>
      </c>
      <c r="AG780" s="70">
        <v>0</v>
      </c>
      <c r="AH780" s="9">
        <f>複数商品!AO11</f>
        <v>0</v>
      </c>
      <c r="AI780">
        <v>1</v>
      </c>
      <c r="AJ780">
        <f>複数商品!AG11</f>
        <v>0</v>
      </c>
    </row>
    <row r="781" spans="1:36" hidden="1">
      <c r="A781" s="3" t="str">
        <f>IF(複数商品!A12="","",複数商品!A12)</f>
        <v/>
      </c>
      <c r="B781" s="68" t="str">
        <f>IF(複数商品!B12="","",複数商品!B12)</f>
        <v/>
      </c>
      <c r="C781" s="68" t="str">
        <f>IF(複数商品!C12="","",複数商品!C12)</f>
        <v>◇ 《 》 E</v>
      </c>
      <c r="D781" s="3" t="str">
        <f>複数商品!E12</f>
        <v>無</v>
      </c>
      <c r="E781" s="68" t="str">
        <f>IF(複数商品!AM12="","",複数商品!AM12)</f>
        <v>ベースM</v>
      </c>
      <c r="F781" s="68">
        <f>IF(複数商品!G12="","",複数商品!G12)</f>
        <v>3</v>
      </c>
      <c r="G781" s="68" t="str">
        <f>IF(複数商品!H12="","",複数商品!H12)</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81" s="68" t="str">
        <f>IF(複数商品!I12="","",複数商品!I12)</f>
        <v/>
      </c>
      <c r="I781" s="68" t="str">
        <f>IF(複数商品!J12="","",複数商品!J12)</f>
        <v>まとめ売り商品の為、各季節、異なる素材の商品が混合しております。予めご注意願います。</v>
      </c>
      <c r="J781" s="68" t="str">
        <f>IF(複数商品!K12="","",複数商品!K12)</f>
        <v>まとめ売り商品の為、複数の色の商品が混合しております。予め注意願います。</v>
      </c>
      <c r="K781" s="68" t="str">
        <f>IF(複数商品!L12="","",複数商品!L12)</f>
        <v>まとめ売り商品の為、複数のサイズが混合しております。カテゴリのサイズは確実なものではありません。予めご注意願います。</v>
      </c>
      <c r="L781" s="69" t="s">
        <v>80</v>
      </c>
      <c r="M781" s="69" t="s">
        <v>19</v>
      </c>
      <c r="N781" s="69" t="s">
        <v>20</v>
      </c>
      <c r="O781" s="69" t="s">
        <v>21</v>
      </c>
      <c r="P781" s="4" t="s">
        <v>3036</v>
      </c>
      <c r="Q781" s="4" t="s">
        <v>3038</v>
      </c>
      <c r="R781" s="69" t="s">
        <v>22</v>
      </c>
      <c r="S781" s="69" t="s">
        <v>23</v>
      </c>
      <c r="T781" s="69" t="s">
        <v>22</v>
      </c>
      <c r="U781" s="69" t="s">
        <v>24</v>
      </c>
      <c r="V781" s="69" t="s">
        <v>25</v>
      </c>
      <c r="W781" s="69" t="s">
        <v>26</v>
      </c>
      <c r="X781" s="69" t="s">
        <v>27</v>
      </c>
      <c r="Y781" s="3" t="str">
        <f>複数商品!AK12</f>
        <v>【商品①】全長：cm　最大幅：cm ×&lt;BR&gt;【商品②】全長：cm　最大幅：cm ×&lt;BR&gt;【商品③】全長：cm　最大幅：cm ×&lt;BR&gt;【商品④】全長：cm　最大幅：cm ×&lt;BR&gt;</v>
      </c>
      <c r="Z781" s="69" t="s">
        <v>29</v>
      </c>
      <c r="AA781" s="4"/>
      <c r="AB781" s="4"/>
      <c r="AC781" s="4"/>
      <c r="AD781" s="70"/>
      <c r="AE781" s="70">
        <f>複数商品!AQ12</f>
        <v>0</v>
      </c>
      <c r="AF781" s="70" t="str">
        <f>複数商品!AD12</f>
        <v>通常</v>
      </c>
      <c r="AG781" s="70">
        <v>0</v>
      </c>
      <c r="AH781" s="9">
        <f>複数商品!AO12</f>
        <v>0</v>
      </c>
      <c r="AI781">
        <v>1</v>
      </c>
      <c r="AJ781">
        <f>複数商品!AG12</f>
        <v>0</v>
      </c>
    </row>
    <row r="782" spans="1:36" hidden="1">
      <c r="A782" s="3" t="str">
        <f>IF(複数商品!A13="","",複数商品!A13)</f>
        <v/>
      </c>
      <c r="B782" s="68" t="str">
        <f>IF(複数商品!B13="","",複数商品!B13)</f>
        <v/>
      </c>
      <c r="C782" s="68" t="str">
        <f>IF(複数商品!C13="","",複数商品!C13)</f>
        <v>◇ 《 》 E</v>
      </c>
      <c r="D782" s="3" t="str">
        <f>複数商品!E13</f>
        <v>無</v>
      </c>
      <c r="E782" s="68" t="str">
        <f>IF(複数商品!AM13="","",複数商品!AM13)</f>
        <v>ベースM</v>
      </c>
      <c r="F782" s="68">
        <f>IF(複数商品!G13="","",複数商品!G13)</f>
        <v>3</v>
      </c>
      <c r="G782" s="68" t="str">
        <f>IF(複数商品!H13="","",複数商品!H13)</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82" s="68" t="str">
        <f>IF(複数商品!I13="","",複数商品!I13)</f>
        <v/>
      </c>
      <c r="I782" s="68" t="str">
        <f>IF(複数商品!J13="","",複数商品!J13)</f>
        <v>まとめ売り商品の為、各季節、異なる素材の商品が混合しております。予めご注意願います。</v>
      </c>
      <c r="J782" s="68" t="str">
        <f>IF(複数商品!K13="","",複数商品!K13)</f>
        <v>まとめ売り商品の為、複数の色の商品が混合しております。予め注意願います。</v>
      </c>
      <c r="K782" s="68" t="str">
        <f>IF(複数商品!L13="","",複数商品!L13)</f>
        <v>まとめ売り商品の為、複数のサイズが混合しております。カテゴリのサイズは確実なものではありません。予めご注意願います。</v>
      </c>
      <c r="L782" s="69" t="s">
        <v>80</v>
      </c>
      <c r="M782" s="69" t="s">
        <v>19</v>
      </c>
      <c r="N782" s="69" t="s">
        <v>20</v>
      </c>
      <c r="O782" s="69" t="s">
        <v>21</v>
      </c>
      <c r="P782" s="4" t="s">
        <v>3036</v>
      </c>
      <c r="Q782" s="4" t="s">
        <v>3038</v>
      </c>
      <c r="R782" s="69" t="s">
        <v>22</v>
      </c>
      <c r="S782" s="69" t="s">
        <v>23</v>
      </c>
      <c r="T782" s="69" t="s">
        <v>22</v>
      </c>
      <c r="U782" s="69" t="s">
        <v>24</v>
      </c>
      <c r="V782" s="69" t="s">
        <v>25</v>
      </c>
      <c r="W782" s="69" t="s">
        <v>26</v>
      </c>
      <c r="X782" s="69" t="s">
        <v>27</v>
      </c>
      <c r="Y782" s="3" t="str">
        <f>複数商品!AK13</f>
        <v>【商品①】全長：cm　最大幅：cm ×&lt;BR&gt;【商品②】全長：cm　最大幅：cm ×&lt;BR&gt;【商品③】全長：cm　最大幅：cm ×&lt;BR&gt;【商品④】全長：cm　最大幅：cm ×&lt;BR&gt;</v>
      </c>
      <c r="Z782" s="69" t="s">
        <v>29</v>
      </c>
      <c r="AA782" s="4"/>
      <c r="AB782" s="4"/>
      <c r="AC782" s="4"/>
      <c r="AD782" s="70"/>
      <c r="AE782" s="70">
        <f>複数商品!AQ13</f>
        <v>0</v>
      </c>
      <c r="AF782" s="70" t="str">
        <f>複数商品!AD13</f>
        <v>通常</v>
      </c>
      <c r="AG782" s="70">
        <v>0</v>
      </c>
      <c r="AH782" s="9">
        <f>複数商品!AO13</f>
        <v>0</v>
      </c>
      <c r="AI782">
        <v>1</v>
      </c>
      <c r="AJ782">
        <f>複数商品!AG13</f>
        <v>0</v>
      </c>
    </row>
    <row r="783" spans="1:36" hidden="1">
      <c r="A783" s="3" t="str">
        <f>IF(複数商品!A14="","",複数商品!A14)</f>
        <v/>
      </c>
      <c r="B783" s="68" t="str">
        <f>IF(複数商品!B14="","",複数商品!B14)</f>
        <v/>
      </c>
      <c r="C783" s="68" t="str">
        <f>IF(複数商品!C14="","",複数商品!C14)</f>
        <v>◇ 《 》 E</v>
      </c>
      <c r="D783" s="3" t="str">
        <f>複数商品!E14</f>
        <v>無</v>
      </c>
      <c r="E783" s="68" t="str">
        <f>IF(複数商品!AM14="","",複数商品!AM14)</f>
        <v>ベースM</v>
      </c>
      <c r="F783" s="68">
        <f>IF(複数商品!G14="","",複数商品!G14)</f>
        <v>3</v>
      </c>
      <c r="G783" s="68" t="str">
        <f>IF(複数商品!H14="","",複数商品!H14)</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83" s="68" t="str">
        <f>IF(複数商品!I14="","",複数商品!I14)</f>
        <v/>
      </c>
      <c r="I783" s="68" t="str">
        <f>IF(複数商品!J14="","",複数商品!J14)</f>
        <v>まとめ売り商品の為、各季節、異なる素材の商品が混合しております。予めご注意願います。</v>
      </c>
      <c r="J783" s="68" t="str">
        <f>IF(複数商品!K14="","",複数商品!K14)</f>
        <v>まとめ売り商品の為、複数の色の商品が混合しております。予め注意願います。</v>
      </c>
      <c r="K783" s="68" t="str">
        <f>IF(複数商品!L14="","",複数商品!L14)</f>
        <v>まとめ売り商品の為、複数のサイズが混合しております。カテゴリのサイズは確実なものではありません。予めご注意願います。</v>
      </c>
      <c r="L783" s="69" t="s">
        <v>80</v>
      </c>
      <c r="M783" s="69" t="s">
        <v>19</v>
      </c>
      <c r="N783" s="69" t="s">
        <v>20</v>
      </c>
      <c r="O783" s="69" t="s">
        <v>21</v>
      </c>
      <c r="P783" s="4" t="s">
        <v>3036</v>
      </c>
      <c r="Q783" s="4" t="s">
        <v>3038</v>
      </c>
      <c r="R783" s="69" t="s">
        <v>22</v>
      </c>
      <c r="S783" s="69" t="s">
        <v>23</v>
      </c>
      <c r="T783" s="69" t="s">
        <v>22</v>
      </c>
      <c r="U783" s="69" t="s">
        <v>24</v>
      </c>
      <c r="V783" s="69" t="s">
        <v>25</v>
      </c>
      <c r="W783" s="69" t="s">
        <v>26</v>
      </c>
      <c r="X783" s="69" t="s">
        <v>27</v>
      </c>
      <c r="Y783" s="3" t="str">
        <f>複数商品!AK14</f>
        <v>【商品①】全長：cm　最大幅：cm ×&lt;BR&gt;【商品②】全長：cm　最大幅：cm ×&lt;BR&gt;【商品③】全長：cm　最大幅：cm ×&lt;BR&gt;【商品④】全長：cm　最大幅：cm ×&lt;BR&gt;</v>
      </c>
      <c r="Z783" s="69" t="s">
        <v>29</v>
      </c>
      <c r="AA783" s="4"/>
      <c r="AB783" s="4"/>
      <c r="AC783" s="4"/>
      <c r="AD783" s="70"/>
      <c r="AE783" s="70">
        <f>複数商品!AQ14</f>
        <v>0</v>
      </c>
      <c r="AF783" s="70" t="str">
        <f>複数商品!AD14</f>
        <v>通常</v>
      </c>
      <c r="AG783" s="70">
        <v>0</v>
      </c>
      <c r="AH783" s="9">
        <f>複数商品!AO14</f>
        <v>0</v>
      </c>
      <c r="AI783">
        <v>1</v>
      </c>
      <c r="AJ783">
        <f>複数商品!AG14</f>
        <v>0</v>
      </c>
    </row>
    <row r="784" spans="1:36" hidden="1">
      <c r="A784" s="3" t="str">
        <f>IF(複数商品!A15="","",複数商品!A15)</f>
        <v/>
      </c>
      <c r="B784" s="68" t="str">
        <f>IF(複数商品!B15="","",複数商品!B15)</f>
        <v/>
      </c>
      <c r="C784" s="68" t="str">
        <f>IF(複数商品!C15="","",複数商品!C15)</f>
        <v>◇ 《 》 E</v>
      </c>
      <c r="D784" s="3" t="str">
        <f>複数商品!E15</f>
        <v>無</v>
      </c>
      <c r="E784" s="68" t="str">
        <f>IF(複数商品!AM15="","",複数商品!AM15)</f>
        <v>ベースM</v>
      </c>
      <c r="F784" s="68">
        <f>IF(複数商品!G15="","",複数商品!G15)</f>
        <v>3</v>
      </c>
      <c r="G784" s="68" t="str">
        <f>IF(複数商品!H15="","",複数商品!H15)</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84" s="68" t="str">
        <f>IF(複数商品!I15="","",複数商品!I15)</f>
        <v/>
      </c>
      <c r="I784" s="68" t="str">
        <f>IF(複数商品!J15="","",複数商品!J15)</f>
        <v>まとめ売り商品の為、各季節、異なる素材の商品が混合しております。予めご注意願います。</v>
      </c>
      <c r="J784" s="68" t="str">
        <f>IF(複数商品!K15="","",複数商品!K15)</f>
        <v>まとめ売り商品の為、複数の色の商品が混合しております。予め注意願います。</v>
      </c>
      <c r="K784" s="68" t="str">
        <f>IF(複数商品!L15="","",複数商品!L15)</f>
        <v>まとめ売り商品の為、複数のサイズが混合しております。カテゴリのサイズは確実なものではありません。予めご注意願います。</v>
      </c>
      <c r="L784" s="69" t="s">
        <v>80</v>
      </c>
      <c r="M784" s="69" t="s">
        <v>19</v>
      </c>
      <c r="N784" s="69" t="s">
        <v>20</v>
      </c>
      <c r="O784" s="69" t="s">
        <v>21</v>
      </c>
      <c r="P784" s="4" t="s">
        <v>3036</v>
      </c>
      <c r="Q784" s="4" t="s">
        <v>3038</v>
      </c>
      <c r="R784" s="69" t="s">
        <v>22</v>
      </c>
      <c r="S784" s="69" t="s">
        <v>23</v>
      </c>
      <c r="T784" s="69" t="s">
        <v>22</v>
      </c>
      <c r="U784" s="69" t="s">
        <v>24</v>
      </c>
      <c r="V784" s="69" t="s">
        <v>25</v>
      </c>
      <c r="W784" s="69" t="s">
        <v>26</v>
      </c>
      <c r="X784" s="69" t="s">
        <v>27</v>
      </c>
      <c r="Y784" s="3" t="str">
        <f>複数商品!AK15</f>
        <v>【商品①】全長：cm　最大幅：cm ×&lt;BR&gt;【商品②】全長：cm　最大幅：cm ×&lt;BR&gt;【商品③】全長：cm　最大幅：cm ×&lt;BR&gt;【商品④】全長：cm　最大幅：cm ×&lt;BR&gt;</v>
      </c>
      <c r="Z784" s="69" t="s">
        <v>29</v>
      </c>
      <c r="AA784" s="4"/>
      <c r="AB784" s="4"/>
      <c r="AC784" s="4"/>
      <c r="AD784" s="70"/>
      <c r="AE784" s="70">
        <f>複数商品!AQ15</f>
        <v>0</v>
      </c>
      <c r="AF784" s="70" t="str">
        <f>複数商品!AD15</f>
        <v>通常</v>
      </c>
      <c r="AG784" s="70">
        <v>0</v>
      </c>
      <c r="AH784" s="9">
        <f>複数商品!AO15</f>
        <v>0</v>
      </c>
      <c r="AI784">
        <v>1</v>
      </c>
      <c r="AJ784">
        <f>複数商品!AG15</f>
        <v>0</v>
      </c>
    </row>
    <row r="785" spans="1:36" hidden="1">
      <c r="A785" s="3" t="str">
        <f>IF(複数商品!A16="","",複数商品!A16)</f>
        <v/>
      </c>
      <c r="B785" s="68" t="str">
        <f>IF(複数商品!B16="","",複数商品!B16)</f>
        <v/>
      </c>
      <c r="C785" s="68" t="str">
        <f>IF(複数商品!C16="","",複数商品!C16)</f>
        <v>◇ 《 》 E</v>
      </c>
      <c r="D785" s="3" t="str">
        <f>複数商品!E16</f>
        <v>無</v>
      </c>
      <c r="E785" s="68" t="str">
        <f>IF(複数商品!AM16="","",複数商品!AM16)</f>
        <v>ベースM</v>
      </c>
      <c r="F785" s="68">
        <f>IF(複数商品!G16="","",複数商品!G16)</f>
        <v>3</v>
      </c>
      <c r="G785" s="68" t="str">
        <f>IF(複数商品!H16="","",複数商品!H16)</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85" s="68" t="str">
        <f>IF(複数商品!I16="","",複数商品!I16)</f>
        <v/>
      </c>
      <c r="I785" s="68" t="str">
        <f>IF(複数商品!J16="","",複数商品!J16)</f>
        <v>まとめ売り商品の為、各季節、異なる素材の商品が混合しております。予めご注意願います。</v>
      </c>
      <c r="J785" s="68" t="str">
        <f>IF(複数商品!K16="","",複数商品!K16)</f>
        <v>まとめ売り商品の為、複数の色の商品が混合しております。予め注意願います。</v>
      </c>
      <c r="K785" s="68" t="str">
        <f>IF(複数商品!L16="","",複数商品!L16)</f>
        <v>まとめ売り商品の為、複数のサイズが混合しております。カテゴリのサイズは確実なものではありません。予めご注意願います。</v>
      </c>
      <c r="L785" s="69" t="s">
        <v>80</v>
      </c>
      <c r="M785" s="69" t="s">
        <v>19</v>
      </c>
      <c r="N785" s="69" t="s">
        <v>20</v>
      </c>
      <c r="O785" s="69" t="s">
        <v>21</v>
      </c>
      <c r="P785" s="4" t="s">
        <v>3036</v>
      </c>
      <c r="Q785" s="4" t="s">
        <v>3038</v>
      </c>
      <c r="R785" s="69" t="s">
        <v>22</v>
      </c>
      <c r="S785" s="69" t="s">
        <v>23</v>
      </c>
      <c r="T785" s="69" t="s">
        <v>22</v>
      </c>
      <c r="U785" s="69" t="s">
        <v>24</v>
      </c>
      <c r="V785" s="69" t="s">
        <v>25</v>
      </c>
      <c r="W785" s="69" t="s">
        <v>26</v>
      </c>
      <c r="X785" s="69" t="s">
        <v>27</v>
      </c>
      <c r="Y785" s="3" t="str">
        <f>複数商品!AK16</f>
        <v>【商品①】全長：cm　最大幅：cm ×&lt;BR&gt;【商品②】全長：cm　最大幅：cm ×&lt;BR&gt;【商品③】全長：cm　最大幅：cm ×&lt;BR&gt;【商品④】全長：cm　最大幅：cm ×&lt;BR&gt;</v>
      </c>
      <c r="Z785" s="69" t="s">
        <v>29</v>
      </c>
      <c r="AA785" s="4"/>
      <c r="AB785" s="4"/>
      <c r="AC785" s="4"/>
      <c r="AD785" s="70"/>
      <c r="AE785" s="70">
        <f>複数商品!AQ16</f>
        <v>0</v>
      </c>
      <c r="AF785" s="70" t="str">
        <f>複数商品!AD16</f>
        <v>通常</v>
      </c>
      <c r="AG785" s="70">
        <v>0</v>
      </c>
      <c r="AH785" s="9">
        <f>複数商品!AO16</f>
        <v>0</v>
      </c>
      <c r="AI785">
        <v>1</v>
      </c>
      <c r="AJ785">
        <f>複数商品!AG16</f>
        <v>0</v>
      </c>
    </row>
    <row r="786" spans="1:36" hidden="1">
      <c r="A786" s="3" t="str">
        <f>IF(複数商品!A17="","",複数商品!A17)</f>
        <v/>
      </c>
      <c r="B786" s="68" t="str">
        <f>IF(複数商品!B17="","",複数商品!B17)</f>
        <v/>
      </c>
      <c r="C786" s="68" t="str">
        <f>IF(複数商品!C17="","",複数商品!C17)</f>
        <v>◇ 《 》 E</v>
      </c>
      <c r="D786" s="3" t="str">
        <f>複数商品!E17</f>
        <v>無</v>
      </c>
      <c r="E786" s="68" t="str">
        <f>IF(複数商品!AM17="","",複数商品!AM17)</f>
        <v>ベースM</v>
      </c>
      <c r="F786" s="68">
        <f>IF(複数商品!G17="","",複数商品!G17)</f>
        <v>3</v>
      </c>
      <c r="G786" s="68" t="str">
        <f>IF(複数商品!H17="","",複数商品!H17)</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86" s="68" t="str">
        <f>IF(複数商品!I17="","",複数商品!I17)</f>
        <v/>
      </c>
      <c r="I786" s="68" t="str">
        <f>IF(複数商品!J17="","",複数商品!J17)</f>
        <v>まとめ売り商品の為、各季節、異なる素材の商品が混合しております。予めご注意願います。</v>
      </c>
      <c r="J786" s="68" t="str">
        <f>IF(複数商品!K17="","",複数商品!K17)</f>
        <v>まとめ売り商品の為、複数の色の商品が混合しております。予め注意願います。</v>
      </c>
      <c r="K786" s="68" t="str">
        <f>IF(複数商品!L17="","",複数商品!L17)</f>
        <v>まとめ売り商品の為、複数のサイズが混合しております。カテゴリのサイズは確実なものではありません。予めご注意願います。</v>
      </c>
      <c r="L786" s="69" t="s">
        <v>80</v>
      </c>
      <c r="M786" s="69" t="s">
        <v>19</v>
      </c>
      <c r="N786" s="69" t="s">
        <v>20</v>
      </c>
      <c r="O786" s="69" t="s">
        <v>21</v>
      </c>
      <c r="P786" s="4" t="s">
        <v>3036</v>
      </c>
      <c r="Q786" s="4" t="s">
        <v>3038</v>
      </c>
      <c r="R786" s="69" t="s">
        <v>22</v>
      </c>
      <c r="S786" s="69" t="s">
        <v>23</v>
      </c>
      <c r="T786" s="69" t="s">
        <v>22</v>
      </c>
      <c r="U786" s="69" t="s">
        <v>24</v>
      </c>
      <c r="V786" s="69" t="s">
        <v>25</v>
      </c>
      <c r="W786" s="69" t="s">
        <v>26</v>
      </c>
      <c r="X786" s="69" t="s">
        <v>27</v>
      </c>
      <c r="Y786" s="3" t="str">
        <f>複数商品!AK17</f>
        <v>【商品①】全長：cm　最大幅：cm ×&lt;BR&gt;【商品②】全長：cm　最大幅：cm ×&lt;BR&gt;【商品③】全長：cm　最大幅：cm ×&lt;BR&gt;【商品④】全長：cm　最大幅：cm ×&lt;BR&gt;</v>
      </c>
      <c r="Z786" s="69" t="s">
        <v>29</v>
      </c>
      <c r="AA786" s="4"/>
      <c r="AB786" s="4"/>
      <c r="AC786" s="4"/>
      <c r="AD786" s="70"/>
      <c r="AE786" s="70">
        <f>複数商品!AQ17</f>
        <v>0</v>
      </c>
      <c r="AF786" s="70" t="str">
        <f>複数商品!AD17</f>
        <v>通常</v>
      </c>
      <c r="AG786" s="70">
        <v>0</v>
      </c>
      <c r="AH786" s="9">
        <f>複数商品!AO17</f>
        <v>0</v>
      </c>
      <c r="AI786">
        <v>1</v>
      </c>
      <c r="AJ786">
        <f>複数商品!AG17</f>
        <v>0</v>
      </c>
    </row>
    <row r="787" spans="1:36" hidden="1">
      <c r="A787" s="3" t="str">
        <f>IF(複数商品!A18="","",複数商品!A18)</f>
        <v/>
      </c>
      <c r="B787" s="68" t="str">
        <f>IF(複数商品!B18="","",複数商品!B18)</f>
        <v/>
      </c>
      <c r="C787" s="68" t="str">
        <f>IF(複数商品!C18="","",複数商品!C18)</f>
        <v>◇ 《 》 E</v>
      </c>
      <c r="D787" s="3" t="str">
        <f>複数商品!E18</f>
        <v>無</v>
      </c>
      <c r="E787" s="68" t="str">
        <f>IF(複数商品!AM18="","",複数商品!AM18)</f>
        <v>ベースM</v>
      </c>
      <c r="F787" s="68">
        <f>IF(複数商品!G18="","",複数商品!G18)</f>
        <v>3</v>
      </c>
      <c r="G787" s="68" t="str">
        <f>IF(複数商品!H18="","",複数商品!H18)</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87" s="68" t="str">
        <f>IF(複数商品!I18="","",複数商品!I18)</f>
        <v/>
      </c>
      <c r="I787" s="68" t="str">
        <f>IF(複数商品!J18="","",複数商品!J18)</f>
        <v>まとめ売り商品の為、各季節、異なる素材の商品が混合しております。予めご注意願います。</v>
      </c>
      <c r="J787" s="68" t="str">
        <f>IF(複数商品!K18="","",複数商品!K18)</f>
        <v>まとめ売り商品の為、複数の色の商品が混合しております。予め注意願います。</v>
      </c>
      <c r="K787" s="68" t="str">
        <f>IF(複数商品!L18="","",複数商品!L18)</f>
        <v>まとめ売り商品の為、複数のサイズが混合しております。カテゴリのサイズは確実なものではありません。予めご注意願います。</v>
      </c>
      <c r="L787" s="69" t="s">
        <v>80</v>
      </c>
      <c r="M787" s="69" t="s">
        <v>19</v>
      </c>
      <c r="N787" s="69" t="s">
        <v>20</v>
      </c>
      <c r="O787" s="69" t="s">
        <v>21</v>
      </c>
      <c r="P787" s="4" t="s">
        <v>3036</v>
      </c>
      <c r="Q787" s="4" t="s">
        <v>3038</v>
      </c>
      <c r="R787" s="69" t="s">
        <v>22</v>
      </c>
      <c r="S787" s="69" t="s">
        <v>23</v>
      </c>
      <c r="T787" s="69" t="s">
        <v>22</v>
      </c>
      <c r="U787" s="69" t="s">
        <v>24</v>
      </c>
      <c r="V787" s="69" t="s">
        <v>25</v>
      </c>
      <c r="W787" s="69" t="s">
        <v>26</v>
      </c>
      <c r="X787" s="69" t="s">
        <v>27</v>
      </c>
      <c r="Y787" s="3" t="str">
        <f>複数商品!AK18</f>
        <v>【商品①】全長：cm　最大幅：cm ×&lt;BR&gt;【商品②】全長：cm　最大幅：cm ×&lt;BR&gt;【商品③】全長：cm　最大幅：cm ×&lt;BR&gt;【商品④】全長：cm　最大幅：cm ×&lt;BR&gt;</v>
      </c>
      <c r="Z787" s="69" t="s">
        <v>29</v>
      </c>
      <c r="AA787" s="4"/>
      <c r="AB787" s="4"/>
      <c r="AC787" s="4"/>
      <c r="AD787" s="70"/>
      <c r="AE787" s="70">
        <f>複数商品!AQ18</f>
        <v>0</v>
      </c>
      <c r="AF787" s="70" t="str">
        <f>複数商品!AD18</f>
        <v>通常</v>
      </c>
      <c r="AG787" s="70">
        <v>0</v>
      </c>
      <c r="AH787" s="9">
        <f>複数商品!AO18</f>
        <v>0</v>
      </c>
      <c r="AI787">
        <v>1</v>
      </c>
      <c r="AJ787">
        <f>複数商品!AG18</f>
        <v>0</v>
      </c>
    </row>
    <row r="788" spans="1:36" hidden="1">
      <c r="A788" s="3" t="str">
        <f>IF(複数商品!A19="","",複数商品!A19)</f>
        <v/>
      </c>
      <c r="B788" s="68" t="str">
        <f>IF(複数商品!B19="","",複数商品!B19)</f>
        <v/>
      </c>
      <c r="C788" s="68" t="str">
        <f>IF(複数商品!C19="","",複数商品!C19)</f>
        <v>◇ 《 》 E</v>
      </c>
      <c r="D788" s="3" t="str">
        <f>複数商品!E19</f>
        <v>無</v>
      </c>
      <c r="E788" s="68" t="str">
        <f>IF(複数商品!AM19="","",複数商品!AM19)</f>
        <v>ベースM</v>
      </c>
      <c r="F788" s="68">
        <f>IF(複数商品!G19="","",複数商品!G19)</f>
        <v>3</v>
      </c>
      <c r="G788" s="68" t="str">
        <f>IF(複数商品!H19="","",複数商品!H19)</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88" s="68" t="str">
        <f>IF(複数商品!I19="","",複数商品!I19)</f>
        <v/>
      </c>
      <c r="I788" s="68" t="str">
        <f>IF(複数商品!J19="","",複数商品!J19)</f>
        <v>まとめ売り商品の為、各季節、異なる素材の商品が混合しております。予めご注意願います。</v>
      </c>
      <c r="J788" s="68" t="str">
        <f>IF(複数商品!K19="","",複数商品!K19)</f>
        <v>まとめ売り商品の為、複数の色の商品が混合しております。予め注意願います。</v>
      </c>
      <c r="K788" s="68" t="str">
        <f>IF(複数商品!L19="","",複数商品!L19)</f>
        <v>まとめ売り商品の為、複数のサイズが混合しております。カテゴリのサイズは確実なものではありません。予めご注意願います。</v>
      </c>
      <c r="L788" s="69" t="s">
        <v>80</v>
      </c>
      <c r="M788" s="69" t="s">
        <v>19</v>
      </c>
      <c r="N788" s="69" t="s">
        <v>20</v>
      </c>
      <c r="O788" s="69" t="s">
        <v>21</v>
      </c>
      <c r="P788" s="4" t="s">
        <v>3036</v>
      </c>
      <c r="Q788" s="4" t="s">
        <v>3038</v>
      </c>
      <c r="R788" s="69" t="s">
        <v>22</v>
      </c>
      <c r="S788" s="69" t="s">
        <v>23</v>
      </c>
      <c r="T788" s="69" t="s">
        <v>22</v>
      </c>
      <c r="U788" s="69" t="s">
        <v>24</v>
      </c>
      <c r="V788" s="69" t="s">
        <v>25</v>
      </c>
      <c r="W788" s="69" t="s">
        <v>26</v>
      </c>
      <c r="X788" s="69" t="s">
        <v>27</v>
      </c>
      <c r="Y788" s="3" t="str">
        <f>複数商品!AK19</f>
        <v>【商品①】全長：cm　最大幅：cm ×&lt;BR&gt;【商品②】全長：cm　最大幅：cm ×&lt;BR&gt;【商品③】全長：cm　最大幅：cm ×&lt;BR&gt;【商品④】全長：cm　最大幅：cm ×&lt;BR&gt;</v>
      </c>
      <c r="Z788" s="69" t="s">
        <v>29</v>
      </c>
      <c r="AA788" s="4"/>
      <c r="AB788" s="4"/>
      <c r="AC788" s="4"/>
      <c r="AD788" s="70"/>
      <c r="AE788" s="70">
        <f>複数商品!AQ19</f>
        <v>0</v>
      </c>
      <c r="AF788" s="70" t="str">
        <f>複数商品!AD19</f>
        <v>通常</v>
      </c>
      <c r="AG788" s="70">
        <v>0</v>
      </c>
      <c r="AH788" s="9">
        <f>複数商品!AO19</f>
        <v>0</v>
      </c>
      <c r="AI788">
        <v>1</v>
      </c>
      <c r="AJ788">
        <f>複数商品!AG19</f>
        <v>0</v>
      </c>
    </row>
    <row r="789" spans="1:36" hidden="1">
      <c r="A789" s="3" t="str">
        <f>IF(複数商品!A20="","",複数商品!A20)</f>
        <v/>
      </c>
      <c r="B789" s="68" t="str">
        <f>IF(複数商品!B20="","",複数商品!B20)</f>
        <v/>
      </c>
      <c r="C789" s="68" t="str">
        <f>IF(複数商品!C20="","",複数商品!C20)</f>
        <v>◇ 《 》 E</v>
      </c>
      <c r="D789" s="3" t="str">
        <f>複数商品!E20</f>
        <v>無</v>
      </c>
      <c r="E789" s="68" t="str">
        <f>IF(複数商品!AM20="","",複数商品!AM20)</f>
        <v>ベースM</v>
      </c>
      <c r="F789" s="68">
        <f>IF(複数商品!G20="","",複数商品!G20)</f>
        <v>3</v>
      </c>
      <c r="G789" s="68" t="str">
        <f>IF(複数商品!H20="","",複数商品!H20)</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89" s="68" t="str">
        <f>IF(複数商品!I20="","",複数商品!I20)</f>
        <v/>
      </c>
      <c r="I789" s="68" t="str">
        <f>IF(複数商品!J20="","",複数商品!J20)</f>
        <v>まとめ売り商品の為、各季節、異なる素材の商品が混合しております。予めご注意願います。</v>
      </c>
      <c r="J789" s="68" t="str">
        <f>IF(複数商品!K20="","",複数商品!K20)</f>
        <v>まとめ売り商品の為、複数の色の商品が混合しております。予め注意願います。</v>
      </c>
      <c r="K789" s="68" t="str">
        <f>IF(複数商品!L20="","",複数商品!L20)</f>
        <v>まとめ売り商品の為、複数のサイズが混合しております。カテゴリのサイズは確実なものではありません。予めご注意願います。</v>
      </c>
      <c r="L789" s="69" t="s">
        <v>80</v>
      </c>
      <c r="M789" s="69" t="s">
        <v>19</v>
      </c>
      <c r="N789" s="69" t="s">
        <v>20</v>
      </c>
      <c r="O789" s="69" t="s">
        <v>21</v>
      </c>
      <c r="P789" s="4" t="s">
        <v>3036</v>
      </c>
      <c r="Q789" s="4" t="s">
        <v>3038</v>
      </c>
      <c r="R789" s="69" t="s">
        <v>22</v>
      </c>
      <c r="S789" s="69" t="s">
        <v>23</v>
      </c>
      <c r="T789" s="69" t="s">
        <v>22</v>
      </c>
      <c r="U789" s="69" t="s">
        <v>24</v>
      </c>
      <c r="V789" s="69" t="s">
        <v>25</v>
      </c>
      <c r="W789" s="69" t="s">
        <v>26</v>
      </c>
      <c r="X789" s="69" t="s">
        <v>27</v>
      </c>
      <c r="Y789" s="3" t="str">
        <f>複数商品!AK20</f>
        <v>【商品①】全長：cm　最大幅：cm ×&lt;BR&gt;【商品②】全長：cm　最大幅：cm ×&lt;BR&gt;【商品③】全長：cm　最大幅：cm ×&lt;BR&gt;【商品④】全長：cm　最大幅：cm ×&lt;BR&gt;</v>
      </c>
      <c r="Z789" s="69" t="s">
        <v>29</v>
      </c>
      <c r="AA789" s="4"/>
      <c r="AB789" s="4"/>
      <c r="AC789" s="4"/>
      <c r="AD789" s="70"/>
      <c r="AE789" s="70">
        <f>複数商品!AQ20</f>
        <v>0</v>
      </c>
      <c r="AF789" s="70" t="str">
        <f>複数商品!AD20</f>
        <v>通常</v>
      </c>
      <c r="AG789" s="70">
        <v>0</v>
      </c>
      <c r="AH789" s="9">
        <f>複数商品!AO20</f>
        <v>0</v>
      </c>
      <c r="AI789">
        <v>1</v>
      </c>
      <c r="AJ789">
        <f>複数商品!AG20</f>
        <v>0</v>
      </c>
    </row>
    <row r="790" spans="1:36" hidden="1">
      <c r="A790" s="3" t="str">
        <f>IF(複数商品!A21="","",複数商品!A21)</f>
        <v/>
      </c>
      <c r="B790" s="68" t="str">
        <f>IF(複数商品!B21="","",複数商品!B21)</f>
        <v/>
      </c>
      <c r="C790" s="68" t="str">
        <f>IF(複数商品!C21="","",複数商品!C21)</f>
        <v>◇ 《 》 E</v>
      </c>
      <c r="D790" s="3" t="str">
        <f>複数商品!E21</f>
        <v>無</v>
      </c>
      <c r="E790" s="68" t="str">
        <f>IF(複数商品!AM21="","",複数商品!AM21)</f>
        <v>ベースM</v>
      </c>
      <c r="F790" s="68">
        <f>IF(複数商品!G21="","",複数商品!G21)</f>
        <v>3</v>
      </c>
      <c r="G790" s="68" t="str">
        <f>IF(複数商品!H21="","",複数商品!H21)</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90" s="68" t="str">
        <f>IF(複数商品!I21="","",複数商品!I21)</f>
        <v/>
      </c>
      <c r="I790" s="68" t="str">
        <f>IF(複数商品!J21="","",複数商品!J21)</f>
        <v>まとめ売り商品の為、各季節、異なる素材の商品が混合しております。予めご注意願います。</v>
      </c>
      <c r="J790" s="68" t="str">
        <f>IF(複数商品!K21="","",複数商品!K21)</f>
        <v>まとめ売り商品の為、複数の色の商品が混合しております。予め注意願います。</v>
      </c>
      <c r="K790" s="68" t="str">
        <f>IF(複数商品!L21="","",複数商品!L21)</f>
        <v>まとめ売り商品の為、複数のサイズが混合しております。カテゴリのサイズは確実なものではありません。予めご注意願います。</v>
      </c>
      <c r="L790" s="69" t="s">
        <v>80</v>
      </c>
      <c r="M790" s="69" t="s">
        <v>19</v>
      </c>
      <c r="N790" s="69" t="s">
        <v>20</v>
      </c>
      <c r="O790" s="69" t="s">
        <v>21</v>
      </c>
      <c r="P790" s="4" t="s">
        <v>3036</v>
      </c>
      <c r="Q790" s="4" t="s">
        <v>3038</v>
      </c>
      <c r="R790" s="69" t="s">
        <v>22</v>
      </c>
      <c r="S790" s="69" t="s">
        <v>23</v>
      </c>
      <c r="T790" s="69" t="s">
        <v>22</v>
      </c>
      <c r="U790" s="69" t="s">
        <v>24</v>
      </c>
      <c r="V790" s="69" t="s">
        <v>25</v>
      </c>
      <c r="W790" s="69" t="s">
        <v>26</v>
      </c>
      <c r="X790" s="69" t="s">
        <v>27</v>
      </c>
      <c r="Y790" s="3" t="str">
        <f>複数商品!AK21</f>
        <v>【商品①】全長：cm　最大幅：cm ×&lt;BR&gt;【商品②】全長：cm　最大幅：cm ×&lt;BR&gt;【商品③】全長：cm　最大幅：cm ×&lt;BR&gt;【商品④】全長：cm　最大幅：cm ×&lt;BR&gt;</v>
      </c>
      <c r="Z790" s="69" t="s">
        <v>29</v>
      </c>
      <c r="AA790" s="4"/>
      <c r="AB790" s="4"/>
      <c r="AC790" s="4"/>
      <c r="AD790" s="70"/>
      <c r="AE790" s="70">
        <f>複数商品!AQ21</f>
        <v>0</v>
      </c>
      <c r="AF790" s="70" t="str">
        <f>複数商品!AD21</f>
        <v>通常</v>
      </c>
      <c r="AG790" s="70">
        <v>0</v>
      </c>
      <c r="AH790" s="9">
        <f>複数商品!AO21</f>
        <v>0</v>
      </c>
      <c r="AI790">
        <v>1</v>
      </c>
      <c r="AJ790">
        <f>複数商品!AG21</f>
        <v>0</v>
      </c>
    </row>
    <row r="791" spans="1:36" hidden="1">
      <c r="A791" s="3" t="str">
        <f>IF(複数商品!A22="","",複数商品!A22)</f>
        <v/>
      </c>
      <c r="B791" s="68" t="str">
        <f>IF(複数商品!B22="","",複数商品!B22)</f>
        <v/>
      </c>
      <c r="C791" s="68" t="str">
        <f>IF(複数商品!C22="","",複数商品!C22)</f>
        <v>◇ 《 》 E</v>
      </c>
      <c r="D791" s="3" t="str">
        <f>複数商品!E22</f>
        <v>無</v>
      </c>
      <c r="E791" s="68" t="str">
        <f>IF(複数商品!AM22="","",複数商品!AM22)</f>
        <v>ベースM</v>
      </c>
      <c r="F791" s="68">
        <f>IF(複数商品!G22="","",複数商品!G22)</f>
        <v>3</v>
      </c>
      <c r="G791" s="68" t="str">
        <f>IF(複数商品!H22="","",複数商品!H22)</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91" s="68" t="str">
        <f>IF(複数商品!I22="","",複数商品!I22)</f>
        <v/>
      </c>
      <c r="I791" s="68" t="str">
        <f>IF(複数商品!J22="","",複数商品!J22)</f>
        <v>まとめ売り商品の為、各季節、異なる素材の商品が混合しております。予めご注意願います。</v>
      </c>
      <c r="J791" s="68" t="str">
        <f>IF(複数商品!K22="","",複数商品!K22)</f>
        <v>まとめ売り商品の為、複数の色の商品が混合しております。予め注意願います。</v>
      </c>
      <c r="K791" s="68" t="str">
        <f>IF(複数商品!L22="","",複数商品!L22)</f>
        <v>まとめ売り商品の為、複数のサイズが混合しております。カテゴリのサイズは確実なものではありません。予めご注意願います。</v>
      </c>
      <c r="L791" s="69" t="s">
        <v>80</v>
      </c>
      <c r="M791" s="69" t="s">
        <v>19</v>
      </c>
      <c r="N791" s="69" t="s">
        <v>20</v>
      </c>
      <c r="O791" s="69" t="s">
        <v>21</v>
      </c>
      <c r="P791" s="4" t="s">
        <v>3036</v>
      </c>
      <c r="Q791" s="4" t="s">
        <v>3038</v>
      </c>
      <c r="R791" s="69" t="s">
        <v>22</v>
      </c>
      <c r="S791" s="69" t="s">
        <v>23</v>
      </c>
      <c r="T791" s="69" t="s">
        <v>22</v>
      </c>
      <c r="U791" s="69" t="s">
        <v>24</v>
      </c>
      <c r="V791" s="69" t="s">
        <v>25</v>
      </c>
      <c r="W791" s="69" t="s">
        <v>26</v>
      </c>
      <c r="X791" s="69" t="s">
        <v>27</v>
      </c>
      <c r="Y791" s="3" t="str">
        <f>複数商品!AK22</f>
        <v>【商品①】全長：cm　最大幅：cm ×&lt;BR&gt;【商品②】全長：cm　最大幅：cm ×&lt;BR&gt;【商品③】全長：cm　最大幅：cm ×&lt;BR&gt;【商品④】全長：cm　最大幅：cm ×&lt;BR&gt;</v>
      </c>
      <c r="Z791" s="69" t="s">
        <v>29</v>
      </c>
      <c r="AA791" s="4"/>
      <c r="AB791" s="4"/>
      <c r="AC791" s="4"/>
      <c r="AD791" s="70"/>
      <c r="AE791" s="70">
        <f>複数商品!AQ22</f>
        <v>0</v>
      </c>
      <c r="AF791" s="70" t="str">
        <f>複数商品!AD22</f>
        <v>通常</v>
      </c>
      <c r="AG791" s="70">
        <v>0</v>
      </c>
      <c r="AH791" s="9">
        <f>複数商品!AO22</f>
        <v>0</v>
      </c>
      <c r="AI791">
        <v>1</v>
      </c>
      <c r="AJ791">
        <f>複数商品!AG22</f>
        <v>0</v>
      </c>
    </row>
    <row r="792" spans="1:36" hidden="1">
      <c r="A792" s="3" t="str">
        <f>IF(複数商品!A23="","",複数商品!A23)</f>
        <v/>
      </c>
      <c r="B792" s="68" t="str">
        <f>IF(複数商品!B23="","",複数商品!B23)</f>
        <v/>
      </c>
      <c r="C792" s="68" t="str">
        <f>IF(複数商品!C23="","",複数商品!C23)</f>
        <v>◇ 《 》 E</v>
      </c>
      <c r="D792" s="3" t="str">
        <f>複数商品!E23</f>
        <v>無</v>
      </c>
      <c r="E792" s="68" t="str">
        <f>IF(複数商品!AM23="","",複数商品!AM23)</f>
        <v>ベースM</v>
      </c>
      <c r="F792" s="68">
        <f>IF(複数商品!G23="","",複数商品!G23)</f>
        <v>3</v>
      </c>
      <c r="G792" s="68" t="str">
        <f>IF(複数商品!H23="","",複数商品!H23)</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92" s="68" t="str">
        <f>IF(複数商品!I23="","",複数商品!I23)</f>
        <v/>
      </c>
      <c r="I792" s="68" t="str">
        <f>IF(複数商品!J23="","",複数商品!J23)</f>
        <v>まとめ売り商品の為、各季節、異なる素材の商品が混合しております。予めご注意願います。</v>
      </c>
      <c r="J792" s="68" t="str">
        <f>IF(複数商品!K23="","",複数商品!K23)</f>
        <v>まとめ売り商品の為、複数の色の商品が混合しております。予め注意願います。</v>
      </c>
      <c r="K792" s="68" t="str">
        <f>IF(複数商品!L23="","",複数商品!L23)</f>
        <v>まとめ売り商品の為、複数のサイズが混合しております。カテゴリのサイズは確実なものではありません。予めご注意願います。</v>
      </c>
      <c r="L792" s="69" t="s">
        <v>80</v>
      </c>
      <c r="M792" s="69" t="s">
        <v>19</v>
      </c>
      <c r="N792" s="69" t="s">
        <v>20</v>
      </c>
      <c r="O792" s="69" t="s">
        <v>21</v>
      </c>
      <c r="P792" s="4" t="s">
        <v>3036</v>
      </c>
      <c r="Q792" s="4" t="s">
        <v>3038</v>
      </c>
      <c r="R792" s="69" t="s">
        <v>22</v>
      </c>
      <c r="S792" s="69" t="s">
        <v>23</v>
      </c>
      <c r="T792" s="69" t="s">
        <v>22</v>
      </c>
      <c r="U792" s="69" t="s">
        <v>24</v>
      </c>
      <c r="V792" s="69" t="s">
        <v>25</v>
      </c>
      <c r="W792" s="69" t="s">
        <v>26</v>
      </c>
      <c r="X792" s="69" t="s">
        <v>27</v>
      </c>
      <c r="Y792" s="3" t="str">
        <f>複数商品!AK23</f>
        <v>【商品①】全長：cm　最大幅：cm ×&lt;BR&gt;【商品②】全長：cm　最大幅：cm ×&lt;BR&gt;【商品③】全長：cm　最大幅：cm ×&lt;BR&gt;【商品④】全長：cm　最大幅：cm ×&lt;BR&gt;</v>
      </c>
      <c r="Z792" s="69" t="s">
        <v>29</v>
      </c>
      <c r="AA792" s="4"/>
      <c r="AB792" s="4"/>
      <c r="AC792" s="4"/>
      <c r="AD792" s="70"/>
      <c r="AE792" s="70">
        <f>複数商品!AQ23</f>
        <v>0</v>
      </c>
      <c r="AF792" s="70" t="str">
        <f>複数商品!AD23</f>
        <v>通常</v>
      </c>
      <c r="AG792" s="70">
        <v>0</v>
      </c>
      <c r="AH792" s="9">
        <f>複数商品!AO23</f>
        <v>0</v>
      </c>
      <c r="AI792">
        <v>1</v>
      </c>
      <c r="AJ792">
        <f>複数商品!AG23</f>
        <v>0</v>
      </c>
    </row>
    <row r="793" spans="1:36" hidden="1">
      <c r="A793" s="3" t="str">
        <f>IF(複数商品!A24="","",複数商品!A24)</f>
        <v/>
      </c>
      <c r="B793" s="68" t="str">
        <f>IF(複数商品!B24="","",複数商品!B24)</f>
        <v/>
      </c>
      <c r="C793" s="68" t="str">
        <f>IF(複数商品!C24="","",複数商品!C24)</f>
        <v>◇ 《 》 E</v>
      </c>
      <c r="D793" s="3" t="str">
        <f>複数商品!E24</f>
        <v>無</v>
      </c>
      <c r="E793" s="68" t="str">
        <f>IF(複数商品!AM24="","",複数商品!AM24)</f>
        <v>ベースM</v>
      </c>
      <c r="F793" s="68">
        <f>IF(複数商品!G24="","",複数商品!G24)</f>
        <v>3</v>
      </c>
      <c r="G793" s="68" t="str">
        <f>IF(複数商品!H24="","",複数商品!H24)</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93" s="68" t="str">
        <f>IF(複数商品!I24="","",複数商品!I24)</f>
        <v/>
      </c>
      <c r="I793" s="68" t="str">
        <f>IF(複数商品!J24="","",複数商品!J24)</f>
        <v>まとめ売り商品の為、各季節、異なる素材の商品が混合しております。予めご注意願います。</v>
      </c>
      <c r="J793" s="68" t="str">
        <f>IF(複数商品!K24="","",複数商品!K24)</f>
        <v>まとめ売り商品の為、複数の色の商品が混合しております。予め注意願います。</v>
      </c>
      <c r="K793" s="68" t="str">
        <f>IF(複数商品!L24="","",複数商品!L24)</f>
        <v>まとめ売り商品の為、複数のサイズが混合しております。カテゴリのサイズは確実なものではありません。予めご注意願います。</v>
      </c>
      <c r="L793" s="69" t="s">
        <v>80</v>
      </c>
      <c r="M793" s="69" t="s">
        <v>19</v>
      </c>
      <c r="N793" s="69" t="s">
        <v>20</v>
      </c>
      <c r="O793" s="69" t="s">
        <v>21</v>
      </c>
      <c r="P793" s="4" t="s">
        <v>3036</v>
      </c>
      <c r="Q793" s="4" t="s">
        <v>3038</v>
      </c>
      <c r="R793" s="69" t="s">
        <v>22</v>
      </c>
      <c r="S793" s="69" t="s">
        <v>23</v>
      </c>
      <c r="T793" s="69" t="s">
        <v>22</v>
      </c>
      <c r="U793" s="69" t="s">
        <v>24</v>
      </c>
      <c r="V793" s="69" t="s">
        <v>25</v>
      </c>
      <c r="W793" s="69" t="s">
        <v>26</v>
      </c>
      <c r="X793" s="69" t="s">
        <v>27</v>
      </c>
      <c r="Y793" s="3" t="str">
        <f>複数商品!AK24</f>
        <v>【商品①】全長：cm　最大幅：cm ×&lt;BR&gt;【商品②】全長：cm　最大幅：cm ×&lt;BR&gt;【商品③】全長：cm　最大幅：cm ×&lt;BR&gt;【商品④】全長：cm　最大幅：cm ×&lt;BR&gt;</v>
      </c>
      <c r="Z793" s="69" t="s">
        <v>29</v>
      </c>
      <c r="AA793" s="4"/>
      <c r="AB793" s="4"/>
      <c r="AC793" s="4"/>
      <c r="AD793" s="70"/>
      <c r="AE793" s="70">
        <f>複数商品!AQ24</f>
        <v>0</v>
      </c>
      <c r="AF793" s="70" t="str">
        <f>複数商品!AD24</f>
        <v>通常</v>
      </c>
      <c r="AG793" s="70">
        <v>0</v>
      </c>
      <c r="AH793" s="9">
        <f>複数商品!AO24</f>
        <v>0</v>
      </c>
      <c r="AI793">
        <v>1</v>
      </c>
      <c r="AJ793">
        <f>複数商品!AG24</f>
        <v>0</v>
      </c>
    </row>
    <row r="794" spans="1:36" hidden="1">
      <c r="A794" s="3" t="str">
        <f>IF(複数商品!A25="","",複数商品!A25)</f>
        <v/>
      </c>
      <c r="B794" s="68" t="str">
        <f>IF(複数商品!B25="","",複数商品!B25)</f>
        <v/>
      </c>
      <c r="C794" s="68" t="str">
        <f>IF(複数商品!C25="","",複数商品!C25)</f>
        <v>◇ 《 》 E</v>
      </c>
      <c r="D794" s="3" t="str">
        <f>複数商品!E25</f>
        <v>無</v>
      </c>
      <c r="E794" s="68" t="str">
        <f>IF(複数商品!AM25="","",複数商品!AM25)</f>
        <v>ベースM</v>
      </c>
      <c r="F794" s="68">
        <f>IF(複数商品!G25="","",複数商品!G25)</f>
        <v>3</v>
      </c>
      <c r="G794" s="68" t="str">
        <f>IF(複数商品!H25="","",複数商品!H25)</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94" s="68" t="str">
        <f>IF(複数商品!I25="","",複数商品!I25)</f>
        <v/>
      </c>
      <c r="I794" s="68" t="str">
        <f>IF(複数商品!J25="","",複数商品!J25)</f>
        <v>まとめ売り商品の為、各季節、異なる素材の商品が混合しております。予めご注意願います。</v>
      </c>
      <c r="J794" s="68" t="str">
        <f>IF(複数商品!K25="","",複数商品!K25)</f>
        <v>まとめ売り商品の為、複数の色の商品が混合しております。予め注意願います。</v>
      </c>
      <c r="K794" s="68" t="str">
        <f>IF(複数商品!L25="","",複数商品!L25)</f>
        <v>まとめ売り商品の為、複数のサイズが混合しております。カテゴリのサイズは確実なものではありません。予めご注意願います。</v>
      </c>
      <c r="L794" s="69" t="s">
        <v>80</v>
      </c>
      <c r="M794" s="69" t="s">
        <v>19</v>
      </c>
      <c r="N794" s="69" t="s">
        <v>20</v>
      </c>
      <c r="O794" s="69" t="s">
        <v>21</v>
      </c>
      <c r="P794" s="4" t="s">
        <v>3036</v>
      </c>
      <c r="Q794" s="4" t="s">
        <v>3038</v>
      </c>
      <c r="R794" s="69" t="s">
        <v>22</v>
      </c>
      <c r="S794" s="69" t="s">
        <v>23</v>
      </c>
      <c r="T794" s="69" t="s">
        <v>22</v>
      </c>
      <c r="U794" s="69" t="s">
        <v>24</v>
      </c>
      <c r="V794" s="69" t="s">
        <v>25</v>
      </c>
      <c r="W794" s="69" t="s">
        <v>26</v>
      </c>
      <c r="X794" s="69" t="s">
        <v>27</v>
      </c>
      <c r="Y794" s="3" t="str">
        <f>複数商品!AK25</f>
        <v>【商品①】全長：cm　最大幅：cm ×&lt;BR&gt;【商品②】全長：cm　最大幅：cm ×&lt;BR&gt;【商品③】全長：cm　最大幅：cm ×&lt;BR&gt;【商品④】全長：cm　最大幅：cm ×&lt;BR&gt;</v>
      </c>
      <c r="Z794" s="69" t="s">
        <v>29</v>
      </c>
      <c r="AA794" s="4"/>
      <c r="AB794" s="4"/>
      <c r="AC794" s="4"/>
      <c r="AD794" s="70"/>
      <c r="AE794" s="70">
        <f>複数商品!AQ25</f>
        <v>0</v>
      </c>
      <c r="AF794" s="70" t="str">
        <f>複数商品!AD25</f>
        <v>通常</v>
      </c>
      <c r="AG794" s="70">
        <v>0</v>
      </c>
      <c r="AH794" s="9">
        <f>複数商品!AO25</f>
        <v>0</v>
      </c>
      <c r="AI794">
        <v>1</v>
      </c>
      <c r="AJ794">
        <f>複数商品!AG25</f>
        <v>0</v>
      </c>
    </row>
    <row r="795" spans="1:36" hidden="1">
      <c r="A795" s="3" t="str">
        <f>IF(複数商品!A26="","",複数商品!A26)</f>
        <v/>
      </c>
      <c r="B795" s="68" t="str">
        <f>IF(複数商品!B26="","",複数商品!B26)</f>
        <v/>
      </c>
      <c r="C795" s="68" t="str">
        <f>IF(複数商品!C26="","",複数商品!C26)</f>
        <v>◇ 《 》 E</v>
      </c>
      <c r="D795" s="3" t="str">
        <f>複数商品!E26</f>
        <v>無</v>
      </c>
      <c r="E795" s="68" t="str">
        <f>IF(複数商品!AM26="","",複数商品!AM26)</f>
        <v>ベースM</v>
      </c>
      <c r="F795" s="68">
        <f>IF(複数商品!G26="","",複数商品!G26)</f>
        <v>3</v>
      </c>
      <c r="G795" s="68" t="str">
        <f>IF(複数商品!H26="","",複数商品!H26)</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95" s="68" t="str">
        <f>IF(複数商品!I26="","",複数商品!I26)</f>
        <v/>
      </c>
      <c r="I795" s="68" t="str">
        <f>IF(複数商品!J26="","",複数商品!J26)</f>
        <v>まとめ売り商品の為、各季節、異なる素材の商品が混合しております。予めご注意願います。</v>
      </c>
      <c r="J795" s="68" t="str">
        <f>IF(複数商品!K26="","",複数商品!K26)</f>
        <v>まとめ売り商品の為、複数の色の商品が混合しております。予め注意願います。</v>
      </c>
      <c r="K795" s="68" t="str">
        <f>IF(複数商品!L26="","",複数商品!L26)</f>
        <v>まとめ売り商品の為、複数のサイズが混合しております。カテゴリのサイズは確実なものではありません。予めご注意願います。</v>
      </c>
      <c r="L795" s="69" t="s">
        <v>80</v>
      </c>
      <c r="M795" s="69" t="s">
        <v>19</v>
      </c>
      <c r="N795" s="69" t="s">
        <v>20</v>
      </c>
      <c r="O795" s="69" t="s">
        <v>21</v>
      </c>
      <c r="P795" s="4" t="s">
        <v>3036</v>
      </c>
      <c r="Q795" s="4" t="s">
        <v>3038</v>
      </c>
      <c r="R795" s="69" t="s">
        <v>22</v>
      </c>
      <c r="S795" s="69" t="s">
        <v>23</v>
      </c>
      <c r="T795" s="69" t="s">
        <v>22</v>
      </c>
      <c r="U795" s="69" t="s">
        <v>24</v>
      </c>
      <c r="V795" s="69" t="s">
        <v>25</v>
      </c>
      <c r="W795" s="69" t="s">
        <v>26</v>
      </c>
      <c r="X795" s="69" t="s">
        <v>27</v>
      </c>
      <c r="Y795" s="3" t="str">
        <f>複数商品!AK26</f>
        <v>【商品①】全長：cm　最大幅：cm ×&lt;BR&gt;【商品②】全長：cm　最大幅：cm ×&lt;BR&gt;【商品③】全長：cm　最大幅：cm ×&lt;BR&gt;【商品④】全長：cm　最大幅：cm ×&lt;BR&gt;</v>
      </c>
      <c r="Z795" s="69" t="s">
        <v>29</v>
      </c>
      <c r="AA795" s="4"/>
      <c r="AB795" s="4"/>
      <c r="AC795" s="4"/>
      <c r="AD795" s="70"/>
      <c r="AE795" s="70">
        <f>複数商品!AQ26</f>
        <v>0</v>
      </c>
      <c r="AF795" s="70" t="str">
        <f>複数商品!AD26</f>
        <v>通常</v>
      </c>
      <c r="AG795" s="70">
        <v>0</v>
      </c>
      <c r="AH795" s="9">
        <f>複数商品!AO26</f>
        <v>0</v>
      </c>
      <c r="AI795">
        <v>1</v>
      </c>
      <c r="AJ795">
        <f>複数商品!AG26</f>
        <v>0</v>
      </c>
    </row>
    <row r="796" spans="1:36" hidden="1">
      <c r="A796" s="3" t="str">
        <f>IF(複数商品!A27="","",複数商品!A27)</f>
        <v/>
      </c>
      <c r="B796" s="68" t="str">
        <f>IF(複数商品!B27="","",複数商品!B27)</f>
        <v/>
      </c>
      <c r="C796" s="68" t="str">
        <f>IF(複数商品!C27="","",複数商品!C27)</f>
        <v>◇ 《 》 E</v>
      </c>
      <c r="D796" s="3" t="str">
        <f>複数商品!E27</f>
        <v>無</v>
      </c>
      <c r="E796" s="68" t="str">
        <f>IF(複数商品!AM27="","",複数商品!AM27)</f>
        <v>ベースM</v>
      </c>
      <c r="F796" s="68">
        <f>IF(複数商品!G27="","",複数商品!G27)</f>
        <v>3</v>
      </c>
      <c r="G796" s="68" t="str">
        <f>IF(複数商品!H27="","",複数商品!H27)</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96" s="68" t="str">
        <f>IF(複数商品!I27="","",複数商品!I27)</f>
        <v/>
      </c>
      <c r="I796" s="68" t="str">
        <f>IF(複数商品!J27="","",複数商品!J27)</f>
        <v>まとめ売り商品の為、各季節、異なる素材の商品が混合しております。予めご注意願います。</v>
      </c>
      <c r="J796" s="68" t="str">
        <f>IF(複数商品!K27="","",複数商品!K27)</f>
        <v>まとめ売り商品の為、複数の色の商品が混合しております。予め注意願います。</v>
      </c>
      <c r="K796" s="68" t="str">
        <f>IF(複数商品!L27="","",複数商品!L27)</f>
        <v>まとめ売り商品の為、複数のサイズが混合しております。カテゴリのサイズは確実なものではありません。予めご注意願います。</v>
      </c>
      <c r="L796" s="69" t="s">
        <v>80</v>
      </c>
      <c r="M796" s="69" t="s">
        <v>19</v>
      </c>
      <c r="N796" s="69" t="s">
        <v>20</v>
      </c>
      <c r="O796" s="69" t="s">
        <v>21</v>
      </c>
      <c r="P796" s="4" t="s">
        <v>3036</v>
      </c>
      <c r="Q796" s="4" t="s">
        <v>3038</v>
      </c>
      <c r="R796" s="69" t="s">
        <v>22</v>
      </c>
      <c r="S796" s="69" t="s">
        <v>23</v>
      </c>
      <c r="T796" s="69" t="s">
        <v>22</v>
      </c>
      <c r="U796" s="69" t="s">
        <v>24</v>
      </c>
      <c r="V796" s="69" t="s">
        <v>25</v>
      </c>
      <c r="W796" s="69" t="s">
        <v>26</v>
      </c>
      <c r="X796" s="69" t="s">
        <v>27</v>
      </c>
      <c r="Y796" s="3" t="str">
        <f>複数商品!AK27</f>
        <v>【商品①】全長：cm　最大幅：cm ×&lt;BR&gt;【商品②】全長：cm　最大幅：cm ×&lt;BR&gt;【商品③】全長：cm　最大幅：cm ×&lt;BR&gt;【商品④】全長：cm　最大幅：cm ×&lt;BR&gt;</v>
      </c>
      <c r="Z796" s="69" t="s">
        <v>29</v>
      </c>
      <c r="AA796" s="4"/>
      <c r="AB796" s="4"/>
      <c r="AC796" s="4"/>
      <c r="AD796" s="70"/>
      <c r="AE796" s="70">
        <f>複数商品!AQ27</f>
        <v>0</v>
      </c>
      <c r="AF796" s="70" t="str">
        <f>複数商品!AD27</f>
        <v>通常</v>
      </c>
      <c r="AG796" s="70">
        <v>0</v>
      </c>
      <c r="AH796" s="9">
        <f>複数商品!AO27</f>
        <v>0</v>
      </c>
      <c r="AI796">
        <v>1</v>
      </c>
      <c r="AJ796">
        <f>複数商品!AG27</f>
        <v>0</v>
      </c>
    </row>
    <row r="797" spans="1:36" hidden="1">
      <c r="A797" s="3" t="str">
        <f>IF(複数商品!A28="","",複数商品!A28)</f>
        <v/>
      </c>
      <c r="B797" s="68" t="str">
        <f>IF(複数商品!B28="","",複数商品!B28)</f>
        <v/>
      </c>
      <c r="C797" s="68" t="str">
        <f>IF(複数商品!C28="","",複数商品!C28)</f>
        <v>◇ 《 》 E</v>
      </c>
      <c r="D797" s="3" t="str">
        <f>複数商品!E28</f>
        <v>無</v>
      </c>
      <c r="E797" s="68" t="str">
        <f>IF(複数商品!AM28="","",複数商品!AM28)</f>
        <v>ベースM</v>
      </c>
      <c r="F797" s="68">
        <f>IF(複数商品!G28="","",複数商品!G28)</f>
        <v>3</v>
      </c>
      <c r="G797" s="68" t="str">
        <f>IF(複数商品!H28="","",複数商品!H28)</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97" s="68" t="str">
        <f>IF(複数商品!I28="","",複数商品!I28)</f>
        <v/>
      </c>
      <c r="I797" s="68" t="str">
        <f>IF(複数商品!J28="","",複数商品!J28)</f>
        <v>まとめ売り商品の為、各季節、異なる素材の商品が混合しております。予めご注意願います。</v>
      </c>
      <c r="J797" s="68" t="str">
        <f>IF(複数商品!K28="","",複数商品!K28)</f>
        <v>まとめ売り商品の為、複数の色の商品が混合しております。予め注意願います。</v>
      </c>
      <c r="K797" s="68" t="str">
        <f>IF(複数商品!L28="","",複数商品!L28)</f>
        <v>まとめ売り商品の為、複数のサイズが混合しております。カテゴリのサイズは確実なものではありません。予めご注意願います。</v>
      </c>
      <c r="L797" s="69" t="s">
        <v>80</v>
      </c>
      <c r="M797" s="69" t="s">
        <v>19</v>
      </c>
      <c r="N797" s="69" t="s">
        <v>20</v>
      </c>
      <c r="O797" s="69" t="s">
        <v>21</v>
      </c>
      <c r="P797" s="4" t="s">
        <v>3036</v>
      </c>
      <c r="Q797" s="4" t="s">
        <v>3038</v>
      </c>
      <c r="R797" s="69" t="s">
        <v>22</v>
      </c>
      <c r="S797" s="69" t="s">
        <v>23</v>
      </c>
      <c r="T797" s="69" t="s">
        <v>22</v>
      </c>
      <c r="U797" s="69" t="s">
        <v>24</v>
      </c>
      <c r="V797" s="69" t="s">
        <v>25</v>
      </c>
      <c r="W797" s="69" t="s">
        <v>26</v>
      </c>
      <c r="X797" s="69" t="s">
        <v>27</v>
      </c>
      <c r="Y797" s="3" t="str">
        <f>複数商品!AK28</f>
        <v>【商品①】全長：cm　最大幅：cm ×&lt;BR&gt;【商品②】全長：cm　最大幅：cm ×&lt;BR&gt;【商品③】全長：cm　最大幅：cm ×&lt;BR&gt;【商品④】全長：cm　最大幅：cm ×&lt;BR&gt;</v>
      </c>
      <c r="Z797" s="69" t="s">
        <v>29</v>
      </c>
      <c r="AA797" s="4"/>
      <c r="AB797" s="4"/>
      <c r="AC797" s="4"/>
      <c r="AD797" s="70"/>
      <c r="AE797" s="70">
        <f>複数商品!AQ28</f>
        <v>0</v>
      </c>
      <c r="AF797" s="70" t="str">
        <f>複数商品!AD28</f>
        <v>通常</v>
      </c>
      <c r="AG797" s="70">
        <v>0</v>
      </c>
      <c r="AH797" s="9">
        <f>複数商品!AO28</f>
        <v>0</v>
      </c>
      <c r="AI797">
        <v>1</v>
      </c>
      <c r="AJ797">
        <f>複数商品!AG28</f>
        <v>0</v>
      </c>
    </row>
    <row r="798" spans="1:36" hidden="1">
      <c r="A798" s="3" t="str">
        <f>IF(複数商品!A29="","",複数商品!A29)</f>
        <v/>
      </c>
      <c r="B798" s="68" t="str">
        <f>IF(複数商品!B29="","",複数商品!B29)</f>
        <v/>
      </c>
      <c r="C798" s="68" t="str">
        <f>IF(複数商品!C29="","",複数商品!C29)</f>
        <v>◇ 《 》 E</v>
      </c>
      <c r="D798" s="3" t="str">
        <f>複数商品!E29</f>
        <v>無</v>
      </c>
      <c r="E798" s="68" t="str">
        <f>IF(複数商品!AM29="","",複数商品!AM29)</f>
        <v>ベースM</v>
      </c>
      <c r="F798" s="68">
        <f>IF(複数商品!G29="","",複数商品!G29)</f>
        <v>3</v>
      </c>
      <c r="G798" s="68" t="str">
        <f>IF(複数商品!H29="","",複数商品!H29)</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98" s="68" t="str">
        <f>IF(複数商品!I29="","",複数商品!I29)</f>
        <v/>
      </c>
      <c r="I798" s="68" t="str">
        <f>IF(複数商品!J29="","",複数商品!J29)</f>
        <v>まとめ売り商品の為、各季節、異なる素材の商品が混合しております。予めご注意願います。</v>
      </c>
      <c r="J798" s="68" t="str">
        <f>IF(複数商品!K29="","",複数商品!K29)</f>
        <v>まとめ売り商品の為、複数の色の商品が混合しております。予め注意願います。</v>
      </c>
      <c r="K798" s="68" t="str">
        <f>IF(複数商品!L29="","",複数商品!L29)</f>
        <v>まとめ売り商品の為、複数のサイズが混合しております。カテゴリのサイズは確実なものではありません。予めご注意願います。</v>
      </c>
      <c r="L798" s="69" t="s">
        <v>80</v>
      </c>
      <c r="M798" s="69" t="s">
        <v>19</v>
      </c>
      <c r="N798" s="69" t="s">
        <v>20</v>
      </c>
      <c r="O798" s="69" t="s">
        <v>21</v>
      </c>
      <c r="P798" s="4" t="s">
        <v>3036</v>
      </c>
      <c r="Q798" s="4" t="s">
        <v>3038</v>
      </c>
      <c r="R798" s="69" t="s">
        <v>22</v>
      </c>
      <c r="S798" s="69" t="s">
        <v>23</v>
      </c>
      <c r="T798" s="69" t="s">
        <v>22</v>
      </c>
      <c r="U798" s="69" t="s">
        <v>24</v>
      </c>
      <c r="V798" s="69" t="s">
        <v>25</v>
      </c>
      <c r="W798" s="69" t="s">
        <v>26</v>
      </c>
      <c r="X798" s="69" t="s">
        <v>27</v>
      </c>
      <c r="Y798" s="3" t="str">
        <f>複数商品!AK29</f>
        <v>【商品①】全長：cm　最大幅：cm ×&lt;BR&gt;【商品②】全長：cm　最大幅：cm ×&lt;BR&gt;【商品③】全長：cm　最大幅：cm ×&lt;BR&gt;【商品④】全長：cm　最大幅：cm ×&lt;BR&gt;</v>
      </c>
      <c r="Z798" s="69" t="s">
        <v>29</v>
      </c>
      <c r="AA798" s="4"/>
      <c r="AB798" s="4"/>
      <c r="AC798" s="4"/>
      <c r="AD798" s="70"/>
      <c r="AE798" s="70">
        <f>複数商品!AQ29</f>
        <v>0</v>
      </c>
      <c r="AF798" s="70" t="str">
        <f>複数商品!AD29</f>
        <v>通常</v>
      </c>
      <c r="AG798" s="70">
        <v>0</v>
      </c>
      <c r="AH798" s="9">
        <f>複数商品!AO29</f>
        <v>0</v>
      </c>
      <c r="AI798">
        <v>1</v>
      </c>
      <c r="AJ798">
        <f>複数商品!AG29</f>
        <v>0</v>
      </c>
    </row>
    <row r="799" spans="1:36" hidden="1">
      <c r="A799" s="3" t="str">
        <f>IF(複数商品!A30="","",複数商品!A30)</f>
        <v/>
      </c>
      <c r="B799" s="68" t="str">
        <f>IF(複数商品!B30="","",複数商品!B30)</f>
        <v/>
      </c>
      <c r="C799" s="68" t="str">
        <f>IF(複数商品!C30="","",複数商品!C30)</f>
        <v>◇ 《 》 E</v>
      </c>
      <c r="D799" s="3" t="str">
        <f>複数商品!E30</f>
        <v>無</v>
      </c>
      <c r="E799" s="68" t="str">
        <f>IF(複数商品!AM30="","",複数商品!AM30)</f>
        <v>ベースM</v>
      </c>
      <c r="F799" s="68">
        <f>IF(複数商品!G30="","",複数商品!G30)</f>
        <v>3</v>
      </c>
      <c r="G799" s="68" t="str">
        <f>IF(複数商品!H30="","",複数商品!H30)</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799" s="68" t="str">
        <f>IF(複数商品!I30="","",複数商品!I30)</f>
        <v/>
      </c>
      <c r="I799" s="68" t="str">
        <f>IF(複数商品!J30="","",複数商品!J30)</f>
        <v>まとめ売り商品の為、各季節、異なる素材の商品が混合しております。予めご注意願います。</v>
      </c>
      <c r="J799" s="68" t="str">
        <f>IF(複数商品!K30="","",複数商品!K30)</f>
        <v>まとめ売り商品の為、複数の色の商品が混合しております。予め注意願います。</v>
      </c>
      <c r="K799" s="68" t="str">
        <f>IF(複数商品!L30="","",複数商品!L30)</f>
        <v>まとめ売り商品の為、複数のサイズが混合しております。カテゴリのサイズは確実なものではありません。予めご注意願います。</v>
      </c>
      <c r="L799" s="69" t="s">
        <v>80</v>
      </c>
      <c r="M799" s="69" t="s">
        <v>19</v>
      </c>
      <c r="N799" s="69" t="s">
        <v>20</v>
      </c>
      <c r="O799" s="69" t="s">
        <v>21</v>
      </c>
      <c r="P799" s="4" t="s">
        <v>3036</v>
      </c>
      <c r="Q799" s="4" t="s">
        <v>3038</v>
      </c>
      <c r="R799" s="69" t="s">
        <v>22</v>
      </c>
      <c r="S799" s="69" t="s">
        <v>23</v>
      </c>
      <c r="T799" s="69" t="s">
        <v>22</v>
      </c>
      <c r="U799" s="69" t="s">
        <v>24</v>
      </c>
      <c r="V799" s="69" t="s">
        <v>25</v>
      </c>
      <c r="W799" s="69" t="s">
        <v>26</v>
      </c>
      <c r="X799" s="69" t="s">
        <v>27</v>
      </c>
      <c r="Y799" s="3" t="str">
        <f>複数商品!AK30</f>
        <v>【商品①】全長：cm　最大幅：cm ×&lt;BR&gt;【商品②】全長：cm　最大幅：cm ×&lt;BR&gt;【商品③】全長：cm　最大幅：cm ×&lt;BR&gt;【商品④】全長：cm　最大幅：cm ×&lt;BR&gt;</v>
      </c>
      <c r="Z799" s="69" t="s">
        <v>29</v>
      </c>
      <c r="AA799" s="4"/>
      <c r="AB799" s="4"/>
      <c r="AC799" s="4"/>
      <c r="AD799" s="70"/>
      <c r="AE799" s="70">
        <f>複数商品!AQ30</f>
        <v>0</v>
      </c>
      <c r="AF799" s="70" t="str">
        <f>複数商品!AD30</f>
        <v>通常</v>
      </c>
      <c r="AG799" s="70">
        <v>0</v>
      </c>
      <c r="AH799" s="9">
        <f>複数商品!AO30</f>
        <v>0</v>
      </c>
      <c r="AI799">
        <v>1</v>
      </c>
      <c r="AJ799">
        <f>複数商品!AG30</f>
        <v>0</v>
      </c>
    </row>
    <row r="800" spans="1:36" hidden="1">
      <c r="A800" s="3" t="str">
        <f>IF(複数商品!A31="","",複数商品!A31)</f>
        <v/>
      </c>
      <c r="B800" s="68" t="str">
        <f>IF(複数商品!B31="","",複数商品!B31)</f>
        <v/>
      </c>
      <c r="C800" s="68" t="str">
        <f>IF(複数商品!C31="","",複数商品!C31)</f>
        <v>◇ 《 》 E</v>
      </c>
      <c r="D800" s="3" t="str">
        <f>複数商品!E31</f>
        <v>無</v>
      </c>
      <c r="E800" s="68" t="str">
        <f>IF(複数商品!AM31="","",複数商品!AM31)</f>
        <v>ベースM</v>
      </c>
      <c r="F800" s="68">
        <f>IF(複数商品!G31="","",複数商品!G31)</f>
        <v>3</v>
      </c>
      <c r="G800" s="68" t="str">
        <f>IF(複数商品!H31="","",複数商品!H31)</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00" s="68" t="str">
        <f>IF(複数商品!I31="","",複数商品!I31)</f>
        <v/>
      </c>
      <c r="I800" s="68" t="str">
        <f>IF(複数商品!J31="","",複数商品!J31)</f>
        <v>まとめ売り商品の為、各季節、異なる素材の商品が混合しております。予めご注意願います。</v>
      </c>
      <c r="J800" s="68" t="str">
        <f>IF(複数商品!K31="","",複数商品!K31)</f>
        <v>まとめ売り商品の為、複数の色の商品が混合しております。予め注意願います。</v>
      </c>
      <c r="K800" s="68" t="str">
        <f>IF(複数商品!L31="","",複数商品!L31)</f>
        <v>まとめ売り商品の為、複数のサイズが混合しております。カテゴリのサイズは確実なものではありません。予めご注意願います。</v>
      </c>
      <c r="L800" s="69" t="s">
        <v>80</v>
      </c>
      <c r="M800" s="69" t="s">
        <v>19</v>
      </c>
      <c r="N800" s="69" t="s">
        <v>20</v>
      </c>
      <c r="O800" s="69" t="s">
        <v>21</v>
      </c>
      <c r="P800" s="4" t="s">
        <v>3036</v>
      </c>
      <c r="Q800" s="4" t="s">
        <v>3038</v>
      </c>
      <c r="R800" s="69" t="s">
        <v>22</v>
      </c>
      <c r="S800" s="69" t="s">
        <v>23</v>
      </c>
      <c r="T800" s="69" t="s">
        <v>22</v>
      </c>
      <c r="U800" s="69" t="s">
        <v>24</v>
      </c>
      <c r="V800" s="69" t="s">
        <v>25</v>
      </c>
      <c r="W800" s="69" t="s">
        <v>26</v>
      </c>
      <c r="X800" s="69" t="s">
        <v>27</v>
      </c>
      <c r="Y800" s="3" t="str">
        <f>複数商品!AK31</f>
        <v>【商品①】全長：cm　最大幅：cm ×&lt;BR&gt;【商品②】全長：cm　最大幅：cm ×&lt;BR&gt;【商品③】全長：cm　最大幅：cm ×&lt;BR&gt;【商品④】全長：cm　最大幅：cm ×&lt;BR&gt;</v>
      </c>
      <c r="Z800" s="69" t="s">
        <v>29</v>
      </c>
      <c r="AA800" s="4"/>
      <c r="AB800" s="4"/>
      <c r="AC800" s="4"/>
      <c r="AD800" s="70"/>
      <c r="AE800" s="70">
        <f>複数商品!AQ31</f>
        <v>0</v>
      </c>
      <c r="AF800" s="70" t="str">
        <f>複数商品!AD31</f>
        <v>通常</v>
      </c>
      <c r="AG800" s="70">
        <v>0</v>
      </c>
      <c r="AH800" s="9">
        <f>複数商品!AO31</f>
        <v>0</v>
      </c>
      <c r="AI800">
        <v>1</v>
      </c>
      <c r="AJ800">
        <f>複数商品!AG31</f>
        <v>0</v>
      </c>
    </row>
    <row r="801" spans="1:36" hidden="1">
      <c r="A801" s="3" t="str">
        <f>IF(複数商品!A32="","",複数商品!A32)</f>
        <v/>
      </c>
      <c r="B801" s="68" t="str">
        <f>IF(複数商品!B32="","",複数商品!B32)</f>
        <v/>
      </c>
      <c r="C801" s="68" t="str">
        <f>IF(複数商品!C32="","",複数商品!C32)</f>
        <v>◇ 《 》 E</v>
      </c>
      <c r="D801" s="3" t="str">
        <f>複数商品!E32</f>
        <v>無</v>
      </c>
      <c r="E801" s="68" t="str">
        <f>IF(複数商品!AM32="","",複数商品!AM32)</f>
        <v>ベースM</v>
      </c>
      <c r="F801" s="68">
        <f>IF(複数商品!G32="","",複数商品!G32)</f>
        <v>3</v>
      </c>
      <c r="G801" s="68" t="str">
        <f>IF(複数商品!H32="","",複数商品!H32)</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01" s="68" t="str">
        <f>IF(複数商品!I32="","",複数商品!I32)</f>
        <v/>
      </c>
      <c r="I801" s="68" t="str">
        <f>IF(複数商品!J32="","",複数商品!J32)</f>
        <v>まとめ売り商品の為、各季節、異なる素材の商品が混合しております。予めご注意願います。</v>
      </c>
      <c r="J801" s="68" t="str">
        <f>IF(複数商品!K32="","",複数商品!K32)</f>
        <v>まとめ売り商品の為、複数の色の商品が混合しております。予め注意願います。</v>
      </c>
      <c r="K801" s="68" t="str">
        <f>IF(複数商品!L32="","",複数商品!L32)</f>
        <v>まとめ売り商品の為、複数のサイズが混合しております。カテゴリのサイズは確実なものではありません。予めご注意願います。</v>
      </c>
      <c r="L801" s="69" t="s">
        <v>80</v>
      </c>
      <c r="M801" s="69" t="s">
        <v>19</v>
      </c>
      <c r="N801" s="69" t="s">
        <v>20</v>
      </c>
      <c r="O801" s="69" t="s">
        <v>21</v>
      </c>
      <c r="P801" s="4" t="s">
        <v>3036</v>
      </c>
      <c r="Q801" s="4" t="s">
        <v>3038</v>
      </c>
      <c r="R801" s="69" t="s">
        <v>22</v>
      </c>
      <c r="S801" s="69" t="s">
        <v>23</v>
      </c>
      <c r="T801" s="69" t="s">
        <v>22</v>
      </c>
      <c r="U801" s="69" t="s">
        <v>24</v>
      </c>
      <c r="V801" s="69" t="s">
        <v>25</v>
      </c>
      <c r="W801" s="69" t="s">
        <v>26</v>
      </c>
      <c r="X801" s="69" t="s">
        <v>27</v>
      </c>
      <c r="Y801" s="3" t="str">
        <f>複数商品!AK32</f>
        <v>【商品①】全長：cm　最大幅：cm ×&lt;BR&gt;【商品②】全長：cm　最大幅：cm ×&lt;BR&gt;【商品③】全長：cm　最大幅：cm ×&lt;BR&gt;【商品④】全長：cm　最大幅：cm ×&lt;BR&gt;</v>
      </c>
      <c r="Z801" s="69" t="s">
        <v>29</v>
      </c>
      <c r="AA801" s="4"/>
      <c r="AB801" s="4"/>
      <c r="AC801" s="4"/>
      <c r="AD801" s="70"/>
      <c r="AE801" s="70">
        <f>複数商品!AQ32</f>
        <v>0</v>
      </c>
      <c r="AF801" s="70" t="str">
        <f>複数商品!AD32</f>
        <v>通常</v>
      </c>
      <c r="AG801" s="70">
        <v>0</v>
      </c>
      <c r="AH801" s="9">
        <f>複数商品!AO32</f>
        <v>0</v>
      </c>
      <c r="AI801">
        <v>1</v>
      </c>
      <c r="AJ801">
        <f>複数商品!AG32</f>
        <v>0</v>
      </c>
    </row>
    <row r="802" spans="1:36" hidden="1">
      <c r="A802" s="3" t="str">
        <f>IF(複数商品!A33="","",複数商品!A33)</f>
        <v/>
      </c>
      <c r="B802" s="68" t="str">
        <f>IF(複数商品!B33="","",複数商品!B33)</f>
        <v/>
      </c>
      <c r="C802" s="68" t="str">
        <f>IF(複数商品!C33="","",複数商品!C33)</f>
        <v>◇ 《 》 E</v>
      </c>
      <c r="D802" s="3" t="str">
        <f>複数商品!E33</f>
        <v>無</v>
      </c>
      <c r="E802" s="68" t="str">
        <f>IF(複数商品!AM33="","",複数商品!AM33)</f>
        <v>ベースM</v>
      </c>
      <c r="F802" s="68">
        <f>IF(複数商品!G33="","",複数商品!G33)</f>
        <v>3</v>
      </c>
      <c r="G802" s="68" t="str">
        <f>IF(複数商品!H33="","",複数商品!H33)</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02" s="68" t="str">
        <f>IF(複数商品!I33="","",複数商品!I33)</f>
        <v/>
      </c>
      <c r="I802" s="68" t="str">
        <f>IF(複数商品!J33="","",複数商品!J33)</f>
        <v>まとめ売り商品の為、各季節、異なる素材の商品が混合しております。予めご注意願います。</v>
      </c>
      <c r="J802" s="68" t="str">
        <f>IF(複数商品!K33="","",複数商品!K33)</f>
        <v>まとめ売り商品の為、複数の色の商品が混合しております。予め注意願います。</v>
      </c>
      <c r="K802" s="68" t="str">
        <f>IF(複数商品!L33="","",複数商品!L33)</f>
        <v>まとめ売り商品の為、複数のサイズが混合しております。カテゴリのサイズは確実なものではありません。予めご注意願います。</v>
      </c>
      <c r="L802" s="69" t="s">
        <v>80</v>
      </c>
      <c r="M802" s="69" t="s">
        <v>19</v>
      </c>
      <c r="N802" s="69" t="s">
        <v>20</v>
      </c>
      <c r="O802" s="69" t="s">
        <v>21</v>
      </c>
      <c r="P802" s="4" t="s">
        <v>3036</v>
      </c>
      <c r="Q802" s="4" t="s">
        <v>3038</v>
      </c>
      <c r="R802" s="69" t="s">
        <v>22</v>
      </c>
      <c r="S802" s="69" t="s">
        <v>23</v>
      </c>
      <c r="T802" s="69" t="s">
        <v>22</v>
      </c>
      <c r="U802" s="69" t="s">
        <v>24</v>
      </c>
      <c r="V802" s="69" t="s">
        <v>25</v>
      </c>
      <c r="W802" s="69" t="s">
        <v>26</v>
      </c>
      <c r="X802" s="69" t="s">
        <v>27</v>
      </c>
      <c r="Y802" s="3" t="str">
        <f>複数商品!AK33</f>
        <v>【商品①】全長：cm　最大幅：cm ×&lt;BR&gt;【商品②】全長：cm　最大幅：cm ×&lt;BR&gt;【商品③】全長：cm　最大幅：cm ×&lt;BR&gt;【商品④】全長：cm　最大幅：cm ×&lt;BR&gt;</v>
      </c>
      <c r="Z802" s="69" t="s">
        <v>29</v>
      </c>
      <c r="AA802" s="4"/>
      <c r="AB802" s="4"/>
      <c r="AC802" s="4"/>
      <c r="AD802" s="70"/>
      <c r="AE802" s="70">
        <f>複数商品!AQ33</f>
        <v>0</v>
      </c>
      <c r="AF802" s="70" t="str">
        <f>複数商品!AD33</f>
        <v>通常</v>
      </c>
      <c r="AG802" s="70">
        <v>0</v>
      </c>
      <c r="AH802" s="9">
        <f>複数商品!AO33</f>
        <v>0</v>
      </c>
      <c r="AI802">
        <v>1</v>
      </c>
      <c r="AJ802">
        <f>複数商品!AG33</f>
        <v>0</v>
      </c>
    </row>
    <row r="803" spans="1:36" hidden="1">
      <c r="A803" s="3" t="str">
        <f>IF(複数商品!A34="","",複数商品!A34)</f>
        <v/>
      </c>
      <c r="B803" s="68" t="str">
        <f>IF(複数商品!B34="","",複数商品!B34)</f>
        <v/>
      </c>
      <c r="C803" s="68" t="str">
        <f>IF(複数商品!C34="","",複数商品!C34)</f>
        <v>◇ 《 》 E</v>
      </c>
      <c r="D803" s="3" t="str">
        <f>複数商品!E34</f>
        <v>無</v>
      </c>
      <c r="E803" s="68" t="str">
        <f>IF(複数商品!AM34="","",複数商品!AM34)</f>
        <v>ベースM</v>
      </c>
      <c r="F803" s="68">
        <f>IF(複数商品!G34="","",複数商品!G34)</f>
        <v>3</v>
      </c>
      <c r="G803" s="68" t="str">
        <f>IF(複数商品!H34="","",複数商品!H34)</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03" s="68" t="str">
        <f>IF(複数商品!I34="","",複数商品!I34)</f>
        <v/>
      </c>
      <c r="I803" s="68" t="str">
        <f>IF(複数商品!J34="","",複数商品!J34)</f>
        <v>まとめ売り商品の為、各季節、異なる素材の商品が混合しております。予めご注意願います。</v>
      </c>
      <c r="J803" s="68" t="str">
        <f>IF(複数商品!K34="","",複数商品!K34)</f>
        <v>まとめ売り商品の為、複数の色の商品が混合しております。予め注意願います。</v>
      </c>
      <c r="K803" s="68" t="str">
        <f>IF(複数商品!L34="","",複数商品!L34)</f>
        <v>まとめ売り商品の為、複数のサイズが混合しております。カテゴリのサイズは確実なものではありません。予めご注意願います。</v>
      </c>
      <c r="L803" s="69" t="s">
        <v>80</v>
      </c>
      <c r="M803" s="69" t="s">
        <v>19</v>
      </c>
      <c r="N803" s="69" t="s">
        <v>20</v>
      </c>
      <c r="O803" s="69" t="s">
        <v>21</v>
      </c>
      <c r="P803" s="4" t="s">
        <v>3036</v>
      </c>
      <c r="Q803" s="4" t="s">
        <v>3038</v>
      </c>
      <c r="R803" s="69" t="s">
        <v>22</v>
      </c>
      <c r="S803" s="69" t="s">
        <v>23</v>
      </c>
      <c r="T803" s="69" t="s">
        <v>22</v>
      </c>
      <c r="U803" s="69" t="s">
        <v>24</v>
      </c>
      <c r="V803" s="69" t="s">
        <v>25</v>
      </c>
      <c r="W803" s="69" t="s">
        <v>26</v>
      </c>
      <c r="X803" s="69" t="s">
        <v>27</v>
      </c>
      <c r="Y803" s="3" t="str">
        <f>複数商品!AK34</f>
        <v>【商品①】全長：cm　最大幅：cm ×&lt;BR&gt;【商品②】全長：cm　最大幅：cm ×&lt;BR&gt;【商品③】全長：cm　最大幅：cm ×&lt;BR&gt;【商品④】全長：cm　最大幅：cm ×&lt;BR&gt;</v>
      </c>
      <c r="Z803" s="69" t="s">
        <v>29</v>
      </c>
      <c r="AA803" s="4"/>
      <c r="AB803" s="4"/>
      <c r="AC803" s="4"/>
      <c r="AD803" s="70"/>
      <c r="AE803" s="70">
        <f>複数商品!AQ34</f>
        <v>0</v>
      </c>
      <c r="AF803" s="70" t="str">
        <f>複数商品!AD34</f>
        <v>通常</v>
      </c>
      <c r="AG803" s="70">
        <v>0</v>
      </c>
      <c r="AH803" s="9">
        <f>複数商品!AO34</f>
        <v>0</v>
      </c>
      <c r="AI803">
        <v>1</v>
      </c>
      <c r="AJ803">
        <f>複数商品!AG34</f>
        <v>0</v>
      </c>
    </row>
    <row r="804" spans="1:36" hidden="1">
      <c r="A804" s="3" t="str">
        <f>IF(複数商品!A35="","",複数商品!A35)</f>
        <v/>
      </c>
      <c r="B804" s="68" t="str">
        <f>IF(複数商品!B35="","",複数商品!B35)</f>
        <v/>
      </c>
      <c r="C804" s="68" t="str">
        <f>IF(複数商品!C35="","",複数商品!C35)</f>
        <v>◇ 《 》 E</v>
      </c>
      <c r="D804" s="3" t="str">
        <f>複数商品!E35</f>
        <v>無</v>
      </c>
      <c r="E804" s="68" t="str">
        <f>IF(複数商品!AM35="","",複数商品!AM35)</f>
        <v>ベースM</v>
      </c>
      <c r="F804" s="68">
        <f>IF(複数商品!G35="","",複数商品!G35)</f>
        <v>3</v>
      </c>
      <c r="G804" s="68" t="str">
        <f>IF(複数商品!H35="","",複数商品!H35)</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04" s="68" t="str">
        <f>IF(複数商品!I35="","",複数商品!I35)</f>
        <v/>
      </c>
      <c r="I804" s="68" t="str">
        <f>IF(複数商品!J35="","",複数商品!J35)</f>
        <v>まとめ売り商品の為、各季節、異なる素材の商品が混合しております。予めご注意願います。</v>
      </c>
      <c r="J804" s="68" t="str">
        <f>IF(複数商品!K35="","",複数商品!K35)</f>
        <v>まとめ売り商品の為、複数の色の商品が混合しております。予め注意願います。</v>
      </c>
      <c r="K804" s="68" t="str">
        <f>IF(複数商品!L35="","",複数商品!L35)</f>
        <v>まとめ売り商品の為、複数のサイズが混合しております。カテゴリのサイズは確実なものではありません。予めご注意願います。</v>
      </c>
      <c r="L804" s="69" t="s">
        <v>80</v>
      </c>
      <c r="M804" s="69" t="s">
        <v>19</v>
      </c>
      <c r="N804" s="69" t="s">
        <v>20</v>
      </c>
      <c r="O804" s="69" t="s">
        <v>21</v>
      </c>
      <c r="P804" s="4" t="s">
        <v>3036</v>
      </c>
      <c r="Q804" s="4" t="s">
        <v>3038</v>
      </c>
      <c r="R804" s="69" t="s">
        <v>22</v>
      </c>
      <c r="S804" s="69" t="s">
        <v>23</v>
      </c>
      <c r="T804" s="69" t="s">
        <v>22</v>
      </c>
      <c r="U804" s="69" t="s">
        <v>24</v>
      </c>
      <c r="V804" s="69" t="s">
        <v>25</v>
      </c>
      <c r="W804" s="69" t="s">
        <v>26</v>
      </c>
      <c r="X804" s="69" t="s">
        <v>27</v>
      </c>
      <c r="Y804" s="3" t="str">
        <f>複数商品!AK35</f>
        <v>【商品①】全長：cm　最大幅：cm ×&lt;BR&gt;【商品②】全長：cm　最大幅：cm ×&lt;BR&gt;【商品③】全長：cm　最大幅：cm ×&lt;BR&gt;【商品④】全長：cm　最大幅：cm ×&lt;BR&gt;</v>
      </c>
      <c r="Z804" s="69" t="s">
        <v>29</v>
      </c>
      <c r="AA804" s="4"/>
      <c r="AB804" s="4"/>
      <c r="AC804" s="4"/>
      <c r="AD804" s="70"/>
      <c r="AE804" s="70">
        <f>複数商品!AQ35</f>
        <v>0</v>
      </c>
      <c r="AF804" s="70" t="str">
        <f>複数商品!AD35</f>
        <v>通常</v>
      </c>
      <c r="AG804" s="70">
        <v>0</v>
      </c>
      <c r="AH804" s="9">
        <f>複数商品!AO35</f>
        <v>0</v>
      </c>
      <c r="AI804">
        <v>1</v>
      </c>
      <c r="AJ804">
        <f>複数商品!AG35</f>
        <v>0</v>
      </c>
    </row>
    <row r="805" spans="1:36" hidden="1">
      <c r="A805" s="3" t="str">
        <f>IF(複数商品!A36="","",複数商品!A36)</f>
        <v/>
      </c>
      <c r="B805" s="68" t="str">
        <f>IF(複数商品!B36="","",複数商品!B36)</f>
        <v/>
      </c>
      <c r="C805" s="68" t="str">
        <f>IF(複数商品!C36="","",複数商品!C36)</f>
        <v>◇ 《 》 E</v>
      </c>
      <c r="D805" s="3" t="str">
        <f>複数商品!E36</f>
        <v>無</v>
      </c>
      <c r="E805" s="68" t="str">
        <f>IF(複数商品!AM36="","",複数商品!AM36)</f>
        <v>ベースM</v>
      </c>
      <c r="F805" s="68">
        <f>IF(複数商品!G36="","",複数商品!G36)</f>
        <v>3</v>
      </c>
      <c r="G805" s="68" t="str">
        <f>IF(複数商品!H36="","",複数商品!H36)</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05" s="68" t="str">
        <f>IF(複数商品!I36="","",複数商品!I36)</f>
        <v/>
      </c>
      <c r="I805" s="68" t="str">
        <f>IF(複数商品!J36="","",複数商品!J36)</f>
        <v>まとめ売り商品の為、各季節、異なる素材の商品が混合しております。予めご注意願います。</v>
      </c>
      <c r="J805" s="68" t="str">
        <f>IF(複数商品!K36="","",複数商品!K36)</f>
        <v>まとめ売り商品の為、複数の色の商品が混合しております。予め注意願います。</v>
      </c>
      <c r="K805" s="68" t="str">
        <f>IF(複数商品!L36="","",複数商品!L36)</f>
        <v>まとめ売り商品の為、複数のサイズが混合しております。カテゴリのサイズは確実なものではありません。予めご注意願います。</v>
      </c>
      <c r="L805" s="69" t="s">
        <v>80</v>
      </c>
      <c r="M805" s="69" t="s">
        <v>19</v>
      </c>
      <c r="N805" s="69" t="s">
        <v>20</v>
      </c>
      <c r="O805" s="69" t="s">
        <v>21</v>
      </c>
      <c r="P805" s="4" t="s">
        <v>3036</v>
      </c>
      <c r="Q805" s="4" t="s">
        <v>3038</v>
      </c>
      <c r="R805" s="69" t="s">
        <v>22</v>
      </c>
      <c r="S805" s="69" t="s">
        <v>23</v>
      </c>
      <c r="T805" s="69" t="s">
        <v>22</v>
      </c>
      <c r="U805" s="69" t="s">
        <v>24</v>
      </c>
      <c r="V805" s="69" t="s">
        <v>25</v>
      </c>
      <c r="W805" s="69" t="s">
        <v>26</v>
      </c>
      <c r="X805" s="69" t="s">
        <v>27</v>
      </c>
      <c r="Y805" s="3" t="str">
        <f>複数商品!AK36</f>
        <v>【商品①】全長：cm　最大幅：cm ×&lt;BR&gt;【商品②】全長：cm　最大幅：cm ×&lt;BR&gt;【商品③】全長：cm　最大幅：cm ×&lt;BR&gt;【商品④】全長：cm　最大幅：cm ×&lt;BR&gt;</v>
      </c>
      <c r="Z805" s="69" t="s">
        <v>29</v>
      </c>
      <c r="AA805" s="4"/>
      <c r="AB805" s="4"/>
      <c r="AC805" s="4"/>
      <c r="AD805" s="70"/>
      <c r="AE805" s="70">
        <f>複数商品!AQ36</f>
        <v>0</v>
      </c>
      <c r="AF805" s="70" t="str">
        <f>複数商品!AD36</f>
        <v>通常</v>
      </c>
      <c r="AG805" s="70">
        <v>0</v>
      </c>
      <c r="AH805" s="9">
        <f>複数商品!AO36</f>
        <v>0</v>
      </c>
      <c r="AI805">
        <v>1</v>
      </c>
      <c r="AJ805">
        <f>複数商品!AG36</f>
        <v>0</v>
      </c>
    </row>
    <row r="806" spans="1:36" hidden="1">
      <c r="A806" s="3" t="str">
        <f>IF(複数商品!A37="","",複数商品!A37)</f>
        <v/>
      </c>
      <c r="B806" s="68" t="str">
        <f>IF(複数商品!B37="","",複数商品!B37)</f>
        <v/>
      </c>
      <c r="C806" s="68" t="str">
        <f>IF(複数商品!C37="","",複数商品!C37)</f>
        <v>◇ 《 》 E</v>
      </c>
      <c r="D806" s="3" t="str">
        <f>複数商品!E37</f>
        <v>無</v>
      </c>
      <c r="E806" s="68" t="str">
        <f>IF(複数商品!AM37="","",複数商品!AM37)</f>
        <v>ベースM</v>
      </c>
      <c r="F806" s="68">
        <f>IF(複数商品!G37="","",複数商品!G37)</f>
        <v>3</v>
      </c>
      <c r="G806" s="68" t="str">
        <f>IF(複数商品!H37="","",複数商品!H37)</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06" s="68" t="str">
        <f>IF(複数商品!I37="","",複数商品!I37)</f>
        <v/>
      </c>
      <c r="I806" s="68" t="str">
        <f>IF(複数商品!J37="","",複数商品!J37)</f>
        <v>まとめ売り商品の為、各季節、異なる素材の商品が混合しております。予めご注意願います。</v>
      </c>
      <c r="J806" s="68" t="str">
        <f>IF(複数商品!K37="","",複数商品!K37)</f>
        <v>まとめ売り商品の為、複数の色の商品が混合しております。予め注意願います。</v>
      </c>
      <c r="K806" s="68" t="str">
        <f>IF(複数商品!L37="","",複数商品!L37)</f>
        <v>まとめ売り商品の為、複数のサイズが混合しております。カテゴリのサイズは確実なものではありません。予めご注意願います。</v>
      </c>
      <c r="L806" s="69" t="s">
        <v>80</v>
      </c>
      <c r="M806" s="69" t="s">
        <v>19</v>
      </c>
      <c r="N806" s="69" t="s">
        <v>20</v>
      </c>
      <c r="O806" s="69" t="s">
        <v>21</v>
      </c>
      <c r="P806" s="4" t="s">
        <v>3036</v>
      </c>
      <c r="Q806" s="4" t="s">
        <v>3038</v>
      </c>
      <c r="R806" s="69" t="s">
        <v>22</v>
      </c>
      <c r="S806" s="69" t="s">
        <v>23</v>
      </c>
      <c r="T806" s="69" t="s">
        <v>22</v>
      </c>
      <c r="U806" s="69" t="s">
        <v>24</v>
      </c>
      <c r="V806" s="69" t="s">
        <v>25</v>
      </c>
      <c r="W806" s="69" t="s">
        <v>26</v>
      </c>
      <c r="X806" s="69" t="s">
        <v>27</v>
      </c>
      <c r="Y806" s="3" t="str">
        <f>複数商品!AK37</f>
        <v>【商品①】全長：cm　最大幅：cm ×&lt;BR&gt;【商品②】全長：cm　最大幅：cm ×&lt;BR&gt;【商品③】全長：cm　最大幅：cm ×&lt;BR&gt;【商品④】全長：cm　最大幅：cm ×&lt;BR&gt;</v>
      </c>
      <c r="Z806" s="69" t="s">
        <v>29</v>
      </c>
      <c r="AA806" s="4"/>
      <c r="AB806" s="4"/>
      <c r="AC806" s="4"/>
      <c r="AD806" s="70"/>
      <c r="AE806" s="70">
        <f>複数商品!AQ37</f>
        <v>0</v>
      </c>
      <c r="AF806" s="70" t="str">
        <f>複数商品!AD37</f>
        <v>通常</v>
      </c>
      <c r="AG806" s="70">
        <v>0</v>
      </c>
      <c r="AH806" s="9">
        <f>複数商品!AO37</f>
        <v>0</v>
      </c>
      <c r="AI806">
        <v>1</v>
      </c>
      <c r="AJ806">
        <f>複数商品!AG37</f>
        <v>0</v>
      </c>
    </row>
    <row r="807" spans="1:36" hidden="1">
      <c r="A807" s="3" t="str">
        <f>IF(複数商品!A38="","",複数商品!A38)</f>
        <v/>
      </c>
      <c r="B807" s="68" t="str">
        <f>IF(複数商品!B38="","",複数商品!B38)</f>
        <v/>
      </c>
      <c r="C807" s="68" t="str">
        <f>IF(複数商品!C38="","",複数商品!C38)</f>
        <v>◇ 《 》 E</v>
      </c>
      <c r="D807" s="3" t="str">
        <f>複数商品!E38</f>
        <v>無</v>
      </c>
      <c r="E807" s="68" t="str">
        <f>IF(複数商品!AM38="","",複数商品!AM38)</f>
        <v>ベースM</v>
      </c>
      <c r="F807" s="68">
        <f>IF(複数商品!G38="","",複数商品!G38)</f>
        <v>3</v>
      </c>
      <c r="G807" s="68" t="str">
        <f>IF(複数商品!H38="","",複数商品!H38)</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07" s="68" t="str">
        <f>IF(複数商品!I38="","",複数商品!I38)</f>
        <v/>
      </c>
      <c r="I807" s="68" t="str">
        <f>IF(複数商品!J38="","",複数商品!J38)</f>
        <v>まとめ売り商品の為、各季節、異なる素材の商品が混合しております。予めご注意願います。</v>
      </c>
      <c r="J807" s="68" t="str">
        <f>IF(複数商品!K38="","",複数商品!K38)</f>
        <v>まとめ売り商品の為、複数の色の商品が混合しております。予め注意願います。</v>
      </c>
      <c r="K807" s="68" t="str">
        <f>IF(複数商品!L38="","",複数商品!L38)</f>
        <v>まとめ売り商品の為、複数のサイズが混合しております。カテゴリのサイズは確実なものではありません。予めご注意願います。</v>
      </c>
      <c r="L807" s="69" t="s">
        <v>80</v>
      </c>
      <c r="M807" s="69" t="s">
        <v>19</v>
      </c>
      <c r="N807" s="69" t="s">
        <v>20</v>
      </c>
      <c r="O807" s="69" t="s">
        <v>21</v>
      </c>
      <c r="P807" s="4" t="s">
        <v>3036</v>
      </c>
      <c r="Q807" s="4" t="s">
        <v>3038</v>
      </c>
      <c r="R807" s="69" t="s">
        <v>22</v>
      </c>
      <c r="S807" s="69" t="s">
        <v>23</v>
      </c>
      <c r="T807" s="69" t="s">
        <v>22</v>
      </c>
      <c r="U807" s="69" t="s">
        <v>24</v>
      </c>
      <c r="V807" s="69" t="s">
        <v>25</v>
      </c>
      <c r="W807" s="69" t="s">
        <v>26</v>
      </c>
      <c r="X807" s="69" t="s">
        <v>27</v>
      </c>
      <c r="Y807" s="3" t="str">
        <f>複数商品!AK38</f>
        <v>【商品①】全長：cm　最大幅：cm ×&lt;BR&gt;【商品②】全長：cm　最大幅：cm ×&lt;BR&gt;【商品③】全長：cm　最大幅：cm ×&lt;BR&gt;【商品④】全長：cm　最大幅：cm ×&lt;BR&gt;</v>
      </c>
      <c r="Z807" s="69" t="s">
        <v>29</v>
      </c>
      <c r="AA807" s="4"/>
      <c r="AB807" s="4"/>
      <c r="AC807" s="4"/>
      <c r="AD807" s="70"/>
      <c r="AE807" s="70">
        <f>複数商品!AQ38</f>
        <v>0</v>
      </c>
      <c r="AF807" s="70" t="str">
        <f>複数商品!AD38</f>
        <v>通常</v>
      </c>
      <c r="AG807" s="70">
        <v>0</v>
      </c>
      <c r="AH807" s="9">
        <f>複数商品!AO38</f>
        <v>0</v>
      </c>
      <c r="AI807">
        <v>1</v>
      </c>
      <c r="AJ807">
        <f>複数商品!AG38</f>
        <v>0</v>
      </c>
    </row>
    <row r="808" spans="1:36" hidden="1">
      <c r="A808" s="3" t="str">
        <f>IF(複数商品!A39="","",複数商品!A39)</f>
        <v/>
      </c>
      <c r="B808" s="68" t="str">
        <f>IF(複数商品!B39="","",複数商品!B39)</f>
        <v/>
      </c>
      <c r="C808" s="68" t="str">
        <f>IF(複数商品!C39="","",複数商品!C39)</f>
        <v>◇ 《 》 E</v>
      </c>
      <c r="D808" s="3" t="str">
        <f>複数商品!E39</f>
        <v>無</v>
      </c>
      <c r="E808" s="68" t="str">
        <f>IF(複数商品!AM39="","",複数商品!AM39)</f>
        <v>ベースM</v>
      </c>
      <c r="F808" s="68">
        <f>IF(複数商品!G39="","",複数商品!G39)</f>
        <v>3</v>
      </c>
      <c r="G808" s="68" t="str">
        <f>IF(複数商品!H39="","",複数商品!H39)</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08" s="68" t="str">
        <f>IF(複数商品!I39="","",複数商品!I39)</f>
        <v/>
      </c>
      <c r="I808" s="68" t="str">
        <f>IF(複数商品!J39="","",複数商品!J39)</f>
        <v>まとめ売り商品の為、各季節、異なる素材の商品が混合しております。予めご注意願います。</v>
      </c>
      <c r="J808" s="68" t="str">
        <f>IF(複数商品!K39="","",複数商品!K39)</f>
        <v>まとめ売り商品の為、複数の色の商品が混合しております。予め注意願います。</v>
      </c>
      <c r="K808" s="68" t="str">
        <f>IF(複数商品!L39="","",複数商品!L39)</f>
        <v>まとめ売り商品の為、複数のサイズが混合しております。カテゴリのサイズは確実なものではありません。予めご注意願います。</v>
      </c>
      <c r="L808" s="69" t="s">
        <v>80</v>
      </c>
      <c r="M808" s="69" t="s">
        <v>19</v>
      </c>
      <c r="N808" s="69" t="s">
        <v>20</v>
      </c>
      <c r="O808" s="69" t="s">
        <v>21</v>
      </c>
      <c r="P808" s="4" t="s">
        <v>3036</v>
      </c>
      <c r="Q808" s="4" t="s">
        <v>3038</v>
      </c>
      <c r="R808" s="69" t="s">
        <v>22</v>
      </c>
      <c r="S808" s="69" t="s">
        <v>23</v>
      </c>
      <c r="T808" s="69" t="s">
        <v>22</v>
      </c>
      <c r="U808" s="69" t="s">
        <v>24</v>
      </c>
      <c r="V808" s="69" t="s">
        <v>25</v>
      </c>
      <c r="W808" s="69" t="s">
        <v>26</v>
      </c>
      <c r="X808" s="69" t="s">
        <v>27</v>
      </c>
      <c r="Y808" s="3" t="str">
        <f>複数商品!AK39</f>
        <v>【商品①】全長：cm　最大幅：cm ×&lt;BR&gt;【商品②】全長：cm　最大幅：cm ×&lt;BR&gt;【商品③】全長：cm　最大幅：cm ×&lt;BR&gt;【商品④】全長：cm　最大幅：cm ×&lt;BR&gt;</v>
      </c>
      <c r="Z808" s="69" t="s">
        <v>29</v>
      </c>
      <c r="AA808" s="4"/>
      <c r="AB808" s="4"/>
      <c r="AC808" s="4"/>
      <c r="AD808" s="70"/>
      <c r="AE808" s="70">
        <f>複数商品!AQ39</f>
        <v>0</v>
      </c>
      <c r="AF808" s="70" t="str">
        <f>複数商品!AD39</f>
        <v>通常</v>
      </c>
      <c r="AG808" s="70">
        <v>0</v>
      </c>
      <c r="AH808" s="9">
        <f>複数商品!AO39</f>
        <v>0</v>
      </c>
      <c r="AI808">
        <v>1</v>
      </c>
      <c r="AJ808">
        <f>複数商品!AG39</f>
        <v>0</v>
      </c>
    </row>
    <row r="809" spans="1:36" hidden="1">
      <c r="A809" s="3" t="str">
        <f>IF(複数商品!A40="","",複数商品!A40)</f>
        <v/>
      </c>
      <c r="B809" s="68" t="str">
        <f>IF(複数商品!B40="","",複数商品!B40)</f>
        <v/>
      </c>
      <c r="C809" s="68" t="str">
        <f>IF(複数商品!C40="","",複数商品!C40)</f>
        <v>◇ 《 》 E</v>
      </c>
      <c r="D809" s="3" t="str">
        <f>複数商品!E40</f>
        <v>無</v>
      </c>
      <c r="E809" s="68" t="str">
        <f>IF(複数商品!AM40="","",複数商品!AM40)</f>
        <v>ベースM</v>
      </c>
      <c r="F809" s="68">
        <f>IF(複数商品!G40="","",複数商品!G40)</f>
        <v>3</v>
      </c>
      <c r="G809" s="68" t="str">
        <f>IF(複数商品!H40="","",複数商品!H40)</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09" s="68" t="str">
        <f>IF(複数商品!I40="","",複数商品!I40)</f>
        <v/>
      </c>
      <c r="I809" s="68" t="str">
        <f>IF(複数商品!J40="","",複数商品!J40)</f>
        <v>まとめ売り商品の為、各季節、異なる素材の商品が混合しております。予めご注意願います。</v>
      </c>
      <c r="J809" s="68" t="str">
        <f>IF(複数商品!K40="","",複数商品!K40)</f>
        <v>まとめ売り商品の為、複数の色の商品が混合しております。予め注意願います。</v>
      </c>
      <c r="K809" s="68" t="str">
        <f>IF(複数商品!L40="","",複数商品!L40)</f>
        <v>まとめ売り商品の為、複数のサイズが混合しております。カテゴリのサイズは確実なものではありません。予めご注意願います。</v>
      </c>
      <c r="L809" s="69" t="s">
        <v>80</v>
      </c>
      <c r="M809" s="69" t="s">
        <v>19</v>
      </c>
      <c r="N809" s="69" t="s">
        <v>20</v>
      </c>
      <c r="O809" s="69" t="s">
        <v>21</v>
      </c>
      <c r="P809" s="4" t="s">
        <v>3036</v>
      </c>
      <c r="Q809" s="4" t="s">
        <v>3038</v>
      </c>
      <c r="R809" s="69" t="s">
        <v>22</v>
      </c>
      <c r="S809" s="69" t="s">
        <v>23</v>
      </c>
      <c r="T809" s="69" t="s">
        <v>22</v>
      </c>
      <c r="U809" s="69" t="s">
        <v>24</v>
      </c>
      <c r="V809" s="69" t="s">
        <v>25</v>
      </c>
      <c r="W809" s="69" t="s">
        <v>26</v>
      </c>
      <c r="X809" s="69" t="s">
        <v>27</v>
      </c>
      <c r="Y809" s="3" t="str">
        <f>複数商品!AK40</f>
        <v>【商品①】全長：cm　最大幅：cm ×&lt;BR&gt;【商品②】全長：cm　最大幅：cm ×&lt;BR&gt;【商品③】全長：cm　最大幅：cm ×&lt;BR&gt;【商品④】全長：cm　最大幅：cm ×&lt;BR&gt;</v>
      </c>
      <c r="Z809" s="69" t="s">
        <v>29</v>
      </c>
      <c r="AA809" s="4"/>
      <c r="AB809" s="4"/>
      <c r="AC809" s="4"/>
      <c r="AD809" s="70"/>
      <c r="AE809" s="70">
        <f>複数商品!AQ40</f>
        <v>0</v>
      </c>
      <c r="AF809" s="70" t="str">
        <f>複数商品!AD40</f>
        <v>通常</v>
      </c>
      <c r="AG809" s="70">
        <v>0</v>
      </c>
      <c r="AH809" s="9">
        <f>複数商品!AO40</f>
        <v>0</v>
      </c>
      <c r="AI809">
        <v>1</v>
      </c>
      <c r="AJ809">
        <f>複数商品!AG40</f>
        <v>0</v>
      </c>
    </row>
    <row r="810" spans="1:36" hidden="1">
      <c r="A810" s="3" t="str">
        <f>IF(複数商品!A41="","",複数商品!A41)</f>
        <v/>
      </c>
      <c r="B810" s="68" t="str">
        <f>IF(複数商品!B41="","",複数商品!B41)</f>
        <v/>
      </c>
      <c r="C810" s="68" t="str">
        <f>IF(複数商品!C41="","",複数商品!C41)</f>
        <v>◇ 《 》 E</v>
      </c>
      <c r="D810" s="3" t="str">
        <f>複数商品!E41</f>
        <v>無</v>
      </c>
      <c r="E810" s="68" t="str">
        <f>IF(複数商品!AM41="","",複数商品!AM41)</f>
        <v>ベースM</v>
      </c>
      <c r="F810" s="68">
        <f>IF(複数商品!G41="","",複数商品!G41)</f>
        <v>3</v>
      </c>
      <c r="G810" s="68" t="str">
        <f>IF(複数商品!H41="","",複数商品!H41)</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10" s="68" t="str">
        <f>IF(複数商品!I41="","",複数商品!I41)</f>
        <v/>
      </c>
      <c r="I810" s="68" t="str">
        <f>IF(複数商品!J41="","",複数商品!J41)</f>
        <v>まとめ売り商品の為、各季節、異なる素材の商品が混合しております。予めご注意願います。</v>
      </c>
      <c r="J810" s="68" t="str">
        <f>IF(複数商品!K41="","",複数商品!K41)</f>
        <v>まとめ売り商品の為、複数の色の商品が混合しております。予め注意願います。</v>
      </c>
      <c r="K810" s="68" t="str">
        <f>IF(複数商品!L41="","",複数商品!L41)</f>
        <v>まとめ売り商品の為、複数のサイズが混合しております。カテゴリのサイズは確実なものではありません。予めご注意願います。</v>
      </c>
      <c r="L810" s="69" t="s">
        <v>80</v>
      </c>
      <c r="M810" s="69" t="s">
        <v>19</v>
      </c>
      <c r="N810" s="69" t="s">
        <v>20</v>
      </c>
      <c r="O810" s="69" t="s">
        <v>21</v>
      </c>
      <c r="P810" s="4" t="s">
        <v>3036</v>
      </c>
      <c r="Q810" s="4" t="s">
        <v>3038</v>
      </c>
      <c r="R810" s="69" t="s">
        <v>22</v>
      </c>
      <c r="S810" s="69" t="s">
        <v>23</v>
      </c>
      <c r="T810" s="69" t="s">
        <v>22</v>
      </c>
      <c r="U810" s="69" t="s">
        <v>24</v>
      </c>
      <c r="V810" s="69" t="s">
        <v>25</v>
      </c>
      <c r="W810" s="69" t="s">
        <v>26</v>
      </c>
      <c r="X810" s="69" t="s">
        <v>27</v>
      </c>
      <c r="Y810" s="3" t="str">
        <f>複数商品!AK41</f>
        <v>【商品①】全長：cm　最大幅：cm ×&lt;BR&gt;【商品②】全長：cm　最大幅：cm ×&lt;BR&gt;【商品③】全長：cm　最大幅：cm ×&lt;BR&gt;【商品④】全長：cm　最大幅：cm ×&lt;BR&gt;</v>
      </c>
      <c r="Z810" s="69" t="s">
        <v>29</v>
      </c>
      <c r="AA810" s="4"/>
      <c r="AB810" s="4"/>
      <c r="AC810" s="4"/>
      <c r="AD810" s="70"/>
      <c r="AE810" s="70">
        <f>複数商品!AQ41</f>
        <v>0</v>
      </c>
      <c r="AF810" s="70" t="str">
        <f>複数商品!AD41</f>
        <v>通常</v>
      </c>
      <c r="AG810" s="70">
        <v>0</v>
      </c>
      <c r="AH810" s="9">
        <f>複数商品!AO41</f>
        <v>0</v>
      </c>
      <c r="AI810">
        <v>1</v>
      </c>
      <c r="AJ810">
        <f>複数商品!AG41</f>
        <v>0</v>
      </c>
    </row>
    <row r="811" spans="1:36" hidden="1">
      <c r="A811" s="3" t="str">
        <f>IF(複数商品!A42="","",複数商品!A42)</f>
        <v/>
      </c>
      <c r="B811" s="68" t="str">
        <f>IF(複数商品!B42="","",複数商品!B42)</f>
        <v/>
      </c>
      <c r="C811" s="68" t="str">
        <f>IF(複数商品!C42="","",複数商品!C42)</f>
        <v>◇ 《 》 E</v>
      </c>
      <c r="D811" s="3" t="str">
        <f>複数商品!E42</f>
        <v>無</v>
      </c>
      <c r="E811" s="68" t="str">
        <f>IF(複数商品!AM42="","",複数商品!AM42)</f>
        <v>ベースM</v>
      </c>
      <c r="F811" s="68">
        <f>IF(複数商品!G42="","",複数商品!G42)</f>
        <v>3</v>
      </c>
      <c r="G811" s="68" t="str">
        <f>IF(複数商品!H42="","",複数商品!H42)</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11" s="68" t="str">
        <f>IF(複数商品!I42="","",複数商品!I42)</f>
        <v/>
      </c>
      <c r="I811" s="68" t="str">
        <f>IF(複数商品!J42="","",複数商品!J42)</f>
        <v>まとめ売り商品の為、各季節、異なる素材の商品が混合しております。予めご注意願います。</v>
      </c>
      <c r="J811" s="68" t="str">
        <f>IF(複数商品!K42="","",複数商品!K42)</f>
        <v>まとめ売り商品の為、複数の色の商品が混合しております。予め注意願います。</v>
      </c>
      <c r="K811" s="68" t="str">
        <f>IF(複数商品!L42="","",複数商品!L42)</f>
        <v>まとめ売り商品の為、複数のサイズが混合しております。カテゴリのサイズは確実なものではありません。予めご注意願います。</v>
      </c>
      <c r="L811" s="69" t="s">
        <v>80</v>
      </c>
      <c r="M811" s="69" t="s">
        <v>19</v>
      </c>
      <c r="N811" s="69" t="s">
        <v>20</v>
      </c>
      <c r="O811" s="69" t="s">
        <v>21</v>
      </c>
      <c r="P811" s="4" t="s">
        <v>3036</v>
      </c>
      <c r="Q811" s="4" t="s">
        <v>3038</v>
      </c>
      <c r="R811" s="69" t="s">
        <v>22</v>
      </c>
      <c r="S811" s="69" t="s">
        <v>23</v>
      </c>
      <c r="T811" s="69" t="s">
        <v>22</v>
      </c>
      <c r="U811" s="69" t="s">
        <v>24</v>
      </c>
      <c r="V811" s="69" t="s">
        <v>25</v>
      </c>
      <c r="W811" s="69" t="s">
        <v>26</v>
      </c>
      <c r="X811" s="69" t="s">
        <v>27</v>
      </c>
      <c r="Y811" s="3" t="str">
        <f>複数商品!AK42</f>
        <v>【商品①】全長：cm　最大幅：cm ×&lt;BR&gt;【商品②】全長：cm　最大幅：cm ×&lt;BR&gt;【商品③】全長：cm　最大幅：cm ×&lt;BR&gt;【商品④】全長：cm　最大幅：cm ×&lt;BR&gt;</v>
      </c>
      <c r="Z811" s="69" t="s">
        <v>29</v>
      </c>
      <c r="AA811" s="4"/>
      <c r="AB811" s="4"/>
      <c r="AC811" s="4"/>
      <c r="AD811" s="70"/>
      <c r="AE811" s="70">
        <f>複数商品!AQ42</f>
        <v>0</v>
      </c>
      <c r="AF811" s="70" t="str">
        <f>複数商品!AD42</f>
        <v>通常</v>
      </c>
      <c r="AG811" s="70">
        <v>0</v>
      </c>
      <c r="AH811" s="9">
        <f>複数商品!AO42</f>
        <v>0</v>
      </c>
      <c r="AI811">
        <v>1</v>
      </c>
      <c r="AJ811">
        <f>複数商品!AG42</f>
        <v>0</v>
      </c>
    </row>
    <row r="812" spans="1:36" hidden="1">
      <c r="A812" s="3" t="str">
        <f>IF(複数商品!A43="","",複数商品!A43)</f>
        <v/>
      </c>
      <c r="B812" s="68" t="str">
        <f>IF(複数商品!B43="","",複数商品!B43)</f>
        <v/>
      </c>
      <c r="C812" s="68" t="str">
        <f>IF(複数商品!C43="","",複数商品!C43)</f>
        <v>◇ 《 》 E</v>
      </c>
      <c r="D812" s="3" t="str">
        <f>複数商品!E43</f>
        <v>無</v>
      </c>
      <c r="E812" s="68" t="str">
        <f>IF(複数商品!AM43="","",複数商品!AM43)</f>
        <v>ベースM</v>
      </c>
      <c r="F812" s="68">
        <f>IF(複数商品!G43="","",複数商品!G43)</f>
        <v>3</v>
      </c>
      <c r="G812" s="68" t="str">
        <f>IF(複数商品!H43="","",複数商品!H43)</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12" s="68" t="str">
        <f>IF(複数商品!I43="","",複数商品!I43)</f>
        <v/>
      </c>
      <c r="I812" s="68" t="str">
        <f>IF(複数商品!J43="","",複数商品!J43)</f>
        <v>まとめ売り商品の為、各季節、異なる素材の商品が混合しております。予めご注意願います。</v>
      </c>
      <c r="J812" s="68" t="str">
        <f>IF(複数商品!K43="","",複数商品!K43)</f>
        <v>まとめ売り商品の為、複数の色の商品が混合しております。予め注意願います。</v>
      </c>
      <c r="K812" s="68" t="str">
        <f>IF(複数商品!L43="","",複数商品!L43)</f>
        <v>まとめ売り商品の為、複数のサイズが混合しております。カテゴリのサイズは確実なものではありません。予めご注意願います。</v>
      </c>
      <c r="L812" s="69" t="s">
        <v>80</v>
      </c>
      <c r="M812" s="69" t="s">
        <v>19</v>
      </c>
      <c r="N812" s="69" t="s">
        <v>20</v>
      </c>
      <c r="O812" s="69" t="s">
        <v>21</v>
      </c>
      <c r="P812" s="4" t="s">
        <v>3036</v>
      </c>
      <c r="Q812" s="4" t="s">
        <v>3038</v>
      </c>
      <c r="R812" s="69" t="s">
        <v>22</v>
      </c>
      <c r="S812" s="69" t="s">
        <v>23</v>
      </c>
      <c r="T812" s="69" t="s">
        <v>22</v>
      </c>
      <c r="U812" s="69" t="s">
        <v>24</v>
      </c>
      <c r="V812" s="69" t="s">
        <v>25</v>
      </c>
      <c r="W812" s="69" t="s">
        <v>26</v>
      </c>
      <c r="X812" s="69" t="s">
        <v>27</v>
      </c>
      <c r="Y812" s="3" t="str">
        <f>複数商品!AK43</f>
        <v>【商品①】全長：cm　最大幅：cm ×&lt;BR&gt;【商品②】全長：cm　最大幅：cm ×&lt;BR&gt;【商品③】全長：cm　最大幅：cm ×&lt;BR&gt;【商品④】全長：cm　最大幅：cm ×&lt;BR&gt;</v>
      </c>
      <c r="Z812" s="69" t="s">
        <v>29</v>
      </c>
      <c r="AA812" s="4"/>
      <c r="AB812" s="4"/>
      <c r="AC812" s="4"/>
      <c r="AD812" s="70"/>
      <c r="AE812" s="70">
        <f>複数商品!AQ43</f>
        <v>0</v>
      </c>
      <c r="AF812" s="70" t="str">
        <f>複数商品!AD43</f>
        <v>通常</v>
      </c>
      <c r="AG812" s="70">
        <v>0</v>
      </c>
      <c r="AH812" s="9">
        <f>複数商品!AO43</f>
        <v>0</v>
      </c>
      <c r="AI812">
        <v>1</v>
      </c>
      <c r="AJ812">
        <f>複数商品!AG43</f>
        <v>0</v>
      </c>
    </row>
    <row r="813" spans="1:36" hidden="1">
      <c r="A813" s="3" t="str">
        <f>IF(複数商品!A44="","",複数商品!A44)</f>
        <v/>
      </c>
      <c r="B813" s="68" t="str">
        <f>IF(複数商品!B44="","",複数商品!B44)</f>
        <v/>
      </c>
      <c r="C813" s="68" t="str">
        <f>IF(複数商品!C44="","",複数商品!C44)</f>
        <v>◇ 《 》 E</v>
      </c>
      <c r="D813" s="3" t="str">
        <f>複数商品!E44</f>
        <v>無</v>
      </c>
      <c r="E813" s="68" t="str">
        <f>IF(複数商品!AM44="","",複数商品!AM44)</f>
        <v>ベースM</v>
      </c>
      <c r="F813" s="68">
        <f>IF(複数商品!G44="","",複数商品!G44)</f>
        <v>3</v>
      </c>
      <c r="G813" s="68" t="str">
        <f>IF(複数商品!H44="","",複数商品!H44)</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13" s="68" t="str">
        <f>IF(複数商品!I44="","",複数商品!I44)</f>
        <v/>
      </c>
      <c r="I813" s="68" t="str">
        <f>IF(複数商品!J44="","",複数商品!J44)</f>
        <v>まとめ売り商品の為、各季節、異なる素材の商品が混合しております。予めご注意願います。</v>
      </c>
      <c r="J813" s="68" t="str">
        <f>IF(複数商品!K44="","",複数商品!K44)</f>
        <v>まとめ売り商品の為、複数の色の商品が混合しております。予め注意願います。</v>
      </c>
      <c r="K813" s="68" t="str">
        <f>IF(複数商品!L44="","",複数商品!L44)</f>
        <v>まとめ売り商品の為、複数のサイズが混合しております。カテゴリのサイズは確実なものではありません。予めご注意願います。</v>
      </c>
      <c r="L813" s="69" t="s">
        <v>80</v>
      </c>
      <c r="M813" s="69" t="s">
        <v>19</v>
      </c>
      <c r="N813" s="69" t="s">
        <v>20</v>
      </c>
      <c r="O813" s="69" t="s">
        <v>21</v>
      </c>
      <c r="P813" s="4" t="s">
        <v>3036</v>
      </c>
      <c r="Q813" s="4" t="s">
        <v>3038</v>
      </c>
      <c r="R813" s="69" t="s">
        <v>22</v>
      </c>
      <c r="S813" s="69" t="s">
        <v>23</v>
      </c>
      <c r="T813" s="69" t="s">
        <v>22</v>
      </c>
      <c r="U813" s="69" t="s">
        <v>24</v>
      </c>
      <c r="V813" s="69" t="s">
        <v>25</v>
      </c>
      <c r="W813" s="69" t="s">
        <v>26</v>
      </c>
      <c r="X813" s="69" t="s">
        <v>27</v>
      </c>
      <c r="Y813" s="3" t="str">
        <f>複数商品!AK44</f>
        <v>【商品①】全長：cm　最大幅：cm ×&lt;BR&gt;【商品②】全長：cm　最大幅：cm ×&lt;BR&gt;【商品③】全長：cm　最大幅：cm ×&lt;BR&gt;【商品④】全長：cm　最大幅：cm ×&lt;BR&gt;</v>
      </c>
      <c r="Z813" s="69" t="s">
        <v>29</v>
      </c>
      <c r="AA813" s="4"/>
      <c r="AB813" s="4"/>
      <c r="AC813" s="4"/>
      <c r="AD813" s="70"/>
      <c r="AE813" s="70">
        <f>複数商品!AQ44</f>
        <v>0</v>
      </c>
      <c r="AF813" s="70" t="str">
        <f>複数商品!AD44</f>
        <v>通常</v>
      </c>
      <c r="AG813" s="70">
        <v>0</v>
      </c>
      <c r="AH813" s="9">
        <f>複数商品!AO44</f>
        <v>0</v>
      </c>
      <c r="AI813">
        <v>1</v>
      </c>
      <c r="AJ813">
        <f>複数商品!AG44</f>
        <v>0</v>
      </c>
    </row>
    <row r="814" spans="1:36" hidden="1">
      <c r="A814" s="3" t="str">
        <f>IF(複数商品!A45="","",複数商品!A45)</f>
        <v/>
      </c>
      <c r="B814" s="68" t="str">
        <f>IF(複数商品!B45="","",複数商品!B45)</f>
        <v/>
      </c>
      <c r="C814" s="68" t="str">
        <f>IF(複数商品!C45="","",複数商品!C45)</f>
        <v>◇ 《 》 E</v>
      </c>
      <c r="D814" s="3" t="str">
        <f>複数商品!E45</f>
        <v>無</v>
      </c>
      <c r="E814" s="68" t="str">
        <f>IF(複数商品!AM45="","",複数商品!AM45)</f>
        <v>ベースM</v>
      </c>
      <c r="F814" s="68">
        <f>IF(複数商品!G45="","",複数商品!G45)</f>
        <v>3</v>
      </c>
      <c r="G814" s="68" t="str">
        <f>IF(複数商品!H45="","",複数商品!H45)</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14" s="68" t="str">
        <f>IF(複数商品!I45="","",複数商品!I45)</f>
        <v/>
      </c>
      <c r="I814" s="68" t="str">
        <f>IF(複数商品!J45="","",複数商品!J45)</f>
        <v>まとめ売り商品の為、各季節、異なる素材の商品が混合しております。予めご注意願います。</v>
      </c>
      <c r="J814" s="68" t="str">
        <f>IF(複数商品!K45="","",複数商品!K45)</f>
        <v>まとめ売り商品の為、複数の色の商品が混合しております。予め注意願います。</v>
      </c>
      <c r="K814" s="68" t="str">
        <f>IF(複数商品!L45="","",複数商品!L45)</f>
        <v>まとめ売り商品の為、複数のサイズが混合しております。カテゴリのサイズは確実なものではありません。予めご注意願います。</v>
      </c>
      <c r="L814" s="69" t="s">
        <v>80</v>
      </c>
      <c r="M814" s="69" t="s">
        <v>19</v>
      </c>
      <c r="N814" s="69" t="s">
        <v>20</v>
      </c>
      <c r="O814" s="69" t="s">
        <v>21</v>
      </c>
      <c r="P814" s="4" t="s">
        <v>3036</v>
      </c>
      <c r="Q814" s="4" t="s">
        <v>3038</v>
      </c>
      <c r="R814" s="69" t="s">
        <v>22</v>
      </c>
      <c r="S814" s="69" t="s">
        <v>23</v>
      </c>
      <c r="T814" s="69" t="s">
        <v>22</v>
      </c>
      <c r="U814" s="69" t="s">
        <v>24</v>
      </c>
      <c r="V814" s="69" t="s">
        <v>25</v>
      </c>
      <c r="W814" s="69" t="s">
        <v>26</v>
      </c>
      <c r="X814" s="69" t="s">
        <v>27</v>
      </c>
      <c r="Y814" s="3" t="str">
        <f>複数商品!AK45</f>
        <v>【商品①】全長：cm　最大幅：cm ×&lt;BR&gt;【商品②】全長：cm　最大幅：cm ×&lt;BR&gt;【商品③】全長：cm　最大幅：cm ×&lt;BR&gt;【商品④】全長：cm　最大幅：cm ×&lt;BR&gt;</v>
      </c>
      <c r="Z814" s="69" t="s">
        <v>29</v>
      </c>
      <c r="AA814" s="4"/>
      <c r="AB814" s="4"/>
      <c r="AC814" s="4"/>
      <c r="AD814" s="70"/>
      <c r="AE814" s="70">
        <f>複数商品!AQ45</f>
        <v>0</v>
      </c>
      <c r="AF814" s="70" t="str">
        <f>複数商品!AD45</f>
        <v>通常</v>
      </c>
      <c r="AG814" s="70">
        <v>0</v>
      </c>
      <c r="AH814" s="9">
        <f>複数商品!AO45</f>
        <v>0</v>
      </c>
      <c r="AI814">
        <v>1</v>
      </c>
      <c r="AJ814">
        <f>複数商品!AG45</f>
        <v>0</v>
      </c>
    </row>
    <row r="815" spans="1:36" hidden="1">
      <c r="A815" s="3" t="str">
        <f>IF(複数商品!A46="","",複数商品!A46)</f>
        <v/>
      </c>
      <c r="B815" s="68" t="str">
        <f>IF(複数商品!B46="","",複数商品!B46)</f>
        <v/>
      </c>
      <c r="C815" s="68" t="str">
        <f>IF(複数商品!C46="","",複数商品!C46)</f>
        <v>◇ 《 》 E</v>
      </c>
      <c r="D815" s="3" t="str">
        <f>複数商品!E46</f>
        <v>無</v>
      </c>
      <c r="E815" s="68" t="str">
        <f>IF(複数商品!AM46="","",複数商品!AM46)</f>
        <v>ベースM</v>
      </c>
      <c r="F815" s="68">
        <f>IF(複数商品!G46="","",複数商品!G46)</f>
        <v>3</v>
      </c>
      <c r="G815" s="68" t="str">
        <f>IF(複数商品!H46="","",複数商品!H46)</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15" s="68" t="str">
        <f>IF(複数商品!I46="","",複数商品!I46)</f>
        <v/>
      </c>
      <c r="I815" s="68" t="str">
        <f>IF(複数商品!J46="","",複数商品!J46)</f>
        <v>まとめ売り商品の為、各季節、異なる素材の商品が混合しております。予めご注意願います。</v>
      </c>
      <c r="J815" s="68" t="str">
        <f>IF(複数商品!K46="","",複数商品!K46)</f>
        <v>まとめ売り商品の為、複数の色の商品が混合しております。予め注意願います。</v>
      </c>
      <c r="K815" s="68" t="str">
        <f>IF(複数商品!L46="","",複数商品!L46)</f>
        <v>まとめ売り商品の為、複数のサイズが混合しております。カテゴリのサイズは確実なものではありません。予めご注意願います。</v>
      </c>
      <c r="L815" s="69" t="s">
        <v>80</v>
      </c>
      <c r="M815" s="69" t="s">
        <v>19</v>
      </c>
      <c r="N815" s="69" t="s">
        <v>20</v>
      </c>
      <c r="O815" s="69" t="s">
        <v>21</v>
      </c>
      <c r="P815" s="4" t="s">
        <v>3036</v>
      </c>
      <c r="Q815" s="4" t="s">
        <v>3038</v>
      </c>
      <c r="R815" s="69" t="s">
        <v>22</v>
      </c>
      <c r="S815" s="69" t="s">
        <v>23</v>
      </c>
      <c r="T815" s="69" t="s">
        <v>22</v>
      </c>
      <c r="U815" s="69" t="s">
        <v>24</v>
      </c>
      <c r="V815" s="69" t="s">
        <v>25</v>
      </c>
      <c r="W815" s="69" t="s">
        <v>26</v>
      </c>
      <c r="X815" s="69" t="s">
        <v>27</v>
      </c>
      <c r="Y815" s="3" t="str">
        <f>複数商品!AK46</f>
        <v>【商品①】全長：cm　最大幅：cm ×&lt;BR&gt;【商品②】全長：cm　最大幅：cm ×&lt;BR&gt;【商品③】全長：cm　最大幅：cm ×&lt;BR&gt;【商品④】全長：cm　最大幅：cm ×&lt;BR&gt;</v>
      </c>
      <c r="Z815" s="69" t="s">
        <v>29</v>
      </c>
      <c r="AA815" s="4"/>
      <c r="AB815" s="4"/>
      <c r="AC815" s="4"/>
      <c r="AD815" s="70"/>
      <c r="AE815" s="70">
        <f>複数商品!AQ46</f>
        <v>0</v>
      </c>
      <c r="AF815" s="70" t="str">
        <f>複数商品!AD46</f>
        <v>通常</v>
      </c>
      <c r="AG815" s="70">
        <v>0</v>
      </c>
      <c r="AH815" s="9">
        <f>複数商品!AO46</f>
        <v>0</v>
      </c>
      <c r="AI815">
        <v>1</v>
      </c>
      <c r="AJ815">
        <f>複数商品!AG46</f>
        <v>0</v>
      </c>
    </row>
    <row r="816" spans="1:36" hidden="1">
      <c r="A816" s="3" t="str">
        <f>IF(複数商品!A47="","",複数商品!A47)</f>
        <v/>
      </c>
      <c r="B816" s="68" t="str">
        <f>IF(複数商品!B47="","",複数商品!B47)</f>
        <v/>
      </c>
      <c r="C816" s="68" t="str">
        <f>IF(複数商品!C47="","",複数商品!C47)</f>
        <v>◇ 《 》 E</v>
      </c>
      <c r="D816" s="3" t="str">
        <f>複数商品!E47</f>
        <v>無</v>
      </c>
      <c r="E816" s="68" t="str">
        <f>IF(複数商品!AM47="","",複数商品!AM47)</f>
        <v>ベースM</v>
      </c>
      <c r="F816" s="68">
        <f>IF(複数商品!G47="","",複数商品!G47)</f>
        <v>3</v>
      </c>
      <c r="G816" s="68" t="str">
        <f>IF(複数商品!H47="","",複数商品!H47)</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16" s="68" t="str">
        <f>IF(複数商品!I47="","",複数商品!I47)</f>
        <v/>
      </c>
      <c r="I816" s="68" t="str">
        <f>IF(複数商品!J47="","",複数商品!J47)</f>
        <v>まとめ売り商品の為、各季節、異なる素材の商品が混合しております。予めご注意願います。</v>
      </c>
      <c r="J816" s="68" t="str">
        <f>IF(複数商品!K47="","",複数商品!K47)</f>
        <v>まとめ売り商品の為、複数の色の商品が混合しております。予め注意願います。</v>
      </c>
      <c r="K816" s="68" t="str">
        <f>IF(複数商品!L47="","",複数商品!L47)</f>
        <v>まとめ売り商品の為、複数のサイズが混合しております。カテゴリのサイズは確実なものではありません。予めご注意願います。</v>
      </c>
      <c r="L816" s="69" t="s">
        <v>80</v>
      </c>
      <c r="M816" s="69" t="s">
        <v>19</v>
      </c>
      <c r="N816" s="69" t="s">
        <v>20</v>
      </c>
      <c r="O816" s="69" t="s">
        <v>21</v>
      </c>
      <c r="P816" s="4" t="s">
        <v>3036</v>
      </c>
      <c r="Q816" s="4" t="s">
        <v>3038</v>
      </c>
      <c r="R816" s="69" t="s">
        <v>22</v>
      </c>
      <c r="S816" s="69" t="s">
        <v>23</v>
      </c>
      <c r="T816" s="69" t="s">
        <v>22</v>
      </c>
      <c r="U816" s="69" t="s">
        <v>24</v>
      </c>
      <c r="V816" s="69" t="s">
        <v>25</v>
      </c>
      <c r="W816" s="69" t="s">
        <v>26</v>
      </c>
      <c r="X816" s="69" t="s">
        <v>27</v>
      </c>
      <c r="Y816" s="3" t="str">
        <f>複数商品!AK47</f>
        <v>【商品①】全長：cm　最大幅：cm ×&lt;BR&gt;【商品②】全長：cm　最大幅：cm ×&lt;BR&gt;【商品③】全長：cm　最大幅：cm ×&lt;BR&gt;【商品④】全長：cm　最大幅：cm ×&lt;BR&gt;</v>
      </c>
      <c r="Z816" s="69" t="s">
        <v>29</v>
      </c>
      <c r="AA816" s="4"/>
      <c r="AB816" s="4"/>
      <c r="AC816" s="4"/>
      <c r="AD816" s="70"/>
      <c r="AE816" s="70">
        <f>複数商品!AQ47</f>
        <v>0</v>
      </c>
      <c r="AF816" s="70" t="str">
        <f>複数商品!AD47</f>
        <v>通常</v>
      </c>
      <c r="AG816" s="70">
        <v>0</v>
      </c>
      <c r="AH816" s="9">
        <f>複数商品!AO47</f>
        <v>0</v>
      </c>
      <c r="AI816">
        <v>1</v>
      </c>
      <c r="AJ816">
        <f>複数商品!AG47</f>
        <v>0</v>
      </c>
    </row>
    <row r="817" spans="1:36" hidden="1">
      <c r="A817" s="3" t="str">
        <f>IF(複数商品!A48="","",複数商品!A48)</f>
        <v/>
      </c>
      <c r="B817" s="68" t="str">
        <f>IF(複数商品!B48="","",複数商品!B48)</f>
        <v/>
      </c>
      <c r="C817" s="68" t="str">
        <f>IF(複数商品!C48="","",複数商品!C48)</f>
        <v>◇ 《 》 E</v>
      </c>
      <c r="D817" s="3" t="str">
        <f>複数商品!E48</f>
        <v>無</v>
      </c>
      <c r="E817" s="68" t="str">
        <f>IF(複数商品!AM48="","",複数商品!AM48)</f>
        <v>ベースM</v>
      </c>
      <c r="F817" s="68">
        <f>IF(複数商品!G48="","",複数商品!G48)</f>
        <v>3</v>
      </c>
      <c r="G817" s="68" t="str">
        <f>IF(複数商品!H48="","",複数商品!H48)</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17" s="68" t="str">
        <f>IF(複数商品!I48="","",複数商品!I48)</f>
        <v/>
      </c>
      <c r="I817" s="68" t="str">
        <f>IF(複数商品!J48="","",複数商品!J48)</f>
        <v>まとめ売り商品の為、各季節、異なる素材の商品が混合しております。予めご注意願います。</v>
      </c>
      <c r="J817" s="68" t="str">
        <f>IF(複数商品!K48="","",複数商品!K48)</f>
        <v>まとめ売り商品の為、複数の色の商品が混合しております。予め注意願います。</v>
      </c>
      <c r="K817" s="68" t="str">
        <f>IF(複数商品!L48="","",複数商品!L48)</f>
        <v>まとめ売り商品の為、複数のサイズが混合しております。カテゴリのサイズは確実なものではありません。予めご注意願います。</v>
      </c>
      <c r="L817" s="69" t="s">
        <v>80</v>
      </c>
      <c r="M817" s="69" t="s">
        <v>19</v>
      </c>
      <c r="N817" s="69" t="s">
        <v>20</v>
      </c>
      <c r="O817" s="69" t="s">
        <v>21</v>
      </c>
      <c r="P817" s="4" t="s">
        <v>3036</v>
      </c>
      <c r="Q817" s="4" t="s">
        <v>3038</v>
      </c>
      <c r="R817" s="69" t="s">
        <v>22</v>
      </c>
      <c r="S817" s="69" t="s">
        <v>23</v>
      </c>
      <c r="T817" s="69" t="s">
        <v>22</v>
      </c>
      <c r="U817" s="69" t="s">
        <v>24</v>
      </c>
      <c r="V817" s="69" t="s">
        <v>25</v>
      </c>
      <c r="W817" s="69" t="s">
        <v>26</v>
      </c>
      <c r="X817" s="69" t="s">
        <v>27</v>
      </c>
      <c r="Y817" s="3" t="str">
        <f>複数商品!AK48</f>
        <v>【商品①】全長：cm　最大幅：cm ×&lt;BR&gt;【商品②】全長：cm　最大幅：cm ×&lt;BR&gt;【商品③】全長：cm　最大幅：cm ×&lt;BR&gt;【商品④】全長：cm　最大幅：cm ×&lt;BR&gt;</v>
      </c>
      <c r="Z817" s="69" t="s">
        <v>29</v>
      </c>
      <c r="AA817" s="4"/>
      <c r="AB817" s="4"/>
      <c r="AC817" s="4"/>
      <c r="AD817" s="70"/>
      <c r="AE817" s="70">
        <f>複数商品!AQ48</f>
        <v>0</v>
      </c>
      <c r="AF817" s="70" t="str">
        <f>複数商品!AD48</f>
        <v>通常</v>
      </c>
      <c r="AG817" s="70">
        <v>0</v>
      </c>
      <c r="AH817" s="9">
        <f>複数商品!AO48</f>
        <v>0</v>
      </c>
      <c r="AI817">
        <v>1</v>
      </c>
      <c r="AJ817">
        <f>複数商品!AG48</f>
        <v>0</v>
      </c>
    </row>
    <row r="818" spans="1:36" hidden="1">
      <c r="A818" s="3" t="str">
        <f>IF(複数商品!A49="","",複数商品!A49)</f>
        <v/>
      </c>
      <c r="B818" s="68" t="str">
        <f>IF(複数商品!B49="","",複数商品!B49)</f>
        <v/>
      </c>
      <c r="C818" s="68" t="str">
        <f>IF(複数商品!C49="","",複数商品!C49)</f>
        <v>◇ 《 》 E</v>
      </c>
      <c r="D818" s="3" t="str">
        <f>複数商品!E49</f>
        <v>無</v>
      </c>
      <c r="E818" s="68" t="str">
        <f>IF(複数商品!AM49="","",複数商品!AM49)</f>
        <v>ベースM</v>
      </c>
      <c r="F818" s="68">
        <f>IF(複数商品!G49="","",複数商品!G49)</f>
        <v>3</v>
      </c>
      <c r="G818" s="68" t="str">
        <f>IF(複数商品!H49="","",複数商品!H49)</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18" s="68" t="str">
        <f>IF(複数商品!I49="","",複数商品!I49)</f>
        <v/>
      </c>
      <c r="I818" s="68" t="str">
        <f>IF(複数商品!J49="","",複数商品!J49)</f>
        <v>まとめ売り商品の為、各季節、異なる素材の商品が混合しております。予めご注意願います。</v>
      </c>
      <c r="J818" s="68" t="str">
        <f>IF(複数商品!K49="","",複数商品!K49)</f>
        <v>まとめ売り商品の為、複数の色の商品が混合しております。予め注意願います。</v>
      </c>
      <c r="K818" s="68" t="str">
        <f>IF(複数商品!L49="","",複数商品!L49)</f>
        <v>まとめ売り商品の為、複数のサイズが混合しております。カテゴリのサイズは確実なものではありません。予めご注意願います。</v>
      </c>
      <c r="L818" s="69" t="s">
        <v>80</v>
      </c>
      <c r="M818" s="69" t="s">
        <v>19</v>
      </c>
      <c r="N818" s="69" t="s">
        <v>20</v>
      </c>
      <c r="O818" s="69" t="s">
        <v>21</v>
      </c>
      <c r="P818" s="4" t="s">
        <v>3036</v>
      </c>
      <c r="Q818" s="4" t="s">
        <v>3038</v>
      </c>
      <c r="R818" s="69" t="s">
        <v>22</v>
      </c>
      <c r="S818" s="69" t="s">
        <v>23</v>
      </c>
      <c r="T818" s="69" t="s">
        <v>22</v>
      </c>
      <c r="U818" s="69" t="s">
        <v>24</v>
      </c>
      <c r="V818" s="69" t="s">
        <v>25</v>
      </c>
      <c r="W818" s="69" t="s">
        <v>26</v>
      </c>
      <c r="X818" s="69" t="s">
        <v>27</v>
      </c>
      <c r="Y818" s="3" t="str">
        <f>複数商品!AK49</f>
        <v>【商品①】全長：cm　最大幅：cm ×&lt;BR&gt;【商品②】全長：cm　最大幅：cm ×&lt;BR&gt;【商品③】全長：cm　最大幅：cm ×&lt;BR&gt;【商品④】全長：cm　最大幅：cm ×&lt;BR&gt;</v>
      </c>
      <c r="Z818" s="69" t="s">
        <v>29</v>
      </c>
      <c r="AA818" s="4"/>
      <c r="AB818" s="4"/>
      <c r="AC818" s="4"/>
      <c r="AD818" s="70"/>
      <c r="AE818" s="70">
        <f>複数商品!AQ49</f>
        <v>0</v>
      </c>
      <c r="AF818" s="70" t="str">
        <f>複数商品!AD49</f>
        <v>通常</v>
      </c>
      <c r="AG818" s="70">
        <v>0</v>
      </c>
      <c r="AH818" s="9">
        <f>複数商品!AO49</f>
        <v>0</v>
      </c>
      <c r="AI818">
        <v>1</v>
      </c>
      <c r="AJ818">
        <f>複数商品!AG49</f>
        <v>0</v>
      </c>
    </row>
    <row r="819" spans="1:36" hidden="1">
      <c r="A819" s="3" t="str">
        <f>IF(複数商品!A50="","",複数商品!A50)</f>
        <v/>
      </c>
      <c r="B819" s="68" t="str">
        <f>IF(複数商品!B50="","",複数商品!B50)</f>
        <v/>
      </c>
      <c r="C819" s="68" t="str">
        <f>IF(複数商品!C50="","",複数商品!C50)</f>
        <v>◇ 《 》 E</v>
      </c>
      <c r="D819" s="3" t="str">
        <f>複数商品!E50</f>
        <v>無</v>
      </c>
      <c r="E819" s="68" t="str">
        <f>IF(複数商品!AM50="","",複数商品!AM50)</f>
        <v>ベースM</v>
      </c>
      <c r="F819" s="68">
        <f>IF(複数商品!G50="","",複数商品!G50)</f>
        <v>3</v>
      </c>
      <c r="G819" s="68" t="str">
        <f>IF(複数商品!H50="","",複数商品!H50)</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19" s="68" t="str">
        <f>IF(複数商品!I50="","",複数商品!I50)</f>
        <v/>
      </c>
      <c r="I819" s="68" t="str">
        <f>IF(複数商品!J50="","",複数商品!J50)</f>
        <v>まとめ売り商品の為、各季節、異なる素材の商品が混合しております。予めご注意願います。</v>
      </c>
      <c r="J819" s="68" t="str">
        <f>IF(複数商品!K50="","",複数商品!K50)</f>
        <v>まとめ売り商品の為、複数の色の商品が混合しております。予め注意願います。</v>
      </c>
      <c r="K819" s="68" t="str">
        <f>IF(複数商品!L50="","",複数商品!L50)</f>
        <v>まとめ売り商品の為、複数のサイズが混合しております。カテゴリのサイズは確実なものではありません。予めご注意願います。</v>
      </c>
      <c r="L819" s="69" t="s">
        <v>80</v>
      </c>
      <c r="M819" s="69" t="s">
        <v>19</v>
      </c>
      <c r="N819" s="69" t="s">
        <v>20</v>
      </c>
      <c r="O819" s="69" t="s">
        <v>21</v>
      </c>
      <c r="P819" s="4" t="s">
        <v>3036</v>
      </c>
      <c r="Q819" s="4" t="s">
        <v>3038</v>
      </c>
      <c r="R819" s="69" t="s">
        <v>22</v>
      </c>
      <c r="S819" s="69" t="s">
        <v>23</v>
      </c>
      <c r="T819" s="69" t="s">
        <v>22</v>
      </c>
      <c r="U819" s="69" t="s">
        <v>24</v>
      </c>
      <c r="V819" s="69" t="s">
        <v>25</v>
      </c>
      <c r="W819" s="69" t="s">
        <v>26</v>
      </c>
      <c r="X819" s="69" t="s">
        <v>27</v>
      </c>
      <c r="Y819" s="3" t="str">
        <f>複数商品!AK50</f>
        <v>【商品①】全長：cm　最大幅：cm ×&lt;BR&gt;【商品②】全長：cm　最大幅：cm ×&lt;BR&gt;【商品③】全長：cm　最大幅：cm ×&lt;BR&gt;【商品④】全長：cm　最大幅：cm ×&lt;BR&gt;</v>
      </c>
      <c r="Z819" s="69" t="s">
        <v>29</v>
      </c>
      <c r="AA819" s="4"/>
      <c r="AB819" s="4"/>
      <c r="AC819" s="4"/>
      <c r="AD819" s="70"/>
      <c r="AE819" s="70">
        <f>複数商品!AQ50</f>
        <v>0</v>
      </c>
      <c r="AF819" s="70" t="str">
        <f>複数商品!AD50</f>
        <v>通常</v>
      </c>
      <c r="AG819" s="70">
        <v>0</v>
      </c>
      <c r="AH819" s="9">
        <f>複数商品!AO50</f>
        <v>0</v>
      </c>
      <c r="AI819">
        <v>1</v>
      </c>
      <c r="AJ819">
        <f>複数商品!AG50</f>
        <v>0</v>
      </c>
    </row>
    <row r="820" spans="1:36" hidden="1">
      <c r="A820" s="3" t="str">
        <f>IF(複数商品!A51="","",複数商品!A51)</f>
        <v/>
      </c>
      <c r="B820" s="68" t="str">
        <f>IF(複数商品!B51="","",複数商品!B51)</f>
        <v/>
      </c>
      <c r="C820" s="68" t="str">
        <f>IF(複数商品!C51="","",複数商品!C51)</f>
        <v>◇ 《 》 E</v>
      </c>
      <c r="D820" s="3" t="str">
        <f>複数商品!E51</f>
        <v>無</v>
      </c>
      <c r="E820" s="68" t="str">
        <f>IF(複数商品!AM51="","",複数商品!AM51)</f>
        <v>ベースM</v>
      </c>
      <c r="F820" s="68">
        <f>IF(複数商品!G51="","",複数商品!G51)</f>
        <v>3</v>
      </c>
      <c r="G820" s="68" t="str">
        <f>IF(複数商品!H51="","",複数商品!H51)</f>
        <v>まとめ売り商品の為、採寸計測は省略させて頂きます。商品状態ですが、複数商品のため確実な物ではございませんのでご了承ください。商品の中には使用に困難な小穴や傷などのダメージがある物もございますが、まとめ売り処分になりますので状態の善し悪し、サイズ感等いかなる理由におきましても御返品は受付致しかねます。</v>
      </c>
      <c r="H820" s="68" t="str">
        <f>IF(複数商品!I51="","",複数商品!I51)</f>
        <v/>
      </c>
      <c r="I820" s="68" t="str">
        <f>IF(複数商品!J51="","",複数商品!J51)</f>
        <v>まとめ売り商品の為、各季節、異なる素材の商品が混合しております。予めご注意願います。</v>
      </c>
      <c r="J820" s="68" t="str">
        <f>IF(複数商品!K51="","",複数商品!K51)</f>
        <v>まとめ売り商品の為、複数の色の商品が混合しております。予め注意願います。</v>
      </c>
      <c r="K820" s="68" t="str">
        <f>IF(複数商品!L51="","",複数商品!L51)</f>
        <v>まとめ売り商品の為、複数のサイズが混合しております。カテゴリのサイズは確実なものではありません。予めご注意願います。</v>
      </c>
      <c r="L820" s="69" t="s">
        <v>80</v>
      </c>
      <c r="M820" s="69" t="s">
        <v>19</v>
      </c>
      <c r="N820" s="69" t="s">
        <v>20</v>
      </c>
      <c r="O820" s="69" t="s">
        <v>21</v>
      </c>
      <c r="P820" s="4" t="s">
        <v>3036</v>
      </c>
      <c r="Q820" s="4" t="s">
        <v>3038</v>
      </c>
      <c r="R820" s="69" t="s">
        <v>22</v>
      </c>
      <c r="S820" s="69" t="s">
        <v>23</v>
      </c>
      <c r="T820" s="69" t="s">
        <v>22</v>
      </c>
      <c r="U820" s="69" t="s">
        <v>24</v>
      </c>
      <c r="V820" s="69" t="s">
        <v>25</v>
      </c>
      <c r="W820" s="69" t="s">
        <v>26</v>
      </c>
      <c r="X820" s="69" t="s">
        <v>27</v>
      </c>
      <c r="Y820" s="3" t="str">
        <f>複数商品!AK51</f>
        <v>【商品①】全長：cm　最大幅：cm ×&lt;BR&gt;【商品②】全長：cm　最大幅：cm ×&lt;BR&gt;【商品③】全長：cm　最大幅：cm ×&lt;BR&gt;【商品④】全長：cm　最大幅：cm ×&lt;BR&gt;</v>
      </c>
      <c r="Z820" s="69" t="s">
        <v>29</v>
      </c>
      <c r="AA820" s="4"/>
      <c r="AB820" s="4"/>
      <c r="AC820" s="4"/>
      <c r="AD820" s="70"/>
      <c r="AE820" s="70">
        <f>複数商品!AQ51</f>
        <v>0</v>
      </c>
      <c r="AF820" s="70" t="str">
        <f>複数商品!AD51</f>
        <v>通常</v>
      </c>
      <c r="AG820" s="70">
        <v>0</v>
      </c>
      <c r="AH820" s="9">
        <f>複数商品!AO51</f>
        <v>0</v>
      </c>
      <c r="AI820">
        <v>1</v>
      </c>
      <c r="AJ820">
        <f>複数商品!AG51</f>
        <v>0</v>
      </c>
    </row>
    <row r="821" spans="1:36">
      <c r="B821" s="14"/>
    </row>
  </sheetData>
  <autoFilter ref="B1:B820" xr:uid="{00000000-0009-0000-0000-000004000000}">
    <filterColumn colId="0">
      <customFilters>
        <customFilter operator="notEqual" val=" "/>
      </customFilters>
    </filterColumn>
  </autoFilter>
  <phoneticPr fontId="4"/>
  <conditionalFormatting sqref="B29:B642">
    <cfRule type="duplicateValues" dxfId="139" priority="66"/>
  </conditionalFormatting>
  <conditionalFormatting sqref="B29:B820">
    <cfRule type="duplicateValues" dxfId="138" priority="65"/>
  </conditionalFormatting>
  <conditionalFormatting sqref="AI2:AI820">
    <cfRule type="colorScale" priority="63">
      <colorScale>
        <cfvo type="num" val="1"/>
        <cfvo type="num" val="2"/>
        <color theme="8" tint="0.79998168889431442"/>
        <color theme="5" tint="0.79998168889431442"/>
      </colorScale>
    </cfRule>
  </conditionalFormatting>
  <conditionalFormatting sqref="B2:B5">
    <cfRule type="duplicateValues" dxfId="137" priority="58"/>
  </conditionalFormatting>
  <conditionalFormatting sqref="B2:B5">
    <cfRule type="duplicateValues" dxfId="136" priority="57"/>
  </conditionalFormatting>
  <conditionalFormatting sqref="AH2:AH5">
    <cfRule type="colorScale" priority="56">
      <colorScale>
        <cfvo type="num" val="1"/>
        <cfvo type="num" val="2"/>
        <color theme="8" tint="0.79998168889431442"/>
        <color theme="5" tint="0.79998168889431442"/>
      </colorScale>
    </cfRule>
  </conditionalFormatting>
  <conditionalFormatting sqref="B6:B9">
    <cfRule type="duplicateValues" dxfId="135" priority="55"/>
  </conditionalFormatting>
  <conditionalFormatting sqref="B6:B9">
    <cfRule type="duplicateValues" dxfId="134" priority="54"/>
  </conditionalFormatting>
  <conditionalFormatting sqref="AH6:AH9">
    <cfRule type="colorScale" priority="53">
      <colorScale>
        <cfvo type="num" val="1"/>
        <cfvo type="num" val="2"/>
        <color theme="8" tint="0.79998168889431442"/>
        <color theme="5" tint="0.79998168889431442"/>
      </colorScale>
    </cfRule>
  </conditionalFormatting>
  <conditionalFormatting sqref="B10">
    <cfRule type="duplicateValues" dxfId="133" priority="52"/>
  </conditionalFormatting>
  <conditionalFormatting sqref="B10">
    <cfRule type="duplicateValues" dxfId="132" priority="51"/>
  </conditionalFormatting>
  <conditionalFormatting sqref="AH10">
    <cfRule type="colorScale" priority="50">
      <colorScale>
        <cfvo type="num" val="1"/>
        <cfvo type="num" val="2"/>
        <color theme="8" tint="0.79998168889431442"/>
        <color theme="5" tint="0.79998168889431442"/>
      </colorScale>
    </cfRule>
  </conditionalFormatting>
  <conditionalFormatting sqref="B11">
    <cfRule type="duplicateValues" dxfId="131" priority="49"/>
  </conditionalFormatting>
  <conditionalFormatting sqref="B11">
    <cfRule type="duplicateValues" dxfId="130" priority="48"/>
  </conditionalFormatting>
  <conditionalFormatting sqref="AH11">
    <cfRule type="colorScale" priority="47">
      <colorScale>
        <cfvo type="num" val="1"/>
        <cfvo type="num" val="2"/>
        <color theme="8" tint="0.79998168889431442"/>
        <color theme="5" tint="0.79998168889431442"/>
      </colorScale>
    </cfRule>
  </conditionalFormatting>
  <conditionalFormatting sqref="B12:B17">
    <cfRule type="duplicateValues" dxfId="129" priority="46"/>
  </conditionalFormatting>
  <conditionalFormatting sqref="B12:B17">
    <cfRule type="duplicateValues" dxfId="128" priority="45"/>
  </conditionalFormatting>
  <conditionalFormatting sqref="AH13:AH17">
    <cfRule type="colorScale" priority="44">
      <colorScale>
        <cfvo type="num" val="1"/>
        <cfvo type="num" val="2"/>
        <color theme="8" tint="0.79998168889431442"/>
        <color theme="5" tint="0.79998168889431442"/>
      </colorScale>
    </cfRule>
  </conditionalFormatting>
  <conditionalFormatting sqref="AH12">
    <cfRule type="colorScale" priority="43">
      <colorScale>
        <cfvo type="num" val="1"/>
        <cfvo type="num" val="2"/>
        <color theme="8" tint="0.79998168889431442"/>
        <color theme="5" tint="0.79998168889431442"/>
      </colorScale>
    </cfRule>
  </conditionalFormatting>
  <conditionalFormatting sqref="B18">
    <cfRule type="duplicateValues" dxfId="127" priority="42"/>
  </conditionalFormatting>
  <conditionalFormatting sqref="B18">
    <cfRule type="duplicateValues" dxfId="126" priority="41"/>
  </conditionalFormatting>
  <conditionalFormatting sqref="AH18">
    <cfRule type="colorScale" priority="40">
      <colorScale>
        <cfvo type="num" val="1"/>
        <cfvo type="num" val="2"/>
        <color theme="8" tint="0.79998168889431442"/>
        <color theme="5" tint="0.79998168889431442"/>
      </colorScale>
    </cfRule>
  </conditionalFormatting>
  <conditionalFormatting sqref="B20">
    <cfRule type="duplicateValues" dxfId="125" priority="39"/>
  </conditionalFormatting>
  <conditionalFormatting sqref="B20">
    <cfRule type="duplicateValues" dxfId="124" priority="38"/>
  </conditionalFormatting>
  <conditionalFormatting sqref="B19">
    <cfRule type="duplicateValues" dxfId="123" priority="37"/>
  </conditionalFormatting>
  <conditionalFormatting sqref="B19">
    <cfRule type="duplicateValues" dxfId="122" priority="36"/>
  </conditionalFormatting>
  <conditionalFormatting sqref="AH20">
    <cfRule type="colorScale" priority="35">
      <colorScale>
        <cfvo type="num" val="1"/>
        <cfvo type="num" val="2"/>
        <color theme="8" tint="0.79998168889431442"/>
        <color theme="5" tint="0.79998168889431442"/>
      </colorScale>
    </cfRule>
  </conditionalFormatting>
  <conditionalFormatting sqref="AH19">
    <cfRule type="colorScale" priority="34">
      <colorScale>
        <cfvo type="num" val="1"/>
        <cfvo type="num" val="2"/>
        <color theme="8" tint="0.79998168889431442"/>
        <color theme="5" tint="0.79998168889431442"/>
      </colorScale>
    </cfRule>
  </conditionalFormatting>
  <conditionalFormatting sqref="B21">
    <cfRule type="duplicateValues" dxfId="121" priority="33"/>
  </conditionalFormatting>
  <conditionalFormatting sqref="B21">
    <cfRule type="duplicateValues" dxfId="120" priority="32"/>
  </conditionalFormatting>
  <conditionalFormatting sqref="AH21">
    <cfRule type="colorScale" priority="31">
      <colorScale>
        <cfvo type="num" val="1"/>
        <cfvo type="num" val="2"/>
        <color theme="8" tint="0.79998168889431442"/>
        <color theme="5" tint="0.79998168889431442"/>
      </colorScale>
    </cfRule>
  </conditionalFormatting>
  <conditionalFormatting sqref="B22">
    <cfRule type="duplicateValues" dxfId="119" priority="30"/>
  </conditionalFormatting>
  <conditionalFormatting sqref="B22">
    <cfRule type="duplicateValues" dxfId="118" priority="29"/>
  </conditionalFormatting>
  <conditionalFormatting sqref="AH22">
    <cfRule type="colorScale" priority="28">
      <colorScale>
        <cfvo type="num" val="1"/>
        <cfvo type="num" val="2"/>
        <color theme="8" tint="0.79998168889431442"/>
        <color theme="5" tint="0.79998168889431442"/>
      </colorScale>
    </cfRule>
  </conditionalFormatting>
  <conditionalFormatting sqref="B23:B24">
    <cfRule type="duplicateValues" dxfId="117" priority="27"/>
  </conditionalFormatting>
  <conditionalFormatting sqref="B23:B24">
    <cfRule type="duplicateValues" dxfId="116" priority="26"/>
  </conditionalFormatting>
  <conditionalFormatting sqref="AH23:AH28">
    <cfRule type="colorScale" priority="25">
      <colorScale>
        <cfvo type="num" val="1"/>
        <cfvo type="num" val="2"/>
        <color theme="8" tint="0.79998168889431442"/>
        <color theme="5" tint="0.79998168889431442"/>
      </colorScale>
    </cfRule>
  </conditionalFormatting>
  <conditionalFormatting sqref="B25:B28">
    <cfRule type="duplicateValues" dxfId="115" priority="24"/>
  </conditionalFormatting>
  <conditionalFormatting sqref="B25:B28">
    <cfRule type="duplicateValues" dxfId="114" priority="23"/>
  </conditionalFormatting>
  <conditionalFormatting sqref="B2:B28">
    <cfRule type="duplicateValues" dxfId="113" priority="22"/>
  </conditionalFormatting>
  <conditionalFormatting sqref="B2:B28">
    <cfRule type="duplicateValues" dxfId="112" priority="21"/>
  </conditionalFormatting>
  <conditionalFormatting sqref="B1:B821">
    <cfRule type="duplicateValues" dxfId="111" priority="20"/>
  </conditionalFormatting>
  <conditionalFormatting sqref="AE1:AE820">
    <cfRule type="cellIs" dxfId="110" priority="18" operator="lessThanOrEqual">
      <formula>1000</formula>
    </cfRule>
  </conditionalFormatting>
  <pageMargins left="0.7" right="0.7" top="0.75" bottom="0.75" header="0.3" footer="0.3"/>
  <pageSetup paperSize="9" orientation="portrait" horizontalDpi="4294967293" verticalDpi="0" r:id="rId1"/>
  <extLst>
    <ext xmlns:x14="http://schemas.microsoft.com/office/spreadsheetml/2009/9/main" uri="{78C0D931-6437-407d-A8EE-F0AAD7539E65}">
      <x14:conditionalFormattings>
        <x14:conditionalFormatting xmlns:xm="http://schemas.microsoft.com/office/excel/2006/main">
          <x14:cfRule type="expression" priority="17" id="{BCE5EBD3-BE68-4ADA-B42C-2F363966304C}">
            <xm:f>トップス!$D2&gt;=65</xm:f>
            <x14:dxf>
              <fill>
                <patternFill>
                  <bgColor rgb="FFFF0000"/>
                </patternFill>
              </fill>
            </x14:dxf>
          </x14:cfRule>
          <xm:sqref>C2:C150</xm:sqref>
        </x14:conditionalFormatting>
        <x14:conditionalFormatting xmlns:xm="http://schemas.microsoft.com/office/excel/2006/main">
          <x14:cfRule type="expression" priority="16" id="{59F6BAB3-4187-41F5-A281-1B39601DC3EB}">
            <xm:f>パンツ!$D2&gt;=65</xm:f>
            <x14:dxf>
              <fill>
                <patternFill>
                  <bgColor rgb="FFFF0000"/>
                </patternFill>
              </fill>
            </x14:dxf>
          </x14:cfRule>
          <xm:sqref>C151:C199</xm:sqref>
        </x14:conditionalFormatting>
        <x14:conditionalFormatting xmlns:xm="http://schemas.microsoft.com/office/excel/2006/main">
          <x14:cfRule type="expression" priority="15" id="{B58459E0-636A-4430-B678-0B098280C2A7}">
            <xm:f>スカート!$D2&gt;=65</xm:f>
            <x14:dxf>
              <fill>
                <patternFill>
                  <bgColor rgb="FFFF0000"/>
                </patternFill>
              </fill>
            </x14:dxf>
          </x14:cfRule>
          <xm:sqref>C200:C249</xm:sqref>
        </x14:conditionalFormatting>
        <x14:conditionalFormatting xmlns:xm="http://schemas.microsoft.com/office/excel/2006/main">
          <x14:cfRule type="expression" priority="14" id="{674D06D0-3A05-4FCB-A14E-5EA61575C43A}">
            <xm:f>ワンピース!$D2&gt;=65</xm:f>
            <x14:dxf>
              <fill>
                <patternFill>
                  <bgColor rgb="FFFF0000"/>
                </patternFill>
              </fill>
            </x14:dxf>
          </x14:cfRule>
          <xm:sqref>C250:C299</xm:sqref>
        </x14:conditionalFormatting>
        <x14:conditionalFormatting xmlns:xm="http://schemas.microsoft.com/office/excel/2006/main">
          <x14:cfRule type="expression" priority="13" id="{38B299C5-CB61-43A1-853C-A4EA9664D3B9}">
            <xm:f>オールインワン!$D2&gt;=65</xm:f>
            <x14:dxf>
              <fill>
                <patternFill>
                  <bgColor rgb="FFFF0000"/>
                </patternFill>
              </fill>
            </x14:dxf>
          </x14:cfRule>
          <xm:sqref>C300:C319</xm:sqref>
        </x14:conditionalFormatting>
        <x14:conditionalFormatting xmlns:xm="http://schemas.microsoft.com/office/excel/2006/main">
          <x14:cfRule type="expression" priority="12" id="{1084F9C9-A150-4D8E-9CB2-14ACD5F10454}">
            <xm:f>スカートスーツ!$D2&gt;=65</xm:f>
            <x14:dxf>
              <fill>
                <patternFill>
                  <bgColor rgb="FFFF0000"/>
                </patternFill>
              </fill>
            </x14:dxf>
          </x14:cfRule>
          <xm:sqref>C320:C339</xm:sqref>
        </x14:conditionalFormatting>
        <x14:conditionalFormatting xmlns:xm="http://schemas.microsoft.com/office/excel/2006/main">
          <x14:cfRule type="expression" priority="11" id="{E5D22E15-6EC7-4E75-B0A5-39B1F6C6DCAD}">
            <xm:f>パンツスーツ!$D2&gt;=65</xm:f>
            <x14:dxf>
              <fill>
                <patternFill>
                  <bgColor rgb="FFFF0000"/>
                </patternFill>
              </fill>
            </x14:dxf>
          </x14:cfRule>
          <xm:sqref>C340:C359</xm:sqref>
        </x14:conditionalFormatting>
        <x14:conditionalFormatting xmlns:xm="http://schemas.microsoft.com/office/excel/2006/main">
          <x14:cfRule type="expression" priority="10" id="{5EBAF364-55EA-4ECC-8454-6A67E99F82B1}">
            <xm:f>靴!$D2&gt;=65</xm:f>
            <x14:dxf>
              <fill>
                <patternFill>
                  <bgColor rgb="FFFF0000"/>
                </patternFill>
              </fill>
            </x14:dxf>
          </x14:cfRule>
          <xm:sqref>C360:C459</xm:sqref>
        </x14:conditionalFormatting>
        <x14:conditionalFormatting xmlns:xm="http://schemas.microsoft.com/office/excel/2006/main">
          <x14:cfRule type="expression" priority="9" id="{390770CB-B03B-48DB-89ED-7F1563C03A1B}">
            <xm:f>ブーツ!$D2&gt;=65</xm:f>
            <x14:dxf>
              <fill>
                <patternFill>
                  <bgColor rgb="FFFF0000"/>
                </patternFill>
              </fill>
            </x14:dxf>
          </x14:cfRule>
          <xm:sqref>C460:C509</xm:sqref>
        </x14:conditionalFormatting>
        <x14:conditionalFormatting xmlns:xm="http://schemas.microsoft.com/office/excel/2006/main">
          <x14:cfRule type="expression" priority="8" id="{AC5AC674-7A2F-4F4D-8D8C-CE0C26ECB5C6}">
            <xm:f>ベルト!$D2&gt;=65</xm:f>
            <x14:dxf>
              <fill>
                <patternFill>
                  <bgColor rgb="FFFF0000"/>
                </patternFill>
              </fill>
            </x14:dxf>
          </x14:cfRule>
          <xm:sqref>C510:C519</xm:sqref>
        </x14:conditionalFormatting>
        <x14:conditionalFormatting xmlns:xm="http://schemas.microsoft.com/office/excel/2006/main">
          <x14:cfRule type="expression" priority="7" id="{7F6F3CF7-6791-4BD1-8BB9-E6E3DB4D3866}">
            <xm:f>ネクタイ縦横!$D2&gt;=65</xm:f>
            <x14:dxf>
              <fill>
                <patternFill>
                  <bgColor rgb="FFFF0000"/>
                </patternFill>
              </fill>
            </x14:dxf>
          </x14:cfRule>
          <xm:sqref>C520:C589</xm:sqref>
        </x14:conditionalFormatting>
        <x14:conditionalFormatting xmlns:xm="http://schemas.microsoft.com/office/excel/2006/main">
          <x14:cfRule type="expression" priority="6" id="{FFCA2096-5555-4561-90F8-40C8ADAA5F09}">
            <xm:f>帽子!$D2&gt;=65</xm:f>
            <x14:dxf>
              <fill>
                <patternFill>
                  <bgColor rgb="FFFF0000"/>
                </patternFill>
              </fill>
            </x14:dxf>
          </x14:cfRule>
          <xm:sqref>C590:C629</xm:sqref>
        </x14:conditionalFormatting>
        <x14:conditionalFormatting xmlns:xm="http://schemas.microsoft.com/office/excel/2006/main">
          <x14:cfRule type="expression" priority="5" id="{A175CD28-CFBE-4E24-BADA-13F3124E8EE3}">
            <xm:f>バッグ!$D2&gt;=65</xm:f>
            <x14:dxf>
              <fill>
                <patternFill>
                  <bgColor rgb="FFFF0000"/>
                </patternFill>
              </fill>
            </x14:dxf>
          </x14:cfRule>
          <xm:sqref>C630:C712</xm:sqref>
        </x14:conditionalFormatting>
        <x14:conditionalFormatting xmlns:xm="http://schemas.microsoft.com/office/excel/2006/main">
          <x14:cfRule type="expression" priority="4" id="{FB735FAC-8525-4911-87B3-C805DF0A8FA4}">
            <xm:f>ネックレス!$D2&gt;=65</xm:f>
            <x14:dxf>
              <fill>
                <patternFill>
                  <bgColor rgb="FFFF0000"/>
                </patternFill>
              </fill>
            </x14:dxf>
          </x14:cfRule>
          <xm:sqref>C713:C736</xm:sqref>
        </x14:conditionalFormatting>
        <x14:conditionalFormatting xmlns:xm="http://schemas.microsoft.com/office/excel/2006/main">
          <x14:cfRule type="expression" priority="3" id="{F8C1EE34-33D4-436C-A2CF-8A12354A6BFD}">
            <xm:f>サングラス!$D2&gt;=65</xm:f>
            <x14:dxf>
              <fill>
                <patternFill>
                  <bgColor rgb="FFFF0000"/>
                </patternFill>
              </fill>
            </x14:dxf>
          </x14:cfRule>
          <xm:sqref>C737:C761</xm:sqref>
        </x14:conditionalFormatting>
        <x14:conditionalFormatting xmlns:xm="http://schemas.microsoft.com/office/excel/2006/main">
          <x14:cfRule type="expression" priority="2" id="{BC8CEB93-F223-4099-A9B6-C785778E7D1C}">
            <xm:f>アンサンブル!$D2&gt;=65</xm:f>
            <x14:dxf>
              <fill>
                <patternFill>
                  <bgColor rgb="FFFF0000"/>
                </patternFill>
              </fill>
            </x14:dxf>
          </x14:cfRule>
          <xm:sqref>C762:C770</xm:sqref>
        </x14:conditionalFormatting>
        <x14:conditionalFormatting xmlns:xm="http://schemas.microsoft.com/office/excel/2006/main">
          <x14:cfRule type="expression" priority="1" id="{ADDE37DA-2026-4B7A-BA72-1136AE00C7F5}">
            <xm:f>複数商品!$D2&gt;=65</xm:f>
            <x14:dxf>
              <fill>
                <patternFill>
                  <bgColor rgb="FFFF0000"/>
                </patternFill>
              </fill>
            </x14:dxf>
          </x14:cfRule>
          <xm:sqref>C771:C820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S1048367"/>
  <sheetViews>
    <sheetView zoomScale="85" zoomScaleNormal="85" workbookViewId="0">
      <pane ySplit="1" topLeftCell="A2" activePane="bottomLeft" state="frozen"/>
      <selection pane="bottomLeft" activeCell="A8" sqref="A8"/>
    </sheetView>
  </sheetViews>
  <sheetFormatPr defaultRowHeight="13.5"/>
  <cols>
    <col min="1" max="1" width="14" style="9" customWidth="1"/>
    <col min="2" max="2" width="16.25" style="14" customWidth="1"/>
    <col min="3" max="3" width="80.625" customWidth="1"/>
    <col min="4" max="4" width="5.625" customWidth="1"/>
    <col min="5" max="5" width="3.875" customWidth="1"/>
    <col min="6" max="6" width="9" hidden="1" customWidth="1"/>
    <col min="7" max="7" width="3.625" customWidth="1"/>
    <col min="8" max="9" width="9" hidden="1" customWidth="1"/>
    <col min="10" max="10" width="0" hidden="1" customWidth="1"/>
    <col min="11" max="11" width="10.125" hidden="1" customWidth="1"/>
    <col min="12" max="12" width="9.5" hidden="1" customWidth="1"/>
    <col min="13" max="13" width="2.75" hidden="1" customWidth="1"/>
    <col min="14" max="14" width="7.5" hidden="1" customWidth="1"/>
    <col min="15" max="17" width="5.75" hidden="1" customWidth="1"/>
    <col min="18" max="18" width="7" hidden="1" customWidth="1"/>
    <col min="19" max="21" width="5.75" hidden="1" customWidth="1"/>
    <col min="22" max="22" width="7" hidden="1" customWidth="1"/>
    <col min="23" max="25" width="5.75" hidden="1" customWidth="1"/>
    <col min="26" max="26" width="7" hidden="1" customWidth="1"/>
    <col min="27" max="29" width="5.75" hidden="1" customWidth="1"/>
    <col min="30" max="30" width="10.375" bestFit="1" customWidth="1"/>
    <col min="31" max="31" width="9" style="32" bestFit="1" customWidth="1"/>
    <col min="32" max="32" width="6.875" customWidth="1"/>
    <col min="33" max="33" width="9.125" customWidth="1"/>
    <col min="34" max="34" width="19" customWidth="1"/>
    <col min="37" max="37" width="65.75" hidden="1" customWidth="1"/>
    <col min="38" max="38" width="3.125" hidden="1" customWidth="1"/>
    <col min="39" max="39" width="14.875" customWidth="1"/>
    <col min="40" max="42" width="9" hidden="1" customWidth="1"/>
    <col min="44" max="45" width="13.625" hidden="1" customWidth="1"/>
  </cols>
  <sheetData>
    <row r="1" spans="1:45" ht="13.5" customHeight="1">
      <c r="A1" s="37" t="s">
        <v>2641</v>
      </c>
      <c r="B1" s="38" t="s">
        <v>0</v>
      </c>
      <c r="C1" s="8" t="s">
        <v>1</v>
      </c>
      <c r="D1" s="25" t="s">
        <v>145</v>
      </c>
      <c r="E1" s="18" t="s">
        <v>2</v>
      </c>
      <c r="F1" s="19" t="s">
        <v>3</v>
      </c>
      <c r="G1" s="17" t="s">
        <v>4</v>
      </c>
      <c r="H1" s="19" t="s">
        <v>5</v>
      </c>
      <c r="I1" s="19" t="s">
        <v>6</v>
      </c>
      <c r="J1" s="19" t="s">
        <v>7</v>
      </c>
      <c r="K1" s="19" t="s">
        <v>8</v>
      </c>
      <c r="L1" s="18" t="s">
        <v>9</v>
      </c>
      <c r="M1" s="8"/>
      <c r="N1" s="20" t="s">
        <v>141</v>
      </c>
      <c r="O1" s="21" t="s">
        <v>129</v>
      </c>
      <c r="P1" s="21" t="s">
        <v>131</v>
      </c>
      <c r="Q1" s="21" t="s">
        <v>137</v>
      </c>
      <c r="R1" s="20" t="s">
        <v>142</v>
      </c>
      <c r="S1" s="21" t="s">
        <v>132</v>
      </c>
      <c r="T1" s="21" t="s">
        <v>130</v>
      </c>
      <c r="U1" s="21" t="s">
        <v>138</v>
      </c>
      <c r="V1" s="20" t="s">
        <v>143</v>
      </c>
      <c r="W1" s="21" t="s">
        <v>133</v>
      </c>
      <c r="X1" s="21" t="s">
        <v>134</v>
      </c>
      <c r="Y1" s="21" t="s">
        <v>139</v>
      </c>
      <c r="Z1" s="20" t="s">
        <v>144</v>
      </c>
      <c r="AA1" s="21" t="s">
        <v>135</v>
      </c>
      <c r="AB1" s="21" t="s">
        <v>136</v>
      </c>
      <c r="AC1" s="21" t="s">
        <v>140</v>
      </c>
      <c r="AD1" s="15" t="s">
        <v>164</v>
      </c>
      <c r="AE1" s="21" t="s">
        <v>3055</v>
      </c>
      <c r="AF1" s="17" t="s">
        <v>88</v>
      </c>
      <c r="AG1" s="17" t="s">
        <v>84</v>
      </c>
      <c r="AH1" s="17" t="s">
        <v>85</v>
      </c>
      <c r="AI1" s="17" t="s">
        <v>87</v>
      </c>
      <c r="AJ1" s="17" t="s">
        <v>86</v>
      </c>
      <c r="AK1" s="1" t="s">
        <v>43</v>
      </c>
      <c r="AL1" s="4"/>
      <c r="AM1" s="18" t="s">
        <v>98</v>
      </c>
      <c r="AN1" s="16" t="s">
        <v>107</v>
      </c>
      <c r="AO1" s="17" t="s">
        <v>151</v>
      </c>
      <c r="AP1" s="17" t="s">
        <v>17</v>
      </c>
      <c r="AQ1" s="17" t="s">
        <v>109</v>
      </c>
      <c r="AR1" s="67" t="s">
        <v>3027</v>
      </c>
      <c r="AS1" s="67" t="s">
        <v>3030</v>
      </c>
    </row>
    <row r="2" spans="1:45" ht="14.25" customHeight="1">
      <c r="A2" s="9" t="s">
        <v>3086</v>
      </c>
      <c r="B2" s="39">
        <v>1212020007979</v>
      </c>
      <c r="C2" t="str">
        <f t="shared" ref="C2:C33" si="0">TRIM(AE2&amp;" "&amp;AF2&amp;" "&amp;AR2&amp;" "&amp;AG2&amp;" "&amp;AH2&amp;" "&amp;AI2&amp;" "&amp;AJ2&amp;" "&amp;AS2&amp;EX&amp;" "&amp;B2)</f>
        <v>◇ 《 who's who Chico フーズフーチコ シアー素材。フリル ブラウス レディース 》 E 1212020007979</v>
      </c>
      <c r="D2" s="7">
        <f t="shared" ref="D2:D6" si="1">(LENB(C2)-LEN(C2))+(LENB(C2)-(LENB(C2)-LEN(C2))*2)/2</f>
        <v>47</v>
      </c>
      <c r="E2" t="s">
        <v>71</v>
      </c>
      <c r="G2">
        <v>3</v>
      </c>
      <c r="H2" s="22" t="s">
        <v>3010</v>
      </c>
      <c r="I2" s="23"/>
      <c r="J2" s="23" t="s">
        <v>146</v>
      </c>
      <c r="K2" s="23" t="s">
        <v>147</v>
      </c>
      <c r="L2" s="23" t="s">
        <v>154</v>
      </c>
      <c r="M2" s="24" t="s">
        <v>153</v>
      </c>
      <c r="AD2" t="s">
        <v>165</v>
      </c>
      <c r="AE2" s="32" t="str">
        <f t="shared" ref="AE2:AE33" si="2">IFERROR(VLOOKUP(AD2,梱包サイズ表,2,0),"")</f>
        <v>◇</v>
      </c>
      <c r="AG2" t="s">
        <v>3097</v>
      </c>
      <c r="AH2" t="s">
        <v>3098</v>
      </c>
      <c r="AI2" t="s">
        <v>3085</v>
      </c>
      <c r="AJ2" t="s">
        <v>3019</v>
      </c>
      <c r="AK2" t="str">
        <f t="shared" ref="AK2" si="3">"【商品①】全長：" &amp;O2&amp; "cm　最大幅：" &amp;P2&amp; "cm ×" &amp;Q2&amp; "&lt;BR&gt;【商品②】全長：" &amp;S2&amp; "cm　最大幅：" &amp;T2&amp; "cm ×" &amp;U2&amp; "&lt;BR&gt;【商品③】全長：" &amp;W2&amp; "cm　最大幅：" &amp;X2&amp; "cm ×" &amp;Y2&amp; "&lt;BR&gt;【商品④】全長：" &amp;AA2&amp; "cm　最大幅：" &amp;AB2&amp; "cm ×" &amp;AC2&amp; "&lt;BR&gt;"</f>
        <v>【商品①】全長：cm　最大幅：cm ×&lt;BR&gt;【商品②】全長：cm　最大幅：cm ×&lt;BR&gt;【商品③】全長：cm　最大幅：cm ×&lt;BR&gt;【商品④】全長：cm　最大幅：cm ×&lt;BR&gt;</v>
      </c>
      <c r="AL2" s="4">
        <v>1</v>
      </c>
      <c r="AM2" s="7" t="s">
        <v>3096</v>
      </c>
      <c r="AO2" s="6"/>
      <c r="AQ2">
        <v>1000</v>
      </c>
      <c r="AR2" t="s">
        <v>3028</v>
      </c>
      <c r="AS2" t="s">
        <v>3029</v>
      </c>
    </row>
    <row r="3" spans="1:45" ht="14.25" customHeight="1">
      <c r="A3" s="9" t="s">
        <v>3136</v>
      </c>
      <c r="B3" s="39">
        <v>1212020007887</v>
      </c>
      <c r="C3" t="str">
        <f t="shared" si="0"/>
        <v>◇ 《 apres jour アプレジュール フロント刺繍、プリント Tシャツ レディース 》 E 1212020007887</v>
      </c>
      <c r="D3" s="7">
        <f t="shared" si="1"/>
        <v>46</v>
      </c>
      <c r="E3" t="s">
        <v>71</v>
      </c>
      <c r="G3">
        <v>3</v>
      </c>
      <c r="H3" s="22" t="s">
        <v>3010</v>
      </c>
      <c r="I3" s="23"/>
      <c r="J3" s="23" t="s">
        <v>146</v>
      </c>
      <c r="K3" s="23" t="s">
        <v>147</v>
      </c>
      <c r="L3" s="23" t="s">
        <v>154</v>
      </c>
      <c r="M3" s="24" t="s">
        <v>153</v>
      </c>
      <c r="AD3" t="s">
        <v>165</v>
      </c>
      <c r="AE3" s="32" t="str">
        <f t="shared" si="2"/>
        <v>◇</v>
      </c>
      <c r="AG3" t="s">
        <v>3133</v>
      </c>
      <c r="AH3" t="s">
        <v>3134</v>
      </c>
      <c r="AI3" t="s">
        <v>3135</v>
      </c>
      <c r="AJ3" t="s">
        <v>3019</v>
      </c>
      <c r="AK3" t="str">
        <f t="shared" ref="AK3:AK45" si="4">"【商品①】全長：" &amp;O3&amp; "cm　最大幅：" &amp;P3&amp; "cm ×" &amp;Q3&amp; "&lt;BR&gt;【商品②】全長：" &amp;S3&amp; "cm　最大幅：" &amp;T3&amp; "cm ×" &amp;U3&amp; "&lt;BR&gt;【商品③】全長：" &amp;W3&amp; "cm　最大幅：" &amp;X3&amp; "cm ×" &amp;Y3&amp; "&lt;BR&gt;【商品④】全長：" &amp;AA3&amp; "cm　最大幅：" &amp;AB3&amp; "cm ×" &amp;AC3&amp; "&lt;BR&gt;"</f>
        <v>【商品①】全長：cm　最大幅：cm ×&lt;BR&gt;【商品②】全長：cm　最大幅：cm ×&lt;BR&gt;【商品③】全長：cm　最大幅：cm ×&lt;BR&gt;【商品④】全長：cm　最大幅：cm ×&lt;BR&gt;</v>
      </c>
      <c r="AL3" s="4">
        <v>2</v>
      </c>
      <c r="AM3" s="7" t="s">
        <v>3096</v>
      </c>
      <c r="AO3" s="6"/>
      <c r="AQ3">
        <v>1000</v>
      </c>
      <c r="AR3" t="s">
        <v>3028</v>
      </c>
      <c r="AS3" t="s">
        <v>3029</v>
      </c>
    </row>
    <row r="4" spans="1:45" ht="14.25" customHeight="1">
      <c r="A4" s="9" t="s">
        <v>3067</v>
      </c>
      <c r="B4" s="39">
        <v>1212020007870</v>
      </c>
      <c r="C4" t="str">
        <f t="shared" si="0"/>
        <v>◇ 《 SOYOUS ソユーズ タータンチェック パンツ レディース 》 E 1212020007870</v>
      </c>
      <c r="D4" s="7">
        <f t="shared" si="1"/>
        <v>37.5</v>
      </c>
      <c r="E4" t="s">
        <v>71</v>
      </c>
      <c r="G4">
        <v>3</v>
      </c>
      <c r="H4" s="22" t="s">
        <v>3010</v>
      </c>
      <c r="I4" s="23"/>
      <c r="J4" s="23" t="s">
        <v>146</v>
      </c>
      <c r="K4" s="23" t="s">
        <v>147</v>
      </c>
      <c r="L4" s="23" t="s">
        <v>154</v>
      </c>
      <c r="M4" s="24" t="s">
        <v>153</v>
      </c>
      <c r="AD4" t="s">
        <v>165</v>
      </c>
      <c r="AE4" s="32" t="str">
        <f t="shared" si="2"/>
        <v>◇</v>
      </c>
      <c r="AG4" t="s">
        <v>3138</v>
      </c>
      <c r="AH4" t="s">
        <v>3139</v>
      </c>
      <c r="AI4" t="s">
        <v>3137</v>
      </c>
      <c r="AJ4" t="s">
        <v>3019</v>
      </c>
      <c r="AK4" t="str">
        <f t="shared" si="4"/>
        <v>【商品①】全長：cm　最大幅：cm ×&lt;BR&gt;【商品②】全長：cm　最大幅：cm ×&lt;BR&gt;【商品③】全長：cm　最大幅：cm ×&lt;BR&gt;【商品④】全長：cm　最大幅：cm ×&lt;BR&gt;</v>
      </c>
      <c r="AL4" s="4">
        <v>3</v>
      </c>
      <c r="AM4" s="7" t="s">
        <v>3096</v>
      </c>
      <c r="AO4" s="6"/>
      <c r="AQ4">
        <v>1000</v>
      </c>
      <c r="AR4" t="s">
        <v>3028</v>
      </c>
      <c r="AS4" t="s">
        <v>3029</v>
      </c>
    </row>
    <row r="5" spans="1:45" ht="14.25" customHeight="1">
      <c r="A5" s="9" t="s">
        <v>3144</v>
      </c>
      <c r="B5" s="39">
        <v>1212020007863</v>
      </c>
      <c r="C5" t="str">
        <f t="shared" si="0"/>
        <v>◇ 《 mezzo piano メゾピアノピアノ 総柄、ワッペンあり サンバイザー、キャスケット キッズ 》 E 1212020007863</v>
      </c>
      <c r="D5" s="7">
        <f t="shared" si="1"/>
        <v>53</v>
      </c>
      <c r="E5" t="s">
        <v>71</v>
      </c>
      <c r="G5">
        <v>3</v>
      </c>
      <c r="H5" s="22" t="s">
        <v>3010</v>
      </c>
      <c r="I5" s="23"/>
      <c r="J5" s="23" t="s">
        <v>146</v>
      </c>
      <c r="K5" s="23" t="s">
        <v>147</v>
      </c>
      <c r="L5" s="23" t="s">
        <v>154</v>
      </c>
      <c r="M5" s="24" t="s">
        <v>153</v>
      </c>
      <c r="AD5" t="s">
        <v>165</v>
      </c>
      <c r="AE5" s="32" t="str">
        <f t="shared" si="2"/>
        <v>◇</v>
      </c>
      <c r="AG5" t="s">
        <v>3140</v>
      </c>
      <c r="AH5" t="s">
        <v>3143</v>
      </c>
      <c r="AI5" t="s">
        <v>3141</v>
      </c>
      <c r="AJ5" t="s">
        <v>3142</v>
      </c>
      <c r="AK5" t="str">
        <f t="shared" si="4"/>
        <v>【商品①】全長：cm　最大幅：cm ×&lt;BR&gt;【商品②】全長：cm　最大幅：cm ×&lt;BR&gt;【商品③】全長：cm　最大幅：cm ×&lt;BR&gt;【商品④】全長：cm　最大幅：cm ×&lt;BR&gt;</v>
      </c>
      <c r="AL5" s="4">
        <v>4</v>
      </c>
      <c r="AM5" s="7" t="s">
        <v>3096</v>
      </c>
      <c r="AO5" s="6"/>
      <c r="AQ5">
        <v>1000</v>
      </c>
      <c r="AR5" t="s">
        <v>3028</v>
      </c>
      <c r="AS5" t="s">
        <v>3029</v>
      </c>
    </row>
    <row r="6" spans="1:45" ht="14.25" customHeight="1">
      <c r="A6" s="9" t="s">
        <v>3190</v>
      </c>
      <c r="B6" s="39">
        <v>1212020007757</v>
      </c>
      <c r="C6" t="str">
        <f t="shared" si="0"/>
        <v>◇ 《 Heather ヘザー デニム。ストレッチ素材 オーバーオール レディース 》 E 1212020007757</v>
      </c>
      <c r="D6" s="7">
        <f t="shared" si="1"/>
        <v>44</v>
      </c>
      <c r="E6" t="s">
        <v>71</v>
      </c>
      <c r="G6">
        <v>3</v>
      </c>
      <c r="H6" s="22" t="s">
        <v>3010</v>
      </c>
      <c r="I6" s="23"/>
      <c r="J6" s="23" t="s">
        <v>146</v>
      </c>
      <c r="K6" s="23" t="s">
        <v>147</v>
      </c>
      <c r="L6" s="23" t="s">
        <v>154</v>
      </c>
      <c r="M6" s="24" t="s">
        <v>153</v>
      </c>
      <c r="AD6" t="s">
        <v>165</v>
      </c>
      <c r="AE6" s="32" t="str">
        <f t="shared" si="2"/>
        <v>◇</v>
      </c>
      <c r="AG6" t="s">
        <v>3083</v>
      </c>
      <c r="AH6" t="s">
        <v>3188</v>
      </c>
      <c r="AI6" t="s">
        <v>3189</v>
      </c>
      <c r="AJ6" t="s">
        <v>3019</v>
      </c>
      <c r="AK6" t="str">
        <f t="shared" si="4"/>
        <v>【商品①】全長：cm　最大幅：cm ×&lt;BR&gt;【商品②】全長：cm　最大幅：cm ×&lt;BR&gt;【商品③】全長：cm　最大幅：cm ×&lt;BR&gt;【商品④】全長：cm　最大幅：cm ×&lt;BR&gt;</v>
      </c>
      <c r="AL6" s="4">
        <v>5</v>
      </c>
      <c r="AM6" s="7" t="s">
        <v>3096</v>
      </c>
      <c r="AO6" s="6"/>
      <c r="AQ6">
        <v>1000</v>
      </c>
      <c r="AR6" t="s">
        <v>3028</v>
      </c>
      <c r="AS6" t="s">
        <v>3029</v>
      </c>
    </row>
    <row r="7" spans="1:45" ht="14.25" customHeight="1">
      <c r="A7" s="9" t="s">
        <v>3071</v>
      </c>
      <c r="B7" s="39">
        <v>1212020007634</v>
      </c>
      <c r="C7" t="str">
        <f t="shared" si="0"/>
        <v>◇ 《 furryrate ファーリーレート クルーネック、裾リブ ニット レディース 》 E 1212020007634</v>
      </c>
      <c r="D7" s="7">
        <f t="shared" ref="D7:D50" si="5">(LENB(C7)-LEN(C7))+(LENB(C7)-(LENB(C7)-LEN(C7))*2)/2</f>
        <v>45</v>
      </c>
      <c r="E7" t="s">
        <v>71</v>
      </c>
      <c r="G7">
        <v>3</v>
      </c>
      <c r="H7" s="22" t="s">
        <v>3010</v>
      </c>
      <c r="I7" s="23"/>
      <c r="J7" s="23" t="s">
        <v>146</v>
      </c>
      <c r="K7" s="23" t="s">
        <v>147</v>
      </c>
      <c r="L7" s="23" t="s">
        <v>154</v>
      </c>
      <c r="M7" s="24" t="s">
        <v>153</v>
      </c>
      <c r="AD7" t="s">
        <v>165</v>
      </c>
      <c r="AE7" s="32" t="str">
        <f t="shared" si="2"/>
        <v>◇</v>
      </c>
      <c r="AG7" t="s">
        <v>3221</v>
      </c>
      <c r="AH7" t="s">
        <v>3220</v>
      </c>
      <c r="AI7" t="s">
        <v>3072</v>
      </c>
      <c r="AJ7" t="s">
        <v>3019</v>
      </c>
      <c r="AK7" t="str">
        <f t="shared" si="4"/>
        <v>【商品①】全長：cm　最大幅：cm ×&lt;BR&gt;【商品②】全長：cm　最大幅：cm ×&lt;BR&gt;【商品③】全長：cm　最大幅：cm ×&lt;BR&gt;【商品④】全長：cm　最大幅：cm ×&lt;BR&gt;</v>
      </c>
      <c r="AL7" s="4">
        <v>6</v>
      </c>
      <c r="AM7" s="7" t="s">
        <v>3096</v>
      </c>
      <c r="AO7" s="6"/>
      <c r="AQ7">
        <v>1000</v>
      </c>
      <c r="AR7" t="s">
        <v>3028</v>
      </c>
      <c r="AS7" t="s">
        <v>3029</v>
      </c>
    </row>
    <row r="8" spans="1:45" ht="14.25" customHeight="1">
      <c r="A8" s="9" t="s">
        <v>3071</v>
      </c>
      <c r="B8" s="39">
        <v>1212020007580</v>
      </c>
      <c r="C8" t="str">
        <f t="shared" si="0"/>
        <v>◇ 《 RAY CASSIN レイカズン ボーダー リブニット レディース 》 E 1212020007580</v>
      </c>
      <c r="D8" s="7">
        <f t="shared" si="5"/>
        <v>38.5</v>
      </c>
      <c r="E8" t="s">
        <v>71</v>
      </c>
      <c r="G8">
        <v>3</v>
      </c>
      <c r="H8" s="22" t="s">
        <v>3010</v>
      </c>
      <c r="I8" s="23"/>
      <c r="J8" s="23" t="s">
        <v>146</v>
      </c>
      <c r="K8" s="23" t="s">
        <v>147</v>
      </c>
      <c r="L8" s="23" t="s">
        <v>154</v>
      </c>
      <c r="M8" s="24" t="s">
        <v>153</v>
      </c>
      <c r="AD8" t="s">
        <v>165</v>
      </c>
      <c r="AE8" s="32" t="str">
        <f t="shared" si="2"/>
        <v>◇</v>
      </c>
      <c r="AG8" t="s">
        <v>3235</v>
      </c>
      <c r="AH8" t="s">
        <v>3234</v>
      </c>
      <c r="AI8" t="s">
        <v>3236</v>
      </c>
      <c r="AJ8" t="s">
        <v>3019</v>
      </c>
      <c r="AK8" t="str">
        <f t="shared" si="4"/>
        <v>【商品①】全長：cm　最大幅：cm ×&lt;BR&gt;【商品②】全長：cm　最大幅：cm ×&lt;BR&gt;【商品③】全長：cm　最大幅：cm ×&lt;BR&gt;【商品④】全長：cm　最大幅：cm ×&lt;BR&gt;</v>
      </c>
      <c r="AL8" s="4">
        <v>7</v>
      </c>
      <c r="AM8" s="7" t="s">
        <v>3096</v>
      </c>
      <c r="AO8" s="6"/>
      <c r="AQ8">
        <v>1000</v>
      </c>
      <c r="AR8" t="s">
        <v>3028</v>
      </c>
      <c r="AS8" t="s">
        <v>3029</v>
      </c>
    </row>
    <row r="9" spans="1:45" ht="14.25" customHeight="1">
      <c r="B9" s="39"/>
      <c r="C9" t="str">
        <f t="shared" si="0"/>
        <v>◇ 《 》 E</v>
      </c>
      <c r="D9" s="7">
        <f t="shared" si="5"/>
        <v>5</v>
      </c>
      <c r="E9" t="s">
        <v>71</v>
      </c>
      <c r="G9">
        <v>3</v>
      </c>
      <c r="H9" s="22" t="s">
        <v>3010</v>
      </c>
      <c r="I9" s="23"/>
      <c r="J9" s="23" t="s">
        <v>146</v>
      </c>
      <c r="K9" s="23" t="s">
        <v>147</v>
      </c>
      <c r="L9" s="23" t="s">
        <v>154</v>
      </c>
      <c r="M9" s="24" t="s">
        <v>153</v>
      </c>
      <c r="AD9" t="s">
        <v>165</v>
      </c>
      <c r="AE9" s="32" t="str">
        <f t="shared" si="2"/>
        <v>◇</v>
      </c>
      <c r="AK9" t="str">
        <f t="shared" si="4"/>
        <v>【商品①】全長：cm　最大幅：cm ×&lt;BR&gt;【商品②】全長：cm　最大幅：cm ×&lt;BR&gt;【商品③】全長：cm　最大幅：cm ×&lt;BR&gt;【商品④】全長：cm　最大幅：cm ×&lt;BR&gt;</v>
      </c>
      <c r="AL9" s="4">
        <v>8</v>
      </c>
      <c r="AM9" s="7" t="s">
        <v>167</v>
      </c>
      <c r="AO9" s="6"/>
      <c r="AR9" t="s">
        <v>3028</v>
      </c>
      <c r="AS9" t="s">
        <v>3029</v>
      </c>
    </row>
    <row r="10" spans="1:45" ht="14.25" customHeight="1">
      <c r="B10" s="39"/>
      <c r="C10" t="str">
        <f t="shared" si="0"/>
        <v>◇ 《 》 E</v>
      </c>
      <c r="D10" s="7">
        <f t="shared" si="5"/>
        <v>5</v>
      </c>
      <c r="E10" t="s">
        <v>71</v>
      </c>
      <c r="G10">
        <v>3</v>
      </c>
      <c r="H10" s="22" t="s">
        <v>3010</v>
      </c>
      <c r="I10" s="23"/>
      <c r="J10" s="23" t="s">
        <v>146</v>
      </c>
      <c r="K10" s="23" t="s">
        <v>147</v>
      </c>
      <c r="L10" s="23" t="s">
        <v>154</v>
      </c>
      <c r="M10" s="24" t="s">
        <v>153</v>
      </c>
      <c r="AD10" t="s">
        <v>165</v>
      </c>
      <c r="AE10" s="32" t="str">
        <f t="shared" si="2"/>
        <v>◇</v>
      </c>
      <c r="AK10" t="str">
        <f t="shared" si="4"/>
        <v>【商品①】全長：cm　最大幅：cm ×&lt;BR&gt;【商品②】全長：cm　最大幅：cm ×&lt;BR&gt;【商品③】全長：cm　最大幅：cm ×&lt;BR&gt;【商品④】全長：cm　最大幅：cm ×&lt;BR&gt;</v>
      </c>
      <c r="AL10" s="4">
        <v>9</v>
      </c>
      <c r="AM10" s="7" t="s">
        <v>167</v>
      </c>
      <c r="AO10" s="6"/>
      <c r="AR10" t="s">
        <v>3028</v>
      </c>
      <c r="AS10" t="s">
        <v>3029</v>
      </c>
    </row>
    <row r="11" spans="1:45" ht="14.25" customHeight="1">
      <c r="B11" s="39"/>
      <c r="C11" t="str">
        <f t="shared" si="0"/>
        <v>◇ 《 》 E</v>
      </c>
      <c r="D11" s="7">
        <f t="shared" si="5"/>
        <v>5</v>
      </c>
      <c r="E11" t="s">
        <v>71</v>
      </c>
      <c r="G11">
        <v>3</v>
      </c>
      <c r="H11" s="22" t="s">
        <v>3010</v>
      </c>
      <c r="I11" s="23"/>
      <c r="J11" s="23" t="s">
        <v>146</v>
      </c>
      <c r="K11" s="23" t="s">
        <v>147</v>
      </c>
      <c r="L11" s="23" t="s">
        <v>154</v>
      </c>
      <c r="M11" s="24" t="s">
        <v>153</v>
      </c>
      <c r="AD11" t="s">
        <v>165</v>
      </c>
      <c r="AE11" s="32" t="str">
        <f t="shared" si="2"/>
        <v>◇</v>
      </c>
      <c r="AK11" t="str">
        <f t="shared" si="4"/>
        <v>【商品①】全長：cm　最大幅：cm ×&lt;BR&gt;【商品②】全長：cm　最大幅：cm ×&lt;BR&gt;【商品③】全長：cm　最大幅：cm ×&lt;BR&gt;【商品④】全長：cm　最大幅：cm ×&lt;BR&gt;</v>
      </c>
      <c r="AL11" s="4">
        <v>10</v>
      </c>
      <c r="AM11" s="7" t="s">
        <v>167</v>
      </c>
      <c r="AO11" s="6"/>
      <c r="AR11" t="s">
        <v>3028</v>
      </c>
      <c r="AS11" t="s">
        <v>3029</v>
      </c>
    </row>
    <row r="12" spans="1:45" ht="14.25" customHeight="1">
      <c r="B12" s="39"/>
      <c r="C12" t="str">
        <f t="shared" si="0"/>
        <v>◇ 《 》 E</v>
      </c>
      <c r="D12" s="7">
        <f t="shared" si="5"/>
        <v>5</v>
      </c>
      <c r="E12" t="s">
        <v>71</v>
      </c>
      <c r="G12">
        <v>3</v>
      </c>
      <c r="H12" s="22" t="s">
        <v>3010</v>
      </c>
      <c r="I12" s="23"/>
      <c r="J12" s="23" t="s">
        <v>146</v>
      </c>
      <c r="K12" s="23" t="s">
        <v>147</v>
      </c>
      <c r="L12" s="23" t="s">
        <v>154</v>
      </c>
      <c r="M12" s="24" t="s">
        <v>153</v>
      </c>
      <c r="AD12" t="s">
        <v>165</v>
      </c>
      <c r="AE12" s="32" t="str">
        <f t="shared" si="2"/>
        <v>◇</v>
      </c>
      <c r="AK12" t="str">
        <f t="shared" si="4"/>
        <v>【商品①】全長：cm　最大幅：cm ×&lt;BR&gt;【商品②】全長：cm　最大幅：cm ×&lt;BR&gt;【商品③】全長：cm　最大幅：cm ×&lt;BR&gt;【商品④】全長：cm　最大幅：cm ×&lt;BR&gt;</v>
      </c>
      <c r="AL12" s="4">
        <v>11</v>
      </c>
      <c r="AM12" s="7" t="s">
        <v>167</v>
      </c>
      <c r="AO12" s="6"/>
      <c r="AR12" t="s">
        <v>3028</v>
      </c>
      <c r="AS12" t="s">
        <v>3029</v>
      </c>
    </row>
    <row r="13" spans="1:45" ht="14.25" customHeight="1">
      <c r="B13" s="39"/>
      <c r="C13" t="str">
        <f t="shared" si="0"/>
        <v>◇ 《 》 E</v>
      </c>
      <c r="D13" s="7">
        <f t="shared" si="5"/>
        <v>5</v>
      </c>
      <c r="E13" t="s">
        <v>71</v>
      </c>
      <c r="G13">
        <v>3</v>
      </c>
      <c r="H13" s="22" t="s">
        <v>3010</v>
      </c>
      <c r="I13" s="23"/>
      <c r="J13" s="23" t="s">
        <v>146</v>
      </c>
      <c r="K13" s="23" t="s">
        <v>147</v>
      </c>
      <c r="L13" s="23" t="s">
        <v>154</v>
      </c>
      <c r="M13" s="24" t="s">
        <v>153</v>
      </c>
      <c r="AD13" t="s">
        <v>165</v>
      </c>
      <c r="AE13" s="32" t="str">
        <f t="shared" si="2"/>
        <v>◇</v>
      </c>
      <c r="AK13" t="str">
        <f t="shared" si="4"/>
        <v>【商品①】全長：cm　最大幅：cm ×&lt;BR&gt;【商品②】全長：cm　最大幅：cm ×&lt;BR&gt;【商品③】全長：cm　最大幅：cm ×&lt;BR&gt;【商品④】全長：cm　最大幅：cm ×&lt;BR&gt;</v>
      </c>
      <c r="AL13" s="4">
        <v>12</v>
      </c>
      <c r="AM13" s="7" t="s">
        <v>167</v>
      </c>
      <c r="AO13" s="6"/>
      <c r="AR13" t="s">
        <v>3028</v>
      </c>
      <c r="AS13" t="s">
        <v>3029</v>
      </c>
    </row>
    <row r="14" spans="1:45" ht="14.25" customHeight="1">
      <c r="B14" s="39"/>
      <c r="C14" t="str">
        <f t="shared" si="0"/>
        <v>◇ 《 》 E</v>
      </c>
      <c r="D14" s="7">
        <f t="shared" si="5"/>
        <v>5</v>
      </c>
      <c r="E14" t="s">
        <v>71</v>
      </c>
      <c r="G14">
        <v>3</v>
      </c>
      <c r="H14" s="22" t="s">
        <v>3010</v>
      </c>
      <c r="I14" s="23"/>
      <c r="J14" s="23" t="s">
        <v>146</v>
      </c>
      <c r="K14" s="23" t="s">
        <v>147</v>
      </c>
      <c r="L14" s="23" t="s">
        <v>154</v>
      </c>
      <c r="M14" s="24" t="s">
        <v>153</v>
      </c>
      <c r="AD14" t="s">
        <v>165</v>
      </c>
      <c r="AE14" s="32" t="str">
        <f t="shared" si="2"/>
        <v>◇</v>
      </c>
      <c r="AK14" t="str">
        <f t="shared" si="4"/>
        <v>【商品①】全長：cm　最大幅：cm ×&lt;BR&gt;【商品②】全長：cm　最大幅：cm ×&lt;BR&gt;【商品③】全長：cm　最大幅：cm ×&lt;BR&gt;【商品④】全長：cm　最大幅：cm ×&lt;BR&gt;</v>
      </c>
      <c r="AL14" s="4">
        <v>13</v>
      </c>
      <c r="AM14" s="7" t="s">
        <v>167</v>
      </c>
      <c r="AO14" s="6"/>
      <c r="AR14" t="s">
        <v>3028</v>
      </c>
      <c r="AS14" t="s">
        <v>3029</v>
      </c>
    </row>
    <row r="15" spans="1:45" ht="14.25" customHeight="1">
      <c r="B15" s="39"/>
      <c r="C15" t="str">
        <f t="shared" si="0"/>
        <v>◇ 《 》 E</v>
      </c>
      <c r="D15" s="7">
        <f t="shared" si="5"/>
        <v>5</v>
      </c>
      <c r="E15" t="s">
        <v>71</v>
      </c>
      <c r="G15">
        <v>3</v>
      </c>
      <c r="H15" s="22" t="s">
        <v>3010</v>
      </c>
      <c r="I15" s="23"/>
      <c r="J15" s="23" t="s">
        <v>146</v>
      </c>
      <c r="K15" s="23" t="s">
        <v>147</v>
      </c>
      <c r="L15" s="23" t="s">
        <v>154</v>
      </c>
      <c r="M15" s="24" t="s">
        <v>153</v>
      </c>
      <c r="AD15" t="s">
        <v>165</v>
      </c>
      <c r="AE15" s="32" t="str">
        <f t="shared" si="2"/>
        <v>◇</v>
      </c>
      <c r="AK15" t="str">
        <f t="shared" si="4"/>
        <v>【商品①】全長：cm　最大幅：cm ×&lt;BR&gt;【商品②】全長：cm　最大幅：cm ×&lt;BR&gt;【商品③】全長：cm　最大幅：cm ×&lt;BR&gt;【商品④】全長：cm　最大幅：cm ×&lt;BR&gt;</v>
      </c>
      <c r="AL15" s="4">
        <v>14</v>
      </c>
      <c r="AM15" s="7" t="s">
        <v>167</v>
      </c>
      <c r="AO15" s="6"/>
      <c r="AR15" t="s">
        <v>3028</v>
      </c>
      <c r="AS15" t="s">
        <v>3029</v>
      </c>
    </row>
    <row r="16" spans="1:45" ht="14.25" customHeight="1">
      <c r="B16" s="39"/>
      <c r="C16" t="str">
        <f t="shared" si="0"/>
        <v>◇ 《 》 E</v>
      </c>
      <c r="D16" s="7">
        <f t="shared" si="5"/>
        <v>5</v>
      </c>
      <c r="E16" t="s">
        <v>71</v>
      </c>
      <c r="G16">
        <v>3</v>
      </c>
      <c r="H16" s="22" t="s">
        <v>3010</v>
      </c>
      <c r="I16" s="23"/>
      <c r="J16" s="23" t="s">
        <v>146</v>
      </c>
      <c r="K16" s="23" t="s">
        <v>147</v>
      </c>
      <c r="L16" s="23" t="s">
        <v>154</v>
      </c>
      <c r="M16" s="24" t="s">
        <v>153</v>
      </c>
      <c r="AD16" t="s">
        <v>165</v>
      </c>
      <c r="AE16" s="32" t="str">
        <f t="shared" si="2"/>
        <v>◇</v>
      </c>
      <c r="AK16" t="str">
        <f t="shared" si="4"/>
        <v>【商品①】全長：cm　最大幅：cm ×&lt;BR&gt;【商品②】全長：cm　最大幅：cm ×&lt;BR&gt;【商品③】全長：cm　最大幅：cm ×&lt;BR&gt;【商品④】全長：cm　最大幅：cm ×&lt;BR&gt;</v>
      </c>
      <c r="AL16" s="4">
        <v>15</v>
      </c>
      <c r="AM16" s="7" t="s">
        <v>167</v>
      </c>
      <c r="AO16" s="6"/>
      <c r="AR16" t="s">
        <v>3028</v>
      </c>
      <c r="AS16" t="s">
        <v>3029</v>
      </c>
    </row>
    <row r="17" spans="2:45" ht="14.25" customHeight="1">
      <c r="B17" s="39"/>
      <c r="C17" t="str">
        <f t="shared" si="0"/>
        <v>◇ 《 》 E</v>
      </c>
      <c r="D17" s="7">
        <f t="shared" si="5"/>
        <v>5</v>
      </c>
      <c r="E17" t="s">
        <v>71</v>
      </c>
      <c r="G17">
        <v>3</v>
      </c>
      <c r="H17" s="22" t="s">
        <v>3010</v>
      </c>
      <c r="I17" s="23"/>
      <c r="J17" s="23" t="s">
        <v>146</v>
      </c>
      <c r="K17" s="23" t="s">
        <v>147</v>
      </c>
      <c r="L17" s="23" t="s">
        <v>154</v>
      </c>
      <c r="M17" s="24" t="s">
        <v>153</v>
      </c>
      <c r="AD17" t="s">
        <v>165</v>
      </c>
      <c r="AE17" s="32" t="str">
        <f t="shared" si="2"/>
        <v>◇</v>
      </c>
      <c r="AK17" t="str">
        <f t="shared" si="4"/>
        <v>【商品①】全長：cm　最大幅：cm ×&lt;BR&gt;【商品②】全長：cm　最大幅：cm ×&lt;BR&gt;【商品③】全長：cm　最大幅：cm ×&lt;BR&gt;【商品④】全長：cm　最大幅：cm ×&lt;BR&gt;</v>
      </c>
      <c r="AL17" s="4">
        <v>16</v>
      </c>
      <c r="AM17" s="7" t="s">
        <v>167</v>
      </c>
      <c r="AO17" s="6"/>
      <c r="AR17" t="s">
        <v>3028</v>
      </c>
      <c r="AS17" t="s">
        <v>3029</v>
      </c>
    </row>
    <row r="18" spans="2:45" ht="14.25" customHeight="1">
      <c r="B18" s="39"/>
      <c r="C18" t="str">
        <f t="shared" si="0"/>
        <v>◇ 《 》 E</v>
      </c>
      <c r="D18" s="7">
        <f t="shared" si="5"/>
        <v>5</v>
      </c>
      <c r="E18" t="s">
        <v>71</v>
      </c>
      <c r="G18">
        <v>3</v>
      </c>
      <c r="H18" s="22" t="s">
        <v>3010</v>
      </c>
      <c r="I18" s="23"/>
      <c r="J18" s="23" t="s">
        <v>146</v>
      </c>
      <c r="K18" s="23" t="s">
        <v>147</v>
      </c>
      <c r="L18" s="23" t="s">
        <v>154</v>
      </c>
      <c r="M18" s="24" t="s">
        <v>153</v>
      </c>
      <c r="AD18" t="s">
        <v>165</v>
      </c>
      <c r="AE18" s="32" t="str">
        <f t="shared" si="2"/>
        <v>◇</v>
      </c>
      <c r="AK18" t="str">
        <f t="shared" si="4"/>
        <v>【商品①】全長：cm　最大幅：cm ×&lt;BR&gt;【商品②】全長：cm　最大幅：cm ×&lt;BR&gt;【商品③】全長：cm　最大幅：cm ×&lt;BR&gt;【商品④】全長：cm　最大幅：cm ×&lt;BR&gt;</v>
      </c>
      <c r="AL18" s="4">
        <v>17</v>
      </c>
      <c r="AM18" s="7" t="s">
        <v>167</v>
      </c>
      <c r="AO18" s="6"/>
      <c r="AR18" t="s">
        <v>3028</v>
      </c>
      <c r="AS18" t="s">
        <v>3029</v>
      </c>
    </row>
    <row r="19" spans="2:45" ht="14.25" customHeight="1">
      <c r="B19" s="39"/>
      <c r="C19" t="str">
        <f t="shared" si="0"/>
        <v>◇ 《 》 E</v>
      </c>
      <c r="D19" s="7">
        <f t="shared" si="5"/>
        <v>5</v>
      </c>
      <c r="E19" t="s">
        <v>71</v>
      </c>
      <c r="G19">
        <v>3</v>
      </c>
      <c r="H19" s="22" t="s">
        <v>3010</v>
      </c>
      <c r="I19" s="23"/>
      <c r="J19" s="23" t="s">
        <v>146</v>
      </c>
      <c r="K19" s="23" t="s">
        <v>147</v>
      </c>
      <c r="L19" s="23" t="s">
        <v>154</v>
      </c>
      <c r="M19" s="24" t="s">
        <v>153</v>
      </c>
      <c r="AD19" t="s">
        <v>165</v>
      </c>
      <c r="AE19" s="32" t="str">
        <f t="shared" si="2"/>
        <v>◇</v>
      </c>
      <c r="AK19" t="str">
        <f t="shared" si="4"/>
        <v>【商品①】全長：cm　最大幅：cm ×&lt;BR&gt;【商品②】全長：cm　最大幅：cm ×&lt;BR&gt;【商品③】全長：cm　最大幅：cm ×&lt;BR&gt;【商品④】全長：cm　最大幅：cm ×&lt;BR&gt;</v>
      </c>
      <c r="AL19" s="4">
        <v>18</v>
      </c>
      <c r="AM19" s="7" t="s">
        <v>167</v>
      </c>
      <c r="AO19" s="6"/>
      <c r="AR19" t="s">
        <v>3028</v>
      </c>
      <c r="AS19" t="s">
        <v>3029</v>
      </c>
    </row>
    <row r="20" spans="2:45" ht="14.25" customHeight="1">
      <c r="B20" s="39"/>
      <c r="C20" t="str">
        <f t="shared" si="0"/>
        <v>◇ 《 》 E</v>
      </c>
      <c r="D20" s="7">
        <f t="shared" si="5"/>
        <v>5</v>
      </c>
      <c r="E20" t="s">
        <v>71</v>
      </c>
      <c r="G20">
        <v>3</v>
      </c>
      <c r="H20" s="22" t="s">
        <v>3010</v>
      </c>
      <c r="I20" s="23"/>
      <c r="J20" s="23" t="s">
        <v>146</v>
      </c>
      <c r="K20" s="23" t="s">
        <v>147</v>
      </c>
      <c r="L20" s="23" t="s">
        <v>154</v>
      </c>
      <c r="M20" s="24" t="s">
        <v>153</v>
      </c>
      <c r="AD20" t="s">
        <v>165</v>
      </c>
      <c r="AE20" s="32" t="str">
        <f t="shared" si="2"/>
        <v>◇</v>
      </c>
      <c r="AK20" t="str">
        <f t="shared" si="4"/>
        <v>【商品①】全長：cm　最大幅：cm ×&lt;BR&gt;【商品②】全長：cm　最大幅：cm ×&lt;BR&gt;【商品③】全長：cm　最大幅：cm ×&lt;BR&gt;【商品④】全長：cm　最大幅：cm ×&lt;BR&gt;</v>
      </c>
      <c r="AL20" s="4">
        <v>19</v>
      </c>
      <c r="AM20" s="7" t="s">
        <v>167</v>
      </c>
      <c r="AO20" s="6"/>
      <c r="AR20" t="s">
        <v>3028</v>
      </c>
      <c r="AS20" t="s">
        <v>3029</v>
      </c>
    </row>
    <row r="21" spans="2:45" ht="14.25" customHeight="1">
      <c r="B21" s="39"/>
      <c r="C21" t="str">
        <f t="shared" si="0"/>
        <v>◇ 《 》 E</v>
      </c>
      <c r="D21" s="7">
        <f t="shared" si="5"/>
        <v>5</v>
      </c>
      <c r="E21" t="s">
        <v>71</v>
      </c>
      <c r="G21">
        <v>3</v>
      </c>
      <c r="H21" s="22" t="s">
        <v>3010</v>
      </c>
      <c r="I21" s="23"/>
      <c r="J21" s="23" t="s">
        <v>146</v>
      </c>
      <c r="K21" s="23" t="s">
        <v>147</v>
      </c>
      <c r="L21" s="23" t="s">
        <v>154</v>
      </c>
      <c r="M21" s="24" t="s">
        <v>153</v>
      </c>
      <c r="AD21" t="s">
        <v>165</v>
      </c>
      <c r="AE21" s="32" t="str">
        <f t="shared" si="2"/>
        <v>◇</v>
      </c>
      <c r="AK21" t="str">
        <f t="shared" si="4"/>
        <v>【商品①】全長：cm　最大幅：cm ×&lt;BR&gt;【商品②】全長：cm　最大幅：cm ×&lt;BR&gt;【商品③】全長：cm　最大幅：cm ×&lt;BR&gt;【商品④】全長：cm　最大幅：cm ×&lt;BR&gt;</v>
      </c>
      <c r="AL21" s="4">
        <v>20</v>
      </c>
      <c r="AM21" s="7" t="s">
        <v>167</v>
      </c>
      <c r="AO21" s="6"/>
      <c r="AR21" t="s">
        <v>3028</v>
      </c>
      <c r="AS21" t="s">
        <v>3029</v>
      </c>
    </row>
    <row r="22" spans="2:45" ht="14.25" customHeight="1">
      <c r="B22" s="39"/>
      <c r="C22" t="str">
        <f t="shared" si="0"/>
        <v>◇ 《 》 E</v>
      </c>
      <c r="D22" s="7">
        <f t="shared" si="5"/>
        <v>5</v>
      </c>
      <c r="E22" t="s">
        <v>71</v>
      </c>
      <c r="G22">
        <v>3</v>
      </c>
      <c r="H22" s="22" t="s">
        <v>3010</v>
      </c>
      <c r="I22" s="23"/>
      <c r="J22" s="23" t="s">
        <v>146</v>
      </c>
      <c r="K22" s="23" t="s">
        <v>147</v>
      </c>
      <c r="L22" s="23" t="s">
        <v>154</v>
      </c>
      <c r="M22" s="24" t="s">
        <v>153</v>
      </c>
      <c r="AD22" t="s">
        <v>165</v>
      </c>
      <c r="AE22" s="32" t="str">
        <f t="shared" si="2"/>
        <v>◇</v>
      </c>
      <c r="AK22" t="str">
        <f t="shared" si="4"/>
        <v>【商品①】全長：cm　最大幅：cm ×&lt;BR&gt;【商品②】全長：cm　最大幅：cm ×&lt;BR&gt;【商品③】全長：cm　最大幅：cm ×&lt;BR&gt;【商品④】全長：cm　最大幅：cm ×&lt;BR&gt;</v>
      </c>
      <c r="AL22" s="4">
        <v>21</v>
      </c>
      <c r="AM22" s="7" t="s">
        <v>167</v>
      </c>
      <c r="AO22" s="6"/>
      <c r="AR22" t="s">
        <v>3028</v>
      </c>
      <c r="AS22" t="s">
        <v>3029</v>
      </c>
    </row>
    <row r="23" spans="2:45" ht="14.25" customHeight="1">
      <c r="B23" s="39"/>
      <c r="C23" t="str">
        <f t="shared" si="0"/>
        <v>◇ 《 》 E</v>
      </c>
      <c r="D23" s="7">
        <f t="shared" si="5"/>
        <v>5</v>
      </c>
      <c r="E23" t="s">
        <v>71</v>
      </c>
      <c r="G23">
        <v>3</v>
      </c>
      <c r="H23" s="22" t="s">
        <v>3010</v>
      </c>
      <c r="I23" s="23"/>
      <c r="J23" s="23" t="s">
        <v>146</v>
      </c>
      <c r="K23" s="23" t="s">
        <v>147</v>
      </c>
      <c r="L23" s="23" t="s">
        <v>154</v>
      </c>
      <c r="M23" s="24" t="s">
        <v>153</v>
      </c>
      <c r="AD23" t="s">
        <v>165</v>
      </c>
      <c r="AE23" s="32" t="str">
        <f t="shared" si="2"/>
        <v>◇</v>
      </c>
      <c r="AK23" t="str">
        <f t="shared" si="4"/>
        <v>【商品①】全長：cm　最大幅：cm ×&lt;BR&gt;【商品②】全長：cm　最大幅：cm ×&lt;BR&gt;【商品③】全長：cm　最大幅：cm ×&lt;BR&gt;【商品④】全長：cm　最大幅：cm ×&lt;BR&gt;</v>
      </c>
      <c r="AL23" s="4">
        <v>22</v>
      </c>
      <c r="AM23" s="7" t="s">
        <v>167</v>
      </c>
      <c r="AO23" s="6"/>
      <c r="AR23" t="s">
        <v>3028</v>
      </c>
      <c r="AS23" t="s">
        <v>3029</v>
      </c>
    </row>
    <row r="24" spans="2:45" ht="14.25" customHeight="1">
      <c r="B24" s="39"/>
      <c r="C24" t="str">
        <f t="shared" si="0"/>
        <v>◇ 《 》 E</v>
      </c>
      <c r="D24" s="7">
        <f t="shared" si="5"/>
        <v>5</v>
      </c>
      <c r="E24" t="s">
        <v>71</v>
      </c>
      <c r="G24">
        <v>3</v>
      </c>
      <c r="H24" s="22" t="s">
        <v>3010</v>
      </c>
      <c r="I24" s="23"/>
      <c r="J24" s="23" t="s">
        <v>146</v>
      </c>
      <c r="K24" s="23" t="s">
        <v>147</v>
      </c>
      <c r="L24" s="23" t="s">
        <v>154</v>
      </c>
      <c r="M24" s="24" t="s">
        <v>153</v>
      </c>
      <c r="AD24" t="s">
        <v>165</v>
      </c>
      <c r="AE24" s="32" t="str">
        <f t="shared" si="2"/>
        <v>◇</v>
      </c>
      <c r="AK24" t="str">
        <f t="shared" si="4"/>
        <v>【商品①】全長：cm　最大幅：cm ×&lt;BR&gt;【商品②】全長：cm　最大幅：cm ×&lt;BR&gt;【商品③】全長：cm　最大幅：cm ×&lt;BR&gt;【商品④】全長：cm　最大幅：cm ×&lt;BR&gt;</v>
      </c>
      <c r="AL24" s="4">
        <v>23</v>
      </c>
      <c r="AM24" s="7" t="s">
        <v>167</v>
      </c>
      <c r="AO24" s="6"/>
      <c r="AR24" t="s">
        <v>3028</v>
      </c>
      <c r="AS24" t="s">
        <v>3029</v>
      </c>
    </row>
    <row r="25" spans="2:45" ht="14.25" customHeight="1">
      <c r="B25" s="39"/>
      <c r="C25" t="str">
        <f t="shared" si="0"/>
        <v>◇ 《 》 E</v>
      </c>
      <c r="D25" s="7">
        <f t="shared" si="5"/>
        <v>5</v>
      </c>
      <c r="E25" t="s">
        <v>71</v>
      </c>
      <c r="G25">
        <v>3</v>
      </c>
      <c r="H25" s="22" t="s">
        <v>3010</v>
      </c>
      <c r="I25" s="23"/>
      <c r="J25" s="23" t="s">
        <v>146</v>
      </c>
      <c r="K25" s="23" t="s">
        <v>147</v>
      </c>
      <c r="L25" s="23" t="s">
        <v>154</v>
      </c>
      <c r="M25" s="24" t="s">
        <v>153</v>
      </c>
      <c r="AD25" t="s">
        <v>165</v>
      </c>
      <c r="AE25" s="32" t="str">
        <f t="shared" si="2"/>
        <v>◇</v>
      </c>
      <c r="AK25" t="str">
        <f t="shared" si="4"/>
        <v>【商品①】全長：cm　最大幅：cm ×&lt;BR&gt;【商品②】全長：cm　最大幅：cm ×&lt;BR&gt;【商品③】全長：cm　最大幅：cm ×&lt;BR&gt;【商品④】全長：cm　最大幅：cm ×&lt;BR&gt;</v>
      </c>
      <c r="AL25" s="4">
        <v>24</v>
      </c>
      <c r="AM25" s="7" t="s">
        <v>167</v>
      </c>
      <c r="AO25" s="6"/>
      <c r="AR25" t="s">
        <v>3028</v>
      </c>
      <c r="AS25" t="s">
        <v>3029</v>
      </c>
    </row>
    <row r="26" spans="2:45" ht="14.25" customHeight="1">
      <c r="B26" s="39"/>
      <c r="C26" t="str">
        <f t="shared" si="0"/>
        <v>◇ 《 》 E</v>
      </c>
      <c r="D26" s="7">
        <f t="shared" si="5"/>
        <v>5</v>
      </c>
      <c r="E26" t="s">
        <v>71</v>
      </c>
      <c r="G26">
        <v>3</v>
      </c>
      <c r="H26" s="22" t="s">
        <v>3010</v>
      </c>
      <c r="I26" s="23"/>
      <c r="J26" s="23" t="s">
        <v>146</v>
      </c>
      <c r="K26" s="23" t="s">
        <v>147</v>
      </c>
      <c r="L26" s="23" t="s">
        <v>154</v>
      </c>
      <c r="M26" s="24" t="s">
        <v>153</v>
      </c>
      <c r="AD26" t="s">
        <v>165</v>
      </c>
      <c r="AE26" s="32" t="str">
        <f t="shared" si="2"/>
        <v>◇</v>
      </c>
      <c r="AK26" t="str">
        <f t="shared" si="4"/>
        <v>【商品①】全長：cm　最大幅：cm ×&lt;BR&gt;【商品②】全長：cm　最大幅：cm ×&lt;BR&gt;【商品③】全長：cm　最大幅：cm ×&lt;BR&gt;【商品④】全長：cm　最大幅：cm ×&lt;BR&gt;</v>
      </c>
      <c r="AL26" s="4">
        <v>25</v>
      </c>
      <c r="AM26" s="7" t="s">
        <v>167</v>
      </c>
      <c r="AO26" s="6"/>
      <c r="AR26" t="s">
        <v>3028</v>
      </c>
      <c r="AS26" t="s">
        <v>3029</v>
      </c>
    </row>
    <row r="27" spans="2:45" ht="14.25" customHeight="1">
      <c r="B27" s="39"/>
      <c r="C27" t="str">
        <f t="shared" si="0"/>
        <v>◇ 《 》 E</v>
      </c>
      <c r="D27" s="7">
        <f t="shared" si="5"/>
        <v>5</v>
      </c>
      <c r="E27" t="s">
        <v>71</v>
      </c>
      <c r="G27">
        <v>3</v>
      </c>
      <c r="H27" s="22" t="s">
        <v>3010</v>
      </c>
      <c r="I27" s="23"/>
      <c r="J27" s="23" t="s">
        <v>146</v>
      </c>
      <c r="K27" s="23" t="s">
        <v>147</v>
      </c>
      <c r="L27" s="23" t="s">
        <v>154</v>
      </c>
      <c r="M27" s="24" t="s">
        <v>153</v>
      </c>
      <c r="AD27" t="s">
        <v>165</v>
      </c>
      <c r="AE27" s="32" t="str">
        <f t="shared" si="2"/>
        <v>◇</v>
      </c>
      <c r="AK27" t="str">
        <f t="shared" si="4"/>
        <v>【商品①】全長：cm　最大幅：cm ×&lt;BR&gt;【商品②】全長：cm　最大幅：cm ×&lt;BR&gt;【商品③】全長：cm　最大幅：cm ×&lt;BR&gt;【商品④】全長：cm　最大幅：cm ×&lt;BR&gt;</v>
      </c>
      <c r="AL27" s="4">
        <v>26</v>
      </c>
      <c r="AM27" s="7" t="s">
        <v>167</v>
      </c>
      <c r="AO27" s="6"/>
      <c r="AR27" t="s">
        <v>3028</v>
      </c>
      <c r="AS27" t="s">
        <v>3029</v>
      </c>
    </row>
    <row r="28" spans="2:45" ht="14.25" customHeight="1">
      <c r="B28" s="39"/>
      <c r="C28" t="str">
        <f t="shared" si="0"/>
        <v>◇ 《 》 E</v>
      </c>
      <c r="D28" s="7">
        <f t="shared" si="5"/>
        <v>5</v>
      </c>
      <c r="E28" t="s">
        <v>71</v>
      </c>
      <c r="G28">
        <v>3</v>
      </c>
      <c r="H28" s="22" t="s">
        <v>3010</v>
      </c>
      <c r="I28" s="23"/>
      <c r="J28" s="23" t="s">
        <v>146</v>
      </c>
      <c r="K28" s="23" t="s">
        <v>147</v>
      </c>
      <c r="L28" s="23" t="s">
        <v>154</v>
      </c>
      <c r="M28" s="24" t="s">
        <v>153</v>
      </c>
      <c r="AD28" t="s">
        <v>165</v>
      </c>
      <c r="AE28" s="32" t="str">
        <f t="shared" si="2"/>
        <v>◇</v>
      </c>
      <c r="AK28" t="str">
        <f t="shared" si="4"/>
        <v>【商品①】全長：cm　最大幅：cm ×&lt;BR&gt;【商品②】全長：cm　最大幅：cm ×&lt;BR&gt;【商品③】全長：cm　最大幅：cm ×&lt;BR&gt;【商品④】全長：cm　最大幅：cm ×&lt;BR&gt;</v>
      </c>
      <c r="AL28" s="4">
        <v>27</v>
      </c>
      <c r="AM28" s="7" t="s">
        <v>167</v>
      </c>
      <c r="AO28" s="6"/>
      <c r="AR28" t="s">
        <v>3028</v>
      </c>
      <c r="AS28" t="s">
        <v>3029</v>
      </c>
    </row>
    <row r="29" spans="2:45" ht="14.25" customHeight="1">
      <c r="B29" s="39"/>
      <c r="C29" t="str">
        <f t="shared" si="0"/>
        <v>◇ 《 》 E</v>
      </c>
      <c r="D29" s="7">
        <f t="shared" si="5"/>
        <v>5</v>
      </c>
      <c r="E29" t="s">
        <v>71</v>
      </c>
      <c r="G29">
        <v>3</v>
      </c>
      <c r="H29" s="22" t="s">
        <v>3010</v>
      </c>
      <c r="I29" s="23"/>
      <c r="J29" s="23" t="s">
        <v>146</v>
      </c>
      <c r="K29" s="23" t="s">
        <v>147</v>
      </c>
      <c r="L29" s="23" t="s">
        <v>154</v>
      </c>
      <c r="M29" s="24" t="s">
        <v>153</v>
      </c>
      <c r="AD29" t="s">
        <v>165</v>
      </c>
      <c r="AE29" s="32" t="str">
        <f t="shared" si="2"/>
        <v>◇</v>
      </c>
      <c r="AK29" t="str">
        <f t="shared" si="4"/>
        <v>【商品①】全長：cm　最大幅：cm ×&lt;BR&gt;【商品②】全長：cm　最大幅：cm ×&lt;BR&gt;【商品③】全長：cm　最大幅：cm ×&lt;BR&gt;【商品④】全長：cm　最大幅：cm ×&lt;BR&gt;</v>
      </c>
      <c r="AL29" s="4">
        <v>28</v>
      </c>
      <c r="AM29" s="7" t="s">
        <v>167</v>
      </c>
      <c r="AO29" s="6"/>
      <c r="AR29" t="s">
        <v>3028</v>
      </c>
      <c r="AS29" t="s">
        <v>3029</v>
      </c>
    </row>
    <row r="30" spans="2:45" ht="14.25" customHeight="1">
      <c r="B30" s="39"/>
      <c r="C30" t="str">
        <f t="shared" si="0"/>
        <v>◇ 《 》 E</v>
      </c>
      <c r="D30" s="7">
        <f t="shared" si="5"/>
        <v>5</v>
      </c>
      <c r="E30" t="s">
        <v>71</v>
      </c>
      <c r="G30">
        <v>3</v>
      </c>
      <c r="H30" s="22" t="s">
        <v>3010</v>
      </c>
      <c r="I30" s="23"/>
      <c r="J30" s="23" t="s">
        <v>146</v>
      </c>
      <c r="K30" s="23" t="s">
        <v>147</v>
      </c>
      <c r="L30" s="23" t="s">
        <v>154</v>
      </c>
      <c r="M30" s="24" t="s">
        <v>153</v>
      </c>
      <c r="AD30" t="s">
        <v>165</v>
      </c>
      <c r="AE30" s="32" t="str">
        <f t="shared" si="2"/>
        <v>◇</v>
      </c>
      <c r="AK30" t="str">
        <f t="shared" si="4"/>
        <v>【商品①】全長：cm　最大幅：cm ×&lt;BR&gt;【商品②】全長：cm　最大幅：cm ×&lt;BR&gt;【商品③】全長：cm　最大幅：cm ×&lt;BR&gt;【商品④】全長：cm　最大幅：cm ×&lt;BR&gt;</v>
      </c>
      <c r="AL30" s="4">
        <v>29</v>
      </c>
      <c r="AM30" s="7" t="s">
        <v>167</v>
      </c>
      <c r="AO30" s="6"/>
      <c r="AR30" t="s">
        <v>3028</v>
      </c>
      <c r="AS30" t="s">
        <v>3029</v>
      </c>
    </row>
    <row r="31" spans="2:45" ht="14.25" customHeight="1">
      <c r="B31" s="39"/>
      <c r="C31" t="str">
        <f t="shared" si="0"/>
        <v>◇ 《 》 E</v>
      </c>
      <c r="D31" s="7">
        <f t="shared" si="5"/>
        <v>5</v>
      </c>
      <c r="E31" t="s">
        <v>71</v>
      </c>
      <c r="G31">
        <v>3</v>
      </c>
      <c r="H31" s="22" t="s">
        <v>3010</v>
      </c>
      <c r="I31" s="23"/>
      <c r="J31" s="23" t="s">
        <v>146</v>
      </c>
      <c r="K31" s="23" t="s">
        <v>147</v>
      </c>
      <c r="L31" s="23" t="s">
        <v>154</v>
      </c>
      <c r="M31" s="24" t="s">
        <v>153</v>
      </c>
      <c r="AD31" t="s">
        <v>165</v>
      </c>
      <c r="AE31" s="32" t="str">
        <f t="shared" si="2"/>
        <v>◇</v>
      </c>
      <c r="AK31" t="str">
        <f t="shared" si="4"/>
        <v>【商品①】全長：cm　最大幅：cm ×&lt;BR&gt;【商品②】全長：cm　最大幅：cm ×&lt;BR&gt;【商品③】全長：cm　最大幅：cm ×&lt;BR&gt;【商品④】全長：cm　最大幅：cm ×&lt;BR&gt;</v>
      </c>
      <c r="AL31" s="4">
        <v>30</v>
      </c>
      <c r="AM31" s="7" t="s">
        <v>167</v>
      </c>
      <c r="AO31" s="6"/>
      <c r="AR31" t="s">
        <v>3028</v>
      </c>
      <c r="AS31" t="s">
        <v>3029</v>
      </c>
    </row>
    <row r="32" spans="2:45" ht="14.25" customHeight="1">
      <c r="B32" s="39"/>
      <c r="C32" t="str">
        <f t="shared" si="0"/>
        <v>◇ 《 》 E</v>
      </c>
      <c r="D32" s="7">
        <f t="shared" si="5"/>
        <v>5</v>
      </c>
      <c r="E32" t="s">
        <v>71</v>
      </c>
      <c r="G32">
        <v>3</v>
      </c>
      <c r="H32" s="22" t="s">
        <v>3010</v>
      </c>
      <c r="I32" s="23"/>
      <c r="J32" s="23" t="s">
        <v>146</v>
      </c>
      <c r="K32" s="23" t="s">
        <v>147</v>
      </c>
      <c r="L32" s="23" t="s">
        <v>154</v>
      </c>
      <c r="M32" s="24" t="s">
        <v>153</v>
      </c>
      <c r="AD32" t="s">
        <v>165</v>
      </c>
      <c r="AE32" s="32" t="str">
        <f t="shared" si="2"/>
        <v>◇</v>
      </c>
      <c r="AK32" t="str">
        <f t="shared" si="4"/>
        <v>【商品①】全長：cm　最大幅：cm ×&lt;BR&gt;【商品②】全長：cm　最大幅：cm ×&lt;BR&gt;【商品③】全長：cm　最大幅：cm ×&lt;BR&gt;【商品④】全長：cm　最大幅：cm ×&lt;BR&gt;</v>
      </c>
      <c r="AL32" s="4">
        <v>31</v>
      </c>
      <c r="AM32" s="7" t="s">
        <v>167</v>
      </c>
      <c r="AO32" s="6"/>
      <c r="AR32" t="s">
        <v>3028</v>
      </c>
      <c r="AS32" t="s">
        <v>3029</v>
      </c>
    </row>
    <row r="33" spans="2:45" ht="14.25" customHeight="1">
      <c r="B33" s="39"/>
      <c r="C33" t="str">
        <f t="shared" si="0"/>
        <v>◇ 《 》 E</v>
      </c>
      <c r="D33" s="7">
        <f t="shared" si="5"/>
        <v>5</v>
      </c>
      <c r="E33" t="s">
        <v>71</v>
      </c>
      <c r="G33">
        <v>3</v>
      </c>
      <c r="H33" s="22" t="s">
        <v>3010</v>
      </c>
      <c r="I33" s="23"/>
      <c r="J33" s="23" t="s">
        <v>146</v>
      </c>
      <c r="K33" s="23" t="s">
        <v>147</v>
      </c>
      <c r="L33" s="23" t="s">
        <v>154</v>
      </c>
      <c r="M33" s="24" t="s">
        <v>153</v>
      </c>
      <c r="AD33" t="s">
        <v>165</v>
      </c>
      <c r="AE33" s="32" t="str">
        <f t="shared" si="2"/>
        <v>◇</v>
      </c>
      <c r="AK33" t="str">
        <f t="shared" si="4"/>
        <v>【商品①】全長：cm　最大幅：cm ×&lt;BR&gt;【商品②】全長：cm　最大幅：cm ×&lt;BR&gt;【商品③】全長：cm　最大幅：cm ×&lt;BR&gt;【商品④】全長：cm　最大幅：cm ×&lt;BR&gt;</v>
      </c>
      <c r="AL33" s="4">
        <v>32</v>
      </c>
      <c r="AM33" s="7" t="s">
        <v>167</v>
      </c>
      <c r="AO33" s="6"/>
      <c r="AR33" t="s">
        <v>3028</v>
      </c>
      <c r="AS33" t="s">
        <v>3029</v>
      </c>
    </row>
    <row r="34" spans="2:45" ht="14.25" customHeight="1">
      <c r="B34" s="39"/>
      <c r="C34" t="str">
        <f t="shared" ref="C34:C51" si="6">TRIM(AE34&amp;" "&amp;AF34&amp;" "&amp;AR34&amp;" "&amp;AG34&amp;" "&amp;AH34&amp;" "&amp;AI34&amp;" "&amp;AJ34&amp;" "&amp;AS34&amp;EX&amp;" "&amp;B34)</f>
        <v>◇ 《 》 E</v>
      </c>
      <c r="D34" s="7">
        <f t="shared" si="5"/>
        <v>5</v>
      </c>
      <c r="E34" t="s">
        <v>71</v>
      </c>
      <c r="G34">
        <v>3</v>
      </c>
      <c r="H34" s="22" t="s">
        <v>3010</v>
      </c>
      <c r="I34" s="23"/>
      <c r="J34" s="23" t="s">
        <v>146</v>
      </c>
      <c r="K34" s="23" t="s">
        <v>147</v>
      </c>
      <c r="L34" s="23" t="s">
        <v>154</v>
      </c>
      <c r="M34" s="24" t="s">
        <v>153</v>
      </c>
      <c r="AD34" t="s">
        <v>165</v>
      </c>
      <c r="AE34" s="32" t="str">
        <f t="shared" ref="AE34:AE51" si="7">IFERROR(VLOOKUP(AD34,梱包サイズ表,2,0),"")</f>
        <v>◇</v>
      </c>
      <c r="AK34" t="str">
        <f t="shared" si="4"/>
        <v>【商品①】全長：cm　最大幅：cm ×&lt;BR&gt;【商品②】全長：cm　最大幅：cm ×&lt;BR&gt;【商品③】全長：cm　最大幅：cm ×&lt;BR&gt;【商品④】全長：cm　最大幅：cm ×&lt;BR&gt;</v>
      </c>
      <c r="AL34" s="4">
        <v>33</v>
      </c>
      <c r="AM34" s="7" t="s">
        <v>167</v>
      </c>
      <c r="AO34" s="6"/>
      <c r="AR34" t="s">
        <v>3028</v>
      </c>
      <c r="AS34" t="s">
        <v>3029</v>
      </c>
    </row>
    <row r="35" spans="2:45" ht="14.25" customHeight="1">
      <c r="B35" s="39"/>
      <c r="C35" t="str">
        <f t="shared" si="6"/>
        <v>◇ 《 》 E</v>
      </c>
      <c r="D35" s="7">
        <f t="shared" si="5"/>
        <v>5</v>
      </c>
      <c r="E35" t="s">
        <v>71</v>
      </c>
      <c r="G35">
        <v>3</v>
      </c>
      <c r="H35" s="22" t="s">
        <v>3010</v>
      </c>
      <c r="I35" s="23"/>
      <c r="J35" s="23" t="s">
        <v>146</v>
      </c>
      <c r="K35" s="23" t="s">
        <v>147</v>
      </c>
      <c r="L35" s="23" t="s">
        <v>154</v>
      </c>
      <c r="M35" s="24" t="s">
        <v>153</v>
      </c>
      <c r="AD35" t="s">
        <v>165</v>
      </c>
      <c r="AE35" s="32" t="str">
        <f t="shared" si="7"/>
        <v>◇</v>
      </c>
      <c r="AK35" t="str">
        <f t="shared" si="4"/>
        <v>【商品①】全長：cm　最大幅：cm ×&lt;BR&gt;【商品②】全長：cm　最大幅：cm ×&lt;BR&gt;【商品③】全長：cm　最大幅：cm ×&lt;BR&gt;【商品④】全長：cm　最大幅：cm ×&lt;BR&gt;</v>
      </c>
      <c r="AL35" s="4">
        <v>34</v>
      </c>
      <c r="AM35" s="7" t="s">
        <v>167</v>
      </c>
      <c r="AO35" s="6"/>
      <c r="AR35" t="s">
        <v>3028</v>
      </c>
      <c r="AS35" t="s">
        <v>3029</v>
      </c>
    </row>
    <row r="36" spans="2:45" ht="14.25" customHeight="1">
      <c r="B36" s="39"/>
      <c r="C36" t="str">
        <f t="shared" si="6"/>
        <v>◇ 《 》 E</v>
      </c>
      <c r="D36" s="7">
        <f t="shared" si="5"/>
        <v>5</v>
      </c>
      <c r="E36" t="s">
        <v>71</v>
      </c>
      <c r="G36">
        <v>3</v>
      </c>
      <c r="H36" s="22" t="s">
        <v>3010</v>
      </c>
      <c r="I36" s="23"/>
      <c r="J36" s="23" t="s">
        <v>146</v>
      </c>
      <c r="K36" s="23" t="s">
        <v>147</v>
      </c>
      <c r="L36" s="23" t="s">
        <v>154</v>
      </c>
      <c r="M36" s="24" t="s">
        <v>153</v>
      </c>
      <c r="AD36" t="s">
        <v>165</v>
      </c>
      <c r="AE36" s="32" t="str">
        <f t="shared" si="7"/>
        <v>◇</v>
      </c>
      <c r="AK36" t="str">
        <f t="shared" si="4"/>
        <v>【商品①】全長：cm　最大幅：cm ×&lt;BR&gt;【商品②】全長：cm　最大幅：cm ×&lt;BR&gt;【商品③】全長：cm　最大幅：cm ×&lt;BR&gt;【商品④】全長：cm　最大幅：cm ×&lt;BR&gt;</v>
      </c>
      <c r="AL36" s="4">
        <v>35</v>
      </c>
      <c r="AM36" s="7" t="s">
        <v>167</v>
      </c>
      <c r="AO36" s="6"/>
      <c r="AR36" t="s">
        <v>3028</v>
      </c>
      <c r="AS36" t="s">
        <v>3029</v>
      </c>
    </row>
    <row r="37" spans="2:45" ht="14.25" customHeight="1">
      <c r="B37" s="39"/>
      <c r="C37" t="str">
        <f t="shared" si="6"/>
        <v>◇ 《 》 E</v>
      </c>
      <c r="D37" s="7">
        <f t="shared" si="5"/>
        <v>5</v>
      </c>
      <c r="E37" t="s">
        <v>71</v>
      </c>
      <c r="G37">
        <v>3</v>
      </c>
      <c r="H37" s="22" t="s">
        <v>3010</v>
      </c>
      <c r="I37" s="23"/>
      <c r="J37" s="23" t="s">
        <v>146</v>
      </c>
      <c r="K37" s="23" t="s">
        <v>147</v>
      </c>
      <c r="L37" s="23" t="s">
        <v>154</v>
      </c>
      <c r="M37" s="24" t="s">
        <v>153</v>
      </c>
      <c r="AD37" t="s">
        <v>165</v>
      </c>
      <c r="AE37" s="32" t="str">
        <f t="shared" si="7"/>
        <v>◇</v>
      </c>
      <c r="AK37" t="str">
        <f t="shared" si="4"/>
        <v>【商品①】全長：cm　最大幅：cm ×&lt;BR&gt;【商品②】全長：cm　最大幅：cm ×&lt;BR&gt;【商品③】全長：cm　最大幅：cm ×&lt;BR&gt;【商品④】全長：cm　最大幅：cm ×&lt;BR&gt;</v>
      </c>
      <c r="AL37" s="4">
        <v>36</v>
      </c>
      <c r="AM37" s="7" t="s">
        <v>167</v>
      </c>
      <c r="AO37" s="6"/>
      <c r="AR37" t="s">
        <v>3028</v>
      </c>
      <c r="AS37" t="s">
        <v>3029</v>
      </c>
    </row>
    <row r="38" spans="2:45" ht="14.25" customHeight="1">
      <c r="B38" s="39"/>
      <c r="C38" t="str">
        <f t="shared" si="6"/>
        <v>◇ 《 》 E</v>
      </c>
      <c r="D38" s="7">
        <f t="shared" si="5"/>
        <v>5</v>
      </c>
      <c r="E38" t="s">
        <v>71</v>
      </c>
      <c r="G38">
        <v>3</v>
      </c>
      <c r="H38" s="22" t="s">
        <v>3010</v>
      </c>
      <c r="I38" s="23"/>
      <c r="J38" s="23" t="s">
        <v>146</v>
      </c>
      <c r="K38" s="23" t="s">
        <v>147</v>
      </c>
      <c r="L38" s="23" t="s">
        <v>154</v>
      </c>
      <c r="M38" s="24" t="s">
        <v>153</v>
      </c>
      <c r="AD38" t="s">
        <v>165</v>
      </c>
      <c r="AE38" s="32" t="str">
        <f t="shared" si="7"/>
        <v>◇</v>
      </c>
      <c r="AK38" t="str">
        <f t="shared" si="4"/>
        <v>【商品①】全長：cm　最大幅：cm ×&lt;BR&gt;【商品②】全長：cm　最大幅：cm ×&lt;BR&gt;【商品③】全長：cm　最大幅：cm ×&lt;BR&gt;【商品④】全長：cm　最大幅：cm ×&lt;BR&gt;</v>
      </c>
      <c r="AL38" s="4">
        <v>37</v>
      </c>
      <c r="AM38" s="7" t="s">
        <v>167</v>
      </c>
      <c r="AO38" s="6"/>
      <c r="AR38" t="s">
        <v>3028</v>
      </c>
      <c r="AS38" t="s">
        <v>3029</v>
      </c>
    </row>
    <row r="39" spans="2:45" ht="14.25" customHeight="1">
      <c r="B39" s="39"/>
      <c r="C39" t="str">
        <f t="shared" si="6"/>
        <v>◇ 《 》 E</v>
      </c>
      <c r="D39" s="7">
        <f t="shared" si="5"/>
        <v>5</v>
      </c>
      <c r="E39" t="s">
        <v>71</v>
      </c>
      <c r="G39">
        <v>3</v>
      </c>
      <c r="H39" s="22" t="s">
        <v>3010</v>
      </c>
      <c r="I39" s="23"/>
      <c r="J39" s="23" t="s">
        <v>146</v>
      </c>
      <c r="K39" s="23" t="s">
        <v>147</v>
      </c>
      <c r="L39" s="23" t="s">
        <v>154</v>
      </c>
      <c r="M39" s="24" t="s">
        <v>153</v>
      </c>
      <c r="AD39" t="s">
        <v>165</v>
      </c>
      <c r="AE39" s="32" t="str">
        <f t="shared" si="7"/>
        <v>◇</v>
      </c>
      <c r="AK39" t="str">
        <f t="shared" si="4"/>
        <v>【商品①】全長：cm　最大幅：cm ×&lt;BR&gt;【商品②】全長：cm　最大幅：cm ×&lt;BR&gt;【商品③】全長：cm　最大幅：cm ×&lt;BR&gt;【商品④】全長：cm　最大幅：cm ×&lt;BR&gt;</v>
      </c>
      <c r="AL39" s="4">
        <v>38</v>
      </c>
      <c r="AM39" s="7" t="s">
        <v>167</v>
      </c>
      <c r="AO39" s="6"/>
      <c r="AR39" t="s">
        <v>3028</v>
      </c>
      <c r="AS39" t="s">
        <v>3029</v>
      </c>
    </row>
    <row r="40" spans="2:45" ht="14.25" customHeight="1">
      <c r="B40" s="39"/>
      <c r="C40" t="str">
        <f t="shared" si="6"/>
        <v>◇ 《 》 E</v>
      </c>
      <c r="D40" s="7">
        <f t="shared" si="5"/>
        <v>5</v>
      </c>
      <c r="E40" t="s">
        <v>71</v>
      </c>
      <c r="G40">
        <v>3</v>
      </c>
      <c r="H40" s="22" t="s">
        <v>3010</v>
      </c>
      <c r="I40" s="23"/>
      <c r="J40" s="23" t="s">
        <v>146</v>
      </c>
      <c r="K40" s="23" t="s">
        <v>147</v>
      </c>
      <c r="L40" s="23" t="s">
        <v>154</v>
      </c>
      <c r="M40" s="24" t="s">
        <v>153</v>
      </c>
      <c r="AD40" t="s">
        <v>165</v>
      </c>
      <c r="AE40" s="32" t="str">
        <f t="shared" si="7"/>
        <v>◇</v>
      </c>
      <c r="AK40" t="str">
        <f t="shared" si="4"/>
        <v>【商品①】全長：cm　最大幅：cm ×&lt;BR&gt;【商品②】全長：cm　最大幅：cm ×&lt;BR&gt;【商品③】全長：cm　最大幅：cm ×&lt;BR&gt;【商品④】全長：cm　最大幅：cm ×&lt;BR&gt;</v>
      </c>
      <c r="AL40" s="4">
        <v>39</v>
      </c>
      <c r="AM40" s="7" t="s">
        <v>167</v>
      </c>
      <c r="AO40" s="6"/>
      <c r="AR40" t="s">
        <v>3028</v>
      </c>
      <c r="AS40" t="s">
        <v>3029</v>
      </c>
    </row>
    <row r="41" spans="2:45" ht="14.25" customHeight="1">
      <c r="B41" s="39"/>
      <c r="C41" t="str">
        <f t="shared" si="6"/>
        <v>◇ 《 》 E</v>
      </c>
      <c r="D41" s="7">
        <f t="shared" si="5"/>
        <v>5</v>
      </c>
      <c r="E41" t="s">
        <v>71</v>
      </c>
      <c r="G41">
        <v>3</v>
      </c>
      <c r="H41" s="22" t="s">
        <v>3010</v>
      </c>
      <c r="I41" s="23"/>
      <c r="J41" s="23" t="s">
        <v>146</v>
      </c>
      <c r="K41" s="23" t="s">
        <v>147</v>
      </c>
      <c r="L41" s="23" t="s">
        <v>154</v>
      </c>
      <c r="M41" s="24" t="s">
        <v>153</v>
      </c>
      <c r="AD41" t="s">
        <v>165</v>
      </c>
      <c r="AE41" s="32" t="str">
        <f t="shared" si="7"/>
        <v>◇</v>
      </c>
      <c r="AK41" t="str">
        <f t="shared" si="4"/>
        <v>【商品①】全長：cm　最大幅：cm ×&lt;BR&gt;【商品②】全長：cm　最大幅：cm ×&lt;BR&gt;【商品③】全長：cm　最大幅：cm ×&lt;BR&gt;【商品④】全長：cm　最大幅：cm ×&lt;BR&gt;</v>
      </c>
      <c r="AL41" s="4">
        <v>40</v>
      </c>
      <c r="AM41" s="7" t="s">
        <v>167</v>
      </c>
      <c r="AO41" s="6"/>
      <c r="AR41" t="s">
        <v>3028</v>
      </c>
      <c r="AS41" t="s">
        <v>3029</v>
      </c>
    </row>
    <row r="42" spans="2:45" ht="14.25" customHeight="1">
      <c r="B42" s="39"/>
      <c r="C42" t="str">
        <f t="shared" si="6"/>
        <v>◇ 《 》 E</v>
      </c>
      <c r="D42" s="7">
        <f t="shared" si="5"/>
        <v>5</v>
      </c>
      <c r="E42" t="s">
        <v>71</v>
      </c>
      <c r="G42">
        <v>3</v>
      </c>
      <c r="H42" s="22" t="s">
        <v>3010</v>
      </c>
      <c r="I42" s="23"/>
      <c r="J42" s="23" t="s">
        <v>146</v>
      </c>
      <c r="K42" s="23" t="s">
        <v>147</v>
      </c>
      <c r="L42" s="23" t="s">
        <v>154</v>
      </c>
      <c r="M42" s="24" t="s">
        <v>153</v>
      </c>
      <c r="AD42" t="s">
        <v>165</v>
      </c>
      <c r="AE42" s="32" t="str">
        <f t="shared" si="7"/>
        <v>◇</v>
      </c>
      <c r="AK42" t="str">
        <f t="shared" si="4"/>
        <v>【商品①】全長：cm　最大幅：cm ×&lt;BR&gt;【商品②】全長：cm　最大幅：cm ×&lt;BR&gt;【商品③】全長：cm　最大幅：cm ×&lt;BR&gt;【商品④】全長：cm　最大幅：cm ×&lt;BR&gt;</v>
      </c>
      <c r="AL42" s="4">
        <v>41</v>
      </c>
      <c r="AM42" s="7" t="s">
        <v>167</v>
      </c>
      <c r="AO42" s="6"/>
      <c r="AR42" t="s">
        <v>3028</v>
      </c>
      <c r="AS42" t="s">
        <v>3029</v>
      </c>
    </row>
    <row r="43" spans="2:45" ht="14.25" customHeight="1">
      <c r="B43" s="39"/>
      <c r="C43" t="str">
        <f t="shared" si="6"/>
        <v>◇ 《 》 E</v>
      </c>
      <c r="D43" s="7">
        <f t="shared" si="5"/>
        <v>5</v>
      </c>
      <c r="E43" t="s">
        <v>71</v>
      </c>
      <c r="G43">
        <v>3</v>
      </c>
      <c r="H43" s="22" t="s">
        <v>3010</v>
      </c>
      <c r="I43" s="23"/>
      <c r="J43" s="23" t="s">
        <v>146</v>
      </c>
      <c r="K43" s="23" t="s">
        <v>147</v>
      </c>
      <c r="L43" s="23" t="s">
        <v>154</v>
      </c>
      <c r="M43" s="24" t="s">
        <v>153</v>
      </c>
      <c r="AD43" t="s">
        <v>165</v>
      </c>
      <c r="AE43" s="32" t="str">
        <f t="shared" si="7"/>
        <v>◇</v>
      </c>
      <c r="AK43" t="str">
        <f t="shared" si="4"/>
        <v>【商品①】全長：cm　最大幅：cm ×&lt;BR&gt;【商品②】全長：cm　最大幅：cm ×&lt;BR&gt;【商品③】全長：cm　最大幅：cm ×&lt;BR&gt;【商品④】全長：cm　最大幅：cm ×&lt;BR&gt;</v>
      </c>
      <c r="AL43" s="4">
        <v>42</v>
      </c>
      <c r="AM43" s="7" t="s">
        <v>167</v>
      </c>
      <c r="AO43" s="6"/>
      <c r="AR43" t="s">
        <v>3028</v>
      </c>
      <c r="AS43" t="s">
        <v>3029</v>
      </c>
    </row>
    <row r="44" spans="2:45" ht="14.25" customHeight="1">
      <c r="B44" s="39"/>
      <c r="C44" t="str">
        <f t="shared" si="6"/>
        <v>◇ 《 》 E</v>
      </c>
      <c r="D44" s="7">
        <f t="shared" si="5"/>
        <v>5</v>
      </c>
      <c r="E44" t="s">
        <v>71</v>
      </c>
      <c r="G44">
        <v>3</v>
      </c>
      <c r="H44" s="22" t="s">
        <v>3010</v>
      </c>
      <c r="I44" s="23"/>
      <c r="J44" s="23" t="s">
        <v>146</v>
      </c>
      <c r="K44" s="23" t="s">
        <v>147</v>
      </c>
      <c r="L44" s="23" t="s">
        <v>154</v>
      </c>
      <c r="M44" s="24" t="s">
        <v>153</v>
      </c>
      <c r="AD44" t="s">
        <v>165</v>
      </c>
      <c r="AE44" s="32" t="str">
        <f t="shared" si="7"/>
        <v>◇</v>
      </c>
      <c r="AK44" t="str">
        <f t="shared" si="4"/>
        <v>【商品①】全長：cm　最大幅：cm ×&lt;BR&gt;【商品②】全長：cm　最大幅：cm ×&lt;BR&gt;【商品③】全長：cm　最大幅：cm ×&lt;BR&gt;【商品④】全長：cm　最大幅：cm ×&lt;BR&gt;</v>
      </c>
      <c r="AL44" s="4">
        <v>43</v>
      </c>
      <c r="AM44" s="7" t="s">
        <v>167</v>
      </c>
      <c r="AO44" s="6"/>
      <c r="AR44" t="s">
        <v>3028</v>
      </c>
      <c r="AS44" t="s">
        <v>3029</v>
      </c>
    </row>
    <row r="45" spans="2:45" ht="14.25" customHeight="1">
      <c r="B45" s="39"/>
      <c r="C45" t="str">
        <f t="shared" si="6"/>
        <v>◇ 《 》 E</v>
      </c>
      <c r="D45" s="7">
        <f>(LENB(C45)-LEN(C45))+(LENB(C45)-(LENB(C45)-LEN(C45))*2)/2</f>
        <v>5</v>
      </c>
      <c r="E45" t="s">
        <v>71</v>
      </c>
      <c r="G45">
        <v>3</v>
      </c>
      <c r="H45" s="22" t="s">
        <v>3010</v>
      </c>
      <c r="I45" s="23"/>
      <c r="J45" s="23" t="s">
        <v>146</v>
      </c>
      <c r="K45" s="23" t="s">
        <v>147</v>
      </c>
      <c r="L45" s="23" t="s">
        <v>154</v>
      </c>
      <c r="M45" s="24" t="s">
        <v>153</v>
      </c>
      <c r="AD45" t="s">
        <v>165</v>
      </c>
      <c r="AE45" s="32" t="str">
        <f t="shared" si="7"/>
        <v>◇</v>
      </c>
      <c r="AK45" t="str">
        <f t="shared" si="4"/>
        <v>【商品①】全長：cm　最大幅：cm ×&lt;BR&gt;【商品②】全長：cm　最大幅：cm ×&lt;BR&gt;【商品③】全長：cm　最大幅：cm ×&lt;BR&gt;【商品④】全長：cm　最大幅：cm ×&lt;BR&gt;</v>
      </c>
      <c r="AL45" s="4">
        <v>44</v>
      </c>
      <c r="AM45" s="7" t="s">
        <v>167</v>
      </c>
      <c r="AO45" s="6"/>
      <c r="AR45" t="s">
        <v>3028</v>
      </c>
      <c r="AS45" t="s">
        <v>3029</v>
      </c>
    </row>
    <row r="46" spans="2:45" ht="14.25" customHeight="1">
      <c r="B46" s="39"/>
      <c r="C46" t="str">
        <f t="shared" si="6"/>
        <v>◇ 《 》 E</v>
      </c>
      <c r="D46" s="7">
        <f t="shared" si="5"/>
        <v>5</v>
      </c>
      <c r="E46" t="s">
        <v>71</v>
      </c>
      <c r="G46">
        <v>3</v>
      </c>
      <c r="H46" s="22" t="s">
        <v>3010</v>
      </c>
      <c r="I46" s="23"/>
      <c r="J46" s="23" t="s">
        <v>146</v>
      </c>
      <c r="K46" s="23" t="s">
        <v>147</v>
      </c>
      <c r="L46" s="23" t="s">
        <v>154</v>
      </c>
      <c r="M46" s="24" t="s">
        <v>153</v>
      </c>
      <c r="AD46" t="s">
        <v>165</v>
      </c>
      <c r="AE46" s="32" t="str">
        <f t="shared" si="7"/>
        <v>◇</v>
      </c>
      <c r="AK46" t="str">
        <f t="shared" ref="AK46:AK51" si="8">"【商品①】全長：" &amp;O46&amp; "cm　最大幅：" &amp;P46&amp; "cm ×" &amp;Q46&amp; "&lt;BR&gt;【商品②】全長：" &amp;S46&amp; "cm　最大幅：" &amp;T46&amp; "cm ×" &amp;U46&amp; "&lt;BR&gt;【商品③】全長：" &amp;W46&amp; "cm　最大幅：" &amp;X46&amp; "cm ×" &amp;Y46&amp; "&lt;BR&gt;【商品④】全長：" &amp;AA46&amp; "cm　最大幅：" &amp;AB46&amp; "cm ×" &amp;AC46&amp; "&lt;BR&gt;"</f>
        <v>【商品①】全長：cm　最大幅：cm ×&lt;BR&gt;【商品②】全長：cm　最大幅：cm ×&lt;BR&gt;【商品③】全長：cm　最大幅：cm ×&lt;BR&gt;【商品④】全長：cm　最大幅：cm ×&lt;BR&gt;</v>
      </c>
      <c r="AL46" s="4">
        <v>45</v>
      </c>
      <c r="AM46" s="7" t="s">
        <v>167</v>
      </c>
      <c r="AO46" s="6"/>
      <c r="AR46" t="s">
        <v>3028</v>
      </c>
      <c r="AS46" t="s">
        <v>3029</v>
      </c>
    </row>
    <row r="47" spans="2:45" ht="14.25" customHeight="1">
      <c r="B47" s="39"/>
      <c r="C47" t="str">
        <f t="shared" si="6"/>
        <v>◇ 《 》 E</v>
      </c>
      <c r="D47" s="7">
        <f t="shared" si="5"/>
        <v>5</v>
      </c>
      <c r="E47" t="s">
        <v>71</v>
      </c>
      <c r="G47">
        <v>3</v>
      </c>
      <c r="H47" s="22" t="s">
        <v>3010</v>
      </c>
      <c r="I47" s="23"/>
      <c r="J47" s="23" t="s">
        <v>146</v>
      </c>
      <c r="K47" s="23" t="s">
        <v>147</v>
      </c>
      <c r="L47" s="23" t="s">
        <v>154</v>
      </c>
      <c r="M47" s="24" t="s">
        <v>153</v>
      </c>
      <c r="AD47" t="s">
        <v>165</v>
      </c>
      <c r="AE47" s="32" t="str">
        <f t="shared" si="7"/>
        <v>◇</v>
      </c>
      <c r="AK47" t="str">
        <f t="shared" si="8"/>
        <v>【商品①】全長：cm　最大幅：cm ×&lt;BR&gt;【商品②】全長：cm　最大幅：cm ×&lt;BR&gt;【商品③】全長：cm　最大幅：cm ×&lt;BR&gt;【商品④】全長：cm　最大幅：cm ×&lt;BR&gt;</v>
      </c>
      <c r="AL47" s="4">
        <v>46</v>
      </c>
      <c r="AM47" s="7" t="s">
        <v>167</v>
      </c>
      <c r="AO47" s="6"/>
      <c r="AR47" t="s">
        <v>3028</v>
      </c>
      <c r="AS47" t="s">
        <v>3029</v>
      </c>
    </row>
    <row r="48" spans="2:45" ht="14.25" customHeight="1">
      <c r="B48" s="39"/>
      <c r="C48" t="str">
        <f t="shared" si="6"/>
        <v>◇ 《 》 E</v>
      </c>
      <c r="D48" s="7">
        <f t="shared" si="5"/>
        <v>5</v>
      </c>
      <c r="E48" t="s">
        <v>71</v>
      </c>
      <c r="G48">
        <v>3</v>
      </c>
      <c r="H48" s="22" t="s">
        <v>3010</v>
      </c>
      <c r="I48" s="23"/>
      <c r="J48" s="23" t="s">
        <v>146</v>
      </c>
      <c r="K48" s="23" t="s">
        <v>147</v>
      </c>
      <c r="L48" s="23" t="s">
        <v>154</v>
      </c>
      <c r="M48" s="24" t="s">
        <v>153</v>
      </c>
      <c r="AD48" t="s">
        <v>165</v>
      </c>
      <c r="AE48" s="32" t="str">
        <f t="shared" si="7"/>
        <v>◇</v>
      </c>
      <c r="AK48" t="str">
        <f t="shared" si="8"/>
        <v>【商品①】全長：cm　最大幅：cm ×&lt;BR&gt;【商品②】全長：cm　最大幅：cm ×&lt;BR&gt;【商品③】全長：cm　最大幅：cm ×&lt;BR&gt;【商品④】全長：cm　最大幅：cm ×&lt;BR&gt;</v>
      </c>
      <c r="AL48" s="4">
        <v>47</v>
      </c>
      <c r="AM48" s="7" t="s">
        <v>167</v>
      </c>
      <c r="AO48" s="6"/>
      <c r="AR48" t="s">
        <v>3028</v>
      </c>
      <c r="AS48" t="s">
        <v>3029</v>
      </c>
    </row>
    <row r="49" spans="2:45" ht="14.25" customHeight="1">
      <c r="B49" s="39"/>
      <c r="C49" t="str">
        <f t="shared" si="6"/>
        <v>◇ 《 》 E</v>
      </c>
      <c r="D49" s="7">
        <f>(LENB(C49)-LEN(C49))+(LENB(C49)-(LENB(C49)-LEN(C49))*2)/2</f>
        <v>5</v>
      </c>
      <c r="E49" t="s">
        <v>71</v>
      </c>
      <c r="G49">
        <v>3</v>
      </c>
      <c r="H49" s="22" t="s">
        <v>3010</v>
      </c>
      <c r="I49" s="23"/>
      <c r="J49" s="23" t="s">
        <v>146</v>
      </c>
      <c r="K49" s="23" t="s">
        <v>147</v>
      </c>
      <c r="L49" s="23" t="s">
        <v>154</v>
      </c>
      <c r="M49" s="24" t="s">
        <v>153</v>
      </c>
      <c r="AD49" t="s">
        <v>165</v>
      </c>
      <c r="AE49" s="32" t="str">
        <f t="shared" si="7"/>
        <v>◇</v>
      </c>
      <c r="AK49" t="str">
        <f t="shared" si="8"/>
        <v>【商品①】全長：cm　最大幅：cm ×&lt;BR&gt;【商品②】全長：cm　最大幅：cm ×&lt;BR&gt;【商品③】全長：cm　最大幅：cm ×&lt;BR&gt;【商品④】全長：cm　最大幅：cm ×&lt;BR&gt;</v>
      </c>
      <c r="AL49" s="4">
        <v>48</v>
      </c>
      <c r="AM49" s="7" t="s">
        <v>167</v>
      </c>
      <c r="AO49" s="6"/>
      <c r="AR49" t="s">
        <v>3028</v>
      </c>
      <c r="AS49" t="s">
        <v>3029</v>
      </c>
    </row>
    <row r="50" spans="2:45" ht="14.25" customHeight="1">
      <c r="B50" s="39"/>
      <c r="C50" t="str">
        <f t="shared" si="6"/>
        <v>◇ 《 》 E</v>
      </c>
      <c r="D50" s="7">
        <f t="shared" si="5"/>
        <v>5</v>
      </c>
      <c r="E50" t="s">
        <v>71</v>
      </c>
      <c r="G50">
        <v>3</v>
      </c>
      <c r="H50" s="22" t="s">
        <v>3010</v>
      </c>
      <c r="I50" s="23"/>
      <c r="J50" s="23" t="s">
        <v>146</v>
      </c>
      <c r="K50" s="23" t="s">
        <v>147</v>
      </c>
      <c r="L50" s="23" t="s">
        <v>154</v>
      </c>
      <c r="M50" s="24" t="s">
        <v>153</v>
      </c>
      <c r="AD50" t="s">
        <v>165</v>
      </c>
      <c r="AE50" s="32" t="str">
        <f t="shared" si="7"/>
        <v>◇</v>
      </c>
      <c r="AK50" t="str">
        <f t="shared" si="8"/>
        <v>【商品①】全長：cm　最大幅：cm ×&lt;BR&gt;【商品②】全長：cm　最大幅：cm ×&lt;BR&gt;【商品③】全長：cm　最大幅：cm ×&lt;BR&gt;【商品④】全長：cm　最大幅：cm ×&lt;BR&gt;</v>
      </c>
      <c r="AL50" s="4">
        <v>49</v>
      </c>
      <c r="AM50" s="7" t="s">
        <v>167</v>
      </c>
      <c r="AO50" s="6"/>
      <c r="AR50" t="s">
        <v>3028</v>
      </c>
      <c r="AS50" t="s">
        <v>3029</v>
      </c>
    </row>
    <row r="51" spans="2:45" ht="14.25" customHeight="1">
      <c r="B51" s="39"/>
      <c r="C51" t="str">
        <f t="shared" si="6"/>
        <v>◇ 《 》 E</v>
      </c>
      <c r="D51" s="7">
        <f>(LENB(C51)-LEN(C51))+(LENB(C51)-(LENB(C51)-LEN(C51))*2)/2</f>
        <v>5</v>
      </c>
      <c r="E51" t="s">
        <v>71</v>
      </c>
      <c r="G51">
        <v>3</v>
      </c>
      <c r="H51" s="22" t="s">
        <v>3010</v>
      </c>
      <c r="I51" s="23"/>
      <c r="J51" s="23" t="s">
        <v>146</v>
      </c>
      <c r="K51" s="23" t="s">
        <v>147</v>
      </c>
      <c r="L51" s="23" t="s">
        <v>154</v>
      </c>
      <c r="M51" s="24" t="s">
        <v>153</v>
      </c>
      <c r="AD51" t="s">
        <v>165</v>
      </c>
      <c r="AE51" s="32" t="str">
        <f t="shared" si="7"/>
        <v>◇</v>
      </c>
      <c r="AK51" t="str">
        <f t="shared" si="8"/>
        <v>【商品①】全長：cm　最大幅：cm ×&lt;BR&gt;【商品②】全長：cm　最大幅：cm ×&lt;BR&gt;【商品③】全長：cm　最大幅：cm ×&lt;BR&gt;【商品④】全長：cm　最大幅：cm ×&lt;BR&gt;</v>
      </c>
      <c r="AL51" s="4">
        <v>50</v>
      </c>
      <c r="AM51" s="7" t="s">
        <v>167</v>
      </c>
      <c r="AO51" s="6"/>
      <c r="AR51" t="s">
        <v>3028</v>
      </c>
      <c r="AS51" t="s">
        <v>3029</v>
      </c>
    </row>
    <row r="52" spans="2:45">
      <c r="B52" s="40"/>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85"/>
      <c r="AF52" s="4"/>
      <c r="AG52" s="4"/>
      <c r="AH52" s="4"/>
      <c r="AI52" s="4"/>
      <c r="AJ52" s="4"/>
      <c r="AK52" s="4"/>
      <c r="AL52" s="4"/>
      <c r="AM52" s="4"/>
    </row>
    <row r="131" ht="3.75" customHeight="1"/>
    <row r="150" spans="2:31" ht="14.25" thickBot="1">
      <c r="B150" s="41"/>
      <c r="AD150" s="11"/>
    </row>
    <row r="151" spans="2:31">
      <c r="B151" s="13"/>
      <c r="AD151" s="4"/>
      <c r="AE151" s="85"/>
    </row>
    <row r="1048367" spans="10:10">
      <c r="J1048367" s="3"/>
    </row>
  </sheetData>
  <phoneticPr fontId="4"/>
  <conditionalFormatting sqref="B2:B51">
    <cfRule type="duplicateValues" dxfId="92" priority="3"/>
  </conditionalFormatting>
  <conditionalFormatting sqref="D1:D1048576">
    <cfRule type="cellIs" dxfId="91" priority="1" operator="greaterThan">
      <formula>64.5</formula>
    </cfRule>
  </conditionalFormatting>
  <dataValidations count="2">
    <dataValidation imeMode="off" allowBlank="1" showInputMessage="1" showErrorMessage="1" sqref="B1:B1048576" xr:uid="{8E2B089A-1A95-4FE7-8C15-18AE2F6E9E0D}"/>
    <dataValidation type="list" allowBlank="1" showInputMessage="1" showErrorMessage="1" sqref="AD2:AD51" xr:uid="{66A32E10-5354-40CF-9980-AC53970A823E}">
      <formula1>梱包</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302D018-27C0-49EF-8C3E-18A98B7F4DAB}">
          <x14:formula1>
            <xm:f>コンディションランク!$A:$A</xm:f>
          </x14:formula1>
          <xm:sqref>G2:G51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AE1048532"/>
  <sheetViews>
    <sheetView topLeftCell="T1" zoomScale="85" zoomScaleNormal="85" workbookViewId="0">
      <pane ySplit="1" topLeftCell="A2" activePane="bottomLeft" state="frozen"/>
      <selection pane="bottomLeft" activeCell="T12" sqref="T12"/>
    </sheetView>
  </sheetViews>
  <sheetFormatPr defaultRowHeight="13.5"/>
  <cols>
    <col min="1" max="1" width="14" style="9" customWidth="1"/>
    <col min="2" max="2" width="16.25" style="14" customWidth="1"/>
    <col min="3" max="3" width="80.625" customWidth="1"/>
    <col min="4" max="4" width="5.625" customWidth="1"/>
    <col min="5" max="5" width="3.5" customWidth="1"/>
    <col min="6" max="6" width="9" hidden="1" customWidth="1"/>
    <col min="7" max="7" width="5.5" customWidth="1"/>
    <col min="8" max="8" width="24.5" customWidth="1"/>
    <col min="9" max="9" width="4.875" hidden="1" customWidth="1"/>
    <col min="11" max="11" width="28.875" customWidth="1"/>
    <col min="12" max="12" width="12" customWidth="1"/>
    <col min="13" max="16" width="6.25" customWidth="1"/>
    <col min="17" max="17" width="10.375" bestFit="1" customWidth="1"/>
    <col min="18" max="18" width="9" bestFit="1" customWidth="1"/>
    <col min="19" max="19" width="9.75" customWidth="1"/>
    <col min="20" max="20" width="49.875" customWidth="1"/>
    <col min="21" max="21" width="37.25" customWidth="1"/>
    <col min="22" max="22" width="7.25" customWidth="1"/>
    <col min="23" max="23" width="45.875" customWidth="1"/>
    <col min="24" max="24" width="7" customWidth="1"/>
    <col min="25" max="25" width="50.625" customWidth="1"/>
    <col min="26" max="26" width="50.625" hidden="1" customWidth="1"/>
    <col min="27" max="27" width="13" customWidth="1"/>
    <col min="28" max="28" width="14.125" hidden="1" customWidth="1"/>
    <col min="29" max="30" width="9" hidden="1" customWidth="1"/>
  </cols>
  <sheetData>
    <row r="1" spans="1:31" s="32" customFormat="1">
      <c r="A1" s="37" t="s">
        <v>2641</v>
      </c>
      <c r="B1" s="65" t="s">
        <v>0</v>
      </c>
      <c r="C1" s="8" t="s">
        <v>1</v>
      </c>
      <c r="D1" s="25" t="s">
        <v>145</v>
      </c>
      <c r="E1" s="18" t="s">
        <v>2</v>
      </c>
      <c r="F1" s="19" t="s">
        <v>3</v>
      </c>
      <c r="G1" s="17" t="s">
        <v>4</v>
      </c>
      <c r="H1" s="19" t="s">
        <v>5</v>
      </c>
      <c r="I1" s="19" t="s">
        <v>6</v>
      </c>
      <c r="J1" s="19" t="s">
        <v>7</v>
      </c>
      <c r="K1" s="19" t="s">
        <v>8</v>
      </c>
      <c r="L1" s="18" t="s">
        <v>9</v>
      </c>
      <c r="M1" s="21" t="s">
        <v>30</v>
      </c>
      <c r="N1" s="21" t="s">
        <v>31</v>
      </c>
      <c r="O1" s="21" t="s">
        <v>32</v>
      </c>
      <c r="P1" s="21" t="s">
        <v>92</v>
      </c>
      <c r="Q1" s="21" t="s">
        <v>164</v>
      </c>
      <c r="R1" s="21" t="s">
        <v>3054</v>
      </c>
      <c r="S1" s="17" t="s">
        <v>88</v>
      </c>
      <c r="T1" s="17" t="s">
        <v>84</v>
      </c>
      <c r="U1" s="19" t="s">
        <v>85</v>
      </c>
      <c r="V1" s="17" t="s">
        <v>93</v>
      </c>
      <c r="W1" s="17" t="s">
        <v>87</v>
      </c>
      <c r="X1" s="17" t="s">
        <v>86</v>
      </c>
      <c r="Y1" s="1" t="s">
        <v>3022</v>
      </c>
      <c r="Z1" s="5" t="s">
        <v>3023</v>
      </c>
      <c r="AA1" s="66" t="s">
        <v>98</v>
      </c>
      <c r="AB1" s="17" t="s">
        <v>107</v>
      </c>
      <c r="AC1" s="17" t="s">
        <v>151</v>
      </c>
      <c r="AD1" s="17" t="s">
        <v>108</v>
      </c>
      <c r="AE1" s="17" t="s">
        <v>109</v>
      </c>
    </row>
    <row r="2" spans="1:31" ht="14.25">
      <c r="A2" s="9" t="s">
        <v>3099</v>
      </c>
      <c r="B2" s="14">
        <v>1212260021698</v>
      </c>
      <c r="C2" s="7" t="str">
        <f t="shared" ref="C2:C33" si="0">TRIM(R2&amp;" "&amp;S2&amp;" "&amp;T2&amp;" "&amp;U2&amp;" "&amp;V2&amp;" "&amp;W2&amp;" "&amp;L2&amp;" "&amp;K2&amp;" "&amp;X2&amp;EX&amp;" "&amp;B2)</f>
        <v>◇ PIVOT DOOR ピボットドアー 胸ロゴ、裾袖絞りあり 長袖 フリース 表記なし グリーン レディースメンズ E 1212260021698</v>
      </c>
      <c r="D2" s="7">
        <f t="shared" ref="D2:D66" si="1">(LENB(C2)-LEN(C2))+(LENB(C2)-(LENB(C2)-LEN(C2))*2)/2</f>
        <v>57</v>
      </c>
      <c r="E2" t="s">
        <v>71</v>
      </c>
      <c r="G2">
        <v>3</v>
      </c>
      <c r="H2" t="str">
        <f>IFERROR(INDEX(コンディションランク!$B$1:$B$6,MATCH($G2,コンディションランク!$A$1:$A$6,0)),"")</f>
        <v>目立った傷や汚れなし</v>
      </c>
      <c r="J2" t="s">
        <v>2924</v>
      </c>
      <c r="K2" t="s">
        <v>3202</v>
      </c>
      <c r="L2" s="9" t="s">
        <v>3074</v>
      </c>
      <c r="M2">
        <v>66</v>
      </c>
      <c r="N2">
        <v>58</v>
      </c>
      <c r="O2">
        <v>58</v>
      </c>
      <c r="P2">
        <v>58</v>
      </c>
      <c r="Q2" t="s">
        <v>165</v>
      </c>
      <c r="R2" s="32" t="str">
        <f t="shared" ref="R2:R33" si="2">IFERROR(VLOOKUP(Q2,梱包サイズ表,2,0),"")</f>
        <v>◇</v>
      </c>
      <c r="T2" t="s">
        <v>3260</v>
      </c>
      <c r="U2" t="s">
        <v>3261</v>
      </c>
      <c r="V2" t="s">
        <v>3058</v>
      </c>
      <c r="W2" t="s">
        <v>3262</v>
      </c>
      <c r="X2" t="s">
        <v>3186</v>
      </c>
      <c r="Y2" t="str">
        <f t="shared" ref="Y2:Y33" si="3">"着丈：約" &amp;M2&amp; "cm　肩幅：約" &amp;N2&amp; "cm　身幅：約" &amp;O2&amp; "cm　袖丈：約" &amp;P2&amp; "cm"</f>
        <v>着丈：約66cm　肩幅：約58cm　身幅：約58cm　袖丈：約58cm</v>
      </c>
      <c r="Z2" t="str">
        <f>SUBSTITUTE( Y2, "約-", "-" )</f>
        <v>着丈：約66cm　肩幅：約58cm　身幅：約58cm　袖丈：約58cm</v>
      </c>
      <c r="AA2" s="77" t="s">
        <v>3263</v>
      </c>
      <c r="AC2" s="9"/>
      <c r="AE2">
        <v>2000</v>
      </c>
    </row>
    <row r="3" spans="1:31" ht="14.25">
      <c r="A3" s="9" t="s">
        <v>3267</v>
      </c>
      <c r="B3" s="68">
        <v>1212260021704</v>
      </c>
      <c r="C3" s="7" t="str">
        <f t="shared" si="0"/>
        <v>◇ ebboria アニマル柄 長袖 ニット サイズL ベージュ/ブラウン レディース E 1212260021704</v>
      </c>
      <c r="D3" s="7">
        <f t="shared" si="1"/>
        <v>43</v>
      </c>
      <c r="E3" t="s">
        <v>71</v>
      </c>
      <c r="G3">
        <v>3</v>
      </c>
      <c r="H3" t="str">
        <f>IFERROR(INDEX(コンディションランク!$B$1:$B$6,MATCH($G3,コンディションランク!$A$1:$A$6,0)),"")</f>
        <v>目立った傷や汚れなし</v>
      </c>
      <c r="J3" t="s">
        <v>2924</v>
      </c>
      <c r="K3" t="s">
        <v>3264</v>
      </c>
      <c r="L3" s="9" t="s">
        <v>3197</v>
      </c>
      <c r="M3">
        <v>49</v>
      </c>
      <c r="N3">
        <v>48</v>
      </c>
      <c r="O3">
        <v>52</v>
      </c>
      <c r="P3">
        <v>58</v>
      </c>
      <c r="Q3" t="s">
        <v>165</v>
      </c>
      <c r="R3" s="32" t="str">
        <f t="shared" si="2"/>
        <v>◇</v>
      </c>
      <c r="T3" t="s">
        <v>3265</v>
      </c>
      <c r="U3" t="s">
        <v>3266</v>
      </c>
      <c r="V3" t="s">
        <v>3058</v>
      </c>
      <c r="W3" t="s">
        <v>3072</v>
      </c>
      <c r="X3" t="s">
        <v>3019</v>
      </c>
      <c r="Y3" t="str">
        <f t="shared" si="3"/>
        <v>着丈：約49cm　肩幅：約48cm　身幅：約52cm　袖丈：約58cm</v>
      </c>
      <c r="Z3" t="str">
        <f t="shared" ref="Z3:Z66" si="4">SUBSTITUTE( Y3, "約-", "-" )</f>
        <v>着丈：約49cm　肩幅：約48cm　身幅：約52cm　袖丈：約58cm</v>
      </c>
      <c r="AA3" s="77" t="s">
        <v>3263</v>
      </c>
      <c r="AC3" s="9"/>
      <c r="AE3">
        <v>1000</v>
      </c>
    </row>
    <row r="4" spans="1:31" ht="14.25">
      <c r="A4" s="9" t="s">
        <v>3069</v>
      </c>
      <c r="B4" s="14">
        <v>1212260021711</v>
      </c>
      <c r="C4" s="7" t="str">
        <f t="shared" si="0"/>
        <v>◇ AZUL BY MOUSSY アズールバイマウジー ケーブル編み 長袖 カーディガン サイズFREE グレー レディース E 1212260021711</v>
      </c>
      <c r="D4" s="7">
        <f t="shared" si="1"/>
        <v>57</v>
      </c>
      <c r="E4" t="s">
        <v>71</v>
      </c>
      <c r="G4">
        <v>3</v>
      </c>
      <c r="H4" t="str">
        <f>IFERROR(INDEX(コンディションランク!$B$1:$B$6,MATCH($G4,コンディションランク!$A$1:$A$6,0)),"")</f>
        <v>目立った傷や汚れなし</v>
      </c>
      <c r="J4" t="s">
        <v>2924</v>
      </c>
      <c r="K4" t="s">
        <v>3268</v>
      </c>
      <c r="L4" s="9" t="s">
        <v>3269</v>
      </c>
      <c r="M4">
        <v>75</v>
      </c>
      <c r="N4">
        <v>64</v>
      </c>
      <c r="O4">
        <v>65</v>
      </c>
      <c r="P4">
        <v>41</v>
      </c>
      <c r="Q4" t="s">
        <v>165</v>
      </c>
      <c r="R4" s="32" t="str">
        <f t="shared" si="2"/>
        <v>◇</v>
      </c>
      <c r="T4" t="s">
        <v>3270</v>
      </c>
      <c r="U4" t="s">
        <v>3271</v>
      </c>
      <c r="V4" t="s">
        <v>3058</v>
      </c>
      <c r="W4" t="s">
        <v>3076</v>
      </c>
      <c r="X4" t="s">
        <v>3019</v>
      </c>
      <c r="Y4" t="str">
        <f t="shared" si="3"/>
        <v>着丈：約75cm　肩幅：約64cm　身幅：約65cm　袖丈：約41cm</v>
      </c>
      <c r="Z4" t="str">
        <f t="shared" si="4"/>
        <v>着丈：約75cm　肩幅：約64cm　身幅：約65cm　袖丈：約41cm</v>
      </c>
      <c r="AA4" s="77" t="s">
        <v>3263</v>
      </c>
      <c r="AC4" s="9"/>
      <c r="AE4">
        <v>1000</v>
      </c>
    </row>
    <row r="5" spans="1:31" ht="14.25">
      <c r="A5" s="9" t="s">
        <v>3069</v>
      </c>
      <c r="B5" s="14">
        <v>1212260021728</v>
      </c>
      <c r="C5" s="7" t="str">
        <f t="shared" si="0"/>
        <v>◇ ETRE TOKYO 後ろ編み上げ、ケーブル編み、ボリューム袖 長袖 カーディガン サイズF ホワイト レディース E 1212260021728</v>
      </c>
      <c r="D5" s="7">
        <f t="shared" si="1"/>
        <v>58</v>
      </c>
      <c r="E5" t="s">
        <v>71</v>
      </c>
      <c r="F5" s="78"/>
      <c r="G5">
        <v>3</v>
      </c>
      <c r="H5" t="str">
        <f>IFERROR(INDEX(コンディションランク!$B$1:$B$6,MATCH($G5,コンディションランク!$A$1:$A$6,0)),"")</f>
        <v>目立った傷や汚れなし</v>
      </c>
      <c r="I5" s="78"/>
      <c r="J5" t="s">
        <v>2924</v>
      </c>
      <c r="K5" t="s">
        <v>3061</v>
      </c>
      <c r="L5" s="9" t="s">
        <v>3082</v>
      </c>
      <c r="M5">
        <v>45</v>
      </c>
      <c r="N5" t="s">
        <v>83</v>
      </c>
      <c r="O5">
        <v>55</v>
      </c>
      <c r="P5" t="s">
        <v>83</v>
      </c>
      <c r="Q5" t="s">
        <v>165</v>
      </c>
      <c r="R5" s="32" t="str">
        <f t="shared" si="2"/>
        <v>◇</v>
      </c>
      <c r="T5" t="s">
        <v>3272</v>
      </c>
      <c r="U5" t="s">
        <v>3273</v>
      </c>
      <c r="V5" t="s">
        <v>3058</v>
      </c>
      <c r="W5" t="s">
        <v>3076</v>
      </c>
      <c r="X5" t="s">
        <v>3019</v>
      </c>
      <c r="Y5" t="str">
        <f t="shared" si="3"/>
        <v>着丈：約45cm　肩幅：約-cm　身幅：約55cm　袖丈：約-cm</v>
      </c>
      <c r="Z5" t="str">
        <f t="shared" si="4"/>
        <v>着丈：約45cm　肩幅：-cm　身幅：約55cm　袖丈：-cm</v>
      </c>
      <c r="AA5" s="77" t="s">
        <v>3263</v>
      </c>
      <c r="AC5" s="9"/>
      <c r="AE5">
        <v>1000</v>
      </c>
    </row>
    <row r="6" spans="1:31" ht="14.25">
      <c r="A6" s="9" t="s">
        <v>3206</v>
      </c>
      <c r="B6" s="14">
        <v>1212260021735</v>
      </c>
      <c r="C6" s="7" t="str">
        <f t="shared" si="0"/>
        <v>◇ JOURNAL STANDARD ジャーナルスタンダード ケーブル編み、横リボン - ベスト 表記なし ホワイト レディース E 1212260021735</v>
      </c>
      <c r="D6" s="7">
        <f t="shared" si="1"/>
        <v>59.5</v>
      </c>
      <c r="E6" t="s">
        <v>3276</v>
      </c>
      <c r="G6">
        <v>4</v>
      </c>
      <c r="H6" t="str">
        <f>IFERROR(INDEX(コンディションランク!$B$1:$B$6,MATCH($G6,コンディションランク!$A$1:$A$6,0)),"")</f>
        <v>やや傷や汚れあり</v>
      </c>
      <c r="J6" t="s">
        <v>2924</v>
      </c>
      <c r="K6" t="s">
        <v>3061</v>
      </c>
      <c r="L6" s="9" t="s">
        <v>3074</v>
      </c>
      <c r="M6">
        <v>56</v>
      </c>
      <c r="N6">
        <v>36</v>
      </c>
      <c r="O6">
        <v>51</v>
      </c>
      <c r="P6" t="s">
        <v>83</v>
      </c>
      <c r="Q6" t="s">
        <v>165</v>
      </c>
      <c r="R6" s="32" t="str">
        <f t="shared" si="2"/>
        <v>◇</v>
      </c>
      <c r="T6" t="s">
        <v>3274</v>
      </c>
      <c r="U6" t="s">
        <v>3277</v>
      </c>
      <c r="V6" t="s">
        <v>83</v>
      </c>
      <c r="W6" t="s">
        <v>3275</v>
      </c>
      <c r="X6" t="s">
        <v>3019</v>
      </c>
      <c r="Y6" t="str">
        <f t="shared" si="3"/>
        <v>着丈：約56cm　肩幅：約36cm　身幅：約51cm　袖丈：約-cm</v>
      </c>
      <c r="Z6" t="str">
        <f t="shared" si="4"/>
        <v>着丈：約56cm　肩幅：約36cm　身幅：約51cm　袖丈：-cm</v>
      </c>
      <c r="AA6" s="77" t="s">
        <v>3263</v>
      </c>
      <c r="AC6" s="9"/>
      <c r="AE6">
        <v>1000</v>
      </c>
    </row>
    <row r="7" spans="1:31" ht="14.25">
      <c r="A7" s="9" t="s">
        <v>3206</v>
      </c>
      <c r="B7" s="14">
        <v>1212260021742</v>
      </c>
      <c r="C7" s="7" t="str">
        <f t="shared" si="0"/>
        <v>◇ Samansa Mos2 サマンサモスモス サイドレース - ベスト サイズF ベージュ レディース E 1212260021742</v>
      </c>
      <c r="D7" s="7">
        <f t="shared" si="1"/>
        <v>49</v>
      </c>
      <c r="E7" t="s">
        <v>71</v>
      </c>
      <c r="G7">
        <v>3</v>
      </c>
      <c r="H7" t="str">
        <f>IFERROR(INDEX(コンディションランク!$B$1:$B$6,MATCH($G7,コンディションランク!$A$1:$A$6,0)),"")</f>
        <v>目立った傷や汚れなし</v>
      </c>
      <c r="J7" t="s">
        <v>2924</v>
      </c>
      <c r="K7" t="s">
        <v>3101</v>
      </c>
      <c r="L7" s="9" t="s">
        <v>3082</v>
      </c>
      <c r="M7">
        <v>45</v>
      </c>
      <c r="N7">
        <v>57</v>
      </c>
      <c r="O7">
        <v>56</v>
      </c>
      <c r="P7" t="s">
        <v>83</v>
      </c>
      <c r="Q7" t="s">
        <v>165</v>
      </c>
      <c r="R7" s="32" t="str">
        <f t="shared" si="2"/>
        <v>◇</v>
      </c>
      <c r="T7" t="s">
        <v>3278</v>
      </c>
      <c r="U7" t="s">
        <v>3279</v>
      </c>
      <c r="V7" t="s">
        <v>83</v>
      </c>
      <c r="W7" t="s">
        <v>3275</v>
      </c>
      <c r="X7" t="s">
        <v>3019</v>
      </c>
      <c r="Y7" t="str">
        <f t="shared" si="3"/>
        <v>着丈：約45cm　肩幅：約57cm　身幅：約56cm　袖丈：約-cm</v>
      </c>
      <c r="Z7" t="str">
        <f t="shared" si="4"/>
        <v>着丈：約45cm　肩幅：約57cm　身幅：約56cm　袖丈：-cm</v>
      </c>
      <c r="AA7" s="77" t="s">
        <v>3263</v>
      </c>
      <c r="AC7" s="9"/>
      <c r="AE7">
        <v>1000</v>
      </c>
    </row>
    <row r="8" spans="1:31" ht="14.25">
      <c r="A8" s="9" t="s">
        <v>3069</v>
      </c>
      <c r="B8" s="14">
        <v>1212260021759</v>
      </c>
      <c r="C8" s="7" t="str">
        <f t="shared" si="0"/>
        <v>◇ rps アールピーエス ケーブル編み、アラン編み 長袖 カーディガン サイズM ベージュ レディース E 1212260021759</v>
      </c>
      <c r="D8" s="7">
        <f t="shared" si="1"/>
        <v>54</v>
      </c>
      <c r="E8" t="s">
        <v>71</v>
      </c>
      <c r="G8">
        <v>3</v>
      </c>
      <c r="H8" t="str">
        <f>IFERROR(INDEX(コンディションランク!$B$1:$B$6,MATCH($G8,コンディションランク!$A$1:$A$6,0)),"")</f>
        <v>目立った傷や汚れなし</v>
      </c>
      <c r="J8" t="s">
        <v>2924</v>
      </c>
      <c r="K8" t="s">
        <v>3101</v>
      </c>
      <c r="L8" s="9" t="s">
        <v>3057</v>
      </c>
      <c r="M8">
        <v>50</v>
      </c>
      <c r="N8" t="s">
        <v>83</v>
      </c>
      <c r="O8">
        <v>60</v>
      </c>
      <c r="P8" t="s">
        <v>83</v>
      </c>
      <c r="Q8" t="s">
        <v>165</v>
      </c>
      <c r="R8" s="32" t="str">
        <f t="shared" si="2"/>
        <v>◇</v>
      </c>
      <c r="T8" t="s">
        <v>3280</v>
      </c>
      <c r="U8" t="s">
        <v>3281</v>
      </c>
      <c r="V8" t="s">
        <v>3058</v>
      </c>
      <c r="W8" t="s">
        <v>3076</v>
      </c>
      <c r="X8" t="s">
        <v>3019</v>
      </c>
      <c r="Y8" t="str">
        <f t="shared" si="3"/>
        <v>着丈：約50cm　肩幅：約-cm　身幅：約60cm　袖丈：約-cm</v>
      </c>
      <c r="Z8" t="str">
        <f t="shared" si="4"/>
        <v>着丈：約50cm　肩幅：-cm　身幅：約60cm　袖丈：-cm</v>
      </c>
      <c r="AA8" s="77" t="s">
        <v>3263</v>
      </c>
      <c r="AC8" s="9"/>
      <c r="AE8">
        <v>1000</v>
      </c>
    </row>
    <row r="9" spans="1:31" ht="14.25">
      <c r="A9" s="9" t="s">
        <v>3206</v>
      </c>
      <c r="B9" s="14">
        <v>1212260021766</v>
      </c>
      <c r="C9" s="7" t="str">
        <f t="shared" si="0"/>
        <v>◇ niko and … ニコアンド ケーブル編み - ベスト 表記なし チャコール レディース E 1212260021766</v>
      </c>
      <c r="D9" s="7">
        <f t="shared" si="1"/>
        <v>47</v>
      </c>
      <c r="E9" t="s">
        <v>71</v>
      </c>
      <c r="G9">
        <v>3</v>
      </c>
      <c r="H9" t="str">
        <f>IFERROR(INDEX(コンディションランク!$B$1:$B$6,MATCH($G9,コンディションランク!$A$1:$A$6,0)),"")</f>
        <v>目立った傷や汚れなし</v>
      </c>
      <c r="J9" t="s">
        <v>2924</v>
      </c>
      <c r="K9" t="s">
        <v>3282</v>
      </c>
      <c r="L9" s="9" t="s">
        <v>3074</v>
      </c>
      <c r="M9">
        <v>48</v>
      </c>
      <c r="N9">
        <v>42</v>
      </c>
      <c r="O9">
        <v>50</v>
      </c>
      <c r="P9" t="s">
        <v>83</v>
      </c>
      <c r="Q9" t="s">
        <v>165</v>
      </c>
      <c r="R9" s="32" t="str">
        <f t="shared" si="2"/>
        <v>◇</v>
      </c>
      <c r="T9" t="s">
        <v>3283</v>
      </c>
      <c r="U9" t="s">
        <v>3284</v>
      </c>
      <c r="V9" t="s">
        <v>83</v>
      </c>
      <c r="W9" t="s">
        <v>3275</v>
      </c>
      <c r="X9" t="s">
        <v>3019</v>
      </c>
      <c r="Y9" t="str">
        <f t="shared" si="3"/>
        <v>着丈：約48cm　肩幅：約42cm　身幅：約50cm　袖丈：約-cm</v>
      </c>
      <c r="Z9" t="str">
        <f t="shared" si="4"/>
        <v>着丈：約48cm　肩幅：約42cm　身幅：約50cm　袖丈：-cm</v>
      </c>
      <c r="AA9" s="77" t="s">
        <v>3263</v>
      </c>
      <c r="AC9" s="9"/>
      <c r="AE9">
        <v>1000</v>
      </c>
    </row>
    <row r="10" spans="1:31" ht="14.25">
      <c r="A10" s="9" t="s">
        <v>3289</v>
      </c>
      <c r="B10" s="14">
        <v>1212260021773</v>
      </c>
      <c r="C10" s="7" t="str">
        <f t="shared" si="0"/>
        <v>◇ OPAQUE.CLIP　オペークドットクリップ 首元ビジュー 半袖 カットソー サイズ38/M ホワイト/ブラック レディース E 1212260021773</v>
      </c>
      <c r="D10" s="7">
        <f t="shared" si="1"/>
        <v>61.5</v>
      </c>
      <c r="E10" t="s">
        <v>71</v>
      </c>
      <c r="G10">
        <v>3</v>
      </c>
      <c r="H10" t="str">
        <f>IFERROR(INDEX(コンディションランク!$B$1:$B$6,MATCH($G10,コンディションランク!$A$1:$A$6,0)),"")</f>
        <v>目立った傷や汚れなし</v>
      </c>
      <c r="J10" t="s">
        <v>2924</v>
      </c>
      <c r="K10" t="s">
        <v>3285</v>
      </c>
      <c r="L10" s="9" t="s">
        <v>3286</v>
      </c>
      <c r="M10">
        <v>47</v>
      </c>
      <c r="N10">
        <v>33</v>
      </c>
      <c r="O10">
        <v>39</v>
      </c>
      <c r="P10">
        <v>23</v>
      </c>
      <c r="Q10" t="s">
        <v>165</v>
      </c>
      <c r="R10" s="32" t="str">
        <f t="shared" si="2"/>
        <v>◇</v>
      </c>
      <c r="T10" t="s">
        <v>3287</v>
      </c>
      <c r="U10" t="s">
        <v>3288</v>
      </c>
      <c r="V10" t="s">
        <v>3079</v>
      </c>
      <c r="W10" t="s">
        <v>3100</v>
      </c>
      <c r="X10" t="s">
        <v>3019</v>
      </c>
      <c r="Y10" t="str">
        <f t="shared" si="3"/>
        <v>着丈：約47cm　肩幅：約33cm　身幅：約39cm　袖丈：約23cm</v>
      </c>
      <c r="Z10" t="str">
        <f t="shared" si="4"/>
        <v>着丈：約47cm　肩幅：約33cm　身幅：約39cm　袖丈：約23cm</v>
      </c>
      <c r="AA10" s="77" t="s">
        <v>3263</v>
      </c>
      <c r="AC10" s="9"/>
      <c r="AE10">
        <v>1000</v>
      </c>
    </row>
    <row r="11" spans="1:31" ht="14.25">
      <c r="A11" s="9" t="s">
        <v>3292</v>
      </c>
      <c r="B11" s="14">
        <v>1212260021780</v>
      </c>
      <c r="C11" s="7" t="str">
        <f t="shared" si="0"/>
        <v>◇ TOMMY JEANS トミージーンズ 胸元刺繍、クルーネック 半袖 Tシャツ サイズXS ネイビー レディース E 1212260021780</v>
      </c>
      <c r="D11" s="7">
        <f t="shared" si="1"/>
        <v>55</v>
      </c>
      <c r="E11" t="s">
        <v>71</v>
      </c>
      <c r="G11">
        <v>3</v>
      </c>
      <c r="H11" t="str">
        <f>IFERROR(INDEX(コンディションランク!$B$1:$B$6,MATCH($G11,コンディションランク!$A$1:$A$6,0)),"")</f>
        <v>目立った傷や汚れなし</v>
      </c>
      <c r="J11" t="s">
        <v>2924</v>
      </c>
      <c r="K11" t="s">
        <v>3182</v>
      </c>
      <c r="L11" s="9" t="s">
        <v>3090</v>
      </c>
      <c r="M11">
        <v>54</v>
      </c>
      <c r="N11">
        <v>33</v>
      </c>
      <c r="O11">
        <v>39</v>
      </c>
      <c r="P11">
        <v>14</v>
      </c>
      <c r="Q11" t="s">
        <v>165</v>
      </c>
      <c r="R11" s="32" t="str">
        <f t="shared" si="2"/>
        <v>◇</v>
      </c>
      <c r="T11" t="s">
        <v>3290</v>
      </c>
      <c r="U11" t="s">
        <v>3291</v>
      </c>
      <c r="V11" t="s">
        <v>3079</v>
      </c>
      <c r="W11" t="s">
        <v>3135</v>
      </c>
      <c r="X11" t="s">
        <v>3019</v>
      </c>
      <c r="Y11" t="str">
        <f t="shared" si="3"/>
        <v>着丈：約54cm　肩幅：約33cm　身幅：約39cm　袖丈：約14cm</v>
      </c>
      <c r="Z11" t="str">
        <f t="shared" si="4"/>
        <v>着丈：約54cm　肩幅：約33cm　身幅：約39cm　袖丈：約14cm</v>
      </c>
      <c r="AA11" s="77" t="s">
        <v>3263</v>
      </c>
      <c r="AC11" s="9"/>
      <c r="AE11">
        <v>1000</v>
      </c>
    </row>
    <row r="12" spans="1:31" ht="14.25">
      <c r="A12" s="9" t="s">
        <v>3294</v>
      </c>
      <c r="B12" s="14">
        <v>1212260021797</v>
      </c>
      <c r="C12" s="7" t="str">
        <f t="shared" si="0"/>
        <v>◇ NATURAL BEAUTY BASIC 袖プリーツ、クルーネック 長袖 ブラウス サイズM イエロー レディース E 1212260021797</v>
      </c>
      <c r="D12" s="7">
        <f t="shared" si="1"/>
        <v>53</v>
      </c>
      <c r="E12" t="s">
        <v>71</v>
      </c>
      <c r="G12">
        <v>3</v>
      </c>
      <c r="H12" t="str">
        <f>IFERROR(INDEX(コンディションランク!$B$1:$B$6,MATCH($G12,コンディションランク!$A$1:$A$6,0)),"")</f>
        <v>目立った傷や汚れなし</v>
      </c>
      <c r="J12" t="s">
        <v>2924</v>
      </c>
      <c r="K12" t="s">
        <v>3073</v>
      </c>
      <c r="L12" s="9" t="s">
        <v>3057</v>
      </c>
      <c r="M12">
        <v>57</v>
      </c>
      <c r="N12">
        <v>36</v>
      </c>
      <c r="O12">
        <v>54</v>
      </c>
      <c r="P12">
        <v>36</v>
      </c>
      <c r="Q12" t="s">
        <v>165</v>
      </c>
      <c r="R12" s="32" t="str">
        <f t="shared" si="2"/>
        <v>◇</v>
      </c>
      <c r="T12" t="s">
        <v>3295</v>
      </c>
      <c r="U12" t="s">
        <v>3293</v>
      </c>
      <c r="V12" t="s">
        <v>3058</v>
      </c>
      <c r="W12" t="s">
        <v>3085</v>
      </c>
      <c r="X12" t="s">
        <v>3019</v>
      </c>
      <c r="Y12" t="str">
        <f t="shared" si="3"/>
        <v>着丈：約57cm　肩幅：約36cm　身幅：約54cm　袖丈：約36cm</v>
      </c>
      <c r="Z12" t="str">
        <f t="shared" si="4"/>
        <v>着丈：約57cm　肩幅：約36cm　身幅：約54cm　袖丈：約36cm</v>
      </c>
      <c r="AA12" s="77" t="s">
        <v>3263</v>
      </c>
      <c r="AC12" s="9"/>
      <c r="AE12">
        <v>1000</v>
      </c>
    </row>
    <row r="13" spans="1:31" ht="14.25">
      <c r="C13" s="7" t="str">
        <f t="shared" si="0"/>
        <v>◇ サイズ E</v>
      </c>
      <c r="D13" s="7">
        <f t="shared" si="1"/>
        <v>5.5</v>
      </c>
      <c r="E13" t="s">
        <v>71</v>
      </c>
      <c r="H13" t="str">
        <f>IFERROR(INDEX(コンディションランク!$B$1:$B$6,MATCH($G13,コンディションランク!$A$1:$A$6,0)),"")</f>
        <v/>
      </c>
      <c r="J13" t="s">
        <v>2924</v>
      </c>
      <c r="L13" s="9" t="s">
        <v>3031</v>
      </c>
      <c r="Q13" t="s">
        <v>165</v>
      </c>
      <c r="R13" s="32" t="str">
        <f t="shared" si="2"/>
        <v>◇</v>
      </c>
      <c r="Y13" t="str">
        <f t="shared" si="3"/>
        <v>着丈：約cm　肩幅：約cm　身幅：約cm　袖丈：約cm</v>
      </c>
      <c r="Z13" t="str">
        <f t="shared" si="4"/>
        <v>着丈：約cm　肩幅：約cm　身幅：約cm　袖丈：約cm</v>
      </c>
      <c r="AA13" s="77" t="s">
        <v>158</v>
      </c>
      <c r="AC13" s="9"/>
    </row>
    <row r="14" spans="1:31" ht="14.25">
      <c r="C14" s="7" t="str">
        <f t="shared" si="0"/>
        <v>◇ サイズ E</v>
      </c>
      <c r="D14" s="7">
        <f t="shared" si="1"/>
        <v>5.5</v>
      </c>
      <c r="E14" t="s">
        <v>3241</v>
      </c>
      <c r="H14" t="str">
        <f>IFERROR(INDEX(コンディションランク!$B$1:$B$6,MATCH($G14,コンディションランク!$A$1:$A$6,0)),"")</f>
        <v/>
      </c>
      <c r="J14" t="s">
        <v>2924</v>
      </c>
      <c r="L14" s="9" t="s">
        <v>3031</v>
      </c>
      <c r="Q14" t="s">
        <v>165</v>
      </c>
      <c r="R14" s="32" t="str">
        <f t="shared" si="2"/>
        <v>◇</v>
      </c>
      <c r="Y14" t="str">
        <f t="shared" si="3"/>
        <v>着丈：約cm　肩幅：約cm　身幅：約cm　袖丈：約cm</v>
      </c>
      <c r="Z14" t="str">
        <f t="shared" si="4"/>
        <v>着丈：約cm　肩幅：約cm　身幅：約cm　袖丈：約cm</v>
      </c>
      <c r="AA14" s="77" t="s">
        <v>158</v>
      </c>
      <c r="AC14" s="9"/>
    </row>
    <row r="15" spans="1:31" ht="14.25">
      <c r="C15" s="7" t="str">
        <f t="shared" si="0"/>
        <v>◇ サイズ E</v>
      </c>
      <c r="D15" s="7">
        <f t="shared" si="1"/>
        <v>5.5</v>
      </c>
      <c r="E15" t="s">
        <v>71</v>
      </c>
      <c r="H15" t="str">
        <f>IFERROR(INDEX(コンディションランク!$B$1:$B$6,MATCH($G15,コンディションランク!$A$1:$A$6,0)),"")</f>
        <v/>
      </c>
      <c r="J15" t="s">
        <v>2924</v>
      </c>
      <c r="L15" s="9" t="s">
        <v>3031</v>
      </c>
      <c r="Q15" t="s">
        <v>165</v>
      </c>
      <c r="R15" s="32" t="str">
        <f t="shared" si="2"/>
        <v>◇</v>
      </c>
      <c r="Y15" t="str">
        <f t="shared" si="3"/>
        <v>着丈：約cm　肩幅：約cm　身幅：約cm　袖丈：約cm</v>
      </c>
      <c r="Z15" t="str">
        <f t="shared" si="4"/>
        <v>着丈：約cm　肩幅：約cm　身幅：約cm　袖丈：約cm</v>
      </c>
      <c r="AA15" s="77" t="s">
        <v>158</v>
      </c>
      <c r="AC15" s="9"/>
    </row>
    <row r="16" spans="1:31" ht="14.25">
      <c r="C16" s="7" t="str">
        <f t="shared" si="0"/>
        <v>◇ サイズ E</v>
      </c>
      <c r="D16" s="7">
        <f t="shared" si="1"/>
        <v>5.5</v>
      </c>
      <c r="E16" t="s">
        <v>3242</v>
      </c>
      <c r="H16" t="str">
        <f>IFERROR(INDEX(コンディションランク!$B$1:$B$6,MATCH($G16,コンディションランク!$A$1:$A$6,0)),"")</f>
        <v/>
      </c>
      <c r="J16" t="s">
        <v>2924</v>
      </c>
      <c r="L16" s="9" t="s">
        <v>3031</v>
      </c>
      <c r="Q16" t="s">
        <v>165</v>
      </c>
      <c r="R16" s="32" t="str">
        <f t="shared" si="2"/>
        <v>◇</v>
      </c>
      <c r="Y16" t="str">
        <f t="shared" si="3"/>
        <v>着丈：約cm　肩幅：約cm　身幅：約cm　袖丈：約cm</v>
      </c>
      <c r="Z16" t="str">
        <f t="shared" si="4"/>
        <v>着丈：約cm　肩幅：約cm　身幅：約cm　袖丈：約cm</v>
      </c>
      <c r="AA16" s="77" t="s">
        <v>158</v>
      </c>
      <c r="AC16" s="9"/>
    </row>
    <row r="17" spans="3:29" ht="14.25">
      <c r="C17" s="7" t="str">
        <f t="shared" si="0"/>
        <v>◇ サイズ E</v>
      </c>
      <c r="D17" s="7">
        <f t="shared" si="1"/>
        <v>5.5</v>
      </c>
      <c r="E17" t="s">
        <v>71</v>
      </c>
      <c r="H17" t="str">
        <f>IFERROR(INDEX(コンディションランク!$B$1:$B$6,MATCH($G17,コンディションランク!$A$1:$A$6,0)),"")</f>
        <v/>
      </c>
      <c r="J17" t="s">
        <v>2924</v>
      </c>
      <c r="L17" s="9" t="s">
        <v>3031</v>
      </c>
      <c r="Q17" t="s">
        <v>165</v>
      </c>
      <c r="R17" s="32" t="str">
        <f t="shared" si="2"/>
        <v>◇</v>
      </c>
      <c r="Y17" t="str">
        <f t="shared" si="3"/>
        <v>着丈：約cm　肩幅：約cm　身幅：約cm　袖丈：約cm</v>
      </c>
      <c r="Z17" t="str">
        <f t="shared" si="4"/>
        <v>着丈：約cm　肩幅：約cm　身幅：約cm　袖丈：約cm</v>
      </c>
      <c r="AA17" s="77" t="s">
        <v>158</v>
      </c>
      <c r="AC17" s="9"/>
    </row>
    <row r="18" spans="3:29" ht="14.25">
      <c r="C18" s="7" t="str">
        <f t="shared" si="0"/>
        <v>◇ サイズ E</v>
      </c>
      <c r="D18" s="7">
        <f t="shared" si="1"/>
        <v>5.5</v>
      </c>
      <c r="E18" t="s">
        <v>71</v>
      </c>
      <c r="H18" t="str">
        <f>IFERROR(INDEX(コンディションランク!$B$1:$B$6,MATCH($G18,コンディションランク!$A$1:$A$6,0)),"")</f>
        <v/>
      </c>
      <c r="J18" t="s">
        <v>2924</v>
      </c>
      <c r="L18" s="9" t="s">
        <v>3031</v>
      </c>
      <c r="Q18" t="s">
        <v>165</v>
      </c>
      <c r="R18" s="32" t="str">
        <f t="shared" si="2"/>
        <v>◇</v>
      </c>
      <c r="Y18" t="str">
        <f t="shared" si="3"/>
        <v>着丈：約cm　肩幅：約cm　身幅：約cm　袖丈：約cm</v>
      </c>
      <c r="Z18" t="str">
        <f t="shared" si="4"/>
        <v>着丈：約cm　肩幅：約cm　身幅：約cm　袖丈：約cm</v>
      </c>
      <c r="AA18" s="77" t="s">
        <v>158</v>
      </c>
      <c r="AC18" s="9"/>
    </row>
    <row r="19" spans="3:29" ht="14.25">
      <c r="C19" s="7" t="str">
        <f t="shared" si="0"/>
        <v>◇ サイズ E</v>
      </c>
      <c r="D19" s="7">
        <f t="shared" si="1"/>
        <v>5.5</v>
      </c>
      <c r="E19" t="s">
        <v>71</v>
      </c>
      <c r="H19" t="str">
        <f>IFERROR(INDEX(コンディションランク!$B$1:$B$6,MATCH($G19,コンディションランク!$A$1:$A$6,0)),"")</f>
        <v/>
      </c>
      <c r="J19" t="s">
        <v>2924</v>
      </c>
      <c r="L19" s="9" t="s">
        <v>3031</v>
      </c>
      <c r="Q19" t="s">
        <v>165</v>
      </c>
      <c r="R19" s="32" t="str">
        <f t="shared" si="2"/>
        <v>◇</v>
      </c>
      <c r="Y19" t="str">
        <f t="shared" si="3"/>
        <v>着丈：約cm　肩幅：約cm　身幅：約cm　袖丈：約cm</v>
      </c>
      <c r="Z19" t="str">
        <f t="shared" si="4"/>
        <v>着丈：約cm　肩幅：約cm　身幅：約cm　袖丈：約cm</v>
      </c>
      <c r="AA19" s="77" t="s">
        <v>158</v>
      </c>
      <c r="AC19" s="9"/>
    </row>
    <row r="20" spans="3:29" ht="14.25">
      <c r="C20" s="7" t="str">
        <f t="shared" si="0"/>
        <v>◇ サイズ E</v>
      </c>
      <c r="D20" s="7">
        <f t="shared" si="1"/>
        <v>5.5</v>
      </c>
      <c r="E20" t="s">
        <v>71</v>
      </c>
      <c r="H20" t="str">
        <f>IFERROR(INDEX(コンディションランク!$B$1:$B$6,MATCH($G20,コンディションランク!$A$1:$A$6,0)),"")</f>
        <v/>
      </c>
      <c r="J20" t="s">
        <v>2924</v>
      </c>
      <c r="L20" s="9" t="s">
        <v>3031</v>
      </c>
      <c r="Q20" t="s">
        <v>165</v>
      </c>
      <c r="R20" s="32" t="str">
        <f t="shared" si="2"/>
        <v>◇</v>
      </c>
      <c r="Y20" t="str">
        <f t="shared" si="3"/>
        <v>着丈：約cm　肩幅：約cm　身幅：約cm　袖丈：約cm</v>
      </c>
      <c r="Z20" t="str">
        <f t="shared" si="4"/>
        <v>着丈：約cm　肩幅：約cm　身幅：約cm　袖丈：約cm</v>
      </c>
      <c r="AA20" s="77" t="s">
        <v>158</v>
      </c>
      <c r="AC20" s="9"/>
    </row>
    <row r="21" spans="3:29" ht="14.25">
      <c r="C21" s="7" t="str">
        <f t="shared" si="0"/>
        <v>◇ サイズ E</v>
      </c>
      <c r="D21" s="7">
        <f t="shared" si="1"/>
        <v>5.5</v>
      </c>
      <c r="E21" t="s">
        <v>71</v>
      </c>
      <c r="H21" t="str">
        <f>IFERROR(INDEX(コンディションランク!$B$1:$B$6,MATCH($G21,コンディションランク!$A$1:$A$6,0)),"")</f>
        <v/>
      </c>
      <c r="J21" t="s">
        <v>2924</v>
      </c>
      <c r="L21" s="9" t="s">
        <v>3031</v>
      </c>
      <c r="Q21" t="s">
        <v>165</v>
      </c>
      <c r="R21" s="32" t="str">
        <f t="shared" si="2"/>
        <v>◇</v>
      </c>
      <c r="Y21" t="str">
        <f t="shared" si="3"/>
        <v>着丈：約cm　肩幅：約cm　身幅：約cm　袖丈：約cm</v>
      </c>
      <c r="Z21" t="str">
        <f t="shared" si="4"/>
        <v>着丈：約cm　肩幅：約cm　身幅：約cm　袖丈：約cm</v>
      </c>
      <c r="AA21" s="77" t="s">
        <v>158</v>
      </c>
      <c r="AC21" s="9"/>
    </row>
    <row r="22" spans="3:29" ht="14.25">
      <c r="C22" s="7" t="str">
        <f t="shared" si="0"/>
        <v>◇ サイズ E</v>
      </c>
      <c r="D22" s="7">
        <f t="shared" si="1"/>
        <v>5.5</v>
      </c>
      <c r="E22" t="s">
        <v>71</v>
      </c>
      <c r="H22" t="str">
        <f>IFERROR(INDEX(コンディションランク!$B$1:$B$6,MATCH($G22,コンディションランク!$A$1:$A$6,0)),"")</f>
        <v/>
      </c>
      <c r="J22" t="s">
        <v>2924</v>
      </c>
      <c r="L22" s="9" t="s">
        <v>3031</v>
      </c>
      <c r="Q22" t="s">
        <v>165</v>
      </c>
      <c r="R22" s="32" t="str">
        <f t="shared" si="2"/>
        <v>◇</v>
      </c>
      <c r="Y22" t="str">
        <f t="shared" si="3"/>
        <v>着丈：約cm　肩幅：約cm　身幅：約cm　袖丈：約cm</v>
      </c>
      <c r="Z22" t="str">
        <f t="shared" si="4"/>
        <v>着丈：約cm　肩幅：約cm　身幅：約cm　袖丈：約cm</v>
      </c>
      <c r="AA22" s="77" t="s">
        <v>158</v>
      </c>
      <c r="AC22" s="9"/>
    </row>
    <row r="23" spans="3:29" ht="14.25">
      <c r="C23" s="7" t="str">
        <f t="shared" si="0"/>
        <v>◇ サイズ E</v>
      </c>
      <c r="D23" s="7">
        <f t="shared" si="1"/>
        <v>5.5</v>
      </c>
      <c r="E23" t="s">
        <v>71</v>
      </c>
      <c r="H23" t="str">
        <f>IFERROR(INDEX(コンディションランク!$B$1:$B$6,MATCH($G23,コンディションランク!$A$1:$A$6,0)),"")</f>
        <v/>
      </c>
      <c r="J23" t="s">
        <v>2924</v>
      </c>
      <c r="L23" s="9" t="s">
        <v>3031</v>
      </c>
      <c r="Q23" t="s">
        <v>165</v>
      </c>
      <c r="R23" s="32" t="str">
        <f t="shared" si="2"/>
        <v>◇</v>
      </c>
      <c r="Y23" t="str">
        <f t="shared" si="3"/>
        <v>着丈：約cm　肩幅：約cm　身幅：約cm　袖丈：約cm</v>
      </c>
      <c r="Z23" t="str">
        <f t="shared" si="4"/>
        <v>着丈：約cm　肩幅：約cm　身幅：約cm　袖丈：約cm</v>
      </c>
      <c r="AA23" s="77" t="s">
        <v>158</v>
      </c>
      <c r="AC23" s="9"/>
    </row>
    <row r="24" spans="3:29" ht="14.25">
      <c r="C24" s="7" t="str">
        <f t="shared" si="0"/>
        <v>◇ サイズ E</v>
      </c>
      <c r="D24" s="7">
        <f t="shared" si="1"/>
        <v>5.5</v>
      </c>
      <c r="E24" t="s">
        <v>71</v>
      </c>
      <c r="H24" t="str">
        <f>IFERROR(INDEX(コンディションランク!$B$1:$B$6,MATCH($G24,コンディションランク!$A$1:$A$6,0)),"")</f>
        <v/>
      </c>
      <c r="J24" t="s">
        <v>2924</v>
      </c>
      <c r="L24" s="9" t="s">
        <v>3031</v>
      </c>
      <c r="Q24" t="s">
        <v>165</v>
      </c>
      <c r="R24" s="32" t="str">
        <f t="shared" si="2"/>
        <v>◇</v>
      </c>
      <c r="Y24" t="str">
        <f t="shared" si="3"/>
        <v>着丈：約cm　肩幅：約cm　身幅：約cm　袖丈：約cm</v>
      </c>
      <c r="Z24" t="str">
        <f t="shared" si="4"/>
        <v>着丈：約cm　肩幅：約cm　身幅：約cm　袖丈：約cm</v>
      </c>
      <c r="AA24" s="77" t="s">
        <v>158</v>
      </c>
      <c r="AC24" s="9"/>
    </row>
    <row r="25" spans="3:29" ht="14.25">
      <c r="C25" s="7" t="str">
        <f t="shared" si="0"/>
        <v>◇ サイズ E</v>
      </c>
      <c r="D25" s="7">
        <f t="shared" si="1"/>
        <v>5.5</v>
      </c>
      <c r="E25" t="s">
        <v>71</v>
      </c>
      <c r="H25" t="str">
        <f>IFERROR(INDEX(コンディションランク!$B$1:$B$6,MATCH($G25,コンディションランク!$A$1:$A$6,0)),"")</f>
        <v/>
      </c>
      <c r="J25" t="s">
        <v>2924</v>
      </c>
      <c r="L25" s="9" t="s">
        <v>3031</v>
      </c>
      <c r="Q25" t="s">
        <v>165</v>
      </c>
      <c r="R25" s="32" t="str">
        <f t="shared" si="2"/>
        <v>◇</v>
      </c>
      <c r="Y25" t="str">
        <f t="shared" si="3"/>
        <v>着丈：約cm　肩幅：約cm　身幅：約cm　袖丈：約cm</v>
      </c>
      <c r="Z25" t="str">
        <f t="shared" si="4"/>
        <v>着丈：約cm　肩幅：約cm　身幅：約cm　袖丈：約cm</v>
      </c>
      <c r="AA25" s="77" t="s">
        <v>158</v>
      </c>
      <c r="AC25" s="9"/>
    </row>
    <row r="26" spans="3:29" ht="14.25">
      <c r="C26" s="7" t="str">
        <f t="shared" si="0"/>
        <v>◇ サイズ E</v>
      </c>
      <c r="D26" s="7">
        <f t="shared" si="1"/>
        <v>5.5</v>
      </c>
      <c r="E26" t="s">
        <v>71</v>
      </c>
      <c r="H26" t="str">
        <f>IFERROR(INDEX(コンディションランク!$B$1:$B$6,MATCH($G26,コンディションランク!$A$1:$A$6,0)),"")</f>
        <v/>
      </c>
      <c r="J26" t="s">
        <v>2924</v>
      </c>
      <c r="L26" s="9" t="s">
        <v>3031</v>
      </c>
      <c r="Q26" t="s">
        <v>165</v>
      </c>
      <c r="R26" s="32" t="str">
        <f t="shared" si="2"/>
        <v>◇</v>
      </c>
      <c r="Y26" t="str">
        <f t="shared" si="3"/>
        <v>着丈：約cm　肩幅：約cm　身幅：約cm　袖丈：約cm</v>
      </c>
      <c r="Z26" t="str">
        <f t="shared" si="4"/>
        <v>着丈：約cm　肩幅：約cm　身幅：約cm　袖丈：約cm</v>
      </c>
      <c r="AA26" s="77" t="s">
        <v>158</v>
      </c>
      <c r="AC26" s="9"/>
    </row>
    <row r="27" spans="3:29" ht="14.25">
      <c r="C27" s="7" t="str">
        <f t="shared" si="0"/>
        <v>◇ サイズ E</v>
      </c>
      <c r="D27" s="7">
        <f t="shared" si="1"/>
        <v>5.5</v>
      </c>
      <c r="E27" t="s">
        <v>71</v>
      </c>
      <c r="H27" t="str">
        <f>IFERROR(INDEX(コンディションランク!$B$1:$B$6,MATCH($G27,コンディションランク!$A$1:$A$6,0)),"")</f>
        <v/>
      </c>
      <c r="J27" t="s">
        <v>2924</v>
      </c>
      <c r="L27" s="9" t="s">
        <v>3031</v>
      </c>
      <c r="Q27" t="s">
        <v>165</v>
      </c>
      <c r="R27" s="32" t="str">
        <f t="shared" si="2"/>
        <v>◇</v>
      </c>
      <c r="Y27" t="str">
        <f t="shared" si="3"/>
        <v>着丈：約cm　肩幅：約cm　身幅：約cm　袖丈：約cm</v>
      </c>
      <c r="Z27" t="str">
        <f t="shared" si="4"/>
        <v>着丈：約cm　肩幅：約cm　身幅：約cm　袖丈：約cm</v>
      </c>
      <c r="AA27" s="77" t="s">
        <v>158</v>
      </c>
      <c r="AC27" s="9"/>
    </row>
    <row r="28" spans="3:29" ht="14.25">
      <c r="C28" s="7" t="str">
        <f t="shared" si="0"/>
        <v>◇ サイズ E</v>
      </c>
      <c r="D28" s="7">
        <f t="shared" si="1"/>
        <v>5.5</v>
      </c>
      <c r="E28" t="s">
        <v>71</v>
      </c>
      <c r="H28" t="str">
        <f>IFERROR(INDEX(コンディションランク!$B$1:$B$6,MATCH($G28,コンディションランク!$A$1:$A$6,0)),"")</f>
        <v/>
      </c>
      <c r="J28" t="s">
        <v>2924</v>
      </c>
      <c r="L28" s="9" t="s">
        <v>3031</v>
      </c>
      <c r="Q28" t="s">
        <v>165</v>
      </c>
      <c r="R28" s="32" t="str">
        <f t="shared" si="2"/>
        <v>◇</v>
      </c>
      <c r="Y28" t="str">
        <f t="shared" si="3"/>
        <v>着丈：約cm　肩幅：約cm　身幅：約cm　袖丈：約cm</v>
      </c>
      <c r="Z28" t="str">
        <f t="shared" si="4"/>
        <v>着丈：約cm　肩幅：約cm　身幅：約cm　袖丈：約cm</v>
      </c>
      <c r="AA28" s="77" t="s">
        <v>158</v>
      </c>
      <c r="AC28" s="9"/>
    </row>
    <row r="29" spans="3:29" ht="14.25">
      <c r="C29" s="7" t="str">
        <f t="shared" si="0"/>
        <v>◇ サイズ E</v>
      </c>
      <c r="D29" s="7">
        <f t="shared" si="1"/>
        <v>5.5</v>
      </c>
      <c r="E29" t="s">
        <v>71</v>
      </c>
      <c r="H29" t="str">
        <f>IFERROR(INDEX(コンディションランク!$B$1:$B$6,MATCH($G29,コンディションランク!$A$1:$A$6,0)),"")</f>
        <v/>
      </c>
      <c r="J29" t="s">
        <v>2924</v>
      </c>
      <c r="L29" s="9" t="s">
        <v>3031</v>
      </c>
      <c r="Q29" t="s">
        <v>165</v>
      </c>
      <c r="R29" s="32" t="str">
        <f t="shared" si="2"/>
        <v>◇</v>
      </c>
      <c r="Y29" t="str">
        <f t="shared" si="3"/>
        <v>着丈：約cm　肩幅：約cm　身幅：約cm　袖丈：約cm</v>
      </c>
      <c r="Z29" t="str">
        <f t="shared" si="4"/>
        <v>着丈：約cm　肩幅：約cm　身幅：約cm　袖丈：約cm</v>
      </c>
      <c r="AA29" s="77" t="s">
        <v>158</v>
      </c>
      <c r="AC29" s="9"/>
    </row>
    <row r="30" spans="3:29" ht="14.25">
      <c r="C30" s="7" t="str">
        <f t="shared" si="0"/>
        <v>◇ サイズ E</v>
      </c>
      <c r="D30" s="7">
        <f t="shared" si="1"/>
        <v>5.5</v>
      </c>
      <c r="E30" t="s">
        <v>71</v>
      </c>
      <c r="H30" t="str">
        <f>IFERROR(INDEX(コンディションランク!$B$1:$B$6,MATCH($G30,コンディションランク!$A$1:$A$6,0)),"")</f>
        <v/>
      </c>
      <c r="J30" t="s">
        <v>2924</v>
      </c>
      <c r="L30" s="9" t="s">
        <v>3031</v>
      </c>
      <c r="Q30" t="s">
        <v>165</v>
      </c>
      <c r="R30" s="32" t="str">
        <f t="shared" si="2"/>
        <v>◇</v>
      </c>
      <c r="Y30" t="str">
        <f t="shared" si="3"/>
        <v>着丈：約cm　肩幅：約cm　身幅：約cm　袖丈：約cm</v>
      </c>
      <c r="Z30" t="str">
        <f t="shared" si="4"/>
        <v>着丈：約cm　肩幅：約cm　身幅：約cm　袖丈：約cm</v>
      </c>
      <c r="AA30" s="77" t="s">
        <v>158</v>
      </c>
      <c r="AC30" s="9"/>
    </row>
    <row r="31" spans="3:29" ht="14.25">
      <c r="C31" s="7" t="str">
        <f t="shared" si="0"/>
        <v>◇ サイズ E</v>
      </c>
      <c r="D31" s="7">
        <f t="shared" si="1"/>
        <v>5.5</v>
      </c>
      <c r="E31" t="s">
        <v>71</v>
      </c>
      <c r="H31" t="str">
        <f>IFERROR(INDEX(コンディションランク!$B$1:$B$6,MATCH($G31,コンディションランク!$A$1:$A$6,0)),"")</f>
        <v/>
      </c>
      <c r="J31" t="s">
        <v>2924</v>
      </c>
      <c r="L31" s="9" t="s">
        <v>3031</v>
      </c>
      <c r="Q31" t="s">
        <v>165</v>
      </c>
      <c r="R31" s="32" t="str">
        <f t="shared" si="2"/>
        <v>◇</v>
      </c>
      <c r="Y31" t="str">
        <f t="shared" si="3"/>
        <v>着丈：約cm　肩幅：約cm　身幅：約cm　袖丈：約cm</v>
      </c>
      <c r="Z31" t="str">
        <f t="shared" si="4"/>
        <v>着丈：約cm　肩幅：約cm　身幅：約cm　袖丈：約cm</v>
      </c>
      <c r="AA31" s="77" t="s">
        <v>158</v>
      </c>
      <c r="AC31" s="9"/>
    </row>
    <row r="32" spans="3:29" ht="14.25">
      <c r="C32" s="7" t="str">
        <f t="shared" si="0"/>
        <v>◇ サイズ E</v>
      </c>
      <c r="D32" s="7">
        <f t="shared" si="1"/>
        <v>5.5</v>
      </c>
      <c r="E32" t="s">
        <v>71</v>
      </c>
      <c r="H32" t="str">
        <f>IFERROR(INDEX(コンディションランク!$B$1:$B$6,MATCH($G32,コンディションランク!$A$1:$A$6,0)),"")</f>
        <v/>
      </c>
      <c r="J32" t="s">
        <v>2924</v>
      </c>
      <c r="L32" s="9" t="s">
        <v>3031</v>
      </c>
      <c r="Q32" t="s">
        <v>165</v>
      </c>
      <c r="R32" s="32" t="str">
        <f t="shared" si="2"/>
        <v>◇</v>
      </c>
      <c r="Y32" t="str">
        <f t="shared" si="3"/>
        <v>着丈：約cm　肩幅：約cm　身幅：約cm　袖丈：約cm</v>
      </c>
      <c r="Z32" t="str">
        <f t="shared" si="4"/>
        <v>着丈：約cm　肩幅：約cm　身幅：約cm　袖丈：約cm</v>
      </c>
      <c r="AA32" s="77" t="s">
        <v>158</v>
      </c>
      <c r="AC32" s="9"/>
    </row>
    <row r="33" spans="3:29" ht="14.25">
      <c r="C33" s="7" t="str">
        <f t="shared" si="0"/>
        <v>◇ サイズ E</v>
      </c>
      <c r="D33" s="7">
        <f t="shared" si="1"/>
        <v>5.5</v>
      </c>
      <c r="E33" t="s">
        <v>71</v>
      </c>
      <c r="H33" t="str">
        <f>IFERROR(INDEX(コンディションランク!$B$1:$B$6,MATCH($G33,コンディションランク!$A$1:$A$6,0)),"")</f>
        <v/>
      </c>
      <c r="J33" t="s">
        <v>2924</v>
      </c>
      <c r="L33" s="9" t="s">
        <v>3031</v>
      </c>
      <c r="Q33" t="s">
        <v>165</v>
      </c>
      <c r="R33" s="32" t="str">
        <f t="shared" si="2"/>
        <v>◇</v>
      </c>
      <c r="Y33" t="str">
        <f t="shared" si="3"/>
        <v>着丈：約cm　肩幅：約cm　身幅：約cm　袖丈：約cm</v>
      </c>
      <c r="Z33" t="str">
        <f t="shared" si="4"/>
        <v>着丈：約cm　肩幅：約cm　身幅：約cm　袖丈：約cm</v>
      </c>
      <c r="AA33" s="77" t="s">
        <v>158</v>
      </c>
      <c r="AC33" s="9"/>
    </row>
    <row r="34" spans="3:29" ht="14.25">
      <c r="C34" s="7" t="str">
        <f t="shared" ref="C34:C65" si="5">TRIM(R34&amp;" "&amp;S34&amp;" "&amp;T34&amp;" "&amp;U34&amp;" "&amp;V34&amp;" "&amp;W34&amp;" "&amp;L34&amp;" "&amp;K34&amp;" "&amp;X34&amp;EX&amp;" "&amp;B34)</f>
        <v>◇ サイズ E</v>
      </c>
      <c r="D34" s="7">
        <f t="shared" si="1"/>
        <v>5.5</v>
      </c>
      <c r="E34" t="s">
        <v>71</v>
      </c>
      <c r="H34" t="str">
        <f>IFERROR(INDEX(コンディションランク!$B$1:$B$6,MATCH($G34,コンディションランク!$A$1:$A$6,0)),"")</f>
        <v/>
      </c>
      <c r="J34" t="s">
        <v>2924</v>
      </c>
      <c r="L34" s="9" t="s">
        <v>3031</v>
      </c>
      <c r="Q34" t="s">
        <v>165</v>
      </c>
      <c r="R34" s="32" t="str">
        <f t="shared" ref="R34:R65" si="6">IFERROR(VLOOKUP(Q34,梱包サイズ表,2,0),"")</f>
        <v>◇</v>
      </c>
      <c r="Y34" t="str">
        <f t="shared" ref="Y34:Y65" si="7">"着丈：約" &amp;M34&amp; "cm　肩幅：約" &amp;N34&amp; "cm　身幅：約" &amp;O34&amp; "cm　袖丈：約" &amp;P34&amp; "cm"</f>
        <v>着丈：約cm　肩幅：約cm　身幅：約cm　袖丈：約cm</v>
      </c>
      <c r="Z34" t="str">
        <f t="shared" si="4"/>
        <v>着丈：約cm　肩幅：約cm　身幅：約cm　袖丈：約cm</v>
      </c>
      <c r="AA34" s="77" t="s">
        <v>158</v>
      </c>
      <c r="AC34" s="9"/>
    </row>
    <row r="35" spans="3:29" ht="14.25">
      <c r="C35" s="7" t="str">
        <f t="shared" si="5"/>
        <v>◇ サイズ E</v>
      </c>
      <c r="D35" s="7">
        <f t="shared" si="1"/>
        <v>5.5</v>
      </c>
      <c r="E35" t="s">
        <v>71</v>
      </c>
      <c r="H35" t="str">
        <f>IFERROR(INDEX(コンディションランク!$B$1:$B$6,MATCH($G35,コンディションランク!$A$1:$A$6,0)),"")</f>
        <v/>
      </c>
      <c r="J35" t="s">
        <v>2924</v>
      </c>
      <c r="L35" s="9" t="s">
        <v>3031</v>
      </c>
      <c r="Q35" t="s">
        <v>165</v>
      </c>
      <c r="R35" s="32" t="str">
        <f t="shared" si="6"/>
        <v>◇</v>
      </c>
      <c r="Y35" t="str">
        <f t="shared" si="7"/>
        <v>着丈：約cm　肩幅：約cm　身幅：約cm　袖丈：約cm</v>
      </c>
      <c r="Z35" t="str">
        <f t="shared" si="4"/>
        <v>着丈：約cm　肩幅：約cm　身幅：約cm　袖丈：約cm</v>
      </c>
      <c r="AA35" s="77" t="s">
        <v>158</v>
      </c>
      <c r="AC35" s="9"/>
    </row>
    <row r="36" spans="3:29" ht="14.25">
      <c r="C36" s="7" t="str">
        <f t="shared" si="5"/>
        <v>◇ サイズ E</v>
      </c>
      <c r="D36" s="7">
        <f t="shared" si="1"/>
        <v>5.5</v>
      </c>
      <c r="E36" t="s">
        <v>71</v>
      </c>
      <c r="H36" t="str">
        <f>IFERROR(INDEX(コンディションランク!$B$1:$B$6,MATCH($G36,コンディションランク!$A$1:$A$6,0)),"")</f>
        <v/>
      </c>
      <c r="J36" t="s">
        <v>2924</v>
      </c>
      <c r="L36" s="9" t="s">
        <v>3031</v>
      </c>
      <c r="Q36" t="s">
        <v>165</v>
      </c>
      <c r="R36" s="32" t="str">
        <f t="shared" si="6"/>
        <v>◇</v>
      </c>
      <c r="Y36" t="str">
        <f t="shared" si="7"/>
        <v>着丈：約cm　肩幅：約cm　身幅：約cm　袖丈：約cm</v>
      </c>
      <c r="Z36" t="str">
        <f t="shared" si="4"/>
        <v>着丈：約cm　肩幅：約cm　身幅：約cm　袖丈：約cm</v>
      </c>
      <c r="AA36" s="77" t="s">
        <v>158</v>
      </c>
      <c r="AC36" s="9"/>
    </row>
    <row r="37" spans="3:29" ht="14.25">
      <c r="C37" s="7" t="str">
        <f t="shared" si="5"/>
        <v>◇ サイズ E</v>
      </c>
      <c r="D37" s="7">
        <f t="shared" si="1"/>
        <v>5.5</v>
      </c>
      <c r="E37" t="s">
        <v>71</v>
      </c>
      <c r="H37" t="str">
        <f>IFERROR(INDEX(コンディションランク!$B$1:$B$6,MATCH($G37,コンディションランク!$A$1:$A$6,0)),"")</f>
        <v/>
      </c>
      <c r="J37" t="s">
        <v>2924</v>
      </c>
      <c r="L37" s="9" t="s">
        <v>3031</v>
      </c>
      <c r="Q37" t="s">
        <v>165</v>
      </c>
      <c r="R37" s="32" t="str">
        <f t="shared" si="6"/>
        <v>◇</v>
      </c>
      <c r="Y37" t="str">
        <f t="shared" si="7"/>
        <v>着丈：約cm　肩幅：約cm　身幅：約cm　袖丈：約cm</v>
      </c>
      <c r="Z37" t="str">
        <f t="shared" si="4"/>
        <v>着丈：約cm　肩幅：約cm　身幅：約cm　袖丈：約cm</v>
      </c>
      <c r="AA37" s="77" t="s">
        <v>158</v>
      </c>
      <c r="AC37" s="9"/>
    </row>
    <row r="38" spans="3:29" ht="14.25">
      <c r="C38" s="7" t="str">
        <f t="shared" si="5"/>
        <v>◇ サイズ E</v>
      </c>
      <c r="D38" s="7">
        <f t="shared" si="1"/>
        <v>5.5</v>
      </c>
      <c r="E38" t="s">
        <v>71</v>
      </c>
      <c r="H38" t="str">
        <f>IFERROR(INDEX(コンディションランク!$B$1:$B$6,MATCH($G38,コンディションランク!$A$1:$A$6,0)),"")</f>
        <v/>
      </c>
      <c r="J38" t="s">
        <v>2924</v>
      </c>
      <c r="L38" s="9" t="s">
        <v>3031</v>
      </c>
      <c r="Q38" t="s">
        <v>165</v>
      </c>
      <c r="R38" s="32" t="str">
        <f t="shared" si="6"/>
        <v>◇</v>
      </c>
      <c r="Y38" t="str">
        <f t="shared" si="7"/>
        <v>着丈：約cm　肩幅：約cm　身幅：約cm　袖丈：約cm</v>
      </c>
      <c r="Z38" t="str">
        <f t="shared" si="4"/>
        <v>着丈：約cm　肩幅：約cm　身幅：約cm　袖丈：約cm</v>
      </c>
      <c r="AA38" s="77" t="s">
        <v>158</v>
      </c>
      <c r="AC38" s="9"/>
    </row>
    <row r="39" spans="3:29" ht="14.25">
      <c r="C39" s="7" t="str">
        <f t="shared" si="5"/>
        <v>◇ サイズ E</v>
      </c>
      <c r="D39" s="7">
        <f t="shared" si="1"/>
        <v>5.5</v>
      </c>
      <c r="E39" t="s">
        <v>71</v>
      </c>
      <c r="H39" t="str">
        <f>IFERROR(INDEX(コンディションランク!$B$1:$B$6,MATCH($G39,コンディションランク!$A$1:$A$6,0)),"")</f>
        <v/>
      </c>
      <c r="J39" t="s">
        <v>2924</v>
      </c>
      <c r="L39" s="9" t="s">
        <v>3031</v>
      </c>
      <c r="Q39" t="s">
        <v>165</v>
      </c>
      <c r="R39" s="32" t="str">
        <f t="shared" si="6"/>
        <v>◇</v>
      </c>
      <c r="Y39" t="str">
        <f t="shared" si="7"/>
        <v>着丈：約cm　肩幅：約cm　身幅：約cm　袖丈：約cm</v>
      </c>
      <c r="Z39" t="str">
        <f t="shared" si="4"/>
        <v>着丈：約cm　肩幅：約cm　身幅：約cm　袖丈：約cm</v>
      </c>
      <c r="AA39" s="77" t="s">
        <v>158</v>
      </c>
      <c r="AC39" s="9"/>
    </row>
    <row r="40" spans="3:29" ht="14.25">
      <c r="C40" s="7" t="str">
        <f t="shared" si="5"/>
        <v>◇ サイズ E</v>
      </c>
      <c r="D40" s="7">
        <f t="shared" si="1"/>
        <v>5.5</v>
      </c>
      <c r="E40" t="s">
        <v>71</v>
      </c>
      <c r="H40" t="str">
        <f>IFERROR(INDEX(コンディションランク!$B$1:$B$6,MATCH($G40,コンディションランク!$A$1:$A$6,0)),"")</f>
        <v/>
      </c>
      <c r="J40" t="s">
        <v>2924</v>
      </c>
      <c r="L40" s="9" t="s">
        <v>3031</v>
      </c>
      <c r="Q40" t="s">
        <v>165</v>
      </c>
      <c r="R40" s="32" t="str">
        <f t="shared" si="6"/>
        <v>◇</v>
      </c>
      <c r="Y40" t="str">
        <f t="shared" si="7"/>
        <v>着丈：約cm　肩幅：約cm　身幅：約cm　袖丈：約cm</v>
      </c>
      <c r="Z40" t="str">
        <f t="shared" si="4"/>
        <v>着丈：約cm　肩幅：約cm　身幅：約cm　袖丈：約cm</v>
      </c>
      <c r="AA40" s="77" t="s">
        <v>158</v>
      </c>
      <c r="AC40" s="9"/>
    </row>
    <row r="41" spans="3:29" ht="14.25">
      <c r="C41" s="7" t="str">
        <f t="shared" si="5"/>
        <v>◇ サイズ E</v>
      </c>
      <c r="D41" s="7">
        <f t="shared" si="1"/>
        <v>5.5</v>
      </c>
      <c r="E41" t="s">
        <v>71</v>
      </c>
      <c r="H41" t="str">
        <f>IFERROR(INDEX(コンディションランク!$B$1:$B$6,MATCH($G41,コンディションランク!$A$1:$A$6,0)),"")</f>
        <v/>
      </c>
      <c r="J41" t="s">
        <v>2924</v>
      </c>
      <c r="L41" s="9" t="s">
        <v>3031</v>
      </c>
      <c r="Q41" t="s">
        <v>165</v>
      </c>
      <c r="R41" s="32" t="str">
        <f t="shared" si="6"/>
        <v>◇</v>
      </c>
      <c r="Y41" t="str">
        <f t="shared" si="7"/>
        <v>着丈：約cm　肩幅：約cm　身幅：約cm　袖丈：約cm</v>
      </c>
      <c r="Z41" t="str">
        <f t="shared" si="4"/>
        <v>着丈：約cm　肩幅：約cm　身幅：約cm　袖丈：約cm</v>
      </c>
      <c r="AA41" s="77" t="s">
        <v>158</v>
      </c>
      <c r="AC41" s="9"/>
    </row>
    <row r="42" spans="3:29" ht="14.25">
      <c r="C42" s="7" t="str">
        <f t="shared" si="5"/>
        <v>◇ サイズ E</v>
      </c>
      <c r="D42" s="7">
        <f t="shared" si="1"/>
        <v>5.5</v>
      </c>
      <c r="E42" t="s">
        <v>71</v>
      </c>
      <c r="H42" t="str">
        <f>IFERROR(INDEX(コンディションランク!$B$1:$B$6,MATCH($G42,コンディションランク!$A$1:$A$6,0)),"")</f>
        <v/>
      </c>
      <c r="J42" t="s">
        <v>2924</v>
      </c>
      <c r="L42" s="9" t="s">
        <v>3031</v>
      </c>
      <c r="Q42" t="s">
        <v>165</v>
      </c>
      <c r="R42" s="32" t="str">
        <f t="shared" si="6"/>
        <v>◇</v>
      </c>
      <c r="Y42" t="str">
        <f t="shared" si="7"/>
        <v>着丈：約cm　肩幅：約cm　身幅：約cm　袖丈：約cm</v>
      </c>
      <c r="Z42" t="str">
        <f t="shared" si="4"/>
        <v>着丈：約cm　肩幅：約cm　身幅：約cm　袖丈：約cm</v>
      </c>
      <c r="AA42" s="77" t="s">
        <v>158</v>
      </c>
      <c r="AC42" s="9"/>
    </row>
    <row r="43" spans="3:29" ht="14.25">
      <c r="C43" s="7" t="str">
        <f t="shared" si="5"/>
        <v>◇ サイズ E</v>
      </c>
      <c r="D43" s="7">
        <f t="shared" si="1"/>
        <v>5.5</v>
      </c>
      <c r="E43" t="s">
        <v>71</v>
      </c>
      <c r="H43" t="str">
        <f>IFERROR(INDEX(コンディションランク!$B$1:$B$6,MATCH($G43,コンディションランク!$A$1:$A$6,0)),"")</f>
        <v/>
      </c>
      <c r="J43" t="s">
        <v>2924</v>
      </c>
      <c r="L43" s="9" t="s">
        <v>3031</v>
      </c>
      <c r="Q43" t="s">
        <v>165</v>
      </c>
      <c r="R43" s="32" t="str">
        <f t="shared" si="6"/>
        <v>◇</v>
      </c>
      <c r="Y43" t="str">
        <f t="shared" si="7"/>
        <v>着丈：約cm　肩幅：約cm　身幅：約cm　袖丈：約cm</v>
      </c>
      <c r="Z43" t="str">
        <f t="shared" si="4"/>
        <v>着丈：約cm　肩幅：約cm　身幅：約cm　袖丈：約cm</v>
      </c>
      <c r="AA43" s="77" t="s">
        <v>158</v>
      </c>
      <c r="AC43" s="9"/>
    </row>
    <row r="44" spans="3:29" ht="14.25">
      <c r="C44" s="7" t="str">
        <f t="shared" si="5"/>
        <v>◇ サイズ E</v>
      </c>
      <c r="D44" s="7">
        <f t="shared" si="1"/>
        <v>5.5</v>
      </c>
      <c r="E44" t="s">
        <v>71</v>
      </c>
      <c r="H44" t="str">
        <f>IFERROR(INDEX(コンディションランク!$B$1:$B$6,MATCH($G44,コンディションランク!$A$1:$A$6,0)),"")</f>
        <v/>
      </c>
      <c r="J44" t="s">
        <v>2924</v>
      </c>
      <c r="L44" s="9" t="s">
        <v>3031</v>
      </c>
      <c r="Q44" t="s">
        <v>165</v>
      </c>
      <c r="R44" s="32" t="str">
        <f t="shared" si="6"/>
        <v>◇</v>
      </c>
      <c r="Y44" t="str">
        <f t="shared" si="7"/>
        <v>着丈：約cm　肩幅：約cm　身幅：約cm　袖丈：約cm</v>
      </c>
      <c r="Z44" t="str">
        <f t="shared" si="4"/>
        <v>着丈：約cm　肩幅：約cm　身幅：約cm　袖丈：約cm</v>
      </c>
      <c r="AA44" s="77" t="s">
        <v>158</v>
      </c>
      <c r="AC44" s="9"/>
    </row>
    <row r="45" spans="3:29" ht="14.25">
      <c r="C45" s="7" t="str">
        <f t="shared" si="5"/>
        <v>◇ サイズ E</v>
      </c>
      <c r="D45" s="7">
        <f t="shared" si="1"/>
        <v>5.5</v>
      </c>
      <c r="E45" t="s">
        <v>71</v>
      </c>
      <c r="H45" t="str">
        <f>IFERROR(INDEX(コンディションランク!$B$1:$B$6,MATCH($G45,コンディションランク!$A$1:$A$6,0)),"")</f>
        <v/>
      </c>
      <c r="J45" t="s">
        <v>2924</v>
      </c>
      <c r="L45" s="9" t="s">
        <v>3031</v>
      </c>
      <c r="Q45" t="s">
        <v>165</v>
      </c>
      <c r="R45" s="32" t="str">
        <f t="shared" si="6"/>
        <v>◇</v>
      </c>
      <c r="Y45" t="str">
        <f t="shared" si="7"/>
        <v>着丈：約cm　肩幅：約cm　身幅：約cm　袖丈：約cm</v>
      </c>
      <c r="Z45" t="str">
        <f t="shared" si="4"/>
        <v>着丈：約cm　肩幅：約cm　身幅：約cm　袖丈：約cm</v>
      </c>
      <c r="AA45" s="77" t="s">
        <v>158</v>
      </c>
      <c r="AC45" s="9"/>
    </row>
    <row r="46" spans="3:29" ht="14.25">
      <c r="C46" s="7" t="str">
        <f t="shared" si="5"/>
        <v>◇ サイズ E</v>
      </c>
      <c r="D46" s="7">
        <f t="shared" si="1"/>
        <v>5.5</v>
      </c>
      <c r="E46" t="s">
        <v>71</v>
      </c>
      <c r="H46" t="str">
        <f>IFERROR(INDEX(コンディションランク!$B$1:$B$6,MATCH($G46,コンディションランク!$A$1:$A$6,0)),"")</f>
        <v/>
      </c>
      <c r="J46" t="s">
        <v>2924</v>
      </c>
      <c r="L46" s="9" t="s">
        <v>3031</v>
      </c>
      <c r="Q46" t="s">
        <v>165</v>
      </c>
      <c r="R46" s="32" t="str">
        <f t="shared" si="6"/>
        <v>◇</v>
      </c>
      <c r="Y46" t="str">
        <f t="shared" si="7"/>
        <v>着丈：約cm　肩幅：約cm　身幅：約cm　袖丈：約cm</v>
      </c>
      <c r="Z46" t="str">
        <f t="shared" si="4"/>
        <v>着丈：約cm　肩幅：約cm　身幅：約cm　袖丈：約cm</v>
      </c>
      <c r="AA46" s="77" t="s">
        <v>158</v>
      </c>
      <c r="AC46" s="9"/>
    </row>
    <row r="47" spans="3:29" ht="14.25">
      <c r="C47" s="7" t="str">
        <f t="shared" si="5"/>
        <v>◇ サイズ E</v>
      </c>
      <c r="D47" s="7">
        <f t="shared" si="1"/>
        <v>5.5</v>
      </c>
      <c r="E47" t="s">
        <v>71</v>
      </c>
      <c r="H47" t="str">
        <f>IFERROR(INDEX(コンディションランク!$B$1:$B$6,MATCH($G47,コンディションランク!$A$1:$A$6,0)),"")</f>
        <v/>
      </c>
      <c r="J47" t="s">
        <v>2924</v>
      </c>
      <c r="L47" s="9" t="s">
        <v>3031</v>
      </c>
      <c r="Q47" t="s">
        <v>165</v>
      </c>
      <c r="R47" s="32" t="str">
        <f t="shared" si="6"/>
        <v>◇</v>
      </c>
      <c r="Y47" t="str">
        <f t="shared" si="7"/>
        <v>着丈：約cm　肩幅：約cm　身幅：約cm　袖丈：約cm</v>
      </c>
      <c r="Z47" t="str">
        <f t="shared" si="4"/>
        <v>着丈：約cm　肩幅：約cm　身幅：約cm　袖丈：約cm</v>
      </c>
      <c r="AA47" s="77" t="s">
        <v>158</v>
      </c>
      <c r="AC47" s="9"/>
    </row>
    <row r="48" spans="3:29" ht="14.25">
      <c r="C48" s="7" t="str">
        <f t="shared" si="5"/>
        <v>◇ サイズ E</v>
      </c>
      <c r="D48" s="7">
        <f t="shared" si="1"/>
        <v>5.5</v>
      </c>
      <c r="E48" t="s">
        <v>71</v>
      </c>
      <c r="H48" t="str">
        <f>IFERROR(INDEX(コンディションランク!$B$1:$B$6,MATCH($G48,コンディションランク!$A$1:$A$6,0)),"")</f>
        <v/>
      </c>
      <c r="J48" t="s">
        <v>2924</v>
      </c>
      <c r="L48" s="9" t="s">
        <v>3031</v>
      </c>
      <c r="Q48" t="s">
        <v>165</v>
      </c>
      <c r="R48" s="32" t="str">
        <f t="shared" si="6"/>
        <v>◇</v>
      </c>
      <c r="Y48" t="str">
        <f t="shared" si="7"/>
        <v>着丈：約cm　肩幅：約cm　身幅：約cm　袖丈：約cm</v>
      </c>
      <c r="Z48" t="str">
        <f t="shared" si="4"/>
        <v>着丈：約cm　肩幅：約cm　身幅：約cm　袖丈：約cm</v>
      </c>
      <c r="AA48" s="77" t="s">
        <v>158</v>
      </c>
      <c r="AC48" s="9"/>
    </row>
    <row r="49" spans="3:29" ht="14.25">
      <c r="C49" s="7" t="str">
        <f t="shared" si="5"/>
        <v>◇ サイズ E</v>
      </c>
      <c r="D49" s="7">
        <f t="shared" si="1"/>
        <v>5.5</v>
      </c>
      <c r="E49" t="s">
        <v>71</v>
      </c>
      <c r="H49" t="str">
        <f>IFERROR(INDEX(コンディションランク!$B$1:$B$6,MATCH($G49,コンディションランク!$A$1:$A$6,0)),"")</f>
        <v/>
      </c>
      <c r="J49" t="s">
        <v>2924</v>
      </c>
      <c r="L49" s="9" t="s">
        <v>3031</v>
      </c>
      <c r="Q49" t="s">
        <v>165</v>
      </c>
      <c r="R49" s="32" t="str">
        <f t="shared" si="6"/>
        <v>◇</v>
      </c>
      <c r="Y49" t="str">
        <f t="shared" si="7"/>
        <v>着丈：約cm　肩幅：約cm　身幅：約cm　袖丈：約cm</v>
      </c>
      <c r="Z49" t="str">
        <f t="shared" si="4"/>
        <v>着丈：約cm　肩幅：約cm　身幅：約cm　袖丈：約cm</v>
      </c>
      <c r="AA49" s="77" t="s">
        <v>158</v>
      </c>
      <c r="AC49" s="9"/>
    </row>
    <row r="50" spans="3:29" ht="14.25">
      <c r="C50" s="7" t="str">
        <f t="shared" si="5"/>
        <v>◇ サイズ E</v>
      </c>
      <c r="D50" s="7">
        <f t="shared" si="1"/>
        <v>5.5</v>
      </c>
      <c r="E50" t="s">
        <v>71</v>
      </c>
      <c r="H50" t="str">
        <f>IFERROR(INDEX(コンディションランク!$B$1:$B$6,MATCH($G50,コンディションランク!$A$1:$A$6,0)),"")</f>
        <v/>
      </c>
      <c r="J50" t="s">
        <v>2924</v>
      </c>
      <c r="L50" s="9" t="s">
        <v>3031</v>
      </c>
      <c r="Q50" t="s">
        <v>165</v>
      </c>
      <c r="R50" s="32" t="str">
        <f t="shared" si="6"/>
        <v>◇</v>
      </c>
      <c r="Y50" t="str">
        <f t="shared" si="7"/>
        <v>着丈：約cm　肩幅：約cm　身幅：約cm　袖丈：約cm</v>
      </c>
      <c r="Z50" t="str">
        <f t="shared" si="4"/>
        <v>着丈：約cm　肩幅：約cm　身幅：約cm　袖丈：約cm</v>
      </c>
      <c r="AA50" s="77" t="s">
        <v>158</v>
      </c>
      <c r="AC50" s="9"/>
    </row>
    <row r="51" spans="3:29" ht="14.25">
      <c r="C51" s="7" t="str">
        <f t="shared" si="5"/>
        <v>◇ サイズ E</v>
      </c>
      <c r="D51" s="7">
        <f t="shared" si="1"/>
        <v>5.5</v>
      </c>
      <c r="E51" t="s">
        <v>71</v>
      </c>
      <c r="H51" t="str">
        <f>IFERROR(INDEX(コンディションランク!$B$1:$B$6,MATCH($G51,コンディションランク!$A$1:$A$6,0)),"")</f>
        <v/>
      </c>
      <c r="J51" t="s">
        <v>2924</v>
      </c>
      <c r="L51" s="9" t="s">
        <v>3031</v>
      </c>
      <c r="Q51" t="s">
        <v>165</v>
      </c>
      <c r="R51" s="32" t="str">
        <f t="shared" si="6"/>
        <v>◇</v>
      </c>
      <c r="Y51" t="str">
        <f t="shared" si="7"/>
        <v>着丈：約cm　肩幅：約cm　身幅：約cm　袖丈：約cm</v>
      </c>
      <c r="Z51" t="str">
        <f t="shared" si="4"/>
        <v>着丈：約cm　肩幅：約cm　身幅：約cm　袖丈：約cm</v>
      </c>
      <c r="AA51" s="77" t="s">
        <v>158</v>
      </c>
      <c r="AC51" s="9"/>
    </row>
    <row r="52" spans="3:29" ht="14.25">
      <c r="C52" s="7" t="str">
        <f t="shared" si="5"/>
        <v>◇ サイズ E</v>
      </c>
      <c r="D52" s="7">
        <f t="shared" si="1"/>
        <v>5.5</v>
      </c>
      <c r="E52" t="s">
        <v>71</v>
      </c>
      <c r="H52" t="str">
        <f>IFERROR(INDEX(コンディションランク!$B$1:$B$6,MATCH($G52,コンディションランク!$A$1:$A$6,0)),"")</f>
        <v/>
      </c>
      <c r="J52" t="s">
        <v>2924</v>
      </c>
      <c r="L52" s="9" t="s">
        <v>3031</v>
      </c>
      <c r="Q52" t="s">
        <v>165</v>
      </c>
      <c r="R52" s="32" t="str">
        <f t="shared" si="6"/>
        <v>◇</v>
      </c>
      <c r="Y52" t="str">
        <f t="shared" si="7"/>
        <v>着丈：約cm　肩幅：約cm　身幅：約cm　袖丈：約cm</v>
      </c>
      <c r="Z52" t="str">
        <f t="shared" si="4"/>
        <v>着丈：約cm　肩幅：約cm　身幅：約cm　袖丈：約cm</v>
      </c>
      <c r="AA52" s="77" t="s">
        <v>158</v>
      </c>
      <c r="AC52" s="9"/>
    </row>
    <row r="53" spans="3:29" ht="14.25">
      <c r="C53" s="7" t="str">
        <f t="shared" si="5"/>
        <v>◇ サイズ E</v>
      </c>
      <c r="D53" s="7">
        <f t="shared" si="1"/>
        <v>5.5</v>
      </c>
      <c r="E53" t="s">
        <v>71</v>
      </c>
      <c r="H53" t="str">
        <f>IFERROR(INDEX(コンディションランク!$B$1:$B$6,MATCH($G53,コンディションランク!$A$1:$A$6,0)),"")</f>
        <v/>
      </c>
      <c r="J53" t="s">
        <v>2924</v>
      </c>
      <c r="L53" s="9" t="s">
        <v>3031</v>
      </c>
      <c r="Q53" t="s">
        <v>165</v>
      </c>
      <c r="R53" s="32" t="str">
        <f t="shared" si="6"/>
        <v>◇</v>
      </c>
      <c r="Y53" t="str">
        <f t="shared" si="7"/>
        <v>着丈：約cm　肩幅：約cm　身幅：約cm　袖丈：約cm</v>
      </c>
      <c r="Z53" t="str">
        <f t="shared" si="4"/>
        <v>着丈：約cm　肩幅：約cm　身幅：約cm　袖丈：約cm</v>
      </c>
      <c r="AA53" s="77" t="s">
        <v>158</v>
      </c>
      <c r="AC53" s="9"/>
    </row>
    <row r="54" spans="3:29" ht="14.25">
      <c r="C54" s="7" t="str">
        <f t="shared" si="5"/>
        <v>◇ サイズ E</v>
      </c>
      <c r="D54" s="7">
        <f t="shared" si="1"/>
        <v>5.5</v>
      </c>
      <c r="E54" t="s">
        <v>71</v>
      </c>
      <c r="H54" t="str">
        <f>IFERROR(INDEX(コンディションランク!$B$1:$B$6,MATCH($G54,コンディションランク!$A$1:$A$6,0)),"")</f>
        <v/>
      </c>
      <c r="J54" t="s">
        <v>2924</v>
      </c>
      <c r="L54" s="9" t="s">
        <v>3031</v>
      </c>
      <c r="Q54" t="s">
        <v>165</v>
      </c>
      <c r="R54" s="32" t="str">
        <f t="shared" si="6"/>
        <v>◇</v>
      </c>
      <c r="Y54" t="str">
        <f t="shared" si="7"/>
        <v>着丈：約cm　肩幅：約cm　身幅：約cm　袖丈：約cm</v>
      </c>
      <c r="Z54" t="str">
        <f t="shared" si="4"/>
        <v>着丈：約cm　肩幅：約cm　身幅：約cm　袖丈：約cm</v>
      </c>
      <c r="AA54" s="77" t="s">
        <v>158</v>
      </c>
      <c r="AC54" s="9"/>
    </row>
    <row r="55" spans="3:29" ht="14.25">
      <c r="C55" s="7" t="str">
        <f t="shared" si="5"/>
        <v>◇ サイズ E</v>
      </c>
      <c r="D55" s="7">
        <f t="shared" si="1"/>
        <v>5.5</v>
      </c>
      <c r="E55" t="s">
        <v>71</v>
      </c>
      <c r="H55" t="str">
        <f>IFERROR(INDEX(コンディションランク!$B$1:$B$6,MATCH($G55,コンディションランク!$A$1:$A$6,0)),"")</f>
        <v/>
      </c>
      <c r="J55" t="s">
        <v>2924</v>
      </c>
      <c r="L55" s="9" t="s">
        <v>3031</v>
      </c>
      <c r="Q55" t="s">
        <v>165</v>
      </c>
      <c r="R55" s="32" t="str">
        <f t="shared" si="6"/>
        <v>◇</v>
      </c>
      <c r="Y55" t="str">
        <f t="shared" si="7"/>
        <v>着丈：約cm　肩幅：約cm　身幅：約cm　袖丈：約cm</v>
      </c>
      <c r="Z55" t="str">
        <f t="shared" si="4"/>
        <v>着丈：約cm　肩幅：約cm　身幅：約cm　袖丈：約cm</v>
      </c>
      <c r="AA55" s="77" t="s">
        <v>158</v>
      </c>
      <c r="AC55" s="9"/>
    </row>
    <row r="56" spans="3:29" ht="14.25">
      <c r="C56" s="7" t="str">
        <f t="shared" si="5"/>
        <v>◇ サイズ E</v>
      </c>
      <c r="D56" s="7">
        <f t="shared" si="1"/>
        <v>5.5</v>
      </c>
      <c r="E56" t="s">
        <v>71</v>
      </c>
      <c r="H56" t="str">
        <f>IFERROR(INDEX(コンディションランク!$B$1:$B$6,MATCH($G56,コンディションランク!$A$1:$A$6,0)),"")</f>
        <v/>
      </c>
      <c r="J56" t="s">
        <v>2924</v>
      </c>
      <c r="L56" s="9" t="s">
        <v>3031</v>
      </c>
      <c r="Q56" t="s">
        <v>165</v>
      </c>
      <c r="R56" s="32" t="str">
        <f t="shared" si="6"/>
        <v>◇</v>
      </c>
      <c r="Y56" t="str">
        <f t="shared" si="7"/>
        <v>着丈：約cm　肩幅：約cm　身幅：約cm　袖丈：約cm</v>
      </c>
      <c r="Z56" t="str">
        <f t="shared" si="4"/>
        <v>着丈：約cm　肩幅：約cm　身幅：約cm　袖丈：約cm</v>
      </c>
      <c r="AA56" s="77" t="s">
        <v>158</v>
      </c>
      <c r="AC56" s="9"/>
    </row>
    <row r="57" spans="3:29" ht="14.25">
      <c r="C57" s="7" t="str">
        <f t="shared" si="5"/>
        <v>◇ サイズ E</v>
      </c>
      <c r="D57" s="7">
        <f t="shared" si="1"/>
        <v>5.5</v>
      </c>
      <c r="E57" t="s">
        <v>71</v>
      </c>
      <c r="H57" t="str">
        <f>IFERROR(INDEX(コンディションランク!$B$1:$B$6,MATCH($G57,コンディションランク!$A$1:$A$6,0)),"")</f>
        <v/>
      </c>
      <c r="J57" t="s">
        <v>2924</v>
      </c>
      <c r="L57" s="9" t="s">
        <v>3031</v>
      </c>
      <c r="Q57" t="s">
        <v>165</v>
      </c>
      <c r="R57" s="32" t="str">
        <f t="shared" si="6"/>
        <v>◇</v>
      </c>
      <c r="Y57" t="str">
        <f t="shared" si="7"/>
        <v>着丈：約cm　肩幅：約cm　身幅：約cm　袖丈：約cm</v>
      </c>
      <c r="Z57" t="str">
        <f t="shared" si="4"/>
        <v>着丈：約cm　肩幅：約cm　身幅：約cm　袖丈：約cm</v>
      </c>
      <c r="AA57" s="77" t="s">
        <v>158</v>
      </c>
      <c r="AC57" s="9"/>
    </row>
    <row r="58" spans="3:29" ht="14.25">
      <c r="C58" s="7" t="str">
        <f t="shared" si="5"/>
        <v>◇ サイズ E</v>
      </c>
      <c r="D58" s="7">
        <f t="shared" si="1"/>
        <v>5.5</v>
      </c>
      <c r="E58" t="s">
        <v>71</v>
      </c>
      <c r="H58" t="str">
        <f>IFERROR(INDEX(コンディションランク!$B$1:$B$6,MATCH($G58,コンディションランク!$A$1:$A$6,0)),"")</f>
        <v/>
      </c>
      <c r="J58" t="s">
        <v>2924</v>
      </c>
      <c r="L58" s="9" t="s">
        <v>3031</v>
      </c>
      <c r="Q58" t="s">
        <v>165</v>
      </c>
      <c r="R58" s="32" t="str">
        <f t="shared" si="6"/>
        <v>◇</v>
      </c>
      <c r="Y58" t="str">
        <f t="shared" si="7"/>
        <v>着丈：約cm　肩幅：約cm　身幅：約cm　袖丈：約cm</v>
      </c>
      <c r="Z58" t="str">
        <f t="shared" si="4"/>
        <v>着丈：約cm　肩幅：約cm　身幅：約cm　袖丈：約cm</v>
      </c>
      <c r="AA58" s="77" t="s">
        <v>158</v>
      </c>
      <c r="AC58" s="9"/>
    </row>
    <row r="59" spans="3:29" ht="14.25">
      <c r="C59" s="7" t="str">
        <f t="shared" si="5"/>
        <v>◇ サイズ E</v>
      </c>
      <c r="D59" s="7">
        <f t="shared" si="1"/>
        <v>5.5</v>
      </c>
      <c r="E59" t="s">
        <v>71</v>
      </c>
      <c r="H59" t="str">
        <f>IFERROR(INDEX(コンディションランク!$B$1:$B$6,MATCH($G59,コンディションランク!$A$1:$A$6,0)),"")</f>
        <v/>
      </c>
      <c r="J59" t="s">
        <v>2924</v>
      </c>
      <c r="L59" s="9" t="s">
        <v>3031</v>
      </c>
      <c r="Q59" t="s">
        <v>165</v>
      </c>
      <c r="R59" s="32" t="str">
        <f t="shared" si="6"/>
        <v>◇</v>
      </c>
      <c r="Y59" t="str">
        <f t="shared" si="7"/>
        <v>着丈：約cm　肩幅：約cm　身幅：約cm　袖丈：約cm</v>
      </c>
      <c r="Z59" t="str">
        <f t="shared" si="4"/>
        <v>着丈：約cm　肩幅：約cm　身幅：約cm　袖丈：約cm</v>
      </c>
      <c r="AA59" s="77" t="s">
        <v>158</v>
      </c>
      <c r="AC59" s="9"/>
    </row>
    <row r="60" spans="3:29" ht="14.25">
      <c r="C60" s="7" t="str">
        <f t="shared" si="5"/>
        <v>◇ サイズ E</v>
      </c>
      <c r="D60" s="7">
        <f t="shared" si="1"/>
        <v>5.5</v>
      </c>
      <c r="E60" t="s">
        <v>71</v>
      </c>
      <c r="H60" t="str">
        <f>IFERROR(INDEX(コンディションランク!$B$1:$B$6,MATCH($G60,コンディションランク!$A$1:$A$6,0)),"")</f>
        <v/>
      </c>
      <c r="J60" t="s">
        <v>2924</v>
      </c>
      <c r="L60" s="9" t="s">
        <v>3031</v>
      </c>
      <c r="Q60" t="s">
        <v>165</v>
      </c>
      <c r="R60" s="32" t="str">
        <f t="shared" si="6"/>
        <v>◇</v>
      </c>
      <c r="Y60" t="str">
        <f t="shared" si="7"/>
        <v>着丈：約cm　肩幅：約cm　身幅：約cm　袖丈：約cm</v>
      </c>
      <c r="Z60" t="str">
        <f t="shared" si="4"/>
        <v>着丈：約cm　肩幅：約cm　身幅：約cm　袖丈：約cm</v>
      </c>
      <c r="AA60" s="77" t="s">
        <v>158</v>
      </c>
      <c r="AC60" s="9"/>
    </row>
    <row r="61" spans="3:29" ht="14.25">
      <c r="C61" s="7" t="str">
        <f t="shared" si="5"/>
        <v>◇ サイズ E</v>
      </c>
      <c r="D61" s="7">
        <f t="shared" si="1"/>
        <v>5.5</v>
      </c>
      <c r="E61" t="s">
        <v>71</v>
      </c>
      <c r="H61" t="str">
        <f>IFERROR(INDEX(コンディションランク!$B$1:$B$6,MATCH($G61,コンディションランク!$A$1:$A$6,0)),"")</f>
        <v/>
      </c>
      <c r="J61" t="s">
        <v>2924</v>
      </c>
      <c r="L61" s="9" t="s">
        <v>3031</v>
      </c>
      <c r="Q61" t="s">
        <v>165</v>
      </c>
      <c r="R61" s="32" t="str">
        <f t="shared" si="6"/>
        <v>◇</v>
      </c>
      <c r="Y61" t="str">
        <f t="shared" si="7"/>
        <v>着丈：約cm　肩幅：約cm　身幅：約cm　袖丈：約cm</v>
      </c>
      <c r="Z61" t="str">
        <f t="shared" si="4"/>
        <v>着丈：約cm　肩幅：約cm　身幅：約cm　袖丈：約cm</v>
      </c>
      <c r="AA61" s="77" t="s">
        <v>158</v>
      </c>
      <c r="AC61" s="9"/>
    </row>
    <row r="62" spans="3:29" ht="14.25">
      <c r="C62" s="7" t="str">
        <f t="shared" si="5"/>
        <v>◇ サイズ E</v>
      </c>
      <c r="D62" s="7">
        <f t="shared" si="1"/>
        <v>5.5</v>
      </c>
      <c r="E62" t="s">
        <v>71</v>
      </c>
      <c r="H62" t="str">
        <f>IFERROR(INDEX(コンディションランク!$B$1:$B$6,MATCH($G62,コンディションランク!$A$1:$A$6,0)),"")</f>
        <v/>
      </c>
      <c r="J62" t="s">
        <v>2924</v>
      </c>
      <c r="L62" s="9" t="s">
        <v>3031</v>
      </c>
      <c r="Q62" t="s">
        <v>165</v>
      </c>
      <c r="R62" s="32" t="str">
        <f t="shared" si="6"/>
        <v>◇</v>
      </c>
      <c r="Y62" t="str">
        <f t="shared" si="7"/>
        <v>着丈：約cm　肩幅：約cm　身幅：約cm　袖丈：約cm</v>
      </c>
      <c r="Z62" t="str">
        <f t="shared" si="4"/>
        <v>着丈：約cm　肩幅：約cm　身幅：約cm　袖丈：約cm</v>
      </c>
      <c r="AA62" s="77" t="s">
        <v>158</v>
      </c>
      <c r="AC62" s="9"/>
    </row>
    <row r="63" spans="3:29" ht="14.25">
      <c r="C63" s="7" t="str">
        <f t="shared" si="5"/>
        <v>◇ サイズ E</v>
      </c>
      <c r="D63" s="7">
        <f t="shared" si="1"/>
        <v>5.5</v>
      </c>
      <c r="E63" t="s">
        <v>71</v>
      </c>
      <c r="H63" t="str">
        <f>IFERROR(INDEX(コンディションランク!$B$1:$B$6,MATCH($G63,コンディションランク!$A$1:$A$6,0)),"")</f>
        <v/>
      </c>
      <c r="J63" t="s">
        <v>2924</v>
      </c>
      <c r="L63" s="9" t="s">
        <v>3031</v>
      </c>
      <c r="Q63" t="s">
        <v>165</v>
      </c>
      <c r="R63" s="32" t="str">
        <f t="shared" si="6"/>
        <v>◇</v>
      </c>
      <c r="Y63" t="str">
        <f t="shared" si="7"/>
        <v>着丈：約cm　肩幅：約cm　身幅：約cm　袖丈：約cm</v>
      </c>
      <c r="Z63" t="str">
        <f t="shared" si="4"/>
        <v>着丈：約cm　肩幅：約cm　身幅：約cm　袖丈：約cm</v>
      </c>
      <c r="AA63" s="77" t="s">
        <v>158</v>
      </c>
      <c r="AC63" s="9"/>
    </row>
    <row r="64" spans="3:29" ht="14.25">
      <c r="C64" s="7" t="str">
        <f t="shared" si="5"/>
        <v>◇ サイズ E</v>
      </c>
      <c r="D64" s="7">
        <f t="shared" si="1"/>
        <v>5.5</v>
      </c>
      <c r="E64" t="s">
        <v>71</v>
      </c>
      <c r="H64" t="str">
        <f>IFERROR(INDEX(コンディションランク!$B$1:$B$6,MATCH($G64,コンディションランク!$A$1:$A$6,0)),"")</f>
        <v/>
      </c>
      <c r="J64" t="s">
        <v>2924</v>
      </c>
      <c r="L64" s="9" t="s">
        <v>3031</v>
      </c>
      <c r="Q64" t="s">
        <v>165</v>
      </c>
      <c r="R64" s="32" t="str">
        <f t="shared" si="6"/>
        <v>◇</v>
      </c>
      <c r="Y64" t="str">
        <f t="shared" si="7"/>
        <v>着丈：約cm　肩幅：約cm　身幅：約cm　袖丈：約cm</v>
      </c>
      <c r="Z64" t="str">
        <f t="shared" si="4"/>
        <v>着丈：約cm　肩幅：約cm　身幅：約cm　袖丈：約cm</v>
      </c>
      <c r="AA64" s="77" t="s">
        <v>158</v>
      </c>
      <c r="AC64" s="9"/>
    </row>
    <row r="65" spans="3:29" ht="14.25">
      <c r="C65" s="7" t="str">
        <f t="shared" si="5"/>
        <v>◇ サイズ E</v>
      </c>
      <c r="D65" s="7">
        <f t="shared" si="1"/>
        <v>5.5</v>
      </c>
      <c r="E65" t="s">
        <v>71</v>
      </c>
      <c r="H65" t="str">
        <f>IFERROR(INDEX(コンディションランク!$B$1:$B$6,MATCH($G65,コンディションランク!$A$1:$A$6,0)),"")</f>
        <v/>
      </c>
      <c r="J65" t="s">
        <v>2924</v>
      </c>
      <c r="L65" s="9" t="s">
        <v>3031</v>
      </c>
      <c r="Q65" t="s">
        <v>165</v>
      </c>
      <c r="R65" s="32" t="str">
        <f t="shared" si="6"/>
        <v>◇</v>
      </c>
      <c r="Y65" t="str">
        <f t="shared" si="7"/>
        <v>着丈：約cm　肩幅：約cm　身幅：約cm　袖丈：約cm</v>
      </c>
      <c r="Z65" t="str">
        <f t="shared" si="4"/>
        <v>着丈：約cm　肩幅：約cm　身幅：約cm　袖丈：約cm</v>
      </c>
      <c r="AA65" s="77" t="s">
        <v>158</v>
      </c>
      <c r="AC65" s="9"/>
    </row>
    <row r="66" spans="3:29" ht="14.25">
      <c r="C66" s="7" t="str">
        <f t="shared" ref="C66:C97" si="8">TRIM(R66&amp;" "&amp;S66&amp;" "&amp;T66&amp;" "&amp;U66&amp;" "&amp;V66&amp;" "&amp;W66&amp;" "&amp;L66&amp;" "&amp;K66&amp;" "&amp;X66&amp;EX&amp;" "&amp;B66)</f>
        <v>◇ サイズ E</v>
      </c>
      <c r="D66" s="7">
        <f t="shared" si="1"/>
        <v>5.5</v>
      </c>
      <c r="E66" t="s">
        <v>71</v>
      </c>
      <c r="H66" t="str">
        <f>IFERROR(INDEX(コンディションランク!$B$1:$B$6,MATCH($G66,コンディションランク!$A$1:$A$6,0)),"")</f>
        <v/>
      </c>
      <c r="J66" t="s">
        <v>2924</v>
      </c>
      <c r="L66" s="9" t="s">
        <v>3031</v>
      </c>
      <c r="Q66" t="s">
        <v>165</v>
      </c>
      <c r="R66" s="32" t="str">
        <f t="shared" ref="R66:R97" si="9">IFERROR(VLOOKUP(Q66,梱包サイズ表,2,0),"")</f>
        <v>◇</v>
      </c>
      <c r="Y66" t="str">
        <f t="shared" ref="Y66:Y97" si="10">"着丈：約" &amp;M66&amp; "cm　肩幅：約" &amp;N66&amp; "cm　身幅：約" &amp;O66&amp; "cm　袖丈：約" &amp;P66&amp; "cm"</f>
        <v>着丈：約cm　肩幅：約cm　身幅：約cm　袖丈：約cm</v>
      </c>
      <c r="Z66" t="str">
        <f t="shared" si="4"/>
        <v>着丈：約cm　肩幅：約cm　身幅：約cm　袖丈：約cm</v>
      </c>
      <c r="AA66" s="77" t="s">
        <v>158</v>
      </c>
      <c r="AC66" s="9"/>
    </row>
    <row r="67" spans="3:29" ht="14.25">
      <c r="C67" s="7" t="str">
        <f t="shared" si="8"/>
        <v>◇ サイズ E</v>
      </c>
      <c r="D67" s="7">
        <f t="shared" ref="D67:D130" si="11">(LENB(C67)-LEN(C67))+(LENB(C67)-(LENB(C67)-LEN(C67))*2)/2</f>
        <v>5.5</v>
      </c>
      <c r="E67" t="s">
        <v>71</v>
      </c>
      <c r="H67" t="str">
        <f>IFERROR(INDEX(コンディションランク!$B$1:$B$6,MATCH($G67,コンディションランク!$A$1:$A$6,0)),"")</f>
        <v/>
      </c>
      <c r="J67" t="s">
        <v>2924</v>
      </c>
      <c r="L67" s="9" t="s">
        <v>3031</v>
      </c>
      <c r="Q67" t="s">
        <v>165</v>
      </c>
      <c r="R67" s="32" t="str">
        <f t="shared" si="9"/>
        <v>◇</v>
      </c>
      <c r="Y67" t="str">
        <f t="shared" si="10"/>
        <v>着丈：約cm　肩幅：約cm　身幅：約cm　袖丈：約cm</v>
      </c>
      <c r="Z67" t="str">
        <f t="shared" ref="Z67:Z130" si="12">SUBSTITUTE( Y67, "約-", "-" )</f>
        <v>着丈：約cm　肩幅：約cm　身幅：約cm　袖丈：約cm</v>
      </c>
      <c r="AA67" s="77" t="s">
        <v>158</v>
      </c>
      <c r="AC67" s="9"/>
    </row>
    <row r="68" spans="3:29" ht="14.25">
      <c r="C68" s="7" t="str">
        <f t="shared" si="8"/>
        <v>◇ サイズ E</v>
      </c>
      <c r="D68" s="7">
        <f t="shared" si="11"/>
        <v>5.5</v>
      </c>
      <c r="E68" t="s">
        <v>71</v>
      </c>
      <c r="H68" t="str">
        <f>IFERROR(INDEX(コンディションランク!$B$1:$B$6,MATCH($G68,コンディションランク!$A$1:$A$6,0)),"")</f>
        <v/>
      </c>
      <c r="J68" t="s">
        <v>2924</v>
      </c>
      <c r="L68" s="9" t="s">
        <v>3031</v>
      </c>
      <c r="Q68" t="s">
        <v>165</v>
      </c>
      <c r="R68" s="32" t="str">
        <f t="shared" si="9"/>
        <v>◇</v>
      </c>
      <c r="Y68" t="str">
        <f t="shared" si="10"/>
        <v>着丈：約cm　肩幅：約cm　身幅：約cm　袖丈：約cm</v>
      </c>
      <c r="Z68" t="str">
        <f t="shared" si="12"/>
        <v>着丈：約cm　肩幅：約cm　身幅：約cm　袖丈：約cm</v>
      </c>
      <c r="AA68" s="77" t="s">
        <v>158</v>
      </c>
      <c r="AC68" s="9"/>
    </row>
    <row r="69" spans="3:29" ht="14.25">
      <c r="C69" s="7" t="str">
        <f t="shared" si="8"/>
        <v>◇ サイズ E</v>
      </c>
      <c r="D69" s="7">
        <f t="shared" si="11"/>
        <v>5.5</v>
      </c>
      <c r="E69" t="s">
        <v>71</v>
      </c>
      <c r="H69" t="str">
        <f>IFERROR(INDEX(コンディションランク!$B$1:$B$6,MATCH($G69,コンディションランク!$A$1:$A$6,0)),"")</f>
        <v/>
      </c>
      <c r="J69" t="s">
        <v>2924</v>
      </c>
      <c r="L69" s="9" t="s">
        <v>3031</v>
      </c>
      <c r="Q69" t="s">
        <v>165</v>
      </c>
      <c r="R69" s="32" t="str">
        <f t="shared" si="9"/>
        <v>◇</v>
      </c>
      <c r="Y69" t="str">
        <f t="shared" si="10"/>
        <v>着丈：約cm　肩幅：約cm　身幅：約cm　袖丈：約cm</v>
      </c>
      <c r="Z69" t="str">
        <f t="shared" si="12"/>
        <v>着丈：約cm　肩幅：約cm　身幅：約cm　袖丈：約cm</v>
      </c>
      <c r="AA69" s="77" t="s">
        <v>158</v>
      </c>
      <c r="AC69" s="9"/>
    </row>
    <row r="70" spans="3:29" ht="14.25">
      <c r="C70" s="7" t="str">
        <f t="shared" si="8"/>
        <v>◇ サイズ E</v>
      </c>
      <c r="D70" s="7">
        <f t="shared" si="11"/>
        <v>5.5</v>
      </c>
      <c r="E70" t="s">
        <v>71</v>
      </c>
      <c r="H70" t="str">
        <f>IFERROR(INDEX(コンディションランク!$B$1:$B$6,MATCH($G70,コンディションランク!$A$1:$A$6,0)),"")</f>
        <v/>
      </c>
      <c r="J70" t="s">
        <v>2924</v>
      </c>
      <c r="L70" s="9" t="s">
        <v>3031</v>
      </c>
      <c r="Q70" t="s">
        <v>165</v>
      </c>
      <c r="R70" s="32" t="str">
        <f t="shared" si="9"/>
        <v>◇</v>
      </c>
      <c r="Y70" t="str">
        <f t="shared" si="10"/>
        <v>着丈：約cm　肩幅：約cm　身幅：約cm　袖丈：約cm</v>
      </c>
      <c r="Z70" t="str">
        <f t="shared" si="12"/>
        <v>着丈：約cm　肩幅：約cm　身幅：約cm　袖丈：約cm</v>
      </c>
      <c r="AA70" s="77" t="s">
        <v>158</v>
      </c>
      <c r="AC70" s="9"/>
    </row>
    <row r="71" spans="3:29" ht="14.25">
      <c r="C71" s="7" t="str">
        <f t="shared" si="8"/>
        <v>◇ サイズ E</v>
      </c>
      <c r="D71" s="7">
        <f t="shared" si="11"/>
        <v>5.5</v>
      </c>
      <c r="E71" t="s">
        <v>71</v>
      </c>
      <c r="H71" t="str">
        <f>IFERROR(INDEX(コンディションランク!$B$1:$B$6,MATCH($G71,コンディションランク!$A$1:$A$6,0)),"")</f>
        <v/>
      </c>
      <c r="J71" t="s">
        <v>2924</v>
      </c>
      <c r="L71" s="9" t="s">
        <v>3031</v>
      </c>
      <c r="Q71" t="s">
        <v>165</v>
      </c>
      <c r="R71" s="32" t="str">
        <f t="shared" si="9"/>
        <v>◇</v>
      </c>
      <c r="Y71" t="str">
        <f t="shared" si="10"/>
        <v>着丈：約cm　肩幅：約cm　身幅：約cm　袖丈：約cm</v>
      </c>
      <c r="Z71" t="str">
        <f t="shared" si="12"/>
        <v>着丈：約cm　肩幅：約cm　身幅：約cm　袖丈：約cm</v>
      </c>
      <c r="AA71" s="77" t="s">
        <v>158</v>
      </c>
      <c r="AC71" s="9"/>
    </row>
    <row r="72" spans="3:29" ht="14.25">
      <c r="C72" s="7" t="str">
        <f t="shared" si="8"/>
        <v>◇ サイズ E</v>
      </c>
      <c r="D72" s="7">
        <f t="shared" si="11"/>
        <v>5.5</v>
      </c>
      <c r="E72" t="s">
        <v>71</v>
      </c>
      <c r="H72" t="str">
        <f>IFERROR(INDEX(コンディションランク!$B$1:$B$6,MATCH($G72,コンディションランク!$A$1:$A$6,0)),"")</f>
        <v/>
      </c>
      <c r="J72" t="s">
        <v>2924</v>
      </c>
      <c r="L72" s="9" t="s">
        <v>3031</v>
      </c>
      <c r="Q72" t="s">
        <v>165</v>
      </c>
      <c r="R72" s="32" t="str">
        <f t="shared" si="9"/>
        <v>◇</v>
      </c>
      <c r="Y72" t="str">
        <f t="shared" si="10"/>
        <v>着丈：約cm　肩幅：約cm　身幅：約cm　袖丈：約cm</v>
      </c>
      <c r="Z72" t="str">
        <f t="shared" si="12"/>
        <v>着丈：約cm　肩幅：約cm　身幅：約cm　袖丈：約cm</v>
      </c>
      <c r="AA72" s="77" t="s">
        <v>158</v>
      </c>
      <c r="AC72" s="9"/>
    </row>
    <row r="73" spans="3:29" ht="14.25">
      <c r="C73" s="7" t="str">
        <f t="shared" si="8"/>
        <v>◇ サイズ E</v>
      </c>
      <c r="D73" s="7">
        <f t="shared" si="11"/>
        <v>5.5</v>
      </c>
      <c r="E73" t="s">
        <v>71</v>
      </c>
      <c r="H73" t="str">
        <f>IFERROR(INDEX(コンディションランク!$B$1:$B$6,MATCH($G73,コンディションランク!$A$1:$A$6,0)),"")</f>
        <v/>
      </c>
      <c r="J73" t="s">
        <v>2924</v>
      </c>
      <c r="L73" s="9" t="s">
        <v>3031</v>
      </c>
      <c r="Q73" t="s">
        <v>165</v>
      </c>
      <c r="R73" s="32" t="str">
        <f t="shared" si="9"/>
        <v>◇</v>
      </c>
      <c r="Y73" t="str">
        <f t="shared" si="10"/>
        <v>着丈：約cm　肩幅：約cm　身幅：約cm　袖丈：約cm</v>
      </c>
      <c r="Z73" t="str">
        <f t="shared" si="12"/>
        <v>着丈：約cm　肩幅：約cm　身幅：約cm　袖丈：約cm</v>
      </c>
      <c r="AA73" s="77" t="s">
        <v>158</v>
      </c>
      <c r="AC73" s="9"/>
    </row>
    <row r="74" spans="3:29" ht="14.25">
      <c r="C74" s="7" t="str">
        <f t="shared" si="8"/>
        <v>◇ サイズ E</v>
      </c>
      <c r="D74" s="7">
        <f t="shared" si="11"/>
        <v>5.5</v>
      </c>
      <c r="E74" t="s">
        <v>71</v>
      </c>
      <c r="H74" t="str">
        <f>IFERROR(INDEX(コンディションランク!$B$1:$B$6,MATCH($G74,コンディションランク!$A$1:$A$6,0)),"")</f>
        <v/>
      </c>
      <c r="J74" t="s">
        <v>2924</v>
      </c>
      <c r="L74" s="9" t="s">
        <v>3031</v>
      </c>
      <c r="Q74" t="s">
        <v>165</v>
      </c>
      <c r="R74" s="32" t="str">
        <f t="shared" si="9"/>
        <v>◇</v>
      </c>
      <c r="Y74" t="str">
        <f t="shared" si="10"/>
        <v>着丈：約cm　肩幅：約cm　身幅：約cm　袖丈：約cm</v>
      </c>
      <c r="Z74" t="str">
        <f t="shared" si="12"/>
        <v>着丈：約cm　肩幅：約cm　身幅：約cm　袖丈：約cm</v>
      </c>
      <c r="AA74" s="77" t="s">
        <v>158</v>
      </c>
      <c r="AC74" s="9"/>
    </row>
    <row r="75" spans="3:29" ht="14.25">
      <c r="C75" s="7" t="str">
        <f t="shared" si="8"/>
        <v>◇ サイズ E</v>
      </c>
      <c r="D75" s="7">
        <f t="shared" si="11"/>
        <v>5.5</v>
      </c>
      <c r="E75" t="s">
        <v>71</v>
      </c>
      <c r="H75" t="str">
        <f>IFERROR(INDEX(コンディションランク!$B$1:$B$6,MATCH($G75,コンディションランク!$A$1:$A$6,0)),"")</f>
        <v/>
      </c>
      <c r="J75" t="s">
        <v>2924</v>
      </c>
      <c r="L75" s="9" t="s">
        <v>3031</v>
      </c>
      <c r="Q75" t="s">
        <v>165</v>
      </c>
      <c r="R75" s="32" t="str">
        <f t="shared" si="9"/>
        <v>◇</v>
      </c>
      <c r="Y75" t="str">
        <f t="shared" si="10"/>
        <v>着丈：約cm　肩幅：約cm　身幅：約cm　袖丈：約cm</v>
      </c>
      <c r="Z75" t="str">
        <f t="shared" si="12"/>
        <v>着丈：約cm　肩幅：約cm　身幅：約cm　袖丈：約cm</v>
      </c>
      <c r="AA75" s="77" t="s">
        <v>158</v>
      </c>
      <c r="AC75" s="9"/>
    </row>
    <row r="76" spans="3:29" ht="14.25">
      <c r="C76" s="7" t="str">
        <f t="shared" si="8"/>
        <v>◇ サイズ E</v>
      </c>
      <c r="D76" s="7">
        <f t="shared" si="11"/>
        <v>5.5</v>
      </c>
      <c r="E76" t="s">
        <v>71</v>
      </c>
      <c r="H76" t="str">
        <f>IFERROR(INDEX(コンディションランク!$B$1:$B$6,MATCH($G76,コンディションランク!$A$1:$A$6,0)),"")</f>
        <v/>
      </c>
      <c r="J76" t="s">
        <v>2924</v>
      </c>
      <c r="L76" s="9" t="s">
        <v>3031</v>
      </c>
      <c r="Q76" t="s">
        <v>165</v>
      </c>
      <c r="R76" s="32" t="str">
        <f t="shared" si="9"/>
        <v>◇</v>
      </c>
      <c r="Y76" t="str">
        <f t="shared" si="10"/>
        <v>着丈：約cm　肩幅：約cm　身幅：約cm　袖丈：約cm</v>
      </c>
      <c r="Z76" t="str">
        <f t="shared" si="12"/>
        <v>着丈：約cm　肩幅：約cm　身幅：約cm　袖丈：約cm</v>
      </c>
      <c r="AA76" s="77" t="s">
        <v>158</v>
      </c>
      <c r="AC76" s="9"/>
    </row>
    <row r="77" spans="3:29" ht="14.25">
      <c r="C77" s="7" t="str">
        <f t="shared" si="8"/>
        <v>◇ サイズ E</v>
      </c>
      <c r="D77" s="7">
        <f t="shared" si="11"/>
        <v>5.5</v>
      </c>
      <c r="E77" t="s">
        <v>71</v>
      </c>
      <c r="H77" t="str">
        <f>IFERROR(INDEX(コンディションランク!$B$1:$B$6,MATCH($G77,コンディションランク!$A$1:$A$6,0)),"")</f>
        <v/>
      </c>
      <c r="J77" t="s">
        <v>2924</v>
      </c>
      <c r="L77" s="9" t="s">
        <v>3031</v>
      </c>
      <c r="Q77" t="s">
        <v>165</v>
      </c>
      <c r="R77" s="32" t="str">
        <f t="shared" si="9"/>
        <v>◇</v>
      </c>
      <c r="Y77" t="str">
        <f t="shared" si="10"/>
        <v>着丈：約cm　肩幅：約cm　身幅：約cm　袖丈：約cm</v>
      </c>
      <c r="Z77" t="str">
        <f t="shared" si="12"/>
        <v>着丈：約cm　肩幅：約cm　身幅：約cm　袖丈：約cm</v>
      </c>
      <c r="AA77" s="77" t="s">
        <v>158</v>
      </c>
      <c r="AC77" s="9"/>
    </row>
    <row r="78" spans="3:29" ht="14.25">
      <c r="C78" s="7" t="str">
        <f t="shared" si="8"/>
        <v>◇ サイズ E</v>
      </c>
      <c r="D78" s="7">
        <f t="shared" si="11"/>
        <v>5.5</v>
      </c>
      <c r="E78" t="s">
        <v>71</v>
      </c>
      <c r="H78" t="str">
        <f>IFERROR(INDEX(コンディションランク!$B$1:$B$6,MATCH($G78,コンディションランク!$A$1:$A$6,0)),"")</f>
        <v/>
      </c>
      <c r="J78" t="s">
        <v>2924</v>
      </c>
      <c r="L78" s="9" t="s">
        <v>3031</v>
      </c>
      <c r="Q78" t="s">
        <v>165</v>
      </c>
      <c r="R78" s="32" t="str">
        <f t="shared" si="9"/>
        <v>◇</v>
      </c>
      <c r="Y78" t="str">
        <f t="shared" si="10"/>
        <v>着丈：約cm　肩幅：約cm　身幅：約cm　袖丈：約cm</v>
      </c>
      <c r="Z78" t="str">
        <f t="shared" si="12"/>
        <v>着丈：約cm　肩幅：約cm　身幅：約cm　袖丈：約cm</v>
      </c>
      <c r="AA78" s="77" t="s">
        <v>158</v>
      </c>
      <c r="AC78" s="9"/>
    </row>
    <row r="79" spans="3:29" ht="14.25">
      <c r="C79" s="7" t="str">
        <f t="shared" si="8"/>
        <v>◇ サイズ E</v>
      </c>
      <c r="D79" s="7">
        <f t="shared" si="11"/>
        <v>5.5</v>
      </c>
      <c r="E79" t="s">
        <v>71</v>
      </c>
      <c r="H79" t="str">
        <f>IFERROR(INDEX(コンディションランク!$B$1:$B$6,MATCH($G79,コンディションランク!$A$1:$A$6,0)),"")</f>
        <v/>
      </c>
      <c r="J79" t="s">
        <v>2924</v>
      </c>
      <c r="L79" s="9" t="s">
        <v>3031</v>
      </c>
      <c r="Q79" t="s">
        <v>165</v>
      </c>
      <c r="R79" s="32" t="str">
        <f t="shared" si="9"/>
        <v>◇</v>
      </c>
      <c r="Y79" t="str">
        <f t="shared" si="10"/>
        <v>着丈：約cm　肩幅：約cm　身幅：約cm　袖丈：約cm</v>
      </c>
      <c r="Z79" t="str">
        <f t="shared" si="12"/>
        <v>着丈：約cm　肩幅：約cm　身幅：約cm　袖丈：約cm</v>
      </c>
      <c r="AA79" s="77" t="s">
        <v>158</v>
      </c>
      <c r="AC79" s="9"/>
    </row>
    <row r="80" spans="3:29" ht="14.25">
      <c r="C80" s="7" t="str">
        <f t="shared" si="8"/>
        <v>◇ サイズ E</v>
      </c>
      <c r="D80" s="7">
        <f t="shared" si="11"/>
        <v>5.5</v>
      </c>
      <c r="E80" t="s">
        <v>71</v>
      </c>
      <c r="H80" t="str">
        <f>IFERROR(INDEX(コンディションランク!$B$1:$B$6,MATCH($G80,コンディションランク!$A$1:$A$6,0)),"")</f>
        <v/>
      </c>
      <c r="J80" t="s">
        <v>2924</v>
      </c>
      <c r="L80" s="9" t="s">
        <v>3031</v>
      </c>
      <c r="Q80" t="s">
        <v>165</v>
      </c>
      <c r="R80" s="32" t="str">
        <f t="shared" si="9"/>
        <v>◇</v>
      </c>
      <c r="Y80" t="str">
        <f t="shared" si="10"/>
        <v>着丈：約cm　肩幅：約cm　身幅：約cm　袖丈：約cm</v>
      </c>
      <c r="Z80" t="str">
        <f t="shared" si="12"/>
        <v>着丈：約cm　肩幅：約cm　身幅：約cm　袖丈：約cm</v>
      </c>
      <c r="AA80" s="77" t="s">
        <v>158</v>
      </c>
      <c r="AC80" s="9"/>
    </row>
    <row r="81" spans="3:29" ht="14.25">
      <c r="C81" s="7" t="str">
        <f t="shared" si="8"/>
        <v>◇ サイズ E</v>
      </c>
      <c r="D81" s="7">
        <f t="shared" si="11"/>
        <v>5.5</v>
      </c>
      <c r="E81" t="s">
        <v>71</v>
      </c>
      <c r="H81" t="str">
        <f>IFERROR(INDEX(コンディションランク!$B$1:$B$6,MATCH($G81,コンディションランク!$A$1:$A$6,0)),"")</f>
        <v/>
      </c>
      <c r="J81" t="s">
        <v>2924</v>
      </c>
      <c r="L81" s="9" t="s">
        <v>3031</v>
      </c>
      <c r="Q81" t="s">
        <v>165</v>
      </c>
      <c r="R81" s="32" t="str">
        <f t="shared" si="9"/>
        <v>◇</v>
      </c>
      <c r="Y81" t="str">
        <f t="shared" si="10"/>
        <v>着丈：約cm　肩幅：約cm　身幅：約cm　袖丈：約cm</v>
      </c>
      <c r="Z81" t="str">
        <f t="shared" si="12"/>
        <v>着丈：約cm　肩幅：約cm　身幅：約cm　袖丈：約cm</v>
      </c>
      <c r="AA81" s="77" t="s">
        <v>158</v>
      </c>
      <c r="AC81" s="9"/>
    </row>
    <row r="82" spans="3:29" ht="14.25">
      <c r="C82" s="7" t="str">
        <f t="shared" si="8"/>
        <v>◇ サイズ E</v>
      </c>
      <c r="D82" s="7">
        <f t="shared" si="11"/>
        <v>5.5</v>
      </c>
      <c r="E82" t="s">
        <v>71</v>
      </c>
      <c r="H82" t="str">
        <f>IFERROR(INDEX(コンディションランク!$B$1:$B$6,MATCH($G82,コンディションランク!$A$1:$A$6,0)),"")</f>
        <v/>
      </c>
      <c r="J82" t="s">
        <v>2924</v>
      </c>
      <c r="L82" s="9" t="s">
        <v>3031</v>
      </c>
      <c r="Q82" t="s">
        <v>165</v>
      </c>
      <c r="R82" s="32" t="str">
        <f t="shared" si="9"/>
        <v>◇</v>
      </c>
      <c r="Y82" t="str">
        <f t="shared" si="10"/>
        <v>着丈：約cm　肩幅：約cm　身幅：約cm　袖丈：約cm</v>
      </c>
      <c r="Z82" t="str">
        <f t="shared" si="12"/>
        <v>着丈：約cm　肩幅：約cm　身幅：約cm　袖丈：約cm</v>
      </c>
      <c r="AA82" s="77" t="s">
        <v>158</v>
      </c>
      <c r="AC82" s="9"/>
    </row>
    <row r="83" spans="3:29" ht="14.25">
      <c r="C83" s="7" t="str">
        <f t="shared" si="8"/>
        <v>◇ サイズ E</v>
      </c>
      <c r="D83" s="7">
        <f t="shared" si="11"/>
        <v>5.5</v>
      </c>
      <c r="E83" t="s">
        <v>71</v>
      </c>
      <c r="H83" t="str">
        <f>IFERROR(INDEX(コンディションランク!$B$1:$B$6,MATCH($G83,コンディションランク!$A$1:$A$6,0)),"")</f>
        <v/>
      </c>
      <c r="J83" t="s">
        <v>2924</v>
      </c>
      <c r="L83" s="9" t="s">
        <v>3031</v>
      </c>
      <c r="Q83" t="s">
        <v>165</v>
      </c>
      <c r="R83" s="32" t="str">
        <f t="shared" si="9"/>
        <v>◇</v>
      </c>
      <c r="Y83" t="str">
        <f t="shared" si="10"/>
        <v>着丈：約cm　肩幅：約cm　身幅：約cm　袖丈：約cm</v>
      </c>
      <c r="Z83" t="str">
        <f t="shared" si="12"/>
        <v>着丈：約cm　肩幅：約cm　身幅：約cm　袖丈：約cm</v>
      </c>
      <c r="AA83" s="77" t="s">
        <v>158</v>
      </c>
      <c r="AC83" s="9"/>
    </row>
    <row r="84" spans="3:29" ht="14.25">
      <c r="C84" s="7" t="str">
        <f t="shared" si="8"/>
        <v>◇ サイズ E</v>
      </c>
      <c r="D84" s="7">
        <f t="shared" si="11"/>
        <v>5.5</v>
      </c>
      <c r="E84" t="s">
        <v>71</v>
      </c>
      <c r="H84" t="str">
        <f>IFERROR(INDEX(コンディションランク!$B$1:$B$6,MATCH($G84,コンディションランク!$A$1:$A$6,0)),"")</f>
        <v/>
      </c>
      <c r="J84" t="s">
        <v>2924</v>
      </c>
      <c r="L84" s="9" t="s">
        <v>3031</v>
      </c>
      <c r="Q84" t="s">
        <v>165</v>
      </c>
      <c r="R84" s="32" t="str">
        <f t="shared" si="9"/>
        <v>◇</v>
      </c>
      <c r="Y84" t="str">
        <f t="shared" si="10"/>
        <v>着丈：約cm　肩幅：約cm　身幅：約cm　袖丈：約cm</v>
      </c>
      <c r="Z84" t="str">
        <f t="shared" si="12"/>
        <v>着丈：約cm　肩幅：約cm　身幅：約cm　袖丈：約cm</v>
      </c>
      <c r="AA84" s="77" t="s">
        <v>158</v>
      </c>
      <c r="AC84" s="9"/>
    </row>
    <row r="85" spans="3:29" ht="14.25">
      <c r="C85" s="7" t="str">
        <f t="shared" si="8"/>
        <v>◇ サイズ E</v>
      </c>
      <c r="D85" s="7">
        <f t="shared" si="11"/>
        <v>5.5</v>
      </c>
      <c r="E85" t="s">
        <v>71</v>
      </c>
      <c r="H85" t="str">
        <f>IFERROR(INDEX(コンディションランク!$B$1:$B$6,MATCH($G85,コンディションランク!$A$1:$A$6,0)),"")</f>
        <v/>
      </c>
      <c r="J85" t="s">
        <v>2924</v>
      </c>
      <c r="L85" s="9" t="s">
        <v>3031</v>
      </c>
      <c r="Q85" t="s">
        <v>165</v>
      </c>
      <c r="R85" s="32" t="str">
        <f t="shared" si="9"/>
        <v>◇</v>
      </c>
      <c r="Y85" t="str">
        <f t="shared" si="10"/>
        <v>着丈：約cm　肩幅：約cm　身幅：約cm　袖丈：約cm</v>
      </c>
      <c r="Z85" t="str">
        <f t="shared" si="12"/>
        <v>着丈：約cm　肩幅：約cm　身幅：約cm　袖丈：約cm</v>
      </c>
      <c r="AA85" s="77" t="s">
        <v>158</v>
      </c>
      <c r="AC85" s="9"/>
    </row>
    <row r="86" spans="3:29" ht="14.25">
      <c r="C86" s="7" t="str">
        <f t="shared" si="8"/>
        <v>◇ サイズ E</v>
      </c>
      <c r="D86" s="7">
        <f t="shared" si="11"/>
        <v>5.5</v>
      </c>
      <c r="E86" t="s">
        <v>71</v>
      </c>
      <c r="H86" t="str">
        <f>IFERROR(INDEX(コンディションランク!$B$1:$B$6,MATCH($G86,コンディションランク!$A$1:$A$6,0)),"")</f>
        <v/>
      </c>
      <c r="J86" t="s">
        <v>2924</v>
      </c>
      <c r="L86" s="9" t="s">
        <v>3031</v>
      </c>
      <c r="Q86" t="s">
        <v>165</v>
      </c>
      <c r="R86" s="32" t="str">
        <f t="shared" si="9"/>
        <v>◇</v>
      </c>
      <c r="Y86" t="str">
        <f t="shared" si="10"/>
        <v>着丈：約cm　肩幅：約cm　身幅：約cm　袖丈：約cm</v>
      </c>
      <c r="Z86" t="str">
        <f t="shared" si="12"/>
        <v>着丈：約cm　肩幅：約cm　身幅：約cm　袖丈：約cm</v>
      </c>
      <c r="AA86" s="77" t="s">
        <v>158</v>
      </c>
      <c r="AC86" s="9"/>
    </row>
    <row r="87" spans="3:29" ht="14.25">
      <c r="C87" s="7" t="str">
        <f t="shared" si="8"/>
        <v>◇ サイズ E</v>
      </c>
      <c r="D87" s="7">
        <f t="shared" si="11"/>
        <v>5.5</v>
      </c>
      <c r="E87" t="s">
        <v>71</v>
      </c>
      <c r="H87" t="str">
        <f>IFERROR(INDEX(コンディションランク!$B$1:$B$6,MATCH($G87,コンディションランク!$A$1:$A$6,0)),"")</f>
        <v/>
      </c>
      <c r="J87" t="s">
        <v>2924</v>
      </c>
      <c r="L87" s="9" t="s">
        <v>3031</v>
      </c>
      <c r="Q87" t="s">
        <v>165</v>
      </c>
      <c r="R87" s="32" t="str">
        <f t="shared" si="9"/>
        <v>◇</v>
      </c>
      <c r="Y87" t="str">
        <f t="shared" si="10"/>
        <v>着丈：約cm　肩幅：約cm　身幅：約cm　袖丈：約cm</v>
      </c>
      <c r="Z87" t="str">
        <f t="shared" si="12"/>
        <v>着丈：約cm　肩幅：約cm　身幅：約cm　袖丈：約cm</v>
      </c>
      <c r="AA87" s="77" t="s">
        <v>158</v>
      </c>
      <c r="AC87" s="9"/>
    </row>
    <row r="88" spans="3:29" ht="14.25">
      <c r="C88" s="7" t="str">
        <f t="shared" si="8"/>
        <v>◇ サイズ E</v>
      </c>
      <c r="D88" s="7">
        <f t="shared" si="11"/>
        <v>5.5</v>
      </c>
      <c r="E88" t="s">
        <v>71</v>
      </c>
      <c r="H88" t="str">
        <f>IFERROR(INDEX(コンディションランク!$B$1:$B$6,MATCH($G88,コンディションランク!$A$1:$A$6,0)),"")</f>
        <v/>
      </c>
      <c r="J88" t="s">
        <v>2924</v>
      </c>
      <c r="L88" s="9" t="s">
        <v>3031</v>
      </c>
      <c r="Q88" t="s">
        <v>165</v>
      </c>
      <c r="R88" s="32" t="str">
        <f t="shared" si="9"/>
        <v>◇</v>
      </c>
      <c r="Y88" t="str">
        <f t="shared" si="10"/>
        <v>着丈：約cm　肩幅：約cm　身幅：約cm　袖丈：約cm</v>
      </c>
      <c r="Z88" t="str">
        <f t="shared" si="12"/>
        <v>着丈：約cm　肩幅：約cm　身幅：約cm　袖丈：約cm</v>
      </c>
      <c r="AA88" s="77" t="s">
        <v>158</v>
      </c>
      <c r="AC88" s="9"/>
    </row>
    <row r="89" spans="3:29" ht="14.25">
      <c r="C89" s="7" t="str">
        <f t="shared" si="8"/>
        <v>◇ サイズ E</v>
      </c>
      <c r="D89" s="7">
        <f t="shared" si="11"/>
        <v>5.5</v>
      </c>
      <c r="E89" t="s">
        <v>71</v>
      </c>
      <c r="H89" t="str">
        <f>IFERROR(INDEX(コンディションランク!$B$1:$B$6,MATCH($G89,コンディションランク!$A$1:$A$6,0)),"")</f>
        <v/>
      </c>
      <c r="J89" t="s">
        <v>2924</v>
      </c>
      <c r="L89" s="9" t="s">
        <v>3031</v>
      </c>
      <c r="Q89" t="s">
        <v>165</v>
      </c>
      <c r="R89" s="32" t="str">
        <f t="shared" si="9"/>
        <v>◇</v>
      </c>
      <c r="Y89" t="str">
        <f t="shared" si="10"/>
        <v>着丈：約cm　肩幅：約cm　身幅：約cm　袖丈：約cm</v>
      </c>
      <c r="Z89" t="str">
        <f t="shared" si="12"/>
        <v>着丈：約cm　肩幅：約cm　身幅：約cm　袖丈：約cm</v>
      </c>
      <c r="AA89" s="77" t="s">
        <v>158</v>
      </c>
      <c r="AC89" s="9"/>
    </row>
    <row r="90" spans="3:29" ht="14.25">
      <c r="C90" s="7" t="str">
        <f t="shared" si="8"/>
        <v>◇ サイズ E</v>
      </c>
      <c r="D90" s="7">
        <f t="shared" si="11"/>
        <v>5.5</v>
      </c>
      <c r="E90" t="s">
        <v>71</v>
      </c>
      <c r="H90" t="str">
        <f>IFERROR(INDEX(コンディションランク!$B$1:$B$6,MATCH($G90,コンディションランク!$A$1:$A$6,0)),"")</f>
        <v/>
      </c>
      <c r="J90" t="s">
        <v>2924</v>
      </c>
      <c r="L90" s="9" t="s">
        <v>3031</v>
      </c>
      <c r="Q90" t="s">
        <v>165</v>
      </c>
      <c r="R90" s="32" t="str">
        <f t="shared" si="9"/>
        <v>◇</v>
      </c>
      <c r="Y90" t="str">
        <f t="shared" si="10"/>
        <v>着丈：約cm　肩幅：約cm　身幅：約cm　袖丈：約cm</v>
      </c>
      <c r="Z90" t="str">
        <f t="shared" si="12"/>
        <v>着丈：約cm　肩幅：約cm　身幅：約cm　袖丈：約cm</v>
      </c>
      <c r="AA90" s="77" t="s">
        <v>158</v>
      </c>
      <c r="AC90" s="9"/>
    </row>
    <row r="91" spans="3:29" ht="14.25">
      <c r="C91" s="7" t="str">
        <f t="shared" si="8"/>
        <v>◇ サイズ E</v>
      </c>
      <c r="D91" s="7">
        <f t="shared" si="11"/>
        <v>5.5</v>
      </c>
      <c r="E91" t="s">
        <v>71</v>
      </c>
      <c r="H91" t="str">
        <f>IFERROR(INDEX(コンディションランク!$B$1:$B$6,MATCH($G91,コンディションランク!$A$1:$A$6,0)),"")</f>
        <v/>
      </c>
      <c r="J91" t="s">
        <v>2924</v>
      </c>
      <c r="L91" s="9" t="s">
        <v>3031</v>
      </c>
      <c r="Q91" t="s">
        <v>165</v>
      </c>
      <c r="R91" s="32" t="str">
        <f t="shared" si="9"/>
        <v>◇</v>
      </c>
      <c r="Y91" t="str">
        <f t="shared" si="10"/>
        <v>着丈：約cm　肩幅：約cm　身幅：約cm　袖丈：約cm</v>
      </c>
      <c r="Z91" t="str">
        <f t="shared" si="12"/>
        <v>着丈：約cm　肩幅：約cm　身幅：約cm　袖丈：約cm</v>
      </c>
      <c r="AA91" s="77" t="s">
        <v>158</v>
      </c>
      <c r="AC91" s="9"/>
    </row>
    <row r="92" spans="3:29" ht="14.25">
      <c r="C92" s="7" t="str">
        <f t="shared" si="8"/>
        <v>◇ サイズ E</v>
      </c>
      <c r="D92" s="7">
        <f t="shared" si="11"/>
        <v>5.5</v>
      </c>
      <c r="E92" t="s">
        <v>71</v>
      </c>
      <c r="H92" t="str">
        <f>IFERROR(INDEX(コンディションランク!$B$1:$B$6,MATCH($G92,コンディションランク!$A$1:$A$6,0)),"")</f>
        <v/>
      </c>
      <c r="J92" t="s">
        <v>2924</v>
      </c>
      <c r="L92" s="9" t="s">
        <v>3031</v>
      </c>
      <c r="Q92" t="s">
        <v>165</v>
      </c>
      <c r="R92" s="32" t="str">
        <f t="shared" si="9"/>
        <v>◇</v>
      </c>
      <c r="Y92" t="str">
        <f t="shared" si="10"/>
        <v>着丈：約cm　肩幅：約cm　身幅：約cm　袖丈：約cm</v>
      </c>
      <c r="Z92" t="str">
        <f t="shared" si="12"/>
        <v>着丈：約cm　肩幅：約cm　身幅：約cm　袖丈：約cm</v>
      </c>
      <c r="AA92" s="77" t="s">
        <v>158</v>
      </c>
      <c r="AC92" s="9"/>
    </row>
    <row r="93" spans="3:29" ht="14.25">
      <c r="C93" s="7" t="str">
        <f t="shared" si="8"/>
        <v>◇ サイズ E</v>
      </c>
      <c r="D93" s="7">
        <f t="shared" si="11"/>
        <v>5.5</v>
      </c>
      <c r="E93" t="s">
        <v>71</v>
      </c>
      <c r="H93" t="str">
        <f>IFERROR(INDEX(コンディションランク!$B$1:$B$6,MATCH($G93,コンディションランク!$A$1:$A$6,0)),"")</f>
        <v/>
      </c>
      <c r="J93" t="s">
        <v>2924</v>
      </c>
      <c r="L93" s="9" t="s">
        <v>3031</v>
      </c>
      <c r="Q93" t="s">
        <v>165</v>
      </c>
      <c r="R93" s="32" t="str">
        <f t="shared" si="9"/>
        <v>◇</v>
      </c>
      <c r="Y93" t="str">
        <f t="shared" si="10"/>
        <v>着丈：約cm　肩幅：約cm　身幅：約cm　袖丈：約cm</v>
      </c>
      <c r="Z93" t="str">
        <f t="shared" si="12"/>
        <v>着丈：約cm　肩幅：約cm　身幅：約cm　袖丈：約cm</v>
      </c>
      <c r="AA93" s="77" t="s">
        <v>158</v>
      </c>
      <c r="AC93" s="9"/>
    </row>
    <row r="94" spans="3:29" ht="14.25">
      <c r="C94" s="7" t="str">
        <f t="shared" si="8"/>
        <v>◇ サイズ E</v>
      </c>
      <c r="D94" s="7">
        <f t="shared" si="11"/>
        <v>5.5</v>
      </c>
      <c r="E94" t="s">
        <v>71</v>
      </c>
      <c r="H94" t="str">
        <f>IFERROR(INDEX(コンディションランク!$B$1:$B$6,MATCH($G94,コンディションランク!$A$1:$A$6,0)),"")</f>
        <v/>
      </c>
      <c r="J94" t="s">
        <v>2924</v>
      </c>
      <c r="L94" s="9" t="s">
        <v>3031</v>
      </c>
      <c r="Q94" t="s">
        <v>165</v>
      </c>
      <c r="R94" s="32" t="str">
        <f t="shared" si="9"/>
        <v>◇</v>
      </c>
      <c r="Y94" t="str">
        <f t="shared" si="10"/>
        <v>着丈：約cm　肩幅：約cm　身幅：約cm　袖丈：約cm</v>
      </c>
      <c r="Z94" t="str">
        <f t="shared" si="12"/>
        <v>着丈：約cm　肩幅：約cm　身幅：約cm　袖丈：約cm</v>
      </c>
      <c r="AA94" s="77" t="s">
        <v>158</v>
      </c>
      <c r="AC94" s="9"/>
    </row>
    <row r="95" spans="3:29" ht="14.25">
      <c r="C95" s="7" t="str">
        <f t="shared" si="8"/>
        <v>◇ サイズ E</v>
      </c>
      <c r="D95" s="7">
        <f t="shared" si="11"/>
        <v>5.5</v>
      </c>
      <c r="E95" t="s">
        <v>71</v>
      </c>
      <c r="H95" t="str">
        <f>IFERROR(INDEX(コンディションランク!$B$1:$B$6,MATCH($G95,コンディションランク!$A$1:$A$6,0)),"")</f>
        <v/>
      </c>
      <c r="J95" t="s">
        <v>2924</v>
      </c>
      <c r="L95" s="9" t="s">
        <v>3031</v>
      </c>
      <c r="Q95" t="s">
        <v>165</v>
      </c>
      <c r="R95" s="32" t="str">
        <f t="shared" si="9"/>
        <v>◇</v>
      </c>
      <c r="Y95" t="str">
        <f t="shared" si="10"/>
        <v>着丈：約cm　肩幅：約cm　身幅：約cm　袖丈：約cm</v>
      </c>
      <c r="Z95" t="str">
        <f t="shared" si="12"/>
        <v>着丈：約cm　肩幅：約cm　身幅：約cm　袖丈：約cm</v>
      </c>
      <c r="AA95" s="77" t="s">
        <v>158</v>
      </c>
      <c r="AC95" s="9"/>
    </row>
    <row r="96" spans="3:29" ht="14.25">
      <c r="C96" s="7" t="str">
        <f t="shared" si="8"/>
        <v>◇ サイズ E</v>
      </c>
      <c r="D96" s="7">
        <f t="shared" si="11"/>
        <v>5.5</v>
      </c>
      <c r="E96" t="s">
        <v>71</v>
      </c>
      <c r="H96" t="str">
        <f>IFERROR(INDEX(コンディションランク!$B$1:$B$6,MATCH($G96,コンディションランク!$A$1:$A$6,0)),"")</f>
        <v/>
      </c>
      <c r="J96" t="s">
        <v>2924</v>
      </c>
      <c r="L96" s="9" t="s">
        <v>3031</v>
      </c>
      <c r="Q96" t="s">
        <v>165</v>
      </c>
      <c r="R96" s="32" t="str">
        <f t="shared" si="9"/>
        <v>◇</v>
      </c>
      <c r="Y96" t="str">
        <f t="shared" si="10"/>
        <v>着丈：約cm　肩幅：約cm　身幅：約cm　袖丈：約cm</v>
      </c>
      <c r="Z96" t="str">
        <f t="shared" si="12"/>
        <v>着丈：約cm　肩幅：約cm　身幅：約cm　袖丈：約cm</v>
      </c>
      <c r="AA96" s="77" t="s">
        <v>158</v>
      </c>
      <c r="AC96" s="9"/>
    </row>
    <row r="97" spans="3:29" ht="14.25">
      <c r="C97" s="7" t="str">
        <f t="shared" si="8"/>
        <v>◇ サイズ E</v>
      </c>
      <c r="D97" s="7">
        <f t="shared" si="11"/>
        <v>5.5</v>
      </c>
      <c r="E97" t="s">
        <v>71</v>
      </c>
      <c r="H97" t="str">
        <f>IFERROR(INDEX(コンディションランク!$B$1:$B$6,MATCH($G97,コンディションランク!$A$1:$A$6,0)),"")</f>
        <v/>
      </c>
      <c r="J97" t="s">
        <v>2924</v>
      </c>
      <c r="L97" s="9" t="s">
        <v>3031</v>
      </c>
      <c r="Q97" t="s">
        <v>165</v>
      </c>
      <c r="R97" s="32" t="str">
        <f t="shared" si="9"/>
        <v>◇</v>
      </c>
      <c r="Y97" t="str">
        <f t="shared" si="10"/>
        <v>着丈：約cm　肩幅：約cm　身幅：約cm　袖丈：約cm</v>
      </c>
      <c r="Z97" t="str">
        <f t="shared" si="12"/>
        <v>着丈：約cm　肩幅：約cm　身幅：約cm　袖丈：約cm</v>
      </c>
      <c r="AA97" s="77" t="s">
        <v>158</v>
      </c>
      <c r="AC97" s="9"/>
    </row>
    <row r="98" spans="3:29" ht="14.25">
      <c r="C98" s="7" t="str">
        <f t="shared" ref="C98:C129" si="13">TRIM(R98&amp;" "&amp;S98&amp;" "&amp;T98&amp;" "&amp;U98&amp;" "&amp;V98&amp;" "&amp;W98&amp;" "&amp;L98&amp;" "&amp;K98&amp;" "&amp;X98&amp;EX&amp;" "&amp;B98)</f>
        <v>◇ サイズ E</v>
      </c>
      <c r="D98" s="7">
        <f t="shared" si="11"/>
        <v>5.5</v>
      </c>
      <c r="E98" t="s">
        <v>71</v>
      </c>
      <c r="H98" t="str">
        <f>IFERROR(INDEX(コンディションランク!$B$1:$B$6,MATCH($G98,コンディションランク!$A$1:$A$6,0)),"")</f>
        <v/>
      </c>
      <c r="J98" t="s">
        <v>2924</v>
      </c>
      <c r="L98" s="9" t="s">
        <v>3031</v>
      </c>
      <c r="Q98" t="s">
        <v>165</v>
      </c>
      <c r="R98" s="32" t="str">
        <f t="shared" ref="R98:R129" si="14">IFERROR(VLOOKUP(Q98,梱包サイズ表,2,0),"")</f>
        <v>◇</v>
      </c>
      <c r="Y98" t="str">
        <f t="shared" ref="Y98:Y129" si="15">"着丈：約" &amp;M98&amp; "cm　肩幅：約" &amp;N98&amp; "cm　身幅：約" &amp;O98&amp; "cm　袖丈：約" &amp;P98&amp; "cm"</f>
        <v>着丈：約cm　肩幅：約cm　身幅：約cm　袖丈：約cm</v>
      </c>
      <c r="Z98" t="str">
        <f t="shared" si="12"/>
        <v>着丈：約cm　肩幅：約cm　身幅：約cm　袖丈：約cm</v>
      </c>
      <c r="AA98" s="77" t="s">
        <v>158</v>
      </c>
      <c r="AC98" s="9"/>
    </row>
    <row r="99" spans="3:29" ht="14.25">
      <c r="C99" s="7" t="str">
        <f t="shared" si="13"/>
        <v>◇ サイズ E</v>
      </c>
      <c r="D99" s="7">
        <f t="shared" si="11"/>
        <v>5.5</v>
      </c>
      <c r="E99" t="s">
        <v>71</v>
      </c>
      <c r="H99" t="str">
        <f>IFERROR(INDEX(コンディションランク!$B$1:$B$6,MATCH($G99,コンディションランク!$A$1:$A$6,0)),"")</f>
        <v/>
      </c>
      <c r="J99" t="s">
        <v>2924</v>
      </c>
      <c r="L99" s="9" t="s">
        <v>3031</v>
      </c>
      <c r="Q99" t="s">
        <v>165</v>
      </c>
      <c r="R99" s="32" t="str">
        <f t="shared" si="14"/>
        <v>◇</v>
      </c>
      <c r="Y99" t="str">
        <f t="shared" si="15"/>
        <v>着丈：約cm　肩幅：約cm　身幅：約cm　袖丈：約cm</v>
      </c>
      <c r="Z99" t="str">
        <f t="shared" si="12"/>
        <v>着丈：約cm　肩幅：約cm　身幅：約cm　袖丈：約cm</v>
      </c>
      <c r="AA99" s="77" t="s">
        <v>158</v>
      </c>
      <c r="AC99" s="9"/>
    </row>
    <row r="100" spans="3:29" ht="14.25">
      <c r="C100" s="7" t="str">
        <f t="shared" si="13"/>
        <v>◇ サイズ E</v>
      </c>
      <c r="D100" s="7">
        <f t="shared" si="11"/>
        <v>5.5</v>
      </c>
      <c r="E100" t="s">
        <v>71</v>
      </c>
      <c r="H100" t="str">
        <f>IFERROR(INDEX(コンディションランク!$B$1:$B$6,MATCH($G100,コンディションランク!$A$1:$A$6,0)),"")</f>
        <v/>
      </c>
      <c r="J100" t="s">
        <v>2924</v>
      </c>
      <c r="L100" s="9" t="s">
        <v>3031</v>
      </c>
      <c r="Q100" t="s">
        <v>165</v>
      </c>
      <c r="R100" s="32" t="str">
        <f t="shared" si="14"/>
        <v>◇</v>
      </c>
      <c r="Y100" t="str">
        <f t="shared" si="15"/>
        <v>着丈：約cm　肩幅：約cm　身幅：約cm　袖丈：約cm</v>
      </c>
      <c r="Z100" t="str">
        <f t="shared" si="12"/>
        <v>着丈：約cm　肩幅：約cm　身幅：約cm　袖丈：約cm</v>
      </c>
      <c r="AA100" s="77" t="s">
        <v>158</v>
      </c>
      <c r="AC100" s="9"/>
    </row>
    <row r="101" spans="3:29" ht="14.25">
      <c r="C101" s="7" t="str">
        <f t="shared" si="13"/>
        <v>◇ サイズ E</v>
      </c>
      <c r="D101" s="7">
        <f t="shared" si="11"/>
        <v>5.5</v>
      </c>
      <c r="E101" t="s">
        <v>71</v>
      </c>
      <c r="H101" t="str">
        <f>IFERROR(INDEX(コンディションランク!$B$1:$B$6,MATCH($G101,コンディションランク!$A$1:$A$6,0)),"")</f>
        <v/>
      </c>
      <c r="J101" t="s">
        <v>2924</v>
      </c>
      <c r="L101" s="9" t="s">
        <v>3031</v>
      </c>
      <c r="Q101" t="s">
        <v>165</v>
      </c>
      <c r="R101" s="32" t="str">
        <f t="shared" si="14"/>
        <v>◇</v>
      </c>
      <c r="Y101" t="str">
        <f t="shared" si="15"/>
        <v>着丈：約cm　肩幅：約cm　身幅：約cm　袖丈：約cm</v>
      </c>
      <c r="Z101" t="str">
        <f t="shared" si="12"/>
        <v>着丈：約cm　肩幅：約cm　身幅：約cm　袖丈：約cm</v>
      </c>
      <c r="AA101" s="77" t="s">
        <v>158</v>
      </c>
      <c r="AC101" s="9"/>
    </row>
    <row r="102" spans="3:29" ht="14.25">
      <c r="C102" s="7" t="str">
        <f t="shared" si="13"/>
        <v>◇ サイズ E</v>
      </c>
      <c r="D102" s="7">
        <f t="shared" si="11"/>
        <v>5.5</v>
      </c>
      <c r="E102" t="s">
        <v>71</v>
      </c>
      <c r="H102" t="str">
        <f>IFERROR(INDEX(コンディションランク!$B$1:$B$6,MATCH($G102,コンディションランク!$A$1:$A$6,0)),"")</f>
        <v/>
      </c>
      <c r="J102" t="s">
        <v>2924</v>
      </c>
      <c r="L102" s="9" t="s">
        <v>3031</v>
      </c>
      <c r="Q102" t="s">
        <v>165</v>
      </c>
      <c r="R102" s="32" t="str">
        <f t="shared" si="14"/>
        <v>◇</v>
      </c>
      <c r="Y102" t="str">
        <f t="shared" si="15"/>
        <v>着丈：約cm　肩幅：約cm　身幅：約cm　袖丈：約cm</v>
      </c>
      <c r="Z102" t="str">
        <f t="shared" si="12"/>
        <v>着丈：約cm　肩幅：約cm　身幅：約cm　袖丈：約cm</v>
      </c>
      <c r="AA102" s="77" t="s">
        <v>158</v>
      </c>
      <c r="AC102" s="9"/>
    </row>
    <row r="103" spans="3:29" ht="14.25">
      <c r="C103" s="7" t="str">
        <f t="shared" si="13"/>
        <v>◇ サイズ E</v>
      </c>
      <c r="D103" s="7">
        <f t="shared" si="11"/>
        <v>5.5</v>
      </c>
      <c r="E103" t="s">
        <v>71</v>
      </c>
      <c r="H103" t="str">
        <f>IFERROR(INDEX(コンディションランク!$B$1:$B$6,MATCH($G103,コンディションランク!$A$1:$A$6,0)),"")</f>
        <v/>
      </c>
      <c r="J103" t="s">
        <v>2924</v>
      </c>
      <c r="L103" s="9" t="s">
        <v>3031</v>
      </c>
      <c r="Q103" t="s">
        <v>165</v>
      </c>
      <c r="R103" s="32" t="str">
        <f t="shared" si="14"/>
        <v>◇</v>
      </c>
      <c r="Y103" t="str">
        <f t="shared" si="15"/>
        <v>着丈：約cm　肩幅：約cm　身幅：約cm　袖丈：約cm</v>
      </c>
      <c r="Z103" t="str">
        <f t="shared" si="12"/>
        <v>着丈：約cm　肩幅：約cm　身幅：約cm　袖丈：約cm</v>
      </c>
      <c r="AA103" s="77" t="s">
        <v>158</v>
      </c>
      <c r="AC103" s="9"/>
    </row>
    <row r="104" spans="3:29" ht="14.25">
      <c r="C104" s="7" t="str">
        <f t="shared" si="13"/>
        <v>◇ サイズ E</v>
      </c>
      <c r="D104" s="7">
        <f t="shared" si="11"/>
        <v>5.5</v>
      </c>
      <c r="E104" t="s">
        <v>71</v>
      </c>
      <c r="H104" t="str">
        <f>IFERROR(INDEX(コンディションランク!$B$1:$B$6,MATCH($G104,コンディションランク!$A$1:$A$6,0)),"")</f>
        <v/>
      </c>
      <c r="J104" t="s">
        <v>2924</v>
      </c>
      <c r="L104" s="9" t="s">
        <v>3031</v>
      </c>
      <c r="Q104" t="s">
        <v>165</v>
      </c>
      <c r="R104" s="32" t="str">
        <f t="shared" si="14"/>
        <v>◇</v>
      </c>
      <c r="Y104" t="str">
        <f t="shared" si="15"/>
        <v>着丈：約cm　肩幅：約cm　身幅：約cm　袖丈：約cm</v>
      </c>
      <c r="Z104" t="str">
        <f t="shared" si="12"/>
        <v>着丈：約cm　肩幅：約cm　身幅：約cm　袖丈：約cm</v>
      </c>
      <c r="AA104" s="77" t="s">
        <v>158</v>
      </c>
      <c r="AC104" s="9"/>
    </row>
    <row r="105" spans="3:29" ht="14.25">
      <c r="C105" s="7" t="str">
        <f t="shared" si="13"/>
        <v>◇ サイズ E</v>
      </c>
      <c r="D105" s="7">
        <f t="shared" si="11"/>
        <v>5.5</v>
      </c>
      <c r="E105" t="s">
        <v>71</v>
      </c>
      <c r="H105" t="str">
        <f>IFERROR(INDEX(コンディションランク!$B$1:$B$6,MATCH($G105,コンディションランク!$A$1:$A$6,0)),"")</f>
        <v/>
      </c>
      <c r="J105" t="s">
        <v>2924</v>
      </c>
      <c r="L105" s="9" t="s">
        <v>3031</v>
      </c>
      <c r="Q105" t="s">
        <v>165</v>
      </c>
      <c r="R105" s="32" t="str">
        <f t="shared" si="14"/>
        <v>◇</v>
      </c>
      <c r="Y105" t="str">
        <f t="shared" si="15"/>
        <v>着丈：約cm　肩幅：約cm　身幅：約cm　袖丈：約cm</v>
      </c>
      <c r="Z105" t="str">
        <f t="shared" si="12"/>
        <v>着丈：約cm　肩幅：約cm　身幅：約cm　袖丈：約cm</v>
      </c>
      <c r="AA105" s="77" t="s">
        <v>158</v>
      </c>
      <c r="AC105" s="9"/>
    </row>
    <row r="106" spans="3:29" ht="14.25">
      <c r="C106" s="7" t="str">
        <f t="shared" si="13"/>
        <v>◇ サイズ E</v>
      </c>
      <c r="D106" s="7">
        <f t="shared" si="11"/>
        <v>5.5</v>
      </c>
      <c r="E106" t="s">
        <v>71</v>
      </c>
      <c r="H106" t="str">
        <f>IFERROR(INDEX(コンディションランク!$B$1:$B$6,MATCH($G106,コンディションランク!$A$1:$A$6,0)),"")</f>
        <v/>
      </c>
      <c r="J106" t="s">
        <v>2924</v>
      </c>
      <c r="L106" s="9" t="s">
        <v>3031</v>
      </c>
      <c r="Q106" t="s">
        <v>165</v>
      </c>
      <c r="R106" s="32" t="str">
        <f t="shared" si="14"/>
        <v>◇</v>
      </c>
      <c r="Y106" t="str">
        <f t="shared" si="15"/>
        <v>着丈：約cm　肩幅：約cm　身幅：約cm　袖丈：約cm</v>
      </c>
      <c r="Z106" t="str">
        <f t="shared" si="12"/>
        <v>着丈：約cm　肩幅：約cm　身幅：約cm　袖丈：約cm</v>
      </c>
      <c r="AA106" s="77" t="s">
        <v>158</v>
      </c>
      <c r="AC106" s="9"/>
    </row>
    <row r="107" spans="3:29" ht="14.25">
      <c r="C107" s="7" t="str">
        <f t="shared" si="13"/>
        <v>◇ サイズ E</v>
      </c>
      <c r="D107" s="7">
        <f t="shared" si="11"/>
        <v>5.5</v>
      </c>
      <c r="E107" t="s">
        <v>71</v>
      </c>
      <c r="H107" t="str">
        <f>IFERROR(INDEX(コンディションランク!$B$1:$B$6,MATCH($G107,コンディションランク!$A$1:$A$6,0)),"")</f>
        <v/>
      </c>
      <c r="J107" t="s">
        <v>2924</v>
      </c>
      <c r="L107" s="9" t="s">
        <v>3031</v>
      </c>
      <c r="Q107" t="s">
        <v>165</v>
      </c>
      <c r="R107" s="32" t="str">
        <f t="shared" si="14"/>
        <v>◇</v>
      </c>
      <c r="Y107" t="str">
        <f t="shared" si="15"/>
        <v>着丈：約cm　肩幅：約cm　身幅：約cm　袖丈：約cm</v>
      </c>
      <c r="Z107" t="str">
        <f t="shared" si="12"/>
        <v>着丈：約cm　肩幅：約cm　身幅：約cm　袖丈：約cm</v>
      </c>
      <c r="AA107" s="77" t="s">
        <v>158</v>
      </c>
      <c r="AC107" s="9"/>
    </row>
    <row r="108" spans="3:29" ht="14.25">
      <c r="C108" s="7" t="str">
        <f t="shared" si="13"/>
        <v>◇ サイズ E</v>
      </c>
      <c r="D108" s="7">
        <f t="shared" si="11"/>
        <v>5.5</v>
      </c>
      <c r="E108" t="s">
        <v>71</v>
      </c>
      <c r="H108" t="str">
        <f>IFERROR(INDEX(コンディションランク!$B$1:$B$6,MATCH($G108,コンディションランク!$A$1:$A$6,0)),"")</f>
        <v/>
      </c>
      <c r="J108" t="s">
        <v>2924</v>
      </c>
      <c r="L108" s="9" t="s">
        <v>3031</v>
      </c>
      <c r="Q108" t="s">
        <v>165</v>
      </c>
      <c r="R108" s="32" t="str">
        <f t="shared" si="14"/>
        <v>◇</v>
      </c>
      <c r="Y108" t="str">
        <f t="shared" si="15"/>
        <v>着丈：約cm　肩幅：約cm　身幅：約cm　袖丈：約cm</v>
      </c>
      <c r="Z108" t="str">
        <f t="shared" si="12"/>
        <v>着丈：約cm　肩幅：約cm　身幅：約cm　袖丈：約cm</v>
      </c>
      <c r="AA108" s="77" t="s">
        <v>158</v>
      </c>
      <c r="AC108" s="9"/>
    </row>
    <row r="109" spans="3:29" ht="14.25">
      <c r="C109" s="7" t="str">
        <f t="shared" si="13"/>
        <v>◇ サイズ E</v>
      </c>
      <c r="D109" s="7">
        <f t="shared" si="11"/>
        <v>5.5</v>
      </c>
      <c r="E109" t="s">
        <v>71</v>
      </c>
      <c r="H109" t="str">
        <f>IFERROR(INDEX(コンディションランク!$B$1:$B$6,MATCH($G109,コンディションランク!$A$1:$A$6,0)),"")</f>
        <v/>
      </c>
      <c r="J109" t="s">
        <v>2924</v>
      </c>
      <c r="L109" s="9" t="s">
        <v>3031</v>
      </c>
      <c r="Q109" t="s">
        <v>165</v>
      </c>
      <c r="R109" s="32" t="str">
        <f t="shared" si="14"/>
        <v>◇</v>
      </c>
      <c r="Y109" t="str">
        <f t="shared" si="15"/>
        <v>着丈：約cm　肩幅：約cm　身幅：約cm　袖丈：約cm</v>
      </c>
      <c r="Z109" t="str">
        <f t="shared" si="12"/>
        <v>着丈：約cm　肩幅：約cm　身幅：約cm　袖丈：約cm</v>
      </c>
      <c r="AA109" s="77" t="s">
        <v>158</v>
      </c>
      <c r="AC109" s="9"/>
    </row>
    <row r="110" spans="3:29" ht="14.25">
      <c r="C110" s="7" t="str">
        <f t="shared" si="13"/>
        <v>◇ サイズ E</v>
      </c>
      <c r="D110" s="7">
        <f t="shared" si="11"/>
        <v>5.5</v>
      </c>
      <c r="E110" t="s">
        <v>71</v>
      </c>
      <c r="H110" t="str">
        <f>IFERROR(INDEX(コンディションランク!$B$1:$B$6,MATCH($G110,コンディションランク!$A$1:$A$6,0)),"")</f>
        <v/>
      </c>
      <c r="J110" t="s">
        <v>2924</v>
      </c>
      <c r="L110" s="9" t="s">
        <v>3031</v>
      </c>
      <c r="Q110" t="s">
        <v>165</v>
      </c>
      <c r="R110" s="32" t="str">
        <f t="shared" si="14"/>
        <v>◇</v>
      </c>
      <c r="Y110" t="str">
        <f t="shared" si="15"/>
        <v>着丈：約cm　肩幅：約cm　身幅：約cm　袖丈：約cm</v>
      </c>
      <c r="Z110" t="str">
        <f t="shared" si="12"/>
        <v>着丈：約cm　肩幅：約cm　身幅：約cm　袖丈：約cm</v>
      </c>
      <c r="AA110" s="77" t="s">
        <v>158</v>
      </c>
      <c r="AC110" s="9"/>
    </row>
    <row r="111" spans="3:29" ht="14.25">
      <c r="C111" s="7" t="str">
        <f t="shared" si="13"/>
        <v>◇ サイズ E</v>
      </c>
      <c r="D111" s="7">
        <f t="shared" si="11"/>
        <v>5.5</v>
      </c>
      <c r="E111" t="s">
        <v>71</v>
      </c>
      <c r="H111" t="str">
        <f>IFERROR(INDEX(コンディションランク!$B$1:$B$6,MATCH($G111,コンディションランク!$A$1:$A$6,0)),"")</f>
        <v/>
      </c>
      <c r="J111" t="s">
        <v>2924</v>
      </c>
      <c r="L111" s="9" t="s">
        <v>3031</v>
      </c>
      <c r="Q111" t="s">
        <v>165</v>
      </c>
      <c r="R111" s="32" t="str">
        <f t="shared" si="14"/>
        <v>◇</v>
      </c>
      <c r="Y111" t="str">
        <f t="shared" si="15"/>
        <v>着丈：約cm　肩幅：約cm　身幅：約cm　袖丈：約cm</v>
      </c>
      <c r="Z111" t="str">
        <f t="shared" si="12"/>
        <v>着丈：約cm　肩幅：約cm　身幅：約cm　袖丈：約cm</v>
      </c>
      <c r="AA111" s="77" t="s">
        <v>158</v>
      </c>
      <c r="AC111" s="9"/>
    </row>
    <row r="112" spans="3:29" ht="14.25">
      <c r="C112" s="7" t="str">
        <f t="shared" si="13"/>
        <v>◇ サイズ E</v>
      </c>
      <c r="D112" s="7">
        <f t="shared" si="11"/>
        <v>5.5</v>
      </c>
      <c r="E112" t="s">
        <v>71</v>
      </c>
      <c r="H112" t="str">
        <f>IFERROR(INDEX(コンディションランク!$B$1:$B$6,MATCH($G112,コンディションランク!$A$1:$A$6,0)),"")</f>
        <v/>
      </c>
      <c r="J112" t="s">
        <v>2924</v>
      </c>
      <c r="L112" s="9" t="s">
        <v>3031</v>
      </c>
      <c r="Q112" t="s">
        <v>165</v>
      </c>
      <c r="R112" s="32" t="str">
        <f t="shared" si="14"/>
        <v>◇</v>
      </c>
      <c r="Y112" t="str">
        <f t="shared" si="15"/>
        <v>着丈：約cm　肩幅：約cm　身幅：約cm　袖丈：約cm</v>
      </c>
      <c r="Z112" t="str">
        <f t="shared" si="12"/>
        <v>着丈：約cm　肩幅：約cm　身幅：約cm　袖丈：約cm</v>
      </c>
      <c r="AA112" s="77" t="s">
        <v>158</v>
      </c>
      <c r="AC112" s="9"/>
    </row>
    <row r="113" spans="3:29" ht="14.25">
      <c r="C113" s="7" t="str">
        <f t="shared" si="13"/>
        <v>◇ サイズ E</v>
      </c>
      <c r="D113" s="7">
        <f t="shared" si="11"/>
        <v>5.5</v>
      </c>
      <c r="E113" t="s">
        <v>71</v>
      </c>
      <c r="H113" t="str">
        <f>IFERROR(INDEX(コンディションランク!$B$1:$B$6,MATCH($G113,コンディションランク!$A$1:$A$6,0)),"")</f>
        <v/>
      </c>
      <c r="J113" t="s">
        <v>2924</v>
      </c>
      <c r="L113" s="9" t="s">
        <v>3031</v>
      </c>
      <c r="Q113" t="s">
        <v>165</v>
      </c>
      <c r="R113" s="32" t="str">
        <f t="shared" si="14"/>
        <v>◇</v>
      </c>
      <c r="Y113" t="str">
        <f t="shared" si="15"/>
        <v>着丈：約cm　肩幅：約cm　身幅：約cm　袖丈：約cm</v>
      </c>
      <c r="Z113" t="str">
        <f t="shared" si="12"/>
        <v>着丈：約cm　肩幅：約cm　身幅：約cm　袖丈：約cm</v>
      </c>
      <c r="AA113" s="77" t="s">
        <v>158</v>
      </c>
      <c r="AC113" s="9"/>
    </row>
    <row r="114" spans="3:29" ht="14.25">
      <c r="C114" s="7" t="str">
        <f t="shared" si="13"/>
        <v>◇ サイズ E</v>
      </c>
      <c r="D114" s="7">
        <f t="shared" si="11"/>
        <v>5.5</v>
      </c>
      <c r="E114" t="s">
        <v>71</v>
      </c>
      <c r="H114" t="str">
        <f>IFERROR(INDEX(コンディションランク!$B$1:$B$6,MATCH($G114,コンディションランク!$A$1:$A$6,0)),"")</f>
        <v/>
      </c>
      <c r="J114" t="s">
        <v>2924</v>
      </c>
      <c r="L114" s="9" t="s">
        <v>3031</v>
      </c>
      <c r="Q114" t="s">
        <v>165</v>
      </c>
      <c r="R114" s="32" t="str">
        <f t="shared" si="14"/>
        <v>◇</v>
      </c>
      <c r="Y114" t="str">
        <f t="shared" si="15"/>
        <v>着丈：約cm　肩幅：約cm　身幅：約cm　袖丈：約cm</v>
      </c>
      <c r="Z114" t="str">
        <f t="shared" si="12"/>
        <v>着丈：約cm　肩幅：約cm　身幅：約cm　袖丈：約cm</v>
      </c>
      <c r="AA114" s="77" t="s">
        <v>158</v>
      </c>
      <c r="AC114" s="9"/>
    </row>
    <row r="115" spans="3:29" ht="14.25">
      <c r="C115" s="7" t="str">
        <f t="shared" si="13"/>
        <v>◇ サイズ E</v>
      </c>
      <c r="D115" s="7">
        <f t="shared" si="11"/>
        <v>5.5</v>
      </c>
      <c r="E115" t="s">
        <v>71</v>
      </c>
      <c r="H115" t="str">
        <f>IFERROR(INDEX(コンディションランク!$B$1:$B$6,MATCH($G115,コンディションランク!$A$1:$A$6,0)),"")</f>
        <v/>
      </c>
      <c r="J115" t="s">
        <v>2924</v>
      </c>
      <c r="L115" s="9" t="s">
        <v>3031</v>
      </c>
      <c r="Q115" t="s">
        <v>165</v>
      </c>
      <c r="R115" s="32" t="str">
        <f t="shared" si="14"/>
        <v>◇</v>
      </c>
      <c r="Y115" t="str">
        <f t="shared" si="15"/>
        <v>着丈：約cm　肩幅：約cm　身幅：約cm　袖丈：約cm</v>
      </c>
      <c r="Z115" t="str">
        <f t="shared" si="12"/>
        <v>着丈：約cm　肩幅：約cm　身幅：約cm　袖丈：約cm</v>
      </c>
      <c r="AA115" s="77" t="s">
        <v>158</v>
      </c>
      <c r="AC115" s="9"/>
    </row>
    <row r="116" spans="3:29" ht="14.25">
      <c r="C116" s="7" t="str">
        <f t="shared" si="13"/>
        <v>◇ サイズ E</v>
      </c>
      <c r="D116" s="7">
        <f t="shared" si="11"/>
        <v>5.5</v>
      </c>
      <c r="E116" t="s">
        <v>71</v>
      </c>
      <c r="H116" t="str">
        <f>IFERROR(INDEX(コンディションランク!$B$1:$B$6,MATCH($G116,コンディションランク!$A$1:$A$6,0)),"")</f>
        <v/>
      </c>
      <c r="J116" t="s">
        <v>2924</v>
      </c>
      <c r="L116" s="9" t="s">
        <v>3031</v>
      </c>
      <c r="Q116" t="s">
        <v>165</v>
      </c>
      <c r="R116" s="32" t="str">
        <f t="shared" si="14"/>
        <v>◇</v>
      </c>
      <c r="Y116" t="str">
        <f t="shared" si="15"/>
        <v>着丈：約cm　肩幅：約cm　身幅：約cm　袖丈：約cm</v>
      </c>
      <c r="Z116" t="str">
        <f t="shared" si="12"/>
        <v>着丈：約cm　肩幅：約cm　身幅：約cm　袖丈：約cm</v>
      </c>
      <c r="AA116" s="77" t="s">
        <v>158</v>
      </c>
      <c r="AC116" s="9"/>
    </row>
    <row r="117" spans="3:29" ht="14.25">
      <c r="C117" s="7" t="str">
        <f t="shared" si="13"/>
        <v>◇ サイズ E</v>
      </c>
      <c r="D117" s="7">
        <f t="shared" si="11"/>
        <v>5.5</v>
      </c>
      <c r="E117" t="s">
        <v>71</v>
      </c>
      <c r="H117" t="str">
        <f>IFERROR(INDEX(コンディションランク!$B$1:$B$6,MATCH($G117,コンディションランク!$A$1:$A$6,0)),"")</f>
        <v/>
      </c>
      <c r="J117" t="s">
        <v>2924</v>
      </c>
      <c r="L117" s="9" t="s">
        <v>3031</v>
      </c>
      <c r="Q117" t="s">
        <v>165</v>
      </c>
      <c r="R117" s="32" t="str">
        <f t="shared" si="14"/>
        <v>◇</v>
      </c>
      <c r="Y117" t="str">
        <f t="shared" si="15"/>
        <v>着丈：約cm　肩幅：約cm　身幅：約cm　袖丈：約cm</v>
      </c>
      <c r="Z117" t="str">
        <f t="shared" si="12"/>
        <v>着丈：約cm　肩幅：約cm　身幅：約cm　袖丈：約cm</v>
      </c>
      <c r="AA117" s="77" t="s">
        <v>158</v>
      </c>
      <c r="AC117" s="9"/>
    </row>
    <row r="118" spans="3:29" ht="14.25">
      <c r="C118" s="7" t="str">
        <f t="shared" si="13"/>
        <v>◇ サイズ E</v>
      </c>
      <c r="D118" s="7">
        <f t="shared" si="11"/>
        <v>5.5</v>
      </c>
      <c r="E118" t="s">
        <v>71</v>
      </c>
      <c r="H118" t="str">
        <f>IFERROR(INDEX(コンディションランク!$B$1:$B$6,MATCH($G118,コンディションランク!$A$1:$A$6,0)),"")</f>
        <v/>
      </c>
      <c r="J118" t="s">
        <v>2924</v>
      </c>
      <c r="L118" s="9" t="s">
        <v>3031</v>
      </c>
      <c r="Q118" t="s">
        <v>165</v>
      </c>
      <c r="R118" s="32" t="str">
        <f t="shared" si="14"/>
        <v>◇</v>
      </c>
      <c r="Y118" t="str">
        <f t="shared" si="15"/>
        <v>着丈：約cm　肩幅：約cm　身幅：約cm　袖丈：約cm</v>
      </c>
      <c r="Z118" t="str">
        <f t="shared" si="12"/>
        <v>着丈：約cm　肩幅：約cm　身幅：約cm　袖丈：約cm</v>
      </c>
      <c r="AA118" s="77" t="s">
        <v>158</v>
      </c>
      <c r="AC118" s="9"/>
    </row>
    <row r="119" spans="3:29" ht="14.25">
      <c r="C119" s="7" t="str">
        <f t="shared" si="13"/>
        <v>◇ サイズ E</v>
      </c>
      <c r="D119" s="7">
        <f t="shared" si="11"/>
        <v>5.5</v>
      </c>
      <c r="E119" t="s">
        <v>71</v>
      </c>
      <c r="H119" t="str">
        <f>IFERROR(INDEX(コンディションランク!$B$1:$B$6,MATCH($G119,コンディションランク!$A$1:$A$6,0)),"")</f>
        <v/>
      </c>
      <c r="J119" t="s">
        <v>2924</v>
      </c>
      <c r="L119" s="9" t="s">
        <v>3031</v>
      </c>
      <c r="Q119" t="s">
        <v>165</v>
      </c>
      <c r="R119" s="32" t="str">
        <f t="shared" si="14"/>
        <v>◇</v>
      </c>
      <c r="Y119" t="str">
        <f t="shared" si="15"/>
        <v>着丈：約cm　肩幅：約cm　身幅：約cm　袖丈：約cm</v>
      </c>
      <c r="Z119" t="str">
        <f t="shared" si="12"/>
        <v>着丈：約cm　肩幅：約cm　身幅：約cm　袖丈：約cm</v>
      </c>
      <c r="AA119" s="77" t="s">
        <v>158</v>
      </c>
      <c r="AC119" s="9"/>
    </row>
    <row r="120" spans="3:29" ht="14.25">
      <c r="C120" s="7" t="str">
        <f t="shared" si="13"/>
        <v>◇ サイズ E</v>
      </c>
      <c r="D120" s="7">
        <f t="shared" si="11"/>
        <v>5.5</v>
      </c>
      <c r="E120" t="s">
        <v>71</v>
      </c>
      <c r="H120" t="str">
        <f>IFERROR(INDEX(コンディションランク!$B$1:$B$6,MATCH($G120,コンディションランク!$A$1:$A$6,0)),"")</f>
        <v/>
      </c>
      <c r="J120" t="s">
        <v>2924</v>
      </c>
      <c r="L120" s="9" t="s">
        <v>3031</v>
      </c>
      <c r="Q120" t="s">
        <v>165</v>
      </c>
      <c r="R120" s="32" t="str">
        <f t="shared" si="14"/>
        <v>◇</v>
      </c>
      <c r="Y120" t="str">
        <f t="shared" si="15"/>
        <v>着丈：約cm　肩幅：約cm　身幅：約cm　袖丈：約cm</v>
      </c>
      <c r="Z120" t="str">
        <f t="shared" si="12"/>
        <v>着丈：約cm　肩幅：約cm　身幅：約cm　袖丈：約cm</v>
      </c>
      <c r="AA120" s="77" t="s">
        <v>158</v>
      </c>
      <c r="AC120" s="9"/>
    </row>
    <row r="121" spans="3:29" ht="14.25">
      <c r="C121" s="7" t="str">
        <f t="shared" si="13"/>
        <v>◇ サイズ E</v>
      </c>
      <c r="D121" s="7">
        <f t="shared" si="11"/>
        <v>5.5</v>
      </c>
      <c r="E121" t="s">
        <v>71</v>
      </c>
      <c r="H121" t="str">
        <f>IFERROR(INDEX(コンディションランク!$B$1:$B$6,MATCH($G121,コンディションランク!$A$1:$A$6,0)),"")</f>
        <v/>
      </c>
      <c r="J121" t="s">
        <v>2924</v>
      </c>
      <c r="L121" s="9" t="s">
        <v>3031</v>
      </c>
      <c r="Q121" t="s">
        <v>165</v>
      </c>
      <c r="R121" s="32" t="str">
        <f t="shared" si="14"/>
        <v>◇</v>
      </c>
      <c r="Y121" t="str">
        <f t="shared" si="15"/>
        <v>着丈：約cm　肩幅：約cm　身幅：約cm　袖丈：約cm</v>
      </c>
      <c r="Z121" t="str">
        <f t="shared" si="12"/>
        <v>着丈：約cm　肩幅：約cm　身幅：約cm　袖丈：約cm</v>
      </c>
      <c r="AA121" s="77" t="s">
        <v>158</v>
      </c>
      <c r="AC121" s="9"/>
    </row>
    <row r="122" spans="3:29" ht="14.25">
      <c r="C122" s="7" t="str">
        <f t="shared" si="13"/>
        <v>◇ サイズ E</v>
      </c>
      <c r="D122" s="7">
        <f t="shared" si="11"/>
        <v>5.5</v>
      </c>
      <c r="E122" t="s">
        <v>71</v>
      </c>
      <c r="H122" t="str">
        <f>IFERROR(INDEX(コンディションランク!$B$1:$B$6,MATCH($G122,コンディションランク!$A$1:$A$6,0)),"")</f>
        <v/>
      </c>
      <c r="J122" t="s">
        <v>2924</v>
      </c>
      <c r="L122" s="9" t="s">
        <v>3031</v>
      </c>
      <c r="Q122" t="s">
        <v>165</v>
      </c>
      <c r="R122" s="32" t="str">
        <f t="shared" si="14"/>
        <v>◇</v>
      </c>
      <c r="Y122" t="str">
        <f t="shared" si="15"/>
        <v>着丈：約cm　肩幅：約cm　身幅：約cm　袖丈：約cm</v>
      </c>
      <c r="Z122" t="str">
        <f t="shared" si="12"/>
        <v>着丈：約cm　肩幅：約cm　身幅：約cm　袖丈：約cm</v>
      </c>
      <c r="AA122" s="77" t="s">
        <v>158</v>
      </c>
      <c r="AC122" s="9"/>
    </row>
    <row r="123" spans="3:29" ht="14.25">
      <c r="C123" s="7" t="str">
        <f t="shared" si="13"/>
        <v>◇ サイズ E</v>
      </c>
      <c r="D123" s="7">
        <f t="shared" si="11"/>
        <v>5.5</v>
      </c>
      <c r="E123" t="s">
        <v>71</v>
      </c>
      <c r="H123" t="str">
        <f>IFERROR(INDEX(コンディションランク!$B$1:$B$6,MATCH($G123,コンディションランク!$A$1:$A$6,0)),"")</f>
        <v/>
      </c>
      <c r="J123" t="s">
        <v>2924</v>
      </c>
      <c r="L123" s="9" t="s">
        <v>3031</v>
      </c>
      <c r="Q123" t="s">
        <v>165</v>
      </c>
      <c r="R123" s="32" t="str">
        <f t="shared" si="14"/>
        <v>◇</v>
      </c>
      <c r="Y123" t="str">
        <f t="shared" si="15"/>
        <v>着丈：約cm　肩幅：約cm　身幅：約cm　袖丈：約cm</v>
      </c>
      <c r="Z123" t="str">
        <f t="shared" si="12"/>
        <v>着丈：約cm　肩幅：約cm　身幅：約cm　袖丈：約cm</v>
      </c>
      <c r="AA123" s="77" t="s">
        <v>158</v>
      </c>
      <c r="AC123" s="9"/>
    </row>
    <row r="124" spans="3:29" ht="14.25">
      <c r="C124" s="7" t="str">
        <f t="shared" si="13"/>
        <v>◇ サイズ E</v>
      </c>
      <c r="D124" s="7">
        <f t="shared" si="11"/>
        <v>5.5</v>
      </c>
      <c r="E124" t="s">
        <v>71</v>
      </c>
      <c r="H124" t="str">
        <f>IFERROR(INDEX(コンディションランク!$B$1:$B$6,MATCH($G124,コンディションランク!$A$1:$A$6,0)),"")</f>
        <v/>
      </c>
      <c r="J124" t="s">
        <v>2924</v>
      </c>
      <c r="L124" s="9" t="s">
        <v>3031</v>
      </c>
      <c r="Q124" t="s">
        <v>165</v>
      </c>
      <c r="R124" s="32" t="str">
        <f t="shared" si="14"/>
        <v>◇</v>
      </c>
      <c r="Y124" t="str">
        <f t="shared" si="15"/>
        <v>着丈：約cm　肩幅：約cm　身幅：約cm　袖丈：約cm</v>
      </c>
      <c r="Z124" t="str">
        <f t="shared" si="12"/>
        <v>着丈：約cm　肩幅：約cm　身幅：約cm　袖丈：約cm</v>
      </c>
      <c r="AA124" s="77" t="s">
        <v>158</v>
      </c>
      <c r="AC124" s="9"/>
    </row>
    <row r="125" spans="3:29" ht="14.25">
      <c r="C125" s="7" t="str">
        <f t="shared" si="13"/>
        <v>◇ サイズ E</v>
      </c>
      <c r="D125" s="7">
        <f t="shared" si="11"/>
        <v>5.5</v>
      </c>
      <c r="E125" t="s">
        <v>71</v>
      </c>
      <c r="H125" t="str">
        <f>IFERROR(INDEX(コンディションランク!$B$1:$B$6,MATCH($G125,コンディションランク!$A$1:$A$6,0)),"")</f>
        <v/>
      </c>
      <c r="J125" t="s">
        <v>2924</v>
      </c>
      <c r="L125" s="9" t="s">
        <v>3031</v>
      </c>
      <c r="Q125" t="s">
        <v>165</v>
      </c>
      <c r="R125" s="32" t="str">
        <f t="shared" si="14"/>
        <v>◇</v>
      </c>
      <c r="Y125" t="str">
        <f t="shared" si="15"/>
        <v>着丈：約cm　肩幅：約cm　身幅：約cm　袖丈：約cm</v>
      </c>
      <c r="Z125" t="str">
        <f t="shared" si="12"/>
        <v>着丈：約cm　肩幅：約cm　身幅：約cm　袖丈：約cm</v>
      </c>
      <c r="AA125" s="77" t="s">
        <v>158</v>
      </c>
      <c r="AC125" s="9"/>
    </row>
    <row r="126" spans="3:29" ht="14.25">
      <c r="C126" s="7" t="str">
        <f t="shared" si="13"/>
        <v>◇ サイズ E</v>
      </c>
      <c r="D126" s="7">
        <f t="shared" si="11"/>
        <v>5.5</v>
      </c>
      <c r="E126" t="s">
        <v>71</v>
      </c>
      <c r="H126" t="str">
        <f>IFERROR(INDEX(コンディションランク!$B$1:$B$6,MATCH($G126,コンディションランク!$A$1:$A$6,0)),"")</f>
        <v/>
      </c>
      <c r="J126" t="s">
        <v>2924</v>
      </c>
      <c r="L126" s="9" t="s">
        <v>3031</v>
      </c>
      <c r="Q126" t="s">
        <v>165</v>
      </c>
      <c r="R126" s="32" t="str">
        <f t="shared" si="14"/>
        <v>◇</v>
      </c>
      <c r="Y126" t="str">
        <f t="shared" si="15"/>
        <v>着丈：約cm　肩幅：約cm　身幅：約cm　袖丈：約cm</v>
      </c>
      <c r="Z126" t="str">
        <f t="shared" si="12"/>
        <v>着丈：約cm　肩幅：約cm　身幅：約cm　袖丈：約cm</v>
      </c>
      <c r="AA126" s="77" t="s">
        <v>158</v>
      </c>
      <c r="AC126" s="9"/>
    </row>
    <row r="127" spans="3:29" ht="14.25">
      <c r="C127" s="7" t="str">
        <f t="shared" si="13"/>
        <v>◇ サイズ E</v>
      </c>
      <c r="D127" s="7">
        <f t="shared" si="11"/>
        <v>5.5</v>
      </c>
      <c r="E127" t="s">
        <v>71</v>
      </c>
      <c r="H127" t="str">
        <f>IFERROR(INDEX(コンディションランク!$B$1:$B$6,MATCH($G127,コンディションランク!$A$1:$A$6,0)),"")</f>
        <v/>
      </c>
      <c r="J127" t="s">
        <v>2924</v>
      </c>
      <c r="L127" s="9" t="s">
        <v>3031</v>
      </c>
      <c r="Q127" t="s">
        <v>165</v>
      </c>
      <c r="R127" s="32" t="str">
        <f t="shared" si="14"/>
        <v>◇</v>
      </c>
      <c r="Y127" t="str">
        <f t="shared" si="15"/>
        <v>着丈：約cm　肩幅：約cm　身幅：約cm　袖丈：約cm</v>
      </c>
      <c r="Z127" t="str">
        <f t="shared" si="12"/>
        <v>着丈：約cm　肩幅：約cm　身幅：約cm　袖丈：約cm</v>
      </c>
      <c r="AA127" s="77" t="s">
        <v>158</v>
      </c>
      <c r="AC127" s="9"/>
    </row>
    <row r="128" spans="3:29" ht="14.25">
      <c r="C128" s="7" t="str">
        <f t="shared" si="13"/>
        <v>◇ サイズ E</v>
      </c>
      <c r="D128" s="7">
        <f t="shared" si="11"/>
        <v>5.5</v>
      </c>
      <c r="E128" t="s">
        <v>71</v>
      </c>
      <c r="H128" t="str">
        <f>IFERROR(INDEX(コンディションランク!$B$1:$B$6,MATCH($G128,コンディションランク!$A$1:$A$6,0)),"")</f>
        <v/>
      </c>
      <c r="J128" t="s">
        <v>2924</v>
      </c>
      <c r="L128" s="9" t="s">
        <v>3031</v>
      </c>
      <c r="Q128" t="s">
        <v>165</v>
      </c>
      <c r="R128" s="32" t="str">
        <f t="shared" si="14"/>
        <v>◇</v>
      </c>
      <c r="Y128" t="str">
        <f t="shared" si="15"/>
        <v>着丈：約cm　肩幅：約cm　身幅：約cm　袖丈：約cm</v>
      </c>
      <c r="Z128" t="str">
        <f t="shared" si="12"/>
        <v>着丈：約cm　肩幅：約cm　身幅：約cm　袖丈：約cm</v>
      </c>
      <c r="AA128" s="77" t="s">
        <v>158</v>
      </c>
      <c r="AC128" s="9"/>
    </row>
    <row r="129" spans="3:29" ht="14.25">
      <c r="C129" s="7" t="str">
        <f t="shared" si="13"/>
        <v>◇ サイズ E</v>
      </c>
      <c r="D129" s="7">
        <f t="shared" si="11"/>
        <v>5.5</v>
      </c>
      <c r="E129" t="s">
        <v>71</v>
      </c>
      <c r="H129" t="str">
        <f>IFERROR(INDEX(コンディションランク!$B$1:$B$6,MATCH($G129,コンディションランク!$A$1:$A$6,0)),"")</f>
        <v/>
      </c>
      <c r="J129" t="s">
        <v>2924</v>
      </c>
      <c r="L129" s="9" t="s">
        <v>3031</v>
      </c>
      <c r="Q129" t="s">
        <v>165</v>
      </c>
      <c r="R129" s="32" t="str">
        <f t="shared" si="14"/>
        <v>◇</v>
      </c>
      <c r="Y129" t="str">
        <f t="shared" si="15"/>
        <v>着丈：約cm　肩幅：約cm　身幅：約cm　袖丈：約cm</v>
      </c>
      <c r="Z129" t="str">
        <f t="shared" si="12"/>
        <v>着丈：約cm　肩幅：約cm　身幅：約cm　袖丈：約cm</v>
      </c>
      <c r="AA129" s="77" t="s">
        <v>158</v>
      </c>
      <c r="AC129" s="9"/>
    </row>
    <row r="130" spans="3:29" ht="14.25">
      <c r="C130" s="7" t="str">
        <f t="shared" ref="C130:C150" si="16">TRIM(R130&amp;" "&amp;S130&amp;" "&amp;T130&amp;" "&amp;U130&amp;" "&amp;V130&amp;" "&amp;W130&amp;" "&amp;L130&amp;" "&amp;K130&amp;" "&amp;X130&amp;EX&amp;" "&amp;B130)</f>
        <v>◇ サイズ E</v>
      </c>
      <c r="D130" s="7">
        <f t="shared" si="11"/>
        <v>5.5</v>
      </c>
      <c r="E130" t="s">
        <v>71</v>
      </c>
      <c r="H130" t="str">
        <f>IFERROR(INDEX(コンディションランク!$B$1:$B$6,MATCH($G130,コンディションランク!$A$1:$A$6,0)),"")</f>
        <v/>
      </c>
      <c r="J130" t="s">
        <v>2924</v>
      </c>
      <c r="L130" s="9" t="s">
        <v>3031</v>
      </c>
      <c r="Q130" t="s">
        <v>165</v>
      </c>
      <c r="R130" s="32" t="str">
        <f t="shared" ref="R130:R150" si="17">IFERROR(VLOOKUP(Q130,梱包サイズ表,2,0),"")</f>
        <v>◇</v>
      </c>
      <c r="Y130" t="str">
        <f t="shared" ref="Y130:Y150" si="18">"着丈：約" &amp;M130&amp; "cm　肩幅：約" &amp;N130&amp; "cm　身幅：約" &amp;O130&amp; "cm　袖丈：約" &amp;P130&amp; "cm"</f>
        <v>着丈：約cm　肩幅：約cm　身幅：約cm　袖丈：約cm</v>
      </c>
      <c r="Z130" t="str">
        <f t="shared" si="12"/>
        <v>着丈：約cm　肩幅：約cm　身幅：約cm　袖丈：約cm</v>
      </c>
      <c r="AA130" s="77" t="s">
        <v>158</v>
      </c>
      <c r="AC130" s="9"/>
    </row>
    <row r="131" spans="3:29" ht="14.25">
      <c r="C131" s="7" t="str">
        <f t="shared" si="16"/>
        <v>◇ サイズ E</v>
      </c>
      <c r="D131" s="7">
        <f t="shared" ref="D131:D150" si="19">(LENB(C131)-LEN(C131))+(LENB(C131)-(LENB(C131)-LEN(C131))*2)/2</f>
        <v>5.5</v>
      </c>
      <c r="E131" t="s">
        <v>71</v>
      </c>
      <c r="H131" t="str">
        <f>IFERROR(INDEX(コンディションランク!$B$1:$B$6,MATCH($G131,コンディションランク!$A$1:$A$6,0)),"")</f>
        <v/>
      </c>
      <c r="J131" t="s">
        <v>2924</v>
      </c>
      <c r="L131" s="9" t="s">
        <v>3031</v>
      </c>
      <c r="Q131" t="s">
        <v>165</v>
      </c>
      <c r="R131" s="32" t="str">
        <f t="shared" si="17"/>
        <v>◇</v>
      </c>
      <c r="Y131" t="str">
        <f t="shared" si="18"/>
        <v>着丈：約cm　肩幅：約cm　身幅：約cm　袖丈：約cm</v>
      </c>
      <c r="Z131" t="str">
        <f t="shared" ref="Z131:Z150" si="20">SUBSTITUTE( Y131, "約-", "-" )</f>
        <v>着丈：約cm　肩幅：約cm　身幅：約cm　袖丈：約cm</v>
      </c>
      <c r="AA131" s="77" t="s">
        <v>158</v>
      </c>
      <c r="AC131" s="9"/>
    </row>
    <row r="132" spans="3:29" ht="14.25">
      <c r="C132" s="7" t="str">
        <f t="shared" si="16"/>
        <v>◇ サイズ E</v>
      </c>
      <c r="D132" s="7">
        <f t="shared" si="19"/>
        <v>5.5</v>
      </c>
      <c r="E132" t="s">
        <v>71</v>
      </c>
      <c r="H132" t="str">
        <f>IFERROR(INDEX(コンディションランク!$B$1:$B$6,MATCH($G132,コンディションランク!$A$1:$A$6,0)),"")</f>
        <v/>
      </c>
      <c r="J132" t="s">
        <v>2924</v>
      </c>
      <c r="L132" s="9" t="s">
        <v>3031</v>
      </c>
      <c r="Q132" t="s">
        <v>165</v>
      </c>
      <c r="R132" s="32" t="str">
        <f t="shared" si="17"/>
        <v>◇</v>
      </c>
      <c r="Y132" t="str">
        <f t="shared" si="18"/>
        <v>着丈：約cm　肩幅：約cm　身幅：約cm　袖丈：約cm</v>
      </c>
      <c r="Z132" t="str">
        <f t="shared" si="20"/>
        <v>着丈：約cm　肩幅：約cm　身幅：約cm　袖丈：約cm</v>
      </c>
      <c r="AA132" s="77" t="s">
        <v>158</v>
      </c>
      <c r="AC132" s="9"/>
    </row>
    <row r="133" spans="3:29" ht="14.25">
      <c r="C133" s="7" t="str">
        <f t="shared" si="16"/>
        <v>◇ サイズ E</v>
      </c>
      <c r="D133" s="7">
        <f t="shared" si="19"/>
        <v>5.5</v>
      </c>
      <c r="E133" t="s">
        <v>71</v>
      </c>
      <c r="H133" t="str">
        <f>IFERROR(INDEX(コンディションランク!$B$1:$B$6,MATCH($G133,コンディションランク!$A$1:$A$6,0)),"")</f>
        <v/>
      </c>
      <c r="J133" t="s">
        <v>2924</v>
      </c>
      <c r="L133" s="9" t="s">
        <v>3031</v>
      </c>
      <c r="Q133" t="s">
        <v>165</v>
      </c>
      <c r="R133" s="32" t="str">
        <f t="shared" si="17"/>
        <v>◇</v>
      </c>
      <c r="Y133" t="str">
        <f t="shared" si="18"/>
        <v>着丈：約cm　肩幅：約cm　身幅：約cm　袖丈：約cm</v>
      </c>
      <c r="Z133" t="str">
        <f t="shared" si="20"/>
        <v>着丈：約cm　肩幅：約cm　身幅：約cm　袖丈：約cm</v>
      </c>
      <c r="AA133" s="77" t="s">
        <v>158</v>
      </c>
      <c r="AC133" s="9"/>
    </row>
    <row r="134" spans="3:29" ht="14.25">
      <c r="C134" s="7" t="str">
        <f t="shared" si="16"/>
        <v>◇ サイズ E</v>
      </c>
      <c r="D134" s="7">
        <f t="shared" si="19"/>
        <v>5.5</v>
      </c>
      <c r="E134" t="s">
        <v>71</v>
      </c>
      <c r="H134" t="str">
        <f>IFERROR(INDEX(コンディションランク!$B$1:$B$6,MATCH($G134,コンディションランク!$A$1:$A$6,0)),"")</f>
        <v/>
      </c>
      <c r="J134" t="s">
        <v>2924</v>
      </c>
      <c r="L134" s="9" t="s">
        <v>3031</v>
      </c>
      <c r="Q134" t="s">
        <v>165</v>
      </c>
      <c r="R134" s="32" t="str">
        <f t="shared" si="17"/>
        <v>◇</v>
      </c>
      <c r="Y134" t="str">
        <f t="shared" si="18"/>
        <v>着丈：約cm　肩幅：約cm　身幅：約cm　袖丈：約cm</v>
      </c>
      <c r="Z134" t="str">
        <f t="shared" si="20"/>
        <v>着丈：約cm　肩幅：約cm　身幅：約cm　袖丈：約cm</v>
      </c>
      <c r="AA134" s="77" t="s">
        <v>158</v>
      </c>
      <c r="AC134" s="9"/>
    </row>
    <row r="135" spans="3:29" ht="14.25">
      <c r="C135" s="7" t="str">
        <f t="shared" si="16"/>
        <v>◇ サイズ E</v>
      </c>
      <c r="D135" s="7">
        <f t="shared" si="19"/>
        <v>5.5</v>
      </c>
      <c r="E135" t="s">
        <v>71</v>
      </c>
      <c r="H135" t="str">
        <f>IFERROR(INDEX(コンディションランク!$B$1:$B$6,MATCH($G135,コンディションランク!$A$1:$A$6,0)),"")</f>
        <v/>
      </c>
      <c r="J135" t="s">
        <v>2924</v>
      </c>
      <c r="L135" s="9" t="s">
        <v>3031</v>
      </c>
      <c r="Q135" t="s">
        <v>165</v>
      </c>
      <c r="R135" s="32" t="str">
        <f t="shared" si="17"/>
        <v>◇</v>
      </c>
      <c r="Y135" t="str">
        <f t="shared" si="18"/>
        <v>着丈：約cm　肩幅：約cm　身幅：約cm　袖丈：約cm</v>
      </c>
      <c r="Z135" t="str">
        <f t="shared" si="20"/>
        <v>着丈：約cm　肩幅：約cm　身幅：約cm　袖丈：約cm</v>
      </c>
      <c r="AA135" s="77" t="s">
        <v>158</v>
      </c>
      <c r="AC135" s="9"/>
    </row>
    <row r="136" spans="3:29" ht="14.25">
      <c r="C136" s="7" t="str">
        <f t="shared" si="16"/>
        <v>◇ サイズ E</v>
      </c>
      <c r="D136" s="7">
        <f t="shared" si="19"/>
        <v>5.5</v>
      </c>
      <c r="E136" t="s">
        <v>71</v>
      </c>
      <c r="H136" t="str">
        <f>IFERROR(INDEX(コンディションランク!$B$1:$B$6,MATCH($G136,コンディションランク!$A$1:$A$6,0)),"")</f>
        <v/>
      </c>
      <c r="J136" t="s">
        <v>2924</v>
      </c>
      <c r="L136" s="9" t="s">
        <v>3031</v>
      </c>
      <c r="Q136" t="s">
        <v>165</v>
      </c>
      <c r="R136" s="32" t="str">
        <f t="shared" si="17"/>
        <v>◇</v>
      </c>
      <c r="Y136" t="str">
        <f t="shared" si="18"/>
        <v>着丈：約cm　肩幅：約cm　身幅：約cm　袖丈：約cm</v>
      </c>
      <c r="Z136" t="str">
        <f t="shared" si="20"/>
        <v>着丈：約cm　肩幅：約cm　身幅：約cm　袖丈：約cm</v>
      </c>
      <c r="AA136" s="77" t="s">
        <v>158</v>
      </c>
      <c r="AC136" s="9"/>
    </row>
    <row r="137" spans="3:29" ht="14.25">
      <c r="C137" s="7" t="str">
        <f t="shared" si="16"/>
        <v>◇ サイズ E</v>
      </c>
      <c r="D137" s="7">
        <f t="shared" si="19"/>
        <v>5.5</v>
      </c>
      <c r="E137" t="s">
        <v>71</v>
      </c>
      <c r="H137" t="str">
        <f>IFERROR(INDEX(コンディションランク!$B$1:$B$6,MATCH($G137,コンディションランク!$A$1:$A$6,0)),"")</f>
        <v/>
      </c>
      <c r="J137" t="s">
        <v>2924</v>
      </c>
      <c r="L137" s="9" t="s">
        <v>3031</v>
      </c>
      <c r="Q137" t="s">
        <v>165</v>
      </c>
      <c r="R137" s="32" t="str">
        <f t="shared" si="17"/>
        <v>◇</v>
      </c>
      <c r="Y137" t="str">
        <f t="shared" si="18"/>
        <v>着丈：約cm　肩幅：約cm　身幅：約cm　袖丈：約cm</v>
      </c>
      <c r="Z137" t="str">
        <f t="shared" si="20"/>
        <v>着丈：約cm　肩幅：約cm　身幅：約cm　袖丈：約cm</v>
      </c>
      <c r="AA137" s="77" t="s">
        <v>158</v>
      </c>
      <c r="AC137" s="9"/>
    </row>
    <row r="138" spans="3:29" ht="14.25">
      <c r="C138" s="7" t="str">
        <f t="shared" si="16"/>
        <v>◇ サイズ E</v>
      </c>
      <c r="D138" s="7">
        <f t="shared" si="19"/>
        <v>5.5</v>
      </c>
      <c r="E138" t="s">
        <v>71</v>
      </c>
      <c r="H138" t="str">
        <f>IFERROR(INDEX(コンディションランク!$B$1:$B$6,MATCH($G138,コンディションランク!$A$1:$A$6,0)),"")</f>
        <v/>
      </c>
      <c r="J138" t="s">
        <v>2924</v>
      </c>
      <c r="L138" s="9" t="s">
        <v>3031</v>
      </c>
      <c r="Q138" t="s">
        <v>165</v>
      </c>
      <c r="R138" s="32" t="str">
        <f t="shared" si="17"/>
        <v>◇</v>
      </c>
      <c r="Y138" t="str">
        <f t="shared" si="18"/>
        <v>着丈：約cm　肩幅：約cm　身幅：約cm　袖丈：約cm</v>
      </c>
      <c r="Z138" t="str">
        <f t="shared" si="20"/>
        <v>着丈：約cm　肩幅：約cm　身幅：約cm　袖丈：約cm</v>
      </c>
      <c r="AA138" s="77" t="s">
        <v>158</v>
      </c>
      <c r="AC138" s="9"/>
    </row>
    <row r="139" spans="3:29" ht="14.25">
      <c r="C139" s="7" t="str">
        <f t="shared" si="16"/>
        <v>◇ サイズ E</v>
      </c>
      <c r="D139" s="7">
        <f t="shared" si="19"/>
        <v>5.5</v>
      </c>
      <c r="E139" t="s">
        <v>71</v>
      </c>
      <c r="H139" t="str">
        <f>IFERROR(INDEX(コンディションランク!$B$1:$B$6,MATCH($G139,コンディションランク!$A$1:$A$6,0)),"")</f>
        <v/>
      </c>
      <c r="J139" t="s">
        <v>2924</v>
      </c>
      <c r="L139" s="9" t="s">
        <v>3031</v>
      </c>
      <c r="Q139" t="s">
        <v>165</v>
      </c>
      <c r="R139" s="32" t="str">
        <f t="shared" si="17"/>
        <v>◇</v>
      </c>
      <c r="Y139" t="str">
        <f t="shared" si="18"/>
        <v>着丈：約cm　肩幅：約cm　身幅：約cm　袖丈：約cm</v>
      </c>
      <c r="Z139" t="str">
        <f t="shared" si="20"/>
        <v>着丈：約cm　肩幅：約cm　身幅：約cm　袖丈：約cm</v>
      </c>
      <c r="AA139" s="77" t="s">
        <v>158</v>
      </c>
      <c r="AC139" s="9"/>
    </row>
    <row r="140" spans="3:29" ht="14.25">
      <c r="C140" s="7" t="str">
        <f t="shared" si="16"/>
        <v>◇ サイズ E</v>
      </c>
      <c r="D140" s="7">
        <f t="shared" si="19"/>
        <v>5.5</v>
      </c>
      <c r="E140" t="s">
        <v>71</v>
      </c>
      <c r="H140" t="str">
        <f>IFERROR(INDEX(コンディションランク!$B$1:$B$6,MATCH($G140,コンディションランク!$A$1:$A$6,0)),"")</f>
        <v/>
      </c>
      <c r="J140" t="s">
        <v>2924</v>
      </c>
      <c r="L140" s="9" t="s">
        <v>3031</v>
      </c>
      <c r="Q140" t="s">
        <v>165</v>
      </c>
      <c r="R140" s="32" t="str">
        <f t="shared" si="17"/>
        <v>◇</v>
      </c>
      <c r="Y140" t="str">
        <f t="shared" si="18"/>
        <v>着丈：約cm　肩幅：約cm　身幅：約cm　袖丈：約cm</v>
      </c>
      <c r="Z140" t="str">
        <f t="shared" si="20"/>
        <v>着丈：約cm　肩幅：約cm　身幅：約cm　袖丈：約cm</v>
      </c>
      <c r="AA140" s="77" t="s">
        <v>158</v>
      </c>
      <c r="AC140" s="9"/>
    </row>
    <row r="141" spans="3:29" ht="14.25">
      <c r="C141" s="7" t="str">
        <f t="shared" si="16"/>
        <v>◇ サイズ E</v>
      </c>
      <c r="D141" s="7">
        <f t="shared" si="19"/>
        <v>5.5</v>
      </c>
      <c r="E141" t="s">
        <v>71</v>
      </c>
      <c r="H141" t="str">
        <f>IFERROR(INDEX(コンディションランク!$B$1:$B$6,MATCH($G141,コンディションランク!$A$1:$A$6,0)),"")</f>
        <v/>
      </c>
      <c r="J141" t="s">
        <v>2924</v>
      </c>
      <c r="L141" s="9" t="s">
        <v>3031</v>
      </c>
      <c r="Q141" t="s">
        <v>165</v>
      </c>
      <c r="R141" s="32" t="str">
        <f t="shared" si="17"/>
        <v>◇</v>
      </c>
      <c r="Y141" t="str">
        <f t="shared" si="18"/>
        <v>着丈：約cm　肩幅：約cm　身幅：約cm　袖丈：約cm</v>
      </c>
      <c r="Z141" t="str">
        <f t="shared" si="20"/>
        <v>着丈：約cm　肩幅：約cm　身幅：約cm　袖丈：約cm</v>
      </c>
      <c r="AA141" s="77" t="s">
        <v>158</v>
      </c>
      <c r="AC141" s="9"/>
    </row>
    <row r="142" spans="3:29" ht="14.25">
      <c r="C142" s="7" t="str">
        <f t="shared" si="16"/>
        <v>◇ サイズ E</v>
      </c>
      <c r="D142" s="7">
        <f t="shared" si="19"/>
        <v>5.5</v>
      </c>
      <c r="E142" t="s">
        <v>71</v>
      </c>
      <c r="H142" t="str">
        <f>IFERROR(INDEX(コンディションランク!$B$1:$B$6,MATCH($G142,コンディションランク!$A$1:$A$6,0)),"")</f>
        <v/>
      </c>
      <c r="J142" t="s">
        <v>2924</v>
      </c>
      <c r="L142" s="9" t="s">
        <v>3031</v>
      </c>
      <c r="Q142" t="s">
        <v>165</v>
      </c>
      <c r="R142" s="32" t="str">
        <f t="shared" si="17"/>
        <v>◇</v>
      </c>
      <c r="Y142" t="str">
        <f t="shared" si="18"/>
        <v>着丈：約cm　肩幅：約cm　身幅：約cm　袖丈：約cm</v>
      </c>
      <c r="Z142" t="str">
        <f t="shared" si="20"/>
        <v>着丈：約cm　肩幅：約cm　身幅：約cm　袖丈：約cm</v>
      </c>
      <c r="AA142" s="77" t="s">
        <v>158</v>
      </c>
      <c r="AC142" s="9"/>
    </row>
    <row r="143" spans="3:29" ht="14.25">
      <c r="C143" s="7" t="str">
        <f t="shared" si="16"/>
        <v>◇ サイズ E</v>
      </c>
      <c r="D143" s="7">
        <f t="shared" si="19"/>
        <v>5.5</v>
      </c>
      <c r="E143" t="s">
        <v>71</v>
      </c>
      <c r="H143" t="str">
        <f>IFERROR(INDEX(コンディションランク!$B$1:$B$6,MATCH($G143,コンディションランク!$A$1:$A$6,0)),"")</f>
        <v/>
      </c>
      <c r="J143" t="s">
        <v>2924</v>
      </c>
      <c r="L143" s="9" t="s">
        <v>3031</v>
      </c>
      <c r="Q143" t="s">
        <v>165</v>
      </c>
      <c r="R143" s="32" t="str">
        <f t="shared" si="17"/>
        <v>◇</v>
      </c>
      <c r="Y143" t="str">
        <f t="shared" si="18"/>
        <v>着丈：約cm　肩幅：約cm　身幅：約cm　袖丈：約cm</v>
      </c>
      <c r="Z143" t="str">
        <f t="shared" si="20"/>
        <v>着丈：約cm　肩幅：約cm　身幅：約cm　袖丈：約cm</v>
      </c>
      <c r="AA143" s="77" t="s">
        <v>158</v>
      </c>
      <c r="AC143" s="9"/>
    </row>
    <row r="144" spans="3:29" ht="14.25">
      <c r="C144" s="7" t="str">
        <f t="shared" si="16"/>
        <v>◇ サイズ E</v>
      </c>
      <c r="D144" s="7">
        <f t="shared" si="19"/>
        <v>5.5</v>
      </c>
      <c r="E144" t="s">
        <v>71</v>
      </c>
      <c r="H144" t="str">
        <f>IFERROR(INDEX(コンディションランク!$B$1:$B$6,MATCH($G144,コンディションランク!$A$1:$A$6,0)),"")</f>
        <v/>
      </c>
      <c r="J144" t="s">
        <v>2924</v>
      </c>
      <c r="L144" s="9" t="s">
        <v>3031</v>
      </c>
      <c r="Q144" t="s">
        <v>165</v>
      </c>
      <c r="R144" s="32" t="str">
        <f t="shared" si="17"/>
        <v>◇</v>
      </c>
      <c r="Y144" t="str">
        <f t="shared" si="18"/>
        <v>着丈：約cm　肩幅：約cm　身幅：約cm　袖丈：約cm</v>
      </c>
      <c r="Z144" t="str">
        <f t="shared" si="20"/>
        <v>着丈：約cm　肩幅：約cm　身幅：約cm　袖丈：約cm</v>
      </c>
      <c r="AA144" s="77" t="s">
        <v>158</v>
      </c>
      <c r="AC144" s="9"/>
    </row>
    <row r="145" spans="1:29" ht="14.25">
      <c r="C145" s="7" t="str">
        <f t="shared" si="16"/>
        <v>◇ サイズ E</v>
      </c>
      <c r="D145" s="7">
        <f t="shared" si="19"/>
        <v>5.5</v>
      </c>
      <c r="E145" t="s">
        <v>71</v>
      </c>
      <c r="H145" t="str">
        <f>IFERROR(INDEX(コンディションランク!$B$1:$B$6,MATCH($G145,コンディションランク!$A$1:$A$6,0)),"")</f>
        <v/>
      </c>
      <c r="J145" t="s">
        <v>2924</v>
      </c>
      <c r="L145" s="9" t="s">
        <v>3031</v>
      </c>
      <c r="Q145" t="s">
        <v>165</v>
      </c>
      <c r="R145" s="32" t="str">
        <f t="shared" si="17"/>
        <v>◇</v>
      </c>
      <c r="Y145" t="str">
        <f t="shared" si="18"/>
        <v>着丈：約cm　肩幅：約cm　身幅：約cm　袖丈：約cm</v>
      </c>
      <c r="Z145" t="str">
        <f t="shared" si="20"/>
        <v>着丈：約cm　肩幅：約cm　身幅：約cm　袖丈：約cm</v>
      </c>
      <c r="AA145" s="77" t="s">
        <v>158</v>
      </c>
      <c r="AC145" s="9"/>
    </row>
    <row r="146" spans="1:29" ht="14.25">
      <c r="C146" s="7" t="str">
        <f t="shared" si="16"/>
        <v>◇ サイズ E</v>
      </c>
      <c r="D146" s="7">
        <f t="shared" si="19"/>
        <v>5.5</v>
      </c>
      <c r="E146" t="s">
        <v>71</v>
      </c>
      <c r="H146" t="str">
        <f>IFERROR(INDEX(コンディションランク!$B$1:$B$6,MATCH($G146,コンディションランク!$A$1:$A$6,0)),"")</f>
        <v/>
      </c>
      <c r="J146" t="s">
        <v>2924</v>
      </c>
      <c r="L146" s="9" t="s">
        <v>3031</v>
      </c>
      <c r="Q146" t="s">
        <v>165</v>
      </c>
      <c r="R146" s="32" t="str">
        <f t="shared" si="17"/>
        <v>◇</v>
      </c>
      <c r="Y146" t="str">
        <f t="shared" si="18"/>
        <v>着丈：約cm　肩幅：約cm　身幅：約cm　袖丈：約cm</v>
      </c>
      <c r="Z146" t="str">
        <f t="shared" si="20"/>
        <v>着丈：約cm　肩幅：約cm　身幅：約cm　袖丈：約cm</v>
      </c>
      <c r="AA146" s="77" t="s">
        <v>158</v>
      </c>
      <c r="AC146" s="9"/>
    </row>
    <row r="147" spans="1:29" ht="14.25">
      <c r="C147" s="7" t="str">
        <f t="shared" si="16"/>
        <v>◇ サイズ E</v>
      </c>
      <c r="D147" s="7">
        <f t="shared" si="19"/>
        <v>5.5</v>
      </c>
      <c r="E147" t="s">
        <v>71</v>
      </c>
      <c r="H147" t="str">
        <f>IFERROR(INDEX(コンディションランク!$B$1:$B$6,MATCH($G147,コンディションランク!$A$1:$A$6,0)),"")</f>
        <v/>
      </c>
      <c r="J147" t="s">
        <v>2924</v>
      </c>
      <c r="L147" s="9" t="s">
        <v>3031</v>
      </c>
      <c r="Q147" t="s">
        <v>165</v>
      </c>
      <c r="R147" s="32" t="str">
        <f t="shared" si="17"/>
        <v>◇</v>
      </c>
      <c r="Y147" t="str">
        <f t="shared" si="18"/>
        <v>着丈：約cm　肩幅：約cm　身幅：約cm　袖丈：約cm</v>
      </c>
      <c r="Z147" t="str">
        <f t="shared" si="20"/>
        <v>着丈：約cm　肩幅：約cm　身幅：約cm　袖丈：約cm</v>
      </c>
      <c r="AA147" s="77" t="s">
        <v>158</v>
      </c>
      <c r="AC147" s="9"/>
    </row>
    <row r="148" spans="1:29" ht="14.25">
      <c r="C148" s="7" t="str">
        <f t="shared" si="16"/>
        <v>◇ サイズ E</v>
      </c>
      <c r="D148" s="7">
        <f t="shared" si="19"/>
        <v>5.5</v>
      </c>
      <c r="E148" t="s">
        <v>71</v>
      </c>
      <c r="H148" t="str">
        <f>IFERROR(INDEX(コンディションランク!$B$1:$B$6,MATCH($G148,コンディションランク!$A$1:$A$6,0)),"")</f>
        <v/>
      </c>
      <c r="J148" t="s">
        <v>2924</v>
      </c>
      <c r="L148" s="9" t="s">
        <v>3031</v>
      </c>
      <c r="Q148" t="s">
        <v>165</v>
      </c>
      <c r="R148" s="32" t="str">
        <f t="shared" si="17"/>
        <v>◇</v>
      </c>
      <c r="Y148" t="str">
        <f t="shared" si="18"/>
        <v>着丈：約cm　肩幅：約cm　身幅：約cm　袖丈：約cm</v>
      </c>
      <c r="Z148" t="str">
        <f t="shared" si="20"/>
        <v>着丈：約cm　肩幅：約cm　身幅：約cm　袖丈：約cm</v>
      </c>
      <c r="AA148" s="77" t="s">
        <v>158</v>
      </c>
      <c r="AC148" s="9"/>
    </row>
    <row r="149" spans="1:29" ht="14.25">
      <c r="C149" s="7" t="str">
        <f t="shared" si="16"/>
        <v>◇ サイズ E</v>
      </c>
      <c r="D149" s="7">
        <f t="shared" si="19"/>
        <v>5.5</v>
      </c>
      <c r="E149" t="s">
        <v>71</v>
      </c>
      <c r="H149" t="str">
        <f>IFERROR(INDEX(コンディションランク!$B$1:$B$6,MATCH($G149,コンディションランク!$A$1:$A$6,0)),"")</f>
        <v/>
      </c>
      <c r="J149" t="s">
        <v>2924</v>
      </c>
      <c r="L149" s="9" t="s">
        <v>3031</v>
      </c>
      <c r="Q149" t="s">
        <v>165</v>
      </c>
      <c r="R149" s="32" t="str">
        <f t="shared" si="17"/>
        <v>◇</v>
      </c>
      <c r="Y149" t="str">
        <f t="shared" si="18"/>
        <v>着丈：約cm　肩幅：約cm　身幅：約cm　袖丈：約cm</v>
      </c>
      <c r="Z149" t="str">
        <f t="shared" si="20"/>
        <v>着丈：約cm　肩幅：約cm　身幅：約cm　袖丈：約cm</v>
      </c>
      <c r="AA149" s="77" t="s">
        <v>158</v>
      </c>
      <c r="AC149" s="9"/>
    </row>
    <row r="150" spans="1:29" ht="13.5" customHeight="1">
      <c r="C150" s="7" t="str">
        <f t="shared" si="16"/>
        <v>◇ サイズ E</v>
      </c>
      <c r="D150" s="7">
        <f t="shared" si="19"/>
        <v>5.5</v>
      </c>
      <c r="E150" t="s">
        <v>106</v>
      </c>
      <c r="H150" t="str">
        <f>IFERROR(INDEX(コンディションランク!$B$1:$B$6,MATCH($G150,コンディションランク!$A$1:$A$6,0)),"")</f>
        <v/>
      </c>
      <c r="J150" t="s">
        <v>2924</v>
      </c>
      <c r="L150" s="9" t="s">
        <v>3031</v>
      </c>
      <c r="Q150" t="s">
        <v>165</v>
      </c>
      <c r="R150" s="32" t="str">
        <f t="shared" si="17"/>
        <v>◇</v>
      </c>
      <c r="Y150" t="str">
        <f t="shared" si="18"/>
        <v>着丈：約cm　肩幅：約cm　身幅：約cm　袖丈：約cm</v>
      </c>
      <c r="Z150" t="str">
        <f t="shared" si="20"/>
        <v>着丈：約cm　肩幅：約cm　身幅：約cm　袖丈：約cm</v>
      </c>
      <c r="AA150" s="77" t="s">
        <v>158</v>
      </c>
      <c r="AC150" s="9"/>
    </row>
    <row r="151" spans="1:29" s="4" customFormat="1" ht="13.5" customHeight="1">
      <c r="A151" s="79"/>
      <c r="B151" s="13"/>
    </row>
    <row r="152" spans="1:29" ht="13.5" customHeight="1"/>
    <row r="1048532" spans="10:10">
      <c r="J1048532" s="3"/>
    </row>
  </sheetData>
  <phoneticPr fontId="4"/>
  <conditionalFormatting sqref="B4:B150">
    <cfRule type="duplicateValues" dxfId="90" priority="29"/>
  </conditionalFormatting>
  <conditionalFormatting sqref="B10">
    <cfRule type="duplicateValues" dxfId="89" priority="28"/>
  </conditionalFormatting>
  <conditionalFormatting sqref="D2:D150">
    <cfRule type="cellIs" dxfId="88" priority="27" operator="greaterThanOrEqual">
      <formula>65</formula>
    </cfRule>
  </conditionalFormatting>
  <conditionalFormatting sqref="B3">
    <cfRule type="duplicateValues" dxfId="87" priority="26"/>
  </conditionalFormatting>
  <conditionalFormatting sqref="B3">
    <cfRule type="duplicateValues" dxfId="86" priority="25"/>
  </conditionalFormatting>
  <conditionalFormatting sqref="B3">
    <cfRule type="duplicateValues" dxfId="85" priority="24"/>
  </conditionalFormatting>
  <conditionalFormatting sqref="B3">
    <cfRule type="duplicateValues" dxfId="84" priority="23"/>
  </conditionalFormatting>
  <conditionalFormatting sqref="B3">
    <cfRule type="duplicateValues" dxfId="83" priority="22"/>
  </conditionalFormatting>
  <conditionalFormatting sqref="B2:B150">
    <cfRule type="duplicateValues" dxfId="82" priority="1"/>
  </conditionalFormatting>
  <dataValidations count="2">
    <dataValidation imeMode="off" allowBlank="1" showInputMessage="1" showErrorMessage="1" sqref="B1:B1048576 M1:P1048576" xr:uid="{02146C87-0056-4FF2-B59E-22BFB9B41DEF}"/>
    <dataValidation type="list" allowBlank="1" showInputMessage="1" showErrorMessage="1" sqref="Q2:Q150" xr:uid="{9C499A3B-E3FA-4736-A64C-906863F0F02D}">
      <formula1>梱包</formula1>
    </dataValidation>
  </dataValidations>
  <pageMargins left="0.7" right="0.7" top="0.75" bottom="0.75" header="0.3" footer="0.3"/>
  <pageSetup paperSize="9" orientation="portrait"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E8261D60-296F-4228-B43D-D02D68626F50}">
          <x14:formula1>
            <xm:f>コンディションランク!$A$1:$A$6</xm:f>
          </x14:formula1>
          <xm:sqref>G2:G150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E152"/>
  <sheetViews>
    <sheetView zoomScale="85" zoomScaleNormal="85" workbookViewId="0">
      <pane ySplit="1" topLeftCell="A2" activePane="bottomLeft" state="frozen"/>
      <selection pane="bottomLeft" activeCell="A12" sqref="A12"/>
    </sheetView>
  </sheetViews>
  <sheetFormatPr defaultRowHeight="13.5"/>
  <cols>
    <col min="1" max="1" width="14" style="9" customWidth="1"/>
    <col min="2" max="2" width="16.25" style="14" customWidth="1"/>
    <col min="3" max="3" width="80.625" customWidth="1"/>
    <col min="4" max="4" width="5.625" customWidth="1"/>
    <col min="5" max="5" width="4" customWidth="1"/>
    <col min="6" max="6" width="9" hidden="1" customWidth="1"/>
    <col min="7" max="7" width="3.625" customWidth="1"/>
    <col min="8" max="8" width="9" customWidth="1"/>
    <col min="9" max="9" width="9" hidden="1" customWidth="1"/>
    <col min="10" max="10" width="7" customWidth="1"/>
    <col min="11" max="11" width="23.5" customWidth="1"/>
    <col min="12" max="12" width="13.875" customWidth="1"/>
    <col min="13" max="17" width="7" customWidth="1"/>
    <col min="18" max="18" width="10.375" bestFit="1" customWidth="1"/>
    <col min="19" max="19" width="9" bestFit="1" customWidth="1"/>
    <col min="20" max="20" width="7" customWidth="1"/>
    <col min="21" max="21" width="49.5" customWidth="1"/>
    <col min="22" max="22" width="32" customWidth="1"/>
    <col min="23" max="23" width="39.875" customWidth="1"/>
    <col min="25" max="25" width="60.25" bestFit="1" customWidth="1"/>
    <col min="26" max="26" width="31" hidden="1" customWidth="1"/>
    <col min="27" max="27" width="15.125" customWidth="1"/>
    <col min="28" max="30" width="9" hidden="1" customWidth="1"/>
  </cols>
  <sheetData>
    <row r="1" spans="1:31" s="32" customFormat="1">
      <c r="A1" s="37" t="s">
        <v>2641</v>
      </c>
      <c r="B1" s="38" t="s">
        <v>0</v>
      </c>
      <c r="C1" s="8" t="s">
        <v>1</v>
      </c>
      <c r="D1" s="28" t="s">
        <v>145</v>
      </c>
      <c r="E1" s="18" t="s">
        <v>2</v>
      </c>
      <c r="F1" s="19" t="s">
        <v>3</v>
      </c>
      <c r="G1" s="17" t="s">
        <v>4</v>
      </c>
      <c r="H1" s="19" t="s">
        <v>5</v>
      </c>
      <c r="I1" s="19" t="s">
        <v>6</v>
      </c>
      <c r="J1" s="19" t="s">
        <v>7</v>
      </c>
      <c r="K1" s="19" t="s">
        <v>8</v>
      </c>
      <c r="L1" s="18" t="s">
        <v>9</v>
      </c>
      <c r="M1" s="21" t="s">
        <v>81</v>
      </c>
      <c r="N1" s="21" t="s">
        <v>97</v>
      </c>
      <c r="O1" s="21" t="s">
        <v>33</v>
      </c>
      <c r="P1" s="21" t="s">
        <v>34</v>
      </c>
      <c r="Q1" s="21" t="s">
        <v>35</v>
      </c>
      <c r="R1" s="15" t="s">
        <v>164</v>
      </c>
      <c r="S1" s="21" t="s">
        <v>3054</v>
      </c>
      <c r="T1" s="17" t="s">
        <v>88</v>
      </c>
      <c r="U1" s="17" t="s">
        <v>84</v>
      </c>
      <c r="V1" s="17" t="s">
        <v>85</v>
      </c>
      <c r="W1" s="17" t="s">
        <v>87</v>
      </c>
      <c r="X1" s="17" t="s">
        <v>86</v>
      </c>
      <c r="Y1" s="1" t="s">
        <v>3022</v>
      </c>
      <c r="Z1" s="5" t="s">
        <v>3023</v>
      </c>
      <c r="AA1" s="66" t="s">
        <v>98</v>
      </c>
      <c r="AB1" s="16" t="s">
        <v>107</v>
      </c>
      <c r="AC1" s="17" t="s">
        <v>151</v>
      </c>
      <c r="AD1" s="17" t="s">
        <v>108</v>
      </c>
      <c r="AE1" s="17" t="s">
        <v>109</v>
      </c>
    </row>
    <row r="2" spans="1:31" ht="14.25">
      <c r="A2" s="9" t="s">
        <v>3067</v>
      </c>
      <c r="B2" s="68">
        <v>1211150014338</v>
      </c>
      <c r="C2" t="str">
        <f t="shared" ref="C2:C33" si="0">TRIM(S2&amp;" "&amp;T2&amp;" "&amp;U2&amp;" "&amp;V2&amp;" "&amp;W2&amp;" "&amp;L2&amp;" "&amp;K2&amp;" "&amp;X2&amp;EX&amp;" "&amp;B2)</f>
        <v>◇ ◎ KBF ウエストゴム、２タッグ コーデュロイパンツ サイズONE ホワイト レディース E 1211150014338</v>
      </c>
      <c r="D2" s="7">
        <f t="shared" ref="D2:D5" si="1">(LENB(C2)-LEN(C2))+(LENB(C2)-(LENB(C2)-LEN(C2))*2)/2</f>
        <v>48.5</v>
      </c>
      <c r="E2" t="s">
        <v>3060</v>
      </c>
      <c r="F2" s="80"/>
      <c r="G2">
        <v>1</v>
      </c>
      <c r="H2" s="7" t="str">
        <f>IFERROR(INDEX(コンディションランク!$B$1:$B$6,MATCH($G2,コンディションランク!$A$1:$A$6,0)),"")</f>
        <v>新品</v>
      </c>
      <c r="I2" s="7"/>
      <c r="J2" t="s">
        <v>2924</v>
      </c>
      <c r="K2" t="s">
        <v>3061</v>
      </c>
      <c r="L2" s="9" t="s">
        <v>3062</v>
      </c>
      <c r="M2">
        <v>34</v>
      </c>
      <c r="N2">
        <v>61</v>
      </c>
      <c r="O2">
        <v>31</v>
      </c>
      <c r="P2">
        <v>29</v>
      </c>
      <c r="Q2">
        <v>19</v>
      </c>
      <c r="R2" t="s">
        <v>165</v>
      </c>
      <c r="S2" s="32" t="str">
        <f t="shared" ref="S2:S33" si="2">IFERROR(VLOOKUP(R2,梱包サイズ表,2,0),"")</f>
        <v>◇</v>
      </c>
      <c r="T2" t="s">
        <v>3064</v>
      </c>
      <c r="U2" t="s">
        <v>3063</v>
      </c>
      <c r="V2" t="s">
        <v>3065</v>
      </c>
      <c r="W2" t="s">
        <v>3066</v>
      </c>
      <c r="X2" t="s">
        <v>3019</v>
      </c>
      <c r="Y2" t="str">
        <f t="shared" ref="Y2:Y33" si="3">"股上：約" &amp;M2&amp; "cm　股下：約" &amp;N2&amp; "cm　ウエスト：約" &amp;O2&amp; "cm　もも幅：約" &amp;P2&amp; "cm　裾幅：約" &amp;Q2&amp; "cm"</f>
        <v>股上：約34cm　股下：約61cm　ウエスト：約31cm　もも幅：約29cm　裾幅：約19cm</v>
      </c>
      <c r="Z2" t="str">
        <f>SUBSTITUTE( Y2, "約-", "-" )</f>
        <v>股上：約34cm　股下：約61cm　ウエスト：約31cm　もも幅：約29cm　裾幅：約19cm</v>
      </c>
      <c r="AA2" s="77" t="s">
        <v>3059</v>
      </c>
      <c r="AC2" s="9"/>
      <c r="AE2">
        <v>1000</v>
      </c>
    </row>
    <row r="3" spans="1:31" ht="14.25">
      <c r="A3" s="9" t="s">
        <v>3095</v>
      </c>
      <c r="B3" s="14">
        <v>1212020007986</v>
      </c>
      <c r="C3" t="str">
        <f t="shared" si="0"/>
        <v>◇ 3/2WORKS サンニーワークス フロントファスナー。バックパッチ ストレートパンツ サイズXS カーキ レディース E 1212020007986</v>
      </c>
      <c r="D3" s="7">
        <f t="shared" si="1"/>
        <v>60.5</v>
      </c>
      <c r="E3" t="s">
        <v>3088</v>
      </c>
      <c r="F3" s="80"/>
      <c r="G3">
        <v>1</v>
      </c>
      <c r="H3" s="7" t="str">
        <f>IFERROR(INDEX(コンディションランク!$B$1:$B$6,MATCH($G3,コンディションランク!$A$1:$A$6,0)),"")</f>
        <v>新品</v>
      </c>
      <c r="I3" s="7"/>
      <c r="J3" t="s">
        <v>2924</v>
      </c>
      <c r="K3" t="s">
        <v>3089</v>
      </c>
      <c r="L3" s="9" t="s">
        <v>3090</v>
      </c>
      <c r="M3">
        <v>33</v>
      </c>
      <c r="N3">
        <v>61</v>
      </c>
      <c r="O3">
        <v>35</v>
      </c>
      <c r="P3">
        <v>27</v>
      </c>
      <c r="Q3">
        <v>17</v>
      </c>
      <c r="R3" t="s">
        <v>165</v>
      </c>
      <c r="S3" s="32" t="str">
        <f t="shared" si="2"/>
        <v>◇</v>
      </c>
      <c r="U3" t="s">
        <v>3091</v>
      </c>
      <c r="V3" t="s">
        <v>3093</v>
      </c>
      <c r="W3" t="s">
        <v>3094</v>
      </c>
      <c r="X3" t="s">
        <v>3019</v>
      </c>
      <c r="Y3" t="str">
        <f t="shared" si="3"/>
        <v>股上：約33cm　股下：約61cm　ウエスト：約35cm　もも幅：約27cm　裾幅：約17cm</v>
      </c>
      <c r="Z3" t="str">
        <f t="shared" ref="Z3:Z50" si="4">SUBSTITUTE( Y3, "約-", "-" )</f>
        <v>股上：約33cm　股下：約61cm　ウエスト：約35cm　もも幅：約27cm　裾幅：約17cm</v>
      </c>
      <c r="AA3" s="77" t="s">
        <v>3059</v>
      </c>
      <c r="AC3" s="9"/>
      <c r="AE3">
        <v>1000</v>
      </c>
    </row>
    <row r="4" spans="1:31" ht="14.25">
      <c r="A4" s="9" t="s">
        <v>3067</v>
      </c>
      <c r="B4" s="14">
        <v>1212020007931</v>
      </c>
      <c r="C4" t="str">
        <f t="shared" si="0"/>
        <v>◇ ARULE アルール ポケットあり、ウエストゴム カーゴパンツ 表記なし ホワイト レディース E 1212020007931</v>
      </c>
      <c r="D4" s="7">
        <f t="shared" si="1"/>
        <v>51</v>
      </c>
      <c r="E4" t="s">
        <v>71</v>
      </c>
      <c r="F4" s="80"/>
      <c r="G4">
        <v>3</v>
      </c>
      <c r="H4" s="7" t="str">
        <f>IFERROR(INDEX(コンディションランク!$B$1:$B$6,MATCH($G4,コンディションランク!$A$1:$A$6,0)),"")</f>
        <v>目立った傷や汚れなし</v>
      </c>
      <c r="I4" s="7"/>
      <c r="J4" t="s">
        <v>2924</v>
      </c>
      <c r="K4" t="s">
        <v>3061</v>
      </c>
      <c r="L4" s="9" t="s">
        <v>3074</v>
      </c>
      <c r="M4">
        <v>68</v>
      </c>
      <c r="N4">
        <v>62</v>
      </c>
      <c r="O4">
        <v>32</v>
      </c>
      <c r="P4">
        <v>32</v>
      </c>
      <c r="Q4">
        <v>25</v>
      </c>
      <c r="R4" t="s">
        <v>165</v>
      </c>
      <c r="S4" s="32" t="str">
        <f t="shared" si="2"/>
        <v>◇</v>
      </c>
      <c r="U4" t="s">
        <v>3103</v>
      </c>
      <c r="V4" t="s">
        <v>3104</v>
      </c>
      <c r="W4" t="s">
        <v>3102</v>
      </c>
      <c r="X4" t="s">
        <v>3019</v>
      </c>
      <c r="Y4" t="str">
        <f t="shared" si="3"/>
        <v>股上：約68cm　股下：約62cm　ウエスト：約32cm　もも幅：約32cm　裾幅：約25cm</v>
      </c>
      <c r="Z4" t="str">
        <f t="shared" si="4"/>
        <v>股上：約68cm　股下：約62cm　ウエスト：約32cm　もも幅：約32cm　裾幅：約25cm</v>
      </c>
      <c r="AA4" s="77" t="s">
        <v>3059</v>
      </c>
      <c r="AC4" s="9"/>
      <c r="AE4">
        <v>1000</v>
      </c>
    </row>
    <row r="5" spans="1:31" ht="14.25">
      <c r="A5" s="9" t="s">
        <v>3067</v>
      </c>
      <c r="B5" s="14">
        <v>1212020007900</v>
      </c>
      <c r="C5" t="str">
        <f t="shared" si="0"/>
        <v>◇ 自由区 ウエストゴム ストレートパンツ サイズ36 ホワイト レディース E 1212020007900</v>
      </c>
      <c r="D5" s="7">
        <f t="shared" si="1"/>
        <v>42</v>
      </c>
      <c r="E5" t="s">
        <v>71</v>
      </c>
      <c r="F5" s="80"/>
      <c r="G5">
        <v>3</v>
      </c>
      <c r="H5" s="7" t="str">
        <f>IFERROR(INDEX(コンディションランク!$B$1:$B$6,MATCH($G5,コンディションランク!$A$1:$A$6,0)),"")</f>
        <v>目立った傷や汚れなし</v>
      </c>
      <c r="I5" s="7"/>
      <c r="J5" t="s">
        <v>2924</v>
      </c>
      <c r="K5" t="s">
        <v>3061</v>
      </c>
      <c r="L5" s="9" t="s">
        <v>3120</v>
      </c>
      <c r="M5">
        <v>29</v>
      </c>
      <c r="N5">
        <v>26</v>
      </c>
      <c r="O5">
        <v>33</v>
      </c>
      <c r="P5">
        <v>24</v>
      </c>
      <c r="Q5">
        <v>13</v>
      </c>
      <c r="R5" t="s">
        <v>165</v>
      </c>
      <c r="S5" s="32" t="str">
        <f t="shared" si="2"/>
        <v>◇</v>
      </c>
      <c r="U5" t="s">
        <v>3121</v>
      </c>
      <c r="V5" t="s">
        <v>3122</v>
      </c>
      <c r="W5" t="s">
        <v>3094</v>
      </c>
      <c r="X5" t="s">
        <v>3019</v>
      </c>
      <c r="Y5" t="str">
        <f t="shared" si="3"/>
        <v>股上：約29cm　股下：約26cm　ウエスト：約33cm　もも幅：約24cm　裾幅：約13cm</v>
      </c>
      <c r="Z5" t="str">
        <f t="shared" si="4"/>
        <v>股上：約29cm　股下：約26cm　ウエスト：約33cm　もも幅：約24cm　裾幅：約13cm</v>
      </c>
      <c r="AA5" s="77" t="s">
        <v>3059</v>
      </c>
      <c r="AC5" s="9"/>
      <c r="AE5">
        <v>1000</v>
      </c>
    </row>
    <row r="6" spans="1:31" ht="14.25">
      <c r="A6" s="9" t="s">
        <v>3067</v>
      </c>
      <c r="B6" s="14">
        <v>1212020007856</v>
      </c>
      <c r="C6" t="str">
        <f t="shared" si="0"/>
        <v>◇ 23区 フロントファスナー ストレートパンツ サイズ36 ピンク レディース E 1212020007856</v>
      </c>
      <c r="D6" s="7">
        <f t="shared" ref="D6:D50" si="5">(LENB(C6)-LEN(C6))+(LENB(C6)-(LENB(C6)-LEN(C6))*2)/2</f>
        <v>43</v>
      </c>
      <c r="E6" t="s">
        <v>3145</v>
      </c>
      <c r="G6">
        <v>4</v>
      </c>
      <c r="H6" s="7" t="str">
        <f>IFERROR(INDEX(コンディションランク!$B$1:$B$6,MATCH($G6,コンディションランク!$A$1:$A$6,0)),"")</f>
        <v>やや傷や汚れあり</v>
      </c>
      <c r="J6" t="s">
        <v>2924</v>
      </c>
      <c r="K6" s="3" t="s">
        <v>3146</v>
      </c>
      <c r="L6" s="9" t="s">
        <v>3120</v>
      </c>
      <c r="M6">
        <v>32</v>
      </c>
      <c r="N6">
        <v>65</v>
      </c>
      <c r="O6">
        <v>35</v>
      </c>
      <c r="P6">
        <v>28</v>
      </c>
      <c r="Q6">
        <v>25</v>
      </c>
      <c r="R6" t="s">
        <v>165</v>
      </c>
      <c r="S6" s="32" t="str">
        <f t="shared" si="2"/>
        <v>◇</v>
      </c>
      <c r="U6" t="s">
        <v>3147</v>
      </c>
      <c r="V6" t="s">
        <v>3092</v>
      </c>
      <c r="W6" t="s">
        <v>3094</v>
      </c>
      <c r="X6" t="s">
        <v>3019</v>
      </c>
      <c r="Y6" t="str">
        <f t="shared" si="3"/>
        <v>股上：約32cm　股下：約65cm　ウエスト：約35cm　もも幅：約28cm　裾幅：約25cm</v>
      </c>
      <c r="Z6" t="str">
        <f t="shared" si="4"/>
        <v>股上：約32cm　股下：約65cm　ウエスト：約35cm　もも幅：約28cm　裾幅：約25cm</v>
      </c>
      <c r="AA6" s="77" t="s">
        <v>3059</v>
      </c>
      <c r="AC6" s="9"/>
      <c r="AE6">
        <v>1000</v>
      </c>
    </row>
    <row r="7" spans="1:31" ht="14.25">
      <c r="A7" s="9" t="s">
        <v>3152</v>
      </c>
      <c r="B7" s="14">
        <v>1212020007849</v>
      </c>
      <c r="C7" t="str">
        <f t="shared" si="0"/>
        <v>◇ coen コーエン タータンチェック、ウエストゴム ストレートパンツ サイズXL グリーン/ブルー レディース E 1212020007849</v>
      </c>
      <c r="D7" s="7">
        <f t="shared" si="5"/>
        <v>58</v>
      </c>
      <c r="E7" t="s">
        <v>71</v>
      </c>
      <c r="G7">
        <v>3</v>
      </c>
      <c r="H7" s="7" t="str">
        <f>IFERROR(INDEX(コンディションランク!$B$1:$B$6,MATCH($G7,コンディションランク!$A$1:$A$6,0)),"")</f>
        <v>目立った傷や汚れなし</v>
      </c>
      <c r="J7" t="s">
        <v>2924</v>
      </c>
      <c r="K7" s="3" t="s">
        <v>3148</v>
      </c>
      <c r="L7" s="9" t="s">
        <v>3150</v>
      </c>
      <c r="M7">
        <v>40</v>
      </c>
      <c r="N7">
        <v>73</v>
      </c>
      <c r="O7">
        <v>34</v>
      </c>
      <c r="P7">
        <v>33</v>
      </c>
      <c r="Q7">
        <v>21</v>
      </c>
      <c r="R7" t="s">
        <v>165</v>
      </c>
      <c r="S7" s="32" t="str">
        <f t="shared" si="2"/>
        <v>◇</v>
      </c>
      <c r="U7" t="s">
        <v>3151</v>
      </c>
      <c r="V7" t="s">
        <v>3149</v>
      </c>
      <c r="W7" t="s">
        <v>3094</v>
      </c>
      <c r="X7" t="s">
        <v>3019</v>
      </c>
      <c r="Y7" t="str">
        <f t="shared" si="3"/>
        <v>股上：約40cm　股下：約73cm　ウエスト：約34cm　もも幅：約33cm　裾幅：約21cm</v>
      </c>
      <c r="Z7" t="str">
        <f t="shared" si="4"/>
        <v>股上：約40cm　股下：約73cm　ウエスト：約34cm　もも幅：約33cm　裾幅：約21cm</v>
      </c>
      <c r="AA7" s="77" t="s">
        <v>3059</v>
      </c>
      <c r="AC7" s="9"/>
      <c r="AE7">
        <v>1000</v>
      </c>
    </row>
    <row r="8" spans="1:31" ht="14.25">
      <c r="A8" s="9" t="s">
        <v>3067</v>
      </c>
      <c r="B8" s="14">
        <v>1212020007801</v>
      </c>
      <c r="C8" t="str">
        <f t="shared" si="0"/>
        <v>◇ ◎ BEAMS ビームス ギャザー、サイドファスナー ハーフパンツ サイズM ブラウン レディース E 1212020007801</v>
      </c>
      <c r="D8" s="7">
        <f t="shared" si="5"/>
        <v>52</v>
      </c>
      <c r="E8" t="s">
        <v>3088</v>
      </c>
      <c r="G8">
        <v>1</v>
      </c>
      <c r="H8" s="7" t="str">
        <f>IFERROR(INDEX(コンディションランク!$B$1:$B$6,MATCH($G8,コンディションランク!$A$1:$A$6,0)),"")</f>
        <v>新品</v>
      </c>
      <c r="J8" t="s">
        <v>2924</v>
      </c>
      <c r="K8" s="3" t="s">
        <v>3126</v>
      </c>
      <c r="L8" s="9" t="s">
        <v>3057</v>
      </c>
      <c r="M8">
        <v>34</v>
      </c>
      <c r="N8">
        <v>28</v>
      </c>
      <c r="O8">
        <v>32</v>
      </c>
      <c r="P8">
        <v>40</v>
      </c>
      <c r="Q8">
        <v>51</v>
      </c>
      <c r="R8" t="s">
        <v>165</v>
      </c>
      <c r="S8" s="32" t="str">
        <f t="shared" si="2"/>
        <v>◇</v>
      </c>
      <c r="T8" t="s">
        <v>3064</v>
      </c>
      <c r="U8" t="s">
        <v>3166</v>
      </c>
      <c r="V8" t="s">
        <v>3167</v>
      </c>
      <c r="W8" t="s">
        <v>3168</v>
      </c>
      <c r="X8" t="s">
        <v>3019</v>
      </c>
      <c r="Y8" t="str">
        <f t="shared" si="3"/>
        <v>股上：約34cm　股下：約28cm　ウエスト：約32cm　もも幅：約40cm　裾幅：約51cm</v>
      </c>
      <c r="Z8" t="str">
        <f t="shared" si="4"/>
        <v>股上：約34cm　股下：約28cm　ウエスト：約32cm　もも幅：約40cm　裾幅：約51cm</v>
      </c>
      <c r="AA8" s="77" t="s">
        <v>3059</v>
      </c>
      <c r="AC8" s="9"/>
      <c r="AE8">
        <v>1000</v>
      </c>
    </row>
    <row r="9" spans="1:31" ht="14.25">
      <c r="A9" s="9" t="s">
        <v>3195</v>
      </c>
      <c r="B9" s="14">
        <v>1212020007740</v>
      </c>
      <c r="C9" t="str">
        <f t="shared" si="0"/>
        <v>◇ Levi's リーバイス フロントボタン デニムパンツ サイズ30 ブルー レディースメンズ E 1212020007740</v>
      </c>
      <c r="D9" s="7">
        <f t="shared" si="5"/>
        <v>48.5</v>
      </c>
      <c r="E9" t="s">
        <v>71</v>
      </c>
      <c r="G9">
        <v>3</v>
      </c>
      <c r="H9" s="7" t="str">
        <f>IFERROR(INDEX(コンディションランク!$B$1:$B$6,MATCH($G9,コンディションランク!$A$1:$A$6,0)),"")</f>
        <v>目立った傷や汚れなし</v>
      </c>
      <c r="J9" t="s">
        <v>2924</v>
      </c>
      <c r="K9" s="3" t="s">
        <v>3163</v>
      </c>
      <c r="L9" s="9" t="s">
        <v>3191</v>
      </c>
      <c r="M9">
        <v>36</v>
      </c>
      <c r="N9">
        <v>64</v>
      </c>
      <c r="O9">
        <v>40</v>
      </c>
      <c r="P9">
        <v>30</v>
      </c>
      <c r="Q9">
        <v>20</v>
      </c>
      <c r="R9" t="s">
        <v>165</v>
      </c>
      <c r="S9" s="32" t="str">
        <f t="shared" si="2"/>
        <v>◇</v>
      </c>
      <c r="U9" t="s">
        <v>3192</v>
      </c>
      <c r="V9" t="s">
        <v>3193</v>
      </c>
      <c r="W9" t="s">
        <v>3194</v>
      </c>
      <c r="X9" t="s">
        <v>3186</v>
      </c>
      <c r="Y9" t="str">
        <f t="shared" si="3"/>
        <v>股上：約36cm　股下：約64cm　ウエスト：約40cm　もも幅：約30cm　裾幅：約20cm</v>
      </c>
      <c r="Z9" t="str">
        <f t="shared" si="4"/>
        <v>股上：約36cm　股下：約64cm　ウエスト：約40cm　もも幅：約30cm　裾幅：約20cm</v>
      </c>
      <c r="AA9" s="77" t="s">
        <v>3059</v>
      </c>
      <c r="AC9" s="9"/>
      <c r="AE9">
        <v>1000</v>
      </c>
    </row>
    <row r="10" spans="1:31" ht="14.25">
      <c r="A10" s="9" t="s">
        <v>3067</v>
      </c>
      <c r="B10" s="14">
        <v>1212020007672</v>
      </c>
      <c r="C10" t="str">
        <f t="shared" si="0"/>
        <v>◇ ROPE PICNIC ロペピクニック ウエストゴム、２タッグ ワイドパンツ サイズ38 カーキ レディースメンズ E 1212020007672</v>
      </c>
      <c r="D10" s="7">
        <f t="shared" si="5"/>
        <v>57</v>
      </c>
      <c r="G10">
        <v>3</v>
      </c>
      <c r="H10" s="7" t="str">
        <f>IFERROR(INDEX(コンディションランク!$B$1:$B$6,MATCH($G10,コンディションランク!$A$1:$A$6,0)),"")</f>
        <v>目立った傷や汚れなし</v>
      </c>
      <c r="J10" t="s">
        <v>2924</v>
      </c>
      <c r="K10" s="3" t="s">
        <v>3089</v>
      </c>
      <c r="L10" s="9" t="s">
        <v>3070</v>
      </c>
      <c r="M10">
        <v>39</v>
      </c>
      <c r="N10">
        <v>63</v>
      </c>
      <c r="O10">
        <v>32</v>
      </c>
      <c r="P10">
        <v>32</v>
      </c>
      <c r="Q10">
        <v>30</v>
      </c>
      <c r="R10" t="s">
        <v>165</v>
      </c>
      <c r="S10" s="32" t="str">
        <f t="shared" si="2"/>
        <v>◇</v>
      </c>
      <c r="U10" t="s">
        <v>3205</v>
      </c>
      <c r="V10" t="s">
        <v>3065</v>
      </c>
      <c r="W10" t="s">
        <v>3210</v>
      </c>
      <c r="X10" t="s">
        <v>3186</v>
      </c>
      <c r="Y10" t="str">
        <f t="shared" si="3"/>
        <v>股上：約39cm　股下：約63cm　ウエスト：約32cm　もも幅：約32cm　裾幅：約30cm</v>
      </c>
      <c r="Z10" t="str">
        <f t="shared" si="4"/>
        <v>股上：約39cm　股下：約63cm　ウエスト：約32cm　もも幅：約32cm　裾幅：約30cm</v>
      </c>
      <c r="AA10" s="77" t="s">
        <v>3059</v>
      </c>
      <c r="AC10" s="9"/>
      <c r="AE10">
        <v>1000</v>
      </c>
    </row>
    <row r="11" spans="1:31" ht="14.25">
      <c r="A11" s="9" t="s">
        <v>3214</v>
      </c>
      <c r="B11" s="14">
        <v>1212020007665</v>
      </c>
      <c r="C11" t="str">
        <f t="shared" si="0"/>
        <v>◇ UNITED ARROWS ユナイテッドアローズ ストレッチ素材 フロントファスナー サイズXL ブルー レディースメンズ E 1212020007665</v>
      </c>
      <c r="D11" s="7">
        <f t="shared" si="5"/>
        <v>60</v>
      </c>
      <c r="E11" t="s">
        <v>3211</v>
      </c>
      <c r="G11">
        <v>4</v>
      </c>
      <c r="H11" s="7" t="str">
        <f>IFERROR(INDEX(コンディションランク!$B$1:$B$6,MATCH($G11,コンディションランク!$A$1:$A$6,0)),"")</f>
        <v>やや傷や汚れあり</v>
      </c>
      <c r="J11" t="s">
        <v>2924</v>
      </c>
      <c r="K11" s="3" t="s">
        <v>3163</v>
      </c>
      <c r="L11" s="9" t="s">
        <v>3150</v>
      </c>
      <c r="M11">
        <v>34</v>
      </c>
      <c r="N11">
        <v>78</v>
      </c>
      <c r="O11">
        <v>43</v>
      </c>
      <c r="P11">
        <v>26</v>
      </c>
      <c r="Q11">
        <v>17</v>
      </c>
      <c r="R11" t="s">
        <v>165</v>
      </c>
      <c r="S11" s="32" t="str">
        <f t="shared" si="2"/>
        <v>◇</v>
      </c>
      <c r="U11" t="s">
        <v>3212</v>
      </c>
      <c r="V11" t="s">
        <v>3213</v>
      </c>
      <c r="W11" t="s">
        <v>3092</v>
      </c>
      <c r="X11" t="s">
        <v>3186</v>
      </c>
      <c r="Y11" t="str">
        <f t="shared" si="3"/>
        <v>股上：約34cm　股下：約78cm　ウエスト：約43cm　もも幅：約26cm　裾幅：約17cm</v>
      </c>
      <c r="Z11" t="str">
        <f t="shared" si="4"/>
        <v>股上：約34cm　股下：約78cm　ウエスト：約43cm　もも幅：約26cm　裾幅：約17cm</v>
      </c>
      <c r="AA11" s="77" t="s">
        <v>3059</v>
      </c>
      <c r="AC11" s="9"/>
      <c r="AE11">
        <v>1000</v>
      </c>
    </row>
    <row r="12" spans="1:31" ht="14.25">
      <c r="A12" s="9" t="s">
        <v>3224</v>
      </c>
      <c r="B12" s="14">
        <v>1212020007627</v>
      </c>
      <c r="C12" t="str">
        <f t="shared" si="0"/>
        <v>◇ w closet ダブルクローゼット ウエストフリンジ コーデュロイパンツ 表記なし パープル レディースメンズ E 1212020007627</v>
      </c>
      <c r="D12" s="7">
        <f t="shared" si="5"/>
        <v>58.5</v>
      </c>
      <c r="E12" t="s">
        <v>71</v>
      </c>
      <c r="G12">
        <v>3</v>
      </c>
      <c r="H12" s="7" t="str">
        <f>IFERROR(INDEX(コンディションランク!$B$1:$B$6,MATCH($G12,コンディションランク!$A$1:$A$6,0)),"")</f>
        <v>目立った傷や汚れなし</v>
      </c>
      <c r="J12" t="s">
        <v>2924</v>
      </c>
      <c r="K12" s="3" t="s">
        <v>3173</v>
      </c>
      <c r="L12" s="9" t="s">
        <v>3074</v>
      </c>
      <c r="M12">
        <v>39</v>
      </c>
      <c r="N12">
        <v>62</v>
      </c>
      <c r="O12">
        <v>35</v>
      </c>
      <c r="P12">
        <v>31</v>
      </c>
      <c r="Q12">
        <v>29</v>
      </c>
      <c r="R12" t="s">
        <v>165</v>
      </c>
      <c r="S12" s="32" t="str">
        <f t="shared" si="2"/>
        <v>◇</v>
      </c>
      <c r="U12" t="s">
        <v>3222</v>
      </c>
      <c r="V12" t="s">
        <v>3223</v>
      </c>
      <c r="W12" t="s">
        <v>3066</v>
      </c>
      <c r="X12" t="s">
        <v>3186</v>
      </c>
      <c r="Y12" t="str">
        <f t="shared" si="3"/>
        <v>股上：約39cm　股下：約62cm　ウエスト：約35cm　もも幅：約31cm　裾幅：約29cm</v>
      </c>
      <c r="Z12" t="str">
        <f t="shared" si="4"/>
        <v>股上：約39cm　股下：約62cm　ウエスト：約35cm　もも幅：約31cm　裾幅：約29cm</v>
      </c>
      <c r="AA12" s="77" t="s">
        <v>3059</v>
      </c>
      <c r="AC12" s="6"/>
      <c r="AE12">
        <v>1000</v>
      </c>
    </row>
    <row r="13" spans="1:31" ht="14.25">
      <c r="C13" t="str">
        <f t="shared" si="0"/>
        <v>◇ サイズ E</v>
      </c>
      <c r="D13" s="7">
        <f t="shared" si="5"/>
        <v>5.5</v>
      </c>
      <c r="E13" t="s">
        <v>71</v>
      </c>
      <c r="H13" s="7" t="str">
        <f>IFERROR(INDEX(コンディションランク!$B$1:$B$6,MATCH($G13,コンディションランク!$A$1:$A$6,0)),"")</f>
        <v/>
      </c>
      <c r="J13" t="s">
        <v>2924</v>
      </c>
      <c r="K13" s="3"/>
      <c r="L13" s="9" t="s">
        <v>3031</v>
      </c>
      <c r="R13" t="s">
        <v>165</v>
      </c>
      <c r="S13" s="32" t="str">
        <f t="shared" si="2"/>
        <v>◇</v>
      </c>
      <c r="Y13" t="str">
        <f t="shared" si="3"/>
        <v>股上：約cm　股下：約cm　ウエスト：約cm　もも幅：約cm　裾幅：約cm</v>
      </c>
      <c r="Z13" t="str">
        <f t="shared" si="4"/>
        <v>股上：約cm　股下：約cm　ウエスト：約cm　もも幅：約cm　裾幅：約cm</v>
      </c>
      <c r="AA13" s="77" t="s">
        <v>158</v>
      </c>
      <c r="AC13" s="6"/>
    </row>
    <row r="14" spans="1:31" ht="14.25">
      <c r="C14" t="str">
        <f t="shared" si="0"/>
        <v>◇ サイズ E</v>
      </c>
      <c r="D14" s="7">
        <f t="shared" si="5"/>
        <v>5.5</v>
      </c>
      <c r="E14" t="s">
        <v>71</v>
      </c>
      <c r="H14" s="7" t="str">
        <f>IFERROR(INDEX(コンディションランク!$B$1:$B$6,MATCH($G14,コンディションランク!$A$1:$A$6,0)),"")</f>
        <v/>
      </c>
      <c r="J14" t="s">
        <v>2924</v>
      </c>
      <c r="K14" s="3"/>
      <c r="L14" s="9" t="s">
        <v>3031</v>
      </c>
      <c r="R14" t="s">
        <v>165</v>
      </c>
      <c r="S14" s="32" t="str">
        <f t="shared" si="2"/>
        <v>◇</v>
      </c>
      <c r="Y14" t="str">
        <f t="shared" si="3"/>
        <v>股上：約cm　股下：約cm　ウエスト：約cm　もも幅：約cm　裾幅：約cm</v>
      </c>
      <c r="Z14" t="str">
        <f t="shared" si="4"/>
        <v>股上：約cm　股下：約cm　ウエスト：約cm　もも幅：約cm　裾幅：約cm</v>
      </c>
      <c r="AA14" s="77" t="s">
        <v>158</v>
      </c>
      <c r="AC14" s="6"/>
    </row>
    <row r="15" spans="1:31" ht="14.25">
      <c r="C15" t="str">
        <f t="shared" si="0"/>
        <v>◇ サイズ E</v>
      </c>
      <c r="D15" s="7">
        <f t="shared" si="5"/>
        <v>5.5</v>
      </c>
      <c r="E15" t="s">
        <v>71</v>
      </c>
      <c r="H15" s="7" t="str">
        <f>IFERROR(INDEX(コンディションランク!$B$1:$B$6,MATCH($G15,コンディションランク!$A$1:$A$6,0)),"")</f>
        <v/>
      </c>
      <c r="J15" t="s">
        <v>2924</v>
      </c>
      <c r="K15" s="3"/>
      <c r="L15" s="9" t="s">
        <v>3031</v>
      </c>
      <c r="R15" t="s">
        <v>165</v>
      </c>
      <c r="S15" s="32" t="str">
        <f t="shared" si="2"/>
        <v>◇</v>
      </c>
      <c r="Y15" t="str">
        <f t="shared" si="3"/>
        <v>股上：約cm　股下：約cm　ウエスト：約cm　もも幅：約cm　裾幅：約cm</v>
      </c>
      <c r="Z15" t="str">
        <f t="shared" si="4"/>
        <v>股上：約cm　股下：約cm　ウエスト：約cm　もも幅：約cm　裾幅：約cm</v>
      </c>
      <c r="AA15" s="77" t="s">
        <v>158</v>
      </c>
      <c r="AC15" s="6"/>
    </row>
    <row r="16" spans="1:31" ht="14.25">
      <c r="C16" t="str">
        <f t="shared" si="0"/>
        <v>◇ サイズ E</v>
      </c>
      <c r="D16" s="7">
        <f t="shared" si="5"/>
        <v>5.5</v>
      </c>
      <c r="E16" t="s">
        <v>71</v>
      </c>
      <c r="H16" s="7" t="str">
        <f>IFERROR(INDEX(コンディションランク!$B$1:$B$6,MATCH($G16,コンディションランク!$A$1:$A$6,0)),"")</f>
        <v/>
      </c>
      <c r="J16" t="s">
        <v>2924</v>
      </c>
      <c r="K16" s="3"/>
      <c r="L16" s="9" t="s">
        <v>3031</v>
      </c>
      <c r="R16" t="s">
        <v>165</v>
      </c>
      <c r="S16" s="32" t="str">
        <f t="shared" si="2"/>
        <v>◇</v>
      </c>
      <c r="Y16" t="str">
        <f t="shared" si="3"/>
        <v>股上：約cm　股下：約cm　ウエスト：約cm　もも幅：約cm　裾幅：約cm</v>
      </c>
      <c r="Z16" t="str">
        <f t="shared" si="4"/>
        <v>股上：約cm　股下：約cm　ウエスト：約cm　もも幅：約cm　裾幅：約cm</v>
      </c>
      <c r="AA16" s="77" t="s">
        <v>158</v>
      </c>
      <c r="AC16" s="6"/>
    </row>
    <row r="17" spans="2:29" ht="14.25">
      <c r="C17" t="str">
        <f t="shared" si="0"/>
        <v>◇ サイズ E</v>
      </c>
      <c r="D17" s="7">
        <f t="shared" si="5"/>
        <v>5.5</v>
      </c>
      <c r="E17" t="s">
        <v>71</v>
      </c>
      <c r="H17" s="7" t="str">
        <f>IFERROR(INDEX(コンディションランク!$B$1:$B$6,MATCH($G17,コンディションランク!$A$1:$A$6,0)),"")</f>
        <v/>
      </c>
      <c r="J17" t="s">
        <v>2924</v>
      </c>
      <c r="K17" s="3"/>
      <c r="L17" s="9" t="s">
        <v>3031</v>
      </c>
      <c r="R17" t="s">
        <v>165</v>
      </c>
      <c r="S17" s="32" t="str">
        <f t="shared" si="2"/>
        <v>◇</v>
      </c>
      <c r="Y17" t="str">
        <f t="shared" si="3"/>
        <v>股上：約cm　股下：約cm　ウエスト：約cm　もも幅：約cm　裾幅：約cm</v>
      </c>
      <c r="Z17" t="str">
        <f t="shared" si="4"/>
        <v>股上：約cm　股下：約cm　ウエスト：約cm　もも幅：約cm　裾幅：約cm</v>
      </c>
      <c r="AA17" s="77" t="s">
        <v>158</v>
      </c>
      <c r="AC17" s="6"/>
    </row>
    <row r="18" spans="2:29" ht="14.25">
      <c r="C18" t="str">
        <f t="shared" si="0"/>
        <v>◇ サイズ E</v>
      </c>
      <c r="D18" s="7">
        <f t="shared" si="5"/>
        <v>5.5</v>
      </c>
      <c r="E18" t="s">
        <v>71</v>
      </c>
      <c r="H18" s="7" t="str">
        <f>IFERROR(INDEX(コンディションランク!$B$1:$B$6,MATCH($G18,コンディションランク!$A$1:$A$6,0)),"")</f>
        <v/>
      </c>
      <c r="J18" t="s">
        <v>2924</v>
      </c>
      <c r="K18" s="3"/>
      <c r="L18" s="9" t="s">
        <v>3031</v>
      </c>
      <c r="R18" t="s">
        <v>165</v>
      </c>
      <c r="S18" s="32" t="str">
        <f t="shared" si="2"/>
        <v>◇</v>
      </c>
      <c r="Y18" t="str">
        <f t="shared" si="3"/>
        <v>股上：約cm　股下：約cm　ウエスト：約cm　もも幅：約cm　裾幅：約cm</v>
      </c>
      <c r="Z18" t="str">
        <f t="shared" si="4"/>
        <v>股上：約cm　股下：約cm　ウエスト：約cm　もも幅：約cm　裾幅：約cm</v>
      </c>
      <c r="AA18" s="77" t="s">
        <v>158</v>
      </c>
      <c r="AC18" s="6"/>
    </row>
    <row r="19" spans="2:29" ht="14.25">
      <c r="C19" t="str">
        <f t="shared" si="0"/>
        <v>◇ サイズ E</v>
      </c>
      <c r="D19" s="7">
        <f t="shared" si="5"/>
        <v>5.5</v>
      </c>
      <c r="E19" t="s">
        <v>71</v>
      </c>
      <c r="H19" s="7" t="str">
        <f>IFERROR(INDEX(コンディションランク!$B$1:$B$6,MATCH($G19,コンディションランク!$A$1:$A$6,0)),"")</f>
        <v/>
      </c>
      <c r="J19" t="s">
        <v>2924</v>
      </c>
      <c r="K19" s="3"/>
      <c r="L19" s="9" t="s">
        <v>3031</v>
      </c>
      <c r="R19" t="s">
        <v>165</v>
      </c>
      <c r="S19" s="32" t="str">
        <f t="shared" si="2"/>
        <v>◇</v>
      </c>
      <c r="Y19" t="str">
        <f t="shared" si="3"/>
        <v>股上：約cm　股下：約cm　ウエスト：約cm　もも幅：約cm　裾幅：約cm</v>
      </c>
      <c r="Z19" t="str">
        <f t="shared" si="4"/>
        <v>股上：約cm　股下：約cm　ウエスト：約cm　もも幅：約cm　裾幅：約cm</v>
      </c>
      <c r="AA19" s="77" t="s">
        <v>158</v>
      </c>
      <c r="AC19" s="6"/>
    </row>
    <row r="20" spans="2:29" ht="14.25">
      <c r="C20" t="str">
        <f t="shared" si="0"/>
        <v>◇ サイズ E</v>
      </c>
      <c r="D20" s="7">
        <f t="shared" si="5"/>
        <v>5.5</v>
      </c>
      <c r="E20" t="s">
        <v>71</v>
      </c>
      <c r="H20" s="7" t="str">
        <f>IFERROR(INDEX(コンディションランク!$B$1:$B$6,MATCH($G20,コンディションランク!$A$1:$A$6,0)),"")</f>
        <v/>
      </c>
      <c r="J20" t="s">
        <v>2924</v>
      </c>
      <c r="K20" s="3"/>
      <c r="L20" s="9" t="s">
        <v>3031</v>
      </c>
      <c r="R20" t="s">
        <v>165</v>
      </c>
      <c r="S20" s="32" t="str">
        <f t="shared" si="2"/>
        <v>◇</v>
      </c>
      <c r="Y20" t="str">
        <f t="shared" si="3"/>
        <v>股上：約cm　股下：約cm　ウエスト：約cm　もも幅：約cm　裾幅：約cm</v>
      </c>
      <c r="Z20" t="str">
        <f t="shared" si="4"/>
        <v>股上：約cm　股下：約cm　ウエスト：約cm　もも幅：約cm　裾幅：約cm</v>
      </c>
      <c r="AA20" s="77" t="s">
        <v>158</v>
      </c>
      <c r="AC20" s="6"/>
    </row>
    <row r="21" spans="2:29" ht="14.25">
      <c r="C21" t="str">
        <f t="shared" si="0"/>
        <v>◇ サイズ E</v>
      </c>
      <c r="D21" s="7">
        <f t="shared" si="5"/>
        <v>5.5</v>
      </c>
      <c r="E21" t="s">
        <v>71</v>
      </c>
      <c r="H21" s="7" t="str">
        <f>IFERROR(INDEX(コンディションランク!$B$1:$B$6,MATCH($G21,コンディションランク!$A$1:$A$6,0)),"")</f>
        <v/>
      </c>
      <c r="J21" t="s">
        <v>2924</v>
      </c>
      <c r="L21" s="9" t="s">
        <v>3031</v>
      </c>
      <c r="R21" t="s">
        <v>165</v>
      </c>
      <c r="S21" s="32" t="str">
        <f t="shared" si="2"/>
        <v>◇</v>
      </c>
      <c r="Y21" t="str">
        <f t="shared" si="3"/>
        <v>股上：約cm　股下：約cm　ウエスト：約cm　もも幅：約cm　裾幅：約cm</v>
      </c>
      <c r="Z21" t="str">
        <f t="shared" si="4"/>
        <v>股上：約cm　股下：約cm　ウエスト：約cm　もも幅：約cm　裾幅：約cm</v>
      </c>
      <c r="AA21" s="77" t="s">
        <v>158</v>
      </c>
      <c r="AC21" s="6"/>
    </row>
    <row r="22" spans="2:29" ht="14.25">
      <c r="C22" t="str">
        <f t="shared" si="0"/>
        <v>◇ サイズ E</v>
      </c>
      <c r="D22" s="7">
        <f t="shared" si="5"/>
        <v>5.5</v>
      </c>
      <c r="E22" t="s">
        <v>71</v>
      </c>
      <c r="H22" s="7" t="str">
        <f>IFERROR(INDEX(コンディションランク!$B$1:$B$6,MATCH($G22,コンディションランク!$A$1:$A$6,0)),"")</f>
        <v/>
      </c>
      <c r="J22" t="s">
        <v>2924</v>
      </c>
      <c r="L22" s="9" t="s">
        <v>3031</v>
      </c>
      <c r="R22" t="s">
        <v>165</v>
      </c>
      <c r="S22" s="32" t="str">
        <f t="shared" si="2"/>
        <v>◇</v>
      </c>
      <c r="Y22" t="str">
        <f t="shared" si="3"/>
        <v>股上：約cm　股下：約cm　ウエスト：約cm　もも幅：約cm　裾幅：約cm</v>
      </c>
      <c r="Z22" t="str">
        <f t="shared" si="4"/>
        <v>股上：約cm　股下：約cm　ウエスト：約cm　もも幅：約cm　裾幅：約cm</v>
      </c>
      <c r="AA22" s="77" t="s">
        <v>158</v>
      </c>
      <c r="AC22" s="6"/>
    </row>
    <row r="23" spans="2:29" ht="14.25">
      <c r="C23" t="str">
        <f t="shared" si="0"/>
        <v>◇ サイズ E</v>
      </c>
      <c r="D23" s="7">
        <f t="shared" si="5"/>
        <v>5.5</v>
      </c>
      <c r="E23" t="s">
        <v>71</v>
      </c>
      <c r="H23" s="7" t="str">
        <f>IFERROR(INDEX(コンディションランク!$B$1:$B$6,MATCH($G23,コンディションランク!$A$1:$A$6,0)),"")</f>
        <v/>
      </c>
      <c r="J23" t="s">
        <v>2924</v>
      </c>
      <c r="L23" s="9" t="s">
        <v>3031</v>
      </c>
      <c r="R23" t="s">
        <v>165</v>
      </c>
      <c r="S23" s="32" t="str">
        <f t="shared" si="2"/>
        <v>◇</v>
      </c>
      <c r="Y23" t="str">
        <f t="shared" si="3"/>
        <v>股上：約cm　股下：約cm　ウエスト：約cm　もも幅：約cm　裾幅：約cm</v>
      </c>
      <c r="Z23" t="str">
        <f t="shared" si="4"/>
        <v>股上：約cm　股下：約cm　ウエスト：約cm　もも幅：約cm　裾幅：約cm</v>
      </c>
      <c r="AA23" s="77" t="s">
        <v>158</v>
      </c>
      <c r="AC23" s="6"/>
    </row>
    <row r="24" spans="2:29" ht="14.25">
      <c r="B24" s="68"/>
      <c r="C24" t="str">
        <f t="shared" si="0"/>
        <v>◇ サイズ E</v>
      </c>
      <c r="D24" s="7">
        <f t="shared" si="5"/>
        <v>5.5</v>
      </c>
      <c r="E24" t="s">
        <v>71</v>
      </c>
      <c r="H24" s="7" t="str">
        <f>IFERROR(INDEX(コンディションランク!$B$1:$B$6,MATCH($G24,コンディションランク!$A$1:$A$6,0)),"")</f>
        <v/>
      </c>
      <c r="J24" t="s">
        <v>2924</v>
      </c>
      <c r="L24" s="9" t="s">
        <v>3031</v>
      </c>
      <c r="R24" t="s">
        <v>165</v>
      </c>
      <c r="S24" s="32" t="str">
        <f t="shared" si="2"/>
        <v>◇</v>
      </c>
      <c r="Y24" t="str">
        <f t="shared" si="3"/>
        <v>股上：約cm　股下：約cm　ウエスト：約cm　もも幅：約cm　裾幅：約cm</v>
      </c>
      <c r="Z24" t="str">
        <f t="shared" si="4"/>
        <v>股上：約cm　股下：約cm　ウエスト：約cm　もも幅：約cm　裾幅：約cm</v>
      </c>
      <c r="AA24" s="77" t="s">
        <v>158</v>
      </c>
      <c r="AC24" s="6"/>
    </row>
    <row r="25" spans="2:29" ht="14.25">
      <c r="C25" t="str">
        <f t="shared" si="0"/>
        <v>◇ サイズ E</v>
      </c>
      <c r="D25" s="7">
        <f t="shared" si="5"/>
        <v>5.5</v>
      </c>
      <c r="E25" t="s">
        <v>71</v>
      </c>
      <c r="H25" s="7" t="str">
        <f>IFERROR(INDEX(コンディションランク!$B$1:$B$6,MATCH($G25,コンディションランク!$A$1:$A$6,0)),"")</f>
        <v/>
      </c>
      <c r="J25" t="s">
        <v>2924</v>
      </c>
      <c r="L25" s="9" t="s">
        <v>3031</v>
      </c>
      <c r="R25" t="s">
        <v>165</v>
      </c>
      <c r="S25" s="32" t="str">
        <f t="shared" si="2"/>
        <v>◇</v>
      </c>
      <c r="Y25" t="str">
        <f t="shared" si="3"/>
        <v>股上：約cm　股下：約cm　ウエスト：約cm　もも幅：約cm　裾幅：約cm</v>
      </c>
      <c r="Z25" t="str">
        <f t="shared" si="4"/>
        <v>股上：約cm　股下：約cm　ウエスト：約cm　もも幅：約cm　裾幅：約cm</v>
      </c>
      <c r="AA25" s="77" t="s">
        <v>158</v>
      </c>
      <c r="AC25" s="6"/>
    </row>
    <row r="26" spans="2:29" ht="14.25">
      <c r="C26" t="str">
        <f t="shared" si="0"/>
        <v>◇ サイズ E</v>
      </c>
      <c r="D26" s="7">
        <f t="shared" si="5"/>
        <v>5.5</v>
      </c>
      <c r="E26" t="s">
        <v>71</v>
      </c>
      <c r="H26" s="7" t="str">
        <f>IFERROR(INDEX(コンディションランク!$B$1:$B$6,MATCH($G26,コンディションランク!$A$1:$A$6,0)),"")</f>
        <v/>
      </c>
      <c r="J26" t="s">
        <v>2924</v>
      </c>
      <c r="L26" s="9" t="s">
        <v>3031</v>
      </c>
      <c r="R26" t="s">
        <v>165</v>
      </c>
      <c r="S26" s="32" t="str">
        <f t="shared" si="2"/>
        <v>◇</v>
      </c>
      <c r="Y26" t="str">
        <f t="shared" si="3"/>
        <v>股上：約cm　股下：約cm　ウエスト：約cm　もも幅：約cm　裾幅：約cm</v>
      </c>
      <c r="Z26" t="str">
        <f t="shared" si="4"/>
        <v>股上：約cm　股下：約cm　ウエスト：約cm　もも幅：約cm　裾幅：約cm</v>
      </c>
      <c r="AA26" s="77" t="s">
        <v>158</v>
      </c>
      <c r="AC26" s="6"/>
    </row>
    <row r="27" spans="2:29" ht="14.25">
      <c r="C27" t="str">
        <f t="shared" si="0"/>
        <v>◇ サイズ E</v>
      </c>
      <c r="D27" s="7">
        <f t="shared" si="5"/>
        <v>5.5</v>
      </c>
      <c r="E27" t="s">
        <v>71</v>
      </c>
      <c r="H27" s="7" t="str">
        <f>IFERROR(INDEX(コンディションランク!$B$1:$B$6,MATCH($G27,コンディションランク!$A$1:$A$6,0)),"")</f>
        <v/>
      </c>
      <c r="J27" t="s">
        <v>2924</v>
      </c>
      <c r="L27" s="9" t="s">
        <v>3031</v>
      </c>
      <c r="R27" t="s">
        <v>165</v>
      </c>
      <c r="S27" s="32" t="str">
        <f t="shared" si="2"/>
        <v>◇</v>
      </c>
      <c r="Y27" t="str">
        <f t="shared" si="3"/>
        <v>股上：約cm　股下：約cm　ウエスト：約cm　もも幅：約cm　裾幅：約cm</v>
      </c>
      <c r="Z27" t="str">
        <f t="shared" si="4"/>
        <v>股上：約cm　股下：約cm　ウエスト：約cm　もも幅：約cm　裾幅：約cm</v>
      </c>
      <c r="AA27" s="77" t="s">
        <v>158</v>
      </c>
      <c r="AC27" s="6"/>
    </row>
    <row r="28" spans="2:29" ht="14.25">
      <c r="C28" t="str">
        <f t="shared" si="0"/>
        <v>◇ サイズ E</v>
      </c>
      <c r="D28" s="7">
        <f t="shared" si="5"/>
        <v>5.5</v>
      </c>
      <c r="E28" t="s">
        <v>71</v>
      </c>
      <c r="H28" s="7" t="str">
        <f>IFERROR(INDEX(コンディションランク!$B$1:$B$6,MATCH($G28,コンディションランク!$A$1:$A$6,0)),"")</f>
        <v/>
      </c>
      <c r="J28" t="s">
        <v>2924</v>
      </c>
      <c r="L28" s="9" t="s">
        <v>3031</v>
      </c>
      <c r="R28" t="s">
        <v>165</v>
      </c>
      <c r="S28" s="32" t="str">
        <f t="shared" si="2"/>
        <v>◇</v>
      </c>
      <c r="Y28" t="str">
        <f t="shared" si="3"/>
        <v>股上：約cm　股下：約cm　ウエスト：約cm　もも幅：約cm　裾幅：約cm</v>
      </c>
      <c r="Z28" t="str">
        <f t="shared" si="4"/>
        <v>股上：約cm　股下：約cm　ウエスト：約cm　もも幅：約cm　裾幅：約cm</v>
      </c>
      <c r="AA28" s="77" t="s">
        <v>158</v>
      </c>
      <c r="AC28" s="6"/>
    </row>
    <row r="29" spans="2:29" ht="14.25">
      <c r="C29" t="str">
        <f t="shared" si="0"/>
        <v>◇ サイズ E</v>
      </c>
      <c r="D29" s="7">
        <f t="shared" si="5"/>
        <v>5.5</v>
      </c>
      <c r="E29" t="s">
        <v>71</v>
      </c>
      <c r="H29" s="7" t="str">
        <f>IFERROR(INDEX(コンディションランク!$B$1:$B$6,MATCH($G29,コンディションランク!$A$1:$A$6,0)),"")</f>
        <v/>
      </c>
      <c r="J29" t="s">
        <v>2924</v>
      </c>
      <c r="L29" s="9" t="s">
        <v>3031</v>
      </c>
      <c r="R29" t="s">
        <v>165</v>
      </c>
      <c r="S29" s="32" t="str">
        <f t="shared" si="2"/>
        <v>◇</v>
      </c>
      <c r="Y29" t="str">
        <f t="shared" si="3"/>
        <v>股上：約cm　股下：約cm　ウエスト：約cm　もも幅：約cm　裾幅：約cm</v>
      </c>
      <c r="Z29" t="str">
        <f t="shared" si="4"/>
        <v>股上：約cm　股下：約cm　ウエスト：約cm　もも幅：約cm　裾幅：約cm</v>
      </c>
      <c r="AA29" s="77" t="s">
        <v>158</v>
      </c>
      <c r="AC29" s="6"/>
    </row>
    <row r="30" spans="2:29" ht="14.25">
      <c r="C30" t="str">
        <f t="shared" si="0"/>
        <v>◇ サイズ E</v>
      </c>
      <c r="D30" s="7">
        <f t="shared" si="5"/>
        <v>5.5</v>
      </c>
      <c r="E30" t="s">
        <v>71</v>
      </c>
      <c r="H30" s="7" t="str">
        <f>IFERROR(INDEX(コンディションランク!$B$1:$B$6,MATCH($G30,コンディションランク!$A$1:$A$6,0)),"")</f>
        <v/>
      </c>
      <c r="J30" t="s">
        <v>2924</v>
      </c>
      <c r="L30" s="9" t="s">
        <v>3031</v>
      </c>
      <c r="R30" t="s">
        <v>165</v>
      </c>
      <c r="S30" s="32" t="str">
        <f t="shared" si="2"/>
        <v>◇</v>
      </c>
      <c r="Y30" t="str">
        <f t="shared" si="3"/>
        <v>股上：約cm　股下：約cm　ウエスト：約cm　もも幅：約cm　裾幅：約cm</v>
      </c>
      <c r="Z30" t="str">
        <f t="shared" si="4"/>
        <v>股上：約cm　股下：約cm　ウエスト：約cm　もも幅：約cm　裾幅：約cm</v>
      </c>
      <c r="AA30" s="77" t="s">
        <v>158</v>
      </c>
      <c r="AC30" s="6"/>
    </row>
    <row r="31" spans="2:29" ht="14.25">
      <c r="C31" t="str">
        <f t="shared" si="0"/>
        <v>◇ サイズ E</v>
      </c>
      <c r="D31" s="7">
        <f t="shared" si="5"/>
        <v>5.5</v>
      </c>
      <c r="E31" t="s">
        <v>71</v>
      </c>
      <c r="H31" s="7" t="str">
        <f>IFERROR(INDEX(コンディションランク!$B$1:$B$6,MATCH($G31,コンディションランク!$A$1:$A$6,0)),"")</f>
        <v/>
      </c>
      <c r="J31" t="s">
        <v>2924</v>
      </c>
      <c r="L31" s="9" t="s">
        <v>3031</v>
      </c>
      <c r="R31" t="s">
        <v>165</v>
      </c>
      <c r="S31" s="32" t="str">
        <f t="shared" si="2"/>
        <v>◇</v>
      </c>
      <c r="Y31" t="str">
        <f t="shared" si="3"/>
        <v>股上：約cm　股下：約cm　ウエスト：約cm　もも幅：約cm　裾幅：約cm</v>
      </c>
      <c r="Z31" t="str">
        <f t="shared" si="4"/>
        <v>股上：約cm　股下：約cm　ウエスト：約cm　もも幅：約cm　裾幅：約cm</v>
      </c>
      <c r="AA31" s="77" t="s">
        <v>158</v>
      </c>
      <c r="AC31" s="6"/>
    </row>
    <row r="32" spans="2:29" ht="14.25">
      <c r="C32" t="str">
        <f t="shared" si="0"/>
        <v>◇ サイズ E</v>
      </c>
      <c r="D32" s="7">
        <f t="shared" si="5"/>
        <v>5.5</v>
      </c>
      <c r="E32" t="s">
        <v>71</v>
      </c>
      <c r="H32" s="7" t="str">
        <f>IFERROR(INDEX(コンディションランク!$B$1:$B$6,MATCH($G32,コンディションランク!$A$1:$A$6,0)),"")</f>
        <v/>
      </c>
      <c r="J32" t="s">
        <v>2924</v>
      </c>
      <c r="L32" s="9" t="s">
        <v>3031</v>
      </c>
      <c r="R32" t="s">
        <v>165</v>
      </c>
      <c r="S32" s="32" t="str">
        <f t="shared" si="2"/>
        <v>◇</v>
      </c>
      <c r="Y32" t="str">
        <f t="shared" si="3"/>
        <v>股上：約cm　股下：約cm　ウエスト：約cm　もも幅：約cm　裾幅：約cm</v>
      </c>
      <c r="Z32" t="str">
        <f t="shared" si="4"/>
        <v>股上：約cm　股下：約cm　ウエスト：約cm　もも幅：約cm　裾幅：約cm</v>
      </c>
      <c r="AA32" s="77" t="s">
        <v>158</v>
      </c>
      <c r="AC32" s="6"/>
    </row>
    <row r="33" spans="3:29" ht="14.25">
      <c r="C33" t="str">
        <f t="shared" si="0"/>
        <v>◇ サイズ E</v>
      </c>
      <c r="D33" s="7">
        <f t="shared" si="5"/>
        <v>5.5</v>
      </c>
      <c r="E33" t="s">
        <v>71</v>
      </c>
      <c r="H33" s="7" t="str">
        <f>IFERROR(INDEX(コンディションランク!$B$1:$B$6,MATCH($G33,コンディションランク!$A$1:$A$6,0)),"")</f>
        <v/>
      </c>
      <c r="J33" t="s">
        <v>2924</v>
      </c>
      <c r="L33" s="9" t="s">
        <v>3031</v>
      </c>
      <c r="R33" t="s">
        <v>165</v>
      </c>
      <c r="S33" s="32" t="str">
        <f t="shared" si="2"/>
        <v>◇</v>
      </c>
      <c r="Y33" t="str">
        <f t="shared" si="3"/>
        <v>股上：約cm　股下：約cm　ウエスト：約cm　もも幅：約cm　裾幅：約cm</v>
      </c>
      <c r="Z33" t="str">
        <f t="shared" si="4"/>
        <v>股上：約cm　股下：約cm　ウエスト：約cm　もも幅：約cm　裾幅：約cm</v>
      </c>
      <c r="AA33" s="77" t="s">
        <v>158</v>
      </c>
      <c r="AC33" s="6"/>
    </row>
    <row r="34" spans="3:29" ht="14.25">
      <c r="C34" t="str">
        <f t="shared" ref="C34:C50" si="6">TRIM(S34&amp;" "&amp;T34&amp;" "&amp;U34&amp;" "&amp;V34&amp;" "&amp;W34&amp;" "&amp;L34&amp;" "&amp;K34&amp;" "&amp;X34&amp;EX&amp;" "&amp;B34)</f>
        <v>◇ サイズ E</v>
      </c>
      <c r="D34" s="7">
        <f t="shared" si="5"/>
        <v>5.5</v>
      </c>
      <c r="E34" t="s">
        <v>71</v>
      </c>
      <c r="H34" s="7" t="str">
        <f>IFERROR(INDEX(コンディションランク!$B$1:$B$6,MATCH($G34,コンディションランク!$A$1:$A$6,0)),"")</f>
        <v/>
      </c>
      <c r="J34" t="s">
        <v>2924</v>
      </c>
      <c r="L34" s="9" t="s">
        <v>3031</v>
      </c>
      <c r="R34" t="s">
        <v>165</v>
      </c>
      <c r="S34" s="32" t="str">
        <f t="shared" ref="S34:S50" si="7">IFERROR(VLOOKUP(R34,梱包サイズ表,2,0),"")</f>
        <v>◇</v>
      </c>
      <c r="Y34" t="str">
        <f t="shared" ref="Y34:Y50" si="8">"股上：約" &amp;M34&amp; "cm　股下：約" &amp;N34&amp; "cm　ウエスト：約" &amp;O34&amp; "cm　もも幅：約" &amp;P34&amp; "cm　裾幅：約" &amp;Q34&amp; "cm"</f>
        <v>股上：約cm　股下：約cm　ウエスト：約cm　もも幅：約cm　裾幅：約cm</v>
      </c>
      <c r="Z34" t="str">
        <f t="shared" si="4"/>
        <v>股上：約cm　股下：約cm　ウエスト：約cm　もも幅：約cm　裾幅：約cm</v>
      </c>
      <c r="AA34" s="77" t="s">
        <v>158</v>
      </c>
      <c r="AC34" s="6"/>
    </row>
    <row r="35" spans="3:29" ht="14.25">
      <c r="C35" t="str">
        <f t="shared" si="6"/>
        <v>◇ サイズ E</v>
      </c>
      <c r="D35" s="7">
        <f t="shared" si="5"/>
        <v>5.5</v>
      </c>
      <c r="E35" t="s">
        <v>71</v>
      </c>
      <c r="H35" s="7" t="str">
        <f>IFERROR(INDEX(コンディションランク!$B$1:$B$6,MATCH($G35,コンディションランク!$A$1:$A$6,0)),"")</f>
        <v/>
      </c>
      <c r="J35" t="s">
        <v>2924</v>
      </c>
      <c r="L35" s="9" t="s">
        <v>3031</v>
      </c>
      <c r="R35" t="s">
        <v>165</v>
      </c>
      <c r="S35" s="32" t="str">
        <f t="shared" si="7"/>
        <v>◇</v>
      </c>
      <c r="Y35" t="str">
        <f t="shared" si="8"/>
        <v>股上：約cm　股下：約cm　ウエスト：約cm　もも幅：約cm　裾幅：約cm</v>
      </c>
      <c r="Z35" t="str">
        <f t="shared" si="4"/>
        <v>股上：約cm　股下：約cm　ウエスト：約cm　もも幅：約cm　裾幅：約cm</v>
      </c>
      <c r="AA35" s="77" t="s">
        <v>158</v>
      </c>
      <c r="AC35" s="6"/>
    </row>
    <row r="36" spans="3:29" ht="14.25">
      <c r="C36" t="str">
        <f t="shared" si="6"/>
        <v>◇ サイズ E</v>
      </c>
      <c r="D36" s="7">
        <f t="shared" si="5"/>
        <v>5.5</v>
      </c>
      <c r="E36" t="s">
        <v>71</v>
      </c>
      <c r="H36" s="7" t="str">
        <f>IFERROR(INDEX(コンディションランク!$B$1:$B$6,MATCH($G36,コンディションランク!$A$1:$A$6,0)),"")</f>
        <v/>
      </c>
      <c r="J36" t="s">
        <v>2924</v>
      </c>
      <c r="L36" s="9" t="s">
        <v>3031</v>
      </c>
      <c r="R36" t="s">
        <v>165</v>
      </c>
      <c r="S36" s="32" t="str">
        <f t="shared" si="7"/>
        <v>◇</v>
      </c>
      <c r="Y36" t="str">
        <f t="shared" si="8"/>
        <v>股上：約cm　股下：約cm　ウエスト：約cm　もも幅：約cm　裾幅：約cm</v>
      </c>
      <c r="Z36" t="str">
        <f t="shared" si="4"/>
        <v>股上：約cm　股下：約cm　ウエスト：約cm　もも幅：約cm　裾幅：約cm</v>
      </c>
      <c r="AA36" s="77" t="s">
        <v>158</v>
      </c>
      <c r="AC36" s="6"/>
    </row>
    <row r="37" spans="3:29" ht="14.25">
      <c r="C37" t="str">
        <f t="shared" si="6"/>
        <v>◇ サイズ E</v>
      </c>
      <c r="D37" s="7">
        <f t="shared" si="5"/>
        <v>5.5</v>
      </c>
      <c r="E37" t="s">
        <v>71</v>
      </c>
      <c r="H37" s="7" t="str">
        <f>IFERROR(INDEX(コンディションランク!$B$1:$B$6,MATCH($G37,コンディションランク!$A$1:$A$6,0)),"")</f>
        <v/>
      </c>
      <c r="J37" t="s">
        <v>2924</v>
      </c>
      <c r="L37" s="9" t="s">
        <v>3031</v>
      </c>
      <c r="R37" t="s">
        <v>165</v>
      </c>
      <c r="S37" s="32" t="str">
        <f t="shared" si="7"/>
        <v>◇</v>
      </c>
      <c r="Y37" t="str">
        <f t="shared" si="8"/>
        <v>股上：約cm　股下：約cm　ウエスト：約cm　もも幅：約cm　裾幅：約cm</v>
      </c>
      <c r="Z37" t="str">
        <f t="shared" si="4"/>
        <v>股上：約cm　股下：約cm　ウエスト：約cm　もも幅：約cm　裾幅：約cm</v>
      </c>
      <c r="AA37" s="77" t="s">
        <v>158</v>
      </c>
      <c r="AC37" s="6"/>
    </row>
    <row r="38" spans="3:29" ht="14.25">
      <c r="C38" t="str">
        <f t="shared" si="6"/>
        <v>◇ サイズ E</v>
      </c>
      <c r="D38" s="7">
        <f t="shared" si="5"/>
        <v>5.5</v>
      </c>
      <c r="E38" t="s">
        <v>71</v>
      </c>
      <c r="H38" s="7" t="str">
        <f>IFERROR(INDEX(コンディションランク!$B$1:$B$6,MATCH($G38,コンディションランク!$A$1:$A$6,0)),"")</f>
        <v/>
      </c>
      <c r="J38" t="s">
        <v>2924</v>
      </c>
      <c r="L38" s="9" t="s">
        <v>3031</v>
      </c>
      <c r="R38" t="s">
        <v>165</v>
      </c>
      <c r="S38" s="32" t="str">
        <f t="shared" si="7"/>
        <v>◇</v>
      </c>
      <c r="Y38" t="str">
        <f t="shared" si="8"/>
        <v>股上：約cm　股下：約cm　ウエスト：約cm　もも幅：約cm　裾幅：約cm</v>
      </c>
      <c r="Z38" t="str">
        <f t="shared" si="4"/>
        <v>股上：約cm　股下：約cm　ウエスト：約cm　もも幅：約cm　裾幅：約cm</v>
      </c>
      <c r="AA38" s="77" t="s">
        <v>158</v>
      </c>
      <c r="AC38" s="6"/>
    </row>
    <row r="39" spans="3:29" ht="14.25">
      <c r="C39" t="str">
        <f t="shared" si="6"/>
        <v>◇ サイズ E</v>
      </c>
      <c r="D39" s="7">
        <f t="shared" si="5"/>
        <v>5.5</v>
      </c>
      <c r="E39" t="s">
        <v>71</v>
      </c>
      <c r="H39" s="7" t="str">
        <f>IFERROR(INDEX(コンディションランク!$B$1:$B$6,MATCH($G39,コンディションランク!$A$1:$A$6,0)),"")</f>
        <v/>
      </c>
      <c r="J39" t="s">
        <v>2924</v>
      </c>
      <c r="L39" s="9" t="s">
        <v>3031</v>
      </c>
      <c r="R39" t="s">
        <v>165</v>
      </c>
      <c r="S39" s="32" t="str">
        <f t="shared" si="7"/>
        <v>◇</v>
      </c>
      <c r="Y39" t="str">
        <f t="shared" si="8"/>
        <v>股上：約cm　股下：約cm　ウエスト：約cm　もも幅：約cm　裾幅：約cm</v>
      </c>
      <c r="Z39" t="str">
        <f t="shared" si="4"/>
        <v>股上：約cm　股下：約cm　ウエスト：約cm　もも幅：約cm　裾幅：約cm</v>
      </c>
      <c r="AA39" s="77" t="s">
        <v>158</v>
      </c>
      <c r="AC39" s="6"/>
    </row>
    <row r="40" spans="3:29" ht="14.25">
      <c r="C40" t="str">
        <f t="shared" si="6"/>
        <v>◇ サイズ E</v>
      </c>
      <c r="D40" s="7">
        <f t="shared" si="5"/>
        <v>5.5</v>
      </c>
      <c r="E40" t="s">
        <v>71</v>
      </c>
      <c r="H40" s="7" t="str">
        <f>IFERROR(INDEX(コンディションランク!$B$1:$B$6,MATCH($G40,コンディションランク!$A$1:$A$6,0)),"")</f>
        <v/>
      </c>
      <c r="J40" t="s">
        <v>2924</v>
      </c>
      <c r="L40" s="9" t="s">
        <v>3031</v>
      </c>
      <c r="R40" t="s">
        <v>165</v>
      </c>
      <c r="S40" s="32" t="str">
        <f t="shared" si="7"/>
        <v>◇</v>
      </c>
      <c r="Y40" t="str">
        <f t="shared" si="8"/>
        <v>股上：約cm　股下：約cm　ウエスト：約cm　もも幅：約cm　裾幅：約cm</v>
      </c>
      <c r="Z40" t="str">
        <f t="shared" si="4"/>
        <v>股上：約cm　股下：約cm　ウエスト：約cm　もも幅：約cm　裾幅：約cm</v>
      </c>
      <c r="AA40" s="77" t="s">
        <v>158</v>
      </c>
      <c r="AC40" s="6"/>
    </row>
    <row r="41" spans="3:29" ht="14.25">
      <c r="C41" t="str">
        <f t="shared" si="6"/>
        <v>◇ サイズ E</v>
      </c>
      <c r="D41" s="7">
        <f t="shared" si="5"/>
        <v>5.5</v>
      </c>
      <c r="E41" t="s">
        <v>71</v>
      </c>
      <c r="H41" s="7" t="str">
        <f>IFERROR(INDEX(コンディションランク!$B$1:$B$6,MATCH($G41,コンディションランク!$A$1:$A$6,0)),"")</f>
        <v/>
      </c>
      <c r="J41" t="s">
        <v>2924</v>
      </c>
      <c r="L41" s="9" t="s">
        <v>3031</v>
      </c>
      <c r="R41" t="s">
        <v>165</v>
      </c>
      <c r="S41" s="32" t="str">
        <f t="shared" si="7"/>
        <v>◇</v>
      </c>
      <c r="Y41" t="str">
        <f t="shared" si="8"/>
        <v>股上：約cm　股下：約cm　ウエスト：約cm　もも幅：約cm　裾幅：約cm</v>
      </c>
      <c r="Z41" t="str">
        <f t="shared" si="4"/>
        <v>股上：約cm　股下：約cm　ウエスト：約cm　もも幅：約cm　裾幅：約cm</v>
      </c>
      <c r="AA41" s="77" t="s">
        <v>158</v>
      </c>
      <c r="AC41" s="6"/>
    </row>
    <row r="42" spans="3:29" ht="14.25">
      <c r="C42" t="str">
        <f t="shared" si="6"/>
        <v>◇ サイズ E</v>
      </c>
      <c r="D42" s="7">
        <f t="shared" si="5"/>
        <v>5.5</v>
      </c>
      <c r="E42" t="s">
        <v>71</v>
      </c>
      <c r="H42" s="7" t="str">
        <f>IFERROR(INDEX(コンディションランク!$B$1:$B$6,MATCH($G42,コンディションランク!$A$1:$A$6,0)),"")</f>
        <v/>
      </c>
      <c r="J42" t="s">
        <v>2924</v>
      </c>
      <c r="L42" s="9" t="s">
        <v>3031</v>
      </c>
      <c r="R42" t="s">
        <v>165</v>
      </c>
      <c r="S42" s="32" t="str">
        <f t="shared" si="7"/>
        <v>◇</v>
      </c>
      <c r="Y42" t="str">
        <f t="shared" si="8"/>
        <v>股上：約cm　股下：約cm　ウエスト：約cm　もも幅：約cm　裾幅：約cm</v>
      </c>
      <c r="Z42" t="str">
        <f t="shared" si="4"/>
        <v>股上：約cm　股下：約cm　ウエスト：約cm　もも幅：約cm　裾幅：約cm</v>
      </c>
      <c r="AA42" s="77" t="s">
        <v>158</v>
      </c>
      <c r="AC42" s="6"/>
    </row>
    <row r="43" spans="3:29" ht="14.25">
      <c r="C43" t="str">
        <f t="shared" si="6"/>
        <v>◇ サイズ E</v>
      </c>
      <c r="D43" s="7">
        <f t="shared" si="5"/>
        <v>5.5</v>
      </c>
      <c r="E43" t="s">
        <v>71</v>
      </c>
      <c r="H43" s="7" t="str">
        <f>IFERROR(INDEX(コンディションランク!$B$1:$B$6,MATCH($G43,コンディションランク!$A$1:$A$6,0)),"")</f>
        <v/>
      </c>
      <c r="J43" t="s">
        <v>2924</v>
      </c>
      <c r="L43" s="9" t="s">
        <v>3031</v>
      </c>
      <c r="R43" t="s">
        <v>165</v>
      </c>
      <c r="S43" s="32" t="str">
        <f t="shared" si="7"/>
        <v>◇</v>
      </c>
      <c r="Y43" t="str">
        <f t="shared" si="8"/>
        <v>股上：約cm　股下：約cm　ウエスト：約cm　もも幅：約cm　裾幅：約cm</v>
      </c>
      <c r="Z43" t="str">
        <f t="shared" si="4"/>
        <v>股上：約cm　股下：約cm　ウエスト：約cm　もも幅：約cm　裾幅：約cm</v>
      </c>
      <c r="AA43" s="77" t="s">
        <v>158</v>
      </c>
      <c r="AC43" s="6"/>
    </row>
    <row r="44" spans="3:29" ht="14.25">
      <c r="C44" t="str">
        <f t="shared" si="6"/>
        <v>◇ サイズ E</v>
      </c>
      <c r="D44" s="7">
        <f t="shared" si="5"/>
        <v>5.5</v>
      </c>
      <c r="E44" t="s">
        <v>71</v>
      </c>
      <c r="H44" s="7" t="str">
        <f>IFERROR(INDEX(コンディションランク!$B$1:$B$6,MATCH($G44,コンディションランク!$A$1:$A$6,0)),"")</f>
        <v/>
      </c>
      <c r="J44" t="s">
        <v>2924</v>
      </c>
      <c r="L44" s="9" t="s">
        <v>3031</v>
      </c>
      <c r="R44" t="s">
        <v>165</v>
      </c>
      <c r="S44" s="32" t="str">
        <f t="shared" si="7"/>
        <v>◇</v>
      </c>
      <c r="Y44" t="str">
        <f t="shared" si="8"/>
        <v>股上：約cm　股下：約cm　ウエスト：約cm　もも幅：約cm　裾幅：約cm</v>
      </c>
      <c r="Z44" t="str">
        <f t="shared" si="4"/>
        <v>股上：約cm　股下：約cm　ウエスト：約cm　もも幅：約cm　裾幅：約cm</v>
      </c>
      <c r="AA44" s="77" t="s">
        <v>158</v>
      </c>
      <c r="AC44" s="6"/>
    </row>
    <row r="45" spans="3:29" ht="14.25">
      <c r="C45" t="str">
        <f t="shared" si="6"/>
        <v>◇ サイズ E</v>
      </c>
      <c r="D45" s="7">
        <f t="shared" si="5"/>
        <v>5.5</v>
      </c>
      <c r="E45" t="s">
        <v>71</v>
      </c>
      <c r="H45" s="7" t="str">
        <f>IFERROR(INDEX(コンディションランク!$B$1:$B$6,MATCH($G45,コンディションランク!$A$1:$A$6,0)),"")</f>
        <v/>
      </c>
      <c r="J45" t="s">
        <v>2924</v>
      </c>
      <c r="L45" s="9" t="s">
        <v>3031</v>
      </c>
      <c r="R45" t="s">
        <v>165</v>
      </c>
      <c r="S45" s="32" t="str">
        <f t="shared" si="7"/>
        <v>◇</v>
      </c>
      <c r="Y45" t="str">
        <f t="shared" si="8"/>
        <v>股上：約cm　股下：約cm　ウエスト：約cm　もも幅：約cm　裾幅：約cm</v>
      </c>
      <c r="Z45" t="str">
        <f t="shared" si="4"/>
        <v>股上：約cm　股下：約cm　ウエスト：約cm　もも幅：約cm　裾幅：約cm</v>
      </c>
      <c r="AA45" s="77" t="s">
        <v>158</v>
      </c>
      <c r="AC45" s="6"/>
    </row>
    <row r="46" spans="3:29" ht="14.25">
      <c r="C46" t="str">
        <f t="shared" si="6"/>
        <v>◇ サイズ E</v>
      </c>
      <c r="D46" s="7">
        <f t="shared" si="5"/>
        <v>5.5</v>
      </c>
      <c r="E46" t="s">
        <v>71</v>
      </c>
      <c r="H46" s="7" t="str">
        <f>IFERROR(INDEX(コンディションランク!$B$1:$B$6,MATCH($G46,コンディションランク!$A$1:$A$6,0)),"")</f>
        <v/>
      </c>
      <c r="J46" t="s">
        <v>2924</v>
      </c>
      <c r="L46" s="9" t="s">
        <v>3031</v>
      </c>
      <c r="R46" t="s">
        <v>165</v>
      </c>
      <c r="S46" s="32" t="str">
        <f t="shared" si="7"/>
        <v>◇</v>
      </c>
      <c r="Y46" t="str">
        <f t="shared" si="8"/>
        <v>股上：約cm　股下：約cm　ウエスト：約cm　もも幅：約cm　裾幅：約cm</v>
      </c>
      <c r="Z46" t="str">
        <f t="shared" si="4"/>
        <v>股上：約cm　股下：約cm　ウエスト：約cm　もも幅：約cm　裾幅：約cm</v>
      </c>
      <c r="AA46" s="77" t="s">
        <v>158</v>
      </c>
      <c r="AC46" s="6"/>
    </row>
    <row r="47" spans="3:29" ht="14.25">
      <c r="C47" t="str">
        <f t="shared" si="6"/>
        <v>◇ サイズ E</v>
      </c>
      <c r="D47" s="7">
        <f t="shared" si="5"/>
        <v>5.5</v>
      </c>
      <c r="E47" t="s">
        <v>71</v>
      </c>
      <c r="H47" s="7" t="str">
        <f>IFERROR(INDEX(コンディションランク!$B$1:$B$6,MATCH($G47,コンディションランク!$A$1:$A$6,0)),"")</f>
        <v/>
      </c>
      <c r="J47" t="s">
        <v>2924</v>
      </c>
      <c r="L47" s="9" t="s">
        <v>3031</v>
      </c>
      <c r="R47" t="s">
        <v>165</v>
      </c>
      <c r="S47" s="32" t="str">
        <f t="shared" si="7"/>
        <v>◇</v>
      </c>
      <c r="Y47" t="str">
        <f t="shared" si="8"/>
        <v>股上：約cm　股下：約cm　ウエスト：約cm　もも幅：約cm　裾幅：約cm</v>
      </c>
      <c r="Z47" t="str">
        <f t="shared" si="4"/>
        <v>股上：約cm　股下：約cm　ウエスト：約cm　もも幅：約cm　裾幅：約cm</v>
      </c>
      <c r="AA47" s="77" t="s">
        <v>158</v>
      </c>
      <c r="AC47" s="6"/>
    </row>
    <row r="48" spans="3:29" ht="14.25">
      <c r="C48" t="str">
        <f t="shared" si="6"/>
        <v>◇ サイズ E</v>
      </c>
      <c r="D48" s="7">
        <f t="shared" si="5"/>
        <v>5.5</v>
      </c>
      <c r="E48" t="s">
        <v>71</v>
      </c>
      <c r="H48" s="7" t="str">
        <f>IFERROR(INDEX(コンディションランク!$B$1:$B$6,MATCH($G48,コンディションランク!$A$1:$A$6,0)),"")</f>
        <v/>
      </c>
      <c r="J48" t="s">
        <v>2924</v>
      </c>
      <c r="L48" s="9" t="s">
        <v>3031</v>
      </c>
      <c r="R48" t="s">
        <v>165</v>
      </c>
      <c r="S48" s="32" t="str">
        <f t="shared" si="7"/>
        <v>◇</v>
      </c>
      <c r="Y48" t="str">
        <f t="shared" si="8"/>
        <v>股上：約cm　股下：約cm　ウエスト：約cm　もも幅：約cm　裾幅：約cm</v>
      </c>
      <c r="Z48" t="str">
        <f t="shared" si="4"/>
        <v>股上：約cm　股下：約cm　ウエスト：約cm　もも幅：約cm　裾幅：約cm</v>
      </c>
      <c r="AA48" s="77" t="s">
        <v>158</v>
      </c>
      <c r="AC48" s="6"/>
    </row>
    <row r="49" spans="1:29" ht="14.25">
      <c r="C49" t="str">
        <f t="shared" si="6"/>
        <v>◇ サイズ E</v>
      </c>
      <c r="D49" s="7">
        <f t="shared" si="5"/>
        <v>5.5</v>
      </c>
      <c r="E49" t="s">
        <v>71</v>
      </c>
      <c r="H49" s="7" t="str">
        <f>IFERROR(INDEX(コンディションランク!$B$1:$B$6,MATCH($G49,コンディションランク!$A$1:$A$6,0)),"")</f>
        <v/>
      </c>
      <c r="J49" t="s">
        <v>2924</v>
      </c>
      <c r="L49" s="9" t="s">
        <v>3031</v>
      </c>
      <c r="R49" t="s">
        <v>165</v>
      </c>
      <c r="S49" s="32" t="str">
        <f t="shared" si="7"/>
        <v>◇</v>
      </c>
      <c r="Y49" t="str">
        <f t="shared" si="8"/>
        <v>股上：約cm　股下：約cm　ウエスト：約cm　もも幅：約cm　裾幅：約cm</v>
      </c>
      <c r="Z49" t="str">
        <f t="shared" si="4"/>
        <v>股上：約cm　股下：約cm　ウエスト：約cm　もも幅：約cm　裾幅：約cm</v>
      </c>
      <c r="AA49" s="77" t="s">
        <v>158</v>
      </c>
      <c r="AC49" s="6"/>
    </row>
    <row r="50" spans="1:29" ht="14.25" customHeight="1">
      <c r="C50" t="str">
        <f t="shared" si="6"/>
        <v>◇ サイズ E</v>
      </c>
      <c r="D50" s="7">
        <f t="shared" si="5"/>
        <v>5.5</v>
      </c>
      <c r="E50" t="s">
        <v>71</v>
      </c>
      <c r="H50" s="7" t="str">
        <f>IFERROR(INDEX(コンディションランク!$B$1:$B$6,MATCH($G50,コンディションランク!$A$1:$A$6,0)),"")</f>
        <v/>
      </c>
      <c r="J50" t="s">
        <v>2924</v>
      </c>
      <c r="L50" s="9" t="s">
        <v>3031</v>
      </c>
      <c r="R50" t="s">
        <v>165</v>
      </c>
      <c r="S50" s="32" t="str">
        <f t="shared" si="7"/>
        <v>◇</v>
      </c>
      <c r="Y50" t="str">
        <f t="shared" si="8"/>
        <v>股上：約cm　股下：約cm　ウエスト：約cm　もも幅：約cm　裾幅：約cm</v>
      </c>
      <c r="Z50" t="str">
        <f t="shared" si="4"/>
        <v>股上：約cm　股下：約cm　ウエスト：約cm　もも幅：約cm　裾幅：約cm</v>
      </c>
      <c r="AA50" s="77" t="s">
        <v>158</v>
      </c>
      <c r="AC50" s="6"/>
    </row>
    <row r="51" spans="1:29" ht="14.25" customHeight="1">
      <c r="A51" s="79"/>
      <c r="B51" s="13"/>
      <c r="C51" s="4"/>
      <c r="D51" s="4"/>
      <c r="E51" s="4"/>
      <c r="F51" s="4"/>
      <c r="G51" s="4"/>
      <c r="H51" s="4"/>
      <c r="I51" s="4"/>
      <c r="J51" s="4"/>
      <c r="K51" s="4"/>
      <c r="L51" s="4"/>
      <c r="M51" s="4"/>
      <c r="N51" s="4"/>
      <c r="O51" s="4"/>
      <c r="P51" s="4"/>
      <c r="Q51" s="4"/>
      <c r="R51" s="4"/>
      <c r="S51" s="4"/>
      <c r="T51" s="4"/>
      <c r="U51" s="4"/>
      <c r="V51" s="4"/>
      <c r="W51" s="4"/>
      <c r="X51" s="4"/>
      <c r="Y51" s="4"/>
      <c r="Z51" s="4"/>
      <c r="AA51" s="4"/>
    </row>
    <row r="52" spans="1:29" ht="14.25" customHeight="1"/>
    <row r="150" spans="2:2">
      <c r="B150"/>
    </row>
    <row r="151" spans="2:2">
      <c r="B151"/>
    </row>
    <row r="152" spans="2:2">
      <c r="B152"/>
    </row>
  </sheetData>
  <phoneticPr fontId="4"/>
  <conditionalFormatting sqref="F2:F5 B3:B23 B25:B50">
    <cfRule type="duplicateValues" dxfId="81" priority="14"/>
  </conditionalFormatting>
  <conditionalFormatting sqref="D2:D50">
    <cfRule type="cellIs" dxfId="80" priority="13" operator="greaterThanOrEqual">
      <formula>65</formula>
    </cfRule>
  </conditionalFormatting>
  <conditionalFormatting sqref="B2">
    <cfRule type="duplicateValues" dxfId="79" priority="11"/>
  </conditionalFormatting>
  <conditionalFormatting sqref="B2">
    <cfRule type="duplicateValues" dxfId="78" priority="10"/>
  </conditionalFormatting>
  <conditionalFormatting sqref="B2">
    <cfRule type="duplicateValues" dxfId="77" priority="9"/>
  </conditionalFormatting>
  <conditionalFormatting sqref="B2">
    <cfRule type="duplicateValues" dxfId="76" priority="8"/>
  </conditionalFormatting>
  <conditionalFormatting sqref="B2">
    <cfRule type="duplicateValues" dxfId="75" priority="7"/>
  </conditionalFormatting>
  <conditionalFormatting sqref="B24">
    <cfRule type="duplicateValues" dxfId="74" priority="6"/>
  </conditionalFormatting>
  <conditionalFormatting sqref="B24">
    <cfRule type="duplicateValues" dxfId="73" priority="5"/>
  </conditionalFormatting>
  <conditionalFormatting sqref="B24">
    <cfRule type="duplicateValues" dxfId="72" priority="4"/>
  </conditionalFormatting>
  <conditionalFormatting sqref="B24">
    <cfRule type="duplicateValues" dxfId="71" priority="3"/>
  </conditionalFormatting>
  <conditionalFormatting sqref="B24">
    <cfRule type="duplicateValues" dxfId="70" priority="2"/>
  </conditionalFormatting>
  <conditionalFormatting sqref="B2:B50">
    <cfRule type="duplicateValues" dxfId="69" priority="1"/>
  </conditionalFormatting>
  <dataValidations count="2">
    <dataValidation imeMode="off" allowBlank="1" showInputMessage="1" showErrorMessage="1" sqref="M1:Q1048576 B1:B1048576" xr:uid="{BDBADE6E-E6C8-449A-92DD-BEA1E2B86FE4}"/>
    <dataValidation type="list" allowBlank="1" showInputMessage="1" showErrorMessage="1" sqref="R2:R50" xr:uid="{0E264FBA-E590-42D8-A400-CB9F26061396}">
      <formula1>梱包</formula1>
    </dataValidation>
  </dataValidation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3AD5FE6E-67A8-4F87-B98D-A49592B5D29B}">
          <x14:formula1>
            <xm:f>コンディションランク!$A$1:$A$6</xm:f>
          </x14:formula1>
          <xm:sqref>G2:G50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AE181"/>
  <sheetViews>
    <sheetView topLeftCell="J1" zoomScale="85" zoomScaleNormal="85" workbookViewId="0">
      <pane ySplit="1" topLeftCell="A2" activePane="bottomLeft" state="frozen"/>
      <selection activeCell="B2" sqref="B2"/>
      <selection pane="bottomLeft" activeCell="T5" sqref="T5"/>
    </sheetView>
  </sheetViews>
  <sheetFormatPr defaultRowHeight="13.5"/>
  <cols>
    <col min="1" max="1" width="14" style="9" customWidth="1"/>
    <col min="2" max="2" width="16.25" style="14" customWidth="1"/>
    <col min="3" max="3" width="80.625" customWidth="1"/>
    <col min="4" max="4" width="5.625" customWidth="1"/>
    <col min="5" max="5" width="5.25" customWidth="1"/>
    <col min="6" max="6" width="9" hidden="1" customWidth="1"/>
    <col min="7" max="7" width="3.625" customWidth="1"/>
    <col min="8" max="8" width="9" customWidth="1"/>
    <col min="9" max="9" width="9" hidden="1" customWidth="1"/>
    <col min="11" max="11" width="28.75" customWidth="1"/>
    <col min="12" max="12" width="9.25" customWidth="1"/>
    <col min="13" max="15" width="6.75" customWidth="1"/>
    <col min="16" max="18" width="12.5" customWidth="1"/>
    <col min="19" max="19" width="38.875" customWidth="1"/>
    <col min="20" max="20" width="35.25" customWidth="1"/>
    <col min="21" max="21" width="15.75" customWidth="1"/>
    <col min="22" max="22" width="19.125" customWidth="1"/>
    <col min="23" max="23" width="35.625" customWidth="1"/>
    <col min="25" max="25" width="38.375" customWidth="1"/>
    <col min="26" max="26" width="37.875" hidden="1" customWidth="1"/>
    <col min="27" max="27" width="11.875" customWidth="1"/>
    <col min="28" max="30" width="9" hidden="1" customWidth="1"/>
    <col min="31" max="32" width="9" customWidth="1"/>
  </cols>
  <sheetData>
    <row r="1" spans="1:31" s="32" customFormat="1">
      <c r="A1" s="37" t="s">
        <v>2641</v>
      </c>
      <c r="B1" s="38" t="s">
        <v>0</v>
      </c>
      <c r="C1" s="8" t="s">
        <v>1</v>
      </c>
      <c r="D1" s="28" t="s">
        <v>145</v>
      </c>
      <c r="E1" s="18" t="s">
        <v>2</v>
      </c>
      <c r="F1" s="19" t="s">
        <v>3</v>
      </c>
      <c r="G1" s="17" t="s">
        <v>4</v>
      </c>
      <c r="H1" s="19" t="s">
        <v>5</v>
      </c>
      <c r="I1" s="19" t="s">
        <v>6</v>
      </c>
      <c r="J1" s="19" t="s">
        <v>7</v>
      </c>
      <c r="K1" s="19" t="s">
        <v>8</v>
      </c>
      <c r="L1" s="18" t="s">
        <v>9</v>
      </c>
      <c r="M1" s="21" t="s">
        <v>103</v>
      </c>
      <c r="N1" s="21" t="s">
        <v>33</v>
      </c>
      <c r="O1" s="21" t="s">
        <v>38</v>
      </c>
      <c r="P1" s="21" t="s">
        <v>164</v>
      </c>
      <c r="Q1" s="21" t="s">
        <v>3054</v>
      </c>
      <c r="R1" s="17" t="s">
        <v>88</v>
      </c>
      <c r="S1" s="17" t="s">
        <v>84</v>
      </c>
      <c r="T1" s="17" t="s">
        <v>85</v>
      </c>
      <c r="U1" s="17" t="s">
        <v>94</v>
      </c>
      <c r="V1" s="17" t="s">
        <v>95</v>
      </c>
      <c r="W1" s="17" t="s">
        <v>87</v>
      </c>
      <c r="X1" s="17" t="s">
        <v>86</v>
      </c>
      <c r="Y1" s="5" t="s">
        <v>3022</v>
      </c>
      <c r="Z1" s="5" t="s">
        <v>3024</v>
      </c>
      <c r="AA1" s="66" t="s">
        <v>98</v>
      </c>
      <c r="AB1" s="16" t="s">
        <v>107</v>
      </c>
      <c r="AC1" s="17" t="s">
        <v>151</v>
      </c>
      <c r="AD1" s="17" t="s">
        <v>108</v>
      </c>
      <c r="AE1" s="17" t="s">
        <v>109</v>
      </c>
    </row>
    <row r="2" spans="1:31" ht="14.25">
      <c r="A2" s="9" t="s">
        <v>3156</v>
      </c>
      <c r="B2" s="68">
        <v>1212020007832</v>
      </c>
      <c r="C2" t="str">
        <f t="shared" ref="C2:C33" si="0">TRIM(Q2&amp;" "&amp;R2&amp;" "&amp;S2&amp;" "&amp;T2&amp;" "&amp;U2&amp;" "&amp;V2&amp;" "&amp;W2&amp;" "&amp;L2&amp;" "&amp;K2&amp;" "&amp;X2&amp;EX&amp;" "&amp;B2)</f>
        <v>◇ apart by lowrys アパートバイローリーズ プリーツ２段重ね ロング ティアード スカート サイズF ブラック レディース E 1212020007832</v>
      </c>
      <c r="D2">
        <f t="shared" ref="D2:D21" si="1">(LENB(C2)-LEN(C2))+(LENB(C2)-(LENB(C2)-LEN(C2))*2)/2</f>
        <v>64.5</v>
      </c>
      <c r="E2" t="s">
        <v>3032</v>
      </c>
      <c r="G2">
        <v>3</v>
      </c>
      <c r="H2" s="3" t="str">
        <f>IFERROR(INDEX(コンディションランク!$B$1:$B$6,MATCH($G2,コンディションランク!$A$1:$A$6,0)),"")</f>
        <v>目立った傷や汚れなし</v>
      </c>
      <c r="J2" t="s">
        <v>2924</v>
      </c>
      <c r="K2" s="3" t="s">
        <v>3068</v>
      </c>
      <c r="L2" s="9" t="s">
        <v>3082</v>
      </c>
      <c r="M2">
        <v>85</v>
      </c>
      <c r="N2">
        <v>31</v>
      </c>
      <c r="O2">
        <v>46</v>
      </c>
      <c r="P2" t="s">
        <v>165</v>
      </c>
      <c r="Q2" s="32" t="str">
        <f t="shared" ref="Q2:Q33" si="2">IFERROR(VLOOKUP(P2,梱包サイズ表,2,0),"")</f>
        <v>◇</v>
      </c>
      <c r="S2" t="s">
        <v>3153</v>
      </c>
      <c r="T2" t="s">
        <v>3154</v>
      </c>
      <c r="U2" t="s">
        <v>3080</v>
      </c>
      <c r="V2" t="s">
        <v>3155</v>
      </c>
      <c r="W2" t="s">
        <v>3034</v>
      </c>
      <c r="X2" t="s">
        <v>3019</v>
      </c>
      <c r="Y2" t="str">
        <f>"総丈：約" &amp;M2&amp; "cm　ウエスト：約" &amp;N2&amp; "cm　ヒップ：約" &amp;O2&amp; "cm"</f>
        <v>総丈：約85cm　ウエスト：約31cm　ヒップ：約46cm</v>
      </c>
      <c r="Z2" t="str">
        <f>SUBSTITUTE( Y2, "約-", "-" )</f>
        <v>総丈：約85cm　ウエスト：約31cm　ヒップ：約46cm</v>
      </c>
      <c r="AA2" s="77" t="s">
        <v>3059</v>
      </c>
      <c r="AC2" s="6"/>
      <c r="AE2">
        <v>1000</v>
      </c>
    </row>
    <row r="3" spans="1:31" ht="14.25">
      <c r="A3" s="9" t="s">
        <v>3200</v>
      </c>
      <c r="B3" s="14">
        <v>1212020007733</v>
      </c>
      <c r="C3" t="str">
        <f t="shared" si="0"/>
        <v>◇ LOWRYS FARM ウエスト１部ゴム。バックスリット ロング タイト スカート サイズL ブルー レディース E 1212020007733</v>
      </c>
      <c r="D3">
        <f t="shared" si="1"/>
        <v>56</v>
      </c>
      <c r="E3" t="s">
        <v>3196</v>
      </c>
      <c r="H3" s="3" t="str">
        <f>IFERROR(INDEX(コンディションランク!$B$1:$B$6,MATCH($G3,コンディションランク!$A$1:$A$6,0)),"")</f>
        <v/>
      </c>
      <c r="J3" t="s">
        <v>2924</v>
      </c>
      <c r="K3" t="s">
        <v>3163</v>
      </c>
      <c r="L3" s="9" t="s">
        <v>3197</v>
      </c>
      <c r="M3">
        <v>80</v>
      </c>
      <c r="N3">
        <v>35</v>
      </c>
      <c r="O3">
        <v>45</v>
      </c>
      <c r="P3" t="s">
        <v>165</v>
      </c>
      <c r="Q3" s="32" t="str">
        <f t="shared" si="2"/>
        <v>◇</v>
      </c>
      <c r="S3" t="s">
        <v>3201</v>
      </c>
      <c r="T3" t="s">
        <v>3198</v>
      </c>
      <c r="U3" t="s">
        <v>3080</v>
      </c>
      <c r="V3" t="s">
        <v>3199</v>
      </c>
      <c r="W3" t="s">
        <v>3034</v>
      </c>
      <c r="X3" t="s">
        <v>3019</v>
      </c>
      <c r="Y3" t="str">
        <f t="shared" ref="Y3:Y51" si="3">"総丈：約" &amp;M3&amp; "cm　ウエスト：約" &amp;N3&amp; "cm　ヒップ：約" &amp;O3&amp; "cm"</f>
        <v>総丈：約80cm　ウエスト：約35cm　ヒップ：約45cm</v>
      </c>
      <c r="Z3" t="str">
        <f t="shared" ref="Z3:Z51" si="4">SUBSTITUTE( Y3, "約-", "-" )</f>
        <v>総丈：約80cm　ウエスト：約35cm　ヒップ：約45cm</v>
      </c>
      <c r="AA3" s="77" t="s">
        <v>3059</v>
      </c>
      <c r="AC3" s="6"/>
      <c r="AE3">
        <v>1000</v>
      </c>
    </row>
    <row r="4" spans="1:31" ht="14.25">
      <c r="A4" s="9" t="s">
        <v>3156</v>
      </c>
      <c r="B4" s="14">
        <v>1212020007641</v>
      </c>
      <c r="C4" t="str">
        <f t="shared" si="0"/>
        <v>◇ Techichi テチチ ウエストゴム、サイドファスナー。総柄 ロング フレア スカート サイズS パープル レディース E 1212020007641</v>
      </c>
      <c r="D4">
        <f t="shared" si="1"/>
        <v>61</v>
      </c>
      <c r="E4" t="s">
        <v>71</v>
      </c>
      <c r="G4">
        <v>3</v>
      </c>
      <c r="H4" s="3" t="str">
        <f>IFERROR(INDEX(コンディションランク!$B$1:$B$6,MATCH($G4,コンディションランク!$A$1:$A$6,0)),"")</f>
        <v>目立った傷や汚れなし</v>
      </c>
      <c r="J4" t="s">
        <v>2924</v>
      </c>
      <c r="K4" s="3" t="s">
        <v>3173</v>
      </c>
      <c r="L4" s="9" t="s">
        <v>3105</v>
      </c>
      <c r="M4">
        <v>72</v>
      </c>
      <c r="N4">
        <v>30</v>
      </c>
      <c r="O4">
        <v>49</v>
      </c>
      <c r="P4" t="s">
        <v>165</v>
      </c>
      <c r="Q4" s="32" t="str">
        <f t="shared" si="2"/>
        <v>◇</v>
      </c>
      <c r="S4" t="s">
        <v>3217</v>
      </c>
      <c r="T4" t="s">
        <v>3219</v>
      </c>
      <c r="U4" t="s">
        <v>3080</v>
      </c>
      <c r="V4" t="s">
        <v>3218</v>
      </c>
      <c r="W4" t="s">
        <v>3034</v>
      </c>
      <c r="X4" t="s">
        <v>3019</v>
      </c>
      <c r="Y4" t="str">
        <f t="shared" si="3"/>
        <v>総丈：約72cm　ウエスト：約30cm　ヒップ：約49cm</v>
      </c>
      <c r="Z4" t="str">
        <f t="shared" si="4"/>
        <v>総丈：約72cm　ウエスト：約30cm　ヒップ：約49cm</v>
      </c>
      <c r="AA4" s="77" t="s">
        <v>3059</v>
      </c>
      <c r="AC4" s="6"/>
      <c r="AE4">
        <v>1000</v>
      </c>
    </row>
    <row r="5" spans="1:31" ht="14.25">
      <c r="C5" t="str">
        <f t="shared" si="0"/>
        <v>◇ スカート サイズ レディース E</v>
      </c>
      <c r="D5">
        <f t="shared" si="1"/>
        <v>15.5</v>
      </c>
      <c r="E5" t="s">
        <v>71</v>
      </c>
      <c r="H5" s="3" t="str">
        <f>IFERROR(INDEX(コンディションランク!$B$1:$B$6,MATCH($G5,コンディションランク!$A$1:$A$6,0)),"")</f>
        <v/>
      </c>
      <c r="J5" t="s">
        <v>2924</v>
      </c>
      <c r="K5" s="3"/>
      <c r="L5" s="9" t="s">
        <v>3031</v>
      </c>
      <c r="P5" t="s">
        <v>165</v>
      </c>
      <c r="Q5" s="32" t="str">
        <f t="shared" si="2"/>
        <v>◇</v>
      </c>
      <c r="W5" t="s">
        <v>3034</v>
      </c>
      <c r="X5" t="s">
        <v>3019</v>
      </c>
      <c r="Y5" t="str">
        <f t="shared" si="3"/>
        <v>総丈：約cm　ウエスト：約cm　ヒップ：約cm</v>
      </c>
      <c r="Z5" t="str">
        <f t="shared" si="4"/>
        <v>総丈：約cm　ウエスト：約cm　ヒップ：約cm</v>
      </c>
      <c r="AA5" s="77" t="s">
        <v>158</v>
      </c>
      <c r="AC5" s="6"/>
    </row>
    <row r="6" spans="1:31" ht="14.25">
      <c r="C6" t="str">
        <f t="shared" si="0"/>
        <v>◇ スカート サイズ レディース E</v>
      </c>
      <c r="D6">
        <f t="shared" si="1"/>
        <v>15.5</v>
      </c>
      <c r="E6" t="s">
        <v>71</v>
      </c>
      <c r="H6" s="3" t="str">
        <f>IFERROR(INDEX(コンディションランク!$B$1:$B$6,MATCH($G6,コンディションランク!$A$1:$A$6,0)),"")</f>
        <v/>
      </c>
      <c r="J6" t="s">
        <v>2924</v>
      </c>
      <c r="K6" s="3"/>
      <c r="L6" s="9" t="s">
        <v>3031</v>
      </c>
      <c r="P6" t="s">
        <v>165</v>
      </c>
      <c r="Q6" s="32" t="str">
        <f t="shared" si="2"/>
        <v>◇</v>
      </c>
      <c r="W6" t="s">
        <v>3034</v>
      </c>
      <c r="X6" t="s">
        <v>3019</v>
      </c>
      <c r="Y6" t="str">
        <f t="shared" si="3"/>
        <v>総丈：約cm　ウエスト：約cm　ヒップ：約cm</v>
      </c>
      <c r="Z6" t="str">
        <f t="shared" si="4"/>
        <v>総丈：約cm　ウエスト：約cm　ヒップ：約cm</v>
      </c>
      <c r="AA6" s="77" t="s">
        <v>158</v>
      </c>
      <c r="AC6" s="6"/>
    </row>
    <row r="7" spans="1:31" ht="14.25">
      <c r="C7" t="str">
        <f t="shared" si="0"/>
        <v>◇ スカート サイズ レディース E</v>
      </c>
      <c r="D7">
        <f t="shared" si="1"/>
        <v>15.5</v>
      </c>
      <c r="E7" t="s">
        <v>71</v>
      </c>
      <c r="H7" s="3" t="str">
        <f>IFERROR(INDEX(コンディションランク!$B$1:$B$6,MATCH($G7,コンディションランク!$A$1:$A$6,0)),"")</f>
        <v/>
      </c>
      <c r="J7" t="s">
        <v>2924</v>
      </c>
      <c r="K7" s="3"/>
      <c r="L7" s="9" t="s">
        <v>3031</v>
      </c>
      <c r="P7" t="s">
        <v>165</v>
      </c>
      <c r="Q7" s="32" t="str">
        <f t="shared" si="2"/>
        <v>◇</v>
      </c>
      <c r="W7" t="s">
        <v>3034</v>
      </c>
      <c r="X7" t="s">
        <v>3019</v>
      </c>
      <c r="Y7" t="str">
        <f t="shared" si="3"/>
        <v>総丈：約cm　ウエスト：約cm　ヒップ：約cm</v>
      </c>
      <c r="Z7" t="str">
        <f t="shared" si="4"/>
        <v>総丈：約cm　ウエスト：約cm　ヒップ：約cm</v>
      </c>
      <c r="AA7" s="77" t="s">
        <v>158</v>
      </c>
      <c r="AC7" s="6"/>
    </row>
    <row r="8" spans="1:31" ht="14.25">
      <c r="C8" t="str">
        <f t="shared" si="0"/>
        <v>◇ スカート サイズ レディース E</v>
      </c>
      <c r="D8">
        <f t="shared" si="1"/>
        <v>15.5</v>
      </c>
      <c r="E8" t="s">
        <v>71</v>
      </c>
      <c r="H8" s="3" t="str">
        <f>IFERROR(INDEX(コンディションランク!$B$1:$B$6,MATCH($G8,コンディションランク!$A$1:$A$6,0)),"")</f>
        <v/>
      </c>
      <c r="J8" t="s">
        <v>2924</v>
      </c>
      <c r="L8" s="9" t="s">
        <v>3031</v>
      </c>
      <c r="P8" t="s">
        <v>165</v>
      </c>
      <c r="Q8" s="32" t="str">
        <f t="shared" si="2"/>
        <v>◇</v>
      </c>
      <c r="W8" t="s">
        <v>3034</v>
      </c>
      <c r="X8" t="s">
        <v>3019</v>
      </c>
      <c r="Y8" t="str">
        <f t="shared" si="3"/>
        <v>総丈：約cm　ウエスト：約cm　ヒップ：約cm</v>
      </c>
      <c r="Z8" t="str">
        <f t="shared" si="4"/>
        <v>総丈：約cm　ウエスト：約cm　ヒップ：約cm</v>
      </c>
      <c r="AA8" s="77" t="s">
        <v>158</v>
      </c>
      <c r="AC8" s="6"/>
    </row>
    <row r="9" spans="1:31" ht="14.25">
      <c r="C9" t="str">
        <f t="shared" si="0"/>
        <v>◇ スカート サイズ レディース E</v>
      </c>
      <c r="D9">
        <f t="shared" si="1"/>
        <v>15.5</v>
      </c>
      <c r="E9" t="s">
        <v>71</v>
      </c>
      <c r="H9" s="3" t="str">
        <f>IFERROR(INDEX(コンディションランク!$B$1:$B$6,MATCH($G9,コンディションランク!$A$1:$A$6,0)),"")</f>
        <v/>
      </c>
      <c r="J9" t="s">
        <v>2924</v>
      </c>
      <c r="L9" s="9" t="s">
        <v>3031</v>
      </c>
      <c r="P9" t="s">
        <v>165</v>
      </c>
      <c r="Q9" s="32" t="str">
        <f t="shared" si="2"/>
        <v>◇</v>
      </c>
      <c r="W9" t="s">
        <v>3034</v>
      </c>
      <c r="X9" t="s">
        <v>3019</v>
      </c>
      <c r="Y9" t="str">
        <f t="shared" si="3"/>
        <v>総丈：約cm　ウエスト：約cm　ヒップ：約cm</v>
      </c>
      <c r="Z9" t="str">
        <f t="shared" si="4"/>
        <v>総丈：約cm　ウエスト：約cm　ヒップ：約cm</v>
      </c>
      <c r="AA9" s="77" t="s">
        <v>158</v>
      </c>
      <c r="AC9" s="6"/>
    </row>
    <row r="10" spans="1:31" ht="14.25">
      <c r="C10" t="str">
        <f t="shared" si="0"/>
        <v>◇ スカート サイズ レディース E</v>
      </c>
      <c r="D10">
        <f t="shared" si="1"/>
        <v>15.5</v>
      </c>
      <c r="E10" t="s">
        <v>71</v>
      </c>
      <c r="H10" s="3" t="str">
        <f>IFERROR(INDEX(コンディションランク!$B$1:$B$6,MATCH($G10,コンディションランク!$A$1:$A$6,0)),"")</f>
        <v/>
      </c>
      <c r="J10" t="s">
        <v>2924</v>
      </c>
      <c r="L10" s="9" t="s">
        <v>3031</v>
      </c>
      <c r="P10" t="s">
        <v>165</v>
      </c>
      <c r="Q10" s="32" t="str">
        <f t="shared" si="2"/>
        <v>◇</v>
      </c>
      <c r="W10" t="s">
        <v>3034</v>
      </c>
      <c r="X10" t="s">
        <v>3019</v>
      </c>
      <c r="Y10" t="str">
        <f t="shared" si="3"/>
        <v>総丈：約cm　ウエスト：約cm　ヒップ：約cm</v>
      </c>
      <c r="Z10" t="str">
        <f t="shared" si="4"/>
        <v>総丈：約cm　ウエスト：約cm　ヒップ：約cm</v>
      </c>
      <c r="AA10" s="77" t="s">
        <v>158</v>
      </c>
      <c r="AC10" s="6"/>
    </row>
    <row r="11" spans="1:31" ht="14.25">
      <c r="C11" t="str">
        <f t="shared" si="0"/>
        <v>◇ スカート サイズ レディース E</v>
      </c>
      <c r="D11">
        <f t="shared" si="1"/>
        <v>15.5</v>
      </c>
      <c r="E11" t="s">
        <v>71</v>
      </c>
      <c r="H11" s="3" t="str">
        <f>IFERROR(INDEX(コンディションランク!$B$1:$B$6,MATCH($G11,コンディションランク!$A$1:$A$6,0)),"")</f>
        <v/>
      </c>
      <c r="J11" t="s">
        <v>2924</v>
      </c>
      <c r="L11" s="9" t="s">
        <v>3031</v>
      </c>
      <c r="P11" t="s">
        <v>165</v>
      </c>
      <c r="Q11" s="32" t="str">
        <f t="shared" si="2"/>
        <v>◇</v>
      </c>
      <c r="W11" t="s">
        <v>3034</v>
      </c>
      <c r="X11" t="s">
        <v>3019</v>
      </c>
      <c r="Y11" t="str">
        <f t="shared" si="3"/>
        <v>総丈：約cm　ウエスト：約cm　ヒップ：約cm</v>
      </c>
      <c r="Z11" t="str">
        <f t="shared" si="4"/>
        <v>総丈：約cm　ウエスト：約cm　ヒップ：約cm</v>
      </c>
      <c r="AA11" s="77" t="s">
        <v>158</v>
      </c>
      <c r="AC11" s="6"/>
    </row>
    <row r="12" spans="1:31" ht="14.25">
      <c r="C12" t="str">
        <f t="shared" si="0"/>
        <v>◇ スカート サイズ レディース E</v>
      </c>
      <c r="D12">
        <f t="shared" si="1"/>
        <v>15.5</v>
      </c>
      <c r="E12" t="s">
        <v>71</v>
      </c>
      <c r="H12" s="3" t="str">
        <f>IFERROR(INDEX(コンディションランク!$B$1:$B$6,MATCH($G12,コンディションランク!$A$1:$A$6,0)),"")</f>
        <v/>
      </c>
      <c r="J12" t="s">
        <v>2924</v>
      </c>
      <c r="L12" s="9" t="s">
        <v>3031</v>
      </c>
      <c r="P12" t="s">
        <v>165</v>
      </c>
      <c r="Q12" s="32" t="str">
        <f t="shared" si="2"/>
        <v>◇</v>
      </c>
      <c r="W12" t="s">
        <v>3034</v>
      </c>
      <c r="X12" t="s">
        <v>3019</v>
      </c>
      <c r="Y12" t="str">
        <f t="shared" si="3"/>
        <v>総丈：約cm　ウエスト：約cm　ヒップ：約cm</v>
      </c>
      <c r="Z12" t="str">
        <f t="shared" si="4"/>
        <v>総丈：約cm　ウエスト：約cm　ヒップ：約cm</v>
      </c>
      <c r="AA12" s="77" t="s">
        <v>158</v>
      </c>
      <c r="AC12" s="6"/>
    </row>
    <row r="13" spans="1:31" ht="14.25">
      <c r="C13" t="str">
        <f t="shared" si="0"/>
        <v>◇ スカート サイズ レディース E</v>
      </c>
      <c r="D13">
        <f t="shared" si="1"/>
        <v>15.5</v>
      </c>
      <c r="E13" t="s">
        <v>71</v>
      </c>
      <c r="H13" s="3" t="str">
        <f>IFERROR(INDEX(コンディションランク!$B$1:$B$6,MATCH($G13,コンディションランク!$A$1:$A$6,0)),"")</f>
        <v/>
      </c>
      <c r="J13" t="s">
        <v>2924</v>
      </c>
      <c r="L13" s="9" t="s">
        <v>3031</v>
      </c>
      <c r="P13" t="s">
        <v>165</v>
      </c>
      <c r="Q13" s="32" t="str">
        <f t="shared" si="2"/>
        <v>◇</v>
      </c>
      <c r="W13" t="s">
        <v>3034</v>
      </c>
      <c r="X13" t="s">
        <v>3019</v>
      </c>
      <c r="Y13" t="str">
        <f t="shared" si="3"/>
        <v>総丈：約cm　ウエスト：約cm　ヒップ：約cm</v>
      </c>
      <c r="Z13" t="str">
        <f t="shared" si="4"/>
        <v>総丈：約cm　ウエスト：約cm　ヒップ：約cm</v>
      </c>
      <c r="AA13" s="77" t="s">
        <v>158</v>
      </c>
      <c r="AC13" s="6"/>
    </row>
    <row r="14" spans="1:31" ht="14.25">
      <c r="C14" t="str">
        <f t="shared" si="0"/>
        <v>◇ スカート サイズ レディース E</v>
      </c>
      <c r="D14">
        <f t="shared" si="1"/>
        <v>15.5</v>
      </c>
      <c r="E14" t="s">
        <v>71</v>
      </c>
      <c r="H14" s="3" t="str">
        <f>IFERROR(INDEX(コンディションランク!$B$1:$B$6,MATCH($G14,コンディションランク!$A$1:$A$6,0)),"")</f>
        <v/>
      </c>
      <c r="J14" t="s">
        <v>2924</v>
      </c>
      <c r="L14" s="9" t="s">
        <v>3031</v>
      </c>
      <c r="P14" t="s">
        <v>165</v>
      </c>
      <c r="Q14" s="32" t="str">
        <f t="shared" si="2"/>
        <v>◇</v>
      </c>
      <c r="W14" t="s">
        <v>3034</v>
      </c>
      <c r="X14" t="s">
        <v>3019</v>
      </c>
      <c r="Y14" t="str">
        <f t="shared" si="3"/>
        <v>総丈：約cm　ウエスト：約cm　ヒップ：約cm</v>
      </c>
      <c r="Z14" t="str">
        <f t="shared" si="4"/>
        <v>総丈：約cm　ウエスト：約cm　ヒップ：約cm</v>
      </c>
      <c r="AA14" s="77" t="s">
        <v>158</v>
      </c>
      <c r="AC14" s="6"/>
    </row>
    <row r="15" spans="1:31" ht="14.25">
      <c r="C15" t="str">
        <f t="shared" si="0"/>
        <v>◇ スカート サイズ レディース E</v>
      </c>
      <c r="D15">
        <f t="shared" si="1"/>
        <v>15.5</v>
      </c>
      <c r="E15" t="s">
        <v>71</v>
      </c>
      <c r="H15" s="3" t="str">
        <f>IFERROR(INDEX(コンディションランク!$B$1:$B$6,MATCH($G15,コンディションランク!$A$1:$A$6,0)),"")</f>
        <v/>
      </c>
      <c r="J15" t="s">
        <v>2924</v>
      </c>
      <c r="L15" s="9" t="s">
        <v>3031</v>
      </c>
      <c r="P15" t="s">
        <v>165</v>
      </c>
      <c r="Q15" s="32" t="str">
        <f t="shared" si="2"/>
        <v>◇</v>
      </c>
      <c r="W15" t="s">
        <v>3034</v>
      </c>
      <c r="X15" t="s">
        <v>3019</v>
      </c>
      <c r="Y15" t="str">
        <f t="shared" si="3"/>
        <v>総丈：約cm　ウエスト：約cm　ヒップ：約cm</v>
      </c>
      <c r="Z15" t="str">
        <f t="shared" si="4"/>
        <v>総丈：約cm　ウエスト：約cm　ヒップ：約cm</v>
      </c>
      <c r="AA15" s="77" t="s">
        <v>158</v>
      </c>
      <c r="AC15" s="6"/>
    </row>
    <row r="16" spans="1:31" ht="14.25">
      <c r="C16" t="str">
        <f t="shared" si="0"/>
        <v>◇ スカート サイズ レディース E</v>
      </c>
      <c r="D16">
        <f t="shared" si="1"/>
        <v>15.5</v>
      </c>
      <c r="E16" t="s">
        <v>71</v>
      </c>
      <c r="H16" s="3" t="str">
        <f>IFERROR(INDEX(コンディションランク!$B$1:$B$6,MATCH($G16,コンディションランク!$A$1:$A$6,0)),"")</f>
        <v/>
      </c>
      <c r="J16" t="s">
        <v>2924</v>
      </c>
      <c r="L16" s="9" t="s">
        <v>3031</v>
      </c>
      <c r="P16" t="s">
        <v>165</v>
      </c>
      <c r="Q16" s="32" t="str">
        <f t="shared" si="2"/>
        <v>◇</v>
      </c>
      <c r="W16" t="s">
        <v>3034</v>
      </c>
      <c r="X16" t="s">
        <v>3019</v>
      </c>
      <c r="Y16" t="str">
        <f t="shared" si="3"/>
        <v>総丈：約cm　ウエスト：約cm　ヒップ：約cm</v>
      </c>
      <c r="Z16" t="str">
        <f t="shared" si="4"/>
        <v>総丈：約cm　ウエスト：約cm　ヒップ：約cm</v>
      </c>
      <c r="AA16" s="77" t="s">
        <v>158</v>
      </c>
      <c r="AC16" s="6"/>
    </row>
    <row r="17" spans="3:29" ht="14.25">
      <c r="C17" t="str">
        <f t="shared" si="0"/>
        <v>◇ スカート サイズ レディース E</v>
      </c>
      <c r="D17">
        <f t="shared" si="1"/>
        <v>15.5</v>
      </c>
      <c r="E17" t="s">
        <v>71</v>
      </c>
      <c r="H17" s="3" t="str">
        <f>IFERROR(INDEX(コンディションランク!$B$1:$B$6,MATCH($G17,コンディションランク!$A$1:$A$6,0)),"")</f>
        <v/>
      </c>
      <c r="J17" t="s">
        <v>2924</v>
      </c>
      <c r="L17" s="9" t="s">
        <v>3031</v>
      </c>
      <c r="P17" t="s">
        <v>165</v>
      </c>
      <c r="Q17" s="32" t="str">
        <f t="shared" si="2"/>
        <v>◇</v>
      </c>
      <c r="W17" t="s">
        <v>3034</v>
      </c>
      <c r="X17" t="s">
        <v>3019</v>
      </c>
      <c r="Y17" t="str">
        <f t="shared" si="3"/>
        <v>総丈：約cm　ウエスト：約cm　ヒップ：約cm</v>
      </c>
      <c r="Z17" t="str">
        <f t="shared" si="4"/>
        <v>総丈：約cm　ウエスト：約cm　ヒップ：約cm</v>
      </c>
      <c r="AA17" s="77" t="s">
        <v>158</v>
      </c>
      <c r="AC17" s="6"/>
    </row>
    <row r="18" spans="3:29" ht="14.25">
      <c r="C18" t="str">
        <f t="shared" si="0"/>
        <v>◇ スカート サイズ レディース E</v>
      </c>
      <c r="D18">
        <f t="shared" si="1"/>
        <v>15.5</v>
      </c>
      <c r="E18" t="s">
        <v>71</v>
      </c>
      <c r="H18" s="3" t="str">
        <f>IFERROR(INDEX(コンディションランク!$B$1:$B$6,MATCH($G18,コンディションランク!$A$1:$A$6,0)),"")</f>
        <v/>
      </c>
      <c r="J18" t="s">
        <v>2924</v>
      </c>
      <c r="L18" s="9" t="s">
        <v>3031</v>
      </c>
      <c r="P18" t="s">
        <v>165</v>
      </c>
      <c r="Q18" s="32" t="str">
        <f t="shared" si="2"/>
        <v>◇</v>
      </c>
      <c r="W18" t="s">
        <v>3034</v>
      </c>
      <c r="X18" t="s">
        <v>3019</v>
      </c>
      <c r="Y18" t="str">
        <f t="shared" si="3"/>
        <v>総丈：約cm　ウエスト：約cm　ヒップ：約cm</v>
      </c>
      <c r="Z18" t="str">
        <f t="shared" si="4"/>
        <v>総丈：約cm　ウエスト：約cm　ヒップ：約cm</v>
      </c>
      <c r="AA18" s="77" t="s">
        <v>158</v>
      </c>
      <c r="AC18" s="6"/>
    </row>
    <row r="19" spans="3:29" ht="14.25">
      <c r="C19" t="str">
        <f t="shared" si="0"/>
        <v>◇ スカート サイズ レディース E</v>
      </c>
      <c r="D19">
        <f t="shared" si="1"/>
        <v>15.5</v>
      </c>
      <c r="E19" t="s">
        <v>71</v>
      </c>
      <c r="H19" s="3" t="str">
        <f>IFERROR(INDEX(コンディションランク!$B$1:$B$6,MATCH($G19,コンディションランク!$A$1:$A$6,0)),"")</f>
        <v/>
      </c>
      <c r="J19" t="s">
        <v>2924</v>
      </c>
      <c r="L19" s="9" t="s">
        <v>3031</v>
      </c>
      <c r="P19" t="s">
        <v>165</v>
      </c>
      <c r="Q19" s="32" t="str">
        <f t="shared" si="2"/>
        <v>◇</v>
      </c>
      <c r="W19" t="s">
        <v>3034</v>
      </c>
      <c r="X19" t="s">
        <v>3019</v>
      </c>
      <c r="Y19" t="str">
        <f t="shared" si="3"/>
        <v>総丈：約cm　ウエスト：約cm　ヒップ：約cm</v>
      </c>
      <c r="Z19" t="str">
        <f t="shared" si="4"/>
        <v>総丈：約cm　ウエスト：約cm　ヒップ：約cm</v>
      </c>
      <c r="AA19" s="77" t="s">
        <v>158</v>
      </c>
      <c r="AC19" s="6"/>
    </row>
    <row r="20" spans="3:29" ht="14.25">
      <c r="C20" t="str">
        <f t="shared" si="0"/>
        <v>◇ スカート サイズ レディース E</v>
      </c>
      <c r="D20">
        <f t="shared" si="1"/>
        <v>15.5</v>
      </c>
      <c r="E20" t="s">
        <v>71</v>
      </c>
      <c r="H20" s="3" t="str">
        <f>IFERROR(INDEX(コンディションランク!$B$1:$B$6,MATCH($G20,コンディションランク!$A$1:$A$6,0)),"")</f>
        <v/>
      </c>
      <c r="J20" t="s">
        <v>2924</v>
      </c>
      <c r="L20" s="9" t="s">
        <v>3031</v>
      </c>
      <c r="P20" t="s">
        <v>165</v>
      </c>
      <c r="Q20" s="32" t="str">
        <f t="shared" si="2"/>
        <v>◇</v>
      </c>
      <c r="W20" t="s">
        <v>3034</v>
      </c>
      <c r="X20" t="s">
        <v>3019</v>
      </c>
      <c r="Y20" t="str">
        <f t="shared" si="3"/>
        <v>総丈：約cm　ウエスト：約cm　ヒップ：約cm</v>
      </c>
      <c r="Z20" t="str">
        <f t="shared" si="4"/>
        <v>総丈：約cm　ウエスト：約cm　ヒップ：約cm</v>
      </c>
      <c r="AA20" s="77" t="s">
        <v>158</v>
      </c>
      <c r="AC20" s="6"/>
    </row>
    <row r="21" spans="3:29" ht="14.25">
      <c r="C21" t="str">
        <f t="shared" si="0"/>
        <v>◇ スカート サイズ レディース E</v>
      </c>
      <c r="D21">
        <f t="shared" si="1"/>
        <v>15.5</v>
      </c>
      <c r="E21" t="s">
        <v>71</v>
      </c>
      <c r="H21" s="3" t="str">
        <f>IFERROR(INDEX(コンディションランク!$B$1:$B$6,MATCH($G21,コンディションランク!$A$1:$A$6,0)),"")</f>
        <v/>
      </c>
      <c r="J21" t="s">
        <v>2924</v>
      </c>
      <c r="L21" s="9" t="s">
        <v>3031</v>
      </c>
      <c r="P21" t="s">
        <v>165</v>
      </c>
      <c r="Q21" s="32" t="str">
        <f t="shared" si="2"/>
        <v>◇</v>
      </c>
      <c r="W21" t="s">
        <v>3034</v>
      </c>
      <c r="X21" t="s">
        <v>3019</v>
      </c>
      <c r="Y21" t="str">
        <f t="shared" si="3"/>
        <v>総丈：約cm　ウエスト：約cm　ヒップ：約cm</v>
      </c>
      <c r="Z21" t="str">
        <f t="shared" si="4"/>
        <v>総丈：約cm　ウエスト：約cm　ヒップ：約cm</v>
      </c>
      <c r="AA21" s="77" t="s">
        <v>158</v>
      </c>
      <c r="AC21" s="6"/>
    </row>
    <row r="22" spans="3:29" ht="14.25">
      <c r="C22" t="str">
        <f t="shared" si="0"/>
        <v>◇ スカート サイズ レディース E</v>
      </c>
      <c r="D22">
        <f t="shared" ref="D22:D34" si="5">(LENB(C22)-LEN(C22))+(LENB(C22)-(LENB(C22)-LEN(C22))*2)/2</f>
        <v>15.5</v>
      </c>
      <c r="E22" t="s">
        <v>71</v>
      </c>
      <c r="H22" s="3" t="str">
        <f>IFERROR(INDEX(コンディションランク!$B$1:$B$6,MATCH($G22,コンディションランク!$A$1:$A$6,0)),"")</f>
        <v/>
      </c>
      <c r="J22" t="s">
        <v>2924</v>
      </c>
      <c r="L22" s="9" t="s">
        <v>3031</v>
      </c>
      <c r="P22" t="s">
        <v>165</v>
      </c>
      <c r="Q22" s="32" t="str">
        <f t="shared" si="2"/>
        <v>◇</v>
      </c>
      <c r="W22" t="s">
        <v>3034</v>
      </c>
      <c r="X22" t="s">
        <v>3019</v>
      </c>
      <c r="Y22" t="str">
        <f t="shared" si="3"/>
        <v>総丈：約cm　ウエスト：約cm　ヒップ：約cm</v>
      </c>
      <c r="Z22" t="str">
        <f t="shared" si="4"/>
        <v>総丈：約cm　ウエスト：約cm　ヒップ：約cm</v>
      </c>
      <c r="AA22" s="77" t="s">
        <v>158</v>
      </c>
      <c r="AC22" s="6"/>
    </row>
    <row r="23" spans="3:29" ht="14.25">
      <c r="C23" t="str">
        <f t="shared" si="0"/>
        <v>◇ スカート サイズ レディース E</v>
      </c>
      <c r="D23">
        <f t="shared" si="5"/>
        <v>15.5</v>
      </c>
      <c r="E23" t="s">
        <v>71</v>
      </c>
      <c r="H23" s="3" t="str">
        <f>IFERROR(INDEX(コンディションランク!$B$1:$B$6,MATCH($G23,コンディションランク!$A$1:$A$6,0)),"")</f>
        <v/>
      </c>
      <c r="J23" t="s">
        <v>2924</v>
      </c>
      <c r="L23" s="9" t="s">
        <v>3031</v>
      </c>
      <c r="P23" t="s">
        <v>165</v>
      </c>
      <c r="Q23" s="32" t="str">
        <f t="shared" si="2"/>
        <v>◇</v>
      </c>
      <c r="W23" t="s">
        <v>3034</v>
      </c>
      <c r="X23" t="s">
        <v>3019</v>
      </c>
      <c r="Y23" t="str">
        <f t="shared" si="3"/>
        <v>総丈：約cm　ウエスト：約cm　ヒップ：約cm</v>
      </c>
      <c r="Z23" t="str">
        <f t="shared" si="4"/>
        <v>総丈：約cm　ウエスト：約cm　ヒップ：約cm</v>
      </c>
      <c r="AA23" s="77" t="s">
        <v>158</v>
      </c>
      <c r="AC23" s="6"/>
    </row>
    <row r="24" spans="3:29" ht="14.25">
      <c r="C24" t="str">
        <f t="shared" si="0"/>
        <v>◇ スカート サイズ レディース E</v>
      </c>
      <c r="D24">
        <f t="shared" si="5"/>
        <v>15.5</v>
      </c>
      <c r="E24" t="s">
        <v>71</v>
      </c>
      <c r="H24" s="3" t="str">
        <f>IFERROR(INDEX(コンディションランク!$B$1:$B$6,MATCH($G24,コンディションランク!$A$1:$A$6,0)),"")</f>
        <v/>
      </c>
      <c r="J24" t="s">
        <v>2924</v>
      </c>
      <c r="L24" s="9" t="s">
        <v>3031</v>
      </c>
      <c r="P24" t="s">
        <v>165</v>
      </c>
      <c r="Q24" s="32" t="str">
        <f t="shared" si="2"/>
        <v>◇</v>
      </c>
      <c r="W24" t="s">
        <v>3034</v>
      </c>
      <c r="X24" t="s">
        <v>3019</v>
      </c>
      <c r="Y24" t="str">
        <f t="shared" si="3"/>
        <v>総丈：約cm　ウエスト：約cm　ヒップ：約cm</v>
      </c>
      <c r="Z24" t="str">
        <f t="shared" si="4"/>
        <v>総丈：約cm　ウエスト：約cm　ヒップ：約cm</v>
      </c>
      <c r="AA24" s="77" t="s">
        <v>158</v>
      </c>
      <c r="AC24" s="6"/>
    </row>
    <row r="25" spans="3:29" ht="14.25">
      <c r="C25" t="str">
        <f t="shared" si="0"/>
        <v>◇ スカート サイズ レディース E</v>
      </c>
      <c r="D25">
        <f t="shared" si="5"/>
        <v>15.5</v>
      </c>
      <c r="E25" t="s">
        <v>71</v>
      </c>
      <c r="H25" s="3" t="str">
        <f>IFERROR(INDEX(コンディションランク!$B$1:$B$6,MATCH($G25,コンディションランク!$A$1:$A$6,0)),"")</f>
        <v/>
      </c>
      <c r="J25" t="s">
        <v>2924</v>
      </c>
      <c r="L25" s="9" t="s">
        <v>3031</v>
      </c>
      <c r="P25" t="s">
        <v>165</v>
      </c>
      <c r="Q25" s="32" t="str">
        <f t="shared" si="2"/>
        <v>◇</v>
      </c>
      <c r="W25" t="s">
        <v>3034</v>
      </c>
      <c r="X25" t="s">
        <v>3019</v>
      </c>
      <c r="Y25" t="str">
        <f t="shared" si="3"/>
        <v>総丈：約cm　ウエスト：約cm　ヒップ：約cm</v>
      </c>
      <c r="Z25" t="str">
        <f t="shared" si="4"/>
        <v>総丈：約cm　ウエスト：約cm　ヒップ：約cm</v>
      </c>
      <c r="AA25" s="77" t="s">
        <v>158</v>
      </c>
      <c r="AC25" s="6"/>
    </row>
    <row r="26" spans="3:29" ht="14.25">
      <c r="C26" t="str">
        <f t="shared" si="0"/>
        <v>◇ スカート サイズ レディース E</v>
      </c>
      <c r="D26">
        <f t="shared" si="5"/>
        <v>15.5</v>
      </c>
      <c r="E26" t="s">
        <v>71</v>
      </c>
      <c r="H26" s="3" t="str">
        <f>IFERROR(INDEX(コンディションランク!$B$1:$B$6,MATCH($G26,コンディションランク!$A$1:$A$6,0)),"")</f>
        <v/>
      </c>
      <c r="J26" t="s">
        <v>2924</v>
      </c>
      <c r="L26" s="9" t="s">
        <v>3031</v>
      </c>
      <c r="P26" t="s">
        <v>165</v>
      </c>
      <c r="Q26" s="32" t="str">
        <f t="shared" si="2"/>
        <v>◇</v>
      </c>
      <c r="W26" t="s">
        <v>3034</v>
      </c>
      <c r="X26" t="s">
        <v>3019</v>
      </c>
      <c r="Y26" t="str">
        <f t="shared" si="3"/>
        <v>総丈：約cm　ウエスト：約cm　ヒップ：約cm</v>
      </c>
      <c r="Z26" t="str">
        <f t="shared" si="4"/>
        <v>総丈：約cm　ウエスト：約cm　ヒップ：約cm</v>
      </c>
      <c r="AA26" s="77" t="s">
        <v>158</v>
      </c>
      <c r="AC26" s="6"/>
    </row>
    <row r="27" spans="3:29" ht="14.25">
      <c r="C27" t="str">
        <f t="shared" si="0"/>
        <v>◇ スカート サイズ レディース E</v>
      </c>
      <c r="D27">
        <f t="shared" si="5"/>
        <v>15.5</v>
      </c>
      <c r="E27" t="s">
        <v>71</v>
      </c>
      <c r="H27" s="3" t="str">
        <f>IFERROR(INDEX(コンディションランク!$B$1:$B$6,MATCH($G27,コンディションランク!$A$1:$A$6,0)),"")</f>
        <v/>
      </c>
      <c r="J27" t="s">
        <v>2924</v>
      </c>
      <c r="L27" s="9" t="s">
        <v>3031</v>
      </c>
      <c r="P27" t="s">
        <v>165</v>
      </c>
      <c r="Q27" s="32" t="str">
        <f t="shared" si="2"/>
        <v>◇</v>
      </c>
      <c r="W27" t="s">
        <v>3034</v>
      </c>
      <c r="X27" t="s">
        <v>3019</v>
      </c>
      <c r="Y27" t="str">
        <f t="shared" si="3"/>
        <v>総丈：約cm　ウエスト：約cm　ヒップ：約cm</v>
      </c>
      <c r="Z27" t="str">
        <f t="shared" si="4"/>
        <v>総丈：約cm　ウエスト：約cm　ヒップ：約cm</v>
      </c>
      <c r="AA27" s="77" t="s">
        <v>158</v>
      </c>
      <c r="AC27" s="6"/>
    </row>
    <row r="28" spans="3:29" ht="14.25">
      <c r="C28" t="str">
        <f t="shared" si="0"/>
        <v>◇ スカート サイズ レディース E</v>
      </c>
      <c r="D28">
        <f t="shared" si="5"/>
        <v>15.5</v>
      </c>
      <c r="E28" t="s">
        <v>71</v>
      </c>
      <c r="H28" s="3" t="str">
        <f>IFERROR(INDEX(コンディションランク!$B$1:$B$6,MATCH($G28,コンディションランク!$A$1:$A$6,0)),"")</f>
        <v/>
      </c>
      <c r="J28" t="s">
        <v>2924</v>
      </c>
      <c r="L28" s="9" t="s">
        <v>3031</v>
      </c>
      <c r="P28" t="s">
        <v>165</v>
      </c>
      <c r="Q28" s="32" t="str">
        <f t="shared" si="2"/>
        <v>◇</v>
      </c>
      <c r="W28" t="s">
        <v>3034</v>
      </c>
      <c r="X28" t="s">
        <v>3019</v>
      </c>
      <c r="Y28" t="str">
        <f t="shared" si="3"/>
        <v>総丈：約cm　ウエスト：約cm　ヒップ：約cm</v>
      </c>
      <c r="Z28" t="str">
        <f t="shared" si="4"/>
        <v>総丈：約cm　ウエスト：約cm　ヒップ：約cm</v>
      </c>
      <c r="AA28" s="77" t="s">
        <v>158</v>
      </c>
      <c r="AC28" s="6"/>
    </row>
    <row r="29" spans="3:29" ht="14.25">
      <c r="C29" t="str">
        <f t="shared" si="0"/>
        <v>◇ スカート サイズ レディース E</v>
      </c>
      <c r="D29">
        <f t="shared" si="5"/>
        <v>15.5</v>
      </c>
      <c r="E29" t="s">
        <v>71</v>
      </c>
      <c r="H29" s="3" t="str">
        <f>IFERROR(INDEX(コンディションランク!$B$1:$B$6,MATCH($G29,コンディションランク!$A$1:$A$6,0)),"")</f>
        <v/>
      </c>
      <c r="J29" t="s">
        <v>2924</v>
      </c>
      <c r="L29" s="9" t="s">
        <v>3031</v>
      </c>
      <c r="P29" t="s">
        <v>165</v>
      </c>
      <c r="Q29" s="32" t="str">
        <f t="shared" si="2"/>
        <v>◇</v>
      </c>
      <c r="W29" t="s">
        <v>3034</v>
      </c>
      <c r="X29" t="s">
        <v>3019</v>
      </c>
      <c r="Y29" t="str">
        <f t="shared" si="3"/>
        <v>総丈：約cm　ウエスト：約cm　ヒップ：約cm</v>
      </c>
      <c r="Z29" t="str">
        <f t="shared" si="4"/>
        <v>総丈：約cm　ウエスト：約cm　ヒップ：約cm</v>
      </c>
      <c r="AA29" s="77" t="s">
        <v>158</v>
      </c>
      <c r="AC29" s="6"/>
    </row>
    <row r="30" spans="3:29" ht="14.25">
      <c r="C30" t="str">
        <f t="shared" si="0"/>
        <v>◇ スカート サイズ レディース E</v>
      </c>
      <c r="D30">
        <f t="shared" si="5"/>
        <v>15.5</v>
      </c>
      <c r="E30" t="s">
        <v>71</v>
      </c>
      <c r="H30" s="3" t="str">
        <f>IFERROR(INDEX(コンディションランク!$B$1:$B$6,MATCH($G30,コンディションランク!$A$1:$A$6,0)),"")</f>
        <v/>
      </c>
      <c r="J30" t="s">
        <v>2924</v>
      </c>
      <c r="L30" s="9" t="s">
        <v>3031</v>
      </c>
      <c r="P30" t="s">
        <v>165</v>
      </c>
      <c r="Q30" s="32" t="str">
        <f t="shared" si="2"/>
        <v>◇</v>
      </c>
      <c r="W30" t="s">
        <v>3034</v>
      </c>
      <c r="X30" t="s">
        <v>3019</v>
      </c>
      <c r="Y30" t="str">
        <f t="shared" si="3"/>
        <v>総丈：約cm　ウエスト：約cm　ヒップ：約cm</v>
      </c>
      <c r="Z30" t="str">
        <f t="shared" si="4"/>
        <v>総丈：約cm　ウエスト：約cm　ヒップ：約cm</v>
      </c>
      <c r="AA30" s="77" t="s">
        <v>158</v>
      </c>
      <c r="AC30" s="6"/>
    </row>
    <row r="31" spans="3:29" ht="14.25">
      <c r="C31" t="str">
        <f t="shared" si="0"/>
        <v>◇ スカート サイズ レディース E</v>
      </c>
      <c r="D31">
        <f t="shared" si="5"/>
        <v>15.5</v>
      </c>
      <c r="E31" t="s">
        <v>71</v>
      </c>
      <c r="H31" s="3" t="str">
        <f>IFERROR(INDEX(コンディションランク!$B$1:$B$6,MATCH($G31,コンディションランク!$A$1:$A$6,0)),"")</f>
        <v/>
      </c>
      <c r="J31" t="s">
        <v>2924</v>
      </c>
      <c r="L31" s="9" t="s">
        <v>3031</v>
      </c>
      <c r="P31" t="s">
        <v>165</v>
      </c>
      <c r="Q31" s="32" t="str">
        <f t="shared" si="2"/>
        <v>◇</v>
      </c>
      <c r="W31" t="s">
        <v>3034</v>
      </c>
      <c r="X31" t="s">
        <v>3019</v>
      </c>
      <c r="Y31" t="str">
        <f t="shared" si="3"/>
        <v>総丈：約cm　ウエスト：約cm　ヒップ：約cm</v>
      </c>
      <c r="Z31" t="str">
        <f t="shared" si="4"/>
        <v>総丈：約cm　ウエスト：約cm　ヒップ：約cm</v>
      </c>
      <c r="AA31" s="77" t="s">
        <v>158</v>
      </c>
      <c r="AC31" s="6"/>
    </row>
    <row r="32" spans="3:29" ht="14.25">
      <c r="C32" t="str">
        <f t="shared" si="0"/>
        <v>◇ スカート サイズ レディース E</v>
      </c>
      <c r="D32">
        <f t="shared" si="5"/>
        <v>15.5</v>
      </c>
      <c r="E32" t="s">
        <v>71</v>
      </c>
      <c r="H32" s="3" t="str">
        <f>IFERROR(INDEX(コンディションランク!$B$1:$B$6,MATCH($G32,コンディションランク!$A$1:$A$6,0)),"")</f>
        <v/>
      </c>
      <c r="J32" t="s">
        <v>2924</v>
      </c>
      <c r="L32" s="9" t="s">
        <v>3031</v>
      </c>
      <c r="P32" t="s">
        <v>165</v>
      </c>
      <c r="Q32" s="32" t="str">
        <f t="shared" si="2"/>
        <v>◇</v>
      </c>
      <c r="W32" t="s">
        <v>3034</v>
      </c>
      <c r="X32" t="s">
        <v>3019</v>
      </c>
      <c r="Y32" t="str">
        <f t="shared" si="3"/>
        <v>総丈：約cm　ウエスト：約cm　ヒップ：約cm</v>
      </c>
      <c r="Z32" t="str">
        <f t="shared" si="4"/>
        <v>総丈：約cm　ウエスト：約cm　ヒップ：約cm</v>
      </c>
      <c r="AA32" s="77" t="s">
        <v>158</v>
      </c>
      <c r="AC32" s="6"/>
    </row>
    <row r="33" spans="3:29" ht="14.25">
      <c r="C33" t="str">
        <f t="shared" si="0"/>
        <v>◇ スカート サイズ レディース E</v>
      </c>
      <c r="D33">
        <f t="shared" si="5"/>
        <v>15.5</v>
      </c>
      <c r="E33" t="s">
        <v>71</v>
      </c>
      <c r="H33" s="3" t="str">
        <f>IFERROR(INDEX(コンディションランク!$B$1:$B$6,MATCH($G33,コンディションランク!$A$1:$A$6,0)),"")</f>
        <v/>
      </c>
      <c r="J33" t="s">
        <v>2924</v>
      </c>
      <c r="L33" s="9" t="s">
        <v>3031</v>
      </c>
      <c r="P33" t="s">
        <v>165</v>
      </c>
      <c r="Q33" s="32" t="str">
        <f t="shared" si="2"/>
        <v>◇</v>
      </c>
      <c r="W33" t="s">
        <v>3034</v>
      </c>
      <c r="X33" t="s">
        <v>3019</v>
      </c>
      <c r="Y33" t="str">
        <f t="shared" si="3"/>
        <v>総丈：約cm　ウエスト：約cm　ヒップ：約cm</v>
      </c>
      <c r="Z33" t="str">
        <f t="shared" si="4"/>
        <v>総丈：約cm　ウエスト：約cm　ヒップ：約cm</v>
      </c>
      <c r="AA33" s="77" t="s">
        <v>158</v>
      </c>
      <c r="AC33" s="6"/>
    </row>
    <row r="34" spans="3:29" ht="14.25">
      <c r="C34" t="str">
        <f t="shared" ref="C34:C51" si="6">TRIM(Q34&amp;" "&amp;R34&amp;" "&amp;S34&amp;" "&amp;T34&amp;" "&amp;U34&amp;" "&amp;V34&amp;" "&amp;W34&amp;" "&amp;L34&amp;" "&amp;K34&amp;" "&amp;X34&amp;EX&amp;" "&amp;B34)</f>
        <v>◇ スカート サイズ レディース E</v>
      </c>
      <c r="D34">
        <f t="shared" si="5"/>
        <v>15.5</v>
      </c>
      <c r="E34" t="s">
        <v>71</v>
      </c>
      <c r="H34" s="3" t="str">
        <f>IFERROR(INDEX(コンディションランク!$B$1:$B$6,MATCH($G34,コンディションランク!$A$1:$A$6,0)),"")</f>
        <v/>
      </c>
      <c r="J34" t="s">
        <v>2924</v>
      </c>
      <c r="L34" s="9" t="s">
        <v>3031</v>
      </c>
      <c r="P34" t="s">
        <v>165</v>
      </c>
      <c r="Q34" s="32" t="str">
        <f t="shared" ref="Q34:Q51" si="7">IFERROR(VLOOKUP(P34,梱包サイズ表,2,0),"")</f>
        <v>◇</v>
      </c>
      <c r="W34" t="s">
        <v>3034</v>
      </c>
      <c r="X34" t="s">
        <v>3019</v>
      </c>
      <c r="Y34" t="str">
        <f t="shared" si="3"/>
        <v>総丈：約cm　ウエスト：約cm　ヒップ：約cm</v>
      </c>
      <c r="Z34" t="str">
        <f t="shared" si="4"/>
        <v>総丈：約cm　ウエスト：約cm　ヒップ：約cm</v>
      </c>
      <c r="AA34" s="77" t="s">
        <v>158</v>
      </c>
      <c r="AC34" s="6"/>
    </row>
    <row r="35" spans="3:29" ht="14.25">
      <c r="C35" t="str">
        <f t="shared" si="6"/>
        <v>◇ スカート サイズ レディース E</v>
      </c>
      <c r="D35">
        <f t="shared" ref="D35:D45" si="8">(LENB(C35)-LEN(C35))+(LENB(C35)-(LENB(C35)-LEN(C35))*2)/2</f>
        <v>15.5</v>
      </c>
      <c r="E35" t="s">
        <v>71</v>
      </c>
      <c r="H35" s="3" t="str">
        <f>IFERROR(INDEX(コンディションランク!$B$1:$B$6,MATCH($G35,コンディションランク!$A$1:$A$6,0)),"")</f>
        <v/>
      </c>
      <c r="J35" t="s">
        <v>2924</v>
      </c>
      <c r="L35" s="9" t="s">
        <v>3031</v>
      </c>
      <c r="P35" t="s">
        <v>165</v>
      </c>
      <c r="Q35" s="32" t="str">
        <f t="shared" si="7"/>
        <v>◇</v>
      </c>
      <c r="W35" t="s">
        <v>3034</v>
      </c>
      <c r="X35" t="s">
        <v>3019</v>
      </c>
      <c r="Y35" t="str">
        <f t="shared" si="3"/>
        <v>総丈：約cm　ウエスト：約cm　ヒップ：約cm</v>
      </c>
      <c r="Z35" t="str">
        <f t="shared" si="4"/>
        <v>総丈：約cm　ウエスト：約cm　ヒップ：約cm</v>
      </c>
      <c r="AA35" s="77" t="s">
        <v>158</v>
      </c>
      <c r="AC35" s="6"/>
    </row>
    <row r="36" spans="3:29" ht="14.25">
      <c r="C36" t="str">
        <f t="shared" si="6"/>
        <v>◇ スカート サイズ レディース E</v>
      </c>
      <c r="D36">
        <f t="shared" si="8"/>
        <v>15.5</v>
      </c>
      <c r="E36" t="s">
        <v>71</v>
      </c>
      <c r="H36" s="3" t="str">
        <f>IFERROR(INDEX(コンディションランク!$B$1:$B$6,MATCH($G36,コンディションランク!$A$1:$A$6,0)),"")</f>
        <v/>
      </c>
      <c r="J36" t="s">
        <v>2924</v>
      </c>
      <c r="L36" s="9" t="s">
        <v>3031</v>
      </c>
      <c r="P36" t="s">
        <v>165</v>
      </c>
      <c r="Q36" s="32" t="str">
        <f t="shared" si="7"/>
        <v>◇</v>
      </c>
      <c r="W36" t="s">
        <v>3034</v>
      </c>
      <c r="X36" t="s">
        <v>3019</v>
      </c>
      <c r="Y36" t="str">
        <f t="shared" si="3"/>
        <v>総丈：約cm　ウエスト：約cm　ヒップ：約cm</v>
      </c>
      <c r="Z36" t="str">
        <f t="shared" si="4"/>
        <v>総丈：約cm　ウエスト：約cm　ヒップ：約cm</v>
      </c>
      <c r="AA36" s="77" t="s">
        <v>158</v>
      </c>
      <c r="AC36" s="6"/>
    </row>
    <row r="37" spans="3:29" ht="14.25">
      <c r="C37" t="str">
        <f t="shared" si="6"/>
        <v>◇ スカート サイズ レディース E</v>
      </c>
      <c r="D37">
        <f t="shared" si="8"/>
        <v>15.5</v>
      </c>
      <c r="E37" t="s">
        <v>71</v>
      </c>
      <c r="H37" s="3" t="str">
        <f>IFERROR(INDEX(コンディションランク!$B$1:$B$6,MATCH($G37,コンディションランク!$A$1:$A$6,0)),"")</f>
        <v/>
      </c>
      <c r="J37" t="s">
        <v>2924</v>
      </c>
      <c r="L37" s="9" t="s">
        <v>3031</v>
      </c>
      <c r="P37" t="s">
        <v>165</v>
      </c>
      <c r="Q37" s="32" t="str">
        <f t="shared" si="7"/>
        <v>◇</v>
      </c>
      <c r="W37" t="s">
        <v>3034</v>
      </c>
      <c r="X37" t="s">
        <v>3019</v>
      </c>
      <c r="Y37" t="str">
        <f t="shared" si="3"/>
        <v>総丈：約cm　ウエスト：約cm　ヒップ：約cm</v>
      </c>
      <c r="Z37" t="str">
        <f t="shared" si="4"/>
        <v>総丈：約cm　ウエスト：約cm　ヒップ：約cm</v>
      </c>
      <c r="AA37" s="77" t="s">
        <v>158</v>
      </c>
      <c r="AC37" s="6"/>
    </row>
    <row r="38" spans="3:29" ht="14.25">
      <c r="C38" t="str">
        <f t="shared" si="6"/>
        <v>◇ スカート サイズ レディース E</v>
      </c>
      <c r="D38">
        <f t="shared" si="8"/>
        <v>15.5</v>
      </c>
      <c r="E38" t="s">
        <v>71</v>
      </c>
      <c r="H38" s="3" t="str">
        <f>IFERROR(INDEX(コンディションランク!$B$1:$B$6,MATCH($G38,コンディションランク!$A$1:$A$6,0)),"")</f>
        <v/>
      </c>
      <c r="J38" t="s">
        <v>2924</v>
      </c>
      <c r="L38" s="9" t="s">
        <v>3031</v>
      </c>
      <c r="P38" t="s">
        <v>165</v>
      </c>
      <c r="Q38" s="32" t="str">
        <f t="shared" si="7"/>
        <v>◇</v>
      </c>
      <c r="W38" t="s">
        <v>3034</v>
      </c>
      <c r="X38" t="s">
        <v>3019</v>
      </c>
      <c r="Y38" t="str">
        <f t="shared" si="3"/>
        <v>総丈：約cm　ウエスト：約cm　ヒップ：約cm</v>
      </c>
      <c r="Z38" t="str">
        <f t="shared" si="4"/>
        <v>総丈：約cm　ウエスト：約cm　ヒップ：約cm</v>
      </c>
      <c r="AA38" s="77" t="s">
        <v>158</v>
      </c>
      <c r="AC38" s="6"/>
    </row>
    <row r="39" spans="3:29" ht="14.25">
      <c r="C39" t="str">
        <f t="shared" si="6"/>
        <v>◇ スカート サイズ レディース E</v>
      </c>
      <c r="D39">
        <f t="shared" si="8"/>
        <v>15.5</v>
      </c>
      <c r="E39" t="s">
        <v>71</v>
      </c>
      <c r="H39" s="3" t="str">
        <f>IFERROR(INDEX(コンディションランク!$B$1:$B$6,MATCH($G39,コンディションランク!$A$1:$A$6,0)),"")</f>
        <v/>
      </c>
      <c r="J39" t="s">
        <v>2924</v>
      </c>
      <c r="L39" s="9" t="s">
        <v>3031</v>
      </c>
      <c r="P39" t="s">
        <v>165</v>
      </c>
      <c r="Q39" s="32" t="str">
        <f t="shared" si="7"/>
        <v>◇</v>
      </c>
      <c r="W39" t="s">
        <v>3034</v>
      </c>
      <c r="X39" t="s">
        <v>3019</v>
      </c>
      <c r="Y39" t="str">
        <f t="shared" si="3"/>
        <v>総丈：約cm　ウエスト：約cm　ヒップ：約cm</v>
      </c>
      <c r="Z39" t="str">
        <f t="shared" si="4"/>
        <v>総丈：約cm　ウエスト：約cm　ヒップ：約cm</v>
      </c>
      <c r="AA39" s="77" t="s">
        <v>158</v>
      </c>
      <c r="AC39" s="6"/>
    </row>
    <row r="40" spans="3:29" ht="14.25">
      <c r="C40" t="str">
        <f t="shared" si="6"/>
        <v>◇ スカート サイズ レディース E</v>
      </c>
      <c r="D40">
        <f t="shared" si="8"/>
        <v>15.5</v>
      </c>
      <c r="E40" t="s">
        <v>71</v>
      </c>
      <c r="H40" s="3" t="str">
        <f>IFERROR(INDEX(コンディションランク!$B$1:$B$6,MATCH($G40,コンディションランク!$A$1:$A$6,0)),"")</f>
        <v/>
      </c>
      <c r="J40" t="s">
        <v>2924</v>
      </c>
      <c r="L40" s="9" t="s">
        <v>3031</v>
      </c>
      <c r="P40" t="s">
        <v>165</v>
      </c>
      <c r="Q40" s="32" t="str">
        <f t="shared" si="7"/>
        <v>◇</v>
      </c>
      <c r="W40" t="s">
        <v>3034</v>
      </c>
      <c r="X40" t="s">
        <v>3019</v>
      </c>
      <c r="Y40" t="str">
        <f t="shared" si="3"/>
        <v>総丈：約cm　ウエスト：約cm　ヒップ：約cm</v>
      </c>
      <c r="Z40" t="str">
        <f t="shared" si="4"/>
        <v>総丈：約cm　ウエスト：約cm　ヒップ：約cm</v>
      </c>
      <c r="AA40" s="77" t="s">
        <v>158</v>
      </c>
      <c r="AC40" s="6"/>
    </row>
    <row r="41" spans="3:29" ht="14.25">
      <c r="C41" t="str">
        <f t="shared" si="6"/>
        <v>◇ スカート サイズ レディース E</v>
      </c>
      <c r="D41">
        <f t="shared" si="8"/>
        <v>15.5</v>
      </c>
      <c r="E41" t="s">
        <v>71</v>
      </c>
      <c r="H41" s="3" t="str">
        <f>IFERROR(INDEX(コンディションランク!$B$1:$B$6,MATCH($G41,コンディションランク!$A$1:$A$6,0)),"")</f>
        <v/>
      </c>
      <c r="J41" t="s">
        <v>2924</v>
      </c>
      <c r="L41" s="9" t="s">
        <v>3031</v>
      </c>
      <c r="P41" t="s">
        <v>165</v>
      </c>
      <c r="Q41" s="32" t="str">
        <f t="shared" si="7"/>
        <v>◇</v>
      </c>
      <c r="W41" t="s">
        <v>3034</v>
      </c>
      <c r="X41" t="s">
        <v>3019</v>
      </c>
      <c r="Y41" t="str">
        <f t="shared" si="3"/>
        <v>総丈：約cm　ウエスト：約cm　ヒップ：約cm</v>
      </c>
      <c r="Z41" t="str">
        <f t="shared" si="4"/>
        <v>総丈：約cm　ウエスト：約cm　ヒップ：約cm</v>
      </c>
      <c r="AA41" s="77" t="s">
        <v>158</v>
      </c>
      <c r="AC41" s="6"/>
    </row>
    <row r="42" spans="3:29" ht="14.25">
      <c r="C42" t="str">
        <f t="shared" si="6"/>
        <v>◇ スカート サイズ レディース E</v>
      </c>
      <c r="D42">
        <f t="shared" si="8"/>
        <v>15.5</v>
      </c>
      <c r="E42" t="s">
        <v>71</v>
      </c>
      <c r="H42" s="3" t="str">
        <f>IFERROR(INDEX(コンディションランク!$B$1:$B$6,MATCH($G42,コンディションランク!$A$1:$A$6,0)),"")</f>
        <v/>
      </c>
      <c r="J42" t="s">
        <v>2924</v>
      </c>
      <c r="L42" s="9" t="s">
        <v>3031</v>
      </c>
      <c r="P42" t="s">
        <v>165</v>
      </c>
      <c r="Q42" s="32" t="str">
        <f t="shared" si="7"/>
        <v>◇</v>
      </c>
      <c r="W42" t="s">
        <v>3034</v>
      </c>
      <c r="X42" t="s">
        <v>3019</v>
      </c>
      <c r="Y42" t="str">
        <f t="shared" si="3"/>
        <v>総丈：約cm　ウエスト：約cm　ヒップ：約cm</v>
      </c>
      <c r="Z42" t="str">
        <f t="shared" si="4"/>
        <v>総丈：約cm　ウエスト：約cm　ヒップ：約cm</v>
      </c>
      <c r="AA42" s="77" t="s">
        <v>158</v>
      </c>
      <c r="AC42" s="6"/>
    </row>
    <row r="43" spans="3:29" ht="14.25">
      <c r="C43" t="str">
        <f t="shared" si="6"/>
        <v>◇ スカート サイズ レディース E</v>
      </c>
      <c r="D43">
        <f t="shared" si="8"/>
        <v>15.5</v>
      </c>
      <c r="E43" t="s">
        <v>71</v>
      </c>
      <c r="H43" s="3" t="str">
        <f>IFERROR(INDEX(コンディションランク!$B$1:$B$6,MATCH($G43,コンディションランク!$A$1:$A$6,0)),"")</f>
        <v/>
      </c>
      <c r="J43" t="s">
        <v>2924</v>
      </c>
      <c r="L43" s="9" t="s">
        <v>3031</v>
      </c>
      <c r="P43" t="s">
        <v>165</v>
      </c>
      <c r="Q43" s="32" t="str">
        <f t="shared" si="7"/>
        <v>◇</v>
      </c>
      <c r="W43" t="s">
        <v>3034</v>
      </c>
      <c r="X43" t="s">
        <v>3019</v>
      </c>
      <c r="Y43" t="str">
        <f t="shared" si="3"/>
        <v>総丈：約cm　ウエスト：約cm　ヒップ：約cm</v>
      </c>
      <c r="Z43" t="str">
        <f t="shared" si="4"/>
        <v>総丈：約cm　ウエスト：約cm　ヒップ：約cm</v>
      </c>
      <c r="AA43" s="77" t="s">
        <v>158</v>
      </c>
      <c r="AC43" s="6"/>
    </row>
    <row r="44" spans="3:29" ht="14.25">
      <c r="C44" t="str">
        <f t="shared" si="6"/>
        <v>◇ スカート サイズ レディース E</v>
      </c>
      <c r="D44">
        <f t="shared" si="8"/>
        <v>15.5</v>
      </c>
      <c r="E44" t="s">
        <v>71</v>
      </c>
      <c r="H44" s="3" t="str">
        <f>IFERROR(INDEX(コンディションランク!$B$1:$B$6,MATCH($G44,コンディションランク!$A$1:$A$6,0)),"")</f>
        <v/>
      </c>
      <c r="J44" t="s">
        <v>2924</v>
      </c>
      <c r="L44" s="9" t="s">
        <v>3031</v>
      </c>
      <c r="P44" t="s">
        <v>165</v>
      </c>
      <c r="Q44" s="32" t="str">
        <f t="shared" si="7"/>
        <v>◇</v>
      </c>
      <c r="W44" t="s">
        <v>3034</v>
      </c>
      <c r="X44" t="s">
        <v>3019</v>
      </c>
      <c r="Y44" t="str">
        <f t="shared" si="3"/>
        <v>総丈：約cm　ウエスト：約cm　ヒップ：約cm</v>
      </c>
      <c r="Z44" t="str">
        <f t="shared" si="4"/>
        <v>総丈：約cm　ウエスト：約cm　ヒップ：約cm</v>
      </c>
      <c r="AA44" s="77" t="s">
        <v>158</v>
      </c>
      <c r="AC44" s="6"/>
    </row>
    <row r="45" spans="3:29" ht="14.25">
      <c r="C45" t="str">
        <f t="shared" si="6"/>
        <v>◇ スカート サイズ レディース E</v>
      </c>
      <c r="D45">
        <f t="shared" si="8"/>
        <v>15.5</v>
      </c>
      <c r="E45" t="s">
        <v>71</v>
      </c>
      <c r="H45" s="3" t="str">
        <f>IFERROR(INDEX(コンディションランク!$B$1:$B$6,MATCH($G45,コンディションランク!$A$1:$A$6,0)),"")</f>
        <v/>
      </c>
      <c r="J45" t="s">
        <v>2924</v>
      </c>
      <c r="L45" s="9" t="s">
        <v>3031</v>
      </c>
      <c r="P45" t="s">
        <v>165</v>
      </c>
      <c r="Q45" s="32" t="str">
        <f t="shared" si="7"/>
        <v>◇</v>
      </c>
      <c r="W45" t="s">
        <v>3034</v>
      </c>
      <c r="X45" t="s">
        <v>3019</v>
      </c>
      <c r="Y45" t="str">
        <f t="shared" si="3"/>
        <v>総丈：約cm　ウエスト：約cm　ヒップ：約cm</v>
      </c>
      <c r="Z45" t="str">
        <f t="shared" si="4"/>
        <v>総丈：約cm　ウエスト：約cm　ヒップ：約cm</v>
      </c>
      <c r="AA45" s="77" t="s">
        <v>158</v>
      </c>
      <c r="AC45" s="6"/>
    </row>
    <row r="46" spans="3:29" ht="14.25">
      <c r="C46" t="str">
        <f t="shared" si="6"/>
        <v>◇ スカート サイズ レディース E</v>
      </c>
      <c r="D46">
        <f t="shared" ref="D46:D51" si="9">(LENB(C46)-LEN(C46))+(LENB(C46)-(LENB(C46)-LEN(C46))*2)/2</f>
        <v>15.5</v>
      </c>
      <c r="E46" t="s">
        <v>71</v>
      </c>
      <c r="H46" s="3" t="str">
        <f>IFERROR(INDEX(コンディションランク!$B$1:$B$6,MATCH($G46,コンディションランク!$A$1:$A$6,0)),"")</f>
        <v/>
      </c>
      <c r="J46" t="s">
        <v>2924</v>
      </c>
      <c r="L46" s="9" t="s">
        <v>3031</v>
      </c>
      <c r="P46" t="s">
        <v>165</v>
      </c>
      <c r="Q46" s="32" t="str">
        <f t="shared" si="7"/>
        <v>◇</v>
      </c>
      <c r="W46" t="s">
        <v>3034</v>
      </c>
      <c r="X46" t="s">
        <v>3019</v>
      </c>
      <c r="Y46" t="str">
        <f t="shared" si="3"/>
        <v>総丈：約cm　ウエスト：約cm　ヒップ：約cm</v>
      </c>
      <c r="Z46" t="str">
        <f t="shared" si="4"/>
        <v>総丈：約cm　ウエスト：約cm　ヒップ：約cm</v>
      </c>
      <c r="AA46" s="77" t="s">
        <v>158</v>
      </c>
      <c r="AC46" s="6"/>
    </row>
    <row r="47" spans="3:29" ht="14.25">
      <c r="C47" t="str">
        <f t="shared" si="6"/>
        <v>◇ スカート サイズ レディース E</v>
      </c>
      <c r="D47">
        <f t="shared" si="9"/>
        <v>15.5</v>
      </c>
      <c r="E47" t="s">
        <v>71</v>
      </c>
      <c r="H47" s="3" t="str">
        <f>IFERROR(INDEX(コンディションランク!$B$1:$B$6,MATCH($G47,コンディションランク!$A$1:$A$6,0)),"")</f>
        <v/>
      </c>
      <c r="J47" t="s">
        <v>2924</v>
      </c>
      <c r="L47" s="9" t="s">
        <v>3031</v>
      </c>
      <c r="P47" t="s">
        <v>165</v>
      </c>
      <c r="Q47" s="32" t="str">
        <f t="shared" si="7"/>
        <v>◇</v>
      </c>
      <c r="W47" t="s">
        <v>3034</v>
      </c>
      <c r="X47" t="s">
        <v>3019</v>
      </c>
      <c r="Y47" t="str">
        <f t="shared" si="3"/>
        <v>総丈：約cm　ウエスト：約cm　ヒップ：約cm</v>
      </c>
      <c r="Z47" t="str">
        <f t="shared" si="4"/>
        <v>総丈：約cm　ウエスト：約cm　ヒップ：約cm</v>
      </c>
      <c r="AA47" s="77" t="s">
        <v>158</v>
      </c>
      <c r="AC47" s="6"/>
    </row>
    <row r="48" spans="3:29" ht="14.25">
      <c r="C48" t="str">
        <f t="shared" si="6"/>
        <v>◇ スカート サイズ レディース E</v>
      </c>
      <c r="D48">
        <f t="shared" si="9"/>
        <v>15.5</v>
      </c>
      <c r="E48" t="s">
        <v>71</v>
      </c>
      <c r="H48" s="3" t="str">
        <f>IFERROR(INDEX(コンディションランク!$B$1:$B$6,MATCH($G48,コンディションランク!$A$1:$A$6,0)),"")</f>
        <v/>
      </c>
      <c r="J48" t="s">
        <v>2924</v>
      </c>
      <c r="L48" s="9" t="s">
        <v>3031</v>
      </c>
      <c r="P48" t="s">
        <v>165</v>
      </c>
      <c r="Q48" s="32" t="str">
        <f t="shared" si="7"/>
        <v>◇</v>
      </c>
      <c r="W48" t="s">
        <v>3034</v>
      </c>
      <c r="X48" t="s">
        <v>3019</v>
      </c>
      <c r="Y48" t="str">
        <f t="shared" si="3"/>
        <v>総丈：約cm　ウエスト：約cm　ヒップ：約cm</v>
      </c>
      <c r="Z48" t="str">
        <f t="shared" si="4"/>
        <v>総丈：約cm　ウエスト：約cm　ヒップ：約cm</v>
      </c>
      <c r="AA48" s="77" t="s">
        <v>158</v>
      </c>
      <c r="AC48" s="6"/>
    </row>
    <row r="49" spans="1:29" ht="14.25" customHeight="1">
      <c r="C49" t="str">
        <f t="shared" si="6"/>
        <v>◇ スカート サイズ レディース E</v>
      </c>
      <c r="D49">
        <f t="shared" si="9"/>
        <v>15.5</v>
      </c>
      <c r="E49" t="s">
        <v>71</v>
      </c>
      <c r="H49" s="3" t="str">
        <f>IFERROR(INDEX(コンディションランク!$B$1:$B$6,MATCH($G49,コンディションランク!$A$1:$A$6,0)),"")</f>
        <v/>
      </c>
      <c r="J49" t="s">
        <v>2924</v>
      </c>
      <c r="L49" s="9" t="s">
        <v>3031</v>
      </c>
      <c r="P49" t="s">
        <v>165</v>
      </c>
      <c r="Q49" s="32" t="str">
        <f t="shared" si="7"/>
        <v>◇</v>
      </c>
      <c r="W49" t="s">
        <v>3034</v>
      </c>
      <c r="X49" t="s">
        <v>3019</v>
      </c>
      <c r="Y49" t="str">
        <f t="shared" si="3"/>
        <v>総丈：約cm　ウエスト：約cm　ヒップ：約cm</v>
      </c>
      <c r="Z49" t="str">
        <f t="shared" si="4"/>
        <v>総丈：約cm　ウエスト：約cm　ヒップ：約cm</v>
      </c>
      <c r="AA49" s="77" t="s">
        <v>158</v>
      </c>
      <c r="AC49" s="6"/>
    </row>
    <row r="50" spans="1:29" ht="14.25" customHeight="1">
      <c r="C50" t="str">
        <f t="shared" si="6"/>
        <v>◇ スカート サイズ レディース E</v>
      </c>
      <c r="D50">
        <f t="shared" si="9"/>
        <v>15.5</v>
      </c>
      <c r="E50" t="s">
        <v>71</v>
      </c>
      <c r="H50" s="3" t="str">
        <f>IFERROR(INDEX(コンディションランク!$B$1:$B$6,MATCH($G50,コンディションランク!$A$1:$A$6,0)),"")</f>
        <v/>
      </c>
      <c r="J50" t="s">
        <v>2924</v>
      </c>
      <c r="L50" s="9" t="s">
        <v>3031</v>
      </c>
      <c r="P50" t="s">
        <v>165</v>
      </c>
      <c r="Q50" s="32" t="str">
        <f t="shared" si="7"/>
        <v>◇</v>
      </c>
      <c r="W50" t="s">
        <v>3034</v>
      </c>
      <c r="X50" t="s">
        <v>3019</v>
      </c>
      <c r="Y50" t="str">
        <f t="shared" si="3"/>
        <v>総丈：約cm　ウエスト：約cm　ヒップ：約cm</v>
      </c>
      <c r="Z50" t="str">
        <f t="shared" si="4"/>
        <v>総丈：約cm　ウエスト：約cm　ヒップ：約cm</v>
      </c>
      <c r="AA50" s="77" t="s">
        <v>158</v>
      </c>
      <c r="AC50" s="6"/>
    </row>
    <row r="51" spans="1:29" ht="14.25" customHeight="1">
      <c r="C51" t="str">
        <f t="shared" si="6"/>
        <v>◇ スカート サイズ レディース E</v>
      </c>
      <c r="D51">
        <f t="shared" si="9"/>
        <v>15.5</v>
      </c>
      <c r="E51" t="s">
        <v>71</v>
      </c>
      <c r="H51" s="3" t="str">
        <f>IFERROR(INDEX(コンディションランク!$B$1:$B$6,MATCH($G51,コンディションランク!$A$1:$A$6,0)),"")</f>
        <v/>
      </c>
      <c r="J51" t="s">
        <v>2924</v>
      </c>
      <c r="L51" s="9" t="s">
        <v>3031</v>
      </c>
      <c r="P51" t="s">
        <v>165</v>
      </c>
      <c r="Q51" s="32" t="str">
        <f t="shared" si="7"/>
        <v>◇</v>
      </c>
      <c r="W51" t="s">
        <v>3034</v>
      </c>
      <c r="X51" t="s">
        <v>3019</v>
      </c>
      <c r="Y51" t="str">
        <f t="shared" si="3"/>
        <v>総丈：約cm　ウエスト：約cm　ヒップ：約cm</v>
      </c>
      <c r="Z51" t="str">
        <f t="shared" si="4"/>
        <v>総丈：約cm　ウエスト：約cm　ヒップ：約cm</v>
      </c>
      <c r="AA51" s="77" t="s">
        <v>158</v>
      </c>
      <c r="AC51" s="6"/>
    </row>
    <row r="52" spans="1:29" ht="14.25" customHeight="1">
      <c r="A52" s="79"/>
      <c r="B52" s="13"/>
      <c r="C52" s="4"/>
      <c r="D52" s="4"/>
      <c r="E52" s="4"/>
      <c r="F52" s="4"/>
      <c r="G52" s="4"/>
      <c r="H52" s="4"/>
      <c r="I52" s="4"/>
      <c r="J52" s="4"/>
      <c r="K52" s="4"/>
      <c r="L52" s="4"/>
      <c r="M52" s="4"/>
      <c r="N52" s="4"/>
      <c r="O52" s="4"/>
      <c r="P52" s="4"/>
      <c r="Q52" s="4"/>
      <c r="R52" s="4"/>
      <c r="S52" s="4"/>
      <c r="T52" s="4"/>
      <c r="U52" s="4"/>
      <c r="V52" s="4"/>
      <c r="W52" s="4"/>
      <c r="X52" s="4"/>
      <c r="Y52" s="4"/>
      <c r="Z52" s="4"/>
      <c r="AA52" s="4"/>
    </row>
    <row r="53" spans="1:29" ht="14.25" customHeight="1"/>
    <row r="54" spans="1:29" ht="14.25" customHeight="1"/>
    <row r="55" spans="1:29" ht="14.25" customHeight="1"/>
    <row r="56" spans="1:29" ht="14.25" customHeight="1"/>
    <row r="150" spans="2:2">
      <c r="B150"/>
    </row>
    <row r="151" spans="2:2">
      <c r="B151"/>
    </row>
    <row r="152" spans="2:2">
      <c r="B152"/>
    </row>
    <row r="180" spans="2:2" ht="14.25" thickBot="1">
      <c r="B180" s="41"/>
    </row>
    <row r="181" spans="2:2">
      <c r="B181" s="13"/>
    </row>
  </sheetData>
  <phoneticPr fontId="4"/>
  <conditionalFormatting sqref="B3:B51">
    <cfRule type="duplicateValues" dxfId="68" priority="15"/>
  </conditionalFormatting>
  <conditionalFormatting sqref="D2:D51">
    <cfRule type="cellIs" dxfId="67" priority="13" operator="greaterThanOrEqual">
      <formula>65</formula>
    </cfRule>
    <cfRule type="cellIs" priority="14" operator="greaterThanOrEqual">
      <formula>65</formula>
    </cfRule>
  </conditionalFormatting>
  <conditionalFormatting sqref="B2">
    <cfRule type="duplicateValues" dxfId="66" priority="6"/>
  </conditionalFormatting>
  <conditionalFormatting sqref="B2">
    <cfRule type="duplicateValues" dxfId="65" priority="5"/>
  </conditionalFormatting>
  <conditionalFormatting sqref="B2">
    <cfRule type="duplicateValues" dxfId="64" priority="4"/>
  </conditionalFormatting>
  <conditionalFormatting sqref="B2">
    <cfRule type="duplicateValues" dxfId="63" priority="3"/>
  </conditionalFormatting>
  <conditionalFormatting sqref="B2">
    <cfRule type="duplicateValues" dxfId="62" priority="2"/>
  </conditionalFormatting>
  <conditionalFormatting sqref="B2:B51">
    <cfRule type="duplicateValues" dxfId="61" priority="1"/>
  </conditionalFormatting>
  <dataValidations count="2">
    <dataValidation imeMode="off" allowBlank="1" showInputMessage="1" showErrorMessage="1" sqref="M1:O1048576 B1:B1048576" xr:uid="{DE0B186C-3E95-46DC-A1D0-A374443E8331}"/>
    <dataValidation type="list" allowBlank="1" showInputMessage="1" showErrorMessage="1" sqref="P2:P51" xr:uid="{FCDB5264-2DE9-4D1D-AEA7-EAF7D9B73915}">
      <formula1>梱包</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4DEE10C-AA6B-4432-B0D9-DD17AF35C74D}">
          <x14:formula1>
            <xm:f>コンディションランク!$A$1:$A$6</xm:f>
          </x14:formula1>
          <xm:sqref>G2:G51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AG1048576"/>
  <sheetViews>
    <sheetView zoomScale="85" zoomScaleNormal="85" workbookViewId="0">
      <pane ySplit="1" topLeftCell="A2" activePane="bottomLeft" state="frozen"/>
      <selection activeCell="B2" sqref="B2"/>
      <selection pane="bottomLeft" activeCell="A9" sqref="A9"/>
    </sheetView>
  </sheetViews>
  <sheetFormatPr defaultRowHeight="13.5"/>
  <cols>
    <col min="1" max="1" width="14" style="9" customWidth="1"/>
    <col min="2" max="2" width="16.25" style="14" customWidth="1"/>
    <col min="3" max="3" width="80.625" customWidth="1"/>
    <col min="4" max="4" width="5.625" customWidth="1"/>
    <col min="5" max="5" width="4.875" customWidth="1"/>
    <col min="6" max="6" width="10.125" hidden="1" customWidth="1"/>
    <col min="7" max="7" width="3.625" customWidth="1"/>
    <col min="8" max="8" width="14.5" customWidth="1"/>
    <col min="9" max="9" width="6.5" hidden="1" customWidth="1"/>
    <col min="10" max="10" width="6.5" customWidth="1"/>
    <col min="11" max="11" width="28.75" customWidth="1"/>
    <col min="12" max="12" width="11.25" customWidth="1"/>
    <col min="13" max="17" width="6.5" customWidth="1"/>
    <col min="18" max="19" width="11.75" customWidth="1"/>
    <col min="20" max="20" width="7.625" customWidth="1"/>
    <col min="21" max="21" width="67.375" customWidth="1"/>
    <col min="22" max="22" width="41.25" customWidth="1"/>
    <col min="23" max="23" width="15.5" customWidth="1"/>
    <col min="24" max="24" width="28.875" customWidth="1"/>
    <col min="25" max="25" width="34.125" customWidth="1"/>
    <col min="26" max="26" width="8.75" customWidth="1"/>
    <col min="27" max="27" width="38.125" customWidth="1"/>
    <col min="28" max="28" width="38.125" hidden="1" customWidth="1"/>
    <col min="29" max="29" width="15.125" customWidth="1"/>
    <col min="30" max="32" width="9" hidden="1" customWidth="1"/>
  </cols>
  <sheetData>
    <row r="1" spans="1:33" s="32" customFormat="1">
      <c r="A1" s="37" t="s">
        <v>2641</v>
      </c>
      <c r="B1" s="38" t="s">
        <v>0</v>
      </c>
      <c r="C1" s="8" t="s">
        <v>1</v>
      </c>
      <c r="D1" s="28" t="s">
        <v>145</v>
      </c>
      <c r="E1" s="18" t="s">
        <v>2</v>
      </c>
      <c r="F1" s="19" t="s">
        <v>3</v>
      </c>
      <c r="G1" s="17" t="s">
        <v>4</v>
      </c>
      <c r="H1" s="19" t="s">
        <v>5</v>
      </c>
      <c r="I1" s="19" t="s">
        <v>6</v>
      </c>
      <c r="J1" s="19" t="s">
        <v>7</v>
      </c>
      <c r="K1" s="19" t="s">
        <v>8</v>
      </c>
      <c r="L1" s="18" t="s">
        <v>9</v>
      </c>
      <c r="M1" s="21" t="s">
        <v>30</v>
      </c>
      <c r="N1" s="21" t="s">
        <v>31</v>
      </c>
      <c r="O1" s="21" t="s">
        <v>32</v>
      </c>
      <c r="P1" s="21" t="s">
        <v>33</v>
      </c>
      <c r="Q1" s="21" t="s">
        <v>40</v>
      </c>
      <c r="R1" s="21" t="s">
        <v>164</v>
      </c>
      <c r="S1" s="21" t="s">
        <v>3054</v>
      </c>
      <c r="T1" s="17" t="s">
        <v>88</v>
      </c>
      <c r="U1" s="17" t="s">
        <v>84</v>
      </c>
      <c r="V1" s="17" t="s">
        <v>85</v>
      </c>
      <c r="W1" s="17" t="s">
        <v>93</v>
      </c>
      <c r="X1" s="17" t="s">
        <v>96</v>
      </c>
      <c r="Y1" s="17" t="s">
        <v>87</v>
      </c>
      <c r="Z1" s="17" t="s">
        <v>86</v>
      </c>
      <c r="AA1" s="1" t="s">
        <v>3022</v>
      </c>
      <c r="AB1" s="1" t="s">
        <v>3024</v>
      </c>
      <c r="AC1" s="66" t="s">
        <v>98</v>
      </c>
      <c r="AD1" s="16" t="s">
        <v>107</v>
      </c>
      <c r="AE1" s="17" t="s">
        <v>151</v>
      </c>
      <c r="AF1" s="17" t="s">
        <v>108</v>
      </c>
      <c r="AG1" s="17" t="s">
        <v>109</v>
      </c>
    </row>
    <row r="2" spans="1:33" ht="14.25" customHeight="1">
      <c r="A2" s="9" t="s">
        <v>3081</v>
      </c>
      <c r="B2" s="68">
        <v>1211150014291</v>
      </c>
      <c r="C2" t="str">
        <f t="shared" ref="C2:C33" si="0">TRIM(S2&amp;" "&amp;T2&amp;" "&amp;U2&amp;" "&amp;V2&amp;" "&amp;W2&amp;" "&amp;X2&amp;" "&amp;Y2&amp;" "&amp;L2&amp;" "&amp;K2&amp;" "&amp;Z2&amp;EX&amp;" "&amp;B2)</f>
        <v>◇ merlot メルロー イラストプリント 半袖 ロング ワンピース 表記なし ホワイト/マルチ レディース E 1211150014291</v>
      </c>
      <c r="D2">
        <f t="shared" ref="D2:D51" si="1">(LENB(C2)-LEN(C2))+(LENB(C2)-(LENB(C2)-LEN(C2))*2)/2</f>
        <v>55</v>
      </c>
      <c r="E2" t="s">
        <v>71</v>
      </c>
      <c r="G2">
        <v>3</v>
      </c>
      <c r="H2" t="str">
        <f>IFERROR(INDEX(コンディションランク!$B$1:$B$6,MATCH($G2,コンディションランク!$A$1:$A$6,0)),"")</f>
        <v>目立った傷や汚れなし</v>
      </c>
      <c r="J2" t="s">
        <v>2924</v>
      </c>
      <c r="K2" t="s">
        <v>3077</v>
      </c>
      <c r="L2" s="9" t="s">
        <v>3074</v>
      </c>
      <c r="M2">
        <v>98</v>
      </c>
      <c r="N2">
        <v>39</v>
      </c>
      <c r="O2">
        <v>44</v>
      </c>
      <c r="P2">
        <v>48</v>
      </c>
      <c r="Q2">
        <v>23</v>
      </c>
      <c r="R2" t="s">
        <v>165</v>
      </c>
      <c r="S2" s="32" t="str">
        <f t="shared" ref="S2:S33" si="2">IFERROR(VLOOKUP(R2,梱包サイズ表,2,0),"")</f>
        <v>◇</v>
      </c>
      <c r="U2" t="s">
        <v>3075</v>
      </c>
      <c r="V2" t="s">
        <v>3078</v>
      </c>
      <c r="W2" t="s">
        <v>3079</v>
      </c>
      <c r="X2" t="s">
        <v>3080</v>
      </c>
      <c r="Y2" t="s">
        <v>3035</v>
      </c>
      <c r="Z2" t="s">
        <v>3020</v>
      </c>
      <c r="AA2" t="str">
        <f>"着丈：約" &amp;M2&amp; "cm　肩幅：約" &amp;N2&amp; "cm　身幅：約" &amp;O2&amp; "cm　ウエスト：約" &amp;P2&amp; "cm　袖丈：約" &amp;Q2&amp; "cm"</f>
        <v>着丈：約98cm　肩幅：約39cm　身幅：約44cm　ウエスト：約48cm　袖丈：約23cm</v>
      </c>
      <c r="AB2" t="str">
        <f>SUBSTITUTE( AA2, "約-", "-" )</f>
        <v>着丈：約98cm　肩幅：約39cm　身幅：約44cm　ウエスト：約48cm　袖丈：約23cm</v>
      </c>
      <c r="AC2" s="81" t="s">
        <v>3059</v>
      </c>
      <c r="AE2" s="6"/>
      <c r="AG2">
        <v>1000</v>
      </c>
    </row>
    <row r="3" spans="1:33" ht="14.25" customHeight="1">
      <c r="A3" s="9" t="s">
        <v>3081</v>
      </c>
      <c r="B3" s="14">
        <v>1212020007818</v>
      </c>
      <c r="C3" t="str">
        <f t="shared" si="0"/>
        <v>◇ titty&amp;Co ティティー&amp;コーティアンド ビブカラー。パール付き 長袖 ロング ワンピース サイズM ブルー レディース E 1212020007818</v>
      </c>
      <c r="D3">
        <f t="shared" si="1"/>
        <v>62.5</v>
      </c>
      <c r="E3" t="s">
        <v>3032</v>
      </c>
      <c r="G3">
        <v>3</v>
      </c>
      <c r="H3" t="str">
        <f>IFERROR(INDEX(コンディションランク!$B$1:$B$6,MATCH($G3,コンディションランク!$A$1:$A$6,0)),"")</f>
        <v>目立った傷や汚れなし</v>
      </c>
      <c r="J3" t="s">
        <v>2924</v>
      </c>
      <c r="K3" t="s">
        <v>3163</v>
      </c>
      <c r="L3" s="9" t="s">
        <v>3057</v>
      </c>
      <c r="M3" s="29">
        <v>96</v>
      </c>
      <c r="N3">
        <v>31</v>
      </c>
      <c r="O3">
        <v>40</v>
      </c>
      <c r="P3">
        <v>35</v>
      </c>
      <c r="Q3">
        <v>62</v>
      </c>
      <c r="R3" t="s">
        <v>165</v>
      </c>
      <c r="S3" s="32" t="str">
        <f t="shared" si="2"/>
        <v>◇</v>
      </c>
      <c r="U3" t="s">
        <v>3164</v>
      </c>
      <c r="V3" t="s">
        <v>3165</v>
      </c>
      <c r="W3" t="s">
        <v>3058</v>
      </c>
      <c r="X3" t="s">
        <v>3080</v>
      </c>
      <c r="Y3" t="s">
        <v>3035</v>
      </c>
      <c r="Z3" t="s">
        <v>3020</v>
      </c>
      <c r="AA3" t="str">
        <f t="shared" ref="AA3:AA51" si="3">"着丈：約" &amp;M3&amp; "cm　肩幅：約" &amp;N3&amp; "cm　身幅：約" &amp;O3&amp; "cm　ウエスト：約" &amp;P3&amp; "cm　袖丈：約" &amp;Q3&amp; "cm"</f>
        <v>着丈：約96cm　肩幅：約31cm　身幅：約40cm　ウエスト：約35cm　袖丈：約62cm</v>
      </c>
      <c r="AB3" t="str">
        <f t="shared" ref="AB3:AB51" si="4">SUBSTITUTE( AA3, "約-", "-" )</f>
        <v>着丈：約96cm　肩幅：約31cm　身幅：約40cm　ウエスト：約35cm　袖丈：約62cm</v>
      </c>
      <c r="AC3" s="81" t="s">
        <v>3059</v>
      </c>
      <c r="AE3" s="6"/>
      <c r="AG3">
        <v>1000</v>
      </c>
    </row>
    <row r="4" spans="1:33" ht="14.25" customHeight="1">
      <c r="A4" s="9" t="s">
        <v>3172</v>
      </c>
      <c r="B4" s="14">
        <v>1212020007795</v>
      </c>
      <c r="C4" t="str">
        <f t="shared" si="0"/>
        <v>◇ rienda リエンダ 花柄。襟リボン 長袖 ロング ワンピース サイズS ライトブルー レディース E 1212020007795</v>
      </c>
      <c r="D4">
        <f t="shared" si="1"/>
        <v>52</v>
      </c>
      <c r="E4" t="s">
        <v>71</v>
      </c>
      <c r="G4">
        <v>3</v>
      </c>
      <c r="H4" t="str">
        <f>IFERROR(INDEX(コンディションランク!$B$1:$B$6,MATCH($G4,コンディションランク!$A$1:$A$6,0)),"")</f>
        <v>目立った傷や汚れなし</v>
      </c>
      <c r="J4" t="s">
        <v>2924</v>
      </c>
      <c r="K4" t="s">
        <v>3169</v>
      </c>
      <c r="L4" s="9" t="s">
        <v>3105</v>
      </c>
      <c r="M4">
        <v>126</v>
      </c>
      <c r="N4">
        <v>41</v>
      </c>
      <c r="O4">
        <v>57</v>
      </c>
      <c r="P4">
        <v>55</v>
      </c>
      <c r="Q4">
        <v>61</v>
      </c>
      <c r="R4" t="s">
        <v>165</v>
      </c>
      <c r="S4" s="32" t="str">
        <f t="shared" si="2"/>
        <v>◇</v>
      </c>
      <c r="U4" t="s">
        <v>3170</v>
      </c>
      <c r="V4" t="s">
        <v>3171</v>
      </c>
      <c r="W4" t="s">
        <v>3058</v>
      </c>
      <c r="X4" t="s">
        <v>3080</v>
      </c>
      <c r="Y4" t="s">
        <v>3035</v>
      </c>
      <c r="Z4" t="s">
        <v>3020</v>
      </c>
      <c r="AA4" t="str">
        <f t="shared" si="3"/>
        <v>着丈：約126cm　肩幅：約41cm　身幅：約57cm　ウエスト：約55cm　袖丈：約61cm</v>
      </c>
      <c r="AB4" t="str">
        <f t="shared" si="4"/>
        <v>着丈：約126cm　肩幅：約41cm　身幅：約57cm　ウエスト：約55cm　袖丈：約61cm</v>
      </c>
      <c r="AC4" s="81" t="s">
        <v>3059</v>
      </c>
      <c r="AE4" s="6"/>
      <c r="AG4">
        <v>1000</v>
      </c>
    </row>
    <row r="5" spans="1:33" ht="14.25" customHeight="1">
      <c r="A5" s="9" t="s">
        <v>3081</v>
      </c>
      <c r="B5" s="14">
        <v>1212020007689</v>
      </c>
      <c r="C5" t="str">
        <f t="shared" si="0"/>
        <v>◇ GLOBAL WORK ボーダー、ポケット２つ 七分袖 ロング ワンピース サイズM ホワイト/ネイビー レディース E 1212020007689</v>
      </c>
      <c r="D5">
        <f t="shared" si="1"/>
        <v>57.5</v>
      </c>
      <c r="E5" t="s">
        <v>71</v>
      </c>
      <c r="G5">
        <v>3</v>
      </c>
      <c r="H5" t="str">
        <f>IFERROR(INDEX(コンディションランク!$B$1:$B$6,MATCH($G5,コンディションランク!$A$1:$A$6,0)),"")</f>
        <v>目立った傷や汚れなし</v>
      </c>
      <c r="J5" t="s">
        <v>2924</v>
      </c>
      <c r="K5" t="s">
        <v>3207</v>
      </c>
      <c r="L5" s="9" t="s">
        <v>3057</v>
      </c>
      <c r="M5">
        <v>83</v>
      </c>
      <c r="N5">
        <v>50</v>
      </c>
      <c r="O5">
        <v>53</v>
      </c>
      <c r="P5">
        <v>53</v>
      </c>
      <c r="Q5">
        <v>34</v>
      </c>
      <c r="R5" t="s">
        <v>165</v>
      </c>
      <c r="S5" s="32" t="str">
        <f t="shared" si="2"/>
        <v>◇</v>
      </c>
      <c r="U5" t="s">
        <v>3209</v>
      </c>
      <c r="V5" t="s">
        <v>3208</v>
      </c>
      <c r="W5" t="s">
        <v>3084</v>
      </c>
      <c r="X5" t="s">
        <v>3080</v>
      </c>
      <c r="Y5" t="s">
        <v>3035</v>
      </c>
      <c r="Z5" t="s">
        <v>3020</v>
      </c>
      <c r="AA5" t="str">
        <f t="shared" si="3"/>
        <v>着丈：約83cm　肩幅：約50cm　身幅：約53cm　ウエスト：約53cm　袖丈：約34cm</v>
      </c>
      <c r="AB5" t="str">
        <f t="shared" si="4"/>
        <v>着丈：約83cm　肩幅：約50cm　身幅：約53cm　ウエスト：約53cm　袖丈：約34cm</v>
      </c>
      <c r="AC5" s="81" t="s">
        <v>3059</v>
      </c>
      <c r="AE5" s="6"/>
      <c r="AG5">
        <v>1000</v>
      </c>
    </row>
    <row r="6" spans="1:33" ht="14.25" customHeight="1">
      <c r="A6" s="9" t="s">
        <v>3081</v>
      </c>
      <c r="B6" s="14">
        <v>1212020007658</v>
      </c>
      <c r="C6" t="str">
        <f t="shared" si="0"/>
        <v>◇ each イーチ Vネック、後ろフェイクポケット ロング ワンピース 表記なし ベージュ レディース E 1212020007658</v>
      </c>
      <c r="D6">
        <f t="shared" si="1"/>
        <v>53.5</v>
      </c>
      <c r="E6" t="s">
        <v>71</v>
      </c>
      <c r="G6">
        <v>3</v>
      </c>
      <c r="H6" t="str">
        <f>IFERROR(INDEX(コンディションランク!$B$1:$B$6,MATCH($G6,コンディションランク!$A$1:$A$6,0)),"")</f>
        <v>目立った傷や汚れなし</v>
      </c>
      <c r="J6" t="s">
        <v>2924</v>
      </c>
      <c r="K6" t="s">
        <v>3101</v>
      </c>
      <c r="L6" s="9" t="s">
        <v>3074</v>
      </c>
      <c r="M6">
        <v>124</v>
      </c>
      <c r="N6">
        <v>40</v>
      </c>
      <c r="O6">
        <v>47</v>
      </c>
      <c r="P6">
        <v>46</v>
      </c>
      <c r="Q6" t="s">
        <v>83</v>
      </c>
      <c r="R6" t="s">
        <v>165</v>
      </c>
      <c r="S6" s="32" t="str">
        <f t="shared" si="2"/>
        <v>◇</v>
      </c>
      <c r="U6" t="s">
        <v>3216</v>
      </c>
      <c r="V6" t="s">
        <v>3215</v>
      </c>
      <c r="X6" t="s">
        <v>3080</v>
      </c>
      <c r="Y6" t="s">
        <v>3035</v>
      </c>
      <c r="Z6" t="s">
        <v>3020</v>
      </c>
      <c r="AA6" t="str">
        <f t="shared" si="3"/>
        <v>着丈：約124cm　肩幅：約40cm　身幅：約47cm　ウエスト：約46cm　袖丈：約-cm</v>
      </c>
      <c r="AB6" t="str">
        <f t="shared" si="4"/>
        <v>着丈：約124cm　肩幅：約40cm　身幅：約47cm　ウエスト：約46cm　袖丈：-cm</v>
      </c>
      <c r="AC6" s="81" t="s">
        <v>3059</v>
      </c>
      <c r="AE6" s="6"/>
      <c r="AG6">
        <v>1000</v>
      </c>
    </row>
    <row r="7" spans="1:33" ht="14.25" customHeight="1">
      <c r="A7" s="9" t="s">
        <v>3081</v>
      </c>
      <c r="B7" s="14">
        <v>1212020007610</v>
      </c>
      <c r="C7" t="str">
        <f t="shared" si="0"/>
        <v>◇ miette. ミエット ウエストゴム。肩紐調節可能 ロング ワンピース サイズF ブラック レディース E 1212020007610</v>
      </c>
      <c r="D7">
        <f t="shared" si="1"/>
        <v>54</v>
      </c>
      <c r="E7" t="s">
        <v>71</v>
      </c>
      <c r="G7">
        <v>3</v>
      </c>
      <c r="H7" t="str">
        <f>IFERROR(INDEX(コンディションランク!$B$1:$B$6,MATCH($G7,コンディションランク!$A$1:$A$6,0)),"")</f>
        <v>目立った傷や汚れなし</v>
      </c>
      <c r="J7" t="s">
        <v>2924</v>
      </c>
      <c r="K7" t="s">
        <v>3068</v>
      </c>
      <c r="L7" s="9" t="s">
        <v>3082</v>
      </c>
      <c r="M7">
        <v>116</v>
      </c>
      <c r="N7" t="s">
        <v>83</v>
      </c>
      <c r="O7">
        <v>36</v>
      </c>
      <c r="P7">
        <v>34</v>
      </c>
      <c r="Q7" t="s">
        <v>83</v>
      </c>
      <c r="R7" t="s">
        <v>165</v>
      </c>
      <c r="S7" s="32" t="str">
        <f t="shared" si="2"/>
        <v>◇</v>
      </c>
      <c r="U7" t="s">
        <v>3226</v>
      </c>
      <c r="V7" t="s">
        <v>3225</v>
      </c>
      <c r="X7" t="s">
        <v>3080</v>
      </c>
      <c r="Y7" t="s">
        <v>3035</v>
      </c>
      <c r="Z7" t="s">
        <v>3020</v>
      </c>
      <c r="AA7" t="str">
        <f t="shared" si="3"/>
        <v>着丈：約116cm　肩幅：約-cm　身幅：約36cm　ウエスト：約34cm　袖丈：約-cm</v>
      </c>
      <c r="AB7" t="str">
        <f t="shared" si="4"/>
        <v>着丈：約116cm　肩幅：-cm　身幅：約36cm　ウエスト：約34cm　袖丈：-cm</v>
      </c>
      <c r="AC7" s="81" t="s">
        <v>3059</v>
      </c>
      <c r="AE7" s="6"/>
      <c r="AG7">
        <v>1000</v>
      </c>
    </row>
    <row r="8" spans="1:33" ht="14.25" customHeight="1">
      <c r="A8" s="9" t="s">
        <v>3081</v>
      </c>
      <c r="B8" s="14">
        <v>1212020007573</v>
      </c>
      <c r="C8" t="str">
        <f t="shared" si="0"/>
        <v>◇ Quelle Chance ケルシャンス 花柄。ウエストゴム 長袖 ロング ワンピース サイズL ブラウン レディース E 1212020007573</v>
      </c>
      <c r="D8">
        <f t="shared" si="1"/>
        <v>57.5</v>
      </c>
      <c r="E8" t="s">
        <v>71</v>
      </c>
      <c r="G8">
        <v>3</v>
      </c>
      <c r="H8" t="str">
        <f>IFERROR(INDEX(コンディションランク!$B$1:$B$6,MATCH($G8,コンディションランク!$A$1:$A$6,0)),"")</f>
        <v>目立った傷や汚れなし</v>
      </c>
      <c r="J8" t="s">
        <v>2924</v>
      </c>
      <c r="K8" t="s">
        <v>3126</v>
      </c>
      <c r="L8" s="9" t="s">
        <v>3197</v>
      </c>
      <c r="M8">
        <v>114</v>
      </c>
      <c r="N8">
        <v>35</v>
      </c>
      <c r="O8">
        <v>41</v>
      </c>
      <c r="P8">
        <v>34</v>
      </c>
      <c r="Q8">
        <v>50</v>
      </c>
      <c r="R8" t="s">
        <v>165</v>
      </c>
      <c r="S8" s="32" t="str">
        <f t="shared" si="2"/>
        <v>◇</v>
      </c>
      <c r="U8" t="s">
        <v>3237</v>
      </c>
      <c r="V8" t="s">
        <v>3238</v>
      </c>
      <c r="W8" t="s">
        <v>3058</v>
      </c>
      <c r="X8" t="s">
        <v>3080</v>
      </c>
      <c r="Y8" t="s">
        <v>3035</v>
      </c>
      <c r="Z8" t="s">
        <v>3020</v>
      </c>
      <c r="AA8" t="str">
        <f t="shared" si="3"/>
        <v>着丈：約114cm　肩幅：約35cm　身幅：約41cm　ウエスト：約34cm　袖丈：約50cm</v>
      </c>
      <c r="AB8" t="str">
        <f t="shared" si="4"/>
        <v>着丈：約114cm　肩幅：約35cm　身幅：約41cm　ウエスト：約34cm　袖丈：約50cm</v>
      </c>
      <c r="AC8" s="81" t="s">
        <v>3059</v>
      </c>
      <c r="AE8" s="6"/>
      <c r="AG8">
        <v>1000</v>
      </c>
    </row>
    <row r="9" spans="1:33" ht="14.25" customHeight="1">
      <c r="A9" s="9" t="s">
        <v>3081</v>
      </c>
      <c r="B9" s="14">
        <v>1212020007528</v>
      </c>
      <c r="C9" t="str">
        <f t="shared" si="0"/>
        <v>◇ N WITH. デニム。肩ひもは調節可能です ロング ワンピース サイズF ブラック レディース E 1212020007528</v>
      </c>
      <c r="D9">
        <f t="shared" si="1"/>
        <v>50.5</v>
      </c>
      <c r="E9" t="s">
        <v>71</v>
      </c>
      <c r="G9">
        <v>3</v>
      </c>
      <c r="H9" t="str">
        <f>IFERROR(INDEX(コンディションランク!$B$1:$B$6,MATCH($G9,コンディションランク!$A$1:$A$6,0)),"")</f>
        <v>目立った傷や汚れなし</v>
      </c>
      <c r="J9" t="s">
        <v>2924</v>
      </c>
      <c r="K9" t="s">
        <v>3068</v>
      </c>
      <c r="L9" s="9" t="s">
        <v>3082</v>
      </c>
      <c r="M9">
        <v>114</v>
      </c>
      <c r="N9" t="s">
        <v>83</v>
      </c>
      <c r="O9">
        <v>35</v>
      </c>
      <c r="P9">
        <v>34</v>
      </c>
      <c r="Q9" t="s">
        <v>83</v>
      </c>
      <c r="R9" t="s">
        <v>165</v>
      </c>
      <c r="S9" s="32" t="str">
        <f t="shared" si="2"/>
        <v>◇</v>
      </c>
      <c r="U9" t="s">
        <v>3243</v>
      </c>
      <c r="V9" t="s">
        <v>3244</v>
      </c>
      <c r="X9" t="s">
        <v>3080</v>
      </c>
      <c r="Y9" t="s">
        <v>3035</v>
      </c>
      <c r="Z9" t="s">
        <v>3020</v>
      </c>
      <c r="AA9" t="str">
        <f t="shared" si="3"/>
        <v>着丈：約114cm　肩幅：約-cm　身幅：約35cm　ウエスト：約34cm　袖丈：約-cm</v>
      </c>
      <c r="AB9" t="str">
        <f t="shared" si="4"/>
        <v>着丈：約114cm　肩幅：-cm　身幅：約35cm　ウエスト：約34cm　袖丈：-cm</v>
      </c>
      <c r="AC9" s="81" t="s">
        <v>3059</v>
      </c>
      <c r="AE9" s="6"/>
      <c r="AG9">
        <v>2000</v>
      </c>
    </row>
    <row r="10" spans="1:33" ht="14.25" customHeight="1">
      <c r="C10" t="str">
        <f t="shared" si="0"/>
        <v>◇ ワンピース サイズ レディース E</v>
      </c>
      <c r="D10">
        <f t="shared" si="1"/>
        <v>16.5</v>
      </c>
      <c r="E10" t="s">
        <v>71</v>
      </c>
      <c r="H10" t="str">
        <f>IFERROR(INDEX(コンディションランク!$B$1:$B$6,MATCH($G10,コンディションランク!$A$1:$A$6,0)),"")</f>
        <v/>
      </c>
      <c r="J10" t="s">
        <v>2924</v>
      </c>
      <c r="L10" s="9" t="s">
        <v>3031</v>
      </c>
      <c r="R10" t="s">
        <v>165</v>
      </c>
      <c r="S10" s="32" t="str">
        <f t="shared" si="2"/>
        <v>◇</v>
      </c>
      <c r="Y10" t="s">
        <v>3035</v>
      </c>
      <c r="Z10" t="s">
        <v>3020</v>
      </c>
      <c r="AA10" t="str">
        <f t="shared" si="3"/>
        <v>着丈：約cm　肩幅：約cm　身幅：約cm　ウエスト：約cm　袖丈：約cm</v>
      </c>
      <c r="AB10" t="str">
        <f t="shared" si="4"/>
        <v>着丈：約cm　肩幅：約cm　身幅：約cm　ウエスト：約cm　袖丈：約cm</v>
      </c>
      <c r="AC10" s="81" t="s">
        <v>158</v>
      </c>
      <c r="AE10" s="6"/>
    </row>
    <row r="11" spans="1:33" ht="14.25" customHeight="1">
      <c r="C11" t="str">
        <f t="shared" si="0"/>
        <v>◇ ワンピース サイズ レディース E</v>
      </c>
      <c r="D11">
        <f t="shared" si="1"/>
        <v>16.5</v>
      </c>
      <c r="E11" t="s">
        <v>71</v>
      </c>
      <c r="H11" t="str">
        <f>IFERROR(INDEX(コンディションランク!$B$1:$B$6,MATCH($G11,コンディションランク!$A$1:$A$6,0)),"")</f>
        <v/>
      </c>
      <c r="J11" t="s">
        <v>2924</v>
      </c>
      <c r="L11" s="9" t="s">
        <v>3031</v>
      </c>
      <c r="R11" t="s">
        <v>165</v>
      </c>
      <c r="S11" s="32" t="str">
        <f t="shared" si="2"/>
        <v>◇</v>
      </c>
      <c r="Y11" t="s">
        <v>3035</v>
      </c>
      <c r="Z11" t="s">
        <v>3020</v>
      </c>
      <c r="AA11" t="str">
        <f t="shared" si="3"/>
        <v>着丈：約cm　肩幅：約cm　身幅：約cm　ウエスト：約cm　袖丈：約cm</v>
      </c>
      <c r="AB11" t="str">
        <f t="shared" si="4"/>
        <v>着丈：約cm　肩幅：約cm　身幅：約cm　ウエスト：約cm　袖丈：約cm</v>
      </c>
      <c r="AC11" s="81" t="s">
        <v>158</v>
      </c>
      <c r="AE11" s="6"/>
    </row>
    <row r="12" spans="1:33" ht="14.25" customHeight="1">
      <c r="C12" t="str">
        <f t="shared" si="0"/>
        <v>◇ ワンピース サイズ レディース E</v>
      </c>
      <c r="D12">
        <f t="shared" si="1"/>
        <v>16.5</v>
      </c>
      <c r="E12" t="s">
        <v>71</v>
      </c>
      <c r="H12" t="str">
        <f>IFERROR(INDEX(コンディションランク!$B$1:$B$6,MATCH($G12,コンディションランク!$A$1:$A$6,0)),"")</f>
        <v/>
      </c>
      <c r="J12" t="s">
        <v>2924</v>
      </c>
      <c r="L12" s="9" t="s">
        <v>3031</v>
      </c>
      <c r="R12" t="s">
        <v>165</v>
      </c>
      <c r="S12" s="32" t="str">
        <f t="shared" si="2"/>
        <v>◇</v>
      </c>
      <c r="Y12" t="s">
        <v>3035</v>
      </c>
      <c r="Z12" t="s">
        <v>3020</v>
      </c>
      <c r="AA12" t="str">
        <f t="shared" si="3"/>
        <v>着丈：約cm　肩幅：約cm　身幅：約cm　ウエスト：約cm　袖丈：約cm</v>
      </c>
      <c r="AB12" t="str">
        <f t="shared" si="4"/>
        <v>着丈：約cm　肩幅：約cm　身幅：約cm　ウエスト：約cm　袖丈：約cm</v>
      </c>
      <c r="AC12" s="81" t="s">
        <v>158</v>
      </c>
      <c r="AE12" s="6"/>
    </row>
    <row r="13" spans="1:33" ht="14.25" customHeight="1">
      <c r="C13" t="str">
        <f t="shared" si="0"/>
        <v>◇ ワンピース サイズ レディース E</v>
      </c>
      <c r="D13">
        <f t="shared" si="1"/>
        <v>16.5</v>
      </c>
      <c r="E13" t="s">
        <v>71</v>
      </c>
      <c r="H13" t="str">
        <f>IFERROR(INDEX(コンディションランク!$B$1:$B$6,MATCH($G13,コンディションランク!$A$1:$A$6,0)),"")</f>
        <v/>
      </c>
      <c r="J13" t="s">
        <v>2924</v>
      </c>
      <c r="L13" s="9" t="s">
        <v>3031</v>
      </c>
      <c r="R13" t="s">
        <v>165</v>
      </c>
      <c r="S13" s="32" t="str">
        <f t="shared" si="2"/>
        <v>◇</v>
      </c>
      <c r="Y13" t="s">
        <v>3035</v>
      </c>
      <c r="Z13" t="s">
        <v>3020</v>
      </c>
      <c r="AA13" t="str">
        <f t="shared" si="3"/>
        <v>着丈：約cm　肩幅：約cm　身幅：約cm　ウエスト：約cm　袖丈：約cm</v>
      </c>
      <c r="AB13" t="str">
        <f t="shared" si="4"/>
        <v>着丈：約cm　肩幅：約cm　身幅：約cm　ウエスト：約cm　袖丈：約cm</v>
      </c>
      <c r="AC13" s="81" t="s">
        <v>158</v>
      </c>
      <c r="AE13" s="6"/>
    </row>
    <row r="14" spans="1:33" ht="14.25" customHeight="1">
      <c r="C14" t="str">
        <f t="shared" si="0"/>
        <v>◇ ワンピース サイズ レディース E</v>
      </c>
      <c r="D14">
        <f t="shared" si="1"/>
        <v>16.5</v>
      </c>
      <c r="E14" t="s">
        <v>71</v>
      </c>
      <c r="H14" t="str">
        <f>IFERROR(INDEX(コンディションランク!$B$1:$B$6,MATCH($G14,コンディションランク!$A$1:$A$6,0)),"")</f>
        <v/>
      </c>
      <c r="J14" t="s">
        <v>2924</v>
      </c>
      <c r="L14" s="9" t="s">
        <v>3031</v>
      </c>
      <c r="R14" t="s">
        <v>165</v>
      </c>
      <c r="S14" s="32" t="str">
        <f t="shared" si="2"/>
        <v>◇</v>
      </c>
      <c r="Y14" t="s">
        <v>3035</v>
      </c>
      <c r="Z14" t="s">
        <v>3020</v>
      </c>
      <c r="AA14" t="str">
        <f t="shared" si="3"/>
        <v>着丈：約cm　肩幅：約cm　身幅：約cm　ウエスト：約cm　袖丈：約cm</v>
      </c>
      <c r="AB14" t="str">
        <f t="shared" si="4"/>
        <v>着丈：約cm　肩幅：約cm　身幅：約cm　ウエスト：約cm　袖丈：約cm</v>
      </c>
      <c r="AC14" s="81" t="s">
        <v>158</v>
      </c>
      <c r="AE14" s="6"/>
    </row>
    <row r="15" spans="1:33" ht="14.25" customHeight="1">
      <c r="C15" t="str">
        <f t="shared" si="0"/>
        <v>◇ ワンピース サイズ レディース E</v>
      </c>
      <c r="D15">
        <f t="shared" si="1"/>
        <v>16.5</v>
      </c>
      <c r="E15" t="s">
        <v>71</v>
      </c>
      <c r="H15" t="str">
        <f>IFERROR(INDEX(コンディションランク!$B$1:$B$6,MATCH($G15,コンディションランク!$A$1:$A$6,0)),"")</f>
        <v/>
      </c>
      <c r="J15" t="s">
        <v>2924</v>
      </c>
      <c r="L15" s="9" t="s">
        <v>3031</v>
      </c>
      <c r="R15" t="s">
        <v>165</v>
      </c>
      <c r="S15" s="32" t="str">
        <f t="shared" si="2"/>
        <v>◇</v>
      </c>
      <c r="Y15" t="s">
        <v>3035</v>
      </c>
      <c r="Z15" t="s">
        <v>3020</v>
      </c>
      <c r="AA15" t="str">
        <f t="shared" si="3"/>
        <v>着丈：約cm　肩幅：約cm　身幅：約cm　ウエスト：約cm　袖丈：約cm</v>
      </c>
      <c r="AB15" t="str">
        <f t="shared" si="4"/>
        <v>着丈：約cm　肩幅：約cm　身幅：約cm　ウエスト：約cm　袖丈：約cm</v>
      </c>
      <c r="AC15" s="81" t="s">
        <v>158</v>
      </c>
      <c r="AE15" s="6"/>
    </row>
    <row r="16" spans="1:33" ht="14.25" customHeight="1">
      <c r="C16" t="str">
        <f t="shared" si="0"/>
        <v>◇ ワンピース サイズ レディース E</v>
      </c>
      <c r="D16">
        <f t="shared" si="1"/>
        <v>16.5</v>
      </c>
      <c r="E16" t="s">
        <v>71</v>
      </c>
      <c r="H16" t="str">
        <f>IFERROR(INDEX(コンディションランク!$B$1:$B$6,MATCH($G16,コンディションランク!$A$1:$A$6,0)),"")</f>
        <v/>
      </c>
      <c r="J16" t="s">
        <v>2924</v>
      </c>
      <c r="L16" s="9" t="s">
        <v>3031</v>
      </c>
      <c r="R16" t="s">
        <v>165</v>
      </c>
      <c r="S16" s="32" t="str">
        <f t="shared" si="2"/>
        <v>◇</v>
      </c>
      <c r="Y16" t="s">
        <v>3035</v>
      </c>
      <c r="Z16" t="s">
        <v>3020</v>
      </c>
      <c r="AA16" t="str">
        <f t="shared" si="3"/>
        <v>着丈：約cm　肩幅：約cm　身幅：約cm　ウエスト：約cm　袖丈：約cm</v>
      </c>
      <c r="AB16" t="str">
        <f t="shared" si="4"/>
        <v>着丈：約cm　肩幅：約cm　身幅：約cm　ウエスト：約cm　袖丈：約cm</v>
      </c>
      <c r="AC16" s="81" t="s">
        <v>158</v>
      </c>
      <c r="AE16" s="6"/>
    </row>
    <row r="17" spans="3:31" ht="14.25" customHeight="1">
      <c r="C17" t="str">
        <f t="shared" si="0"/>
        <v>◇ ワンピース サイズ レディース E</v>
      </c>
      <c r="D17">
        <f t="shared" si="1"/>
        <v>16.5</v>
      </c>
      <c r="E17" t="s">
        <v>71</v>
      </c>
      <c r="H17" t="str">
        <f>IFERROR(INDEX(コンディションランク!$B$1:$B$6,MATCH($G17,コンディションランク!$A$1:$A$6,0)),"")</f>
        <v/>
      </c>
      <c r="J17" t="s">
        <v>2924</v>
      </c>
      <c r="L17" s="9" t="s">
        <v>3031</v>
      </c>
      <c r="R17" t="s">
        <v>165</v>
      </c>
      <c r="S17" s="32" t="str">
        <f t="shared" si="2"/>
        <v>◇</v>
      </c>
      <c r="Y17" t="s">
        <v>3035</v>
      </c>
      <c r="Z17" t="s">
        <v>3020</v>
      </c>
      <c r="AA17" t="str">
        <f t="shared" si="3"/>
        <v>着丈：約cm　肩幅：約cm　身幅：約cm　ウエスト：約cm　袖丈：約cm</v>
      </c>
      <c r="AB17" t="str">
        <f t="shared" si="4"/>
        <v>着丈：約cm　肩幅：約cm　身幅：約cm　ウエスト：約cm　袖丈：約cm</v>
      </c>
      <c r="AC17" s="81" t="s">
        <v>158</v>
      </c>
      <c r="AE17" s="6"/>
    </row>
    <row r="18" spans="3:31" ht="14.25" customHeight="1">
      <c r="C18" t="str">
        <f t="shared" si="0"/>
        <v>◇ ワンピース サイズ レディース E</v>
      </c>
      <c r="D18">
        <f t="shared" si="1"/>
        <v>16.5</v>
      </c>
      <c r="E18" t="s">
        <v>71</v>
      </c>
      <c r="H18" t="str">
        <f>IFERROR(INDEX(コンディションランク!$B$1:$B$6,MATCH($G18,コンディションランク!$A$1:$A$6,0)),"")</f>
        <v/>
      </c>
      <c r="J18" t="s">
        <v>2924</v>
      </c>
      <c r="L18" s="9" t="s">
        <v>3031</v>
      </c>
      <c r="R18" t="s">
        <v>165</v>
      </c>
      <c r="S18" s="32" t="str">
        <f t="shared" si="2"/>
        <v>◇</v>
      </c>
      <c r="Y18" t="s">
        <v>3035</v>
      </c>
      <c r="Z18" t="s">
        <v>3020</v>
      </c>
      <c r="AA18" t="str">
        <f t="shared" si="3"/>
        <v>着丈：約cm　肩幅：約cm　身幅：約cm　ウエスト：約cm　袖丈：約cm</v>
      </c>
      <c r="AB18" t="str">
        <f t="shared" si="4"/>
        <v>着丈：約cm　肩幅：約cm　身幅：約cm　ウエスト：約cm　袖丈：約cm</v>
      </c>
      <c r="AC18" s="81" t="s">
        <v>158</v>
      </c>
      <c r="AE18" s="6"/>
    </row>
    <row r="19" spans="3:31" ht="14.25" customHeight="1">
      <c r="C19" t="str">
        <f t="shared" si="0"/>
        <v>◇ ワンピース サイズ レディース E</v>
      </c>
      <c r="D19">
        <f t="shared" si="1"/>
        <v>16.5</v>
      </c>
      <c r="E19" t="s">
        <v>71</v>
      </c>
      <c r="H19" t="str">
        <f>IFERROR(INDEX(コンディションランク!$B$1:$B$6,MATCH($G19,コンディションランク!$A$1:$A$6,0)),"")</f>
        <v/>
      </c>
      <c r="J19" t="s">
        <v>2924</v>
      </c>
      <c r="L19" s="9" t="s">
        <v>3031</v>
      </c>
      <c r="R19" t="s">
        <v>165</v>
      </c>
      <c r="S19" s="32" t="str">
        <f t="shared" si="2"/>
        <v>◇</v>
      </c>
      <c r="Y19" t="s">
        <v>3035</v>
      </c>
      <c r="Z19" t="s">
        <v>3020</v>
      </c>
      <c r="AA19" t="str">
        <f t="shared" si="3"/>
        <v>着丈：約cm　肩幅：約cm　身幅：約cm　ウエスト：約cm　袖丈：約cm</v>
      </c>
      <c r="AB19" t="str">
        <f t="shared" si="4"/>
        <v>着丈：約cm　肩幅：約cm　身幅：約cm　ウエスト：約cm　袖丈：約cm</v>
      </c>
      <c r="AC19" s="81" t="s">
        <v>158</v>
      </c>
      <c r="AE19" s="6"/>
    </row>
    <row r="20" spans="3:31" ht="14.25" customHeight="1">
      <c r="C20" t="str">
        <f t="shared" si="0"/>
        <v>◇ ワンピース サイズ レディース E</v>
      </c>
      <c r="D20">
        <f t="shared" si="1"/>
        <v>16.5</v>
      </c>
      <c r="E20" t="s">
        <v>71</v>
      </c>
      <c r="H20" t="str">
        <f>IFERROR(INDEX(コンディションランク!$B$1:$B$6,MATCH($G20,コンディションランク!$A$1:$A$6,0)),"")</f>
        <v/>
      </c>
      <c r="J20" t="s">
        <v>2924</v>
      </c>
      <c r="L20" s="9" t="s">
        <v>3031</v>
      </c>
      <c r="R20" t="s">
        <v>165</v>
      </c>
      <c r="S20" s="32" t="str">
        <f t="shared" si="2"/>
        <v>◇</v>
      </c>
      <c r="Y20" t="s">
        <v>3035</v>
      </c>
      <c r="Z20" t="s">
        <v>3020</v>
      </c>
      <c r="AA20" t="str">
        <f t="shared" si="3"/>
        <v>着丈：約cm　肩幅：約cm　身幅：約cm　ウエスト：約cm　袖丈：約cm</v>
      </c>
      <c r="AB20" t="str">
        <f t="shared" si="4"/>
        <v>着丈：約cm　肩幅：約cm　身幅：約cm　ウエスト：約cm　袖丈：約cm</v>
      </c>
      <c r="AC20" s="81" t="s">
        <v>158</v>
      </c>
      <c r="AE20" s="6"/>
    </row>
    <row r="21" spans="3:31" ht="14.25" customHeight="1">
      <c r="C21" t="str">
        <f t="shared" si="0"/>
        <v>◇ ワンピース サイズ レディース E</v>
      </c>
      <c r="D21">
        <f t="shared" si="1"/>
        <v>16.5</v>
      </c>
      <c r="E21" t="s">
        <v>71</v>
      </c>
      <c r="H21" t="str">
        <f>IFERROR(INDEX(コンディションランク!$B$1:$B$6,MATCH($G21,コンディションランク!$A$1:$A$6,0)),"")</f>
        <v/>
      </c>
      <c r="J21" t="s">
        <v>2924</v>
      </c>
      <c r="L21" s="9" t="s">
        <v>3031</v>
      </c>
      <c r="R21" t="s">
        <v>165</v>
      </c>
      <c r="S21" s="32" t="str">
        <f t="shared" si="2"/>
        <v>◇</v>
      </c>
      <c r="Y21" t="s">
        <v>3035</v>
      </c>
      <c r="Z21" t="s">
        <v>3020</v>
      </c>
      <c r="AA21" t="str">
        <f t="shared" si="3"/>
        <v>着丈：約cm　肩幅：約cm　身幅：約cm　ウエスト：約cm　袖丈：約cm</v>
      </c>
      <c r="AB21" t="str">
        <f t="shared" si="4"/>
        <v>着丈：約cm　肩幅：約cm　身幅：約cm　ウエスト：約cm　袖丈：約cm</v>
      </c>
      <c r="AC21" s="81" t="s">
        <v>158</v>
      </c>
      <c r="AE21" s="6"/>
    </row>
    <row r="22" spans="3:31" ht="14.25" customHeight="1">
      <c r="C22" t="str">
        <f t="shared" si="0"/>
        <v>◇ ワンピース サイズ レディース E</v>
      </c>
      <c r="D22">
        <f t="shared" si="1"/>
        <v>16.5</v>
      </c>
      <c r="E22" t="s">
        <v>71</v>
      </c>
      <c r="H22" t="str">
        <f>IFERROR(INDEX(コンディションランク!$B$1:$B$6,MATCH($G22,コンディションランク!$A$1:$A$6,0)),"")</f>
        <v/>
      </c>
      <c r="J22" t="s">
        <v>2924</v>
      </c>
      <c r="L22" s="9" t="s">
        <v>3031</v>
      </c>
      <c r="R22" t="s">
        <v>165</v>
      </c>
      <c r="S22" s="32" t="str">
        <f t="shared" si="2"/>
        <v>◇</v>
      </c>
      <c r="Y22" t="s">
        <v>3035</v>
      </c>
      <c r="Z22" t="s">
        <v>3020</v>
      </c>
      <c r="AA22" t="str">
        <f t="shared" si="3"/>
        <v>着丈：約cm　肩幅：約cm　身幅：約cm　ウエスト：約cm　袖丈：約cm</v>
      </c>
      <c r="AB22" t="str">
        <f t="shared" si="4"/>
        <v>着丈：約cm　肩幅：約cm　身幅：約cm　ウエスト：約cm　袖丈：約cm</v>
      </c>
      <c r="AC22" s="81" t="s">
        <v>158</v>
      </c>
      <c r="AE22" s="6"/>
    </row>
    <row r="23" spans="3:31" ht="14.25" customHeight="1">
      <c r="C23" t="str">
        <f t="shared" si="0"/>
        <v>◇ ワンピース サイズ レディース E</v>
      </c>
      <c r="D23">
        <f t="shared" si="1"/>
        <v>16.5</v>
      </c>
      <c r="E23" t="s">
        <v>71</v>
      </c>
      <c r="H23" t="str">
        <f>IFERROR(INDEX(コンディションランク!$B$1:$B$6,MATCH($G23,コンディションランク!$A$1:$A$6,0)),"")</f>
        <v/>
      </c>
      <c r="J23" t="s">
        <v>2924</v>
      </c>
      <c r="L23" s="9" t="s">
        <v>3031</v>
      </c>
      <c r="R23" t="s">
        <v>165</v>
      </c>
      <c r="S23" s="32" t="str">
        <f t="shared" si="2"/>
        <v>◇</v>
      </c>
      <c r="Y23" t="s">
        <v>3035</v>
      </c>
      <c r="Z23" t="s">
        <v>3020</v>
      </c>
      <c r="AA23" t="str">
        <f t="shared" si="3"/>
        <v>着丈：約cm　肩幅：約cm　身幅：約cm　ウエスト：約cm　袖丈：約cm</v>
      </c>
      <c r="AB23" t="str">
        <f t="shared" si="4"/>
        <v>着丈：約cm　肩幅：約cm　身幅：約cm　ウエスト：約cm　袖丈：約cm</v>
      </c>
      <c r="AC23" s="81" t="s">
        <v>158</v>
      </c>
      <c r="AE23" s="6"/>
    </row>
    <row r="24" spans="3:31" ht="14.25" customHeight="1">
      <c r="C24" t="str">
        <f t="shared" si="0"/>
        <v>◇ ワンピース サイズ レディース E</v>
      </c>
      <c r="D24">
        <f t="shared" si="1"/>
        <v>16.5</v>
      </c>
      <c r="E24" t="s">
        <v>71</v>
      </c>
      <c r="H24" t="str">
        <f>IFERROR(INDEX(コンディションランク!$B$1:$B$6,MATCH($G24,コンディションランク!$A$1:$A$6,0)),"")</f>
        <v/>
      </c>
      <c r="J24" t="s">
        <v>2924</v>
      </c>
      <c r="L24" s="9" t="s">
        <v>3031</v>
      </c>
      <c r="R24" t="s">
        <v>165</v>
      </c>
      <c r="S24" s="32" t="str">
        <f t="shared" si="2"/>
        <v>◇</v>
      </c>
      <c r="Y24" t="s">
        <v>3035</v>
      </c>
      <c r="Z24" t="s">
        <v>3020</v>
      </c>
      <c r="AA24" t="str">
        <f t="shared" si="3"/>
        <v>着丈：約cm　肩幅：約cm　身幅：約cm　ウエスト：約cm　袖丈：約cm</v>
      </c>
      <c r="AB24" t="str">
        <f t="shared" si="4"/>
        <v>着丈：約cm　肩幅：約cm　身幅：約cm　ウエスト：約cm　袖丈：約cm</v>
      </c>
      <c r="AC24" s="81" t="s">
        <v>158</v>
      </c>
      <c r="AE24" s="6"/>
    </row>
    <row r="25" spans="3:31" ht="14.25" customHeight="1">
      <c r="C25" t="str">
        <f t="shared" si="0"/>
        <v>◇ ワンピース サイズ レディース E</v>
      </c>
      <c r="D25">
        <f t="shared" si="1"/>
        <v>16.5</v>
      </c>
      <c r="E25" t="s">
        <v>71</v>
      </c>
      <c r="H25" t="str">
        <f>IFERROR(INDEX(コンディションランク!$B$1:$B$6,MATCH($G25,コンディションランク!$A$1:$A$6,0)),"")</f>
        <v/>
      </c>
      <c r="J25" t="s">
        <v>2924</v>
      </c>
      <c r="L25" s="9" t="s">
        <v>3031</v>
      </c>
      <c r="R25" t="s">
        <v>165</v>
      </c>
      <c r="S25" s="32" t="str">
        <f t="shared" si="2"/>
        <v>◇</v>
      </c>
      <c r="Y25" t="s">
        <v>3035</v>
      </c>
      <c r="Z25" t="s">
        <v>3020</v>
      </c>
      <c r="AA25" t="str">
        <f t="shared" si="3"/>
        <v>着丈：約cm　肩幅：約cm　身幅：約cm　ウエスト：約cm　袖丈：約cm</v>
      </c>
      <c r="AB25" t="str">
        <f t="shared" si="4"/>
        <v>着丈：約cm　肩幅：約cm　身幅：約cm　ウエスト：約cm　袖丈：約cm</v>
      </c>
      <c r="AC25" s="81" t="s">
        <v>158</v>
      </c>
      <c r="AE25" s="6"/>
    </row>
    <row r="26" spans="3:31" ht="14.25" customHeight="1">
      <c r="C26" t="str">
        <f t="shared" si="0"/>
        <v>◇ ワンピース サイズ レディース E</v>
      </c>
      <c r="D26">
        <f t="shared" si="1"/>
        <v>16.5</v>
      </c>
      <c r="E26" t="s">
        <v>71</v>
      </c>
      <c r="H26" t="str">
        <f>IFERROR(INDEX(コンディションランク!$B$1:$B$6,MATCH($G26,コンディションランク!$A$1:$A$6,0)),"")</f>
        <v/>
      </c>
      <c r="J26" t="s">
        <v>2924</v>
      </c>
      <c r="L26" s="9" t="s">
        <v>3031</v>
      </c>
      <c r="R26" t="s">
        <v>165</v>
      </c>
      <c r="S26" s="32" t="str">
        <f t="shared" si="2"/>
        <v>◇</v>
      </c>
      <c r="Y26" t="s">
        <v>3035</v>
      </c>
      <c r="Z26" t="s">
        <v>3020</v>
      </c>
      <c r="AA26" t="str">
        <f t="shared" si="3"/>
        <v>着丈：約cm　肩幅：約cm　身幅：約cm　ウエスト：約cm　袖丈：約cm</v>
      </c>
      <c r="AB26" t="str">
        <f t="shared" si="4"/>
        <v>着丈：約cm　肩幅：約cm　身幅：約cm　ウエスト：約cm　袖丈：約cm</v>
      </c>
      <c r="AC26" s="81" t="s">
        <v>158</v>
      </c>
      <c r="AE26" s="6"/>
    </row>
    <row r="27" spans="3:31" ht="14.25" customHeight="1">
      <c r="C27" t="str">
        <f t="shared" si="0"/>
        <v>◇ ワンピース サイズ レディース E</v>
      </c>
      <c r="D27">
        <f t="shared" si="1"/>
        <v>16.5</v>
      </c>
      <c r="E27" t="s">
        <v>71</v>
      </c>
      <c r="H27" t="str">
        <f>IFERROR(INDEX(コンディションランク!$B$1:$B$6,MATCH($G27,コンディションランク!$A$1:$A$6,0)),"")</f>
        <v/>
      </c>
      <c r="J27" t="s">
        <v>2924</v>
      </c>
      <c r="L27" s="9" t="s">
        <v>3031</v>
      </c>
      <c r="R27" t="s">
        <v>165</v>
      </c>
      <c r="S27" s="32" t="str">
        <f t="shared" si="2"/>
        <v>◇</v>
      </c>
      <c r="Y27" t="s">
        <v>3035</v>
      </c>
      <c r="Z27" t="s">
        <v>3020</v>
      </c>
      <c r="AA27" t="str">
        <f t="shared" si="3"/>
        <v>着丈：約cm　肩幅：約cm　身幅：約cm　ウエスト：約cm　袖丈：約cm</v>
      </c>
      <c r="AB27" t="str">
        <f t="shared" si="4"/>
        <v>着丈：約cm　肩幅：約cm　身幅：約cm　ウエスト：約cm　袖丈：約cm</v>
      </c>
      <c r="AC27" s="81" t="s">
        <v>158</v>
      </c>
      <c r="AE27" s="6"/>
    </row>
    <row r="28" spans="3:31" ht="14.25" customHeight="1">
      <c r="C28" t="str">
        <f t="shared" si="0"/>
        <v>◇ ワンピース サイズ レディース E</v>
      </c>
      <c r="D28">
        <f t="shared" si="1"/>
        <v>16.5</v>
      </c>
      <c r="E28" t="s">
        <v>71</v>
      </c>
      <c r="H28" t="str">
        <f>IFERROR(INDEX(コンディションランク!$B$1:$B$6,MATCH($G28,コンディションランク!$A$1:$A$6,0)),"")</f>
        <v/>
      </c>
      <c r="J28" t="s">
        <v>2924</v>
      </c>
      <c r="L28" s="9" t="s">
        <v>3031</v>
      </c>
      <c r="R28" t="s">
        <v>165</v>
      </c>
      <c r="S28" s="32" t="str">
        <f t="shared" si="2"/>
        <v>◇</v>
      </c>
      <c r="Y28" t="s">
        <v>3035</v>
      </c>
      <c r="Z28" t="s">
        <v>3020</v>
      </c>
      <c r="AA28" t="str">
        <f t="shared" si="3"/>
        <v>着丈：約cm　肩幅：約cm　身幅：約cm　ウエスト：約cm　袖丈：約cm</v>
      </c>
      <c r="AB28" t="str">
        <f t="shared" si="4"/>
        <v>着丈：約cm　肩幅：約cm　身幅：約cm　ウエスト：約cm　袖丈：約cm</v>
      </c>
      <c r="AC28" s="81" t="s">
        <v>158</v>
      </c>
      <c r="AE28" s="6"/>
    </row>
    <row r="29" spans="3:31" ht="14.25" customHeight="1">
      <c r="C29" t="str">
        <f t="shared" si="0"/>
        <v>◇ ワンピース サイズ レディース E</v>
      </c>
      <c r="D29">
        <f t="shared" si="1"/>
        <v>16.5</v>
      </c>
      <c r="E29" t="s">
        <v>71</v>
      </c>
      <c r="H29" t="str">
        <f>IFERROR(INDEX(コンディションランク!$B$1:$B$6,MATCH($G29,コンディションランク!$A$1:$A$6,0)),"")</f>
        <v/>
      </c>
      <c r="J29" t="s">
        <v>2924</v>
      </c>
      <c r="L29" s="9" t="s">
        <v>3031</v>
      </c>
      <c r="R29" t="s">
        <v>165</v>
      </c>
      <c r="S29" s="32" t="str">
        <f t="shared" si="2"/>
        <v>◇</v>
      </c>
      <c r="Y29" t="s">
        <v>3035</v>
      </c>
      <c r="Z29" t="s">
        <v>3020</v>
      </c>
      <c r="AA29" t="str">
        <f t="shared" si="3"/>
        <v>着丈：約cm　肩幅：約cm　身幅：約cm　ウエスト：約cm　袖丈：約cm</v>
      </c>
      <c r="AB29" t="str">
        <f t="shared" si="4"/>
        <v>着丈：約cm　肩幅：約cm　身幅：約cm　ウエスト：約cm　袖丈：約cm</v>
      </c>
      <c r="AC29" s="81" t="s">
        <v>158</v>
      </c>
      <c r="AE29" s="6"/>
    </row>
    <row r="30" spans="3:31" ht="14.25" customHeight="1">
      <c r="C30" t="str">
        <f t="shared" si="0"/>
        <v>◇ ワンピース サイズ レディース E</v>
      </c>
      <c r="D30">
        <f t="shared" si="1"/>
        <v>16.5</v>
      </c>
      <c r="E30" t="s">
        <v>71</v>
      </c>
      <c r="H30" t="str">
        <f>IFERROR(INDEX(コンディションランク!$B$1:$B$6,MATCH($G30,コンディションランク!$A$1:$A$6,0)),"")</f>
        <v/>
      </c>
      <c r="J30" t="s">
        <v>2924</v>
      </c>
      <c r="L30" s="9" t="s">
        <v>3031</v>
      </c>
      <c r="R30" t="s">
        <v>165</v>
      </c>
      <c r="S30" s="32" t="str">
        <f t="shared" si="2"/>
        <v>◇</v>
      </c>
      <c r="Y30" t="s">
        <v>3035</v>
      </c>
      <c r="Z30" t="s">
        <v>3020</v>
      </c>
      <c r="AA30" t="str">
        <f t="shared" si="3"/>
        <v>着丈：約cm　肩幅：約cm　身幅：約cm　ウエスト：約cm　袖丈：約cm</v>
      </c>
      <c r="AB30" t="str">
        <f t="shared" si="4"/>
        <v>着丈：約cm　肩幅：約cm　身幅：約cm　ウエスト：約cm　袖丈：約cm</v>
      </c>
      <c r="AC30" s="81" t="s">
        <v>158</v>
      </c>
      <c r="AE30" s="6"/>
    </row>
    <row r="31" spans="3:31" ht="14.25" customHeight="1">
      <c r="C31" t="str">
        <f t="shared" si="0"/>
        <v>◇ ワンピース サイズ レディース E</v>
      </c>
      <c r="D31">
        <f t="shared" si="1"/>
        <v>16.5</v>
      </c>
      <c r="E31" t="s">
        <v>71</v>
      </c>
      <c r="H31" t="str">
        <f>IFERROR(INDEX(コンディションランク!$B$1:$B$6,MATCH($G31,コンディションランク!$A$1:$A$6,0)),"")</f>
        <v/>
      </c>
      <c r="J31" t="s">
        <v>2924</v>
      </c>
      <c r="L31" s="9" t="s">
        <v>3031</v>
      </c>
      <c r="R31" t="s">
        <v>165</v>
      </c>
      <c r="S31" s="32" t="str">
        <f t="shared" si="2"/>
        <v>◇</v>
      </c>
      <c r="Y31" t="s">
        <v>3035</v>
      </c>
      <c r="Z31" t="s">
        <v>3020</v>
      </c>
      <c r="AA31" t="str">
        <f t="shared" si="3"/>
        <v>着丈：約cm　肩幅：約cm　身幅：約cm　ウエスト：約cm　袖丈：約cm</v>
      </c>
      <c r="AB31" t="str">
        <f t="shared" si="4"/>
        <v>着丈：約cm　肩幅：約cm　身幅：約cm　ウエスト：約cm　袖丈：約cm</v>
      </c>
      <c r="AC31" s="81" t="s">
        <v>158</v>
      </c>
      <c r="AE31" s="6"/>
    </row>
    <row r="32" spans="3:31" ht="14.25" customHeight="1">
      <c r="C32" t="str">
        <f t="shared" si="0"/>
        <v>◇ ワンピース サイズ レディース E</v>
      </c>
      <c r="D32">
        <f t="shared" si="1"/>
        <v>16.5</v>
      </c>
      <c r="E32" t="s">
        <v>71</v>
      </c>
      <c r="H32" t="str">
        <f>IFERROR(INDEX(コンディションランク!$B$1:$B$6,MATCH($G32,コンディションランク!$A$1:$A$6,0)),"")</f>
        <v/>
      </c>
      <c r="J32" t="s">
        <v>2924</v>
      </c>
      <c r="L32" s="9" t="s">
        <v>3031</v>
      </c>
      <c r="R32" t="s">
        <v>165</v>
      </c>
      <c r="S32" s="32" t="str">
        <f t="shared" si="2"/>
        <v>◇</v>
      </c>
      <c r="Y32" t="s">
        <v>3035</v>
      </c>
      <c r="Z32" t="s">
        <v>3020</v>
      </c>
      <c r="AA32" t="str">
        <f t="shared" si="3"/>
        <v>着丈：約cm　肩幅：約cm　身幅：約cm　ウエスト：約cm　袖丈：約cm</v>
      </c>
      <c r="AB32" t="str">
        <f t="shared" si="4"/>
        <v>着丈：約cm　肩幅：約cm　身幅：約cm　ウエスト：約cm　袖丈：約cm</v>
      </c>
      <c r="AC32" s="81" t="s">
        <v>158</v>
      </c>
      <c r="AE32" s="6"/>
    </row>
    <row r="33" spans="3:31" ht="14.25" customHeight="1">
      <c r="C33" t="str">
        <f t="shared" si="0"/>
        <v>◇ ワンピース サイズ レディース E</v>
      </c>
      <c r="D33">
        <f t="shared" si="1"/>
        <v>16.5</v>
      </c>
      <c r="E33" t="s">
        <v>71</v>
      </c>
      <c r="H33" t="str">
        <f>IFERROR(INDEX(コンディションランク!$B$1:$B$6,MATCH($G33,コンディションランク!$A$1:$A$6,0)),"")</f>
        <v/>
      </c>
      <c r="J33" t="s">
        <v>2924</v>
      </c>
      <c r="L33" s="9" t="s">
        <v>3031</v>
      </c>
      <c r="R33" t="s">
        <v>165</v>
      </c>
      <c r="S33" s="32" t="str">
        <f t="shared" si="2"/>
        <v>◇</v>
      </c>
      <c r="Y33" t="s">
        <v>3035</v>
      </c>
      <c r="Z33" t="s">
        <v>3020</v>
      </c>
      <c r="AA33" t="str">
        <f t="shared" si="3"/>
        <v>着丈：約cm　肩幅：約cm　身幅：約cm　ウエスト：約cm　袖丈：約cm</v>
      </c>
      <c r="AB33" t="str">
        <f t="shared" si="4"/>
        <v>着丈：約cm　肩幅：約cm　身幅：約cm　ウエスト：約cm　袖丈：約cm</v>
      </c>
      <c r="AC33" s="81" t="s">
        <v>158</v>
      </c>
      <c r="AE33" s="6"/>
    </row>
    <row r="34" spans="3:31" ht="14.25" customHeight="1">
      <c r="C34" t="str">
        <f t="shared" ref="C34:C51" si="5">TRIM(S34&amp;" "&amp;T34&amp;" "&amp;U34&amp;" "&amp;V34&amp;" "&amp;W34&amp;" "&amp;X34&amp;" "&amp;Y34&amp;" "&amp;L34&amp;" "&amp;K34&amp;" "&amp;Z34&amp;EX&amp;" "&amp;B34)</f>
        <v>◇ ワンピース サイズ レディース E</v>
      </c>
      <c r="D34">
        <f t="shared" si="1"/>
        <v>16.5</v>
      </c>
      <c r="E34" t="s">
        <v>71</v>
      </c>
      <c r="H34" t="str">
        <f>IFERROR(INDEX(コンディションランク!$B$1:$B$6,MATCH($G34,コンディションランク!$A$1:$A$6,0)),"")</f>
        <v/>
      </c>
      <c r="J34" t="s">
        <v>2924</v>
      </c>
      <c r="L34" s="9" t="s">
        <v>3031</v>
      </c>
      <c r="R34" t="s">
        <v>165</v>
      </c>
      <c r="S34" s="32" t="str">
        <f t="shared" ref="S34:S51" si="6">IFERROR(VLOOKUP(R34,梱包サイズ表,2,0),"")</f>
        <v>◇</v>
      </c>
      <c r="Y34" t="s">
        <v>3035</v>
      </c>
      <c r="Z34" t="s">
        <v>3020</v>
      </c>
      <c r="AA34" t="str">
        <f t="shared" si="3"/>
        <v>着丈：約cm　肩幅：約cm　身幅：約cm　ウエスト：約cm　袖丈：約cm</v>
      </c>
      <c r="AB34" t="str">
        <f t="shared" si="4"/>
        <v>着丈：約cm　肩幅：約cm　身幅：約cm　ウエスト：約cm　袖丈：約cm</v>
      </c>
      <c r="AC34" s="81" t="s">
        <v>158</v>
      </c>
      <c r="AE34" s="6"/>
    </row>
    <row r="35" spans="3:31" ht="14.25" customHeight="1">
      <c r="C35" t="str">
        <f t="shared" si="5"/>
        <v>◇ ワンピース サイズ レディース E</v>
      </c>
      <c r="D35">
        <f t="shared" si="1"/>
        <v>16.5</v>
      </c>
      <c r="E35" t="s">
        <v>71</v>
      </c>
      <c r="H35" t="str">
        <f>IFERROR(INDEX(コンディションランク!$B$1:$B$6,MATCH($G35,コンディションランク!$A$1:$A$6,0)),"")</f>
        <v/>
      </c>
      <c r="J35" t="s">
        <v>2924</v>
      </c>
      <c r="L35" s="9" t="s">
        <v>3031</v>
      </c>
      <c r="R35" t="s">
        <v>165</v>
      </c>
      <c r="S35" s="32" t="str">
        <f t="shared" si="6"/>
        <v>◇</v>
      </c>
      <c r="Y35" t="s">
        <v>3035</v>
      </c>
      <c r="Z35" t="s">
        <v>3020</v>
      </c>
      <c r="AA35" t="str">
        <f t="shared" si="3"/>
        <v>着丈：約cm　肩幅：約cm　身幅：約cm　ウエスト：約cm　袖丈：約cm</v>
      </c>
      <c r="AB35" t="str">
        <f t="shared" si="4"/>
        <v>着丈：約cm　肩幅：約cm　身幅：約cm　ウエスト：約cm　袖丈：約cm</v>
      </c>
      <c r="AC35" s="81" t="s">
        <v>158</v>
      </c>
      <c r="AE35" s="6"/>
    </row>
    <row r="36" spans="3:31" ht="14.25" customHeight="1">
      <c r="C36" t="str">
        <f t="shared" si="5"/>
        <v>◇ ワンピース サイズ レディース E</v>
      </c>
      <c r="D36">
        <f t="shared" si="1"/>
        <v>16.5</v>
      </c>
      <c r="E36" t="s">
        <v>71</v>
      </c>
      <c r="H36" t="str">
        <f>IFERROR(INDEX(コンディションランク!$B$1:$B$6,MATCH($G36,コンディションランク!$A$1:$A$6,0)),"")</f>
        <v/>
      </c>
      <c r="J36" t="s">
        <v>2924</v>
      </c>
      <c r="L36" s="9" t="s">
        <v>3031</v>
      </c>
      <c r="R36" t="s">
        <v>165</v>
      </c>
      <c r="S36" s="32" t="str">
        <f t="shared" si="6"/>
        <v>◇</v>
      </c>
      <c r="Y36" t="s">
        <v>3035</v>
      </c>
      <c r="Z36" t="s">
        <v>3020</v>
      </c>
      <c r="AA36" t="str">
        <f t="shared" si="3"/>
        <v>着丈：約cm　肩幅：約cm　身幅：約cm　ウエスト：約cm　袖丈：約cm</v>
      </c>
      <c r="AB36" t="str">
        <f t="shared" si="4"/>
        <v>着丈：約cm　肩幅：約cm　身幅：約cm　ウエスト：約cm　袖丈：約cm</v>
      </c>
      <c r="AC36" s="81" t="s">
        <v>158</v>
      </c>
      <c r="AE36" s="6"/>
    </row>
    <row r="37" spans="3:31" ht="14.25" customHeight="1">
      <c r="C37" t="str">
        <f t="shared" si="5"/>
        <v>◇ ワンピース サイズ レディース E</v>
      </c>
      <c r="D37">
        <f t="shared" si="1"/>
        <v>16.5</v>
      </c>
      <c r="E37" t="s">
        <v>71</v>
      </c>
      <c r="H37" t="str">
        <f>IFERROR(INDEX(コンディションランク!$B$1:$B$6,MATCH($G37,コンディションランク!$A$1:$A$6,0)),"")</f>
        <v/>
      </c>
      <c r="J37" t="s">
        <v>2924</v>
      </c>
      <c r="L37" s="9" t="s">
        <v>3031</v>
      </c>
      <c r="R37" t="s">
        <v>165</v>
      </c>
      <c r="S37" s="32" t="str">
        <f t="shared" si="6"/>
        <v>◇</v>
      </c>
      <c r="Y37" t="s">
        <v>3035</v>
      </c>
      <c r="Z37" t="s">
        <v>3020</v>
      </c>
      <c r="AA37" t="str">
        <f t="shared" si="3"/>
        <v>着丈：約cm　肩幅：約cm　身幅：約cm　ウエスト：約cm　袖丈：約cm</v>
      </c>
      <c r="AB37" t="str">
        <f t="shared" si="4"/>
        <v>着丈：約cm　肩幅：約cm　身幅：約cm　ウエスト：約cm　袖丈：約cm</v>
      </c>
      <c r="AC37" s="81" t="s">
        <v>158</v>
      </c>
      <c r="AE37" s="6"/>
    </row>
    <row r="38" spans="3:31" ht="14.25" customHeight="1">
      <c r="C38" t="str">
        <f t="shared" si="5"/>
        <v>◇ ワンピース サイズ レディース E</v>
      </c>
      <c r="D38">
        <f t="shared" si="1"/>
        <v>16.5</v>
      </c>
      <c r="E38" t="s">
        <v>71</v>
      </c>
      <c r="H38" t="str">
        <f>IFERROR(INDEX(コンディションランク!$B$1:$B$6,MATCH($G38,コンディションランク!$A$1:$A$6,0)),"")</f>
        <v/>
      </c>
      <c r="J38" t="s">
        <v>2924</v>
      </c>
      <c r="L38" s="9" t="s">
        <v>3031</v>
      </c>
      <c r="R38" t="s">
        <v>165</v>
      </c>
      <c r="S38" s="32" t="str">
        <f t="shared" si="6"/>
        <v>◇</v>
      </c>
      <c r="Y38" t="s">
        <v>3035</v>
      </c>
      <c r="Z38" t="s">
        <v>3020</v>
      </c>
      <c r="AA38" t="str">
        <f t="shared" si="3"/>
        <v>着丈：約cm　肩幅：約cm　身幅：約cm　ウエスト：約cm　袖丈：約cm</v>
      </c>
      <c r="AB38" t="str">
        <f t="shared" si="4"/>
        <v>着丈：約cm　肩幅：約cm　身幅：約cm　ウエスト：約cm　袖丈：約cm</v>
      </c>
      <c r="AC38" s="81" t="s">
        <v>158</v>
      </c>
      <c r="AE38" s="6"/>
    </row>
    <row r="39" spans="3:31" ht="14.25" customHeight="1">
      <c r="C39" t="str">
        <f t="shared" si="5"/>
        <v>◇ ワンピース サイズ レディース E</v>
      </c>
      <c r="D39">
        <f t="shared" si="1"/>
        <v>16.5</v>
      </c>
      <c r="E39" t="s">
        <v>71</v>
      </c>
      <c r="H39" t="str">
        <f>IFERROR(INDEX(コンディションランク!$B$1:$B$6,MATCH($G39,コンディションランク!$A$1:$A$6,0)),"")</f>
        <v/>
      </c>
      <c r="J39" t="s">
        <v>2924</v>
      </c>
      <c r="L39" s="9" t="s">
        <v>3031</v>
      </c>
      <c r="R39" t="s">
        <v>165</v>
      </c>
      <c r="S39" s="32" t="str">
        <f t="shared" si="6"/>
        <v>◇</v>
      </c>
      <c r="Y39" t="s">
        <v>3035</v>
      </c>
      <c r="Z39" t="s">
        <v>3020</v>
      </c>
      <c r="AA39" t="str">
        <f t="shared" si="3"/>
        <v>着丈：約cm　肩幅：約cm　身幅：約cm　ウエスト：約cm　袖丈：約cm</v>
      </c>
      <c r="AB39" t="str">
        <f t="shared" si="4"/>
        <v>着丈：約cm　肩幅：約cm　身幅：約cm　ウエスト：約cm　袖丈：約cm</v>
      </c>
      <c r="AC39" s="81" t="s">
        <v>158</v>
      </c>
      <c r="AE39" s="6"/>
    </row>
    <row r="40" spans="3:31" ht="14.25" customHeight="1">
      <c r="C40" t="str">
        <f t="shared" si="5"/>
        <v>◇ ワンピース サイズ レディース E</v>
      </c>
      <c r="D40">
        <f t="shared" si="1"/>
        <v>16.5</v>
      </c>
      <c r="E40" t="s">
        <v>71</v>
      </c>
      <c r="H40" t="str">
        <f>IFERROR(INDEX(コンディションランク!$B$1:$B$6,MATCH($G40,コンディションランク!$A$1:$A$6,0)),"")</f>
        <v/>
      </c>
      <c r="J40" t="s">
        <v>2924</v>
      </c>
      <c r="L40" s="9" t="s">
        <v>3031</v>
      </c>
      <c r="R40" t="s">
        <v>165</v>
      </c>
      <c r="S40" s="32" t="str">
        <f t="shared" si="6"/>
        <v>◇</v>
      </c>
      <c r="Y40" t="s">
        <v>3035</v>
      </c>
      <c r="Z40" t="s">
        <v>3020</v>
      </c>
      <c r="AA40" t="str">
        <f t="shared" si="3"/>
        <v>着丈：約cm　肩幅：約cm　身幅：約cm　ウエスト：約cm　袖丈：約cm</v>
      </c>
      <c r="AB40" t="str">
        <f t="shared" si="4"/>
        <v>着丈：約cm　肩幅：約cm　身幅：約cm　ウエスト：約cm　袖丈：約cm</v>
      </c>
      <c r="AC40" s="81" t="s">
        <v>158</v>
      </c>
      <c r="AE40" s="6"/>
    </row>
    <row r="41" spans="3:31" ht="14.25" customHeight="1">
      <c r="C41" t="str">
        <f t="shared" si="5"/>
        <v>◇ ワンピース サイズ レディース E</v>
      </c>
      <c r="D41">
        <f t="shared" si="1"/>
        <v>16.5</v>
      </c>
      <c r="E41" t="s">
        <v>71</v>
      </c>
      <c r="H41" t="str">
        <f>IFERROR(INDEX(コンディションランク!$B$1:$B$6,MATCH($G41,コンディションランク!$A$1:$A$6,0)),"")</f>
        <v/>
      </c>
      <c r="J41" t="s">
        <v>2924</v>
      </c>
      <c r="L41" s="9" t="s">
        <v>3031</v>
      </c>
      <c r="R41" t="s">
        <v>165</v>
      </c>
      <c r="S41" s="32" t="str">
        <f t="shared" si="6"/>
        <v>◇</v>
      </c>
      <c r="Y41" t="s">
        <v>3035</v>
      </c>
      <c r="Z41" t="s">
        <v>3020</v>
      </c>
      <c r="AA41" t="str">
        <f t="shared" si="3"/>
        <v>着丈：約cm　肩幅：約cm　身幅：約cm　ウエスト：約cm　袖丈：約cm</v>
      </c>
      <c r="AB41" t="str">
        <f t="shared" si="4"/>
        <v>着丈：約cm　肩幅：約cm　身幅：約cm　ウエスト：約cm　袖丈：約cm</v>
      </c>
      <c r="AC41" s="81" t="s">
        <v>158</v>
      </c>
      <c r="AE41" s="6"/>
    </row>
    <row r="42" spans="3:31" ht="14.25" customHeight="1">
      <c r="C42" t="str">
        <f t="shared" si="5"/>
        <v>◇ ワンピース サイズ レディース E</v>
      </c>
      <c r="D42">
        <f t="shared" si="1"/>
        <v>16.5</v>
      </c>
      <c r="E42" t="s">
        <v>71</v>
      </c>
      <c r="H42" t="str">
        <f>IFERROR(INDEX(コンディションランク!$B$1:$B$6,MATCH($G42,コンディションランク!$A$1:$A$6,0)),"")</f>
        <v/>
      </c>
      <c r="J42" t="s">
        <v>2924</v>
      </c>
      <c r="L42" s="9" t="s">
        <v>3031</v>
      </c>
      <c r="R42" t="s">
        <v>165</v>
      </c>
      <c r="S42" s="32" t="str">
        <f t="shared" si="6"/>
        <v>◇</v>
      </c>
      <c r="Y42" t="s">
        <v>3035</v>
      </c>
      <c r="Z42" t="s">
        <v>3020</v>
      </c>
      <c r="AA42" t="str">
        <f t="shared" si="3"/>
        <v>着丈：約cm　肩幅：約cm　身幅：約cm　ウエスト：約cm　袖丈：約cm</v>
      </c>
      <c r="AB42" t="str">
        <f t="shared" si="4"/>
        <v>着丈：約cm　肩幅：約cm　身幅：約cm　ウエスト：約cm　袖丈：約cm</v>
      </c>
      <c r="AC42" s="81" t="s">
        <v>158</v>
      </c>
      <c r="AE42" s="6"/>
    </row>
    <row r="43" spans="3:31" ht="14.25" customHeight="1">
      <c r="C43" t="str">
        <f t="shared" si="5"/>
        <v>◇ ワンピース サイズ レディース E</v>
      </c>
      <c r="D43">
        <f t="shared" si="1"/>
        <v>16.5</v>
      </c>
      <c r="E43" t="s">
        <v>71</v>
      </c>
      <c r="H43" t="str">
        <f>IFERROR(INDEX(コンディションランク!$B$1:$B$6,MATCH($G43,コンディションランク!$A$1:$A$6,0)),"")</f>
        <v/>
      </c>
      <c r="J43" t="s">
        <v>2924</v>
      </c>
      <c r="L43" s="9" t="s">
        <v>3031</v>
      </c>
      <c r="R43" t="s">
        <v>165</v>
      </c>
      <c r="S43" s="32" t="str">
        <f t="shared" si="6"/>
        <v>◇</v>
      </c>
      <c r="Y43" t="s">
        <v>3035</v>
      </c>
      <c r="Z43" t="s">
        <v>3020</v>
      </c>
      <c r="AA43" t="str">
        <f t="shared" si="3"/>
        <v>着丈：約cm　肩幅：約cm　身幅：約cm　ウエスト：約cm　袖丈：約cm</v>
      </c>
      <c r="AB43" t="str">
        <f t="shared" si="4"/>
        <v>着丈：約cm　肩幅：約cm　身幅：約cm　ウエスト：約cm　袖丈：約cm</v>
      </c>
      <c r="AC43" s="81" t="s">
        <v>158</v>
      </c>
      <c r="AE43" s="6"/>
    </row>
    <row r="44" spans="3:31" ht="14.25" customHeight="1">
      <c r="C44" t="str">
        <f t="shared" si="5"/>
        <v>◇ ワンピース サイズ レディース E</v>
      </c>
      <c r="D44">
        <f t="shared" si="1"/>
        <v>16.5</v>
      </c>
      <c r="E44" t="s">
        <v>71</v>
      </c>
      <c r="H44" t="str">
        <f>IFERROR(INDEX(コンディションランク!$B$1:$B$6,MATCH($G44,コンディションランク!$A$1:$A$6,0)),"")</f>
        <v/>
      </c>
      <c r="J44" t="s">
        <v>2924</v>
      </c>
      <c r="L44" s="9" t="s">
        <v>3031</v>
      </c>
      <c r="R44" t="s">
        <v>165</v>
      </c>
      <c r="S44" s="32" t="str">
        <f t="shared" si="6"/>
        <v>◇</v>
      </c>
      <c r="Y44" t="s">
        <v>3035</v>
      </c>
      <c r="Z44" t="s">
        <v>3020</v>
      </c>
      <c r="AA44" t="str">
        <f t="shared" si="3"/>
        <v>着丈：約cm　肩幅：約cm　身幅：約cm　ウエスト：約cm　袖丈：約cm</v>
      </c>
      <c r="AB44" t="str">
        <f t="shared" si="4"/>
        <v>着丈：約cm　肩幅：約cm　身幅：約cm　ウエスト：約cm　袖丈：約cm</v>
      </c>
      <c r="AC44" s="81" t="s">
        <v>158</v>
      </c>
      <c r="AE44" s="6"/>
    </row>
    <row r="45" spans="3:31" ht="14.25" customHeight="1">
      <c r="C45" t="str">
        <f t="shared" si="5"/>
        <v>◇ ワンピース サイズ レディース E</v>
      </c>
      <c r="D45">
        <f t="shared" si="1"/>
        <v>16.5</v>
      </c>
      <c r="E45" t="s">
        <v>71</v>
      </c>
      <c r="H45" t="str">
        <f>IFERROR(INDEX(コンディションランク!$B$1:$B$6,MATCH($G45,コンディションランク!$A$1:$A$6,0)),"")</f>
        <v/>
      </c>
      <c r="J45" t="s">
        <v>2924</v>
      </c>
      <c r="L45" s="9" t="s">
        <v>3031</v>
      </c>
      <c r="R45" t="s">
        <v>165</v>
      </c>
      <c r="S45" s="32" t="str">
        <f t="shared" si="6"/>
        <v>◇</v>
      </c>
      <c r="Y45" t="s">
        <v>3035</v>
      </c>
      <c r="Z45" t="s">
        <v>3020</v>
      </c>
      <c r="AA45" t="str">
        <f t="shared" si="3"/>
        <v>着丈：約cm　肩幅：約cm　身幅：約cm　ウエスト：約cm　袖丈：約cm</v>
      </c>
      <c r="AB45" t="str">
        <f t="shared" si="4"/>
        <v>着丈：約cm　肩幅：約cm　身幅：約cm　ウエスト：約cm　袖丈：約cm</v>
      </c>
      <c r="AC45" s="81" t="s">
        <v>158</v>
      </c>
      <c r="AE45" s="6"/>
    </row>
    <row r="46" spans="3:31" ht="14.25" customHeight="1">
      <c r="C46" t="str">
        <f t="shared" si="5"/>
        <v>◇ ワンピース サイズ レディース E</v>
      </c>
      <c r="D46">
        <f t="shared" si="1"/>
        <v>16.5</v>
      </c>
      <c r="E46" t="s">
        <v>71</v>
      </c>
      <c r="H46" t="str">
        <f>IFERROR(INDEX(コンディションランク!$B$1:$B$6,MATCH($G46,コンディションランク!$A$1:$A$6,0)),"")</f>
        <v/>
      </c>
      <c r="J46" t="s">
        <v>2924</v>
      </c>
      <c r="L46" s="9" t="s">
        <v>3031</v>
      </c>
      <c r="R46" t="s">
        <v>165</v>
      </c>
      <c r="S46" s="32" t="str">
        <f t="shared" si="6"/>
        <v>◇</v>
      </c>
      <c r="Y46" t="s">
        <v>3035</v>
      </c>
      <c r="Z46" t="s">
        <v>3020</v>
      </c>
      <c r="AA46" t="str">
        <f t="shared" si="3"/>
        <v>着丈：約cm　肩幅：約cm　身幅：約cm　ウエスト：約cm　袖丈：約cm</v>
      </c>
      <c r="AB46" t="str">
        <f t="shared" si="4"/>
        <v>着丈：約cm　肩幅：約cm　身幅：約cm　ウエスト：約cm　袖丈：約cm</v>
      </c>
      <c r="AC46" s="81" t="s">
        <v>158</v>
      </c>
      <c r="AE46" s="6"/>
    </row>
    <row r="47" spans="3:31" ht="14.25" customHeight="1">
      <c r="C47" t="str">
        <f t="shared" si="5"/>
        <v>◇ ワンピース サイズ レディース E</v>
      </c>
      <c r="D47">
        <f t="shared" si="1"/>
        <v>16.5</v>
      </c>
      <c r="E47" t="s">
        <v>71</v>
      </c>
      <c r="H47" t="str">
        <f>IFERROR(INDEX(コンディションランク!$B$1:$B$6,MATCH($G47,コンディションランク!$A$1:$A$6,0)),"")</f>
        <v/>
      </c>
      <c r="J47" t="s">
        <v>2924</v>
      </c>
      <c r="L47" s="9" t="s">
        <v>3031</v>
      </c>
      <c r="R47" t="s">
        <v>165</v>
      </c>
      <c r="S47" s="32" t="str">
        <f t="shared" si="6"/>
        <v>◇</v>
      </c>
      <c r="Y47" t="s">
        <v>3035</v>
      </c>
      <c r="Z47" t="s">
        <v>3020</v>
      </c>
      <c r="AA47" t="str">
        <f t="shared" si="3"/>
        <v>着丈：約cm　肩幅：約cm　身幅：約cm　ウエスト：約cm　袖丈：約cm</v>
      </c>
      <c r="AB47" t="str">
        <f t="shared" si="4"/>
        <v>着丈：約cm　肩幅：約cm　身幅：約cm　ウエスト：約cm　袖丈：約cm</v>
      </c>
      <c r="AC47" s="81" t="s">
        <v>158</v>
      </c>
      <c r="AE47" s="6"/>
    </row>
    <row r="48" spans="3:31" ht="14.25" customHeight="1">
      <c r="C48" t="str">
        <f t="shared" si="5"/>
        <v>◇ ワンピース サイズ レディース E</v>
      </c>
      <c r="D48">
        <f t="shared" si="1"/>
        <v>16.5</v>
      </c>
      <c r="E48" t="s">
        <v>71</v>
      </c>
      <c r="H48" t="str">
        <f>IFERROR(INDEX(コンディションランク!$B$1:$B$6,MATCH($G48,コンディションランク!$A$1:$A$6,0)),"")</f>
        <v/>
      </c>
      <c r="J48" t="s">
        <v>2924</v>
      </c>
      <c r="L48" s="9" t="s">
        <v>3031</v>
      </c>
      <c r="R48" t="s">
        <v>165</v>
      </c>
      <c r="S48" s="32" t="str">
        <f t="shared" si="6"/>
        <v>◇</v>
      </c>
      <c r="Y48" t="s">
        <v>3035</v>
      </c>
      <c r="Z48" t="s">
        <v>3020</v>
      </c>
      <c r="AA48" t="str">
        <f t="shared" si="3"/>
        <v>着丈：約cm　肩幅：約cm　身幅：約cm　ウエスト：約cm　袖丈：約cm</v>
      </c>
      <c r="AB48" t="str">
        <f t="shared" si="4"/>
        <v>着丈：約cm　肩幅：約cm　身幅：約cm　ウエスト：約cm　袖丈：約cm</v>
      </c>
      <c r="AC48" s="81" t="s">
        <v>158</v>
      </c>
      <c r="AE48" s="6"/>
    </row>
    <row r="49" spans="1:31" ht="14.25" customHeight="1">
      <c r="C49" t="str">
        <f t="shared" si="5"/>
        <v>◇ ワンピース サイズ レディース E</v>
      </c>
      <c r="D49">
        <f t="shared" si="1"/>
        <v>16.5</v>
      </c>
      <c r="E49" t="s">
        <v>71</v>
      </c>
      <c r="H49" t="str">
        <f>IFERROR(INDEX(コンディションランク!$B$1:$B$6,MATCH($G49,コンディションランク!$A$1:$A$6,0)),"")</f>
        <v/>
      </c>
      <c r="J49" t="s">
        <v>2924</v>
      </c>
      <c r="L49" s="9" t="s">
        <v>3031</v>
      </c>
      <c r="R49" t="s">
        <v>165</v>
      </c>
      <c r="S49" s="32" t="str">
        <f t="shared" si="6"/>
        <v>◇</v>
      </c>
      <c r="Y49" t="s">
        <v>3035</v>
      </c>
      <c r="Z49" t="s">
        <v>3020</v>
      </c>
      <c r="AA49" t="str">
        <f t="shared" si="3"/>
        <v>着丈：約cm　肩幅：約cm　身幅：約cm　ウエスト：約cm　袖丈：約cm</v>
      </c>
      <c r="AB49" t="str">
        <f t="shared" si="4"/>
        <v>着丈：約cm　肩幅：約cm　身幅：約cm　ウエスト：約cm　袖丈：約cm</v>
      </c>
      <c r="AC49" s="81" t="s">
        <v>158</v>
      </c>
      <c r="AE49" s="6"/>
    </row>
    <row r="50" spans="1:31" ht="14.25" customHeight="1">
      <c r="C50" t="str">
        <f t="shared" si="5"/>
        <v>◇ ワンピース サイズ レディース E</v>
      </c>
      <c r="D50">
        <f t="shared" si="1"/>
        <v>16.5</v>
      </c>
      <c r="E50" t="s">
        <v>71</v>
      </c>
      <c r="H50" t="str">
        <f>IFERROR(INDEX(コンディションランク!$B$1:$B$6,MATCH($G50,コンディションランク!$A$1:$A$6,0)),"")</f>
        <v/>
      </c>
      <c r="J50" t="s">
        <v>2924</v>
      </c>
      <c r="L50" s="9" t="s">
        <v>3031</v>
      </c>
      <c r="R50" t="s">
        <v>165</v>
      </c>
      <c r="S50" s="32" t="str">
        <f t="shared" si="6"/>
        <v>◇</v>
      </c>
      <c r="Y50" t="s">
        <v>3035</v>
      </c>
      <c r="Z50" t="s">
        <v>3020</v>
      </c>
      <c r="AA50" t="str">
        <f t="shared" si="3"/>
        <v>着丈：約cm　肩幅：約cm　身幅：約cm　ウエスト：約cm　袖丈：約cm</v>
      </c>
      <c r="AB50" t="str">
        <f t="shared" si="4"/>
        <v>着丈：約cm　肩幅：約cm　身幅：約cm　ウエスト：約cm　袖丈：約cm</v>
      </c>
      <c r="AC50" s="81" t="s">
        <v>158</v>
      </c>
      <c r="AE50" s="6"/>
    </row>
    <row r="51" spans="1:31" ht="14.25" customHeight="1">
      <c r="C51" t="str">
        <f t="shared" si="5"/>
        <v>◇ ワンピース サイズ レディース E</v>
      </c>
      <c r="D51">
        <f t="shared" si="1"/>
        <v>16.5</v>
      </c>
      <c r="E51" t="s">
        <v>71</v>
      </c>
      <c r="H51" t="str">
        <f>IFERROR(INDEX(コンディションランク!$B$1:$B$6,MATCH($G51,コンディションランク!$A$1:$A$6,0)),"")</f>
        <v/>
      </c>
      <c r="J51" t="s">
        <v>2924</v>
      </c>
      <c r="L51" s="9" t="s">
        <v>3031</v>
      </c>
      <c r="R51" t="s">
        <v>165</v>
      </c>
      <c r="S51" s="32" t="str">
        <f t="shared" si="6"/>
        <v>◇</v>
      </c>
      <c r="Y51" t="s">
        <v>3035</v>
      </c>
      <c r="Z51" t="s">
        <v>3020</v>
      </c>
      <c r="AA51" t="str">
        <f t="shared" si="3"/>
        <v>着丈：約cm　肩幅：約cm　身幅：約cm　ウエスト：約cm　袖丈：約cm</v>
      </c>
      <c r="AB51" t="str">
        <f t="shared" si="4"/>
        <v>着丈：約cm　肩幅：約cm　身幅：約cm　ウエスト：約cm　袖丈：約cm</v>
      </c>
      <c r="AC51" s="81" t="s">
        <v>158</v>
      </c>
      <c r="AE51" s="6"/>
    </row>
    <row r="52" spans="1:31" ht="14.25" customHeight="1">
      <c r="A52" s="79"/>
      <c r="B52" s="13"/>
      <c r="C52" s="4"/>
      <c r="D52" s="4"/>
      <c r="E52" s="4"/>
      <c r="F52" s="4"/>
      <c r="G52" s="4"/>
      <c r="H52" s="4"/>
      <c r="I52" s="4"/>
      <c r="J52" s="4"/>
      <c r="K52" s="4"/>
      <c r="L52" s="4"/>
      <c r="M52" s="4"/>
      <c r="N52" s="4"/>
      <c r="O52" s="4"/>
      <c r="P52" s="4"/>
      <c r="Q52" s="4"/>
      <c r="R52" s="4"/>
      <c r="S52" s="4"/>
      <c r="T52" s="4"/>
      <c r="U52" s="4"/>
      <c r="V52" s="4"/>
      <c r="W52" s="4"/>
      <c r="X52" s="4"/>
      <c r="Y52" s="4"/>
      <c r="Z52" s="4"/>
      <c r="AA52" s="4"/>
      <c r="AB52" s="4"/>
      <c r="AC52" s="4"/>
    </row>
    <row r="150" spans="2:2">
      <c r="B150"/>
    </row>
    <row r="151" spans="2:2">
      <c r="B151"/>
    </row>
    <row r="152" spans="2:2">
      <c r="B152"/>
    </row>
    <row r="1048576" spans="26:31">
      <c r="Z1048576" t="s">
        <v>3009</v>
      </c>
      <c r="AD1048576" t="s">
        <v>162</v>
      </c>
      <c r="AE1048576" s="82">
        <v>42956</v>
      </c>
    </row>
  </sheetData>
  <phoneticPr fontId="4"/>
  <conditionalFormatting sqref="B3:B51">
    <cfRule type="duplicateValues" dxfId="60" priority="9"/>
  </conditionalFormatting>
  <conditionalFormatting sqref="D2:D51">
    <cfRule type="cellIs" dxfId="59" priority="8" operator="greaterThanOrEqual">
      <formula>65</formula>
    </cfRule>
  </conditionalFormatting>
  <conditionalFormatting sqref="B2">
    <cfRule type="duplicateValues" dxfId="58" priority="6"/>
  </conditionalFormatting>
  <conditionalFormatting sqref="B2">
    <cfRule type="duplicateValues" dxfId="57" priority="5"/>
  </conditionalFormatting>
  <conditionalFormatting sqref="B2">
    <cfRule type="duplicateValues" dxfId="56" priority="4"/>
  </conditionalFormatting>
  <conditionalFormatting sqref="B2">
    <cfRule type="duplicateValues" dxfId="55" priority="3"/>
  </conditionalFormatting>
  <conditionalFormatting sqref="B2">
    <cfRule type="duplicateValues" dxfId="54" priority="2"/>
  </conditionalFormatting>
  <conditionalFormatting sqref="B2:B51">
    <cfRule type="duplicateValues" dxfId="53" priority="1"/>
  </conditionalFormatting>
  <dataValidations count="2">
    <dataValidation imeMode="off" allowBlank="1" showInputMessage="1" showErrorMessage="1" sqref="M1:Q1048576 B1:B1048576" xr:uid="{D97759EF-8BED-4497-BDF8-348090BE7ED1}"/>
    <dataValidation type="list" allowBlank="1" showInputMessage="1" showErrorMessage="1" sqref="R2:R51" xr:uid="{A178229C-42EF-4D27-BB26-AA6906F915F2}">
      <formula1>梱包</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200A40E-14AC-4993-883C-2BBA69F1D957}">
          <x14:formula1>
            <xm:f>コンディションランク!$A$1:$A$6</xm:f>
          </x14:formula1>
          <xm:sqref>G2:G51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AJ1048532"/>
  <sheetViews>
    <sheetView zoomScale="85" zoomScaleNormal="85" workbookViewId="0">
      <pane ySplit="1" topLeftCell="A2" activePane="bottomLeft" state="frozen"/>
      <selection activeCell="B2" sqref="B2"/>
      <selection pane="bottomLeft" activeCell="B2" sqref="B2"/>
    </sheetView>
  </sheetViews>
  <sheetFormatPr defaultRowHeight="13.5"/>
  <cols>
    <col min="1" max="1" width="14" style="9" customWidth="1"/>
    <col min="2" max="2" width="16.25" style="14" customWidth="1"/>
    <col min="3" max="3" width="80.625" customWidth="1"/>
    <col min="4" max="4" width="5.625" customWidth="1"/>
    <col min="5" max="5" width="3.5" customWidth="1"/>
    <col min="6" max="6" width="9" hidden="1" customWidth="1"/>
    <col min="7" max="7" width="3.625" customWidth="1"/>
    <col min="8" max="8" width="9" customWidth="1"/>
    <col min="9" max="9" width="9" hidden="1" customWidth="1"/>
    <col min="11" max="11" width="27.5" customWidth="1"/>
    <col min="12" max="12" width="10.125" customWidth="1"/>
    <col min="13" max="21" width="6.25" customWidth="1"/>
    <col min="22" max="23" width="11.75" customWidth="1"/>
    <col min="24" max="24" width="9.75" customWidth="1"/>
    <col min="25" max="25" width="46" customWidth="1"/>
    <col min="26" max="26" width="20.5" customWidth="1"/>
    <col min="27" max="27" width="13.625" customWidth="1"/>
    <col min="28" max="28" width="24.5" customWidth="1"/>
    <col min="30" max="30" width="70.625" customWidth="1"/>
    <col min="31" max="31" width="37.875" hidden="1" customWidth="1"/>
    <col min="32" max="32" width="13.375" customWidth="1"/>
    <col min="33" max="35" width="0" hidden="1" customWidth="1"/>
  </cols>
  <sheetData>
    <row r="1" spans="1:36" s="32" customFormat="1">
      <c r="A1" s="37" t="s">
        <v>2641</v>
      </c>
      <c r="B1" s="38" t="s">
        <v>0</v>
      </c>
      <c r="C1" s="8" t="s">
        <v>1</v>
      </c>
      <c r="D1" s="25" t="s">
        <v>145</v>
      </c>
      <c r="E1" s="18" t="s">
        <v>2</v>
      </c>
      <c r="F1" s="19" t="s">
        <v>3</v>
      </c>
      <c r="G1" s="17" t="s">
        <v>4</v>
      </c>
      <c r="H1" s="19" t="s">
        <v>5</v>
      </c>
      <c r="I1" s="19" t="s">
        <v>6</v>
      </c>
      <c r="J1" s="19" t="s">
        <v>7</v>
      </c>
      <c r="K1" s="19" t="s">
        <v>8</v>
      </c>
      <c r="L1" s="18" t="s">
        <v>9</v>
      </c>
      <c r="M1" s="21" t="s">
        <v>103</v>
      </c>
      <c r="N1" s="21" t="s">
        <v>31</v>
      </c>
      <c r="O1" s="21" t="s">
        <v>32</v>
      </c>
      <c r="P1" s="21" t="s">
        <v>92</v>
      </c>
      <c r="Q1" s="21" t="s">
        <v>81</v>
      </c>
      <c r="R1" s="21" t="s">
        <v>97</v>
      </c>
      <c r="S1" s="21" t="s">
        <v>33</v>
      </c>
      <c r="T1" s="21" t="s">
        <v>34</v>
      </c>
      <c r="U1" s="21" t="s">
        <v>35</v>
      </c>
      <c r="V1" s="21" t="s">
        <v>164</v>
      </c>
      <c r="W1" s="21" t="s">
        <v>3054</v>
      </c>
      <c r="X1" s="17" t="s">
        <v>88</v>
      </c>
      <c r="Y1" s="17" t="s">
        <v>84</v>
      </c>
      <c r="Z1" s="17" t="s">
        <v>85</v>
      </c>
      <c r="AA1" s="17" t="s">
        <v>93</v>
      </c>
      <c r="AB1" s="17" t="s">
        <v>87</v>
      </c>
      <c r="AC1" s="17" t="s">
        <v>86</v>
      </c>
      <c r="AD1" s="1" t="s">
        <v>43</v>
      </c>
      <c r="AE1" s="5" t="s">
        <v>3026</v>
      </c>
      <c r="AF1" s="66" t="s">
        <v>98</v>
      </c>
      <c r="AG1" s="16" t="s">
        <v>107</v>
      </c>
      <c r="AH1" s="17" t="s">
        <v>151</v>
      </c>
      <c r="AI1" s="17" t="s">
        <v>108</v>
      </c>
      <c r="AJ1" s="17" t="s">
        <v>109</v>
      </c>
    </row>
    <row r="2" spans="1:36" ht="14.25">
      <c r="B2" s="68"/>
      <c r="C2" s="7" t="str">
        <f t="shared" ref="C2:C21" si="0">TRIM(W2&amp;" "&amp;X2&amp;" "&amp;Y2&amp;" "&amp;Z2&amp;" "&amp;AA2&amp;" "&amp;AB2&amp;" "&amp;L2&amp;" "&amp;K2&amp;" "&amp;AC2&amp;EX&amp;" "&amp;B2)</f>
        <v>◇ サイズ E</v>
      </c>
      <c r="D2" s="7">
        <f t="shared" ref="D2:D21" si="1">(LENB(C2)-LEN(C2))+(LENB(C2)-(LENB(C2)-LEN(C2))*2)/2</f>
        <v>5.5</v>
      </c>
      <c r="E2" t="s">
        <v>71</v>
      </c>
      <c r="H2" t="str">
        <f>IFERROR(INDEX(コンディションランク!$B$1:$B$6,MATCH($G2,コンディションランク!$A$1:$A$6,0)),"")</f>
        <v/>
      </c>
      <c r="J2" t="s">
        <v>2924</v>
      </c>
      <c r="L2" s="9" t="s">
        <v>3031</v>
      </c>
      <c r="V2" t="s">
        <v>165</v>
      </c>
      <c r="W2" s="32" t="str">
        <f t="shared" ref="W2:W21" si="2">IFERROR(VLOOKUP(V2,梱包サイズ表,2,0),"")</f>
        <v>◇</v>
      </c>
      <c r="AD2" t="str">
        <f>"総丈：約" &amp;M2&amp; "cm　肩幅：約" &amp;N2&amp; "cm　身幅：約" &amp;O2&amp; "cm　袖丈：約" &amp;P2&amp; "cm 股上：約" &amp;Q2&amp; "cm 股下：約" &amp;R2&amp; "cm ウエスト：約" &amp;S2&amp; "cm もも幅：約" &amp;T2&amp; "cm 裾幅：約" &amp;U2&amp; "cm"</f>
        <v>総丈：約cm　肩幅：約cm　身幅：約cm　袖丈：約cm 股上：約cm 股下：約cm ウエスト：約cm もも幅：約cm 裾幅：約cm</v>
      </c>
      <c r="AE2" t="str">
        <f>SUBSTITUTE( AD2, "約-", "-" )</f>
        <v>総丈：約cm　肩幅：約cm　身幅：約cm　袖丈：約cm 股上：約cm 股下：約cm ウエスト：約cm もも幅：約cm 裾幅：約cm</v>
      </c>
      <c r="AF2" s="77" t="s">
        <v>158</v>
      </c>
      <c r="AH2" s="9"/>
    </row>
    <row r="3" spans="1:36" ht="14.25">
      <c r="C3" s="7" t="str">
        <f t="shared" si="0"/>
        <v>◇ サイズ E</v>
      </c>
      <c r="D3" s="7">
        <f t="shared" si="1"/>
        <v>5.5</v>
      </c>
      <c r="E3" t="s">
        <v>71</v>
      </c>
      <c r="H3" t="str">
        <f>IFERROR(INDEX(コンディションランク!$B$1:$B$6,MATCH($G3,コンディションランク!$A$1:$A$6,0)),"")</f>
        <v/>
      </c>
      <c r="J3" t="s">
        <v>2924</v>
      </c>
      <c r="L3" s="9" t="s">
        <v>3031</v>
      </c>
      <c r="V3" t="s">
        <v>165</v>
      </c>
      <c r="W3" s="32" t="str">
        <f t="shared" si="2"/>
        <v>◇</v>
      </c>
      <c r="AD3" t="str">
        <f t="shared" ref="AD3:AD21" si="3">"総丈：約" &amp;M3&amp; "cm　肩幅：約" &amp;N3&amp; "cm　身幅：約" &amp;O3&amp; "cm　袖丈：約" &amp;P3&amp; "cm 股上：約" &amp;Q3&amp; "cm 股下：約" &amp;R3&amp; "cm ウエスト：約" &amp;S3&amp; "cm もも幅：約" &amp;T3&amp; "cm 裾幅：約" &amp;U3&amp; "cm"</f>
        <v>総丈：約cm　肩幅：約cm　身幅：約cm　袖丈：約cm 股上：約cm 股下：約cm ウエスト：約cm もも幅：約cm 裾幅：約cm</v>
      </c>
      <c r="AE3" t="str">
        <f t="shared" ref="AE3:AE21" si="4">SUBSTITUTE( AD3, "約-", "-" )</f>
        <v>総丈：約cm　肩幅：約cm　身幅：約cm　袖丈：約cm 股上：約cm 股下：約cm ウエスト：約cm もも幅：約cm 裾幅：約cm</v>
      </c>
      <c r="AF3" s="77" t="s">
        <v>158</v>
      </c>
      <c r="AH3" s="6"/>
    </row>
    <row r="4" spans="1:36" ht="14.25">
      <c r="C4" s="7" t="str">
        <f t="shared" si="0"/>
        <v>◇ サイズ E</v>
      </c>
      <c r="D4" s="7">
        <f t="shared" si="1"/>
        <v>5.5</v>
      </c>
      <c r="E4" t="s">
        <v>71</v>
      </c>
      <c r="H4" t="str">
        <f>IFERROR(INDEX(コンディションランク!$B$1:$B$6,MATCH($G4,コンディションランク!$A$1:$A$6,0)),"")</f>
        <v/>
      </c>
      <c r="J4" t="s">
        <v>2924</v>
      </c>
      <c r="L4" s="9" t="s">
        <v>3031</v>
      </c>
      <c r="V4" t="s">
        <v>165</v>
      </c>
      <c r="W4" s="32" t="str">
        <f t="shared" si="2"/>
        <v>◇</v>
      </c>
      <c r="AD4" t="str">
        <f t="shared" si="3"/>
        <v>総丈：約cm　肩幅：約cm　身幅：約cm　袖丈：約cm 股上：約cm 股下：約cm ウエスト：約cm もも幅：約cm 裾幅：約cm</v>
      </c>
      <c r="AE4" t="str">
        <f t="shared" si="4"/>
        <v>総丈：約cm　肩幅：約cm　身幅：約cm　袖丈：約cm 股上：約cm 股下：約cm ウエスト：約cm もも幅：約cm 裾幅：約cm</v>
      </c>
      <c r="AF4" s="77" t="s">
        <v>158</v>
      </c>
      <c r="AH4" s="6"/>
    </row>
    <row r="5" spans="1:36" ht="14.25">
      <c r="C5" s="7" t="str">
        <f t="shared" si="0"/>
        <v>◇ サイズ E</v>
      </c>
      <c r="D5" s="7">
        <f t="shared" si="1"/>
        <v>5.5</v>
      </c>
      <c r="E5" t="s">
        <v>71</v>
      </c>
      <c r="H5" t="str">
        <f>IFERROR(INDEX(コンディションランク!$B$1:$B$6,MATCH($G5,コンディションランク!$A$1:$A$6,0)),"")</f>
        <v/>
      </c>
      <c r="J5" t="s">
        <v>2924</v>
      </c>
      <c r="L5" s="9" t="s">
        <v>3031</v>
      </c>
      <c r="V5" t="s">
        <v>165</v>
      </c>
      <c r="W5" s="32" t="str">
        <f t="shared" si="2"/>
        <v>◇</v>
      </c>
      <c r="AD5" t="str">
        <f t="shared" si="3"/>
        <v>総丈：約cm　肩幅：約cm　身幅：約cm　袖丈：約cm 股上：約cm 股下：約cm ウエスト：約cm もも幅：約cm 裾幅：約cm</v>
      </c>
      <c r="AE5" t="str">
        <f t="shared" si="4"/>
        <v>総丈：約cm　肩幅：約cm　身幅：約cm　袖丈：約cm 股上：約cm 股下：約cm ウエスト：約cm もも幅：約cm 裾幅：約cm</v>
      </c>
      <c r="AF5" s="77" t="s">
        <v>158</v>
      </c>
      <c r="AH5" s="6"/>
    </row>
    <row r="6" spans="1:36" ht="14.25">
      <c r="C6" s="7" t="str">
        <f t="shared" si="0"/>
        <v>◇ サイズ E</v>
      </c>
      <c r="D6" s="7">
        <f t="shared" si="1"/>
        <v>5.5</v>
      </c>
      <c r="E6" t="s">
        <v>71</v>
      </c>
      <c r="H6" t="str">
        <f>IFERROR(INDEX(コンディションランク!$B$1:$B$6,MATCH($G6,コンディションランク!$A$1:$A$6,0)),"")</f>
        <v/>
      </c>
      <c r="J6" t="s">
        <v>2924</v>
      </c>
      <c r="L6" s="9" t="s">
        <v>3031</v>
      </c>
      <c r="V6" t="s">
        <v>165</v>
      </c>
      <c r="W6" s="32" t="str">
        <f t="shared" si="2"/>
        <v>◇</v>
      </c>
      <c r="AD6" t="str">
        <f t="shared" si="3"/>
        <v>総丈：約cm　肩幅：約cm　身幅：約cm　袖丈：約cm 股上：約cm 股下：約cm ウエスト：約cm もも幅：約cm 裾幅：約cm</v>
      </c>
      <c r="AE6" t="str">
        <f t="shared" si="4"/>
        <v>総丈：約cm　肩幅：約cm　身幅：約cm　袖丈：約cm 股上：約cm 股下：約cm ウエスト：約cm もも幅：約cm 裾幅：約cm</v>
      </c>
      <c r="AF6" s="77" t="s">
        <v>158</v>
      </c>
      <c r="AH6" s="6"/>
    </row>
    <row r="7" spans="1:36" ht="14.25">
      <c r="C7" s="7" t="str">
        <f t="shared" si="0"/>
        <v>◇ サイズ E</v>
      </c>
      <c r="D7" s="7">
        <f t="shared" si="1"/>
        <v>5.5</v>
      </c>
      <c r="E7" t="s">
        <v>71</v>
      </c>
      <c r="H7" t="str">
        <f>IFERROR(INDEX(コンディションランク!$B$1:$B$6,MATCH($G7,コンディションランク!$A$1:$A$6,0)),"")</f>
        <v/>
      </c>
      <c r="J7" t="s">
        <v>2924</v>
      </c>
      <c r="L7" s="9" t="s">
        <v>3031</v>
      </c>
      <c r="V7" t="s">
        <v>165</v>
      </c>
      <c r="W7" s="32" t="str">
        <f t="shared" si="2"/>
        <v>◇</v>
      </c>
      <c r="AD7" t="str">
        <f t="shared" si="3"/>
        <v>総丈：約cm　肩幅：約cm　身幅：約cm　袖丈：約cm 股上：約cm 股下：約cm ウエスト：約cm もも幅：約cm 裾幅：約cm</v>
      </c>
      <c r="AE7" t="str">
        <f t="shared" si="4"/>
        <v>総丈：約cm　肩幅：約cm　身幅：約cm　袖丈：約cm 股上：約cm 股下：約cm ウエスト：約cm もも幅：約cm 裾幅：約cm</v>
      </c>
      <c r="AF7" s="77" t="s">
        <v>158</v>
      </c>
      <c r="AH7" s="6"/>
    </row>
    <row r="8" spans="1:36" ht="14.25">
      <c r="C8" s="7" t="str">
        <f t="shared" si="0"/>
        <v>◇ サイズ E</v>
      </c>
      <c r="D8" s="7">
        <f t="shared" si="1"/>
        <v>5.5</v>
      </c>
      <c r="E8" t="s">
        <v>71</v>
      </c>
      <c r="H8" t="str">
        <f>IFERROR(INDEX(コンディションランク!$B$1:$B$6,MATCH($G8,コンディションランク!$A$1:$A$6,0)),"")</f>
        <v/>
      </c>
      <c r="J8" t="s">
        <v>2924</v>
      </c>
      <c r="L8" s="9" t="s">
        <v>3031</v>
      </c>
      <c r="V8" t="s">
        <v>165</v>
      </c>
      <c r="W8" s="32" t="str">
        <f t="shared" si="2"/>
        <v>◇</v>
      </c>
      <c r="AD8" t="str">
        <f t="shared" si="3"/>
        <v>総丈：約cm　肩幅：約cm　身幅：約cm　袖丈：約cm 股上：約cm 股下：約cm ウエスト：約cm もも幅：約cm 裾幅：約cm</v>
      </c>
      <c r="AE8" t="str">
        <f t="shared" si="4"/>
        <v>総丈：約cm　肩幅：約cm　身幅：約cm　袖丈：約cm 股上：約cm 股下：約cm ウエスト：約cm もも幅：約cm 裾幅：約cm</v>
      </c>
      <c r="AF8" s="77" t="s">
        <v>158</v>
      </c>
      <c r="AH8" s="6"/>
    </row>
    <row r="9" spans="1:36" ht="14.25">
      <c r="C9" s="7" t="str">
        <f t="shared" si="0"/>
        <v>◇ サイズ E</v>
      </c>
      <c r="D9" s="7">
        <f t="shared" si="1"/>
        <v>5.5</v>
      </c>
      <c r="E9" t="s">
        <v>71</v>
      </c>
      <c r="H9" t="str">
        <f>IFERROR(INDEX(コンディションランク!$B$1:$B$6,MATCH($G9,コンディションランク!$A$1:$A$6,0)),"")</f>
        <v/>
      </c>
      <c r="J9" t="s">
        <v>2924</v>
      </c>
      <c r="L9" s="9" t="s">
        <v>3031</v>
      </c>
      <c r="V9" t="s">
        <v>165</v>
      </c>
      <c r="W9" s="32" t="str">
        <f t="shared" si="2"/>
        <v>◇</v>
      </c>
      <c r="AD9" t="str">
        <f t="shared" si="3"/>
        <v>総丈：約cm　肩幅：約cm　身幅：約cm　袖丈：約cm 股上：約cm 股下：約cm ウエスト：約cm もも幅：約cm 裾幅：約cm</v>
      </c>
      <c r="AE9" t="str">
        <f t="shared" si="4"/>
        <v>総丈：約cm　肩幅：約cm　身幅：約cm　袖丈：約cm 股上：約cm 股下：約cm ウエスト：約cm もも幅：約cm 裾幅：約cm</v>
      </c>
      <c r="AF9" s="77" t="s">
        <v>158</v>
      </c>
      <c r="AH9" s="6"/>
    </row>
    <row r="10" spans="1:36" ht="14.25">
      <c r="C10" s="7" t="str">
        <f t="shared" si="0"/>
        <v>◇ サイズ E</v>
      </c>
      <c r="D10" s="7">
        <f t="shared" si="1"/>
        <v>5.5</v>
      </c>
      <c r="E10" t="s">
        <v>71</v>
      </c>
      <c r="H10" t="str">
        <f>IFERROR(INDEX(コンディションランク!$B$1:$B$6,MATCH($G10,コンディションランク!$A$1:$A$6,0)),"")</f>
        <v/>
      </c>
      <c r="J10" t="s">
        <v>2924</v>
      </c>
      <c r="L10" s="9" t="s">
        <v>3031</v>
      </c>
      <c r="V10" t="s">
        <v>165</v>
      </c>
      <c r="W10" s="32" t="str">
        <f t="shared" si="2"/>
        <v>◇</v>
      </c>
      <c r="AD10" t="str">
        <f t="shared" si="3"/>
        <v>総丈：約cm　肩幅：約cm　身幅：約cm　袖丈：約cm 股上：約cm 股下：約cm ウエスト：約cm もも幅：約cm 裾幅：約cm</v>
      </c>
      <c r="AE10" t="str">
        <f t="shared" si="4"/>
        <v>総丈：約cm　肩幅：約cm　身幅：約cm　袖丈：約cm 股上：約cm 股下：約cm ウエスト：約cm もも幅：約cm 裾幅：約cm</v>
      </c>
      <c r="AF10" s="77" t="s">
        <v>158</v>
      </c>
      <c r="AH10" s="6"/>
    </row>
    <row r="11" spans="1:36" ht="14.25">
      <c r="C11" s="7" t="str">
        <f t="shared" si="0"/>
        <v>◇ サイズ E</v>
      </c>
      <c r="D11" s="7">
        <f t="shared" si="1"/>
        <v>5.5</v>
      </c>
      <c r="E11" t="s">
        <v>71</v>
      </c>
      <c r="H11" t="str">
        <f>IFERROR(INDEX(コンディションランク!$B$1:$B$6,MATCH($G11,コンディションランク!$A$1:$A$6,0)),"")</f>
        <v/>
      </c>
      <c r="J11" t="s">
        <v>2924</v>
      </c>
      <c r="L11" s="9" t="s">
        <v>3031</v>
      </c>
      <c r="V11" t="s">
        <v>165</v>
      </c>
      <c r="W11" s="32" t="str">
        <f t="shared" si="2"/>
        <v>◇</v>
      </c>
      <c r="AD11" t="str">
        <f t="shared" si="3"/>
        <v>総丈：約cm　肩幅：約cm　身幅：約cm　袖丈：約cm 股上：約cm 股下：約cm ウエスト：約cm もも幅：約cm 裾幅：約cm</v>
      </c>
      <c r="AE11" t="str">
        <f t="shared" si="4"/>
        <v>総丈：約cm　肩幅：約cm　身幅：約cm　袖丈：約cm 股上：約cm 股下：約cm ウエスト：約cm もも幅：約cm 裾幅：約cm</v>
      </c>
      <c r="AF11" s="77" t="s">
        <v>158</v>
      </c>
      <c r="AH11" s="6"/>
    </row>
    <row r="12" spans="1:36" ht="14.25">
      <c r="C12" s="7" t="str">
        <f t="shared" si="0"/>
        <v>◇ サイズ E</v>
      </c>
      <c r="D12" s="7">
        <f t="shared" si="1"/>
        <v>5.5</v>
      </c>
      <c r="E12" t="s">
        <v>71</v>
      </c>
      <c r="H12" t="str">
        <f>IFERROR(INDEX(コンディションランク!$B$1:$B$6,MATCH($G12,コンディションランク!$A$1:$A$6,0)),"")</f>
        <v/>
      </c>
      <c r="J12" t="s">
        <v>2924</v>
      </c>
      <c r="L12" s="9" t="s">
        <v>3031</v>
      </c>
      <c r="V12" t="s">
        <v>165</v>
      </c>
      <c r="W12" s="32" t="str">
        <f t="shared" si="2"/>
        <v>◇</v>
      </c>
      <c r="AD12" t="str">
        <f t="shared" si="3"/>
        <v>総丈：約cm　肩幅：約cm　身幅：約cm　袖丈：約cm 股上：約cm 股下：約cm ウエスト：約cm もも幅：約cm 裾幅：約cm</v>
      </c>
      <c r="AE12" t="str">
        <f t="shared" si="4"/>
        <v>総丈：約cm　肩幅：約cm　身幅：約cm　袖丈：約cm 股上：約cm 股下：約cm ウエスト：約cm もも幅：約cm 裾幅：約cm</v>
      </c>
      <c r="AF12" s="77" t="s">
        <v>158</v>
      </c>
      <c r="AH12" s="6"/>
    </row>
    <row r="13" spans="1:36" ht="14.25">
      <c r="C13" s="7" t="str">
        <f t="shared" si="0"/>
        <v>◇ サイズ E</v>
      </c>
      <c r="D13" s="7">
        <f t="shared" si="1"/>
        <v>5.5</v>
      </c>
      <c r="E13" t="s">
        <v>71</v>
      </c>
      <c r="H13" t="str">
        <f>IFERROR(INDEX(コンディションランク!$B$1:$B$6,MATCH($G13,コンディションランク!$A$1:$A$6,0)),"")</f>
        <v/>
      </c>
      <c r="J13" t="s">
        <v>2924</v>
      </c>
      <c r="L13" s="9" t="s">
        <v>3031</v>
      </c>
      <c r="V13" t="s">
        <v>165</v>
      </c>
      <c r="W13" s="32" t="str">
        <f t="shared" si="2"/>
        <v>◇</v>
      </c>
      <c r="AD13" t="str">
        <f t="shared" si="3"/>
        <v>総丈：約cm　肩幅：約cm　身幅：約cm　袖丈：約cm 股上：約cm 股下：約cm ウエスト：約cm もも幅：約cm 裾幅：約cm</v>
      </c>
      <c r="AE13" t="str">
        <f t="shared" si="4"/>
        <v>総丈：約cm　肩幅：約cm　身幅：約cm　袖丈：約cm 股上：約cm 股下：約cm ウエスト：約cm もも幅：約cm 裾幅：約cm</v>
      </c>
      <c r="AF13" s="77" t="s">
        <v>158</v>
      </c>
      <c r="AH13" s="6"/>
    </row>
    <row r="14" spans="1:36" ht="14.25">
      <c r="C14" s="7" t="str">
        <f t="shared" si="0"/>
        <v>◇ サイズ E</v>
      </c>
      <c r="D14" s="7">
        <f t="shared" si="1"/>
        <v>5.5</v>
      </c>
      <c r="E14" t="s">
        <v>71</v>
      </c>
      <c r="H14" t="str">
        <f>IFERROR(INDEX(コンディションランク!$B$1:$B$6,MATCH($G14,コンディションランク!$A$1:$A$6,0)),"")</f>
        <v/>
      </c>
      <c r="J14" t="s">
        <v>2924</v>
      </c>
      <c r="L14" s="9" t="s">
        <v>3031</v>
      </c>
      <c r="V14" t="s">
        <v>165</v>
      </c>
      <c r="W14" s="32" t="str">
        <f t="shared" si="2"/>
        <v>◇</v>
      </c>
      <c r="AD14" t="str">
        <f t="shared" si="3"/>
        <v>総丈：約cm　肩幅：約cm　身幅：約cm　袖丈：約cm 股上：約cm 股下：約cm ウエスト：約cm もも幅：約cm 裾幅：約cm</v>
      </c>
      <c r="AE14" t="str">
        <f t="shared" si="4"/>
        <v>総丈：約cm　肩幅：約cm　身幅：約cm　袖丈：約cm 股上：約cm 股下：約cm ウエスト：約cm もも幅：約cm 裾幅：約cm</v>
      </c>
      <c r="AF14" s="77" t="s">
        <v>158</v>
      </c>
      <c r="AH14" s="6"/>
    </row>
    <row r="15" spans="1:36" ht="14.25">
      <c r="C15" s="7" t="str">
        <f t="shared" si="0"/>
        <v>◇ サイズ E</v>
      </c>
      <c r="D15" s="7">
        <f t="shared" si="1"/>
        <v>5.5</v>
      </c>
      <c r="E15" t="s">
        <v>71</v>
      </c>
      <c r="H15" t="str">
        <f>IFERROR(INDEX(コンディションランク!$B$1:$B$6,MATCH($G15,コンディションランク!$A$1:$A$6,0)),"")</f>
        <v/>
      </c>
      <c r="J15" t="s">
        <v>2924</v>
      </c>
      <c r="L15" s="9" t="s">
        <v>3031</v>
      </c>
      <c r="V15" t="s">
        <v>165</v>
      </c>
      <c r="W15" s="32" t="str">
        <f t="shared" si="2"/>
        <v>◇</v>
      </c>
      <c r="AD15" t="str">
        <f t="shared" si="3"/>
        <v>総丈：約cm　肩幅：約cm　身幅：約cm　袖丈：約cm 股上：約cm 股下：約cm ウエスト：約cm もも幅：約cm 裾幅：約cm</v>
      </c>
      <c r="AE15" t="str">
        <f t="shared" si="4"/>
        <v>総丈：約cm　肩幅：約cm　身幅：約cm　袖丈：約cm 股上：約cm 股下：約cm ウエスト：約cm もも幅：約cm 裾幅：約cm</v>
      </c>
      <c r="AF15" s="77" t="s">
        <v>158</v>
      </c>
      <c r="AH15" s="6"/>
    </row>
    <row r="16" spans="1:36" ht="14.25">
      <c r="C16" s="7" t="str">
        <f t="shared" si="0"/>
        <v>◇ サイズ E</v>
      </c>
      <c r="D16" s="7">
        <f t="shared" si="1"/>
        <v>5.5</v>
      </c>
      <c r="E16" t="s">
        <v>71</v>
      </c>
      <c r="H16" t="str">
        <f>IFERROR(INDEX(コンディションランク!$B$1:$B$6,MATCH($G16,コンディションランク!$A$1:$A$6,0)),"")</f>
        <v/>
      </c>
      <c r="J16" t="s">
        <v>2924</v>
      </c>
      <c r="L16" s="9" t="s">
        <v>3031</v>
      </c>
      <c r="V16" t="s">
        <v>165</v>
      </c>
      <c r="W16" s="32" t="str">
        <f t="shared" si="2"/>
        <v>◇</v>
      </c>
      <c r="AD16" t="str">
        <f t="shared" si="3"/>
        <v>総丈：約cm　肩幅：約cm　身幅：約cm　袖丈：約cm 股上：約cm 股下：約cm ウエスト：約cm もも幅：約cm 裾幅：約cm</v>
      </c>
      <c r="AE16" t="str">
        <f t="shared" si="4"/>
        <v>総丈：約cm　肩幅：約cm　身幅：約cm　袖丈：約cm 股上：約cm 股下：約cm ウエスト：約cm もも幅：約cm 裾幅：約cm</v>
      </c>
      <c r="AF16" s="77" t="s">
        <v>158</v>
      </c>
      <c r="AH16" s="6"/>
    </row>
    <row r="17" spans="1:34" ht="14.25">
      <c r="C17" s="7" t="str">
        <f t="shared" si="0"/>
        <v>◇ サイズ E</v>
      </c>
      <c r="D17" s="7">
        <f t="shared" si="1"/>
        <v>5.5</v>
      </c>
      <c r="E17" t="s">
        <v>71</v>
      </c>
      <c r="H17" t="str">
        <f>IFERROR(INDEX(コンディションランク!$B$1:$B$6,MATCH($G17,コンディションランク!$A$1:$A$6,0)),"")</f>
        <v/>
      </c>
      <c r="J17" t="s">
        <v>2924</v>
      </c>
      <c r="L17" s="9" t="s">
        <v>3031</v>
      </c>
      <c r="V17" t="s">
        <v>165</v>
      </c>
      <c r="W17" s="32" t="str">
        <f t="shared" si="2"/>
        <v>◇</v>
      </c>
      <c r="AD17" t="str">
        <f t="shared" si="3"/>
        <v>総丈：約cm　肩幅：約cm　身幅：約cm　袖丈：約cm 股上：約cm 股下：約cm ウエスト：約cm もも幅：約cm 裾幅：約cm</v>
      </c>
      <c r="AE17" t="str">
        <f t="shared" si="4"/>
        <v>総丈：約cm　肩幅：約cm　身幅：約cm　袖丈：約cm 股上：約cm 股下：約cm ウエスト：約cm もも幅：約cm 裾幅：約cm</v>
      </c>
      <c r="AF17" s="77" t="s">
        <v>158</v>
      </c>
      <c r="AH17" s="6"/>
    </row>
    <row r="18" spans="1:34" ht="14.25">
      <c r="C18" s="7" t="str">
        <f t="shared" si="0"/>
        <v>◇ サイズ E</v>
      </c>
      <c r="D18" s="7">
        <f t="shared" si="1"/>
        <v>5.5</v>
      </c>
      <c r="E18" t="s">
        <v>71</v>
      </c>
      <c r="H18" t="str">
        <f>IFERROR(INDEX(コンディションランク!$B$1:$B$6,MATCH($G18,コンディションランク!$A$1:$A$6,0)),"")</f>
        <v/>
      </c>
      <c r="J18" t="s">
        <v>2924</v>
      </c>
      <c r="L18" s="9" t="s">
        <v>3031</v>
      </c>
      <c r="V18" t="s">
        <v>165</v>
      </c>
      <c r="W18" s="32" t="str">
        <f t="shared" si="2"/>
        <v>◇</v>
      </c>
      <c r="AD18" t="str">
        <f t="shared" si="3"/>
        <v>総丈：約cm　肩幅：約cm　身幅：約cm　袖丈：約cm 股上：約cm 股下：約cm ウエスト：約cm もも幅：約cm 裾幅：約cm</v>
      </c>
      <c r="AE18" t="str">
        <f t="shared" si="4"/>
        <v>総丈：約cm　肩幅：約cm　身幅：約cm　袖丈：約cm 股上：約cm 股下：約cm ウエスト：約cm もも幅：約cm 裾幅：約cm</v>
      </c>
      <c r="AF18" s="77" t="s">
        <v>158</v>
      </c>
      <c r="AH18" s="6"/>
    </row>
    <row r="19" spans="1:34" ht="14.25">
      <c r="C19" s="7" t="str">
        <f t="shared" si="0"/>
        <v>◇ サイズ E</v>
      </c>
      <c r="D19" s="7">
        <f t="shared" si="1"/>
        <v>5.5</v>
      </c>
      <c r="E19" t="s">
        <v>71</v>
      </c>
      <c r="H19" t="str">
        <f>IFERROR(INDEX(コンディションランク!$B$1:$B$6,MATCH($G19,コンディションランク!$A$1:$A$6,0)),"")</f>
        <v/>
      </c>
      <c r="J19" t="s">
        <v>2924</v>
      </c>
      <c r="L19" s="9" t="s">
        <v>3031</v>
      </c>
      <c r="V19" t="s">
        <v>165</v>
      </c>
      <c r="W19" s="32" t="str">
        <f t="shared" si="2"/>
        <v>◇</v>
      </c>
      <c r="AD19" t="str">
        <f t="shared" si="3"/>
        <v>総丈：約cm　肩幅：約cm　身幅：約cm　袖丈：約cm 股上：約cm 股下：約cm ウエスト：約cm もも幅：約cm 裾幅：約cm</v>
      </c>
      <c r="AE19" t="str">
        <f t="shared" si="4"/>
        <v>総丈：約cm　肩幅：約cm　身幅：約cm　袖丈：約cm 股上：約cm 股下：約cm ウエスト：約cm もも幅：約cm 裾幅：約cm</v>
      </c>
      <c r="AF19" s="77" t="s">
        <v>158</v>
      </c>
      <c r="AH19" s="6"/>
    </row>
    <row r="20" spans="1:34" ht="14.25">
      <c r="C20" s="7" t="str">
        <f t="shared" si="0"/>
        <v>◇ サイズ E</v>
      </c>
      <c r="D20" s="7">
        <f t="shared" si="1"/>
        <v>5.5</v>
      </c>
      <c r="E20" t="s">
        <v>71</v>
      </c>
      <c r="H20" t="str">
        <f>IFERROR(INDEX(コンディションランク!$B$1:$B$6,MATCH($G20,コンディションランク!$A$1:$A$6,0)),"")</f>
        <v/>
      </c>
      <c r="J20" t="s">
        <v>2924</v>
      </c>
      <c r="L20" s="9" t="s">
        <v>3031</v>
      </c>
      <c r="V20" t="s">
        <v>165</v>
      </c>
      <c r="W20" s="32" t="str">
        <f t="shared" si="2"/>
        <v>◇</v>
      </c>
      <c r="AD20" t="str">
        <f t="shared" si="3"/>
        <v>総丈：約cm　肩幅：約cm　身幅：約cm　袖丈：約cm 股上：約cm 股下：約cm ウエスト：約cm もも幅：約cm 裾幅：約cm</v>
      </c>
      <c r="AE20" t="str">
        <f t="shared" si="4"/>
        <v>総丈：約cm　肩幅：約cm　身幅：約cm　袖丈：約cm 股上：約cm 股下：約cm ウエスト：約cm もも幅：約cm 裾幅：約cm</v>
      </c>
      <c r="AF20" s="77" t="s">
        <v>158</v>
      </c>
      <c r="AH20" s="6"/>
    </row>
    <row r="21" spans="1:34" ht="14.25">
      <c r="C21" s="7" t="str">
        <f t="shared" si="0"/>
        <v>◇ サイズ E</v>
      </c>
      <c r="D21" s="7">
        <f t="shared" si="1"/>
        <v>5.5</v>
      </c>
      <c r="E21" t="s">
        <v>71</v>
      </c>
      <c r="H21" t="str">
        <f>IFERROR(INDEX(コンディションランク!$B$1:$B$6,MATCH($G21,コンディションランク!$A$1:$A$6,0)),"")</f>
        <v/>
      </c>
      <c r="J21" t="s">
        <v>2924</v>
      </c>
      <c r="L21" s="9" t="s">
        <v>3031</v>
      </c>
      <c r="V21" t="s">
        <v>165</v>
      </c>
      <c r="W21" s="32" t="str">
        <f t="shared" si="2"/>
        <v>◇</v>
      </c>
      <c r="AD21" t="str">
        <f t="shared" si="3"/>
        <v>総丈：約cm　肩幅：約cm　身幅：約cm　袖丈：約cm 股上：約cm 股下：約cm ウエスト：約cm もも幅：約cm 裾幅：約cm</v>
      </c>
      <c r="AE21" t="str">
        <f t="shared" si="4"/>
        <v>総丈：約cm　肩幅：約cm　身幅：約cm　袖丈：約cm 股上：約cm 股下：約cm ウエスト：約cm もも幅：約cm 裾幅：約cm</v>
      </c>
      <c r="AF21" s="77" t="s">
        <v>158</v>
      </c>
      <c r="AH21" s="6"/>
    </row>
    <row r="22" spans="1:34">
      <c r="A22" s="79"/>
      <c r="B22" s="13"/>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row>
    <row r="150" spans="2:2">
      <c r="B150"/>
    </row>
    <row r="151" spans="2:2">
      <c r="B151"/>
    </row>
    <row r="152" spans="2:2">
      <c r="B152"/>
    </row>
    <row r="1048532" spans="10:10">
      <c r="J1048532" s="3"/>
    </row>
  </sheetData>
  <phoneticPr fontId="4"/>
  <conditionalFormatting sqref="B3:B21">
    <cfRule type="duplicateValues" dxfId="52" priority="9"/>
  </conditionalFormatting>
  <conditionalFormatting sqref="D2:D21">
    <cfRule type="cellIs" dxfId="51" priority="7" operator="greaterThanOrEqual">
      <formula>65</formula>
    </cfRule>
    <cfRule type="cellIs" priority="8" operator="greaterThanOrEqual">
      <formula>65</formula>
    </cfRule>
  </conditionalFormatting>
  <conditionalFormatting sqref="B2">
    <cfRule type="duplicateValues" dxfId="50" priority="6"/>
  </conditionalFormatting>
  <conditionalFormatting sqref="B2">
    <cfRule type="duplicateValues" dxfId="49" priority="5"/>
  </conditionalFormatting>
  <conditionalFormatting sqref="B2">
    <cfRule type="duplicateValues" dxfId="48" priority="4"/>
  </conditionalFormatting>
  <conditionalFormatting sqref="B2">
    <cfRule type="duplicateValues" dxfId="47" priority="3"/>
  </conditionalFormatting>
  <conditionalFormatting sqref="B2">
    <cfRule type="duplicateValues" dxfId="46" priority="2"/>
  </conditionalFormatting>
  <conditionalFormatting sqref="B2:B21">
    <cfRule type="duplicateValues" dxfId="45" priority="1"/>
  </conditionalFormatting>
  <dataValidations count="2">
    <dataValidation imeMode="off" allowBlank="1" showInputMessage="1" showErrorMessage="1" sqref="M1:U1048576 B1:B1048576" xr:uid="{209D699B-1D3F-4470-8092-8CFA2FE140EB}"/>
    <dataValidation type="list" allowBlank="1" showInputMessage="1" showErrorMessage="1" sqref="V2:V21" xr:uid="{F5F30C13-AB5C-4F29-944E-F1963AD3285B}">
      <formula1>梱包</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D93C9DBF-2981-4753-BE90-E702AF27D450}">
          <x14:formula1>
            <xm:f>コンディションランク!$A$1:$A$6</xm:f>
          </x14:formula1>
          <xm:sqref>G2:G21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K152"/>
  <sheetViews>
    <sheetView zoomScale="85" zoomScaleNormal="85" workbookViewId="0">
      <pane ySplit="1" topLeftCell="A2" activePane="bottomLeft" state="frozen"/>
      <selection activeCell="B2" sqref="B2"/>
      <selection pane="bottomLeft" activeCell="A3" sqref="A3"/>
    </sheetView>
  </sheetViews>
  <sheetFormatPr defaultRowHeight="13.5"/>
  <cols>
    <col min="1" max="1" width="14" style="9" customWidth="1"/>
    <col min="2" max="2" width="16.25" style="14" customWidth="1"/>
    <col min="3" max="3" width="80.625" customWidth="1"/>
    <col min="4" max="4" width="5.625" customWidth="1"/>
    <col min="5" max="5" width="7" customWidth="1"/>
    <col min="6" max="6" width="0" hidden="1" customWidth="1"/>
    <col min="7" max="7" width="3.625" customWidth="1"/>
    <col min="9" max="9" width="0" hidden="1" customWidth="1"/>
    <col min="11" max="11" width="25" customWidth="1"/>
    <col min="12" max="12" width="12.875" customWidth="1"/>
    <col min="13" max="21" width="6.375" customWidth="1"/>
    <col min="22" max="23" width="11.75" customWidth="1"/>
    <col min="24" max="24" width="10.375" customWidth="1"/>
    <col min="25" max="25" width="58.125" customWidth="1"/>
    <col min="26" max="26" width="26.5" customWidth="1"/>
    <col min="27" max="27" width="17.625" customWidth="1"/>
    <col min="28" max="28" width="6.25" customWidth="1"/>
    <col min="29" max="29" width="43.875" customWidth="1"/>
    <col min="30" max="30" width="8.625" customWidth="1"/>
    <col min="31" max="32" width="43.25" customWidth="1"/>
    <col min="33" max="33" width="16.375" customWidth="1"/>
    <col min="34" max="36" width="9" hidden="1" customWidth="1"/>
    <col min="37" max="37" width="9" customWidth="1"/>
  </cols>
  <sheetData>
    <row r="1" spans="1:37" s="32" customFormat="1">
      <c r="A1" s="37" t="s">
        <v>2641</v>
      </c>
      <c r="B1" s="38" t="s">
        <v>0</v>
      </c>
      <c r="C1" s="8" t="s">
        <v>1</v>
      </c>
      <c r="D1" s="25" t="s">
        <v>145</v>
      </c>
      <c r="E1" s="18" t="s">
        <v>2</v>
      </c>
      <c r="F1" s="19" t="s">
        <v>3</v>
      </c>
      <c r="G1" s="17" t="s">
        <v>4</v>
      </c>
      <c r="H1" s="19" t="s">
        <v>5</v>
      </c>
      <c r="I1" s="19" t="s">
        <v>6</v>
      </c>
      <c r="J1" s="19" t="s">
        <v>7</v>
      </c>
      <c r="K1" s="19" t="s">
        <v>8</v>
      </c>
      <c r="L1" s="18" t="s">
        <v>9</v>
      </c>
      <c r="M1" s="21" t="s">
        <v>30</v>
      </c>
      <c r="N1" s="21" t="s">
        <v>31</v>
      </c>
      <c r="O1" s="21" t="s">
        <v>32</v>
      </c>
      <c r="P1" s="21" t="s">
        <v>40</v>
      </c>
      <c r="Q1" s="21" t="s">
        <v>103</v>
      </c>
      <c r="R1" s="21" t="s">
        <v>33</v>
      </c>
      <c r="S1" s="21" t="s">
        <v>38</v>
      </c>
      <c r="T1" s="21" t="s">
        <v>41</v>
      </c>
      <c r="U1" s="21" t="s">
        <v>42</v>
      </c>
      <c r="V1" s="21" t="s">
        <v>164</v>
      </c>
      <c r="W1" s="21" t="s">
        <v>3054</v>
      </c>
      <c r="X1" s="17" t="s">
        <v>88</v>
      </c>
      <c r="Y1" s="17" t="s">
        <v>84</v>
      </c>
      <c r="Z1" s="17" t="s">
        <v>85</v>
      </c>
      <c r="AA1" s="17" t="s">
        <v>96</v>
      </c>
      <c r="AB1" s="17" t="s">
        <v>157</v>
      </c>
      <c r="AC1" s="17" t="s">
        <v>87</v>
      </c>
      <c r="AD1" s="17" t="s">
        <v>86</v>
      </c>
      <c r="AE1" s="5" t="s">
        <v>3022</v>
      </c>
      <c r="AF1" s="5" t="s">
        <v>3024</v>
      </c>
      <c r="AG1" s="66" t="s">
        <v>98</v>
      </c>
      <c r="AH1" s="16" t="s">
        <v>107</v>
      </c>
      <c r="AI1" s="17" t="s">
        <v>151</v>
      </c>
      <c r="AJ1" s="17" t="s">
        <v>108</v>
      </c>
      <c r="AK1" s="17" t="s">
        <v>109</v>
      </c>
    </row>
    <row r="2" spans="1:37" ht="14.25">
      <c r="A2" s="9" t="s">
        <v>3109</v>
      </c>
      <c r="B2" s="68">
        <v>1212020007924</v>
      </c>
      <c r="C2" t="str">
        <f t="shared" ref="C2:C21" si="0">TRIM(W2&amp;" "&amp;X2&amp;" "&amp;Y2&amp;" "&amp;Z2&amp;" "&amp;AA2&amp;" "&amp;AB2&amp;" "&amp;AC2&amp;" "&amp;L2&amp;" "&amp;K2&amp;" "&amp;AD2&amp;EX&amp;" "&amp;B2)</f>
        <v>◇ fifth フィフス フロントボタン。ウエスト絞り ロング セットアップ サイズS カーキ レディース E 1212020007924</v>
      </c>
      <c r="D2" s="7">
        <f t="shared" ref="D2:D21" si="1">(LENB(C2)-LEN(C2))+(LENB(C2)-(LENB(C2)-LEN(C2))*2)/2</f>
        <v>54</v>
      </c>
      <c r="E2" t="s">
        <v>71</v>
      </c>
      <c r="G2">
        <v>3</v>
      </c>
      <c r="H2" t="str">
        <f>IFERROR(INDEX(コンディションランク!$B$1:$B$6,MATCH($G2,コンディションランク!$A$1:$A$6,0)),"")</f>
        <v>目立った傷や汚れなし</v>
      </c>
      <c r="J2" t="s">
        <v>2924</v>
      </c>
      <c r="K2" t="s">
        <v>3089</v>
      </c>
      <c r="L2" s="9" t="s">
        <v>3105</v>
      </c>
      <c r="M2">
        <v>33</v>
      </c>
      <c r="N2">
        <v>36</v>
      </c>
      <c r="O2">
        <v>32</v>
      </c>
      <c r="P2">
        <v>17</v>
      </c>
      <c r="Q2">
        <v>81</v>
      </c>
      <c r="R2">
        <v>30</v>
      </c>
      <c r="S2">
        <v>45</v>
      </c>
      <c r="T2" s="9" t="str">
        <f t="shared" ref="T2:T5" si="2">L2</f>
        <v>サイズS</v>
      </c>
      <c r="V2" t="s">
        <v>165</v>
      </c>
      <c r="W2" s="32" t="str">
        <f t="shared" ref="W2:W21" si="3">IFERROR(VLOOKUP(V2,梱包サイズ表,2,0),"")</f>
        <v>◇</v>
      </c>
      <c r="Y2" t="s">
        <v>3106</v>
      </c>
      <c r="Z2" t="s">
        <v>3107</v>
      </c>
      <c r="AA2" t="s">
        <v>3080</v>
      </c>
      <c r="AC2" t="s">
        <v>3108</v>
      </c>
      <c r="AD2" t="s">
        <v>3020</v>
      </c>
      <c r="AE2" t="str">
        <f>"【ジャケット】"&amp;T2&amp;"　着丈：約"&amp;M2&amp;"cm　肩幅：約"&amp;N2&amp;"cm　身幅：約"&amp;O2&amp;"cm　袖丈：約"&amp;P2&amp;"cm&lt;br&gt;【スカート】"&amp;U2&amp;"　総丈：約"&amp;Q2&amp;"cm  ウエスト：約"&amp;R2&amp;"cm　ヒップ：約"&amp;S2&amp;"cm"</f>
        <v>【ジャケット】サイズS　着丈：約33cm　肩幅：約36cm　身幅：約32cm　袖丈：約17cm&lt;br&gt;【スカート】　総丈：約81cm  ウエスト：約30cm　ヒップ：約45cm</v>
      </c>
      <c r="AF2" t="str">
        <f>SUBSTITUTE( AE2, "約-", "-" )</f>
        <v>【ジャケット】サイズS　着丈：約33cm　肩幅：約36cm　身幅：約32cm　袖丈：約17cm&lt;br&gt;【スカート】　総丈：約81cm  ウエスト：約30cm　ヒップ：約45cm</v>
      </c>
      <c r="AG2" s="77" t="s">
        <v>3059</v>
      </c>
      <c r="AI2" s="6"/>
      <c r="AK2">
        <v>1000</v>
      </c>
    </row>
    <row r="3" spans="1:37" ht="14.25">
      <c r="A3" s="9" t="s">
        <v>3109</v>
      </c>
      <c r="B3" s="14">
        <v>1212020007726</v>
      </c>
      <c r="C3" t="str">
        <f t="shared" si="0"/>
        <v>◇ La-gemme ラジェム プルオーバー。スウェット素材 ロング セットアップ サイズL グリーン レディース E 1212020007726</v>
      </c>
      <c r="D3" s="7">
        <f t="shared" si="1"/>
        <v>56.5</v>
      </c>
      <c r="E3" t="s">
        <v>71</v>
      </c>
      <c r="G3">
        <v>3</v>
      </c>
      <c r="H3" t="str">
        <f>IFERROR(INDEX(コンディションランク!$B$1:$B$6,MATCH($G3,コンディションランク!$A$1:$A$6,0)),"")</f>
        <v>目立った傷や汚れなし</v>
      </c>
      <c r="J3" t="s">
        <v>2924</v>
      </c>
      <c r="K3" t="s">
        <v>3202</v>
      </c>
      <c r="L3" s="9" t="s">
        <v>3197</v>
      </c>
      <c r="M3">
        <v>50</v>
      </c>
      <c r="N3">
        <v>55</v>
      </c>
      <c r="O3">
        <v>53</v>
      </c>
      <c r="P3">
        <v>53</v>
      </c>
      <c r="Q3">
        <v>84</v>
      </c>
      <c r="R3">
        <v>32</v>
      </c>
      <c r="S3">
        <v>38</v>
      </c>
      <c r="T3" s="9" t="str">
        <f t="shared" si="2"/>
        <v>サイズL</v>
      </c>
      <c r="V3" t="s">
        <v>165</v>
      </c>
      <c r="W3" s="32" t="str">
        <f t="shared" si="3"/>
        <v>◇</v>
      </c>
      <c r="Y3" t="s">
        <v>3203</v>
      </c>
      <c r="Z3" t="s">
        <v>3204</v>
      </c>
      <c r="AA3" t="s">
        <v>3080</v>
      </c>
      <c r="AC3" t="s">
        <v>3108</v>
      </c>
      <c r="AD3" t="s">
        <v>3020</v>
      </c>
      <c r="AE3" t="str">
        <f t="shared" ref="AE3:AE21" si="4">"【ジャケット】"&amp;T3&amp;"　着丈：約"&amp;M3&amp;"cm　肩幅：約"&amp;N3&amp;"cm　身幅：約"&amp;O3&amp;"cm　袖丈：約"&amp;P3&amp;"cm&lt;br&gt;【スカート】"&amp;U3&amp;"　総丈：約"&amp;Q3&amp;"cm  ウエスト：約"&amp;R3&amp;"cm　ヒップ：約"&amp;S3&amp;"cm"</f>
        <v>【ジャケット】サイズL　着丈：約50cm　肩幅：約55cm　身幅：約53cm　袖丈：約53cm&lt;br&gt;【スカート】　総丈：約84cm  ウエスト：約32cm　ヒップ：約38cm</v>
      </c>
      <c r="AF3" t="str">
        <f t="shared" ref="AF3:AF21" si="5">SUBSTITUTE( AE3, "約-", "-" )</f>
        <v>【ジャケット】サイズL　着丈：約50cm　肩幅：約55cm　身幅：約53cm　袖丈：約53cm&lt;br&gt;【スカート】　総丈：約84cm  ウエスト：約32cm　ヒップ：約38cm</v>
      </c>
      <c r="AG3" s="77" t="s">
        <v>3059</v>
      </c>
      <c r="AI3" s="6"/>
      <c r="AK3">
        <v>1000</v>
      </c>
    </row>
    <row r="4" spans="1:37" ht="14.25">
      <c r="C4" t="str">
        <f t="shared" si="0"/>
        <v>◇ サイズ レディース E</v>
      </c>
      <c r="D4" s="7">
        <f t="shared" si="1"/>
        <v>11</v>
      </c>
      <c r="E4" t="s">
        <v>71</v>
      </c>
      <c r="H4" t="str">
        <f>IFERROR(INDEX(コンディションランク!$B$1:$B$6,MATCH($G4,コンディションランク!$A$1:$A$6,0)),"")</f>
        <v/>
      </c>
      <c r="J4" t="s">
        <v>2924</v>
      </c>
      <c r="L4" s="9" t="s">
        <v>3031</v>
      </c>
      <c r="T4" s="9" t="str">
        <f t="shared" si="2"/>
        <v>サイズ</v>
      </c>
      <c r="V4" t="s">
        <v>165</v>
      </c>
      <c r="W4" s="32" t="str">
        <f t="shared" si="3"/>
        <v>◇</v>
      </c>
      <c r="AD4" t="s">
        <v>3020</v>
      </c>
      <c r="AE4" t="str">
        <f t="shared" si="4"/>
        <v>【ジャケット】サイズ　着丈：約cm　肩幅：約cm　身幅：約cm　袖丈：約cm&lt;br&gt;【スカート】　総丈：約cm  ウエスト：約cm　ヒップ：約cm</v>
      </c>
      <c r="AF4" t="str">
        <f t="shared" si="5"/>
        <v>【ジャケット】サイズ　着丈：約cm　肩幅：約cm　身幅：約cm　袖丈：約cm&lt;br&gt;【スカート】　総丈：約cm  ウエスト：約cm　ヒップ：約cm</v>
      </c>
      <c r="AG4" s="77" t="s">
        <v>158</v>
      </c>
      <c r="AI4" s="6"/>
    </row>
    <row r="5" spans="1:37" ht="14.25">
      <c r="C5" t="str">
        <f t="shared" si="0"/>
        <v>◇ サイズ レディース E</v>
      </c>
      <c r="D5" s="7">
        <f t="shared" si="1"/>
        <v>11</v>
      </c>
      <c r="E5" t="s">
        <v>71</v>
      </c>
      <c r="H5" t="str">
        <f>IFERROR(INDEX(コンディションランク!$B$1:$B$6,MATCH($G5,コンディションランク!$A$1:$A$6,0)),"")</f>
        <v/>
      </c>
      <c r="J5" t="s">
        <v>2924</v>
      </c>
      <c r="L5" s="9" t="s">
        <v>3031</v>
      </c>
      <c r="T5" s="9" t="str">
        <f t="shared" si="2"/>
        <v>サイズ</v>
      </c>
      <c r="V5" t="s">
        <v>165</v>
      </c>
      <c r="W5" s="32" t="str">
        <f t="shared" si="3"/>
        <v>◇</v>
      </c>
      <c r="AD5" t="s">
        <v>3020</v>
      </c>
      <c r="AE5" t="str">
        <f t="shared" si="4"/>
        <v>【ジャケット】サイズ　着丈：約cm　肩幅：約cm　身幅：約cm　袖丈：約cm&lt;br&gt;【スカート】　総丈：約cm  ウエスト：約cm　ヒップ：約cm</v>
      </c>
      <c r="AF5" t="str">
        <f t="shared" si="5"/>
        <v>【ジャケット】サイズ　着丈：約cm　肩幅：約cm　身幅：約cm　袖丈：約cm&lt;br&gt;【スカート】　総丈：約cm  ウエスト：約cm　ヒップ：約cm</v>
      </c>
      <c r="AG5" s="77" t="s">
        <v>158</v>
      </c>
      <c r="AI5" s="6"/>
    </row>
    <row r="6" spans="1:37" ht="14.25">
      <c r="C6" t="str">
        <f t="shared" si="0"/>
        <v>◇ サイズ レディース E</v>
      </c>
      <c r="D6" s="7">
        <f t="shared" si="1"/>
        <v>11</v>
      </c>
      <c r="E6" t="s">
        <v>71</v>
      </c>
      <c r="H6" t="str">
        <f>IFERROR(INDEX(コンディションランク!$B$1:$B$6,MATCH($G6,コンディションランク!$A$1:$A$6,0)),"")</f>
        <v/>
      </c>
      <c r="J6" t="s">
        <v>2924</v>
      </c>
      <c r="L6" s="9" t="s">
        <v>3031</v>
      </c>
      <c r="T6" s="9" t="str">
        <f t="shared" ref="T6:T21" si="6">L6</f>
        <v>サイズ</v>
      </c>
      <c r="V6" t="s">
        <v>165</v>
      </c>
      <c r="W6" s="32" t="str">
        <f t="shared" si="3"/>
        <v>◇</v>
      </c>
      <c r="AD6" t="s">
        <v>3020</v>
      </c>
      <c r="AE6" t="str">
        <f t="shared" si="4"/>
        <v>【ジャケット】サイズ　着丈：約cm　肩幅：約cm　身幅：約cm　袖丈：約cm&lt;br&gt;【スカート】　総丈：約cm  ウエスト：約cm　ヒップ：約cm</v>
      </c>
      <c r="AF6" t="str">
        <f t="shared" si="5"/>
        <v>【ジャケット】サイズ　着丈：約cm　肩幅：約cm　身幅：約cm　袖丈：約cm&lt;br&gt;【スカート】　総丈：約cm  ウエスト：約cm　ヒップ：約cm</v>
      </c>
      <c r="AG6" s="77" t="s">
        <v>158</v>
      </c>
      <c r="AI6" s="6"/>
    </row>
    <row r="7" spans="1:37" ht="14.25">
      <c r="C7" t="str">
        <f t="shared" si="0"/>
        <v>◇ サイズ レディース E</v>
      </c>
      <c r="D7" s="7">
        <f t="shared" si="1"/>
        <v>11</v>
      </c>
      <c r="E7" t="s">
        <v>71</v>
      </c>
      <c r="H7" t="str">
        <f>IFERROR(INDEX(コンディションランク!$B$1:$B$6,MATCH($G7,コンディションランク!$A$1:$A$6,0)),"")</f>
        <v/>
      </c>
      <c r="J7" t="s">
        <v>2924</v>
      </c>
      <c r="L7" s="9" t="s">
        <v>3031</v>
      </c>
      <c r="T7" s="9" t="str">
        <f t="shared" si="6"/>
        <v>サイズ</v>
      </c>
      <c r="V7" t="s">
        <v>165</v>
      </c>
      <c r="W7" s="32" t="str">
        <f t="shared" si="3"/>
        <v>◇</v>
      </c>
      <c r="AD7" t="s">
        <v>3020</v>
      </c>
      <c r="AE7" t="str">
        <f t="shared" si="4"/>
        <v>【ジャケット】サイズ　着丈：約cm　肩幅：約cm　身幅：約cm　袖丈：約cm&lt;br&gt;【スカート】　総丈：約cm  ウエスト：約cm　ヒップ：約cm</v>
      </c>
      <c r="AF7" t="str">
        <f t="shared" si="5"/>
        <v>【ジャケット】サイズ　着丈：約cm　肩幅：約cm　身幅：約cm　袖丈：約cm&lt;br&gt;【スカート】　総丈：約cm  ウエスト：約cm　ヒップ：約cm</v>
      </c>
      <c r="AG7" s="77" t="s">
        <v>158</v>
      </c>
      <c r="AI7" s="6"/>
    </row>
    <row r="8" spans="1:37" ht="14.25">
      <c r="C8" t="str">
        <f t="shared" si="0"/>
        <v>◇ サイズ レディース E</v>
      </c>
      <c r="D8" s="7">
        <f t="shared" si="1"/>
        <v>11</v>
      </c>
      <c r="E8" t="s">
        <v>71</v>
      </c>
      <c r="H8" t="str">
        <f>IFERROR(INDEX(コンディションランク!$B$1:$B$6,MATCH($G8,コンディションランク!$A$1:$A$6,0)),"")</f>
        <v/>
      </c>
      <c r="J8" t="s">
        <v>2924</v>
      </c>
      <c r="L8" s="9" t="s">
        <v>3031</v>
      </c>
      <c r="T8" s="9" t="str">
        <f t="shared" si="6"/>
        <v>サイズ</v>
      </c>
      <c r="V8" t="s">
        <v>165</v>
      </c>
      <c r="W8" s="32" t="str">
        <f t="shared" si="3"/>
        <v>◇</v>
      </c>
      <c r="AD8" t="s">
        <v>3020</v>
      </c>
      <c r="AE8" t="str">
        <f t="shared" si="4"/>
        <v>【ジャケット】サイズ　着丈：約cm　肩幅：約cm　身幅：約cm　袖丈：約cm&lt;br&gt;【スカート】　総丈：約cm  ウエスト：約cm　ヒップ：約cm</v>
      </c>
      <c r="AF8" t="str">
        <f t="shared" si="5"/>
        <v>【ジャケット】サイズ　着丈：約cm　肩幅：約cm　身幅：約cm　袖丈：約cm&lt;br&gt;【スカート】　総丈：約cm  ウエスト：約cm　ヒップ：約cm</v>
      </c>
      <c r="AG8" s="77" t="s">
        <v>158</v>
      </c>
      <c r="AI8" s="6"/>
    </row>
    <row r="9" spans="1:37" ht="14.25">
      <c r="C9" t="str">
        <f t="shared" si="0"/>
        <v>◇ サイズ レディース E</v>
      </c>
      <c r="D9" s="7">
        <f t="shared" si="1"/>
        <v>11</v>
      </c>
      <c r="E9" t="s">
        <v>71</v>
      </c>
      <c r="H9" t="str">
        <f>IFERROR(INDEX(コンディションランク!$B$1:$B$6,MATCH($G9,コンディションランク!$A$1:$A$6,0)),"")</f>
        <v/>
      </c>
      <c r="J9" t="s">
        <v>2924</v>
      </c>
      <c r="L9" s="9" t="s">
        <v>3031</v>
      </c>
      <c r="T9" s="9" t="str">
        <f t="shared" si="6"/>
        <v>サイズ</v>
      </c>
      <c r="V9" t="s">
        <v>165</v>
      </c>
      <c r="W9" s="32" t="str">
        <f t="shared" si="3"/>
        <v>◇</v>
      </c>
      <c r="AD9" t="s">
        <v>3020</v>
      </c>
      <c r="AE9" t="str">
        <f t="shared" si="4"/>
        <v>【ジャケット】サイズ　着丈：約cm　肩幅：約cm　身幅：約cm　袖丈：約cm&lt;br&gt;【スカート】　総丈：約cm  ウエスト：約cm　ヒップ：約cm</v>
      </c>
      <c r="AF9" t="str">
        <f t="shared" si="5"/>
        <v>【ジャケット】サイズ　着丈：約cm　肩幅：約cm　身幅：約cm　袖丈：約cm&lt;br&gt;【スカート】　総丈：約cm  ウエスト：約cm　ヒップ：約cm</v>
      </c>
      <c r="AG9" s="77" t="s">
        <v>158</v>
      </c>
      <c r="AI9" s="6"/>
    </row>
    <row r="10" spans="1:37" ht="14.25">
      <c r="C10" t="str">
        <f t="shared" si="0"/>
        <v>◇ サイズ レディース E</v>
      </c>
      <c r="D10" s="7">
        <f t="shared" si="1"/>
        <v>11</v>
      </c>
      <c r="E10" t="s">
        <v>71</v>
      </c>
      <c r="H10" t="str">
        <f>IFERROR(INDEX(コンディションランク!$B$1:$B$6,MATCH($G10,コンディションランク!$A$1:$A$6,0)),"")</f>
        <v/>
      </c>
      <c r="J10" t="s">
        <v>2924</v>
      </c>
      <c r="L10" s="9" t="s">
        <v>3031</v>
      </c>
      <c r="T10" s="9" t="str">
        <f t="shared" si="6"/>
        <v>サイズ</v>
      </c>
      <c r="V10" t="s">
        <v>165</v>
      </c>
      <c r="W10" s="32" t="str">
        <f t="shared" si="3"/>
        <v>◇</v>
      </c>
      <c r="AD10" t="s">
        <v>3020</v>
      </c>
      <c r="AE10" t="str">
        <f t="shared" si="4"/>
        <v>【ジャケット】サイズ　着丈：約cm　肩幅：約cm　身幅：約cm　袖丈：約cm&lt;br&gt;【スカート】　総丈：約cm  ウエスト：約cm　ヒップ：約cm</v>
      </c>
      <c r="AF10" t="str">
        <f t="shared" si="5"/>
        <v>【ジャケット】サイズ　着丈：約cm　肩幅：約cm　身幅：約cm　袖丈：約cm&lt;br&gt;【スカート】　総丈：約cm  ウエスト：約cm　ヒップ：約cm</v>
      </c>
      <c r="AG10" s="77" t="s">
        <v>158</v>
      </c>
      <c r="AI10" s="6"/>
    </row>
    <row r="11" spans="1:37" ht="14.25">
      <c r="C11" t="str">
        <f t="shared" si="0"/>
        <v>◇ サイズ レディース E</v>
      </c>
      <c r="D11" s="7">
        <f t="shared" si="1"/>
        <v>11</v>
      </c>
      <c r="E11" t="s">
        <v>71</v>
      </c>
      <c r="H11" t="str">
        <f>IFERROR(INDEX(コンディションランク!$B$1:$B$6,MATCH($G11,コンディションランク!$A$1:$A$6,0)),"")</f>
        <v/>
      </c>
      <c r="J11" t="s">
        <v>2924</v>
      </c>
      <c r="L11" s="9" t="s">
        <v>3031</v>
      </c>
      <c r="T11" s="9" t="str">
        <f t="shared" si="6"/>
        <v>サイズ</v>
      </c>
      <c r="V11" t="s">
        <v>165</v>
      </c>
      <c r="W11" s="32" t="str">
        <f t="shared" si="3"/>
        <v>◇</v>
      </c>
      <c r="AD11" t="s">
        <v>3020</v>
      </c>
      <c r="AE11" t="str">
        <f t="shared" si="4"/>
        <v>【ジャケット】サイズ　着丈：約cm　肩幅：約cm　身幅：約cm　袖丈：約cm&lt;br&gt;【スカート】　総丈：約cm  ウエスト：約cm　ヒップ：約cm</v>
      </c>
      <c r="AF11" t="str">
        <f t="shared" si="5"/>
        <v>【ジャケット】サイズ　着丈：約cm　肩幅：約cm　身幅：約cm　袖丈：約cm&lt;br&gt;【スカート】　総丈：約cm  ウエスト：約cm　ヒップ：約cm</v>
      </c>
      <c r="AG11" s="77" t="s">
        <v>158</v>
      </c>
      <c r="AI11" s="6"/>
    </row>
    <row r="12" spans="1:37" ht="14.25">
      <c r="C12" t="str">
        <f t="shared" si="0"/>
        <v>◇ サイズ レディース E</v>
      </c>
      <c r="D12" s="7">
        <f t="shared" si="1"/>
        <v>11</v>
      </c>
      <c r="E12" t="s">
        <v>71</v>
      </c>
      <c r="H12" t="str">
        <f>IFERROR(INDEX(コンディションランク!$B$1:$B$6,MATCH($G12,コンディションランク!$A$1:$A$6,0)),"")</f>
        <v/>
      </c>
      <c r="J12" t="s">
        <v>2924</v>
      </c>
      <c r="L12" s="9" t="s">
        <v>3031</v>
      </c>
      <c r="T12" s="9" t="str">
        <f t="shared" si="6"/>
        <v>サイズ</v>
      </c>
      <c r="V12" t="s">
        <v>165</v>
      </c>
      <c r="W12" s="32" t="str">
        <f t="shared" si="3"/>
        <v>◇</v>
      </c>
      <c r="AD12" t="s">
        <v>3020</v>
      </c>
      <c r="AE12" t="str">
        <f t="shared" si="4"/>
        <v>【ジャケット】サイズ　着丈：約cm　肩幅：約cm　身幅：約cm　袖丈：約cm&lt;br&gt;【スカート】　総丈：約cm  ウエスト：約cm　ヒップ：約cm</v>
      </c>
      <c r="AF12" t="str">
        <f t="shared" si="5"/>
        <v>【ジャケット】サイズ　着丈：約cm　肩幅：約cm　身幅：約cm　袖丈：約cm&lt;br&gt;【スカート】　総丈：約cm  ウエスト：約cm　ヒップ：約cm</v>
      </c>
      <c r="AG12" s="77" t="s">
        <v>158</v>
      </c>
      <c r="AI12" s="6"/>
    </row>
    <row r="13" spans="1:37" ht="14.25">
      <c r="C13" t="str">
        <f t="shared" si="0"/>
        <v>◇ サイズ レディース E</v>
      </c>
      <c r="D13" s="7">
        <f t="shared" si="1"/>
        <v>11</v>
      </c>
      <c r="E13" t="s">
        <v>71</v>
      </c>
      <c r="H13" t="str">
        <f>IFERROR(INDEX(コンディションランク!$B$1:$B$6,MATCH($G13,コンディションランク!$A$1:$A$6,0)),"")</f>
        <v/>
      </c>
      <c r="J13" t="s">
        <v>2924</v>
      </c>
      <c r="L13" s="9" t="s">
        <v>3031</v>
      </c>
      <c r="T13" s="9" t="str">
        <f t="shared" si="6"/>
        <v>サイズ</v>
      </c>
      <c r="V13" t="s">
        <v>165</v>
      </c>
      <c r="W13" s="32" t="str">
        <f t="shared" si="3"/>
        <v>◇</v>
      </c>
      <c r="AD13" t="s">
        <v>3020</v>
      </c>
      <c r="AE13" t="str">
        <f t="shared" si="4"/>
        <v>【ジャケット】サイズ　着丈：約cm　肩幅：約cm　身幅：約cm　袖丈：約cm&lt;br&gt;【スカート】　総丈：約cm  ウエスト：約cm　ヒップ：約cm</v>
      </c>
      <c r="AF13" t="str">
        <f t="shared" si="5"/>
        <v>【ジャケット】サイズ　着丈：約cm　肩幅：約cm　身幅：約cm　袖丈：約cm&lt;br&gt;【スカート】　総丈：約cm  ウエスト：約cm　ヒップ：約cm</v>
      </c>
      <c r="AG13" s="77" t="s">
        <v>158</v>
      </c>
      <c r="AI13" s="6"/>
    </row>
    <row r="14" spans="1:37" ht="14.25">
      <c r="C14" t="str">
        <f t="shared" si="0"/>
        <v>◇ サイズ レディース E</v>
      </c>
      <c r="D14" s="7">
        <f t="shared" si="1"/>
        <v>11</v>
      </c>
      <c r="E14" t="s">
        <v>71</v>
      </c>
      <c r="H14" t="str">
        <f>IFERROR(INDEX(コンディションランク!$B$1:$B$6,MATCH($G14,コンディションランク!$A$1:$A$6,0)),"")</f>
        <v/>
      </c>
      <c r="J14" t="s">
        <v>2924</v>
      </c>
      <c r="L14" s="9" t="s">
        <v>3031</v>
      </c>
      <c r="T14" s="9" t="str">
        <f t="shared" si="6"/>
        <v>サイズ</v>
      </c>
      <c r="V14" t="s">
        <v>165</v>
      </c>
      <c r="W14" s="32" t="str">
        <f t="shared" si="3"/>
        <v>◇</v>
      </c>
      <c r="AD14" t="s">
        <v>3020</v>
      </c>
      <c r="AE14" t="str">
        <f t="shared" si="4"/>
        <v>【ジャケット】サイズ　着丈：約cm　肩幅：約cm　身幅：約cm　袖丈：約cm&lt;br&gt;【スカート】　総丈：約cm  ウエスト：約cm　ヒップ：約cm</v>
      </c>
      <c r="AF14" t="str">
        <f t="shared" si="5"/>
        <v>【ジャケット】サイズ　着丈：約cm　肩幅：約cm　身幅：約cm　袖丈：約cm&lt;br&gt;【スカート】　総丈：約cm  ウエスト：約cm　ヒップ：約cm</v>
      </c>
      <c r="AG14" s="77" t="s">
        <v>158</v>
      </c>
      <c r="AI14" s="6"/>
    </row>
    <row r="15" spans="1:37" ht="14.25">
      <c r="C15" t="str">
        <f t="shared" si="0"/>
        <v>◇ サイズ レディース E</v>
      </c>
      <c r="D15" s="7">
        <f t="shared" si="1"/>
        <v>11</v>
      </c>
      <c r="E15" t="s">
        <v>71</v>
      </c>
      <c r="H15" t="str">
        <f>IFERROR(INDEX(コンディションランク!$B$1:$B$6,MATCH($G15,コンディションランク!$A$1:$A$6,0)),"")</f>
        <v/>
      </c>
      <c r="J15" t="s">
        <v>2924</v>
      </c>
      <c r="L15" s="9" t="s">
        <v>3031</v>
      </c>
      <c r="T15" s="9" t="str">
        <f t="shared" si="6"/>
        <v>サイズ</v>
      </c>
      <c r="V15" t="s">
        <v>165</v>
      </c>
      <c r="W15" s="32" t="str">
        <f t="shared" si="3"/>
        <v>◇</v>
      </c>
      <c r="AD15" t="s">
        <v>3020</v>
      </c>
      <c r="AE15" t="str">
        <f t="shared" si="4"/>
        <v>【ジャケット】サイズ　着丈：約cm　肩幅：約cm　身幅：約cm　袖丈：約cm&lt;br&gt;【スカート】　総丈：約cm  ウエスト：約cm　ヒップ：約cm</v>
      </c>
      <c r="AF15" t="str">
        <f t="shared" si="5"/>
        <v>【ジャケット】サイズ　着丈：約cm　肩幅：約cm　身幅：約cm　袖丈：約cm&lt;br&gt;【スカート】　総丈：約cm  ウエスト：約cm　ヒップ：約cm</v>
      </c>
      <c r="AG15" s="77" t="s">
        <v>158</v>
      </c>
      <c r="AI15" s="6"/>
    </row>
    <row r="16" spans="1:37" ht="14.25">
      <c r="C16" t="str">
        <f t="shared" si="0"/>
        <v>◇ サイズ レディース E</v>
      </c>
      <c r="D16" s="7">
        <f t="shared" si="1"/>
        <v>11</v>
      </c>
      <c r="E16" t="s">
        <v>71</v>
      </c>
      <c r="H16" t="str">
        <f>IFERROR(INDEX(コンディションランク!$B$1:$B$6,MATCH($G16,コンディションランク!$A$1:$A$6,0)),"")</f>
        <v/>
      </c>
      <c r="J16" t="s">
        <v>2924</v>
      </c>
      <c r="L16" s="9" t="s">
        <v>3031</v>
      </c>
      <c r="T16" s="9" t="str">
        <f t="shared" si="6"/>
        <v>サイズ</v>
      </c>
      <c r="V16" t="s">
        <v>165</v>
      </c>
      <c r="W16" s="32" t="str">
        <f t="shared" si="3"/>
        <v>◇</v>
      </c>
      <c r="AD16" t="s">
        <v>3020</v>
      </c>
      <c r="AE16" t="str">
        <f t="shared" si="4"/>
        <v>【ジャケット】サイズ　着丈：約cm　肩幅：約cm　身幅：約cm　袖丈：約cm&lt;br&gt;【スカート】　総丈：約cm  ウエスト：約cm　ヒップ：約cm</v>
      </c>
      <c r="AF16" t="str">
        <f t="shared" si="5"/>
        <v>【ジャケット】サイズ　着丈：約cm　肩幅：約cm　身幅：約cm　袖丈：約cm&lt;br&gt;【スカート】　総丈：約cm  ウエスト：約cm　ヒップ：約cm</v>
      </c>
      <c r="AG16" s="77" t="s">
        <v>158</v>
      </c>
      <c r="AI16" s="6"/>
    </row>
    <row r="17" spans="1:35" ht="14.25">
      <c r="C17" t="str">
        <f t="shared" si="0"/>
        <v>◇ サイズ レディース E</v>
      </c>
      <c r="D17" s="7">
        <f t="shared" si="1"/>
        <v>11</v>
      </c>
      <c r="E17" t="s">
        <v>71</v>
      </c>
      <c r="H17" t="str">
        <f>IFERROR(INDEX(コンディションランク!$B$1:$B$6,MATCH($G17,コンディションランク!$A$1:$A$6,0)),"")</f>
        <v/>
      </c>
      <c r="J17" t="s">
        <v>2924</v>
      </c>
      <c r="L17" s="9" t="s">
        <v>3031</v>
      </c>
      <c r="T17" s="9" t="str">
        <f t="shared" si="6"/>
        <v>サイズ</v>
      </c>
      <c r="V17" t="s">
        <v>165</v>
      </c>
      <c r="W17" s="32" t="str">
        <f t="shared" si="3"/>
        <v>◇</v>
      </c>
      <c r="AD17" t="s">
        <v>3020</v>
      </c>
      <c r="AE17" t="str">
        <f t="shared" si="4"/>
        <v>【ジャケット】サイズ　着丈：約cm　肩幅：約cm　身幅：約cm　袖丈：約cm&lt;br&gt;【スカート】　総丈：約cm  ウエスト：約cm　ヒップ：約cm</v>
      </c>
      <c r="AF17" t="str">
        <f t="shared" si="5"/>
        <v>【ジャケット】サイズ　着丈：約cm　肩幅：約cm　身幅：約cm　袖丈：約cm&lt;br&gt;【スカート】　総丈：約cm  ウエスト：約cm　ヒップ：約cm</v>
      </c>
      <c r="AG17" s="77" t="s">
        <v>158</v>
      </c>
      <c r="AI17" s="6"/>
    </row>
    <row r="18" spans="1:35" ht="14.25">
      <c r="C18" t="str">
        <f t="shared" si="0"/>
        <v>◇ サイズ レディース E</v>
      </c>
      <c r="D18" s="7">
        <f t="shared" si="1"/>
        <v>11</v>
      </c>
      <c r="E18" t="s">
        <v>71</v>
      </c>
      <c r="H18" t="str">
        <f>IFERROR(INDEX(コンディションランク!$B$1:$B$6,MATCH($G18,コンディションランク!$A$1:$A$6,0)),"")</f>
        <v/>
      </c>
      <c r="J18" t="s">
        <v>2924</v>
      </c>
      <c r="L18" s="9" t="s">
        <v>3031</v>
      </c>
      <c r="T18" s="9" t="str">
        <f t="shared" si="6"/>
        <v>サイズ</v>
      </c>
      <c r="V18" t="s">
        <v>165</v>
      </c>
      <c r="W18" s="32" t="str">
        <f t="shared" si="3"/>
        <v>◇</v>
      </c>
      <c r="AD18" t="s">
        <v>3020</v>
      </c>
      <c r="AE18" t="str">
        <f t="shared" si="4"/>
        <v>【ジャケット】サイズ　着丈：約cm　肩幅：約cm　身幅：約cm　袖丈：約cm&lt;br&gt;【スカート】　総丈：約cm  ウエスト：約cm　ヒップ：約cm</v>
      </c>
      <c r="AF18" t="str">
        <f t="shared" si="5"/>
        <v>【ジャケット】サイズ　着丈：約cm　肩幅：約cm　身幅：約cm　袖丈：約cm&lt;br&gt;【スカート】　総丈：約cm  ウエスト：約cm　ヒップ：約cm</v>
      </c>
      <c r="AG18" s="77" t="s">
        <v>158</v>
      </c>
      <c r="AI18" s="6"/>
    </row>
    <row r="19" spans="1:35" ht="14.25">
      <c r="C19" t="str">
        <f t="shared" si="0"/>
        <v>◇ サイズ レディース E</v>
      </c>
      <c r="D19" s="7">
        <f t="shared" si="1"/>
        <v>11</v>
      </c>
      <c r="E19" t="s">
        <v>71</v>
      </c>
      <c r="H19" t="str">
        <f>IFERROR(INDEX(コンディションランク!$B$1:$B$6,MATCH($G19,コンディションランク!$A$1:$A$6,0)),"")</f>
        <v/>
      </c>
      <c r="J19" t="s">
        <v>2924</v>
      </c>
      <c r="L19" s="9" t="s">
        <v>3031</v>
      </c>
      <c r="T19" s="9" t="str">
        <f t="shared" si="6"/>
        <v>サイズ</v>
      </c>
      <c r="V19" t="s">
        <v>165</v>
      </c>
      <c r="W19" s="32" t="str">
        <f t="shared" si="3"/>
        <v>◇</v>
      </c>
      <c r="AD19" t="s">
        <v>3020</v>
      </c>
      <c r="AE19" t="str">
        <f t="shared" si="4"/>
        <v>【ジャケット】サイズ　着丈：約cm　肩幅：約cm　身幅：約cm　袖丈：約cm&lt;br&gt;【スカート】　総丈：約cm  ウエスト：約cm　ヒップ：約cm</v>
      </c>
      <c r="AF19" t="str">
        <f t="shared" si="5"/>
        <v>【ジャケット】サイズ　着丈：約cm　肩幅：約cm　身幅：約cm　袖丈：約cm&lt;br&gt;【スカート】　総丈：約cm  ウエスト：約cm　ヒップ：約cm</v>
      </c>
      <c r="AG19" s="77" t="s">
        <v>158</v>
      </c>
      <c r="AI19" s="6"/>
    </row>
    <row r="20" spans="1:35" ht="14.25">
      <c r="C20" t="str">
        <f t="shared" si="0"/>
        <v>◇ サイズ レディース E</v>
      </c>
      <c r="D20" s="7">
        <f t="shared" si="1"/>
        <v>11</v>
      </c>
      <c r="E20" t="s">
        <v>71</v>
      </c>
      <c r="H20" t="str">
        <f>IFERROR(INDEX(コンディションランク!$B$1:$B$6,MATCH($G20,コンディションランク!$A$1:$A$6,0)),"")</f>
        <v/>
      </c>
      <c r="J20" t="s">
        <v>2924</v>
      </c>
      <c r="L20" s="9" t="s">
        <v>3031</v>
      </c>
      <c r="T20" s="9" t="str">
        <f t="shared" si="6"/>
        <v>サイズ</v>
      </c>
      <c r="V20" t="s">
        <v>165</v>
      </c>
      <c r="W20" s="32" t="str">
        <f t="shared" si="3"/>
        <v>◇</v>
      </c>
      <c r="AD20" t="s">
        <v>3020</v>
      </c>
      <c r="AE20" t="str">
        <f t="shared" si="4"/>
        <v>【ジャケット】サイズ　着丈：約cm　肩幅：約cm　身幅：約cm　袖丈：約cm&lt;br&gt;【スカート】　総丈：約cm  ウエスト：約cm　ヒップ：約cm</v>
      </c>
      <c r="AF20" t="str">
        <f t="shared" si="5"/>
        <v>【ジャケット】サイズ　着丈：約cm　肩幅：約cm　身幅：約cm　袖丈：約cm&lt;br&gt;【スカート】　総丈：約cm  ウエスト：約cm　ヒップ：約cm</v>
      </c>
      <c r="AG20" s="77" t="s">
        <v>158</v>
      </c>
      <c r="AI20" s="6"/>
    </row>
    <row r="21" spans="1:35" ht="14.25">
      <c r="C21" t="str">
        <f t="shared" si="0"/>
        <v>◇ サイズ レディース E</v>
      </c>
      <c r="D21" s="7">
        <f t="shared" si="1"/>
        <v>11</v>
      </c>
      <c r="E21" t="s">
        <v>71</v>
      </c>
      <c r="H21" t="str">
        <f>IFERROR(INDEX(コンディションランク!$B$1:$B$6,MATCH($G21,コンディションランク!$A$1:$A$6,0)),"")</f>
        <v/>
      </c>
      <c r="J21" t="s">
        <v>2924</v>
      </c>
      <c r="L21" s="9" t="s">
        <v>3031</v>
      </c>
      <c r="T21" s="9" t="str">
        <f t="shared" si="6"/>
        <v>サイズ</v>
      </c>
      <c r="V21" t="s">
        <v>165</v>
      </c>
      <c r="W21" s="32" t="str">
        <f t="shared" si="3"/>
        <v>◇</v>
      </c>
      <c r="AD21" t="s">
        <v>3020</v>
      </c>
      <c r="AE21" t="str">
        <f t="shared" si="4"/>
        <v>【ジャケット】サイズ　着丈：約cm　肩幅：約cm　身幅：約cm　袖丈：約cm&lt;br&gt;【スカート】　総丈：約cm  ウエスト：約cm　ヒップ：約cm</v>
      </c>
      <c r="AF21" t="str">
        <f t="shared" si="5"/>
        <v>【ジャケット】サイズ　着丈：約cm　肩幅：約cm　身幅：約cm　袖丈：約cm&lt;br&gt;【スカート】　総丈：約cm  ウエスト：約cm　ヒップ：約cm</v>
      </c>
      <c r="AG21" s="77" t="s">
        <v>158</v>
      </c>
      <c r="AI21" s="6"/>
    </row>
    <row r="22" spans="1:35">
      <c r="A22" s="79"/>
      <c r="B22" s="4"/>
      <c r="C22" s="4"/>
      <c r="D22" s="4"/>
      <c r="E22" s="4"/>
      <c r="F22" s="4"/>
      <c r="G22" s="4"/>
      <c r="H22" s="4"/>
      <c r="I22" s="4"/>
      <c r="J22" s="4"/>
      <c r="K22" s="4"/>
      <c r="L22" s="4"/>
      <c r="M22" s="4"/>
      <c r="N22" s="4"/>
      <c r="O22" s="4"/>
      <c r="P22" s="4"/>
      <c r="Q22" s="4"/>
      <c r="R22" s="4"/>
      <c r="S22" s="4"/>
      <c r="T22" s="4"/>
      <c r="U22" s="4"/>
      <c r="V22" s="4"/>
      <c r="W22" s="85"/>
      <c r="X22" s="4"/>
      <c r="Y22" s="4"/>
      <c r="Z22" s="4"/>
      <c r="AA22" s="4"/>
      <c r="AB22" s="4"/>
      <c r="AC22" s="4"/>
      <c r="AD22" s="4"/>
      <c r="AE22" s="4"/>
      <c r="AF22" s="4"/>
      <c r="AG22" s="4"/>
    </row>
    <row r="150" spans="2:2">
      <c r="B150"/>
    </row>
    <row r="151" spans="2:2">
      <c r="B151"/>
    </row>
    <row r="152" spans="2:2">
      <c r="B152"/>
    </row>
  </sheetData>
  <phoneticPr fontId="4"/>
  <conditionalFormatting sqref="B3:B21">
    <cfRule type="duplicateValues" dxfId="44" priority="8"/>
  </conditionalFormatting>
  <conditionalFormatting sqref="D2:D21">
    <cfRule type="cellIs" dxfId="43" priority="7" operator="greaterThanOrEqual">
      <formula>65</formula>
    </cfRule>
  </conditionalFormatting>
  <conditionalFormatting sqref="B2">
    <cfRule type="duplicateValues" dxfId="42" priority="6"/>
  </conditionalFormatting>
  <conditionalFormatting sqref="B2">
    <cfRule type="duplicateValues" dxfId="41" priority="5"/>
  </conditionalFormatting>
  <conditionalFormatting sqref="B2">
    <cfRule type="duplicateValues" dxfId="40" priority="4"/>
  </conditionalFormatting>
  <conditionalFormatting sqref="B2">
    <cfRule type="duplicateValues" dxfId="39" priority="3"/>
  </conditionalFormatting>
  <conditionalFormatting sqref="B2">
    <cfRule type="duplicateValues" dxfId="38" priority="2"/>
  </conditionalFormatting>
  <conditionalFormatting sqref="B2:B21">
    <cfRule type="duplicateValues" dxfId="37" priority="1"/>
  </conditionalFormatting>
  <dataValidations count="2">
    <dataValidation imeMode="off" allowBlank="1" showInputMessage="1" showErrorMessage="1" sqref="M1:S1048576 B1:B1048576" xr:uid="{0440B992-ADCF-4F6F-BF6B-1A9F273CFE33}"/>
    <dataValidation type="list" allowBlank="1" showInputMessage="1" showErrorMessage="1" sqref="V2:V21" xr:uid="{F9CDC127-E934-44C7-A272-37CC46AD85D4}">
      <formula1>梱包</formula1>
    </dataValidation>
  </dataValidation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496AD71C-9D01-4C33-825E-BFD9A4B16870}">
          <x14:formula1>
            <xm:f>コンディションランク!$A$1:$A$6</xm:f>
          </x14:formula1>
          <xm:sqref>G2:G21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AS1048576"/>
  <sheetViews>
    <sheetView zoomScale="85" zoomScaleNormal="85" workbookViewId="0">
      <pane ySplit="1" topLeftCell="A2" activePane="bottomLeft" state="frozen"/>
      <selection activeCell="B2" sqref="B2"/>
      <selection pane="bottomLeft" activeCell="B2" sqref="B2"/>
    </sheetView>
  </sheetViews>
  <sheetFormatPr defaultRowHeight="13.5"/>
  <cols>
    <col min="1" max="1" width="14" style="9" customWidth="1"/>
    <col min="2" max="2" width="16.25" style="14" customWidth="1"/>
    <col min="3" max="3" width="80.625" customWidth="1"/>
    <col min="4" max="4" width="5.625" customWidth="1"/>
    <col min="5" max="5" width="4.625" customWidth="1"/>
    <col min="6" max="6" width="9" hidden="1" customWidth="1"/>
    <col min="7" max="7" width="3.625" customWidth="1"/>
    <col min="8" max="8" width="9" customWidth="1"/>
    <col min="9" max="9" width="20.5" customWidth="1"/>
    <col min="10" max="10" width="17.625" customWidth="1"/>
    <col min="11" max="11" width="16.5" customWidth="1"/>
    <col min="12" max="12" width="20" customWidth="1"/>
    <col min="13" max="13" width="11" customWidth="1"/>
    <col min="16" max="16" width="30" customWidth="1"/>
    <col min="17" max="17" width="12.625" customWidth="1"/>
    <col min="18" max="24" width="4.375" customWidth="1"/>
    <col min="25" max="25" width="5" customWidth="1"/>
    <col min="26" max="26" width="4.375" customWidth="1"/>
    <col min="27" max="27" width="7.75" customWidth="1"/>
    <col min="28" max="28" width="15.375" customWidth="1"/>
    <col min="29" max="30" width="11.75" customWidth="1"/>
    <col min="31" max="31" width="7" customWidth="1"/>
    <col min="32" max="32" width="52.75" customWidth="1"/>
    <col min="33" max="33" width="42.375" customWidth="1"/>
    <col min="34" max="34" width="12.75" customWidth="1"/>
    <col min="35" max="35" width="39.125" customWidth="1"/>
    <col min="37" max="38" width="30.75" customWidth="1"/>
    <col min="39" max="40" width="31.25" hidden="1" customWidth="1"/>
    <col min="41" max="41" width="11.5" customWidth="1"/>
    <col min="42" max="44" width="9" hidden="1" customWidth="1"/>
  </cols>
  <sheetData>
    <row r="1" spans="1:45" s="32" customFormat="1">
      <c r="A1" s="37" t="s">
        <v>2641</v>
      </c>
      <c r="B1" s="38" t="s">
        <v>0</v>
      </c>
      <c r="C1" s="8" t="s">
        <v>1</v>
      </c>
      <c r="D1" s="25" t="s">
        <v>145</v>
      </c>
      <c r="E1" s="18" t="s">
        <v>2</v>
      </c>
      <c r="F1" s="19" t="s">
        <v>3</v>
      </c>
      <c r="G1" s="17" t="s">
        <v>4</v>
      </c>
      <c r="H1" s="19" t="s">
        <v>5</v>
      </c>
      <c r="I1" s="19" t="s">
        <v>44</v>
      </c>
      <c r="J1" s="19" t="s">
        <v>45</v>
      </c>
      <c r="K1" s="19" t="s">
        <v>49</v>
      </c>
      <c r="L1" s="19" t="s">
        <v>46</v>
      </c>
      <c r="M1" s="19" t="s">
        <v>47</v>
      </c>
      <c r="N1" s="19" t="s">
        <v>48</v>
      </c>
      <c r="O1" s="19" t="s">
        <v>50</v>
      </c>
      <c r="P1" s="19" t="s">
        <v>8</v>
      </c>
      <c r="Q1" s="18" t="s">
        <v>9</v>
      </c>
      <c r="R1" s="21" t="s">
        <v>30</v>
      </c>
      <c r="S1" s="21" t="s">
        <v>31</v>
      </c>
      <c r="T1" s="21" t="s">
        <v>32</v>
      </c>
      <c r="U1" s="21" t="s">
        <v>40</v>
      </c>
      <c r="V1" s="21" t="s">
        <v>51</v>
      </c>
      <c r="W1" s="21" t="s">
        <v>52</v>
      </c>
      <c r="X1" s="21" t="s">
        <v>53</v>
      </c>
      <c r="Y1" s="21" t="s">
        <v>54</v>
      </c>
      <c r="Z1" s="21" t="s">
        <v>55</v>
      </c>
      <c r="AA1" s="21" t="s">
        <v>41</v>
      </c>
      <c r="AB1" s="21" t="s">
        <v>42</v>
      </c>
      <c r="AC1" s="21" t="s">
        <v>164</v>
      </c>
      <c r="AD1" s="21" t="s">
        <v>3054</v>
      </c>
      <c r="AE1" s="17" t="s">
        <v>88</v>
      </c>
      <c r="AF1" s="17" t="s">
        <v>84</v>
      </c>
      <c r="AG1" s="17" t="s">
        <v>85</v>
      </c>
      <c r="AH1" s="17" t="s">
        <v>157</v>
      </c>
      <c r="AI1" s="17" t="s">
        <v>87</v>
      </c>
      <c r="AJ1" s="17" t="s">
        <v>86</v>
      </c>
      <c r="AK1" s="5" t="s">
        <v>3022</v>
      </c>
      <c r="AL1" s="5" t="s">
        <v>3025</v>
      </c>
      <c r="AM1" s="5" t="s">
        <v>3023</v>
      </c>
      <c r="AN1" s="5" t="s">
        <v>3025</v>
      </c>
      <c r="AO1" s="66" t="s">
        <v>98</v>
      </c>
      <c r="AP1" s="16" t="s">
        <v>107</v>
      </c>
      <c r="AQ1" s="17" t="s">
        <v>151</v>
      </c>
      <c r="AR1" s="17" t="s">
        <v>108</v>
      </c>
      <c r="AS1" s="17" t="s">
        <v>109</v>
      </c>
    </row>
    <row r="2" spans="1:45" ht="14.25">
      <c r="B2" s="68"/>
      <c r="C2" t="str">
        <f t="shared" ref="C2:C21" si="0">TRIM(AD2&amp;" "&amp;AE2&amp;" "&amp;AF2&amp;" "&amp;I2&amp;" "&amp;AG2&amp;" "&amp;AH2&amp;" "&amp;AI2&amp;" "&amp;Q2&amp;" "&amp;P2&amp;" "&amp;AJ2&amp;EX&amp;" "&amp;B2)</f>
        <v>◇ サイズ E</v>
      </c>
      <c r="D2" s="7">
        <f>(LENB(C2)-LEN(C2))+(LENB(C2)-(LENB(C2)-LEN(C2))*2)/2</f>
        <v>5.5</v>
      </c>
      <c r="E2" t="s">
        <v>71</v>
      </c>
      <c r="H2" t="str">
        <f>IFERROR(INDEX(コンディションランク!$B$1:$B$6,MATCH($G2,コンディションランク!$A$1:$A$6,0)),"")</f>
        <v/>
      </c>
      <c r="J2" s="3"/>
      <c r="K2" s="3"/>
      <c r="L2" s="3"/>
      <c r="N2" s="3"/>
      <c r="O2" t="s">
        <v>2924</v>
      </c>
      <c r="P2" s="3"/>
      <c r="Q2" s="9" t="s">
        <v>3031</v>
      </c>
      <c r="AA2" s="3" t="str">
        <f>Q2</f>
        <v>サイズ</v>
      </c>
      <c r="AB2" s="9" t="s">
        <v>3031</v>
      </c>
      <c r="AC2" t="s">
        <v>165</v>
      </c>
      <c r="AD2" s="32" t="str">
        <f t="shared" ref="AD2:AD21" si="1">IFERROR(VLOOKUP(AC2,梱包サイズ表,2,0),"")</f>
        <v>◇</v>
      </c>
      <c r="AK2" t="str">
        <f>"【ジャケット】"&amp;AA2&amp;"　着丈：約"&amp;R2&amp;"cm　肩幅：約"&amp;S2&amp;"cm　身幅：約"&amp;T2&amp;"cm　袖丈：約"&amp;U2&amp;"cm&lt;br&gt;【パンツ】"&amp;AB2&amp;"　股上：約"&amp;V2&amp;"cm　股下：約"&amp;W2&amp;"cm　ウエスト：約"&amp;X2&amp;"cm　もも幅：約"&amp;Y2&amp;"cm　裾幅：約"&amp;Z2&amp;"cm"</f>
        <v>【ジャケット】サイズ　着丈：約cm　肩幅：約cm　身幅：約cm　袖丈：約cm&lt;br&gt;【パンツ】サイズ　股上：約cm　股下：約cm　ウエスト：約cm　もも幅：約cm　裾幅：約cm</v>
      </c>
      <c r="AL2" s="81" t="str">
        <f>"" &amp;I2&amp; "仕立　内収納：" &amp;J2&amp; "  "&amp;K2&amp; "  "&amp;L2&amp; "  ウエスト余り：約" &amp;M2&amp; "cm　裾余り：約" &amp;N2&amp; "cm"</f>
        <v>仕立　内収納：      ウエスト余り：約cm　裾余り：約cm</v>
      </c>
      <c r="AM2" t="str">
        <f>SUBSTITUTE( AK2, "約-", "-" )</f>
        <v>【ジャケット】サイズ　着丈：約cm　肩幅：約cm　身幅：約cm　袖丈：約cm&lt;br&gt;【パンツ】サイズ　股上：約cm　股下：約cm　ウエスト：約cm　もも幅：約cm　裾幅：約cm</v>
      </c>
      <c r="AN2" t="str">
        <f>SUBSTITUTE( AL2, "約裾Wcm", "裾W" )</f>
        <v>仕立　内収納：      ウエスト余り：約cm　裾余り：約cm</v>
      </c>
      <c r="AO2" s="77" t="s">
        <v>158</v>
      </c>
      <c r="AQ2" s="6"/>
    </row>
    <row r="3" spans="1:45" ht="14.25">
      <c r="C3" t="str">
        <f t="shared" si="0"/>
        <v>◇ サイズ E</v>
      </c>
      <c r="D3" s="7">
        <f t="shared" ref="D3:D21" si="2">(LENB(C3)-LEN(C3))+(LENB(C3)-(LENB(C3)-LEN(C3))*2)/2</f>
        <v>5.5</v>
      </c>
      <c r="E3" t="s">
        <v>71</v>
      </c>
      <c r="H3" t="str">
        <f>IFERROR(INDEX(コンディションランク!$B$1:$B$6,MATCH($G3,コンディションランク!$A$1:$A$6,0)),"")</f>
        <v/>
      </c>
      <c r="J3" s="3"/>
      <c r="K3" s="3"/>
      <c r="L3" s="3"/>
      <c r="N3" s="3"/>
      <c r="O3" t="s">
        <v>2924</v>
      </c>
      <c r="Q3" s="9" t="s">
        <v>3031</v>
      </c>
      <c r="AA3" s="3" t="str">
        <f t="shared" ref="AA3:AA21" si="3">Q3</f>
        <v>サイズ</v>
      </c>
      <c r="AB3" s="9" t="s">
        <v>3031</v>
      </c>
      <c r="AC3" t="s">
        <v>165</v>
      </c>
      <c r="AD3" s="32" t="str">
        <f t="shared" si="1"/>
        <v>◇</v>
      </c>
      <c r="AK3" t="str">
        <f t="shared" ref="AK3:AK21" si="4">"【ジャケット】"&amp;AA3&amp;"　着丈：約"&amp;R3&amp;"cm　肩幅：約"&amp;S3&amp;"cm　身幅：約"&amp;T3&amp;"cm　袖丈：約"&amp;U3&amp;"cm&lt;br&gt;【パンツ】"&amp;AB3&amp;"　股上：約"&amp;V3&amp;"cm　股下：約"&amp;W3&amp;"cm　ウエスト：約"&amp;X3&amp;"cm　もも幅：約"&amp;Y3&amp;"cm　裾幅：約"&amp;Z3&amp;"cm"</f>
        <v>【ジャケット】サイズ　着丈：約cm　肩幅：約cm　身幅：約cm　袖丈：約cm&lt;br&gt;【パンツ】サイズ　股上：約cm　股下：約cm　ウエスト：約cm　もも幅：約cm　裾幅：約cm</v>
      </c>
      <c r="AL3" s="81" t="str">
        <f t="shared" ref="AL3:AL21" si="5">"" &amp;I3&amp; "仕立　内収納：" &amp;J3&amp; "  "&amp;K3&amp; "  "&amp;L3&amp; "  ウエスト余り：約" &amp;M3&amp; "cm　裾余り：約" &amp;N3&amp; "cm"</f>
        <v>仕立　内収納：      ウエスト余り：約cm　裾余り：約cm</v>
      </c>
      <c r="AM3" t="str">
        <f t="shared" ref="AM3:AM21" si="6">SUBSTITUTE( AK3, "約-", "-" )</f>
        <v>【ジャケット】サイズ　着丈：約cm　肩幅：約cm　身幅：約cm　袖丈：約cm&lt;br&gt;【パンツ】サイズ　股上：約cm　股下：約cm　ウエスト：約cm　もも幅：約cm　裾幅：約cm</v>
      </c>
      <c r="AN3" t="str">
        <f>SUBSTITUTE( AL3, "約裾Wcm", "裾W" )</f>
        <v>仕立　内収納：      ウエスト余り：約cm　裾余り：約cm</v>
      </c>
      <c r="AO3" s="77" t="s">
        <v>158</v>
      </c>
      <c r="AQ3" s="6"/>
    </row>
    <row r="4" spans="1:45" ht="14.25">
      <c r="C4" t="str">
        <f t="shared" si="0"/>
        <v>◇ サイズ E</v>
      </c>
      <c r="D4" s="7">
        <f t="shared" si="2"/>
        <v>5.5</v>
      </c>
      <c r="E4" t="s">
        <v>71</v>
      </c>
      <c r="H4" t="str">
        <f>IFERROR(INDEX(コンディションランク!$B$1:$B$6,MATCH($G4,コンディションランク!$A$1:$A$6,0)),"")</f>
        <v/>
      </c>
      <c r="L4" s="3"/>
      <c r="N4" s="3"/>
      <c r="O4" t="s">
        <v>2924</v>
      </c>
      <c r="P4" s="3"/>
      <c r="Q4" s="9" t="s">
        <v>3031</v>
      </c>
      <c r="AA4" s="3" t="str">
        <f t="shared" si="3"/>
        <v>サイズ</v>
      </c>
      <c r="AB4" s="9" t="s">
        <v>3031</v>
      </c>
      <c r="AC4" t="s">
        <v>165</v>
      </c>
      <c r="AD4" s="32" t="str">
        <f t="shared" si="1"/>
        <v>◇</v>
      </c>
      <c r="AK4" t="str">
        <f t="shared" si="4"/>
        <v>【ジャケット】サイズ　着丈：約cm　肩幅：約cm　身幅：約cm　袖丈：約cm&lt;br&gt;【パンツ】サイズ　股上：約cm　股下：約cm　ウエスト：約cm　もも幅：約cm　裾幅：約cm</v>
      </c>
      <c r="AL4" s="81" t="str">
        <f t="shared" si="5"/>
        <v>仕立　内収納：      ウエスト余り：約cm　裾余り：約cm</v>
      </c>
      <c r="AM4" t="str">
        <f t="shared" si="6"/>
        <v>【ジャケット】サイズ　着丈：約cm　肩幅：約cm　身幅：約cm　袖丈：約cm&lt;br&gt;【パンツ】サイズ　股上：約cm　股下：約cm　ウエスト：約cm　もも幅：約cm　裾幅：約cm</v>
      </c>
      <c r="AN4" t="str">
        <f t="shared" ref="AN4:AN21" si="7">SUBSTITUTE( AL4, "約裾Wcm", "裾W" )</f>
        <v>仕立　内収納：      ウエスト余り：約cm　裾余り：約cm</v>
      </c>
      <c r="AO4" s="77" t="s">
        <v>158</v>
      </c>
      <c r="AQ4" s="6"/>
    </row>
    <row r="5" spans="1:45" ht="14.25">
      <c r="C5" t="str">
        <f t="shared" si="0"/>
        <v>◇ サイズ E</v>
      </c>
      <c r="D5" s="7">
        <f t="shared" si="2"/>
        <v>5.5</v>
      </c>
      <c r="E5" t="s">
        <v>71</v>
      </c>
      <c r="H5" t="str">
        <f>IFERROR(INDEX(コンディションランク!$B$1:$B$6,MATCH($G5,コンディションランク!$A$1:$A$6,0)),"")</f>
        <v/>
      </c>
      <c r="L5" s="3"/>
      <c r="O5" t="s">
        <v>2924</v>
      </c>
      <c r="Q5" s="9" t="s">
        <v>3031</v>
      </c>
      <c r="R5" s="3"/>
      <c r="S5" s="3"/>
      <c r="T5" s="3"/>
      <c r="U5" s="3"/>
      <c r="V5" s="3"/>
      <c r="W5" s="3"/>
      <c r="X5" s="3"/>
      <c r="Y5" s="3"/>
      <c r="Z5" s="3"/>
      <c r="AA5" s="3" t="str">
        <f t="shared" si="3"/>
        <v>サイズ</v>
      </c>
      <c r="AB5" s="9" t="s">
        <v>3031</v>
      </c>
      <c r="AC5" t="s">
        <v>165</v>
      </c>
      <c r="AD5" s="32" t="str">
        <f t="shared" si="1"/>
        <v>◇</v>
      </c>
      <c r="AK5" t="str">
        <f t="shared" si="4"/>
        <v>【ジャケット】サイズ　着丈：約cm　肩幅：約cm　身幅：約cm　袖丈：約cm&lt;br&gt;【パンツ】サイズ　股上：約cm　股下：約cm　ウエスト：約cm　もも幅：約cm　裾幅：約cm</v>
      </c>
      <c r="AL5" s="81" t="str">
        <f t="shared" si="5"/>
        <v>仕立　内収納：      ウエスト余り：約cm　裾余り：約cm</v>
      </c>
      <c r="AM5" t="str">
        <f t="shared" si="6"/>
        <v>【ジャケット】サイズ　着丈：約cm　肩幅：約cm　身幅：約cm　袖丈：約cm&lt;br&gt;【パンツ】サイズ　股上：約cm　股下：約cm　ウエスト：約cm　もも幅：約cm　裾幅：約cm</v>
      </c>
      <c r="AN5" t="str">
        <f t="shared" si="7"/>
        <v>仕立　内収納：      ウエスト余り：約cm　裾余り：約cm</v>
      </c>
      <c r="AO5" s="77" t="s">
        <v>158</v>
      </c>
      <c r="AQ5" s="6"/>
    </row>
    <row r="6" spans="1:45" ht="14.25">
      <c r="C6" t="str">
        <f t="shared" si="0"/>
        <v>◇ サイズ E</v>
      </c>
      <c r="D6" s="7">
        <f t="shared" si="2"/>
        <v>5.5</v>
      </c>
      <c r="E6" t="s">
        <v>71</v>
      </c>
      <c r="H6" t="str">
        <f>IFERROR(INDEX(コンディションランク!$B$1:$B$6,MATCH($G6,コンディションランク!$A$1:$A$6,0)),"")</f>
        <v/>
      </c>
      <c r="L6" s="3"/>
      <c r="O6" t="s">
        <v>2924</v>
      </c>
      <c r="P6" s="3"/>
      <c r="Q6" s="9" t="s">
        <v>3031</v>
      </c>
      <c r="AA6" s="3" t="str">
        <f t="shared" si="3"/>
        <v>サイズ</v>
      </c>
      <c r="AB6" s="9" t="s">
        <v>3031</v>
      </c>
      <c r="AC6" t="s">
        <v>165</v>
      </c>
      <c r="AD6" s="32" t="str">
        <f t="shared" si="1"/>
        <v>◇</v>
      </c>
      <c r="AK6" t="str">
        <f t="shared" si="4"/>
        <v>【ジャケット】サイズ　着丈：約cm　肩幅：約cm　身幅：約cm　袖丈：約cm&lt;br&gt;【パンツ】サイズ　股上：約cm　股下：約cm　ウエスト：約cm　もも幅：約cm　裾幅：約cm</v>
      </c>
      <c r="AL6" s="81" t="str">
        <f t="shared" si="5"/>
        <v>仕立　内収納：      ウエスト余り：約cm　裾余り：約cm</v>
      </c>
      <c r="AM6" t="str">
        <f t="shared" si="6"/>
        <v>【ジャケット】サイズ　着丈：約cm　肩幅：約cm　身幅：約cm　袖丈：約cm&lt;br&gt;【パンツ】サイズ　股上：約cm　股下：約cm　ウエスト：約cm　もも幅：約cm　裾幅：約cm</v>
      </c>
      <c r="AN6" t="str">
        <f t="shared" si="7"/>
        <v>仕立　内収納：      ウエスト余り：約cm　裾余り：約cm</v>
      </c>
      <c r="AO6" s="77" t="s">
        <v>158</v>
      </c>
      <c r="AQ6" s="6"/>
    </row>
    <row r="7" spans="1:45" ht="14.25">
      <c r="C7" t="str">
        <f t="shared" si="0"/>
        <v>◇ サイズ E</v>
      </c>
      <c r="D7" s="7">
        <f t="shared" si="2"/>
        <v>5.5</v>
      </c>
      <c r="E7" t="s">
        <v>71</v>
      </c>
      <c r="H7" t="str">
        <f>IFERROR(INDEX(コンディションランク!$B$1:$B$6,MATCH($G7,コンディションランク!$A$1:$A$6,0)),"")</f>
        <v/>
      </c>
      <c r="L7" s="3"/>
      <c r="O7" t="s">
        <v>2924</v>
      </c>
      <c r="P7" s="3"/>
      <c r="Q7" s="9" t="s">
        <v>3031</v>
      </c>
      <c r="AA7" s="3" t="str">
        <f t="shared" si="3"/>
        <v>サイズ</v>
      </c>
      <c r="AB7" s="9" t="s">
        <v>3031</v>
      </c>
      <c r="AC7" t="s">
        <v>165</v>
      </c>
      <c r="AD7" s="32" t="str">
        <f t="shared" si="1"/>
        <v>◇</v>
      </c>
      <c r="AK7" t="str">
        <f t="shared" si="4"/>
        <v>【ジャケット】サイズ　着丈：約cm　肩幅：約cm　身幅：約cm　袖丈：約cm&lt;br&gt;【パンツ】サイズ　股上：約cm　股下：約cm　ウエスト：約cm　もも幅：約cm　裾幅：約cm</v>
      </c>
      <c r="AL7" s="81" t="str">
        <f t="shared" si="5"/>
        <v>仕立　内収納：      ウエスト余り：約cm　裾余り：約cm</v>
      </c>
      <c r="AM7" t="str">
        <f t="shared" si="6"/>
        <v>【ジャケット】サイズ　着丈：約cm　肩幅：約cm　身幅：約cm　袖丈：約cm&lt;br&gt;【パンツ】サイズ　股上：約cm　股下：約cm　ウエスト：約cm　もも幅：約cm　裾幅：約cm</v>
      </c>
      <c r="AN7" t="str">
        <f t="shared" si="7"/>
        <v>仕立　内収納：      ウエスト余り：約cm　裾余り：約cm</v>
      </c>
      <c r="AO7" s="77" t="s">
        <v>158</v>
      </c>
      <c r="AQ7" s="6"/>
    </row>
    <row r="8" spans="1:45" ht="14.25">
      <c r="C8" t="str">
        <f t="shared" si="0"/>
        <v>◇ サイズ E</v>
      </c>
      <c r="D8" s="7">
        <f t="shared" si="2"/>
        <v>5.5</v>
      </c>
      <c r="E8" t="s">
        <v>71</v>
      </c>
      <c r="H8" t="str">
        <f>IFERROR(INDEX(コンディションランク!$B$1:$B$6,MATCH($G8,コンディションランク!$A$1:$A$6,0)),"")</f>
        <v/>
      </c>
      <c r="K8" s="3"/>
      <c r="L8" s="3"/>
      <c r="O8" t="s">
        <v>2924</v>
      </c>
      <c r="P8" s="3"/>
      <c r="Q8" s="9" t="s">
        <v>3031</v>
      </c>
      <c r="AA8" s="3" t="str">
        <f t="shared" si="3"/>
        <v>サイズ</v>
      </c>
      <c r="AB8" s="9" t="s">
        <v>3031</v>
      </c>
      <c r="AC8" t="s">
        <v>165</v>
      </c>
      <c r="AD8" s="32" t="str">
        <f t="shared" si="1"/>
        <v>◇</v>
      </c>
      <c r="AK8" t="str">
        <f t="shared" si="4"/>
        <v>【ジャケット】サイズ　着丈：約cm　肩幅：約cm　身幅：約cm　袖丈：約cm&lt;br&gt;【パンツ】サイズ　股上：約cm　股下：約cm　ウエスト：約cm　もも幅：約cm　裾幅：約cm</v>
      </c>
      <c r="AL8" s="81" t="str">
        <f t="shared" si="5"/>
        <v>仕立　内収納：      ウエスト余り：約cm　裾余り：約cm</v>
      </c>
      <c r="AM8" t="str">
        <f t="shared" si="6"/>
        <v>【ジャケット】サイズ　着丈：約cm　肩幅：約cm　身幅：約cm　袖丈：約cm&lt;br&gt;【パンツ】サイズ　股上：約cm　股下：約cm　ウエスト：約cm　もも幅：約cm　裾幅：約cm</v>
      </c>
      <c r="AN8" t="str">
        <f t="shared" si="7"/>
        <v>仕立　内収納：      ウエスト余り：約cm　裾余り：約cm</v>
      </c>
      <c r="AO8" s="77" t="s">
        <v>158</v>
      </c>
      <c r="AQ8" s="6"/>
    </row>
    <row r="9" spans="1:45" ht="14.25">
      <c r="C9" t="str">
        <f t="shared" si="0"/>
        <v>◇ サイズ E</v>
      </c>
      <c r="D9" s="7">
        <f t="shared" si="2"/>
        <v>5.5</v>
      </c>
      <c r="E9" t="s">
        <v>71</v>
      </c>
      <c r="H9" t="str">
        <f>IFERROR(INDEX(コンディションランク!$B$1:$B$6,MATCH($G9,コンディションランク!$A$1:$A$6,0)),"")</f>
        <v/>
      </c>
      <c r="L9" s="3"/>
      <c r="O9" t="s">
        <v>2924</v>
      </c>
      <c r="P9" s="3"/>
      <c r="Q9" s="9" t="s">
        <v>3031</v>
      </c>
      <c r="AA9" s="3" t="str">
        <f t="shared" si="3"/>
        <v>サイズ</v>
      </c>
      <c r="AB9" s="9" t="s">
        <v>3031</v>
      </c>
      <c r="AC9" t="s">
        <v>165</v>
      </c>
      <c r="AD9" s="32" t="str">
        <f t="shared" si="1"/>
        <v>◇</v>
      </c>
      <c r="AK9" t="str">
        <f t="shared" si="4"/>
        <v>【ジャケット】サイズ　着丈：約cm　肩幅：約cm　身幅：約cm　袖丈：約cm&lt;br&gt;【パンツ】サイズ　股上：約cm　股下：約cm　ウエスト：約cm　もも幅：約cm　裾幅：約cm</v>
      </c>
      <c r="AL9" s="81" t="str">
        <f t="shared" si="5"/>
        <v>仕立　内収納：      ウエスト余り：約cm　裾余り：約cm</v>
      </c>
      <c r="AM9" t="str">
        <f t="shared" si="6"/>
        <v>【ジャケット】サイズ　着丈：約cm　肩幅：約cm　身幅：約cm　袖丈：約cm&lt;br&gt;【パンツ】サイズ　股上：約cm　股下：約cm　ウエスト：約cm　もも幅：約cm　裾幅：約cm</v>
      </c>
      <c r="AN9" t="str">
        <f t="shared" si="7"/>
        <v>仕立　内収納：      ウエスト余り：約cm　裾余り：約cm</v>
      </c>
      <c r="AO9" s="77" t="s">
        <v>158</v>
      </c>
      <c r="AQ9" s="6"/>
    </row>
    <row r="10" spans="1:45" ht="14.25">
      <c r="C10" t="str">
        <f t="shared" si="0"/>
        <v>◇ サイズ E</v>
      </c>
      <c r="D10" s="7">
        <f t="shared" si="2"/>
        <v>5.5</v>
      </c>
      <c r="E10" t="s">
        <v>71</v>
      </c>
      <c r="H10" t="str">
        <f>IFERROR(INDEX(コンディションランク!$B$1:$B$6,MATCH($G10,コンディションランク!$A$1:$A$6,0)),"")</f>
        <v/>
      </c>
      <c r="L10" s="3"/>
      <c r="O10" t="s">
        <v>2924</v>
      </c>
      <c r="P10" s="3"/>
      <c r="Q10" s="9" t="s">
        <v>3031</v>
      </c>
      <c r="AA10" s="3" t="str">
        <f t="shared" si="3"/>
        <v>サイズ</v>
      </c>
      <c r="AB10" s="9" t="s">
        <v>3031</v>
      </c>
      <c r="AC10" t="s">
        <v>165</v>
      </c>
      <c r="AD10" s="32" t="str">
        <f t="shared" si="1"/>
        <v>◇</v>
      </c>
      <c r="AK10" t="str">
        <f t="shared" si="4"/>
        <v>【ジャケット】サイズ　着丈：約cm　肩幅：約cm　身幅：約cm　袖丈：約cm&lt;br&gt;【パンツ】サイズ　股上：約cm　股下：約cm　ウエスト：約cm　もも幅：約cm　裾幅：約cm</v>
      </c>
      <c r="AL10" s="81" t="str">
        <f t="shared" si="5"/>
        <v>仕立　内収納：      ウエスト余り：約cm　裾余り：約cm</v>
      </c>
      <c r="AM10" t="str">
        <f t="shared" si="6"/>
        <v>【ジャケット】サイズ　着丈：約cm　肩幅：約cm　身幅：約cm　袖丈：約cm&lt;br&gt;【パンツ】サイズ　股上：約cm　股下：約cm　ウエスト：約cm　もも幅：約cm　裾幅：約cm</v>
      </c>
      <c r="AN10" t="str">
        <f t="shared" si="7"/>
        <v>仕立　内収納：      ウエスト余り：約cm　裾余り：約cm</v>
      </c>
      <c r="AO10" s="77" t="s">
        <v>158</v>
      </c>
      <c r="AQ10" s="6"/>
    </row>
    <row r="11" spans="1:45" ht="14.25">
      <c r="C11" t="str">
        <f t="shared" si="0"/>
        <v>◇ サイズ E</v>
      </c>
      <c r="D11" s="7">
        <f t="shared" si="2"/>
        <v>5.5</v>
      </c>
      <c r="E11" t="s">
        <v>71</v>
      </c>
      <c r="H11" t="str">
        <f>IFERROR(INDEX(コンディションランク!$B$1:$B$6,MATCH($G11,コンディションランク!$A$1:$A$6,0)),"")</f>
        <v/>
      </c>
      <c r="L11" s="3"/>
      <c r="O11" t="s">
        <v>2924</v>
      </c>
      <c r="P11" s="3"/>
      <c r="Q11" s="9" t="s">
        <v>3031</v>
      </c>
      <c r="AA11" s="3" t="str">
        <f t="shared" si="3"/>
        <v>サイズ</v>
      </c>
      <c r="AB11" s="9" t="s">
        <v>3031</v>
      </c>
      <c r="AC11" t="s">
        <v>165</v>
      </c>
      <c r="AD11" s="32" t="str">
        <f t="shared" si="1"/>
        <v>◇</v>
      </c>
      <c r="AK11" t="str">
        <f t="shared" si="4"/>
        <v>【ジャケット】サイズ　着丈：約cm　肩幅：約cm　身幅：約cm　袖丈：約cm&lt;br&gt;【パンツ】サイズ　股上：約cm　股下：約cm　ウエスト：約cm　もも幅：約cm　裾幅：約cm</v>
      </c>
      <c r="AL11" s="81" t="str">
        <f t="shared" si="5"/>
        <v>仕立　内収納：      ウエスト余り：約cm　裾余り：約cm</v>
      </c>
      <c r="AM11" t="str">
        <f t="shared" si="6"/>
        <v>【ジャケット】サイズ　着丈：約cm　肩幅：約cm　身幅：約cm　袖丈：約cm&lt;br&gt;【パンツ】サイズ　股上：約cm　股下：約cm　ウエスト：約cm　もも幅：約cm　裾幅：約cm</v>
      </c>
      <c r="AN11" t="str">
        <f t="shared" si="7"/>
        <v>仕立　内収納：      ウエスト余り：約cm　裾余り：約cm</v>
      </c>
      <c r="AO11" s="77" t="s">
        <v>158</v>
      </c>
      <c r="AQ11" s="6"/>
    </row>
    <row r="12" spans="1:45" ht="14.25">
      <c r="C12" t="str">
        <f t="shared" si="0"/>
        <v>◇ サイズ E</v>
      </c>
      <c r="D12" s="7">
        <f t="shared" si="2"/>
        <v>5.5</v>
      </c>
      <c r="E12" t="s">
        <v>71</v>
      </c>
      <c r="H12" t="str">
        <f>IFERROR(INDEX(コンディションランク!$B$1:$B$6,MATCH($G12,コンディションランク!$A$1:$A$6,0)),"")</f>
        <v/>
      </c>
      <c r="O12" t="s">
        <v>2924</v>
      </c>
      <c r="Q12" s="9" t="s">
        <v>3031</v>
      </c>
      <c r="AA12" s="3" t="str">
        <f t="shared" si="3"/>
        <v>サイズ</v>
      </c>
      <c r="AB12" s="9" t="s">
        <v>3031</v>
      </c>
      <c r="AC12" t="s">
        <v>165</v>
      </c>
      <c r="AD12" s="32" t="str">
        <f t="shared" si="1"/>
        <v>◇</v>
      </c>
      <c r="AK12" t="str">
        <f t="shared" si="4"/>
        <v>【ジャケット】サイズ　着丈：約cm　肩幅：約cm　身幅：約cm　袖丈：約cm&lt;br&gt;【パンツ】サイズ　股上：約cm　股下：約cm　ウエスト：約cm　もも幅：約cm　裾幅：約cm</v>
      </c>
      <c r="AL12" s="81" t="str">
        <f t="shared" si="5"/>
        <v>仕立　内収納：      ウエスト余り：約cm　裾余り：約cm</v>
      </c>
      <c r="AM12" t="str">
        <f t="shared" si="6"/>
        <v>【ジャケット】サイズ　着丈：約cm　肩幅：約cm　身幅：約cm　袖丈：約cm&lt;br&gt;【パンツ】サイズ　股上：約cm　股下：約cm　ウエスト：約cm　もも幅：約cm　裾幅：約cm</v>
      </c>
      <c r="AN12" t="str">
        <f t="shared" si="7"/>
        <v>仕立　内収納：      ウエスト余り：約cm　裾余り：約cm</v>
      </c>
      <c r="AO12" s="77" t="s">
        <v>158</v>
      </c>
      <c r="AQ12" s="6"/>
    </row>
    <row r="13" spans="1:45" ht="14.25">
      <c r="C13" t="str">
        <f t="shared" si="0"/>
        <v>◇ サイズ E</v>
      </c>
      <c r="D13" s="7">
        <f t="shared" si="2"/>
        <v>5.5</v>
      </c>
      <c r="E13" t="s">
        <v>71</v>
      </c>
      <c r="H13" t="str">
        <f>IFERROR(INDEX(コンディションランク!$B$1:$B$6,MATCH($G13,コンディションランク!$A$1:$A$6,0)),"")</f>
        <v/>
      </c>
      <c r="O13" t="s">
        <v>2924</v>
      </c>
      <c r="Q13" s="9" t="s">
        <v>3031</v>
      </c>
      <c r="AA13" s="3" t="str">
        <f t="shared" si="3"/>
        <v>サイズ</v>
      </c>
      <c r="AB13" s="9" t="s">
        <v>3031</v>
      </c>
      <c r="AC13" t="s">
        <v>165</v>
      </c>
      <c r="AD13" s="32" t="str">
        <f t="shared" si="1"/>
        <v>◇</v>
      </c>
      <c r="AK13" t="str">
        <f t="shared" si="4"/>
        <v>【ジャケット】サイズ　着丈：約cm　肩幅：約cm　身幅：約cm　袖丈：約cm&lt;br&gt;【パンツ】サイズ　股上：約cm　股下：約cm　ウエスト：約cm　もも幅：約cm　裾幅：約cm</v>
      </c>
      <c r="AL13" s="81" t="str">
        <f t="shared" si="5"/>
        <v>仕立　内収納：      ウエスト余り：約cm　裾余り：約cm</v>
      </c>
      <c r="AM13" t="str">
        <f t="shared" si="6"/>
        <v>【ジャケット】サイズ　着丈：約cm　肩幅：約cm　身幅：約cm　袖丈：約cm&lt;br&gt;【パンツ】サイズ　股上：約cm　股下：約cm　ウエスト：約cm　もも幅：約cm　裾幅：約cm</v>
      </c>
      <c r="AN13" t="str">
        <f t="shared" si="7"/>
        <v>仕立　内収納：      ウエスト余り：約cm　裾余り：約cm</v>
      </c>
      <c r="AO13" s="77" t="s">
        <v>158</v>
      </c>
      <c r="AQ13" s="6"/>
    </row>
    <row r="14" spans="1:45" ht="14.25">
      <c r="C14" t="str">
        <f t="shared" si="0"/>
        <v>◇ サイズ E</v>
      </c>
      <c r="D14" s="7">
        <f t="shared" si="2"/>
        <v>5.5</v>
      </c>
      <c r="E14" t="s">
        <v>71</v>
      </c>
      <c r="H14" t="str">
        <f>IFERROR(INDEX(コンディションランク!$B$1:$B$6,MATCH($G14,コンディションランク!$A$1:$A$6,0)),"")</f>
        <v/>
      </c>
      <c r="O14" t="s">
        <v>2924</v>
      </c>
      <c r="Q14" s="9" t="s">
        <v>3031</v>
      </c>
      <c r="AA14" s="3" t="str">
        <f t="shared" si="3"/>
        <v>サイズ</v>
      </c>
      <c r="AB14" s="9" t="s">
        <v>3031</v>
      </c>
      <c r="AC14" t="s">
        <v>165</v>
      </c>
      <c r="AD14" s="32" t="str">
        <f t="shared" si="1"/>
        <v>◇</v>
      </c>
      <c r="AK14" t="str">
        <f t="shared" si="4"/>
        <v>【ジャケット】サイズ　着丈：約cm　肩幅：約cm　身幅：約cm　袖丈：約cm&lt;br&gt;【パンツ】サイズ　股上：約cm　股下：約cm　ウエスト：約cm　もも幅：約cm　裾幅：約cm</v>
      </c>
      <c r="AL14" s="81" t="str">
        <f t="shared" si="5"/>
        <v>仕立　内収納：      ウエスト余り：約cm　裾余り：約cm</v>
      </c>
      <c r="AM14" t="str">
        <f t="shared" si="6"/>
        <v>【ジャケット】サイズ　着丈：約cm　肩幅：約cm　身幅：約cm　袖丈：約cm&lt;br&gt;【パンツ】サイズ　股上：約cm　股下：約cm　ウエスト：約cm　もも幅：約cm　裾幅：約cm</v>
      </c>
      <c r="AN14" t="str">
        <f t="shared" si="7"/>
        <v>仕立　内収納：      ウエスト余り：約cm　裾余り：約cm</v>
      </c>
      <c r="AO14" s="77" t="s">
        <v>158</v>
      </c>
      <c r="AQ14" s="6"/>
    </row>
    <row r="15" spans="1:45" ht="14.25">
      <c r="C15" t="str">
        <f t="shared" si="0"/>
        <v>◇ サイズ E</v>
      </c>
      <c r="D15" s="7">
        <f t="shared" si="2"/>
        <v>5.5</v>
      </c>
      <c r="E15" t="s">
        <v>71</v>
      </c>
      <c r="H15" t="str">
        <f>IFERROR(INDEX(コンディションランク!$B$1:$B$6,MATCH($G15,コンディションランク!$A$1:$A$6,0)),"")</f>
        <v/>
      </c>
      <c r="O15" t="s">
        <v>2924</v>
      </c>
      <c r="Q15" s="9" t="s">
        <v>3031</v>
      </c>
      <c r="AA15" s="3" t="str">
        <f t="shared" si="3"/>
        <v>サイズ</v>
      </c>
      <c r="AB15" s="9" t="s">
        <v>3031</v>
      </c>
      <c r="AC15" t="s">
        <v>165</v>
      </c>
      <c r="AD15" s="32" t="str">
        <f t="shared" si="1"/>
        <v>◇</v>
      </c>
      <c r="AK15" t="str">
        <f t="shared" si="4"/>
        <v>【ジャケット】サイズ　着丈：約cm　肩幅：約cm　身幅：約cm　袖丈：約cm&lt;br&gt;【パンツ】サイズ　股上：約cm　股下：約cm　ウエスト：約cm　もも幅：約cm　裾幅：約cm</v>
      </c>
      <c r="AL15" s="81" t="str">
        <f t="shared" si="5"/>
        <v>仕立　内収納：      ウエスト余り：約cm　裾余り：約cm</v>
      </c>
      <c r="AM15" t="str">
        <f t="shared" si="6"/>
        <v>【ジャケット】サイズ　着丈：約cm　肩幅：約cm　身幅：約cm　袖丈：約cm&lt;br&gt;【パンツ】サイズ　股上：約cm　股下：約cm　ウエスト：約cm　もも幅：約cm　裾幅：約cm</v>
      </c>
      <c r="AN15" t="str">
        <f t="shared" si="7"/>
        <v>仕立　内収納：      ウエスト余り：約cm　裾余り：約cm</v>
      </c>
      <c r="AO15" s="77" t="s">
        <v>158</v>
      </c>
      <c r="AQ15" s="6"/>
    </row>
    <row r="16" spans="1:45" ht="14.25">
      <c r="C16" t="str">
        <f t="shared" si="0"/>
        <v>◇ サイズ E</v>
      </c>
      <c r="D16" s="7">
        <f t="shared" si="2"/>
        <v>5.5</v>
      </c>
      <c r="E16" t="s">
        <v>71</v>
      </c>
      <c r="H16" t="str">
        <f>IFERROR(INDEX(コンディションランク!$B$1:$B$6,MATCH($G16,コンディションランク!$A$1:$A$6,0)),"")</f>
        <v/>
      </c>
      <c r="O16" t="s">
        <v>2924</v>
      </c>
      <c r="Q16" s="9" t="s">
        <v>3031</v>
      </c>
      <c r="AA16" s="3" t="str">
        <f t="shared" si="3"/>
        <v>サイズ</v>
      </c>
      <c r="AB16" s="9" t="s">
        <v>3031</v>
      </c>
      <c r="AC16" t="s">
        <v>165</v>
      </c>
      <c r="AD16" s="32" t="str">
        <f t="shared" si="1"/>
        <v>◇</v>
      </c>
      <c r="AK16" t="str">
        <f t="shared" si="4"/>
        <v>【ジャケット】サイズ　着丈：約cm　肩幅：約cm　身幅：約cm　袖丈：約cm&lt;br&gt;【パンツ】サイズ　股上：約cm　股下：約cm　ウエスト：約cm　もも幅：約cm　裾幅：約cm</v>
      </c>
      <c r="AL16" s="81" t="str">
        <f t="shared" si="5"/>
        <v>仕立　内収納：      ウエスト余り：約cm　裾余り：約cm</v>
      </c>
      <c r="AM16" t="str">
        <f t="shared" si="6"/>
        <v>【ジャケット】サイズ　着丈：約cm　肩幅：約cm　身幅：約cm　袖丈：約cm&lt;br&gt;【パンツ】サイズ　股上：約cm　股下：約cm　ウエスト：約cm　もも幅：約cm　裾幅：約cm</v>
      </c>
      <c r="AN16" t="str">
        <f t="shared" si="7"/>
        <v>仕立　内収納：      ウエスト余り：約cm　裾余り：約cm</v>
      </c>
      <c r="AO16" s="77" t="s">
        <v>158</v>
      </c>
      <c r="AQ16" s="6"/>
    </row>
    <row r="17" spans="1:43" ht="14.25">
      <c r="C17" t="str">
        <f t="shared" si="0"/>
        <v>◇ サイズ E</v>
      </c>
      <c r="D17" s="7">
        <f t="shared" si="2"/>
        <v>5.5</v>
      </c>
      <c r="E17" t="s">
        <v>71</v>
      </c>
      <c r="H17" t="str">
        <f>IFERROR(INDEX(コンディションランク!$B$1:$B$6,MATCH($G17,コンディションランク!$A$1:$A$6,0)),"")</f>
        <v/>
      </c>
      <c r="O17" t="s">
        <v>2924</v>
      </c>
      <c r="Q17" s="9" t="s">
        <v>3031</v>
      </c>
      <c r="AA17" s="3" t="str">
        <f t="shared" si="3"/>
        <v>サイズ</v>
      </c>
      <c r="AB17" s="9" t="s">
        <v>3031</v>
      </c>
      <c r="AC17" t="s">
        <v>165</v>
      </c>
      <c r="AD17" s="32" t="str">
        <f t="shared" si="1"/>
        <v>◇</v>
      </c>
      <c r="AK17" t="str">
        <f t="shared" si="4"/>
        <v>【ジャケット】サイズ　着丈：約cm　肩幅：約cm　身幅：約cm　袖丈：約cm&lt;br&gt;【パンツ】サイズ　股上：約cm　股下：約cm　ウエスト：約cm　もも幅：約cm　裾幅：約cm</v>
      </c>
      <c r="AL17" s="81" t="str">
        <f t="shared" si="5"/>
        <v>仕立　内収納：      ウエスト余り：約cm　裾余り：約cm</v>
      </c>
      <c r="AM17" t="str">
        <f t="shared" si="6"/>
        <v>【ジャケット】サイズ　着丈：約cm　肩幅：約cm　身幅：約cm　袖丈：約cm&lt;br&gt;【パンツ】サイズ　股上：約cm　股下：約cm　ウエスト：約cm　もも幅：約cm　裾幅：約cm</v>
      </c>
      <c r="AN17" t="str">
        <f t="shared" si="7"/>
        <v>仕立　内収納：      ウエスト余り：約cm　裾余り：約cm</v>
      </c>
      <c r="AO17" s="77" t="s">
        <v>158</v>
      </c>
      <c r="AQ17" s="6"/>
    </row>
    <row r="18" spans="1:43" ht="14.25">
      <c r="C18" t="str">
        <f t="shared" si="0"/>
        <v>◇ サイズ E</v>
      </c>
      <c r="D18" s="7">
        <f t="shared" si="2"/>
        <v>5.5</v>
      </c>
      <c r="E18" t="s">
        <v>71</v>
      </c>
      <c r="H18" t="str">
        <f>IFERROR(INDEX(コンディションランク!$B$1:$B$6,MATCH($G18,コンディションランク!$A$1:$A$6,0)),"")</f>
        <v/>
      </c>
      <c r="O18" t="s">
        <v>2924</v>
      </c>
      <c r="Q18" s="9" t="s">
        <v>3031</v>
      </c>
      <c r="AA18" s="3" t="str">
        <f t="shared" si="3"/>
        <v>サイズ</v>
      </c>
      <c r="AB18" s="9" t="s">
        <v>3031</v>
      </c>
      <c r="AC18" t="s">
        <v>165</v>
      </c>
      <c r="AD18" s="32" t="str">
        <f t="shared" si="1"/>
        <v>◇</v>
      </c>
      <c r="AK18" t="str">
        <f t="shared" si="4"/>
        <v>【ジャケット】サイズ　着丈：約cm　肩幅：約cm　身幅：約cm　袖丈：約cm&lt;br&gt;【パンツ】サイズ　股上：約cm　股下：約cm　ウエスト：約cm　もも幅：約cm　裾幅：約cm</v>
      </c>
      <c r="AL18" s="81" t="str">
        <f t="shared" si="5"/>
        <v>仕立　内収納：      ウエスト余り：約cm　裾余り：約cm</v>
      </c>
      <c r="AM18" t="str">
        <f t="shared" si="6"/>
        <v>【ジャケット】サイズ　着丈：約cm　肩幅：約cm　身幅：約cm　袖丈：約cm&lt;br&gt;【パンツ】サイズ　股上：約cm　股下：約cm　ウエスト：約cm　もも幅：約cm　裾幅：約cm</v>
      </c>
      <c r="AN18" t="str">
        <f t="shared" si="7"/>
        <v>仕立　内収納：      ウエスト余り：約cm　裾余り：約cm</v>
      </c>
      <c r="AO18" s="77" t="s">
        <v>158</v>
      </c>
      <c r="AQ18" s="6"/>
    </row>
    <row r="19" spans="1:43" ht="14.25">
      <c r="C19" t="str">
        <f t="shared" si="0"/>
        <v>◇ サイズ E</v>
      </c>
      <c r="D19" s="7">
        <f t="shared" si="2"/>
        <v>5.5</v>
      </c>
      <c r="E19" t="s">
        <v>71</v>
      </c>
      <c r="H19" t="str">
        <f>IFERROR(INDEX(コンディションランク!$B$1:$B$6,MATCH($G19,コンディションランク!$A$1:$A$6,0)),"")</f>
        <v/>
      </c>
      <c r="O19" t="s">
        <v>2924</v>
      </c>
      <c r="Q19" s="9" t="s">
        <v>3031</v>
      </c>
      <c r="AA19" s="3" t="str">
        <f t="shared" si="3"/>
        <v>サイズ</v>
      </c>
      <c r="AB19" s="9" t="s">
        <v>3031</v>
      </c>
      <c r="AC19" t="s">
        <v>165</v>
      </c>
      <c r="AD19" s="32" t="str">
        <f t="shared" si="1"/>
        <v>◇</v>
      </c>
      <c r="AK19" t="str">
        <f t="shared" si="4"/>
        <v>【ジャケット】サイズ　着丈：約cm　肩幅：約cm　身幅：約cm　袖丈：約cm&lt;br&gt;【パンツ】サイズ　股上：約cm　股下：約cm　ウエスト：約cm　もも幅：約cm　裾幅：約cm</v>
      </c>
      <c r="AL19" s="81" t="str">
        <f t="shared" si="5"/>
        <v>仕立　内収納：      ウエスト余り：約cm　裾余り：約cm</v>
      </c>
      <c r="AM19" t="str">
        <f t="shared" si="6"/>
        <v>【ジャケット】サイズ　着丈：約cm　肩幅：約cm　身幅：約cm　袖丈：約cm&lt;br&gt;【パンツ】サイズ　股上：約cm　股下：約cm　ウエスト：約cm　もも幅：約cm　裾幅：約cm</v>
      </c>
      <c r="AN19" t="str">
        <f t="shared" si="7"/>
        <v>仕立　内収納：      ウエスト余り：約cm　裾余り：約cm</v>
      </c>
      <c r="AO19" s="77" t="s">
        <v>158</v>
      </c>
      <c r="AQ19" s="6"/>
    </row>
    <row r="20" spans="1:43" ht="14.25">
      <c r="C20" t="str">
        <f t="shared" si="0"/>
        <v>◇ サイズ E</v>
      </c>
      <c r="D20" s="7">
        <f t="shared" si="2"/>
        <v>5.5</v>
      </c>
      <c r="E20" t="s">
        <v>71</v>
      </c>
      <c r="H20" t="str">
        <f>IFERROR(INDEX(コンディションランク!$B$1:$B$6,MATCH($G20,コンディションランク!$A$1:$A$6,0)),"")</f>
        <v/>
      </c>
      <c r="O20" t="s">
        <v>2924</v>
      </c>
      <c r="Q20" s="9" t="s">
        <v>3031</v>
      </c>
      <c r="AA20" s="3" t="str">
        <f t="shared" si="3"/>
        <v>サイズ</v>
      </c>
      <c r="AB20" s="9" t="s">
        <v>3031</v>
      </c>
      <c r="AC20" t="s">
        <v>165</v>
      </c>
      <c r="AD20" s="32" t="str">
        <f t="shared" si="1"/>
        <v>◇</v>
      </c>
      <c r="AK20" t="str">
        <f t="shared" si="4"/>
        <v>【ジャケット】サイズ　着丈：約cm　肩幅：約cm　身幅：約cm　袖丈：約cm&lt;br&gt;【パンツ】サイズ　股上：約cm　股下：約cm　ウエスト：約cm　もも幅：約cm　裾幅：約cm</v>
      </c>
      <c r="AL20" s="81" t="str">
        <f t="shared" si="5"/>
        <v>仕立　内収納：      ウエスト余り：約cm　裾余り：約cm</v>
      </c>
      <c r="AM20" t="str">
        <f t="shared" si="6"/>
        <v>【ジャケット】サイズ　着丈：約cm　肩幅：約cm　身幅：約cm　袖丈：約cm&lt;br&gt;【パンツ】サイズ　股上：約cm　股下：約cm　ウエスト：約cm　もも幅：約cm　裾幅：約cm</v>
      </c>
      <c r="AN20" t="str">
        <f t="shared" si="7"/>
        <v>仕立　内収納：      ウエスト余り：約cm　裾余り：約cm</v>
      </c>
      <c r="AO20" s="77" t="s">
        <v>158</v>
      </c>
      <c r="AQ20" s="6"/>
    </row>
    <row r="21" spans="1:43" ht="14.25">
      <c r="C21" t="str">
        <f t="shared" si="0"/>
        <v>◇ サイズ E</v>
      </c>
      <c r="D21" s="7">
        <f t="shared" si="2"/>
        <v>5.5</v>
      </c>
      <c r="E21" t="s">
        <v>71</v>
      </c>
      <c r="H21" t="str">
        <f>IFERROR(INDEX(コンディションランク!$B$1:$B$6,MATCH($G21,コンディションランク!$A$1:$A$6,0)),"")</f>
        <v/>
      </c>
      <c r="O21" t="s">
        <v>2924</v>
      </c>
      <c r="Q21" s="9" t="s">
        <v>3031</v>
      </c>
      <c r="AA21" s="3" t="str">
        <f t="shared" si="3"/>
        <v>サイズ</v>
      </c>
      <c r="AB21" s="9" t="s">
        <v>3031</v>
      </c>
      <c r="AC21" t="s">
        <v>165</v>
      </c>
      <c r="AD21" s="32" t="str">
        <f t="shared" si="1"/>
        <v>◇</v>
      </c>
      <c r="AK21" t="str">
        <f t="shared" si="4"/>
        <v>【ジャケット】サイズ　着丈：約cm　肩幅：約cm　身幅：約cm　袖丈：約cm&lt;br&gt;【パンツ】サイズ　股上：約cm　股下：約cm　ウエスト：約cm　もも幅：約cm　裾幅：約cm</v>
      </c>
      <c r="AL21" s="81" t="str">
        <f t="shared" si="5"/>
        <v>仕立　内収納：      ウエスト余り：約cm　裾余り：約cm</v>
      </c>
      <c r="AM21" t="str">
        <f t="shared" si="6"/>
        <v>【ジャケット】サイズ　着丈：約cm　肩幅：約cm　身幅：約cm　袖丈：約cm&lt;br&gt;【パンツ】サイズ　股上：約cm　股下：約cm　ウエスト：約cm　もも幅：約cm　裾幅：約cm</v>
      </c>
      <c r="AN21" t="str">
        <f t="shared" si="7"/>
        <v>仕立　内収納：      ウエスト余り：約cm　裾余り：約cm</v>
      </c>
      <c r="AO21" s="77" t="s">
        <v>158</v>
      </c>
      <c r="AQ21" s="6"/>
    </row>
    <row r="22" spans="1:43">
      <c r="A22" s="79"/>
      <c r="B22" s="13"/>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row>
    <row r="150" spans="2:2">
      <c r="B150"/>
    </row>
    <row r="151" spans="2:2">
      <c r="B151"/>
    </row>
    <row r="152" spans="2:2">
      <c r="B152"/>
    </row>
    <row r="1048576" spans="4:41" ht="14.25">
      <c r="D1048576" s="7"/>
      <c r="P1048576" s="3"/>
      <c r="AO1048576" s="7"/>
    </row>
  </sheetData>
  <phoneticPr fontId="4"/>
  <conditionalFormatting sqref="B3:B21">
    <cfRule type="duplicateValues" dxfId="36" priority="8"/>
  </conditionalFormatting>
  <conditionalFormatting sqref="D2:D21">
    <cfRule type="cellIs" dxfId="35" priority="7" operator="greaterThanOrEqual">
      <formula>65</formula>
    </cfRule>
  </conditionalFormatting>
  <conditionalFormatting sqref="B2">
    <cfRule type="duplicateValues" dxfId="34" priority="6"/>
  </conditionalFormatting>
  <conditionalFormatting sqref="B2">
    <cfRule type="duplicateValues" dxfId="33" priority="5"/>
  </conditionalFormatting>
  <conditionalFormatting sqref="B2">
    <cfRule type="duplicateValues" dxfId="32" priority="4"/>
  </conditionalFormatting>
  <conditionalFormatting sqref="B2">
    <cfRule type="duplicateValues" dxfId="31" priority="3"/>
  </conditionalFormatting>
  <conditionalFormatting sqref="B2">
    <cfRule type="duplicateValues" dxfId="30" priority="2"/>
  </conditionalFormatting>
  <conditionalFormatting sqref="B2:B21">
    <cfRule type="duplicateValues" dxfId="29" priority="1"/>
  </conditionalFormatting>
  <dataValidations count="2">
    <dataValidation imeMode="off" allowBlank="1" showInputMessage="1" showErrorMessage="1" sqref="R1:Z1048576 B1:B1048576" xr:uid="{0DB273B8-8E88-476A-A501-47E8FAF81246}"/>
    <dataValidation type="list" allowBlank="1" showInputMessage="1" showErrorMessage="1" sqref="AC2:AC21" xr:uid="{F3813DA8-C88E-4388-B2E4-CCF9FB210840}">
      <formula1>梱包</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87FFB0C-4A1E-47E3-936B-5133B08FB59B}">
          <x14:formula1>
            <xm:f>コンディションランク!$A$1:$A$6</xm:f>
          </x14:formula1>
          <xm:sqref>G2:G21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AK1048532"/>
  <sheetViews>
    <sheetView zoomScale="85" zoomScaleNormal="85" workbookViewId="0">
      <pane ySplit="1" topLeftCell="A2" activePane="bottomLeft" state="frozen"/>
      <selection activeCell="B2" sqref="B2"/>
      <selection pane="bottomLeft" activeCell="B2" sqref="B2"/>
    </sheetView>
  </sheetViews>
  <sheetFormatPr defaultRowHeight="13.5"/>
  <cols>
    <col min="1" max="1" width="14" style="9" customWidth="1"/>
    <col min="2" max="2" width="16.25" style="14" customWidth="1"/>
    <col min="3" max="3" width="80.625" customWidth="1"/>
    <col min="4" max="4" width="5.625" customWidth="1"/>
    <col min="5" max="5" width="3.5" customWidth="1"/>
    <col min="6" max="6" width="9" hidden="1" customWidth="1"/>
    <col min="7" max="7" width="3.625" customWidth="1"/>
    <col min="8" max="8" width="15.75" customWidth="1"/>
    <col min="9" max="9" width="9" hidden="1" customWidth="1"/>
    <col min="11" max="11" width="27.375" customWidth="1"/>
    <col min="12" max="12" width="10.5" customWidth="1"/>
    <col min="13" max="16" width="6.25" customWidth="1"/>
    <col min="17" max="21" width="6.5" customWidth="1"/>
    <col min="22" max="23" width="11.75" customWidth="1"/>
    <col min="24" max="24" width="9.75" customWidth="1"/>
    <col min="25" max="25" width="56.375" customWidth="1"/>
    <col min="26" max="26" width="29.875" customWidth="1"/>
    <col min="27" max="27" width="22.5" customWidth="1"/>
    <col min="28" max="28" width="23.125" customWidth="1"/>
    <col min="29" max="29" width="28.375" customWidth="1"/>
    <col min="31" max="31" width="30.75" customWidth="1"/>
    <col min="32" max="32" width="31" hidden="1" customWidth="1"/>
    <col min="33" max="33" width="13.375" customWidth="1"/>
    <col min="34" max="36" width="0" hidden="1" customWidth="1"/>
  </cols>
  <sheetData>
    <row r="1" spans="1:37" s="32" customFormat="1">
      <c r="A1" s="37" t="s">
        <v>2641</v>
      </c>
      <c r="B1" s="38" t="s">
        <v>0</v>
      </c>
      <c r="C1" s="8" t="s">
        <v>1</v>
      </c>
      <c r="D1" s="25" t="s">
        <v>145</v>
      </c>
      <c r="E1" s="18" t="s">
        <v>2</v>
      </c>
      <c r="F1" s="19" t="s">
        <v>3</v>
      </c>
      <c r="G1" s="17" t="s">
        <v>4</v>
      </c>
      <c r="H1" s="19" t="s">
        <v>5</v>
      </c>
      <c r="I1" s="19" t="s">
        <v>6</v>
      </c>
      <c r="J1" s="19" t="s">
        <v>7</v>
      </c>
      <c r="K1" s="19" t="s">
        <v>8</v>
      </c>
      <c r="L1" s="18" t="s">
        <v>9</v>
      </c>
      <c r="M1" s="21" t="s">
        <v>30</v>
      </c>
      <c r="N1" s="21" t="s">
        <v>31</v>
      </c>
      <c r="O1" s="21" t="s">
        <v>32</v>
      </c>
      <c r="P1" s="21" t="s">
        <v>33</v>
      </c>
      <c r="Q1" s="21" t="s">
        <v>40</v>
      </c>
      <c r="R1" s="21" t="s">
        <v>30</v>
      </c>
      <c r="S1" s="21" t="s">
        <v>31</v>
      </c>
      <c r="T1" s="21" t="s">
        <v>32</v>
      </c>
      <c r="U1" s="21" t="s">
        <v>92</v>
      </c>
      <c r="V1" s="21" t="s">
        <v>164</v>
      </c>
      <c r="W1" s="21" t="s">
        <v>3054</v>
      </c>
      <c r="X1" s="17" t="s">
        <v>88</v>
      </c>
      <c r="Y1" s="17" t="s">
        <v>84</v>
      </c>
      <c r="Z1" s="17" t="s">
        <v>85</v>
      </c>
      <c r="AA1" s="17" t="s">
        <v>105</v>
      </c>
      <c r="AB1" s="17" t="s">
        <v>104</v>
      </c>
      <c r="AC1" s="17" t="s">
        <v>104</v>
      </c>
      <c r="AD1" s="17" t="s">
        <v>86</v>
      </c>
      <c r="AE1" s="1" t="s">
        <v>3022</v>
      </c>
      <c r="AF1" s="1" t="s">
        <v>3024</v>
      </c>
      <c r="AG1" s="66" t="s">
        <v>98</v>
      </c>
      <c r="AH1" s="16" t="s">
        <v>107</v>
      </c>
      <c r="AI1" s="17" t="s">
        <v>151</v>
      </c>
      <c r="AJ1" s="17" t="s">
        <v>108</v>
      </c>
      <c r="AK1" s="17" t="s">
        <v>109</v>
      </c>
    </row>
    <row r="2" spans="1:37" ht="14.25">
      <c r="B2" s="68"/>
      <c r="C2" t="str">
        <f t="shared" ref="C2:C10" si="0">TRIM(W2&amp;" "&amp;X2&amp;" "&amp;Y2&amp;" "&amp;Z2&amp;" "&amp;AA2&amp;" "&amp;AB2&amp;" "&amp;AC2&amp;" "&amp;L2&amp;" "&amp;K2&amp;" "&amp;AD2&amp;EX&amp;" "&amp;B2)</f>
        <v>◇ サイズ E</v>
      </c>
      <c r="D2" s="7">
        <f>(LENB(C2)-LEN(C2))+(LENB(C2)-(LENB(C2)-LEN(C2))*2)/2</f>
        <v>5.5</v>
      </c>
      <c r="E2" t="s">
        <v>71</v>
      </c>
      <c r="H2" t="str">
        <f>IFERROR(INDEX(コンディションランク!$B$1:$B$6,MATCH($G2,コンディションランク!$A$1:$A$6,0)),"")</f>
        <v/>
      </c>
      <c r="J2" t="s">
        <v>2924</v>
      </c>
      <c r="L2" s="9" t="s">
        <v>3031</v>
      </c>
      <c r="V2" t="s">
        <v>165</v>
      </c>
      <c r="W2" s="32" t="str">
        <f t="shared" ref="W2:W10" si="1">IFERROR(VLOOKUP(V2,梱包サイズ表,2,0),"")</f>
        <v>◇</v>
      </c>
      <c r="AE2" t="str">
        <f t="shared" ref="AE2:AE10" si="2">"【アウター】着丈：約" &amp;M2&amp; "cm　肩幅：約" &amp;N2&amp; "cm　身幅：約" &amp;O2&amp; "cm　ウエスト：約" &amp;P2&amp; "cm 袖丈：約" &amp;Q2&amp; "cm&lt;br&gt;【インナー】着丈：約" &amp;R2&amp; "cm 肩幅：約" &amp;S2&amp; "cm 身幅：約" &amp;T2&amp; "cm 袖丈：約" &amp;U2&amp; "cm"</f>
        <v>【アウター】着丈：約cm　肩幅：約cm　身幅：約cm　ウエスト：約cm 袖丈：約cm&lt;br&gt;【インナー】着丈：約cm 肩幅：約cm 身幅：約cm 袖丈：約cm</v>
      </c>
      <c r="AF2" t="str">
        <f>SUBSTITUTE( AE2, "約-", "-" )</f>
        <v>【アウター】着丈：約cm　肩幅：約cm　身幅：約cm　ウエスト：約cm 袖丈：約cm&lt;br&gt;【インナー】着丈：約cm 肩幅：約cm 身幅：約cm 袖丈：約cm</v>
      </c>
      <c r="AG2" s="77" t="s">
        <v>158</v>
      </c>
      <c r="AI2" s="6"/>
    </row>
    <row r="3" spans="1:37" ht="14.25">
      <c r="C3" t="str">
        <f t="shared" si="0"/>
        <v>◇ サイズ E</v>
      </c>
      <c r="D3" s="7">
        <f t="shared" ref="D3:D10" si="3">(LENB(C3)-LEN(C3))+(LENB(C3)-(LENB(C3)-LEN(C3))*2)/2</f>
        <v>5.5</v>
      </c>
      <c r="E3" t="s">
        <v>71</v>
      </c>
      <c r="H3" t="str">
        <f>IFERROR(INDEX(コンディションランク!$B$1:$B$6,MATCH($G3,コンディションランク!$A$1:$A$6,0)),"")</f>
        <v/>
      </c>
      <c r="J3" t="s">
        <v>2924</v>
      </c>
      <c r="L3" s="9" t="s">
        <v>3031</v>
      </c>
      <c r="V3" t="s">
        <v>165</v>
      </c>
      <c r="W3" s="32" t="str">
        <f t="shared" si="1"/>
        <v>◇</v>
      </c>
      <c r="AE3" t="str">
        <f t="shared" si="2"/>
        <v>【アウター】着丈：約cm　肩幅：約cm　身幅：約cm　ウエスト：約cm 袖丈：約cm&lt;br&gt;【インナー】着丈：約cm 肩幅：約cm 身幅：約cm 袖丈：約cm</v>
      </c>
      <c r="AF3" t="str">
        <f t="shared" ref="AF3:AF10" si="4">SUBSTITUTE( AE3, "約-", "-" )</f>
        <v>【アウター】着丈：約cm　肩幅：約cm　身幅：約cm　ウエスト：約cm 袖丈：約cm&lt;br&gt;【インナー】着丈：約cm 肩幅：約cm 身幅：約cm 袖丈：約cm</v>
      </c>
      <c r="AG3" s="77" t="s">
        <v>158</v>
      </c>
      <c r="AI3" s="6"/>
    </row>
    <row r="4" spans="1:37" ht="14.25">
      <c r="C4" t="str">
        <f t="shared" si="0"/>
        <v>◇ サイズ E</v>
      </c>
      <c r="D4" s="7">
        <f t="shared" si="3"/>
        <v>5.5</v>
      </c>
      <c r="E4" t="s">
        <v>71</v>
      </c>
      <c r="H4" t="str">
        <f>IFERROR(INDEX(コンディションランク!$B$1:$B$6,MATCH($G4,コンディションランク!$A$1:$A$6,0)),"")</f>
        <v/>
      </c>
      <c r="J4" t="s">
        <v>2924</v>
      </c>
      <c r="L4" s="9" t="s">
        <v>3031</v>
      </c>
      <c r="V4" t="s">
        <v>165</v>
      </c>
      <c r="W4" s="32" t="str">
        <f t="shared" si="1"/>
        <v>◇</v>
      </c>
      <c r="AE4" t="str">
        <f t="shared" si="2"/>
        <v>【アウター】着丈：約cm　肩幅：約cm　身幅：約cm　ウエスト：約cm 袖丈：約cm&lt;br&gt;【インナー】着丈：約cm 肩幅：約cm 身幅：約cm 袖丈：約cm</v>
      </c>
      <c r="AF4" t="str">
        <f t="shared" si="4"/>
        <v>【アウター】着丈：約cm　肩幅：約cm　身幅：約cm　ウエスト：約cm 袖丈：約cm&lt;br&gt;【インナー】着丈：約cm 肩幅：約cm 身幅：約cm 袖丈：約cm</v>
      </c>
      <c r="AG4" s="77" t="s">
        <v>158</v>
      </c>
      <c r="AI4" s="6"/>
    </row>
    <row r="5" spans="1:37" ht="14.25">
      <c r="C5" t="str">
        <f t="shared" si="0"/>
        <v>◇ サイズ E</v>
      </c>
      <c r="D5" s="7">
        <f t="shared" si="3"/>
        <v>5.5</v>
      </c>
      <c r="E5" t="s">
        <v>71</v>
      </c>
      <c r="H5" t="str">
        <f>IFERROR(INDEX(コンディションランク!$B$1:$B$6,MATCH($G5,コンディションランク!$A$1:$A$6,0)),"")</f>
        <v/>
      </c>
      <c r="J5" t="s">
        <v>2924</v>
      </c>
      <c r="L5" s="9" t="s">
        <v>3031</v>
      </c>
      <c r="V5" t="s">
        <v>165</v>
      </c>
      <c r="W5" s="32" t="str">
        <f t="shared" si="1"/>
        <v>◇</v>
      </c>
      <c r="AE5" t="str">
        <f t="shared" si="2"/>
        <v>【アウター】着丈：約cm　肩幅：約cm　身幅：約cm　ウエスト：約cm 袖丈：約cm&lt;br&gt;【インナー】着丈：約cm 肩幅：約cm 身幅：約cm 袖丈：約cm</v>
      </c>
      <c r="AF5" t="str">
        <f t="shared" si="4"/>
        <v>【アウター】着丈：約cm　肩幅：約cm　身幅：約cm　ウエスト：約cm 袖丈：約cm&lt;br&gt;【インナー】着丈：約cm 肩幅：約cm 身幅：約cm 袖丈：約cm</v>
      </c>
      <c r="AG5" s="77" t="s">
        <v>158</v>
      </c>
      <c r="AI5" s="6"/>
    </row>
    <row r="6" spans="1:37" ht="14.25">
      <c r="C6" t="str">
        <f t="shared" si="0"/>
        <v>◇ サイズ E</v>
      </c>
      <c r="D6" s="7">
        <f t="shared" si="3"/>
        <v>5.5</v>
      </c>
      <c r="E6" t="s">
        <v>71</v>
      </c>
      <c r="H6" t="str">
        <f>IFERROR(INDEX(コンディションランク!$B$1:$B$6,MATCH($G6,コンディションランク!$A$1:$A$6,0)),"")</f>
        <v/>
      </c>
      <c r="J6" t="s">
        <v>2924</v>
      </c>
      <c r="L6" s="9" t="s">
        <v>3031</v>
      </c>
      <c r="V6" t="s">
        <v>165</v>
      </c>
      <c r="W6" s="32" t="str">
        <f t="shared" si="1"/>
        <v>◇</v>
      </c>
      <c r="AE6" t="str">
        <f t="shared" si="2"/>
        <v>【アウター】着丈：約cm　肩幅：約cm　身幅：約cm　ウエスト：約cm 袖丈：約cm&lt;br&gt;【インナー】着丈：約cm 肩幅：約cm 身幅：約cm 袖丈：約cm</v>
      </c>
      <c r="AF6" t="str">
        <f t="shared" si="4"/>
        <v>【アウター】着丈：約cm　肩幅：約cm　身幅：約cm　ウエスト：約cm 袖丈：約cm&lt;br&gt;【インナー】着丈：約cm 肩幅：約cm 身幅：約cm 袖丈：約cm</v>
      </c>
      <c r="AG6" s="77" t="s">
        <v>158</v>
      </c>
      <c r="AI6" s="6"/>
    </row>
    <row r="7" spans="1:37" ht="14.25">
      <c r="C7" t="str">
        <f t="shared" si="0"/>
        <v>◇ サイズ E</v>
      </c>
      <c r="D7" s="7">
        <f t="shared" si="3"/>
        <v>5.5</v>
      </c>
      <c r="E7" t="s">
        <v>71</v>
      </c>
      <c r="H7" t="str">
        <f>IFERROR(INDEX(コンディションランク!$B$1:$B$6,MATCH($G7,コンディションランク!$A$1:$A$6,0)),"")</f>
        <v/>
      </c>
      <c r="J7" t="s">
        <v>2924</v>
      </c>
      <c r="L7" s="9" t="s">
        <v>3031</v>
      </c>
      <c r="V7" t="s">
        <v>165</v>
      </c>
      <c r="W7" s="32" t="str">
        <f t="shared" si="1"/>
        <v>◇</v>
      </c>
      <c r="AE7" t="str">
        <f t="shared" si="2"/>
        <v>【アウター】着丈：約cm　肩幅：約cm　身幅：約cm　ウエスト：約cm 袖丈：約cm&lt;br&gt;【インナー】着丈：約cm 肩幅：約cm 身幅：約cm 袖丈：約cm</v>
      </c>
      <c r="AF7" t="str">
        <f t="shared" si="4"/>
        <v>【アウター】着丈：約cm　肩幅：約cm　身幅：約cm　ウエスト：約cm 袖丈：約cm&lt;br&gt;【インナー】着丈：約cm 肩幅：約cm 身幅：約cm 袖丈：約cm</v>
      </c>
      <c r="AG7" s="77" t="s">
        <v>158</v>
      </c>
      <c r="AI7" s="6"/>
    </row>
    <row r="8" spans="1:37" ht="14.25">
      <c r="C8" t="str">
        <f t="shared" si="0"/>
        <v>◇ サイズ E</v>
      </c>
      <c r="D8" s="7">
        <f t="shared" si="3"/>
        <v>5.5</v>
      </c>
      <c r="E8" t="s">
        <v>71</v>
      </c>
      <c r="H8" t="str">
        <f>IFERROR(INDEX(コンディションランク!$B$1:$B$6,MATCH($G8,コンディションランク!$A$1:$A$6,0)),"")</f>
        <v/>
      </c>
      <c r="J8" t="s">
        <v>2924</v>
      </c>
      <c r="L8" s="9" t="s">
        <v>3031</v>
      </c>
      <c r="V8" t="s">
        <v>165</v>
      </c>
      <c r="W8" s="32" t="str">
        <f t="shared" si="1"/>
        <v>◇</v>
      </c>
      <c r="AE8" t="str">
        <f t="shared" si="2"/>
        <v>【アウター】着丈：約cm　肩幅：約cm　身幅：約cm　ウエスト：約cm 袖丈：約cm&lt;br&gt;【インナー】着丈：約cm 肩幅：約cm 身幅：約cm 袖丈：約cm</v>
      </c>
      <c r="AF8" t="str">
        <f t="shared" si="4"/>
        <v>【アウター】着丈：約cm　肩幅：約cm　身幅：約cm　ウエスト：約cm 袖丈：約cm&lt;br&gt;【インナー】着丈：約cm 肩幅：約cm 身幅：約cm 袖丈：約cm</v>
      </c>
      <c r="AG8" s="77" t="s">
        <v>158</v>
      </c>
      <c r="AI8" s="6"/>
    </row>
    <row r="9" spans="1:37" ht="14.25">
      <c r="C9" t="str">
        <f t="shared" si="0"/>
        <v>◇ サイズ E</v>
      </c>
      <c r="D9" s="7">
        <f t="shared" si="3"/>
        <v>5.5</v>
      </c>
      <c r="E9" t="s">
        <v>71</v>
      </c>
      <c r="H9" t="str">
        <f>IFERROR(INDEX(コンディションランク!$B$1:$B$6,MATCH($G9,コンディションランク!$A$1:$A$6,0)),"")</f>
        <v/>
      </c>
      <c r="J9" t="s">
        <v>2924</v>
      </c>
      <c r="L9" s="9" t="s">
        <v>3031</v>
      </c>
      <c r="V9" t="s">
        <v>165</v>
      </c>
      <c r="W9" s="32" t="str">
        <f t="shared" si="1"/>
        <v>◇</v>
      </c>
      <c r="AE9" t="str">
        <f t="shared" si="2"/>
        <v>【アウター】着丈：約cm　肩幅：約cm　身幅：約cm　ウエスト：約cm 袖丈：約cm&lt;br&gt;【インナー】着丈：約cm 肩幅：約cm 身幅：約cm 袖丈：約cm</v>
      </c>
      <c r="AF9" t="str">
        <f t="shared" si="4"/>
        <v>【アウター】着丈：約cm　肩幅：約cm　身幅：約cm　ウエスト：約cm 袖丈：約cm&lt;br&gt;【インナー】着丈：約cm 肩幅：約cm 身幅：約cm 袖丈：約cm</v>
      </c>
      <c r="AG9" s="77" t="s">
        <v>158</v>
      </c>
      <c r="AI9" s="6"/>
    </row>
    <row r="10" spans="1:37" ht="14.25">
      <c r="C10" t="str">
        <f t="shared" si="0"/>
        <v>◇ サイズ E</v>
      </c>
      <c r="D10" s="7">
        <f t="shared" si="3"/>
        <v>5.5</v>
      </c>
      <c r="E10" t="s">
        <v>71</v>
      </c>
      <c r="H10" t="str">
        <f>IFERROR(INDEX(コンディションランク!$B$1:$B$6,MATCH($G10,コンディションランク!$A$1:$A$6,0)),"")</f>
        <v/>
      </c>
      <c r="J10" t="s">
        <v>2924</v>
      </c>
      <c r="L10" s="9" t="s">
        <v>3031</v>
      </c>
      <c r="V10" t="s">
        <v>165</v>
      </c>
      <c r="W10" s="32" t="str">
        <f t="shared" si="1"/>
        <v>◇</v>
      </c>
      <c r="AE10" t="str">
        <f t="shared" si="2"/>
        <v>【アウター】着丈：約cm　肩幅：約cm　身幅：約cm　ウエスト：約cm 袖丈：約cm&lt;br&gt;【インナー】着丈：約cm 肩幅：約cm 身幅：約cm 袖丈：約cm</v>
      </c>
      <c r="AF10" t="str">
        <f t="shared" si="4"/>
        <v>【アウター】着丈：約cm　肩幅：約cm　身幅：約cm　ウエスト：約cm 袖丈：約cm&lt;br&gt;【インナー】着丈：約cm 肩幅：約cm 身幅：約cm 袖丈：約cm</v>
      </c>
      <c r="AG10" s="77" t="s">
        <v>158</v>
      </c>
      <c r="AI10" s="6"/>
    </row>
    <row r="11" spans="1:37" ht="14.25">
      <c r="A11" s="79"/>
      <c r="B11" s="13"/>
      <c r="C11" s="4"/>
      <c r="D11" s="83"/>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83"/>
    </row>
    <row r="12" spans="1:37" ht="14.25">
      <c r="D12" s="7"/>
      <c r="AG12" s="7"/>
    </row>
    <row r="13" spans="1:37" ht="14.25">
      <c r="D13" s="7"/>
      <c r="AG13" s="7"/>
    </row>
    <row r="14" spans="1:37" ht="14.25">
      <c r="D14" s="7"/>
      <c r="AG14" s="7"/>
    </row>
    <row r="15" spans="1:37" ht="14.25">
      <c r="D15" s="7"/>
      <c r="AG15" s="7"/>
    </row>
    <row r="16" spans="1:37" ht="14.25">
      <c r="D16" s="7"/>
      <c r="AG16" s="7"/>
    </row>
    <row r="17" spans="4:33" ht="14.25">
      <c r="D17" s="7"/>
      <c r="AG17" s="7"/>
    </row>
    <row r="18" spans="4:33" ht="14.25">
      <c r="D18" s="7"/>
      <c r="AG18" s="7"/>
    </row>
    <row r="19" spans="4:33" ht="14.25">
      <c r="D19" s="7"/>
      <c r="AG19" s="7"/>
    </row>
    <row r="20" spans="4:33" ht="14.25">
      <c r="D20" s="7"/>
      <c r="AG20" s="7"/>
    </row>
    <row r="21" spans="4:33" ht="14.25">
      <c r="D21" s="7"/>
      <c r="AG21" s="7"/>
    </row>
    <row r="22" spans="4:33" ht="14.25">
      <c r="D22" s="7"/>
      <c r="AG22" s="7"/>
    </row>
    <row r="23" spans="4:33" ht="14.25">
      <c r="D23" s="7"/>
      <c r="AG23" s="7"/>
    </row>
    <row r="24" spans="4:33" ht="14.25">
      <c r="D24" s="7"/>
      <c r="AG24" s="7"/>
    </row>
    <row r="25" spans="4:33" ht="14.25">
      <c r="AG25" s="7"/>
    </row>
    <row r="26" spans="4:33" ht="14.25">
      <c r="D26" s="7"/>
      <c r="AG26" s="7"/>
    </row>
    <row r="27" spans="4:33" ht="14.25">
      <c r="D27" s="7"/>
      <c r="AG27" s="7"/>
    </row>
    <row r="28" spans="4:33" ht="14.25">
      <c r="D28" s="7"/>
      <c r="AG28" s="7"/>
    </row>
    <row r="29" spans="4:33" ht="14.25">
      <c r="D29" s="7"/>
      <c r="AG29" s="7"/>
    </row>
    <row r="30" spans="4:33" ht="14.25">
      <c r="AG30" s="7"/>
    </row>
    <row r="31" spans="4:33" ht="14.25">
      <c r="AG31" s="7"/>
    </row>
    <row r="32" spans="4:33" ht="14.25">
      <c r="AG32" s="7"/>
    </row>
    <row r="150" spans="2:2">
      <c r="B150"/>
    </row>
    <row r="151" spans="2:2">
      <c r="B151"/>
    </row>
    <row r="152" spans="2:2">
      <c r="B152"/>
    </row>
    <row r="1048532" spans="10:10">
      <c r="J1048532" s="3"/>
    </row>
  </sheetData>
  <phoneticPr fontId="4"/>
  <conditionalFormatting sqref="B3:B10">
    <cfRule type="duplicateValues" dxfId="28" priority="8"/>
  </conditionalFormatting>
  <conditionalFormatting sqref="D2:D10">
    <cfRule type="cellIs" dxfId="27" priority="7" operator="greaterThanOrEqual">
      <formula>65</formula>
    </cfRule>
  </conditionalFormatting>
  <conditionalFormatting sqref="B2">
    <cfRule type="duplicateValues" dxfId="26" priority="6"/>
  </conditionalFormatting>
  <conditionalFormatting sqref="B2">
    <cfRule type="duplicateValues" dxfId="25" priority="5"/>
  </conditionalFormatting>
  <conditionalFormatting sqref="B2">
    <cfRule type="duplicateValues" dxfId="24" priority="4"/>
  </conditionalFormatting>
  <conditionalFormatting sqref="B2">
    <cfRule type="duplicateValues" dxfId="23" priority="3"/>
  </conditionalFormatting>
  <conditionalFormatting sqref="B2">
    <cfRule type="duplicateValues" dxfId="22" priority="2"/>
  </conditionalFormatting>
  <conditionalFormatting sqref="B2:B10">
    <cfRule type="duplicateValues" dxfId="21" priority="1"/>
  </conditionalFormatting>
  <dataValidations count="2">
    <dataValidation imeMode="off" allowBlank="1" showInputMessage="1" showErrorMessage="1" sqref="M1:U1048576 B1:B1048576" xr:uid="{1276CFBE-406D-403B-8517-5EADE811A793}"/>
    <dataValidation type="list" allowBlank="1" showInputMessage="1" showErrorMessage="1" sqref="V2:V10" xr:uid="{C8ECDCB2-EF60-4BFC-A55C-A4FFE621930F}">
      <formula1>梱包</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E2D4D50-1327-4159-A9AD-E42207435BAE}">
          <x14:formula1>
            <xm:f>コンディションランク!$A$1:$A$6</xm:f>
          </x14:formula1>
          <xm:sqref>G2:G10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AF1048576"/>
  <sheetViews>
    <sheetView zoomScale="85" zoomScaleNormal="85" workbookViewId="0">
      <pane ySplit="1" topLeftCell="A2" activePane="bottomLeft" state="frozen"/>
      <selection activeCell="B2" sqref="B2"/>
      <selection pane="bottomLeft" activeCell="A6" sqref="A6"/>
    </sheetView>
  </sheetViews>
  <sheetFormatPr defaultRowHeight="13.5"/>
  <cols>
    <col min="1" max="1" width="14" style="9" customWidth="1"/>
    <col min="2" max="2" width="16.25" style="14" customWidth="1"/>
    <col min="3" max="3" width="80.625" customWidth="1"/>
    <col min="4" max="4" width="5.625" customWidth="1"/>
    <col min="6" max="6" width="9" hidden="1" customWidth="1"/>
    <col min="7" max="7" width="3.625" customWidth="1"/>
    <col min="8" max="8" width="9" customWidth="1"/>
    <col min="9" max="9" width="9" hidden="1" customWidth="1"/>
    <col min="10" max="10" width="20.5" customWidth="1"/>
    <col min="11" max="11" width="19.5" customWidth="1"/>
    <col min="12" max="12" width="14.5" customWidth="1"/>
    <col min="13" max="13" width="23" customWidth="1"/>
    <col min="14" max="14" width="11.25" style="9" customWidth="1"/>
    <col min="18" max="19" width="11.75" customWidth="1"/>
    <col min="20" max="20" width="6.5" customWidth="1"/>
    <col min="21" max="21" width="49.375" customWidth="1"/>
    <col min="22" max="22" width="30.5" customWidth="1"/>
    <col min="23" max="23" width="26.625" customWidth="1"/>
    <col min="24" max="24" width="6.375" customWidth="1"/>
    <col min="25" max="25" width="69.75" customWidth="1"/>
    <col min="26" max="26" width="40.75" hidden="1" customWidth="1"/>
    <col min="27" max="27" width="28.375" customWidth="1"/>
    <col min="28" max="28" width="11.875" customWidth="1"/>
    <col min="29" max="31" width="8.125" hidden="1" customWidth="1"/>
    <col min="32" max="32" width="8.125" customWidth="1"/>
  </cols>
  <sheetData>
    <row r="1" spans="1:32" s="32" customFormat="1">
      <c r="A1" s="37" t="s">
        <v>2641</v>
      </c>
      <c r="B1" s="38" t="s">
        <v>0</v>
      </c>
      <c r="C1" s="8" t="s">
        <v>1</v>
      </c>
      <c r="D1" s="25" t="s">
        <v>145</v>
      </c>
      <c r="E1" s="18" t="s">
        <v>2</v>
      </c>
      <c r="F1" s="19" t="s">
        <v>3</v>
      </c>
      <c r="G1" s="17" t="s">
        <v>4</v>
      </c>
      <c r="H1" s="19" t="s">
        <v>5</v>
      </c>
      <c r="I1" s="19" t="s">
        <v>6</v>
      </c>
      <c r="J1" s="19" t="s">
        <v>59</v>
      </c>
      <c r="K1" s="19" t="s">
        <v>62</v>
      </c>
      <c r="L1" s="19" t="s">
        <v>75</v>
      </c>
      <c r="M1" s="19" t="s">
        <v>8</v>
      </c>
      <c r="N1" s="18" t="s">
        <v>9</v>
      </c>
      <c r="O1" s="21" t="s">
        <v>56</v>
      </c>
      <c r="P1" s="21" t="s">
        <v>57</v>
      </c>
      <c r="Q1" s="21" t="s">
        <v>58</v>
      </c>
      <c r="R1" s="21" t="s">
        <v>164</v>
      </c>
      <c r="S1" s="21" t="s">
        <v>3054</v>
      </c>
      <c r="T1" s="17" t="s">
        <v>88</v>
      </c>
      <c r="U1" s="17" t="s">
        <v>84</v>
      </c>
      <c r="V1" s="17" t="s">
        <v>85</v>
      </c>
      <c r="W1" s="17" t="s">
        <v>87</v>
      </c>
      <c r="X1" s="17" t="s">
        <v>86</v>
      </c>
      <c r="Y1" s="1" t="s">
        <v>3022</v>
      </c>
      <c r="Z1" s="1" t="s">
        <v>3024</v>
      </c>
      <c r="AA1" s="5" t="s">
        <v>7</v>
      </c>
      <c r="AB1" s="66" t="s">
        <v>98</v>
      </c>
      <c r="AC1" s="16" t="s">
        <v>107</v>
      </c>
      <c r="AD1" s="17" t="s">
        <v>151</v>
      </c>
      <c r="AE1" s="17" t="s">
        <v>108</v>
      </c>
      <c r="AF1" s="17" t="s">
        <v>109</v>
      </c>
    </row>
    <row r="2" spans="1:32" ht="14.25" customHeight="1">
      <c r="A2" s="9" t="s">
        <v>3132</v>
      </c>
      <c r="B2" s="14">
        <v>1212020007894</v>
      </c>
      <c r="C2" t="str">
        <f t="shared" ref="C2:C33" si="0">TRIM(S2&amp;" "&amp;T2&amp;" "&amp;U2&amp;" "&amp;V2&amp;" "&amp;W2&amp;" "&amp;N2&amp;" "&amp;M2&amp;" "&amp;X2&amp;EX&amp;" "&amp;B2)</f>
        <v>◇ PARADIS COULEUR パラディクルール 花ビジュー パンプス サイズ24 ブラウン レディース E 1212020007894</v>
      </c>
      <c r="D2">
        <f t="shared" ref="D2:D66" si="1">(LENB(C2)-LEN(C2))+(LENB(C2)-(LENB(C2)-LEN(C2))*2)/2</f>
        <v>50</v>
      </c>
      <c r="E2" t="s">
        <v>3123</v>
      </c>
      <c r="G2">
        <v>3</v>
      </c>
      <c r="H2" t="str">
        <f>IFERROR(INDEX(コンディションランク!$B$1:$B$6,MATCH($G2,コンディションランク!$A$1:$A$6,0)),"")</f>
        <v>目立った傷や汚れなし</v>
      </c>
      <c r="J2" t="s">
        <v>3124</v>
      </c>
      <c r="K2" t="s">
        <v>3125</v>
      </c>
      <c r="M2" t="s">
        <v>3126</v>
      </c>
      <c r="N2" s="9" t="s">
        <v>3127</v>
      </c>
      <c r="O2">
        <v>24</v>
      </c>
      <c r="P2">
        <v>8</v>
      </c>
      <c r="Q2" t="s">
        <v>83</v>
      </c>
      <c r="R2" t="s">
        <v>165</v>
      </c>
      <c r="S2" s="32" t="str">
        <f t="shared" ref="S2:S33" si="2">IFERROR(VLOOKUP(R2,梱包サイズ表,2,0),"")</f>
        <v>◇</v>
      </c>
      <c r="U2" t="s">
        <v>3128</v>
      </c>
      <c r="V2" t="s">
        <v>3129</v>
      </c>
      <c r="W2" t="s">
        <v>3130</v>
      </c>
      <c r="X2" t="s">
        <v>3019</v>
      </c>
      <c r="Y2" t="str">
        <f>"底長：約" &amp;O2&amp; "cm　底甲幅：約" &amp;P2&amp; "cm　ヒール：約" &amp;Q2&amp; "cm"</f>
        <v>底長：約24cm　底甲幅：約8cm　ヒール：約-cm</v>
      </c>
      <c r="Z2" t="str">
        <f>SUBSTITUTE( Y2, "約-", "-" )</f>
        <v>底長：約24cm　底甲幅：約8cm　ヒール：-cm</v>
      </c>
      <c r="AA2" t="str">
        <f>J2&amp;"/"&amp;K2&amp;"ソール"&amp;L2</f>
        <v>エナメル系/ゴム系ソール</v>
      </c>
      <c r="AB2" s="81" t="s">
        <v>3131</v>
      </c>
      <c r="AD2" s="6"/>
      <c r="AF2">
        <v>1000</v>
      </c>
    </row>
    <row r="3" spans="1:32" ht="14.25" customHeight="1">
      <c r="A3" s="9" t="s">
        <v>3162</v>
      </c>
      <c r="B3" s="14">
        <v>1212020007825</v>
      </c>
      <c r="C3" t="str">
        <f t="shared" si="0"/>
        <v>◇ KMB マジックテープ。ローファー風 パンプス サイズ37 ブラウン レディース E 1212020007825</v>
      </c>
      <c r="D3">
        <f t="shared" si="1"/>
        <v>44.5</v>
      </c>
      <c r="E3" t="s">
        <v>3157</v>
      </c>
      <c r="G3">
        <v>4</v>
      </c>
      <c r="H3" t="str">
        <f>IFERROR(INDEX(コンディションランク!$B$1:$B$6,MATCH($G3,コンディションランク!$A$1:$A$6,0)),"")</f>
        <v>やや傷や汚れあり</v>
      </c>
      <c r="J3" t="s">
        <v>3158</v>
      </c>
      <c r="K3" t="s">
        <v>3125</v>
      </c>
      <c r="M3" t="s">
        <v>3126</v>
      </c>
      <c r="N3" s="9" t="s">
        <v>3159</v>
      </c>
      <c r="O3">
        <v>26</v>
      </c>
      <c r="P3">
        <v>9</v>
      </c>
      <c r="Q3" t="s">
        <v>83</v>
      </c>
      <c r="R3" t="s">
        <v>165</v>
      </c>
      <c r="S3" s="32" t="str">
        <f t="shared" si="2"/>
        <v>◇</v>
      </c>
      <c r="U3" t="s">
        <v>3160</v>
      </c>
      <c r="V3" t="s">
        <v>3161</v>
      </c>
      <c r="W3" t="s">
        <v>3130</v>
      </c>
      <c r="X3" t="s">
        <v>3019</v>
      </c>
      <c r="Y3" t="str">
        <f t="shared" ref="Y3:Y66" si="3">"底長：約" &amp;O3&amp; "cm　底甲幅：約" &amp;P3&amp; "cm　ヒール：約" &amp;Q3&amp; "cm"</f>
        <v>底長：約26cm　底甲幅：約9cm　ヒール：約-cm</v>
      </c>
      <c r="Z3" t="str">
        <f t="shared" ref="Z3:Z66" si="4">SUBSTITUTE( Y3, "約-", "-" )</f>
        <v>底長：約26cm　底甲幅：約9cm　ヒール：-cm</v>
      </c>
      <c r="AA3" t="str">
        <f t="shared" ref="AA3:AA66" si="5">J3&amp;"/"&amp;K3&amp;"ソール"&amp;L3</f>
        <v>スエード生地/ゴム系ソール</v>
      </c>
      <c r="AB3" s="81" t="s">
        <v>3131</v>
      </c>
      <c r="AD3" s="6"/>
      <c r="AF3">
        <v>1000</v>
      </c>
    </row>
    <row r="4" spans="1:32" ht="14.25" customHeight="1">
      <c r="A4" s="9" t="s">
        <v>3177</v>
      </c>
      <c r="B4" s="14">
        <v>1212020007788</v>
      </c>
      <c r="C4" t="str">
        <f t="shared" si="0"/>
        <v>◇ ROPE PICNIC ロペピクニックピクニック ローファー風。金具あり パンプス サイズ40 パープル レディース E 1212020007788</v>
      </c>
      <c r="D4">
        <f t="shared" si="1"/>
        <v>58</v>
      </c>
      <c r="E4" t="s">
        <v>74</v>
      </c>
      <c r="G4">
        <v>3</v>
      </c>
      <c r="H4" t="str">
        <f>IFERROR(INDEX(コンディションランク!$B$1:$B$6,MATCH($G4,コンディションランク!$A$1:$A$6,0)),"")</f>
        <v>目立った傷や汚れなし</v>
      </c>
      <c r="J4" t="s">
        <v>3158</v>
      </c>
      <c r="K4" t="s">
        <v>3125</v>
      </c>
      <c r="M4" t="s">
        <v>3173</v>
      </c>
      <c r="N4" s="9" t="s">
        <v>3174</v>
      </c>
      <c r="O4">
        <v>25</v>
      </c>
      <c r="P4">
        <v>8</v>
      </c>
      <c r="Q4">
        <v>5.5</v>
      </c>
      <c r="R4" t="s">
        <v>165</v>
      </c>
      <c r="S4" s="32" t="str">
        <f t="shared" si="2"/>
        <v>◇</v>
      </c>
      <c r="U4" t="s">
        <v>3175</v>
      </c>
      <c r="V4" t="s">
        <v>3176</v>
      </c>
      <c r="W4" t="s">
        <v>3130</v>
      </c>
      <c r="X4" t="s">
        <v>3019</v>
      </c>
      <c r="Y4" t="str">
        <f t="shared" si="3"/>
        <v>底長：約25cm　底甲幅：約8cm　ヒール：約5.5cm</v>
      </c>
      <c r="Z4" t="str">
        <f t="shared" si="4"/>
        <v>底長：約25cm　底甲幅：約8cm　ヒール：約5.5cm</v>
      </c>
      <c r="AA4" t="str">
        <f t="shared" si="5"/>
        <v>スエード生地/ゴム系ソール</v>
      </c>
      <c r="AB4" s="81" t="s">
        <v>3131</v>
      </c>
      <c r="AD4" s="6"/>
      <c r="AF4">
        <v>1000</v>
      </c>
    </row>
    <row r="5" spans="1:32" ht="14.25" customHeight="1">
      <c r="A5" s="9" t="s">
        <v>3181</v>
      </c>
      <c r="B5" s="14">
        <v>1212020007771</v>
      </c>
      <c r="C5" t="str">
        <f t="shared" si="0"/>
        <v>◇ RANDA ランダ リボンあり。オープントゥ サンダル サイズM ベージュ レディース E 1212020007771</v>
      </c>
      <c r="D5">
        <f t="shared" si="1"/>
        <v>46.5</v>
      </c>
      <c r="E5" t="s">
        <v>3157</v>
      </c>
      <c r="G5">
        <v>4</v>
      </c>
      <c r="H5" t="str">
        <f>IFERROR(INDEX(コンディションランク!$B$1:$B$6,MATCH($G5,コンディションランク!$A$1:$A$6,0)),"")</f>
        <v>やや傷や汚れあり</v>
      </c>
      <c r="J5" t="s">
        <v>3112</v>
      </c>
      <c r="K5" t="s">
        <v>3125</v>
      </c>
      <c r="M5" t="s">
        <v>3101</v>
      </c>
      <c r="N5" s="9" t="s">
        <v>3057</v>
      </c>
      <c r="O5">
        <v>23.5</v>
      </c>
      <c r="P5">
        <v>9</v>
      </c>
      <c r="Q5">
        <v>3</v>
      </c>
      <c r="R5" t="s">
        <v>165</v>
      </c>
      <c r="S5" s="32" t="str">
        <f t="shared" si="2"/>
        <v>◇</v>
      </c>
      <c r="U5" t="s">
        <v>3178</v>
      </c>
      <c r="V5" t="s">
        <v>3180</v>
      </c>
      <c r="W5" t="s">
        <v>3179</v>
      </c>
      <c r="X5" t="s">
        <v>3019</v>
      </c>
      <c r="Y5" t="str">
        <f t="shared" si="3"/>
        <v>底長：約23.5cm　底甲幅：約9cm　ヒール：約3cm</v>
      </c>
      <c r="Z5" t="str">
        <f t="shared" si="4"/>
        <v>底長：約23.5cm　底甲幅：約9cm　ヒール：約3cm</v>
      </c>
      <c r="AA5" t="str">
        <f t="shared" si="5"/>
        <v>レザー系/ゴム系ソール</v>
      </c>
      <c r="AB5" s="81" t="s">
        <v>3131</v>
      </c>
      <c r="AD5" s="6"/>
      <c r="AF5">
        <v>1000</v>
      </c>
    </row>
    <row r="6" spans="1:32" ht="14.25" customHeight="1">
      <c r="A6" s="9" t="s">
        <v>3233</v>
      </c>
      <c r="B6" s="14">
        <v>1212020007597</v>
      </c>
      <c r="C6" t="str">
        <f t="shared" si="0"/>
        <v>◇ lee ストラップ調節可能 サンダル サイズ17 ブラウン/ベージュ キッズ E 1212020007597</v>
      </c>
      <c r="D6">
        <f t="shared" si="1"/>
        <v>42</v>
      </c>
      <c r="E6" t="s">
        <v>3157</v>
      </c>
      <c r="G6">
        <v>4</v>
      </c>
      <c r="H6" t="str">
        <f>IFERROR(INDEX(コンディションランク!$B$1:$B$6,MATCH($G6,コンディションランク!$A$1:$A$6,0)),"")</f>
        <v>やや傷や汚れあり</v>
      </c>
      <c r="J6" t="s">
        <v>3112</v>
      </c>
      <c r="K6" t="s">
        <v>3125</v>
      </c>
      <c r="M6" t="s">
        <v>3229</v>
      </c>
      <c r="N6" s="9" t="s">
        <v>3230</v>
      </c>
      <c r="O6">
        <v>18.5</v>
      </c>
      <c r="P6">
        <v>7</v>
      </c>
      <c r="Q6" t="s">
        <v>83</v>
      </c>
      <c r="R6" t="s">
        <v>165</v>
      </c>
      <c r="S6" s="32" t="str">
        <f t="shared" si="2"/>
        <v>◇</v>
      </c>
      <c r="U6" t="s">
        <v>3231</v>
      </c>
      <c r="V6" t="s">
        <v>3232</v>
      </c>
      <c r="W6" t="s">
        <v>3179</v>
      </c>
      <c r="X6" t="s">
        <v>3142</v>
      </c>
      <c r="Y6" t="str">
        <f t="shared" si="3"/>
        <v>底長：約18.5cm　底甲幅：約7cm　ヒール：約-cm</v>
      </c>
      <c r="Z6" t="str">
        <f t="shared" si="4"/>
        <v>底長：約18.5cm　底甲幅：約7cm　ヒール：-cm</v>
      </c>
      <c r="AA6" t="str">
        <f t="shared" si="5"/>
        <v>レザー系/ゴム系ソール</v>
      </c>
      <c r="AB6" s="81" t="s">
        <v>3131</v>
      </c>
      <c r="AD6" s="6"/>
      <c r="AF6">
        <v>1000</v>
      </c>
    </row>
    <row r="7" spans="1:32" ht="14.25" customHeight="1">
      <c r="C7" t="str">
        <f t="shared" si="0"/>
        <v>◇ サイズ E</v>
      </c>
      <c r="D7">
        <f t="shared" si="1"/>
        <v>5.5</v>
      </c>
      <c r="E7" t="s">
        <v>74</v>
      </c>
      <c r="H7" t="str">
        <f>IFERROR(INDEX(コンディションランク!$B$1:$B$6,MATCH($G7,コンディションランク!$A$1:$A$6,0)),"")</f>
        <v/>
      </c>
      <c r="N7" s="9" t="s">
        <v>3031</v>
      </c>
      <c r="R7" t="s">
        <v>165</v>
      </c>
      <c r="S7" s="32" t="str">
        <f t="shared" si="2"/>
        <v>◇</v>
      </c>
      <c r="Y7" t="str">
        <f t="shared" si="3"/>
        <v>底長：約cm　底甲幅：約cm　ヒール：約cm</v>
      </c>
      <c r="Z7" t="str">
        <f t="shared" si="4"/>
        <v>底長：約cm　底甲幅：約cm　ヒール：約cm</v>
      </c>
      <c r="AA7" t="str">
        <f t="shared" si="5"/>
        <v>/ソール</v>
      </c>
      <c r="AB7" s="81" t="s">
        <v>3021</v>
      </c>
      <c r="AD7" s="6"/>
    </row>
    <row r="8" spans="1:32" ht="14.25" customHeight="1">
      <c r="C8" t="str">
        <f t="shared" si="0"/>
        <v>◇ サイズ E</v>
      </c>
      <c r="D8">
        <f t="shared" si="1"/>
        <v>5.5</v>
      </c>
      <c r="E8" t="s">
        <v>74</v>
      </c>
      <c r="H8" t="str">
        <f>IFERROR(INDEX(コンディションランク!$B$1:$B$6,MATCH($G8,コンディションランク!$A$1:$A$6,0)),"")</f>
        <v/>
      </c>
      <c r="N8" s="9" t="s">
        <v>3031</v>
      </c>
      <c r="R8" t="s">
        <v>165</v>
      </c>
      <c r="S8" s="32" t="str">
        <f t="shared" si="2"/>
        <v>◇</v>
      </c>
      <c r="Y8" t="str">
        <f t="shared" si="3"/>
        <v>底長：約cm　底甲幅：約cm　ヒール：約cm</v>
      </c>
      <c r="Z8" t="str">
        <f t="shared" si="4"/>
        <v>底長：約cm　底甲幅：約cm　ヒール：約cm</v>
      </c>
      <c r="AA8" t="str">
        <f t="shared" si="5"/>
        <v>/ソール</v>
      </c>
      <c r="AB8" s="81" t="s">
        <v>3021</v>
      </c>
      <c r="AD8" s="6"/>
    </row>
    <row r="9" spans="1:32" ht="14.25" customHeight="1">
      <c r="C9" t="str">
        <f t="shared" si="0"/>
        <v>◇ サイズ E</v>
      </c>
      <c r="D9">
        <f t="shared" si="1"/>
        <v>5.5</v>
      </c>
      <c r="E9" t="s">
        <v>74</v>
      </c>
      <c r="H9" t="str">
        <f>IFERROR(INDEX(コンディションランク!$B$1:$B$6,MATCH($G9,コンディションランク!$A$1:$A$6,0)),"")</f>
        <v/>
      </c>
      <c r="N9" s="9" t="s">
        <v>3031</v>
      </c>
      <c r="R9" t="s">
        <v>165</v>
      </c>
      <c r="S9" s="32" t="str">
        <f t="shared" si="2"/>
        <v>◇</v>
      </c>
      <c r="Y9" t="str">
        <f t="shared" si="3"/>
        <v>底長：約cm　底甲幅：約cm　ヒール：約cm</v>
      </c>
      <c r="Z9" t="str">
        <f t="shared" si="4"/>
        <v>底長：約cm　底甲幅：約cm　ヒール：約cm</v>
      </c>
      <c r="AA9" t="str">
        <f t="shared" si="5"/>
        <v>/ソール</v>
      </c>
      <c r="AB9" s="81" t="s">
        <v>3021</v>
      </c>
      <c r="AD9" s="6"/>
    </row>
    <row r="10" spans="1:32" ht="14.25" customHeight="1">
      <c r="C10" t="str">
        <f t="shared" si="0"/>
        <v>◇ サイズ E</v>
      </c>
      <c r="D10">
        <f t="shared" si="1"/>
        <v>5.5</v>
      </c>
      <c r="E10" t="s">
        <v>74</v>
      </c>
      <c r="H10" t="str">
        <f>IFERROR(INDEX(コンディションランク!$B$1:$B$6,MATCH($G10,コンディションランク!$A$1:$A$6,0)),"")</f>
        <v/>
      </c>
      <c r="N10" s="9" t="s">
        <v>3031</v>
      </c>
      <c r="R10" t="s">
        <v>165</v>
      </c>
      <c r="S10" s="32" t="str">
        <f t="shared" si="2"/>
        <v>◇</v>
      </c>
      <c r="Y10" t="str">
        <f t="shared" si="3"/>
        <v>底長：約cm　底甲幅：約cm　ヒール：約cm</v>
      </c>
      <c r="Z10" t="str">
        <f t="shared" si="4"/>
        <v>底長：約cm　底甲幅：約cm　ヒール：約cm</v>
      </c>
      <c r="AA10" t="str">
        <f t="shared" si="5"/>
        <v>/ソール</v>
      </c>
      <c r="AB10" s="81" t="s">
        <v>3021</v>
      </c>
      <c r="AD10" s="6"/>
    </row>
    <row r="11" spans="1:32" ht="14.25" customHeight="1">
      <c r="C11" t="str">
        <f t="shared" si="0"/>
        <v>◇ サイズ E</v>
      </c>
      <c r="D11">
        <f t="shared" si="1"/>
        <v>5.5</v>
      </c>
      <c r="E11" t="s">
        <v>74</v>
      </c>
      <c r="H11" t="str">
        <f>IFERROR(INDEX(コンディションランク!$B$1:$B$6,MATCH($G11,コンディションランク!$A$1:$A$6,0)),"")</f>
        <v/>
      </c>
      <c r="N11" s="9" t="s">
        <v>3031</v>
      </c>
      <c r="R11" t="s">
        <v>165</v>
      </c>
      <c r="S11" s="32" t="str">
        <f t="shared" si="2"/>
        <v>◇</v>
      </c>
      <c r="Y11" t="str">
        <f t="shared" si="3"/>
        <v>底長：約cm　底甲幅：約cm　ヒール：約cm</v>
      </c>
      <c r="Z11" t="str">
        <f t="shared" si="4"/>
        <v>底長：約cm　底甲幅：約cm　ヒール：約cm</v>
      </c>
      <c r="AA11" t="str">
        <f t="shared" si="5"/>
        <v>/ソール</v>
      </c>
      <c r="AB11" s="81" t="s">
        <v>3021</v>
      </c>
      <c r="AD11" s="6"/>
    </row>
    <row r="12" spans="1:32" ht="14.25" customHeight="1">
      <c r="C12" t="str">
        <f t="shared" si="0"/>
        <v>◇ サイズ E</v>
      </c>
      <c r="D12">
        <f t="shared" si="1"/>
        <v>5.5</v>
      </c>
      <c r="E12" t="s">
        <v>74</v>
      </c>
      <c r="H12" t="str">
        <f>IFERROR(INDEX(コンディションランク!$B$1:$B$6,MATCH($G12,コンディションランク!$A$1:$A$6,0)),"")</f>
        <v/>
      </c>
      <c r="N12" s="9" t="s">
        <v>3031</v>
      </c>
      <c r="R12" t="s">
        <v>165</v>
      </c>
      <c r="S12" s="32" t="str">
        <f t="shared" si="2"/>
        <v>◇</v>
      </c>
      <c r="Y12" t="str">
        <f t="shared" si="3"/>
        <v>底長：約cm　底甲幅：約cm　ヒール：約cm</v>
      </c>
      <c r="Z12" t="str">
        <f t="shared" si="4"/>
        <v>底長：約cm　底甲幅：約cm　ヒール：約cm</v>
      </c>
      <c r="AA12" t="str">
        <f t="shared" si="5"/>
        <v>/ソール</v>
      </c>
      <c r="AB12" s="81" t="s">
        <v>3021</v>
      </c>
      <c r="AD12" s="6"/>
    </row>
    <row r="13" spans="1:32" ht="14.25" customHeight="1">
      <c r="C13" t="str">
        <f t="shared" si="0"/>
        <v>◇ サイズ E</v>
      </c>
      <c r="D13">
        <f t="shared" si="1"/>
        <v>5.5</v>
      </c>
      <c r="E13" t="s">
        <v>74</v>
      </c>
      <c r="H13" t="str">
        <f>IFERROR(INDEX(コンディションランク!$B$1:$B$6,MATCH($G13,コンディションランク!$A$1:$A$6,0)),"")</f>
        <v/>
      </c>
      <c r="N13" s="9" t="s">
        <v>3031</v>
      </c>
      <c r="R13" t="s">
        <v>165</v>
      </c>
      <c r="S13" s="32" t="str">
        <f t="shared" si="2"/>
        <v>◇</v>
      </c>
      <c r="Y13" t="str">
        <f t="shared" si="3"/>
        <v>底長：約cm　底甲幅：約cm　ヒール：約cm</v>
      </c>
      <c r="Z13" t="str">
        <f t="shared" si="4"/>
        <v>底長：約cm　底甲幅：約cm　ヒール：約cm</v>
      </c>
      <c r="AA13" t="str">
        <f t="shared" si="5"/>
        <v>/ソール</v>
      </c>
      <c r="AB13" s="81" t="s">
        <v>3021</v>
      </c>
      <c r="AD13" s="6"/>
    </row>
    <row r="14" spans="1:32" ht="14.25" customHeight="1">
      <c r="C14" t="str">
        <f t="shared" si="0"/>
        <v>◇ サイズ E</v>
      </c>
      <c r="D14">
        <f t="shared" si="1"/>
        <v>5.5</v>
      </c>
      <c r="E14" t="s">
        <v>74</v>
      </c>
      <c r="H14" t="str">
        <f>IFERROR(INDEX(コンディションランク!$B$1:$B$6,MATCH($G14,コンディションランク!$A$1:$A$6,0)),"")</f>
        <v/>
      </c>
      <c r="N14" s="9" t="s">
        <v>3031</v>
      </c>
      <c r="R14" t="s">
        <v>165</v>
      </c>
      <c r="S14" s="32" t="str">
        <f t="shared" si="2"/>
        <v>◇</v>
      </c>
      <c r="Y14" t="str">
        <f t="shared" si="3"/>
        <v>底長：約cm　底甲幅：約cm　ヒール：約cm</v>
      </c>
      <c r="Z14" t="str">
        <f t="shared" si="4"/>
        <v>底長：約cm　底甲幅：約cm　ヒール：約cm</v>
      </c>
      <c r="AA14" t="str">
        <f t="shared" si="5"/>
        <v>/ソール</v>
      </c>
      <c r="AB14" s="81" t="s">
        <v>3021</v>
      </c>
      <c r="AD14" s="6"/>
    </row>
    <row r="15" spans="1:32" ht="14.25" customHeight="1">
      <c r="C15" t="str">
        <f t="shared" si="0"/>
        <v>◇ サイズ E</v>
      </c>
      <c r="D15">
        <f t="shared" si="1"/>
        <v>5.5</v>
      </c>
      <c r="E15" t="s">
        <v>74</v>
      </c>
      <c r="H15" t="str">
        <f>IFERROR(INDEX(コンディションランク!$B$1:$B$6,MATCH($G15,コンディションランク!$A$1:$A$6,0)),"")</f>
        <v/>
      </c>
      <c r="N15" s="9" t="s">
        <v>3031</v>
      </c>
      <c r="R15" t="s">
        <v>165</v>
      </c>
      <c r="S15" s="32" t="str">
        <f t="shared" si="2"/>
        <v>◇</v>
      </c>
      <c r="Y15" t="str">
        <f t="shared" si="3"/>
        <v>底長：約cm　底甲幅：約cm　ヒール：約cm</v>
      </c>
      <c r="Z15" t="str">
        <f t="shared" si="4"/>
        <v>底長：約cm　底甲幅：約cm　ヒール：約cm</v>
      </c>
      <c r="AA15" t="str">
        <f t="shared" si="5"/>
        <v>/ソール</v>
      </c>
      <c r="AB15" s="81" t="s">
        <v>3021</v>
      </c>
      <c r="AD15" s="6"/>
    </row>
    <row r="16" spans="1:32" ht="14.25" customHeight="1">
      <c r="C16" t="str">
        <f t="shared" si="0"/>
        <v>◇ サイズ E</v>
      </c>
      <c r="D16">
        <f t="shared" si="1"/>
        <v>5.5</v>
      </c>
      <c r="E16" t="s">
        <v>74</v>
      </c>
      <c r="H16" t="str">
        <f>IFERROR(INDEX(コンディションランク!$B$1:$B$6,MATCH($G16,コンディションランク!$A$1:$A$6,0)),"")</f>
        <v/>
      </c>
      <c r="N16" s="9" t="s">
        <v>3031</v>
      </c>
      <c r="R16" t="s">
        <v>165</v>
      </c>
      <c r="S16" s="32" t="str">
        <f t="shared" si="2"/>
        <v>◇</v>
      </c>
      <c r="Y16" t="str">
        <f t="shared" si="3"/>
        <v>底長：約cm　底甲幅：約cm　ヒール：約cm</v>
      </c>
      <c r="Z16" t="str">
        <f t="shared" si="4"/>
        <v>底長：約cm　底甲幅：約cm　ヒール：約cm</v>
      </c>
      <c r="AA16" t="str">
        <f t="shared" si="5"/>
        <v>/ソール</v>
      </c>
      <c r="AB16" s="81" t="s">
        <v>3021</v>
      </c>
      <c r="AD16" s="6"/>
    </row>
    <row r="17" spans="3:30" ht="14.25" customHeight="1">
      <c r="C17" t="str">
        <f t="shared" si="0"/>
        <v>◇ サイズ E</v>
      </c>
      <c r="D17">
        <f t="shared" si="1"/>
        <v>5.5</v>
      </c>
      <c r="E17" t="s">
        <v>74</v>
      </c>
      <c r="H17" t="str">
        <f>IFERROR(INDEX(コンディションランク!$B$1:$B$6,MATCH($G17,コンディションランク!$A$1:$A$6,0)),"")</f>
        <v/>
      </c>
      <c r="N17" s="9" t="s">
        <v>3031</v>
      </c>
      <c r="R17" t="s">
        <v>165</v>
      </c>
      <c r="S17" s="32" t="str">
        <f t="shared" si="2"/>
        <v>◇</v>
      </c>
      <c r="Y17" t="str">
        <f t="shared" si="3"/>
        <v>底長：約cm　底甲幅：約cm　ヒール：約cm</v>
      </c>
      <c r="Z17" t="str">
        <f t="shared" si="4"/>
        <v>底長：約cm　底甲幅：約cm　ヒール：約cm</v>
      </c>
      <c r="AA17" t="str">
        <f t="shared" si="5"/>
        <v>/ソール</v>
      </c>
      <c r="AB17" s="81" t="s">
        <v>3021</v>
      </c>
      <c r="AD17" s="6"/>
    </row>
    <row r="18" spans="3:30" ht="14.25" customHeight="1">
      <c r="C18" t="str">
        <f t="shared" si="0"/>
        <v>◇ サイズ E</v>
      </c>
      <c r="D18">
        <f t="shared" si="1"/>
        <v>5.5</v>
      </c>
      <c r="E18" t="s">
        <v>74</v>
      </c>
      <c r="H18" t="str">
        <f>IFERROR(INDEX(コンディションランク!$B$1:$B$6,MATCH($G18,コンディションランク!$A$1:$A$6,0)),"")</f>
        <v/>
      </c>
      <c r="N18" s="9" t="s">
        <v>3031</v>
      </c>
      <c r="R18" t="s">
        <v>165</v>
      </c>
      <c r="S18" s="32" t="str">
        <f t="shared" si="2"/>
        <v>◇</v>
      </c>
      <c r="Y18" t="str">
        <f t="shared" si="3"/>
        <v>底長：約cm　底甲幅：約cm　ヒール：約cm</v>
      </c>
      <c r="Z18" t="str">
        <f t="shared" si="4"/>
        <v>底長：約cm　底甲幅：約cm　ヒール：約cm</v>
      </c>
      <c r="AA18" t="str">
        <f t="shared" si="5"/>
        <v>/ソール</v>
      </c>
      <c r="AB18" s="81" t="s">
        <v>3021</v>
      </c>
      <c r="AD18" s="6"/>
    </row>
    <row r="19" spans="3:30" ht="14.25" customHeight="1">
      <c r="C19" t="str">
        <f t="shared" si="0"/>
        <v>◇ サイズ E</v>
      </c>
      <c r="D19">
        <f t="shared" si="1"/>
        <v>5.5</v>
      </c>
      <c r="E19" t="s">
        <v>74</v>
      </c>
      <c r="H19" t="str">
        <f>IFERROR(INDEX(コンディションランク!$B$1:$B$6,MATCH($G19,コンディションランク!$A$1:$A$6,0)),"")</f>
        <v/>
      </c>
      <c r="N19" s="9" t="s">
        <v>3031</v>
      </c>
      <c r="R19" t="s">
        <v>165</v>
      </c>
      <c r="S19" s="32" t="str">
        <f t="shared" si="2"/>
        <v>◇</v>
      </c>
      <c r="Y19" t="str">
        <f t="shared" si="3"/>
        <v>底長：約cm　底甲幅：約cm　ヒール：約cm</v>
      </c>
      <c r="Z19" t="str">
        <f t="shared" si="4"/>
        <v>底長：約cm　底甲幅：約cm　ヒール：約cm</v>
      </c>
      <c r="AA19" t="str">
        <f t="shared" si="5"/>
        <v>/ソール</v>
      </c>
      <c r="AB19" s="81" t="s">
        <v>3021</v>
      </c>
      <c r="AD19" s="6"/>
    </row>
    <row r="20" spans="3:30" ht="14.25" customHeight="1">
      <c r="C20" t="str">
        <f t="shared" si="0"/>
        <v>◇ サイズ E</v>
      </c>
      <c r="D20">
        <f t="shared" si="1"/>
        <v>5.5</v>
      </c>
      <c r="E20" t="s">
        <v>74</v>
      </c>
      <c r="H20" t="str">
        <f>IFERROR(INDEX(コンディションランク!$B$1:$B$6,MATCH($G20,コンディションランク!$A$1:$A$6,0)),"")</f>
        <v/>
      </c>
      <c r="N20" s="9" t="s">
        <v>3031</v>
      </c>
      <c r="R20" t="s">
        <v>165</v>
      </c>
      <c r="S20" s="32" t="str">
        <f t="shared" si="2"/>
        <v>◇</v>
      </c>
      <c r="Y20" t="str">
        <f t="shared" si="3"/>
        <v>底長：約cm　底甲幅：約cm　ヒール：約cm</v>
      </c>
      <c r="Z20" t="str">
        <f t="shared" si="4"/>
        <v>底長：約cm　底甲幅：約cm　ヒール：約cm</v>
      </c>
      <c r="AA20" t="str">
        <f t="shared" si="5"/>
        <v>/ソール</v>
      </c>
      <c r="AB20" s="81" t="s">
        <v>3021</v>
      </c>
      <c r="AD20" s="6"/>
    </row>
    <row r="21" spans="3:30" ht="14.25" customHeight="1">
      <c r="C21" t="str">
        <f t="shared" si="0"/>
        <v>◇ サイズ E</v>
      </c>
      <c r="D21">
        <f t="shared" si="1"/>
        <v>5.5</v>
      </c>
      <c r="E21" t="s">
        <v>74</v>
      </c>
      <c r="H21" t="str">
        <f>IFERROR(INDEX(コンディションランク!$B$1:$B$6,MATCH($G21,コンディションランク!$A$1:$A$6,0)),"")</f>
        <v/>
      </c>
      <c r="N21" s="9" t="s">
        <v>3031</v>
      </c>
      <c r="R21" t="s">
        <v>165</v>
      </c>
      <c r="S21" s="32" t="str">
        <f t="shared" si="2"/>
        <v>◇</v>
      </c>
      <c r="Y21" t="str">
        <f t="shared" si="3"/>
        <v>底長：約cm　底甲幅：約cm　ヒール：約cm</v>
      </c>
      <c r="Z21" t="str">
        <f t="shared" si="4"/>
        <v>底長：約cm　底甲幅：約cm　ヒール：約cm</v>
      </c>
      <c r="AA21" t="str">
        <f t="shared" si="5"/>
        <v>/ソール</v>
      </c>
      <c r="AB21" s="81" t="s">
        <v>3021</v>
      </c>
      <c r="AD21" s="6"/>
    </row>
    <row r="22" spans="3:30" ht="14.25" customHeight="1">
      <c r="C22" t="str">
        <f t="shared" si="0"/>
        <v>◇ サイズ E</v>
      </c>
      <c r="D22">
        <f t="shared" si="1"/>
        <v>5.5</v>
      </c>
      <c r="E22" t="s">
        <v>74</v>
      </c>
      <c r="H22" t="str">
        <f>IFERROR(INDEX(コンディションランク!$B$1:$B$6,MATCH($G22,コンディションランク!$A$1:$A$6,0)),"")</f>
        <v/>
      </c>
      <c r="N22" s="9" t="s">
        <v>3031</v>
      </c>
      <c r="R22" t="s">
        <v>165</v>
      </c>
      <c r="S22" s="32" t="str">
        <f t="shared" si="2"/>
        <v>◇</v>
      </c>
      <c r="Y22" t="str">
        <f t="shared" si="3"/>
        <v>底長：約cm　底甲幅：約cm　ヒール：約cm</v>
      </c>
      <c r="Z22" t="str">
        <f t="shared" si="4"/>
        <v>底長：約cm　底甲幅：約cm　ヒール：約cm</v>
      </c>
      <c r="AA22" t="str">
        <f t="shared" si="5"/>
        <v>/ソール</v>
      </c>
      <c r="AB22" s="81" t="s">
        <v>3021</v>
      </c>
      <c r="AD22" s="6"/>
    </row>
    <row r="23" spans="3:30" ht="14.25" customHeight="1">
      <c r="C23" t="str">
        <f t="shared" si="0"/>
        <v>◇ サイズ E</v>
      </c>
      <c r="D23">
        <f t="shared" si="1"/>
        <v>5.5</v>
      </c>
      <c r="E23" t="s">
        <v>74</v>
      </c>
      <c r="H23" t="str">
        <f>IFERROR(INDEX(コンディションランク!$B$1:$B$6,MATCH($G23,コンディションランク!$A$1:$A$6,0)),"")</f>
        <v/>
      </c>
      <c r="N23" s="9" t="s">
        <v>3031</v>
      </c>
      <c r="R23" t="s">
        <v>165</v>
      </c>
      <c r="S23" s="32" t="str">
        <f t="shared" si="2"/>
        <v>◇</v>
      </c>
      <c r="Y23" t="str">
        <f t="shared" si="3"/>
        <v>底長：約cm　底甲幅：約cm　ヒール：約cm</v>
      </c>
      <c r="Z23" t="str">
        <f t="shared" si="4"/>
        <v>底長：約cm　底甲幅：約cm　ヒール：約cm</v>
      </c>
      <c r="AA23" t="str">
        <f t="shared" si="5"/>
        <v>/ソール</v>
      </c>
      <c r="AB23" s="81" t="s">
        <v>3021</v>
      </c>
      <c r="AD23" s="6"/>
    </row>
    <row r="24" spans="3:30" ht="14.25" customHeight="1">
      <c r="C24" t="str">
        <f t="shared" si="0"/>
        <v>◇ サイズ E</v>
      </c>
      <c r="D24">
        <f t="shared" si="1"/>
        <v>5.5</v>
      </c>
      <c r="E24" t="s">
        <v>74</v>
      </c>
      <c r="H24" t="str">
        <f>IFERROR(INDEX(コンディションランク!$B$1:$B$6,MATCH($G24,コンディションランク!$A$1:$A$6,0)),"")</f>
        <v/>
      </c>
      <c r="N24" s="9" t="s">
        <v>3031</v>
      </c>
      <c r="R24" t="s">
        <v>165</v>
      </c>
      <c r="S24" s="32" t="str">
        <f t="shared" si="2"/>
        <v>◇</v>
      </c>
      <c r="Y24" t="str">
        <f t="shared" si="3"/>
        <v>底長：約cm　底甲幅：約cm　ヒール：約cm</v>
      </c>
      <c r="Z24" t="str">
        <f t="shared" si="4"/>
        <v>底長：約cm　底甲幅：約cm　ヒール：約cm</v>
      </c>
      <c r="AA24" t="str">
        <f t="shared" si="5"/>
        <v>/ソール</v>
      </c>
      <c r="AB24" s="81" t="s">
        <v>3021</v>
      </c>
      <c r="AD24" s="6"/>
    </row>
    <row r="25" spans="3:30" ht="14.25" customHeight="1">
      <c r="C25" t="str">
        <f t="shared" si="0"/>
        <v>◇ サイズ E</v>
      </c>
      <c r="D25">
        <f t="shared" si="1"/>
        <v>5.5</v>
      </c>
      <c r="E25" t="s">
        <v>74</v>
      </c>
      <c r="H25" t="str">
        <f>IFERROR(INDEX(コンディションランク!$B$1:$B$6,MATCH($G25,コンディションランク!$A$1:$A$6,0)),"")</f>
        <v/>
      </c>
      <c r="N25" s="9" t="s">
        <v>3031</v>
      </c>
      <c r="R25" t="s">
        <v>165</v>
      </c>
      <c r="S25" s="32" t="str">
        <f t="shared" si="2"/>
        <v>◇</v>
      </c>
      <c r="Y25" t="str">
        <f t="shared" si="3"/>
        <v>底長：約cm　底甲幅：約cm　ヒール：約cm</v>
      </c>
      <c r="Z25" t="str">
        <f t="shared" si="4"/>
        <v>底長：約cm　底甲幅：約cm　ヒール：約cm</v>
      </c>
      <c r="AA25" t="str">
        <f t="shared" si="5"/>
        <v>/ソール</v>
      </c>
      <c r="AB25" s="81" t="s">
        <v>3021</v>
      </c>
      <c r="AD25" s="6"/>
    </row>
    <row r="26" spans="3:30" ht="14.25" customHeight="1">
      <c r="C26" t="str">
        <f t="shared" si="0"/>
        <v>◇ サイズ E</v>
      </c>
      <c r="D26">
        <f t="shared" si="1"/>
        <v>5.5</v>
      </c>
      <c r="E26" t="s">
        <v>74</v>
      </c>
      <c r="H26" t="str">
        <f>IFERROR(INDEX(コンディションランク!$B$1:$B$6,MATCH($G26,コンディションランク!$A$1:$A$6,0)),"")</f>
        <v/>
      </c>
      <c r="N26" s="9" t="s">
        <v>3031</v>
      </c>
      <c r="R26" t="s">
        <v>165</v>
      </c>
      <c r="S26" s="32" t="str">
        <f t="shared" si="2"/>
        <v>◇</v>
      </c>
      <c r="Y26" t="str">
        <f t="shared" si="3"/>
        <v>底長：約cm　底甲幅：約cm　ヒール：約cm</v>
      </c>
      <c r="Z26" t="str">
        <f t="shared" si="4"/>
        <v>底長：約cm　底甲幅：約cm　ヒール：約cm</v>
      </c>
      <c r="AA26" t="str">
        <f t="shared" si="5"/>
        <v>/ソール</v>
      </c>
      <c r="AB26" s="81" t="s">
        <v>3021</v>
      </c>
      <c r="AD26" s="6"/>
    </row>
    <row r="27" spans="3:30" ht="14.25" customHeight="1">
      <c r="C27" t="str">
        <f t="shared" si="0"/>
        <v>◇ サイズ E</v>
      </c>
      <c r="D27">
        <f t="shared" si="1"/>
        <v>5.5</v>
      </c>
      <c r="E27" t="s">
        <v>74</v>
      </c>
      <c r="H27" t="str">
        <f>IFERROR(INDEX(コンディションランク!$B$1:$B$6,MATCH($G27,コンディションランク!$A$1:$A$6,0)),"")</f>
        <v/>
      </c>
      <c r="N27" s="9" t="s">
        <v>3031</v>
      </c>
      <c r="R27" t="s">
        <v>165</v>
      </c>
      <c r="S27" s="32" t="str">
        <f t="shared" si="2"/>
        <v>◇</v>
      </c>
      <c r="Y27" t="str">
        <f t="shared" si="3"/>
        <v>底長：約cm　底甲幅：約cm　ヒール：約cm</v>
      </c>
      <c r="Z27" t="str">
        <f t="shared" si="4"/>
        <v>底長：約cm　底甲幅：約cm　ヒール：約cm</v>
      </c>
      <c r="AA27" t="str">
        <f t="shared" si="5"/>
        <v>/ソール</v>
      </c>
      <c r="AB27" s="81" t="s">
        <v>3021</v>
      </c>
      <c r="AD27" s="6"/>
    </row>
    <row r="28" spans="3:30" ht="14.25" customHeight="1">
      <c r="C28" t="str">
        <f t="shared" si="0"/>
        <v>◇ サイズ E</v>
      </c>
      <c r="D28">
        <f t="shared" si="1"/>
        <v>5.5</v>
      </c>
      <c r="E28" t="s">
        <v>74</v>
      </c>
      <c r="H28" t="str">
        <f>IFERROR(INDEX(コンディションランク!$B$1:$B$6,MATCH($G28,コンディションランク!$A$1:$A$6,0)),"")</f>
        <v/>
      </c>
      <c r="N28" s="9" t="s">
        <v>3031</v>
      </c>
      <c r="R28" t="s">
        <v>165</v>
      </c>
      <c r="S28" s="32" t="str">
        <f t="shared" si="2"/>
        <v>◇</v>
      </c>
      <c r="Y28" t="str">
        <f t="shared" si="3"/>
        <v>底長：約cm　底甲幅：約cm　ヒール：約cm</v>
      </c>
      <c r="Z28" t="str">
        <f t="shared" si="4"/>
        <v>底長：約cm　底甲幅：約cm　ヒール：約cm</v>
      </c>
      <c r="AA28" t="str">
        <f t="shared" si="5"/>
        <v>/ソール</v>
      </c>
      <c r="AB28" s="81" t="s">
        <v>3021</v>
      </c>
      <c r="AD28" s="6"/>
    </row>
    <row r="29" spans="3:30" ht="14.25" customHeight="1">
      <c r="C29" t="str">
        <f t="shared" si="0"/>
        <v>◇ サイズ E</v>
      </c>
      <c r="D29">
        <f t="shared" si="1"/>
        <v>5.5</v>
      </c>
      <c r="E29" t="s">
        <v>74</v>
      </c>
      <c r="H29" t="str">
        <f>IFERROR(INDEX(コンディションランク!$B$1:$B$6,MATCH($G29,コンディションランク!$A$1:$A$6,0)),"")</f>
        <v/>
      </c>
      <c r="N29" s="9" t="s">
        <v>3031</v>
      </c>
      <c r="R29" t="s">
        <v>165</v>
      </c>
      <c r="S29" s="32" t="str">
        <f t="shared" si="2"/>
        <v>◇</v>
      </c>
      <c r="Y29" t="str">
        <f t="shared" si="3"/>
        <v>底長：約cm　底甲幅：約cm　ヒール：約cm</v>
      </c>
      <c r="Z29" t="str">
        <f t="shared" si="4"/>
        <v>底長：約cm　底甲幅：約cm　ヒール：約cm</v>
      </c>
      <c r="AA29" t="str">
        <f t="shared" si="5"/>
        <v>/ソール</v>
      </c>
      <c r="AB29" s="81" t="s">
        <v>3021</v>
      </c>
      <c r="AD29" s="6"/>
    </row>
    <row r="30" spans="3:30" ht="14.25" customHeight="1">
      <c r="C30" t="str">
        <f t="shared" si="0"/>
        <v>◇ サイズ E</v>
      </c>
      <c r="D30">
        <f t="shared" si="1"/>
        <v>5.5</v>
      </c>
      <c r="E30" t="s">
        <v>74</v>
      </c>
      <c r="H30" t="str">
        <f>IFERROR(INDEX(コンディションランク!$B$1:$B$6,MATCH($G30,コンディションランク!$A$1:$A$6,0)),"")</f>
        <v/>
      </c>
      <c r="N30" s="9" t="s">
        <v>3031</v>
      </c>
      <c r="R30" t="s">
        <v>165</v>
      </c>
      <c r="S30" s="32" t="str">
        <f t="shared" si="2"/>
        <v>◇</v>
      </c>
      <c r="Y30" t="str">
        <f t="shared" si="3"/>
        <v>底長：約cm　底甲幅：約cm　ヒール：約cm</v>
      </c>
      <c r="Z30" t="str">
        <f t="shared" si="4"/>
        <v>底長：約cm　底甲幅：約cm　ヒール：約cm</v>
      </c>
      <c r="AA30" t="str">
        <f t="shared" si="5"/>
        <v>/ソール</v>
      </c>
      <c r="AB30" s="81" t="s">
        <v>3021</v>
      </c>
      <c r="AD30" s="6"/>
    </row>
    <row r="31" spans="3:30" ht="14.25" customHeight="1">
      <c r="C31" t="str">
        <f t="shared" si="0"/>
        <v>◇ サイズ E</v>
      </c>
      <c r="D31">
        <f t="shared" si="1"/>
        <v>5.5</v>
      </c>
      <c r="E31" t="s">
        <v>74</v>
      </c>
      <c r="H31" t="str">
        <f>IFERROR(INDEX(コンディションランク!$B$1:$B$6,MATCH($G31,コンディションランク!$A$1:$A$6,0)),"")</f>
        <v/>
      </c>
      <c r="N31" s="9" t="s">
        <v>3031</v>
      </c>
      <c r="R31" t="s">
        <v>165</v>
      </c>
      <c r="S31" s="32" t="str">
        <f t="shared" si="2"/>
        <v>◇</v>
      </c>
      <c r="Y31" t="str">
        <f t="shared" si="3"/>
        <v>底長：約cm　底甲幅：約cm　ヒール：約cm</v>
      </c>
      <c r="Z31" t="str">
        <f t="shared" si="4"/>
        <v>底長：約cm　底甲幅：約cm　ヒール：約cm</v>
      </c>
      <c r="AA31" t="str">
        <f t="shared" si="5"/>
        <v>/ソール</v>
      </c>
      <c r="AB31" s="81" t="s">
        <v>3021</v>
      </c>
      <c r="AD31" s="6"/>
    </row>
    <row r="32" spans="3:30" ht="14.25" customHeight="1">
      <c r="C32" t="str">
        <f t="shared" si="0"/>
        <v>◇ サイズ E</v>
      </c>
      <c r="D32">
        <f t="shared" si="1"/>
        <v>5.5</v>
      </c>
      <c r="E32" t="s">
        <v>74</v>
      </c>
      <c r="H32" t="str">
        <f>IFERROR(INDEX(コンディションランク!$B$1:$B$6,MATCH($G32,コンディションランク!$A$1:$A$6,0)),"")</f>
        <v/>
      </c>
      <c r="N32" s="9" t="s">
        <v>3031</v>
      </c>
      <c r="R32" t="s">
        <v>165</v>
      </c>
      <c r="S32" s="32" t="str">
        <f t="shared" si="2"/>
        <v>◇</v>
      </c>
      <c r="Y32" t="str">
        <f t="shared" si="3"/>
        <v>底長：約cm　底甲幅：約cm　ヒール：約cm</v>
      </c>
      <c r="Z32" t="str">
        <f t="shared" si="4"/>
        <v>底長：約cm　底甲幅：約cm　ヒール：約cm</v>
      </c>
      <c r="AA32" t="str">
        <f t="shared" si="5"/>
        <v>/ソール</v>
      </c>
      <c r="AB32" s="81" t="s">
        <v>3021</v>
      </c>
      <c r="AD32" s="6"/>
    </row>
    <row r="33" spans="3:30" ht="14.25" customHeight="1">
      <c r="C33" t="str">
        <f t="shared" si="0"/>
        <v>◇ サイズ E</v>
      </c>
      <c r="D33">
        <f t="shared" si="1"/>
        <v>5.5</v>
      </c>
      <c r="E33" t="s">
        <v>74</v>
      </c>
      <c r="H33" t="str">
        <f>IFERROR(INDEX(コンディションランク!$B$1:$B$6,MATCH($G33,コンディションランク!$A$1:$A$6,0)),"")</f>
        <v/>
      </c>
      <c r="N33" s="9" t="s">
        <v>3031</v>
      </c>
      <c r="R33" t="s">
        <v>165</v>
      </c>
      <c r="S33" s="32" t="str">
        <f t="shared" si="2"/>
        <v>◇</v>
      </c>
      <c r="Y33" t="str">
        <f t="shared" si="3"/>
        <v>底長：約cm　底甲幅：約cm　ヒール：約cm</v>
      </c>
      <c r="Z33" t="str">
        <f t="shared" si="4"/>
        <v>底長：約cm　底甲幅：約cm　ヒール：約cm</v>
      </c>
      <c r="AA33" t="str">
        <f t="shared" si="5"/>
        <v>/ソール</v>
      </c>
      <c r="AB33" s="81" t="s">
        <v>3021</v>
      </c>
      <c r="AD33" s="6"/>
    </row>
    <row r="34" spans="3:30" ht="14.25" customHeight="1">
      <c r="C34" t="str">
        <f t="shared" ref="C34:C65" si="6">TRIM(S34&amp;" "&amp;T34&amp;" "&amp;U34&amp;" "&amp;V34&amp;" "&amp;W34&amp;" "&amp;N34&amp;" "&amp;M34&amp;" "&amp;X34&amp;EX&amp;" "&amp;B34)</f>
        <v>◇ サイズ E</v>
      </c>
      <c r="D34">
        <f t="shared" si="1"/>
        <v>5.5</v>
      </c>
      <c r="E34" t="s">
        <v>74</v>
      </c>
      <c r="H34" t="str">
        <f>IFERROR(INDEX(コンディションランク!$B$1:$B$6,MATCH($G34,コンディションランク!$A$1:$A$6,0)),"")</f>
        <v/>
      </c>
      <c r="N34" s="9" t="s">
        <v>3031</v>
      </c>
      <c r="R34" t="s">
        <v>165</v>
      </c>
      <c r="S34" s="32" t="str">
        <f t="shared" ref="S34:S65" si="7">IFERROR(VLOOKUP(R34,梱包サイズ表,2,0),"")</f>
        <v>◇</v>
      </c>
      <c r="Y34" t="str">
        <f t="shared" si="3"/>
        <v>底長：約cm　底甲幅：約cm　ヒール：約cm</v>
      </c>
      <c r="Z34" t="str">
        <f t="shared" si="4"/>
        <v>底長：約cm　底甲幅：約cm　ヒール：約cm</v>
      </c>
      <c r="AA34" t="str">
        <f t="shared" si="5"/>
        <v>/ソール</v>
      </c>
      <c r="AB34" s="81" t="s">
        <v>3021</v>
      </c>
      <c r="AD34" s="6"/>
    </row>
    <row r="35" spans="3:30" ht="14.25" customHeight="1">
      <c r="C35" t="str">
        <f t="shared" si="6"/>
        <v>◇ サイズ E</v>
      </c>
      <c r="D35">
        <f t="shared" si="1"/>
        <v>5.5</v>
      </c>
      <c r="E35" t="s">
        <v>74</v>
      </c>
      <c r="H35" t="str">
        <f>IFERROR(INDEX(コンディションランク!$B$1:$B$6,MATCH($G35,コンディションランク!$A$1:$A$6,0)),"")</f>
        <v/>
      </c>
      <c r="N35" s="9" t="s">
        <v>3031</v>
      </c>
      <c r="R35" t="s">
        <v>165</v>
      </c>
      <c r="S35" s="32" t="str">
        <f t="shared" si="7"/>
        <v>◇</v>
      </c>
      <c r="Y35" t="str">
        <f t="shared" si="3"/>
        <v>底長：約cm　底甲幅：約cm　ヒール：約cm</v>
      </c>
      <c r="Z35" t="str">
        <f t="shared" si="4"/>
        <v>底長：約cm　底甲幅：約cm　ヒール：約cm</v>
      </c>
      <c r="AA35" t="str">
        <f t="shared" si="5"/>
        <v>/ソール</v>
      </c>
      <c r="AB35" s="81" t="s">
        <v>3021</v>
      </c>
      <c r="AD35" s="6"/>
    </row>
    <row r="36" spans="3:30" ht="14.25" customHeight="1">
      <c r="C36" t="str">
        <f t="shared" si="6"/>
        <v>◇ サイズ E</v>
      </c>
      <c r="D36">
        <f t="shared" si="1"/>
        <v>5.5</v>
      </c>
      <c r="E36" t="s">
        <v>74</v>
      </c>
      <c r="H36" t="str">
        <f>IFERROR(INDEX(コンディションランク!$B$1:$B$6,MATCH($G36,コンディションランク!$A$1:$A$6,0)),"")</f>
        <v/>
      </c>
      <c r="N36" s="9" t="s">
        <v>3031</v>
      </c>
      <c r="R36" t="s">
        <v>165</v>
      </c>
      <c r="S36" s="32" t="str">
        <f t="shared" si="7"/>
        <v>◇</v>
      </c>
      <c r="Y36" t="str">
        <f t="shared" si="3"/>
        <v>底長：約cm　底甲幅：約cm　ヒール：約cm</v>
      </c>
      <c r="Z36" t="str">
        <f t="shared" si="4"/>
        <v>底長：約cm　底甲幅：約cm　ヒール：約cm</v>
      </c>
      <c r="AA36" t="str">
        <f t="shared" si="5"/>
        <v>/ソール</v>
      </c>
      <c r="AB36" s="81" t="s">
        <v>3021</v>
      </c>
      <c r="AD36" s="6"/>
    </row>
    <row r="37" spans="3:30" ht="14.25" customHeight="1">
      <c r="C37" t="str">
        <f t="shared" si="6"/>
        <v>◇ サイズ E</v>
      </c>
      <c r="D37">
        <f t="shared" si="1"/>
        <v>5.5</v>
      </c>
      <c r="E37" t="s">
        <v>74</v>
      </c>
      <c r="H37" t="str">
        <f>IFERROR(INDEX(コンディションランク!$B$1:$B$6,MATCH($G37,コンディションランク!$A$1:$A$6,0)),"")</f>
        <v/>
      </c>
      <c r="N37" s="9" t="s">
        <v>3031</v>
      </c>
      <c r="R37" t="s">
        <v>165</v>
      </c>
      <c r="S37" s="32" t="str">
        <f t="shared" si="7"/>
        <v>◇</v>
      </c>
      <c r="Y37" t="str">
        <f t="shared" si="3"/>
        <v>底長：約cm　底甲幅：約cm　ヒール：約cm</v>
      </c>
      <c r="Z37" t="str">
        <f t="shared" si="4"/>
        <v>底長：約cm　底甲幅：約cm　ヒール：約cm</v>
      </c>
      <c r="AA37" t="str">
        <f t="shared" si="5"/>
        <v>/ソール</v>
      </c>
      <c r="AB37" s="81" t="s">
        <v>3021</v>
      </c>
      <c r="AD37" s="6"/>
    </row>
    <row r="38" spans="3:30" ht="14.25" customHeight="1">
      <c r="C38" t="str">
        <f t="shared" si="6"/>
        <v>◇ サイズ E</v>
      </c>
      <c r="D38">
        <f t="shared" si="1"/>
        <v>5.5</v>
      </c>
      <c r="E38" t="s">
        <v>74</v>
      </c>
      <c r="H38" t="str">
        <f>IFERROR(INDEX(コンディションランク!$B$1:$B$6,MATCH($G38,コンディションランク!$A$1:$A$6,0)),"")</f>
        <v/>
      </c>
      <c r="N38" s="9" t="s">
        <v>3031</v>
      </c>
      <c r="R38" t="s">
        <v>165</v>
      </c>
      <c r="S38" s="32" t="str">
        <f t="shared" si="7"/>
        <v>◇</v>
      </c>
      <c r="Y38" t="str">
        <f t="shared" si="3"/>
        <v>底長：約cm　底甲幅：約cm　ヒール：約cm</v>
      </c>
      <c r="Z38" t="str">
        <f t="shared" si="4"/>
        <v>底長：約cm　底甲幅：約cm　ヒール：約cm</v>
      </c>
      <c r="AA38" t="str">
        <f t="shared" si="5"/>
        <v>/ソール</v>
      </c>
      <c r="AB38" s="81" t="s">
        <v>3021</v>
      </c>
      <c r="AD38" s="6"/>
    </row>
    <row r="39" spans="3:30" ht="14.25" customHeight="1">
      <c r="C39" t="str">
        <f t="shared" si="6"/>
        <v>◇ サイズ E</v>
      </c>
      <c r="D39">
        <f t="shared" si="1"/>
        <v>5.5</v>
      </c>
      <c r="E39" t="s">
        <v>74</v>
      </c>
      <c r="H39" t="str">
        <f>IFERROR(INDEX(コンディションランク!$B$1:$B$6,MATCH($G39,コンディションランク!$A$1:$A$6,0)),"")</f>
        <v/>
      </c>
      <c r="N39" s="9" t="s">
        <v>3031</v>
      </c>
      <c r="R39" t="s">
        <v>165</v>
      </c>
      <c r="S39" s="32" t="str">
        <f t="shared" si="7"/>
        <v>◇</v>
      </c>
      <c r="Y39" t="str">
        <f t="shared" si="3"/>
        <v>底長：約cm　底甲幅：約cm　ヒール：約cm</v>
      </c>
      <c r="Z39" t="str">
        <f t="shared" si="4"/>
        <v>底長：約cm　底甲幅：約cm　ヒール：約cm</v>
      </c>
      <c r="AA39" t="str">
        <f t="shared" si="5"/>
        <v>/ソール</v>
      </c>
      <c r="AB39" s="81" t="s">
        <v>3021</v>
      </c>
      <c r="AD39" s="6"/>
    </row>
    <row r="40" spans="3:30" ht="14.25" customHeight="1">
      <c r="C40" t="str">
        <f t="shared" si="6"/>
        <v>◇ サイズ E</v>
      </c>
      <c r="D40">
        <f t="shared" si="1"/>
        <v>5.5</v>
      </c>
      <c r="E40" t="s">
        <v>74</v>
      </c>
      <c r="H40" t="str">
        <f>IFERROR(INDEX(コンディションランク!$B$1:$B$6,MATCH($G40,コンディションランク!$A$1:$A$6,0)),"")</f>
        <v/>
      </c>
      <c r="N40" s="9" t="s">
        <v>3031</v>
      </c>
      <c r="R40" t="s">
        <v>165</v>
      </c>
      <c r="S40" s="32" t="str">
        <f t="shared" si="7"/>
        <v>◇</v>
      </c>
      <c r="Y40" t="str">
        <f t="shared" si="3"/>
        <v>底長：約cm　底甲幅：約cm　ヒール：約cm</v>
      </c>
      <c r="Z40" t="str">
        <f t="shared" si="4"/>
        <v>底長：約cm　底甲幅：約cm　ヒール：約cm</v>
      </c>
      <c r="AA40" t="str">
        <f t="shared" si="5"/>
        <v>/ソール</v>
      </c>
      <c r="AB40" s="81" t="s">
        <v>3021</v>
      </c>
      <c r="AD40" s="6"/>
    </row>
    <row r="41" spans="3:30" ht="14.25" customHeight="1">
      <c r="C41" t="str">
        <f t="shared" si="6"/>
        <v>◇ サイズ E</v>
      </c>
      <c r="D41">
        <f t="shared" si="1"/>
        <v>5.5</v>
      </c>
      <c r="E41" t="s">
        <v>74</v>
      </c>
      <c r="H41" t="str">
        <f>IFERROR(INDEX(コンディションランク!$B$1:$B$6,MATCH($G41,コンディションランク!$A$1:$A$6,0)),"")</f>
        <v/>
      </c>
      <c r="N41" s="9" t="s">
        <v>3031</v>
      </c>
      <c r="R41" t="s">
        <v>165</v>
      </c>
      <c r="S41" s="32" t="str">
        <f t="shared" si="7"/>
        <v>◇</v>
      </c>
      <c r="Y41" t="str">
        <f t="shared" si="3"/>
        <v>底長：約cm　底甲幅：約cm　ヒール：約cm</v>
      </c>
      <c r="Z41" t="str">
        <f t="shared" si="4"/>
        <v>底長：約cm　底甲幅：約cm　ヒール：約cm</v>
      </c>
      <c r="AA41" t="str">
        <f t="shared" si="5"/>
        <v>/ソール</v>
      </c>
      <c r="AB41" s="81" t="s">
        <v>3021</v>
      </c>
      <c r="AD41" s="6"/>
    </row>
    <row r="42" spans="3:30" ht="14.25" customHeight="1">
      <c r="C42" t="str">
        <f t="shared" si="6"/>
        <v>◇ サイズ E</v>
      </c>
      <c r="D42">
        <f t="shared" si="1"/>
        <v>5.5</v>
      </c>
      <c r="E42" t="s">
        <v>74</v>
      </c>
      <c r="H42" t="str">
        <f>IFERROR(INDEX(コンディションランク!$B$1:$B$6,MATCH($G42,コンディションランク!$A$1:$A$6,0)),"")</f>
        <v/>
      </c>
      <c r="N42" s="9" t="s">
        <v>3031</v>
      </c>
      <c r="R42" t="s">
        <v>165</v>
      </c>
      <c r="S42" s="32" t="str">
        <f t="shared" si="7"/>
        <v>◇</v>
      </c>
      <c r="Y42" t="str">
        <f t="shared" si="3"/>
        <v>底長：約cm　底甲幅：約cm　ヒール：約cm</v>
      </c>
      <c r="Z42" t="str">
        <f t="shared" si="4"/>
        <v>底長：約cm　底甲幅：約cm　ヒール：約cm</v>
      </c>
      <c r="AA42" t="str">
        <f t="shared" si="5"/>
        <v>/ソール</v>
      </c>
      <c r="AB42" s="81" t="s">
        <v>3021</v>
      </c>
      <c r="AD42" s="6"/>
    </row>
    <row r="43" spans="3:30" ht="14.25" customHeight="1">
      <c r="C43" t="str">
        <f t="shared" si="6"/>
        <v>◇ サイズ E</v>
      </c>
      <c r="D43">
        <f t="shared" si="1"/>
        <v>5.5</v>
      </c>
      <c r="E43" t="s">
        <v>74</v>
      </c>
      <c r="H43" t="str">
        <f>IFERROR(INDEX(コンディションランク!$B$1:$B$6,MATCH($G43,コンディションランク!$A$1:$A$6,0)),"")</f>
        <v/>
      </c>
      <c r="N43" s="9" t="s">
        <v>3031</v>
      </c>
      <c r="R43" t="s">
        <v>165</v>
      </c>
      <c r="S43" s="32" t="str">
        <f t="shared" si="7"/>
        <v>◇</v>
      </c>
      <c r="Y43" t="str">
        <f t="shared" si="3"/>
        <v>底長：約cm　底甲幅：約cm　ヒール：約cm</v>
      </c>
      <c r="Z43" t="str">
        <f t="shared" si="4"/>
        <v>底長：約cm　底甲幅：約cm　ヒール：約cm</v>
      </c>
      <c r="AA43" t="str">
        <f t="shared" si="5"/>
        <v>/ソール</v>
      </c>
      <c r="AB43" s="81" t="s">
        <v>3021</v>
      </c>
      <c r="AD43" s="6"/>
    </row>
    <row r="44" spans="3:30" ht="14.25" customHeight="1">
      <c r="C44" t="str">
        <f t="shared" si="6"/>
        <v>◇ サイズ E</v>
      </c>
      <c r="D44">
        <f t="shared" si="1"/>
        <v>5.5</v>
      </c>
      <c r="E44" t="s">
        <v>74</v>
      </c>
      <c r="H44" t="str">
        <f>IFERROR(INDEX(コンディションランク!$B$1:$B$6,MATCH($G44,コンディションランク!$A$1:$A$6,0)),"")</f>
        <v/>
      </c>
      <c r="N44" s="9" t="s">
        <v>3031</v>
      </c>
      <c r="R44" t="s">
        <v>165</v>
      </c>
      <c r="S44" s="32" t="str">
        <f t="shared" si="7"/>
        <v>◇</v>
      </c>
      <c r="Y44" t="str">
        <f t="shared" si="3"/>
        <v>底長：約cm　底甲幅：約cm　ヒール：約cm</v>
      </c>
      <c r="Z44" t="str">
        <f t="shared" si="4"/>
        <v>底長：約cm　底甲幅：約cm　ヒール：約cm</v>
      </c>
      <c r="AA44" t="str">
        <f t="shared" si="5"/>
        <v>/ソール</v>
      </c>
      <c r="AB44" s="81" t="s">
        <v>3021</v>
      </c>
      <c r="AD44" s="6"/>
    </row>
    <row r="45" spans="3:30" ht="14.25" customHeight="1">
      <c r="C45" t="str">
        <f t="shared" si="6"/>
        <v>◇ サイズ E</v>
      </c>
      <c r="D45">
        <f t="shared" si="1"/>
        <v>5.5</v>
      </c>
      <c r="E45" t="s">
        <v>74</v>
      </c>
      <c r="H45" t="str">
        <f>IFERROR(INDEX(コンディションランク!$B$1:$B$6,MATCH($G45,コンディションランク!$A$1:$A$6,0)),"")</f>
        <v/>
      </c>
      <c r="N45" s="9" t="s">
        <v>3031</v>
      </c>
      <c r="R45" t="s">
        <v>165</v>
      </c>
      <c r="S45" s="32" t="str">
        <f t="shared" si="7"/>
        <v>◇</v>
      </c>
      <c r="Y45" t="str">
        <f t="shared" si="3"/>
        <v>底長：約cm　底甲幅：約cm　ヒール：約cm</v>
      </c>
      <c r="Z45" t="str">
        <f t="shared" si="4"/>
        <v>底長：約cm　底甲幅：約cm　ヒール：約cm</v>
      </c>
      <c r="AA45" t="str">
        <f t="shared" si="5"/>
        <v>/ソール</v>
      </c>
      <c r="AB45" s="81" t="s">
        <v>3021</v>
      </c>
      <c r="AD45" s="6"/>
    </row>
    <row r="46" spans="3:30" ht="14.25" customHeight="1">
      <c r="C46" t="str">
        <f t="shared" si="6"/>
        <v>◇ サイズ E</v>
      </c>
      <c r="D46">
        <f t="shared" si="1"/>
        <v>5.5</v>
      </c>
      <c r="E46" t="s">
        <v>74</v>
      </c>
      <c r="H46" t="str">
        <f>IFERROR(INDEX(コンディションランク!$B$1:$B$6,MATCH($G46,コンディションランク!$A$1:$A$6,0)),"")</f>
        <v/>
      </c>
      <c r="N46" s="9" t="s">
        <v>3031</v>
      </c>
      <c r="R46" t="s">
        <v>165</v>
      </c>
      <c r="S46" s="32" t="str">
        <f t="shared" si="7"/>
        <v>◇</v>
      </c>
      <c r="Y46" t="str">
        <f t="shared" si="3"/>
        <v>底長：約cm　底甲幅：約cm　ヒール：約cm</v>
      </c>
      <c r="Z46" t="str">
        <f t="shared" si="4"/>
        <v>底長：約cm　底甲幅：約cm　ヒール：約cm</v>
      </c>
      <c r="AA46" t="str">
        <f t="shared" si="5"/>
        <v>/ソール</v>
      </c>
      <c r="AB46" s="81" t="s">
        <v>3021</v>
      </c>
      <c r="AD46" s="6"/>
    </row>
    <row r="47" spans="3:30" ht="14.25" customHeight="1">
      <c r="C47" t="str">
        <f t="shared" si="6"/>
        <v>◇ サイズ E</v>
      </c>
      <c r="D47">
        <f t="shared" si="1"/>
        <v>5.5</v>
      </c>
      <c r="E47" t="s">
        <v>74</v>
      </c>
      <c r="H47" t="str">
        <f>IFERROR(INDEX(コンディションランク!$B$1:$B$6,MATCH($G47,コンディションランク!$A$1:$A$6,0)),"")</f>
        <v/>
      </c>
      <c r="N47" s="9" t="s">
        <v>3031</v>
      </c>
      <c r="R47" t="s">
        <v>165</v>
      </c>
      <c r="S47" s="32" t="str">
        <f t="shared" si="7"/>
        <v>◇</v>
      </c>
      <c r="Y47" t="str">
        <f t="shared" si="3"/>
        <v>底長：約cm　底甲幅：約cm　ヒール：約cm</v>
      </c>
      <c r="Z47" t="str">
        <f t="shared" si="4"/>
        <v>底長：約cm　底甲幅：約cm　ヒール：約cm</v>
      </c>
      <c r="AA47" t="str">
        <f t="shared" si="5"/>
        <v>/ソール</v>
      </c>
      <c r="AB47" s="81" t="s">
        <v>3021</v>
      </c>
      <c r="AD47" s="6"/>
    </row>
    <row r="48" spans="3:30" ht="14.25" customHeight="1">
      <c r="C48" t="str">
        <f t="shared" si="6"/>
        <v>◇ サイズ E</v>
      </c>
      <c r="D48">
        <f t="shared" si="1"/>
        <v>5.5</v>
      </c>
      <c r="E48" t="s">
        <v>74</v>
      </c>
      <c r="H48" t="str">
        <f>IFERROR(INDEX(コンディションランク!$B$1:$B$6,MATCH($G48,コンディションランク!$A$1:$A$6,0)),"")</f>
        <v/>
      </c>
      <c r="N48" s="9" t="s">
        <v>3031</v>
      </c>
      <c r="R48" t="s">
        <v>165</v>
      </c>
      <c r="S48" s="32" t="str">
        <f t="shared" si="7"/>
        <v>◇</v>
      </c>
      <c r="Y48" t="str">
        <f t="shared" si="3"/>
        <v>底長：約cm　底甲幅：約cm　ヒール：約cm</v>
      </c>
      <c r="Z48" t="str">
        <f t="shared" si="4"/>
        <v>底長：約cm　底甲幅：約cm　ヒール：約cm</v>
      </c>
      <c r="AA48" t="str">
        <f t="shared" si="5"/>
        <v>/ソール</v>
      </c>
      <c r="AB48" s="81" t="s">
        <v>3021</v>
      </c>
      <c r="AD48" s="6"/>
    </row>
    <row r="49" spans="3:30" ht="14.25" customHeight="1">
      <c r="C49" t="str">
        <f t="shared" si="6"/>
        <v>◇ サイズ E</v>
      </c>
      <c r="D49">
        <f t="shared" si="1"/>
        <v>5.5</v>
      </c>
      <c r="E49" t="s">
        <v>74</v>
      </c>
      <c r="H49" t="str">
        <f>IFERROR(INDEX(コンディションランク!$B$1:$B$6,MATCH($G49,コンディションランク!$A$1:$A$6,0)),"")</f>
        <v/>
      </c>
      <c r="N49" s="9" t="s">
        <v>3031</v>
      </c>
      <c r="R49" t="s">
        <v>165</v>
      </c>
      <c r="S49" s="32" t="str">
        <f t="shared" si="7"/>
        <v>◇</v>
      </c>
      <c r="Y49" t="str">
        <f t="shared" si="3"/>
        <v>底長：約cm　底甲幅：約cm　ヒール：約cm</v>
      </c>
      <c r="Z49" t="str">
        <f t="shared" si="4"/>
        <v>底長：約cm　底甲幅：約cm　ヒール：約cm</v>
      </c>
      <c r="AA49" t="str">
        <f t="shared" si="5"/>
        <v>/ソール</v>
      </c>
      <c r="AB49" s="81" t="s">
        <v>3021</v>
      </c>
      <c r="AD49" s="6"/>
    </row>
    <row r="50" spans="3:30" ht="14.25" customHeight="1">
      <c r="C50" t="str">
        <f t="shared" si="6"/>
        <v>◇ サイズ E</v>
      </c>
      <c r="D50">
        <f t="shared" si="1"/>
        <v>5.5</v>
      </c>
      <c r="E50" t="s">
        <v>74</v>
      </c>
      <c r="H50" t="str">
        <f>IFERROR(INDEX(コンディションランク!$B$1:$B$6,MATCH($G50,コンディションランク!$A$1:$A$6,0)),"")</f>
        <v/>
      </c>
      <c r="N50" s="9" t="s">
        <v>3031</v>
      </c>
      <c r="R50" t="s">
        <v>165</v>
      </c>
      <c r="S50" s="32" t="str">
        <f t="shared" si="7"/>
        <v>◇</v>
      </c>
      <c r="Y50" t="str">
        <f t="shared" si="3"/>
        <v>底長：約cm　底甲幅：約cm　ヒール：約cm</v>
      </c>
      <c r="Z50" t="str">
        <f t="shared" si="4"/>
        <v>底長：約cm　底甲幅：約cm　ヒール：約cm</v>
      </c>
      <c r="AA50" t="str">
        <f t="shared" si="5"/>
        <v>/ソール</v>
      </c>
      <c r="AB50" s="81" t="s">
        <v>3021</v>
      </c>
      <c r="AD50" s="6"/>
    </row>
    <row r="51" spans="3:30" ht="14.25" customHeight="1">
      <c r="C51" t="str">
        <f t="shared" si="6"/>
        <v>◇ サイズ E</v>
      </c>
      <c r="D51">
        <f t="shared" si="1"/>
        <v>5.5</v>
      </c>
      <c r="E51" t="s">
        <v>74</v>
      </c>
      <c r="H51" t="str">
        <f>IFERROR(INDEX(コンディションランク!$B$1:$B$6,MATCH($G51,コンディションランク!$A$1:$A$6,0)),"")</f>
        <v/>
      </c>
      <c r="N51" s="9" t="s">
        <v>3031</v>
      </c>
      <c r="R51" t="s">
        <v>165</v>
      </c>
      <c r="S51" s="32" t="str">
        <f t="shared" si="7"/>
        <v>◇</v>
      </c>
      <c r="Y51" t="str">
        <f t="shared" si="3"/>
        <v>底長：約cm　底甲幅：約cm　ヒール：約cm</v>
      </c>
      <c r="Z51" t="str">
        <f t="shared" si="4"/>
        <v>底長：約cm　底甲幅：約cm　ヒール：約cm</v>
      </c>
      <c r="AA51" t="str">
        <f t="shared" si="5"/>
        <v>/ソール</v>
      </c>
      <c r="AB51" s="81" t="s">
        <v>3021</v>
      </c>
      <c r="AD51" s="6"/>
    </row>
    <row r="52" spans="3:30" ht="14.25" customHeight="1">
      <c r="C52" t="str">
        <f t="shared" si="6"/>
        <v>◇ サイズ E</v>
      </c>
      <c r="D52">
        <f t="shared" si="1"/>
        <v>5.5</v>
      </c>
      <c r="E52" t="s">
        <v>74</v>
      </c>
      <c r="H52" t="str">
        <f>IFERROR(INDEX(コンディションランク!$B$1:$B$6,MATCH($G52,コンディションランク!$A$1:$A$6,0)),"")</f>
        <v/>
      </c>
      <c r="N52" s="9" t="s">
        <v>3031</v>
      </c>
      <c r="R52" t="s">
        <v>165</v>
      </c>
      <c r="S52" s="32" t="str">
        <f t="shared" si="7"/>
        <v>◇</v>
      </c>
      <c r="Y52" t="str">
        <f t="shared" si="3"/>
        <v>底長：約cm　底甲幅：約cm　ヒール：約cm</v>
      </c>
      <c r="Z52" t="str">
        <f t="shared" si="4"/>
        <v>底長：約cm　底甲幅：約cm　ヒール：約cm</v>
      </c>
      <c r="AA52" t="str">
        <f t="shared" si="5"/>
        <v>/ソール</v>
      </c>
      <c r="AB52" s="81" t="s">
        <v>3021</v>
      </c>
      <c r="AD52" s="6"/>
    </row>
    <row r="53" spans="3:30" ht="14.25" customHeight="1">
      <c r="C53" t="str">
        <f t="shared" si="6"/>
        <v>◇ サイズ E</v>
      </c>
      <c r="D53">
        <f t="shared" si="1"/>
        <v>5.5</v>
      </c>
      <c r="E53" t="s">
        <v>74</v>
      </c>
      <c r="H53" t="str">
        <f>IFERROR(INDEX(コンディションランク!$B$1:$B$6,MATCH($G53,コンディションランク!$A$1:$A$6,0)),"")</f>
        <v/>
      </c>
      <c r="N53" s="9" t="s">
        <v>3031</v>
      </c>
      <c r="R53" t="s">
        <v>165</v>
      </c>
      <c r="S53" s="32" t="str">
        <f t="shared" si="7"/>
        <v>◇</v>
      </c>
      <c r="Y53" t="str">
        <f t="shared" si="3"/>
        <v>底長：約cm　底甲幅：約cm　ヒール：約cm</v>
      </c>
      <c r="Z53" t="str">
        <f t="shared" si="4"/>
        <v>底長：約cm　底甲幅：約cm　ヒール：約cm</v>
      </c>
      <c r="AA53" t="str">
        <f t="shared" si="5"/>
        <v>/ソール</v>
      </c>
      <c r="AB53" s="81" t="s">
        <v>3021</v>
      </c>
      <c r="AD53" s="6"/>
    </row>
    <row r="54" spans="3:30" ht="14.25" customHeight="1">
      <c r="C54" t="str">
        <f t="shared" si="6"/>
        <v>◇ サイズ E</v>
      </c>
      <c r="D54">
        <f t="shared" si="1"/>
        <v>5.5</v>
      </c>
      <c r="E54" t="s">
        <v>74</v>
      </c>
      <c r="H54" t="str">
        <f>IFERROR(INDEX(コンディションランク!$B$1:$B$6,MATCH($G54,コンディションランク!$A$1:$A$6,0)),"")</f>
        <v/>
      </c>
      <c r="N54" s="9" t="s">
        <v>3031</v>
      </c>
      <c r="R54" t="s">
        <v>165</v>
      </c>
      <c r="S54" s="32" t="str">
        <f t="shared" si="7"/>
        <v>◇</v>
      </c>
      <c r="Y54" t="str">
        <f t="shared" si="3"/>
        <v>底長：約cm　底甲幅：約cm　ヒール：約cm</v>
      </c>
      <c r="Z54" t="str">
        <f t="shared" si="4"/>
        <v>底長：約cm　底甲幅：約cm　ヒール：約cm</v>
      </c>
      <c r="AA54" t="str">
        <f t="shared" si="5"/>
        <v>/ソール</v>
      </c>
      <c r="AB54" s="81" t="s">
        <v>3021</v>
      </c>
      <c r="AD54" s="6"/>
    </row>
    <row r="55" spans="3:30" ht="14.25" customHeight="1">
      <c r="C55" t="str">
        <f t="shared" si="6"/>
        <v>◇ サイズ E</v>
      </c>
      <c r="D55">
        <f t="shared" si="1"/>
        <v>5.5</v>
      </c>
      <c r="E55" t="s">
        <v>74</v>
      </c>
      <c r="H55" t="str">
        <f>IFERROR(INDEX(コンディションランク!$B$1:$B$6,MATCH($G55,コンディションランク!$A$1:$A$6,0)),"")</f>
        <v/>
      </c>
      <c r="N55" s="9" t="s">
        <v>3031</v>
      </c>
      <c r="R55" t="s">
        <v>165</v>
      </c>
      <c r="S55" s="32" t="str">
        <f t="shared" si="7"/>
        <v>◇</v>
      </c>
      <c r="Y55" t="str">
        <f t="shared" si="3"/>
        <v>底長：約cm　底甲幅：約cm　ヒール：約cm</v>
      </c>
      <c r="Z55" t="str">
        <f t="shared" si="4"/>
        <v>底長：約cm　底甲幅：約cm　ヒール：約cm</v>
      </c>
      <c r="AA55" t="str">
        <f t="shared" si="5"/>
        <v>/ソール</v>
      </c>
      <c r="AB55" s="81" t="s">
        <v>3021</v>
      </c>
      <c r="AD55" s="6"/>
    </row>
    <row r="56" spans="3:30" ht="14.25" customHeight="1">
      <c r="C56" t="str">
        <f t="shared" si="6"/>
        <v>◇ サイズ E</v>
      </c>
      <c r="D56">
        <f t="shared" si="1"/>
        <v>5.5</v>
      </c>
      <c r="E56" t="s">
        <v>74</v>
      </c>
      <c r="H56" t="str">
        <f>IFERROR(INDEX(コンディションランク!$B$1:$B$6,MATCH($G56,コンディションランク!$A$1:$A$6,0)),"")</f>
        <v/>
      </c>
      <c r="N56" s="9" t="s">
        <v>3031</v>
      </c>
      <c r="R56" t="s">
        <v>165</v>
      </c>
      <c r="S56" s="32" t="str">
        <f t="shared" si="7"/>
        <v>◇</v>
      </c>
      <c r="Y56" t="str">
        <f t="shared" si="3"/>
        <v>底長：約cm　底甲幅：約cm　ヒール：約cm</v>
      </c>
      <c r="Z56" t="str">
        <f t="shared" si="4"/>
        <v>底長：約cm　底甲幅：約cm　ヒール：約cm</v>
      </c>
      <c r="AA56" t="str">
        <f t="shared" si="5"/>
        <v>/ソール</v>
      </c>
      <c r="AB56" s="81" t="s">
        <v>3021</v>
      </c>
      <c r="AD56" s="6"/>
    </row>
    <row r="57" spans="3:30" ht="14.25" customHeight="1">
      <c r="C57" t="str">
        <f t="shared" si="6"/>
        <v>◇ サイズ E</v>
      </c>
      <c r="D57">
        <f t="shared" si="1"/>
        <v>5.5</v>
      </c>
      <c r="E57" t="s">
        <v>74</v>
      </c>
      <c r="H57" t="str">
        <f>IFERROR(INDEX(コンディションランク!$B$1:$B$6,MATCH($G57,コンディションランク!$A$1:$A$6,0)),"")</f>
        <v/>
      </c>
      <c r="N57" s="9" t="s">
        <v>3031</v>
      </c>
      <c r="R57" t="s">
        <v>165</v>
      </c>
      <c r="S57" s="32" t="str">
        <f t="shared" si="7"/>
        <v>◇</v>
      </c>
      <c r="Y57" t="str">
        <f t="shared" si="3"/>
        <v>底長：約cm　底甲幅：約cm　ヒール：約cm</v>
      </c>
      <c r="Z57" t="str">
        <f t="shared" si="4"/>
        <v>底長：約cm　底甲幅：約cm　ヒール：約cm</v>
      </c>
      <c r="AA57" t="str">
        <f t="shared" si="5"/>
        <v>/ソール</v>
      </c>
      <c r="AB57" s="81" t="s">
        <v>3021</v>
      </c>
      <c r="AD57" s="6"/>
    </row>
    <row r="58" spans="3:30" ht="14.25" customHeight="1">
      <c r="C58" t="str">
        <f t="shared" si="6"/>
        <v>◇ サイズ E</v>
      </c>
      <c r="D58">
        <f t="shared" si="1"/>
        <v>5.5</v>
      </c>
      <c r="E58" t="s">
        <v>74</v>
      </c>
      <c r="H58" t="str">
        <f>IFERROR(INDEX(コンディションランク!$B$1:$B$6,MATCH($G58,コンディションランク!$A$1:$A$6,0)),"")</f>
        <v/>
      </c>
      <c r="N58" s="9" t="s">
        <v>3031</v>
      </c>
      <c r="R58" t="s">
        <v>165</v>
      </c>
      <c r="S58" s="32" t="str">
        <f t="shared" si="7"/>
        <v>◇</v>
      </c>
      <c r="Y58" t="str">
        <f t="shared" si="3"/>
        <v>底長：約cm　底甲幅：約cm　ヒール：約cm</v>
      </c>
      <c r="Z58" t="str">
        <f t="shared" si="4"/>
        <v>底長：約cm　底甲幅：約cm　ヒール：約cm</v>
      </c>
      <c r="AA58" t="str">
        <f t="shared" si="5"/>
        <v>/ソール</v>
      </c>
      <c r="AB58" s="81" t="s">
        <v>3021</v>
      </c>
      <c r="AD58" s="6"/>
    </row>
    <row r="59" spans="3:30" ht="14.25" customHeight="1">
      <c r="C59" t="str">
        <f t="shared" si="6"/>
        <v>◇ サイズ E</v>
      </c>
      <c r="D59">
        <f t="shared" si="1"/>
        <v>5.5</v>
      </c>
      <c r="E59" t="s">
        <v>74</v>
      </c>
      <c r="H59" t="str">
        <f>IFERROR(INDEX(コンディションランク!$B$1:$B$6,MATCH($G59,コンディションランク!$A$1:$A$6,0)),"")</f>
        <v/>
      </c>
      <c r="N59" s="9" t="s">
        <v>3031</v>
      </c>
      <c r="R59" t="s">
        <v>165</v>
      </c>
      <c r="S59" s="32" t="str">
        <f t="shared" si="7"/>
        <v>◇</v>
      </c>
      <c r="Y59" t="str">
        <f t="shared" si="3"/>
        <v>底長：約cm　底甲幅：約cm　ヒール：約cm</v>
      </c>
      <c r="Z59" t="str">
        <f t="shared" si="4"/>
        <v>底長：約cm　底甲幅：約cm　ヒール：約cm</v>
      </c>
      <c r="AA59" t="str">
        <f t="shared" si="5"/>
        <v>/ソール</v>
      </c>
      <c r="AB59" s="81" t="s">
        <v>3021</v>
      </c>
      <c r="AD59" s="6"/>
    </row>
    <row r="60" spans="3:30" ht="14.25" customHeight="1">
      <c r="C60" t="str">
        <f t="shared" si="6"/>
        <v>◇ サイズ E</v>
      </c>
      <c r="D60">
        <f t="shared" si="1"/>
        <v>5.5</v>
      </c>
      <c r="E60" t="s">
        <v>74</v>
      </c>
      <c r="H60" t="str">
        <f>IFERROR(INDEX(コンディションランク!$B$1:$B$6,MATCH($G60,コンディションランク!$A$1:$A$6,0)),"")</f>
        <v/>
      </c>
      <c r="N60" s="9" t="s">
        <v>3031</v>
      </c>
      <c r="R60" t="s">
        <v>165</v>
      </c>
      <c r="S60" s="32" t="str">
        <f t="shared" si="7"/>
        <v>◇</v>
      </c>
      <c r="Y60" t="str">
        <f t="shared" si="3"/>
        <v>底長：約cm　底甲幅：約cm　ヒール：約cm</v>
      </c>
      <c r="Z60" t="str">
        <f t="shared" si="4"/>
        <v>底長：約cm　底甲幅：約cm　ヒール：約cm</v>
      </c>
      <c r="AA60" t="str">
        <f t="shared" si="5"/>
        <v>/ソール</v>
      </c>
      <c r="AB60" s="81" t="s">
        <v>3021</v>
      </c>
      <c r="AD60" s="6"/>
    </row>
    <row r="61" spans="3:30" ht="14.25" customHeight="1">
      <c r="C61" t="str">
        <f t="shared" si="6"/>
        <v>◇ サイズ E</v>
      </c>
      <c r="D61">
        <f t="shared" si="1"/>
        <v>5.5</v>
      </c>
      <c r="E61" t="s">
        <v>74</v>
      </c>
      <c r="H61" t="str">
        <f>IFERROR(INDEX(コンディションランク!$B$1:$B$6,MATCH($G61,コンディションランク!$A$1:$A$6,0)),"")</f>
        <v/>
      </c>
      <c r="N61" s="9" t="s">
        <v>3031</v>
      </c>
      <c r="R61" t="s">
        <v>165</v>
      </c>
      <c r="S61" s="32" t="str">
        <f t="shared" si="7"/>
        <v>◇</v>
      </c>
      <c r="Y61" t="str">
        <f t="shared" si="3"/>
        <v>底長：約cm　底甲幅：約cm　ヒール：約cm</v>
      </c>
      <c r="Z61" t="str">
        <f t="shared" si="4"/>
        <v>底長：約cm　底甲幅：約cm　ヒール：約cm</v>
      </c>
      <c r="AA61" t="str">
        <f t="shared" si="5"/>
        <v>/ソール</v>
      </c>
      <c r="AB61" s="81" t="s">
        <v>3021</v>
      </c>
      <c r="AD61" s="6"/>
    </row>
    <row r="62" spans="3:30" ht="14.25" customHeight="1">
      <c r="C62" t="str">
        <f t="shared" si="6"/>
        <v>◇ サイズ E</v>
      </c>
      <c r="D62">
        <f t="shared" si="1"/>
        <v>5.5</v>
      </c>
      <c r="E62" t="s">
        <v>74</v>
      </c>
      <c r="H62" t="str">
        <f>IFERROR(INDEX(コンディションランク!$B$1:$B$6,MATCH($G62,コンディションランク!$A$1:$A$6,0)),"")</f>
        <v/>
      </c>
      <c r="N62" s="9" t="s">
        <v>3031</v>
      </c>
      <c r="R62" t="s">
        <v>165</v>
      </c>
      <c r="S62" s="32" t="str">
        <f t="shared" si="7"/>
        <v>◇</v>
      </c>
      <c r="Y62" t="str">
        <f t="shared" si="3"/>
        <v>底長：約cm　底甲幅：約cm　ヒール：約cm</v>
      </c>
      <c r="Z62" t="str">
        <f t="shared" si="4"/>
        <v>底長：約cm　底甲幅：約cm　ヒール：約cm</v>
      </c>
      <c r="AA62" t="str">
        <f t="shared" si="5"/>
        <v>/ソール</v>
      </c>
      <c r="AB62" s="81" t="s">
        <v>3021</v>
      </c>
      <c r="AD62" s="6"/>
    </row>
    <row r="63" spans="3:30" ht="14.25" customHeight="1">
      <c r="C63" t="str">
        <f t="shared" si="6"/>
        <v>◇ サイズ E</v>
      </c>
      <c r="D63">
        <f t="shared" si="1"/>
        <v>5.5</v>
      </c>
      <c r="E63" t="s">
        <v>74</v>
      </c>
      <c r="H63" t="str">
        <f>IFERROR(INDEX(コンディションランク!$B$1:$B$6,MATCH($G63,コンディションランク!$A$1:$A$6,0)),"")</f>
        <v/>
      </c>
      <c r="N63" s="9" t="s">
        <v>3031</v>
      </c>
      <c r="R63" t="s">
        <v>165</v>
      </c>
      <c r="S63" s="32" t="str">
        <f t="shared" si="7"/>
        <v>◇</v>
      </c>
      <c r="Y63" t="str">
        <f t="shared" si="3"/>
        <v>底長：約cm　底甲幅：約cm　ヒール：約cm</v>
      </c>
      <c r="Z63" t="str">
        <f t="shared" si="4"/>
        <v>底長：約cm　底甲幅：約cm　ヒール：約cm</v>
      </c>
      <c r="AA63" t="str">
        <f t="shared" si="5"/>
        <v>/ソール</v>
      </c>
      <c r="AB63" s="81" t="s">
        <v>3021</v>
      </c>
      <c r="AD63" s="6"/>
    </row>
    <row r="64" spans="3:30" ht="14.25" customHeight="1">
      <c r="C64" t="str">
        <f t="shared" si="6"/>
        <v>◇ サイズ E</v>
      </c>
      <c r="D64">
        <f t="shared" si="1"/>
        <v>5.5</v>
      </c>
      <c r="E64" t="s">
        <v>74</v>
      </c>
      <c r="H64" t="str">
        <f>IFERROR(INDEX(コンディションランク!$B$1:$B$6,MATCH($G64,コンディションランク!$A$1:$A$6,0)),"")</f>
        <v/>
      </c>
      <c r="N64" s="9" t="s">
        <v>3031</v>
      </c>
      <c r="R64" t="s">
        <v>165</v>
      </c>
      <c r="S64" s="32" t="str">
        <f t="shared" si="7"/>
        <v>◇</v>
      </c>
      <c r="Y64" t="str">
        <f t="shared" si="3"/>
        <v>底長：約cm　底甲幅：約cm　ヒール：約cm</v>
      </c>
      <c r="Z64" t="str">
        <f t="shared" si="4"/>
        <v>底長：約cm　底甲幅：約cm　ヒール：約cm</v>
      </c>
      <c r="AA64" t="str">
        <f t="shared" si="5"/>
        <v>/ソール</v>
      </c>
      <c r="AB64" s="81" t="s">
        <v>3021</v>
      </c>
      <c r="AD64" s="6"/>
    </row>
    <row r="65" spans="3:30" ht="14.25" customHeight="1">
      <c r="C65" t="str">
        <f t="shared" si="6"/>
        <v>◇ サイズ E</v>
      </c>
      <c r="D65">
        <f t="shared" si="1"/>
        <v>5.5</v>
      </c>
      <c r="E65" t="s">
        <v>74</v>
      </c>
      <c r="H65" t="str">
        <f>IFERROR(INDEX(コンディションランク!$B$1:$B$6,MATCH($G65,コンディションランク!$A$1:$A$6,0)),"")</f>
        <v/>
      </c>
      <c r="N65" s="9" t="s">
        <v>3031</v>
      </c>
      <c r="R65" t="s">
        <v>165</v>
      </c>
      <c r="S65" s="32" t="str">
        <f t="shared" si="7"/>
        <v>◇</v>
      </c>
      <c r="Y65" t="str">
        <f t="shared" si="3"/>
        <v>底長：約cm　底甲幅：約cm　ヒール：約cm</v>
      </c>
      <c r="Z65" t="str">
        <f t="shared" si="4"/>
        <v>底長：約cm　底甲幅：約cm　ヒール：約cm</v>
      </c>
      <c r="AA65" t="str">
        <f t="shared" si="5"/>
        <v>/ソール</v>
      </c>
      <c r="AB65" s="81" t="s">
        <v>3021</v>
      </c>
      <c r="AD65" s="6"/>
    </row>
    <row r="66" spans="3:30" ht="14.25" customHeight="1">
      <c r="C66" t="str">
        <f t="shared" ref="C66:C97" si="8">TRIM(S66&amp;" "&amp;T66&amp;" "&amp;U66&amp;" "&amp;V66&amp;" "&amp;W66&amp;" "&amp;N66&amp;" "&amp;M66&amp;" "&amp;X66&amp;EX&amp;" "&amp;B66)</f>
        <v>◇ サイズ E</v>
      </c>
      <c r="D66">
        <f t="shared" si="1"/>
        <v>5.5</v>
      </c>
      <c r="E66" t="s">
        <v>74</v>
      </c>
      <c r="H66" t="str">
        <f>IFERROR(INDEX(コンディションランク!$B$1:$B$6,MATCH($G66,コンディションランク!$A$1:$A$6,0)),"")</f>
        <v/>
      </c>
      <c r="N66" s="9" t="s">
        <v>3031</v>
      </c>
      <c r="R66" t="s">
        <v>165</v>
      </c>
      <c r="S66" s="32" t="str">
        <f t="shared" ref="S66:S97" si="9">IFERROR(VLOOKUP(R66,梱包サイズ表,2,0),"")</f>
        <v>◇</v>
      </c>
      <c r="Y66" t="str">
        <f t="shared" si="3"/>
        <v>底長：約cm　底甲幅：約cm　ヒール：約cm</v>
      </c>
      <c r="Z66" t="str">
        <f t="shared" si="4"/>
        <v>底長：約cm　底甲幅：約cm　ヒール：約cm</v>
      </c>
      <c r="AA66" t="str">
        <f t="shared" si="5"/>
        <v>/ソール</v>
      </c>
      <c r="AB66" s="81" t="s">
        <v>3021</v>
      </c>
      <c r="AD66" s="6"/>
    </row>
    <row r="67" spans="3:30" ht="14.25" customHeight="1">
      <c r="C67" t="str">
        <f t="shared" si="8"/>
        <v>◇ サイズ E</v>
      </c>
      <c r="D67">
        <f t="shared" ref="D67:D101" si="10">(LENB(C67)-LEN(C67))+(LENB(C67)-(LENB(C67)-LEN(C67))*2)/2</f>
        <v>5.5</v>
      </c>
      <c r="E67" t="s">
        <v>74</v>
      </c>
      <c r="H67" t="str">
        <f>IFERROR(INDEX(コンディションランク!$B$1:$B$6,MATCH($G67,コンディションランク!$A$1:$A$6,0)),"")</f>
        <v/>
      </c>
      <c r="N67" s="9" t="s">
        <v>3031</v>
      </c>
      <c r="R67" t="s">
        <v>165</v>
      </c>
      <c r="S67" s="32" t="str">
        <f t="shared" si="9"/>
        <v>◇</v>
      </c>
      <c r="Y67" t="str">
        <f t="shared" ref="Y67:Y101" si="11">"底長：約" &amp;O67&amp; "cm　底甲幅：約" &amp;P67&amp; "cm　ヒール：約" &amp;Q67&amp; "cm"</f>
        <v>底長：約cm　底甲幅：約cm　ヒール：約cm</v>
      </c>
      <c r="Z67" t="str">
        <f t="shared" ref="Z67:Z101" si="12">SUBSTITUTE( Y67, "約-", "-" )</f>
        <v>底長：約cm　底甲幅：約cm　ヒール：約cm</v>
      </c>
      <c r="AA67" t="str">
        <f t="shared" ref="AA67:AA101" si="13">J67&amp;"/"&amp;K67&amp;"ソール"&amp;L67</f>
        <v>/ソール</v>
      </c>
      <c r="AB67" s="81" t="s">
        <v>3021</v>
      </c>
      <c r="AD67" s="6"/>
    </row>
    <row r="68" spans="3:30" ht="14.25" customHeight="1">
      <c r="C68" t="str">
        <f t="shared" si="8"/>
        <v>◇ サイズ E</v>
      </c>
      <c r="D68">
        <f t="shared" si="10"/>
        <v>5.5</v>
      </c>
      <c r="E68" t="s">
        <v>74</v>
      </c>
      <c r="H68" t="str">
        <f>IFERROR(INDEX(コンディションランク!$B$1:$B$6,MATCH($G68,コンディションランク!$A$1:$A$6,0)),"")</f>
        <v/>
      </c>
      <c r="N68" s="9" t="s">
        <v>3031</v>
      </c>
      <c r="R68" t="s">
        <v>165</v>
      </c>
      <c r="S68" s="32" t="str">
        <f t="shared" si="9"/>
        <v>◇</v>
      </c>
      <c r="Y68" t="str">
        <f t="shared" si="11"/>
        <v>底長：約cm　底甲幅：約cm　ヒール：約cm</v>
      </c>
      <c r="Z68" t="str">
        <f t="shared" si="12"/>
        <v>底長：約cm　底甲幅：約cm　ヒール：約cm</v>
      </c>
      <c r="AA68" t="str">
        <f t="shared" si="13"/>
        <v>/ソール</v>
      </c>
      <c r="AB68" s="81" t="s">
        <v>3021</v>
      </c>
      <c r="AD68" s="6"/>
    </row>
    <row r="69" spans="3:30" ht="14.25" customHeight="1">
      <c r="C69" t="str">
        <f t="shared" si="8"/>
        <v>◇ サイズ E</v>
      </c>
      <c r="D69">
        <f t="shared" si="10"/>
        <v>5.5</v>
      </c>
      <c r="E69" t="s">
        <v>74</v>
      </c>
      <c r="H69" t="str">
        <f>IFERROR(INDEX(コンディションランク!$B$1:$B$6,MATCH($G69,コンディションランク!$A$1:$A$6,0)),"")</f>
        <v/>
      </c>
      <c r="N69" s="9" t="s">
        <v>3031</v>
      </c>
      <c r="R69" t="s">
        <v>165</v>
      </c>
      <c r="S69" s="32" t="str">
        <f t="shared" si="9"/>
        <v>◇</v>
      </c>
      <c r="Y69" t="str">
        <f t="shared" si="11"/>
        <v>底長：約cm　底甲幅：約cm　ヒール：約cm</v>
      </c>
      <c r="Z69" t="str">
        <f t="shared" si="12"/>
        <v>底長：約cm　底甲幅：約cm　ヒール：約cm</v>
      </c>
      <c r="AA69" t="str">
        <f t="shared" si="13"/>
        <v>/ソール</v>
      </c>
      <c r="AB69" s="81" t="s">
        <v>3021</v>
      </c>
      <c r="AD69" s="6"/>
    </row>
    <row r="70" spans="3:30" ht="14.25" customHeight="1">
      <c r="C70" t="str">
        <f t="shared" si="8"/>
        <v>◇ サイズ E</v>
      </c>
      <c r="D70">
        <f t="shared" si="10"/>
        <v>5.5</v>
      </c>
      <c r="E70" t="s">
        <v>74</v>
      </c>
      <c r="H70" t="str">
        <f>IFERROR(INDEX(コンディションランク!$B$1:$B$6,MATCH($G70,コンディションランク!$A$1:$A$6,0)),"")</f>
        <v/>
      </c>
      <c r="N70" s="9" t="s">
        <v>3031</v>
      </c>
      <c r="R70" t="s">
        <v>165</v>
      </c>
      <c r="S70" s="32" t="str">
        <f t="shared" si="9"/>
        <v>◇</v>
      </c>
      <c r="Y70" t="str">
        <f t="shared" si="11"/>
        <v>底長：約cm　底甲幅：約cm　ヒール：約cm</v>
      </c>
      <c r="Z70" t="str">
        <f t="shared" si="12"/>
        <v>底長：約cm　底甲幅：約cm　ヒール：約cm</v>
      </c>
      <c r="AA70" t="str">
        <f t="shared" si="13"/>
        <v>/ソール</v>
      </c>
      <c r="AB70" s="81" t="s">
        <v>3021</v>
      </c>
      <c r="AD70" s="6"/>
    </row>
    <row r="71" spans="3:30" ht="14.25" customHeight="1">
      <c r="C71" t="str">
        <f t="shared" si="8"/>
        <v>◇ サイズ E</v>
      </c>
      <c r="D71">
        <f t="shared" si="10"/>
        <v>5.5</v>
      </c>
      <c r="E71" t="s">
        <v>74</v>
      </c>
      <c r="H71" t="str">
        <f>IFERROR(INDEX(コンディションランク!$B$1:$B$6,MATCH($G71,コンディションランク!$A$1:$A$6,0)),"")</f>
        <v/>
      </c>
      <c r="N71" s="9" t="s">
        <v>3031</v>
      </c>
      <c r="R71" t="s">
        <v>165</v>
      </c>
      <c r="S71" s="32" t="str">
        <f t="shared" si="9"/>
        <v>◇</v>
      </c>
      <c r="Y71" t="str">
        <f t="shared" si="11"/>
        <v>底長：約cm　底甲幅：約cm　ヒール：約cm</v>
      </c>
      <c r="Z71" t="str">
        <f t="shared" si="12"/>
        <v>底長：約cm　底甲幅：約cm　ヒール：約cm</v>
      </c>
      <c r="AA71" t="str">
        <f t="shared" si="13"/>
        <v>/ソール</v>
      </c>
      <c r="AB71" s="81" t="s">
        <v>3021</v>
      </c>
      <c r="AD71" s="6"/>
    </row>
    <row r="72" spans="3:30" ht="14.25" customHeight="1">
      <c r="C72" t="str">
        <f t="shared" si="8"/>
        <v>◇ サイズ E</v>
      </c>
      <c r="D72">
        <f t="shared" si="10"/>
        <v>5.5</v>
      </c>
      <c r="E72" t="s">
        <v>74</v>
      </c>
      <c r="H72" t="str">
        <f>IFERROR(INDEX(コンディションランク!$B$1:$B$6,MATCH($G72,コンディションランク!$A$1:$A$6,0)),"")</f>
        <v/>
      </c>
      <c r="N72" s="9" t="s">
        <v>3031</v>
      </c>
      <c r="R72" t="s">
        <v>165</v>
      </c>
      <c r="S72" s="32" t="str">
        <f t="shared" si="9"/>
        <v>◇</v>
      </c>
      <c r="Y72" t="str">
        <f t="shared" si="11"/>
        <v>底長：約cm　底甲幅：約cm　ヒール：約cm</v>
      </c>
      <c r="Z72" t="str">
        <f t="shared" si="12"/>
        <v>底長：約cm　底甲幅：約cm　ヒール：約cm</v>
      </c>
      <c r="AA72" t="str">
        <f t="shared" si="13"/>
        <v>/ソール</v>
      </c>
      <c r="AB72" s="81" t="s">
        <v>3021</v>
      </c>
      <c r="AD72" s="6"/>
    </row>
    <row r="73" spans="3:30" ht="14.25" customHeight="1">
      <c r="C73" t="str">
        <f t="shared" si="8"/>
        <v>◇ サイズ E</v>
      </c>
      <c r="D73">
        <f t="shared" si="10"/>
        <v>5.5</v>
      </c>
      <c r="E73" t="s">
        <v>74</v>
      </c>
      <c r="H73" t="str">
        <f>IFERROR(INDEX(コンディションランク!$B$1:$B$6,MATCH($G73,コンディションランク!$A$1:$A$6,0)),"")</f>
        <v/>
      </c>
      <c r="N73" s="9" t="s">
        <v>3031</v>
      </c>
      <c r="R73" t="s">
        <v>165</v>
      </c>
      <c r="S73" s="32" t="str">
        <f t="shared" si="9"/>
        <v>◇</v>
      </c>
      <c r="Y73" t="str">
        <f t="shared" si="11"/>
        <v>底長：約cm　底甲幅：約cm　ヒール：約cm</v>
      </c>
      <c r="Z73" t="str">
        <f t="shared" si="12"/>
        <v>底長：約cm　底甲幅：約cm　ヒール：約cm</v>
      </c>
      <c r="AA73" t="str">
        <f t="shared" si="13"/>
        <v>/ソール</v>
      </c>
      <c r="AB73" s="81" t="s">
        <v>3021</v>
      </c>
      <c r="AD73" s="6"/>
    </row>
    <row r="74" spans="3:30" ht="14.25" customHeight="1">
      <c r="C74" t="str">
        <f t="shared" si="8"/>
        <v>◇ サイズ E</v>
      </c>
      <c r="D74">
        <f t="shared" si="10"/>
        <v>5.5</v>
      </c>
      <c r="E74" t="s">
        <v>74</v>
      </c>
      <c r="H74" t="str">
        <f>IFERROR(INDEX(コンディションランク!$B$1:$B$6,MATCH($G74,コンディションランク!$A$1:$A$6,0)),"")</f>
        <v/>
      </c>
      <c r="N74" s="9" t="s">
        <v>3031</v>
      </c>
      <c r="R74" t="s">
        <v>165</v>
      </c>
      <c r="S74" s="32" t="str">
        <f t="shared" si="9"/>
        <v>◇</v>
      </c>
      <c r="Y74" t="str">
        <f t="shared" si="11"/>
        <v>底長：約cm　底甲幅：約cm　ヒール：約cm</v>
      </c>
      <c r="Z74" t="str">
        <f t="shared" si="12"/>
        <v>底長：約cm　底甲幅：約cm　ヒール：約cm</v>
      </c>
      <c r="AA74" t="str">
        <f t="shared" si="13"/>
        <v>/ソール</v>
      </c>
      <c r="AB74" s="81" t="s">
        <v>3021</v>
      </c>
      <c r="AD74" s="6"/>
    </row>
    <row r="75" spans="3:30" ht="14.25" customHeight="1">
      <c r="C75" t="str">
        <f t="shared" si="8"/>
        <v>◇ サイズ E</v>
      </c>
      <c r="D75">
        <f t="shared" si="10"/>
        <v>5.5</v>
      </c>
      <c r="E75" t="s">
        <v>71</v>
      </c>
      <c r="H75" t="str">
        <f>IFERROR(INDEX(コンディションランク!$B$1:$B$6,MATCH($G75,コンディションランク!$A$1:$A$6,0)),"")</f>
        <v/>
      </c>
      <c r="N75" s="9" t="s">
        <v>3031</v>
      </c>
      <c r="R75" t="s">
        <v>165</v>
      </c>
      <c r="S75" s="32" t="str">
        <f t="shared" si="9"/>
        <v>◇</v>
      </c>
      <c r="Y75" t="str">
        <f t="shared" si="11"/>
        <v>底長：約cm　底甲幅：約cm　ヒール：約cm</v>
      </c>
      <c r="Z75" t="str">
        <f t="shared" si="12"/>
        <v>底長：約cm　底甲幅：約cm　ヒール：約cm</v>
      </c>
      <c r="AA75" t="str">
        <f t="shared" si="13"/>
        <v>/ソール</v>
      </c>
      <c r="AB75" s="81" t="s">
        <v>3021</v>
      </c>
      <c r="AD75" s="6"/>
    </row>
    <row r="76" spans="3:30" ht="14.25" customHeight="1">
      <c r="C76" t="str">
        <f t="shared" si="8"/>
        <v>◇ サイズ E</v>
      </c>
      <c r="D76">
        <f t="shared" si="10"/>
        <v>5.5</v>
      </c>
      <c r="E76" t="s">
        <v>71</v>
      </c>
      <c r="H76" t="str">
        <f>IFERROR(INDEX(コンディションランク!$B$1:$B$6,MATCH($G76,コンディションランク!$A$1:$A$6,0)),"")</f>
        <v/>
      </c>
      <c r="N76" s="9" t="s">
        <v>3031</v>
      </c>
      <c r="R76" t="s">
        <v>165</v>
      </c>
      <c r="S76" s="32" t="str">
        <f t="shared" si="9"/>
        <v>◇</v>
      </c>
      <c r="Y76" t="str">
        <f t="shared" si="11"/>
        <v>底長：約cm　底甲幅：約cm　ヒール：約cm</v>
      </c>
      <c r="Z76" t="str">
        <f t="shared" si="12"/>
        <v>底長：約cm　底甲幅：約cm　ヒール：約cm</v>
      </c>
      <c r="AA76" t="str">
        <f t="shared" si="13"/>
        <v>/ソール</v>
      </c>
      <c r="AB76" s="81" t="s">
        <v>3021</v>
      </c>
      <c r="AD76" s="6"/>
    </row>
    <row r="77" spans="3:30" ht="14.25" customHeight="1">
      <c r="C77" t="str">
        <f t="shared" si="8"/>
        <v>◇ サイズ E</v>
      </c>
      <c r="D77">
        <f t="shared" si="10"/>
        <v>5.5</v>
      </c>
      <c r="E77" t="s">
        <v>71</v>
      </c>
      <c r="H77" t="str">
        <f>IFERROR(INDEX(コンディションランク!$B$1:$B$6,MATCH($G77,コンディションランク!$A$1:$A$6,0)),"")</f>
        <v/>
      </c>
      <c r="N77" s="9" t="s">
        <v>3031</v>
      </c>
      <c r="R77" t="s">
        <v>165</v>
      </c>
      <c r="S77" s="32" t="str">
        <f t="shared" si="9"/>
        <v>◇</v>
      </c>
      <c r="Y77" t="str">
        <f t="shared" si="11"/>
        <v>底長：約cm　底甲幅：約cm　ヒール：約cm</v>
      </c>
      <c r="Z77" t="str">
        <f t="shared" si="12"/>
        <v>底長：約cm　底甲幅：約cm　ヒール：約cm</v>
      </c>
      <c r="AA77" t="str">
        <f t="shared" si="13"/>
        <v>/ソール</v>
      </c>
      <c r="AB77" s="81" t="s">
        <v>3021</v>
      </c>
      <c r="AD77" s="6"/>
    </row>
    <row r="78" spans="3:30" ht="14.25" customHeight="1">
      <c r="C78" t="str">
        <f t="shared" si="8"/>
        <v>◇ サイズ E</v>
      </c>
      <c r="D78">
        <f t="shared" si="10"/>
        <v>5.5</v>
      </c>
      <c r="E78" t="s">
        <v>71</v>
      </c>
      <c r="H78" t="str">
        <f>IFERROR(INDEX(コンディションランク!$B$1:$B$6,MATCH($G78,コンディションランク!$A$1:$A$6,0)),"")</f>
        <v/>
      </c>
      <c r="N78" s="9" t="s">
        <v>3031</v>
      </c>
      <c r="R78" t="s">
        <v>165</v>
      </c>
      <c r="S78" s="32" t="str">
        <f t="shared" si="9"/>
        <v>◇</v>
      </c>
      <c r="Y78" t="str">
        <f t="shared" si="11"/>
        <v>底長：約cm　底甲幅：約cm　ヒール：約cm</v>
      </c>
      <c r="Z78" t="str">
        <f t="shared" si="12"/>
        <v>底長：約cm　底甲幅：約cm　ヒール：約cm</v>
      </c>
      <c r="AA78" t="str">
        <f t="shared" si="13"/>
        <v>/ソール</v>
      </c>
      <c r="AB78" s="81" t="s">
        <v>3021</v>
      </c>
      <c r="AD78" s="6"/>
    </row>
    <row r="79" spans="3:30" ht="14.25" customHeight="1">
      <c r="C79" t="str">
        <f t="shared" si="8"/>
        <v>◇ サイズ E</v>
      </c>
      <c r="D79">
        <f t="shared" si="10"/>
        <v>5.5</v>
      </c>
      <c r="E79" t="s">
        <v>71</v>
      </c>
      <c r="H79" t="str">
        <f>IFERROR(INDEX(コンディションランク!$B$1:$B$6,MATCH($G79,コンディションランク!$A$1:$A$6,0)),"")</f>
        <v/>
      </c>
      <c r="N79" s="9" t="s">
        <v>3031</v>
      </c>
      <c r="R79" t="s">
        <v>165</v>
      </c>
      <c r="S79" s="32" t="str">
        <f t="shared" si="9"/>
        <v>◇</v>
      </c>
      <c r="Y79" t="str">
        <f t="shared" si="11"/>
        <v>底長：約cm　底甲幅：約cm　ヒール：約cm</v>
      </c>
      <c r="Z79" t="str">
        <f t="shared" si="12"/>
        <v>底長：約cm　底甲幅：約cm　ヒール：約cm</v>
      </c>
      <c r="AA79" t="str">
        <f t="shared" si="13"/>
        <v>/ソール</v>
      </c>
      <c r="AB79" s="81" t="s">
        <v>3021</v>
      </c>
      <c r="AD79" s="6"/>
    </row>
    <row r="80" spans="3:30" ht="14.25" customHeight="1">
      <c r="C80" t="str">
        <f t="shared" si="8"/>
        <v>◇ サイズ E</v>
      </c>
      <c r="D80">
        <f t="shared" si="10"/>
        <v>5.5</v>
      </c>
      <c r="E80" t="s">
        <v>71</v>
      </c>
      <c r="H80" t="str">
        <f>IFERROR(INDEX(コンディションランク!$B$1:$B$6,MATCH($G80,コンディションランク!$A$1:$A$6,0)),"")</f>
        <v/>
      </c>
      <c r="N80" s="9" t="s">
        <v>3031</v>
      </c>
      <c r="R80" t="s">
        <v>165</v>
      </c>
      <c r="S80" s="32" t="str">
        <f t="shared" si="9"/>
        <v>◇</v>
      </c>
      <c r="Y80" t="str">
        <f t="shared" si="11"/>
        <v>底長：約cm　底甲幅：約cm　ヒール：約cm</v>
      </c>
      <c r="Z80" t="str">
        <f t="shared" si="12"/>
        <v>底長：約cm　底甲幅：約cm　ヒール：約cm</v>
      </c>
      <c r="AA80" t="str">
        <f t="shared" si="13"/>
        <v>/ソール</v>
      </c>
      <c r="AB80" s="81" t="s">
        <v>3021</v>
      </c>
      <c r="AD80" s="6"/>
    </row>
    <row r="81" spans="3:30" ht="14.25" customHeight="1">
      <c r="C81" t="str">
        <f t="shared" si="8"/>
        <v>◇ サイズ E</v>
      </c>
      <c r="D81">
        <f t="shared" si="10"/>
        <v>5.5</v>
      </c>
      <c r="E81" t="s">
        <v>71</v>
      </c>
      <c r="H81" t="str">
        <f>IFERROR(INDEX(コンディションランク!$B$1:$B$6,MATCH($G81,コンディションランク!$A$1:$A$6,0)),"")</f>
        <v/>
      </c>
      <c r="N81" s="9" t="s">
        <v>3031</v>
      </c>
      <c r="R81" t="s">
        <v>165</v>
      </c>
      <c r="S81" s="32" t="str">
        <f t="shared" si="9"/>
        <v>◇</v>
      </c>
      <c r="Y81" t="str">
        <f t="shared" si="11"/>
        <v>底長：約cm　底甲幅：約cm　ヒール：約cm</v>
      </c>
      <c r="Z81" t="str">
        <f t="shared" si="12"/>
        <v>底長：約cm　底甲幅：約cm　ヒール：約cm</v>
      </c>
      <c r="AA81" t="str">
        <f t="shared" si="13"/>
        <v>/ソール</v>
      </c>
      <c r="AB81" s="81" t="s">
        <v>3021</v>
      </c>
      <c r="AD81" s="6"/>
    </row>
    <row r="82" spans="3:30" ht="14.25" customHeight="1">
      <c r="C82" t="str">
        <f t="shared" si="8"/>
        <v>◇ サイズ E</v>
      </c>
      <c r="D82">
        <f t="shared" si="10"/>
        <v>5.5</v>
      </c>
      <c r="E82" t="s">
        <v>71</v>
      </c>
      <c r="H82" t="str">
        <f>IFERROR(INDEX(コンディションランク!$B$1:$B$6,MATCH($G82,コンディションランク!$A$1:$A$6,0)),"")</f>
        <v/>
      </c>
      <c r="N82" s="9" t="s">
        <v>3031</v>
      </c>
      <c r="R82" t="s">
        <v>165</v>
      </c>
      <c r="S82" s="32" t="str">
        <f t="shared" si="9"/>
        <v>◇</v>
      </c>
      <c r="Y82" t="str">
        <f t="shared" si="11"/>
        <v>底長：約cm　底甲幅：約cm　ヒール：約cm</v>
      </c>
      <c r="Z82" t="str">
        <f t="shared" si="12"/>
        <v>底長：約cm　底甲幅：約cm　ヒール：約cm</v>
      </c>
      <c r="AA82" t="str">
        <f t="shared" si="13"/>
        <v>/ソール</v>
      </c>
      <c r="AB82" s="81" t="s">
        <v>3021</v>
      </c>
      <c r="AD82" s="6"/>
    </row>
    <row r="83" spans="3:30" ht="14.25" customHeight="1">
      <c r="C83" t="str">
        <f t="shared" si="8"/>
        <v>◇ サイズ E</v>
      </c>
      <c r="D83">
        <f t="shared" si="10"/>
        <v>5.5</v>
      </c>
      <c r="E83" t="s">
        <v>71</v>
      </c>
      <c r="H83" t="str">
        <f>IFERROR(INDEX(コンディションランク!$B$1:$B$6,MATCH($G83,コンディションランク!$A$1:$A$6,0)),"")</f>
        <v/>
      </c>
      <c r="N83" s="9" t="s">
        <v>3031</v>
      </c>
      <c r="R83" t="s">
        <v>165</v>
      </c>
      <c r="S83" s="32" t="str">
        <f t="shared" si="9"/>
        <v>◇</v>
      </c>
      <c r="Y83" t="str">
        <f t="shared" si="11"/>
        <v>底長：約cm　底甲幅：約cm　ヒール：約cm</v>
      </c>
      <c r="Z83" t="str">
        <f t="shared" si="12"/>
        <v>底長：約cm　底甲幅：約cm　ヒール：約cm</v>
      </c>
      <c r="AA83" t="str">
        <f t="shared" si="13"/>
        <v>/ソール</v>
      </c>
      <c r="AB83" s="81" t="s">
        <v>3021</v>
      </c>
      <c r="AD83" s="6"/>
    </row>
    <row r="84" spans="3:30" ht="14.25" customHeight="1">
      <c r="C84" t="str">
        <f t="shared" si="8"/>
        <v>◇ サイズ E</v>
      </c>
      <c r="D84">
        <f t="shared" si="10"/>
        <v>5.5</v>
      </c>
      <c r="E84" t="s">
        <v>71</v>
      </c>
      <c r="H84" t="str">
        <f>IFERROR(INDEX(コンディションランク!$B$1:$B$6,MATCH($G84,コンディションランク!$A$1:$A$6,0)),"")</f>
        <v/>
      </c>
      <c r="N84" s="9" t="s">
        <v>3031</v>
      </c>
      <c r="R84" t="s">
        <v>165</v>
      </c>
      <c r="S84" s="32" t="str">
        <f t="shared" si="9"/>
        <v>◇</v>
      </c>
      <c r="Y84" t="str">
        <f t="shared" si="11"/>
        <v>底長：約cm　底甲幅：約cm　ヒール：約cm</v>
      </c>
      <c r="Z84" t="str">
        <f t="shared" si="12"/>
        <v>底長：約cm　底甲幅：約cm　ヒール：約cm</v>
      </c>
      <c r="AA84" t="str">
        <f t="shared" si="13"/>
        <v>/ソール</v>
      </c>
      <c r="AB84" s="81" t="s">
        <v>3021</v>
      </c>
      <c r="AD84" s="6"/>
    </row>
    <row r="85" spans="3:30" ht="14.25" customHeight="1">
      <c r="C85" t="str">
        <f t="shared" si="8"/>
        <v>◇ サイズ E</v>
      </c>
      <c r="D85">
        <f t="shared" si="10"/>
        <v>5.5</v>
      </c>
      <c r="E85" t="s">
        <v>71</v>
      </c>
      <c r="H85" t="str">
        <f>IFERROR(INDEX(コンディションランク!$B$1:$B$6,MATCH($G85,コンディションランク!$A$1:$A$6,0)),"")</f>
        <v/>
      </c>
      <c r="N85" s="9" t="s">
        <v>3031</v>
      </c>
      <c r="R85" t="s">
        <v>165</v>
      </c>
      <c r="S85" s="32" t="str">
        <f t="shared" si="9"/>
        <v>◇</v>
      </c>
      <c r="Y85" t="str">
        <f t="shared" si="11"/>
        <v>底長：約cm　底甲幅：約cm　ヒール：約cm</v>
      </c>
      <c r="Z85" t="str">
        <f t="shared" si="12"/>
        <v>底長：約cm　底甲幅：約cm　ヒール：約cm</v>
      </c>
      <c r="AA85" t="str">
        <f t="shared" si="13"/>
        <v>/ソール</v>
      </c>
      <c r="AB85" s="81" t="s">
        <v>3021</v>
      </c>
      <c r="AD85" s="6"/>
    </row>
    <row r="86" spans="3:30" ht="14.25" customHeight="1">
      <c r="C86" t="str">
        <f t="shared" si="8"/>
        <v>◇ サイズ E</v>
      </c>
      <c r="D86">
        <f t="shared" si="10"/>
        <v>5.5</v>
      </c>
      <c r="E86" t="s">
        <v>71</v>
      </c>
      <c r="H86" t="str">
        <f>IFERROR(INDEX(コンディションランク!$B$1:$B$6,MATCH($G86,コンディションランク!$A$1:$A$6,0)),"")</f>
        <v/>
      </c>
      <c r="N86" s="9" t="s">
        <v>3031</v>
      </c>
      <c r="R86" t="s">
        <v>165</v>
      </c>
      <c r="S86" s="32" t="str">
        <f t="shared" si="9"/>
        <v>◇</v>
      </c>
      <c r="Y86" t="str">
        <f t="shared" si="11"/>
        <v>底長：約cm　底甲幅：約cm　ヒール：約cm</v>
      </c>
      <c r="Z86" t="str">
        <f t="shared" si="12"/>
        <v>底長：約cm　底甲幅：約cm　ヒール：約cm</v>
      </c>
      <c r="AA86" t="str">
        <f t="shared" si="13"/>
        <v>/ソール</v>
      </c>
      <c r="AB86" s="81" t="s">
        <v>3021</v>
      </c>
      <c r="AD86" s="6"/>
    </row>
    <row r="87" spans="3:30" ht="14.25" customHeight="1">
      <c r="C87" t="str">
        <f t="shared" si="8"/>
        <v>◇ サイズ E</v>
      </c>
      <c r="D87">
        <f t="shared" si="10"/>
        <v>5.5</v>
      </c>
      <c r="E87" t="s">
        <v>71</v>
      </c>
      <c r="H87" t="str">
        <f>IFERROR(INDEX(コンディションランク!$B$1:$B$6,MATCH($G87,コンディションランク!$A$1:$A$6,0)),"")</f>
        <v/>
      </c>
      <c r="N87" s="9" t="s">
        <v>3031</v>
      </c>
      <c r="R87" t="s">
        <v>165</v>
      </c>
      <c r="S87" s="32" t="str">
        <f t="shared" si="9"/>
        <v>◇</v>
      </c>
      <c r="Y87" t="str">
        <f t="shared" si="11"/>
        <v>底長：約cm　底甲幅：約cm　ヒール：約cm</v>
      </c>
      <c r="Z87" t="str">
        <f t="shared" si="12"/>
        <v>底長：約cm　底甲幅：約cm　ヒール：約cm</v>
      </c>
      <c r="AA87" t="str">
        <f t="shared" si="13"/>
        <v>/ソール</v>
      </c>
      <c r="AB87" s="81" t="s">
        <v>3021</v>
      </c>
      <c r="AD87" s="6"/>
    </row>
    <row r="88" spans="3:30" ht="14.25" customHeight="1">
      <c r="C88" t="str">
        <f t="shared" si="8"/>
        <v>◇ サイズ E</v>
      </c>
      <c r="D88">
        <f t="shared" si="10"/>
        <v>5.5</v>
      </c>
      <c r="E88" t="s">
        <v>71</v>
      </c>
      <c r="H88" t="str">
        <f>IFERROR(INDEX(コンディションランク!$B$1:$B$6,MATCH($G88,コンディションランク!$A$1:$A$6,0)),"")</f>
        <v/>
      </c>
      <c r="N88" s="9" t="s">
        <v>3031</v>
      </c>
      <c r="R88" t="s">
        <v>165</v>
      </c>
      <c r="S88" s="32" t="str">
        <f t="shared" si="9"/>
        <v>◇</v>
      </c>
      <c r="Y88" t="str">
        <f t="shared" si="11"/>
        <v>底長：約cm　底甲幅：約cm　ヒール：約cm</v>
      </c>
      <c r="Z88" t="str">
        <f t="shared" si="12"/>
        <v>底長：約cm　底甲幅：約cm　ヒール：約cm</v>
      </c>
      <c r="AA88" t="str">
        <f t="shared" si="13"/>
        <v>/ソール</v>
      </c>
      <c r="AB88" s="81" t="s">
        <v>3021</v>
      </c>
      <c r="AD88" s="6"/>
    </row>
    <row r="89" spans="3:30" ht="14.25" customHeight="1">
      <c r="C89" t="str">
        <f t="shared" si="8"/>
        <v>◇ サイズ E</v>
      </c>
      <c r="D89">
        <f t="shared" si="10"/>
        <v>5.5</v>
      </c>
      <c r="E89" t="s">
        <v>71</v>
      </c>
      <c r="H89" t="str">
        <f>IFERROR(INDEX(コンディションランク!$B$1:$B$6,MATCH($G89,コンディションランク!$A$1:$A$6,0)),"")</f>
        <v/>
      </c>
      <c r="N89" s="9" t="s">
        <v>3031</v>
      </c>
      <c r="R89" t="s">
        <v>165</v>
      </c>
      <c r="S89" s="32" t="str">
        <f t="shared" si="9"/>
        <v>◇</v>
      </c>
      <c r="Y89" t="str">
        <f t="shared" si="11"/>
        <v>底長：約cm　底甲幅：約cm　ヒール：約cm</v>
      </c>
      <c r="Z89" t="str">
        <f t="shared" si="12"/>
        <v>底長：約cm　底甲幅：約cm　ヒール：約cm</v>
      </c>
      <c r="AA89" t="str">
        <f t="shared" si="13"/>
        <v>/ソール</v>
      </c>
      <c r="AB89" s="81" t="s">
        <v>3021</v>
      </c>
      <c r="AD89" s="6"/>
    </row>
    <row r="90" spans="3:30" ht="14.25" customHeight="1">
      <c r="C90" t="str">
        <f t="shared" si="8"/>
        <v>◇ サイズ E</v>
      </c>
      <c r="D90">
        <f t="shared" si="10"/>
        <v>5.5</v>
      </c>
      <c r="E90" t="s">
        <v>71</v>
      </c>
      <c r="H90" t="str">
        <f>IFERROR(INDEX(コンディションランク!$B$1:$B$6,MATCH($G90,コンディションランク!$A$1:$A$6,0)),"")</f>
        <v/>
      </c>
      <c r="N90" s="9" t="s">
        <v>3031</v>
      </c>
      <c r="R90" t="s">
        <v>165</v>
      </c>
      <c r="S90" s="32" t="str">
        <f t="shared" si="9"/>
        <v>◇</v>
      </c>
      <c r="Y90" t="str">
        <f t="shared" si="11"/>
        <v>底長：約cm　底甲幅：約cm　ヒール：約cm</v>
      </c>
      <c r="Z90" t="str">
        <f t="shared" si="12"/>
        <v>底長：約cm　底甲幅：約cm　ヒール：約cm</v>
      </c>
      <c r="AA90" t="str">
        <f t="shared" si="13"/>
        <v>/ソール</v>
      </c>
      <c r="AB90" s="81" t="s">
        <v>3021</v>
      </c>
      <c r="AD90" s="6"/>
    </row>
    <row r="91" spans="3:30" ht="14.25" customHeight="1">
      <c r="C91" t="str">
        <f t="shared" si="8"/>
        <v>◇ サイズ E</v>
      </c>
      <c r="D91">
        <f t="shared" si="10"/>
        <v>5.5</v>
      </c>
      <c r="E91" t="s">
        <v>71</v>
      </c>
      <c r="H91" t="str">
        <f>IFERROR(INDEX(コンディションランク!$B$1:$B$6,MATCH($G91,コンディションランク!$A$1:$A$6,0)),"")</f>
        <v/>
      </c>
      <c r="N91" s="9" t="s">
        <v>3031</v>
      </c>
      <c r="R91" t="s">
        <v>165</v>
      </c>
      <c r="S91" s="32" t="str">
        <f t="shared" si="9"/>
        <v>◇</v>
      </c>
      <c r="Y91" t="str">
        <f t="shared" si="11"/>
        <v>底長：約cm　底甲幅：約cm　ヒール：約cm</v>
      </c>
      <c r="Z91" t="str">
        <f t="shared" si="12"/>
        <v>底長：約cm　底甲幅：約cm　ヒール：約cm</v>
      </c>
      <c r="AA91" t="str">
        <f t="shared" si="13"/>
        <v>/ソール</v>
      </c>
      <c r="AB91" s="81" t="s">
        <v>3021</v>
      </c>
      <c r="AD91" s="6"/>
    </row>
    <row r="92" spans="3:30" ht="14.25" customHeight="1">
      <c r="C92" t="str">
        <f t="shared" si="8"/>
        <v>◇ サイズ E</v>
      </c>
      <c r="D92">
        <f t="shared" si="10"/>
        <v>5.5</v>
      </c>
      <c r="E92" t="s">
        <v>71</v>
      </c>
      <c r="H92" t="str">
        <f>IFERROR(INDEX(コンディションランク!$B$1:$B$6,MATCH($G92,コンディションランク!$A$1:$A$6,0)),"")</f>
        <v/>
      </c>
      <c r="N92" s="9" t="s">
        <v>3031</v>
      </c>
      <c r="R92" t="s">
        <v>165</v>
      </c>
      <c r="S92" s="32" t="str">
        <f t="shared" si="9"/>
        <v>◇</v>
      </c>
      <c r="Y92" t="str">
        <f t="shared" si="11"/>
        <v>底長：約cm　底甲幅：約cm　ヒール：約cm</v>
      </c>
      <c r="Z92" t="str">
        <f t="shared" si="12"/>
        <v>底長：約cm　底甲幅：約cm　ヒール：約cm</v>
      </c>
      <c r="AA92" t="str">
        <f t="shared" si="13"/>
        <v>/ソール</v>
      </c>
      <c r="AB92" s="81" t="s">
        <v>3021</v>
      </c>
      <c r="AD92" s="6"/>
    </row>
    <row r="93" spans="3:30" ht="14.25" customHeight="1">
      <c r="C93" t="str">
        <f t="shared" si="8"/>
        <v>◇ サイズ E</v>
      </c>
      <c r="D93">
        <f t="shared" si="10"/>
        <v>5.5</v>
      </c>
      <c r="E93" t="s">
        <v>71</v>
      </c>
      <c r="H93" t="str">
        <f>IFERROR(INDEX(コンディションランク!$B$1:$B$6,MATCH($G93,コンディションランク!$A$1:$A$6,0)),"")</f>
        <v/>
      </c>
      <c r="N93" s="9" t="s">
        <v>3031</v>
      </c>
      <c r="R93" t="s">
        <v>165</v>
      </c>
      <c r="S93" s="32" t="str">
        <f t="shared" si="9"/>
        <v>◇</v>
      </c>
      <c r="Y93" t="str">
        <f t="shared" si="11"/>
        <v>底長：約cm　底甲幅：約cm　ヒール：約cm</v>
      </c>
      <c r="Z93" t="str">
        <f t="shared" si="12"/>
        <v>底長：約cm　底甲幅：約cm　ヒール：約cm</v>
      </c>
      <c r="AA93" t="str">
        <f t="shared" si="13"/>
        <v>/ソール</v>
      </c>
      <c r="AB93" s="81" t="s">
        <v>3021</v>
      </c>
      <c r="AD93" s="6"/>
    </row>
    <row r="94" spans="3:30" ht="14.25" customHeight="1">
      <c r="C94" t="str">
        <f t="shared" si="8"/>
        <v>◇ サイズ E</v>
      </c>
      <c r="D94">
        <f t="shared" si="10"/>
        <v>5.5</v>
      </c>
      <c r="E94" t="s">
        <v>71</v>
      </c>
      <c r="H94" t="str">
        <f>IFERROR(INDEX(コンディションランク!$B$1:$B$6,MATCH($G94,コンディションランク!$A$1:$A$6,0)),"")</f>
        <v/>
      </c>
      <c r="N94" s="9" t="s">
        <v>3031</v>
      </c>
      <c r="R94" t="s">
        <v>165</v>
      </c>
      <c r="S94" s="32" t="str">
        <f t="shared" si="9"/>
        <v>◇</v>
      </c>
      <c r="Y94" t="str">
        <f t="shared" si="11"/>
        <v>底長：約cm　底甲幅：約cm　ヒール：約cm</v>
      </c>
      <c r="Z94" t="str">
        <f t="shared" si="12"/>
        <v>底長：約cm　底甲幅：約cm　ヒール：約cm</v>
      </c>
      <c r="AA94" t="str">
        <f t="shared" si="13"/>
        <v>/ソール</v>
      </c>
      <c r="AB94" s="81" t="s">
        <v>3021</v>
      </c>
      <c r="AD94" s="6"/>
    </row>
    <row r="95" spans="3:30" ht="14.25" customHeight="1">
      <c r="C95" t="str">
        <f t="shared" si="8"/>
        <v>◇ サイズ E</v>
      </c>
      <c r="D95">
        <f t="shared" si="10"/>
        <v>5.5</v>
      </c>
      <c r="E95" t="s">
        <v>71</v>
      </c>
      <c r="H95" t="str">
        <f>IFERROR(INDEX(コンディションランク!$B$1:$B$6,MATCH($G95,コンディションランク!$A$1:$A$6,0)),"")</f>
        <v/>
      </c>
      <c r="N95" s="9" t="s">
        <v>3031</v>
      </c>
      <c r="R95" t="s">
        <v>165</v>
      </c>
      <c r="S95" s="32" t="str">
        <f t="shared" si="9"/>
        <v>◇</v>
      </c>
      <c r="Y95" t="str">
        <f t="shared" si="11"/>
        <v>底長：約cm　底甲幅：約cm　ヒール：約cm</v>
      </c>
      <c r="Z95" t="str">
        <f t="shared" si="12"/>
        <v>底長：約cm　底甲幅：約cm　ヒール：約cm</v>
      </c>
      <c r="AA95" t="str">
        <f t="shared" si="13"/>
        <v>/ソール</v>
      </c>
      <c r="AB95" s="81" t="s">
        <v>3021</v>
      </c>
      <c r="AD95" s="6"/>
    </row>
    <row r="96" spans="3:30" ht="14.25" customHeight="1">
      <c r="C96" t="str">
        <f t="shared" si="8"/>
        <v>◇ サイズ E</v>
      </c>
      <c r="D96">
        <f t="shared" si="10"/>
        <v>5.5</v>
      </c>
      <c r="E96" t="s">
        <v>71</v>
      </c>
      <c r="H96" t="str">
        <f>IFERROR(INDEX(コンディションランク!$B$1:$B$6,MATCH($G96,コンディションランク!$A$1:$A$6,0)),"")</f>
        <v/>
      </c>
      <c r="N96" s="9" t="s">
        <v>3031</v>
      </c>
      <c r="R96" t="s">
        <v>165</v>
      </c>
      <c r="S96" s="32" t="str">
        <f t="shared" si="9"/>
        <v>◇</v>
      </c>
      <c r="Y96" t="str">
        <f t="shared" si="11"/>
        <v>底長：約cm　底甲幅：約cm　ヒール：約cm</v>
      </c>
      <c r="Z96" t="str">
        <f t="shared" si="12"/>
        <v>底長：約cm　底甲幅：約cm　ヒール：約cm</v>
      </c>
      <c r="AA96" t="str">
        <f t="shared" si="13"/>
        <v>/ソール</v>
      </c>
      <c r="AB96" s="81" t="s">
        <v>3021</v>
      </c>
      <c r="AD96" s="6"/>
    </row>
    <row r="97" spans="1:30" ht="14.25" customHeight="1">
      <c r="C97" t="str">
        <f t="shared" si="8"/>
        <v>◇ サイズ E</v>
      </c>
      <c r="D97">
        <f t="shared" si="10"/>
        <v>5.5</v>
      </c>
      <c r="E97" t="s">
        <v>71</v>
      </c>
      <c r="H97" t="str">
        <f>IFERROR(INDEX(コンディションランク!$B$1:$B$6,MATCH($G97,コンディションランク!$A$1:$A$6,0)),"")</f>
        <v/>
      </c>
      <c r="N97" s="9" t="s">
        <v>3031</v>
      </c>
      <c r="R97" t="s">
        <v>165</v>
      </c>
      <c r="S97" s="32" t="str">
        <f t="shared" si="9"/>
        <v>◇</v>
      </c>
      <c r="Y97" t="str">
        <f t="shared" si="11"/>
        <v>底長：約cm　底甲幅：約cm　ヒール：約cm</v>
      </c>
      <c r="Z97" t="str">
        <f t="shared" si="12"/>
        <v>底長：約cm　底甲幅：約cm　ヒール：約cm</v>
      </c>
      <c r="AA97" t="str">
        <f t="shared" si="13"/>
        <v>/ソール</v>
      </c>
      <c r="AB97" s="81" t="s">
        <v>3021</v>
      </c>
      <c r="AD97" s="6"/>
    </row>
    <row r="98" spans="1:30" ht="14.25" customHeight="1">
      <c r="C98" t="str">
        <f t="shared" ref="C98:C101" si="14">TRIM(S98&amp;" "&amp;T98&amp;" "&amp;U98&amp;" "&amp;V98&amp;" "&amp;W98&amp;" "&amp;N98&amp;" "&amp;M98&amp;" "&amp;X98&amp;EX&amp;" "&amp;B98)</f>
        <v>◇ サイズ E</v>
      </c>
      <c r="D98">
        <f t="shared" si="10"/>
        <v>5.5</v>
      </c>
      <c r="E98" t="s">
        <v>71</v>
      </c>
      <c r="H98" t="str">
        <f>IFERROR(INDEX(コンディションランク!$B$1:$B$6,MATCH($G98,コンディションランク!$A$1:$A$6,0)),"")</f>
        <v/>
      </c>
      <c r="N98" s="9" t="s">
        <v>3031</v>
      </c>
      <c r="R98" t="s">
        <v>165</v>
      </c>
      <c r="S98" s="32" t="str">
        <f t="shared" ref="S98:S101" si="15">IFERROR(VLOOKUP(R98,梱包サイズ表,2,0),"")</f>
        <v>◇</v>
      </c>
      <c r="Y98" t="str">
        <f t="shared" si="11"/>
        <v>底長：約cm　底甲幅：約cm　ヒール：約cm</v>
      </c>
      <c r="Z98" t="str">
        <f t="shared" si="12"/>
        <v>底長：約cm　底甲幅：約cm　ヒール：約cm</v>
      </c>
      <c r="AA98" t="str">
        <f t="shared" si="13"/>
        <v>/ソール</v>
      </c>
      <c r="AB98" s="81" t="s">
        <v>3021</v>
      </c>
      <c r="AD98" s="6"/>
    </row>
    <row r="99" spans="1:30" ht="14.25" customHeight="1">
      <c r="C99" t="str">
        <f t="shared" si="14"/>
        <v>◇ サイズ E</v>
      </c>
      <c r="D99">
        <f t="shared" si="10"/>
        <v>5.5</v>
      </c>
      <c r="E99" t="s">
        <v>71</v>
      </c>
      <c r="H99" t="str">
        <f>IFERROR(INDEX(コンディションランク!$B$1:$B$6,MATCH($G99,コンディションランク!$A$1:$A$6,0)),"")</f>
        <v/>
      </c>
      <c r="N99" s="9" t="s">
        <v>3031</v>
      </c>
      <c r="R99" t="s">
        <v>165</v>
      </c>
      <c r="S99" s="32" t="str">
        <f t="shared" si="15"/>
        <v>◇</v>
      </c>
      <c r="Y99" t="str">
        <f t="shared" si="11"/>
        <v>底長：約cm　底甲幅：約cm　ヒール：約cm</v>
      </c>
      <c r="Z99" t="str">
        <f t="shared" si="12"/>
        <v>底長：約cm　底甲幅：約cm　ヒール：約cm</v>
      </c>
      <c r="AA99" t="str">
        <f t="shared" si="13"/>
        <v>/ソール</v>
      </c>
      <c r="AB99" s="81" t="s">
        <v>3021</v>
      </c>
      <c r="AD99" s="6"/>
    </row>
    <row r="100" spans="1:30" ht="14.25" customHeight="1">
      <c r="C100" t="str">
        <f t="shared" si="14"/>
        <v>◇ サイズ E</v>
      </c>
      <c r="D100">
        <f t="shared" si="10"/>
        <v>5.5</v>
      </c>
      <c r="E100" t="s">
        <v>71</v>
      </c>
      <c r="H100" t="str">
        <f>IFERROR(INDEX(コンディションランク!$B$1:$B$6,MATCH($G100,コンディションランク!$A$1:$A$6,0)),"")</f>
        <v/>
      </c>
      <c r="N100" s="9" t="s">
        <v>3031</v>
      </c>
      <c r="R100" t="s">
        <v>165</v>
      </c>
      <c r="S100" s="32" t="str">
        <f t="shared" si="15"/>
        <v>◇</v>
      </c>
      <c r="Y100" t="str">
        <f t="shared" si="11"/>
        <v>底長：約cm　底甲幅：約cm　ヒール：約cm</v>
      </c>
      <c r="Z100" t="str">
        <f t="shared" si="12"/>
        <v>底長：約cm　底甲幅：約cm　ヒール：約cm</v>
      </c>
      <c r="AA100" t="str">
        <f t="shared" si="13"/>
        <v>/ソール</v>
      </c>
      <c r="AB100" s="81" t="s">
        <v>3021</v>
      </c>
      <c r="AD100" s="6"/>
    </row>
    <row r="101" spans="1:30" ht="14.25" customHeight="1">
      <c r="C101" t="str">
        <f t="shared" si="14"/>
        <v>◇ サイズ E</v>
      </c>
      <c r="D101">
        <f t="shared" si="10"/>
        <v>5.5</v>
      </c>
      <c r="E101" t="s">
        <v>71</v>
      </c>
      <c r="H101" t="str">
        <f>IFERROR(INDEX(コンディションランク!$B$1:$B$6,MATCH($G101,コンディションランク!$A$1:$A$6,0)),"")</f>
        <v/>
      </c>
      <c r="N101" s="9" t="s">
        <v>3031</v>
      </c>
      <c r="R101" t="s">
        <v>165</v>
      </c>
      <c r="S101" s="32" t="str">
        <f t="shared" si="15"/>
        <v>◇</v>
      </c>
      <c r="Y101" t="str">
        <f t="shared" si="11"/>
        <v>底長：約cm　底甲幅：約cm　ヒール：約cm</v>
      </c>
      <c r="Z101" t="str">
        <f t="shared" si="12"/>
        <v>底長：約cm　底甲幅：約cm　ヒール：約cm</v>
      </c>
      <c r="AA101" t="str">
        <f t="shared" si="13"/>
        <v>/ソール</v>
      </c>
      <c r="AB101" s="81" t="s">
        <v>3021</v>
      </c>
      <c r="AD101" s="6"/>
    </row>
    <row r="102" spans="1:30">
      <c r="A102" s="79"/>
      <c r="B102" s="13"/>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row>
    <row r="150" spans="2:14">
      <c r="B150"/>
      <c r="N150"/>
    </row>
    <row r="151" spans="2:14">
      <c r="B151"/>
      <c r="N151"/>
    </row>
    <row r="152" spans="2:14">
      <c r="B152"/>
      <c r="N152"/>
    </row>
    <row r="1048576" spans="29:30">
      <c r="AC1048576" t="s">
        <v>161</v>
      </c>
      <c r="AD1048576" s="82">
        <v>42975</v>
      </c>
    </row>
  </sheetData>
  <phoneticPr fontId="4"/>
  <conditionalFormatting sqref="D2:D101">
    <cfRule type="cellIs" dxfId="20" priority="2" operator="greaterThanOrEqual">
      <formula>65</formula>
    </cfRule>
  </conditionalFormatting>
  <conditionalFormatting sqref="B2:B101">
    <cfRule type="duplicateValues" dxfId="19" priority="1"/>
  </conditionalFormatting>
  <dataValidations count="2">
    <dataValidation imeMode="off" allowBlank="1" showInputMessage="1" showErrorMessage="1" sqref="O1:Q1048576 B1:B1048576" xr:uid="{A2FF7385-FD68-477D-9D38-7193FE94CA81}"/>
    <dataValidation type="list" allowBlank="1" showInputMessage="1" showErrorMessage="1" sqref="R2:R101" xr:uid="{9F810D99-D7C2-4A56-A3B9-5C1242CDEFA7}">
      <formula1>梱包</formula1>
    </dataValidation>
  </dataValidation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D40C3323-4159-4754-BEE1-2FD9D306228F}">
          <x14:formula1>
            <xm:f>コンディションランク!$A$1:$A$6</xm:f>
          </x14:formula1>
          <xm:sqref>G2:G101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AI1048576"/>
  <sheetViews>
    <sheetView zoomScale="85" zoomScaleNormal="85" workbookViewId="0">
      <pane ySplit="1" topLeftCell="A2" activePane="bottomLeft" state="frozen"/>
      <selection activeCell="B2" sqref="B2"/>
      <selection pane="bottomLeft" activeCell="B2" sqref="B2"/>
    </sheetView>
  </sheetViews>
  <sheetFormatPr defaultRowHeight="13.5"/>
  <cols>
    <col min="1" max="1" width="14" style="9" customWidth="1"/>
    <col min="2" max="2" width="16.25" style="14" customWidth="1"/>
    <col min="3" max="3" width="80.625" customWidth="1"/>
    <col min="4" max="4" width="5.625" customWidth="1"/>
    <col min="6" max="6" width="9" hidden="1" customWidth="1"/>
    <col min="7" max="7" width="3.625" customWidth="1"/>
    <col min="8" max="8" width="9" customWidth="1"/>
    <col min="9" max="9" width="9" hidden="1" customWidth="1"/>
    <col min="10" max="10" width="26" customWidth="1"/>
    <col min="11" max="11" width="24.25" customWidth="1"/>
    <col min="12" max="12" width="16.75" customWidth="1"/>
    <col min="13" max="13" width="29.25" customWidth="1"/>
    <col min="14" max="14" width="20.875" customWidth="1"/>
    <col min="19" max="19" width="13.375" customWidth="1"/>
    <col min="20" max="21" width="11.75" customWidth="1"/>
    <col min="22" max="22" width="8.25" customWidth="1"/>
    <col min="23" max="23" width="58.5" customWidth="1"/>
    <col min="24" max="24" width="38" customWidth="1"/>
    <col min="25" max="25" width="19.375" customWidth="1"/>
    <col min="26" max="26" width="53.375" customWidth="1"/>
    <col min="28" max="28" width="66.625" bestFit="1" customWidth="1"/>
    <col min="29" max="29" width="71.875" hidden="1" customWidth="1"/>
    <col min="30" max="30" width="21.75" customWidth="1"/>
    <col min="31" max="31" width="14" customWidth="1"/>
    <col min="32" max="32" width="13.875" hidden="1" customWidth="1"/>
    <col min="33" max="33" width="7.75" hidden="1" customWidth="1"/>
    <col min="34" max="34" width="0" hidden="1" customWidth="1"/>
  </cols>
  <sheetData>
    <row r="1" spans="1:35" s="32" customFormat="1">
      <c r="A1" s="37" t="s">
        <v>2641</v>
      </c>
      <c r="B1" s="38" t="s">
        <v>0</v>
      </c>
      <c r="C1" s="8" t="s">
        <v>1</v>
      </c>
      <c r="D1" s="27" t="s">
        <v>145</v>
      </c>
      <c r="E1" s="18" t="s">
        <v>2</v>
      </c>
      <c r="F1" s="19" t="s">
        <v>3</v>
      </c>
      <c r="G1" s="17" t="s">
        <v>4</v>
      </c>
      <c r="H1" s="19" t="s">
        <v>5</v>
      </c>
      <c r="I1" s="19" t="s">
        <v>6</v>
      </c>
      <c r="J1" s="19" t="s">
        <v>59</v>
      </c>
      <c r="K1" s="19" t="s">
        <v>62</v>
      </c>
      <c r="L1" s="19" t="s">
        <v>79</v>
      </c>
      <c r="M1" s="19" t="s">
        <v>8</v>
      </c>
      <c r="N1" s="18" t="s">
        <v>9</v>
      </c>
      <c r="O1" s="21" t="s">
        <v>56</v>
      </c>
      <c r="P1" s="21" t="s">
        <v>57</v>
      </c>
      <c r="Q1" s="21" t="s">
        <v>58</v>
      </c>
      <c r="R1" s="21" t="s">
        <v>61</v>
      </c>
      <c r="S1" s="21" t="s">
        <v>60</v>
      </c>
      <c r="T1" s="21" t="s">
        <v>164</v>
      </c>
      <c r="U1" s="21" t="s">
        <v>3054</v>
      </c>
      <c r="V1" s="17" t="s">
        <v>88</v>
      </c>
      <c r="W1" s="17" t="s">
        <v>84</v>
      </c>
      <c r="X1" s="17" t="s">
        <v>85</v>
      </c>
      <c r="Y1" s="17" t="s">
        <v>95</v>
      </c>
      <c r="Z1" s="17" t="s">
        <v>87</v>
      </c>
      <c r="AA1" s="17" t="s">
        <v>86</v>
      </c>
      <c r="AB1" s="1" t="s">
        <v>3022</v>
      </c>
      <c r="AC1" s="1" t="s">
        <v>3024</v>
      </c>
      <c r="AD1" s="5" t="s">
        <v>7</v>
      </c>
      <c r="AE1" s="66" t="s">
        <v>98</v>
      </c>
      <c r="AF1" s="16" t="s">
        <v>107</v>
      </c>
      <c r="AG1" s="17" t="s">
        <v>151</v>
      </c>
      <c r="AH1" s="17" t="s">
        <v>108</v>
      </c>
      <c r="AI1" s="17" t="s">
        <v>109</v>
      </c>
    </row>
    <row r="2" spans="1:35" ht="14.25" customHeight="1">
      <c r="C2" t="str">
        <f t="shared" ref="C2:C33" si="0">TRIM(U2&amp;" "&amp;V2&amp;" "&amp;W2&amp;" "&amp;X2&amp;" "&amp;Y2&amp;" "&amp;Z2&amp;" "&amp;N2&amp;" "&amp;M2&amp;" "&amp;AA2&amp;EX&amp;" "&amp;B2)</f>
        <v>■ サイズ E</v>
      </c>
      <c r="D2">
        <f>(LENB(C2)-LEN(C2))+(LENB(C2)-(LENB(C2)-LEN(C2))*2)/2</f>
        <v>5.5</v>
      </c>
      <c r="E2" t="s">
        <v>71</v>
      </c>
      <c r="H2" t="str">
        <f>IFERROR(INDEX(コンディションランク!$B$1:$B$6,MATCH($G2,コンディションランク!$A$1:$A$6,0)),"")</f>
        <v/>
      </c>
      <c r="N2" s="9" t="s">
        <v>3031</v>
      </c>
      <c r="T2" t="s">
        <v>3011</v>
      </c>
      <c r="U2" s="32" t="str">
        <f t="shared" ref="U2:U33" si="1">IFERROR(VLOOKUP(T2,梱包サイズ表,2,0),"")</f>
        <v>■</v>
      </c>
      <c r="AB2" t="str">
        <f>"底長：約" &amp;O2&amp; "cm　底甲幅：約" &amp;P2&amp; "cm　ヒール：約" &amp;Q2&amp; "cm 高さ：約" &amp;R2&amp; "cm　足入れ口円周：約" &amp;S2&amp; "cm"</f>
        <v>底長：約cm　底甲幅：約cm　ヒール：約cm 高さ：約cm　足入れ口円周：約cm</v>
      </c>
      <c r="AC2" t="str">
        <f>SUBSTITUTE( AB2, "約-", "-" )</f>
        <v>底長：約cm　底甲幅：約cm　ヒール：約cm 高さ：約cm　足入れ口円周：約cm</v>
      </c>
      <c r="AD2" t="str">
        <f>J2&amp;"/"&amp;K2&amp;"ソール"&amp;L2</f>
        <v>/ソール</v>
      </c>
      <c r="AE2" s="81" t="s">
        <v>3021</v>
      </c>
      <c r="AG2" s="6"/>
    </row>
    <row r="3" spans="1:35" ht="14.25" customHeight="1">
      <c r="C3" t="str">
        <f t="shared" si="0"/>
        <v>■ サイズ E</v>
      </c>
      <c r="D3">
        <f t="shared" ref="D3:D51" si="2">(LENB(C3)-LEN(C3))+(LENB(C3)-(LENB(C3)-LEN(C3))*2)/2</f>
        <v>5.5</v>
      </c>
      <c r="E3" t="s">
        <v>71</v>
      </c>
      <c r="H3" t="str">
        <f>IFERROR(INDEX(コンディションランク!$B$1:$B$6,MATCH($G3,コンディションランク!$A$1:$A$6,0)),"")</f>
        <v/>
      </c>
      <c r="N3" s="9" t="s">
        <v>3031</v>
      </c>
      <c r="T3" t="s">
        <v>3011</v>
      </c>
      <c r="U3" s="32" t="str">
        <f t="shared" si="1"/>
        <v>■</v>
      </c>
      <c r="AB3" t="str">
        <f t="shared" ref="AB3:AB51" si="3">"底長：約" &amp;O3&amp; "cm　底甲幅：約" &amp;P3&amp; "cm　ヒール：約" &amp;Q3&amp; "cm 高さ：約" &amp;R3&amp; "cm　足入れ口円周：約" &amp;S3&amp; "cm"</f>
        <v>底長：約cm　底甲幅：約cm　ヒール：約cm 高さ：約cm　足入れ口円周：約cm</v>
      </c>
      <c r="AC3" t="str">
        <f t="shared" ref="AC3:AC51" si="4">SUBSTITUTE( AB3, "約-", "-" )</f>
        <v>底長：約cm　底甲幅：約cm　ヒール：約cm 高さ：約cm　足入れ口円周：約cm</v>
      </c>
      <c r="AD3" t="str">
        <f t="shared" ref="AD3:AD51" si="5">J3&amp;"/"&amp;K3&amp;"ソール"&amp;L3</f>
        <v>/ソール</v>
      </c>
      <c r="AE3" s="81" t="s">
        <v>3021</v>
      </c>
      <c r="AG3" s="6"/>
    </row>
    <row r="4" spans="1:35" ht="14.25" customHeight="1">
      <c r="C4" t="str">
        <f t="shared" si="0"/>
        <v>■ サイズ E</v>
      </c>
      <c r="D4">
        <f t="shared" si="2"/>
        <v>5.5</v>
      </c>
      <c r="E4" t="s">
        <v>71</v>
      </c>
      <c r="H4" t="str">
        <f>IFERROR(INDEX(コンディションランク!$B$1:$B$6,MATCH($G4,コンディションランク!$A$1:$A$6,0)),"")</f>
        <v/>
      </c>
      <c r="N4" s="9" t="s">
        <v>3031</v>
      </c>
      <c r="T4" t="s">
        <v>3011</v>
      </c>
      <c r="U4" s="32" t="str">
        <f t="shared" si="1"/>
        <v>■</v>
      </c>
      <c r="AB4" t="str">
        <f t="shared" si="3"/>
        <v>底長：約cm　底甲幅：約cm　ヒール：約cm 高さ：約cm　足入れ口円周：約cm</v>
      </c>
      <c r="AC4" t="str">
        <f t="shared" si="4"/>
        <v>底長：約cm　底甲幅：約cm　ヒール：約cm 高さ：約cm　足入れ口円周：約cm</v>
      </c>
      <c r="AD4" t="str">
        <f t="shared" si="5"/>
        <v>/ソール</v>
      </c>
      <c r="AE4" s="81" t="s">
        <v>3021</v>
      </c>
      <c r="AG4" s="6"/>
    </row>
    <row r="5" spans="1:35" ht="14.25" customHeight="1">
      <c r="C5" t="str">
        <f t="shared" si="0"/>
        <v>■ サイズ E</v>
      </c>
      <c r="D5">
        <f t="shared" si="2"/>
        <v>5.5</v>
      </c>
      <c r="E5" t="s">
        <v>74</v>
      </c>
      <c r="H5" t="str">
        <f>IFERROR(INDEX(コンディションランク!$B$1:$B$6,MATCH($G5,コンディションランク!$A$1:$A$6,0)),"")</f>
        <v/>
      </c>
      <c r="N5" s="9" t="s">
        <v>3031</v>
      </c>
      <c r="T5" t="s">
        <v>3011</v>
      </c>
      <c r="U5" s="32" t="str">
        <f t="shared" si="1"/>
        <v>■</v>
      </c>
      <c r="AB5" t="str">
        <f t="shared" si="3"/>
        <v>底長：約cm　底甲幅：約cm　ヒール：約cm 高さ：約cm　足入れ口円周：約cm</v>
      </c>
      <c r="AC5" t="str">
        <f t="shared" si="4"/>
        <v>底長：約cm　底甲幅：約cm　ヒール：約cm 高さ：約cm　足入れ口円周：約cm</v>
      </c>
      <c r="AD5" t="str">
        <f t="shared" si="5"/>
        <v>/ソール</v>
      </c>
      <c r="AE5" s="81" t="s">
        <v>3021</v>
      </c>
      <c r="AG5" s="6"/>
    </row>
    <row r="6" spans="1:35" ht="14.25" customHeight="1">
      <c r="C6" t="str">
        <f t="shared" si="0"/>
        <v>■ サイズ E</v>
      </c>
      <c r="D6">
        <f t="shared" si="2"/>
        <v>5.5</v>
      </c>
      <c r="E6" t="s">
        <v>74</v>
      </c>
      <c r="H6" t="str">
        <f>IFERROR(INDEX(コンディションランク!$B$1:$B$6,MATCH($G6,コンディションランク!$A$1:$A$6,0)),"")</f>
        <v/>
      </c>
      <c r="N6" s="9" t="s">
        <v>3031</v>
      </c>
      <c r="T6" t="s">
        <v>3011</v>
      </c>
      <c r="U6" s="32" t="str">
        <f t="shared" si="1"/>
        <v>■</v>
      </c>
      <c r="AB6" t="str">
        <f t="shared" si="3"/>
        <v>底長：約cm　底甲幅：約cm　ヒール：約cm 高さ：約cm　足入れ口円周：約cm</v>
      </c>
      <c r="AC6" t="str">
        <f t="shared" si="4"/>
        <v>底長：約cm　底甲幅：約cm　ヒール：約cm 高さ：約cm　足入れ口円周：約cm</v>
      </c>
      <c r="AD6" t="str">
        <f t="shared" si="5"/>
        <v>/ソール</v>
      </c>
      <c r="AE6" s="81" t="s">
        <v>3021</v>
      </c>
      <c r="AG6" s="6"/>
    </row>
    <row r="7" spans="1:35" ht="14.25" customHeight="1">
      <c r="C7" t="str">
        <f t="shared" si="0"/>
        <v>■ サイズ E</v>
      </c>
      <c r="D7">
        <f t="shared" si="2"/>
        <v>5.5</v>
      </c>
      <c r="E7" t="s">
        <v>71</v>
      </c>
      <c r="H7" t="str">
        <f>IFERROR(INDEX(コンディションランク!$B$1:$B$6,MATCH($G7,コンディションランク!$A$1:$A$6,0)),"")</f>
        <v/>
      </c>
      <c r="N7" s="9" t="s">
        <v>3031</v>
      </c>
      <c r="T7" t="s">
        <v>3011</v>
      </c>
      <c r="U7" s="32" t="str">
        <f t="shared" si="1"/>
        <v>■</v>
      </c>
      <c r="AB7" t="str">
        <f t="shared" si="3"/>
        <v>底長：約cm　底甲幅：約cm　ヒール：約cm 高さ：約cm　足入れ口円周：約cm</v>
      </c>
      <c r="AC7" t="str">
        <f t="shared" si="4"/>
        <v>底長：約cm　底甲幅：約cm　ヒール：約cm 高さ：約cm　足入れ口円周：約cm</v>
      </c>
      <c r="AD7" t="str">
        <f t="shared" si="5"/>
        <v>/ソール</v>
      </c>
      <c r="AE7" s="81" t="s">
        <v>3021</v>
      </c>
      <c r="AG7" s="6"/>
    </row>
    <row r="8" spans="1:35" ht="14.25" customHeight="1">
      <c r="C8" t="str">
        <f t="shared" si="0"/>
        <v>■ サイズ E</v>
      </c>
      <c r="D8">
        <f t="shared" si="2"/>
        <v>5.5</v>
      </c>
      <c r="E8" t="s">
        <v>71</v>
      </c>
      <c r="H8" t="str">
        <f>IFERROR(INDEX(コンディションランク!$B$1:$B$6,MATCH($G8,コンディションランク!$A$1:$A$6,0)),"")</f>
        <v/>
      </c>
      <c r="N8" s="9" t="s">
        <v>3031</v>
      </c>
      <c r="T8" t="s">
        <v>3011</v>
      </c>
      <c r="U8" s="32" t="str">
        <f t="shared" si="1"/>
        <v>■</v>
      </c>
      <c r="AB8" t="str">
        <f t="shared" si="3"/>
        <v>底長：約cm　底甲幅：約cm　ヒール：約cm 高さ：約cm　足入れ口円周：約cm</v>
      </c>
      <c r="AC8" t="str">
        <f t="shared" si="4"/>
        <v>底長：約cm　底甲幅：約cm　ヒール：約cm 高さ：約cm　足入れ口円周：約cm</v>
      </c>
      <c r="AD8" t="str">
        <f t="shared" si="5"/>
        <v>/ソール</v>
      </c>
      <c r="AE8" s="81" t="s">
        <v>3021</v>
      </c>
      <c r="AG8" s="6"/>
    </row>
    <row r="9" spans="1:35" ht="14.25" customHeight="1">
      <c r="C9" t="str">
        <f t="shared" si="0"/>
        <v>■ サイズ E</v>
      </c>
      <c r="D9">
        <f t="shared" si="2"/>
        <v>5.5</v>
      </c>
      <c r="E9" t="s">
        <v>71</v>
      </c>
      <c r="H9" t="str">
        <f>IFERROR(INDEX(コンディションランク!$B$1:$B$6,MATCH($G9,コンディションランク!$A$1:$A$6,0)),"")</f>
        <v/>
      </c>
      <c r="N9" s="9" t="s">
        <v>3031</v>
      </c>
      <c r="T9" t="s">
        <v>3011</v>
      </c>
      <c r="U9" s="32" t="str">
        <f t="shared" si="1"/>
        <v>■</v>
      </c>
      <c r="AB9" t="str">
        <f t="shared" si="3"/>
        <v>底長：約cm　底甲幅：約cm　ヒール：約cm 高さ：約cm　足入れ口円周：約cm</v>
      </c>
      <c r="AC9" t="str">
        <f t="shared" si="4"/>
        <v>底長：約cm　底甲幅：約cm　ヒール：約cm 高さ：約cm　足入れ口円周：約cm</v>
      </c>
      <c r="AD9" t="str">
        <f t="shared" si="5"/>
        <v>/ソール</v>
      </c>
      <c r="AE9" s="81" t="s">
        <v>3021</v>
      </c>
      <c r="AG9" s="6"/>
    </row>
    <row r="10" spans="1:35" ht="14.25" customHeight="1">
      <c r="C10" t="str">
        <f t="shared" si="0"/>
        <v>■ サイズ E</v>
      </c>
      <c r="D10">
        <f t="shared" si="2"/>
        <v>5.5</v>
      </c>
      <c r="E10" t="s">
        <v>71</v>
      </c>
      <c r="H10" t="str">
        <f>IFERROR(INDEX(コンディションランク!$B$1:$B$6,MATCH($G10,コンディションランク!$A$1:$A$6,0)),"")</f>
        <v/>
      </c>
      <c r="N10" s="9" t="s">
        <v>3031</v>
      </c>
      <c r="T10" t="s">
        <v>3011</v>
      </c>
      <c r="U10" s="32" t="str">
        <f t="shared" si="1"/>
        <v>■</v>
      </c>
      <c r="AB10" t="str">
        <f t="shared" si="3"/>
        <v>底長：約cm　底甲幅：約cm　ヒール：約cm 高さ：約cm　足入れ口円周：約cm</v>
      </c>
      <c r="AC10" t="str">
        <f t="shared" si="4"/>
        <v>底長：約cm　底甲幅：約cm　ヒール：約cm 高さ：約cm　足入れ口円周：約cm</v>
      </c>
      <c r="AD10" t="str">
        <f t="shared" si="5"/>
        <v>/ソール</v>
      </c>
      <c r="AE10" s="81" t="s">
        <v>3021</v>
      </c>
      <c r="AG10" s="6"/>
    </row>
    <row r="11" spans="1:35" ht="14.25" customHeight="1">
      <c r="C11" t="str">
        <f t="shared" si="0"/>
        <v>■ サイズ E</v>
      </c>
      <c r="D11">
        <f t="shared" si="2"/>
        <v>5.5</v>
      </c>
      <c r="E11" t="s">
        <v>71</v>
      </c>
      <c r="H11" t="str">
        <f>IFERROR(INDEX(コンディションランク!$B$1:$B$6,MATCH($G11,コンディションランク!$A$1:$A$6,0)),"")</f>
        <v/>
      </c>
      <c r="N11" s="9" t="s">
        <v>3031</v>
      </c>
      <c r="T11" t="s">
        <v>3011</v>
      </c>
      <c r="U11" s="32" t="str">
        <f t="shared" si="1"/>
        <v>■</v>
      </c>
      <c r="AB11" t="str">
        <f t="shared" si="3"/>
        <v>底長：約cm　底甲幅：約cm　ヒール：約cm 高さ：約cm　足入れ口円周：約cm</v>
      </c>
      <c r="AC11" t="str">
        <f t="shared" si="4"/>
        <v>底長：約cm　底甲幅：約cm　ヒール：約cm 高さ：約cm　足入れ口円周：約cm</v>
      </c>
      <c r="AD11" t="str">
        <f t="shared" si="5"/>
        <v>/ソール</v>
      </c>
      <c r="AE11" s="81" t="s">
        <v>3021</v>
      </c>
      <c r="AG11" s="6"/>
    </row>
    <row r="12" spans="1:35" ht="14.25" customHeight="1">
      <c r="C12" t="str">
        <f t="shared" si="0"/>
        <v>■ サイズ E</v>
      </c>
      <c r="D12">
        <f t="shared" si="2"/>
        <v>5.5</v>
      </c>
      <c r="E12" t="s">
        <v>71</v>
      </c>
      <c r="H12" t="str">
        <f>IFERROR(INDEX(コンディションランク!$B$1:$B$6,MATCH($G12,コンディションランク!$A$1:$A$6,0)),"")</f>
        <v/>
      </c>
      <c r="N12" s="9" t="s">
        <v>3031</v>
      </c>
      <c r="T12" t="s">
        <v>3011</v>
      </c>
      <c r="U12" s="32" t="str">
        <f t="shared" si="1"/>
        <v>■</v>
      </c>
      <c r="AB12" t="str">
        <f t="shared" si="3"/>
        <v>底長：約cm　底甲幅：約cm　ヒール：約cm 高さ：約cm　足入れ口円周：約cm</v>
      </c>
      <c r="AC12" t="str">
        <f t="shared" si="4"/>
        <v>底長：約cm　底甲幅：約cm　ヒール：約cm 高さ：約cm　足入れ口円周：約cm</v>
      </c>
      <c r="AD12" t="str">
        <f t="shared" si="5"/>
        <v>/ソール</v>
      </c>
      <c r="AE12" s="81" t="s">
        <v>3021</v>
      </c>
      <c r="AG12" s="6"/>
    </row>
    <row r="13" spans="1:35" ht="14.25" customHeight="1">
      <c r="C13" t="str">
        <f t="shared" si="0"/>
        <v>■ サイズ E</v>
      </c>
      <c r="D13">
        <f t="shared" si="2"/>
        <v>5.5</v>
      </c>
      <c r="E13" t="s">
        <v>71</v>
      </c>
      <c r="H13" t="str">
        <f>IFERROR(INDEX(コンディションランク!$B$1:$B$6,MATCH($G13,コンディションランク!$A$1:$A$6,0)),"")</f>
        <v/>
      </c>
      <c r="N13" s="9" t="s">
        <v>3031</v>
      </c>
      <c r="T13" t="s">
        <v>3011</v>
      </c>
      <c r="U13" s="32" t="str">
        <f t="shared" si="1"/>
        <v>■</v>
      </c>
      <c r="AB13" t="str">
        <f t="shared" si="3"/>
        <v>底長：約cm　底甲幅：約cm　ヒール：約cm 高さ：約cm　足入れ口円周：約cm</v>
      </c>
      <c r="AC13" t="str">
        <f t="shared" si="4"/>
        <v>底長：約cm　底甲幅：約cm　ヒール：約cm 高さ：約cm　足入れ口円周：約cm</v>
      </c>
      <c r="AD13" t="str">
        <f t="shared" si="5"/>
        <v>/ソール</v>
      </c>
      <c r="AE13" s="81" t="s">
        <v>3021</v>
      </c>
      <c r="AG13" s="6"/>
    </row>
    <row r="14" spans="1:35" ht="14.25" customHeight="1">
      <c r="C14" t="str">
        <f t="shared" si="0"/>
        <v>■ サイズ E</v>
      </c>
      <c r="D14">
        <f t="shared" si="2"/>
        <v>5.5</v>
      </c>
      <c r="E14" t="s">
        <v>71</v>
      </c>
      <c r="H14" t="str">
        <f>IFERROR(INDEX(コンディションランク!$B$1:$B$6,MATCH($G14,コンディションランク!$A$1:$A$6,0)),"")</f>
        <v/>
      </c>
      <c r="N14" s="9" t="s">
        <v>3031</v>
      </c>
      <c r="T14" t="s">
        <v>3011</v>
      </c>
      <c r="U14" s="32" t="str">
        <f t="shared" si="1"/>
        <v>■</v>
      </c>
      <c r="AB14" t="str">
        <f t="shared" si="3"/>
        <v>底長：約cm　底甲幅：約cm　ヒール：約cm 高さ：約cm　足入れ口円周：約cm</v>
      </c>
      <c r="AC14" t="str">
        <f t="shared" si="4"/>
        <v>底長：約cm　底甲幅：約cm　ヒール：約cm 高さ：約cm　足入れ口円周：約cm</v>
      </c>
      <c r="AD14" t="str">
        <f t="shared" si="5"/>
        <v>/ソール</v>
      </c>
      <c r="AE14" s="81" t="s">
        <v>3021</v>
      </c>
      <c r="AG14" s="6"/>
    </row>
    <row r="15" spans="1:35" ht="14.25" customHeight="1">
      <c r="C15" t="str">
        <f t="shared" si="0"/>
        <v>■ サイズ E</v>
      </c>
      <c r="D15">
        <f t="shared" si="2"/>
        <v>5.5</v>
      </c>
      <c r="E15" t="s">
        <v>71</v>
      </c>
      <c r="H15" t="str">
        <f>IFERROR(INDEX(コンディションランク!$B$1:$B$6,MATCH($G15,コンディションランク!$A$1:$A$6,0)),"")</f>
        <v/>
      </c>
      <c r="N15" s="9" t="s">
        <v>3031</v>
      </c>
      <c r="T15" t="s">
        <v>3011</v>
      </c>
      <c r="U15" s="32" t="str">
        <f t="shared" si="1"/>
        <v>■</v>
      </c>
      <c r="AB15" t="str">
        <f t="shared" si="3"/>
        <v>底長：約cm　底甲幅：約cm　ヒール：約cm 高さ：約cm　足入れ口円周：約cm</v>
      </c>
      <c r="AC15" t="str">
        <f t="shared" si="4"/>
        <v>底長：約cm　底甲幅：約cm　ヒール：約cm 高さ：約cm　足入れ口円周：約cm</v>
      </c>
      <c r="AD15" t="str">
        <f t="shared" si="5"/>
        <v>/ソール</v>
      </c>
      <c r="AE15" s="81" t="s">
        <v>3021</v>
      </c>
      <c r="AG15" s="6"/>
    </row>
    <row r="16" spans="1:35" ht="14.25" customHeight="1">
      <c r="C16" t="str">
        <f t="shared" si="0"/>
        <v>■ サイズ E</v>
      </c>
      <c r="D16">
        <f t="shared" si="2"/>
        <v>5.5</v>
      </c>
      <c r="E16" t="s">
        <v>71</v>
      </c>
      <c r="H16" t="str">
        <f>IFERROR(INDEX(コンディションランク!$B$1:$B$6,MATCH($G16,コンディションランク!$A$1:$A$6,0)),"")</f>
        <v/>
      </c>
      <c r="N16" s="9" t="s">
        <v>3031</v>
      </c>
      <c r="T16" t="s">
        <v>3011</v>
      </c>
      <c r="U16" s="32" t="str">
        <f t="shared" si="1"/>
        <v>■</v>
      </c>
      <c r="AB16" t="str">
        <f t="shared" si="3"/>
        <v>底長：約cm　底甲幅：約cm　ヒール：約cm 高さ：約cm　足入れ口円周：約cm</v>
      </c>
      <c r="AC16" t="str">
        <f t="shared" si="4"/>
        <v>底長：約cm　底甲幅：約cm　ヒール：約cm 高さ：約cm　足入れ口円周：約cm</v>
      </c>
      <c r="AD16" t="str">
        <f t="shared" si="5"/>
        <v>/ソール</v>
      </c>
      <c r="AE16" s="81" t="s">
        <v>3021</v>
      </c>
      <c r="AG16" s="6"/>
    </row>
    <row r="17" spans="3:33" ht="14.25" customHeight="1">
      <c r="C17" t="str">
        <f t="shared" si="0"/>
        <v>■ サイズ E</v>
      </c>
      <c r="D17">
        <f t="shared" si="2"/>
        <v>5.5</v>
      </c>
      <c r="E17" t="s">
        <v>71</v>
      </c>
      <c r="H17" t="str">
        <f>IFERROR(INDEX(コンディションランク!$B$1:$B$6,MATCH($G17,コンディションランク!$A$1:$A$6,0)),"")</f>
        <v/>
      </c>
      <c r="N17" s="9" t="s">
        <v>3031</v>
      </c>
      <c r="T17" t="s">
        <v>3011</v>
      </c>
      <c r="U17" s="32" t="str">
        <f t="shared" si="1"/>
        <v>■</v>
      </c>
      <c r="AB17" t="str">
        <f t="shared" si="3"/>
        <v>底長：約cm　底甲幅：約cm　ヒール：約cm 高さ：約cm　足入れ口円周：約cm</v>
      </c>
      <c r="AC17" t="str">
        <f t="shared" si="4"/>
        <v>底長：約cm　底甲幅：約cm　ヒール：約cm 高さ：約cm　足入れ口円周：約cm</v>
      </c>
      <c r="AD17" t="str">
        <f t="shared" si="5"/>
        <v>/ソール</v>
      </c>
      <c r="AE17" s="81" t="s">
        <v>3021</v>
      </c>
      <c r="AG17" s="6"/>
    </row>
    <row r="18" spans="3:33" ht="14.25" customHeight="1">
      <c r="C18" t="str">
        <f t="shared" si="0"/>
        <v>■ サイズ E</v>
      </c>
      <c r="D18">
        <f t="shared" si="2"/>
        <v>5.5</v>
      </c>
      <c r="E18" t="s">
        <v>71</v>
      </c>
      <c r="H18" t="str">
        <f>IFERROR(INDEX(コンディションランク!$B$1:$B$6,MATCH($G18,コンディションランク!$A$1:$A$6,0)),"")</f>
        <v/>
      </c>
      <c r="N18" s="9" t="s">
        <v>3031</v>
      </c>
      <c r="T18" t="s">
        <v>3011</v>
      </c>
      <c r="U18" s="32" t="str">
        <f t="shared" si="1"/>
        <v>■</v>
      </c>
      <c r="AB18" t="str">
        <f t="shared" si="3"/>
        <v>底長：約cm　底甲幅：約cm　ヒール：約cm 高さ：約cm　足入れ口円周：約cm</v>
      </c>
      <c r="AC18" t="str">
        <f t="shared" si="4"/>
        <v>底長：約cm　底甲幅：約cm　ヒール：約cm 高さ：約cm　足入れ口円周：約cm</v>
      </c>
      <c r="AD18" t="str">
        <f t="shared" si="5"/>
        <v>/ソール</v>
      </c>
      <c r="AE18" s="81" t="s">
        <v>3021</v>
      </c>
      <c r="AG18" s="6"/>
    </row>
    <row r="19" spans="3:33" ht="14.25" customHeight="1">
      <c r="C19" t="str">
        <f t="shared" si="0"/>
        <v>■ サイズ E</v>
      </c>
      <c r="D19">
        <f t="shared" si="2"/>
        <v>5.5</v>
      </c>
      <c r="E19" t="s">
        <v>71</v>
      </c>
      <c r="H19" t="str">
        <f>IFERROR(INDEX(コンディションランク!$B$1:$B$6,MATCH($G19,コンディションランク!$A$1:$A$6,0)),"")</f>
        <v/>
      </c>
      <c r="N19" s="9" t="s">
        <v>3031</v>
      </c>
      <c r="T19" t="s">
        <v>3011</v>
      </c>
      <c r="U19" s="32" t="str">
        <f t="shared" si="1"/>
        <v>■</v>
      </c>
      <c r="AB19" t="str">
        <f t="shared" si="3"/>
        <v>底長：約cm　底甲幅：約cm　ヒール：約cm 高さ：約cm　足入れ口円周：約cm</v>
      </c>
      <c r="AC19" t="str">
        <f t="shared" si="4"/>
        <v>底長：約cm　底甲幅：約cm　ヒール：約cm 高さ：約cm　足入れ口円周：約cm</v>
      </c>
      <c r="AD19" t="str">
        <f t="shared" si="5"/>
        <v>/ソール</v>
      </c>
      <c r="AE19" s="81" t="s">
        <v>3021</v>
      </c>
      <c r="AG19" s="6"/>
    </row>
    <row r="20" spans="3:33" ht="14.25" customHeight="1">
      <c r="C20" t="str">
        <f t="shared" si="0"/>
        <v>■ サイズ E</v>
      </c>
      <c r="D20">
        <f t="shared" si="2"/>
        <v>5.5</v>
      </c>
      <c r="E20" t="s">
        <v>71</v>
      </c>
      <c r="H20" t="str">
        <f>IFERROR(INDEX(コンディションランク!$B$1:$B$6,MATCH($G20,コンディションランク!$A$1:$A$6,0)),"")</f>
        <v/>
      </c>
      <c r="N20" s="9" t="s">
        <v>3031</v>
      </c>
      <c r="T20" t="s">
        <v>3011</v>
      </c>
      <c r="U20" s="32" t="str">
        <f t="shared" si="1"/>
        <v>■</v>
      </c>
      <c r="AB20" t="str">
        <f t="shared" si="3"/>
        <v>底長：約cm　底甲幅：約cm　ヒール：約cm 高さ：約cm　足入れ口円周：約cm</v>
      </c>
      <c r="AC20" t="str">
        <f t="shared" si="4"/>
        <v>底長：約cm　底甲幅：約cm　ヒール：約cm 高さ：約cm　足入れ口円周：約cm</v>
      </c>
      <c r="AD20" t="str">
        <f t="shared" si="5"/>
        <v>/ソール</v>
      </c>
      <c r="AE20" s="81" t="s">
        <v>3021</v>
      </c>
      <c r="AG20" s="6"/>
    </row>
    <row r="21" spans="3:33" ht="14.25" customHeight="1">
      <c r="C21" t="str">
        <f t="shared" si="0"/>
        <v>■ サイズ E</v>
      </c>
      <c r="D21">
        <f t="shared" si="2"/>
        <v>5.5</v>
      </c>
      <c r="E21" t="s">
        <v>71</v>
      </c>
      <c r="H21" t="str">
        <f>IFERROR(INDEX(コンディションランク!$B$1:$B$6,MATCH($G21,コンディションランク!$A$1:$A$6,0)),"")</f>
        <v/>
      </c>
      <c r="N21" s="9" t="s">
        <v>3031</v>
      </c>
      <c r="T21" t="s">
        <v>3011</v>
      </c>
      <c r="U21" s="32" t="str">
        <f t="shared" si="1"/>
        <v>■</v>
      </c>
      <c r="AB21" t="str">
        <f t="shared" si="3"/>
        <v>底長：約cm　底甲幅：約cm　ヒール：約cm 高さ：約cm　足入れ口円周：約cm</v>
      </c>
      <c r="AC21" t="str">
        <f t="shared" si="4"/>
        <v>底長：約cm　底甲幅：約cm　ヒール：約cm 高さ：約cm　足入れ口円周：約cm</v>
      </c>
      <c r="AD21" t="str">
        <f t="shared" si="5"/>
        <v>/ソール</v>
      </c>
      <c r="AE21" s="81" t="s">
        <v>3021</v>
      </c>
      <c r="AG21" s="6"/>
    </row>
    <row r="22" spans="3:33" ht="14.25" customHeight="1">
      <c r="C22" t="str">
        <f t="shared" si="0"/>
        <v>■ サイズ E</v>
      </c>
      <c r="D22">
        <f t="shared" si="2"/>
        <v>5.5</v>
      </c>
      <c r="E22" t="s">
        <v>71</v>
      </c>
      <c r="H22" t="str">
        <f>IFERROR(INDEX(コンディションランク!$B$1:$B$6,MATCH($G22,コンディションランク!$A$1:$A$6,0)),"")</f>
        <v/>
      </c>
      <c r="N22" s="9" t="s">
        <v>3031</v>
      </c>
      <c r="T22" t="s">
        <v>3011</v>
      </c>
      <c r="U22" s="32" t="str">
        <f t="shared" si="1"/>
        <v>■</v>
      </c>
      <c r="AB22" t="str">
        <f t="shared" si="3"/>
        <v>底長：約cm　底甲幅：約cm　ヒール：約cm 高さ：約cm　足入れ口円周：約cm</v>
      </c>
      <c r="AC22" t="str">
        <f t="shared" si="4"/>
        <v>底長：約cm　底甲幅：約cm　ヒール：約cm 高さ：約cm　足入れ口円周：約cm</v>
      </c>
      <c r="AD22" t="str">
        <f t="shared" si="5"/>
        <v>/ソール</v>
      </c>
      <c r="AE22" s="81" t="s">
        <v>3021</v>
      </c>
      <c r="AG22" s="6"/>
    </row>
    <row r="23" spans="3:33" ht="14.25" customHeight="1">
      <c r="C23" t="str">
        <f t="shared" si="0"/>
        <v>■ サイズ E</v>
      </c>
      <c r="D23">
        <f t="shared" si="2"/>
        <v>5.5</v>
      </c>
      <c r="E23" t="s">
        <v>71</v>
      </c>
      <c r="H23" t="str">
        <f>IFERROR(INDEX(コンディションランク!$B$1:$B$6,MATCH($G23,コンディションランク!$A$1:$A$6,0)),"")</f>
        <v/>
      </c>
      <c r="N23" s="9" t="s">
        <v>3031</v>
      </c>
      <c r="T23" t="s">
        <v>3011</v>
      </c>
      <c r="U23" s="32" t="str">
        <f t="shared" si="1"/>
        <v>■</v>
      </c>
      <c r="AB23" t="str">
        <f t="shared" si="3"/>
        <v>底長：約cm　底甲幅：約cm　ヒール：約cm 高さ：約cm　足入れ口円周：約cm</v>
      </c>
      <c r="AC23" t="str">
        <f t="shared" si="4"/>
        <v>底長：約cm　底甲幅：約cm　ヒール：約cm 高さ：約cm　足入れ口円周：約cm</v>
      </c>
      <c r="AD23" t="str">
        <f t="shared" si="5"/>
        <v>/ソール</v>
      </c>
      <c r="AE23" s="81" t="s">
        <v>3021</v>
      </c>
      <c r="AG23" s="6"/>
    </row>
    <row r="24" spans="3:33" ht="14.25" customHeight="1">
      <c r="C24" t="str">
        <f t="shared" si="0"/>
        <v>■ サイズ E</v>
      </c>
      <c r="D24">
        <f t="shared" si="2"/>
        <v>5.5</v>
      </c>
      <c r="E24" t="s">
        <v>71</v>
      </c>
      <c r="H24" t="str">
        <f>IFERROR(INDEX(コンディションランク!$B$1:$B$6,MATCH($G24,コンディションランク!$A$1:$A$6,0)),"")</f>
        <v/>
      </c>
      <c r="N24" s="9" t="s">
        <v>3031</v>
      </c>
      <c r="T24" t="s">
        <v>3011</v>
      </c>
      <c r="U24" s="32" t="str">
        <f t="shared" si="1"/>
        <v>■</v>
      </c>
      <c r="AB24" t="str">
        <f t="shared" si="3"/>
        <v>底長：約cm　底甲幅：約cm　ヒール：約cm 高さ：約cm　足入れ口円周：約cm</v>
      </c>
      <c r="AC24" t="str">
        <f t="shared" si="4"/>
        <v>底長：約cm　底甲幅：約cm　ヒール：約cm 高さ：約cm　足入れ口円周：約cm</v>
      </c>
      <c r="AD24" t="str">
        <f t="shared" si="5"/>
        <v>/ソール</v>
      </c>
      <c r="AE24" s="81" t="s">
        <v>3021</v>
      </c>
      <c r="AG24" s="6"/>
    </row>
    <row r="25" spans="3:33" ht="14.25" customHeight="1">
      <c r="C25" t="str">
        <f t="shared" si="0"/>
        <v>■ サイズ E</v>
      </c>
      <c r="D25">
        <f t="shared" si="2"/>
        <v>5.5</v>
      </c>
      <c r="E25" t="s">
        <v>71</v>
      </c>
      <c r="H25" t="str">
        <f>IFERROR(INDEX(コンディションランク!$B$1:$B$6,MATCH($G25,コンディションランク!$A$1:$A$6,0)),"")</f>
        <v/>
      </c>
      <c r="N25" s="9" t="s">
        <v>3031</v>
      </c>
      <c r="T25" t="s">
        <v>3011</v>
      </c>
      <c r="U25" s="32" t="str">
        <f t="shared" si="1"/>
        <v>■</v>
      </c>
      <c r="AB25" t="str">
        <f t="shared" si="3"/>
        <v>底長：約cm　底甲幅：約cm　ヒール：約cm 高さ：約cm　足入れ口円周：約cm</v>
      </c>
      <c r="AC25" t="str">
        <f t="shared" si="4"/>
        <v>底長：約cm　底甲幅：約cm　ヒール：約cm 高さ：約cm　足入れ口円周：約cm</v>
      </c>
      <c r="AD25" t="str">
        <f t="shared" si="5"/>
        <v>/ソール</v>
      </c>
      <c r="AE25" s="81" t="s">
        <v>3021</v>
      </c>
      <c r="AG25" s="6"/>
    </row>
    <row r="26" spans="3:33" ht="14.25" customHeight="1">
      <c r="C26" t="str">
        <f t="shared" si="0"/>
        <v>■ サイズ E</v>
      </c>
      <c r="D26">
        <f t="shared" si="2"/>
        <v>5.5</v>
      </c>
      <c r="E26" t="s">
        <v>71</v>
      </c>
      <c r="H26" t="str">
        <f>IFERROR(INDEX(コンディションランク!$B$1:$B$6,MATCH($G26,コンディションランク!$A$1:$A$6,0)),"")</f>
        <v/>
      </c>
      <c r="N26" s="9" t="s">
        <v>3031</v>
      </c>
      <c r="T26" t="s">
        <v>3011</v>
      </c>
      <c r="U26" s="32" t="str">
        <f t="shared" si="1"/>
        <v>■</v>
      </c>
      <c r="AB26" t="str">
        <f t="shared" si="3"/>
        <v>底長：約cm　底甲幅：約cm　ヒール：約cm 高さ：約cm　足入れ口円周：約cm</v>
      </c>
      <c r="AC26" t="str">
        <f t="shared" si="4"/>
        <v>底長：約cm　底甲幅：約cm　ヒール：約cm 高さ：約cm　足入れ口円周：約cm</v>
      </c>
      <c r="AD26" t="str">
        <f t="shared" si="5"/>
        <v>/ソール</v>
      </c>
      <c r="AE26" s="81" t="s">
        <v>3021</v>
      </c>
      <c r="AG26" s="6"/>
    </row>
    <row r="27" spans="3:33" ht="14.25" customHeight="1">
      <c r="C27" t="str">
        <f t="shared" si="0"/>
        <v>■ サイズ E</v>
      </c>
      <c r="D27">
        <f t="shared" si="2"/>
        <v>5.5</v>
      </c>
      <c r="E27" t="s">
        <v>71</v>
      </c>
      <c r="H27" t="str">
        <f>IFERROR(INDEX(コンディションランク!$B$1:$B$6,MATCH($G27,コンディションランク!$A$1:$A$6,0)),"")</f>
        <v/>
      </c>
      <c r="N27" s="9" t="s">
        <v>3031</v>
      </c>
      <c r="T27" t="s">
        <v>3011</v>
      </c>
      <c r="U27" s="32" t="str">
        <f t="shared" si="1"/>
        <v>■</v>
      </c>
      <c r="AB27" t="str">
        <f t="shared" si="3"/>
        <v>底長：約cm　底甲幅：約cm　ヒール：約cm 高さ：約cm　足入れ口円周：約cm</v>
      </c>
      <c r="AC27" t="str">
        <f t="shared" si="4"/>
        <v>底長：約cm　底甲幅：約cm　ヒール：約cm 高さ：約cm　足入れ口円周：約cm</v>
      </c>
      <c r="AD27" t="str">
        <f t="shared" si="5"/>
        <v>/ソール</v>
      </c>
      <c r="AE27" s="81" t="s">
        <v>3021</v>
      </c>
      <c r="AG27" s="6"/>
    </row>
    <row r="28" spans="3:33" ht="14.25" customHeight="1">
      <c r="C28" t="str">
        <f t="shared" si="0"/>
        <v>■ サイズ E</v>
      </c>
      <c r="D28">
        <f t="shared" si="2"/>
        <v>5.5</v>
      </c>
      <c r="E28" t="s">
        <v>71</v>
      </c>
      <c r="H28" t="str">
        <f>IFERROR(INDEX(コンディションランク!$B$1:$B$6,MATCH($G28,コンディションランク!$A$1:$A$6,0)),"")</f>
        <v/>
      </c>
      <c r="N28" s="9" t="s">
        <v>3031</v>
      </c>
      <c r="T28" t="s">
        <v>3011</v>
      </c>
      <c r="U28" s="32" t="str">
        <f t="shared" si="1"/>
        <v>■</v>
      </c>
      <c r="AB28" t="str">
        <f t="shared" si="3"/>
        <v>底長：約cm　底甲幅：約cm　ヒール：約cm 高さ：約cm　足入れ口円周：約cm</v>
      </c>
      <c r="AC28" t="str">
        <f t="shared" si="4"/>
        <v>底長：約cm　底甲幅：約cm　ヒール：約cm 高さ：約cm　足入れ口円周：約cm</v>
      </c>
      <c r="AD28" t="str">
        <f t="shared" si="5"/>
        <v>/ソール</v>
      </c>
      <c r="AE28" s="81" t="s">
        <v>3021</v>
      </c>
      <c r="AG28" s="6"/>
    </row>
    <row r="29" spans="3:33" ht="14.25" customHeight="1">
      <c r="C29" t="str">
        <f t="shared" si="0"/>
        <v>■ サイズ E</v>
      </c>
      <c r="D29">
        <f t="shared" si="2"/>
        <v>5.5</v>
      </c>
      <c r="E29" t="s">
        <v>71</v>
      </c>
      <c r="H29" t="str">
        <f>IFERROR(INDEX(コンディションランク!$B$1:$B$6,MATCH($G29,コンディションランク!$A$1:$A$6,0)),"")</f>
        <v/>
      </c>
      <c r="N29" s="9" t="s">
        <v>3031</v>
      </c>
      <c r="T29" t="s">
        <v>3011</v>
      </c>
      <c r="U29" s="32" t="str">
        <f t="shared" si="1"/>
        <v>■</v>
      </c>
      <c r="AB29" t="str">
        <f t="shared" si="3"/>
        <v>底長：約cm　底甲幅：約cm　ヒール：約cm 高さ：約cm　足入れ口円周：約cm</v>
      </c>
      <c r="AC29" t="str">
        <f t="shared" si="4"/>
        <v>底長：約cm　底甲幅：約cm　ヒール：約cm 高さ：約cm　足入れ口円周：約cm</v>
      </c>
      <c r="AD29" t="str">
        <f t="shared" si="5"/>
        <v>/ソール</v>
      </c>
      <c r="AE29" s="81" t="s">
        <v>3021</v>
      </c>
      <c r="AG29" s="6"/>
    </row>
    <row r="30" spans="3:33" ht="14.25" customHeight="1">
      <c r="C30" t="str">
        <f t="shared" si="0"/>
        <v>■ サイズ E</v>
      </c>
      <c r="D30">
        <f t="shared" si="2"/>
        <v>5.5</v>
      </c>
      <c r="E30" t="s">
        <v>71</v>
      </c>
      <c r="H30" t="str">
        <f>IFERROR(INDEX(コンディションランク!$B$1:$B$6,MATCH($G30,コンディションランク!$A$1:$A$6,0)),"")</f>
        <v/>
      </c>
      <c r="N30" s="9" t="s">
        <v>3031</v>
      </c>
      <c r="T30" t="s">
        <v>3011</v>
      </c>
      <c r="U30" s="32" t="str">
        <f t="shared" si="1"/>
        <v>■</v>
      </c>
      <c r="AB30" t="str">
        <f t="shared" si="3"/>
        <v>底長：約cm　底甲幅：約cm　ヒール：約cm 高さ：約cm　足入れ口円周：約cm</v>
      </c>
      <c r="AC30" t="str">
        <f t="shared" si="4"/>
        <v>底長：約cm　底甲幅：約cm　ヒール：約cm 高さ：約cm　足入れ口円周：約cm</v>
      </c>
      <c r="AD30" t="str">
        <f t="shared" si="5"/>
        <v>/ソール</v>
      </c>
      <c r="AE30" s="81" t="s">
        <v>3021</v>
      </c>
      <c r="AG30" s="6"/>
    </row>
    <row r="31" spans="3:33" ht="14.25" customHeight="1">
      <c r="C31" t="str">
        <f t="shared" si="0"/>
        <v>■ サイズ E</v>
      </c>
      <c r="D31">
        <f t="shared" si="2"/>
        <v>5.5</v>
      </c>
      <c r="E31" t="s">
        <v>71</v>
      </c>
      <c r="H31" t="str">
        <f>IFERROR(INDEX(コンディションランク!$B$1:$B$6,MATCH($G31,コンディションランク!$A$1:$A$6,0)),"")</f>
        <v/>
      </c>
      <c r="N31" s="9" t="s">
        <v>3031</v>
      </c>
      <c r="T31" t="s">
        <v>3011</v>
      </c>
      <c r="U31" s="32" t="str">
        <f t="shared" si="1"/>
        <v>■</v>
      </c>
      <c r="AB31" t="str">
        <f t="shared" si="3"/>
        <v>底長：約cm　底甲幅：約cm　ヒール：約cm 高さ：約cm　足入れ口円周：約cm</v>
      </c>
      <c r="AC31" t="str">
        <f t="shared" si="4"/>
        <v>底長：約cm　底甲幅：約cm　ヒール：約cm 高さ：約cm　足入れ口円周：約cm</v>
      </c>
      <c r="AD31" t="str">
        <f t="shared" si="5"/>
        <v>/ソール</v>
      </c>
      <c r="AE31" s="81" t="s">
        <v>3021</v>
      </c>
      <c r="AG31" s="6"/>
    </row>
    <row r="32" spans="3:33" ht="14.25" customHeight="1">
      <c r="C32" t="str">
        <f t="shared" si="0"/>
        <v>■ サイズ E</v>
      </c>
      <c r="D32">
        <f t="shared" si="2"/>
        <v>5.5</v>
      </c>
      <c r="E32" t="s">
        <v>71</v>
      </c>
      <c r="H32" t="str">
        <f>IFERROR(INDEX(コンディションランク!$B$1:$B$6,MATCH($G32,コンディションランク!$A$1:$A$6,0)),"")</f>
        <v/>
      </c>
      <c r="N32" s="9" t="s">
        <v>3031</v>
      </c>
      <c r="T32" t="s">
        <v>3011</v>
      </c>
      <c r="U32" s="32" t="str">
        <f t="shared" si="1"/>
        <v>■</v>
      </c>
      <c r="AB32" t="str">
        <f t="shared" si="3"/>
        <v>底長：約cm　底甲幅：約cm　ヒール：約cm 高さ：約cm　足入れ口円周：約cm</v>
      </c>
      <c r="AC32" t="str">
        <f t="shared" si="4"/>
        <v>底長：約cm　底甲幅：約cm　ヒール：約cm 高さ：約cm　足入れ口円周：約cm</v>
      </c>
      <c r="AD32" t="str">
        <f t="shared" si="5"/>
        <v>/ソール</v>
      </c>
      <c r="AE32" s="81" t="s">
        <v>3021</v>
      </c>
      <c r="AG32" s="6"/>
    </row>
    <row r="33" spans="3:33" ht="14.25" customHeight="1">
      <c r="C33" t="str">
        <f t="shared" si="0"/>
        <v>■ サイズ E</v>
      </c>
      <c r="D33">
        <f t="shared" si="2"/>
        <v>5.5</v>
      </c>
      <c r="E33" t="s">
        <v>71</v>
      </c>
      <c r="H33" t="str">
        <f>IFERROR(INDEX(コンディションランク!$B$1:$B$6,MATCH($G33,コンディションランク!$A$1:$A$6,0)),"")</f>
        <v/>
      </c>
      <c r="N33" s="9" t="s">
        <v>3031</v>
      </c>
      <c r="T33" t="s">
        <v>3011</v>
      </c>
      <c r="U33" s="32" t="str">
        <f t="shared" si="1"/>
        <v>■</v>
      </c>
      <c r="AB33" t="str">
        <f t="shared" si="3"/>
        <v>底長：約cm　底甲幅：約cm　ヒール：約cm 高さ：約cm　足入れ口円周：約cm</v>
      </c>
      <c r="AC33" t="str">
        <f t="shared" si="4"/>
        <v>底長：約cm　底甲幅：約cm　ヒール：約cm 高さ：約cm　足入れ口円周：約cm</v>
      </c>
      <c r="AD33" t="str">
        <f t="shared" si="5"/>
        <v>/ソール</v>
      </c>
      <c r="AE33" s="81" t="s">
        <v>3021</v>
      </c>
      <c r="AG33" s="6"/>
    </row>
    <row r="34" spans="3:33" ht="14.25" customHeight="1">
      <c r="C34" t="str">
        <f t="shared" ref="C34:C51" si="6">TRIM(U34&amp;" "&amp;V34&amp;" "&amp;W34&amp;" "&amp;X34&amp;" "&amp;Y34&amp;" "&amp;Z34&amp;" "&amp;N34&amp;" "&amp;M34&amp;" "&amp;AA34&amp;EX&amp;" "&amp;B34)</f>
        <v>■ サイズ E</v>
      </c>
      <c r="D34">
        <f t="shared" si="2"/>
        <v>5.5</v>
      </c>
      <c r="E34" t="s">
        <v>71</v>
      </c>
      <c r="H34" t="str">
        <f>IFERROR(INDEX(コンディションランク!$B$1:$B$6,MATCH($G34,コンディションランク!$A$1:$A$6,0)),"")</f>
        <v/>
      </c>
      <c r="N34" s="9" t="s">
        <v>3031</v>
      </c>
      <c r="T34" t="s">
        <v>3011</v>
      </c>
      <c r="U34" s="32" t="str">
        <f t="shared" ref="U34:U51" si="7">IFERROR(VLOOKUP(T34,梱包サイズ表,2,0),"")</f>
        <v>■</v>
      </c>
      <c r="AB34" t="str">
        <f t="shared" si="3"/>
        <v>底長：約cm　底甲幅：約cm　ヒール：約cm 高さ：約cm　足入れ口円周：約cm</v>
      </c>
      <c r="AC34" t="str">
        <f t="shared" si="4"/>
        <v>底長：約cm　底甲幅：約cm　ヒール：約cm 高さ：約cm　足入れ口円周：約cm</v>
      </c>
      <c r="AD34" t="str">
        <f t="shared" si="5"/>
        <v>/ソール</v>
      </c>
      <c r="AE34" s="81" t="s">
        <v>3021</v>
      </c>
      <c r="AG34" s="6"/>
    </row>
    <row r="35" spans="3:33" ht="14.25" customHeight="1">
      <c r="C35" t="str">
        <f t="shared" si="6"/>
        <v>■ サイズ E</v>
      </c>
      <c r="D35">
        <f t="shared" si="2"/>
        <v>5.5</v>
      </c>
      <c r="E35" t="s">
        <v>71</v>
      </c>
      <c r="H35" t="str">
        <f>IFERROR(INDEX(コンディションランク!$B$1:$B$6,MATCH($G35,コンディションランク!$A$1:$A$6,0)),"")</f>
        <v/>
      </c>
      <c r="N35" s="9" t="s">
        <v>3031</v>
      </c>
      <c r="T35" t="s">
        <v>3011</v>
      </c>
      <c r="U35" s="32" t="str">
        <f t="shared" si="7"/>
        <v>■</v>
      </c>
      <c r="AB35" t="str">
        <f t="shared" si="3"/>
        <v>底長：約cm　底甲幅：約cm　ヒール：約cm 高さ：約cm　足入れ口円周：約cm</v>
      </c>
      <c r="AC35" t="str">
        <f t="shared" si="4"/>
        <v>底長：約cm　底甲幅：約cm　ヒール：約cm 高さ：約cm　足入れ口円周：約cm</v>
      </c>
      <c r="AD35" t="str">
        <f t="shared" si="5"/>
        <v>/ソール</v>
      </c>
      <c r="AE35" s="81" t="s">
        <v>3021</v>
      </c>
      <c r="AG35" s="6"/>
    </row>
    <row r="36" spans="3:33" ht="14.25" customHeight="1">
      <c r="C36" t="str">
        <f t="shared" si="6"/>
        <v>■ サイズ E</v>
      </c>
      <c r="D36">
        <f t="shared" si="2"/>
        <v>5.5</v>
      </c>
      <c r="E36" t="s">
        <v>71</v>
      </c>
      <c r="H36" t="str">
        <f>IFERROR(INDEX(コンディションランク!$B$1:$B$6,MATCH($G36,コンディションランク!$A$1:$A$6,0)),"")</f>
        <v/>
      </c>
      <c r="N36" s="9" t="s">
        <v>3031</v>
      </c>
      <c r="T36" t="s">
        <v>3011</v>
      </c>
      <c r="U36" s="32" t="str">
        <f t="shared" si="7"/>
        <v>■</v>
      </c>
      <c r="AB36" t="str">
        <f t="shared" si="3"/>
        <v>底長：約cm　底甲幅：約cm　ヒール：約cm 高さ：約cm　足入れ口円周：約cm</v>
      </c>
      <c r="AC36" t="str">
        <f t="shared" si="4"/>
        <v>底長：約cm　底甲幅：約cm　ヒール：約cm 高さ：約cm　足入れ口円周：約cm</v>
      </c>
      <c r="AD36" t="str">
        <f t="shared" si="5"/>
        <v>/ソール</v>
      </c>
      <c r="AE36" s="81" t="s">
        <v>3021</v>
      </c>
      <c r="AG36" s="6"/>
    </row>
    <row r="37" spans="3:33" ht="14.25" customHeight="1">
      <c r="C37" t="str">
        <f t="shared" si="6"/>
        <v>■ サイズ E</v>
      </c>
      <c r="D37">
        <f t="shared" si="2"/>
        <v>5.5</v>
      </c>
      <c r="E37" t="s">
        <v>71</v>
      </c>
      <c r="H37" t="str">
        <f>IFERROR(INDEX(コンディションランク!$B$1:$B$6,MATCH($G37,コンディションランク!$A$1:$A$6,0)),"")</f>
        <v/>
      </c>
      <c r="N37" s="9" t="s">
        <v>3031</v>
      </c>
      <c r="T37" t="s">
        <v>3011</v>
      </c>
      <c r="U37" s="32" t="str">
        <f t="shared" si="7"/>
        <v>■</v>
      </c>
      <c r="AB37" t="str">
        <f t="shared" si="3"/>
        <v>底長：約cm　底甲幅：約cm　ヒール：約cm 高さ：約cm　足入れ口円周：約cm</v>
      </c>
      <c r="AC37" t="str">
        <f t="shared" si="4"/>
        <v>底長：約cm　底甲幅：約cm　ヒール：約cm 高さ：約cm　足入れ口円周：約cm</v>
      </c>
      <c r="AD37" t="str">
        <f t="shared" si="5"/>
        <v>/ソール</v>
      </c>
      <c r="AE37" s="81" t="s">
        <v>3021</v>
      </c>
      <c r="AG37" s="6"/>
    </row>
    <row r="38" spans="3:33" ht="14.25" customHeight="1">
      <c r="C38" t="str">
        <f t="shared" si="6"/>
        <v>■ サイズ E</v>
      </c>
      <c r="D38">
        <f t="shared" si="2"/>
        <v>5.5</v>
      </c>
      <c r="E38" t="s">
        <v>71</v>
      </c>
      <c r="H38" t="str">
        <f>IFERROR(INDEX(コンディションランク!$B$1:$B$6,MATCH($G38,コンディションランク!$A$1:$A$6,0)),"")</f>
        <v/>
      </c>
      <c r="N38" s="9" t="s">
        <v>3031</v>
      </c>
      <c r="T38" t="s">
        <v>3011</v>
      </c>
      <c r="U38" s="32" t="str">
        <f t="shared" si="7"/>
        <v>■</v>
      </c>
      <c r="AB38" t="str">
        <f t="shared" si="3"/>
        <v>底長：約cm　底甲幅：約cm　ヒール：約cm 高さ：約cm　足入れ口円周：約cm</v>
      </c>
      <c r="AC38" t="str">
        <f t="shared" si="4"/>
        <v>底長：約cm　底甲幅：約cm　ヒール：約cm 高さ：約cm　足入れ口円周：約cm</v>
      </c>
      <c r="AD38" t="str">
        <f t="shared" si="5"/>
        <v>/ソール</v>
      </c>
      <c r="AE38" s="81" t="s">
        <v>3021</v>
      </c>
      <c r="AG38" s="6"/>
    </row>
    <row r="39" spans="3:33" ht="14.25" customHeight="1">
      <c r="C39" t="str">
        <f t="shared" si="6"/>
        <v>■ サイズ E</v>
      </c>
      <c r="D39">
        <f t="shared" si="2"/>
        <v>5.5</v>
      </c>
      <c r="E39" t="s">
        <v>71</v>
      </c>
      <c r="H39" t="str">
        <f>IFERROR(INDEX(コンディションランク!$B$1:$B$6,MATCH($G39,コンディションランク!$A$1:$A$6,0)),"")</f>
        <v/>
      </c>
      <c r="N39" s="9" t="s">
        <v>3031</v>
      </c>
      <c r="T39" t="s">
        <v>3011</v>
      </c>
      <c r="U39" s="32" t="str">
        <f t="shared" si="7"/>
        <v>■</v>
      </c>
      <c r="AB39" t="str">
        <f t="shared" si="3"/>
        <v>底長：約cm　底甲幅：約cm　ヒール：約cm 高さ：約cm　足入れ口円周：約cm</v>
      </c>
      <c r="AC39" t="str">
        <f t="shared" si="4"/>
        <v>底長：約cm　底甲幅：約cm　ヒール：約cm 高さ：約cm　足入れ口円周：約cm</v>
      </c>
      <c r="AD39" t="str">
        <f t="shared" si="5"/>
        <v>/ソール</v>
      </c>
      <c r="AE39" s="81" t="s">
        <v>3021</v>
      </c>
      <c r="AG39" s="6"/>
    </row>
    <row r="40" spans="3:33" ht="14.25" customHeight="1">
      <c r="C40" t="str">
        <f t="shared" si="6"/>
        <v>■ サイズ E</v>
      </c>
      <c r="D40">
        <f t="shared" si="2"/>
        <v>5.5</v>
      </c>
      <c r="E40" t="s">
        <v>71</v>
      </c>
      <c r="H40" t="str">
        <f>IFERROR(INDEX(コンディションランク!$B$1:$B$6,MATCH($G40,コンディションランク!$A$1:$A$6,0)),"")</f>
        <v/>
      </c>
      <c r="N40" s="9" t="s">
        <v>3031</v>
      </c>
      <c r="T40" t="s">
        <v>3011</v>
      </c>
      <c r="U40" s="32" t="str">
        <f t="shared" si="7"/>
        <v>■</v>
      </c>
      <c r="AB40" t="str">
        <f t="shared" si="3"/>
        <v>底長：約cm　底甲幅：約cm　ヒール：約cm 高さ：約cm　足入れ口円周：約cm</v>
      </c>
      <c r="AC40" t="str">
        <f t="shared" si="4"/>
        <v>底長：約cm　底甲幅：約cm　ヒール：約cm 高さ：約cm　足入れ口円周：約cm</v>
      </c>
      <c r="AD40" t="str">
        <f t="shared" si="5"/>
        <v>/ソール</v>
      </c>
      <c r="AE40" s="81" t="s">
        <v>3021</v>
      </c>
      <c r="AG40" s="6"/>
    </row>
    <row r="41" spans="3:33" ht="14.25" customHeight="1">
      <c r="C41" t="str">
        <f t="shared" si="6"/>
        <v>■ サイズ E</v>
      </c>
      <c r="D41">
        <f t="shared" si="2"/>
        <v>5.5</v>
      </c>
      <c r="E41" t="s">
        <v>71</v>
      </c>
      <c r="H41" t="str">
        <f>IFERROR(INDEX(コンディションランク!$B$1:$B$6,MATCH($G41,コンディションランク!$A$1:$A$6,0)),"")</f>
        <v/>
      </c>
      <c r="N41" s="9" t="s">
        <v>3031</v>
      </c>
      <c r="T41" t="s">
        <v>3011</v>
      </c>
      <c r="U41" s="32" t="str">
        <f t="shared" si="7"/>
        <v>■</v>
      </c>
      <c r="AB41" t="str">
        <f t="shared" si="3"/>
        <v>底長：約cm　底甲幅：約cm　ヒール：約cm 高さ：約cm　足入れ口円周：約cm</v>
      </c>
      <c r="AC41" t="str">
        <f t="shared" si="4"/>
        <v>底長：約cm　底甲幅：約cm　ヒール：約cm 高さ：約cm　足入れ口円周：約cm</v>
      </c>
      <c r="AD41" t="str">
        <f t="shared" si="5"/>
        <v>/ソール</v>
      </c>
      <c r="AE41" s="81" t="s">
        <v>3021</v>
      </c>
      <c r="AG41" s="6"/>
    </row>
    <row r="42" spans="3:33" ht="14.25" customHeight="1">
      <c r="C42" t="str">
        <f t="shared" si="6"/>
        <v>■ サイズ E</v>
      </c>
      <c r="D42">
        <f t="shared" si="2"/>
        <v>5.5</v>
      </c>
      <c r="E42" t="s">
        <v>71</v>
      </c>
      <c r="H42" t="str">
        <f>IFERROR(INDEX(コンディションランク!$B$1:$B$6,MATCH($G42,コンディションランク!$A$1:$A$6,0)),"")</f>
        <v/>
      </c>
      <c r="N42" s="9" t="s">
        <v>3031</v>
      </c>
      <c r="T42" t="s">
        <v>3011</v>
      </c>
      <c r="U42" s="32" t="str">
        <f t="shared" si="7"/>
        <v>■</v>
      </c>
      <c r="AB42" t="str">
        <f t="shared" si="3"/>
        <v>底長：約cm　底甲幅：約cm　ヒール：約cm 高さ：約cm　足入れ口円周：約cm</v>
      </c>
      <c r="AC42" t="str">
        <f t="shared" si="4"/>
        <v>底長：約cm　底甲幅：約cm　ヒール：約cm 高さ：約cm　足入れ口円周：約cm</v>
      </c>
      <c r="AD42" t="str">
        <f t="shared" si="5"/>
        <v>/ソール</v>
      </c>
      <c r="AE42" s="81" t="s">
        <v>3021</v>
      </c>
      <c r="AG42" s="6"/>
    </row>
    <row r="43" spans="3:33" ht="14.25" customHeight="1">
      <c r="C43" t="str">
        <f t="shared" si="6"/>
        <v>■ サイズ E</v>
      </c>
      <c r="D43">
        <f t="shared" si="2"/>
        <v>5.5</v>
      </c>
      <c r="E43" t="s">
        <v>71</v>
      </c>
      <c r="H43" t="str">
        <f>IFERROR(INDEX(コンディションランク!$B$1:$B$6,MATCH($G43,コンディションランク!$A$1:$A$6,0)),"")</f>
        <v/>
      </c>
      <c r="N43" s="9" t="s">
        <v>3031</v>
      </c>
      <c r="T43" t="s">
        <v>3011</v>
      </c>
      <c r="U43" s="32" t="str">
        <f t="shared" si="7"/>
        <v>■</v>
      </c>
      <c r="AB43" t="str">
        <f t="shared" si="3"/>
        <v>底長：約cm　底甲幅：約cm　ヒール：約cm 高さ：約cm　足入れ口円周：約cm</v>
      </c>
      <c r="AC43" t="str">
        <f t="shared" si="4"/>
        <v>底長：約cm　底甲幅：約cm　ヒール：約cm 高さ：約cm　足入れ口円周：約cm</v>
      </c>
      <c r="AD43" t="str">
        <f t="shared" si="5"/>
        <v>/ソール</v>
      </c>
      <c r="AE43" s="81" t="s">
        <v>3021</v>
      </c>
      <c r="AG43" s="6"/>
    </row>
    <row r="44" spans="3:33" ht="14.25" customHeight="1">
      <c r="C44" t="str">
        <f t="shared" si="6"/>
        <v>■ サイズ E</v>
      </c>
      <c r="D44">
        <f t="shared" si="2"/>
        <v>5.5</v>
      </c>
      <c r="E44" t="s">
        <v>71</v>
      </c>
      <c r="H44" t="str">
        <f>IFERROR(INDEX(コンディションランク!$B$1:$B$6,MATCH($G44,コンディションランク!$A$1:$A$6,0)),"")</f>
        <v/>
      </c>
      <c r="N44" s="9" t="s">
        <v>3031</v>
      </c>
      <c r="T44" t="s">
        <v>3011</v>
      </c>
      <c r="U44" s="32" t="str">
        <f t="shared" si="7"/>
        <v>■</v>
      </c>
      <c r="AB44" t="str">
        <f t="shared" si="3"/>
        <v>底長：約cm　底甲幅：約cm　ヒール：約cm 高さ：約cm　足入れ口円周：約cm</v>
      </c>
      <c r="AC44" t="str">
        <f t="shared" si="4"/>
        <v>底長：約cm　底甲幅：約cm　ヒール：約cm 高さ：約cm　足入れ口円周：約cm</v>
      </c>
      <c r="AD44" t="str">
        <f t="shared" si="5"/>
        <v>/ソール</v>
      </c>
      <c r="AE44" s="81" t="s">
        <v>3021</v>
      </c>
      <c r="AG44" s="6"/>
    </row>
    <row r="45" spans="3:33" ht="14.25" customHeight="1">
      <c r="C45" t="str">
        <f t="shared" si="6"/>
        <v>■ サイズ E</v>
      </c>
      <c r="D45">
        <f t="shared" si="2"/>
        <v>5.5</v>
      </c>
      <c r="E45" t="s">
        <v>71</v>
      </c>
      <c r="H45" t="str">
        <f>IFERROR(INDEX(コンディションランク!$B$1:$B$6,MATCH($G45,コンディションランク!$A$1:$A$6,0)),"")</f>
        <v/>
      </c>
      <c r="N45" s="9" t="s">
        <v>3031</v>
      </c>
      <c r="T45" t="s">
        <v>3011</v>
      </c>
      <c r="U45" s="32" t="str">
        <f t="shared" si="7"/>
        <v>■</v>
      </c>
      <c r="AB45" t="str">
        <f t="shared" si="3"/>
        <v>底長：約cm　底甲幅：約cm　ヒール：約cm 高さ：約cm　足入れ口円周：約cm</v>
      </c>
      <c r="AC45" t="str">
        <f t="shared" si="4"/>
        <v>底長：約cm　底甲幅：約cm　ヒール：約cm 高さ：約cm　足入れ口円周：約cm</v>
      </c>
      <c r="AD45" t="str">
        <f t="shared" si="5"/>
        <v>/ソール</v>
      </c>
      <c r="AE45" s="81" t="s">
        <v>3021</v>
      </c>
      <c r="AG45" s="6"/>
    </row>
    <row r="46" spans="3:33" ht="14.25" customHeight="1">
      <c r="C46" t="str">
        <f t="shared" si="6"/>
        <v>■ サイズ E</v>
      </c>
      <c r="D46">
        <f t="shared" si="2"/>
        <v>5.5</v>
      </c>
      <c r="E46" t="s">
        <v>71</v>
      </c>
      <c r="H46" t="str">
        <f>IFERROR(INDEX(コンディションランク!$B$1:$B$6,MATCH($G46,コンディションランク!$A$1:$A$6,0)),"")</f>
        <v/>
      </c>
      <c r="N46" s="9" t="s">
        <v>3031</v>
      </c>
      <c r="T46" t="s">
        <v>3011</v>
      </c>
      <c r="U46" s="32" t="str">
        <f t="shared" si="7"/>
        <v>■</v>
      </c>
      <c r="AB46" t="str">
        <f t="shared" si="3"/>
        <v>底長：約cm　底甲幅：約cm　ヒール：約cm 高さ：約cm　足入れ口円周：約cm</v>
      </c>
      <c r="AC46" t="str">
        <f t="shared" si="4"/>
        <v>底長：約cm　底甲幅：約cm　ヒール：約cm 高さ：約cm　足入れ口円周：約cm</v>
      </c>
      <c r="AD46" t="str">
        <f t="shared" si="5"/>
        <v>/ソール</v>
      </c>
      <c r="AE46" s="81" t="s">
        <v>3021</v>
      </c>
      <c r="AG46" s="6"/>
    </row>
    <row r="47" spans="3:33" ht="14.25" customHeight="1">
      <c r="C47" t="str">
        <f t="shared" si="6"/>
        <v>■ サイズ E</v>
      </c>
      <c r="D47">
        <f t="shared" si="2"/>
        <v>5.5</v>
      </c>
      <c r="E47" t="s">
        <v>71</v>
      </c>
      <c r="H47" t="str">
        <f>IFERROR(INDEX(コンディションランク!$B$1:$B$6,MATCH($G47,コンディションランク!$A$1:$A$6,0)),"")</f>
        <v/>
      </c>
      <c r="N47" s="9" t="s">
        <v>3031</v>
      </c>
      <c r="T47" t="s">
        <v>3011</v>
      </c>
      <c r="U47" s="32" t="str">
        <f t="shared" si="7"/>
        <v>■</v>
      </c>
      <c r="AB47" t="str">
        <f t="shared" si="3"/>
        <v>底長：約cm　底甲幅：約cm　ヒール：約cm 高さ：約cm　足入れ口円周：約cm</v>
      </c>
      <c r="AC47" t="str">
        <f t="shared" si="4"/>
        <v>底長：約cm　底甲幅：約cm　ヒール：約cm 高さ：約cm　足入れ口円周：約cm</v>
      </c>
      <c r="AD47" t="str">
        <f t="shared" si="5"/>
        <v>/ソール</v>
      </c>
      <c r="AE47" s="81" t="s">
        <v>3021</v>
      </c>
      <c r="AG47" s="6"/>
    </row>
    <row r="48" spans="3:33" ht="14.25" customHeight="1">
      <c r="C48" t="str">
        <f t="shared" si="6"/>
        <v>■ サイズ E</v>
      </c>
      <c r="D48">
        <f t="shared" si="2"/>
        <v>5.5</v>
      </c>
      <c r="E48" t="s">
        <v>71</v>
      </c>
      <c r="H48" t="str">
        <f>IFERROR(INDEX(コンディションランク!$B$1:$B$6,MATCH($G48,コンディションランク!$A$1:$A$6,0)),"")</f>
        <v/>
      </c>
      <c r="N48" s="9" t="s">
        <v>3031</v>
      </c>
      <c r="T48" t="s">
        <v>3011</v>
      </c>
      <c r="U48" s="32" t="str">
        <f t="shared" si="7"/>
        <v>■</v>
      </c>
      <c r="AB48" t="str">
        <f t="shared" si="3"/>
        <v>底長：約cm　底甲幅：約cm　ヒール：約cm 高さ：約cm　足入れ口円周：約cm</v>
      </c>
      <c r="AC48" t="str">
        <f t="shared" si="4"/>
        <v>底長：約cm　底甲幅：約cm　ヒール：約cm 高さ：約cm　足入れ口円周：約cm</v>
      </c>
      <c r="AD48" t="str">
        <f t="shared" si="5"/>
        <v>/ソール</v>
      </c>
      <c r="AE48" s="81" t="s">
        <v>3021</v>
      </c>
      <c r="AG48" s="6"/>
    </row>
    <row r="49" spans="1:33" ht="14.25" customHeight="1">
      <c r="C49" t="str">
        <f t="shared" si="6"/>
        <v>■ サイズ E</v>
      </c>
      <c r="D49">
        <f t="shared" si="2"/>
        <v>5.5</v>
      </c>
      <c r="E49" t="s">
        <v>71</v>
      </c>
      <c r="H49" t="str">
        <f>IFERROR(INDEX(コンディションランク!$B$1:$B$6,MATCH($G49,コンディションランク!$A$1:$A$6,0)),"")</f>
        <v/>
      </c>
      <c r="N49" s="9" t="s">
        <v>3031</v>
      </c>
      <c r="T49" t="s">
        <v>3011</v>
      </c>
      <c r="U49" s="32" t="str">
        <f t="shared" si="7"/>
        <v>■</v>
      </c>
      <c r="AB49" t="str">
        <f t="shared" si="3"/>
        <v>底長：約cm　底甲幅：約cm　ヒール：約cm 高さ：約cm　足入れ口円周：約cm</v>
      </c>
      <c r="AC49" t="str">
        <f t="shared" si="4"/>
        <v>底長：約cm　底甲幅：約cm　ヒール：約cm 高さ：約cm　足入れ口円周：約cm</v>
      </c>
      <c r="AD49" t="str">
        <f t="shared" si="5"/>
        <v>/ソール</v>
      </c>
      <c r="AE49" s="81" t="s">
        <v>3021</v>
      </c>
      <c r="AG49" s="6"/>
    </row>
    <row r="50" spans="1:33" ht="14.25" customHeight="1">
      <c r="C50" t="str">
        <f t="shared" si="6"/>
        <v>■ サイズ E</v>
      </c>
      <c r="D50">
        <f t="shared" si="2"/>
        <v>5.5</v>
      </c>
      <c r="E50" t="s">
        <v>71</v>
      </c>
      <c r="H50" t="str">
        <f>IFERROR(INDEX(コンディションランク!$B$1:$B$6,MATCH($G50,コンディションランク!$A$1:$A$6,0)),"")</f>
        <v/>
      </c>
      <c r="N50" s="9" t="s">
        <v>3031</v>
      </c>
      <c r="T50" t="s">
        <v>3011</v>
      </c>
      <c r="U50" s="32" t="str">
        <f t="shared" si="7"/>
        <v>■</v>
      </c>
      <c r="AB50" t="str">
        <f t="shared" si="3"/>
        <v>底長：約cm　底甲幅：約cm　ヒール：約cm 高さ：約cm　足入れ口円周：約cm</v>
      </c>
      <c r="AC50" t="str">
        <f t="shared" si="4"/>
        <v>底長：約cm　底甲幅：約cm　ヒール：約cm 高さ：約cm　足入れ口円周：約cm</v>
      </c>
      <c r="AD50" t="str">
        <f t="shared" si="5"/>
        <v>/ソール</v>
      </c>
      <c r="AE50" s="81" t="s">
        <v>3021</v>
      </c>
      <c r="AG50" s="6"/>
    </row>
    <row r="51" spans="1:33" ht="14.25" customHeight="1">
      <c r="C51" t="str">
        <f t="shared" si="6"/>
        <v>■ サイズ E</v>
      </c>
      <c r="D51">
        <f t="shared" si="2"/>
        <v>5.5</v>
      </c>
      <c r="E51" t="s">
        <v>71</v>
      </c>
      <c r="H51" t="str">
        <f>IFERROR(INDEX(コンディションランク!$B$1:$B$6,MATCH($G51,コンディションランク!$A$1:$A$6,0)),"")</f>
        <v/>
      </c>
      <c r="N51" s="9" t="s">
        <v>3031</v>
      </c>
      <c r="T51" t="s">
        <v>3011</v>
      </c>
      <c r="U51" s="32" t="str">
        <f t="shared" si="7"/>
        <v>■</v>
      </c>
      <c r="AB51" t="str">
        <f t="shared" si="3"/>
        <v>底長：約cm　底甲幅：約cm　ヒール：約cm 高さ：約cm　足入れ口円周：約cm</v>
      </c>
      <c r="AC51" t="str">
        <f t="shared" si="4"/>
        <v>底長：約cm　底甲幅：約cm　ヒール：約cm 高さ：約cm　足入れ口円周：約cm</v>
      </c>
      <c r="AD51" t="str">
        <f t="shared" si="5"/>
        <v>/ソール</v>
      </c>
      <c r="AE51" s="81" t="s">
        <v>3021</v>
      </c>
      <c r="AG51" s="6"/>
    </row>
    <row r="52" spans="1:33">
      <c r="A52" s="79"/>
      <c r="B52" s="13"/>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row>
    <row r="150" spans="2:2">
      <c r="B150"/>
    </row>
    <row r="151" spans="2:2">
      <c r="B151"/>
    </row>
    <row r="152" spans="2:2">
      <c r="B152"/>
    </row>
    <row r="1048576" spans="27:27">
      <c r="AA1048576" t="s">
        <v>160</v>
      </c>
    </row>
  </sheetData>
  <phoneticPr fontId="4"/>
  <conditionalFormatting sqref="B2:B51">
    <cfRule type="duplicateValues" dxfId="18" priority="1"/>
    <cfRule type="duplicateValues" dxfId="17" priority="3"/>
  </conditionalFormatting>
  <conditionalFormatting sqref="D2:D51">
    <cfRule type="cellIs" dxfId="16" priority="2" operator="greaterThanOrEqual">
      <formula>65</formula>
    </cfRule>
  </conditionalFormatting>
  <dataValidations count="2">
    <dataValidation imeMode="off" allowBlank="1" showInputMessage="1" showErrorMessage="1" sqref="O1:S1048576 B1:B1048576" xr:uid="{ECD749D5-8B20-4AD0-8454-72CF3B0AF348}"/>
    <dataValidation type="list" allowBlank="1" showInputMessage="1" showErrorMessage="1" sqref="T2:T51" xr:uid="{8A57D91F-895A-46E9-BA13-F648429CC0D0}">
      <formula1>梱包</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87AAC0D-99C5-4721-BEFB-0132269C3B09}">
          <x14:formula1>
            <xm:f>コンディションランク!$A$1:$A$6</xm:f>
          </x14:formula1>
          <xm:sqref>G2:G51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AE152"/>
  <sheetViews>
    <sheetView zoomScale="85" zoomScaleNormal="85" workbookViewId="0">
      <pane ySplit="1" topLeftCell="A2" activePane="bottomLeft" state="frozen"/>
      <selection activeCell="B2" sqref="B2"/>
      <selection pane="bottomLeft" activeCell="B2" sqref="B2"/>
    </sheetView>
  </sheetViews>
  <sheetFormatPr defaultRowHeight="13.5"/>
  <cols>
    <col min="1" max="1" width="14" style="9" customWidth="1"/>
    <col min="2" max="2" width="16.25" style="14" customWidth="1"/>
    <col min="3" max="3" width="80.625" customWidth="1"/>
    <col min="4" max="4" width="5.625" customWidth="1"/>
    <col min="6" max="6" width="0" hidden="1" customWidth="1"/>
    <col min="7" max="7" width="3.625" customWidth="1"/>
    <col min="9" max="9" width="0" hidden="1" customWidth="1"/>
    <col min="10" max="10" width="34" customWidth="1"/>
    <col min="11" max="11" width="35" customWidth="1"/>
    <col min="12" max="12" width="10" customWidth="1"/>
    <col min="18" max="19" width="11.75" customWidth="1"/>
    <col min="20" max="20" width="7.75" customWidth="1"/>
    <col min="21" max="21" width="64.75" customWidth="1"/>
    <col min="22" max="22" width="29.5" customWidth="1"/>
    <col min="23" max="23" width="34.75" customWidth="1"/>
    <col min="25" max="25" width="57.875" customWidth="1"/>
    <col min="26" max="26" width="58" hidden="1" customWidth="1"/>
    <col min="27" max="27" width="10.625" customWidth="1"/>
    <col min="28" max="30" width="0" hidden="1" customWidth="1"/>
  </cols>
  <sheetData>
    <row r="1" spans="1:31" s="32" customFormat="1">
      <c r="A1" s="37" t="s">
        <v>2641</v>
      </c>
      <c r="B1" s="38" t="s">
        <v>0</v>
      </c>
      <c r="C1" s="8" t="s">
        <v>1</v>
      </c>
      <c r="D1" s="25" t="s">
        <v>145</v>
      </c>
      <c r="E1" s="18" t="s">
        <v>2</v>
      </c>
      <c r="F1" s="19" t="s">
        <v>3</v>
      </c>
      <c r="G1" s="17" t="s">
        <v>4</v>
      </c>
      <c r="H1" s="19" t="s">
        <v>5</v>
      </c>
      <c r="I1" s="19" t="s">
        <v>6</v>
      </c>
      <c r="J1" s="19" t="s">
        <v>7</v>
      </c>
      <c r="K1" s="19" t="s">
        <v>8</v>
      </c>
      <c r="L1" s="18" t="s">
        <v>9</v>
      </c>
      <c r="M1" s="21" t="s">
        <v>63</v>
      </c>
      <c r="N1" s="21" t="s">
        <v>64</v>
      </c>
      <c r="O1" s="21" t="s">
        <v>66</v>
      </c>
      <c r="P1" s="21" t="s">
        <v>65</v>
      </c>
      <c r="Q1" s="21" t="s">
        <v>163</v>
      </c>
      <c r="R1" s="21" t="s">
        <v>164</v>
      </c>
      <c r="S1" s="21" t="s">
        <v>3054</v>
      </c>
      <c r="T1" s="17" t="s">
        <v>88</v>
      </c>
      <c r="U1" s="17" t="s">
        <v>84</v>
      </c>
      <c r="V1" s="17" t="s">
        <v>85</v>
      </c>
      <c r="W1" s="17" t="s">
        <v>87</v>
      </c>
      <c r="X1" s="17" t="s">
        <v>86</v>
      </c>
      <c r="Y1" s="1" t="s">
        <v>43</v>
      </c>
      <c r="Z1" s="5" t="s">
        <v>3040</v>
      </c>
      <c r="AA1" s="66" t="s">
        <v>98</v>
      </c>
      <c r="AB1" s="16" t="s">
        <v>107</v>
      </c>
      <c r="AC1" s="17" t="s">
        <v>151</v>
      </c>
      <c r="AD1" s="17" t="s">
        <v>108</v>
      </c>
      <c r="AE1" s="17" t="s">
        <v>109</v>
      </c>
    </row>
    <row r="2" spans="1:31" ht="14.25">
      <c r="C2" s="7" t="str">
        <f t="shared" ref="C2:C11" si="0">TRIM(S2&amp;" "&amp;T2&amp;" "&amp;U2&amp;" "&amp;V2&amp;" "&amp;W2&amp;" "&amp;K2&amp;" "&amp;L2&amp;" "&amp;X2&amp;EX&amp;" "&amp;B2)</f>
        <v>◇ サイズ E</v>
      </c>
      <c r="D2" s="7">
        <f>(LENB(C2)-LEN(C2))+(LENB(C2)-(LENB(C2)-LEN(C2))*2)/2</f>
        <v>5.5</v>
      </c>
      <c r="E2" t="s">
        <v>71</v>
      </c>
      <c r="H2" t="str">
        <f>IFERROR(INDEX(コンディションランク!$B$1:$B$6,MATCH($G2,コンディションランク!$A$1:$A$6,0)),"")</f>
        <v/>
      </c>
      <c r="L2" s="9" t="s">
        <v>3031</v>
      </c>
      <c r="R2" t="s">
        <v>165</v>
      </c>
      <c r="S2" s="32" t="str">
        <f t="shared" ref="S2:S11" si="1">IFERROR(VLOOKUP(R2,梱包サイズ表,2,0),"")</f>
        <v>◇</v>
      </c>
      <c r="Y2" t="str">
        <f>"全長：約" &amp;M2&amp; "cm　幅：約" &amp;N2&amp; "cm　間隔：約" &amp;O2&amp; "cm　最短：約" &amp;Q2&amp; "cm  穴：" &amp;P2&amp; "個"</f>
        <v>全長：約cm　幅：約cm　間隔：約cm　最短：約cm  穴：個</v>
      </c>
      <c r="Z2" t="str">
        <f>SUBSTITUTE( Y2, "約-", "-" )</f>
        <v>全長：約cm　幅：約cm　間隔：約cm　最短：約cm  穴：個</v>
      </c>
      <c r="AA2" s="77" t="s">
        <v>166</v>
      </c>
      <c r="AC2" s="6"/>
    </row>
    <row r="3" spans="1:31" ht="14.25">
      <c r="C3" s="7" t="str">
        <f t="shared" si="0"/>
        <v>◇ サイズ E</v>
      </c>
      <c r="D3" s="7">
        <f t="shared" ref="D3:D11" si="2">(LENB(C3)-LEN(C3))+(LENB(C3)-(LENB(C3)-LEN(C3))*2)/2</f>
        <v>5.5</v>
      </c>
      <c r="E3" t="s">
        <v>71</v>
      </c>
      <c r="H3" t="str">
        <f>IFERROR(INDEX(コンディションランク!$B$1:$B$6,MATCH($G3,コンディションランク!$A$1:$A$6,0)),"")</f>
        <v/>
      </c>
      <c r="L3" s="9" t="s">
        <v>3031</v>
      </c>
      <c r="R3" t="s">
        <v>165</v>
      </c>
      <c r="S3" s="32" t="str">
        <f t="shared" si="1"/>
        <v>◇</v>
      </c>
      <c r="Y3" t="str">
        <f t="shared" ref="Y3:Y11" si="3">"全長：約" &amp;M3&amp; "cm　幅：約" &amp;N3&amp; "cm　間隔：約" &amp;O3&amp; "cm　最短：約" &amp;Q3&amp; "cm  穴：" &amp;P3&amp; "個"</f>
        <v>全長：約cm　幅：約cm　間隔：約cm　最短：約cm  穴：個</v>
      </c>
      <c r="Z3" t="str">
        <f t="shared" ref="Z3:Z11" si="4">SUBSTITUTE( Y3, "約-", "-" )</f>
        <v>全長：約cm　幅：約cm　間隔：約cm　最短：約cm  穴：個</v>
      </c>
      <c r="AA3" s="77" t="s">
        <v>166</v>
      </c>
      <c r="AC3" s="6"/>
    </row>
    <row r="4" spans="1:31" ht="14.25">
      <c r="C4" s="7" t="str">
        <f t="shared" si="0"/>
        <v>◇ サイズ E</v>
      </c>
      <c r="D4" s="7">
        <f t="shared" si="2"/>
        <v>5.5</v>
      </c>
      <c r="E4" t="s">
        <v>71</v>
      </c>
      <c r="H4" t="str">
        <f>IFERROR(INDEX(コンディションランク!$B$1:$B$6,MATCH($G4,コンディションランク!$A$1:$A$6,0)),"")</f>
        <v/>
      </c>
      <c r="L4" s="9" t="s">
        <v>3031</v>
      </c>
      <c r="R4" t="s">
        <v>165</v>
      </c>
      <c r="S4" s="32" t="str">
        <f t="shared" si="1"/>
        <v>◇</v>
      </c>
      <c r="Y4" t="str">
        <f t="shared" si="3"/>
        <v>全長：約cm　幅：約cm　間隔：約cm　最短：約cm  穴：個</v>
      </c>
      <c r="Z4" t="str">
        <f t="shared" si="4"/>
        <v>全長：約cm　幅：約cm　間隔：約cm　最短：約cm  穴：個</v>
      </c>
      <c r="AA4" s="77" t="s">
        <v>166</v>
      </c>
      <c r="AC4" s="6"/>
    </row>
    <row r="5" spans="1:31" ht="14.25">
      <c r="C5" s="7" t="str">
        <f t="shared" si="0"/>
        <v>◇ サイズ E</v>
      </c>
      <c r="D5" s="7">
        <f t="shared" si="2"/>
        <v>5.5</v>
      </c>
      <c r="E5" t="s">
        <v>71</v>
      </c>
      <c r="H5" t="str">
        <f>IFERROR(INDEX(コンディションランク!$B$1:$B$6,MATCH($G5,コンディションランク!$A$1:$A$6,0)),"")</f>
        <v/>
      </c>
      <c r="L5" s="9" t="s">
        <v>3031</v>
      </c>
      <c r="R5" t="s">
        <v>165</v>
      </c>
      <c r="S5" s="32" t="str">
        <f t="shared" si="1"/>
        <v>◇</v>
      </c>
      <c r="Y5" t="str">
        <f t="shared" si="3"/>
        <v>全長：約cm　幅：約cm　間隔：約cm　最短：約cm  穴：個</v>
      </c>
      <c r="Z5" t="str">
        <f t="shared" si="4"/>
        <v>全長：約cm　幅：約cm　間隔：約cm　最短：約cm  穴：個</v>
      </c>
      <c r="AA5" s="77" t="s">
        <v>166</v>
      </c>
      <c r="AC5" s="6"/>
    </row>
    <row r="6" spans="1:31" ht="14.25">
      <c r="C6" s="7" t="str">
        <f t="shared" si="0"/>
        <v>◇ サイズ E</v>
      </c>
      <c r="D6" s="7">
        <f t="shared" si="2"/>
        <v>5.5</v>
      </c>
      <c r="E6" t="s">
        <v>71</v>
      </c>
      <c r="H6" t="str">
        <f>IFERROR(INDEX(コンディションランク!$B$1:$B$6,MATCH($G6,コンディションランク!$A$1:$A$6,0)),"")</f>
        <v/>
      </c>
      <c r="L6" s="9" t="s">
        <v>3031</v>
      </c>
      <c r="R6" t="s">
        <v>165</v>
      </c>
      <c r="S6" s="32" t="str">
        <f t="shared" si="1"/>
        <v>◇</v>
      </c>
      <c r="Y6" t="str">
        <f t="shared" si="3"/>
        <v>全長：約cm　幅：約cm　間隔：約cm　最短：約cm  穴：個</v>
      </c>
      <c r="Z6" t="str">
        <f t="shared" si="4"/>
        <v>全長：約cm　幅：約cm　間隔：約cm　最短：約cm  穴：個</v>
      </c>
      <c r="AA6" s="77" t="s">
        <v>166</v>
      </c>
      <c r="AC6" s="6"/>
    </row>
    <row r="7" spans="1:31" ht="14.25">
      <c r="C7" s="7" t="str">
        <f t="shared" si="0"/>
        <v>◇ サイズ E</v>
      </c>
      <c r="D7" s="7">
        <f t="shared" si="2"/>
        <v>5.5</v>
      </c>
      <c r="E7" t="s">
        <v>71</v>
      </c>
      <c r="H7" t="str">
        <f>IFERROR(INDEX(コンディションランク!$B$1:$B$6,MATCH($G7,コンディションランク!$A$1:$A$6,0)),"")</f>
        <v/>
      </c>
      <c r="L7" s="9" t="s">
        <v>3031</v>
      </c>
      <c r="R7" t="s">
        <v>165</v>
      </c>
      <c r="S7" s="32" t="str">
        <f t="shared" si="1"/>
        <v>◇</v>
      </c>
      <c r="Y7" t="str">
        <f t="shared" si="3"/>
        <v>全長：約cm　幅：約cm　間隔：約cm　最短：約cm  穴：個</v>
      </c>
      <c r="Z7" t="str">
        <f t="shared" si="4"/>
        <v>全長：約cm　幅：約cm　間隔：約cm　最短：約cm  穴：個</v>
      </c>
      <c r="AA7" s="77" t="s">
        <v>166</v>
      </c>
      <c r="AC7" s="6"/>
    </row>
    <row r="8" spans="1:31" ht="14.25">
      <c r="C8" s="7" t="str">
        <f t="shared" si="0"/>
        <v>◇ サイズ E</v>
      </c>
      <c r="D8" s="7">
        <f t="shared" si="2"/>
        <v>5.5</v>
      </c>
      <c r="E8" t="s">
        <v>71</v>
      </c>
      <c r="H8" t="str">
        <f>IFERROR(INDEX(コンディションランク!$B$1:$B$6,MATCH($G8,コンディションランク!$A$1:$A$6,0)),"")</f>
        <v/>
      </c>
      <c r="L8" s="9" t="s">
        <v>3031</v>
      </c>
      <c r="R8" t="s">
        <v>165</v>
      </c>
      <c r="S8" s="32" t="str">
        <f t="shared" si="1"/>
        <v>◇</v>
      </c>
      <c r="Y8" t="str">
        <f t="shared" si="3"/>
        <v>全長：約cm　幅：約cm　間隔：約cm　最短：約cm  穴：個</v>
      </c>
      <c r="Z8" t="str">
        <f t="shared" si="4"/>
        <v>全長：約cm　幅：約cm　間隔：約cm　最短：約cm  穴：個</v>
      </c>
      <c r="AA8" s="77" t="s">
        <v>166</v>
      </c>
      <c r="AC8" s="6"/>
    </row>
    <row r="9" spans="1:31" ht="14.25">
      <c r="C9" s="7" t="str">
        <f t="shared" si="0"/>
        <v>◇ サイズ E</v>
      </c>
      <c r="D9" s="7">
        <f t="shared" si="2"/>
        <v>5.5</v>
      </c>
      <c r="E9" t="s">
        <v>71</v>
      </c>
      <c r="H9" t="str">
        <f>IFERROR(INDEX(コンディションランク!$B$1:$B$6,MATCH($G9,コンディションランク!$A$1:$A$6,0)),"")</f>
        <v/>
      </c>
      <c r="L9" s="9" t="s">
        <v>3031</v>
      </c>
      <c r="R9" t="s">
        <v>165</v>
      </c>
      <c r="S9" s="32" t="str">
        <f t="shared" si="1"/>
        <v>◇</v>
      </c>
      <c r="Y9" t="str">
        <f t="shared" si="3"/>
        <v>全長：約cm　幅：約cm　間隔：約cm　最短：約cm  穴：個</v>
      </c>
      <c r="Z9" t="str">
        <f t="shared" si="4"/>
        <v>全長：約cm　幅：約cm　間隔：約cm　最短：約cm  穴：個</v>
      </c>
      <c r="AA9" s="77" t="s">
        <v>166</v>
      </c>
      <c r="AC9" s="6"/>
    </row>
    <row r="10" spans="1:31" ht="14.25">
      <c r="C10" s="7" t="str">
        <f t="shared" si="0"/>
        <v>◇ サイズ E</v>
      </c>
      <c r="D10" s="7">
        <f t="shared" si="2"/>
        <v>5.5</v>
      </c>
      <c r="E10" t="s">
        <v>71</v>
      </c>
      <c r="H10" t="str">
        <f>IFERROR(INDEX(コンディションランク!$B$1:$B$6,MATCH($G10,コンディションランク!$A$1:$A$6,0)),"")</f>
        <v/>
      </c>
      <c r="L10" s="9" t="s">
        <v>3031</v>
      </c>
      <c r="R10" t="s">
        <v>165</v>
      </c>
      <c r="S10" s="32" t="str">
        <f t="shared" si="1"/>
        <v>◇</v>
      </c>
      <c r="Y10" t="str">
        <f t="shared" si="3"/>
        <v>全長：約cm　幅：約cm　間隔：約cm　最短：約cm  穴：個</v>
      </c>
      <c r="Z10" t="str">
        <f t="shared" si="4"/>
        <v>全長：約cm　幅：約cm　間隔：約cm　最短：約cm  穴：個</v>
      </c>
      <c r="AA10" s="77" t="s">
        <v>166</v>
      </c>
      <c r="AC10" s="6"/>
    </row>
    <row r="11" spans="1:31" ht="14.25">
      <c r="C11" s="7" t="str">
        <f t="shared" si="0"/>
        <v>◇ サイズ E</v>
      </c>
      <c r="D11" s="7">
        <f t="shared" si="2"/>
        <v>5.5</v>
      </c>
      <c r="E11" t="s">
        <v>71</v>
      </c>
      <c r="H11" t="str">
        <f>IFERROR(INDEX(コンディションランク!$B$1:$B$6,MATCH($G11,コンディションランク!$A$1:$A$6,0)),"")</f>
        <v/>
      </c>
      <c r="L11" s="9" t="s">
        <v>3031</v>
      </c>
      <c r="R11" t="s">
        <v>165</v>
      </c>
      <c r="S11" s="32" t="str">
        <f t="shared" si="1"/>
        <v>◇</v>
      </c>
      <c r="Y11" t="str">
        <f t="shared" si="3"/>
        <v>全長：約cm　幅：約cm　間隔：約cm　最短：約cm  穴：個</v>
      </c>
      <c r="Z11" t="str">
        <f t="shared" si="4"/>
        <v>全長：約cm　幅：約cm　間隔：約cm　最短：約cm  穴：個</v>
      </c>
      <c r="AA11" s="77" t="s">
        <v>166</v>
      </c>
      <c r="AC11" s="6"/>
    </row>
    <row r="12" spans="1:31">
      <c r="A12" s="79"/>
      <c r="B12" s="13"/>
      <c r="C12" s="4"/>
      <c r="D12" s="4"/>
      <c r="E12" s="4"/>
      <c r="F12" s="4"/>
      <c r="G12" s="4"/>
      <c r="H12" s="4"/>
      <c r="I12" s="4"/>
      <c r="J12" s="4"/>
      <c r="K12" s="4"/>
      <c r="L12" s="4"/>
      <c r="M12" s="4"/>
      <c r="N12" s="4"/>
      <c r="O12" s="4"/>
      <c r="P12" s="4"/>
      <c r="Q12" s="4"/>
      <c r="R12" s="4"/>
      <c r="S12" s="4"/>
      <c r="T12" s="4"/>
      <c r="U12" s="4"/>
      <c r="V12" s="4"/>
      <c r="W12" s="4"/>
      <c r="X12" s="4"/>
      <c r="Y12" s="4"/>
      <c r="Z12" s="4"/>
      <c r="AA12" s="4"/>
    </row>
    <row r="150" spans="2:2">
      <c r="B150"/>
    </row>
    <row r="151" spans="2:2">
      <c r="B151"/>
    </row>
    <row r="152" spans="2:2">
      <c r="B152"/>
    </row>
  </sheetData>
  <phoneticPr fontId="4"/>
  <conditionalFormatting sqref="B2:B11">
    <cfRule type="duplicateValues" dxfId="15" priority="1"/>
    <cfRule type="duplicateValues" dxfId="14" priority="3"/>
  </conditionalFormatting>
  <conditionalFormatting sqref="D2:D11">
    <cfRule type="cellIs" dxfId="13" priority="2" operator="greaterThanOrEqual">
      <formula>65</formula>
    </cfRule>
  </conditionalFormatting>
  <dataValidations count="2">
    <dataValidation imeMode="off" allowBlank="1" showInputMessage="1" showErrorMessage="1" sqref="M1:Q1048576 B1:B1048576" xr:uid="{5A2B8191-5B93-4CC2-9FD8-7CC225850307}"/>
    <dataValidation type="list" allowBlank="1" showInputMessage="1" showErrorMessage="1" sqref="R2:R11" xr:uid="{6E3F7A46-6E6F-4970-AFEE-C92C92663AF1}">
      <formula1>梱包</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57A619DA-6C49-4868-B2BE-E8A973F6B075}">
          <x14:formula1>
            <xm:f>コンディションランク!$A$1:$A$6</xm:f>
          </x14:formula1>
          <xm:sqref>G2:G11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dimension ref="A1:AB1048387"/>
  <sheetViews>
    <sheetView zoomScale="85" zoomScaleNormal="85" workbookViewId="0">
      <pane ySplit="1" topLeftCell="A2" activePane="bottomLeft" state="frozen"/>
      <selection pane="bottomLeft" activeCell="B2" sqref="B2"/>
    </sheetView>
  </sheetViews>
  <sheetFormatPr defaultRowHeight="13.5"/>
  <cols>
    <col min="1" max="1" width="14" style="9" customWidth="1"/>
    <col min="2" max="2" width="16.25" style="14" customWidth="1"/>
    <col min="3" max="3" width="80.625" customWidth="1"/>
    <col min="4" max="4" width="5.625" customWidth="1"/>
    <col min="5" max="5" width="3.875" customWidth="1"/>
    <col min="6" max="6" width="9" hidden="1" customWidth="1"/>
    <col min="7" max="7" width="3.625" customWidth="1"/>
    <col min="8" max="8" width="9" customWidth="1"/>
    <col min="9" max="9" width="9" hidden="1" customWidth="1"/>
    <col min="10" max="10" width="28.375" customWidth="1"/>
    <col min="11" max="11" width="22.875" customWidth="1"/>
    <col min="12" max="12" width="23.375" customWidth="1"/>
    <col min="15" max="16" width="11.75" customWidth="1"/>
    <col min="17" max="17" width="6.875" customWidth="1"/>
    <col min="18" max="18" width="59.75" customWidth="1"/>
    <col min="19" max="19" width="42.125" customWidth="1"/>
    <col min="20" max="20" width="32" customWidth="1"/>
    <col min="21" max="21" width="11.375" customWidth="1"/>
    <col min="22" max="22" width="29.125" customWidth="1"/>
    <col min="23" max="23" width="28.75" hidden="1" customWidth="1"/>
    <col min="24" max="24" width="13.75" customWidth="1"/>
    <col min="25" max="27" width="0" hidden="1" customWidth="1"/>
  </cols>
  <sheetData>
    <row r="1" spans="1:28" s="32" customFormat="1">
      <c r="A1" s="37" t="s">
        <v>2641</v>
      </c>
      <c r="B1" s="38" t="s">
        <v>0</v>
      </c>
      <c r="C1" s="8" t="s">
        <v>1</v>
      </c>
      <c r="D1" s="25" t="s">
        <v>145</v>
      </c>
      <c r="E1" s="18" t="s">
        <v>2</v>
      </c>
      <c r="F1" s="19" t="s">
        <v>3</v>
      </c>
      <c r="G1" s="17" t="s">
        <v>4</v>
      </c>
      <c r="H1" s="19" t="s">
        <v>5</v>
      </c>
      <c r="I1" s="19" t="s">
        <v>6</v>
      </c>
      <c r="J1" s="19" t="s">
        <v>7</v>
      </c>
      <c r="K1" s="19" t="s">
        <v>8</v>
      </c>
      <c r="L1" s="18" t="s">
        <v>9</v>
      </c>
      <c r="M1" s="21" t="s">
        <v>63</v>
      </c>
      <c r="N1" s="21" t="s">
        <v>64</v>
      </c>
      <c r="O1" s="21" t="s">
        <v>164</v>
      </c>
      <c r="P1" s="21" t="s">
        <v>3054</v>
      </c>
      <c r="Q1" s="17" t="s">
        <v>88</v>
      </c>
      <c r="R1" s="17" t="s">
        <v>84</v>
      </c>
      <c r="S1" s="17" t="s">
        <v>85</v>
      </c>
      <c r="T1" s="17" t="s">
        <v>87</v>
      </c>
      <c r="U1" s="17" t="s">
        <v>86</v>
      </c>
      <c r="V1" s="1" t="s">
        <v>3022</v>
      </c>
      <c r="W1" s="1" t="s">
        <v>3024</v>
      </c>
      <c r="X1" s="66" t="s">
        <v>98</v>
      </c>
      <c r="Y1" s="16" t="s">
        <v>107</v>
      </c>
      <c r="Z1" s="17" t="s">
        <v>151</v>
      </c>
      <c r="AA1" s="17" t="s">
        <v>108</v>
      </c>
      <c r="AB1" s="17" t="s">
        <v>109</v>
      </c>
    </row>
    <row r="2" spans="1:28" ht="14.25">
      <c r="C2" t="str">
        <f t="shared" ref="C2:C33" si="0">TRIM(P2&amp;" "&amp;Q2&amp;" "&amp;R2&amp;" "&amp;S2&amp;" "&amp;T2&amp;" "&amp;L2&amp;" "&amp;K2&amp;" "&amp;U2&amp;EX&amp;" "&amp;B2)</f>
        <v>◇ E</v>
      </c>
      <c r="D2" s="7">
        <f>(LENB(C2)-LEN(C2))+(LENB(C2)-(LENB(C2)-LEN(C2))*2)/2</f>
        <v>2</v>
      </c>
      <c r="E2" t="s">
        <v>71</v>
      </c>
      <c r="H2" t="str">
        <f>IFERROR(INDEX(コンディションランク!$B$1:$B$6,MATCH($G2,コンディションランク!$A$1:$A$6,0)),"")</f>
        <v/>
      </c>
      <c r="L2" s="9"/>
      <c r="O2" t="s">
        <v>165</v>
      </c>
      <c r="P2" s="32" t="str">
        <f t="shared" ref="P2:P33" si="1">IFERROR(VLOOKUP(O2,梱包サイズ表,2,0),"")</f>
        <v>◇</v>
      </c>
      <c r="V2" t="str">
        <f>"全長：約" &amp;M2&amp; "cm　最大幅：約" &amp;N2&amp; "cm"</f>
        <v>全長：約cm　最大幅：約cm</v>
      </c>
      <c r="W2" t="str">
        <f>SUBSTITUTE( V2, "約-", "-" )</f>
        <v>全長：約cm　最大幅：約cm</v>
      </c>
      <c r="X2" s="77" t="s">
        <v>166</v>
      </c>
      <c r="Z2" s="6"/>
    </row>
    <row r="3" spans="1:28" ht="14.25">
      <c r="C3" t="str">
        <f t="shared" si="0"/>
        <v>◇ E</v>
      </c>
      <c r="D3" s="7">
        <f t="shared" ref="D3:D66" si="2">(LENB(C3)-LEN(C3))+(LENB(C3)-(LENB(C3)-LEN(C3))*2)/2</f>
        <v>2</v>
      </c>
      <c r="E3" t="s">
        <v>71</v>
      </c>
      <c r="H3" t="str">
        <f>IFERROR(INDEX(コンディションランク!$B$1:$B$6,MATCH($G3,コンディションランク!$A$1:$A$6,0)),"")</f>
        <v/>
      </c>
      <c r="L3" s="9"/>
      <c r="O3" t="s">
        <v>165</v>
      </c>
      <c r="P3" s="32" t="str">
        <f t="shared" si="1"/>
        <v>◇</v>
      </c>
      <c r="V3" t="str">
        <f t="shared" ref="V3:V66" si="3">"全長：約" &amp;M3&amp; "cm　最大幅：約" &amp;N3&amp; "cm"</f>
        <v>全長：約cm　最大幅：約cm</v>
      </c>
      <c r="W3" t="str">
        <f t="shared" ref="W3:W66" si="4">SUBSTITUTE( V3, "約-", "-" )</f>
        <v>全長：約cm　最大幅：約cm</v>
      </c>
      <c r="X3" s="77" t="s">
        <v>166</v>
      </c>
      <c r="Z3" s="6"/>
    </row>
    <row r="4" spans="1:28" ht="14.25">
      <c r="C4" t="str">
        <f t="shared" si="0"/>
        <v>◇ E</v>
      </c>
      <c r="D4" s="7">
        <f t="shared" si="2"/>
        <v>2</v>
      </c>
      <c r="E4" t="s">
        <v>71</v>
      </c>
      <c r="H4" t="str">
        <f>IFERROR(INDEX(コンディションランク!$B$1:$B$6,MATCH($G4,コンディションランク!$A$1:$A$6,0)),"")</f>
        <v/>
      </c>
      <c r="L4" s="9"/>
      <c r="O4" t="s">
        <v>165</v>
      </c>
      <c r="P4" s="32" t="str">
        <f t="shared" si="1"/>
        <v>◇</v>
      </c>
      <c r="V4" t="str">
        <f t="shared" si="3"/>
        <v>全長：約cm　最大幅：約cm</v>
      </c>
      <c r="W4" t="str">
        <f t="shared" si="4"/>
        <v>全長：約cm　最大幅：約cm</v>
      </c>
      <c r="X4" s="77" t="s">
        <v>166</v>
      </c>
      <c r="Z4" s="6"/>
    </row>
    <row r="5" spans="1:28" ht="14.25">
      <c r="C5" t="str">
        <f t="shared" si="0"/>
        <v>◇ E</v>
      </c>
      <c r="D5" s="7">
        <f t="shared" si="2"/>
        <v>2</v>
      </c>
      <c r="E5" t="s">
        <v>71</v>
      </c>
      <c r="H5" t="str">
        <f>IFERROR(INDEX(コンディションランク!$B$1:$B$6,MATCH($G5,コンディションランク!$A$1:$A$6,0)),"")</f>
        <v/>
      </c>
      <c r="L5" s="9"/>
      <c r="O5" t="s">
        <v>165</v>
      </c>
      <c r="P5" s="32" t="str">
        <f t="shared" si="1"/>
        <v>◇</v>
      </c>
      <c r="V5" t="str">
        <f t="shared" si="3"/>
        <v>全長：約cm　最大幅：約cm</v>
      </c>
      <c r="W5" t="str">
        <f t="shared" si="4"/>
        <v>全長：約cm　最大幅：約cm</v>
      </c>
      <c r="X5" s="77" t="s">
        <v>166</v>
      </c>
      <c r="Z5" s="6"/>
    </row>
    <row r="6" spans="1:28" ht="14.25">
      <c r="C6" t="str">
        <f t="shared" si="0"/>
        <v>◇ E</v>
      </c>
      <c r="D6" s="7">
        <f t="shared" si="2"/>
        <v>2</v>
      </c>
      <c r="E6" t="s">
        <v>71</v>
      </c>
      <c r="H6" t="str">
        <f>IFERROR(INDEX(コンディションランク!$B$1:$B$6,MATCH($G6,コンディションランク!$A$1:$A$6,0)),"")</f>
        <v/>
      </c>
      <c r="L6" s="9"/>
      <c r="O6" t="s">
        <v>165</v>
      </c>
      <c r="P6" s="32" t="str">
        <f t="shared" si="1"/>
        <v>◇</v>
      </c>
      <c r="V6" t="str">
        <f t="shared" si="3"/>
        <v>全長：約cm　最大幅：約cm</v>
      </c>
      <c r="W6" t="str">
        <f t="shared" si="4"/>
        <v>全長：約cm　最大幅：約cm</v>
      </c>
      <c r="X6" s="77" t="s">
        <v>166</v>
      </c>
      <c r="Z6" s="6"/>
    </row>
    <row r="7" spans="1:28" ht="14.25">
      <c r="C7" t="str">
        <f t="shared" si="0"/>
        <v>◇ E</v>
      </c>
      <c r="D7" s="7">
        <f t="shared" si="2"/>
        <v>2</v>
      </c>
      <c r="E7" t="s">
        <v>71</v>
      </c>
      <c r="H7" t="str">
        <f>IFERROR(INDEX(コンディションランク!$B$1:$B$6,MATCH($G7,コンディションランク!$A$1:$A$6,0)),"")</f>
        <v/>
      </c>
      <c r="L7" s="6"/>
      <c r="O7" t="s">
        <v>165</v>
      </c>
      <c r="P7" s="32" t="str">
        <f t="shared" si="1"/>
        <v>◇</v>
      </c>
      <c r="V7" t="str">
        <f t="shared" si="3"/>
        <v>全長：約cm　最大幅：約cm</v>
      </c>
      <c r="W7" t="str">
        <f t="shared" si="4"/>
        <v>全長：約cm　最大幅：約cm</v>
      </c>
      <c r="X7" s="77" t="s">
        <v>166</v>
      </c>
      <c r="Z7" s="6"/>
    </row>
    <row r="8" spans="1:28" ht="14.25">
      <c r="C8" t="str">
        <f t="shared" si="0"/>
        <v>◇ E</v>
      </c>
      <c r="D8" s="7">
        <f t="shared" si="2"/>
        <v>2</v>
      </c>
      <c r="E8" t="s">
        <v>71</v>
      </c>
      <c r="H8" t="str">
        <f>IFERROR(INDEX(コンディションランク!$B$1:$B$6,MATCH($G8,コンディションランク!$A$1:$A$6,0)),"")</f>
        <v/>
      </c>
      <c r="L8" s="9"/>
      <c r="O8" t="s">
        <v>165</v>
      </c>
      <c r="P8" s="32" t="str">
        <f t="shared" si="1"/>
        <v>◇</v>
      </c>
      <c r="V8" t="str">
        <f t="shared" si="3"/>
        <v>全長：約cm　最大幅：約cm</v>
      </c>
      <c r="W8" t="str">
        <f t="shared" si="4"/>
        <v>全長：約cm　最大幅：約cm</v>
      </c>
      <c r="X8" s="77" t="s">
        <v>166</v>
      </c>
      <c r="Z8" s="6"/>
    </row>
    <row r="9" spans="1:28" ht="14.25">
      <c r="C9" t="str">
        <f t="shared" si="0"/>
        <v>◇ E</v>
      </c>
      <c r="D9" s="7">
        <f t="shared" si="2"/>
        <v>2</v>
      </c>
      <c r="E9" t="s">
        <v>71</v>
      </c>
      <c r="H9" t="str">
        <f>IFERROR(INDEX(コンディションランク!$B$1:$B$6,MATCH($G9,コンディションランク!$A$1:$A$6,0)),"")</f>
        <v/>
      </c>
      <c r="L9" s="9"/>
      <c r="O9" t="s">
        <v>165</v>
      </c>
      <c r="P9" s="32" t="str">
        <f t="shared" si="1"/>
        <v>◇</v>
      </c>
      <c r="V9" t="str">
        <f t="shared" si="3"/>
        <v>全長：約cm　最大幅：約cm</v>
      </c>
      <c r="W9" t="str">
        <f t="shared" si="4"/>
        <v>全長：約cm　最大幅：約cm</v>
      </c>
      <c r="X9" s="77" t="s">
        <v>166</v>
      </c>
      <c r="Z9" s="6"/>
    </row>
    <row r="10" spans="1:28" ht="14.25">
      <c r="C10" t="str">
        <f t="shared" si="0"/>
        <v>◇ E</v>
      </c>
      <c r="D10" s="7">
        <f t="shared" si="2"/>
        <v>2</v>
      </c>
      <c r="E10" t="s">
        <v>71</v>
      </c>
      <c r="H10" t="str">
        <f>IFERROR(INDEX(コンディションランク!$B$1:$B$6,MATCH($G10,コンディションランク!$A$1:$A$6,0)),"")</f>
        <v/>
      </c>
      <c r="L10" s="9"/>
      <c r="O10" t="s">
        <v>165</v>
      </c>
      <c r="P10" s="32" t="str">
        <f t="shared" si="1"/>
        <v>◇</v>
      </c>
      <c r="V10" t="str">
        <f t="shared" si="3"/>
        <v>全長：約cm　最大幅：約cm</v>
      </c>
      <c r="W10" t="str">
        <f t="shared" si="4"/>
        <v>全長：約cm　最大幅：約cm</v>
      </c>
      <c r="X10" s="77" t="s">
        <v>166</v>
      </c>
      <c r="Z10" s="6"/>
    </row>
    <row r="11" spans="1:28" ht="14.25">
      <c r="C11" t="str">
        <f t="shared" si="0"/>
        <v>◇ E</v>
      </c>
      <c r="D11" s="7">
        <f t="shared" si="2"/>
        <v>2</v>
      </c>
      <c r="E11" t="s">
        <v>71</v>
      </c>
      <c r="H11" t="str">
        <f>IFERROR(INDEX(コンディションランク!$B$1:$B$6,MATCH($G11,コンディションランク!$A$1:$A$6,0)),"")</f>
        <v/>
      </c>
      <c r="L11" s="9"/>
      <c r="O11" t="s">
        <v>165</v>
      </c>
      <c r="P11" s="32" t="str">
        <f t="shared" si="1"/>
        <v>◇</v>
      </c>
      <c r="V11" t="str">
        <f t="shared" si="3"/>
        <v>全長：約cm　最大幅：約cm</v>
      </c>
      <c r="W11" t="str">
        <f t="shared" si="4"/>
        <v>全長：約cm　最大幅：約cm</v>
      </c>
      <c r="X11" s="77" t="s">
        <v>166</v>
      </c>
      <c r="Z11" s="6"/>
    </row>
    <row r="12" spans="1:28" ht="14.25">
      <c r="C12" t="str">
        <f t="shared" si="0"/>
        <v>◇ E</v>
      </c>
      <c r="D12" s="7">
        <f t="shared" si="2"/>
        <v>2</v>
      </c>
      <c r="E12" t="s">
        <v>71</v>
      </c>
      <c r="H12" t="str">
        <f>IFERROR(INDEX(コンディションランク!$B$1:$B$6,MATCH($G12,コンディションランク!$A$1:$A$6,0)),"")</f>
        <v/>
      </c>
      <c r="L12" s="9"/>
      <c r="O12" t="s">
        <v>165</v>
      </c>
      <c r="P12" s="32" t="str">
        <f t="shared" si="1"/>
        <v>◇</v>
      </c>
      <c r="V12" t="str">
        <f t="shared" si="3"/>
        <v>全長：約cm　最大幅：約cm</v>
      </c>
      <c r="W12" t="str">
        <f t="shared" si="4"/>
        <v>全長：約cm　最大幅：約cm</v>
      </c>
      <c r="X12" s="77" t="s">
        <v>166</v>
      </c>
      <c r="Z12" s="6"/>
    </row>
    <row r="13" spans="1:28" ht="14.25">
      <c r="C13" t="str">
        <f t="shared" si="0"/>
        <v>◇ E</v>
      </c>
      <c r="D13" s="7">
        <f t="shared" si="2"/>
        <v>2</v>
      </c>
      <c r="E13" t="s">
        <v>71</v>
      </c>
      <c r="H13" t="str">
        <f>IFERROR(INDEX(コンディションランク!$B$1:$B$6,MATCH($G13,コンディションランク!$A$1:$A$6,0)),"")</f>
        <v/>
      </c>
      <c r="L13" s="9"/>
      <c r="O13" t="s">
        <v>165</v>
      </c>
      <c r="P13" s="32" t="str">
        <f t="shared" si="1"/>
        <v>◇</v>
      </c>
      <c r="V13" t="str">
        <f t="shared" si="3"/>
        <v>全長：約cm　最大幅：約cm</v>
      </c>
      <c r="W13" t="str">
        <f t="shared" si="4"/>
        <v>全長：約cm　最大幅：約cm</v>
      </c>
      <c r="X13" s="77" t="s">
        <v>166</v>
      </c>
      <c r="Z13" s="6"/>
    </row>
    <row r="14" spans="1:28" ht="14.25">
      <c r="C14" t="str">
        <f t="shared" si="0"/>
        <v>◇ E</v>
      </c>
      <c r="D14" s="7">
        <f t="shared" si="2"/>
        <v>2</v>
      </c>
      <c r="E14" t="s">
        <v>71</v>
      </c>
      <c r="H14" t="str">
        <f>IFERROR(INDEX(コンディションランク!$B$1:$B$6,MATCH($G14,コンディションランク!$A$1:$A$6,0)),"")</f>
        <v/>
      </c>
      <c r="L14" s="9"/>
      <c r="O14" t="s">
        <v>165</v>
      </c>
      <c r="P14" s="32" t="str">
        <f t="shared" si="1"/>
        <v>◇</v>
      </c>
      <c r="V14" t="str">
        <f t="shared" si="3"/>
        <v>全長：約cm　最大幅：約cm</v>
      </c>
      <c r="W14" t="str">
        <f t="shared" si="4"/>
        <v>全長：約cm　最大幅：約cm</v>
      </c>
      <c r="X14" s="77" t="s">
        <v>166</v>
      </c>
      <c r="Z14" s="6"/>
    </row>
    <row r="15" spans="1:28" ht="14.25">
      <c r="C15" t="str">
        <f t="shared" si="0"/>
        <v>◇ E</v>
      </c>
      <c r="D15" s="7">
        <f t="shared" si="2"/>
        <v>2</v>
      </c>
      <c r="E15" t="s">
        <v>71</v>
      </c>
      <c r="H15" t="str">
        <f>IFERROR(INDEX(コンディションランク!$B$1:$B$6,MATCH($G15,コンディションランク!$A$1:$A$6,0)),"")</f>
        <v/>
      </c>
      <c r="L15" s="9"/>
      <c r="O15" t="s">
        <v>165</v>
      </c>
      <c r="P15" s="32" t="str">
        <f t="shared" si="1"/>
        <v>◇</v>
      </c>
      <c r="V15" t="str">
        <f t="shared" si="3"/>
        <v>全長：約cm　最大幅：約cm</v>
      </c>
      <c r="W15" t="str">
        <f t="shared" si="4"/>
        <v>全長：約cm　最大幅：約cm</v>
      </c>
      <c r="X15" s="77" t="s">
        <v>166</v>
      </c>
      <c r="Z15" s="6"/>
    </row>
    <row r="16" spans="1:28" ht="14.25">
      <c r="C16" t="str">
        <f t="shared" si="0"/>
        <v>◇ E</v>
      </c>
      <c r="D16" s="7">
        <f t="shared" si="2"/>
        <v>2</v>
      </c>
      <c r="E16" t="s">
        <v>71</v>
      </c>
      <c r="H16" t="str">
        <f>IFERROR(INDEX(コンディションランク!$B$1:$B$6,MATCH($G16,コンディションランク!$A$1:$A$6,0)),"")</f>
        <v/>
      </c>
      <c r="L16" s="9"/>
      <c r="O16" t="s">
        <v>165</v>
      </c>
      <c r="P16" s="32" t="str">
        <f t="shared" si="1"/>
        <v>◇</v>
      </c>
      <c r="V16" t="str">
        <f t="shared" si="3"/>
        <v>全長：約cm　最大幅：約cm</v>
      </c>
      <c r="W16" t="str">
        <f t="shared" si="4"/>
        <v>全長：約cm　最大幅：約cm</v>
      </c>
      <c r="X16" s="77" t="s">
        <v>166</v>
      </c>
      <c r="Z16" s="6"/>
    </row>
    <row r="17" spans="3:26" ht="14.25">
      <c r="C17" t="str">
        <f t="shared" si="0"/>
        <v>◇ E</v>
      </c>
      <c r="D17" s="7">
        <f t="shared" si="2"/>
        <v>2</v>
      </c>
      <c r="E17" t="s">
        <v>71</v>
      </c>
      <c r="H17" t="str">
        <f>IFERROR(INDEX(コンディションランク!$B$1:$B$6,MATCH($G17,コンディションランク!$A$1:$A$6,0)),"")</f>
        <v/>
      </c>
      <c r="L17" s="9"/>
      <c r="O17" t="s">
        <v>165</v>
      </c>
      <c r="P17" s="32" t="str">
        <f t="shared" si="1"/>
        <v>◇</v>
      </c>
      <c r="V17" t="str">
        <f t="shared" si="3"/>
        <v>全長：約cm　最大幅：約cm</v>
      </c>
      <c r="W17" t="str">
        <f t="shared" si="4"/>
        <v>全長：約cm　最大幅：約cm</v>
      </c>
      <c r="X17" s="77" t="s">
        <v>166</v>
      </c>
      <c r="Z17" s="6"/>
    </row>
    <row r="18" spans="3:26" ht="14.25">
      <c r="C18" t="str">
        <f t="shared" si="0"/>
        <v>◇ E</v>
      </c>
      <c r="D18" s="7">
        <f t="shared" si="2"/>
        <v>2</v>
      </c>
      <c r="E18" t="s">
        <v>71</v>
      </c>
      <c r="H18" t="str">
        <f>IFERROR(INDEX(コンディションランク!$B$1:$B$6,MATCH($G18,コンディションランク!$A$1:$A$6,0)),"")</f>
        <v/>
      </c>
      <c r="L18" s="9"/>
      <c r="O18" t="s">
        <v>165</v>
      </c>
      <c r="P18" s="32" t="str">
        <f t="shared" si="1"/>
        <v>◇</v>
      </c>
      <c r="V18" t="str">
        <f t="shared" si="3"/>
        <v>全長：約cm　最大幅：約cm</v>
      </c>
      <c r="W18" t="str">
        <f t="shared" si="4"/>
        <v>全長：約cm　最大幅：約cm</v>
      </c>
      <c r="X18" s="77" t="s">
        <v>166</v>
      </c>
      <c r="Z18" s="6"/>
    </row>
    <row r="19" spans="3:26" ht="14.25">
      <c r="C19" t="str">
        <f t="shared" si="0"/>
        <v>◇ E</v>
      </c>
      <c r="D19" s="7">
        <f t="shared" si="2"/>
        <v>2</v>
      </c>
      <c r="E19" t="s">
        <v>71</v>
      </c>
      <c r="H19" t="str">
        <f>IFERROR(INDEX(コンディションランク!$B$1:$B$6,MATCH($G19,コンディションランク!$A$1:$A$6,0)),"")</f>
        <v/>
      </c>
      <c r="L19" s="9"/>
      <c r="O19" t="s">
        <v>165</v>
      </c>
      <c r="P19" s="32" t="str">
        <f t="shared" si="1"/>
        <v>◇</v>
      </c>
      <c r="V19" t="str">
        <f t="shared" si="3"/>
        <v>全長：約cm　最大幅：約cm</v>
      </c>
      <c r="W19" t="str">
        <f t="shared" si="4"/>
        <v>全長：約cm　最大幅：約cm</v>
      </c>
      <c r="X19" s="77" t="s">
        <v>166</v>
      </c>
      <c r="Z19" s="6"/>
    </row>
    <row r="20" spans="3:26" ht="14.25">
      <c r="C20" t="str">
        <f t="shared" si="0"/>
        <v>◇ E</v>
      </c>
      <c r="D20" s="7">
        <f t="shared" si="2"/>
        <v>2</v>
      </c>
      <c r="E20" t="s">
        <v>71</v>
      </c>
      <c r="H20" t="str">
        <f>IFERROR(INDEX(コンディションランク!$B$1:$B$6,MATCH($G20,コンディションランク!$A$1:$A$6,0)),"")</f>
        <v/>
      </c>
      <c r="L20" s="9"/>
      <c r="O20" t="s">
        <v>165</v>
      </c>
      <c r="P20" s="32" t="str">
        <f t="shared" si="1"/>
        <v>◇</v>
      </c>
      <c r="V20" t="str">
        <f t="shared" si="3"/>
        <v>全長：約cm　最大幅：約cm</v>
      </c>
      <c r="W20" t="str">
        <f t="shared" si="4"/>
        <v>全長：約cm　最大幅：約cm</v>
      </c>
      <c r="X20" s="77" t="s">
        <v>166</v>
      </c>
      <c r="Z20" s="6"/>
    </row>
    <row r="21" spans="3:26" ht="14.25">
      <c r="C21" t="str">
        <f t="shared" si="0"/>
        <v>◇ E</v>
      </c>
      <c r="D21" s="7">
        <f t="shared" si="2"/>
        <v>2</v>
      </c>
      <c r="E21" t="s">
        <v>71</v>
      </c>
      <c r="H21" t="str">
        <f>IFERROR(INDEX(コンディションランク!$B$1:$B$6,MATCH($G21,コンディションランク!$A$1:$A$6,0)),"")</f>
        <v/>
      </c>
      <c r="L21" s="9"/>
      <c r="O21" t="s">
        <v>165</v>
      </c>
      <c r="P21" s="32" t="str">
        <f t="shared" si="1"/>
        <v>◇</v>
      </c>
      <c r="V21" t="str">
        <f t="shared" si="3"/>
        <v>全長：約cm　最大幅：約cm</v>
      </c>
      <c r="W21" t="str">
        <f t="shared" si="4"/>
        <v>全長：約cm　最大幅：約cm</v>
      </c>
      <c r="X21" s="77" t="s">
        <v>166</v>
      </c>
      <c r="Z21" s="6"/>
    </row>
    <row r="22" spans="3:26" ht="14.25">
      <c r="C22" t="str">
        <f t="shared" si="0"/>
        <v>◇ E</v>
      </c>
      <c r="D22" s="7">
        <f t="shared" si="2"/>
        <v>2</v>
      </c>
      <c r="E22" t="s">
        <v>71</v>
      </c>
      <c r="H22" t="str">
        <f>IFERROR(INDEX(コンディションランク!$B$1:$B$6,MATCH($G22,コンディションランク!$A$1:$A$6,0)),"")</f>
        <v/>
      </c>
      <c r="L22" s="9"/>
      <c r="O22" t="s">
        <v>165</v>
      </c>
      <c r="P22" s="32" t="str">
        <f t="shared" si="1"/>
        <v>◇</v>
      </c>
      <c r="V22" t="str">
        <f t="shared" si="3"/>
        <v>全長：約cm　最大幅：約cm</v>
      </c>
      <c r="W22" t="str">
        <f t="shared" si="4"/>
        <v>全長：約cm　最大幅：約cm</v>
      </c>
      <c r="X22" s="77" t="s">
        <v>166</v>
      </c>
      <c r="Z22" s="6"/>
    </row>
    <row r="23" spans="3:26" ht="14.25">
      <c r="C23" t="str">
        <f t="shared" si="0"/>
        <v>◇ E</v>
      </c>
      <c r="D23" s="7">
        <f t="shared" si="2"/>
        <v>2</v>
      </c>
      <c r="E23" t="s">
        <v>71</v>
      </c>
      <c r="H23" t="str">
        <f>IFERROR(INDEX(コンディションランク!$B$1:$B$6,MATCH($G23,コンディションランク!$A$1:$A$6,0)),"")</f>
        <v/>
      </c>
      <c r="L23" s="9"/>
      <c r="O23" t="s">
        <v>165</v>
      </c>
      <c r="P23" s="32" t="str">
        <f t="shared" si="1"/>
        <v>◇</v>
      </c>
      <c r="V23" t="str">
        <f t="shared" si="3"/>
        <v>全長：約cm　最大幅：約cm</v>
      </c>
      <c r="W23" t="str">
        <f t="shared" si="4"/>
        <v>全長：約cm　最大幅：約cm</v>
      </c>
      <c r="X23" s="77" t="s">
        <v>166</v>
      </c>
      <c r="Z23" s="6"/>
    </row>
    <row r="24" spans="3:26" ht="14.25">
      <c r="C24" t="str">
        <f t="shared" si="0"/>
        <v>◇ E</v>
      </c>
      <c r="D24" s="7">
        <f t="shared" si="2"/>
        <v>2</v>
      </c>
      <c r="E24" t="s">
        <v>71</v>
      </c>
      <c r="H24" t="str">
        <f>IFERROR(INDEX(コンディションランク!$B$1:$B$6,MATCH($G24,コンディションランク!$A$1:$A$6,0)),"")</f>
        <v/>
      </c>
      <c r="L24" s="9"/>
      <c r="O24" t="s">
        <v>165</v>
      </c>
      <c r="P24" s="32" t="str">
        <f t="shared" si="1"/>
        <v>◇</v>
      </c>
      <c r="V24" t="str">
        <f t="shared" si="3"/>
        <v>全長：約cm　最大幅：約cm</v>
      </c>
      <c r="W24" t="str">
        <f t="shared" si="4"/>
        <v>全長：約cm　最大幅：約cm</v>
      </c>
      <c r="X24" s="77" t="s">
        <v>166</v>
      </c>
      <c r="Z24" s="6"/>
    </row>
    <row r="25" spans="3:26" ht="14.25">
      <c r="C25" t="str">
        <f t="shared" si="0"/>
        <v>◇ E</v>
      </c>
      <c r="D25" s="7">
        <f t="shared" si="2"/>
        <v>2</v>
      </c>
      <c r="E25" t="s">
        <v>71</v>
      </c>
      <c r="H25" t="str">
        <f>IFERROR(INDEX(コンディションランク!$B$1:$B$6,MATCH($G25,コンディションランク!$A$1:$A$6,0)),"")</f>
        <v/>
      </c>
      <c r="L25" s="9"/>
      <c r="O25" t="s">
        <v>165</v>
      </c>
      <c r="P25" s="32" t="str">
        <f t="shared" si="1"/>
        <v>◇</v>
      </c>
      <c r="V25" t="str">
        <f t="shared" si="3"/>
        <v>全長：約cm　最大幅：約cm</v>
      </c>
      <c r="W25" t="str">
        <f t="shared" si="4"/>
        <v>全長：約cm　最大幅：約cm</v>
      </c>
      <c r="X25" s="77" t="s">
        <v>166</v>
      </c>
      <c r="Z25" s="6"/>
    </row>
    <row r="26" spans="3:26" ht="14.25">
      <c r="C26" t="str">
        <f t="shared" si="0"/>
        <v>◇ E</v>
      </c>
      <c r="D26" s="7">
        <f t="shared" si="2"/>
        <v>2</v>
      </c>
      <c r="E26" t="s">
        <v>71</v>
      </c>
      <c r="H26" t="str">
        <f>IFERROR(INDEX(コンディションランク!$B$1:$B$6,MATCH($G26,コンディションランク!$A$1:$A$6,0)),"")</f>
        <v/>
      </c>
      <c r="L26" s="9"/>
      <c r="O26" t="s">
        <v>165</v>
      </c>
      <c r="P26" s="32" t="str">
        <f t="shared" si="1"/>
        <v>◇</v>
      </c>
      <c r="V26" t="str">
        <f t="shared" si="3"/>
        <v>全長：約cm　最大幅：約cm</v>
      </c>
      <c r="W26" t="str">
        <f t="shared" si="4"/>
        <v>全長：約cm　最大幅：約cm</v>
      </c>
      <c r="X26" s="77" t="s">
        <v>166</v>
      </c>
      <c r="Z26" s="6"/>
    </row>
    <row r="27" spans="3:26" ht="14.25">
      <c r="C27" t="str">
        <f t="shared" si="0"/>
        <v>◇ E</v>
      </c>
      <c r="D27" s="7">
        <f t="shared" si="2"/>
        <v>2</v>
      </c>
      <c r="E27" t="s">
        <v>71</v>
      </c>
      <c r="H27" t="str">
        <f>IFERROR(INDEX(コンディションランク!$B$1:$B$6,MATCH($G27,コンディションランク!$A$1:$A$6,0)),"")</f>
        <v/>
      </c>
      <c r="L27" s="9"/>
      <c r="O27" t="s">
        <v>165</v>
      </c>
      <c r="P27" s="32" t="str">
        <f t="shared" si="1"/>
        <v>◇</v>
      </c>
      <c r="V27" t="str">
        <f t="shared" si="3"/>
        <v>全長：約cm　最大幅：約cm</v>
      </c>
      <c r="W27" t="str">
        <f t="shared" si="4"/>
        <v>全長：約cm　最大幅：約cm</v>
      </c>
      <c r="X27" s="77" t="s">
        <v>166</v>
      </c>
      <c r="Z27" s="6"/>
    </row>
    <row r="28" spans="3:26" ht="14.25">
      <c r="C28" t="str">
        <f t="shared" si="0"/>
        <v>◇ E</v>
      </c>
      <c r="D28" s="7">
        <f t="shared" si="2"/>
        <v>2</v>
      </c>
      <c r="E28" t="s">
        <v>71</v>
      </c>
      <c r="H28" t="str">
        <f>IFERROR(INDEX(コンディションランク!$B$1:$B$6,MATCH($G28,コンディションランク!$A$1:$A$6,0)),"")</f>
        <v/>
      </c>
      <c r="L28" s="9"/>
      <c r="O28" t="s">
        <v>165</v>
      </c>
      <c r="P28" s="32" t="str">
        <f t="shared" si="1"/>
        <v>◇</v>
      </c>
      <c r="V28" t="str">
        <f t="shared" si="3"/>
        <v>全長：約cm　最大幅：約cm</v>
      </c>
      <c r="W28" t="str">
        <f t="shared" si="4"/>
        <v>全長：約cm　最大幅：約cm</v>
      </c>
      <c r="X28" s="77" t="s">
        <v>166</v>
      </c>
      <c r="Z28" s="6"/>
    </row>
    <row r="29" spans="3:26" ht="14.25">
      <c r="C29" t="str">
        <f t="shared" si="0"/>
        <v>◇ E</v>
      </c>
      <c r="D29" s="7">
        <f t="shared" si="2"/>
        <v>2</v>
      </c>
      <c r="E29" t="s">
        <v>71</v>
      </c>
      <c r="H29" t="str">
        <f>IFERROR(INDEX(コンディションランク!$B$1:$B$6,MATCH($G29,コンディションランク!$A$1:$A$6,0)),"")</f>
        <v/>
      </c>
      <c r="L29" s="9"/>
      <c r="O29" t="s">
        <v>165</v>
      </c>
      <c r="P29" s="32" t="str">
        <f t="shared" si="1"/>
        <v>◇</v>
      </c>
      <c r="V29" t="str">
        <f t="shared" si="3"/>
        <v>全長：約cm　最大幅：約cm</v>
      </c>
      <c r="W29" t="str">
        <f t="shared" si="4"/>
        <v>全長：約cm　最大幅：約cm</v>
      </c>
      <c r="X29" s="77" t="s">
        <v>166</v>
      </c>
      <c r="Z29" s="6"/>
    </row>
    <row r="30" spans="3:26" ht="14.25">
      <c r="C30" t="str">
        <f t="shared" si="0"/>
        <v>◇ E</v>
      </c>
      <c r="D30" s="7">
        <f t="shared" si="2"/>
        <v>2</v>
      </c>
      <c r="E30" t="s">
        <v>71</v>
      </c>
      <c r="H30" t="str">
        <f>IFERROR(INDEX(コンディションランク!$B$1:$B$6,MATCH($G30,コンディションランク!$A$1:$A$6,0)),"")</f>
        <v/>
      </c>
      <c r="L30" s="9"/>
      <c r="O30" t="s">
        <v>165</v>
      </c>
      <c r="P30" s="32" t="str">
        <f t="shared" si="1"/>
        <v>◇</v>
      </c>
      <c r="V30" t="str">
        <f t="shared" si="3"/>
        <v>全長：約cm　最大幅：約cm</v>
      </c>
      <c r="W30" t="str">
        <f t="shared" si="4"/>
        <v>全長：約cm　最大幅：約cm</v>
      </c>
      <c r="X30" s="77" t="s">
        <v>166</v>
      </c>
      <c r="Z30" s="6"/>
    </row>
    <row r="31" spans="3:26" ht="14.25">
      <c r="C31" t="str">
        <f t="shared" si="0"/>
        <v>◇ E</v>
      </c>
      <c r="D31" s="7">
        <f t="shared" si="2"/>
        <v>2</v>
      </c>
      <c r="E31" t="s">
        <v>71</v>
      </c>
      <c r="H31" t="str">
        <f>IFERROR(INDEX(コンディションランク!$B$1:$B$6,MATCH($G31,コンディションランク!$A$1:$A$6,0)),"")</f>
        <v/>
      </c>
      <c r="L31" s="9"/>
      <c r="O31" t="s">
        <v>165</v>
      </c>
      <c r="P31" s="32" t="str">
        <f t="shared" si="1"/>
        <v>◇</v>
      </c>
      <c r="V31" t="str">
        <f t="shared" si="3"/>
        <v>全長：約cm　最大幅：約cm</v>
      </c>
      <c r="W31" t="str">
        <f t="shared" si="4"/>
        <v>全長：約cm　最大幅：約cm</v>
      </c>
      <c r="X31" s="77" t="s">
        <v>166</v>
      </c>
      <c r="Z31" s="6"/>
    </row>
    <row r="32" spans="3:26" ht="14.25">
      <c r="C32" t="str">
        <f t="shared" si="0"/>
        <v>◇ E</v>
      </c>
      <c r="D32" s="7">
        <f t="shared" si="2"/>
        <v>2</v>
      </c>
      <c r="E32" t="s">
        <v>71</v>
      </c>
      <c r="H32" t="str">
        <f>IFERROR(INDEX(コンディションランク!$B$1:$B$6,MATCH($G32,コンディションランク!$A$1:$A$6,0)),"")</f>
        <v/>
      </c>
      <c r="L32" s="9"/>
      <c r="O32" t="s">
        <v>165</v>
      </c>
      <c r="P32" s="32" t="str">
        <f t="shared" si="1"/>
        <v>◇</v>
      </c>
      <c r="V32" t="str">
        <f t="shared" si="3"/>
        <v>全長：約cm　最大幅：約cm</v>
      </c>
      <c r="W32" t="str">
        <f t="shared" si="4"/>
        <v>全長：約cm　最大幅：約cm</v>
      </c>
      <c r="X32" s="77" t="s">
        <v>166</v>
      </c>
      <c r="Z32" s="6"/>
    </row>
    <row r="33" spans="3:26" ht="14.25">
      <c r="C33" t="str">
        <f t="shared" si="0"/>
        <v>◇ E</v>
      </c>
      <c r="D33" s="7">
        <f t="shared" si="2"/>
        <v>2</v>
      </c>
      <c r="E33" t="s">
        <v>71</v>
      </c>
      <c r="H33" t="str">
        <f>IFERROR(INDEX(コンディションランク!$B$1:$B$6,MATCH($G33,コンディションランク!$A$1:$A$6,0)),"")</f>
        <v/>
      </c>
      <c r="L33" s="9"/>
      <c r="O33" t="s">
        <v>165</v>
      </c>
      <c r="P33" s="32" t="str">
        <f t="shared" si="1"/>
        <v>◇</v>
      </c>
      <c r="V33" t="str">
        <f t="shared" si="3"/>
        <v>全長：約cm　最大幅：約cm</v>
      </c>
      <c r="W33" t="str">
        <f t="shared" si="4"/>
        <v>全長：約cm　最大幅：約cm</v>
      </c>
      <c r="X33" s="77" t="s">
        <v>166</v>
      </c>
      <c r="Z33" s="6"/>
    </row>
    <row r="34" spans="3:26" ht="14.25">
      <c r="C34" t="str">
        <f t="shared" ref="C34:C65" si="5">TRIM(P34&amp;" "&amp;Q34&amp;" "&amp;R34&amp;" "&amp;S34&amp;" "&amp;T34&amp;" "&amp;L34&amp;" "&amp;K34&amp;" "&amp;U34&amp;EX&amp;" "&amp;B34)</f>
        <v>◇ E</v>
      </c>
      <c r="D34" s="7">
        <f t="shared" si="2"/>
        <v>2</v>
      </c>
      <c r="E34" t="s">
        <v>71</v>
      </c>
      <c r="H34" t="str">
        <f>IFERROR(INDEX(コンディションランク!$B$1:$B$6,MATCH($G34,コンディションランク!$A$1:$A$6,0)),"")</f>
        <v/>
      </c>
      <c r="L34" s="9"/>
      <c r="O34" t="s">
        <v>165</v>
      </c>
      <c r="P34" s="32" t="str">
        <f t="shared" ref="P34:P65" si="6">IFERROR(VLOOKUP(O34,梱包サイズ表,2,0),"")</f>
        <v>◇</v>
      </c>
      <c r="V34" t="str">
        <f t="shared" si="3"/>
        <v>全長：約cm　最大幅：約cm</v>
      </c>
      <c r="W34" t="str">
        <f t="shared" si="4"/>
        <v>全長：約cm　最大幅：約cm</v>
      </c>
      <c r="X34" s="77" t="s">
        <v>166</v>
      </c>
      <c r="Z34" s="6"/>
    </row>
    <row r="35" spans="3:26" ht="14.25">
      <c r="C35" t="str">
        <f t="shared" si="5"/>
        <v>◇ E</v>
      </c>
      <c r="D35" s="7">
        <f t="shared" si="2"/>
        <v>2</v>
      </c>
      <c r="E35" t="s">
        <v>71</v>
      </c>
      <c r="H35" t="str">
        <f>IFERROR(INDEX(コンディションランク!$B$1:$B$6,MATCH($G35,コンディションランク!$A$1:$A$6,0)),"")</f>
        <v/>
      </c>
      <c r="L35" s="9"/>
      <c r="O35" t="s">
        <v>165</v>
      </c>
      <c r="P35" s="32" t="str">
        <f t="shared" si="6"/>
        <v>◇</v>
      </c>
      <c r="V35" t="str">
        <f t="shared" si="3"/>
        <v>全長：約cm　最大幅：約cm</v>
      </c>
      <c r="W35" t="str">
        <f t="shared" si="4"/>
        <v>全長：約cm　最大幅：約cm</v>
      </c>
      <c r="X35" s="77" t="s">
        <v>166</v>
      </c>
      <c r="Z35" s="6"/>
    </row>
    <row r="36" spans="3:26" ht="14.25">
      <c r="C36" t="str">
        <f t="shared" si="5"/>
        <v>◇ E</v>
      </c>
      <c r="D36" s="7">
        <f t="shared" si="2"/>
        <v>2</v>
      </c>
      <c r="E36" t="s">
        <v>71</v>
      </c>
      <c r="H36" t="str">
        <f>IFERROR(INDEX(コンディションランク!$B$1:$B$6,MATCH($G36,コンディションランク!$A$1:$A$6,0)),"")</f>
        <v/>
      </c>
      <c r="L36" s="9"/>
      <c r="O36" t="s">
        <v>165</v>
      </c>
      <c r="P36" s="32" t="str">
        <f t="shared" si="6"/>
        <v>◇</v>
      </c>
      <c r="V36" t="str">
        <f t="shared" si="3"/>
        <v>全長：約cm　最大幅：約cm</v>
      </c>
      <c r="W36" t="str">
        <f t="shared" si="4"/>
        <v>全長：約cm　最大幅：約cm</v>
      </c>
      <c r="X36" s="77" t="s">
        <v>166</v>
      </c>
      <c r="Z36" s="6"/>
    </row>
    <row r="37" spans="3:26" ht="14.25">
      <c r="C37" t="str">
        <f t="shared" si="5"/>
        <v>◇ E</v>
      </c>
      <c r="D37" s="7">
        <f t="shared" si="2"/>
        <v>2</v>
      </c>
      <c r="E37" t="s">
        <v>71</v>
      </c>
      <c r="H37" t="str">
        <f>IFERROR(INDEX(コンディションランク!$B$1:$B$6,MATCH($G37,コンディションランク!$A$1:$A$6,0)),"")</f>
        <v/>
      </c>
      <c r="L37" s="9"/>
      <c r="O37" t="s">
        <v>165</v>
      </c>
      <c r="P37" s="32" t="str">
        <f t="shared" si="6"/>
        <v>◇</v>
      </c>
      <c r="V37" t="str">
        <f t="shared" si="3"/>
        <v>全長：約cm　最大幅：約cm</v>
      </c>
      <c r="W37" t="str">
        <f t="shared" si="4"/>
        <v>全長：約cm　最大幅：約cm</v>
      </c>
      <c r="X37" s="77" t="s">
        <v>166</v>
      </c>
      <c r="Z37" s="6"/>
    </row>
    <row r="38" spans="3:26" ht="14.25">
      <c r="C38" t="str">
        <f t="shared" si="5"/>
        <v>◇ E</v>
      </c>
      <c r="D38" s="7">
        <f t="shared" si="2"/>
        <v>2</v>
      </c>
      <c r="E38" t="s">
        <v>71</v>
      </c>
      <c r="H38" t="str">
        <f>IFERROR(INDEX(コンディションランク!$B$1:$B$6,MATCH($G38,コンディションランク!$A$1:$A$6,0)),"")</f>
        <v/>
      </c>
      <c r="L38" s="9"/>
      <c r="O38" t="s">
        <v>165</v>
      </c>
      <c r="P38" s="32" t="str">
        <f t="shared" si="6"/>
        <v>◇</v>
      </c>
      <c r="V38" t="str">
        <f t="shared" si="3"/>
        <v>全長：約cm　最大幅：約cm</v>
      </c>
      <c r="W38" t="str">
        <f t="shared" si="4"/>
        <v>全長：約cm　最大幅：約cm</v>
      </c>
      <c r="X38" s="77" t="s">
        <v>166</v>
      </c>
      <c r="Z38" s="6"/>
    </row>
    <row r="39" spans="3:26" ht="14.25">
      <c r="C39" t="str">
        <f t="shared" si="5"/>
        <v>◇ E</v>
      </c>
      <c r="D39" s="7">
        <f t="shared" si="2"/>
        <v>2</v>
      </c>
      <c r="E39" t="s">
        <v>71</v>
      </c>
      <c r="H39" t="str">
        <f>IFERROR(INDEX(コンディションランク!$B$1:$B$6,MATCH($G39,コンディションランク!$A$1:$A$6,0)),"")</f>
        <v/>
      </c>
      <c r="L39" s="9"/>
      <c r="O39" t="s">
        <v>165</v>
      </c>
      <c r="P39" s="32" t="str">
        <f t="shared" si="6"/>
        <v>◇</v>
      </c>
      <c r="V39" t="str">
        <f t="shared" si="3"/>
        <v>全長：約cm　最大幅：約cm</v>
      </c>
      <c r="W39" t="str">
        <f t="shared" si="4"/>
        <v>全長：約cm　最大幅：約cm</v>
      </c>
      <c r="X39" s="77" t="s">
        <v>166</v>
      </c>
      <c r="Z39" s="6"/>
    </row>
    <row r="40" spans="3:26" ht="14.25">
      <c r="C40" t="str">
        <f t="shared" si="5"/>
        <v>◇ E</v>
      </c>
      <c r="D40" s="7">
        <f t="shared" si="2"/>
        <v>2</v>
      </c>
      <c r="E40" t="s">
        <v>71</v>
      </c>
      <c r="H40" t="str">
        <f>IFERROR(INDEX(コンディションランク!$B$1:$B$6,MATCH($G40,コンディションランク!$A$1:$A$6,0)),"")</f>
        <v/>
      </c>
      <c r="L40" s="9"/>
      <c r="O40" t="s">
        <v>165</v>
      </c>
      <c r="P40" s="32" t="str">
        <f t="shared" si="6"/>
        <v>◇</v>
      </c>
      <c r="V40" t="str">
        <f t="shared" si="3"/>
        <v>全長：約cm　最大幅：約cm</v>
      </c>
      <c r="W40" t="str">
        <f t="shared" si="4"/>
        <v>全長：約cm　最大幅：約cm</v>
      </c>
      <c r="X40" s="77" t="s">
        <v>166</v>
      </c>
      <c r="Z40" s="6"/>
    </row>
    <row r="41" spans="3:26" ht="14.25">
      <c r="C41" t="str">
        <f t="shared" si="5"/>
        <v>◇ E</v>
      </c>
      <c r="D41" s="7">
        <f t="shared" si="2"/>
        <v>2</v>
      </c>
      <c r="E41" t="s">
        <v>71</v>
      </c>
      <c r="H41" t="str">
        <f>IFERROR(INDEX(コンディションランク!$B$1:$B$6,MATCH($G41,コンディションランク!$A$1:$A$6,0)),"")</f>
        <v/>
      </c>
      <c r="L41" s="9"/>
      <c r="O41" t="s">
        <v>165</v>
      </c>
      <c r="P41" s="32" t="str">
        <f t="shared" si="6"/>
        <v>◇</v>
      </c>
      <c r="V41" t="str">
        <f t="shared" si="3"/>
        <v>全長：約cm　最大幅：約cm</v>
      </c>
      <c r="W41" t="str">
        <f t="shared" si="4"/>
        <v>全長：約cm　最大幅：約cm</v>
      </c>
      <c r="X41" s="77" t="s">
        <v>166</v>
      </c>
      <c r="Z41" s="6"/>
    </row>
    <row r="42" spans="3:26" ht="14.25">
      <c r="C42" t="str">
        <f t="shared" si="5"/>
        <v>◇ E</v>
      </c>
      <c r="D42" s="7">
        <f t="shared" si="2"/>
        <v>2</v>
      </c>
      <c r="E42" t="s">
        <v>71</v>
      </c>
      <c r="H42" t="str">
        <f>IFERROR(INDEX(コンディションランク!$B$1:$B$6,MATCH($G42,コンディションランク!$A$1:$A$6,0)),"")</f>
        <v/>
      </c>
      <c r="L42" s="9"/>
      <c r="O42" t="s">
        <v>165</v>
      </c>
      <c r="P42" s="32" t="str">
        <f t="shared" si="6"/>
        <v>◇</v>
      </c>
      <c r="V42" t="str">
        <f t="shared" si="3"/>
        <v>全長：約cm　最大幅：約cm</v>
      </c>
      <c r="W42" t="str">
        <f t="shared" si="4"/>
        <v>全長：約cm　最大幅：約cm</v>
      </c>
      <c r="X42" s="77" t="s">
        <v>166</v>
      </c>
      <c r="Z42" s="6"/>
    </row>
    <row r="43" spans="3:26" ht="14.25">
      <c r="C43" t="str">
        <f t="shared" si="5"/>
        <v>◇ E</v>
      </c>
      <c r="D43" s="7">
        <f t="shared" si="2"/>
        <v>2</v>
      </c>
      <c r="E43" t="s">
        <v>71</v>
      </c>
      <c r="H43" t="str">
        <f>IFERROR(INDEX(コンディションランク!$B$1:$B$6,MATCH($G43,コンディションランク!$A$1:$A$6,0)),"")</f>
        <v/>
      </c>
      <c r="L43" s="9"/>
      <c r="O43" t="s">
        <v>165</v>
      </c>
      <c r="P43" s="32" t="str">
        <f t="shared" si="6"/>
        <v>◇</v>
      </c>
      <c r="V43" t="str">
        <f t="shared" si="3"/>
        <v>全長：約cm　最大幅：約cm</v>
      </c>
      <c r="W43" t="str">
        <f t="shared" si="4"/>
        <v>全長：約cm　最大幅：約cm</v>
      </c>
      <c r="X43" s="77" t="s">
        <v>166</v>
      </c>
      <c r="Z43" s="6"/>
    </row>
    <row r="44" spans="3:26" ht="14.25">
      <c r="C44" t="str">
        <f t="shared" si="5"/>
        <v>◇ E</v>
      </c>
      <c r="D44" s="7">
        <f t="shared" si="2"/>
        <v>2</v>
      </c>
      <c r="E44" t="s">
        <v>71</v>
      </c>
      <c r="H44" t="str">
        <f>IFERROR(INDEX(コンディションランク!$B$1:$B$6,MATCH($G44,コンディションランク!$A$1:$A$6,0)),"")</f>
        <v/>
      </c>
      <c r="L44" s="9"/>
      <c r="O44" t="s">
        <v>165</v>
      </c>
      <c r="P44" s="32" t="str">
        <f t="shared" si="6"/>
        <v>◇</v>
      </c>
      <c r="V44" t="str">
        <f t="shared" si="3"/>
        <v>全長：約cm　最大幅：約cm</v>
      </c>
      <c r="W44" t="str">
        <f t="shared" si="4"/>
        <v>全長：約cm　最大幅：約cm</v>
      </c>
      <c r="X44" s="77" t="s">
        <v>166</v>
      </c>
      <c r="Z44" s="6"/>
    </row>
    <row r="45" spans="3:26" ht="14.25">
      <c r="C45" t="str">
        <f t="shared" si="5"/>
        <v>◇ E</v>
      </c>
      <c r="D45" s="7">
        <f t="shared" si="2"/>
        <v>2</v>
      </c>
      <c r="E45" t="s">
        <v>71</v>
      </c>
      <c r="H45" t="str">
        <f>IFERROR(INDEX(コンディションランク!$B$1:$B$6,MATCH($G45,コンディションランク!$A$1:$A$6,0)),"")</f>
        <v/>
      </c>
      <c r="L45" s="9"/>
      <c r="O45" t="s">
        <v>165</v>
      </c>
      <c r="P45" s="32" t="str">
        <f t="shared" si="6"/>
        <v>◇</v>
      </c>
      <c r="V45" t="str">
        <f t="shared" si="3"/>
        <v>全長：約cm　最大幅：約cm</v>
      </c>
      <c r="W45" t="str">
        <f t="shared" si="4"/>
        <v>全長：約cm　最大幅：約cm</v>
      </c>
      <c r="X45" s="77" t="s">
        <v>166</v>
      </c>
      <c r="Z45" s="6"/>
    </row>
    <row r="46" spans="3:26" ht="14.25">
      <c r="C46" t="str">
        <f t="shared" si="5"/>
        <v>◇ E</v>
      </c>
      <c r="D46" s="7">
        <f t="shared" si="2"/>
        <v>2</v>
      </c>
      <c r="E46" t="s">
        <v>71</v>
      </c>
      <c r="H46" t="str">
        <f>IFERROR(INDEX(コンディションランク!$B$1:$B$6,MATCH($G46,コンディションランク!$A$1:$A$6,0)),"")</f>
        <v/>
      </c>
      <c r="L46" s="9"/>
      <c r="O46" t="s">
        <v>165</v>
      </c>
      <c r="P46" s="32" t="str">
        <f t="shared" si="6"/>
        <v>◇</v>
      </c>
      <c r="V46" t="str">
        <f t="shared" si="3"/>
        <v>全長：約cm　最大幅：約cm</v>
      </c>
      <c r="W46" t="str">
        <f t="shared" si="4"/>
        <v>全長：約cm　最大幅：約cm</v>
      </c>
      <c r="X46" s="77" t="s">
        <v>166</v>
      </c>
      <c r="Z46" s="6"/>
    </row>
    <row r="47" spans="3:26" ht="14.25">
      <c r="C47" t="str">
        <f t="shared" si="5"/>
        <v>◇ E</v>
      </c>
      <c r="D47" s="7">
        <f t="shared" si="2"/>
        <v>2</v>
      </c>
      <c r="E47" t="s">
        <v>71</v>
      </c>
      <c r="H47" t="str">
        <f>IFERROR(INDEX(コンディションランク!$B$1:$B$6,MATCH($G47,コンディションランク!$A$1:$A$6,0)),"")</f>
        <v/>
      </c>
      <c r="L47" s="9"/>
      <c r="O47" t="s">
        <v>165</v>
      </c>
      <c r="P47" s="32" t="str">
        <f t="shared" si="6"/>
        <v>◇</v>
      </c>
      <c r="V47" t="str">
        <f t="shared" si="3"/>
        <v>全長：約cm　最大幅：約cm</v>
      </c>
      <c r="W47" t="str">
        <f t="shared" si="4"/>
        <v>全長：約cm　最大幅：約cm</v>
      </c>
      <c r="X47" s="77" t="s">
        <v>166</v>
      </c>
      <c r="Z47" s="6"/>
    </row>
    <row r="48" spans="3:26" ht="14.25">
      <c r="C48" t="str">
        <f t="shared" si="5"/>
        <v>◇ E</v>
      </c>
      <c r="D48" s="7">
        <f t="shared" si="2"/>
        <v>2</v>
      </c>
      <c r="E48" t="s">
        <v>71</v>
      </c>
      <c r="H48" t="str">
        <f>IFERROR(INDEX(コンディションランク!$B$1:$B$6,MATCH($G48,コンディションランク!$A$1:$A$6,0)),"")</f>
        <v/>
      </c>
      <c r="L48" s="9"/>
      <c r="O48" t="s">
        <v>165</v>
      </c>
      <c r="P48" s="32" t="str">
        <f t="shared" si="6"/>
        <v>◇</v>
      </c>
      <c r="V48" t="str">
        <f t="shared" si="3"/>
        <v>全長：約cm　最大幅：約cm</v>
      </c>
      <c r="W48" t="str">
        <f t="shared" si="4"/>
        <v>全長：約cm　最大幅：約cm</v>
      </c>
      <c r="X48" s="77" t="s">
        <v>166</v>
      </c>
      <c r="Z48" s="6"/>
    </row>
    <row r="49" spans="3:26" ht="14.25">
      <c r="C49" t="str">
        <f t="shared" si="5"/>
        <v>◇ E</v>
      </c>
      <c r="D49" s="7">
        <f t="shared" si="2"/>
        <v>2</v>
      </c>
      <c r="E49" t="s">
        <v>71</v>
      </c>
      <c r="H49" t="str">
        <f>IFERROR(INDEX(コンディションランク!$B$1:$B$6,MATCH($G49,コンディションランク!$A$1:$A$6,0)),"")</f>
        <v/>
      </c>
      <c r="L49" s="9"/>
      <c r="O49" t="s">
        <v>165</v>
      </c>
      <c r="P49" s="32" t="str">
        <f t="shared" si="6"/>
        <v>◇</v>
      </c>
      <c r="V49" t="str">
        <f t="shared" si="3"/>
        <v>全長：約cm　最大幅：約cm</v>
      </c>
      <c r="W49" t="str">
        <f t="shared" si="4"/>
        <v>全長：約cm　最大幅：約cm</v>
      </c>
      <c r="X49" s="77" t="s">
        <v>166</v>
      </c>
      <c r="Z49" s="6"/>
    </row>
    <row r="50" spans="3:26" ht="14.25">
      <c r="C50" t="str">
        <f t="shared" si="5"/>
        <v>◇ E</v>
      </c>
      <c r="D50" s="7">
        <f t="shared" si="2"/>
        <v>2</v>
      </c>
      <c r="E50" t="s">
        <v>71</v>
      </c>
      <c r="H50" t="str">
        <f>IFERROR(INDEX(コンディションランク!$B$1:$B$6,MATCH($G50,コンディションランク!$A$1:$A$6,0)),"")</f>
        <v/>
      </c>
      <c r="L50" s="9"/>
      <c r="O50" t="s">
        <v>165</v>
      </c>
      <c r="P50" s="32" t="str">
        <f t="shared" si="6"/>
        <v>◇</v>
      </c>
      <c r="V50" t="str">
        <f t="shared" si="3"/>
        <v>全長：約cm　最大幅：約cm</v>
      </c>
      <c r="W50" t="str">
        <f t="shared" si="4"/>
        <v>全長：約cm　最大幅：約cm</v>
      </c>
      <c r="X50" s="77" t="s">
        <v>166</v>
      </c>
      <c r="Z50" s="6"/>
    </row>
    <row r="51" spans="3:26" ht="14.25">
      <c r="C51" t="str">
        <f t="shared" si="5"/>
        <v>◇ E</v>
      </c>
      <c r="D51" s="7">
        <f t="shared" si="2"/>
        <v>2</v>
      </c>
      <c r="E51" t="s">
        <v>71</v>
      </c>
      <c r="H51" t="str">
        <f>IFERROR(INDEX(コンディションランク!$B$1:$B$6,MATCH($G51,コンディションランク!$A$1:$A$6,0)),"")</f>
        <v/>
      </c>
      <c r="L51" s="9"/>
      <c r="O51" t="s">
        <v>165</v>
      </c>
      <c r="P51" s="32" t="str">
        <f t="shared" si="6"/>
        <v>◇</v>
      </c>
      <c r="V51" t="str">
        <f t="shared" si="3"/>
        <v>全長：約cm　最大幅：約cm</v>
      </c>
      <c r="W51" t="str">
        <f t="shared" si="4"/>
        <v>全長：約cm　最大幅：約cm</v>
      </c>
      <c r="X51" s="77" t="s">
        <v>166</v>
      </c>
      <c r="Z51" s="6"/>
    </row>
    <row r="52" spans="3:26" ht="14.25">
      <c r="C52" t="str">
        <f t="shared" si="5"/>
        <v>◇ E</v>
      </c>
      <c r="D52" s="7">
        <f t="shared" si="2"/>
        <v>2</v>
      </c>
      <c r="E52" t="s">
        <v>71</v>
      </c>
      <c r="H52" t="str">
        <f>IFERROR(INDEX(コンディションランク!$B$1:$B$6,MATCH($G52,コンディションランク!$A$1:$A$6,0)),"")</f>
        <v/>
      </c>
      <c r="L52" s="9"/>
      <c r="O52" t="s">
        <v>165</v>
      </c>
      <c r="P52" s="32" t="str">
        <f t="shared" si="6"/>
        <v>◇</v>
      </c>
      <c r="V52" t="str">
        <f t="shared" si="3"/>
        <v>全長：約cm　最大幅：約cm</v>
      </c>
      <c r="W52" t="str">
        <f t="shared" si="4"/>
        <v>全長：約cm　最大幅：約cm</v>
      </c>
      <c r="X52" s="77" t="s">
        <v>166</v>
      </c>
      <c r="Z52" s="6"/>
    </row>
    <row r="53" spans="3:26" ht="14.25">
      <c r="C53" t="str">
        <f t="shared" si="5"/>
        <v>◇ E</v>
      </c>
      <c r="D53" s="7">
        <f t="shared" si="2"/>
        <v>2</v>
      </c>
      <c r="E53" t="s">
        <v>71</v>
      </c>
      <c r="H53" t="str">
        <f>IFERROR(INDEX(コンディションランク!$B$1:$B$6,MATCH($G53,コンディションランク!$A$1:$A$6,0)),"")</f>
        <v/>
      </c>
      <c r="L53" s="9"/>
      <c r="O53" t="s">
        <v>165</v>
      </c>
      <c r="P53" s="32" t="str">
        <f t="shared" si="6"/>
        <v>◇</v>
      </c>
      <c r="V53" t="str">
        <f t="shared" si="3"/>
        <v>全長：約cm　最大幅：約cm</v>
      </c>
      <c r="W53" t="str">
        <f t="shared" si="4"/>
        <v>全長：約cm　最大幅：約cm</v>
      </c>
      <c r="X53" s="77" t="s">
        <v>166</v>
      </c>
      <c r="Z53" s="6"/>
    </row>
    <row r="54" spans="3:26" ht="14.25">
      <c r="C54" t="str">
        <f t="shared" si="5"/>
        <v>◇ E</v>
      </c>
      <c r="D54" s="7">
        <f t="shared" si="2"/>
        <v>2</v>
      </c>
      <c r="E54" t="s">
        <v>71</v>
      </c>
      <c r="H54" t="str">
        <f>IFERROR(INDEX(コンディションランク!$B$1:$B$6,MATCH($G54,コンディションランク!$A$1:$A$6,0)),"")</f>
        <v/>
      </c>
      <c r="L54" s="9"/>
      <c r="O54" t="s">
        <v>165</v>
      </c>
      <c r="P54" s="32" t="str">
        <f t="shared" si="6"/>
        <v>◇</v>
      </c>
      <c r="V54" t="str">
        <f t="shared" si="3"/>
        <v>全長：約cm　最大幅：約cm</v>
      </c>
      <c r="W54" t="str">
        <f t="shared" si="4"/>
        <v>全長：約cm　最大幅：約cm</v>
      </c>
      <c r="X54" s="77" t="s">
        <v>166</v>
      </c>
      <c r="Z54" s="6"/>
    </row>
    <row r="55" spans="3:26" ht="14.25">
      <c r="C55" t="str">
        <f t="shared" si="5"/>
        <v>◇ E</v>
      </c>
      <c r="D55" s="7">
        <f t="shared" si="2"/>
        <v>2</v>
      </c>
      <c r="E55" t="s">
        <v>71</v>
      </c>
      <c r="H55" t="str">
        <f>IFERROR(INDEX(コンディションランク!$B$1:$B$6,MATCH($G55,コンディションランク!$A$1:$A$6,0)),"")</f>
        <v/>
      </c>
      <c r="L55" s="9"/>
      <c r="O55" t="s">
        <v>165</v>
      </c>
      <c r="P55" s="32" t="str">
        <f t="shared" si="6"/>
        <v>◇</v>
      </c>
      <c r="V55" t="str">
        <f t="shared" si="3"/>
        <v>全長：約cm　最大幅：約cm</v>
      </c>
      <c r="W55" t="str">
        <f t="shared" si="4"/>
        <v>全長：約cm　最大幅：約cm</v>
      </c>
      <c r="X55" s="77" t="s">
        <v>166</v>
      </c>
      <c r="Z55" s="6"/>
    </row>
    <row r="56" spans="3:26" ht="14.25">
      <c r="C56" t="str">
        <f t="shared" si="5"/>
        <v>◇ E</v>
      </c>
      <c r="D56" s="7">
        <f t="shared" si="2"/>
        <v>2</v>
      </c>
      <c r="E56" t="s">
        <v>71</v>
      </c>
      <c r="H56" t="str">
        <f>IFERROR(INDEX(コンディションランク!$B$1:$B$6,MATCH($G56,コンディションランク!$A$1:$A$6,0)),"")</f>
        <v/>
      </c>
      <c r="L56" s="9"/>
      <c r="O56" t="s">
        <v>165</v>
      </c>
      <c r="P56" s="32" t="str">
        <f t="shared" si="6"/>
        <v>◇</v>
      </c>
      <c r="V56" t="str">
        <f t="shared" si="3"/>
        <v>全長：約cm　最大幅：約cm</v>
      </c>
      <c r="W56" t="str">
        <f t="shared" si="4"/>
        <v>全長：約cm　最大幅：約cm</v>
      </c>
      <c r="X56" s="77" t="s">
        <v>166</v>
      </c>
      <c r="Z56" s="6"/>
    </row>
    <row r="57" spans="3:26" ht="14.25">
      <c r="C57" t="str">
        <f t="shared" si="5"/>
        <v>◇ E</v>
      </c>
      <c r="D57" s="7">
        <f t="shared" si="2"/>
        <v>2</v>
      </c>
      <c r="E57" t="s">
        <v>71</v>
      </c>
      <c r="H57" t="str">
        <f>IFERROR(INDEX(コンディションランク!$B$1:$B$6,MATCH($G57,コンディションランク!$A$1:$A$6,0)),"")</f>
        <v/>
      </c>
      <c r="L57" s="9"/>
      <c r="O57" t="s">
        <v>165</v>
      </c>
      <c r="P57" s="32" t="str">
        <f t="shared" si="6"/>
        <v>◇</v>
      </c>
      <c r="V57" t="str">
        <f t="shared" si="3"/>
        <v>全長：約cm　最大幅：約cm</v>
      </c>
      <c r="W57" t="str">
        <f t="shared" si="4"/>
        <v>全長：約cm　最大幅：約cm</v>
      </c>
      <c r="X57" s="77" t="s">
        <v>166</v>
      </c>
      <c r="Z57" s="6"/>
    </row>
    <row r="58" spans="3:26" ht="14.25">
      <c r="C58" t="str">
        <f t="shared" si="5"/>
        <v>◇ E</v>
      </c>
      <c r="D58" s="7">
        <f t="shared" si="2"/>
        <v>2</v>
      </c>
      <c r="E58" t="s">
        <v>71</v>
      </c>
      <c r="H58" t="str">
        <f>IFERROR(INDEX(コンディションランク!$B$1:$B$6,MATCH($G58,コンディションランク!$A$1:$A$6,0)),"")</f>
        <v/>
      </c>
      <c r="L58" s="9"/>
      <c r="O58" t="s">
        <v>165</v>
      </c>
      <c r="P58" s="32" t="str">
        <f t="shared" si="6"/>
        <v>◇</v>
      </c>
      <c r="V58" t="str">
        <f t="shared" si="3"/>
        <v>全長：約cm　最大幅：約cm</v>
      </c>
      <c r="W58" t="str">
        <f t="shared" si="4"/>
        <v>全長：約cm　最大幅：約cm</v>
      </c>
      <c r="X58" s="77" t="s">
        <v>166</v>
      </c>
      <c r="Z58" s="6"/>
    </row>
    <row r="59" spans="3:26" ht="14.25">
      <c r="C59" t="str">
        <f t="shared" si="5"/>
        <v>◇ E</v>
      </c>
      <c r="D59" s="7">
        <f t="shared" si="2"/>
        <v>2</v>
      </c>
      <c r="E59" t="s">
        <v>71</v>
      </c>
      <c r="H59" t="str">
        <f>IFERROR(INDEX(コンディションランク!$B$1:$B$6,MATCH($G59,コンディションランク!$A$1:$A$6,0)),"")</f>
        <v/>
      </c>
      <c r="L59" s="9"/>
      <c r="O59" t="s">
        <v>165</v>
      </c>
      <c r="P59" s="32" t="str">
        <f t="shared" si="6"/>
        <v>◇</v>
      </c>
      <c r="V59" t="str">
        <f t="shared" si="3"/>
        <v>全長：約cm　最大幅：約cm</v>
      </c>
      <c r="W59" t="str">
        <f t="shared" si="4"/>
        <v>全長：約cm　最大幅：約cm</v>
      </c>
      <c r="X59" s="77" t="s">
        <v>166</v>
      </c>
      <c r="Z59" s="6"/>
    </row>
    <row r="60" spans="3:26" ht="14.25">
      <c r="C60" t="str">
        <f t="shared" si="5"/>
        <v>◇ E</v>
      </c>
      <c r="D60" s="7">
        <f t="shared" si="2"/>
        <v>2</v>
      </c>
      <c r="E60" t="s">
        <v>71</v>
      </c>
      <c r="H60" t="str">
        <f>IFERROR(INDEX(コンディションランク!$B$1:$B$6,MATCH($G60,コンディションランク!$A$1:$A$6,0)),"")</f>
        <v/>
      </c>
      <c r="L60" s="9"/>
      <c r="O60" t="s">
        <v>165</v>
      </c>
      <c r="P60" s="32" t="str">
        <f t="shared" si="6"/>
        <v>◇</v>
      </c>
      <c r="V60" t="str">
        <f t="shared" si="3"/>
        <v>全長：約cm　最大幅：約cm</v>
      </c>
      <c r="W60" t="str">
        <f t="shared" si="4"/>
        <v>全長：約cm　最大幅：約cm</v>
      </c>
      <c r="X60" s="77" t="s">
        <v>166</v>
      </c>
      <c r="Z60" s="6"/>
    </row>
    <row r="61" spans="3:26" ht="14.25">
      <c r="C61" t="str">
        <f t="shared" si="5"/>
        <v>◇ E</v>
      </c>
      <c r="D61" s="7">
        <f t="shared" si="2"/>
        <v>2</v>
      </c>
      <c r="E61" t="s">
        <v>71</v>
      </c>
      <c r="H61" t="str">
        <f>IFERROR(INDEX(コンディションランク!$B$1:$B$6,MATCH($G61,コンディションランク!$A$1:$A$6,0)),"")</f>
        <v/>
      </c>
      <c r="L61" s="9"/>
      <c r="O61" t="s">
        <v>165</v>
      </c>
      <c r="P61" s="32" t="str">
        <f t="shared" si="6"/>
        <v>◇</v>
      </c>
      <c r="V61" t="str">
        <f t="shared" si="3"/>
        <v>全長：約cm　最大幅：約cm</v>
      </c>
      <c r="W61" t="str">
        <f t="shared" si="4"/>
        <v>全長：約cm　最大幅：約cm</v>
      </c>
      <c r="X61" s="77" t="s">
        <v>166</v>
      </c>
      <c r="Z61" s="6"/>
    </row>
    <row r="62" spans="3:26" ht="14.25">
      <c r="C62" t="str">
        <f t="shared" si="5"/>
        <v>◇ E</v>
      </c>
      <c r="D62" s="7">
        <f t="shared" si="2"/>
        <v>2</v>
      </c>
      <c r="E62" t="s">
        <v>71</v>
      </c>
      <c r="H62" t="str">
        <f>IFERROR(INDEX(コンディションランク!$B$1:$B$6,MATCH($G62,コンディションランク!$A$1:$A$6,0)),"")</f>
        <v/>
      </c>
      <c r="L62" s="9"/>
      <c r="O62" t="s">
        <v>165</v>
      </c>
      <c r="P62" s="32" t="str">
        <f t="shared" si="6"/>
        <v>◇</v>
      </c>
      <c r="V62" t="str">
        <f t="shared" si="3"/>
        <v>全長：約cm　最大幅：約cm</v>
      </c>
      <c r="W62" t="str">
        <f t="shared" si="4"/>
        <v>全長：約cm　最大幅：約cm</v>
      </c>
      <c r="X62" s="77" t="s">
        <v>166</v>
      </c>
      <c r="Z62" s="6"/>
    </row>
    <row r="63" spans="3:26" ht="14.25">
      <c r="C63" t="str">
        <f t="shared" si="5"/>
        <v>◇ E</v>
      </c>
      <c r="D63" s="7">
        <f t="shared" si="2"/>
        <v>2</v>
      </c>
      <c r="E63" t="s">
        <v>71</v>
      </c>
      <c r="H63" t="str">
        <f>IFERROR(INDEX(コンディションランク!$B$1:$B$6,MATCH($G63,コンディションランク!$A$1:$A$6,0)),"")</f>
        <v/>
      </c>
      <c r="L63" s="9"/>
      <c r="O63" t="s">
        <v>165</v>
      </c>
      <c r="P63" s="32" t="str">
        <f t="shared" si="6"/>
        <v>◇</v>
      </c>
      <c r="V63" t="str">
        <f t="shared" si="3"/>
        <v>全長：約cm　最大幅：約cm</v>
      </c>
      <c r="W63" t="str">
        <f t="shared" si="4"/>
        <v>全長：約cm　最大幅：約cm</v>
      </c>
      <c r="X63" s="77" t="s">
        <v>166</v>
      </c>
      <c r="Z63" s="6"/>
    </row>
    <row r="64" spans="3:26" ht="14.25">
      <c r="C64" t="str">
        <f t="shared" si="5"/>
        <v>◇ E</v>
      </c>
      <c r="D64" s="7">
        <f t="shared" si="2"/>
        <v>2</v>
      </c>
      <c r="E64" t="s">
        <v>71</v>
      </c>
      <c r="H64" t="str">
        <f>IFERROR(INDEX(コンディションランク!$B$1:$B$6,MATCH($G64,コンディションランク!$A$1:$A$6,0)),"")</f>
        <v/>
      </c>
      <c r="L64" s="9"/>
      <c r="O64" t="s">
        <v>165</v>
      </c>
      <c r="P64" s="32" t="str">
        <f t="shared" si="6"/>
        <v>◇</v>
      </c>
      <c r="V64" t="str">
        <f t="shared" si="3"/>
        <v>全長：約cm　最大幅：約cm</v>
      </c>
      <c r="W64" t="str">
        <f t="shared" si="4"/>
        <v>全長：約cm　最大幅：約cm</v>
      </c>
      <c r="X64" s="77" t="s">
        <v>166</v>
      </c>
      <c r="Z64" s="6"/>
    </row>
    <row r="65" spans="1:26" ht="14.25">
      <c r="C65" t="str">
        <f t="shared" si="5"/>
        <v>◇ E</v>
      </c>
      <c r="D65" s="7">
        <f t="shared" si="2"/>
        <v>2</v>
      </c>
      <c r="E65" t="s">
        <v>71</v>
      </c>
      <c r="H65" t="str">
        <f>IFERROR(INDEX(コンディションランク!$B$1:$B$6,MATCH($G65,コンディションランク!$A$1:$A$6,0)),"")</f>
        <v/>
      </c>
      <c r="L65" s="9"/>
      <c r="O65" t="s">
        <v>165</v>
      </c>
      <c r="P65" s="32" t="str">
        <f t="shared" si="6"/>
        <v>◇</v>
      </c>
      <c r="V65" t="str">
        <f t="shared" si="3"/>
        <v>全長：約cm　最大幅：約cm</v>
      </c>
      <c r="W65" t="str">
        <f t="shared" si="4"/>
        <v>全長：約cm　最大幅：約cm</v>
      </c>
      <c r="X65" s="77" t="s">
        <v>166</v>
      </c>
      <c r="Z65" s="6"/>
    </row>
    <row r="66" spans="1:26" ht="14.25">
      <c r="C66" t="str">
        <f t="shared" ref="C66:C71" si="7">TRIM(P66&amp;" "&amp;Q66&amp;" "&amp;R66&amp;" "&amp;S66&amp;" "&amp;T66&amp;" "&amp;L66&amp;" "&amp;K66&amp;" "&amp;U66&amp;EX&amp;" "&amp;B66)</f>
        <v>◇ E</v>
      </c>
      <c r="D66" s="7">
        <f t="shared" si="2"/>
        <v>2</v>
      </c>
      <c r="E66" t="s">
        <v>71</v>
      </c>
      <c r="H66" t="str">
        <f>IFERROR(INDEX(コンディションランク!$B$1:$B$6,MATCH($G66,コンディションランク!$A$1:$A$6,0)),"")</f>
        <v/>
      </c>
      <c r="L66" s="9"/>
      <c r="O66" t="s">
        <v>165</v>
      </c>
      <c r="P66" s="32" t="str">
        <f t="shared" ref="P66:P71" si="8">IFERROR(VLOOKUP(O66,梱包サイズ表,2,0),"")</f>
        <v>◇</v>
      </c>
      <c r="V66" t="str">
        <f t="shared" si="3"/>
        <v>全長：約cm　最大幅：約cm</v>
      </c>
      <c r="W66" t="str">
        <f t="shared" si="4"/>
        <v>全長：約cm　最大幅：約cm</v>
      </c>
      <c r="X66" s="77" t="s">
        <v>166</v>
      </c>
      <c r="Z66" s="6"/>
    </row>
    <row r="67" spans="1:26" ht="14.25">
      <c r="C67" t="str">
        <f t="shared" si="7"/>
        <v>◇ E</v>
      </c>
      <c r="D67" s="7">
        <f t="shared" ref="D67:D71" si="9">(LENB(C67)-LEN(C67))+(LENB(C67)-(LENB(C67)-LEN(C67))*2)/2</f>
        <v>2</v>
      </c>
      <c r="E67" t="s">
        <v>71</v>
      </c>
      <c r="H67" t="str">
        <f>IFERROR(INDEX(コンディションランク!$B$1:$B$6,MATCH($G67,コンディションランク!$A$1:$A$6,0)),"")</f>
        <v/>
      </c>
      <c r="L67" s="9"/>
      <c r="O67" t="s">
        <v>165</v>
      </c>
      <c r="P67" s="32" t="str">
        <f t="shared" si="8"/>
        <v>◇</v>
      </c>
      <c r="V67" t="str">
        <f t="shared" ref="V67:V71" si="10">"全長：約" &amp;M67&amp; "cm　最大幅：約" &amp;N67&amp; "cm"</f>
        <v>全長：約cm　最大幅：約cm</v>
      </c>
      <c r="W67" t="str">
        <f t="shared" ref="W67:W71" si="11">SUBSTITUTE( V67, "約-", "-" )</f>
        <v>全長：約cm　最大幅：約cm</v>
      </c>
      <c r="X67" s="77" t="s">
        <v>166</v>
      </c>
      <c r="Z67" s="6"/>
    </row>
    <row r="68" spans="1:26" ht="14.25">
      <c r="C68" t="str">
        <f t="shared" si="7"/>
        <v>◇ E</v>
      </c>
      <c r="D68" s="7">
        <f t="shared" si="9"/>
        <v>2</v>
      </c>
      <c r="E68" t="s">
        <v>71</v>
      </c>
      <c r="H68" t="str">
        <f>IFERROR(INDEX(コンディションランク!$B$1:$B$6,MATCH($G68,コンディションランク!$A$1:$A$6,0)),"")</f>
        <v/>
      </c>
      <c r="L68" s="9"/>
      <c r="O68" t="s">
        <v>165</v>
      </c>
      <c r="P68" s="32" t="str">
        <f t="shared" si="8"/>
        <v>◇</v>
      </c>
      <c r="V68" t="str">
        <f t="shared" si="10"/>
        <v>全長：約cm　最大幅：約cm</v>
      </c>
      <c r="W68" t="str">
        <f t="shared" si="11"/>
        <v>全長：約cm　最大幅：約cm</v>
      </c>
      <c r="X68" s="77" t="s">
        <v>166</v>
      </c>
      <c r="Z68" s="6"/>
    </row>
    <row r="69" spans="1:26" ht="14.25">
      <c r="C69" t="str">
        <f t="shared" si="7"/>
        <v>◇ E</v>
      </c>
      <c r="D69" s="7">
        <f t="shared" si="9"/>
        <v>2</v>
      </c>
      <c r="E69" t="s">
        <v>71</v>
      </c>
      <c r="H69" t="str">
        <f>IFERROR(INDEX(コンディションランク!$B$1:$B$6,MATCH($G69,コンディションランク!$A$1:$A$6,0)),"")</f>
        <v/>
      </c>
      <c r="L69" s="9"/>
      <c r="O69" t="s">
        <v>165</v>
      </c>
      <c r="P69" s="32" t="str">
        <f t="shared" si="8"/>
        <v>◇</v>
      </c>
      <c r="V69" t="str">
        <f t="shared" si="10"/>
        <v>全長：約cm　最大幅：約cm</v>
      </c>
      <c r="W69" t="str">
        <f t="shared" si="11"/>
        <v>全長：約cm　最大幅：約cm</v>
      </c>
      <c r="X69" s="77" t="s">
        <v>166</v>
      </c>
      <c r="Z69" s="6"/>
    </row>
    <row r="70" spans="1:26" ht="14.25">
      <c r="C70" t="str">
        <f t="shared" si="7"/>
        <v>◇ E</v>
      </c>
      <c r="D70" s="7">
        <f t="shared" si="9"/>
        <v>2</v>
      </c>
      <c r="E70" t="s">
        <v>71</v>
      </c>
      <c r="H70" t="str">
        <f>IFERROR(INDEX(コンディションランク!$B$1:$B$6,MATCH($G70,コンディションランク!$A$1:$A$6,0)),"")</f>
        <v/>
      </c>
      <c r="L70" s="9"/>
      <c r="O70" t="s">
        <v>165</v>
      </c>
      <c r="P70" s="32" t="str">
        <f t="shared" si="8"/>
        <v>◇</v>
      </c>
      <c r="V70" t="str">
        <f t="shared" si="10"/>
        <v>全長：約cm　最大幅：約cm</v>
      </c>
      <c r="W70" t="str">
        <f t="shared" si="11"/>
        <v>全長：約cm　最大幅：約cm</v>
      </c>
      <c r="X70" s="77" t="s">
        <v>166</v>
      </c>
      <c r="Z70" s="6"/>
    </row>
    <row r="71" spans="1:26" ht="14.25">
      <c r="C71" t="str">
        <f t="shared" si="7"/>
        <v>◇ E</v>
      </c>
      <c r="D71" s="7">
        <f t="shared" si="9"/>
        <v>2</v>
      </c>
      <c r="E71" t="s">
        <v>71</v>
      </c>
      <c r="H71" t="str">
        <f>IFERROR(INDEX(コンディションランク!$B$1:$B$6,MATCH($G71,コンディションランク!$A$1:$A$6,0)),"")</f>
        <v/>
      </c>
      <c r="L71" s="9"/>
      <c r="O71" t="s">
        <v>165</v>
      </c>
      <c r="P71" s="32" t="str">
        <f t="shared" si="8"/>
        <v>◇</v>
      </c>
      <c r="V71" t="str">
        <f t="shared" si="10"/>
        <v>全長：約cm　最大幅：約cm</v>
      </c>
      <c r="W71" t="str">
        <f t="shared" si="11"/>
        <v>全長：約cm　最大幅：約cm</v>
      </c>
      <c r="X71" s="77" t="s">
        <v>166</v>
      </c>
      <c r="Z71" s="6"/>
    </row>
    <row r="72" spans="1:26">
      <c r="A72" s="79"/>
      <c r="B72" s="13"/>
      <c r="C72" s="4"/>
      <c r="D72" s="4"/>
      <c r="E72" s="4"/>
      <c r="F72" s="4"/>
      <c r="G72" s="4"/>
      <c r="H72" s="4"/>
      <c r="I72" s="4"/>
      <c r="J72" s="4"/>
      <c r="K72" s="4"/>
      <c r="L72" s="4"/>
      <c r="M72" s="4"/>
      <c r="N72" s="4"/>
      <c r="O72" s="4"/>
      <c r="P72" s="4"/>
      <c r="Q72" s="4"/>
      <c r="R72" s="4"/>
      <c r="S72" s="4"/>
      <c r="T72" s="4"/>
      <c r="U72" s="4"/>
      <c r="V72" s="4"/>
      <c r="W72" s="4"/>
      <c r="X72" s="4"/>
    </row>
    <row r="170" spans="2:2">
      <c r="B170"/>
    </row>
    <row r="171" spans="2:2">
      <c r="B171"/>
    </row>
    <row r="172" spans="2:2">
      <c r="B172"/>
    </row>
    <row r="173" spans="2:2">
      <c r="B173"/>
    </row>
    <row r="174" spans="2:2">
      <c r="B174"/>
    </row>
    <row r="175" spans="2:2">
      <c r="B175"/>
    </row>
    <row r="1048387" spans="10:10">
      <c r="J1048387" s="3"/>
    </row>
  </sheetData>
  <phoneticPr fontId="4"/>
  <conditionalFormatting sqref="B2:B71">
    <cfRule type="duplicateValues" dxfId="12" priority="1"/>
    <cfRule type="duplicateValues" dxfId="11" priority="4"/>
  </conditionalFormatting>
  <conditionalFormatting sqref="D2:D71">
    <cfRule type="cellIs" dxfId="10" priority="2" operator="greaterThanOrEqual">
      <formula>65</formula>
    </cfRule>
    <cfRule type="cellIs" priority="3" operator="greaterThanOrEqual">
      <formula>65</formula>
    </cfRule>
  </conditionalFormatting>
  <dataValidations count="2">
    <dataValidation imeMode="off" allowBlank="1" showInputMessage="1" showErrorMessage="1" sqref="M1:N1048576 B1:B1048576" xr:uid="{7EF9E79C-69C9-4F9C-AF6D-99D82FB223CB}"/>
    <dataValidation type="list" allowBlank="1" showInputMessage="1" showErrorMessage="1" sqref="O2:O71" xr:uid="{D62731E8-DE1B-4710-B266-5509ABC90A9A}">
      <formula1>梱包</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5A55842-289A-4706-9AA6-8E687E60A92D}">
          <x14:formula1>
            <xm:f>コンディションランク!$A$1:$A$6</xm:f>
          </x14:formula1>
          <xm:sqref>G2:G71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AB182"/>
  <sheetViews>
    <sheetView topLeftCell="O1" zoomScale="85" zoomScaleNormal="85" workbookViewId="0">
      <pane ySplit="1" topLeftCell="A2" activePane="bottomLeft" state="frozen"/>
      <selection pane="bottomLeft" activeCell="U4" sqref="U4"/>
    </sheetView>
  </sheetViews>
  <sheetFormatPr defaultRowHeight="13.5"/>
  <cols>
    <col min="1" max="1" width="14" style="9" customWidth="1"/>
    <col min="2" max="2" width="16.25" style="14" customWidth="1"/>
    <col min="3" max="3" width="80.625" customWidth="1"/>
    <col min="4" max="4" width="5.625" customWidth="1"/>
    <col min="5" max="5" width="4.25" customWidth="1"/>
    <col min="6" max="6" width="3.625" customWidth="1"/>
    <col min="8" max="8" width="0" hidden="1" customWidth="1"/>
    <col min="9" max="9" width="35.5" customWidth="1"/>
    <col min="10" max="10" width="23.75" customWidth="1"/>
    <col min="11" max="11" width="16.375" customWidth="1"/>
    <col min="15" max="16" width="11.75" customWidth="1"/>
    <col min="17" max="17" width="8.75" customWidth="1"/>
    <col min="18" max="18" width="50.25" customWidth="1"/>
    <col min="19" max="19" width="41.875" customWidth="1"/>
    <col min="20" max="20" width="42.875" customWidth="1"/>
    <col min="22" max="22" width="29" customWidth="1"/>
    <col min="23" max="23" width="36.875" hidden="1" customWidth="1"/>
    <col min="24" max="24" width="14.5" customWidth="1"/>
    <col min="25" max="27" width="0" hidden="1" customWidth="1"/>
  </cols>
  <sheetData>
    <row r="1" spans="1:28" s="32" customFormat="1">
      <c r="A1" s="37" t="s">
        <v>2641</v>
      </c>
      <c r="B1" s="38" t="s">
        <v>0</v>
      </c>
      <c r="C1" s="8" t="s">
        <v>1</v>
      </c>
      <c r="D1" s="25" t="s">
        <v>145</v>
      </c>
      <c r="E1" s="18" t="s">
        <v>2</v>
      </c>
      <c r="F1" s="17" t="s">
        <v>4</v>
      </c>
      <c r="G1" s="19" t="s">
        <v>5</v>
      </c>
      <c r="H1" s="19" t="s">
        <v>6</v>
      </c>
      <c r="I1" s="19" t="s">
        <v>7</v>
      </c>
      <c r="J1" s="19" t="s">
        <v>8</v>
      </c>
      <c r="K1" s="18" t="s">
        <v>9</v>
      </c>
      <c r="L1" s="21" t="s">
        <v>76</v>
      </c>
      <c r="M1" s="21" t="s">
        <v>61</v>
      </c>
      <c r="N1" s="21" t="s">
        <v>77</v>
      </c>
      <c r="O1" s="21" t="s">
        <v>164</v>
      </c>
      <c r="P1" s="21" t="s">
        <v>3054</v>
      </c>
      <c r="Q1" s="17" t="s">
        <v>88</v>
      </c>
      <c r="R1" s="17" t="s">
        <v>84</v>
      </c>
      <c r="S1" s="17" t="s">
        <v>85</v>
      </c>
      <c r="T1" s="17" t="s">
        <v>87</v>
      </c>
      <c r="U1" s="17" t="s">
        <v>86</v>
      </c>
      <c r="V1" s="1" t="s">
        <v>3022</v>
      </c>
      <c r="W1" s="1" t="s">
        <v>3024</v>
      </c>
      <c r="X1" s="66" t="s">
        <v>98</v>
      </c>
      <c r="Y1" s="16" t="s">
        <v>107</v>
      </c>
      <c r="Z1" s="17" t="s">
        <v>151</v>
      </c>
      <c r="AA1" s="17" t="s">
        <v>108</v>
      </c>
      <c r="AB1" s="17" t="s">
        <v>109</v>
      </c>
    </row>
    <row r="2" spans="1:28" ht="14.25">
      <c r="A2" s="9" t="s">
        <v>3187</v>
      </c>
      <c r="B2" s="14">
        <v>1212020007764</v>
      </c>
      <c r="C2" s="7" t="str">
        <f t="shared" ref="C2:C41" si="0">TRIM(P2&amp;" "&amp;Q2&amp;" "&amp;R2&amp;" "&amp;S2&amp;" "&amp;T2&amp;" "&amp;J2&amp;" "&amp;K2&amp;" "&amp;U2&amp;EX&amp;" "&amp;B2)</f>
        <v>◇ HUNTISM ハンティズム ナイロン素材 キャップ ネイビー 表記なし レディースメンズ E 1212020007764</v>
      </c>
      <c r="D2" s="7">
        <f>(LENB(C2)-LEN(C2))+(LENB(C2)-(LENB(C2)-LEN(C2))*2)/2</f>
        <v>48</v>
      </c>
      <c r="E2" t="s">
        <v>99</v>
      </c>
      <c r="F2">
        <v>3</v>
      </c>
      <c r="G2" s="7" t="str">
        <f>IFERROR(INDEX(コンディションランク!$B$1:$B$6,MATCH($F2,コンディションランク!$A$1:$A$6,0)),"")</f>
        <v>目立った傷や汚れなし</v>
      </c>
      <c r="I2" t="s">
        <v>3018</v>
      </c>
      <c r="J2" t="s">
        <v>3182</v>
      </c>
      <c r="K2" s="9" t="s">
        <v>3074</v>
      </c>
      <c r="L2">
        <v>60</v>
      </c>
      <c r="M2">
        <v>12</v>
      </c>
      <c r="N2">
        <v>6</v>
      </c>
      <c r="O2" t="s">
        <v>165</v>
      </c>
      <c r="P2" s="32" t="str">
        <f t="shared" ref="P2:P41" si="1">IFERROR(VLOOKUP(O2,梱包サイズ表,2,0),"")</f>
        <v>◇</v>
      </c>
      <c r="R2" t="s">
        <v>3183</v>
      </c>
      <c r="S2" t="s">
        <v>3184</v>
      </c>
      <c r="T2" t="s">
        <v>3185</v>
      </c>
      <c r="U2" t="s">
        <v>3186</v>
      </c>
      <c r="V2" t="str">
        <f>"内周：約" &amp;L2&amp; "cm　高さ：約" &amp;M2&amp; "cm　つば：約" &amp;N2&amp; "cm"</f>
        <v>内周：約60cm　高さ：約12cm　つば：約6cm</v>
      </c>
      <c r="W2" t="str">
        <f>SUBSTITUTE( V2, "約-", "-" )</f>
        <v>内周：約60cm　高さ：約12cm　つば：約6cm</v>
      </c>
      <c r="X2" s="77" t="s">
        <v>3118</v>
      </c>
      <c r="Z2" s="6"/>
      <c r="AB2">
        <v>1000</v>
      </c>
    </row>
    <row r="3" spans="1:28" ht="14.25">
      <c r="A3" s="9" t="s">
        <v>3250</v>
      </c>
      <c r="B3" s="14">
        <v>1212020007511</v>
      </c>
      <c r="C3" s="7" t="str">
        <f t="shared" si="0"/>
        <v>◇ LACOSTE ラコステ つばスウェード、ワッペンあり キャップ ブラック/ブラウン サイズ58 レディースメンズ E 1212020007511</v>
      </c>
      <c r="D3" s="7">
        <f t="shared" ref="D3:D41" si="2">(LENB(C3)-LEN(C3))+(LENB(C3)-(LENB(C3)-LEN(C3))*2)/2</f>
        <v>58.5</v>
      </c>
      <c r="E3" t="s">
        <v>99</v>
      </c>
      <c r="F3">
        <v>3</v>
      </c>
      <c r="G3" s="7" t="str">
        <f>IFERROR(INDEX(コンディションランク!$B$1:$B$6,MATCH($F3,コンディションランク!$A$1:$A$6,0)),"")</f>
        <v>目立った傷や汚れなし</v>
      </c>
      <c r="I3" t="s">
        <v>3018</v>
      </c>
      <c r="J3" t="s">
        <v>3245</v>
      </c>
      <c r="K3" s="9" t="s">
        <v>3246</v>
      </c>
      <c r="L3">
        <v>59</v>
      </c>
      <c r="M3">
        <v>17</v>
      </c>
      <c r="N3">
        <v>8</v>
      </c>
      <c r="O3" t="s">
        <v>165</v>
      </c>
      <c r="P3" s="32" t="str">
        <f t="shared" si="1"/>
        <v>◇</v>
      </c>
      <c r="R3" t="s">
        <v>3247</v>
      </c>
      <c r="S3" t="s">
        <v>3248</v>
      </c>
      <c r="T3" t="s">
        <v>3249</v>
      </c>
      <c r="U3" t="s">
        <v>3186</v>
      </c>
      <c r="V3" t="str">
        <f t="shared" ref="V3:V41" si="3">"内周：約" &amp;L3&amp; "cm　高さ：約" &amp;M3&amp; "cm　つば：約" &amp;N3&amp; "cm"</f>
        <v>内周：約59cm　高さ：約17cm　つば：約8cm</v>
      </c>
      <c r="W3" t="str">
        <f t="shared" ref="W3:W41" si="4">SUBSTITUTE( V3, "約-", "-" )</f>
        <v>内周：約59cm　高さ：約17cm　つば：約8cm</v>
      </c>
      <c r="X3" s="77" t="s">
        <v>3118</v>
      </c>
      <c r="Z3" s="6"/>
      <c r="AB3">
        <v>2000</v>
      </c>
    </row>
    <row r="4" spans="1:28" ht="14.25">
      <c r="A4" s="9" t="s">
        <v>3250</v>
      </c>
      <c r="B4" s="14">
        <v>1212020007504</v>
      </c>
      <c r="C4" s="7" t="str">
        <f t="shared" si="0"/>
        <v>◇ GDC つば裏側カモフラージュ柄、左側ワンポイント刺繍あり キャップ ブラック 表記なし レディースメンズ E 1212020007504</v>
      </c>
      <c r="D4" s="7">
        <f t="shared" si="2"/>
        <v>58.5</v>
      </c>
      <c r="E4" t="s">
        <v>3251</v>
      </c>
      <c r="F4">
        <v>4</v>
      </c>
      <c r="G4" s="7" t="str">
        <f>IFERROR(INDEX(コンディションランク!$B$1:$B$6,MATCH($F4,コンディションランク!$A$1:$A$6,0)),"")</f>
        <v>やや傷や汚れあり</v>
      </c>
      <c r="I4" t="s">
        <v>3018</v>
      </c>
      <c r="J4" t="s">
        <v>3068</v>
      </c>
      <c r="K4" s="9" t="s">
        <v>3074</v>
      </c>
      <c r="L4">
        <v>59</v>
      </c>
      <c r="M4">
        <v>17</v>
      </c>
      <c r="N4">
        <v>7</v>
      </c>
      <c r="O4" t="s">
        <v>165</v>
      </c>
      <c r="P4" s="32" t="str">
        <f t="shared" si="1"/>
        <v>◇</v>
      </c>
      <c r="R4" t="s">
        <v>3252</v>
      </c>
      <c r="S4" t="s">
        <v>3253</v>
      </c>
      <c r="T4" t="s">
        <v>3249</v>
      </c>
      <c r="U4" t="s">
        <v>3186</v>
      </c>
      <c r="V4" t="str">
        <f t="shared" si="3"/>
        <v>内周：約59cm　高さ：約17cm　つば：約7cm</v>
      </c>
      <c r="W4" t="str">
        <f t="shared" si="4"/>
        <v>内周：約59cm　高さ：約17cm　つば：約7cm</v>
      </c>
      <c r="X4" s="77" t="s">
        <v>3118</v>
      </c>
      <c r="Z4" s="6"/>
      <c r="AB4">
        <v>2000</v>
      </c>
    </row>
    <row r="5" spans="1:28" ht="14.25">
      <c r="C5" s="7" t="str">
        <f t="shared" si="0"/>
        <v>◇ サイズ E</v>
      </c>
      <c r="D5" s="7">
        <f t="shared" si="2"/>
        <v>5.5</v>
      </c>
      <c r="E5" t="s">
        <v>74</v>
      </c>
      <c r="G5" s="7" t="str">
        <f>IFERROR(INDEX(コンディションランク!$B$1:$B$6,MATCH($F5,コンディションランク!$A$1:$A$6,0)),"")</f>
        <v/>
      </c>
      <c r="I5" t="s">
        <v>3018</v>
      </c>
      <c r="K5" s="9" t="s">
        <v>3031</v>
      </c>
      <c r="O5" t="s">
        <v>165</v>
      </c>
      <c r="P5" s="32" t="str">
        <f t="shared" si="1"/>
        <v>◇</v>
      </c>
      <c r="V5" t="str">
        <f t="shared" si="3"/>
        <v>内周：約cm　高さ：約cm　つば：約cm</v>
      </c>
      <c r="W5" t="str">
        <f t="shared" si="4"/>
        <v>内周：約cm　高さ：約cm　つば：約cm</v>
      </c>
      <c r="X5" s="77" t="s">
        <v>166</v>
      </c>
      <c r="Z5" s="6"/>
    </row>
    <row r="6" spans="1:28" ht="14.25">
      <c r="C6" s="7" t="str">
        <f t="shared" si="0"/>
        <v>◇ サイズ E</v>
      </c>
      <c r="D6" s="7">
        <f t="shared" si="2"/>
        <v>5.5</v>
      </c>
      <c r="E6" t="s">
        <v>74</v>
      </c>
      <c r="G6" s="7" t="str">
        <f>IFERROR(INDEX(コンディションランク!$B$1:$B$6,MATCH($F6,コンディションランク!$A$1:$A$6,0)),"")</f>
        <v/>
      </c>
      <c r="I6" t="s">
        <v>3018</v>
      </c>
      <c r="K6" s="9" t="s">
        <v>3031</v>
      </c>
      <c r="O6" t="s">
        <v>165</v>
      </c>
      <c r="P6" s="32" t="str">
        <f t="shared" si="1"/>
        <v>◇</v>
      </c>
      <c r="V6" t="str">
        <f t="shared" si="3"/>
        <v>内周：約cm　高さ：約cm　つば：約cm</v>
      </c>
      <c r="W6" t="str">
        <f t="shared" si="4"/>
        <v>内周：約cm　高さ：約cm　つば：約cm</v>
      </c>
      <c r="X6" s="77" t="s">
        <v>166</v>
      </c>
      <c r="Z6" s="6"/>
    </row>
    <row r="7" spans="1:28" ht="14.25">
      <c r="C7" s="7" t="str">
        <f t="shared" si="0"/>
        <v>◇ サイズ E</v>
      </c>
      <c r="D7" s="7">
        <f t="shared" si="2"/>
        <v>5.5</v>
      </c>
      <c r="E7" t="s">
        <v>74</v>
      </c>
      <c r="G7" s="7" t="str">
        <f>IFERROR(INDEX(コンディションランク!$B$1:$B$6,MATCH($F7,コンディションランク!$A$1:$A$6,0)),"")</f>
        <v/>
      </c>
      <c r="I7" t="s">
        <v>3018</v>
      </c>
      <c r="K7" s="9" t="s">
        <v>3031</v>
      </c>
      <c r="O7" t="s">
        <v>165</v>
      </c>
      <c r="P7" s="32" t="str">
        <f t="shared" si="1"/>
        <v>◇</v>
      </c>
      <c r="V7" t="str">
        <f t="shared" si="3"/>
        <v>内周：約cm　高さ：約cm　つば：約cm</v>
      </c>
      <c r="W7" t="str">
        <f t="shared" si="4"/>
        <v>内周：約cm　高さ：約cm　つば：約cm</v>
      </c>
      <c r="X7" s="77" t="s">
        <v>166</v>
      </c>
      <c r="Z7" s="6"/>
    </row>
    <row r="8" spans="1:28" ht="14.25">
      <c r="C8" s="7" t="str">
        <f t="shared" si="0"/>
        <v>◇ サイズ E</v>
      </c>
      <c r="D8" s="7">
        <f t="shared" si="2"/>
        <v>5.5</v>
      </c>
      <c r="E8" t="s">
        <v>74</v>
      </c>
      <c r="G8" s="7" t="str">
        <f>IFERROR(INDEX(コンディションランク!$B$1:$B$6,MATCH($F8,コンディションランク!$A$1:$A$6,0)),"")</f>
        <v/>
      </c>
      <c r="I8" t="s">
        <v>3018</v>
      </c>
      <c r="K8" s="9" t="s">
        <v>3031</v>
      </c>
      <c r="O8" t="s">
        <v>165</v>
      </c>
      <c r="P8" s="32" t="str">
        <f t="shared" si="1"/>
        <v>◇</v>
      </c>
      <c r="V8" t="str">
        <f t="shared" si="3"/>
        <v>内周：約cm　高さ：約cm　つば：約cm</v>
      </c>
      <c r="W8" t="str">
        <f t="shared" si="4"/>
        <v>内周：約cm　高さ：約cm　つば：約cm</v>
      </c>
      <c r="X8" s="77" t="s">
        <v>166</v>
      </c>
      <c r="Z8" s="6"/>
    </row>
    <row r="9" spans="1:28" ht="14.25">
      <c r="C9" s="7" t="str">
        <f t="shared" si="0"/>
        <v>◇ サイズ E</v>
      </c>
      <c r="D9" s="7">
        <f t="shared" si="2"/>
        <v>5.5</v>
      </c>
      <c r="E9" t="s">
        <v>74</v>
      </c>
      <c r="G9" s="7" t="str">
        <f>IFERROR(INDEX(コンディションランク!$B$1:$B$6,MATCH($F9,コンディションランク!$A$1:$A$6,0)),"")</f>
        <v/>
      </c>
      <c r="I9" t="s">
        <v>3018</v>
      </c>
      <c r="K9" s="9" t="s">
        <v>3031</v>
      </c>
      <c r="O9" t="s">
        <v>165</v>
      </c>
      <c r="P9" s="32" t="str">
        <f t="shared" si="1"/>
        <v>◇</v>
      </c>
      <c r="V9" t="str">
        <f t="shared" si="3"/>
        <v>内周：約cm　高さ：約cm　つば：約cm</v>
      </c>
      <c r="W9" t="str">
        <f t="shared" si="4"/>
        <v>内周：約cm　高さ：約cm　つば：約cm</v>
      </c>
      <c r="X9" s="77" t="s">
        <v>166</v>
      </c>
      <c r="Z9" s="6"/>
    </row>
    <row r="10" spans="1:28" ht="14.25">
      <c r="C10" s="7" t="str">
        <f t="shared" si="0"/>
        <v>◇ サイズ E</v>
      </c>
      <c r="D10" s="7">
        <f t="shared" si="2"/>
        <v>5.5</v>
      </c>
      <c r="E10" t="s">
        <v>74</v>
      </c>
      <c r="G10" s="7" t="str">
        <f>IFERROR(INDEX(コンディションランク!$B$1:$B$6,MATCH($F10,コンディションランク!$A$1:$A$6,0)),"")</f>
        <v/>
      </c>
      <c r="I10" t="s">
        <v>3018</v>
      </c>
      <c r="K10" s="9" t="s">
        <v>3031</v>
      </c>
      <c r="O10" t="s">
        <v>165</v>
      </c>
      <c r="P10" s="32" t="str">
        <f t="shared" si="1"/>
        <v>◇</v>
      </c>
      <c r="V10" t="str">
        <f t="shared" si="3"/>
        <v>内周：約cm　高さ：約cm　つば：約cm</v>
      </c>
      <c r="W10" t="str">
        <f t="shared" si="4"/>
        <v>内周：約cm　高さ：約cm　つば：約cm</v>
      </c>
      <c r="X10" s="77" t="s">
        <v>166</v>
      </c>
      <c r="Z10" s="6"/>
    </row>
    <row r="11" spans="1:28" ht="14.25">
      <c r="C11" s="7" t="str">
        <f t="shared" si="0"/>
        <v>◇ サイズ E</v>
      </c>
      <c r="D11" s="7">
        <f t="shared" si="2"/>
        <v>5.5</v>
      </c>
      <c r="E11" t="s">
        <v>74</v>
      </c>
      <c r="G11" s="7" t="str">
        <f>IFERROR(INDEX(コンディションランク!$B$1:$B$6,MATCH($F11,コンディションランク!$A$1:$A$6,0)),"")</f>
        <v/>
      </c>
      <c r="I11" t="s">
        <v>3018</v>
      </c>
      <c r="K11" s="9" t="s">
        <v>3031</v>
      </c>
      <c r="O11" t="s">
        <v>165</v>
      </c>
      <c r="P11" s="32" t="str">
        <f t="shared" si="1"/>
        <v>◇</v>
      </c>
      <c r="V11" t="str">
        <f t="shared" si="3"/>
        <v>内周：約cm　高さ：約cm　つば：約cm</v>
      </c>
      <c r="W11" t="str">
        <f t="shared" si="4"/>
        <v>内周：約cm　高さ：約cm　つば：約cm</v>
      </c>
      <c r="X11" s="77" t="s">
        <v>166</v>
      </c>
      <c r="Z11" s="6"/>
    </row>
    <row r="12" spans="1:28" ht="14.25">
      <c r="C12" s="7" t="str">
        <f t="shared" si="0"/>
        <v>◇ サイズ E</v>
      </c>
      <c r="D12" s="7">
        <f t="shared" si="2"/>
        <v>5.5</v>
      </c>
      <c r="E12" t="s">
        <v>74</v>
      </c>
      <c r="G12" s="7" t="str">
        <f>IFERROR(INDEX(コンディションランク!$B$1:$B$6,MATCH($F12,コンディションランク!$A$1:$A$6,0)),"")</f>
        <v/>
      </c>
      <c r="I12" t="s">
        <v>3018</v>
      </c>
      <c r="K12" s="9" t="s">
        <v>3031</v>
      </c>
      <c r="O12" t="s">
        <v>165</v>
      </c>
      <c r="P12" s="32" t="str">
        <f t="shared" si="1"/>
        <v>◇</v>
      </c>
      <c r="V12" t="str">
        <f t="shared" si="3"/>
        <v>内周：約cm　高さ：約cm　つば：約cm</v>
      </c>
      <c r="W12" t="str">
        <f t="shared" si="4"/>
        <v>内周：約cm　高さ：約cm　つば：約cm</v>
      </c>
      <c r="X12" s="77" t="s">
        <v>166</v>
      </c>
      <c r="Z12" s="6"/>
    </row>
    <row r="13" spans="1:28" ht="14.25">
      <c r="C13" s="7" t="str">
        <f t="shared" si="0"/>
        <v>◇ サイズ E</v>
      </c>
      <c r="D13" s="7">
        <f t="shared" si="2"/>
        <v>5.5</v>
      </c>
      <c r="E13" t="s">
        <v>74</v>
      </c>
      <c r="G13" s="7" t="str">
        <f>IFERROR(INDEX(コンディションランク!$B$1:$B$6,MATCH($F13,コンディションランク!$A$1:$A$6,0)),"")</f>
        <v/>
      </c>
      <c r="I13" t="s">
        <v>3018</v>
      </c>
      <c r="K13" s="9" t="s">
        <v>3031</v>
      </c>
      <c r="O13" t="s">
        <v>165</v>
      </c>
      <c r="P13" s="32" t="str">
        <f t="shared" si="1"/>
        <v>◇</v>
      </c>
      <c r="V13" t="str">
        <f t="shared" si="3"/>
        <v>内周：約cm　高さ：約cm　つば：約cm</v>
      </c>
      <c r="W13" t="str">
        <f t="shared" si="4"/>
        <v>内周：約cm　高さ：約cm　つば：約cm</v>
      </c>
      <c r="X13" s="77" t="s">
        <v>166</v>
      </c>
      <c r="Z13" s="6"/>
    </row>
    <row r="14" spans="1:28" ht="14.25">
      <c r="C14" s="7" t="str">
        <f t="shared" si="0"/>
        <v>◇ サイズ E</v>
      </c>
      <c r="D14" s="7">
        <f t="shared" si="2"/>
        <v>5.5</v>
      </c>
      <c r="E14" t="s">
        <v>74</v>
      </c>
      <c r="G14" s="7" t="str">
        <f>IFERROR(INDEX(コンディションランク!$B$1:$B$6,MATCH($F14,コンディションランク!$A$1:$A$6,0)),"")</f>
        <v/>
      </c>
      <c r="I14" t="s">
        <v>3018</v>
      </c>
      <c r="K14" s="9" t="s">
        <v>3031</v>
      </c>
      <c r="O14" t="s">
        <v>165</v>
      </c>
      <c r="P14" s="32" t="str">
        <f t="shared" si="1"/>
        <v>◇</v>
      </c>
      <c r="V14" t="str">
        <f t="shared" si="3"/>
        <v>内周：約cm　高さ：約cm　つば：約cm</v>
      </c>
      <c r="W14" t="str">
        <f t="shared" si="4"/>
        <v>内周：約cm　高さ：約cm　つば：約cm</v>
      </c>
      <c r="X14" s="77" t="s">
        <v>166</v>
      </c>
      <c r="Z14" s="6"/>
    </row>
    <row r="15" spans="1:28" ht="14.25">
      <c r="C15" s="7" t="str">
        <f t="shared" si="0"/>
        <v>◇ サイズ E</v>
      </c>
      <c r="D15" s="7">
        <f t="shared" si="2"/>
        <v>5.5</v>
      </c>
      <c r="E15" t="s">
        <v>74</v>
      </c>
      <c r="G15" s="7" t="str">
        <f>IFERROR(INDEX(コンディションランク!$B$1:$B$6,MATCH($F15,コンディションランク!$A$1:$A$6,0)),"")</f>
        <v/>
      </c>
      <c r="I15" t="s">
        <v>3018</v>
      </c>
      <c r="K15" s="9" t="s">
        <v>3031</v>
      </c>
      <c r="O15" t="s">
        <v>165</v>
      </c>
      <c r="P15" s="32" t="str">
        <f t="shared" si="1"/>
        <v>◇</v>
      </c>
      <c r="V15" t="str">
        <f t="shared" si="3"/>
        <v>内周：約cm　高さ：約cm　つば：約cm</v>
      </c>
      <c r="W15" t="str">
        <f t="shared" si="4"/>
        <v>内周：約cm　高さ：約cm　つば：約cm</v>
      </c>
      <c r="X15" s="77" t="s">
        <v>166</v>
      </c>
      <c r="Z15" s="6"/>
    </row>
    <row r="16" spans="1:28" ht="14.25">
      <c r="C16" s="7" t="str">
        <f t="shared" si="0"/>
        <v>◇ サイズ E</v>
      </c>
      <c r="D16" s="7">
        <f t="shared" si="2"/>
        <v>5.5</v>
      </c>
      <c r="E16" t="s">
        <v>74</v>
      </c>
      <c r="G16" s="7" t="str">
        <f>IFERROR(INDEX(コンディションランク!$B$1:$B$6,MATCH($F16,コンディションランク!$A$1:$A$6,0)),"")</f>
        <v/>
      </c>
      <c r="I16" t="s">
        <v>3018</v>
      </c>
      <c r="K16" s="9" t="s">
        <v>3031</v>
      </c>
      <c r="O16" t="s">
        <v>165</v>
      </c>
      <c r="P16" s="32" t="str">
        <f t="shared" si="1"/>
        <v>◇</v>
      </c>
      <c r="V16" t="str">
        <f t="shared" si="3"/>
        <v>内周：約cm　高さ：約cm　つば：約cm</v>
      </c>
      <c r="W16" t="str">
        <f t="shared" si="4"/>
        <v>内周：約cm　高さ：約cm　つば：約cm</v>
      </c>
      <c r="X16" s="77" t="s">
        <v>166</v>
      </c>
      <c r="Z16" s="6"/>
    </row>
    <row r="17" spans="3:26" ht="14.25">
      <c r="C17" s="7" t="str">
        <f t="shared" si="0"/>
        <v>◇ サイズ E</v>
      </c>
      <c r="D17" s="7">
        <f t="shared" si="2"/>
        <v>5.5</v>
      </c>
      <c r="E17" t="s">
        <v>74</v>
      </c>
      <c r="G17" s="7" t="str">
        <f>IFERROR(INDEX(コンディションランク!$B$1:$B$6,MATCH($F17,コンディションランク!$A$1:$A$6,0)),"")</f>
        <v/>
      </c>
      <c r="I17" t="s">
        <v>3018</v>
      </c>
      <c r="K17" s="9" t="s">
        <v>3031</v>
      </c>
      <c r="O17" t="s">
        <v>165</v>
      </c>
      <c r="P17" s="32" t="str">
        <f t="shared" si="1"/>
        <v>◇</v>
      </c>
      <c r="V17" t="str">
        <f t="shared" si="3"/>
        <v>内周：約cm　高さ：約cm　つば：約cm</v>
      </c>
      <c r="W17" t="str">
        <f t="shared" si="4"/>
        <v>内周：約cm　高さ：約cm　つば：約cm</v>
      </c>
      <c r="X17" s="77" t="s">
        <v>166</v>
      </c>
      <c r="Z17" s="6"/>
    </row>
    <row r="18" spans="3:26" ht="14.25">
      <c r="C18" s="7" t="str">
        <f t="shared" si="0"/>
        <v>◇ サイズ E</v>
      </c>
      <c r="D18" s="7">
        <f t="shared" si="2"/>
        <v>5.5</v>
      </c>
      <c r="E18" t="s">
        <v>74</v>
      </c>
      <c r="G18" s="7" t="str">
        <f>IFERROR(INDEX(コンディションランク!$B$1:$B$6,MATCH($F18,コンディションランク!$A$1:$A$6,0)),"")</f>
        <v/>
      </c>
      <c r="I18" t="s">
        <v>3018</v>
      </c>
      <c r="K18" s="9" t="s">
        <v>3031</v>
      </c>
      <c r="O18" t="s">
        <v>165</v>
      </c>
      <c r="P18" s="32" t="str">
        <f t="shared" si="1"/>
        <v>◇</v>
      </c>
      <c r="V18" t="str">
        <f t="shared" si="3"/>
        <v>内周：約cm　高さ：約cm　つば：約cm</v>
      </c>
      <c r="W18" t="str">
        <f t="shared" si="4"/>
        <v>内周：約cm　高さ：約cm　つば：約cm</v>
      </c>
      <c r="X18" s="77" t="s">
        <v>166</v>
      </c>
      <c r="Z18" s="6"/>
    </row>
    <row r="19" spans="3:26" ht="14.25">
      <c r="C19" s="7" t="str">
        <f t="shared" si="0"/>
        <v>◇ サイズ E</v>
      </c>
      <c r="D19" s="7">
        <f t="shared" si="2"/>
        <v>5.5</v>
      </c>
      <c r="E19" t="s">
        <v>74</v>
      </c>
      <c r="G19" s="7" t="str">
        <f>IFERROR(INDEX(コンディションランク!$B$1:$B$6,MATCH($F19,コンディションランク!$A$1:$A$6,0)),"")</f>
        <v/>
      </c>
      <c r="I19" t="s">
        <v>3018</v>
      </c>
      <c r="K19" s="9" t="s">
        <v>3031</v>
      </c>
      <c r="O19" t="s">
        <v>165</v>
      </c>
      <c r="P19" s="32" t="str">
        <f t="shared" si="1"/>
        <v>◇</v>
      </c>
      <c r="V19" t="str">
        <f t="shared" si="3"/>
        <v>内周：約cm　高さ：約cm　つば：約cm</v>
      </c>
      <c r="W19" t="str">
        <f t="shared" si="4"/>
        <v>内周：約cm　高さ：約cm　つば：約cm</v>
      </c>
      <c r="X19" s="77" t="s">
        <v>166</v>
      </c>
      <c r="Z19" s="6"/>
    </row>
    <row r="20" spans="3:26" ht="14.25">
      <c r="C20" s="7" t="str">
        <f t="shared" si="0"/>
        <v>◇ サイズ E</v>
      </c>
      <c r="D20" s="7">
        <f t="shared" si="2"/>
        <v>5.5</v>
      </c>
      <c r="E20" t="s">
        <v>74</v>
      </c>
      <c r="G20" s="7" t="str">
        <f>IFERROR(INDEX(コンディションランク!$B$1:$B$6,MATCH($F20,コンディションランク!$A$1:$A$6,0)),"")</f>
        <v/>
      </c>
      <c r="I20" t="s">
        <v>3018</v>
      </c>
      <c r="K20" s="9" t="s">
        <v>3031</v>
      </c>
      <c r="O20" t="s">
        <v>165</v>
      </c>
      <c r="P20" s="32" t="str">
        <f t="shared" si="1"/>
        <v>◇</v>
      </c>
      <c r="V20" t="str">
        <f t="shared" si="3"/>
        <v>内周：約cm　高さ：約cm　つば：約cm</v>
      </c>
      <c r="W20" t="str">
        <f t="shared" si="4"/>
        <v>内周：約cm　高さ：約cm　つば：約cm</v>
      </c>
      <c r="X20" s="77" t="s">
        <v>166</v>
      </c>
      <c r="Z20" s="6"/>
    </row>
    <row r="21" spans="3:26" ht="14.25">
      <c r="C21" s="7" t="str">
        <f t="shared" si="0"/>
        <v>◇ サイズ E</v>
      </c>
      <c r="D21" s="7">
        <f t="shared" si="2"/>
        <v>5.5</v>
      </c>
      <c r="E21" t="s">
        <v>74</v>
      </c>
      <c r="G21" s="7" t="str">
        <f>IFERROR(INDEX(コンディションランク!$B$1:$B$6,MATCH($F21,コンディションランク!$A$1:$A$6,0)),"")</f>
        <v/>
      </c>
      <c r="I21" t="s">
        <v>3018</v>
      </c>
      <c r="K21" s="9" t="s">
        <v>3031</v>
      </c>
      <c r="O21" t="s">
        <v>165</v>
      </c>
      <c r="P21" s="32" t="str">
        <f t="shared" si="1"/>
        <v>◇</v>
      </c>
      <c r="V21" t="str">
        <f t="shared" si="3"/>
        <v>内周：約cm　高さ：約cm　つば：約cm</v>
      </c>
      <c r="W21" t="str">
        <f t="shared" si="4"/>
        <v>内周：約cm　高さ：約cm　つば：約cm</v>
      </c>
      <c r="X21" s="77" t="s">
        <v>166</v>
      </c>
      <c r="Z21" s="6"/>
    </row>
    <row r="22" spans="3:26" ht="14.25">
      <c r="C22" s="7" t="str">
        <f t="shared" si="0"/>
        <v>◇ サイズ E</v>
      </c>
      <c r="D22" s="7">
        <f t="shared" si="2"/>
        <v>5.5</v>
      </c>
      <c r="E22" t="s">
        <v>74</v>
      </c>
      <c r="G22" s="7" t="str">
        <f>IFERROR(INDEX(コンディションランク!$B$1:$B$6,MATCH($F22,コンディションランク!$A$1:$A$6,0)),"")</f>
        <v/>
      </c>
      <c r="I22" t="s">
        <v>3018</v>
      </c>
      <c r="K22" s="9" t="s">
        <v>3031</v>
      </c>
      <c r="O22" t="s">
        <v>165</v>
      </c>
      <c r="P22" s="32" t="str">
        <f t="shared" si="1"/>
        <v>◇</v>
      </c>
      <c r="V22" t="str">
        <f t="shared" si="3"/>
        <v>内周：約cm　高さ：約cm　つば：約cm</v>
      </c>
      <c r="W22" t="str">
        <f t="shared" si="4"/>
        <v>内周：約cm　高さ：約cm　つば：約cm</v>
      </c>
      <c r="X22" s="77" t="s">
        <v>166</v>
      </c>
      <c r="Z22" s="6"/>
    </row>
    <row r="23" spans="3:26" ht="14.25">
      <c r="C23" s="7" t="str">
        <f t="shared" si="0"/>
        <v>◇ サイズ E</v>
      </c>
      <c r="D23" s="7">
        <f t="shared" si="2"/>
        <v>5.5</v>
      </c>
      <c r="E23" t="s">
        <v>74</v>
      </c>
      <c r="G23" s="7" t="str">
        <f>IFERROR(INDEX(コンディションランク!$B$1:$B$6,MATCH($F23,コンディションランク!$A$1:$A$6,0)),"")</f>
        <v/>
      </c>
      <c r="I23" t="s">
        <v>3018</v>
      </c>
      <c r="K23" s="9" t="s">
        <v>3031</v>
      </c>
      <c r="O23" t="s">
        <v>165</v>
      </c>
      <c r="P23" s="32" t="str">
        <f t="shared" si="1"/>
        <v>◇</v>
      </c>
      <c r="V23" t="str">
        <f t="shared" si="3"/>
        <v>内周：約cm　高さ：約cm　つば：約cm</v>
      </c>
      <c r="W23" t="str">
        <f t="shared" si="4"/>
        <v>内周：約cm　高さ：約cm　つば：約cm</v>
      </c>
      <c r="X23" s="77" t="s">
        <v>166</v>
      </c>
      <c r="Z23" s="6"/>
    </row>
    <row r="24" spans="3:26" ht="14.25">
      <c r="C24" s="7" t="str">
        <f t="shared" si="0"/>
        <v>◇ サイズ E</v>
      </c>
      <c r="D24" s="7">
        <f t="shared" si="2"/>
        <v>5.5</v>
      </c>
      <c r="E24" t="s">
        <v>74</v>
      </c>
      <c r="G24" s="7" t="str">
        <f>IFERROR(INDEX(コンディションランク!$B$1:$B$6,MATCH($F24,コンディションランク!$A$1:$A$6,0)),"")</f>
        <v/>
      </c>
      <c r="I24" t="s">
        <v>3018</v>
      </c>
      <c r="K24" s="9" t="s">
        <v>3031</v>
      </c>
      <c r="O24" t="s">
        <v>165</v>
      </c>
      <c r="P24" s="32" t="str">
        <f t="shared" si="1"/>
        <v>◇</v>
      </c>
      <c r="V24" t="str">
        <f t="shared" si="3"/>
        <v>内周：約cm　高さ：約cm　つば：約cm</v>
      </c>
      <c r="W24" t="str">
        <f t="shared" si="4"/>
        <v>内周：約cm　高さ：約cm　つば：約cm</v>
      </c>
      <c r="X24" s="77" t="s">
        <v>166</v>
      </c>
      <c r="Z24" s="6"/>
    </row>
    <row r="25" spans="3:26" ht="14.25">
      <c r="C25" s="7" t="str">
        <f t="shared" si="0"/>
        <v>◇ サイズ E</v>
      </c>
      <c r="D25" s="7">
        <f t="shared" si="2"/>
        <v>5.5</v>
      </c>
      <c r="E25" t="s">
        <v>74</v>
      </c>
      <c r="G25" s="7" t="str">
        <f>IFERROR(INDEX(コンディションランク!$B$1:$B$6,MATCH($F25,コンディションランク!$A$1:$A$6,0)),"")</f>
        <v/>
      </c>
      <c r="I25" t="s">
        <v>3018</v>
      </c>
      <c r="K25" s="9" t="s">
        <v>3031</v>
      </c>
      <c r="O25" t="s">
        <v>165</v>
      </c>
      <c r="P25" s="32" t="str">
        <f t="shared" si="1"/>
        <v>◇</v>
      </c>
      <c r="V25" t="str">
        <f t="shared" si="3"/>
        <v>内周：約cm　高さ：約cm　つば：約cm</v>
      </c>
      <c r="W25" t="str">
        <f t="shared" si="4"/>
        <v>内周：約cm　高さ：約cm　つば：約cm</v>
      </c>
      <c r="X25" s="77" t="s">
        <v>166</v>
      </c>
      <c r="Z25" s="6"/>
    </row>
    <row r="26" spans="3:26" ht="14.25">
      <c r="C26" s="7" t="str">
        <f t="shared" si="0"/>
        <v>◇ サイズ E</v>
      </c>
      <c r="D26" s="7">
        <f t="shared" si="2"/>
        <v>5.5</v>
      </c>
      <c r="E26" t="s">
        <v>74</v>
      </c>
      <c r="G26" s="7" t="str">
        <f>IFERROR(INDEX(コンディションランク!$B$1:$B$6,MATCH($F26,コンディションランク!$A$1:$A$6,0)),"")</f>
        <v/>
      </c>
      <c r="I26" t="s">
        <v>3018</v>
      </c>
      <c r="K26" s="9" t="s">
        <v>3031</v>
      </c>
      <c r="O26" t="s">
        <v>165</v>
      </c>
      <c r="P26" s="32" t="str">
        <f t="shared" si="1"/>
        <v>◇</v>
      </c>
      <c r="V26" t="str">
        <f t="shared" si="3"/>
        <v>内周：約cm　高さ：約cm　つば：約cm</v>
      </c>
      <c r="W26" t="str">
        <f t="shared" si="4"/>
        <v>内周：約cm　高さ：約cm　つば：約cm</v>
      </c>
      <c r="X26" s="77" t="s">
        <v>166</v>
      </c>
      <c r="Z26" s="6"/>
    </row>
    <row r="27" spans="3:26" ht="14.25">
      <c r="C27" s="7" t="str">
        <f t="shared" si="0"/>
        <v>◇ サイズ E</v>
      </c>
      <c r="D27" s="7">
        <f t="shared" si="2"/>
        <v>5.5</v>
      </c>
      <c r="E27" t="s">
        <v>74</v>
      </c>
      <c r="G27" s="7" t="str">
        <f>IFERROR(INDEX(コンディションランク!$B$1:$B$6,MATCH($F27,コンディションランク!$A$1:$A$6,0)),"")</f>
        <v/>
      </c>
      <c r="I27" t="s">
        <v>3018</v>
      </c>
      <c r="K27" s="9" t="s">
        <v>3031</v>
      </c>
      <c r="O27" t="s">
        <v>165</v>
      </c>
      <c r="P27" s="32" t="str">
        <f t="shared" si="1"/>
        <v>◇</v>
      </c>
      <c r="V27" t="str">
        <f t="shared" si="3"/>
        <v>内周：約cm　高さ：約cm　つば：約cm</v>
      </c>
      <c r="W27" t="str">
        <f t="shared" si="4"/>
        <v>内周：約cm　高さ：約cm　つば：約cm</v>
      </c>
      <c r="X27" s="77" t="s">
        <v>166</v>
      </c>
      <c r="Z27" s="6"/>
    </row>
    <row r="28" spans="3:26" ht="14.25">
      <c r="C28" s="7" t="str">
        <f t="shared" si="0"/>
        <v>◇ サイズ E</v>
      </c>
      <c r="D28" s="7">
        <f t="shared" si="2"/>
        <v>5.5</v>
      </c>
      <c r="E28" t="s">
        <v>74</v>
      </c>
      <c r="G28" s="7" t="str">
        <f>IFERROR(INDEX(コンディションランク!$B$1:$B$6,MATCH($F28,コンディションランク!$A$1:$A$6,0)),"")</f>
        <v/>
      </c>
      <c r="I28" t="s">
        <v>3018</v>
      </c>
      <c r="K28" s="9" t="s">
        <v>3031</v>
      </c>
      <c r="O28" t="s">
        <v>165</v>
      </c>
      <c r="P28" s="32" t="str">
        <f t="shared" si="1"/>
        <v>◇</v>
      </c>
      <c r="V28" t="str">
        <f t="shared" si="3"/>
        <v>内周：約cm　高さ：約cm　つば：約cm</v>
      </c>
      <c r="W28" t="str">
        <f t="shared" si="4"/>
        <v>内周：約cm　高さ：約cm　つば：約cm</v>
      </c>
      <c r="X28" s="77" t="s">
        <v>166</v>
      </c>
      <c r="Z28" s="6"/>
    </row>
    <row r="29" spans="3:26" ht="14.25">
      <c r="C29" s="7" t="str">
        <f t="shared" si="0"/>
        <v>◇ サイズ E</v>
      </c>
      <c r="D29" s="7">
        <f t="shared" si="2"/>
        <v>5.5</v>
      </c>
      <c r="E29" t="s">
        <v>74</v>
      </c>
      <c r="G29" s="7" t="str">
        <f>IFERROR(INDEX(コンディションランク!$B$1:$B$6,MATCH($F29,コンディションランク!$A$1:$A$6,0)),"")</f>
        <v/>
      </c>
      <c r="I29" t="s">
        <v>3018</v>
      </c>
      <c r="K29" s="9" t="s">
        <v>3031</v>
      </c>
      <c r="O29" t="s">
        <v>165</v>
      </c>
      <c r="P29" s="32" t="str">
        <f t="shared" si="1"/>
        <v>◇</v>
      </c>
      <c r="V29" t="str">
        <f t="shared" si="3"/>
        <v>内周：約cm　高さ：約cm　つば：約cm</v>
      </c>
      <c r="W29" t="str">
        <f t="shared" si="4"/>
        <v>内周：約cm　高さ：約cm　つば：約cm</v>
      </c>
      <c r="X29" s="77" t="s">
        <v>166</v>
      </c>
      <c r="Z29" s="6"/>
    </row>
    <row r="30" spans="3:26" ht="14.25">
      <c r="C30" s="7" t="str">
        <f t="shared" si="0"/>
        <v>◇ サイズ E</v>
      </c>
      <c r="D30" s="7">
        <f t="shared" si="2"/>
        <v>5.5</v>
      </c>
      <c r="E30" t="s">
        <v>74</v>
      </c>
      <c r="G30" s="7" t="str">
        <f>IFERROR(INDEX(コンディションランク!$B$1:$B$6,MATCH($F30,コンディションランク!$A$1:$A$6,0)),"")</f>
        <v/>
      </c>
      <c r="I30" t="s">
        <v>3018</v>
      </c>
      <c r="K30" s="9" t="s">
        <v>3031</v>
      </c>
      <c r="O30" t="s">
        <v>165</v>
      </c>
      <c r="P30" s="32" t="str">
        <f t="shared" si="1"/>
        <v>◇</v>
      </c>
      <c r="V30" t="str">
        <f t="shared" si="3"/>
        <v>内周：約cm　高さ：約cm　つば：約cm</v>
      </c>
      <c r="W30" t="str">
        <f t="shared" si="4"/>
        <v>内周：約cm　高さ：約cm　つば：約cm</v>
      </c>
      <c r="X30" s="77" t="s">
        <v>166</v>
      </c>
      <c r="Z30" s="6"/>
    </row>
    <row r="31" spans="3:26" ht="14.25">
      <c r="C31" s="7" t="str">
        <f t="shared" si="0"/>
        <v>◇ サイズ E</v>
      </c>
      <c r="D31" s="7">
        <f t="shared" si="2"/>
        <v>5.5</v>
      </c>
      <c r="E31" t="s">
        <v>74</v>
      </c>
      <c r="G31" s="7" t="str">
        <f>IFERROR(INDEX(コンディションランク!$B$1:$B$6,MATCH($F31,コンディションランク!$A$1:$A$6,0)),"")</f>
        <v/>
      </c>
      <c r="I31" t="s">
        <v>3018</v>
      </c>
      <c r="K31" s="9" t="s">
        <v>3031</v>
      </c>
      <c r="O31" t="s">
        <v>165</v>
      </c>
      <c r="P31" s="32" t="str">
        <f t="shared" si="1"/>
        <v>◇</v>
      </c>
      <c r="V31" t="str">
        <f t="shared" si="3"/>
        <v>内周：約cm　高さ：約cm　つば：約cm</v>
      </c>
      <c r="W31" t="str">
        <f t="shared" si="4"/>
        <v>内周：約cm　高さ：約cm　つば：約cm</v>
      </c>
      <c r="X31" s="77" t="s">
        <v>166</v>
      </c>
      <c r="Z31" s="6"/>
    </row>
    <row r="32" spans="3:26" ht="14.25">
      <c r="C32" s="7" t="str">
        <f t="shared" si="0"/>
        <v>◇ サイズ E</v>
      </c>
      <c r="D32" s="7">
        <f t="shared" si="2"/>
        <v>5.5</v>
      </c>
      <c r="E32" t="s">
        <v>74</v>
      </c>
      <c r="G32" s="7" t="str">
        <f>IFERROR(INDEX(コンディションランク!$B$1:$B$6,MATCH($F32,コンディションランク!$A$1:$A$6,0)),"")</f>
        <v/>
      </c>
      <c r="I32" t="s">
        <v>3018</v>
      </c>
      <c r="K32" s="9" t="s">
        <v>3031</v>
      </c>
      <c r="O32" t="s">
        <v>165</v>
      </c>
      <c r="P32" s="32" t="str">
        <f t="shared" si="1"/>
        <v>◇</v>
      </c>
      <c r="V32" t="str">
        <f t="shared" si="3"/>
        <v>内周：約cm　高さ：約cm　つば：約cm</v>
      </c>
      <c r="W32" t="str">
        <f t="shared" si="4"/>
        <v>内周：約cm　高さ：約cm　つば：約cm</v>
      </c>
      <c r="X32" s="77" t="s">
        <v>166</v>
      </c>
      <c r="Z32" s="6"/>
    </row>
    <row r="33" spans="1:26" ht="14.25">
      <c r="C33" s="7" t="str">
        <f t="shared" si="0"/>
        <v>◇ サイズ E</v>
      </c>
      <c r="D33" s="7">
        <f t="shared" si="2"/>
        <v>5.5</v>
      </c>
      <c r="E33" t="s">
        <v>74</v>
      </c>
      <c r="G33" s="7" t="str">
        <f>IFERROR(INDEX(コンディションランク!$B$1:$B$6,MATCH($F33,コンディションランク!$A$1:$A$6,0)),"")</f>
        <v/>
      </c>
      <c r="I33" t="s">
        <v>3018</v>
      </c>
      <c r="K33" s="9" t="s">
        <v>3031</v>
      </c>
      <c r="O33" t="s">
        <v>165</v>
      </c>
      <c r="P33" s="32" t="str">
        <f t="shared" si="1"/>
        <v>◇</v>
      </c>
      <c r="V33" t="str">
        <f t="shared" si="3"/>
        <v>内周：約cm　高さ：約cm　つば：約cm</v>
      </c>
      <c r="W33" t="str">
        <f t="shared" si="4"/>
        <v>内周：約cm　高さ：約cm　つば：約cm</v>
      </c>
      <c r="X33" s="77" t="s">
        <v>166</v>
      </c>
      <c r="Z33" s="6"/>
    </row>
    <row r="34" spans="1:26" ht="14.25">
      <c r="C34" s="7" t="str">
        <f t="shared" si="0"/>
        <v>◇ サイズ E</v>
      </c>
      <c r="D34" s="7">
        <f t="shared" si="2"/>
        <v>5.5</v>
      </c>
      <c r="E34" t="s">
        <v>74</v>
      </c>
      <c r="G34" s="7" t="str">
        <f>IFERROR(INDEX(コンディションランク!$B$1:$B$6,MATCH($F34,コンディションランク!$A$1:$A$6,0)),"")</f>
        <v/>
      </c>
      <c r="I34" t="s">
        <v>3018</v>
      </c>
      <c r="K34" s="9" t="s">
        <v>3031</v>
      </c>
      <c r="O34" t="s">
        <v>165</v>
      </c>
      <c r="P34" s="32" t="str">
        <f t="shared" si="1"/>
        <v>◇</v>
      </c>
      <c r="V34" t="str">
        <f t="shared" si="3"/>
        <v>内周：約cm　高さ：約cm　つば：約cm</v>
      </c>
      <c r="W34" t="str">
        <f t="shared" si="4"/>
        <v>内周：約cm　高さ：約cm　つば：約cm</v>
      </c>
      <c r="X34" s="77" t="s">
        <v>166</v>
      </c>
      <c r="Z34" s="6"/>
    </row>
    <row r="35" spans="1:26" ht="14.25">
      <c r="C35" s="7" t="str">
        <f t="shared" si="0"/>
        <v>◇ サイズ E</v>
      </c>
      <c r="D35" s="7">
        <f t="shared" si="2"/>
        <v>5.5</v>
      </c>
      <c r="E35" t="s">
        <v>74</v>
      </c>
      <c r="G35" s="7" t="str">
        <f>IFERROR(INDEX(コンディションランク!$B$1:$B$6,MATCH($F35,コンディションランク!$A$1:$A$6,0)),"")</f>
        <v/>
      </c>
      <c r="I35" t="s">
        <v>3018</v>
      </c>
      <c r="K35" s="9" t="s">
        <v>3031</v>
      </c>
      <c r="O35" t="s">
        <v>165</v>
      </c>
      <c r="P35" s="32" t="str">
        <f t="shared" si="1"/>
        <v>◇</v>
      </c>
      <c r="V35" t="str">
        <f t="shared" si="3"/>
        <v>内周：約cm　高さ：約cm　つば：約cm</v>
      </c>
      <c r="W35" t="str">
        <f t="shared" si="4"/>
        <v>内周：約cm　高さ：約cm　つば：約cm</v>
      </c>
      <c r="X35" s="77" t="s">
        <v>166</v>
      </c>
      <c r="Z35" s="6"/>
    </row>
    <row r="36" spans="1:26" ht="14.25">
      <c r="C36" s="7" t="str">
        <f t="shared" si="0"/>
        <v>◇ サイズ E</v>
      </c>
      <c r="D36" s="7">
        <f t="shared" si="2"/>
        <v>5.5</v>
      </c>
      <c r="E36" t="s">
        <v>74</v>
      </c>
      <c r="G36" s="7" t="str">
        <f>IFERROR(INDEX(コンディションランク!$B$1:$B$6,MATCH($F36,コンディションランク!$A$1:$A$6,0)),"")</f>
        <v/>
      </c>
      <c r="I36" t="s">
        <v>3018</v>
      </c>
      <c r="K36" s="9" t="s">
        <v>3031</v>
      </c>
      <c r="O36" t="s">
        <v>165</v>
      </c>
      <c r="P36" s="32" t="str">
        <f t="shared" si="1"/>
        <v>◇</v>
      </c>
      <c r="V36" t="str">
        <f t="shared" si="3"/>
        <v>内周：約cm　高さ：約cm　つば：約cm</v>
      </c>
      <c r="W36" t="str">
        <f t="shared" si="4"/>
        <v>内周：約cm　高さ：約cm　つば：約cm</v>
      </c>
      <c r="X36" s="77" t="s">
        <v>166</v>
      </c>
      <c r="Z36" s="6"/>
    </row>
    <row r="37" spans="1:26" ht="14.25">
      <c r="C37" s="7" t="str">
        <f t="shared" si="0"/>
        <v>◇ サイズ E</v>
      </c>
      <c r="D37" s="7">
        <f t="shared" si="2"/>
        <v>5.5</v>
      </c>
      <c r="E37" t="s">
        <v>74</v>
      </c>
      <c r="G37" s="7" t="str">
        <f>IFERROR(INDEX(コンディションランク!$B$1:$B$6,MATCH($F37,コンディションランク!$A$1:$A$6,0)),"")</f>
        <v/>
      </c>
      <c r="I37" t="s">
        <v>3018</v>
      </c>
      <c r="K37" s="9" t="s">
        <v>3031</v>
      </c>
      <c r="O37" t="s">
        <v>165</v>
      </c>
      <c r="P37" s="32" t="str">
        <f t="shared" si="1"/>
        <v>◇</v>
      </c>
      <c r="V37" t="str">
        <f t="shared" si="3"/>
        <v>内周：約cm　高さ：約cm　つば：約cm</v>
      </c>
      <c r="W37" t="str">
        <f t="shared" si="4"/>
        <v>内周：約cm　高さ：約cm　つば：約cm</v>
      </c>
      <c r="X37" s="77" t="s">
        <v>166</v>
      </c>
      <c r="Z37" s="6"/>
    </row>
    <row r="38" spans="1:26" ht="14.25">
      <c r="C38" s="7" t="str">
        <f t="shared" si="0"/>
        <v>◇ サイズ E</v>
      </c>
      <c r="D38" s="7">
        <f t="shared" si="2"/>
        <v>5.5</v>
      </c>
      <c r="E38" t="s">
        <v>74</v>
      </c>
      <c r="G38" s="7" t="str">
        <f>IFERROR(INDEX(コンディションランク!$B$1:$B$6,MATCH($F38,コンディションランク!$A$1:$A$6,0)),"")</f>
        <v/>
      </c>
      <c r="I38" t="s">
        <v>3018</v>
      </c>
      <c r="K38" s="9" t="s">
        <v>3031</v>
      </c>
      <c r="O38" t="s">
        <v>165</v>
      </c>
      <c r="P38" s="32" t="str">
        <f t="shared" si="1"/>
        <v>◇</v>
      </c>
      <c r="V38" t="str">
        <f t="shared" si="3"/>
        <v>内周：約cm　高さ：約cm　つば：約cm</v>
      </c>
      <c r="W38" t="str">
        <f t="shared" si="4"/>
        <v>内周：約cm　高さ：約cm　つば：約cm</v>
      </c>
      <c r="X38" s="77" t="s">
        <v>166</v>
      </c>
      <c r="Z38" s="6"/>
    </row>
    <row r="39" spans="1:26" ht="14.25">
      <c r="C39" s="7" t="str">
        <f t="shared" si="0"/>
        <v>◇ サイズ E</v>
      </c>
      <c r="D39" s="7">
        <f t="shared" si="2"/>
        <v>5.5</v>
      </c>
      <c r="E39" t="s">
        <v>74</v>
      </c>
      <c r="G39" s="7" t="str">
        <f>IFERROR(INDEX(コンディションランク!$B$1:$B$6,MATCH($F39,コンディションランク!$A$1:$A$6,0)),"")</f>
        <v/>
      </c>
      <c r="I39" t="s">
        <v>3018</v>
      </c>
      <c r="K39" s="9" t="s">
        <v>3031</v>
      </c>
      <c r="O39" t="s">
        <v>165</v>
      </c>
      <c r="P39" s="32" t="str">
        <f t="shared" si="1"/>
        <v>◇</v>
      </c>
      <c r="V39" t="str">
        <f t="shared" si="3"/>
        <v>内周：約cm　高さ：約cm　つば：約cm</v>
      </c>
      <c r="W39" t="str">
        <f t="shared" si="4"/>
        <v>内周：約cm　高さ：約cm　つば：約cm</v>
      </c>
      <c r="X39" s="77" t="s">
        <v>166</v>
      </c>
      <c r="Z39" s="6"/>
    </row>
    <row r="40" spans="1:26" ht="14.25">
      <c r="C40" s="7" t="str">
        <f t="shared" si="0"/>
        <v>◇ サイズ E</v>
      </c>
      <c r="D40" s="7">
        <f t="shared" si="2"/>
        <v>5.5</v>
      </c>
      <c r="E40" t="s">
        <v>74</v>
      </c>
      <c r="G40" s="7" t="str">
        <f>IFERROR(INDEX(コンディションランク!$B$1:$B$6,MATCH($F40,コンディションランク!$A$1:$A$6,0)),"")</f>
        <v/>
      </c>
      <c r="I40" t="s">
        <v>3018</v>
      </c>
      <c r="K40" s="9" t="s">
        <v>3031</v>
      </c>
      <c r="O40" t="s">
        <v>165</v>
      </c>
      <c r="P40" s="32" t="str">
        <f t="shared" si="1"/>
        <v>◇</v>
      </c>
      <c r="V40" t="str">
        <f t="shared" si="3"/>
        <v>内周：約cm　高さ：約cm　つば：約cm</v>
      </c>
      <c r="W40" t="str">
        <f t="shared" si="4"/>
        <v>内周：約cm　高さ：約cm　つば：約cm</v>
      </c>
      <c r="X40" s="77" t="s">
        <v>166</v>
      </c>
      <c r="Z40" s="6"/>
    </row>
    <row r="41" spans="1:26" ht="14.25">
      <c r="C41" s="7" t="str">
        <f t="shared" si="0"/>
        <v>◇ サイズ E</v>
      </c>
      <c r="D41" s="7">
        <f t="shared" si="2"/>
        <v>5.5</v>
      </c>
      <c r="E41" t="s">
        <v>74</v>
      </c>
      <c r="G41" s="7" t="str">
        <f>IFERROR(INDEX(コンディションランク!$B$1:$B$6,MATCH($F41,コンディションランク!$A$1:$A$6,0)),"")</f>
        <v/>
      </c>
      <c r="I41" t="s">
        <v>3018</v>
      </c>
      <c r="K41" s="9" t="s">
        <v>3031</v>
      </c>
      <c r="O41" t="s">
        <v>165</v>
      </c>
      <c r="P41" s="32" t="str">
        <f t="shared" si="1"/>
        <v>◇</v>
      </c>
      <c r="V41" t="str">
        <f t="shared" si="3"/>
        <v>内周：約cm　高さ：約cm　つば：約cm</v>
      </c>
      <c r="W41" t="str">
        <f t="shared" si="4"/>
        <v>内周：約cm　高さ：約cm　つば：約cm</v>
      </c>
      <c r="X41" s="77" t="s">
        <v>166</v>
      </c>
      <c r="Z41" s="6"/>
    </row>
    <row r="42" spans="1:26">
      <c r="A42" s="79"/>
      <c r="B42" s="13"/>
      <c r="C42" s="4"/>
      <c r="D42" s="4"/>
      <c r="E42" s="4"/>
      <c r="F42" s="4"/>
      <c r="G42" s="4"/>
      <c r="H42" s="4"/>
      <c r="I42" s="4"/>
      <c r="J42" s="4"/>
      <c r="K42" s="4"/>
      <c r="L42" s="4"/>
      <c r="M42" s="4"/>
      <c r="N42" s="4"/>
      <c r="O42" s="4"/>
      <c r="P42" s="4"/>
      <c r="Q42" s="4"/>
      <c r="R42" s="4"/>
      <c r="S42" s="4"/>
      <c r="T42" s="4"/>
      <c r="U42" s="4"/>
      <c r="V42" s="4"/>
      <c r="W42" s="4"/>
      <c r="X42" s="4"/>
    </row>
    <row r="43" spans="1:26" ht="14.25">
      <c r="X43" s="7"/>
    </row>
    <row r="44" spans="1:26" ht="14.25">
      <c r="X44" s="7"/>
    </row>
    <row r="45" spans="1:26" ht="14.25">
      <c r="X45" s="7"/>
    </row>
    <row r="46" spans="1:26" ht="14.25">
      <c r="X46" s="7"/>
    </row>
    <row r="47" spans="1:26" ht="14.25">
      <c r="X47" s="7"/>
    </row>
    <row r="48" spans="1:26" ht="14.25">
      <c r="X48" s="7"/>
    </row>
    <row r="49" spans="24:24" ht="14.25">
      <c r="X49" s="7"/>
    </row>
    <row r="50" spans="24:24" ht="14.25">
      <c r="X50" s="7"/>
    </row>
    <row r="51" spans="24:24" ht="14.25">
      <c r="X51" s="7"/>
    </row>
    <row r="52" spans="24:24" ht="14.25">
      <c r="X52" s="7"/>
    </row>
    <row r="53" spans="24:24" ht="14.25">
      <c r="X53" s="7"/>
    </row>
    <row r="54" spans="24:24" ht="14.25">
      <c r="X54" s="7"/>
    </row>
    <row r="55" spans="24:24" ht="14.25">
      <c r="X55" s="7"/>
    </row>
    <row r="56" spans="24:24" ht="14.25">
      <c r="X56" s="7"/>
    </row>
    <row r="57" spans="24:24" ht="14.25">
      <c r="X57" s="7"/>
    </row>
    <row r="58" spans="24:24" ht="14.25">
      <c r="X58" s="7"/>
    </row>
    <row r="59" spans="24:24" ht="14.25">
      <c r="X59" s="7"/>
    </row>
    <row r="60" spans="24:24" ht="14.25">
      <c r="X60" s="7"/>
    </row>
    <row r="61" spans="24:24" ht="14.25">
      <c r="X61" s="7"/>
    </row>
    <row r="180" spans="2:2">
      <c r="B180"/>
    </row>
    <row r="181" spans="2:2">
      <c r="B181"/>
    </row>
    <row r="182" spans="2:2">
      <c r="B182"/>
    </row>
  </sheetData>
  <phoneticPr fontId="4"/>
  <conditionalFormatting sqref="B2:B41">
    <cfRule type="duplicateValues" dxfId="9" priority="1"/>
    <cfRule type="duplicateValues" dxfId="8" priority="3"/>
  </conditionalFormatting>
  <conditionalFormatting sqref="D2:D41">
    <cfRule type="cellIs" dxfId="7" priority="2" operator="greaterThanOrEqual">
      <formula>65</formula>
    </cfRule>
  </conditionalFormatting>
  <dataValidations count="2">
    <dataValidation imeMode="off" allowBlank="1" showInputMessage="1" showErrorMessage="1" sqref="L1:N1048576 B1:B1048576" xr:uid="{70C36CF8-1ADA-4515-8A9E-9D9C7B55510A}"/>
    <dataValidation type="list" allowBlank="1" showInputMessage="1" showErrorMessage="1" sqref="O2:O41" xr:uid="{91508DD4-24FF-45DA-89E9-A84E26656BBD}">
      <formula1>梱包</formula1>
    </dataValidation>
  </dataValidations>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2BFD67D5-AA5B-42F6-B6CE-F3DAC8F506C8}">
          <x14:formula1>
            <xm:f>コンディションランク!$A$1:$A$6</xm:f>
          </x14:formula1>
          <xm:sqref>F2:F41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dimension ref="A1:AJ1048576"/>
  <sheetViews>
    <sheetView zoomScale="85" zoomScaleNormal="85" workbookViewId="0">
      <pane ySplit="1" topLeftCell="A2" activePane="bottomLeft" state="frozen"/>
      <selection pane="bottomLeft" activeCell="A5" sqref="A5"/>
    </sheetView>
  </sheetViews>
  <sheetFormatPr defaultRowHeight="13.5"/>
  <cols>
    <col min="1" max="1" width="14" style="9" customWidth="1"/>
    <col min="2" max="2" width="16.25" style="14" customWidth="1"/>
    <col min="3" max="3" width="80.625" customWidth="1"/>
    <col min="4" max="4" width="5.625" customWidth="1"/>
    <col min="5" max="5" width="5" customWidth="1"/>
    <col min="6" max="6" width="9" hidden="1" customWidth="1"/>
    <col min="7" max="7" width="4.125" customWidth="1"/>
    <col min="8" max="8" width="9" customWidth="1"/>
    <col min="9" max="9" width="34.875" customWidth="1"/>
    <col min="10" max="12" width="5.375" customWidth="1"/>
    <col min="13" max="13" width="40.875" customWidth="1"/>
    <col min="14" max="14" width="24.375" customWidth="1"/>
    <col min="15" max="15" width="0" hidden="1" customWidth="1"/>
    <col min="16" max="19" width="6.125" customWidth="1"/>
    <col min="23" max="24" width="11.75" customWidth="1"/>
    <col min="25" max="25" width="5.375" customWidth="1"/>
    <col min="26" max="26" width="47.25" customWidth="1"/>
    <col min="27" max="27" width="35.625" customWidth="1"/>
    <col min="28" max="28" width="27.75" customWidth="1"/>
    <col min="29" max="29" width="7.25" customWidth="1"/>
    <col min="30" max="30" width="69.75" bestFit="1" customWidth="1"/>
    <col min="31" max="31" width="92.25" hidden="1" customWidth="1"/>
    <col min="32" max="32" width="16.375" customWidth="1"/>
    <col min="33" max="35" width="0" hidden="1" customWidth="1"/>
  </cols>
  <sheetData>
    <row r="1" spans="1:36" s="32" customFormat="1">
      <c r="A1" s="37" t="s">
        <v>2641</v>
      </c>
      <c r="B1" s="38" t="s">
        <v>0</v>
      </c>
      <c r="C1" s="8" t="s">
        <v>1</v>
      </c>
      <c r="D1" s="25" t="s">
        <v>145</v>
      </c>
      <c r="E1" s="18" t="s">
        <v>2</v>
      </c>
      <c r="F1" s="19" t="s">
        <v>3</v>
      </c>
      <c r="G1" s="17" t="s">
        <v>4</v>
      </c>
      <c r="H1" s="19" t="s">
        <v>5</v>
      </c>
      <c r="I1" s="1" t="s">
        <v>152</v>
      </c>
      <c r="J1" s="21" t="s">
        <v>148</v>
      </c>
      <c r="K1" s="21" t="s">
        <v>149</v>
      </c>
      <c r="L1" s="21" t="s">
        <v>150</v>
      </c>
      <c r="M1" s="19" t="s">
        <v>7</v>
      </c>
      <c r="N1" s="19" t="s">
        <v>8</v>
      </c>
      <c r="O1" s="2" t="s">
        <v>9</v>
      </c>
      <c r="P1" s="21" t="s">
        <v>67</v>
      </c>
      <c r="Q1" s="21" t="s">
        <v>68</v>
      </c>
      <c r="R1" s="21" t="s">
        <v>69</v>
      </c>
      <c r="S1" s="21" t="s">
        <v>70</v>
      </c>
      <c r="T1" s="21" t="s">
        <v>73</v>
      </c>
      <c r="U1" s="21" t="s">
        <v>72</v>
      </c>
      <c r="V1" s="21" t="s">
        <v>73</v>
      </c>
      <c r="W1" s="21" t="s">
        <v>164</v>
      </c>
      <c r="X1" s="21" t="s">
        <v>3054</v>
      </c>
      <c r="Y1" s="17" t="s">
        <v>88</v>
      </c>
      <c r="Z1" s="17" t="s">
        <v>84</v>
      </c>
      <c r="AA1" s="17" t="s">
        <v>85</v>
      </c>
      <c r="AB1" s="17" t="s">
        <v>87</v>
      </c>
      <c r="AC1" s="17" t="s">
        <v>86</v>
      </c>
      <c r="AD1" s="1" t="s">
        <v>3022</v>
      </c>
      <c r="AE1" s="1" t="s">
        <v>3024</v>
      </c>
      <c r="AF1" s="66" t="s">
        <v>98</v>
      </c>
      <c r="AG1" s="16" t="s">
        <v>107</v>
      </c>
      <c r="AH1" s="17" t="s">
        <v>151</v>
      </c>
      <c r="AI1" s="17" t="s">
        <v>108</v>
      </c>
      <c r="AJ1" s="17" t="s">
        <v>109</v>
      </c>
    </row>
    <row r="2" spans="1:36" ht="14.25">
      <c r="A2" s="9" t="s">
        <v>3119</v>
      </c>
      <c r="B2" s="14">
        <v>1212020007917</v>
      </c>
      <c r="C2" t="str">
        <f t="shared" ref="C2:C33" si="0">TRIM(X2&amp;" "&amp;Y2&amp;" "&amp;Z2&amp;" "&amp;AA2&amp;" "&amp;AB2&amp;" "&amp;N2&amp;" "&amp;AC2&amp;EX&amp;" "&amp;B2)</f>
        <v>◇ ROVERETO ロベレート ダブルファスナー ショルダーバック ピンクベージュ レディース E 1212020007917</v>
      </c>
      <c r="D2" s="7">
        <f>(LENB(C2)-LEN(C2))+(LENB(C2)-(LENB(C2)-LEN(C2))*2)/2</f>
        <v>49</v>
      </c>
      <c r="E2" t="s">
        <v>78</v>
      </c>
      <c r="G2">
        <v>3</v>
      </c>
      <c r="H2" t="str">
        <f>IFERROR(INDEX(コンディションランク!$B$1:$B$6,MATCH($G2,コンディションランク!$A$1:$A$6,0)),"")</f>
        <v>目立った傷や汚れなし</v>
      </c>
      <c r="I2" s="84" t="str">
        <f>"≪メイン≫：" &amp;J2&amp; "　≪内ポケット≫：" &amp;K2&amp; "　≪外ポケット≫：" &amp;L2&amp; ""</f>
        <v>≪メイン≫：中２　≪内ポケット≫：小１　≪外ポケット≫：-</v>
      </c>
      <c r="J2" t="s">
        <v>3110</v>
      </c>
      <c r="K2" t="s">
        <v>3111</v>
      </c>
      <c r="L2" t="s">
        <v>83</v>
      </c>
      <c r="M2" t="s">
        <v>3112</v>
      </c>
      <c r="N2" t="s">
        <v>3113</v>
      </c>
      <c r="P2">
        <v>15</v>
      </c>
      <c r="Q2">
        <v>19</v>
      </c>
      <c r="R2">
        <v>8</v>
      </c>
      <c r="S2" t="s">
        <v>83</v>
      </c>
      <c r="U2">
        <v>111</v>
      </c>
      <c r="V2" t="s">
        <v>3114</v>
      </c>
      <c r="W2" t="s">
        <v>165</v>
      </c>
      <c r="X2" s="32" t="str">
        <f t="shared" ref="X2:X33" si="1">IFERROR(VLOOKUP(W2,梱包サイズ表,2,0),"")</f>
        <v>◇</v>
      </c>
      <c r="Z2" t="s">
        <v>3115</v>
      </c>
      <c r="AA2" t="s">
        <v>3116</v>
      </c>
      <c r="AB2" t="s">
        <v>3117</v>
      </c>
      <c r="AC2" t="s">
        <v>3019</v>
      </c>
      <c r="AD2" t="str">
        <f>"縦幅：約"&amp;P2&amp;"cm　横幅：約"&amp;Q2&amp;"cm　マチ幅：約"&amp;R2&amp;"cm　持ち手：約"&amp;S2&amp;"cm"&amp;IF(T2="","",T2)&amp;"  ショルダーベルト：約"&amp;U2&amp;"cm"&amp;IF(V2="","",V2)</f>
        <v>縦幅：約15cm　横幅：約19cm　マチ幅：約8cm　持ち手：約-cm  ショルダーベルト：約111cm調節可能</v>
      </c>
      <c r="AE2" t="str">
        <f>SUBSTITUTE( AD2, "約-", "-" )</f>
        <v>縦幅：約15cm　横幅：約19cm　マチ幅：約8cm　持ち手：-cm  ショルダーベルト：約111cm調節可能</v>
      </c>
      <c r="AF2" s="77" t="s">
        <v>3118</v>
      </c>
      <c r="AH2" s="6"/>
      <c r="AJ2">
        <v>1000</v>
      </c>
    </row>
    <row r="3" spans="1:36" ht="14.25">
      <c r="A3" s="9" t="s">
        <v>3119</v>
      </c>
      <c r="B3" s="14">
        <v>1212020007603</v>
      </c>
      <c r="C3" t="str">
        <f t="shared" si="0"/>
        <v>◇ ROPE PICNIC ロペピクニック 2way ショルダーバック ブラウン レディース E 1212020007603</v>
      </c>
      <c r="D3" s="7">
        <f t="shared" ref="D3:D66" si="2">(LENB(C3)-LEN(C3))+(LENB(C3)-(LENB(C3)-LEN(C3))*2)/2</f>
        <v>43.5</v>
      </c>
      <c r="E3" t="s">
        <v>78</v>
      </c>
      <c r="G3">
        <v>3</v>
      </c>
      <c r="H3" t="str">
        <f>IFERROR(INDEX(コンディションランク!$B$1:$B$6,MATCH($G3,コンディションランク!$A$1:$A$6,0)),"")</f>
        <v>目立った傷や汚れなし</v>
      </c>
      <c r="I3" s="84" t="str">
        <f t="shared" ref="I3:I67" si="3">"≪メイン≫：" &amp;J3&amp; "　≪内ポケット≫：" &amp;K3&amp; "　≪外ポケット≫：" &amp;L3&amp; ""</f>
        <v>≪メイン≫：大１　≪内ポケット≫：小１　≪外ポケット≫：-</v>
      </c>
      <c r="J3" t="s">
        <v>3227</v>
      </c>
      <c r="K3" t="s">
        <v>3111</v>
      </c>
      <c r="L3" t="s">
        <v>83</v>
      </c>
      <c r="M3" t="s">
        <v>3112</v>
      </c>
      <c r="N3" t="s">
        <v>3126</v>
      </c>
      <c r="P3">
        <v>16</v>
      </c>
      <c r="Q3">
        <v>20</v>
      </c>
      <c r="R3">
        <v>8</v>
      </c>
      <c r="S3">
        <v>35</v>
      </c>
      <c r="T3" t="s">
        <v>3114</v>
      </c>
      <c r="U3">
        <v>72</v>
      </c>
      <c r="V3" t="s">
        <v>3114</v>
      </c>
      <c r="W3" t="s">
        <v>165</v>
      </c>
      <c r="X3" s="32" t="str">
        <f t="shared" si="1"/>
        <v>◇</v>
      </c>
      <c r="Z3" t="s">
        <v>3205</v>
      </c>
      <c r="AA3" t="s">
        <v>3228</v>
      </c>
      <c r="AB3" t="s">
        <v>3117</v>
      </c>
      <c r="AC3" t="s">
        <v>3019</v>
      </c>
      <c r="AD3" t="str">
        <f t="shared" ref="AD3:AD66" si="4">"縦幅：約"&amp;P3&amp;"cm　横幅：約"&amp;Q3&amp;"cm　マチ幅：約"&amp;R3&amp;"cm　持ち手：約"&amp;S3&amp;"cm"&amp;IF(T3="","",T3)&amp;"  ショルダーベルト：約"&amp;U3&amp;"cm"&amp;IF(V3="","",V3)</f>
        <v>縦幅：約16cm　横幅：約20cm　マチ幅：約8cm　持ち手：約35cm調節可能  ショルダーベルト：約72cm調節可能</v>
      </c>
      <c r="AE3" t="str">
        <f t="shared" ref="AE3:AE66" si="5">SUBSTITUTE( AD3, "約-", "-" )</f>
        <v>縦幅：約16cm　横幅：約20cm　マチ幅：約8cm　持ち手：約35cm調節可能  ショルダーベルト：約72cm調節可能</v>
      </c>
      <c r="AF3" s="77" t="s">
        <v>3118</v>
      </c>
      <c r="AH3" s="6"/>
      <c r="AJ3">
        <v>1000</v>
      </c>
    </row>
    <row r="4" spans="1:36" ht="14.25">
      <c r="A4" s="9" t="s">
        <v>3119</v>
      </c>
      <c r="B4" s="14">
        <v>1212020007566</v>
      </c>
      <c r="C4" t="str">
        <f t="shared" si="0"/>
        <v>◇ ROPE PICNIC ロペピクニック 2way ショルダーバック ホワイト レディース E 1212020007566</v>
      </c>
      <c r="D4" s="7">
        <f t="shared" si="2"/>
        <v>43.5</v>
      </c>
      <c r="E4" t="s">
        <v>3239</v>
      </c>
      <c r="G4">
        <v>3</v>
      </c>
      <c r="H4" t="str">
        <f>IFERROR(INDEX(コンディションランク!$B$1:$B$6,MATCH($G4,コンディションランク!$A$1:$A$6,0)),"")</f>
        <v>目立った傷や汚れなし</v>
      </c>
      <c r="I4" s="84" t="str">
        <f t="shared" si="3"/>
        <v>≪メイン≫：大１　≪内ポケット≫：小１　≪外ポケット≫：-</v>
      </c>
      <c r="J4" t="s">
        <v>3227</v>
      </c>
      <c r="K4" t="s">
        <v>3111</v>
      </c>
      <c r="L4" t="s">
        <v>83</v>
      </c>
      <c r="M4" t="s">
        <v>3112</v>
      </c>
      <c r="N4" t="s">
        <v>3061</v>
      </c>
      <c r="P4">
        <v>12</v>
      </c>
      <c r="Q4">
        <v>21</v>
      </c>
      <c r="R4">
        <v>11</v>
      </c>
      <c r="S4">
        <v>19</v>
      </c>
      <c r="T4" t="s">
        <v>3240</v>
      </c>
      <c r="U4">
        <v>121</v>
      </c>
      <c r="V4" t="s">
        <v>3240</v>
      </c>
      <c r="W4" t="s">
        <v>165</v>
      </c>
      <c r="X4" s="32" t="str">
        <f t="shared" si="1"/>
        <v>◇</v>
      </c>
      <c r="Z4" t="s">
        <v>3205</v>
      </c>
      <c r="AA4" t="s">
        <v>3228</v>
      </c>
      <c r="AB4" t="s">
        <v>3117</v>
      </c>
      <c r="AC4" t="s">
        <v>3019</v>
      </c>
      <c r="AD4" t="str">
        <f>"縦幅：約"&amp;P4&amp;"cm　横幅：約"&amp;Q4&amp;"cm　マチ幅：約"&amp;R4&amp;"cm　持ち手：約"&amp;S4&amp;"cm"&amp;IF(T4="","",T4)&amp;"  ショルダーベルト：約"&amp;U4&amp;"cm"&amp;IF(V4="","",V4)</f>
        <v>縦幅：約12cm　横幅：約21cm　マチ幅：約11cm　持ち手：約19cm調節不可  ショルダーベルト：約121cm調節不可</v>
      </c>
      <c r="AE4" t="str">
        <f t="shared" si="5"/>
        <v>縦幅：約12cm　横幅：約21cm　マチ幅：約11cm　持ち手：約19cm調節不可  ショルダーベルト：約121cm調節不可</v>
      </c>
      <c r="AF4" s="77" t="s">
        <v>3118</v>
      </c>
      <c r="AH4" s="6"/>
      <c r="AJ4">
        <v>1000</v>
      </c>
    </row>
    <row r="5" spans="1:36" ht="14.25">
      <c r="A5" s="9" t="s">
        <v>3259</v>
      </c>
      <c r="B5" s="14">
        <v>1212020007481</v>
      </c>
      <c r="C5" t="str">
        <f t="shared" si="0"/>
        <v>◇ PAMM パム カモフラージュ柄 トートバック マルチ レディースメンズ E 1212020007481</v>
      </c>
      <c r="D5" s="7">
        <f t="shared" si="2"/>
        <v>41</v>
      </c>
      <c r="E5" t="s">
        <v>3254</v>
      </c>
      <c r="G5">
        <v>4</v>
      </c>
      <c r="H5" t="str">
        <f>IFERROR(INDEX(コンディションランク!$B$1:$B$6,MATCH($G5,コンディションランク!$A$1:$A$6,0)),"")</f>
        <v>やや傷や汚れあり</v>
      </c>
      <c r="I5" s="84" t="str">
        <f t="shared" si="3"/>
        <v>≪メイン≫：大１　≪内ポケット≫：小１　≪外ポケット≫：-</v>
      </c>
      <c r="J5" t="s">
        <v>3227</v>
      </c>
      <c r="K5" t="s">
        <v>3111</v>
      </c>
      <c r="L5" t="s">
        <v>83</v>
      </c>
      <c r="M5" t="s">
        <v>3255</v>
      </c>
      <c r="N5" t="s">
        <v>3087</v>
      </c>
      <c r="P5">
        <v>39</v>
      </c>
      <c r="Q5">
        <v>41</v>
      </c>
      <c r="R5" t="s">
        <v>83</v>
      </c>
      <c r="S5">
        <v>60</v>
      </c>
      <c r="T5" t="s">
        <v>3240</v>
      </c>
      <c r="U5" t="s">
        <v>83</v>
      </c>
      <c r="V5" t="s">
        <v>3240</v>
      </c>
      <c r="W5" t="s">
        <v>165</v>
      </c>
      <c r="X5" s="32" t="str">
        <f t="shared" si="1"/>
        <v>◇</v>
      </c>
      <c r="Z5" t="s">
        <v>3258</v>
      </c>
      <c r="AA5" t="s">
        <v>3256</v>
      </c>
      <c r="AB5" t="s">
        <v>3257</v>
      </c>
      <c r="AC5" t="s">
        <v>3186</v>
      </c>
      <c r="AD5" t="str">
        <f t="shared" si="4"/>
        <v>縦幅：約39cm　横幅：約41cm　マチ幅：約-cm　持ち手：約60cm調節不可  ショルダーベルト：約-cm調節不可</v>
      </c>
      <c r="AE5" t="str">
        <f t="shared" si="5"/>
        <v>縦幅：約39cm　横幅：約41cm　マチ幅：-cm　持ち手：約60cm調節不可  ショルダーベルト：-cm調節不可</v>
      </c>
      <c r="AF5" s="77" t="s">
        <v>3118</v>
      </c>
      <c r="AH5" s="6"/>
      <c r="AJ5">
        <v>2000</v>
      </c>
    </row>
    <row r="6" spans="1:36" ht="14.25">
      <c r="C6" t="str">
        <f t="shared" si="0"/>
        <v>◇ E</v>
      </c>
      <c r="D6" s="7">
        <f t="shared" si="2"/>
        <v>2</v>
      </c>
      <c r="E6" t="s">
        <v>74</v>
      </c>
      <c r="H6" t="str">
        <f>IFERROR(INDEX(コンディションランク!$B$1:$B$6,MATCH($G6,コンディションランク!$A$1:$A$6,0)),"")</f>
        <v/>
      </c>
      <c r="I6" s="84" t="str">
        <f t="shared" si="3"/>
        <v>≪メイン≫：　≪内ポケット≫：　≪外ポケット≫：</v>
      </c>
      <c r="W6" t="s">
        <v>165</v>
      </c>
      <c r="X6" s="32" t="str">
        <f t="shared" si="1"/>
        <v>◇</v>
      </c>
      <c r="AD6" t="str">
        <f t="shared" si="4"/>
        <v>縦幅：約cm　横幅：約cm　マチ幅：約cm　持ち手：約cm  ショルダーベルト：約cm</v>
      </c>
      <c r="AE6" t="str">
        <f t="shared" si="5"/>
        <v>縦幅：約cm　横幅：約cm　マチ幅：約cm　持ち手：約cm  ショルダーベルト：約cm</v>
      </c>
      <c r="AF6" s="77" t="s">
        <v>166</v>
      </c>
      <c r="AH6" s="6"/>
    </row>
    <row r="7" spans="1:36" ht="14.25">
      <c r="C7" t="str">
        <f t="shared" si="0"/>
        <v>◇ E</v>
      </c>
      <c r="D7" s="7">
        <f t="shared" si="2"/>
        <v>2</v>
      </c>
      <c r="E7" t="s">
        <v>74</v>
      </c>
      <c r="H7" t="str">
        <f>IFERROR(INDEX(コンディションランク!$B$1:$B$6,MATCH($G7,コンディションランク!$A$1:$A$6,0)),"")</f>
        <v/>
      </c>
      <c r="I7" s="84" t="str">
        <f t="shared" si="3"/>
        <v>≪メイン≫：　≪内ポケット≫：　≪外ポケット≫：</v>
      </c>
      <c r="O7" s="3"/>
      <c r="W7" t="s">
        <v>165</v>
      </c>
      <c r="X7" s="32" t="str">
        <f t="shared" si="1"/>
        <v>◇</v>
      </c>
      <c r="AD7" t="str">
        <f t="shared" si="4"/>
        <v>縦幅：約cm　横幅：約cm　マチ幅：約cm　持ち手：約cm  ショルダーベルト：約cm</v>
      </c>
      <c r="AE7" t="str">
        <f t="shared" si="5"/>
        <v>縦幅：約cm　横幅：約cm　マチ幅：約cm　持ち手：約cm  ショルダーベルト：約cm</v>
      </c>
      <c r="AF7" s="77" t="s">
        <v>166</v>
      </c>
      <c r="AH7" s="6"/>
    </row>
    <row r="8" spans="1:36" ht="14.25">
      <c r="C8" t="str">
        <f t="shared" si="0"/>
        <v>◇ E</v>
      </c>
      <c r="D8" s="7">
        <f t="shared" si="2"/>
        <v>2</v>
      </c>
      <c r="E8" t="s">
        <v>74</v>
      </c>
      <c r="H8" t="str">
        <f>IFERROR(INDEX(コンディションランク!$B$1:$B$6,MATCH($G8,コンディションランク!$A$1:$A$6,0)),"")</f>
        <v/>
      </c>
      <c r="I8" s="84" t="str">
        <f t="shared" si="3"/>
        <v>≪メイン≫：　≪内ポケット≫：　≪外ポケット≫：</v>
      </c>
      <c r="W8" t="s">
        <v>165</v>
      </c>
      <c r="X8" s="32" t="str">
        <f t="shared" si="1"/>
        <v>◇</v>
      </c>
      <c r="AD8" t="str">
        <f t="shared" si="4"/>
        <v>縦幅：約cm　横幅：約cm　マチ幅：約cm　持ち手：約cm  ショルダーベルト：約cm</v>
      </c>
      <c r="AE8" t="str">
        <f t="shared" si="5"/>
        <v>縦幅：約cm　横幅：約cm　マチ幅：約cm　持ち手：約cm  ショルダーベルト：約cm</v>
      </c>
      <c r="AF8" s="77" t="s">
        <v>166</v>
      </c>
      <c r="AH8" s="6"/>
    </row>
    <row r="9" spans="1:36" ht="14.25">
      <c r="C9" t="str">
        <f t="shared" si="0"/>
        <v>◇ E</v>
      </c>
      <c r="D9" s="7">
        <f t="shared" si="2"/>
        <v>2</v>
      </c>
      <c r="E9" t="s">
        <v>74</v>
      </c>
      <c r="H9" t="str">
        <f>IFERROR(INDEX(コンディションランク!$B$1:$B$6,MATCH($G9,コンディションランク!$A$1:$A$6,0)),"")</f>
        <v/>
      </c>
      <c r="I9" s="84" t="str">
        <f t="shared" si="3"/>
        <v>≪メイン≫：　≪内ポケット≫：　≪外ポケット≫：</v>
      </c>
      <c r="W9" t="s">
        <v>165</v>
      </c>
      <c r="X9" s="32" t="str">
        <f t="shared" si="1"/>
        <v>◇</v>
      </c>
      <c r="AD9" t="str">
        <f t="shared" si="4"/>
        <v>縦幅：約cm　横幅：約cm　マチ幅：約cm　持ち手：約cm  ショルダーベルト：約cm</v>
      </c>
      <c r="AE9" t="str">
        <f t="shared" si="5"/>
        <v>縦幅：約cm　横幅：約cm　マチ幅：約cm　持ち手：約cm  ショルダーベルト：約cm</v>
      </c>
      <c r="AF9" s="77" t="s">
        <v>166</v>
      </c>
      <c r="AH9" s="6"/>
    </row>
    <row r="10" spans="1:36" ht="14.25">
      <c r="C10" t="str">
        <f t="shared" si="0"/>
        <v>◇ E</v>
      </c>
      <c r="D10" s="7">
        <f t="shared" si="2"/>
        <v>2</v>
      </c>
      <c r="E10" t="s">
        <v>74</v>
      </c>
      <c r="H10" t="str">
        <f>IFERROR(INDEX(コンディションランク!$B$1:$B$6,MATCH($G10,コンディションランク!$A$1:$A$6,0)),"")</f>
        <v/>
      </c>
      <c r="I10" s="84" t="str">
        <f t="shared" si="3"/>
        <v>≪メイン≫：　≪内ポケット≫：　≪外ポケット≫：</v>
      </c>
      <c r="W10" t="s">
        <v>165</v>
      </c>
      <c r="X10" s="32" t="str">
        <f t="shared" si="1"/>
        <v>◇</v>
      </c>
      <c r="AD10" t="str">
        <f t="shared" si="4"/>
        <v>縦幅：約cm　横幅：約cm　マチ幅：約cm　持ち手：約cm  ショルダーベルト：約cm</v>
      </c>
      <c r="AE10" t="str">
        <f t="shared" si="5"/>
        <v>縦幅：約cm　横幅：約cm　マチ幅：約cm　持ち手：約cm  ショルダーベルト：約cm</v>
      </c>
      <c r="AF10" s="77" t="s">
        <v>166</v>
      </c>
      <c r="AH10" s="6"/>
    </row>
    <row r="11" spans="1:36" ht="14.25">
      <c r="C11" t="str">
        <f t="shared" si="0"/>
        <v>◇ E</v>
      </c>
      <c r="D11" s="7">
        <f t="shared" si="2"/>
        <v>2</v>
      </c>
      <c r="E11" t="s">
        <v>74</v>
      </c>
      <c r="H11" t="str">
        <f>IFERROR(INDEX(コンディションランク!$B$1:$B$6,MATCH($G11,コンディションランク!$A$1:$A$6,0)),"")</f>
        <v/>
      </c>
      <c r="I11" s="84" t="str">
        <f t="shared" si="3"/>
        <v>≪メイン≫：　≪内ポケット≫：　≪外ポケット≫：</v>
      </c>
      <c r="W11" t="s">
        <v>165</v>
      </c>
      <c r="X11" s="32" t="str">
        <f t="shared" si="1"/>
        <v>◇</v>
      </c>
      <c r="AD11" t="str">
        <f t="shared" si="4"/>
        <v>縦幅：約cm　横幅：約cm　マチ幅：約cm　持ち手：約cm  ショルダーベルト：約cm</v>
      </c>
      <c r="AE11" t="str">
        <f t="shared" si="5"/>
        <v>縦幅：約cm　横幅：約cm　マチ幅：約cm　持ち手：約cm  ショルダーベルト：約cm</v>
      </c>
      <c r="AF11" s="77" t="s">
        <v>166</v>
      </c>
      <c r="AH11" s="6"/>
    </row>
    <row r="12" spans="1:36" ht="14.25">
      <c r="C12" t="str">
        <f t="shared" si="0"/>
        <v>◇ E</v>
      </c>
      <c r="D12" s="7">
        <f t="shared" si="2"/>
        <v>2</v>
      </c>
      <c r="E12" t="s">
        <v>74</v>
      </c>
      <c r="H12" t="str">
        <f>IFERROR(INDEX(コンディションランク!$B$1:$B$6,MATCH($G12,コンディションランク!$A$1:$A$6,0)),"")</f>
        <v/>
      </c>
      <c r="I12" s="84" t="str">
        <f t="shared" si="3"/>
        <v>≪メイン≫：　≪内ポケット≫：　≪外ポケット≫：</v>
      </c>
      <c r="W12" t="s">
        <v>165</v>
      </c>
      <c r="X12" s="32" t="str">
        <f t="shared" si="1"/>
        <v>◇</v>
      </c>
      <c r="AD12" t="str">
        <f t="shared" si="4"/>
        <v>縦幅：約cm　横幅：約cm　マチ幅：約cm　持ち手：約cm  ショルダーベルト：約cm</v>
      </c>
      <c r="AE12" t="str">
        <f t="shared" si="5"/>
        <v>縦幅：約cm　横幅：約cm　マチ幅：約cm　持ち手：約cm  ショルダーベルト：約cm</v>
      </c>
      <c r="AF12" s="77" t="s">
        <v>166</v>
      </c>
      <c r="AH12" s="6"/>
    </row>
    <row r="13" spans="1:36" ht="14.25">
      <c r="C13" t="str">
        <f t="shared" si="0"/>
        <v>◇ E</v>
      </c>
      <c r="D13" s="7">
        <f t="shared" si="2"/>
        <v>2</v>
      </c>
      <c r="E13" t="s">
        <v>74</v>
      </c>
      <c r="H13" t="str">
        <f>IFERROR(INDEX(コンディションランク!$B$1:$B$6,MATCH($G13,コンディションランク!$A$1:$A$6,0)),"")</f>
        <v/>
      </c>
      <c r="I13" s="84" t="str">
        <f t="shared" si="3"/>
        <v>≪メイン≫：　≪内ポケット≫：　≪外ポケット≫：</v>
      </c>
      <c r="W13" t="s">
        <v>165</v>
      </c>
      <c r="X13" s="32" t="str">
        <f t="shared" si="1"/>
        <v>◇</v>
      </c>
      <c r="AD13" t="str">
        <f t="shared" si="4"/>
        <v>縦幅：約cm　横幅：約cm　マチ幅：約cm　持ち手：約cm  ショルダーベルト：約cm</v>
      </c>
      <c r="AE13" t="str">
        <f t="shared" si="5"/>
        <v>縦幅：約cm　横幅：約cm　マチ幅：約cm　持ち手：約cm  ショルダーベルト：約cm</v>
      </c>
      <c r="AF13" s="77" t="s">
        <v>166</v>
      </c>
      <c r="AH13" s="6"/>
    </row>
    <row r="14" spans="1:36" ht="14.25">
      <c r="C14" t="str">
        <f t="shared" si="0"/>
        <v>◇ E</v>
      </c>
      <c r="D14" s="7">
        <f t="shared" si="2"/>
        <v>2</v>
      </c>
      <c r="E14" t="s">
        <v>74</v>
      </c>
      <c r="H14" t="str">
        <f>IFERROR(INDEX(コンディションランク!$B$1:$B$6,MATCH($G14,コンディションランク!$A$1:$A$6,0)),"")</f>
        <v/>
      </c>
      <c r="I14" s="84" t="str">
        <f t="shared" si="3"/>
        <v>≪メイン≫：　≪内ポケット≫：　≪外ポケット≫：</v>
      </c>
      <c r="W14" t="s">
        <v>165</v>
      </c>
      <c r="X14" s="32" t="str">
        <f t="shared" si="1"/>
        <v>◇</v>
      </c>
      <c r="AD14" t="str">
        <f t="shared" si="4"/>
        <v>縦幅：約cm　横幅：約cm　マチ幅：約cm　持ち手：約cm  ショルダーベルト：約cm</v>
      </c>
      <c r="AE14" t="str">
        <f t="shared" si="5"/>
        <v>縦幅：約cm　横幅：約cm　マチ幅：約cm　持ち手：約cm  ショルダーベルト：約cm</v>
      </c>
      <c r="AF14" s="77" t="s">
        <v>166</v>
      </c>
      <c r="AH14" s="6"/>
    </row>
    <row r="15" spans="1:36" ht="14.25">
      <c r="C15" t="str">
        <f t="shared" si="0"/>
        <v>◇ E</v>
      </c>
      <c r="D15" s="7">
        <f t="shared" si="2"/>
        <v>2</v>
      </c>
      <c r="E15" t="s">
        <v>74</v>
      </c>
      <c r="H15" t="str">
        <f>IFERROR(INDEX(コンディションランク!$B$1:$B$6,MATCH($G15,コンディションランク!$A$1:$A$6,0)),"")</f>
        <v/>
      </c>
      <c r="I15" s="84" t="str">
        <f t="shared" si="3"/>
        <v>≪メイン≫：　≪内ポケット≫：　≪外ポケット≫：</v>
      </c>
      <c r="W15" t="s">
        <v>165</v>
      </c>
      <c r="X15" s="32" t="str">
        <f t="shared" si="1"/>
        <v>◇</v>
      </c>
      <c r="AD15" t="str">
        <f t="shared" si="4"/>
        <v>縦幅：約cm　横幅：約cm　マチ幅：約cm　持ち手：約cm  ショルダーベルト：約cm</v>
      </c>
      <c r="AE15" t="str">
        <f t="shared" si="5"/>
        <v>縦幅：約cm　横幅：約cm　マチ幅：約cm　持ち手：約cm  ショルダーベルト：約cm</v>
      </c>
      <c r="AF15" s="77" t="s">
        <v>166</v>
      </c>
      <c r="AH15" s="6"/>
    </row>
    <row r="16" spans="1:36" ht="14.25">
      <c r="C16" t="str">
        <f t="shared" si="0"/>
        <v>◇ E</v>
      </c>
      <c r="D16" s="7">
        <f t="shared" si="2"/>
        <v>2</v>
      </c>
      <c r="E16" t="s">
        <v>74</v>
      </c>
      <c r="H16" t="str">
        <f>IFERROR(INDEX(コンディションランク!$B$1:$B$6,MATCH($G16,コンディションランク!$A$1:$A$6,0)),"")</f>
        <v/>
      </c>
      <c r="I16" s="84" t="str">
        <f t="shared" si="3"/>
        <v>≪メイン≫：　≪内ポケット≫：　≪外ポケット≫：</v>
      </c>
      <c r="W16" t="s">
        <v>165</v>
      </c>
      <c r="X16" s="32" t="str">
        <f t="shared" si="1"/>
        <v>◇</v>
      </c>
      <c r="AD16" t="str">
        <f t="shared" si="4"/>
        <v>縦幅：約cm　横幅：約cm　マチ幅：約cm　持ち手：約cm  ショルダーベルト：約cm</v>
      </c>
      <c r="AE16" t="str">
        <f t="shared" si="5"/>
        <v>縦幅：約cm　横幅：約cm　マチ幅：約cm　持ち手：約cm  ショルダーベルト：約cm</v>
      </c>
      <c r="AF16" s="77" t="s">
        <v>166</v>
      </c>
      <c r="AH16" s="6"/>
    </row>
    <row r="17" spans="3:34" ht="14.25">
      <c r="C17" t="str">
        <f t="shared" si="0"/>
        <v>◇ E</v>
      </c>
      <c r="D17" s="7">
        <f t="shared" si="2"/>
        <v>2</v>
      </c>
      <c r="E17" t="s">
        <v>74</v>
      </c>
      <c r="H17" t="str">
        <f>IFERROR(INDEX(コンディションランク!$B$1:$B$6,MATCH($G17,コンディションランク!$A$1:$A$6,0)),"")</f>
        <v/>
      </c>
      <c r="I17" s="84" t="str">
        <f t="shared" si="3"/>
        <v>≪メイン≫：　≪内ポケット≫：　≪外ポケット≫：</v>
      </c>
      <c r="W17" t="s">
        <v>165</v>
      </c>
      <c r="X17" s="32" t="str">
        <f t="shared" si="1"/>
        <v>◇</v>
      </c>
      <c r="AD17" t="str">
        <f t="shared" si="4"/>
        <v>縦幅：約cm　横幅：約cm　マチ幅：約cm　持ち手：約cm  ショルダーベルト：約cm</v>
      </c>
      <c r="AE17" t="str">
        <f t="shared" si="5"/>
        <v>縦幅：約cm　横幅：約cm　マチ幅：約cm　持ち手：約cm  ショルダーベルト：約cm</v>
      </c>
      <c r="AF17" s="77" t="s">
        <v>166</v>
      </c>
      <c r="AH17" s="6"/>
    </row>
    <row r="18" spans="3:34" ht="14.25">
      <c r="C18" t="str">
        <f t="shared" si="0"/>
        <v>◇ E</v>
      </c>
      <c r="D18" s="7">
        <f t="shared" si="2"/>
        <v>2</v>
      </c>
      <c r="E18" t="s">
        <v>74</v>
      </c>
      <c r="H18" t="str">
        <f>IFERROR(INDEX(コンディションランク!$B$1:$B$6,MATCH($G18,コンディションランク!$A$1:$A$6,0)),"")</f>
        <v/>
      </c>
      <c r="I18" s="84" t="str">
        <f t="shared" si="3"/>
        <v>≪メイン≫：　≪内ポケット≫：　≪外ポケット≫：</v>
      </c>
      <c r="W18" t="s">
        <v>165</v>
      </c>
      <c r="X18" s="32" t="str">
        <f t="shared" si="1"/>
        <v>◇</v>
      </c>
      <c r="AD18" t="str">
        <f t="shared" si="4"/>
        <v>縦幅：約cm　横幅：約cm　マチ幅：約cm　持ち手：約cm  ショルダーベルト：約cm</v>
      </c>
      <c r="AE18" t="str">
        <f t="shared" si="5"/>
        <v>縦幅：約cm　横幅：約cm　マチ幅：約cm　持ち手：約cm  ショルダーベルト：約cm</v>
      </c>
      <c r="AF18" s="77" t="s">
        <v>166</v>
      </c>
      <c r="AH18" s="6"/>
    </row>
    <row r="19" spans="3:34" ht="14.25">
      <c r="C19" t="str">
        <f t="shared" si="0"/>
        <v>◇ E</v>
      </c>
      <c r="D19" s="7">
        <f t="shared" si="2"/>
        <v>2</v>
      </c>
      <c r="E19" t="s">
        <v>74</v>
      </c>
      <c r="H19" t="str">
        <f>IFERROR(INDEX(コンディションランク!$B$1:$B$6,MATCH($G19,コンディションランク!$A$1:$A$6,0)),"")</f>
        <v/>
      </c>
      <c r="I19" s="84" t="str">
        <f t="shared" si="3"/>
        <v>≪メイン≫：　≪内ポケット≫：　≪外ポケット≫：</v>
      </c>
      <c r="W19" t="s">
        <v>165</v>
      </c>
      <c r="X19" s="32" t="str">
        <f t="shared" si="1"/>
        <v>◇</v>
      </c>
      <c r="AD19" t="str">
        <f t="shared" si="4"/>
        <v>縦幅：約cm　横幅：約cm　マチ幅：約cm　持ち手：約cm  ショルダーベルト：約cm</v>
      </c>
      <c r="AE19" t="str">
        <f t="shared" si="5"/>
        <v>縦幅：約cm　横幅：約cm　マチ幅：約cm　持ち手：約cm  ショルダーベルト：約cm</v>
      </c>
      <c r="AF19" s="77" t="s">
        <v>166</v>
      </c>
      <c r="AH19" s="6"/>
    </row>
    <row r="20" spans="3:34" ht="14.25">
      <c r="C20" t="str">
        <f t="shared" si="0"/>
        <v>◇ E</v>
      </c>
      <c r="D20" s="7">
        <f t="shared" si="2"/>
        <v>2</v>
      </c>
      <c r="E20" t="s">
        <v>74</v>
      </c>
      <c r="H20" t="str">
        <f>IFERROR(INDEX(コンディションランク!$B$1:$B$6,MATCH($G20,コンディションランク!$A$1:$A$6,0)),"")</f>
        <v/>
      </c>
      <c r="I20" s="84" t="str">
        <f t="shared" si="3"/>
        <v>≪メイン≫：　≪内ポケット≫：　≪外ポケット≫：</v>
      </c>
      <c r="W20" t="s">
        <v>165</v>
      </c>
      <c r="X20" s="32" t="str">
        <f t="shared" si="1"/>
        <v>◇</v>
      </c>
      <c r="AD20" t="str">
        <f t="shared" si="4"/>
        <v>縦幅：約cm　横幅：約cm　マチ幅：約cm　持ち手：約cm  ショルダーベルト：約cm</v>
      </c>
      <c r="AE20" t="str">
        <f t="shared" si="5"/>
        <v>縦幅：約cm　横幅：約cm　マチ幅：約cm　持ち手：約cm  ショルダーベルト：約cm</v>
      </c>
      <c r="AF20" s="77" t="s">
        <v>166</v>
      </c>
      <c r="AH20" s="6"/>
    </row>
    <row r="21" spans="3:34" ht="14.25">
      <c r="C21" t="str">
        <f t="shared" si="0"/>
        <v>◇ E</v>
      </c>
      <c r="D21" s="7">
        <f t="shared" si="2"/>
        <v>2</v>
      </c>
      <c r="E21" t="s">
        <v>74</v>
      </c>
      <c r="H21" t="str">
        <f>IFERROR(INDEX(コンディションランク!$B$1:$B$6,MATCH($G21,コンディションランク!$A$1:$A$6,0)),"")</f>
        <v/>
      </c>
      <c r="I21" s="84" t="str">
        <f t="shared" si="3"/>
        <v>≪メイン≫：　≪内ポケット≫：　≪外ポケット≫：</v>
      </c>
      <c r="W21" t="s">
        <v>165</v>
      </c>
      <c r="X21" s="32" t="str">
        <f t="shared" si="1"/>
        <v>◇</v>
      </c>
      <c r="AD21" t="str">
        <f t="shared" si="4"/>
        <v>縦幅：約cm　横幅：約cm　マチ幅：約cm　持ち手：約cm  ショルダーベルト：約cm</v>
      </c>
      <c r="AE21" t="str">
        <f t="shared" si="5"/>
        <v>縦幅：約cm　横幅：約cm　マチ幅：約cm　持ち手：約cm  ショルダーベルト：約cm</v>
      </c>
      <c r="AF21" s="77" t="s">
        <v>166</v>
      </c>
      <c r="AH21" s="6"/>
    </row>
    <row r="22" spans="3:34" ht="14.25">
      <c r="C22" t="str">
        <f t="shared" si="0"/>
        <v>◇ E</v>
      </c>
      <c r="D22" s="7">
        <f t="shared" si="2"/>
        <v>2</v>
      </c>
      <c r="E22" t="s">
        <v>74</v>
      </c>
      <c r="H22" t="str">
        <f>IFERROR(INDEX(コンディションランク!$B$1:$B$6,MATCH($G22,コンディションランク!$A$1:$A$6,0)),"")</f>
        <v/>
      </c>
      <c r="I22" s="84" t="str">
        <f t="shared" si="3"/>
        <v>≪メイン≫：　≪内ポケット≫：　≪外ポケット≫：</v>
      </c>
      <c r="W22" t="s">
        <v>165</v>
      </c>
      <c r="X22" s="32" t="str">
        <f t="shared" si="1"/>
        <v>◇</v>
      </c>
      <c r="AD22" t="str">
        <f t="shared" si="4"/>
        <v>縦幅：約cm　横幅：約cm　マチ幅：約cm　持ち手：約cm  ショルダーベルト：約cm</v>
      </c>
      <c r="AE22" t="str">
        <f t="shared" si="5"/>
        <v>縦幅：約cm　横幅：約cm　マチ幅：約cm　持ち手：約cm  ショルダーベルト：約cm</v>
      </c>
      <c r="AF22" s="77" t="s">
        <v>166</v>
      </c>
      <c r="AH22" s="6"/>
    </row>
    <row r="23" spans="3:34" ht="14.25">
      <c r="C23" t="str">
        <f t="shared" si="0"/>
        <v>◇ E</v>
      </c>
      <c r="D23" s="7">
        <f t="shared" si="2"/>
        <v>2</v>
      </c>
      <c r="E23" t="s">
        <v>74</v>
      </c>
      <c r="H23" t="str">
        <f>IFERROR(INDEX(コンディションランク!$B$1:$B$6,MATCH($G23,コンディションランク!$A$1:$A$6,0)),"")</f>
        <v/>
      </c>
      <c r="I23" s="84" t="str">
        <f t="shared" si="3"/>
        <v>≪メイン≫：　≪内ポケット≫：　≪外ポケット≫：</v>
      </c>
      <c r="W23" t="s">
        <v>165</v>
      </c>
      <c r="X23" s="32" t="str">
        <f t="shared" si="1"/>
        <v>◇</v>
      </c>
      <c r="AD23" t="str">
        <f t="shared" si="4"/>
        <v>縦幅：約cm　横幅：約cm　マチ幅：約cm　持ち手：約cm  ショルダーベルト：約cm</v>
      </c>
      <c r="AE23" t="str">
        <f t="shared" si="5"/>
        <v>縦幅：約cm　横幅：約cm　マチ幅：約cm　持ち手：約cm  ショルダーベルト：約cm</v>
      </c>
      <c r="AF23" s="77" t="s">
        <v>166</v>
      </c>
      <c r="AH23" s="6"/>
    </row>
    <row r="24" spans="3:34" ht="14.25">
      <c r="C24" t="str">
        <f t="shared" si="0"/>
        <v>◇ E</v>
      </c>
      <c r="D24" s="7">
        <f t="shared" si="2"/>
        <v>2</v>
      </c>
      <c r="E24" t="s">
        <v>74</v>
      </c>
      <c r="H24" t="str">
        <f>IFERROR(INDEX(コンディションランク!$B$1:$B$6,MATCH($G24,コンディションランク!$A$1:$A$6,0)),"")</f>
        <v/>
      </c>
      <c r="I24" s="84" t="str">
        <f t="shared" si="3"/>
        <v>≪メイン≫：　≪内ポケット≫：　≪外ポケット≫：</v>
      </c>
      <c r="W24" t="s">
        <v>165</v>
      </c>
      <c r="X24" s="32" t="str">
        <f t="shared" si="1"/>
        <v>◇</v>
      </c>
      <c r="AD24" t="str">
        <f t="shared" si="4"/>
        <v>縦幅：約cm　横幅：約cm　マチ幅：約cm　持ち手：約cm  ショルダーベルト：約cm</v>
      </c>
      <c r="AE24" t="str">
        <f t="shared" si="5"/>
        <v>縦幅：約cm　横幅：約cm　マチ幅：約cm　持ち手：約cm  ショルダーベルト：約cm</v>
      </c>
      <c r="AF24" s="77" t="s">
        <v>166</v>
      </c>
      <c r="AH24" s="6"/>
    </row>
    <row r="25" spans="3:34" ht="14.25">
      <c r="C25" t="str">
        <f t="shared" si="0"/>
        <v>◇ E</v>
      </c>
      <c r="D25" s="7">
        <f t="shared" si="2"/>
        <v>2</v>
      </c>
      <c r="E25" t="s">
        <v>74</v>
      </c>
      <c r="H25" t="str">
        <f>IFERROR(INDEX(コンディションランク!$B$1:$B$6,MATCH($G25,コンディションランク!$A$1:$A$6,0)),"")</f>
        <v/>
      </c>
      <c r="I25" s="84" t="str">
        <f t="shared" si="3"/>
        <v>≪メイン≫：　≪内ポケット≫：　≪外ポケット≫：</v>
      </c>
      <c r="W25" t="s">
        <v>165</v>
      </c>
      <c r="X25" s="32" t="str">
        <f t="shared" si="1"/>
        <v>◇</v>
      </c>
      <c r="AD25" t="str">
        <f t="shared" si="4"/>
        <v>縦幅：約cm　横幅：約cm　マチ幅：約cm　持ち手：約cm  ショルダーベルト：約cm</v>
      </c>
      <c r="AE25" t="str">
        <f t="shared" si="5"/>
        <v>縦幅：約cm　横幅：約cm　マチ幅：約cm　持ち手：約cm  ショルダーベルト：約cm</v>
      </c>
      <c r="AF25" s="77" t="s">
        <v>166</v>
      </c>
      <c r="AH25" s="6"/>
    </row>
    <row r="26" spans="3:34" ht="14.25">
      <c r="C26" t="str">
        <f t="shared" si="0"/>
        <v>◇ E</v>
      </c>
      <c r="D26" s="7">
        <f t="shared" si="2"/>
        <v>2</v>
      </c>
      <c r="E26" t="s">
        <v>74</v>
      </c>
      <c r="H26" t="str">
        <f>IFERROR(INDEX(コンディションランク!$B$1:$B$6,MATCH($G26,コンディションランク!$A$1:$A$6,0)),"")</f>
        <v/>
      </c>
      <c r="I26" s="84" t="str">
        <f t="shared" si="3"/>
        <v>≪メイン≫：　≪内ポケット≫：　≪外ポケット≫：</v>
      </c>
      <c r="W26" t="s">
        <v>165</v>
      </c>
      <c r="X26" s="32" t="str">
        <f t="shared" si="1"/>
        <v>◇</v>
      </c>
      <c r="AD26" t="str">
        <f t="shared" si="4"/>
        <v>縦幅：約cm　横幅：約cm　マチ幅：約cm　持ち手：約cm  ショルダーベルト：約cm</v>
      </c>
      <c r="AE26" t="str">
        <f t="shared" si="5"/>
        <v>縦幅：約cm　横幅：約cm　マチ幅：約cm　持ち手：約cm  ショルダーベルト：約cm</v>
      </c>
      <c r="AF26" s="77" t="s">
        <v>166</v>
      </c>
      <c r="AH26" s="6"/>
    </row>
    <row r="27" spans="3:34" ht="14.25">
      <c r="C27" t="str">
        <f t="shared" si="0"/>
        <v>◇ E</v>
      </c>
      <c r="D27" s="7">
        <f t="shared" si="2"/>
        <v>2</v>
      </c>
      <c r="E27" t="s">
        <v>74</v>
      </c>
      <c r="H27" t="str">
        <f>IFERROR(INDEX(コンディションランク!$B$1:$B$6,MATCH($G27,コンディションランク!$A$1:$A$6,0)),"")</f>
        <v/>
      </c>
      <c r="I27" s="84" t="str">
        <f t="shared" si="3"/>
        <v>≪メイン≫：　≪内ポケット≫：　≪外ポケット≫：</v>
      </c>
      <c r="W27" t="s">
        <v>165</v>
      </c>
      <c r="X27" s="32" t="str">
        <f t="shared" si="1"/>
        <v>◇</v>
      </c>
      <c r="AD27" t="str">
        <f t="shared" si="4"/>
        <v>縦幅：約cm　横幅：約cm　マチ幅：約cm　持ち手：約cm  ショルダーベルト：約cm</v>
      </c>
      <c r="AE27" t="str">
        <f t="shared" si="5"/>
        <v>縦幅：約cm　横幅：約cm　マチ幅：約cm　持ち手：約cm  ショルダーベルト：約cm</v>
      </c>
      <c r="AF27" s="77" t="s">
        <v>166</v>
      </c>
      <c r="AH27" s="6"/>
    </row>
    <row r="28" spans="3:34" ht="14.25">
      <c r="C28" t="str">
        <f t="shared" si="0"/>
        <v>◇ E</v>
      </c>
      <c r="D28" s="7">
        <f t="shared" si="2"/>
        <v>2</v>
      </c>
      <c r="E28" t="s">
        <v>74</v>
      </c>
      <c r="H28" t="str">
        <f>IFERROR(INDEX(コンディションランク!$B$1:$B$6,MATCH($G28,コンディションランク!$A$1:$A$6,0)),"")</f>
        <v/>
      </c>
      <c r="I28" s="84" t="str">
        <f>"≪メイン≫：" &amp;J28&amp; "　≪内ポケット≫：" &amp;K28&amp; "　≪外ポケット≫：" &amp;L28&amp; ""</f>
        <v>≪メイン≫：　≪内ポケット≫：　≪外ポケット≫：</v>
      </c>
      <c r="W28" t="s">
        <v>165</v>
      </c>
      <c r="X28" s="32" t="str">
        <f t="shared" si="1"/>
        <v>◇</v>
      </c>
      <c r="AD28" t="str">
        <f t="shared" si="4"/>
        <v>縦幅：約cm　横幅：約cm　マチ幅：約cm　持ち手：約cm  ショルダーベルト：約cm</v>
      </c>
      <c r="AE28" t="str">
        <f t="shared" si="5"/>
        <v>縦幅：約cm　横幅：約cm　マチ幅：約cm　持ち手：約cm  ショルダーベルト：約cm</v>
      </c>
      <c r="AF28" s="77" t="s">
        <v>166</v>
      </c>
      <c r="AH28" s="6"/>
    </row>
    <row r="29" spans="3:34" ht="14.25">
      <c r="C29" t="str">
        <f t="shared" si="0"/>
        <v>◇ E</v>
      </c>
      <c r="D29" s="7">
        <f t="shared" si="2"/>
        <v>2</v>
      </c>
      <c r="E29" t="s">
        <v>74</v>
      </c>
      <c r="H29" t="str">
        <f>IFERROR(INDEX(コンディションランク!$B$1:$B$6,MATCH($G29,コンディションランク!$A$1:$A$6,0)),"")</f>
        <v/>
      </c>
      <c r="I29" s="84" t="str">
        <f t="shared" si="3"/>
        <v>≪メイン≫：　≪内ポケット≫：　≪外ポケット≫：</v>
      </c>
      <c r="W29" t="s">
        <v>165</v>
      </c>
      <c r="X29" s="32" t="str">
        <f t="shared" si="1"/>
        <v>◇</v>
      </c>
      <c r="AD29" t="str">
        <f t="shared" si="4"/>
        <v>縦幅：約cm　横幅：約cm　マチ幅：約cm　持ち手：約cm  ショルダーベルト：約cm</v>
      </c>
      <c r="AE29" t="str">
        <f t="shared" si="5"/>
        <v>縦幅：約cm　横幅：約cm　マチ幅：約cm　持ち手：約cm  ショルダーベルト：約cm</v>
      </c>
      <c r="AF29" s="77" t="s">
        <v>166</v>
      </c>
      <c r="AH29" s="6"/>
    </row>
    <row r="30" spans="3:34" ht="14.25">
      <c r="C30" t="str">
        <f t="shared" si="0"/>
        <v>◇ E</v>
      </c>
      <c r="D30" s="7">
        <f t="shared" si="2"/>
        <v>2</v>
      </c>
      <c r="E30" t="s">
        <v>74</v>
      </c>
      <c r="H30" t="str">
        <f>IFERROR(INDEX(コンディションランク!$B$1:$B$6,MATCH($G30,コンディションランク!$A$1:$A$6,0)),"")</f>
        <v/>
      </c>
      <c r="I30" s="84" t="str">
        <f t="shared" si="3"/>
        <v>≪メイン≫：　≪内ポケット≫：　≪外ポケット≫：</v>
      </c>
      <c r="W30" t="s">
        <v>165</v>
      </c>
      <c r="X30" s="32" t="str">
        <f t="shared" si="1"/>
        <v>◇</v>
      </c>
      <c r="AD30" t="str">
        <f t="shared" si="4"/>
        <v>縦幅：約cm　横幅：約cm　マチ幅：約cm　持ち手：約cm  ショルダーベルト：約cm</v>
      </c>
      <c r="AE30" t="str">
        <f t="shared" si="5"/>
        <v>縦幅：約cm　横幅：約cm　マチ幅：約cm　持ち手：約cm  ショルダーベルト：約cm</v>
      </c>
      <c r="AF30" s="77" t="s">
        <v>166</v>
      </c>
      <c r="AH30" s="6"/>
    </row>
    <row r="31" spans="3:34" ht="14.25">
      <c r="C31" t="str">
        <f t="shared" si="0"/>
        <v>◇ E</v>
      </c>
      <c r="D31" s="7">
        <f t="shared" si="2"/>
        <v>2</v>
      </c>
      <c r="E31" t="s">
        <v>74</v>
      </c>
      <c r="H31" t="str">
        <f>IFERROR(INDEX(コンディションランク!$B$1:$B$6,MATCH($G31,コンディションランク!$A$1:$A$6,0)),"")</f>
        <v/>
      </c>
      <c r="I31" s="84" t="str">
        <f t="shared" si="3"/>
        <v>≪メイン≫：　≪内ポケット≫：　≪外ポケット≫：</v>
      </c>
      <c r="W31" t="s">
        <v>165</v>
      </c>
      <c r="X31" s="32" t="str">
        <f t="shared" si="1"/>
        <v>◇</v>
      </c>
      <c r="AD31" t="str">
        <f t="shared" si="4"/>
        <v>縦幅：約cm　横幅：約cm　マチ幅：約cm　持ち手：約cm  ショルダーベルト：約cm</v>
      </c>
      <c r="AE31" t="str">
        <f t="shared" si="5"/>
        <v>縦幅：約cm　横幅：約cm　マチ幅：約cm　持ち手：約cm  ショルダーベルト：約cm</v>
      </c>
      <c r="AF31" s="77" t="s">
        <v>166</v>
      </c>
      <c r="AH31" s="6"/>
    </row>
    <row r="32" spans="3:34" ht="14.25">
      <c r="C32" t="str">
        <f t="shared" si="0"/>
        <v>◇ E</v>
      </c>
      <c r="D32" s="7">
        <f t="shared" si="2"/>
        <v>2</v>
      </c>
      <c r="E32" t="s">
        <v>74</v>
      </c>
      <c r="H32" t="str">
        <f>IFERROR(INDEX(コンディションランク!$B$1:$B$6,MATCH($G32,コンディションランク!$A$1:$A$6,0)),"")</f>
        <v/>
      </c>
      <c r="I32" s="84" t="str">
        <f t="shared" si="3"/>
        <v>≪メイン≫：　≪内ポケット≫：　≪外ポケット≫：</v>
      </c>
      <c r="W32" t="s">
        <v>165</v>
      </c>
      <c r="X32" s="32" t="str">
        <f t="shared" si="1"/>
        <v>◇</v>
      </c>
      <c r="AD32" t="str">
        <f t="shared" si="4"/>
        <v>縦幅：約cm　横幅：約cm　マチ幅：約cm　持ち手：約cm  ショルダーベルト：約cm</v>
      </c>
      <c r="AE32" t="str">
        <f t="shared" si="5"/>
        <v>縦幅：約cm　横幅：約cm　マチ幅：約cm　持ち手：約cm  ショルダーベルト：約cm</v>
      </c>
      <c r="AF32" s="77" t="s">
        <v>166</v>
      </c>
      <c r="AH32" s="6"/>
    </row>
    <row r="33" spans="3:34" ht="14.25">
      <c r="C33" t="str">
        <f t="shared" si="0"/>
        <v>◇ E</v>
      </c>
      <c r="D33" s="7">
        <f t="shared" si="2"/>
        <v>2</v>
      </c>
      <c r="E33" t="s">
        <v>74</v>
      </c>
      <c r="H33" t="str">
        <f>IFERROR(INDEX(コンディションランク!$B$1:$B$6,MATCH($G33,コンディションランク!$A$1:$A$6,0)),"")</f>
        <v/>
      </c>
      <c r="I33" s="84" t="str">
        <f t="shared" si="3"/>
        <v>≪メイン≫：　≪内ポケット≫：　≪外ポケット≫：</v>
      </c>
      <c r="W33" t="s">
        <v>165</v>
      </c>
      <c r="X33" s="32" t="str">
        <f t="shared" si="1"/>
        <v>◇</v>
      </c>
      <c r="AD33" t="str">
        <f t="shared" si="4"/>
        <v>縦幅：約cm　横幅：約cm　マチ幅：約cm　持ち手：約cm  ショルダーベルト：約cm</v>
      </c>
      <c r="AE33" t="str">
        <f t="shared" si="5"/>
        <v>縦幅：約cm　横幅：約cm　マチ幅：約cm　持ち手：約cm  ショルダーベルト：約cm</v>
      </c>
      <c r="AF33" s="77" t="s">
        <v>166</v>
      </c>
      <c r="AH33" s="6"/>
    </row>
    <row r="34" spans="3:34" ht="14.25">
      <c r="C34" t="str">
        <f t="shared" ref="C34:C65" si="6">TRIM(X34&amp;" "&amp;Y34&amp;" "&amp;Z34&amp;" "&amp;AA34&amp;" "&amp;AB34&amp;" "&amp;N34&amp;" "&amp;AC34&amp;EX&amp;" "&amp;B34)</f>
        <v>◇ E</v>
      </c>
      <c r="D34" s="7">
        <f t="shared" si="2"/>
        <v>2</v>
      </c>
      <c r="E34" t="s">
        <v>74</v>
      </c>
      <c r="H34" t="str">
        <f>IFERROR(INDEX(コンディションランク!$B$1:$B$6,MATCH($G34,コンディションランク!$A$1:$A$6,0)),"")</f>
        <v/>
      </c>
      <c r="I34" s="84" t="str">
        <f t="shared" si="3"/>
        <v>≪メイン≫：　≪内ポケット≫：　≪外ポケット≫：</v>
      </c>
      <c r="W34" t="s">
        <v>165</v>
      </c>
      <c r="X34" s="32" t="str">
        <f t="shared" ref="X34:X65" si="7">IFERROR(VLOOKUP(W34,梱包サイズ表,2,0),"")</f>
        <v>◇</v>
      </c>
      <c r="AD34" t="str">
        <f t="shared" si="4"/>
        <v>縦幅：約cm　横幅：約cm　マチ幅：約cm　持ち手：約cm  ショルダーベルト：約cm</v>
      </c>
      <c r="AE34" t="str">
        <f t="shared" si="5"/>
        <v>縦幅：約cm　横幅：約cm　マチ幅：約cm　持ち手：約cm  ショルダーベルト：約cm</v>
      </c>
      <c r="AF34" s="77" t="s">
        <v>166</v>
      </c>
      <c r="AH34" s="6"/>
    </row>
    <row r="35" spans="3:34" ht="14.25">
      <c r="C35" t="str">
        <f t="shared" si="6"/>
        <v>◇ E</v>
      </c>
      <c r="D35" s="7">
        <f t="shared" si="2"/>
        <v>2</v>
      </c>
      <c r="E35" t="s">
        <v>74</v>
      </c>
      <c r="H35" t="str">
        <f>IFERROR(INDEX(コンディションランク!$B$1:$B$6,MATCH($G35,コンディションランク!$A$1:$A$6,0)),"")</f>
        <v/>
      </c>
      <c r="I35" s="84" t="str">
        <f t="shared" si="3"/>
        <v>≪メイン≫：　≪内ポケット≫：　≪外ポケット≫：</v>
      </c>
      <c r="W35" t="s">
        <v>165</v>
      </c>
      <c r="X35" s="32" t="str">
        <f t="shared" si="7"/>
        <v>◇</v>
      </c>
      <c r="AD35" t="str">
        <f t="shared" si="4"/>
        <v>縦幅：約cm　横幅：約cm　マチ幅：約cm　持ち手：約cm  ショルダーベルト：約cm</v>
      </c>
      <c r="AE35" t="str">
        <f t="shared" si="5"/>
        <v>縦幅：約cm　横幅：約cm　マチ幅：約cm　持ち手：約cm  ショルダーベルト：約cm</v>
      </c>
      <c r="AF35" s="77" t="s">
        <v>166</v>
      </c>
      <c r="AH35" s="6"/>
    </row>
    <row r="36" spans="3:34" ht="14.25">
      <c r="C36" t="str">
        <f t="shared" si="6"/>
        <v>◇ E</v>
      </c>
      <c r="D36" s="7">
        <f t="shared" si="2"/>
        <v>2</v>
      </c>
      <c r="E36" t="s">
        <v>74</v>
      </c>
      <c r="H36" t="str">
        <f>IFERROR(INDEX(コンディションランク!$B$1:$B$6,MATCH($G36,コンディションランク!$A$1:$A$6,0)),"")</f>
        <v/>
      </c>
      <c r="I36" s="84" t="str">
        <f t="shared" si="3"/>
        <v>≪メイン≫：　≪内ポケット≫：　≪外ポケット≫：</v>
      </c>
      <c r="W36" t="s">
        <v>165</v>
      </c>
      <c r="X36" s="32" t="str">
        <f t="shared" si="7"/>
        <v>◇</v>
      </c>
      <c r="AD36" t="str">
        <f t="shared" si="4"/>
        <v>縦幅：約cm　横幅：約cm　マチ幅：約cm　持ち手：約cm  ショルダーベルト：約cm</v>
      </c>
      <c r="AE36" t="str">
        <f t="shared" si="5"/>
        <v>縦幅：約cm　横幅：約cm　マチ幅：約cm　持ち手：約cm  ショルダーベルト：約cm</v>
      </c>
      <c r="AF36" s="77" t="s">
        <v>166</v>
      </c>
      <c r="AH36" s="6"/>
    </row>
    <row r="37" spans="3:34" ht="14.25">
      <c r="C37" t="str">
        <f t="shared" si="6"/>
        <v>◇ E</v>
      </c>
      <c r="D37" s="7">
        <f t="shared" si="2"/>
        <v>2</v>
      </c>
      <c r="E37" t="s">
        <v>74</v>
      </c>
      <c r="H37" t="str">
        <f>IFERROR(INDEX(コンディションランク!$B$1:$B$6,MATCH($G37,コンディションランク!$A$1:$A$6,0)),"")</f>
        <v/>
      </c>
      <c r="I37" s="84" t="str">
        <f t="shared" si="3"/>
        <v>≪メイン≫：　≪内ポケット≫：　≪外ポケット≫：</v>
      </c>
      <c r="W37" t="s">
        <v>165</v>
      </c>
      <c r="X37" s="32" t="str">
        <f t="shared" si="7"/>
        <v>◇</v>
      </c>
      <c r="AD37" t="str">
        <f t="shared" si="4"/>
        <v>縦幅：約cm　横幅：約cm　マチ幅：約cm　持ち手：約cm  ショルダーベルト：約cm</v>
      </c>
      <c r="AE37" t="str">
        <f t="shared" si="5"/>
        <v>縦幅：約cm　横幅：約cm　マチ幅：約cm　持ち手：約cm  ショルダーベルト：約cm</v>
      </c>
      <c r="AF37" s="77" t="s">
        <v>166</v>
      </c>
      <c r="AH37" s="6"/>
    </row>
    <row r="38" spans="3:34" ht="14.25">
      <c r="C38" t="str">
        <f t="shared" si="6"/>
        <v>◇ E</v>
      </c>
      <c r="D38" s="7">
        <f t="shared" si="2"/>
        <v>2</v>
      </c>
      <c r="E38" t="s">
        <v>74</v>
      </c>
      <c r="H38" t="str">
        <f>IFERROR(INDEX(コンディションランク!$B$1:$B$6,MATCH($G38,コンディションランク!$A$1:$A$6,0)),"")</f>
        <v/>
      </c>
      <c r="I38" s="84" t="str">
        <f t="shared" si="3"/>
        <v>≪メイン≫：　≪内ポケット≫：　≪外ポケット≫：</v>
      </c>
      <c r="W38" t="s">
        <v>165</v>
      </c>
      <c r="X38" s="32" t="str">
        <f t="shared" si="7"/>
        <v>◇</v>
      </c>
      <c r="AD38" t="str">
        <f t="shared" si="4"/>
        <v>縦幅：約cm　横幅：約cm　マチ幅：約cm　持ち手：約cm  ショルダーベルト：約cm</v>
      </c>
      <c r="AE38" t="str">
        <f t="shared" si="5"/>
        <v>縦幅：約cm　横幅：約cm　マチ幅：約cm　持ち手：約cm  ショルダーベルト：約cm</v>
      </c>
      <c r="AF38" s="77" t="s">
        <v>166</v>
      </c>
      <c r="AH38" s="6"/>
    </row>
    <row r="39" spans="3:34" ht="14.25">
      <c r="C39" t="str">
        <f t="shared" si="6"/>
        <v>◇ E</v>
      </c>
      <c r="D39" s="7">
        <f t="shared" si="2"/>
        <v>2</v>
      </c>
      <c r="E39" t="s">
        <v>74</v>
      </c>
      <c r="H39" t="str">
        <f>IFERROR(INDEX(コンディションランク!$B$1:$B$6,MATCH($G39,コンディションランク!$A$1:$A$6,0)),"")</f>
        <v/>
      </c>
      <c r="I39" s="84" t="str">
        <f t="shared" si="3"/>
        <v>≪メイン≫：　≪内ポケット≫：　≪外ポケット≫：</v>
      </c>
      <c r="W39" t="s">
        <v>165</v>
      </c>
      <c r="X39" s="32" t="str">
        <f t="shared" si="7"/>
        <v>◇</v>
      </c>
      <c r="AD39" t="str">
        <f t="shared" si="4"/>
        <v>縦幅：約cm　横幅：約cm　マチ幅：約cm　持ち手：約cm  ショルダーベルト：約cm</v>
      </c>
      <c r="AE39" t="str">
        <f t="shared" si="5"/>
        <v>縦幅：約cm　横幅：約cm　マチ幅：約cm　持ち手：約cm  ショルダーベルト：約cm</v>
      </c>
      <c r="AF39" s="77" t="s">
        <v>166</v>
      </c>
      <c r="AH39" s="6"/>
    </row>
    <row r="40" spans="3:34" ht="14.25">
      <c r="C40" t="str">
        <f t="shared" si="6"/>
        <v>◇ E</v>
      </c>
      <c r="D40" s="7">
        <f t="shared" si="2"/>
        <v>2</v>
      </c>
      <c r="E40" t="s">
        <v>74</v>
      </c>
      <c r="H40" t="str">
        <f>IFERROR(INDEX(コンディションランク!$B$1:$B$6,MATCH($G40,コンディションランク!$A$1:$A$6,0)),"")</f>
        <v/>
      </c>
      <c r="I40" s="84" t="str">
        <f t="shared" si="3"/>
        <v>≪メイン≫：　≪内ポケット≫：　≪外ポケット≫：</v>
      </c>
      <c r="W40" t="s">
        <v>165</v>
      </c>
      <c r="X40" s="32" t="str">
        <f t="shared" si="7"/>
        <v>◇</v>
      </c>
      <c r="AD40" t="str">
        <f t="shared" si="4"/>
        <v>縦幅：約cm　横幅：約cm　マチ幅：約cm　持ち手：約cm  ショルダーベルト：約cm</v>
      </c>
      <c r="AE40" t="str">
        <f t="shared" si="5"/>
        <v>縦幅：約cm　横幅：約cm　マチ幅：約cm　持ち手：約cm  ショルダーベルト：約cm</v>
      </c>
      <c r="AF40" s="77" t="s">
        <v>166</v>
      </c>
      <c r="AH40" s="6"/>
    </row>
    <row r="41" spans="3:34" ht="14.25">
      <c r="C41" t="str">
        <f t="shared" si="6"/>
        <v>◇ E</v>
      </c>
      <c r="D41" s="7">
        <f t="shared" si="2"/>
        <v>2</v>
      </c>
      <c r="E41" t="s">
        <v>74</v>
      </c>
      <c r="H41" t="str">
        <f>IFERROR(INDEX(コンディションランク!$B$1:$B$6,MATCH($G41,コンディションランク!$A$1:$A$6,0)),"")</f>
        <v/>
      </c>
      <c r="I41" s="84" t="str">
        <f t="shared" si="3"/>
        <v>≪メイン≫：　≪内ポケット≫：　≪外ポケット≫：</v>
      </c>
      <c r="W41" t="s">
        <v>165</v>
      </c>
      <c r="X41" s="32" t="str">
        <f t="shared" si="7"/>
        <v>◇</v>
      </c>
      <c r="AD41" t="str">
        <f t="shared" si="4"/>
        <v>縦幅：約cm　横幅：約cm　マチ幅：約cm　持ち手：約cm  ショルダーベルト：約cm</v>
      </c>
      <c r="AE41" t="str">
        <f t="shared" si="5"/>
        <v>縦幅：約cm　横幅：約cm　マチ幅：約cm　持ち手：約cm  ショルダーベルト：約cm</v>
      </c>
      <c r="AF41" s="77" t="s">
        <v>166</v>
      </c>
      <c r="AH41" s="6"/>
    </row>
    <row r="42" spans="3:34" ht="14.25">
      <c r="C42" t="str">
        <f t="shared" si="6"/>
        <v>◇ E</v>
      </c>
      <c r="D42" s="7">
        <f t="shared" si="2"/>
        <v>2</v>
      </c>
      <c r="E42" t="s">
        <v>74</v>
      </c>
      <c r="H42" t="str">
        <f>IFERROR(INDEX(コンディションランク!$B$1:$B$6,MATCH($G42,コンディションランク!$A$1:$A$6,0)),"")</f>
        <v/>
      </c>
      <c r="I42" s="84" t="str">
        <f t="shared" si="3"/>
        <v>≪メイン≫：　≪内ポケット≫：　≪外ポケット≫：</v>
      </c>
      <c r="W42" t="s">
        <v>165</v>
      </c>
      <c r="X42" s="32" t="str">
        <f t="shared" si="7"/>
        <v>◇</v>
      </c>
      <c r="AD42" t="str">
        <f t="shared" si="4"/>
        <v>縦幅：約cm　横幅：約cm　マチ幅：約cm　持ち手：約cm  ショルダーベルト：約cm</v>
      </c>
      <c r="AE42" t="str">
        <f t="shared" si="5"/>
        <v>縦幅：約cm　横幅：約cm　マチ幅：約cm　持ち手：約cm  ショルダーベルト：約cm</v>
      </c>
      <c r="AF42" s="77" t="s">
        <v>166</v>
      </c>
      <c r="AH42" s="6"/>
    </row>
    <row r="43" spans="3:34" ht="14.25">
      <c r="C43" t="str">
        <f t="shared" si="6"/>
        <v>◇ E</v>
      </c>
      <c r="D43" s="7">
        <f t="shared" si="2"/>
        <v>2</v>
      </c>
      <c r="E43" t="s">
        <v>74</v>
      </c>
      <c r="H43" t="str">
        <f>IFERROR(INDEX(コンディションランク!$B$1:$B$6,MATCH($G43,コンディションランク!$A$1:$A$6,0)),"")</f>
        <v/>
      </c>
      <c r="I43" s="84" t="str">
        <f t="shared" si="3"/>
        <v>≪メイン≫：　≪内ポケット≫：　≪外ポケット≫：</v>
      </c>
      <c r="W43" t="s">
        <v>165</v>
      </c>
      <c r="X43" s="32" t="str">
        <f t="shared" si="7"/>
        <v>◇</v>
      </c>
      <c r="AD43" t="str">
        <f t="shared" si="4"/>
        <v>縦幅：約cm　横幅：約cm　マチ幅：約cm　持ち手：約cm  ショルダーベルト：約cm</v>
      </c>
      <c r="AE43" t="str">
        <f t="shared" si="5"/>
        <v>縦幅：約cm　横幅：約cm　マチ幅：約cm　持ち手：約cm  ショルダーベルト：約cm</v>
      </c>
      <c r="AF43" s="77" t="s">
        <v>166</v>
      </c>
      <c r="AH43" s="6"/>
    </row>
    <row r="44" spans="3:34" ht="14.25">
      <c r="C44" t="str">
        <f t="shared" si="6"/>
        <v>◇ E</v>
      </c>
      <c r="D44" s="7">
        <f t="shared" si="2"/>
        <v>2</v>
      </c>
      <c r="E44" t="s">
        <v>74</v>
      </c>
      <c r="H44" t="str">
        <f>IFERROR(INDEX(コンディションランク!$B$1:$B$6,MATCH($G44,コンディションランク!$A$1:$A$6,0)),"")</f>
        <v/>
      </c>
      <c r="I44" s="84" t="str">
        <f t="shared" si="3"/>
        <v>≪メイン≫：　≪内ポケット≫：　≪外ポケット≫：</v>
      </c>
      <c r="W44" t="s">
        <v>165</v>
      </c>
      <c r="X44" s="32" t="str">
        <f t="shared" si="7"/>
        <v>◇</v>
      </c>
      <c r="AD44" t="str">
        <f t="shared" si="4"/>
        <v>縦幅：約cm　横幅：約cm　マチ幅：約cm　持ち手：約cm  ショルダーベルト：約cm</v>
      </c>
      <c r="AE44" t="str">
        <f t="shared" si="5"/>
        <v>縦幅：約cm　横幅：約cm　マチ幅：約cm　持ち手：約cm  ショルダーベルト：約cm</v>
      </c>
      <c r="AF44" s="77" t="s">
        <v>166</v>
      </c>
      <c r="AH44" s="6"/>
    </row>
    <row r="45" spans="3:34" ht="14.25">
      <c r="C45" t="str">
        <f t="shared" si="6"/>
        <v>◇ E</v>
      </c>
      <c r="D45" s="7">
        <f t="shared" si="2"/>
        <v>2</v>
      </c>
      <c r="E45" t="s">
        <v>74</v>
      </c>
      <c r="H45" t="str">
        <f>IFERROR(INDEX(コンディションランク!$B$1:$B$6,MATCH($G45,コンディションランク!$A$1:$A$6,0)),"")</f>
        <v/>
      </c>
      <c r="I45" s="84" t="str">
        <f t="shared" si="3"/>
        <v>≪メイン≫：　≪内ポケット≫：　≪外ポケット≫：</v>
      </c>
      <c r="W45" t="s">
        <v>165</v>
      </c>
      <c r="X45" s="32" t="str">
        <f t="shared" si="7"/>
        <v>◇</v>
      </c>
      <c r="AD45" t="str">
        <f t="shared" si="4"/>
        <v>縦幅：約cm　横幅：約cm　マチ幅：約cm　持ち手：約cm  ショルダーベルト：約cm</v>
      </c>
      <c r="AE45" t="str">
        <f t="shared" si="5"/>
        <v>縦幅：約cm　横幅：約cm　マチ幅：約cm　持ち手：約cm  ショルダーベルト：約cm</v>
      </c>
      <c r="AF45" s="77" t="s">
        <v>166</v>
      </c>
      <c r="AH45" s="6"/>
    </row>
    <row r="46" spans="3:34" ht="14.25">
      <c r="C46" t="str">
        <f t="shared" si="6"/>
        <v>◇ E</v>
      </c>
      <c r="D46" s="7">
        <f t="shared" si="2"/>
        <v>2</v>
      </c>
      <c r="E46" t="s">
        <v>74</v>
      </c>
      <c r="H46" t="str">
        <f>IFERROR(INDEX(コンディションランク!$B$1:$B$6,MATCH($G46,コンディションランク!$A$1:$A$6,0)),"")</f>
        <v/>
      </c>
      <c r="I46" s="84" t="str">
        <f t="shared" si="3"/>
        <v>≪メイン≫：　≪内ポケット≫：　≪外ポケット≫：</v>
      </c>
      <c r="W46" t="s">
        <v>165</v>
      </c>
      <c r="X46" s="32" t="str">
        <f t="shared" si="7"/>
        <v>◇</v>
      </c>
      <c r="AD46" t="str">
        <f t="shared" si="4"/>
        <v>縦幅：約cm　横幅：約cm　マチ幅：約cm　持ち手：約cm  ショルダーベルト：約cm</v>
      </c>
      <c r="AE46" t="str">
        <f t="shared" si="5"/>
        <v>縦幅：約cm　横幅：約cm　マチ幅：約cm　持ち手：約cm  ショルダーベルト：約cm</v>
      </c>
      <c r="AF46" s="77" t="s">
        <v>166</v>
      </c>
      <c r="AH46" s="6"/>
    </row>
    <row r="47" spans="3:34" ht="14.25">
      <c r="C47" t="str">
        <f t="shared" si="6"/>
        <v>◇ E</v>
      </c>
      <c r="D47" s="7">
        <f t="shared" si="2"/>
        <v>2</v>
      </c>
      <c r="E47" t="s">
        <v>74</v>
      </c>
      <c r="H47" t="str">
        <f>IFERROR(INDEX(コンディションランク!$B$1:$B$6,MATCH($G47,コンディションランク!$A$1:$A$6,0)),"")</f>
        <v/>
      </c>
      <c r="I47" s="84" t="str">
        <f t="shared" si="3"/>
        <v>≪メイン≫：　≪内ポケット≫：　≪外ポケット≫：</v>
      </c>
      <c r="W47" t="s">
        <v>165</v>
      </c>
      <c r="X47" s="32" t="str">
        <f t="shared" si="7"/>
        <v>◇</v>
      </c>
      <c r="AD47" t="str">
        <f t="shared" si="4"/>
        <v>縦幅：約cm　横幅：約cm　マチ幅：約cm　持ち手：約cm  ショルダーベルト：約cm</v>
      </c>
      <c r="AE47" t="str">
        <f t="shared" si="5"/>
        <v>縦幅：約cm　横幅：約cm　マチ幅：約cm　持ち手：約cm  ショルダーベルト：約cm</v>
      </c>
      <c r="AF47" s="77" t="s">
        <v>166</v>
      </c>
      <c r="AH47" s="6"/>
    </row>
    <row r="48" spans="3:34" ht="14.25">
      <c r="C48" t="str">
        <f t="shared" si="6"/>
        <v>◇ E</v>
      </c>
      <c r="D48" s="7">
        <f t="shared" si="2"/>
        <v>2</v>
      </c>
      <c r="E48" t="s">
        <v>74</v>
      </c>
      <c r="H48" t="str">
        <f>IFERROR(INDEX(コンディションランク!$B$1:$B$6,MATCH($G48,コンディションランク!$A$1:$A$6,0)),"")</f>
        <v/>
      </c>
      <c r="I48" s="84" t="str">
        <f>"≪メイン≫：" &amp;J48&amp; "　≪内ポケット≫：" &amp;K48&amp; "　≪外ポケット≫：" &amp;L48&amp; ""</f>
        <v>≪メイン≫：　≪内ポケット≫：　≪外ポケット≫：</v>
      </c>
      <c r="W48" t="s">
        <v>165</v>
      </c>
      <c r="X48" s="32" t="str">
        <f t="shared" si="7"/>
        <v>◇</v>
      </c>
      <c r="AD48" t="str">
        <f t="shared" si="4"/>
        <v>縦幅：約cm　横幅：約cm　マチ幅：約cm　持ち手：約cm  ショルダーベルト：約cm</v>
      </c>
      <c r="AE48" t="str">
        <f t="shared" si="5"/>
        <v>縦幅：約cm　横幅：約cm　マチ幅：約cm　持ち手：約cm  ショルダーベルト：約cm</v>
      </c>
      <c r="AF48" s="77" t="s">
        <v>166</v>
      </c>
      <c r="AH48" s="6"/>
    </row>
    <row r="49" spans="3:34" ht="14.25">
      <c r="C49" t="str">
        <f t="shared" si="6"/>
        <v>◇ E</v>
      </c>
      <c r="D49" s="7">
        <f t="shared" si="2"/>
        <v>2</v>
      </c>
      <c r="E49" t="s">
        <v>74</v>
      </c>
      <c r="H49" t="str">
        <f>IFERROR(INDEX(コンディションランク!$B$1:$B$6,MATCH($G49,コンディションランク!$A$1:$A$6,0)),"")</f>
        <v/>
      </c>
      <c r="I49" s="84" t="str">
        <f t="shared" si="3"/>
        <v>≪メイン≫：　≪内ポケット≫：　≪外ポケット≫：</v>
      </c>
      <c r="W49" t="s">
        <v>165</v>
      </c>
      <c r="X49" s="32" t="str">
        <f t="shared" si="7"/>
        <v>◇</v>
      </c>
      <c r="AD49" t="str">
        <f t="shared" si="4"/>
        <v>縦幅：約cm　横幅：約cm　マチ幅：約cm　持ち手：約cm  ショルダーベルト：約cm</v>
      </c>
      <c r="AE49" t="str">
        <f t="shared" si="5"/>
        <v>縦幅：約cm　横幅：約cm　マチ幅：約cm　持ち手：約cm  ショルダーベルト：約cm</v>
      </c>
      <c r="AF49" s="77" t="s">
        <v>166</v>
      </c>
      <c r="AH49" s="6"/>
    </row>
    <row r="50" spans="3:34" ht="14.25">
      <c r="C50" t="str">
        <f t="shared" si="6"/>
        <v>◇ E</v>
      </c>
      <c r="D50" s="7">
        <f t="shared" si="2"/>
        <v>2</v>
      </c>
      <c r="E50" t="s">
        <v>74</v>
      </c>
      <c r="H50" t="str">
        <f>IFERROR(INDEX(コンディションランク!$B$1:$B$6,MATCH($G50,コンディションランク!$A$1:$A$6,0)),"")</f>
        <v/>
      </c>
      <c r="I50" s="84" t="str">
        <f t="shared" si="3"/>
        <v>≪メイン≫：　≪内ポケット≫：　≪外ポケット≫：</v>
      </c>
      <c r="W50" t="s">
        <v>165</v>
      </c>
      <c r="X50" s="32" t="str">
        <f t="shared" si="7"/>
        <v>◇</v>
      </c>
      <c r="AD50" t="str">
        <f t="shared" si="4"/>
        <v>縦幅：約cm　横幅：約cm　マチ幅：約cm　持ち手：約cm  ショルダーベルト：約cm</v>
      </c>
      <c r="AE50" t="str">
        <f t="shared" si="5"/>
        <v>縦幅：約cm　横幅：約cm　マチ幅：約cm　持ち手：約cm  ショルダーベルト：約cm</v>
      </c>
      <c r="AF50" s="77" t="s">
        <v>166</v>
      </c>
      <c r="AH50" s="6"/>
    </row>
    <row r="51" spans="3:34" ht="14.25">
      <c r="C51" t="str">
        <f t="shared" si="6"/>
        <v>◇ E</v>
      </c>
      <c r="D51" s="7">
        <f t="shared" si="2"/>
        <v>2</v>
      </c>
      <c r="E51" t="s">
        <v>74</v>
      </c>
      <c r="H51" t="str">
        <f>IFERROR(INDEX(コンディションランク!$B$1:$B$6,MATCH($G51,コンディションランク!$A$1:$A$6,0)),"")</f>
        <v/>
      </c>
      <c r="I51" s="84" t="str">
        <f t="shared" si="3"/>
        <v>≪メイン≫：　≪内ポケット≫：　≪外ポケット≫：</v>
      </c>
      <c r="W51" t="s">
        <v>165</v>
      </c>
      <c r="X51" s="32" t="str">
        <f t="shared" si="7"/>
        <v>◇</v>
      </c>
      <c r="AD51" t="str">
        <f t="shared" si="4"/>
        <v>縦幅：約cm　横幅：約cm　マチ幅：約cm　持ち手：約cm  ショルダーベルト：約cm</v>
      </c>
      <c r="AE51" t="str">
        <f t="shared" si="5"/>
        <v>縦幅：約cm　横幅：約cm　マチ幅：約cm　持ち手：約cm  ショルダーベルト：約cm</v>
      </c>
      <c r="AF51" s="77" t="s">
        <v>166</v>
      </c>
      <c r="AH51" s="6"/>
    </row>
    <row r="52" spans="3:34" ht="14.25">
      <c r="C52" t="str">
        <f t="shared" si="6"/>
        <v>◇ E</v>
      </c>
      <c r="D52" s="7">
        <f t="shared" si="2"/>
        <v>2</v>
      </c>
      <c r="E52" t="s">
        <v>74</v>
      </c>
      <c r="H52" t="str">
        <f>IFERROR(INDEX(コンディションランク!$B$1:$B$6,MATCH($G52,コンディションランク!$A$1:$A$6,0)),"")</f>
        <v/>
      </c>
      <c r="I52" s="84" t="str">
        <f t="shared" si="3"/>
        <v>≪メイン≫：　≪内ポケット≫：　≪外ポケット≫：</v>
      </c>
      <c r="W52" t="s">
        <v>165</v>
      </c>
      <c r="X52" s="32" t="str">
        <f t="shared" si="7"/>
        <v>◇</v>
      </c>
      <c r="AD52" t="str">
        <f t="shared" si="4"/>
        <v>縦幅：約cm　横幅：約cm　マチ幅：約cm　持ち手：約cm  ショルダーベルト：約cm</v>
      </c>
      <c r="AE52" t="str">
        <f t="shared" si="5"/>
        <v>縦幅：約cm　横幅：約cm　マチ幅：約cm　持ち手：約cm  ショルダーベルト：約cm</v>
      </c>
      <c r="AF52" s="77" t="s">
        <v>166</v>
      </c>
      <c r="AH52" s="6"/>
    </row>
    <row r="53" spans="3:34" ht="14.25">
      <c r="C53" t="str">
        <f t="shared" si="6"/>
        <v>◇ E</v>
      </c>
      <c r="D53" s="7">
        <f t="shared" si="2"/>
        <v>2</v>
      </c>
      <c r="E53" t="s">
        <v>74</v>
      </c>
      <c r="H53" t="str">
        <f>IFERROR(INDEX(コンディションランク!$B$1:$B$6,MATCH($G53,コンディションランク!$A$1:$A$6,0)),"")</f>
        <v/>
      </c>
      <c r="I53" s="84" t="str">
        <f t="shared" si="3"/>
        <v>≪メイン≫：　≪内ポケット≫：　≪外ポケット≫：</v>
      </c>
      <c r="W53" t="s">
        <v>165</v>
      </c>
      <c r="X53" s="32" t="str">
        <f t="shared" si="7"/>
        <v>◇</v>
      </c>
      <c r="AD53" t="str">
        <f t="shared" si="4"/>
        <v>縦幅：約cm　横幅：約cm　マチ幅：約cm　持ち手：約cm  ショルダーベルト：約cm</v>
      </c>
      <c r="AE53" t="str">
        <f t="shared" si="5"/>
        <v>縦幅：約cm　横幅：約cm　マチ幅：約cm　持ち手：約cm  ショルダーベルト：約cm</v>
      </c>
      <c r="AF53" s="77" t="s">
        <v>166</v>
      </c>
      <c r="AH53" s="6"/>
    </row>
    <row r="54" spans="3:34" ht="14.25">
      <c r="C54" t="str">
        <f t="shared" si="6"/>
        <v>◇ E</v>
      </c>
      <c r="D54" s="7">
        <f t="shared" si="2"/>
        <v>2</v>
      </c>
      <c r="E54" t="s">
        <v>74</v>
      </c>
      <c r="H54" t="str">
        <f>IFERROR(INDEX(コンディションランク!$B$1:$B$6,MATCH($G54,コンディションランク!$A$1:$A$6,0)),"")</f>
        <v/>
      </c>
      <c r="I54" s="84" t="str">
        <f t="shared" si="3"/>
        <v>≪メイン≫：　≪内ポケット≫：　≪外ポケット≫：</v>
      </c>
      <c r="W54" t="s">
        <v>165</v>
      </c>
      <c r="X54" s="32" t="str">
        <f t="shared" si="7"/>
        <v>◇</v>
      </c>
      <c r="AD54" t="str">
        <f t="shared" si="4"/>
        <v>縦幅：約cm　横幅：約cm　マチ幅：約cm　持ち手：約cm  ショルダーベルト：約cm</v>
      </c>
      <c r="AE54" t="str">
        <f t="shared" si="5"/>
        <v>縦幅：約cm　横幅：約cm　マチ幅：約cm　持ち手：約cm  ショルダーベルト：約cm</v>
      </c>
      <c r="AF54" s="77" t="s">
        <v>166</v>
      </c>
      <c r="AH54" s="6"/>
    </row>
    <row r="55" spans="3:34" ht="14.25">
      <c r="C55" t="str">
        <f t="shared" si="6"/>
        <v>◇ E</v>
      </c>
      <c r="D55" s="7">
        <f t="shared" si="2"/>
        <v>2</v>
      </c>
      <c r="E55" t="s">
        <v>74</v>
      </c>
      <c r="H55" t="str">
        <f>IFERROR(INDEX(コンディションランク!$B$1:$B$6,MATCH($G55,コンディションランク!$A$1:$A$6,0)),"")</f>
        <v/>
      </c>
      <c r="I55" s="84" t="str">
        <f t="shared" si="3"/>
        <v>≪メイン≫：　≪内ポケット≫：　≪外ポケット≫：</v>
      </c>
      <c r="W55" t="s">
        <v>165</v>
      </c>
      <c r="X55" s="32" t="str">
        <f t="shared" si="7"/>
        <v>◇</v>
      </c>
      <c r="AD55" t="str">
        <f t="shared" si="4"/>
        <v>縦幅：約cm　横幅：約cm　マチ幅：約cm　持ち手：約cm  ショルダーベルト：約cm</v>
      </c>
      <c r="AE55" t="str">
        <f t="shared" si="5"/>
        <v>縦幅：約cm　横幅：約cm　マチ幅：約cm　持ち手：約cm  ショルダーベルト：約cm</v>
      </c>
      <c r="AF55" s="77" t="s">
        <v>166</v>
      </c>
      <c r="AH55" s="6"/>
    </row>
    <row r="56" spans="3:34" ht="14.25">
      <c r="C56" t="str">
        <f t="shared" si="6"/>
        <v>◇ E</v>
      </c>
      <c r="D56" s="7">
        <f t="shared" si="2"/>
        <v>2</v>
      </c>
      <c r="E56" t="s">
        <v>74</v>
      </c>
      <c r="H56" t="str">
        <f>IFERROR(INDEX(コンディションランク!$B$1:$B$6,MATCH($G56,コンディションランク!$A$1:$A$6,0)),"")</f>
        <v/>
      </c>
      <c r="I56" s="84" t="str">
        <f t="shared" si="3"/>
        <v>≪メイン≫：　≪内ポケット≫：　≪外ポケット≫：</v>
      </c>
      <c r="W56" t="s">
        <v>165</v>
      </c>
      <c r="X56" s="32" t="str">
        <f t="shared" si="7"/>
        <v>◇</v>
      </c>
      <c r="AD56" t="str">
        <f t="shared" si="4"/>
        <v>縦幅：約cm　横幅：約cm　マチ幅：約cm　持ち手：約cm  ショルダーベルト：約cm</v>
      </c>
      <c r="AE56" t="str">
        <f t="shared" si="5"/>
        <v>縦幅：約cm　横幅：約cm　マチ幅：約cm　持ち手：約cm  ショルダーベルト：約cm</v>
      </c>
      <c r="AF56" s="77" t="s">
        <v>166</v>
      </c>
      <c r="AH56" s="6"/>
    </row>
    <row r="57" spans="3:34" ht="14.25">
      <c r="C57" t="str">
        <f t="shared" si="6"/>
        <v>◇ E</v>
      </c>
      <c r="D57" s="7">
        <f t="shared" si="2"/>
        <v>2</v>
      </c>
      <c r="E57" t="s">
        <v>74</v>
      </c>
      <c r="H57" t="str">
        <f>IFERROR(INDEX(コンディションランク!$B$1:$B$6,MATCH($G57,コンディションランク!$A$1:$A$6,0)),"")</f>
        <v/>
      </c>
      <c r="I57" s="84" t="str">
        <f t="shared" si="3"/>
        <v>≪メイン≫：　≪内ポケット≫：　≪外ポケット≫：</v>
      </c>
      <c r="W57" t="s">
        <v>165</v>
      </c>
      <c r="X57" s="32" t="str">
        <f t="shared" si="7"/>
        <v>◇</v>
      </c>
      <c r="AD57" t="str">
        <f t="shared" si="4"/>
        <v>縦幅：約cm　横幅：約cm　マチ幅：約cm　持ち手：約cm  ショルダーベルト：約cm</v>
      </c>
      <c r="AE57" t="str">
        <f t="shared" si="5"/>
        <v>縦幅：約cm　横幅：約cm　マチ幅：約cm　持ち手：約cm  ショルダーベルト：約cm</v>
      </c>
      <c r="AF57" s="77" t="s">
        <v>166</v>
      </c>
      <c r="AH57" s="6"/>
    </row>
    <row r="58" spans="3:34" ht="14.25">
      <c r="C58" t="str">
        <f t="shared" si="6"/>
        <v>◇ E</v>
      </c>
      <c r="D58" s="7">
        <f t="shared" si="2"/>
        <v>2</v>
      </c>
      <c r="E58" t="s">
        <v>74</v>
      </c>
      <c r="H58" t="str">
        <f>IFERROR(INDEX(コンディションランク!$B$1:$B$6,MATCH($G58,コンディションランク!$A$1:$A$6,0)),"")</f>
        <v/>
      </c>
      <c r="I58" s="84" t="str">
        <f t="shared" si="3"/>
        <v>≪メイン≫：　≪内ポケット≫：　≪外ポケット≫：</v>
      </c>
      <c r="W58" t="s">
        <v>165</v>
      </c>
      <c r="X58" s="32" t="str">
        <f t="shared" si="7"/>
        <v>◇</v>
      </c>
      <c r="AD58" t="str">
        <f t="shared" si="4"/>
        <v>縦幅：約cm　横幅：約cm　マチ幅：約cm　持ち手：約cm  ショルダーベルト：約cm</v>
      </c>
      <c r="AE58" t="str">
        <f t="shared" si="5"/>
        <v>縦幅：約cm　横幅：約cm　マチ幅：約cm　持ち手：約cm  ショルダーベルト：約cm</v>
      </c>
      <c r="AF58" s="77" t="s">
        <v>166</v>
      </c>
      <c r="AH58" s="6"/>
    </row>
    <row r="59" spans="3:34" ht="14.25">
      <c r="C59" t="str">
        <f t="shared" si="6"/>
        <v>◇ E</v>
      </c>
      <c r="D59" s="7">
        <f t="shared" si="2"/>
        <v>2</v>
      </c>
      <c r="E59" t="s">
        <v>74</v>
      </c>
      <c r="H59" t="str">
        <f>IFERROR(INDEX(コンディションランク!$B$1:$B$6,MATCH($G59,コンディションランク!$A$1:$A$6,0)),"")</f>
        <v/>
      </c>
      <c r="I59" s="84" t="str">
        <f t="shared" si="3"/>
        <v>≪メイン≫：　≪内ポケット≫：　≪外ポケット≫：</v>
      </c>
      <c r="W59" t="s">
        <v>165</v>
      </c>
      <c r="X59" s="32" t="str">
        <f t="shared" si="7"/>
        <v>◇</v>
      </c>
      <c r="AD59" t="str">
        <f t="shared" si="4"/>
        <v>縦幅：約cm　横幅：約cm　マチ幅：約cm　持ち手：約cm  ショルダーベルト：約cm</v>
      </c>
      <c r="AE59" t="str">
        <f t="shared" si="5"/>
        <v>縦幅：約cm　横幅：約cm　マチ幅：約cm　持ち手：約cm  ショルダーベルト：約cm</v>
      </c>
      <c r="AF59" s="77" t="s">
        <v>166</v>
      </c>
      <c r="AH59" s="6"/>
    </row>
    <row r="60" spans="3:34" ht="14.25">
      <c r="C60" t="str">
        <f t="shared" si="6"/>
        <v>◇ E</v>
      </c>
      <c r="D60" s="7">
        <f t="shared" si="2"/>
        <v>2</v>
      </c>
      <c r="E60" t="s">
        <v>74</v>
      </c>
      <c r="H60" t="str">
        <f>IFERROR(INDEX(コンディションランク!$B$1:$B$6,MATCH($G60,コンディションランク!$A$1:$A$6,0)),"")</f>
        <v/>
      </c>
      <c r="I60" s="84" t="str">
        <f t="shared" si="3"/>
        <v>≪メイン≫：　≪内ポケット≫：　≪外ポケット≫：</v>
      </c>
      <c r="W60" t="s">
        <v>165</v>
      </c>
      <c r="X60" s="32" t="str">
        <f t="shared" si="7"/>
        <v>◇</v>
      </c>
      <c r="AD60" t="str">
        <f t="shared" si="4"/>
        <v>縦幅：約cm　横幅：約cm　マチ幅：約cm　持ち手：約cm  ショルダーベルト：約cm</v>
      </c>
      <c r="AE60" t="str">
        <f t="shared" si="5"/>
        <v>縦幅：約cm　横幅：約cm　マチ幅：約cm　持ち手：約cm  ショルダーベルト：約cm</v>
      </c>
      <c r="AF60" s="77" t="s">
        <v>166</v>
      </c>
      <c r="AH60" s="6"/>
    </row>
    <row r="61" spans="3:34" ht="14.25">
      <c r="C61" t="str">
        <f t="shared" si="6"/>
        <v>◇ E</v>
      </c>
      <c r="D61" s="7">
        <f t="shared" si="2"/>
        <v>2</v>
      </c>
      <c r="E61" t="s">
        <v>74</v>
      </c>
      <c r="H61" t="str">
        <f>IFERROR(INDEX(コンディションランク!$B$1:$B$6,MATCH($G61,コンディションランク!$A$1:$A$6,0)),"")</f>
        <v/>
      </c>
      <c r="I61" s="84" t="str">
        <f t="shared" si="3"/>
        <v>≪メイン≫：　≪内ポケット≫：　≪外ポケット≫：</v>
      </c>
      <c r="W61" t="s">
        <v>165</v>
      </c>
      <c r="X61" s="32" t="str">
        <f t="shared" si="7"/>
        <v>◇</v>
      </c>
      <c r="AD61" t="str">
        <f t="shared" si="4"/>
        <v>縦幅：約cm　横幅：約cm　マチ幅：約cm　持ち手：約cm  ショルダーベルト：約cm</v>
      </c>
      <c r="AE61" t="str">
        <f t="shared" si="5"/>
        <v>縦幅：約cm　横幅：約cm　マチ幅：約cm　持ち手：約cm  ショルダーベルト：約cm</v>
      </c>
      <c r="AF61" s="77" t="s">
        <v>166</v>
      </c>
      <c r="AH61" s="6"/>
    </row>
    <row r="62" spans="3:34" ht="14.25">
      <c r="C62" t="str">
        <f t="shared" si="6"/>
        <v>◇ E</v>
      </c>
      <c r="D62" s="7">
        <f t="shared" si="2"/>
        <v>2</v>
      </c>
      <c r="E62" t="s">
        <v>74</v>
      </c>
      <c r="H62" t="str">
        <f>IFERROR(INDEX(コンディションランク!$B$1:$B$6,MATCH($G62,コンディションランク!$A$1:$A$6,0)),"")</f>
        <v/>
      </c>
      <c r="I62" s="84" t="str">
        <f t="shared" si="3"/>
        <v>≪メイン≫：　≪内ポケット≫：　≪外ポケット≫：</v>
      </c>
      <c r="W62" t="s">
        <v>165</v>
      </c>
      <c r="X62" s="32" t="str">
        <f t="shared" si="7"/>
        <v>◇</v>
      </c>
      <c r="AD62" t="str">
        <f t="shared" si="4"/>
        <v>縦幅：約cm　横幅：約cm　マチ幅：約cm　持ち手：約cm  ショルダーベルト：約cm</v>
      </c>
      <c r="AE62" t="str">
        <f t="shared" si="5"/>
        <v>縦幅：約cm　横幅：約cm　マチ幅：約cm　持ち手：約cm  ショルダーベルト：約cm</v>
      </c>
      <c r="AF62" s="77" t="s">
        <v>166</v>
      </c>
      <c r="AH62" s="6"/>
    </row>
    <row r="63" spans="3:34" ht="14.25">
      <c r="C63" t="str">
        <f t="shared" si="6"/>
        <v>◇ E</v>
      </c>
      <c r="D63" s="7">
        <f t="shared" si="2"/>
        <v>2</v>
      </c>
      <c r="E63" t="s">
        <v>74</v>
      </c>
      <c r="H63" t="str">
        <f>IFERROR(INDEX(コンディションランク!$B$1:$B$6,MATCH($G63,コンディションランク!$A$1:$A$6,0)),"")</f>
        <v/>
      </c>
      <c r="I63" s="84" t="str">
        <f t="shared" si="3"/>
        <v>≪メイン≫：　≪内ポケット≫：　≪外ポケット≫：</v>
      </c>
      <c r="W63" t="s">
        <v>165</v>
      </c>
      <c r="X63" s="32" t="str">
        <f t="shared" si="7"/>
        <v>◇</v>
      </c>
      <c r="AD63" t="str">
        <f t="shared" si="4"/>
        <v>縦幅：約cm　横幅：約cm　マチ幅：約cm　持ち手：約cm  ショルダーベルト：約cm</v>
      </c>
      <c r="AE63" t="str">
        <f t="shared" si="5"/>
        <v>縦幅：約cm　横幅：約cm　マチ幅：約cm　持ち手：約cm  ショルダーベルト：約cm</v>
      </c>
      <c r="AF63" s="77" t="s">
        <v>166</v>
      </c>
      <c r="AH63" s="6"/>
    </row>
    <row r="64" spans="3:34" ht="14.25">
      <c r="C64" t="str">
        <f t="shared" si="6"/>
        <v>◇ E</v>
      </c>
      <c r="D64" s="7">
        <f t="shared" si="2"/>
        <v>2</v>
      </c>
      <c r="E64" t="s">
        <v>74</v>
      </c>
      <c r="H64" t="str">
        <f>IFERROR(INDEX(コンディションランク!$B$1:$B$6,MATCH($G64,コンディションランク!$A$1:$A$6,0)),"")</f>
        <v/>
      </c>
      <c r="I64" s="84" t="str">
        <f t="shared" si="3"/>
        <v>≪メイン≫：　≪内ポケット≫：　≪外ポケット≫：</v>
      </c>
      <c r="W64" t="s">
        <v>165</v>
      </c>
      <c r="X64" s="32" t="str">
        <f t="shared" si="7"/>
        <v>◇</v>
      </c>
      <c r="AD64" t="str">
        <f t="shared" si="4"/>
        <v>縦幅：約cm　横幅：約cm　マチ幅：約cm　持ち手：約cm  ショルダーベルト：約cm</v>
      </c>
      <c r="AE64" t="str">
        <f t="shared" si="5"/>
        <v>縦幅：約cm　横幅：約cm　マチ幅：約cm　持ち手：約cm  ショルダーベルト：約cm</v>
      </c>
      <c r="AF64" s="77" t="s">
        <v>166</v>
      </c>
      <c r="AH64" s="6"/>
    </row>
    <row r="65" spans="3:34" ht="14.25">
      <c r="C65" t="str">
        <f t="shared" si="6"/>
        <v>◇ E</v>
      </c>
      <c r="D65" s="7">
        <f t="shared" si="2"/>
        <v>2</v>
      </c>
      <c r="E65" t="s">
        <v>74</v>
      </c>
      <c r="H65" t="str">
        <f>IFERROR(INDEX(コンディションランク!$B$1:$B$6,MATCH($G65,コンディションランク!$A$1:$A$6,0)),"")</f>
        <v/>
      </c>
      <c r="I65" s="84" t="str">
        <f t="shared" si="3"/>
        <v>≪メイン≫：　≪内ポケット≫：　≪外ポケット≫：</v>
      </c>
      <c r="W65" t="s">
        <v>165</v>
      </c>
      <c r="X65" s="32" t="str">
        <f t="shared" si="7"/>
        <v>◇</v>
      </c>
      <c r="AD65" t="str">
        <f t="shared" si="4"/>
        <v>縦幅：約cm　横幅：約cm　マチ幅：約cm　持ち手：約cm  ショルダーベルト：約cm</v>
      </c>
      <c r="AE65" t="str">
        <f t="shared" si="5"/>
        <v>縦幅：約cm　横幅：約cm　マチ幅：約cm　持ち手：約cm  ショルダーベルト：約cm</v>
      </c>
      <c r="AF65" s="77" t="s">
        <v>166</v>
      </c>
      <c r="AH65" s="6"/>
    </row>
    <row r="66" spans="3:34" ht="14.25">
      <c r="C66" t="str">
        <f t="shared" ref="C66:C84" si="8">TRIM(X66&amp;" "&amp;Y66&amp;" "&amp;Z66&amp;" "&amp;AA66&amp;" "&amp;AB66&amp;" "&amp;N66&amp;" "&amp;AC66&amp;EX&amp;" "&amp;B66)</f>
        <v>◇ E</v>
      </c>
      <c r="D66" s="7">
        <f t="shared" si="2"/>
        <v>2</v>
      </c>
      <c r="E66" t="s">
        <v>74</v>
      </c>
      <c r="H66" t="str">
        <f>IFERROR(INDEX(コンディションランク!$B$1:$B$6,MATCH($G66,コンディションランク!$A$1:$A$6,0)),"")</f>
        <v/>
      </c>
      <c r="I66" s="84" t="str">
        <f>"≪メイン≫：" &amp;J66&amp; "　≪内ポケット≫：" &amp;K66&amp; "　≪外ポケット≫：" &amp;L66&amp; ""</f>
        <v>≪メイン≫：　≪内ポケット≫：　≪外ポケット≫：</v>
      </c>
      <c r="W66" t="s">
        <v>165</v>
      </c>
      <c r="X66" s="32" t="str">
        <f t="shared" ref="X66:X84" si="9">IFERROR(VLOOKUP(W66,梱包サイズ表,2,0),"")</f>
        <v>◇</v>
      </c>
      <c r="AD66" t="str">
        <f t="shared" si="4"/>
        <v>縦幅：約cm　横幅：約cm　マチ幅：約cm　持ち手：約cm  ショルダーベルト：約cm</v>
      </c>
      <c r="AE66" t="str">
        <f t="shared" si="5"/>
        <v>縦幅：約cm　横幅：約cm　マチ幅：約cm　持ち手：約cm  ショルダーベルト：約cm</v>
      </c>
      <c r="AF66" s="77" t="s">
        <v>166</v>
      </c>
      <c r="AH66" s="6"/>
    </row>
    <row r="67" spans="3:34" ht="14.25">
      <c r="C67" t="str">
        <f t="shared" si="8"/>
        <v>◇ E</v>
      </c>
      <c r="D67" s="7">
        <f t="shared" ref="D67:D84" si="10">(LENB(C67)-LEN(C67))+(LENB(C67)-(LENB(C67)-LEN(C67))*2)/2</f>
        <v>2</v>
      </c>
      <c r="E67" t="s">
        <v>74</v>
      </c>
      <c r="H67" t="str">
        <f>IFERROR(INDEX(コンディションランク!$B$1:$B$6,MATCH($G67,コンディションランク!$A$1:$A$6,0)),"")</f>
        <v/>
      </c>
      <c r="I67" s="84" t="str">
        <f t="shared" si="3"/>
        <v>≪メイン≫：　≪内ポケット≫：　≪外ポケット≫：</v>
      </c>
      <c r="W67" t="s">
        <v>165</v>
      </c>
      <c r="X67" s="32" t="str">
        <f t="shared" si="9"/>
        <v>◇</v>
      </c>
      <c r="AD67" t="str">
        <f t="shared" ref="AD67:AD84" si="11">"縦幅：約"&amp;P67&amp;"cm　横幅：約"&amp;Q67&amp;"cm　マチ幅：約"&amp;R67&amp;"cm　持ち手：約"&amp;S67&amp;"cm"&amp;IF(T67="","",T67)&amp;"  ショルダーベルト：約"&amp;U67&amp;"cm"&amp;IF(V67="","",V67)</f>
        <v>縦幅：約cm　横幅：約cm　マチ幅：約cm　持ち手：約cm  ショルダーベルト：約cm</v>
      </c>
      <c r="AE67" t="str">
        <f t="shared" ref="AE67:AE84" si="12">SUBSTITUTE( AD67, "約-", "-" )</f>
        <v>縦幅：約cm　横幅：約cm　マチ幅：約cm　持ち手：約cm  ショルダーベルト：約cm</v>
      </c>
      <c r="AF67" s="77" t="s">
        <v>166</v>
      </c>
      <c r="AH67" s="6"/>
    </row>
    <row r="68" spans="3:34" ht="14.25">
      <c r="C68" t="str">
        <f t="shared" si="8"/>
        <v>◇ E</v>
      </c>
      <c r="D68" s="7">
        <f t="shared" si="10"/>
        <v>2</v>
      </c>
      <c r="E68" t="s">
        <v>74</v>
      </c>
      <c r="H68" t="str">
        <f>IFERROR(INDEX(コンディションランク!$B$1:$B$6,MATCH($G68,コンディションランク!$A$1:$A$6,0)),"")</f>
        <v/>
      </c>
      <c r="I68" s="84" t="str">
        <f t="shared" ref="I68:I84" si="13">"≪メイン≫：" &amp;J68&amp; "　≪内ポケット≫：" &amp;K68&amp; "　≪外ポケット≫：" &amp;L68&amp; ""</f>
        <v>≪メイン≫：　≪内ポケット≫：　≪外ポケット≫：</v>
      </c>
      <c r="W68" t="s">
        <v>165</v>
      </c>
      <c r="X68" s="32" t="str">
        <f t="shared" si="9"/>
        <v>◇</v>
      </c>
      <c r="AD68" t="str">
        <f t="shared" si="11"/>
        <v>縦幅：約cm　横幅：約cm　マチ幅：約cm　持ち手：約cm  ショルダーベルト：約cm</v>
      </c>
      <c r="AE68" t="str">
        <f t="shared" si="12"/>
        <v>縦幅：約cm　横幅：約cm　マチ幅：約cm　持ち手：約cm  ショルダーベルト：約cm</v>
      </c>
      <c r="AF68" s="77" t="s">
        <v>166</v>
      </c>
      <c r="AH68" s="6"/>
    </row>
    <row r="69" spans="3:34" ht="14.25">
      <c r="C69" t="str">
        <f t="shared" si="8"/>
        <v>◇ E</v>
      </c>
      <c r="D69" s="7">
        <f t="shared" si="10"/>
        <v>2</v>
      </c>
      <c r="E69" t="s">
        <v>74</v>
      </c>
      <c r="H69" t="str">
        <f>IFERROR(INDEX(コンディションランク!$B$1:$B$6,MATCH($G69,コンディションランク!$A$1:$A$6,0)),"")</f>
        <v/>
      </c>
      <c r="I69" s="84" t="str">
        <f t="shared" si="13"/>
        <v>≪メイン≫：　≪内ポケット≫：　≪外ポケット≫：</v>
      </c>
      <c r="W69" t="s">
        <v>165</v>
      </c>
      <c r="X69" s="32" t="str">
        <f t="shared" si="9"/>
        <v>◇</v>
      </c>
      <c r="AD69" t="str">
        <f t="shared" si="11"/>
        <v>縦幅：約cm　横幅：約cm　マチ幅：約cm　持ち手：約cm  ショルダーベルト：約cm</v>
      </c>
      <c r="AE69" t="str">
        <f t="shared" si="12"/>
        <v>縦幅：約cm　横幅：約cm　マチ幅：約cm　持ち手：約cm  ショルダーベルト：約cm</v>
      </c>
      <c r="AF69" s="77" t="s">
        <v>166</v>
      </c>
      <c r="AH69" s="6"/>
    </row>
    <row r="70" spans="3:34" ht="14.25">
      <c r="C70" t="str">
        <f t="shared" si="8"/>
        <v>◇ E</v>
      </c>
      <c r="D70" s="7">
        <f t="shared" si="10"/>
        <v>2</v>
      </c>
      <c r="E70" t="s">
        <v>74</v>
      </c>
      <c r="H70" t="str">
        <f>IFERROR(INDEX(コンディションランク!$B$1:$B$6,MATCH($G70,コンディションランク!$A$1:$A$6,0)),"")</f>
        <v/>
      </c>
      <c r="I70" s="84" t="str">
        <f t="shared" si="13"/>
        <v>≪メイン≫：　≪内ポケット≫：　≪外ポケット≫：</v>
      </c>
      <c r="W70" t="s">
        <v>165</v>
      </c>
      <c r="X70" s="32" t="str">
        <f t="shared" si="9"/>
        <v>◇</v>
      </c>
      <c r="AD70" t="str">
        <f t="shared" si="11"/>
        <v>縦幅：約cm　横幅：約cm　マチ幅：約cm　持ち手：約cm  ショルダーベルト：約cm</v>
      </c>
      <c r="AE70" t="str">
        <f t="shared" si="12"/>
        <v>縦幅：約cm　横幅：約cm　マチ幅：約cm　持ち手：約cm  ショルダーベルト：約cm</v>
      </c>
      <c r="AF70" s="77" t="s">
        <v>166</v>
      </c>
      <c r="AH70" s="6"/>
    </row>
    <row r="71" spans="3:34" ht="14.25">
      <c r="C71" t="str">
        <f t="shared" si="8"/>
        <v>◇ E</v>
      </c>
      <c r="D71" s="7">
        <f t="shared" si="10"/>
        <v>2</v>
      </c>
      <c r="E71" t="s">
        <v>74</v>
      </c>
      <c r="H71" t="str">
        <f>IFERROR(INDEX(コンディションランク!$B$1:$B$6,MATCH($G71,コンディションランク!$A$1:$A$6,0)),"")</f>
        <v/>
      </c>
      <c r="I71" s="84" t="str">
        <f t="shared" si="13"/>
        <v>≪メイン≫：　≪内ポケット≫：　≪外ポケット≫：</v>
      </c>
      <c r="W71" t="s">
        <v>165</v>
      </c>
      <c r="X71" s="32" t="str">
        <f t="shared" si="9"/>
        <v>◇</v>
      </c>
      <c r="AD71" t="str">
        <f t="shared" si="11"/>
        <v>縦幅：約cm　横幅：約cm　マチ幅：約cm　持ち手：約cm  ショルダーベルト：約cm</v>
      </c>
      <c r="AE71" t="str">
        <f t="shared" si="12"/>
        <v>縦幅：約cm　横幅：約cm　マチ幅：約cm　持ち手：約cm  ショルダーベルト：約cm</v>
      </c>
      <c r="AF71" s="77" t="s">
        <v>166</v>
      </c>
      <c r="AH71" s="6"/>
    </row>
    <row r="72" spans="3:34" ht="14.25">
      <c r="C72" t="str">
        <f t="shared" si="8"/>
        <v>◇ E</v>
      </c>
      <c r="D72" s="7">
        <f t="shared" si="10"/>
        <v>2</v>
      </c>
      <c r="E72" t="s">
        <v>74</v>
      </c>
      <c r="H72" t="str">
        <f>IFERROR(INDEX(コンディションランク!$B$1:$B$6,MATCH($G72,コンディションランク!$A$1:$A$6,0)),"")</f>
        <v/>
      </c>
      <c r="I72" s="84" t="str">
        <f t="shared" si="13"/>
        <v>≪メイン≫：　≪内ポケット≫：　≪外ポケット≫：</v>
      </c>
      <c r="W72" t="s">
        <v>165</v>
      </c>
      <c r="X72" s="32" t="str">
        <f t="shared" si="9"/>
        <v>◇</v>
      </c>
      <c r="AD72" t="str">
        <f t="shared" si="11"/>
        <v>縦幅：約cm　横幅：約cm　マチ幅：約cm　持ち手：約cm  ショルダーベルト：約cm</v>
      </c>
      <c r="AE72" t="str">
        <f t="shared" si="12"/>
        <v>縦幅：約cm　横幅：約cm　マチ幅：約cm　持ち手：約cm  ショルダーベルト：約cm</v>
      </c>
      <c r="AF72" s="77" t="s">
        <v>166</v>
      </c>
      <c r="AH72" s="6"/>
    </row>
    <row r="73" spans="3:34" ht="14.25">
      <c r="C73" t="str">
        <f t="shared" si="8"/>
        <v>◇ E</v>
      </c>
      <c r="D73" s="7">
        <f t="shared" si="10"/>
        <v>2</v>
      </c>
      <c r="E73" t="s">
        <v>74</v>
      </c>
      <c r="H73" t="str">
        <f>IFERROR(INDEX(コンディションランク!$B$1:$B$6,MATCH($G73,コンディションランク!$A$1:$A$6,0)),"")</f>
        <v/>
      </c>
      <c r="I73" s="84" t="str">
        <f t="shared" si="13"/>
        <v>≪メイン≫：　≪内ポケット≫：　≪外ポケット≫：</v>
      </c>
      <c r="W73" t="s">
        <v>165</v>
      </c>
      <c r="X73" s="32" t="str">
        <f t="shared" si="9"/>
        <v>◇</v>
      </c>
      <c r="AD73" t="str">
        <f t="shared" si="11"/>
        <v>縦幅：約cm　横幅：約cm　マチ幅：約cm　持ち手：約cm  ショルダーベルト：約cm</v>
      </c>
      <c r="AE73" t="str">
        <f t="shared" si="12"/>
        <v>縦幅：約cm　横幅：約cm　マチ幅：約cm　持ち手：約cm  ショルダーベルト：約cm</v>
      </c>
      <c r="AF73" s="77" t="s">
        <v>166</v>
      </c>
      <c r="AH73" s="6"/>
    </row>
    <row r="74" spans="3:34" ht="14.25">
      <c r="C74" t="str">
        <f t="shared" si="8"/>
        <v>◇ E</v>
      </c>
      <c r="D74" s="7">
        <f t="shared" si="10"/>
        <v>2</v>
      </c>
      <c r="E74" t="s">
        <v>74</v>
      </c>
      <c r="H74" t="str">
        <f>IFERROR(INDEX(コンディションランク!$B$1:$B$6,MATCH($G74,コンディションランク!$A$1:$A$6,0)),"")</f>
        <v/>
      </c>
      <c r="I74" s="84" t="str">
        <f t="shared" si="13"/>
        <v>≪メイン≫：　≪内ポケット≫：　≪外ポケット≫：</v>
      </c>
      <c r="W74" t="s">
        <v>165</v>
      </c>
      <c r="X74" s="32" t="str">
        <f t="shared" si="9"/>
        <v>◇</v>
      </c>
      <c r="AD74" t="str">
        <f t="shared" si="11"/>
        <v>縦幅：約cm　横幅：約cm　マチ幅：約cm　持ち手：約cm  ショルダーベルト：約cm</v>
      </c>
      <c r="AE74" t="str">
        <f t="shared" si="12"/>
        <v>縦幅：約cm　横幅：約cm　マチ幅：約cm　持ち手：約cm  ショルダーベルト：約cm</v>
      </c>
      <c r="AF74" s="77" t="s">
        <v>166</v>
      </c>
      <c r="AH74" s="6"/>
    </row>
    <row r="75" spans="3:34" ht="14.25">
      <c r="C75" t="str">
        <f t="shared" si="8"/>
        <v>◇ E</v>
      </c>
      <c r="D75" s="7">
        <f t="shared" si="10"/>
        <v>2</v>
      </c>
      <c r="E75" t="s">
        <v>74</v>
      </c>
      <c r="H75" t="str">
        <f>IFERROR(INDEX(コンディションランク!$B$1:$B$6,MATCH($G75,コンディションランク!$A$1:$A$6,0)),"")</f>
        <v/>
      </c>
      <c r="I75" s="84" t="str">
        <f t="shared" si="13"/>
        <v>≪メイン≫：　≪内ポケット≫：　≪外ポケット≫：</v>
      </c>
      <c r="W75" t="s">
        <v>165</v>
      </c>
      <c r="X75" s="32" t="str">
        <f t="shared" si="9"/>
        <v>◇</v>
      </c>
      <c r="AD75" t="str">
        <f t="shared" si="11"/>
        <v>縦幅：約cm　横幅：約cm　マチ幅：約cm　持ち手：約cm  ショルダーベルト：約cm</v>
      </c>
      <c r="AE75" t="str">
        <f t="shared" si="12"/>
        <v>縦幅：約cm　横幅：約cm　マチ幅：約cm　持ち手：約cm  ショルダーベルト：約cm</v>
      </c>
      <c r="AF75" s="77" t="s">
        <v>166</v>
      </c>
      <c r="AH75" s="6"/>
    </row>
    <row r="76" spans="3:34" ht="14.25">
      <c r="C76" t="str">
        <f t="shared" si="8"/>
        <v>◇ E</v>
      </c>
      <c r="D76" s="7">
        <f t="shared" si="10"/>
        <v>2</v>
      </c>
      <c r="E76" t="s">
        <v>74</v>
      </c>
      <c r="H76" t="str">
        <f>IFERROR(INDEX(コンディションランク!$B$1:$B$6,MATCH($G76,コンディションランク!$A$1:$A$6,0)),"")</f>
        <v/>
      </c>
      <c r="I76" s="84" t="str">
        <f t="shared" si="13"/>
        <v>≪メイン≫：　≪内ポケット≫：　≪外ポケット≫：</v>
      </c>
      <c r="W76" t="s">
        <v>165</v>
      </c>
      <c r="X76" s="32" t="str">
        <f t="shared" si="9"/>
        <v>◇</v>
      </c>
      <c r="AD76" t="str">
        <f t="shared" si="11"/>
        <v>縦幅：約cm　横幅：約cm　マチ幅：約cm　持ち手：約cm  ショルダーベルト：約cm</v>
      </c>
      <c r="AE76" t="str">
        <f t="shared" si="12"/>
        <v>縦幅：約cm　横幅：約cm　マチ幅：約cm　持ち手：約cm  ショルダーベルト：約cm</v>
      </c>
      <c r="AF76" s="77" t="s">
        <v>166</v>
      </c>
      <c r="AH76" s="6"/>
    </row>
    <row r="77" spans="3:34" ht="14.25">
      <c r="C77" t="str">
        <f t="shared" si="8"/>
        <v>◇ E</v>
      </c>
      <c r="D77" s="7">
        <f t="shared" si="10"/>
        <v>2</v>
      </c>
      <c r="E77" t="s">
        <v>74</v>
      </c>
      <c r="H77" t="str">
        <f>IFERROR(INDEX(コンディションランク!$B$1:$B$6,MATCH($G77,コンディションランク!$A$1:$A$6,0)),"")</f>
        <v/>
      </c>
      <c r="I77" s="84" t="str">
        <f t="shared" si="13"/>
        <v>≪メイン≫：　≪内ポケット≫：　≪外ポケット≫：</v>
      </c>
      <c r="W77" t="s">
        <v>165</v>
      </c>
      <c r="X77" s="32" t="str">
        <f t="shared" si="9"/>
        <v>◇</v>
      </c>
      <c r="AD77" t="str">
        <f t="shared" si="11"/>
        <v>縦幅：約cm　横幅：約cm　マチ幅：約cm　持ち手：約cm  ショルダーベルト：約cm</v>
      </c>
      <c r="AE77" t="str">
        <f t="shared" si="12"/>
        <v>縦幅：約cm　横幅：約cm　マチ幅：約cm　持ち手：約cm  ショルダーベルト：約cm</v>
      </c>
      <c r="AF77" s="77" t="s">
        <v>166</v>
      </c>
      <c r="AH77" s="6"/>
    </row>
    <row r="78" spans="3:34" ht="14.25">
      <c r="C78" t="str">
        <f t="shared" si="8"/>
        <v>◇ E</v>
      </c>
      <c r="D78" s="7">
        <f t="shared" si="10"/>
        <v>2</v>
      </c>
      <c r="E78" t="s">
        <v>74</v>
      </c>
      <c r="H78" t="str">
        <f>IFERROR(INDEX(コンディションランク!$B$1:$B$6,MATCH($G78,コンディションランク!$A$1:$A$6,0)),"")</f>
        <v/>
      </c>
      <c r="I78" s="84" t="str">
        <f t="shared" si="13"/>
        <v>≪メイン≫：　≪内ポケット≫：　≪外ポケット≫：</v>
      </c>
      <c r="W78" t="s">
        <v>165</v>
      </c>
      <c r="X78" s="32" t="str">
        <f t="shared" si="9"/>
        <v>◇</v>
      </c>
      <c r="AD78" t="str">
        <f t="shared" si="11"/>
        <v>縦幅：約cm　横幅：約cm　マチ幅：約cm　持ち手：約cm  ショルダーベルト：約cm</v>
      </c>
      <c r="AE78" t="str">
        <f t="shared" si="12"/>
        <v>縦幅：約cm　横幅：約cm　マチ幅：約cm　持ち手：約cm  ショルダーベルト：約cm</v>
      </c>
      <c r="AF78" s="77" t="s">
        <v>166</v>
      </c>
      <c r="AH78" s="6"/>
    </row>
    <row r="79" spans="3:34" ht="14.25">
      <c r="C79" t="str">
        <f t="shared" si="8"/>
        <v>◇ E</v>
      </c>
      <c r="D79" s="7">
        <f t="shared" si="10"/>
        <v>2</v>
      </c>
      <c r="E79" t="s">
        <v>74</v>
      </c>
      <c r="H79" t="str">
        <f>IFERROR(INDEX(コンディションランク!$B$1:$B$6,MATCH($G79,コンディションランク!$A$1:$A$6,0)),"")</f>
        <v/>
      </c>
      <c r="I79" s="84" t="str">
        <f t="shared" si="13"/>
        <v>≪メイン≫：　≪内ポケット≫：　≪外ポケット≫：</v>
      </c>
      <c r="W79" t="s">
        <v>165</v>
      </c>
      <c r="X79" s="32" t="str">
        <f t="shared" si="9"/>
        <v>◇</v>
      </c>
      <c r="AD79" t="str">
        <f t="shared" si="11"/>
        <v>縦幅：約cm　横幅：約cm　マチ幅：約cm　持ち手：約cm  ショルダーベルト：約cm</v>
      </c>
      <c r="AE79" t="str">
        <f t="shared" si="12"/>
        <v>縦幅：約cm　横幅：約cm　マチ幅：約cm　持ち手：約cm  ショルダーベルト：約cm</v>
      </c>
      <c r="AF79" s="77" t="s">
        <v>166</v>
      </c>
      <c r="AH79" s="6"/>
    </row>
    <row r="80" spans="3:34" ht="14.25">
      <c r="C80" t="str">
        <f t="shared" si="8"/>
        <v>◇ E</v>
      </c>
      <c r="D80" s="7">
        <f t="shared" si="10"/>
        <v>2</v>
      </c>
      <c r="E80" t="s">
        <v>74</v>
      </c>
      <c r="H80" t="str">
        <f>IFERROR(INDEX(コンディションランク!$B$1:$B$6,MATCH($G80,コンディションランク!$A$1:$A$6,0)),"")</f>
        <v/>
      </c>
      <c r="I80" s="84" t="str">
        <f t="shared" si="13"/>
        <v>≪メイン≫：　≪内ポケット≫：　≪外ポケット≫：</v>
      </c>
      <c r="W80" t="s">
        <v>165</v>
      </c>
      <c r="X80" s="32" t="str">
        <f t="shared" si="9"/>
        <v>◇</v>
      </c>
      <c r="AD80" t="str">
        <f t="shared" si="11"/>
        <v>縦幅：約cm　横幅：約cm　マチ幅：約cm　持ち手：約cm  ショルダーベルト：約cm</v>
      </c>
      <c r="AE80" t="str">
        <f t="shared" si="12"/>
        <v>縦幅：約cm　横幅：約cm　マチ幅：約cm　持ち手：約cm  ショルダーベルト：約cm</v>
      </c>
      <c r="AF80" s="77" t="s">
        <v>166</v>
      </c>
      <c r="AH80" s="6"/>
    </row>
    <row r="81" spans="1:34" ht="14.25">
      <c r="C81" t="str">
        <f t="shared" si="8"/>
        <v>◇ E</v>
      </c>
      <c r="D81" s="7">
        <f t="shared" si="10"/>
        <v>2</v>
      </c>
      <c r="E81" t="s">
        <v>74</v>
      </c>
      <c r="H81" t="str">
        <f>IFERROR(INDEX(コンディションランク!$B$1:$B$6,MATCH($G81,コンディションランク!$A$1:$A$6,0)),"")</f>
        <v/>
      </c>
      <c r="I81" s="84" t="str">
        <f t="shared" si="13"/>
        <v>≪メイン≫：　≪内ポケット≫：　≪外ポケット≫：</v>
      </c>
      <c r="W81" t="s">
        <v>165</v>
      </c>
      <c r="X81" s="32" t="str">
        <f t="shared" si="9"/>
        <v>◇</v>
      </c>
      <c r="AD81" t="str">
        <f t="shared" si="11"/>
        <v>縦幅：約cm　横幅：約cm　マチ幅：約cm　持ち手：約cm  ショルダーベルト：約cm</v>
      </c>
      <c r="AE81" t="str">
        <f t="shared" si="12"/>
        <v>縦幅：約cm　横幅：約cm　マチ幅：約cm　持ち手：約cm  ショルダーベルト：約cm</v>
      </c>
      <c r="AF81" s="77" t="s">
        <v>166</v>
      </c>
      <c r="AH81" s="6"/>
    </row>
    <row r="82" spans="1:34" ht="14.25">
      <c r="C82" t="str">
        <f t="shared" si="8"/>
        <v>◇ E</v>
      </c>
      <c r="D82" s="7">
        <f t="shared" si="10"/>
        <v>2</v>
      </c>
      <c r="E82" t="s">
        <v>74</v>
      </c>
      <c r="H82" t="str">
        <f>IFERROR(INDEX(コンディションランク!$B$1:$B$6,MATCH($G82,コンディションランク!$A$1:$A$6,0)),"")</f>
        <v/>
      </c>
      <c r="I82" s="84" t="str">
        <f t="shared" si="13"/>
        <v>≪メイン≫：　≪内ポケット≫：　≪外ポケット≫：</v>
      </c>
      <c r="W82" t="s">
        <v>165</v>
      </c>
      <c r="X82" s="32" t="str">
        <f t="shared" si="9"/>
        <v>◇</v>
      </c>
      <c r="AD82" t="str">
        <f t="shared" si="11"/>
        <v>縦幅：約cm　横幅：約cm　マチ幅：約cm　持ち手：約cm  ショルダーベルト：約cm</v>
      </c>
      <c r="AE82" t="str">
        <f t="shared" si="12"/>
        <v>縦幅：約cm　横幅：約cm　マチ幅：約cm　持ち手：約cm  ショルダーベルト：約cm</v>
      </c>
      <c r="AF82" s="77" t="s">
        <v>166</v>
      </c>
      <c r="AH82" s="6"/>
    </row>
    <row r="83" spans="1:34" ht="14.25">
      <c r="C83" t="str">
        <f t="shared" si="8"/>
        <v>◇ E</v>
      </c>
      <c r="D83" s="7">
        <f t="shared" si="10"/>
        <v>2</v>
      </c>
      <c r="E83" t="s">
        <v>74</v>
      </c>
      <c r="H83" t="str">
        <f>IFERROR(INDEX(コンディションランク!$B$1:$B$6,MATCH($G83,コンディションランク!$A$1:$A$6,0)),"")</f>
        <v/>
      </c>
      <c r="I83" s="84" t="str">
        <f t="shared" si="13"/>
        <v>≪メイン≫：　≪内ポケット≫：　≪外ポケット≫：</v>
      </c>
      <c r="W83" t="s">
        <v>165</v>
      </c>
      <c r="X83" s="32" t="str">
        <f t="shared" si="9"/>
        <v>◇</v>
      </c>
      <c r="AD83" t="str">
        <f t="shared" si="11"/>
        <v>縦幅：約cm　横幅：約cm　マチ幅：約cm　持ち手：約cm  ショルダーベルト：約cm</v>
      </c>
      <c r="AE83" t="str">
        <f t="shared" si="12"/>
        <v>縦幅：約cm　横幅：約cm　マチ幅：約cm　持ち手：約cm  ショルダーベルト：約cm</v>
      </c>
      <c r="AF83" s="77" t="s">
        <v>166</v>
      </c>
      <c r="AH83" s="6"/>
    </row>
    <row r="84" spans="1:34" ht="14.25" customHeight="1">
      <c r="C84" t="str">
        <f t="shared" si="8"/>
        <v>◇ E</v>
      </c>
      <c r="D84" s="7">
        <f t="shared" si="10"/>
        <v>2</v>
      </c>
      <c r="E84" t="s">
        <v>74</v>
      </c>
      <c r="H84" t="str">
        <f>IFERROR(INDEX(コンディションランク!$B$1:$B$6,MATCH($G84,コンディションランク!$A$1:$A$6,0)),"")</f>
        <v/>
      </c>
      <c r="I84" s="84" t="str">
        <f t="shared" si="13"/>
        <v>≪メイン≫：　≪内ポケット≫：　≪外ポケット≫：</v>
      </c>
      <c r="W84" t="s">
        <v>165</v>
      </c>
      <c r="X84" s="32" t="str">
        <f t="shared" si="9"/>
        <v>◇</v>
      </c>
      <c r="AD84" t="str">
        <f t="shared" si="11"/>
        <v>縦幅：約cm　横幅：約cm　マチ幅：約cm　持ち手：約cm  ショルダーベルト：約cm</v>
      </c>
      <c r="AE84" t="str">
        <f t="shared" si="12"/>
        <v>縦幅：約cm　横幅：約cm　マチ幅：約cm　持ち手：約cm  ショルダーベルト：約cm</v>
      </c>
      <c r="AF84" s="77" t="s">
        <v>166</v>
      </c>
      <c r="AH84" s="6"/>
    </row>
    <row r="85" spans="1:34" ht="14.25" customHeight="1">
      <c r="A85" s="79"/>
      <c r="B85" s="13"/>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row>
    <row r="86" spans="1:34" ht="14.25" customHeight="1"/>
    <row r="87" spans="1:34" ht="14.25" customHeight="1"/>
    <row r="149" spans="2:2">
      <c r="B149"/>
    </row>
    <row r="150" spans="2:2">
      <c r="B150"/>
    </row>
    <row r="151" spans="2:2">
      <c r="B151"/>
    </row>
    <row r="152" spans="2:2">
      <c r="B152"/>
    </row>
    <row r="153" spans="2:2">
      <c r="B153"/>
    </row>
    <row r="154" spans="2:2">
      <c r="B154"/>
    </row>
    <row r="1048576" spans="29:34">
      <c r="AC1048576" t="s">
        <v>160</v>
      </c>
      <c r="AG1048576" t="s">
        <v>159</v>
      </c>
      <c r="AH1048576" s="82">
        <v>42975</v>
      </c>
    </row>
  </sheetData>
  <phoneticPr fontId="4"/>
  <conditionalFormatting sqref="B2:B84">
    <cfRule type="duplicateValues" dxfId="6" priority="1"/>
    <cfRule type="duplicateValues" dxfId="5" priority="3"/>
  </conditionalFormatting>
  <conditionalFormatting sqref="D2:D84">
    <cfRule type="cellIs" dxfId="4" priority="2" operator="greaterThanOrEqual">
      <formula>65</formula>
    </cfRule>
  </conditionalFormatting>
  <dataValidations count="2">
    <dataValidation imeMode="off" allowBlank="1" showInputMessage="1" showErrorMessage="1" sqref="B1:B1048576 P1:V1048576" xr:uid="{F2AD0DE6-6C9D-4EB2-A529-1D7BD1AF4B58}"/>
    <dataValidation type="list" allowBlank="1" showInputMessage="1" showErrorMessage="1" sqref="W2:W84" xr:uid="{609D1EC7-8049-43F1-A712-607174E1C331}">
      <formula1>梱包</formula1>
    </dataValidation>
  </dataValidations>
  <pageMargins left="0.7" right="0.7" top="0.75" bottom="0.75" header="0.3" footer="0.3"/>
  <pageSetup paperSize="258" orientation="portrait" horizontalDpi="203" verticalDpi="203" r:id="rId1"/>
  <extLst>
    <ext xmlns:x14="http://schemas.microsoft.com/office/spreadsheetml/2009/9/main" uri="{CCE6A557-97BC-4b89-ADB6-D9C93CAAB3DF}">
      <x14:dataValidations xmlns:xm="http://schemas.microsoft.com/office/excel/2006/main" count="1">
        <x14:dataValidation type="list" allowBlank="1" showInputMessage="1" showErrorMessage="1" xr:uid="{C9EB25A7-F970-48A5-9D25-2F8CCA73853F}">
          <x14:formula1>
            <xm:f>コンディションランク!$A$1:$A$6</xm:f>
          </x14:formula1>
          <xm:sqref>G2:G84</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dimension ref="A1:AD1048254"/>
  <sheetViews>
    <sheetView zoomScale="85" zoomScaleNormal="85" workbookViewId="0">
      <pane ySplit="1" topLeftCell="A2" activePane="bottomLeft" state="frozen"/>
      <selection pane="bottomLeft" activeCell="B2" sqref="B2"/>
    </sheetView>
  </sheetViews>
  <sheetFormatPr defaultRowHeight="13.5"/>
  <cols>
    <col min="1" max="1" width="14" style="9" customWidth="1"/>
    <col min="2" max="2" width="16.25" style="14" customWidth="1"/>
    <col min="3" max="3" width="80.625" customWidth="1"/>
    <col min="4" max="4" width="5.625" customWidth="1"/>
    <col min="5" max="5" width="3.5" customWidth="1"/>
    <col min="6" max="6" width="9" hidden="1" customWidth="1"/>
    <col min="7" max="7" width="3.625" customWidth="1"/>
    <col min="8" max="8" width="9" customWidth="1"/>
    <col min="9" max="9" width="9" hidden="1" customWidth="1"/>
    <col min="10" max="10" width="39.75" customWidth="1"/>
    <col min="11" max="11" width="27.375" customWidth="1"/>
    <col min="12" max="12" width="13.5" customWidth="1"/>
    <col min="13" max="16" width="6.875" customWidth="1"/>
    <col min="17" max="18" width="11.75" customWidth="1"/>
    <col min="19" max="19" width="9.75" customWidth="1"/>
    <col min="20" max="20" width="55.375" customWidth="1"/>
    <col min="21" max="21" width="25.375" customWidth="1"/>
    <col min="22" max="22" width="29.875" customWidth="1"/>
    <col min="24" max="24" width="31.5" customWidth="1"/>
    <col min="25" max="25" width="65.125" hidden="1" customWidth="1"/>
    <col min="26" max="26" width="12.25" customWidth="1"/>
    <col min="27" max="29" width="0" hidden="1" customWidth="1"/>
  </cols>
  <sheetData>
    <row r="1" spans="1:30" s="32" customFormat="1">
      <c r="A1" s="37" t="s">
        <v>2641</v>
      </c>
      <c r="B1" s="38" t="s">
        <v>0</v>
      </c>
      <c r="C1" s="8" t="s">
        <v>1</v>
      </c>
      <c r="D1" s="25" t="s">
        <v>145</v>
      </c>
      <c r="E1" s="18" t="s">
        <v>2</v>
      </c>
      <c r="F1" s="19" t="s">
        <v>3</v>
      </c>
      <c r="G1" s="17" t="s">
        <v>4</v>
      </c>
      <c r="H1" s="19" t="s">
        <v>5</v>
      </c>
      <c r="I1" s="19" t="s">
        <v>6</v>
      </c>
      <c r="J1" s="19" t="s">
        <v>7</v>
      </c>
      <c r="K1" s="19" t="s">
        <v>8</v>
      </c>
      <c r="L1" s="18" t="s">
        <v>9</v>
      </c>
      <c r="M1" s="21" t="s">
        <v>156</v>
      </c>
      <c r="N1" s="21" t="s">
        <v>155</v>
      </c>
      <c r="O1" s="21" t="s">
        <v>100</v>
      </c>
      <c r="P1" s="21" t="s">
        <v>101</v>
      </c>
      <c r="Q1" s="21" t="s">
        <v>164</v>
      </c>
      <c r="R1" s="21" t="s">
        <v>3054</v>
      </c>
      <c r="S1" s="17" t="s">
        <v>88</v>
      </c>
      <c r="T1" s="17" t="s">
        <v>84</v>
      </c>
      <c r="U1" s="17" t="s">
        <v>85</v>
      </c>
      <c r="V1" s="17" t="s">
        <v>87</v>
      </c>
      <c r="W1" s="17" t="s">
        <v>86</v>
      </c>
      <c r="X1" s="1" t="s">
        <v>3022</v>
      </c>
      <c r="Y1" s="1" t="s">
        <v>3023</v>
      </c>
      <c r="Z1" s="66" t="s">
        <v>98</v>
      </c>
      <c r="AA1" s="16" t="s">
        <v>107</v>
      </c>
      <c r="AB1" s="17" t="s">
        <v>151</v>
      </c>
      <c r="AC1" s="17" t="s">
        <v>108</v>
      </c>
      <c r="AD1" s="17" t="s">
        <v>109</v>
      </c>
    </row>
    <row r="2" spans="1:30" ht="14.25">
      <c r="C2" s="7" t="str">
        <f t="shared" ref="C2:C25" si="0">TRIM(R2&amp;" "&amp;S2&amp;" "&amp;T2&amp;" "&amp;U2&amp;" "&amp;V2&amp;" "&amp;K2&amp;" "&amp;W2&amp;EX&amp;" "&amp;B2)</f>
        <v>◇ E</v>
      </c>
      <c r="D2" s="7">
        <f>(LENB(C2)-LEN(C2))+(LENB(C2)-(LENB(C2)-LEN(C2))*2)/2</f>
        <v>2</v>
      </c>
      <c r="E2" t="s">
        <v>71</v>
      </c>
      <c r="H2" t="str">
        <f>IFERROR(INDEX(コンディションランク!$B$1:$B$6,MATCH($G2,コンディションランク!$A$1:$A$6,0)),"")</f>
        <v/>
      </c>
      <c r="L2" s="9" t="s">
        <v>3031</v>
      </c>
      <c r="Q2" t="s">
        <v>165</v>
      </c>
      <c r="R2" s="32" t="str">
        <f t="shared" ref="R2:R25" si="1">IFERROR(VLOOKUP(Q2,梱包サイズ表,2,0),"")</f>
        <v>◇</v>
      </c>
      <c r="X2" t="str">
        <f>"円周：約" &amp;M2&amp; "cm　幅：約" &amp;N2&amp; "cm　トップ縦幅：約" &amp;O2&amp; "cm　トップ横幅：約" &amp;P2&amp; "cm"</f>
        <v>円周：約cm　幅：約cm　トップ縦幅：約cm　トップ横幅：約cm</v>
      </c>
      <c r="Y2" t="str">
        <f>SUBSTITUTE( X2, "約-", "-" )</f>
        <v>円周：約cm　幅：約cm　トップ縦幅：約cm　トップ横幅：約cm</v>
      </c>
      <c r="Z2" s="77" t="s">
        <v>166</v>
      </c>
      <c r="AB2" s="6"/>
    </row>
    <row r="3" spans="1:30" ht="14.25">
      <c r="C3" s="7" t="str">
        <f t="shared" si="0"/>
        <v>◇ E</v>
      </c>
      <c r="D3" s="7">
        <f t="shared" ref="D3:D9" si="2">(LENB(C3)-LEN(C3))+(LENB(C3)-(LENB(C3)-LEN(C3))*2)/2</f>
        <v>2</v>
      </c>
      <c r="E3" t="s">
        <v>71</v>
      </c>
      <c r="H3" t="str">
        <f>IFERROR(INDEX(コンディションランク!$B$1:$B$6,MATCH($G3,コンディションランク!$A$1:$A$6,0)),"")</f>
        <v/>
      </c>
      <c r="L3" s="9" t="s">
        <v>3031</v>
      </c>
      <c r="Q3" t="s">
        <v>165</v>
      </c>
      <c r="R3" s="32" t="str">
        <f t="shared" si="1"/>
        <v>◇</v>
      </c>
      <c r="X3" t="str">
        <f t="shared" ref="X3:X25" si="3">"円周：約" &amp;M3&amp; "cm　幅：約" &amp;N3&amp; "cm　トップ縦幅：約" &amp;O3&amp; "cm　トップ横幅：約" &amp;P3&amp; "cm"</f>
        <v>円周：約cm　幅：約cm　トップ縦幅：約cm　トップ横幅：約cm</v>
      </c>
      <c r="Y3" t="str">
        <f t="shared" ref="Y3:Y25" si="4">SUBSTITUTE( X3, "約-", "-" )</f>
        <v>円周：約cm　幅：約cm　トップ縦幅：約cm　トップ横幅：約cm</v>
      </c>
      <c r="Z3" s="77" t="s">
        <v>166</v>
      </c>
      <c r="AB3" s="6"/>
    </row>
    <row r="4" spans="1:30" ht="14.25">
      <c r="C4" s="7" t="str">
        <f t="shared" si="0"/>
        <v>◇ E</v>
      </c>
      <c r="D4" s="7">
        <f t="shared" si="2"/>
        <v>2</v>
      </c>
      <c r="E4" t="s">
        <v>71</v>
      </c>
      <c r="H4" t="str">
        <f>IFERROR(INDEX(コンディションランク!$B$1:$B$6,MATCH($G4,コンディションランク!$A$1:$A$6,0)),"")</f>
        <v/>
      </c>
      <c r="L4" s="9" t="s">
        <v>3031</v>
      </c>
      <c r="Q4" t="s">
        <v>165</v>
      </c>
      <c r="R4" s="32" t="str">
        <f t="shared" si="1"/>
        <v>◇</v>
      </c>
      <c r="X4" t="str">
        <f t="shared" si="3"/>
        <v>円周：約cm　幅：約cm　トップ縦幅：約cm　トップ横幅：約cm</v>
      </c>
      <c r="Y4" t="str">
        <f t="shared" si="4"/>
        <v>円周：約cm　幅：約cm　トップ縦幅：約cm　トップ横幅：約cm</v>
      </c>
      <c r="Z4" s="77" t="s">
        <v>166</v>
      </c>
      <c r="AB4" s="6"/>
    </row>
    <row r="5" spans="1:30" ht="14.25">
      <c r="C5" s="7" t="str">
        <f t="shared" si="0"/>
        <v>◇ E</v>
      </c>
      <c r="D5" s="7">
        <f t="shared" si="2"/>
        <v>2</v>
      </c>
      <c r="E5" t="s">
        <v>71</v>
      </c>
      <c r="H5" t="str">
        <f>IFERROR(INDEX(コンディションランク!$B$1:$B$6,MATCH($G5,コンディションランク!$A$1:$A$6,0)),"")</f>
        <v/>
      </c>
      <c r="L5" s="9" t="s">
        <v>3031</v>
      </c>
      <c r="Q5" t="s">
        <v>165</v>
      </c>
      <c r="R5" s="32" t="str">
        <f t="shared" si="1"/>
        <v>◇</v>
      </c>
      <c r="X5" t="str">
        <f t="shared" si="3"/>
        <v>円周：約cm　幅：約cm　トップ縦幅：約cm　トップ横幅：約cm</v>
      </c>
      <c r="Y5" t="str">
        <f t="shared" si="4"/>
        <v>円周：約cm　幅：約cm　トップ縦幅：約cm　トップ横幅：約cm</v>
      </c>
      <c r="Z5" s="77" t="s">
        <v>166</v>
      </c>
      <c r="AB5" s="6"/>
    </row>
    <row r="6" spans="1:30" ht="14.25">
      <c r="C6" s="7" t="str">
        <f t="shared" si="0"/>
        <v>◇ E</v>
      </c>
      <c r="D6" s="7">
        <f t="shared" si="2"/>
        <v>2</v>
      </c>
      <c r="E6" t="s">
        <v>71</v>
      </c>
      <c r="H6" t="str">
        <f>IFERROR(INDEX(コンディションランク!$B$1:$B$6,MATCH($G6,コンディションランク!$A$1:$A$6,0)),"")</f>
        <v/>
      </c>
      <c r="L6" s="9" t="s">
        <v>3031</v>
      </c>
      <c r="Q6" t="s">
        <v>165</v>
      </c>
      <c r="R6" s="32" t="str">
        <f t="shared" si="1"/>
        <v>◇</v>
      </c>
      <c r="X6" t="str">
        <f t="shared" si="3"/>
        <v>円周：約cm　幅：約cm　トップ縦幅：約cm　トップ横幅：約cm</v>
      </c>
      <c r="Y6" t="str">
        <f t="shared" si="4"/>
        <v>円周：約cm　幅：約cm　トップ縦幅：約cm　トップ横幅：約cm</v>
      </c>
      <c r="Z6" s="77" t="s">
        <v>166</v>
      </c>
      <c r="AB6" s="6"/>
    </row>
    <row r="7" spans="1:30" ht="14.25">
      <c r="C7" s="7" t="str">
        <f t="shared" si="0"/>
        <v>◇ E</v>
      </c>
      <c r="D7" s="7">
        <f t="shared" si="2"/>
        <v>2</v>
      </c>
      <c r="E7" t="s">
        <v>71</v>
      </c>
      <c r="H7" t="str">
        <f>IFERROR(INDEX(コンディションランク!$B$1:$B$6,MATCH($G7,コンディションランク!$A$1:$A$6,0)),"")</f>
        <v/>
      </c>
      <c r="L7" s="9" t="s">
        <v>3031</v>
      </c>
      <c r="Q7" t="s">
        <v>165</v>
      </c>
      <c r="R7" s="32" t="str">
        <f t="shared" si="1"/>
        <v>◇</v>
      </c>
      <c r="X7" t="str">
        <f t="shared" si="3"/>
        <v>円周：約cm　幅：約cm　トップ縦幅：約cm　トップ横幅：約cm</v>
      </c>
      <c r="Y7" t="str">
        <f t="shared" si="4"/>
        <v>円周：約cm　幅：約cm　トップ縦幅：約cm　トップ横幅：約cm</v>
      </c>
      <c r="Z7" s="77" t="s">
        <v>166</v>
      </c>
      <c r="AB7" s="6"/>
    </row>
    <row r="8" spans="1:30" ht="14.25">
      <c r="C8" s="7" t="str">
        <f t="shared" si="0"/>
        <v>◇ E</v>
      </c>
      <c r="D8" s="7">
        <f t="shared" si="2"/>
        <v>2</v>
      </c>
      <c r="E8" t="s">
        <v>71</v>
      </c>
      <c r="H8" t="str">
        <f>IFERROR(INDEX(コンディションランク!$B$1:$B$6,MATCH($G8,コンディションランク!$A$1:$A$6,0)),"")</f>
        <v/>
      </c>
      <c r="L8" s="9" t="s">
        <v>3031</v>
      </c>
      <c r="Q8" t="s">
        <v>165</v>
      </c>
      <c r="R8" s="32" t="str">
        <f t="shared" si="1"/>
        <v>◇</v>
      </c>
      <c r="X8" t="str">
        <f t="shared" si="3"/>
        <v>円周：約cm　幅：約cm　トップ縦幅：約cm　トップ横幅：約cm</v>
      </c>
      <c r="Y8" t="str">
        <f t="shared" si="4"/>
        <v>円周：約cm　幅：約cm　トップ縦幅：約cm　トップ横幅：約cm</v>
      </c>
      <c r="Z8" s="77" t="s">
        <v>166</v>
      </c>
      <c r="AB8" s="6"/>
    </row>
    <row r="9" spans="1:30" ht="14.25">
      <c r="C9" s="7" t="str">
        <f t="shared" si="0"/>
        <v>◇ E</v>
      </c>
      <c r="D9" s="7">
        <f t="shared" si="2"/>
        <v>2</v>
      </c>
      <c r="E9" t="s">
        <v>71</v>
      </c>
      <c r="H9" t="str">
        <f>IFERROR(INDEX(コンディションランク!$B$1:$B$6,MATCH($G9,コンディションランク!$A$1:$A$6,0)),"")</f>
        <v/>
      </c>
      <c r="L9" s="9" t="s">
        <v>3031</v>
      </c>
      <c r="Q9" t="s">
        <v>165</v>
      </c>
      <c r="R9" s="32" t="str">
        <f t="shared" si="1"/>
        <v>◇</v>
      </c>
      <c r="X9" t="str">
        <f t="shared" si="3"/>
        <v>円周：約cm　幅：約cm　トップ縦幅：約cm　トップ横幅：約cm</v>
      </c>
      <c r="Y9" t="str">
        <f t="shared" si="4"/>
        <v>円周：約cm　幅：約cm　トップ縦幅：約cm　トップ横幅：約cm</v>
      </c>
      <c r="Z9" s="77" t="s">
        <v>166</v>
      </c>
      <c r="AB9" s="6"/>
    </row>
    <row r="10" spans="1:30" ht="14.25">
      <c r="C10" s="7" t="str">
        <f t="shared" si="0"/>
        <v>◇ E</v>
      </c>
      <c r="D10" s="7">
        <f t="shared" ref="D10:D25" si="5">(LENB(C10)-LEN(C10))+(LENB(C10)-(LENB(C10)-LEN(C10))*2)/2</f>
        <v>2</v>
      </c>
      <c r="E10" t="s">
        <v>71</v>
      </c>
      <c r="H10" t="str">
        <f>IFERROR(INDEX(コンディションランク!$B$1:$B$6,MATCH($G10,コンディションランク!$A$1:$A$6,0)),"")</f>
        <v/>
      </c>
      <c r="L10" s="9" t="s">
        <v>3031</v>
      </c>
      <c r="Q10" t="s">
        <v>165</v>
      </c>
      <c r="R10" s="32" t="str">
        <f t="shared" si="1"/>
        <v>◇</v>
      </c>
      <c r="X10" t="str">
        <f t="shared" si="3"/>
        <v>円周：約cm　幅：約cm　トップ縦幅：約cm　トップ横幅：約cm</v>
      </c>
      <c r="Y10" t="str">
        <f t="shared" si="4"/>
        <v>円周：約cm　幅：約cm　トップ縦幅：約cm　トップ横幅：約cm</v>
      </c>
      <c r="Z10" s="77" t="s">
        <v>166</v>
      </c>
      <c r="AB10" s="6"/>
    </row>
    <row r="11" spans="1:30" ht="14.25">
      <c r="C11" s="7" t="str">
        <f t="shared" si="0"/>
        <v>◇ E</v>
      </c>
      <c r="D11" s="7">
        <f t="shared" si="5"/>
        <v>2</v>
      </c>
      <c r="E11" t="s">
        <v>71</v>
      </c>
      <c r="H11" t="str">
        <f>IFERROR(INDEX(コンディションランク!$B$1:$B$6,MATCH($G11,コンディションランク!$A$1:$A$6,0)),"")</f>
        <v/>
      </c>
      <c r="L11" s="9" t="s">
        <v>3031</v>
      </c>
      <c r="Q11" t="s">
        <v>165</v>
      </c>
      <c r="R11" s="32" t="str">
        <f t="shared" si="1"/>
        <v>◇</v>
      </c>
      <c r="X11" t="str">
        <f t="shared" si="3"/>
        <v>円周：約cm　幅：約cm　トップ縦幅：約cm　トップ横幅：約cm</v>
      </c>
      <c r="Y11" t="str">
        <f t="shared" si="4"/>
        <v>円周：約cm　幅：約cm　トップ縦幅：約cm　トップ横幅：約cm</v>
      </c>
      <c r="Z11" s="77" t="s">
        <v>166</v>
      </c>
      <c r="AB11" s="6"/>
    </row>
    <row r="12" spans="1:30" ht="14.25">
      <c r="C12" s="7" t="str">
        <f t="shared" si="0"/>
        <v>◇ E</v>
      </c>
      <c r="D12" s="7">
        <f t="shared" si="5"/>
        <v>2</v>
      </c>
      <c r="E12" t="s">
        <v>71</v>
      </c>
      <c r="H12" t="str">
        <f>IFERROR(INDEX(コンディションランク!$B$1:$B$6,MATCH($G12,コンディションランク!$A$1:$A$6,0)),"")</f>
        <v/>
      </c>
      <c r="L12" s="9" t="s">
        <v>3031</v>
      </c>
      <c r="Q12" t="s">
        <v>165</v>
      </c>
      <c r="R12" s="32" t="str">
        <f t="shared" si="1"/>
        <v>◇</v>
      </c>
      <c r="X12" t="str">
        <f t="shared" si="3"/>
        <v>円周：約cm　幅：約cm　トップ縦幅：約cm　トップ横幅：約cm</v>
      </c>
      <c r="Y12" t="str">
        <f t="shared" si="4"/>
        <v>円周：約cm　幅：約cm　トップ縦幅：約cm　トップ横幅：約cm</v>
      </c>
      <c r="Z12" s="77" t="s">
        <v>166</v>
      </c>
      <c r="AB12" s="6"/>
    </row>
    <row r="13" spans="1:30" ht="14.25">
      <c r="C13" s="7" t="str">
        <f t="shared" si="0"/>
        <v>◇ E</v>
      </c>
      <c r="D13" s="7">
        <f t="shared" si="5"/>
        <v>2</v>
      </c>
      <c r="E13" t="s">
        <v>71</v>
      </c>
      <c r="H13" t="str">
        <f>IFERROR(INDEX(コンディションランク!$B$1:$B$6,MATCH($G13,コンディションランク!$A$1:$A$6,0)),"")</f>
        <v/>
      </c>
      <c r="L13" s="9" t="s">
        <v>3031</v>
      </c>
      <c r="Q13" t="s">
        <v>165</v>
      </c>
      <c r="R13" s="32" t="str">
        <f t="shared" si="1"/>
        <v>◇</v>
      </c>
      <c r="X13" t="str">
        <f t="shared" si="3"/>
        <v>円周：約cm　幅：約cm　トップ縦幅：約cm　トップ横幅：約cm</v>
      </c>
      <c r="Y13" t="str">
        <f t="shared" si="4"/>
        <v>円周：約cm　幅：約cm　トップ縦幅：約cm　トップ横幅：約cm</v>
      </c>
      <c r="Z13" s="77" t="s">
        <v>166</v>
      </c>
      <c r="AB13" s="6"/>
    </row>
    <row r="14" spans="1:30" ht="14.25">
      <c r="C14" s="7" t="str">
        <f t="shared" si="0"/>
        <v>◇ E</v>
      </c>
      <c r="D14" s="7">
        <f t="shared" si="5"/>
        <v>2</v>
      </c>
      <c r="E14" t="s">
        <v>71</v>
      </c>
      <c r="H14" t="str">
        <f>IFERROR(INDEX(コンディションランク!$B$1:$B$6,MATCH($G14,コンディションランク!$A$1:$A$6,0)),"")</f>
        <v/>
      </c>
      <c r="L14" s="9" t="s">
        <v>3031</v>
      </c>
      <c r="Q14" t="s">
        <v>165</v>
      </c>
      <c r="R14" s="32" t="str">
        <f t="shared" si="1"/>
        <v>◇</v>
      </c>
      <c r="X14" t="str">
        <f t="shared" si="3"/>
        <v>円周：約cm　幅：約cm　トップ縦幅：約cm　トップ横幅：約cm</v>
      </c>
      <c r="Y14" t="str">
        <f t="shared" si="4"/>
        <v>円周：約cm　幅：約cm　トップ縦幅：約cm　トップ横幅：約cm</v>
      </c>
      <c r="Z14" s="77" t="s">
        <v>166</v>
      </c>
      <c r="AB14" s="6"/>
    </row>
    <row r="15" spans="1:30" ht="14.25">
      <c r="C15" s="7" t="str">
        <f t="shared" si="0"/>
        <v>◇ E</v>
      </c>
      <c r="D15" s="7">
        <f t="shared" si="5"/>
        <v>2</v>
      </c>
      <c r="E15" t="s">
        <v>71</v>
      </c>
      <c r="H15" t="str">
        <f>IFERROR(INDEX(コンディションランク!$B$1:$B$6,MATCH($G15,コンディションランク!$A$1:$A$6,0)),"")</f>
        <v/>
      </c>
      <c r="L15" s="9" t="s">
        <v>3031</v>
      </c>
      <c r="Q15" t="s">
        <v>165</v>
      </c>
      <c r="R15" s="32" t="str">
        <f t="shared" si="1"/>
        <v>◇</v>
      </c>
      <c r="X15" t="str">
        <f t="shared" si="3"/>
        <v>円周：約cm　幅：約cm　トップ縦幅：約cm　トップ横幅：約cm</v>
      </c>
      <c r="Y15" t="str">
        <f t="shared" si="4"/>
        <v>円周：約cm　幅：約cm　トップ縦幅：約cm　トップ横幅：約cm</v>
      </c>
      <c r="Z15" s="77" t="s">
        <v>166</v>
      </c>
      <c r="AB15" s="6"/>
    </row>
    <row r="16" spans="1:30" ht="14.25">
      <c r="C16" s="7" t="str">
        <f t="shared" si="0"/>
        <v>◇ E</v>
      </c>
      <c r="D16" s="7">
        <f t="shared" si="5"/>
        <v>2</v>
      </c>
      <c r="E16" t="s">
        <v>71</v>
      </c>
      <c r="H16" t="str">
        <f>IFERROR(INDEX(コンディションランク!$B$1:$B$6,MATCH($G16,コンディションランク!$A$1:$A$6,0)),"")</f>
        <v/>
      </c>
      <c r="L16" s="9" t="s">
        <v>3031</v>
      </c>
      <c r="Q16" t="s">
        <v>165</v>
      </c>
      <c r="R16" s="32" t="str">
        <f t="shared" si="1"/>
        <v>◇</v>
      </c>
      <c r="X16" t="str">
        <f t="shared" si="3"/>
        <v>円周：約cm　幅：約cm　トップ縦幅：約cm　トップ横幅：約cm</v>
      </c>
      <c r="Y16" t="str">
        <f t="shared" si="4"/>
        <v>円周：約cm　幅：約cm　トップ縦幅：約cm　トップ横幅：約cm</v>
      </c>
      <c r="Z16" s="77" t="s">
        <v>166</v>
      </c>
      <c r="AB16" s="6"/>
    </row>
    <row r="17" spans="1:28" ht="14.25">
      <c r="C17" s="7" t="str">
        <f t="shared" si="0"/>
        <v>◇ E</v>
      </c>
      <c r="D17" s="7">
        <f t="shared" si="5"/>
        <v>2</v>
      </c>
      <c r="E17" t="s">
        <v>71</v>
      </c>
      <c r="H17" t="str">
        <f>IFERROR(INDEX(コンディションランク!$B$1:$B$6,MATCH($G17,コンディションランク!$A$1:$A$6,0)),"")</f>
        <v/>
      </c>
      <c r="L17" s="9" t="s">
        <v>3031</v>
      </c>
      <c r="Q17" t="s">
        <v>165</v>
      </c>
      <c r="R17" s="32" t="str">
        <f t="shared" si="1"/>
        <v>◇</v>
      </c>
      <c r="X17" t="str">
        <f t="shared" si="3"/>
        <v>円周：約cm　幅：約cm　トップ縦幅：約cm　トップ横幅：約cm</v>
      </c>
      <c r="Y17" t="str">
        <f t="shared" si="4"/>
        <v>円周：約cm　幅：約cm　トップ縦幅：約cm　トップ横幅：約cm</v>
      </c>
      <c r="Z17" s="77" t="s">
        <v>166</v>
      </c>
      <c r="AB17" s="6"/>
    </row>
    <row r="18" spans="1:28" ht="14.25">
      <c r="C18" s="7" t="str">
        <f t="shared" si="0"/>
        <v>◇ E</v>
      </c>
      <c r="D18" s="7">
        <f t="shared" si="5"/>
        <v>2</v>
      </c>
      <c r="E18" t="s">
        <v>71</v>
      </c>
      <c r="H18" t="str">
        <f>IFERROR(INDEX(コンディションランク!$B$1:$B$6,MATCH($G18,コンディションランク!$A$1:$A$6,0)),"")</f>
        <v/>
      </c>
      <c r="L18" s="9" t="s">
        <v>3031</v>
      </c>
      <c r="Q18" t="s">
        <v>165</v>
      </c>
      <c r="R18" s="32" t="str">
        <f t="shared" si="1"/>
        <v>◇</v>
      </c>
      <c r="X18" t="str">
        <f t="shared" si="3"/>
        <v>円周：約cm　幅：約cm　トップ縦幅：約cm　トップ横幅：約cm</v>
      </c>
      <c r="Y18" t="str">
        <f t="shared" si="4"/>
        <v>円周：約cm　幅：約cm　トップ縦幅：約cm　トップ横幅：約cm</v>
      </c>
      <c r="Z18" s="77" t="s">
        <v>166</v>
      </c>
      <c r="AB18" s="6"/>
    </row>
    <row r="19" spans="1:28" ht="14.25">
      <c r="C19" s="7" t="str">
        <f t="shared" si="0"/>
        <v>◇ E</v>
      </c>
      <c r="D19" s="7">
        <f t="shared" si="5"/>
        <v>2</v>
      </c>
      <c r="E19" t="s">
        <v>71</v>
      </c>
      <c r="H19" t="str">
        <f>IFERROR(INDEX(コンディションランク!$B$1:$B$6,MATCH($G19,コンディションランク!$A$1:$A$6,0)),"")</f>
        <v/>
      </c>
      <c r="L19" s="9" t="s">
        <v>3031</v>
      </c>
      <c r="Q19" t="s">
        <v>165</v>
      </c>
      <c r="R19" s="32" t="str">
        <f t="shared" si="1"/>
        <v>◇</v>
      </c>
      <c r="X19" t="str">
        <f t="shared" si="3"/>
        <v>円周：約cm　幅：約cm　トップ縦幅：約cm　トップ横幅：約cm</v>
      </c>
      <c r="Y19" t="str">
        <f t="shared" si="4"/>
        <v>円周：約cm　幅：約cm　トップ縦幅：約cm　トップ横幅：約cm</v>
      </c>
      <c r="Z19" s="77" t="s">
        <v>166</v>
      </c>
      <c r="AB19" s="6"/>
    </row>
    <row r="20" spans="1:28" ht="14.25">
      <c r="C20" s="7" t="str">
        <f t="shared" si="0"/>
        <v>◇ E</v>
      </c>
      <c r="D20" s="7">
        <f t="shared" si="5"/>
        <v>2</v>
      </c>
      <c r="E20" t="s">
        <v>71</v>
      </c>
      <c r="H20" t="str">
        <f>IFERROR(INDEX(コンディションランク!$B$1:$B$6,MATCH($G20,コンディションランク!$A$1:$A$6,0)),"")</f>
        <v/>
      </c>
      <c r="L20" s="9" t="s">
        <v>3031</v>
      </c>
      <c r="Q20" t="s">
        <v>165</v>
      </c>
      <c r="R20" s="32" t="str">
        <f t="shared" si="1"/>
        <v>◇</v>
      </c>
      <c r="X20" t="str">
        <f t="shared" si="3"/>
        <v>円周：約cm　幅：約cm　トップ縦幅：約cm　トップ横幅：約cm</v>
      </c>
      <c r="Y20" t="str">
        <f t="shared" si="4"/>
        <v>円周：約cm　幅：約cm　トップ縦幅：約cm　トップ横幅：約cm</v>
      </c>
      <c r="Z20" s="77" t="s">
        <v>166</v>
      </c>
      <c r="AB20" s="6"/>
    </row>
    <row r="21" spans="1:28" ht="14.25">
      <c r="C21" s="7" t="str">
        <f t="shared" si="0"/>
        <v>◇ E</v>
      </c>
      <c r="D21" s="7">
        <f t="shared" si="5"/>
        <v>2</v>
      </c>
      <c r="E21" t="s">
        <v>71</v>
      </c>
      <c r="H21" t="str">
        <f>IFERROR(INDEX(コンディションランク!$B$1:$B$6,MATCH($G21,コンディションランク!$A$1:$A$6,0)),"")</f>
        <v/>
      </c>
      <c r="L21" s="9" t="s">
        <v>3031</v>
      </c>
      <c r="Q21" t="s">
        <v>165</v>
      </c>
      <c r="R21" s="32" t="str">
        <f t="shared" si="1"/>
        <v>◇</v>
      </c>
      <c r="X21" t="str">
        <f t="shared" si="3"/>
        <v>円周：約cm　幅：約cm　トップ縦幅：約cm　トップ横幅：約cm</v>
      </c>
      <c r="Y21" t="str">
        <f t="shared" si="4"/>
        <v>円周：約cm　幅：約cm　トップ縦幅：約cm　トップ横幅：約cm</v>
      </c>
      <c r="Z21" s="77" t="s">
        <v>166</v>
      </c>
      <c r="AB21" s="6"/>
    </row>
    <row r="22" spans="1:28" ht="14.25">
      <c r="C22" s="7" t="str">
        <f t="shared" si="0"/>
        <v>◇ E</v>
      </c>
      <c r="D22" s="7">
        <f t="shared" si="5"/>
        <v>2</v>
      </c>
      <c r="E22" t="s">
        <v>71</v>
      </c>
      <c r="H22" t="str">
        <f>IFERROR(INDEX(コンディションランク!$B$1:$B$6,MATCH($G22,コンディションランク!$A$1:$A$6,0)),"")</f>
        <v/>
      </c>
      <c r="L22" s="9" t="s">
        <v>3031</v>
      </c>
      <c r="Q22" t="s">
        <v>165</v>
      </c>
      <c r="R22" s="32" t="str">
        <f t="shared" si="1"/>
        <v>◇</v>
      </c>
      <c r="X22" t="str">
        <f t="shared" si="3"/>
        <v>円周：約cm　幅：約cm　トップ縦幅：約cm　トップ横幅：約cm</v>
      </c>
      <c r="Y22" t="str">
        <f t="shared" si="4"/>
        <v>円周：約cm　幅：約cm　トップ縦幅：約cm　トップ横幅：約cm</v>
      </c>
      <c r="Z22" s="77" t="s">
        <v>166</v>
      </c>
      <c r="AB22" s="6"/>
    </row>
    <row r="23" spans="1:28" ht="14.25">
      <c r="C23" s="7" t="str">
        <f t="shared" si="0"/>
        <v>◇ E</v>
      </c>
      <c r="D23" s="7">
        <f t="shared" si="5"/>
        <v>2</v>
      </c>
      <c r="E23" t="s">
        <v>71</v>
      </c>
      <c r="H23" t="str">
        <f>IFERROR(INDEX(コンディションランク!$B$1:$B$6,MATCH($G23,コンディションランク!$A$1:$A$6,0)),"")</f>
        <v/>
      </c>
      <c r="L23" s="9" t="s">
        <v>3031</v>
      </c>
      <c r="Q23" t="s">
        <v>165</v>
      </c>
      <c r="R23" s="32" t="str">
        <f t="shared" si="1"/>
        <v>◇</v>
      </c>
      <c r="X23" t="str">
        <f t="shared" si="3"/>
        <v>円周：約cm　幅：約cm　トップ縦幅：約cm　トップ横幅：約cm</v>
      </c>
      <c r="Y23" t="str">
        <f t="shared" si="4"/>
        <v>円周：約cm　幅：約cm　トップ縦幅：約cm　トップ横幅：約cm</v>
      </c>
      <c r="Z23" s="77" t="s">
        <v>166</v>
      </c>
      <c r="AB23" s="6"/>
    </row>
    <row r="24" spans="1:28" ht="14.25">
      <c r="C24" s="7" t="str">
        <f t="shared" si="0"/>
        <v>◇ E</v>
      </c>
      <c r="D24" s="7">
        <f t="shared" si="5"/>
        <v>2</v>
      </c>
      <c r="E24" t="s">
        <v>71</v>
      </c>
      <c r="H24" t="str">
        <f>IFERROR(INDEX(コンディションランク!$B$1:$B$6,MATCH($G24,コンディションランク!$A$1:$A$6,0)),"")</f>
        <v/>
      </c>
      <c r="L24" s="9" t="s">
        <v>3031</v>
      </c>
      <c r="Q24" t="s">
        <v>165</v>
      </c>
      <c r="R24" s="32" t="str">
        <f t="shared" si="1"/>
        <v>◇</v>
      </c>
      <c r="X24" t="str">
        <f t="shared" si="3"/>
        <v>円周：約cm　幅：約cm　トップ縦幅：約cm　トップ横幅：約cm</v>
      </c>
      <c r="Y24" t="str">
        <f t="shared" si="4"/>
        <v>円周：約cm　幅：約cm　トップ縦幅：約cm　トップ横幅：約cm</v>
      </c>
      <c r="Z24" s="77" t="s">
        <v>166</v>
      </c>
      <c r="AB24" s="6"/>
    </row>
    <row r="25" spans="1:28" ht="14.25" customHeight="1">
      <c r="C25" s="7" t="str">
        <f t="shared" si="0"/>
        <v>◇ E</v>
      </c>
      <c r="D25" s="7">
        <f t="shared" si="5"/>
        <v>2</v>
      </c>
      <c r="E25" t="s">
        <v>71</v>
      </c>
      <c r="H25" t="str">
        <f>IFERROR(INDEX(コンディションランク!$B$1:$B$6,MATCH($G25,コンディションランク!$A$1:$A$6,0)),"")</f>
        <v/>
      </c>
      <c r="L25" s="9" t="s">
        <v>3031</v>
      </c>
      <c r="Q25" t="s">
        <v>165</v>
      </c>
      <c r="R25" s="32" t="str">
        <f t="shared" si="1"/>
        <v>◇</v>
      </c>
      <c r="X25" t="str">
        <f t="shared" si="3"/>
        <v>円周：約cm　幅：約cm　トップ縦幅：約cm　トップ横幅：約cm</v>
      </c>
      <c r="Y25" t="str">
        <f t="shared" si="4"/>
        <v>円周：約cm　幅：約cm　トップ縦幅：約cm　トップ横幅：約cm</v>
      </c>
      <c r="Z25" s="77" t="s">
        <v>166</v>
      </c>
      <c r="AB25" s="6"/>
    </row>
    <row r="26" spans="1:28" ht="14.25" customHeight="1">
      <c r="A26" s="79"/>
      <c r="B26" s="13"/>
      <c r="C26" s="4"/>
      <c r="D26" s="4"/>
      <c r="E26" s="4"/>
      <c r="F26" s="4"/>
      <c r="G26" s="4"/>
      <c r="H26" s="4"/>
      <c r="I26" s="4"/>
      <c r="J26" s="4"/>
      <c r="K26" s="4"/>
      <c r="L26" s="4"/>
      <c r="M26" s="4"/>
      <c r="N26" s="4"/>
      <c r="O26" s="4"/>
      <c r="P26" s="4"/>
      <c r="Q26" s="4"/>
      <c r="R26" s="4"/>
      <c r="S26" s="4"/>
      <c r="T26" s="4"/>
      <c r="U26" s="4"/>
      <c r="V26" s="4"/>
      <c r="W26" s="4"/>
      <c r="X26" s="4"/>
      <c r="Y26" s="4"/>
      <c r="Z26" s="4"/>
    </row>
    <row r="27" spans="1:28" ht="14.25" customHeight="1"/>
    <row r="28" spans="1:28" ht="14.25" customHeight="1"/>
    <row r="165" spans="2:2">
      <c r="B165"/>
    </row>
    <row r="166" spans="2:2">
      <c r="B166"/>
    </row>
    <row r="167" spans="2:2">
      <c r="B167"/>
    </row>
    <row r="1048254" spans="10:10">
      <c r="J1048254" s="3"/>
    </row>
  </sheetData>
  <phoneticPr fontId="4"/>
  <conditionalFormatting sqref="B2:B25">
    <cfRule type="duplicateValues" dxfId="3" priority="2"/>
  </conditionalFormatting>
  <conditionalFormatting sqref="D2:D25">
    <cfRule type="cellIs" dxfId="2" priority="1" operator="greaterThanOrEqual">
      <formula>65</formula>
    </cfRule>
  </conditionalFormatting>
  <dataValidations count="2">
    <dataValidation imeMode="off" allowBlank="1" showInputMessage="1" showErrorMessage="1" sqref="M1:P1048576 B1:B1048576" xr:uid="{B6F23ED8-A9AD-45CA-93A3-370CC847959C}"/>
    <dataValidation type="list" allowBlank="1" showInputMessage="1" showErrorMessage="1" sqref="Q2:Q25" xr:uid="{8D02B661-1B84-4F07-A4F8-059A9D419568}">
      <formula1>梱包</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297C7AE-068F-4BD3-B1C6-221B53B466AB}">
          <x14:formula1>
            <xm:f>コンディションランク!$A$1:$A$6</xm:f>
          </x14:formula1>
          <xm:sqref>G2:G25</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dimension ref="A1:AB1048255"/>
  <sheetViews>
    <sheetView zoomScale="85" zoomScaleNormal="85" workbookViewId="0">
      <pane ySplit="1" topLeftCell="A2" activePane="bottomLeft" state="frozen"/>
      <selection pane="bottomLeft" activeCell="B2" sqref="B2"/>
    </sheetView>
  </sheetViews>
  <sheetFormatPr defaultRowHeight="13.5"/>
  <cols>
    <col min="1" max="1" width="14" style="9" customWidth="1"/>
    <col min="2" max="2" width="16.25" style="14" customWidth="1"/>
    <col min="3" max="3" width="80.625" customWidth="1"/>
    <col min="4" max="4" width="5.625" customWidth="1"/>
    <col min="5" max="5" width="3.5" customWidth="1"/>
    <col min="6" max="6" width="9" hidden="1" customWidth="1"/>
    <col min="7" max="7" width="3.625" customWidth="1"/>
    <col min="8" max="8" width="9" customWidth="1"/>
    <col min="9" max="9" width="9" hidden="1" customWidth="1"/>
    <col min="10" max="10" width="46" customWidth="1"/>
    <col min="11" max="11" width="38.375" customWidth="1"/>
    <col min="12" max="12" width="9.5" bestFit="1" customWidth="1"/>
    <col min="13" max="13" width="8.25" customWidth="1"/>
    <col min="14" max="14" width="9.125" customWidth="1"/>
    <col min="15" max="15" width="12.5" customWidth="1"/>
    <col min="16" max="17" width="11.75" customWidth="1"/>
    <col min="18" max="18" width="9.75" customWidth="1"/>
    <col min="19" max="19" width="57.625" customWidth="1"/>
    <col min="20" max="20" width="44" customWidth="1"/>
    <col min="21" max="21" width="41.25" customWidth="1"/>
    <col min="23" max="23" width="44.375" customWidth="1"/>
    <col min="24" max="24" width="14.625" customWidth="1"/>
    <col min="25" max="27" width="0" hidden="1" customWidth="1"/>
  </cols>
  <sheetData>
    <row r="1" spans="1:28" s="32" customFormat="1">
      <c r="A1" s="37" t="s">
        <v>2641</v>
      </c>
      <c r="B1" s="38" t="s">
        <v>0</v>
      </c>
      <c r="C1" s="8" t="s">
        <v>1</v>
      </c>
      <c r="D1" s="26" t="s">
        <v>145</v>
      </c>
      <c r="E1" s="18" t="s">
        <v>2</v>
      </c>
      <c r="F1" s="19" t="s">
        <v>3</v>
      </c>
      <c r="G1" s="17" t="s">
        <v>4</v>
      </c>
      <c r="H1" s="19" t="s">
        <v>5</v>
      </c>
      <c r="I1" s="19" t="s">
        <v>6</v>
      </c>
      <c r="J1" s="19" t="s">
        <v>7</v>
      </c>
      <c r="K1" s="19" t="s">
        <v>8</v>
      </c>
      <c r="L1" s="18" t="s">
        <v>9</v>
      </c>
      <c r="M1" s="21" t="s">
        <v>89</v>
      </c>
      <c r="N1" s="21" t="s">
        <v>90</v>
      </c>
      <c r="O1" s="21" t="s">
        <v>91</v>
      </c>
      <c r="P1" s="21" t="s">
        <v>164</v>
      </c>
      <c r="Q1" s="21" t="s">
        <v>3054</v>
      </c>
      <c r="R1" s="17" t="s">
        <v>88</v>
      </c>
      <c r="S1" s="17" t="s">
        <v>84</v>
      </c>
      <c r="T1" s="17" t="s">
        <v>85</v>
      </c>
      <c r="U1" s="17" t="s">
        <v>87</v>
      </c>
      <c r="V1" s="17" t="s">
        <v>86</v>
      </c>
      <c r="W1" s="1" t="s">
        <v>43</v>
      </c>
      <c r="X1" s="66" t="s">
        <v>98</v>
      </c>
      <c r="Y1" s="16" t="s">
        <v>107</v>
      </c>
      <c r="Z1" s="17" t="s">
        <v>151</v>
      </c>
      <c r="AA1" s="17" t="s">
        <v>108</v>
      </c>
      <c r="AB1" s="17" t="s">
        <v>109</v>
      </c>
    </row>
    <row r="2" spans="1:28" ht="14.25">
      <c r="C2" s="7" t="str">
        <f t="shared" ref="C2:C26" si="0">TRIM(Q2&amp;" "&amp;R2&amp;" "&amp;S2&amp;" "&amp;T2&amp;" "&amp;U2&amp;" "&amp;L2&amp;" "&amp;K2&amp;" "&amp;V2&amp;EX&amp;" "&amp;B2)</f>
        <v>◇ サイズ E</v>
      </c>
      <c r="D2" s="7">
        <f>(LENB(C2)-LEN(C2))+(LENB(C2)-(LENB(C2)-LEN(C2))*2)/2</f>
        <v>5.5</v>
      </c>
      <c r="E2" t="s">
        <v>71</v>
      </c>
      <c r="H2" t="str">
        <f>IFERROR(INDEX(コンディションランク!$B$1:$B$6,MATCH($G2,コンディションランク!$A$1:$A$6,0)),"")</f>
        <v/>
      </c>
      <c r="L2" s="9" t="s">
        <v>3031</v>
      </c>
      <c r="P2" t="s">
        <v>165</v>
      </c>
      <c r="Q2" s="32" t="str">
        <f t="shared" ref="Q2:Q26" si="1">IFERROR(VLOOKUP(P2,梱包サイズ表,2,0),"")</f>
        <v>◇</v>
      </c>
      <c r="W2" t="str">
        <f>"レンズ幅縦横：約" &amp;M2&amp; "x約" &amp;N2&amp; "ｃｍ　フレーム幅：約" &amp;O2&amp; "cm"</f>
        <v>レンズ幅縦横：約x約ｃｍ　フレーム幅：約cm</v>
      </c>
      <c r="X2" s="77" t="s">
        <v>166</v>
      </c>
      <c r="Z2" s="6"/>
    </row>
    <row r="3" spans="1:28" ht="14.25">
      <c r="C3" s="7" t="str">
        <f t="shared" si="0"/>
        <v>◇ サイズ E</v>
      </c>
      <c r="D3" s="7">
        <f t="shared" ref="D3:D26" si="2">(LENB(C3)-LEN(C3))+(LENB(C3)-(LENB(C3)-LEN(C3))*2)/2</f>
        <v>5.5</v>
      </c>
      <c r="E3" t="s">
        <v>71</v>
      </c>
      <c r="H3" t="str">
        <f>IFERROR(INDEX(コンディションランク!$B$1:$B$6,MATCH($G3,コンディションランク!$A$1:$A$6,0)),"")</f>
        <v/>
      </c>
      <c r="L3" s="9" t="s">
        <v>3031</v>
      </c>
      <c r="P3" t="s">
        <v>165</v>
      </c>
      <c r="Q3" s="32" t="str">
        <f t="shared" si="1"/>
        <v>◇</v>
      </c>
      <c r="W3" t="str">
        <f t="shared" ref="W3:W26" si="3">"レンズ幅縦横：約" &amp;M3&amp; "x約" &amp;N3&amp; "ｃｍ　フレーム幅：約" &amp;O3&amp; "cm"</f>
        <v>レンズ幅縦横：約x約ｃｍ　フレーム幅：約cm</v>
      </c>
      <c r="X3" s="77" t="s">
        <v>166</v>
      </c>
      <c r="Z3" s="6"/>
    </row>
    <row r="4" spans="1:28" ht="14.25">
      <c r="C4" s="7" t="str">
        <f t="shared" si="0"/>
        <v>◇ サイズ E</v>
      </c>
      <c r="D4" s="7">
        <f t="shared" si="2"/>
        <v>5.5</v>
      </c>
      <c r="E4" t="s">
        <v>71</v>
      </c>
      <c r="H4" t="str">
        <f>IFERROR(INDEX(コンディションランク!$B$1:$B$6,MATCH($G4,コンディションランク!$A$1:$A$6,0)),"")</f>
        <v/>
      </c>
      <c r="L4" s="9" t="s">
        <v>3031</v>
      </c>
      <c r="P4" t="s">
        <v>165</v>
      </c>
      <c r="Q4" s="32" t="str">
        <f t="shared" si="1"/>
        <v>◇</v>
      </c>
      <c r="W4" t="str">
        <f t="shared" si="3"/>
        <v>レンズ幅縦横：約x約ｃｍ　フレーム幅：約cm</v>
      </c>
      <c r="X4" s="77" t="s">
        <v>166</v>
      </c>
      <c r="Z4" s="6"/>
    </row>
    <row r="5" spans="1:28" ht="14.25">
      <c r="C5" s="7" t="str">
        <f t="shared" si="0"/>
        <v>◇ サイズ E</v>
      </c>
      <c r="D5" s="7">
        <f t="shared" si="2"/>
        <v>5.5</v>
      </c>
      <c r="E5" t="s">
        <v>71</v>
      </c>
      <c r="H5" t="str">
        <f>IFERROR(INDEX(コンディションランク!$B$1:$B$6,MATCH($G5,コンディションランク!$A$1:$A$6,0)),"")</f>
        <v/>
      </c>
      <c r="L5" s="9" t="s">
        <v>3031</v>
      </c>
      <c r="P5" t="s">
        <v>165</v>
      </c>
      <c r="Q5" s="32" t="str">
        <f t="shared" si="1"/>
        <v>◇</v>
      </c>
      <c r="W5" t="str">
        <f t="shared" si="3"/>
        <v>レンズ幅縦横：約x約ｃｍ　フレーム幅：約cm</v>
      </c>
      <c r="X5" s="77" t="s">
        <v>166</v>
      </c>
      <c r="Z5" s="6"/>
    </row>
    <row r="6" spans="1:28" ht="14.25">
      <c r="C6" s="7" t="str">
        <f t="shared" si="0"/>
        <v>◇ サイズ E</v>
      </c>
      <c r="D6" s="7">
        <f t="shared" si="2"/>
        <v>5.5</v>
      </c>
      <c r="E6" t="s">
        <v>71</v>
      </c>
      <c r="H6" t="str">
        <f>IFERROR(INDEX(コンディションランク!$B$1:$B$6,MATCH($G6,コンディションランク!$A$1:$A$6,0)),"")</f>
        <v/>
      </c>
      <c r="L6" s="9" t="s">
        <v>3031</v>
      </c>
      <c r="P6" t="s">
        <v>165</v>
      </c>
      <c r="Q6" s="32" t="str">
        <f t="shared" si="1"/>
        <v>◇</v>
      </c>
      <c r="W6" t="str">
        <f t="shared" si="3"/>
        <v>レンズ幅縦横：約x約ｃｍ　フレーム幅：約cm</v>
      </c>
      <c r="X6" s="77" t="s">
        <v>166</v>
      </c>
      <c r="Z6" s="6"/>
    </row>
    <row r="7" spans="1:28" ht="14.25">
      <c r="C7" s="7" t="str">
        <f t="shared" si="0"/>
        <v>◇ サイズ E</v>
      </c>
      <c r="D7" s="7">
        <f t="shared" si="2"/>
        <v>5.5</v>
      </c>
      <c r="E7" t="s">
        <v>71</v>
      </c>
      <c r="H7" t="str">
        <f>IFERROR(INDEX(コンディションランク!$B$1:$B$6,MATCH($G7,コンディションランク!$A$1:$A$6,0)),"")</f>
        <v/>
      </c>
      <c r="L7" s="9" t="s">
        <v>3031</v>
      </c>
      <c r="P7" t="s">
        <v>165</v>
      </c>
      <c r="Q7" s="32" t="str">
        <f t="shared" si="1"/>
        <v>◇</v>
      </c>
      <c r="W7" t="str">
        <f t="shared" si="3"/>
        <v>レンズ幅縦横：約x約ｃｍ　フレーム幅：約cm</v>
      </c>
      <c r="X7" s="77" t="s">
        <v>166</v>
      </c>
      <c r="Z7" s="6"/>
    </row>
    <row r="8" spans="1:28" ht="14.25">
      <c r="C8" s="7" t="str">
        <f t="shared" si="0"/>
        <v>◇ サイズ E</v>
      </c>
      <c r="D8" s="7">
        <f t="shared" si="2"/>
        <v>5.5</v>
      </c>
      <c r="E8" t="s">
        <v>71</v>
      </c>
      <c r="H8" t="str">
        <f>IFERROR(INDEX(コンディションランク!$B$1:$B$6,MATCH($G8,コンディションランク!$A$1:$A$6,0)),"")</f>
        <v/>
      </c>
      <c r="L8" s="9" t="s">
        <v>3031</v>
      </c>
      <c r="P8" t="s">
        <v>165</v>
      </c>
      <c r="Q8" s="32" t="str">
        <f t="shared" si="1"/>
        <v>◇</v>
      </c>
      <c r="W8" t="str">
        <f t="shared" si="3"/>
        <v>レンズ幅縦横：約x約ｃｍ　フレーム幅：約cm</v>
      </c>
      <c r="X8" s="77" t="s">
        <v>166</v>
      </c>
      <c r="Z8" s="6"/>
    </row>
    <row r="9" spans="1:28" ht="14.25">
      <c r="C9" s="7" t="str">
        <f t="shared" si="0"/>
        <v>◇ サイズ E</v>
      </c>
      <c r="D9" s="7">
        <f t="shared" si="2"/>
        <v>5.5</v>
      </c>
      <c r="E9" t="s">
        <v>71</v>
      </c>
      <c r="H9" t="str">
        <f>IFERROR(INDEX(コンディションランク!$B$1:$B$6,MATCH($G9,コンディションランク!$A$1:$A$6,0)),"")</f>
        <v/>
      </c>
      <c r="L9" s="9" t="s">
        <v>3031</v>
      </c>
      <c r="P9" t="s">
        <v>165</v>
      </c>
      <c r="Q9" s="32" t="str">
        <f t="shared" si="1"/>
        <v>◇</v>
      </c>
      <c r="W9" t="str">
        <f t="shared" si="3"/>
        <v>レンズ幅縦横：約x約ｃｍ　フレーム幅：約cm</v>
      </c>
      <c r="X9" s="77" t="s">
        <v>166</v>
      </c>
      <c r="Z9" s="6"/>
    </row>
    <row r="10" spans="1:28" ht="14.25">
      <c r="C10" s="7" t="str">
        <f t="shared" si="0"/>
        <v>◇ サイズ E</v>
      </c>
      <c r="D10" s="7">
        <f t="shared" si="2"/>
        <v>5.5</v>
      </c>
      <c r="E10" t="s">
        <v>71</v>
      </c>
      <c r="H10" t="str">
        <f>IFERROR(INDEX(コンディションランク!$B$1:$B$6,MATCH($G10,コンディションランク!$A$1:$A$6,0)),"")</f>
        <v/>
      </c>
      <c r="L10" s="9" t="s">
        <v>3031</v>
      </c>
      <c r="P10" t="s">
        <v>165</v>
      </c>
      <c r="Q10" s="32" t="str">
        <f t="shared" si="1"/>
        <v>◇</v>
      </c>
      <c r="W10" t="str">
        <f t="shared" si="3"/>
        <v>レンズ幅縦横：約x約ｃｍ　フレーム幅：約cm</v>
      </c>
      <c r="X10" s="77" t="s">
        <v>166</v>
      </c>
      <c r="Z10" s="6"/>
    </row>
    <row r="11" spans="1:28" ht="14.25">
      <c r="C11" s="7" t="str">
        <f t="shared" si="0"/>
        <v>◇ サイズ E</v>
      </c>
      <c r="D11" s="7">
        <f t="shared" si="2"/>
        <v>5.5</v>
      </c>
      <c r="E11" t="s">
        <v>71</v>
      </c>
      <c r="H11" t="str">
        <f>IFERROR(INDEX(コンディションランク!$B$1:$B$6,MATCH($G11,コンディションランク!$A$1:$A$6,0)),"")</f>
        <v/>
      </c>
      <c r="L11" s="9" t="s">
        <v>3031</v>
      </c>
      <c r="P11" t="s">
        <v>165</v>
      </c>
      <c r="Q11" s="32" t="str">
        <f t="shared" si="1"/>
        <v>◇</v>
      </c>
      <c r="W11" t="str">
        <f t="shared" si="3"/>
        <v>レンズ幅縦横：約x約ｃｍ　フレーム幅：約cm</v>
      </c>
      <c r="X11" s="77" t="s">
        <v>166</v>
      </c>
      <c r="Z11" s="6"/>
    </row>
    <row r="12" spans="1:28" ht="14.25">
      <c r="C12" s="7" t="str">
        <f t="shared" si="0"/>
        <v>◇ サイズ E</v>
      </c>
      <c r="D12" s="7">
        <f t="shared" si="2"/>
        <v>5.5</v>
      </c>
      <c r="E12" t="s">
        <v>71</v>
      </c>
      <c r="H12" t="str">
        <f>IFERROR(INDEX(コンディションランク!$B$1:$B$6,MATCH($G12,コンディションランク!$A$1:$A$6,0)),"")</f>
        <v/>
      </c>
      <c r="L12" s="9" t="s">
        <v>3031</v>
      </c>
      <c r="P12" t="s">
        <v>165</v>
      </c>
      <c r="Q12" s="32" t="str">
        <f t="shared" si="1"/>
        <v>◇</v>
      </c>
      <c r="W12" t="str">
        <f t="shared" si="3"/>
        <v>レンズ幅縦横：約x約ｃｍ　フレーム幅：約cm</v>
      </c>
      <c r="X12" s="77" t="s">
        <v>166</v>
      </c>
      <c r="Z12" s="6"/>
    </row>
    <row r="13" spans="1:28" ht="14.25">
      <c r="C13" s="7" t="str">
        <f t="shared" si="0"/>
        <v>◇ サイズ E</v>
      </c>
      <c r="D13" s="7">
        <f t="shared" si="2"/>
        <v>5.5</v>
      </c>
      <c r="E13" t="s">
        <v>71</v>
      </c>
      <c r="H13" t="str">
        <f>IFERROR(INDEX(コンディションランク!$B$1:$B$6,MATCH($G13,コンディションランク!$A$1:$A$6,0)),"")</f>
        <v/>
      </c>
      <c r="L13" s="9" t="s">
        <v>3031</v>
      </c>
      <c r="P13" t="s">
        <v>165</v>
      </c>
      <c r="Q13" s="32" t="str">
        <f t="shared" si="1"/>
        <v>◇</v>
      </c>
      <c r="W13" t="str">
        <f t="shared" si="3"/>
        <v>レンズ幅縦横：約x約ｃｍ　フレーム幅：約cm</v>
      </c>
      <c r="X13" s="77" t="s">
        <v>166</v>
      </c>
      <c r="Z13" s="6"/>
    </row>
    <row r="14" spans="1:28" ht="14.25">
      <c r="C14" s="7" t="str">
        <f t="shared" si="0"/>
        <v>◇ サイズ E</v>
      </c>
      <c r="D14" s="7">
        <f t="shared" si="2"/>
        <v>5.5</v>
      </c>
      <c r="E14" t="s">
        <v>71</v>
      </c>
      <c r="H14" t="str">
        <f>IFERROR(INDEX(コンディションランク!$B$1:$B$6,MATCH($G14,コンディションランク!$A$1:$A$6,0)),"")</f>
        <v/>
      </c>
      <c r="L14" s="9" t="s">
        <v>3031</v>
      </c>
      <c r="P14" t="s">
        <v>165</v>
      </c>
      <c r="Q14" s="32" t="str">
        <f t="shared" si="1"/>
        <v>◇</v>
      </c>
      <c r="W14" t="str">
        <f t="shared" si="3"/>
        <v>レンズ幅縦横：約x約ｃｍ　フレーム幅：約cm</v>
      </c>
      <c r="X14" s="77" t="s">
        <v>166</v>
      </c>
      <c r="Z14" s="6"/>
    </row>
    <row r="15" spans="1:28" ht="14.25">
      <c r="C15" s="7" t="str">
        <f t="shared" si="0"/>
        <v>◇ サイズ E</v>
      </c>
      <c r="D15" s="7">
        <f t="shared" si="2"/>
        <v>5.5</v>
      </c>
      <c r="E15" t="s">
        <v>71</v>
      </c>
      <c r="H15" t="str">
        <f>IFERROR(INDEX(コンディションランク!$B$1:$B$6,MATCH($G15,コンディションランク!$A$1:$A$6,0)),"")</f>
        <v/>
      </c>
      <c r="L15" s="9" t="s">
        <v>3031</v>
      </c>
      <c r="P15" t="s">
        <v>165</v>
      </c>
      <c r="Q15" s="32" t="str">
        <f t="shared" si="1"/>
        <v>◇</v>
      </c>
      <c r="W15" t="str">
        <f t="shared" si="3"/>
        <v>レンズ幅縦横：約x約ｃｍ　フレーム幅：約cm</v>
      </c>
      <c r="X15" s="77" t="s">
        <v>166</v>
      </c>
      <c r="Z15" s="6"/>
    </row>
    <row r="16" spans="1:28" ht="14.25">
      <c r="C16" s="7" t="str">
        <f t="shared" si="0"/>
        <v>◇ サイズ E</v>
      </c>
      <c r="D16" s="7">
        <f t="shared" si="2"/>
        <v>5.5</v>
      </c>
      <c r="E16" t="s">
        <v>71</v>
      </c>
      <c r="H16" t="str">
        <f>IFERROR(INDEX(コンディションランク!$B$1:$B$6,MATCH($G16,コンディションランク!$A$1:$A$6,0)),"")</f>
        <v/>
      </c>
      <c r="L16" s="9" t="s">
        <v>3031</v>
      </c>
      <c r="P16" t="s">
        <v>165</v>
      </c>
      <c r="Q16" s="32" t="str">
        <f t="shared" si="1"/>
        <v>◇</v>
      </c>
      <c r="W16" t="str">
        <f t="shared" si="3"/>
        <v>レンズ幅縦横：約x約ｃｍ　フレーム幅：約cm</v>
      </c>
      <c r="X16" s="77" t="s">
        <v>166</v>
      </c>
      <c r="Z16" s="6"/>
    </row>
    <row r="17" spans="1:26" ht="14.25">
      <c r="C17" s="7" t="str">
        <f t="shared" si="0"/>
        <v>◇ サイズ E</v>
      </c>
      <c r="D17" s="7">
        <f t="shared" si="2"/>
        <v>5.5</v>
      </c>
      <c r="E17" t="s">
        <v>71</v>
      </c>
      <c r="H17" t="str">
        <f>IFERROR(INDEX(コンディションランク!$B$1:$B$6,MATCH($G17,コンディションランク!$A$1:$A$6,0)),"")</f>
        <v/>
      </c>
      <c r="L17" s="9" t="s">
        <v>3031</v>
      </c>
      <c r="P17" t="s">
        <v>165</v>
      </c>
      <c r="Q17" s="32" t="str">
        <f t="shared" si="1"/>
        <v>◇</v>
      </c>
      <c r="W17" t="str">
        <f t="shared" si="3"/>
        <v>レンズ幅縦横：約x約ｃｍ　フレーム幅：約cm</v>
      </c>
      <c r="X17" s="77" t="s">
        <v>166</v>
      </c>
      <c r="Z17" s="6"/>
    </row>
    <row r="18" spans="1:26" ht="14.25">
      <c r="C18" s="7" t="str">
        <f t="shared" si="0"/>
        <v>◇ サイズ E</v>
      </c>
      <c r="D18" s="7">
        <f t="shared" si="2"/>
        <v>5.5</v>
      </c>
      <c r="E18" t="s">
        <v>71</v>
      </c>
      <c r="H18" t="str">
        <f>IFERROR(INDEX(コンディションランク!$B$1:$B$6,MATCH($G18,コンディションランク!$A$1:$A$6,0)),"")</f>
        <v/>
      </c>
      <c r="L18" s="9" t="s">
        <v>3031</v>
      </c>
      <c r="P18" t="s">
        <v>165</v>
      </c>
      <c r="Q18" s="32" t="str">
        <f t="shared" si="1"/>
        <v>◇</v>
      </c>
      <c r="W18" t="str">
        <f t="shared" si="3"/>
        <v>レンズ幅縦横：約x約ｃｍ　フレーム幅：約cm</v>
      </c>
      <c r="X18" s="77" t="s">
        <v>166</v>
      </c>
      <c r="Z18" s="6"/>
    </row>
    <row r="19" spans="1:26" ht="14.25">
      <c r="C19" s="7" t="str">
        <f t="shared" si="0"/>
        <v>◇ サイズ E</v>
      </c>
      <c r="D19" s="7">
        <f t="shared" si="2"/>
        <v>5.5</v>
      </c>
      <c r="E19" t="s">
        <v>71</v>
      </c>
      <c r="H19" t="str">
        <f>IFERROR(INDEX(コンディションランク!$B$1:$B$6,MATCH($G19,コンディションランク!$A$1:$A$6,0)),"")</f>
        <v/>
      </c>
      <c r="L19" s="9" t="s">
        <v>3031</v>
      </c>
      <c r="P19" t="s">
        <v>165</v>
      </c>
      <c r="Q19" s="32" t="str">
        <f t="shared" si="1"/>
        <v>◇</v>
      </c>
      <c r="W19" t="str">
        <f t="shared" si="3"/>
        <v>レンズ幅縦横：約x約ｃｍ　フレーム幅：約cm</v>
      </c>
      <c r="X19" s="77" t="s">
        <v>166</v>
      </c>
      <c r="Z19" s="6"/>
    </row>
    <row r="20" spans="1:26" ht="14.25">
      <c r="C20" s="7" t="str">
        <f t="shared" si="0"/>
        <v>◇ サイズ E</v>
      </c>
      <c r="D20" s="7">
        <f t="shared" si="2"/>
        <v>5.5</v>
      </c>
      <c r="E20" t="s">
        <v>71</v>
      </c>
      <c r="H20" t="str">
        <f>IFERROR(INDEX(コンディションランク!$B$1:$B$6,MATCH($G20,コンディションランク!$A$1:$A$6,0)),"")</f>
        <v/>
      </c>
      <c r="L20" s="9" t="s">
        <v>3031</v>
      </c>
      <c r="P20" t="s">
        <v>165</v>
      </c>
      <c r="Q20" s="32" t="str">
        <f t="shared" si="1"/>
        <v>◇</v>
      </c>
      <c r="W20" t="str">
        <f t="shared" si="3"/>
        <v>レンズ幅縦横：約x約ｃｍ　フレーム幅：約cm</v>
      </c>
      <c r="X20" s="77" t="s">
        <v>166</v>
      </c>
      <c r="Z20" s="6"/>
    </row>
    <row r="21" spans="1:26" ht="14.25">
      <c r="C21" s="7" t="str">
        <f t="shared" si="0"/>
        <v>◇ サイズ E</v>
      </c>
      <c r="D21" s="7">
        <f t="shared" si="2"/>
        <v>5.5</v>
      </c>
      <c r="E21" t="s">
        <v>71</v>
      </c>
      <c r="H21" t="str">
        <f>IFERROR(INDEX(コンディションランク!$B$1:$B$6,MATCH($G21,コンディションランク!$A$1:$A$6,0)),"")</f>
        <v/>
      </c>
      <c r="L21" s="9" t="s">
        <v>3031</v>
      </c>
      <c r="P21" t="s">
        <v>165</v>
      </c>
      <c r="Q21" s="32" t="str">
        <f t="shared" si="1"/>
        <v>◇</v>
      </c>
      <c r="W21" t="str">
        <f t="shared" si="3"/>
        <v>レンズ幅縦横：約x約ｃｍ　フレーム幅：約cm</v>
      </c>
      <c r="X21" s="77" t="s">
        <v>166</v>
      </c>
      <c r="Z21" s="6"/>
    </row>
    <row r="22" spans="1:26" ht="14.25">
      <c r="C22" s="7" t="str">
        <f t="shared" si="0"/>
        <v>◇ サイズ E</v>
      </c>
      <c r="D22" s="7">
        <f t="shared" si="2"/>
        <v>5.5</v>
      </c>
      <c r="E22" t="s">
        <v>71</v>
      </c>
      <c r="H22" t="str">
        <f>IFERROR(INDEX(コンディションランク!$B$1:$B$6,MATCH($G22,コンディションランク!$A$1:$A$6,0)),"")</f>
        <v/>
      </c>
      <c r="L22" s="9" t="s">
        <v>3031</v>
      </c>
      <c r="P22" t="s">
        <v>165</v>
      </c>
      <c r="Q22" s="32" t="str">
        <f t="shared" si="1"/>
        <v>◇</v>
      </c>
      <c r="W22" t="str">
        <f t="shared" si="3"/>
        <v>レンズ幅縦横：約x約ｃｍ　フレーム幅：約cm</v>
      </c>
      <c r="X22" s="77" t="s">
        <v>166</v>
      </c>
      <c r="Z22" s="6"/>
    </row>
    <row r="23" spans="1:26" ht="14.25">
      <c r="C23" s="7" t="str">
        <f t="shared" si="0"/>
        <v>◇ サイズ E</v>
      </c>
      <c r="D23" s="7">
        <f t="shared" si="2"/>
        <v>5.5</v>
      </c>
      <c r="E23" t="s">
        <v>71</v>
      </c>
      <c r="H23" t="str">
        <f>IFERROR(INDEX(コンディションランク!$B$1:$B$6,MATCH($G23,コンディションランク!$A$1:$A$6,0)),"")</f>
        <v/>
      </c>
      <c r="L23" s="9" t="s">
        <v>3031</v>
      </c>
      <c r="P23" t="s">
        <v>165</v>
      </c>
      <c r="Q23" s="32" t="str">
        <f t="shared" si="1"/>
        <v>◇</v>
      </c>
      <c r="W23" t="str">
        <f t="shared" si="3"/>
        <v>レンズ幅縦横：約x約ｃｍ　フレーム幅：約cm</v>
      </c>
      <c r="X23" s="77" t="s">
        <v>166</v>
      </c>
      <c r="Z23" s="6"/>
    </row>
    <row r="24" spans="1:26" ht="14.25">
      <c r="C24" s="7" t="str">
        <f t="shared" si="0"/>
        <v>◇ サイズ E</v>
      </c>
      <c r="D24" s="7">
        <f t="shared" si="2"/>
        <v>5.5</v>
      </c>
      <c r="E24" t="s">
        <v>71</v>
      </c>
      <c r="H24" t="str">
        <f>IFERROR(INDEX(コンディションランク!$B$1:$B$6,MATCH($G24,コンディションランク!$A$1:$A$6,0)),"")</f>
        <v/>
      </c>
      <c r="L24" s="9" t="s">
        <v>3031</v>
      </c>
      <c r="P24" t="s">
        <v>165</v>
      </c>
      <c r="Q24" s="32" t="str">
        <f t="shared" si="1"/>
        <v>◇</v>
      </c>
      <c r="W24" t="str">
        <f t="shared" si="3"/>
        <v>レンズ幅縦横：約x約ｃｍ　フレーム幅：約cm</v>
      </c>
      <c r="X24" s="77" t="s">
        <v>166</v>
      </c>
      <c r="Z24" s="6"/>
    </row>
    <row r="25" spans="1:26" ht="14.25">
      <c r="C25" s="7" t="str">
        <f t="shared" si="0"/>
        <v>◇ サイズ E</v>
      </c>
      <c r="D25" s="7">
        <f t="shared" si="2"/>
        <v>5.5</v>
      </c>
      <c r="E25" t="s">
        <v>71</v>
      </c>
      <c r="H25" t="str">
        <f>IFERROR(INDEX(コンディションランク!$B$1:$B$6,MATCH($G25,コンディションランク!$A$1:$A$6,0)),"")</f>
        <v/>
      </c>
      <c r="L25" s="9" t="s">
        <v>3031</v>
      </c>
      <c r="P25" t="s">
        <v>165</v>
      </c>
      <c r="Q25" s="32" t="str">
        <f t="shared" si="1"/>
        <v>◇</v>
      </c>
      <c r="W25" t="str">
        <f t="shared" si="3"/>
        <v>レンズ幅縦横：約x約ｃｍ　フレーム幅：約cm</v>
      </c>
      <c r="X25" s="77" t="s">
        <v>166</v>
      </c>
      <c r="Z25" s="6"/>
    </row>
    <row r="26" spans="1:26" ht="14.25" customHeight="1">
      <c r="C26" s="7" t="str">
        <f t="shared" si="0"/>
        <v>◇ サイズ E</v>
      </c>
      <c r="D26" s="7">
        <f t="shared" si="2"/>
        <v>5.5</v>
      </c>
      <c r="E26" t="s">
        <v>71</v>
      </c>
      <c r="H26" t="str">
        <f>IFERROR(INDEX(コンディションランク!$B$1:$B$6,MATCH($G26,コンディションランク!$A$1:$A$6,0)),"")</f>
        <v/>
      </c>
      <c r="L26" s="9" t="s">
        <v>3031</v>
      </c>
      <c r="P26" t="s">
        <v>165</v>
      </c>
      <c r="Q26" s="32" t="str">
        <f t="shared" si="1"/>
        <v>◇</v>
      </c>
      <c r="W26" t="str">
        <f t="shared" si="3"/>
        <v>レンズ幅縦横：約x約ｃｍ　フレーム幅：約cm</v>
      </c>
      <c r="X26" s="77" t="s">
        <v>166</v>
      </c>
      <c r="Z26" s="6"/>
    </row>
    <row r="27" spans="1:26" ht="14.25" customHeight="1">
      <c r="A27" s="79"/>
      <c r="B27" s="13"/>
      <c r="C27" s="4"/>
      <c r="D27" s="4"/>
      <c r="E27" s="4"/>
      <c r="F27" s="4"/>
      <c r="G27" s="4"/>
      <c r="H27" s="4"/>
      <c r="I27" s="4"/>
      <c r="J27" s="4"/>
      <c r="K27" s="4"/>
      <c r="L27" s="4"/>
      <c r="M27" s="4"/>
      <c r="N27" s="4"/>
      <c r="O27" s="4"/>
      <c r="P27" s="4"/>
      <c r="Q27" s="4"/>
      <c r="R27" s="4"/>
      <c r="S27" s="4"/>
      <c r="T27" s="4"/>
      <c r="U27" s="4"/>
      <c r="V27" s="4"/>
      <c r="W27" s="4"/>
      <c r="X27" s="4"/>
    </row>
    <row r="28" spans="1:26" ht="14.25" customHeight="1"/>
    <row r="166" spans="2:2">
      <c r="B166"/>
    </row>
    <row r="167" spans="2:2">
      <c r="B167"/>
    </row>
    <row r="168" spans="2:2">
      <c r="B168"/>
    </row>
    <row r="1048255" spans="10:10">
      <c r="J1048255" s="3"/>
    </row>
  </sheetData>
  <phoneticPr fontId="4"/>
  <conditionalFormatting sqref="B2:B26">
    <cfRule type="duplicateValues" dxfId="1" priority="2"/>
  </conditionalFormatting>
  <conditionalFormatting sqref="D2:D26">
    <cfRule type="cellIs" dxfId="0" priority="1" operator="greaterThanOrEqual">
      <formula>65</formula>
    </cfRule>
  </conditionalFormatting>
  <dataValidations count="2">
    <dataValidation imeMode="off" allowBlank="1" showInputMessage="1" showErrorMessage="1" sqref="M1:O1048576 B1:B1048576" xr:uid="{99F558FD-0E28-4ED2-A235-2F4483C67E8B}"/>
    <dataValidation type="list" allowBlank="1" showInputMessage="1" showErrorMessage="1" sqref="P2:P26" xr:uid="{124FA092-6504-4A5C-9FEC-5889CA4FB2C8}">
      <formula1>梱包</formula1>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505C6C0B-1060-44D4-87AC-3C595D7C68B3}">
          <x14:formula1>
            <xm:f>コンディションランク!$A$1:$A$6</xm:f>
          </x14:formula1>
          <xm:sqref>G2:G26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73852-0044-4210-96F3-719C1B1451D5}">
  <sheetPr codeName="Sheet24"/>
  <dimension ref="A1:J6"/>
  <sheetViews>
    <sheetView topLeftCell="B1" workbookViewId="0">
      <selection activeCell="I1" sqref="I1"/>
    </sheetView>
  </sheetViews>
  <sheetFormatPr defaultRowHeight="13.5"/>
  <cols>
    <col min="2" max="2" width="20.125" bestFit="1" customWidth="1"/>
    <col min="3" max="3" width="81.5" bestFit="1" customWidth="1"/>
    <col min="5" max="5" width="36.125" bestFit="1" customWidth="1"/>
    <col min="8" max="8" width="14.875" bestFit="1" customWidth="1"/>
  </cols>
  <sheetData>
    <row r="1" spans="1:10">
      <c r="A1">
        <f>ROW()</f>
        <v>1</v>
      </c>
      <c r="B1" t="s">
        <v>2936</v>
      </c>
      <c r="C1" t="s">
        <v>2925</v>
      </c>
      <c r="D1" s="50"/>
      <c r="E1" t="s">
        <v>165</v>
      </c>
      <c r="F1" t="s">
        <v>3043</v>
      </c>
      <c r="G1" t="s">
        <v>3056</v>
      </c>
      <c r="H1" t="s">
        <v>3042</v>
      </c>
      <c r="I1" t="s">
        <v>3052</v>
      </c>
      <c r="J1" t="str">
        <f>$G$1&amp;I1</f>
        <v xml:space="preserve"> P</v>
      </c>
    </row>
    <row r="2" spans="1:10">
      <c r="A2">
        <f>ROW()</f>
        <v>2</v>
      </c>
      <c r="B2" t="s">
        <v>2926</v>
      </c>
      <c r="C2" t="s">
        <v>2927</v>
      </c>
      <c r="D2" s="50"/>
      <c r="E2" t="s">
        <v>3044</v>
      </c>
      <c r="F2" t="s">
        <v>3045</v>
      </c>
      <c r="H2" t="s">
        <v>3041</v>
      </c>
      <c r="I2" t="s">
        <v>3053</v>
      </c>
      <c r="J2" t="str">
        <f>$G$1&amp;I2</f>
        <v xml:space="preserve"> E</v>
      </c>
    </row>
    <row r="3" spans="1:10">
      <c r="A3">
        <f>ROW()</f>
        <v>3</v>
      </c>
      <c r="B3" t="s">
        <v>2928</v>
      </c>
      <c r="C3" t="s">
        <v>2929</v>
      </c>
      <c r="D3" s="50"/>
      <c r="E3" t="s">
        <v>3046</v>
      </c>
      <c r="F3" t="s">
        <v>3047</v>
      </c>
    </row>
    <row r="4" spans="1:10">
      <c r="A4">
        <f>ROW()</f>
        <v>4</v>
      </c>
      <c r="B4" t="s">
        <v>2930</v>
      </c>
      <c r="C4" t="s">
        <v>2931</v>
      </c>
      <c r="D4" s="50"/>
      <c r="E4" t="s">
        <v>3048</v>
      </c>
      <c r="F4" t="s">
        <v>3049</v>
      </c>
    </row>
    <row r="5" spans="1:10">
      <c r="A5">
        <f>ROW()</f>
        <v>5</v>
      </c>
      <c r="B5" t="s">
        <v>2932</v>
      </c>
      <c r="C5" t="s">
        <v>2933</v>
      </c>
      <c r="D5" s="50"/>
      <c r="E5" t="s">
        <v>3050</v>
      </c>
      <c r="F5" t="s">
        <v>3051</v>
      </c>
    </row>
    <row r="6" spans="1:10">
      <c r="A6">
        <f>ROW()</f>
        <v>6</v>
      </c>
      <c r="B6" t="s">
        <v>2934</v>
      </c>
      <c r="C6" t="s">
        <v>2935</v>
      </c>
      <c r="D6" s="50"/>
    </row>
  </sheetData>
  <phoneticPr fontId="4"/>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dimension ref="A1:A69"/>
  <sheetViews>
    <sheetView workbookViewId="0">
      <selection activeCell="A69" sqref="A69"/>
    </sheetView>
  </sheetViews>
  <sheetFormatPr defaultRowHeight="13.5"/>
  <cols>
    <col min="1" max="1" width="23" bestFit="1" customWidth="1"/>
  </cols>
  <sheetData>
    <row r="1" spans="1:1">
      <c r="A1" t="s">
        <v>2938</v>
      </c>
    </row>
    <row r="2" spans="1:1">
      <c r="A2" t="s">
        <v>2939</v>
      </c>
    </row>
    <row r="3" spans="1:1">
      <c r="A3" t="s">
        <v>2940</v>
      </c>
    </row>
    <row r="4" spans="1:1">
      <c r="A4" t="s">
        <v>2941</v>
      </c>
    </row>
    <row r="5" spans="1:1">
      <c r="A5" t="s">
        <v>2942</v>
      </c>
    </row>
    <row r="6" spans="1:1">
      <c r="A6" t="s">
        <v>2943</v>
      </c>
    </row>
    <row r="7" spans="1:1">
      <c r="A7" t="s">
        <v>2944</v>
      </c>
    </row>
    <row r="8" spans="1:1">
      <c r="A8" t="s">
        <v>2945</v>
      </c>
    </row>
    <row r="9" spans="1:1">
      <c r="A9" t="s">
        <v>2946</v>
      </c>
    </row>
    <row r="10" spans="1:1">
      <c r="A10" t="s">
        <v>2947</v>
      </c>
    </row>
    <row r="11" spans="1:1">
      <c r="A11" t="s">
        <v>2948</v>
      </c>
    </row>
    <row r="12" spans="1:1">
      <c r="A12" t="s">
        <v>2949</v>
      </c>
    </row>
    <row r="13" spans="1:1">
      <c r="A13" t="s">
        <v>2950</v>
      </c>
    </row>
    <row r="14" spans="1:1">
      <c r="A14" t="s">
        <v>2951</v>
      </c>
    </row>
    <row r="15" spans="1:1">
      <c r="A15" t="s">
        <v>2952</v>
      </c>
    </row>
    <row r="16" spans="1:1">
      <c r="A16" t="s">
        <v>2953</v>
      </c>
    </row>
    <row r="17" spans="1:1">
      <c r="A17" t="s">
        <v>2954</v>
      </c>
    </row>
    <row r="18" spans="1:1">
      <c r="A18" t="s">
        <v>2955</v>
      </c>
    </row>
    <row r="19" spans="1:1">
      <c r="A19" t="s">
        <v>2956</v>
      </c>
    </row>
    <row r="20" spans="1:1">
      <c r="A20" t="s">
        <v>2957</v>
      </c>
    </row>
    <row r="21" spans="1:1">
      <c r="A21" t="s">
        <v>2958</v>
      </c>
    </row>
    <row r="22" spans="1:1">
      <c r="A22" t="s">
        <v>2959</v>
      </c>
    </row>
    <row r="23" spans="1:1">
      <c r="A23" t="s">
        <v>2960</v>
      </c>
    </row>
    <row r="24" spans="1:1">
      <c r="A24" t="s">
        <v>2961</v>
      </c>
    </row>
    <row r="25" spans="1:1">
      <c r="A25" t="s">
        <v>2962</v>
      </c>
    </row>
    <row r="26" spans="1:1">
      <c r="A26" t="s">
        <v>2963</v>
      </c>
    </row>
    <row r="27" spans="1:1">
      <c r="A27" t="s">
        <v>2964</v>
      </c>
    </row>
    <row r="28" spans="1:1">
      <c r="A28" t="s">
        <v>2965</v>
      </c>
    </row>
    <row r="29" spans="1:1">
      <c r="A29" t="s">
        <v>2966</v>
      </c>
    </row>
    <row r="30" spans="1:1">
      <c r="A30" t="s">
        <v>2967</v>
      </c>
    </row>
    <row r="31" spans="1:1">
      <c r="A31" t="s">
        <v>2968</v>
      </c>
    </row>
    <row r="32" spans="1:1">
      <c r="A32" t="s">
        <v>2969</v>
      </c>
    </row>
    <row r="33" spans="1:1">
      <c r="A33" t="s">
        <v>2970</v>
      </c>
    </row>
    <row r="34" spans="1:1">
      <c r="A34" t="s">
        <v>2971</v>
      </c>
    </row>
    <row r="35" spans="1:1">
      <c r="A35" t="s">
        <v>2972</v>
      </c>
    </row>
    <row r="36" spans="1:1">
      <c r="A36" t="s">
        <v>2973</v>
      </c>
    </row>
    <row r="37" spans="1:1">
      <c r="A37" t="s">
        <v>2974</v>
      </c>
    </row>
    <row r="38" spans="1:1">
      <c r="A38" t="s">
        <v>2975</v>
      </c>
    </row>
    <row r="39" spans="1:1">
      <c r="A39" t="s">
        <v>2976</v>
      </c>
    </row>
    <row r="40" spans="1:1">
      <c r="A40" t="s">
        <v>2977</v>
      </c>
    </row>
    <row r="41" spans="1:1">
      <c r="A41" t="s">
        <v>2978</v>
      </c>
    </row>
    <row r="42" spans="1:1">
      <c r="A42" t="s">
        <v>2979</v>
      </c>
    </row>
    <row r="43" spans="1:1">
      <c r="A43" t="s">
        <v>2980</v>
      </c>
    </row>
    <row r="44" spans="1:1">
      <c r="A44" t="s">
        <v>2981</v>
      </c>
    </row>
    <row r="45" spans="1:1">
      <c r="A45" t="s">
        <v>2982</v>
      </c>
    </row>
    <row r="46" spans="1:1">
      <c r="A46" t="s">
        <v>2983</v>
      </c>
    </row>
    <row r="47" spans="1:1">
      <c r="A47" t="s">
        <v>2984</v>
      </c>
    </row>
    <row r="48" spans="1:1">
      <c r="A48" t="s">
        <v>2985</v>
      </c>
    </row>
    <row r="49" spans="1:1">
      <c r="A49" t="s">
        <v>2986</v>
      </c>
    </row>
    <row r="50" spans="1:1">
      <c r="A50" t="s">
        <v>2987</v>
      </c>
    </row>
    <row r="51" spans="1:1">
      <c r="A51" t="s">
        <v>2988</v>
      </c>
    </row>
    <row r="52" spans="1:1">
      <c r="A52" t="s">
        <v>2989</v>
      </c>
    </row>
    <row r="53" spans="1:1">
      <c r="A53" t="s">
        <v>2990</v>
      </c>
    </row>
    <row r="54" spans="1:1">
      <c r="A54" t="s">
        <v>2991</v>
      </c>
    </row>
    <row r="55" spans="1:1">
      <c r="A55" t="s">
        <v>2994</v>
      </c>
    </row>
    <row r="56" spans="1:1">
      <c r="A56" t="s">
        <v>2995</v>
      </c>
    </row>
    <row r="57" spans="1:1">
      <c r="A57" t="s">
        <v>2996</v>
      </c>
    </row>
    <row r="58" spans="1:1">
      <c r="A58" t="s">
        <v>2997</v>
      </c>
    </row>
    <row r="59" spans="1:1">
      <c r="A59" t="s">
        <v>2998</v>
      </c>
    </row>
    <row r="60" spans="1:1">
      <c r="A60" t="s">
        <v>2999</v>
      </c>
    </row>
    <row r="61" spans="1:1">
      <c r="A61" t="s">
        <v>3000</v>
      </c>
    </row>
    <row r="62" spans="1:1">
      <c r="A62" t="s">
        <v>3001</v>
      </c>
    </row>
    <row r="63" spans="1:1">
      <c r="A63" t="s">
        <v>3002</v>
      </c>
    </row>
    <row r="64" spans="1:1">
      <c r="A64" t="s">
        <v>3003</v>
      </c>
    </row>
    <row r="65" spans="1:1">
      <c r="A65" t="s">
        <v>3004</v>
      </c>
    </row>
    <row r="66" spans="1:1">
      <c r="A66" t="s">
        <v>3005</v>
      </c>
    </row>
    <row r="67" spans="1:1">
      <c r="A67" t="s">
        <v>3006</v>
      </c>
    </row>
    <row r="68" spans="1:1">
      <c r="A68" t="s">
        <v>3007</v>
      </c>
    </row>
    <row r="69" spans="1:1">
      <c r="A69" t="s">
        <v>3008</v>
      </c>
    </row>
  </sheetData>
  <phoneticPr fontId="4"/>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0D494-9980-4989-B94B-CDB390FCFE85}">
  <sheetPr codeName="Sheet25"/>
  <dimension ref="A1:E16"/>
  <sheetViews>
    <sheetView workbookViewId="0">
      <selection activeCell="E2" sqref="E2:E16"/>
    </sheetView>
  </sheetViews>
  <sheetFormatPr defaultRowHeight="13.5"/>
  <cols>
    <col min="1" max="1" width="6.5" customWidth="1"/>
    <col min="2" max="2" width="8.5" style="62" customWidth="1"/>
    <col min="3" max="3" width="3.625" customWidth="1"/>
    <col min="4" max="4" width="0" style="62" hidden="1" customWidth="1"/>
    <col min="5" max="5" width="8.875" style="50"/>
  </cols>
  <sheetData>
    <row r="1" spans="1:5" s="57" customFormat="1">
      <c r="A1" s="58" t="s">
        <v>3017</v>
      </c>
      <c r="B1" s="60" t="s">
        <v>3013</v>
      </c>
      <c r="C1" s="58"/>
      <c r="D1" s="60" t="s">
        <v>3014</v>
      </c>
      <c r="E1" s="59" t="s">
        <v>3015</v>
      </c>
    </row>
    <row r="2" spans="1:5">
      <c r="A2">
        <v>1</v>
      </c>
      <c r="B2" s="61">
        <v>1</v>
      </c>
      <c r="C2" s="32" t="s">
        <v>3016</v>
      </c>
      <c r="D2" s="62">
        <v>999</v>
      </c>
      <c r="E2" s="50">
        <v>1</v>
      </c>
    </row>
    <row r="3" spans="1:5">
      <c r="A3">
        <v>1</v>
      </c>
      <c r="B3" s="62">
        <v>1000</v>
      </c>
      <c r="C3" s="32" t="s">
        <v>3016</v>
      </c>
      <c r="D3" s="62">
        <v>2499</v>
      </c>
      <c r="E3" s="50">
        <v>1</v>
      </c>
    </row>
    <row r="4" spans="1:5">
      <c r="A4">
        <v>1</v>
      </c>
      <c r="B4" s="62">
        <v>2500</v>
      </c>
      <c r="C4" s="32" t="s">
        <v>3016</v>
      </c>
      <c r="D4" s="62">
        <v>4999</v>
      </c>
      <c r="E4" s="50">
        <v>1</v>
      </c>
    </row>
    <row r="5" spans="1:5">
      <c r="A5">
        <v>1</v>
      </c>
      <c r="B5" s="62">
        <v>5000</v>
      </c>
      <c r="C5" s="32" t="s">
        <v>3016</v>
      </c>
      <c r="D5" s="62">
        <v>6999</v>
      </c>
      <c r="E5" s="50">
        <v>1</v>
      </c>
    </row>
    <row r="6" spans="1:5">
      <c r="A6">
        <v>1</v>
      </c>
      <c r="B6" s="63">
        <v>7000</v>
      </c>
      <c r="C6" s="32" t="s">
        <v>3016</v>
      </c>
      <c r="D6" s="63"/>
      <c r="E6" s="50">
        <v>1</v>
      </c>
    </row>
    <row r="7" spans="1:5">
      <c r="A7">
        <v>2</v>
      </c>
      <c r="B7" s="64">
        <v>1</v>
      </c>
      <c r="C7" s="32" t="s">
        <v>3016</v>
      </c>
      <c r="D7" s="63">
        <v>999</v>
      </c>
      <c r="E7" s="50">
        <v>1</v>
      </c>
    </row>
    <row r="8" spans="1:5">
      <c r="A8">
        <v>2</v>
      </c>
      <c r="B8" s="63">
        <v>1000</v>
      </c>
      <c r="C8" s="32" t="s">
        <v>3016</v>
      </c>
      <c r="D8" s="63">
        <v>2499</v>
      </c>
      <c r="E8" s="50">
        <v>1</v>
      </c>
    </row>
    <row r="9" spans="1:5">
      <c r="A9">
        <v>2</v>
      </c>
      <c r="B9" s="63">
        <v>2500</v>
      </c>
      <c r="C9" s="32" t="s">
        <v>3016</v>
      </c>
      <c r="D9" s="63">
        <v>4999</v>
      </c>
      <c r="E9" s="50">
        <v>1</v>
      </c>
    </row>
    <row r="10" spans="1:5">
      <c r="A10">
        <v>2</v>
      </c>
      <c r="B10" s="63">
        <v>5000</v>
      </c>
      <c r="C10" s="32" t="s">
        <v>3016</v>
      </c>
      <c r="D10" s="63">
        <v>6999</v>
      </c>
      <c r="E10" s="50">
        <v>1</v>
      </c>
    </row>
    <row r="11" spans="1:5">
      <c r="A11">
        <v>2</v>
      </c>
      <c r="B11" s="63">
        <v>7000</v>
      </c>
      <c r="C11" s="32" t="s">
        <v>3016</v>
      </c>
      <c r="D11" s="63"/>
      <c r="E11" s="50">
        <v>1</v>
      </c>
    </row>
    <row r="12" spans="1:5">
      <c r="A12">
        <v>3</v>
      </c>
      <c r="B12" s="64">
        <v>1</v>
      </c>
      <c r="C12" s="32" t="s">
        <v>3016</v>
      </c>
      <c r="D12" s="63">
        <v>999</v>
      </c>
      <c r="E12" s="50">
        <v>1</v>
      </c>
    </row>
    <row r="13" spans="1:5">
      <c r="A13">
        <v>3</v>
      </c>
      <c r="B13" s="63">
        <v>1000</v>
      </c>
      <c r="C13" s="32" t="s">
        <v>3016</v>
      </c>
      <c r="D13" s="63">
        <v>2499</v>
      </c>
      <c r="E13" s="50">
        <v>1</v>
      </c>
    </row>
    <row r="14" spans="1:5">
      <c r="A14">
        <v>3</v>
      </c>
      <c r="B14" s="63">
        <v>2500</v>
      </c>
      <c r="C14" s="32" t="s">
        <v>3016</v>
      </c>
      <c r="D14" s="63">
        <v>4999</v>
      </c>
      <c r="E14" s="50">
        <v>1</v>
      </c>
    </row>
    <row r="15" spans="1:5">
      <c r="A15">
        <v>3</v>
      </c>
      <c r="B15" s="63">
        <v>5000</v>
      </c>
      <c r="C15" s="32" t="s">
        <v>3016</v>
      </c>
      <c r="D15" s="63">
        <v>6999</v>
      </c>
      <c r="E15" s="50">
        <v>1</v>
      </c>
    </row>
    <row r="16" spans="1:5">
      <c r="A16">
        <v>3</v>
      </c>
      <c r="B16" s="63">
        <v>7000</v>
      </c>
      <c r="C16" s="32" t="s">
        <v>3016</v>
      </c>
      <c r="D16" s="63"/>
      <c r="E16" s="50">
        <v>1</v>
      </c>
    </row>
  </sheetData>
  <phoneticPr fontId="4"/>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4</vt:i4>
      </vt:variant>
    </vt:vector>
  </HeadingPairs>
  <TitlesOfParts>
    <vt:vector size="29" baseType="lpstr">
      <vt:lpstr>csv</vt:lpstr>
      <vt:lpstr>csv2</vt:lpstr>
      <vt:lpstr>main</vt:lpstr>
      <vt:lpstr>category</vt:lpstr>
      <vt:lpstr>Sheet1</vt:lpstr>
      <vt:lpstr>複数商品</vt:lpstr>
      <vt:lpstr>トップス</vt:lpstr>
      <vt:lpstr>パンツ</vt:lpstr>
      <vt:lpstr>スカート</vt:lpstr>
      <vt:lpstr>ワンピース</vt:lpstr>
      <vt:lpstr>オールインワン</vt:lpstr>
      <vt:lpstr>スカートスーツ</vt:lpstr>
      <vt:lpstr>パンツスーツ</vt:lpstr>
      <vt:lpstr>アンサンブル</vt:lpstr>
      <vt:lpstr>靴</vt:lpstr>
      <vt:lpstr>ブーツ</vt:lpstr>
      <vt:lpstr>ベルト</vt:lpstr>
      <vt:lpstr>ネクタイ縦横</vt:lpstr>
      <vt:lpstr>帽子</vt:lpstr>
      <vt:lpstr>バッグ</vt:lpstr>
      <vt:lpstr>ネックレス</vt:lpstr>
      <vt:lpstr>サングラス</vt:lpstr>
      <vt:lpstr>コンディションランク</vt:lpstr>
      <vt:lpstr>出品ID</vt:lpstr>
      <vt:lpstr>金額レート</vt:lpstr>
      <vt:lpstr>EX</vt:lpstr>
      <vt:lpstr>PL</vt:lpstr>
      <vt:lpstr>梱包</vt:lpstr>
      <vt:lpstr>梱包サイズ表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Owner</dc:creator>
  <cp:lastModifiedBy>barcode</cp:lastModifiedBy>
  <dcterms:created xsi:type="dcterms:W3CDTF">2016-08-11T01:35:25Z</dcterms:created>
  <dcterms:modified xsi:type="dcterms:W3CDTF">2023-02-20T05:50:08Z</dcterms:modified>
</cp:coreProperties>
</file>